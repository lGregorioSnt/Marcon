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DB9E53A5-4AEC-4B86-9AEB-99D32E4663FF}" xr6:coauthVersionLast="47" xr6:coauthVersionMax="47" xr10:uidLastSave="{00000000-0000-0000-0000-000000000000}"/>
  <bookViews>
    <workbookView xWindow="-108" yWindow="-108" windowWidth="23256" windowHeight="12576" firstSheet="5" activeTab="6" xr2:uid="{00000000-000D-0000-FFFF-FFFF00000000}"/>
  </bookViews>
  <sheets>
    <sheet name="DASHBOARD " sheetId="12" state="hidden" r:id="rId1"/>
    <sheet name="dados TOP 5 SAIDAS" sheetId="20" state="hidden" r:id="rId2"/>
    <sheet name="dados ferramentas " sheetId="21" state="hidden" r:id="rId3"/>
    <sheet name="dados porcentagem saida.entrada" sheetId="22" state="hidden" r:id="rId4"/>
    <sheet name="TECNICOS DADOS" sheetId="24" state="hidden" r:id="rId5"/>
    <sheet name="PAINEL" sheetId="8" r:id="rId6"/>
    <sheet name="Relatorio" sheetId="7" r:id="rId7"/>
    <sheet name="PENDENCIAS DO DIA" sheetId="14" r:id="rId8"/>
    <sheet name="BD MOVIMENTAÇÃO" sheetId="10" r:id="rId9"/>
    <sheet name="BD COLABORADORES" sheetId="9" r:id="rId10"/>
    <sheet name="BD DASH" sheetId="11" state="hidden" r:id="rId11"/>
  </sheets>
  <definedNames>
    <definedName name="_xlnm._FilterDatabase" localSheetId="9" hidden="1">'BD COLABORADORES'!$A$1:$E$575</definedName>
    <definedName name="_xlnm._FilterDatabase" localSheetId="6" hidden="1">Relatorio!$B$1:$L$7012</definedName>
    <definedName name="produtos">#REF!</definedName>
  </definedNames>
  <calcPr calcId="191029"/>
  <pivotCaches>
    <pivotCache cacheId="0" r:id="rId12"/>
    <pivotCache cacheId="1" r:id="rId13"/>
    <pivotCache cacheId="2" r:id="rId14"/>
    <pivotCache cacheId="3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1" i="10" l="1"/>
  <c r="E65" i="10"/>
  <c r="F65" i="10"/>
  <c r="G65" i="10" l="1"/>
  <c r="A198" i="10" l="1"/>
  <c r="A199" i="10"/>
  <c r="A200" i="10"/>
  <c r="E97" i="10"/>
  <c r="F97" i="10"/>
  <c r="G97" i="10" l="1"/>
  <c r="E103" i="10"/>
  <c r="F103" i="10"/>
  <c r="G103" i="10" l="1"/>
  <c r="A196" i="10"/>
  <c r="A197" i="10"/>
  <c r="E64" i="10"/>
  <c r="F64" i="10"/>
  <c r="G64" i="10" l="1"/>
  <c r="F201" i="10"/>
  <c r="E201" i="10"/>
  <c r="F189" i="10"/>
  <c r="F188" i="10"/>
  <c r="E188" i="10"/>
  <c r="E179" i="10"/>
  <c r="F155" i="10"/>
  <c r="E154" i="10"/>
  <c r="E153" i="10"/>
  <c r="F153" i="10"/>
  <c r="E134" i="10"/>
  <c r="E133" i="10"/>
  <c r="E118" i="10"/>
  <c r="E105" i="10"/>
  <c r="F100" i="10"/>
  <c r="F95" i="10"/>
  <c r="F94" i="10"/>
  <c r="F93" i="10"/>
  <c r="E95" i="10"/>
  <c r="E86" i="10"/>
  <c r="E85" i="10"/>
  <c r="E79" i="10"/>
  <c r="E62" i="10"/>
  <c r="F62" i="10"/>
  <c r="F59" i="10"/>
  <c r="F20" i="10"/>
  <c r="F6" i="10"/>
  <c r="E91" i="10" l="1"/>
  <c r="F91" i="10"/>
  <c r="G91" i="10" l="1"/>
  <c r="E60" i="10"/>
  <c r="F60" i="10"/>
  <c r="G60" i="10" l="1"/>
  <c r="D183" i="12"/>
  <c r="K169" i="12"/>
  <c r="C183" i="12" l="1"/>
  <c r="A194" i="10" l="1"/>
  <c r="A195" i="10"/>
  <c r="G201" i="10"/>
  <c r="E200" i="10"/>
  <c r="F200" i="10"/>
  <c r="E199" i="10"/>
  <c r="F199" i="10"/>
  <c r="E198" i="10"/>
  <c r="F198" i="10"/>
  <c r="E197" i="10"/>
  <c r="F197" i="10"/>
  <c r="E196" i="10"/>
  <c r="F196" i="10"/>
  <c r="E195" i="10"/>
  <c r="F195" i="10"/>
  <c r="E194" i="10"/>
  <c r="F194" i="10"/>
  <c r="E193" i="10"/>
  <c r="F193" i="10"/>
  <c r="E192" i="10"/>
  <c r="F192" i="10"/>
  <c r="E191" i="10"/>
  <c r="F191" i="10"/>
  <c r="E190" i="10"/>
  <c r="F190" i="10"/>
  <c r="E189" i="10"/>
  <c r="G189" i="10" s="1"/>
  <c r="G188" i="10"/>
  <c r="E187" i="10"/>
  <c r="F187" i="10"/>
  <c r="E186" i="10"/>
  <c r="F186" i="10"/>
  <c r="E185" i="10"/>
  <c r="F185" i="10"/>
  <c r="E184" i="10"/>
  <c r="F184" i="10"/>
  <c r="E183" i="10"/>
  <c r="F183" i="10"/>
  <c r="E182" i="10"/>
  <c r="F182" i="10"/>
  <c r="E181" i="10"/>
  <c r="F181" i="10"/>
  <c r="E180" i="10"/>
  <c r="F180" i="10"/>
  <c r="F179" i="10"/>
  <c r="G179" i="10" s="1"/>
  <c r="E178" i="10"/>
  <c r="F178" i="10"/>
  <c r="E177" i="10"/>
  <c r="F177" i="10"/>
  <c r="E176" i="10"/>
  <c r="F176" i="10"/>
  <c r="E175" i="10"/>
  <c r="F175" i="10"/>
  <c r="E174" i="10"/>
  <c r="F174" i="10"/>
  <c r="E173" i="10"/>
  <c r="F173" i="10"/>
  <c r="E172" i="10"/>
  <c r="F172" i="10"/>
  <c r="E171" i="10"/>
  <c r="F171" i="10"/>
  <c r="E170" i="10"/>
  <c r="F170" i="10"/>
  <c r="E169" i="10"/>
  <c r="F169" i="10"/>
  <c r="E168" i="10"/>
  <c r="F168" i="10"/>
  <c r="E167" i="10"/>
  <c r="F167" i="10"/>
  <c r="E166" i="10"/>
  <c r="F166" i="10"/>
  <c r="E165" i="10"/>
  <c r="F165" i="10"/>
  <c r="E164" i="10"/>
  <c r="F164" i="10"/>
  <c r="E163" i="10"/>
  <c r="F163" i="10"/>
  <c r="E162" i="10"/>
  <c r="F162" i="10"/>
  <c r="E161" i="10"/>
  <c r="F161" i="10"/>
  <c r="E160" i="10"/>
  <c r="F160" i="10"/>
  <c r="E159" i="10"/>
  <c r="F159" i="10"/>
  <c r="E158" i="10"/>
  <c r="F158" i="10"/>
  <c r="E157" i="10"/>
  <c r="F157" i="10"/>
  <c r="E156" i="10"/>
  <c r="F156" i="10"/>
  <c r="E155" i="10"/>
  <c r="G155" i="10" s="1"/>
  <c r="F154" i="10"/>
  <c r="E152" i="10"/>
  <c r="F152" i="10"/>
  <c r="G153" i="10"/>
  <c r="E151" i="10"/>
  <c r="F151" i="10"/>
  <c r="E150" i="10"/>
  <c r="F150" i="10"/>
  <c r="E149" i="10"/>
  <c r="F149" i="10"/>
  <c r="E148" i="10"/>
  <c r="F148" i="10"/>
  <c r="E147" i="10"/>
  <c r="F147" i="10"/>
  <c r="E146" i="10"/>
  <c r="F146" i="10"/>
  <c r="E145" i="10"/>
  <c r="F145" i="10"/>
  <c r="E144" i="10"/>
  <c r="F144" i="10"/>
  <c r="E143" i="10"/>
  <c r="F143" i="10"/>
  <c r="E142" i="10"/>
  <c r="F142" i="10"/>
  <c r="E141" i="10"/>
  <c r="F141" i="10"/>
  <c r="E140" i="10"/>
  <c r="F140" i="10"/>
  <c r="E139" i="10"/>
  <c r="F139" i="10"/>
  <c r="E138" i="10"/>
  <c r="F138" i="10"/>
  <c r="E137" i="10"/>
  <c r="F137" i="10"/>
  <c r="E136" i="10"/>
  <c r="F136" i="10"/>
  <c r="E135" i="10"/>
  <c r="F135" i="10"/>
  <c r="F134" i="10"/>
  <c r="G134" i="10" s="1"/>
  <c r="F133" i="10"/>
  <c r="G133" i="10" s="1"/>
  <c r="E132" i="10"/>
  <c r="F132" i="10"/>
  <c r="E131" i="10"/>
  <c r="F131" i="10"/>
  <c r="E130" i="10"/>
  <c r="F130" i="10"/>
  <c r="E129" i="10"/>
  <c r="F129" i="10"/>
  <c r="E128" i="10"/>
  <c r="F128" i="10"/>
  <c r="E127" i="10"/>
  <c r="F127" i="10"/>
  <c r="E126" i="10"/>
  <c r="F126" i="10"/>
  <c r="E125" i="10"/>
  <c r="F125" i="10"/>
  <c r="E124" i="10"/>
  <c r="F124" i="10"/>
  <c r="E123" i="10"/>
  <c r="F123" i="10"/>
  <c r="E122" i="10"/>
  <c r="F122" i="10"/>
  <c r="E121" i="10"/>
  <c r="F121" i="10"/>
  <c r="E120" i="10"/>
  <c r="F120" i="10"/>
  <c r="E119" i="10"/>
  <c r="F119" i="10"/>
  <c r="F118" i="10"/>
  <c r="G118" i="10" s="1"/>
  <c r="E117" i="10"/>
  <c r="F117" i="10"/>
  <c r="E116" i="10"/>
  <c r="F116" i="10"/>
  <c r="E115" i="10"/>
  <c r="F115" i="10"/>
  <c r="E114" i="10"/>
  <c r="F114" i="10"/>
  <c r="E113" i="10"/>
  <c r="F113" i="10"/>
  <c r="E112" i="10"/>
  <c r="F112" i="10"/>
  <c r="E111" i="10"/>
  <c r="F111" i="10"/>
  <c r="E110" i="10"/>
  <c r="F110" i="10"/>
  <c r="E109" i="10"/>
  <c r="F109" i="10"/>
  <c r="E108" i="10"/>
  <c r="F108" i="10"/>
  <c r="E107" i="10"/>
  <c r="F107" i="10"/>
  <c r="E106" i="10"/>
  <c r="F106" i="10"/>
  <c r="F105" i="10"/>
  <c r="G105" i="10" s="1"/>
  <c r="E104" i="10"/>
  <c r="F104" i="10"/>
  <c r="E102" i="10"/>
  <c r="F102" i="10"/>
  <c r="E101" i="10"/>
  <c r="F101" i="10"/>
  <c r="E100" i="10"/>
  <c r="G100" i="10" s="1"/>
  <c r="E99" i="10"/>
  <c r="F99" i="10"/>
  <c r="E98" i="10"/>
  <c r="F98" i="10"/>
  <c r="E96" i="10"/>
  <c r="F96" i="10"/>
  <c r="G95" i="10"/>
  <c r="E94" i="10"/>
  <c r="G94" i="10" s="1"/>
  <c r="E93" i="10"/>
  <c r="G93" i="10" s="1"/>
  <c r="E90" i="10"/>
  <c r="F90" i="10"/>
  <c r="E89" i="10"/>
  <c r="F89" i="10"/>
  <c r="E88" i="10"/>
  <c r="F88" i="10"/>
  <c r="E87" i="10"/>
  <c r="F87" i="10"/>
  <c r="F86" i="10"/>
  <c r="F85" i="10"/>
  <c r="E84" i="10"/>
  <c r="F84" i="10"/>
  <c r="E83" i="10"/>
  <c r="F83" i="10"/>
  <c r="E82" i="10"/>
  <c r="F82" i="10"/>
  <c r="E81" i="10"/>
  <c r="F81" i="10"/>
  <c r="E80" i="10"/>
  <c r="F80" i="10"/>
  <c r="F79" i="10"/>
  <c r="G79" i="10" s="1"/>
  <c r="E78" i="10"/>
  <c r="F78" i="10"/>
  <c r="E77" i="10"/>
  <c r="F77" i="10"/>
  <c r="E76" i="10"/>
  <c r="F76" i="10"/>
  <c r="E75" i="10"/>
  <c r="F75" i="10"/>
  <c r="E74" i="10"/>
  <c r="F74" i="10"/>
  <c r="E73" i="10"/>
  <c r="F73" i="10"/>
  <c r="E72" i="10"/>
  <c r="F72" i="10"/>
  <c r="E71" i="10"/>
  <c r="F71" i="10"/>
  <c r="E70" i="10"/>
  <c r="F70" i="10"/>
  <c r="E69" i="10"/>
  <c r="F69" i="10"/>
  <c r="E68" i="10"/>
  <c r="F68" i="10"/>
  <c r="E67" i="10"/>
  <c r="F67" i="10"/>
  <c r="E66" i="10"/>
  <c r="F66" i="10"/>
  <c r="E63" i="10"/>
  <c r="F63" i="10"/>
  <c r="G62" i="10"/>
  <c r="E61" i="10"/>
  <c r="F61" i="10"/>
  <c r="E59" i="10"/>
  <c r="G59" i="10" s="1"/>
  <c r="E58" i="10"/>
  <c r="F58" i="10"/>
  <c r="E57" i="10"/>
  <c r="F57" i="10"/>
  <c r="E56" i="10"/>
  <c r="F56" i="10"/>
  <c r="E55" i="10"/>
  <c r="F55" i="10"/>
  <c r="E54" i="10"/>
  <c r="F54" i="10"/>
  <c r="E53" i="10"/>
  <c r="F53" i="10"/>
  <c r="E52" i="10"/>
  <c r="F52" i="10"/>
  <c r="E51" i="10"/>
  <c r="F51" i="10"/>
  <c r="E50" i="10"/>
  <c r="F50" i="10"/>
  <c r="E47" i="10"/>
  <c r="F47" i="10"/>
  <c r="E46" i="10"/>
  <c r="F46" i="10"/>
  <c r="E45" i="10"/>
  <c r="F45" i="10"/>
  <c r="E44" i="10"/>
  <c r="F44" i="10"/>
  <c r="E43" i="10"/>
  <c r="F43" i="10"/>
  <c r="E42" i="10"/>
  <c r="F42" i="10"/>
  <c r="E41" i="10"/>
  <c r="F41" i="10"/>
  <c r="E40" i="10"/>
  <c r="F40" i="10"/>
  <c r="E39" i="10"/>
  <c r="F39" i="10"/>
  <c r="E38" i="10"/>
  <c r="F38" i="10"/>
  <c r="E37" i="10"/>
  <c r="F37" i="10"/>
  <c r="E36" i="10"/>
  <c r="F36" i="10"/>
  <c r="E35" i="10"/>
  <c r="F35" i="10"/>
  <c r="E34" i="10"/>
  <c r="F34" i="10"/>
  <c r="E33" i="10"/>
  <c r="F33" i="10"/>
  <c r="E32" i="10"/>
  <c r="F32" i="10"/>
  <c r="E31" i="10"/>
  <c r="F31" i="10"/>
  <c r="E30" i="10"/>
  <c r="F30" i="10"/>
  <c r="E29" i="10"/>
  <c r="F29" i="10"/>
  <c r="E28" i="10"/>
  <c r="F28" i="10"/>
  <c r="E27" i="10"/>
  <c r="F27" i="10"/>
  <c r="E26" i="10"/>
  <c r="F26" i="10"/>
  <c r="E25" i="10"/>
  <c r="F25" i="10"/>
  <c r="E24" i="10"/>
  <c r="F24" i="10"/>
  <c r="E23" i="10"/>
  <c r="F23" i="10"/>
  <c r="E22" i="10"/>
  <c r="F22" i="10"/>
  <c r="E21" i="10"/>
  <c r="F21" i="10"/>
  <c r="E20" i="10"/>
  <c r="G20" i="10" s="1"/>
  <c r="E19" i="10"/>
  <c r="F19" i="10"/>
  <c r="E18" i="10"/>
  <c r="F18" i="10"/>
  <c r="E17" i="10"/>
  <c r="F17" i="10"/>
  <c r="E16" i="10"/>
  <c r="F16" i="10"/>
  <c r="E15" i="10"/>
  <c r="F15" i="10"/>
  <c r="E14" i="10"/>
  <c r="F14" i="10"/>
  <c r="E13" i="10"/>
  <c r="F13" i="10"/>
  <c r="E12" i="10"/>
  <c r="F12" i="10"/>
  <c r="E11" i="10"/>
  <c r="F11" i="10"/>
  <c r="E10" i="10"/>
  <c r="F10" i="10"/>
  <c r="E9" i="10"/>
  <c r="F9" i="10"/>
  <c r="E8" i="10"/>
  <c r="F8" i="10"/>
  <c r="E7" i="10"/>
  <c r="F7" i="10"/>
  <c r="E6" i="10"/>
  <c r="G6" i="10" s="1"/>
  <c r="E5" i="10"/>
  <c r="F5" i="10"/>
  <c r="E4" i="10"/>
  <c r="F4" i="10"/>
  <c r="E3" i="10"/>
  <c r="F3" i="10"/>
  <c r="E92" i="10"/>
  <c r="F92" i="10"/>
  <c r="E48" i="10"/>
  <c r="F48" i="10"/>
  <c r="E49" i="10"/>
  <c r="F49" i="10"/>
  <c r="G200" i="10" l="1"/>
  <c r="G183" i="10"/>
  <c r="G185" i="10"/>
  <c r="G187" i="10"/>
  <c r="G192" i="10"/>
  <c r="G196" i="10"/>
  <c r="G198" i="10"/>
  <c r="G30" i="10"/>
  <c r="G34" i="10"/>
  <c r="G36" i="10"/>
  <c r="G38" i="10"/>
  <c r="G40" i="10"/>
  <c r="G46" i="10"/>
  <c r="G52" i="10"/>
  <c r="G54" i="10"/>
  <c r="G56" i="10"/>
  <c r="G58" i="10"/>
  <c r="G66" i="10"/>
  <c r="G72" i="10"/>
  <c r="G109" i="10"/>
  <c r="G158" i="10"/>
  <c r="G166" i="10"/>
  <c r="G176" i="10"/>
  <c r="G199" i="10"/>
  <c r="G149" i="10"/>
  <c r="G73" i="10"/>
  <c r="G9" i="10"/>
  <c r="G11" i="10"/>
  <c r="G13" i="10"/>
  <c r="G19" i="10"/>
  <c r="G101" i="10"/>
  <c r="G26" i="10"/>
  <c r="G127" i="10"/>
  <c r="G98" i="10"/>
  <c r="G27" i="10"/>
  <c r="G87" i="10"/>
  <c r="G99" i="10"/>
  <c r="G7" i="10"/>
  <c r="G8" i="10"/>
  <c r="G12" i="10"/>
  <c r="G61" i="10"/>
  <c r="G84" i="10"/>
  <c r="G142" i="10"/>
  <c r="G146" i="10"/>
  <c r="G148" i="10"/>
  <c r="G150" i="10"/>
  <c r="G157" i="10"/>
  <c r="G163" i="10"/>
  <c r="G165" i="10"/>
  <c r="G167" i="10"/>
  <c r="G169" i="10"/>
  <c r="G177" i="10"/>
  <c r="G186" i="10"/>
  <c r="G83" i="10"/>
  <c r="G37" i="10"/>
  <c r="G41" i="10"/>
  <c r="G55" i="10"/>
  <c r="G67" i="10"/>
  <c r="G106" i="10"/>
  <c r="G120" i="10"/>
  <c r="G122" i="10"/>
  <c r="G124" i="10"/>
  <c r="G126" i="10"/>
  <c r="G128" i="10"/>
  <c r="G130" i="10"/>
  <c r="G139" i="10"/>
  <c r="G31" i="10"/>
  <c r="G43" i="10"/>
  <c r="G76" i="10"/>
  <c r="G78" i="10"/>
  <c r="G88" i="10"/>
  <c r="G143" i="10"/>
  <c r="G160" i="10"/>
  <c r="G180" i="10"/>
  <c r="G49" i="10"/>
  <c r="G92" i="10"/>
  <c r="G4" i="10"/>
  <c r="G22" i="10"/>
  <c r="G24" i="10"/>
  <c r="G42" i="10"/>
  <c r="G47" i="10"/>
  <c r="G69" i="10"/>
  <c r="G81" i="10"/>
  <c r="G102" i="10"/>
  <c r="G111" i="10"/>
  <c r="G113" i="10"/>
  <c r="G115" i="10"/>
  <c r="G117" i="10"/>
  <c r="G129" i="10"/>
  <c r="G136" i="10"/>
  <c r="G138" i="10"/>
  <c r="G154" i="10"/>
  <c r="G159" i="10"/>
  <c r="G172" i="10"/>
  <c r="G174" i="10"/>
  <c r="G193" i="10"/>
  <c r="G3" i="10"/>
  <c r="G5" i="10"/>
  <c r="G15" i="10"/>
  <c r="G21" i="10"/>
  <c r="G25" i="10"/>
  <c r="G68" i="10"/>
  <c r="G82" i="10"/>
  <c r="G112" i="10"/>
  <c r="G116" i="10"/>
  <c r="G132" i="10"/>
  <c r="G137" i="10"/>
  <c r="G175" i="10"/>
  <c r="G33" i="10"/>
  <c r="G51" i="10"/>
  <c r="G75" i="10"/>
  <c r="G90" i="10"/>
  <c r="G108" i="10"/>
  <c r="G119" i="10"/>
  <c r="G145" i="10"/>
  <c r="G123" i="10"/>
  <c r="G164" i="10"/>
  <c r="G171" i="10"/>
  <c r="G178" i="10"/>
  <c r="G184" i="10"/>
  <c r="G190" i="10"/>
  <c r="G197" i="10"/>
  <c r="G10" i="10"/>
  <c r="G17" i="10"/>
  <c r="G28" i="10"/>
  <c r="G35" i="10"/>
  <c r="G44" i="10"/>
  <c r="G53" i="10"/>
  <c r="G70" i="10"/>
  <c r="G77" i="10"/>
  <c r="G85" i="10"/>
  <c r="G104" i="10"/>
  <c r="G110" i="10"/>
  <c r="G121" i="10"/>
  <c r="G140" i="10"/>
  <c r="G147" i="10"/>
  <c r="G152" i="10"/>
  <c r="G161" i="10"/>
  <c r="G168" i="10"/>
  <c r="G170" i="10"/>
  <c r="G173" i="10"/>
  <c r="G181" i="10"/>
  <c r="G191" i="10"/>
  <c r="G194" i="10"/>
  <c r="G48" i="10"/>
  <c r="G14" i="10"/>
  <c r="G16" i="10"/>
  <c r="G18" i="10"/>
  <c r="G23" i="10"/>
  <c r="G29" i="10"/>
  <c r="G32" i="10"/>
  <c r="G39" i="10"/>
  <c r="G45" i="10"/>
  <c r="G50" i="10"/>
  <c r="G57" i="10"/>
  <c r="G63" i="10"/>
  <c r="G71" i="10"/>
  <c r="G74" i="10"/>
  <c r="G80" i="10"/>
  <c r="G86" i="10"/>
  <c r="G89" i="10"/>
  <c r="G96" i="10"/>
  <c r="G107" i="10"/>
  <c r="G114" i="10"/>
  <c r="G125" i="10"/>
  <c r="G131" i="10"/>
  <c r="G135" i="10"/>
  <c r="G141" i="10"/>
  <c r="G144" i="10"/>
  <c r="G151" i="10"/>
  <c r="G156" i="10"/>
  <c r="G162" i="10"/>
  <c r="G182" i="10"/>
  <c r="G195" i="10"/>
  <c r="A193" i="10"/>
  <c r="A189" i="10" l="1"/>
  <c r="A188" i="10" l="1"/>
  <c r="A187" i="10" l="1"/>
  <c r="A186" i="10" l="1"/>
  <c r="A185" i="10" l="1"/>
  <c r="E6" i="8" l="1"/>
  <c r="Q4" i="8"/>
  <c r="I4" i="8"/>
  <c r="A184" i="10"/>
  <c r="A14" i="10" l="1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" i="11" l="1"/>
  <c r="A13" i="10"/>
  <c r="A12" i="10"/>
  <c r="A11" i="10"/>
  <c r="A10" i="10"/>
  <c r="A9" i="10"/>
  <c r="A8" i="10"/>
  <c r="A7" i="10"/>
  <c r="A6" i="10"/>
  <c r="A5" i="10"/>
  <c r="A4" i="10"/>
  <c r="A3" i="10"/>
  <c r="B1" i="11"/>
  <c r="I1" i="11"/>
  <c r="D1" i="11"/>
  <c r="C1" i="11"/>
  <c r="J1" i="11"/>
  <c r="H1" i="11" l="1"/>
  <c r="C5992" i="7"/>
  <c r="D5992" i="7"/>
  <c r="C5785" i="7"/>
  <c r="C5772" i="7"/>
  <c r="C5736" i="7"/>
  <c r="C5640" i="7"/>
  <c r="D5737" i="7"/>
  <c r="D5785" i="7"/>
  <c r="D5772" i="7"/>
  <c r="D5736" i="7"/>
  <c r="D5640" i="7"/>
  <c r="D5769" i="7"/>
  <c r="D5641" i="7"/>
  <c r="C5769" i="7"/>
  <c r="C5741" i="7"/>
  <c r="C5737" i="7"/>
  <c r="C5641" i="7"/>
  <c r="D5741" i="7"/>
  <c r="D6017" i="7"/>
  <c r="D6015" i="7"/>
  <c r="D5997" i="7"/>
  <c r="D5999" i="7"/>
  <c r="D5985" i="7"/>
  <c r="D5987" i="7"/>
  <c r="D5959" i="7"/>
  <c r="D5933" i="7"/>
  <c r="D5912" i="7"/>
  <c r="D5906" i="7"/>
  <c r="D5853" i="7"/>
  <c r="D5796" i="7"/>
  <c r="D5786" i="7"/>
  <c r="D5782" i="7"/>
  <c r="C6006" i="7"/>
  <c r="C6010" i="7"/>
  <c r="C5988" i="7"/>
  <c r="C5994" i="7"/>
  <c r="C5990" i="7"/>
  <c r="C5948" i="7"/>
  <c r="C5923" i="7"/>
  <c r="C5928" i="7"/>
  <c r="C5868" i="7"/>
  <c r="C5805" i="7"/>
  <c r="C5779" i="7"/>
  <c r="C5783" i="7"/>
  <c r="D6006" i="7"/>
  <c r="D6010" i="7"/>
  <c r="D5988" i="7"/>
  <c r="D6007" i="7"/>
  <c r="D6011" i="7"/>
  <c r="D5989" i="7"/>
  <c r="D5993" i="7"/>
  <c r="D5995" i="7"/>
  <c r="D5991" i="7"/>
  <c r="D5949" i="7"/>
  <c r="D5924" i="7"/>
  <c r="D5929" i="7"/>
  <c r="D5836" i="7"/>
  <c r="D5806" i="7"/>
  <c r="D5780" i="7"/>
  <c r="D5784" i="7"/>
  <c r="C6014" i="7"/>
  <c r="C5996" i="7"/>
  <c r="C5998" i="7"/>
  <c r="C5984" i="7"/>
  <c r="C5986" i="7"/>
  <c r="C5958" i="7"/>
  <c r="C5932" i="7"/>
  <c r="C5911" i="7"/>
  <c r="C5905" i="7"/>
  <c r="C5888" i="7"/>
  <c r="C5818" i="7"/>
  <c r="C5797" i="7"/>
  <c r="C5781" i="7"/>
  <c r="D6014" i="7"/>
  <c r="D5996" i="7"/>
  <c r="D5998" i="7"/>
  <c r="D5984" i="7"/>
  <c r="D5986" i="7"/>
  <c r="D5958" i="7"/>
  <c r="D5932" i="7"/>
  <c r="D5911" i="7"/>
  <c r="D5905" i="7"/>
  <c r="D5888" i="7"/>
  <c r="D5818" i="7"/>
  <c r="D5797" i="7"/>
  <c r="D5781" i="7"/>
  <c r="C6017" i="7"/>
  <c r="C6015" i="7"/>
  <c r="C5997" i="7"/>
  <c r="C5999" i="7"/>
  <c r="C5985" i="7"/>
  <c r="C5987" i="7"/>
  <c r="C5959" i="7"/>
  <c r="C5933" i="7"/>
  <c r="C5912" i="7"/>
  <c r="C5906" i="7"/>
  <c r="C5853" i="7"/>
  <c r="C5796" i="7"/>
  <c r="C5786" i="7"/>
  <c r="C5782" i="7"/>
  <c r="D5948" i="7"/>
  <c r="D5805" i="7"/>
  <c r="C5993" i="7"/>
  <c r="C5924" i="7"/>
  <c r="D5923" i="7"/>
  <c r="C6007" i="7"/>
  <c r="C5995" i="7"/>
  <c r="C5929" i="7"/>
  <c r="C5780" i="7"/>
  <c r="D5994" i="7"/>
  <c r="D5928" i="7"/>
  <c r="D5779" i="7"/>
  <c r="C6011" i="7"/>
  <c r="C5991" i="7"/>
  <c r="C5836" i="7"/>
  <c r="C5784" i="7"/>
  <c r="D5990" i="7"/>
  <c r="D5868" i="7"/>
  <c r="D5783" i="7"/>
  <c r="C5989" i="7"/>
  <c r="C5949" i="7"/>
  <c r="C5806" i="7"/>
  <c r="C6995" i="7"/>
  <c r="C6902" i="7"/>
  <c r="C6539" i="7"/>
  <c r="C6543" i="7"/>
  <c r="D6995" i="7"/>
  <c r="D6902" i="7"/>
  <c r="D6539" i="7"/>
  <c r="D6543" i="7"/>
  <c r="C7002" i="7"/>
  <c r="C6878" i="7"/>
  <c r="C6717" i="7"/>
  <c r="C6544" i="7"/>
  <c r="C6542" i="7"/>
  <c r="C6528" i="7"/>
  <c r="C6501" i="7"/>
  <c r="C6016" i="7"/>
  <c r="D7002" i="7"/>
  <c r="D6878" i="7"/>
  <c r="D6717" i="7"/>
  <c r="D6544" i="7"/>
  <c r="D6542" i="7"/>
  <c r="D6528" i="7"/>
  <c r="D6501" i="7"/>
  <c r="D6016" i="7"/>
  <c r="A183" i="10" l="1"/>
  <c r="M8" i="8" s="1"/>
  <c r="F4697" i="7" l="1"/>
  <c r="F4877" i="7"/>
  <c r="F5312" i="7"/>
  <c r="F5736" i="7"/>
  <c r="F5772" i="7"/>
  <c r="F6014" i="7"/>
  <c r="F5986" i="7"/>
  <c r="F6015" i="7"/>
  <c r="F5987" i="7"/>
  <c r="F6010" i="7"/>
  <c r="F5948" i="7"/>
  <c r="F5991" i="7"/>
  <c r="F4698" i="7"/>
  <c r="F4876" i="7"/>
  <c r="F5313" i="7"/>
  <c r="F5769" i="7"/>
  <c r="F5640" i="7"/>
  <c r="F5996" i="7"/>
  <c r="F5958" i="7"/>
  <c r="F5997" i="7"/>
  <c r="F5959" i="7"/>
  <c r="F5988" i="7"/>
  <c r="F5923" i="7"/>
  <c r="F5989" i="7"/>
  <c r="F5949" i="7"/>
  <c r="F6902" i="7"/>
  <c r="F4800" i="7"/>
  <c r="F5171" i="7"/>
  <c r="F7002" i="7"/>
  <c r="F5737" i="7"/>
  <c r="F5741" i="7"/>
  <c r="F5998" i="7"/>
  <c r="F5911" i="7"/>
  <c r="F5999" i="7"/>
  <c r="F5912" i="7"/>
  <c r="F5994" i="7"/>
  <c r="F5928" i="7"/>
  <c r="F5993" i="7"/>
  <c r="F5924" i="7"/>
  <c r="F6878" i="7"/>
  <c r="F6017" i="7"/>
  <c r="F6006" i="7"/>
  <c r="F6007" i="7"/>
  <c r="F5929" i="7"/>
  <c r="F6011" i="7"/>
  <c r="F4801" i="7"/>
  <c r="F5172" i="7"/>
  <c r="F5992" i="7"/>
  <c r="F5785" i="7"/>
  <c r="F5641" i="7"/>
  <c r="F6016" i="7"/>
  <c r="F5984" i="7"/>
  <c r="F5985" i="7"/>
  <c r="F5990" i="7"/>
  <c r="F5995" i="7"/>
  <c r="F6995" i="7"/>
  <c r="F5932" i="7"/>
  <c r="F5933" i="7"/>
  <c r="F5797" i="7"/>
  <c r="F5906" i="7"/>
  <c r="F5805" i="7"/>
  <c r="F5780" i="7"/>
  <c r="F5905" i="7"/>
  <c r="F5853" i="7"/>
  <c r="F5782" i="7"/>
  <c r="F5888" i="7"/>
  <c r="F5781" i="7"/>
  <c r="F5796" i="7"/>
  <c r="F5779" i="7"/>
  <c r="F5836" i="7"/>
  <c r="F5818" i="7"/>
  <c r="F5786" i="7"/>
  <c r="F5868" i="7"/>
  <c r="F5783" i="7"/>
  <c r="F5806" i="7"/>
  <c r="F5784" i="7"/>
  <c r="F6542" i="7"/>
  <c r="F6543" i="7"/>
  <c r="F6528" i="7"/>
  <c r="F6539" i="7"/>
  <c r="F6717" i="7"/>
  <c r="F6501" i="7"/>
  <c r="F654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Marcia Aparecida de Souza Lopes / Almoxarife</author>
  </authors>
  <commentList>
    <comment ref="I3854" authorId="0" shapeId="0" xr:uid="{00000000-0006-0000-0600-000001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55" authorId="0" shapeId="0" xr:uid="{00000000-0006-0000-0600-000002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60" authorId="0" shapeId="0" xr:uid="{00000000-0006-0000-0600-000003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
</t>
        </r>
      </text>
    </comment>
    <comment ref="I3861" authorId="0" shapeId="0" xr:uid="{00000000-0006-0000-0600-000004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
</t>
        </r>
      </text>
    </comment>
    <comment ref="I3870" authorId="0" shapeId="0" xr:uid="{00000000-0006-0000-0600-000005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
</t>
        </r>
      </text>
    </comment>
    <comment ref="I3871" authorId="0" shapeId="0" xr:uid="{00000000-0006-0000-0600-000006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
</t>
        </r>
      </text>
    </comment>
    <comment ref="I3872" authorId="0" shapeId="0" xr:uid="{00000000-0006-0000-0600-000007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73" authorId="0" shapeId="0" xr:uid="{00000000-0006-0000-0600-000008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74" authorId="0" shapeId="0" xr:uid="{00000000-0006-0000-0600-000009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75" authorId="0" shapeId="0" xr:uid="{00000000-0006-0000-0600-00000A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76" authorId="0" shapeId="0" xr:uid="{00000000-0006-0000-0600-00000B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77" authorId="0" shapeId="0" xr:uid="{00000000-0006-0000-0600-00000C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79" authorId="0" shapeId="0" xr:uid="{00000000-0006-0000-0600-00000D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3880" authorId="0" shapeId="0" xr:uid="{00000000-0006-0000-0600-00000E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</t>
        </r>
      </text>
    </comment>
    <comment ref="I6624" authorId="0" shapeId="0" xr:uid="{00000000-0006-0000-0600-00000F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
</t>
        </r>
      </text>
    </comment>
    <comment ref="I6625" authorId="0" shapeId="0" xr:uid="{00000000-0006-0000-0600-000010000000}">
      <text>
        <r>
          <rPr>
            <b/>
            <sz val="9"/>
            <color indexed="81"/>
            <rFont val="Segoe UI"/>
            <family val="2"/>
          </rPr>
          <t>Marcia Aparecida de Souza Lopes / Almoxarife:</t>
        </r>
        <r>
          <rPr>
            <sz val="9"/>
            <color indexed="81"/>
            <rFont val="Segoe UI"/>
            <family val="2"/>
          </rPr>
          <t xml:space="preserve">
caderno
</t>
        </r>
      </text>
    </comment>
  </commentList>
</comments>
</file>

<file path=xl/sharedStrings.xml><?xml version="1.0" encoding="utf-8"?>
<sst xmlns="http://schemas.openxmlformats.org/spreadsheetml/2006/main" count="56923" uniqueCount="485">
  <si>
    <t>CONTROLE DE FERRAMENTA</t>
  </si>
  <si>
    <t>Entrada</t>
  </si>
  <si>
    <t>REALIZADO</t>
  </si>
  <si>
    <t>Saida</t>
  </si>
  <si>
    <t>NÃO REALIZADO</t>
  </si>
  <si>
    <t>OFICINA</t>
  </si>
  <si>
    <t>TURNO</t>
  </si>
  <si>
    <t>COD. FERRAMENTA</t>
  </si>
  <si>
    <t>DESC. FERRAMENTA</t>
  </si>
  <si>
    <t>QTD.</t>
  </si>
  <si>
    <t>CHEKLIST</t>
  </si>
  <si>
    <t>DATA</t>
  </si>
  <si>
    <t>ENTRADA/SAIDA</t>
  </si>
  <si>
    <t>OBSERVAÇÃO</t>
  </si>
  <si>
    <t>Cracha</t>
  </si>
  <si>
    <t>Nome</t>
  </si>
  <si>
    <t>Oficina</t>
  </si>
  <si>
    <t>Turno</t>
  </si>
  <si>
    <t>Cod. Ferramenta</t>
  </si>
  <si>
    <t>Desc. Ferramenta</t>
  </si>
  <si>
    <t>QTD</t>
  </si>
  <si>
    <t>CHECKLIST</t>
  </si>
  <si>
    <t>ALMOXARIFE RESP.</t>
  </si>
  <si>
    <t>Data</t>
  </si>
  <si>
    <t>Movimentação</t>
  </si>
  <si>
    <t>EVERTON GERONIMO</t>
  </si>
  <si>
    <t>MMG</t>
  </si>
  <si>
    <t>ADM</t>
  </si>
  <si>
    <t>CHAVE GRIFO 18</t>
  </si>
  <si>
    <t>FORMULA</t>
  </si>
  <si>
    <t>FOLGA</t>
  </si>
  <si>
    <t xml:space="preserve">COLABORADOR </t>
  </si>
  <si>
    <t>SEÇÃO</t>
  </si>
  <si>
    <t xml:space="preserve">OFICINA </t>
  </si>
  <si>
    <t>5X0</t>
  </si>
  <si>
    <t>PREVENTIVA</t>
  </si>
  <si>
    <t>3º TURNO</t>
  </si>
  <si>
    <t>LAMINADOS</t>
  </si>
  <si>
    <t>D</t>
  </si>
  <si>
    <t>2º TURNO</t>
  </si>
  <si>
    <t>C</t>
  </si>
  <si>
    <t>1º TURNO</t>
  </si>
  <si>
    <t>G</t>
  </si>
  <si>
    <t>PABLO JUNIOR</t>
  </si>
  <si>
    <t>A</t>
  </si>
  <si>
    <t>MOLDADOS</t>
  </si>
  <si>
    <t>WAFER</t>
  </si>
  <si>
    <t>E</t>
  </si>
  <si>
    <t>F</t>
  </si>
  <si>
    <t>B</t>
  </si>
  <si>
    <t>BRUNO DIAS</t>
  </si>
  <si>
    <t>MME</t>
  </si>
  <si>
    <t>H</t>
  </si>
  <si>
    <t>PAULO JUNIOR</t>
  </si>
  <si>
    <t>NELSON JUNIOR</t>
  </si>
  <si>
    <t>JOSE BATISTA</t>
  </si>
  <si>
    <t>MEE</t>
  </si>
  <si>
    <t>EDMAR CAMILO</t>
  </si>
  <si>
    <t>6X1</t>
  </si>
  <si>
    <t>JEAN FELIPE</t>
  </si>
  <si>
    <t>LTC</t>
  </si>
  <si>
    <t>UTI</t>
  </si>
  <si>
    <t>MPR</t>
  </si>
  <si>
    <t>CLAUDIO TADEU LEITE</t>
  </si>
  <si>
    <t>Rótulos de Linha</t>
  </si>
  <si>
    <t>Soma de QUANTIDADE EM ESTOQUE</t>
  </si>
  <si>
    <t>(vazio)</t>
  </si>
  <si>
    <t>Total Geral</t>
  </si>
  <si>
    <t>Movimentações</t>
  </si>
  <si>
    <t>DESCRIÇÃO</t>
  </si>
  <si>
    <t>QUANTIDADE EM ESTOQUE</t>
  </si>
  <si>
    <t>ENTRADAS</t>
  </si>
  <si>
    <t>SAÍDAS</t>
  </si>
  <si>
    <t>ESTOQUE FINAL</t>
  </si>
  <si>
    <t>CHAVE GRIFO 24</t>
  </si>
  <si>
    <t>Soma de ENTRADAS</t>
  </si>
  <si>
    <t>Soma de SAÍDAS</t>
  </si>
  <si>
    <t>SAIDA</t>
  </si>
  <si>
    <t>Rótulos de Coluna</t>
  </si>
  <si>
    <t>Soma de QTD</t>
  </si>
  <si>
    <t>1. FERRAMENTA EM PERFEITO ESTADO</t>
  </si>
  <si>
    <t xml:space="preserve">2. FERRAMENTA NÃO ESTÁ FUNCIONANDO </t>
  </si>
  <si>
    <t>3. FALTANDO PEÇA DA FERRAMENTA</t>
  </si>
  <si>
    <t>Contagem de OBSERVAÇÃO</t>
  </si>
  <si>
    <t>Marcia Aparecida De Souza Lopes</t>
  </si>
  <si>
    <t>Lucas De Oliveira</t>
  </si>
  <si>
    <t>ENTRADA</t>
  </si>
  <si>
    <t>MATERIAL</t>
  </si>
  <si>
    <t>Kelly Vitoria Souza Carrera</t>
  </si>
  <si>
    <t xml:space="preserve"> LIXADEIRA BOSCH 6</t>
  </si>
  <si>
    <t> CHAVE TORX 163BTX-T27</t>
  </si>
  <si>
    <t>ALICATE CRIMPADOR</t>
  </si>
  <si>
    <t>ALICATE DE CORTE 18</t>
  </si>
  <si>
    <t>ALICATE DE CORTE 600MM</t>
  </si>
  <si>
    <t>ALICATE DE PRESSÃO P/SOLDA</t>
  </si>
  <si>
    <t>ALICATE HIDRAULICO</t>
  </si>
  <si>
    <t>ALICATE HIDRAULICO PRENSA CRIMPA</t>
  </si>
  <si>
    <t>ALICATE PRENSA CABO</t>
  </si>
  <si>
    <t>ALICATE PRENSA TERMINAL 5 EM 1</t>
  </si>
  <si>
    <t>ALINHADOR DE POLIA A LASER</t>
  </si>
  <si>
    <t>ANEMOMETRO DIGITAL DISPLAY DUPLO</t>
  </si>
  <si>
    <t>ARCO DE SERRA</t>
  </si>
  <si>
    <t>ASPIRADOR PARA SOLIDOS SEM FIO 20V</t>
  </si>
  <si>
    <t>BOMBA CALIBRAÇÃO PNEUMATICA PORTATIL</t>
  </si>
  <si>
    <t>BOTOEIRA MANUTENÇÃO FORNO 10 WAFER</t>
  </si>
  <si>
    <t>BOTOEIRA MANUTENÇÃO FORNO 9 WAFER</t>
  </si>
  <si>
    <t>CALIBRADOR DE EXPANSIVIDADE</t>
  </si>
  <si>
    <t>CALIBRADOR ISHIDA</t>
  </si>
  <si>
    <t>CAMERA TERMOGRAFICA</t>
  </si>
  <si>
    <t>CHAVE AJUSTÁVEL 45MM</t>
  </si>
  <si>
    <t>CHAVE CANHÃO 1</t>
  </si>
  <si>
    <t>CHAVE CANHÃO 2</t>
  </si>
  <si>
    <t>CHAVE CATRACA (1) Nº24-41V</t>
  </si>
  <si>
    <t>CHAVE CATRACA (2) Nº24-41V</t>
  </si>
  <si>
    <t>CHAVE CATRACA 1 Nº24</t>
  </si>
  <si>
    <t>CHAVE CATRACA 2 Nº24</t>
  </si>
  <si>
    <t>CHAVE CATRACA 3 Nº24</t>
  </si>
  <si>
    <t>CHAVE DE BOCA MANUAL</t>
  </si>
  <si>
    <t>CHAVE DE BOCA MANUAL D32</t>
  </si>
  <si>
    <t>CHAVE DE BOCA Nº 60</t>
  </si>
  <si>
    <t>CHAVE DE IMPACTO 1/2" 20V</t>
  </si>
  <si>
    <t>CHAVE ESTRELA 32</t>
  </si>
  <si>
    <t>CHAVE GANCHO 16 A 20MM</t>
  </si>
  <si>
    <t>CHAVE GANCHO 25 A 28MM</t>
  </si>
  <si>
    <t>CHAVE GANCHO 30 A 32MM</t>
  </si>
  <si>
    <t>CHAVE GANCHO 34 A 36MM</t>
  </si>
  <si>
    <t>CHAVE GANCHO 40 A 42MM</t>
  </si>
  <si>
    <t>CHAVE GANCHO 45 A 50MM</t>
  </si>
  <si>
    <t>CHAVE GANCHO 52 A 55MM</t>
  </si>
  <si>
    <t>CHAVE GANCHO 58 A 62MM</t>
  </si>
  <si>
    <t>CHAVE GANCHO 68 A 75MM</t>
  </si>
  <si>
    <t>CHAVE GANCHO 80 A 90MM</t>
  </si>
  <si>
    <t>CHAVE GANCHO 95 A 100MM</t>
  </si>
  <si>
    <t>CHAVE GRIFO 36</t>
  </si>
  <si>
    <t>CHAVE PARA TODAS AS BITOLAS</t>
  </si>
  <si>
    <t>CHAVE TORX 163BTX-T30</t>
  </si>
  <si>
    <t>CHAVE TORX 163BTX-T40</t>
  </si>
  <si>
    <t>CHAVE TORX 163BTX-T50</t>
  </si>
  <si>
    <t>CHAVE TORX 3/8 X6 10X150</t>
  </si>
  <si>
    <t>COMPASSO MECANICO EXTERNO</t>
  </si>
  <si>
    <t>COMPASSO MEDIDA QUADRADA EXTERNA</t>
  </si>
  <si>
    <t>CONJUNTO EXTRATOR PARAFUSO</t>
  </si>
  <si>
    <t xml:space="preserve">CRONOMETRO </t>
  </si>
  <si>
    <t>DETECTOR DE VAZAMENTO - MALETA 1</t>
  </si>
  <si>
    <t>DETECTOR DE VAZAMENTO - MALETA 2</t>
  </si>
  <si>
    <t>DETECTOR DE VAZAMENTO - MALETA 3</t>
  </si>
  <si>
    <t>DETECTOR DE VAZAMENTO - MALETA 4</t>
  </si>
  <si>
    <t xml:space="preserve">DISPLAY SEW </t>
  </si>
  <si>
    <t>DUROMETRO</t>
  </si>
  <si>
    <t>ESCALA DE ACO 1000MM VONDER </t>
  </si>
  <si>
    <t>ESTETOSCÓPIO SKF</t>
  </si>
  <si>
    <t>FURADEIRA BOCSH 1</t>
  </si>
  <si>
    <t>FURADEIRA BOSCH 2</t>
  </si>
  <si>
    <t>FURADEIRA BOSCH 3</t>
  </si>
  <si>
    <t>FURADEIRA BOSCH 4</t>
  </si>
  <si>
    <t>FURADEIRA BOSCH 5</t>
  </si>
  <si>
    <t>FURADEIRA BOSCH 6</t>
  </si>
  <si>
    <t>FURADEIRA DE IMPACTO MAKITA 01</t>
  </si>
  <si>
    <t>FURADEIRA DE IMPACTO MAKITA 02</t>
  </si>
  <si>
    <t>GONIOMETRO</t>
  </si>
  <si>
    <t>GRAMPO PARA MARCENARIA</t>
  </si>
  <si>
    <t>INTERFACE/INVERSOR MITSUBISHI</t>
  </si>
  <si>
    <t>JOGO DE BROCAS ACO RAPIDO</t>
  </si>
  <si>
    <t>JOGO DE SERRAS COPOS BIMETALICAS 16 PEÇAS</t>
  </si>
  <si>
    <t xml:space="preserve">JOGO DE TARRACHAS </t>
  </si>
  <si>
    <t>JOGO MACHO MANUAL M10</t>
  </si>
  <si>
    <t>JOGO MACHO MANUAL M12</t>
  </si>
  <si>
    <t xml:space="preserve">JOGO MACHO MANUAL M3 </t>
  </si>
  <si>
    <t>JOGO MACHO MANUAL M4</t>
  </si>
  <si>
    <t>JOGO MACHO MANUAL M5</t>
  </si>
  <si>
    <t>JOGO MACHO MANUAL M6</t>
  </si>
  <si>
    <t>JOGO MACHO MANUAL M7</t>
  </si>
  <si>
    <t>JOGO MACHO MANUAL M8</t>
  </si>
  <si>
    <t>JOGO SOQUETE ESTRIADOS 1/2 22PEÇ</t>
  </si>
  <si>
    <t>JOGO TARRAXA MANUAL</t>
  </si>
  <si>
    <t xml:space="preserve">KIT FLANGEADOR </t>
  </si>
  <si>
    <t>KIT FLANGEADOR DE TUBO DE COBRE</t>
  </si>
  <si>
    <t>LIXADEIRA BOSCH 1</t>
  </si>
  <si>
    <t>LIXADEIRA BOSCH 2</t>
  </si>
  <si>
    <t>LIXADEIRA BOSCH 3</t>
  </si>
  <si>
    <t>LIXADEIRA BOSCH 4</t>
  </si>
  <si>
    <t>LIXADEIRA BOSCH 5</t>
  </si>
  <si>
    <t>LIXADEIRA GRANDE BOSCH</t>
  </si>
  <si>
    <t>LIXADEIRA GRANDE MAKITA</t>
  </si>
  <si>
    <t>MACACO HIDRAULICO AZUL</t>
  </si>
  <si>
    <t>MAQUINA DE SOLDA</t>
  </si>
  <si>
    <t>MAQUINA SOLDA TIG</t>
  </si>
  <si>
    <t>MARCADOR DE PEÇAS</t>
  </si>
  <si>
    <t>MARRETA 3KG GEDORE</t>
  </si>
  <si>
    <t>MARRETA 4KG</t>
  </si>
  <si>
    <t>MARRETA 8KG</t>
  </si>
  <si>
    <t>MARTELETE MAKITA HR 2470</t>
  </si>
  <si>
    <t>MARTELETE VONDER</t>
  </si>
  <si>
    <t>MARTELO ROMPEDOR SDS MAX 220V 1100W</t>
  </si>
  <si>
    <t>MEDIDOR DE ESPESSURA</t>
  </si>
  <si>
    <t>MEGOMETRO</t>
  </si>
  <si>
    <t>MEGOMETRO DIGITAL FLUKE</t>
  </si>
  <si>
    <t>MICROMETRO 10 A 100MM</t>
  </si>
  <si>
    <t>MICROMETRO 25-50 DIAMETRO EXTERNO</t>
  </si>
  <si>
    <t>MICROMETRO 25-50 DIAMETRO INTERNO</t>
  </si>
  <si>
    <t>MICROMETRO INTERNO</t>
  </si>
  <si>
    <t>MICROMETRO INTERNO - EXTRUSORA</t>
  </si>
  <si>
    <t>MISTURADOR DE ARGAMASSA</t>
  </si>
  <si>
    <t xml:space="preserve">MOITÃO CADERNAL 3 ROLDANAS </t>
  </si>
  <si>
    <t>NIVEL A LASER BOSCH GLL-2-12</t>
  </si>
  <si>
    <t>NIVEL ALUMINIO BASE MAGNETICA 12"</t>
  </si>
  <si>
    <t>PARAFUSADEIRA FUR DE IMPACTO BRUSHLESS</t>
  </si>
  <si>
    <t>PARAFUSADEIRA FURADEIRA DE IMPACTO 1/2</t>
  </si>
  <si>
    <t>PARAFUSADEIRA HILTI C 4/36-90</t>
  </si>
  <si>
    <t>PISTOLA DE PINTURA PNEUMATICA</t>
  </si>
  <si>
    <t>PISTOLA PNEUMATICA DE PINTURA</t>
  </si>
  <si>
    <t>PONTA DE PROVA MINIPA</t>
  </si>
  <si>
    <t>PONTEIRO ENCAIXE TIPO SDS MAX 400MM</t>
  </si>
  <si>
    <t>PRENSA CABO HIDRAULICO</t>
  </si>
  <si>
    <t>REBITADEIRA MANUAL KJ28</t>
  </si>
  <si>
    <t>REBITADEIRA MANUAL KJ29 - MALETA 1</t>
  </si>
  <si>
    <t>REBITADEIRA MANUAL KJ29 - MALETA 2</t>
  </si>
  <si>
    <t>REBITADOR MANUAL</t>
  </si>
  <si>
    <t>REBITADOR PNEUMATICO</t>
  </si>
  <si>
    <t>REGULADOR DE PRESSAO</t>
  </si>
  <si>
    <t>RELOGIO TORQUIMETRO</t>
  </si>
  <si>
    <t xml:space="preserve">RETIFICA </t>
  </si>
  <si>
    <t>SACA FUSÍVEL</t>
  </si>
  <si>
    <t>SACA POLIA 02 GARRAS 150MM</t>
  </si>
  <si>
    <t>SACA POLIA 03 GARRAS</t>
  </si>
  <si>
    <t>SACA POLIA 03 GARRAS 250 MM GEDORE</t>
  </si>
  <si>
    <t>SACA POLIA HIDRAULICO</t>
  </si>
  <si>
    <t xml:space="preserve">SARGENTO 1 </t>
  </si>
  <si>
    <t>SARGENTO 2</t>
  </si>
  <si>
    <t xml:space="preserve">SARGENTO 3 </t>
  </si>
  <si>
    <t>SARGENTO 4</t>
  </si>
  <si>
    <t>SARGENTO 5</t>
  </si>
  <si>
    <t>SARGENTO 6</t>
  </si>
  <si>
    <t>SARGENTO 7</t>
  </si>
  <si>
    <t xml:space="preserve">SERRA CIRCULAR </t>
  </si>
  <si>
    <t>SERRA CIRCULAR MAKITA 4100NH2</t>
  </si>
  <si>
    <t>SERRA ELETRICA GSA 1100</t>
  </si>
  <si>
    <t xml:space="preserve">SERRA TICO TICO 650W DEWALT </t>
  </si>
  <si>
    <t>SERRA TICO TICO BOSCH C/MALETA</t>
  </si>
  <si>
    <t>SERRA TICO TICO BOSCH S/MALETA</t>
  </si>
  <si>
    <t>SOLDADOR POLYCODE</t>
  </si>
  <si>
    <t xml:space="preserve">SOPRADOR </t>
  </si>
  <si>
    <t>SOPRADOR TERMICO VONDER 1500W 220V</t>
  </si>
  <si>
    <t>SOQUETE SEXTAVADO 41</t>
  </si>
  <si>
    <t>SOQUETE SEXTAVADO 60</t>
  </si>
  <si>
    <t>SUPORTE DE PAQUIMETRO - CALIBRAÇÃO MOLDADORA</t>
  </si>
  <si>
    <t>SUPORTE RELÓGIO COMPARADOR</t>
  </si>
  <si>
    <t>TALHA 2000KG x 5M</t>
  </si>
  <si>
    <t>TALHA MANUAL 1000KG</t>
  </si>
  <si>
    <t>TALHADEIRA MANUAL SEXTAVADA 300 X 25 MM</t>
  </si>
  <si>
    <t>TERMOMETRO</t>
  </si>
  <si>
    <t>TERMOMETRO PENTA -50 +150 C</t>
  </si>
  <si>
    <t>TESTADOR DE CABOS REDE E CABOS COAXIAL</t>
  </si>
  <si>
    <t>TESTE DE QUALIDADE ENERGIA</t>
  </si>
  <si>
    <t xml:space="preserve">TORQUIMETRO GEDORE </t>
  </si>
  <si>
    <t>50038969 </t>
  </si>
  <si>
    <t>WATTIMETRO</t>
  </si>
  <si>
    <t>FURADEIRA BOSCH 7</t>
  </si>
  <si>
    <t>FERRO DE SOLDAR</t>
  </si>
  <si>
    <t>TACOMETRO</t>
  </si>
  <si>
    <t>VAZADOR</t>
  </si>
  <si>
    <t>TORQUIMETRO GEDORE GRANDE</t>
  </si>
  <si>
    <t>PARAFUSADEIRA FURADEIRA BOSCH</t>
  </si>
  <si>
    <t>CÂMERA TERMOGRAFICA FLIR</t>
  </si>
  <si>
    <t>JOGO SERRA COPO 8PÇS</t>
  </si>
  <si>
    <t>CONJUNTO DE FITA DE ARQUEAR</t>
  </si>
  <si>
    <t xml:space="preserve">ESCADA </t>
  </si>
  <si>
    <t>CANETA DE VIBRAÇÂO</t>
  </si>
  <si>
    <t>PROJETOS</t>
  </si>
  <si>
    <t>CRISTIAM BORGES</t>
  </si>
  <si>
    <t>EDSON CARLOS</t>
  </si>
  <si>
    <t>EDSON JULIO</t>
  </si>
  <si>
    <t>FELIPE GARÇONI</t>
  </si>
  <si>
    <t>GEOVANNY ALEXANDER</t>
  </si>
  <si>
    <t>REFRIG</t>
  </si>
  <si>
    <t>IRACIR</t>
  </si>
  <si>
    <t>HIGIENE</t>
  </si>
  <si>
    <t>MARCELINHO</t>
  </si>
  <si>
    <t>MARCOS AURELIO</t>
  </si>
  <si>
    <t>VINICIUS ROBLES</t>
  </si>
  <si>
    <t>ROGERIO</t>
  </si>
  <si>
    <t>PCM</t>
  </si>
  <si>
    <t xml:space="preserve">VANDERLEI </t>
  </si>
  <si>
    <t>QUALIDADE</t>
  </si>
  <si>
    <t xml:space="preserve">THAINA </t>
  </si>
  <si>
    <t>COORD.</t>
  </si>
  <si>
    <t>MTC</t>
  </si>
  <si>
    <t>BRUNA</t>
  </si>
  <si>
    <t>MATHEUS</t>
  </si>
  <si>
    <t>KELLY</t>
  </si>
  <si>
    <t>MARCIA</t>
  </si>
  <si>
    <t>BRUNO</t>
  </si>
  <si>
    <t>GEOVANE</t>
  </si>
  <si>
    <t>AGATHA</t>
  </si>
  <si>
    <t>PAQUIMETRO UNIVERSAL 300MM</t>
  </si>
  <si>
    <t>KIT INTENSIFICADOR DE FITA</t>
  </si>
  <si>
    <t>KIT MONTAGEM ROLAMENTO SKF</t>
  </si>
  <si>
    <t>JOÃO FRANCISCO</t>
  </si>
  <si>
    <t>5X2</t>
  </si>
  <si>
    <t>VACUOMETRO DIGITAL</t>
  </si>
  <si>
    <t>MACACO HIDRAULICO CINZA</t>
  </si>
  <si>
    <t>HEADSET H390 LOGITECH</t>
  </si>
  <si>
    <t xml:space="preserve">2 SERRA COPOS EM FALTA </t>
  </si>
  <si>
    <t>MALETA JÁ ESTAVA COM AUSENCIA E QUEBRA DE BROCAS</t>
  </si>
  <si>
    <t>DETECTOR DE VAZAMENTO DE GÁS</t>
  </si>
  <si>
    <t>6x2</t>
  </si>
  <si>
    <t>LAISE</t>
  </si>
  <si>
    <t>SACA POLIA 150MM 3 GARRAS - GEDORE</t>
  </si>
  <si>
    <t>SACA POLIA 02 GARRAS 250MM GEDORE</t>
  </si>
  <si>
    <t>HILARIO</t>
  </si>
  <si>
    <t>MARINA</t>
  </si>
  <si>
    <t>ALESSANDRO</t>
  </si>
  <si>
    <t>MAYCON</t>
  </si>
  <si>
    <t>FABIANO</t>
  </si>
  <si>
    <t>GLAUBER</t>
  </si>
  <si>
    <t>JOÃO CARLOS</t>
  </si>
  <si>
    <t>FELIPE</t>
  </si>
  <si>
    <t>EDMAR</t>
  </si>
  <si>
    <t>MALETA JÁ ESTAVA QUEBRADA</t>
  </si>
  <si>
    <t>JOGO DE LIMA AGULHA COM 12PCS</t>
  </si>
  <si>
    <t>SACA POLIA COM 2 GARRAS 70MM</t>
  </si>
  <si>
    <t>1 TURNO</t>
  </si>
  <si>
    <t>ELIEZER VINICIUS</t>
  </si>
  <si>
    <t>BOROSCOPIO</t>
  </si>
  <si>
    <t>entrada</t>
  </si>
  <si>
    <t>FABRICIO</t>
  </si>
  <si>
    <t>FLANGEADOR</t>
  </si>
  <si>
    <t/>
  </si>
  <si>
    <t>ago</t>
  </si>
  <si>
    <t>set</t>
  </si>
  <si>
    <t>out</t>
  </si>
  <si>
    <t>VAZADOR 12 PÇS</t>
  </si>
  <si>
    <t>FERRAMENTA SUJA</t>
  </si>
  <si>
    <t>BOTOEIRA MANUTENÇÃO FORNO 09</t>
  </si>
  <si>
    <t>saida</t>
  </si>
  <si>
    <t>MARIO</t>
  </si>
  <si>
    <t>RETIFICA</t>
  </si>
  <si>
    <t>KAYKY</t>
  </si>
  <si>
    <t>jan</t>
  </si>
  <si>
    <t>nov</t>
  </si>
  <si>
    <t>LIXADEIRA BOSCH 7</t>
  </si>
  <si>
    <t xml:space="preserve">1.FERRAMENTA EM PERFIETO ESTADO </t>
  </si>
  <si>
    <t xml:space="preserve">            </t>
  </si>
  <si>
    <t>DASHBOARD CONTROLE DE FERRAMENTAS</t>
  </si>
  <si>
    <t>MALETA SUJA</t>
  </si>
  <si>
    <t xml:space="preserve">MARCOS </t>
  </si>
  <si>
    <t>FALTANDO 1 PEÇA</t>
  </si>
  <si>
    <t>DAVID</t>
  </si>
  <si>
    <t>Contagem de QTD</t>
  </si>
  <si>
    <t>(Tudo)</t>
  </si>
  <si>
    <t>FERRAMENTA QUEBRADA</t>
  </si>
  <si>
    <t xml:space="preserve">VERIFICAR CARVÃO </t>
  </si>
  <si>
    <t>dez</t>
  </si>
  <si>
    <t>AILTON</t>
  </si>
  <si>
    <t>USO E CONSUMO</t>
  </si>
  <si>
    <t>GUILHERME</t>
  </si>
  <si>
    <t>MGG</t>
  </si>
  <si>
    <t>PARAFUSADEIRA FURADEIRA BOSCH 2</t>
  </si>
  <si>
    <t>LIXADEIRA BOSCH 08</t>
  </si>
  <si>
    <t>NÃO ENCONTRADO</t>
  </si>
  <si>
    <t>PAQUIMETRO MENOR</t>
  </si>
  <si>
    <t>LIXADEIRA BOSCH</t>
  </si>
  <si>
    <t>PAQUIMETRO MENOR 150MM</t>
  </si>
  <si>
    <t>PEDRO HENRIQUE</t>
  </si>
  <si>
    <t>KIT CABO LEVEY</t>
  </si>
  <si>
    <t>LIXADEIRA BOSCH 8</t>
  </si>
  <si>
    <t>EDSON GONÇALVES</t>
  </si>
  <si>
    <t xml:space="preserve">FELIPE </t>
  </si>
  <si>
    <t>LUCAS FIORINI</t>
  </si>
  <si>
    <t>ALMOX</t>
  </si>
  <si>
    <t>06/032026</t>
  </si>
  <si>
    <t>CRACHÁ</t>
  </si>
  <si>
    <t>2303/2026</t>
  </si>
  <si>
    <t>23/03/226</t>
  </si>
  <si>
    <t>APARECIDO</t>
  </si>
  <si>
    <t>LIXADEIRA BOSCH 2 / QUEBRADA</t>
  </si>
  <si>
    <t>LIXADEIRA BOSCH 10</t>
  </si>
  <si>
    <t>FURADEIRA BOSCH 3 / QUEBRADA</t>
  </si>
  <si>
    <t>NIVEL BETA 1996</t>
  </si>
  <si>
    <t>2ºTURNO</t>
  </si>
  <si>
    <t>ALDO</t>
  </si>
  <si>
    <t xml:space="preserve">ALESSANDRO </t>
  </si>
  <si>
    <t xml:space="preserve">ALEXANDRE </t>
  </si>
  <si>
    <t xml:space="preserve">TIAGO </t>
  </si>
  <si>
    <t>MAYRA S</t>
  </si>
  <si>
    <t xml:space="preserve">PEDRO </t>
  </si>
  <si>
    <t xml:space="preserve">DANIEL </t>
  </si>
  <si>
    <t xml:space="preserve">WILSON </t>
  </si>
  <si>
    <t xml:space="preserve">WESLEY </t>
  </si>
  <si>
    <t>WELISSON</t>
  </si>
  <si>
    <t xml:space="preserve">WALDYR </t>
  </si>
  <si>
    <t xml:space="preserve">VITOR </t>
  </si>
  <si>
    <t>VINICIUS</t>
  </si>
  <si>
    <t>Vinicius</t>
  </si>
  <si>
    <t xml:space="preserve">VINICIUS </t>
  </si>
  <si>
    <t>VANDERSON</t>
  </si>
  <si>
    <t xml:space="preserve">ANDERSON </t>
  </si>
  <si>
    <t>ALTEMAR</t>
  </si>
  <si>
    <t>ANTHONY</t>
  </si>
  <si>
    <t xml:space="preserve">BRUNO </t>
  </si>
  <si>
    <t xml:space="preserve">CAIO </t>
  </si>
  <si>
    <t xml:space="preserve">VALMIR </t>
  </si>
  <si>
    <t>TIAGO</t>
  </si>
  <si>
    <t xml:space="preserve">THALITA </t>
  </si>
  <si>
    <t>SAMUEL</t>
  </si>
  <si>
    <t xml:space="preserve">ROSINALDO </t>
  </si>
  <si>
    <t>RONALDO</t>
  </si>
  <si>
    <t xml:space="preserve">RODRIGO </t>
  </si>
  <si>
    <t>RODRIGO</t>
  </si>
  <si>
    <t xml:space="preserve">REGIVALDO </t>
  </si>
  <si>
    <t xml:space="preserve">REGINALDO </t>
  </si>
  <si>
    <t>RAFAEL</t>
  </si>
  <si>
    <t>RAFAEL A</t>
  </si>
  <si>
    <t>ODAIR</t>
  </si>
  <si>
    <t xml:space="preserve">MAYCON </t>
  </si>
  <si>
    <t>MARLOM</t>
  </si>
  <si>
    <t xml:space="preserve">MARIO </t>
  </si>
  <si>
    <t>MARCELO P</t>
  </si>
  <si>
    <t xml:space="preserve">MAICON </t>
  </si>
  <si>
    <t xml:space="preserve">LUIZ </t>
  </si>
  <si>
    <t xml:space="preserve">LEANDRO </t>
  </si>
  <si>
    <t xml:space="preserve">JOSE CARLOS </t>
  </si>
  <si>
    <t>JOSE AUGUSTO</t>
  </si>
  <si>
    <t>JOAO CARLOS</t>
  </si>
  <si>
    <t xml:space="preserve">HELTON </t>
  </si>
  <si>
    <t>CARLOS</t>
  </si>
  <si>
    <t>CELSO</t>
  </si>
  <si>
    <t>CLAUDIO</t>
  </si>
  <si>
    <t xml:space="preserve">CLEBER </t>
  </si>
  <si>
    <t xml:space="preserve">CLEBERSON  </t>
  </si>
  <si>
    <t>CRISTIANO</t>
  </si>
  <si>
    <t xml:space="preserve">DABTON </t>
  </si>
  <si>
    <t xml:space="preserve">CLODOALDO </t>
  </si>
  <si>
    <t xml:space="preserve">RICARDO </t>
  </si>
  <si>
    <t xml:space="preserve">REINALDO </t>
  </si>
  <si>
    <t xml:space="preserve">RAFAEL </t>
  </si>
  <si>
    <t>PAULO SERGIO</t>
  </si>
  <si>
    <t xml:space="preserve">ORLANDO </t>
  </si>
  <si>
    <t xml:space="preserve">MARCO </t>
  </si>
  <si>
    <t xml:space="preserve">MARCIO </t>
  </si>
  <si>
    <t>MARCELO</t>
  </si>
  <si>
    <t xml:space="preserve">MARCELO </t>
  </si>
  <si>
    <t xml:space="preserve">LUCIANO </t>
  </si>
  <si>
    <t xml:space="preserve">LUIS </t>
  </si>
  <si>
    <t>LUCAS</t>
  </si>
  <si>
    <t xml:space="preserve">LUAN </t>
  </si>
  <si>
    <t xml:space="preserve">LEONARDO </t>
  </si>
  <si>
    <t xml:space="preserve">KEVIN </t>
  </si>
  <si>
    <t xml:space="preserve">KAYRA </t>
  </si>
  <si>
    <t xml:space="preserve">JUNIOR </t>
  </si>
  <si>
    <t>JUNIOR</t>
  </si>
  <si>
    <t xml:space="preserve">JOSUE  </t>
  </si>
  <si>
    <t xml:space="preserve">JOSE  </t>
  </si>
  <si>
    <t xml:space="preserve">JONATHAN </t>
  </si>
  <si>
    <t>JOAO</t>
  </si>
  <si>
    <t>JOAO C</t>
  </si>
  <si>
    <t xml:space="preserve">JOAO </t>
  </si>
  <si>
    <t xml:space="preserve">JEREMIAS </t>
  </si>
  <si>
    <t xml:space="preserve">ISRAEL </t>
  </si>
  <si>
    <t xml:space="preserve">HUGO </t>
  </si>
  <si>
    <t xml:space="preserve">HELIO </t>
  </si>
  <si>
    <t xml:space="preserve">GUILHERME </t>
  </si>
  <si>
    <t xml:space="preserve">GENI </t>
  </si>
  <si>
    <t xml:space="preserve">GABRIEL </t>
  </si>
  <si>
    <t xml:space="preserve">FERNANDO </t>
  </si>
  <si>
    <t xml:space="preserve">FERDINANDO </t>
  </si>
  <si>
    <t>FABIO</t>
  </si>
  <si>
    <t xml:space="preserve">FABIO </t>
  </si>
  <si>
    <t xml:space="preserve">FABIANO </t>
  </si>
  <si>
    <t>EVERTON</t>
  </si>
  <si>
    <t>EVANILDO</t>
  </si>
  <si>
    <t xml:space="preserve">EVANDRO </t>
  </si>
  <si>
    <t>EMERSON</t>
  </si>
  <si>
    <t xml:space="preserve">EMERSON </t>
  </si>
  <si>
    <t xml:space="preserve">ELTON </t>
  </si>
  <si>
    <t xml:space="preserve">EDUARDO </t>
  </si>
  <si>
    <t>EDUARDO</t>
  </si>
  <si>
    <t xml:space="preserve">EDERSON </t>
  </si>
  <si>
    <t>DOUGLAS</t>
  </si>
  <si>
    <t xml:space="preserve">DERALDO  </t>
  </si>
  <si>
    <t xml:space="preserve">DEIVIDY </t>
  </si>
  <si>
    <t xml:space="preserve">DANILO </t>
  </si>
  <si>
    <t>DANILO</t>
  </si>
  <si>
    <t xml:space="preserve">CRISTIAM </t>
  </si>
  <si>
    <t>PEDRO DANIEL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</si>
</sst>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Open Sans"/>
      <family val="2"/>
    </font>
    <font>
      <b/>
      <sz val="72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</font>
    <font>
      <b/>
      <sz val="12"/>
      <color theme="0"/>
      <name val="72 Light"/>
      <family val="2"/>
    </font>
    <font>
      <sz val="11"/>
      <color theme="1"/>
      <name val="72 Light"/>
      <family val="2"/>
    </font>
    <font>
      <sz val="11"/>
      <name val="72 Light"/>
      <family val="2"/>
    </font>
    <font>
      <u/>
      <sz val="11"/>
      <color theme="1"/>
      <name val="72 Light"/>
      <family val="2"/>
    </font>
    <font>
      <u/>
      <sz val="11"/>
      <name val="72 Light"/>
      <family val="2"/>
    </font>
    <font>
      <b/>
      <sz val="11"/>
      <name val="72 Light"/>
      <family val="2"/>
    </font>
    <font>
      <sz val="11"/>
      <color rgb="FFFF0000"/>
      <name val="72 Light"/>
      <family val="2"/>
    </font>
    <font>
      <sz val="11"/>
      <name val="72 Condensed"/>
      <family val="2"/>
    </font>
    <font>
      <u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6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CAC8D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0853C"/>
        <bgColor indexed="64"/>
      </patternFill>
    </fill>
    <fill>
      <patternFill patternType="solid">
        <fgColor rgb="FFF2DD7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F7373"/>
        <bgColor indexed="64"/>
      </patternFill>
    </fill>
    <fill>
      <patternFill patternType="solid">
        <fgColor rgb="FFA3A9B0"/>
        <bgColor indexed="64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15A22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theme="0" tint="-0.499984740745262"/>
      </left>
      <right/>
      <top/>
      <bottom/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8" fillId="10" borderId="0" xfId="0" applyFont="1" applyFill="1"/>
    <xf numFmtId="0" fontId="5" fillId="10" borderId="0" xfId="0" applyFont="1" applyFill="1"/>
    <xf numFmtId="9" fontId="0" fillId="0" borderId="0" xfId="1" applyFont="1"/>
    <xf numFmtId="0" fontId="0" fillId="11" borderId="0" xfId="0" applyFill="1"/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12" borderId="0" xfId="0" applyFont="1" applyFill="1" applyProtection="1">
      <protection locked="0"/>
    </xf>
    <xf numFmtId="0" fontId="7" fillId="12" borderId="0" xfId="0" applyFont="1" applyFill="1" applyProtection="1">
      <protection locked="0"/>
    </xf>
    <xf numFmtId="0" fontId="10" fillId="12" borderId="0" xfId="0" applyFont="1" applyFill="1" applyProtection="1">
      <protection locked="0"/>
    </xf>
    <xf numFmtId="0" fontId="6" fillId="12" borderId="0" xfId="0" applyFont="1" applyFill="1" applyProtection="1">
      <protection locked="0"/>
    </xf>
    <xf numFmtId="0" fontId="9" fillId="12" borderId="0" xfId="0" applyFont="1" applyFill="1" applyProtection="1">
      <protection locked="0"/>
    </xf>
    <xf numFmtId="0" fontId="11" fillId="12" borderId="0" xfId="0" applyFont="1" applyFill="1" applyAlignment="1" applyProtection="1">
      <alignment horizontal="left" vertical="center"/>
      <protection locked="0"/>
    </xf>
    <xf numFmtId="0" fontId="11" fillId="12" borderId="0" xfId="0" applyFont="1" applyFill="1" applyProtection="1">
      <protection locked="0"/>
    </xf>
    <xf numFmtId="0" fontId="14" fillId="12" borderId="0" xfId="0" applyFont="1" applyFill="1" applyProtection="1">
      <protection locked="0"/>
    </xf>
    <xf numFmtId="0" fontId="11" fillId="12" borderId="0" xfId="0" applyFont="1" applyFill="1" applyAlignment="1" applyProtection="1">
      <alignment wrapText="1"/>
      <protection locked="0"/>
    </xf>
    <xf numFmtId="0" fontId="12" fillId="12" borderId="0" xfId="0" applyFont="1" applyFill="1" applyProtection="1">
      <protection locked="0"/>
    </xf>
    <xf numFmtId="0" fontId="11" fillId="12" borderId="0" xfId="0" applyFont="1" applyFill="1" applyAlignment="1" applyProtection="1">
      <alignment horizontal="left"/>
      <protection locked="0"/>
    </xf>
    <xf numFmtId="14" fontId="11" fillId="12" borderId="0" xfId="0" applyNumberFormat="1" applyFont="1" applyFill="1" applyProtection="1">
      <protection locked="0"/>
    </xf>
    <xf numFmtId="14" fontId="0" fillId="0" borderId="0" xfId="0" applyNumberFormat="1"/>
    <xf numFmtId="16" fontId="11" fillId="12" borderId="0" xfId="0" applyNumberFormat="1" applyFont="1" applyFill="1" applyProtection="1">
      <protection locked="0"/>
    </xf>
    <xf numFmtId="0" fontId="11" fillId="12" borderId="0" xfId="0" quotePrefix="1" applyFont="1" applyFill="1" applyProtection="1">
      <protection locked="0"/>
    </xf>
    <xf numFmtId="0" fontId="0" fillId="16" borderId="0" xfId="0" applyFill="1"/>
    <xf numFmtId="0" fontId="0" fillId="16" borderId="6" xfId="0" applyFill="1" applyBorder="1"/>
    <xf numFmtId="0" fontId="0" fillId="17" borderId="7" xfId="0" applyFill="1" applyBorder="1"/>
    <xf numFmtId="0" fontId="0" fillId="17" borderId="0" xfId="0" applyFill="1"/>
    <xf numFmtId="0" fontId="0" fillId="17" borderId="6" xfId="0" applyFill="1" applyBorder="1"/>
    <xf numFmtId="0" fontId="3" fillId="0" borderId="8" xfId="0" applyFont="1" applyBorder="1" applyAlignment="1">
      <alignment horizontal="center" vertical="center"/>
    </xf>
    <xf numFmtId="10" fontId="0" fillId="0" borderId="0" xfId="0" applyNumberFormat="1"/>
    <xf numFmtId="0" fontId="21" fillId="11" borderId="5" xfId="0" applyFont="1" applyFill="1" applyBorder="1" applyAlignment="1">
      <alignment horizontal="center" vertical="center"/>
    </xf>
    <xf numFmtId="14" fontId="21" fillId="11" borderId="5" xfId="0" applyNumberFormat="1" applyFont="1" applyFill="1" applyBorder="1" applyAlignment="1">
      <alignment horizontal="center" vertical="center"/>
    </xf>
    <xf numFmtId="0" fontId="22" fillId="0" borderId="0" xfId="0" applyFont="1"/>
    <xf numFmtId="0" fontId="23" fillId="0" borderId="5" xfId="0" applyFont="1" applyBorder="1" applyAlignment="1">
      <alignment horizontal="center" vertical="center"/>
    </xf>
    <xf numFmtId="14" fontId="23" fillId="0" borderId="5" xfId="0" applyNumberFormat="1" applyFont="1" applyBorder="1" applyAlignment="1">
      <alignment horizontal="center" vertical="center"/>
    </xf>
    <xf numFmtId="0" fontId="22" fillId="10" borderId="0" xfId="0" applyFont="1" applyFill="1"/>
    <xf numFmtId="0" fontId="24" fillId="0" borderId="0" xfId="0" applyFont="1"/>
    <xf numFmtId="0" fontId="25" fillId="0" borderId="5" xfId="0" applyFont="1" applyBorder="1" applyAlignment="1">
      <alignment horizontal="center" vertical="center"/>
    </xf>
    <xf numFmtId="14" fontId="25" fillId="0" borderId="5" xfId="0" applyNumberFormat="1" applyFont="1" applyBorder="1" applyAlignment="1">
      <alignment horizontal="center" vertical="center"/>
    </xf>
    <xf numFmtId="0" fontId="22" fillId="0" borderId="5" xfId="0" applyFont="1" applyBorder="1"/>
    <xf numFmtId="0" fontId="26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14" fontId="22" fillId="0" borderId="5" xfId="0" applyNumberFormat="1" applyFont="1" applyBorder="1" applyAlignment="1">
      <alignment horizontal="center"/>
    </xf>
    <xf numFmtId="0" fontId="23" fillId="0" borderId="4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14" fontId="22" fillId="0" borderId="5" xfId="0" applyNumberFormat="1" applyFont="1" applyBorder="1"/>
    <xf numFmtId="0" fontId="23" fillId="15" borderId="5" xfId="0" applyFont="1" applyFill="1" applyBorder="1" applyAlignment="1">
      <alignment horizontal="center" vertical="center"/>
    </xf>
    <xf numFmtId="14" fontId="23" fillId="15" borderId="5" xfId="0" applyNumberFormat="1" applyFont="1" applyFill="1" applyBorder="1" applyAlignment="1">
      <alignment horizontal="center" vertical="center"/>
    </xf>
    <xf numFmtId="0" fontId="27" fillId="0" borderId="5" xfId="0" applyFont="1" applyBorder="1" applyAlignment="1">
      <alignment horizontal="center"/>
    </xf>
    <xf numFmtId="0" fontId="27" fillId="0" borderId="5" xfId="0" applyFont="1" applyBorder="1" applyAlignment="1">
      <alignment horizontal="center" vertical="center"/>
    </xf>
    <xf numFmtId="14" fontId="27" fillId="0" borderId="5" xfId="0" applyNumberFormat="1" applyFont="1" applyBorder="1" applyAlignment="1">
      <alignment horizontal="center"/>
    </xf>
    <xf numFmtId="0" fontId="22" fillId="0" borderId="3" xfId="0" applyFont="1" applyBorder="1"/>
    <xf numFmtId="14" fontId="22" fillId="0" borderId="3" xfId="0" applyNumberFormat="1" applyFont="1" applyBorder="1"/>
    <xf numFmtId="0" fontId="28" fillId="0" borderId="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20" fillId="0" borderId="4" xfId="0" quotePrefix="1" applyNumberFormat="1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11" fillId="10" borderId="0" xfId="0" applyFont="1" applyFill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/>
      <protection locked="0"/>
    </xf>
    <xf numFmtId="0" fontId="17" fillId="17" borderId="7" xfId="0" applyFont="1" applyFill="1" applyBorder="1" applyAlignment="1">
      <alignment horizontal="center" vertical="center" wrapText="1"/>
    </xf>
    <xf numFmtId="0" fontId="17" fillId="17" borderId="0" xfId="0" applyFont="1" applyFill="1" applyAlignment="1">
      <alignment horizontal="center" vertical="center" wrapText="1"/>
    </xf>
    <xf numFmtId="0" fontId="1" fillId="11" borderId="0" xfId="0" applyFont="1" applyFill="1" applyAlignment="1" applyProtection="1">
      <alignment horizontal="center" vertical="center"/>
      <protection locked="0"/>
    </xf>
    <xf numFmtId="0" fontId="11" fillId="10" borderId="0" xfId="0" applyFont="1" applyFill="1" applyAlignment="1" applyProtection="1">
      <alignment horizontal="center"/>
      <protection locked="0"/>
    </xf>
    <xf numFmtId="0" fontId="11" fillId="10" borderId="0" xfId="0" applyFont="1" applyFill="1" applyAlignment="1">
      <alignment horizontal="center"/>
    </xf>
    <xf numFmtId="0" fontId="11" fillId="10" borderId="0" xfId="0" applyFont="1" applyFill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4" fontId="11" fillId="10" borderId="0" xfId="0" applyNumberFormat="1" applyFont="1" applyFill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2254"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F5F5"/>
      <color rgb="FFF15A22"/>
      <color rgb="FF3F7373"/>
      <color rgb="FFA3A9B0"/>
      <color rgb="FF8C8C88"/>
      <color rgb="FF6DB1AF"/>
      <color rgb="FFF2F2F2"/>
      <color rgb="FF6C733D"/>
      <color rgb="FFF0663C"/>
      <color rgb="FFCCC4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tx1"/>
                </a:solidFill>
              </a:rPr>
              <a:t>Top</a:t>
            </a:r>
            <a:r>
              <a:rPr lang="en-US" sz="2800" b="0" baseline="0">
                <a:solidFill>
                  <a:schemeClr val="tx1"/>
                </a:solidFill>
              </a:rPr>
              <a:t> 5 Saidas</a:t>
            </a:r>
            <a:endParaRPr lang="en-US" sz="2800" b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6217872"/>
        <c:axId val="1516218704"/>
      </c:barChart>
      <c:catAx>
        <c:axId val="151621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6218704"/>
        <c:crosses val="autoZero"/>
        <c:auto val="1"/>
        <c:lblAlgn val="ctr"/>
        <c:lblOffset val="100"/>
        <c:noMultiLvlLbl val="0"/>
      </c:catAx>
      <c:valAx>
        <c:axId val="15162187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1621787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FERRAMENTAS.xlsm]dados ferramentas !Tabela dinâmica1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696847825528659E-2"/>
          <c:y val="0.13873832795029309"/>
          <c:w val="0.96530584361886274"/>
          <c:h val="0.542585548120157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ferramentas 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'dados ferramentas '!$A$4:$A$129</c:f>
              <c:strCache>
                <c:ptCount val="125"/>
                <c:pt idx="0">
                  <c:v> LIXADEIRA BOSCH 6</c:v>
                </c:pt>
                <c:pt idx="1">
                  <c:v>ALICATE CRIMPADOR</c:v>
                </c:pt>
                <c:pt idx="2">
                  <c:v>ALICATE DE CORTE 18</c:v>
                </c:pt>
                <c:pt idx="3">
                  <c:v>ALICATE HIDRAULICO</c:v>
                </c:pt>
                <c:pt idx="4">
                  <c:v>ALICATE HIDRAULICO PRENSA CRIMPA</c:v>
                </c:pt>
                <c:pt idx="5">
                  <c:v>ALINHADOR DE POLIA A LASER</c:v>
                </c:pt>
                <c:pt idx="6">
                  <c:v>ARCO DE SERRA</c:v>
                </c:pt>
                <c:pt idx="7">
                  <c:v>ASPIRADOR PARA SOLIDOS SEM FIO 20V</c:v>
                </c:pt>
                <c:pt idx="8">
                  <c:v>BOTOEIRA MANUTENÇÃO FORNO 09</c:v>
                </c:pt>
                <c:pt idx="9">
                  <c:v>CAMERA TERMOGRAFICA</c:v>
                </c:pt>
                <c:pt idx="10">
                  <c:v>CÂMERA TERMOGRAFICA FLIR</c:v>
                </c:pt>
                <c:pt idx="11">
                  <c:v>CHAVE AJUSTÁVEL 45MM</c:v>
                </c:pt>
                <c:pt idx="12">
                  <c:v>CHAVE CANHÃO 2</c:v>
                </c:pt>
                <c:pt idx="13">
                  <c:v>CHAVE CATRACA (1) Nº24-41V</c:v>
                </c:pt>
                <c:pt idx="14">
                  <c:v>CHAVE CATRACA (2) Nº24-41V</c:v>
                </c:pt>
                <c:pt idx="15">
                  <c:v>CHAVE CATRACA 1 Nº24</c:v>
                </c:pt>
                <c:pt idx="16">
                  <c:v>CHAVE CATRACA 2 Nº24</c:v>
                </c:pt>
                <c:pt idx="17">
                  <c:v>CHAVE DE BOCA MANUAL</c:v>
                </c:pt>
                <c:pt idx="18">
                  <c:v>CHAVE DE IMPACTO 1/2" 20V</c:v>
                </c:pt>
                <c:pt idx="19">
                  <c:v>CHAVE GANCHO 34 A 36MM</c:v>
                </c:pt>
                <c:pt idx="20">
                  <c:v>CHAVE GANCHO 45 A 50MM</c:v>
                </c:pt>
                <c:pt idx="21">
                  <c:v>CHAVE GANCHO 52 A 55MM</c:v>
                </c:pt>
                <c:pt idx="22">
                  <c:v>CHAVE GANCHO 58 A 62MM</c:v>
                </c:pt>
                <c:pt idx="23">
                  <c:v>CHAVE GANCHO 68 A 75MM</c:v>
                </c:pt>
                <c:pt idx="24">
                  <c:v>CHAVE GANCHO 95 A 100MM</c:v>
                </c:pt>
                <c:pt idx="25">
                  <c:v>CHAVE GRIFO 18</c:v>
                </c:pt>
                <c:pt idx="26">
                  <c:v>CHAVE GRIFO 24</c:v>
                </c:pt>
                <c:pt idx="27">
                  <c:v>CHAVE GRIFO 36</c:v>
                </c:pt>
                <c:pt idx="28">
                  <c:v>CHAVE PARA TODAS AS BITOLAS</c:v>
                </c:pt>
                <c:pt idx="29">
                  <c:v>CONJUNTO DE FITA DE ARQUEAR</c:v>
                </c:pt>
                <c:pt idx="30">
                  <c:v>DETECTOR DE VAZAMENTO DE GÁS</c:v>
                </c:pt>
                <c:pt idx="31">
                  <c:v>DUROMETRO</c:v>
                </c:pt>
                <c:pt idx="32">
                  <c:v>ESCADA </c:v>
                </c:pt>
                <c:pt idx="33">
                  <c:v>ESCALA DE ACO 1000MM VONDER </c:v>
                </c:pt>
                <c:pt idx="34">
                  <c:v>ESTETOSCÓPIO SKF</c:v>
                </c:pt>
                <c:pt idx="35">
                  <c:v>FLANGEADOR</c:v>
                </c:pt>
                <c:pt idx="36">
                  <c:v>FURADEIRA BOSCH 2</c:v>
                </c:pt>
                <c:pt idx="37">
                  <c:v>FURADEIRA BOSCH 3</c:v>
                </c:pt>
                <c:pt idx="38">
                  <c:v>FURADEIRA BOSCH 4</c:v>
                </c:pt>
                <c:pt idx="39">
                  <c:v>FURADEIRA BOSCH 6</c:v>
                </c:pt>
                <c:pt idx="40">
                  <c:v>FURADEIRA BOSCH 7</c:v>
                </c:pt>
                <c:pt idx="41">
                  <c:v>FURADEIRA DE IMPACTO MAKITA 01</c:v>
                </c:pt>
                <c:pt idx="42">
                  <c:v>FURADEIRA DE IMPACTO MAKITA 02</c:v>
                </c:pt>
                <c:pt idx="43">
                  <c:v>GRAMPO PARA MARCENARIA</c:v>
                </c:pt>
                <c:pt idx="44">
                  <c:v>HEADSET H390 LOGITECH</c:v>
                </c:pt>
                <c:pt idx="45">
                  <c:v>JOGO DE BROCAS ACO RAPIDO</c:v>
                </c:pt>
                <c:pt idx="46">
                  <c:v>JOGO DE SERRAS COPOS BIMETALICAS 16 PEÇAS</c:v>
                </c:pt>
                <c:pt idx="47">
                  <c:v>JOGO DE TARRACHAS </c:v>
                </c:pt>
                <c:pt idx="48">
                  <c:v>JOGO SERRA COPO 8PÇS</c:v>
                </c:pt>
                <c:pt idx="49">
                  <c:v>JOGO SOQUETE ESTRIADOS 1/2 22PEÇ</c:v>
                </c:pt>
                <c:pt idx="50">
                  <c:v>JOGO TARRAXA MANUAL</c:v>
                </c:pt>
                <c:pt idx="51">
                  <c:v>KIT FLANGEADOR </c:v>
                </c:pt>
                <c:pt idx="52">
                  <c:v>KIT FLANGEADOR DE TUBO DE COBRE</c:v>
                </c:pt>
                <c:pt idx="53">
                  <c:v>KIT INTENSIFICADOR DE FITA</c:v>
                </c:pt>
                <c:pt idx="54">
                  <c:v>KIT MONTAGEM ROLAMENTO SKF</c:v>
                </c:pt>
                <c:pt idx="55">
                  <c:v>LIXADEIRA BOSCH 1</c:v>
                </c:pt>
                <c:pt idx="56">
                  <c:v>LIXADEIRA BOSCH 2</c:v>
                </c:pt>
                <c:pt idx="57">
                  <c:v>LIXADEIRA BOSCH 3</c:v>
                </c:pt>
                <c:pt idx="58">
                  <c:v>LIXADEIRA BOSCH 4</c:v>
                </c:pt>
                <c:pt idx="59">
                  <c:v>LIXADEIRA BOSCH 5</c:v>
                </c:pt>
                <c:pt idx="60">
                  <c:v>LIXADEIRA BOSCH 7</c:v>
                </c:pt>
                <c:pt idx="61">
                  <c:v>LIXADEIRA GRANDE MAKITA</c:v>
                </c:pt>
                <c:pt idx="62">
                  <c:v>MACACO HIDRAULICO AZUL</c:v>
                </c:pt>
                <c:pt idx="63">
                  <c:v>MACACO HIDRAULICO CINZA</c:v>
                </c:pt>
                <c:pt idx="64">
                  <c:v>MAQUINA DE SOLDA</c:v>
                </c:pt>
                <c:pt idx="65">
                  <c:v>MAQUINA SOLDA TIG</c:v>
                </c:pt>
                <c:pt idx="66">
                  <c:v>MARRETA 3KG GEDORE</c:v>
                </c:pt>
                <c:pt idx="67">
                  <c:v>MARRETA 4KG</c:v>
                </c:pt>
                <c:pt idx="68">
                  <c:v>MARRETA 8KG</c:v>
                </c:pt>
                <c:pt idx="69">
                  <c:v>MARTELETE VONDER</c:v>
                </c:pt>
                <c:pt idx="70">
                  <c:v>MARTELO ROMPEDOR SDS MAX 220V 1100W</c:v>
                </c:pt>
                <c:pt idx="71">
                  <c:v>MEDIDOR DE ESPESSURA</c:v>
                </c:pt>
                <c:pt idx="72">
                  <c:v>MEGOMETRO DIGITAL FLUKE</c:v>
                </c:pt>
                <c:pt idx="73">
                  <c:v>MICROMETRO 25-50 DIAMETRO EXTERNO</c:v>
                </c:pt>
                <c:pt idx="74">
                  <c:v>MICROMETRO INTERNO - EXTRUSORA</c:v>
                </c:pt>
                <c:pt idx="75">
                  <c:v>MISTURADOR DE ARGAMASSA</c:v>
                </c:pt>
                <c:pt idx="76">
                  <c:v>NIVEL A LASER BOSCH GLL-2-12</c:v>
                </c:pt>
                <c:pt idx="77">
                  <c:v>PAQUIMETRO UNIVERSAL 300MM</c:v>
                </c:pt>
                <c:pt idx="78">
                  <c:v>PARAFUSADEIRA FUR DE IMPACTO BRUSHLESS</c:v>
                </c:pt>
                <c:pt idx="79">
                  <c:v>PARAFUSADEIRA FURADEIRA BOSCH</c:v>
                </c:pt>
                <c:pt idx="80">
                  <c:v>PARAFUSADEIRA FURADEIRA DE IMPACTO 1/2</c:v>
                </c:pt>
                <c:pt idx="81">
                  <c:v>PISTOLA PNEUMATICA DE PINTURA</c:v>
                </c:pt>
                <c:pt idx="82">
                  <c:v>REBITADEIRA MANUAL KJ29 - MALETA 1</c:v>
                </c:pt>
                <c:pt idx="83">
                  <c:v>REBITADEIRA MANUAL KJ29 - MALETA 2</c:v>
                </c:pt>
                <c:pt idx="84">
                  <c:v>REBITADOR MANUAL</c:v>
                </c:pt>
                <c:pt idx="85">
                  <c:v>REBITADOR PNEUMATICO</c:v>
                </c:pt>
                <c:pt idx="86">
                  <c:v>RETIFICA</c:v>
                </c:pt>
                <c:pt idx="87">
                  <c:v>RETIFICA </c:v>
                </c:pt>
                <c:pt idx="88">
                  <c:v>SACA POLIA 02 GARRAS 150MM</c:v>
                </c:pt>
                <c:pt idx="89">
                  <c:v>SACA POLIA 02 GARRAS 250MM GEDORE</c:v>
                </c:pt>
                <c:pt idx="90">
                  <c:v>SACA POLIA 03 GARRAS</c:v>
                </c:pt>
                <c:pt idx="91">
                  <c:v>SACA POLIA 03 GARRAS 250 MM GEDORE</c:v>
                </c:pt>
                <c:pt idx="92">
                  <c:v>SACA POLIA 150MM 3 GARRAS - GEDORE</c:v>
                </c:pt>
                <c:pt idx="93">
                  <c:v>SACA POLIA COM 2 GARRAS 70MM</c:v>
                </c:pt>
                <c:pt idx="94">
                  <c:v>SACA POLIA HIDRAULICO</c:v>
                </c:pt>
                <c:pt idx="95">
                  <c:v>SARGENTO 1 </c:v>
                </c:pt>
                <c:pt idx="96">
                  <c:v>SARGENTO 2</c:v>
                </c:pt>
                <c:pt idx="97">
                  <c:v>SARGENTO 4</c:v>
                </c:pt>
                <c:pt idx="98">
                  <c:v>SARGENTO 6</c:v>
                </c:pt>
                <c:pt idx="99">
                  <c:v>SARGENTO 7</c:v>
                </c:pt>
                <c:pt idx="100">
                  <c:v>SERRA CIRCULAR </c:v>
                </c:pt>
                <c:pt idx="101">
                  <c:v>SERRA CIRCULAR MAKITA 4100NH2</c:v>
                </c:pt>
                <c:pt idx="102">
                  <c:v>SERRA TICO TICO 650W DEWALT </c:v>
                </c:pt>
                <c:pt idx="103">
                  <c:v>SERRA TICO TICO BOSCH C/MALETA</c:v>
                </c:pt>
                <c:pt idx="104">
                  <c:v>SERRA TICO TICO BOSCH S/MALETA</c:v>
                </c:pt>
                <c:pt idx="105">
                  <c:v>SOLDADOR POLYCODE</c:v>
                </c:pt>
                <c:pt idx="106">
                  <c:v>SOPRADOR </c:v>
                </c:pt>
                <c:pt idx="107">
                  <c:v>SOPRADOR TERMICO VONDER 1500W 220V</c:v>
                </c:pt>
                <c:pt idx="108">
                  <c:v>SOQUETE SEXTAVADO 41</c:v>
                </c:pt>
                <c:pt idx="109">
                  <c:v>SUPORTE DE PAQUIMETRO - CALIBRAÇÃO MOLDADORA</c:v>
                </c:pt>
                <c:pt idx="110">
                  <c:v>TACOMETRO</c:v>
                </c:pt>
                <c:pt idx="111">
                  <c:v>TALHA 2000KG x 5M</c:v>
                </c:pt>
                <c:pt idx="112">
                  <c:v>TALHA MANUAL 1000KG</c:v>
                </c:pt>
                <c:pt idx="113">
                  <c:v>TALHADEIRA MANUAL SEXTAVADA 300 X 25 MM</c:v>
                </c:pt>
                <c:pt idx="114">
                  <c:v>TERMOMETRO</c:v>
                </c:pt>
                <c:pt idx="115">
                  <c:v>TERMOMETRO PENTA -50 +150 C</c:v>
                </c:pt>
                <c:pt idx="116">
                  <c:v>TESTADOR DE CABOS REDE E CABOS COAXIAL</c:v>
                </c:pt>
                <c:pt idx="117">
                  <c:v>TORQUIMETRO GEDORE </c:v>
                </c:pt>
                <c:pt idx="118">
                  <c:v>TORQUIMETRO GEDORE GRANDE</c:v>
                </c:pt>
                <c:pt idx="119">
                  <c:v>VACUOMETRO DIGITAL</c:v>
                </c:pt>
                <c:pt idx="120">
                  <c:v>VAZADOR</c:v>
                </c:pt>
                <c:pt idx="121">
                  <c:v>VAZADOR 12 PÇS</c:v>
                </c:pt>
                <c:pt idx="122">
                  <c:v>(vazio)</c:v>
                </c:pt>
                <c:pt idx="123">
                  <c:v>JOGO DE LIMA AGULHA COM 12PCS</c:v>
                </c:pt>
                <c:pt idx="124">
                  <c:v>CHAVE GANCHO 80 A 90MM</c:v>
                </c:pt>
              </c:strCache>
            </c:strRef>
          </c:cat>
          <c:val>
            <c:numRef>
              <c:f>'dados ferramentas '!$B$4:$B$129</c:f>
              <c:numCache>
                <c:formatCode>General</c:formatCode>
                <c:ptCount val="125"/>
                <c:pt idx="0">
                  <c:v>137</c:v>
                </c:pt>
                <c:pt idx="1">
                  <c:v>22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60</c:v>
                </c:pt>
                <c:pt idx="7">
                  <c:v>23</c:v>
                </c:pt>
                <c:pt idx="8">
                  <c:v>1</c:v>
                </c:pt>
                <c:pt idx="9">
                  <c:v>12</c:v>
                </c:pt>
                <c:pt idx="10">
                  <c:v>16</c:v>
                </c:pt>
                <c:pt idx="11">
                  <c:v>27</c:v>
                </c:pt>
                <c:pt idx="12">
                  <c:v>2</c:v>
                </c:pt>
                <c:pt idx="13">
                  <c:v>6</c:v>
                </c:pt>
                <c:pt idx="14">
                  <c:v>6</c:v>
                </c:pt>
                <c:pt idx="15">
                  <c:v>1</c:v>
                </c:pt>
                <c:pt idx="16">
                  <c:v>1</c:v>
                </c:pt>
                <c:pt idx="17">
                  <c:v>9</c:v>
                </c:pt>
                <c:pt idx="18">
                  <c:v>25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2">
                  <c:v>1</c:v>
                </c:pt>
                <c:pt idx="23">
                  <c:v>11</c:v>
                </c:pt>
                <c:pt idx="24">
                  <c:v>4</c:v>
                </c:pt>
                <c:pt idx="25">
                  <c:v>63</c:v>
                </c:pt>
                <c:pt idx="26">
                  <c:v>33</c:v>
                </c:pt>
                <c:pt idx="27">
                  <c:v>22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2</c:v>
                </c:pt>
                <c:pt idx="32">
                  <c:v>10</c:v>
                </c:pt>
                <c:pt idx="33">
                  <c:v>56</c:v>
                </c:pt>
                <c:pt idx="34">
                  <c:v>105</c:v>
                </c:pt>
                <c:pt idx="35">
                  <c:v>2</c:v>
                </c:pt>
                <c:pt idx="36">
                  <c:v>8</c:v>
                </c:pt>
                <c:pt idx="37">
                  <c:v>107</c:v>
                </c:pt>
                <c:pt idx="38">
                  <c:v>92</c:v>
                </c:pt>
                <c:pt idx="39">
                  <c:v>16</c:v>
                </c:pt>
                <c:pt idx="40">
                  <c:v>210</c:v>
                </c:pt>
                <c:pt idx="41">
                  <c:v>22</c:v>
                </c:pt>
                <c:pt idx="42">
                  <c:v>140</c:v>
                </c:pt>
                <c:pt idx="43">
                  <c:v>1</c:v>
                </c:pt>
                <c:pt idx="44">
                  <c:v>8</c:v>
                </c:pt>
                <c:pt idx="45">
                  <c:v>77</c:v>
                </c:pt>
                <c:pt idx="46">
                  <c:v>10</c:v>
                </c:pt>
                <c:pt idx="47">
                  <c:v>8</c:v>
                </c:pt>
                <c:pt idx="48">
                  <c:v>53</c:v>
                </c:pt>
                <c:pt idx="49">
                  <c:v>147</c:v>
                </c:pt>
                <c:pt idx="50">
                  <c:v>2</c:v>
                </c:pt>
                <c:pt idx="51">
                  <c:v>4</c:v>
                </c:pt>
                <c:pt idx="52">
                  <c:v>1</c:v>
                </c:pt>
                <c:pt idx="53">
                  <c:v>1</c:v>
                </c:pt>
                <c:pt idx="54">
                  <c:v>81</c:v>
                </c:pt>
                <c:pt idx="55">
                  <c:v>187</c:v>
                </c:pt>
                <c:pt idx="56">
                  <c:v>228</c:v>
                </c:pt>
                <c:pt idx="57">
                  <c:v>175</c:v>
                </c:pt>
                <c:pt idx="58">
                  <c:v>247</c:v>
                </c:pt>
                <c:pt idx="59">
                  <c:v>233</c:v>
                </c:pt>
                <c:pt idx="60">
                  <c:v>12</c:v>
                </c:pt>
                <c:pt idx="61">
                  <c:v>16</c:v>
                </c:pt>
                <c:pt idx="62">
                  <c:v>10</c:v>
                </c:pt>
                <c:pt idx="63">
                  <c:v>2</c:v>
                </c:pt>
                <c:pt idx="64">
                  <c:v>76</c:v>
                </c:pt>
                <c:pt idx="65">
                  <c:v>140</c:v>
                </c:pt>
                <c:pt idx="66">
                  <c:v>6</c:v>
                </c:pt>
                <c:pt idx="67">
                  <c:v>15</c:v>
                </c:pt>
                <c:pt idx="68">
                  <c:v>29</c:v>
                </c:pt>
                <c:pt idx="69">
                  <c:v>104</c:v>
                </c:pt>
                <c:pt idx="70">
                  <c:v>18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14</c:v>
                </c:pt>
                <c:pt idx="75">
                  <c:v>8</c:v>
                </c:pt>
                <c:pt idx="76">
                  <c:v>2</c:v>
                </c:pt>
                <c:pt idx="77">
                  <c:v>6</c:v>
                </c:pt>
                <c:pt idx="78">
                  <c:v>276</c:v>
                </c:pt>
                <c:pt idx="79">
                  <c:v>233</c:v>
                </c:pt>
                <c:pt idx="80">
                  <c:v>6</c:v>
                </c:pt>
                <c:pt idx="81">
                  <c:v>9</c:v>
                </c:pt>
                <c:pt idx="82">
                  <c:v>4</c:v>
                </c:pt>
                <c:pt idx="83">
                  <c:v>2</c:v>
                </c:pt>
                <c:pt idx="84">
                  <c:v>60</c:v>
                </c:pt>
                <c:pt idx="85">
                  <c:v>1</c:v>
                </c:pt>
                <c:pt idx="86">
                  <c:v>5</c:v>
                </c:pt>
                <c:pt idx="87">
                  <c:v>24</c:v>
                </c:pt>
                <c:pt idx="88">
                  <c:v>2</c:v>
                </c:pt>
                <c:pt idx="89">
                  <c:v>31</c:v>
                </c:pt>
                <c:pt idx="90">
                  <c:v>4</c:v>
                </c:pt>
                <c:pt idx="91">
                  <c:v>35</c:v>
                </c:pt>
                <c:pt idx="92">
                  <c:v>33</c:v>
                </c:pt>
                <c:pt idx="93">
                  <c:v>12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4</c:v>
                </c:pt>
                <c:pt idx="100">
                  <c:v>4</c:v>
                </c:pt>
                <c:pt idx="101">
                  <c:v>25</c:v>
                </c:pt>
                <c:pt idx="102">
                  <c:v>79</c:v>
                </c:pt>
                <c:pt idx="103">
                  <c:v>20</c:v>
                </c:pt>
                <c:pt idx="104">
                  <c:v>15</c:v>
                </c:pt>
                <c:pt idx="105">
                  <c:v>12</c:v>
                </c:pt>
                <c:pt idx="106">
                  <c:v>9</c:v>
                </c:pt>
                <c:pt idx="107">
                  <c:v>46</c:v>
                </c:pt>
                <c:pt idx="108">
                  <c:v>2</c:v>
                </c:pt>
                <c:pt idx="109">
                  <c:v>15</c:v>
                </c:pt>
                <c:pt idx="110">
                  <c:v>12</c:v>
                </c:pt>
                <c:pt idx="111">
                  <c:v>15</c:v>
                </c:pt>
                <c:pt idx="112">
                  <c:v>11</c:v>
                </c:pt>
                <c:pt idx="113">
                  <c:v>9</c:v>
                </c:pt>
                <c:pt idx="114">
                  <c:v>39</c:v>
                </c:pt>
                <c:pt idx="115">
                  <c:v>2</c:v>
                </c:pt>
                <c:pt idx="116">
                  <c:v>2</c:v>
                </c:pt>
                <c:pt idx="117">
                  <c:v>5</c:v>
                </c:pt>
                <c:pt idx="118">
                  <c:v>11</c:v>
                </c:pt>
                <c:pt idx="119">
                  <c:v>3</c:v>
                </c:pt>
                <c:pt idx="120">
                  <c:v>2</c:v>
                </c:pt>
                <c:pt idx="121">
                  <c:v>8</c:v>
                </c:pt>
                <c:pt idx="123">
                  <c:v>2</c:v>
                </c:pt>
                <c:pt idx="12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9-4168-9273-1EE879C28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618351"/>
        <c:axId val="606620847"/>
      </c:barChart>
      <c:catAx>
        <c:axId val="6066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6620847"/>
        <c:crosses val="autoZero"/>
        <c:auto val="1"/>
        <c:lblAlgn val="ctr"/>
        <c:lblOffset val="100"/>
        <c:noMultiLvlLbl val="0"/>
      </c:catAx>
      <c:valAx>
        <c:axId val="60662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66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0636590786749438"/>
          <c:y val="2.8368551786254602E-2"/>
          <c:w val="6.3799247629433106E-2"/>
          <c:h val="0.136952847382012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FERRAMENTAS.xlsm]dados TOP 5 SAIDAS!Tabela dinâmica3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74778234508103E-2"/>
          <c:y val="0.16748524126791844"/>
          <c:w val="0.90038431935425178"/>
          <c:h val="0.725773793660407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TOP 5 SAIDAS'!$B$4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TOP 5 SAIDAS'!$A$5:$A$10</c:f>
              <c:strCache>
                <c:ptCount val="5"/>
                <c:pt idx="0">
                  <c:v>LIXADEIRA BOSCH 2</c:v>
                </c:pt>
                <c:pt idx="1">
                  <c:v>LIXADEIRA BOSCH 4</c:v>
                </c:pt>
                <c:pt idx="2">
                  <c:v>LIXADEIRA BOSCH 5</c:v>
                </c:pt>
                <c:pt idx="3">
                  <c:v>PARAFUSADEIRA FUR DE IMPACTO BRUSHLESS</c:v>
                </c:pt>
                <c:pt idx="4">
                  <c:v>PARAFUSADEIRA FURADEIRA BOSCH</c:v>
                </c:pt>
              </c:strCache>
            </c:strRef>
          </c:cat>
          <c:val>
            <c:numRef>
              <c:f>'dados TOP 5 SAIDAS'!$B$5:$B$10</c:f>
              <c:numCache>
                <c:formatCode>General</c:formatCode>
                <c:ptCount val="5"/>
                <c:pt idx="0">
                  <c:v>116</c:v>
                </c:pt>
                <c:pt idx="1">
                  <c:v>133</c:v>
                </c:pt>
                <c:pt idx="2">
                  <c:v>125</c:v>
                </c:pt>
                <c:pt idx="3">
                  <c:v>134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AC-4546-9345-E49E10DB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937840"/>
        <c:axId val="933932432"/>
      </c:barChart>
      <c:catAx>
        <c:axId val="93393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3932432"/>
        <c:crosses val="autoZero"/>
        <c:auto val="1"/>
        <c:lblAlgn val="ctr"/>
        <c:lblOffset val="100"/>
        <c:noMultiLvlLbl val="0"/>
      </c:catAx>
      <c:valAx>
        <c:axId val="933932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393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04155852136492"/>
          <c:y val="4.7639652735715715E-2"/>
          <c:w val="0.20016333644794371"/>
          <c:h val="9.00939228750252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FERRAMENTAS.xlsm]dados porcentagem saida.entrada!Tabela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800" b="1">
                <a:solidFill>
                  <a:schemeClr val="tx1"/>
                </a:solidFill>
              </a:rPr>
              <a:t>Entradas</a:t>
            </a:r>
            <a:r>
              <a:rPr lang="en-US" sz="2800" b="1" baseline="0">
                <a:solidFill>
                  <a:schemeClr val="tx1"/>
                </a:solidFill>
              </a:rPr>
              <a:t> e Saídas </a:t>
            </a:r>
            <a:endParaRPr lang="en-US" sz="2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1567478096885834"/>
          <c:y val="9.8987626546681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2014420732938573"/>
              <c:y val="7.079345850999286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9161340015814604"/>
              <c:y val="-5.67745954832569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'dados porcentagem saida.entrada'!$B$3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EC-4AFE-9FC3-46FC334ACA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EC-4AFE-9FC3-46FC334ACA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BEC-4AFE-9FC3-46FC334ACA9D}"/>
              </c:ext>
            </c:extLst>
          </c:dPt>
          <c:dLbls>
            <c:dLbl>
              <c:idx val="0"/>
              <c:layout>
                <c:manualLayout>
                  <c:x val="-0.2014420732938573"/>
                  <c:y val="7.079345850999286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EC-4AFE-9FC3-46FC334ACA9D}"/>
                </c:ext>
              </c:extLst>
            </c:dLbl>
            <c:dLbl>
              <c:idx val="1"/>
              <c:layout>
                <c:manualLayout>
                  <c:x val="0.19161340015814604"/>
                  <c:y val="-5.67745954832569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EC-4AFE-9FC3-46FC334ACA9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BEC-4AFE-9FC3-46FC334ACA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'dados porcentagem saida.entrada'!$A$4:$A$7</c:f>
              <c:strCache>
                <c:ptCount val="3"/>
                <c:pt idx="0">
                  <c:v>Entrada</c:v>
                </c:pt>
                <c:pt idx="1">
                  <c:v>Saida</c:v>
                </c:pt>
                <c:pt idx="2">
                  <c:v>(vazio)</c:v>
                </c:pt>
              </c:strCache>
            </c:strRef>
          </c:cat>
          <c:val>
            <c:numRef>
              <c:f>'dados porcentagem saida.entrada'!$B$4:$B$7</c:f>
              <c:numCache>
                <c:formatCode>0.00%</c:formatCode>
                <c:ptCount val="3"/>
                <c:pt idx="0">
                  <c:v>0.47444237918215615</c:v>
                </c:pt>
                <c:pt idx="1">
                  <c:v>0.52555762081784385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EC-4AFE-9FC3-46FC334AC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244987114782324"/>
          <c:y val="0.3090333708286464"/>
          <c:w val="0.21959360790191904"/>
          <c:h val="0.419015546133656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FERRAMENTAS.xlsm]TECNICOS DADOS!Tabela dinâmica1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662792770471243E-2"/>
          <c:y val="4.1198520097254457E-2"/>
          <c:w val="0.85023291888364017"/>
          <c:h val="0.777619471653309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'TECNICOS DADOS'!$B$3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'TECNICOS DADOS'!$A$4:$A$9</c:f>
              <c:strCache>
                <c:ptCount val="5"/>
                <c:pt idx="0">
                  <c:v>BRUNO DIAS</c:v>
                </c:pt>
                <c:pt idx="1">
                  <c:v>CLAUDIO TADEU LEITE</c:v>
                </c:pt>
                <c:pt idx="2">
                  <c:v>CRISTIAM BORGES</c:v>
                </c:pt>
                <c:pt idx="3">
                  <c:v>FELIPE GARÇONI</c:v>
                </c:pt>
                <c:pt idx="4">
                  <c:v>VINICIUS ROBLES</c:v>
                </c:pt>
              </c:strCache>
            </c:strRef>
          </c:cat>
          <c:val>
            <c:numRef>
              <c:f>'TECNICOS DADOS'!$B$4:$B$9</c:f>
              <c:numCache>
                <c:formatCode>General</c:formatCode>
                <c:ptCount val="5"/>
                <c:pt idx="0">
                  <c:v>136</c:v>
                </c:pt>
                <c:pt idx="1">
                  <c:v>178</c:v>
                </c:pt>
                <c:pt idx="2">
                  <c:v>217</c:v>
                </c:pt>
                <c:pt idx="3">
                  <c:v>227</c:v>
                </c:pt>
                <c:pt idx="4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2C-4CCA-84BC-8DD6CA488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2420991"/>
        <c:axId val="2012425151"/>
      </c:barChart>
      <c:catAx>
        <c:axId val="201242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2425151"/>
        <c:crosses val="autoZero"/>
        <c:auto val="1"/>
        <c:lblAlgn val="ctr"/>
        <c:lblOffset val="100"/>
        <c:noMultiLvlLbl val="0"/>
      </c:catAx>
      <c:valAx>
        <c:axId val="2012425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2420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57</xdr:row>
      <xdr:rowOff>147637</xdr:rowOff>
    </xdr:from>
    <xdr:to>
      <xdr:col>25</xdr:col>
      <xdr:colOff>528637</xdr:colOff>
      <xdr:row>96</xdr:row>
      <xdr:rowOff>28574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962649" y="11006137"/>
          <a:ext cx="10987088" cy="7310437"/>
        </a:xfrm>
        <a:prstGeom prst="round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474663</xdr:colOff>
      <xdr:row>11</xdr:row>
      <xdr:rowOff>38098</xdr:rowOff>
    </xdr:from>
    <xdr:to>
      <xdr:col>29</xdr:col>
      <xdr:colOff>80963</xdr:colOff>
      <xdr:row>31</xdr:row>
      <xdr:rowOff>95250</xdr:rowOff>
    </xdr:to>
    <xdr:sp macro="" textlink="">
      <xdr:nvSpPr>
        <xdr:cNvPr id="19" name="Retângulo Arredondad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936413" y="2133598"/>
          <a:ext cx="6781800" cy="3867152"/>
        </a:xfrm>
        <a:prstGeom prst="round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460374</xdr:colOff>
      <xdr:row>31</xdr:row>
      <xdr:rowOff>158750</xdr:rowOff>
    </xdr:from>
    <xdr:to>
      <xdr:col>29</xdr:col>
      <xdr:colOff>67724</xdr:colOff>
      <xdr:row>57</xdr:row>
      <xdr:rowOff>95250</xdr:rowOff>
    </xdr:to>
    <xdr:sp macro="" textlink="">
      <xdr:nvSpPr>
        <xdr:cNvPr id="18" name="Retângulo Arredond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922124" y="6064250"/>
          <a:ext cx="6782850" cy="4889500"/>
        </a:xfrm>
        <a:prstGeom prst="round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109538</xdr:colOff>
      <xdr:row>10</xdr:row>
      <xdr:rowOff>85724</xdr:rowOff>
    </xdr:from>
    <xdr:to>
      <xdr:col>18</xdr:col>
      <xdr:colOff>317500</xdr:colOff>
      <xdr:row>57</xdr:row>
      <xdr:rowOff>63499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04976" y="1990724"/>
          <a:ext cx="10328274" cy="8931275"/>
        </a:xfrm>
        <a:prstGeom prst="round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161924</xdr:colOff>
      <xdr:row>12</xdr:row>
      <xdr:rowOff>71437</xdr:rowOff>
    </xdr:from>
    <xdr:to>
      <xdr:col>28</xdr:col>
      <xdr:colOff>460375</xdr:colOff>
      <xdr:row>14</xdr:row>
      <xdr:rowOff>166686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55555FE6-293B-3AC1-1552-1B85CB2991BF}"/>
            </a:ext>
          </a:extLst>
        </xdr:cNvPr>
        <xdr:cNvSpPr txBox="1"/>
      </xdr:nvSpPr>
      <xdr:spPr>
        <a:xfrm>
          <a:off x="12226924" y="2357437"/>
          <a:ext cx="6267451" cy="476249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 u="none" strike="noStrike">
              <a:solidFill>
                <a:schemeClr val="tx1"/>
              </a:solidFill>
              <a:latin typeface="+mn-lt"/>
              <a:ea typeface="Calibri"/>
              <a:cs typeface="Calibri"/>
            </a:rPr>
            <a:t>TECNICOS</a:t>
          </a:r>
          <a:r>
            <a:rPr lang="en-US" sz="2400" b="1" i="0" u="none" strike="noStrike" baseline="0">
              <a:solidFill>
                <a:schemeClr val="tx1"/>
              </a:solidFill>
              <a:latin typeface="+mn-lt"/>
              <a:ea typeface="Calibri"/>
              <a:cs typeface="Calibri"/>
            </a:rPr>
            <a:t> QUE MAIS SOLICITAM FERRAMENTAS</a:t>
          </a:r>
          <a:endParaRPr lang="en-US" sz="2400" b="1" i="0" u="none" strike="noStrike">
            <a:solidFill>
              <a:schemeClr val="tx1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304800</xdr:colOff>
      <xdr:row>4</xdr:row>
      <xdr:rowOff>114300</xdr:rowOff>
    </xdr:to>
    <xdr:sp macro="" textlink="">
      <xdr:nvSpPr>
        <xdr:cNvPr id="1026" name="AutoShape 2" descr="Usuário de ícones de computador, logotipo abstrato, diversos, outros png |  PNGEgg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4619625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304800</xdr:colOff>
      <xdr:row>4</xdr:row>
      <xdr:rowOff>114300</xdr:rowOff>
    </xdr:to>
    <xdr:sp macro="" textlink="">
      <xdr:nvSpPr>
        <xdr:cNvPr id="1027" name="AutoShape 3" descr="Usuário de ícones de computador, logotipo abstrato, diversos, outros png |  PNGEgg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4619625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277092</xdr:colOff>
      <xdr:row>15</xdr:row>
      <xdr:rowOff>138546</xdr:rowOff>
    </xdr:from>
    <xdr:to>
      <xdr:col>2</xdr:col>
      <xdr:colOff>58871</xdr:colOff>
      <xdr:row>20</xdr:row>
      <xdr:rowOff>180098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92" y="2996046"/>
          <a:ext cx="994052" cy="99405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155864</xdr:rowOff>
    </xdr:from>
    <xdr:to>
      <xdr:col>2</xdr:col>
      <xdr:colOff>277090</xdr:colOff>
      <xdr:row>27</xdr:row>
      <xdr:rowOff>155864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0" y="3965864"/>
          <a:ext cx="1489363" cy="1333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Almoxarifado de manutenção</a:t>
          </a:r>
        </a:p>
      </xdr:txBody>
    </xdr:sp>
    <xdr:clientData/>
  </xdr:twoCellAnchor>
  <xdr:twoCellAnchor>
    <xdr:from>
      <xdr:col>10</xdr:col>
      <xdr:colOff>152400</xdr:colOff>
      <xdr:row>53</xdr:row>
      <xdr:rowOff>23811</xdr:rowOff>
    </xdr:from>
    <xdr:to>
      <xdr:col>25</xdr:col>
      <xdr:colOff>214312</xdr:colOff>
      <xdr:row>87</xdr:row>
      <xdr:rowOff>161924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500062</xdr:colOff>
      <xdr:row>13</xdr:row>
      <xdr:rowOff>0</xdr:rowOff>
    </xdr:from>
    <xdr:to>
      <xdr:col>18</xdr:col>
      <xdr:colOff>15874</xdr:colOff>
      <xdr:row>54</xdr:row>
      <xdr:rowOff>158749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619122</xdr:colOff>
      <xdr:row>60</xdr:row>
      <xdr:rowOff>182562</xdr:rowOff>
    </xdr:from>
    <xdr:to>
      <xdr:col>25</xdr:col>
      <xdr:colOff>325436</xdr:colOff>
      <xdr:row>93</xdr:row>
      <xdr:rowOff>87312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444500</xdr:colOff>
      <xdr:row>60</xdr:row>
      <xdr:rowOff>31750</xdr:rowOff>
    </xdr:from>
    <xdr:to>
      <xdr:col>20</xdr:col>
      <xdr:colOff>571500</xdr:colOff>
      <xdr:row>62</xdr:row>
      <xdr:rowOff>55562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096500" y="11461750"/>
          <a:ext cx="3143250" cy="40481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/>
            <a:t>TOP</a:t>
          </a:r>
          <a:r>
            <a:rPr lang="pt-BR" sz="3200" b="1" baseline="0"/>
            <a:t> 5 SAÍDAS</a:t>
          </a:r>
          <a:endParaRPr lang="pt-BR" sz="3200" b="1"/>
        </a:p>
      </xdr:txBody>
    </xdr:sp>
    <xdr:clientData/>
  </xdr:twoCellAnchor>
  <xdr:twoCellAnchor>
    <xdr:from>
      <xdr:col>18</xdr:col>
      <xdr:colOff>598714</xdr:colOff>
      <xdr:row>33</xdr:row>
      <xdr:rowOff>31749</xdr:rowOff>
    </xdr:from>
    <xdr:to>
      <xdr:col>29</xdr:col>
      <xdr:colOff>206377</xdr:colOff>
      <xdr:row>57</xdr:row>
      <xdr:rowOff>31750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554183</xdr:colOff>
      <xdr:row>14</xdr:row>
      <xdr:rowOff>103909</xdr:rowOff>
    </xdr:from>
    <xdr:to>
      <xdr:col>29</xdr:col>
      <xdr:colOff>173181</xdr:colOff>
      <xdr:row>30</xdr:row>
      <xdr:rowOff>138544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289114</xdr:colOff>
      <xdr:row>16</xdr:row>
      <xdr:rowOff>81243</xdr:rowOff>
    </xdr:from>
    <xdr:to>
      <xdr:col>8</xdr:col>
      <xdr:colOff>68037</xdr:colOff>
      <xdr:row>18</xdr:row>
      <xdr:rowOff>157444</xdr:rowOff>
    </xdr:to>
    <xdr:sp macro="[0]!GerarRelatorioPendencias_V2_Fix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B501FCD-D3B8-3438-4B34-11310740EE29}"/>
            </a:ext>
          </a:extLst>
        </xdr:cNvPr>
        <xdr:cNvSpPr/>
      </xdr:nvSpPr>
      <xdr:spPr>
        <a:xfrm>
          <a:off x="3718114" y="5211136"/>
          <a:ext cx="1996887" cy="674915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RELATORIO</a:t>
          </a:r>
          <a:r>
            <a:rPr lang="pt-BR" sz="1600" b="1" baseline="0"/>
            <a:t> DO DIA</a:t>
          </a:r>
          <a:endParaRPr lang="pt-BR" sz="1600" b="1"/>
        </a:p>
      </xdr:txBody>
    </xdr:sp>
    <xdr:clientData/>
  </xdr:twoCellAnchor>
  <xdr:twoCellAnchor>
    <xdr:from>
      <xdr:col>11</xdr:col>
      <xdr:colOff>918963</xdr:colOff>
      <xdr:row>16</xdr:row>
      <xdr:rowOff>100293</xdr:rowOff>
    </xdr:from>
    <xdr:to>
      <xdr:col>12</xdr:col>
      <xdr:colOff>1129393</xdr:colOff>
      <xdr:row>18</xdr:row>
      <xdr:rowOff>157444</xdr:rowOff>
    </xdr:to>
    <xdr:sp macro="[0]!SALVAR" textlink="">
      <xdr:nvSpPr>
        <xdr:cNvPr id="5" name="Retângulo: Cantos Arredondados 2">
          <a:extLst>
            <a:ext uri="{FF2B5EF4-FFF2-40B4-BE49-F238E27FC236}">
              <a16:creationId xmlns:a16="http://schemas.microsoft.com/office/drawing/2014/main" id="{82C44D8A-D397-4418-991B-B9AFAA300E87}"/>
            </a:ext>
          </a:extLst>
        </xdr:cNvPr>
        <xdr:cNvSpPr/>
      </xdr:nvSpPr>
      <xdr:spPr>
        <a:xfrm>
          <a:off x="7967463" y="5230186"/>
          <a:ext cx="2319537" cy="655865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SALVAR</a:t>
          </a:r>
        </a:p>
      </xdr:txBody>
    </xdr:sp>
    <xdr:clientData/>
  </xdr:twoCellAnchor>
  <xdr:twoCellAnchor>
    <xdr:from>
      <xdr:col>8</xdr:col>
      <xdr:colOff>347784</xdr:colOff>
      <xdr:row>16</xdr:row>
      <xdr:rowOff>100293</xdr:rowOff>
    </xdr:from>
    <xdr:to>
      <xdr:col>11</xdr:col>
      <xdr:colOff>615043</xdr:colOff>
      <xdr:row>18</xdr:row>
      <xdr:rowOff>157444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51FC4D8-DCCA-4B15-83E1-65047174A270}"/>
            </a:ext>
          </a:extLst>
        </xdr:cNvPr>
        <xdr:cNvSpPr/>
      </xdr:nvSpPr>
      <xdr:spPr>
        <a:xfrm>
          <a:off x="5994748" y="5230186"/>
          <a:ext cx="1668795" cy="65586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ovane Eduardo Rocha/ Almoxarifado de Manutenção" refreshedDate="45940.690098726853" createdVersion="8" refreshedVersion="6" minRefreshableVersion="3" recordCount="191" xr:uid="{00000000-000A-0000-FFFF-FFFF00000000}">
  <cacheSource type="worksheet">
    <worksheetSource name="Tabela13"/>
  </cacheSource>
  <cacheFields count="6">
    <cacheField name="MATERIAL" numFmtId="0">
      <sharedItems containsMixedTypes="1" containsNumber="1" containsInteger="1" minValue="50001740" maxValue="50045204"/>
    </cacheField>
    <cacheField name="DESCRIÇÃO" numFmtId="0">
      <sharedItems containsBlank="1" count="191">
        <s v=" LIXADEIRA BOSCH 6"/>
        <s v=" CHAVE TORX 163BTX-T27"/>
        <s v="ALICATE CRIMPADOR"/>
        <s v="ALICATE DE CORTE 18"/>
        <s v="ALICATE DE CORTE 600MM"/>
        <s v="ALICATE DE PRESSÃO P/SOLDA"/>
        <s v="ALICATE HIDRAULICO"/>
        <s v="ALICATE HIDRAULICO PRENSA CRIMPA"/>
        <s v="ALICATE PRENSA CABO"/>
        <s v="ALICATE PRENSA TERMINAL 5 EM 1"/>
        <s v="ALINHADOR DE POLIA A LASER"/>
        <s v="ANEMOMETRO DIGITAL DISPLAY DUPLO"/>
        <s v="ARCO DE SERRA"/>
        <s v="ASPIRADOR PARA SOLIDOS SEM FIO 20V"/>
        <s v="BOMBA CALIBRAÇÃO PNEUMATICA PORTATIL"/>
        <s v="BOTOEIRA MANUTENÇÃO FORNO 10 WAFER"/>
        <s v="BOTOEIRA MANUTENÇÃO FORNO 9 WAFER"/>
        <s v="CALIBRADOR DE EXPANSIVIDADE"/>
        <s v="CALIBRADOR ISHIDA"/>
        <s v="CAMERA TERMOGRAFICA"/>
        <s v="CHAVE AJUSTÁVEL 45MM"/>
        <s v="CHAVE CANHÃO 1"/>
        <s v="CHAVE CANHÃO 2"/>
        <s v="CHAVE CATRACA (1) Nº24-41V"/>
        <s v="CHAVE CATRACA (2) Nº24-41V"/>
        <s v="CHAVE CATRACA 1 Nº24"/>
        <s v="CHAVE CATRACA 2 Nº24"/>
        <s v="CHAVE CATRACA 3 Nº24"/>
        <s v="CHAVE DE BOCA MANUAL"/>
        <s v="CHAVE DE BOCA MANUAL D32"/>
        <s v="CHAVE DE BOCA Nº 60"/>
        <s v="CHAVE DE IMPACTO 1/2&quot; 20V"/>
        <s v="CHAVE ESTRELA 32"/>
        <s v="CHAVE GANCHO 16 A 20MM"/>
        <s v="CHAVE GANCHO 25 A 28MM"/>
        <s v="CHAVE GANCHO 30 A 32MM"/>
        <s v="CHAVE GANCHO 34 A 36MM"/>
        <s v="CHAVE GANCHO 40 A 42MM"/>
        <s v="CHAVE GANCHO 45 A 50MM"/>
        <s v="CHAVE GANCHO 52 A 55MM"/>
        <s v="CHAVE GANCHO 58 A 62MM"/>
        <s v="CHAVE GANCHO 68 A 75MM"/>
        <s v="CHAVE GANCHO 80 A 90MM"/>
        <s v="CHAVE GANCHO 95 A 100MM"/>
        <s v="CHAVE GRIFO 18"/>
        <s v="CHAVE GRIFO 24"/>
        <s v="CHAVE GRIFO 36"/>
        <s v="CHAVE PARA TODAS AS BITOLAS"/>
        <s v="CHAVE TORX 163BTX-T30"/>
        <s v="CHAVE TORX 163BTX-T40"/>
        <s v="CHAVE TORX 163BTX-T50"/>
        <s v="CHAVE TORX 3/8 X6 10X150"/>
        <s v="COMPASSO MECANICO EXTERNO"/>
        <s v="COMPASSO MEDIDA QUADRADA EXTERNA"/>
        <s v="CONJUNTO EXTRATOR PARAFUSO"/>
        <s v="CRONOMETRO "/>
        <s v="DETECTOR DE VAZAMENTO - MALETA 1"/>
        <s v="DETECTOR DE VAZAMENTO - MALETA 2"/>
        <s v="DETECTOR DE VAZAMENTO - MALETA 3"/>
        <s v="DETECTOR DE VAZAMENTO - MALETA 4"/>
        <s v="DISPLAY SEW "/>
        <s v="DUROMETRO"/>
        <s v="ESCALA DE ACO 1000MM VONDER "/>
        <s v="ESTETOSCÓPIO SKF"/>
        <s v="FURADEIRA BOCSH 1"/>
        <s v="FURADEIRA BOSCH 2"/>
        <s v="FURADEIRA BOSCH 3"/>
        <s v="FURADEIRA BOSCH 4"/>
        <s v="FURADEIRA BOSCH 5"/>
        <s v="FURADEIRA BOSCH 6"/>
        <s v="FURADEIRA DE IMPACTO MAKITA 01"/>
        <s v="FURADEIRA DE IMPACTO MAKITA 02"/>
        <s v="GONIOMETRO"/>
        <s v="GRAMPO PARA MARCENARIA"/>
        <s v="INTERFACE/INVERSOR MITSUBISHI"/>
        <s v="JOGO DE BROCAS ACO RAPIDO"/>
        <s v="JOGO DE SERRAS COPOS BIMETALICAS 16 PEÇAS"/>
        <s v="JOGO DE TARRACHAS "/>
        <s v="JOGO MACHO MANUAL M10"/>
        <s v="JOGO MACHO MANUAL M12"/>
        <s v="JOGO MACHO MANUAL M3 "/>
        <s v="JOGO MACHO MANUAL M4"/>
        <s v="JOGO MACHO MANUAL M5"/>
        <s v="JOGO MACHO MANUAL M6"/>
        <s v="JOGO MACHO MANUAL M7"/>
        <s v="JOGO MACHO MANUAL M8"/>
        <s v="JOGO SOQUETE ESTRIADOS 1/2 22PEÇ"/>
        <s v="JOGO TARRAXA MANUAL"/>
        <s v="KIT FLANGEADOR "/>
        <s v="KIT FLANGEADOR DE TUBO DE COBRE"/>
        <s v="LIXADEIRA BOSCH 1"/>
        <s v="LIXADEIRA BOSCH 2"/>
        <s v="LIXADEIRA BOSCH 3"/>
        <s v="LIXADEIRA BOSCH 4"/>
        <s v="LIXADEIRA BOSCH 5"/>
        <s v="LIXADEIRA GRANDE BOSCH"/>
        <s v="LIXADEIRA GRANDE MAKITA"/>
        <s v="MACACO HIDRAULICO AZUL"/>
        <s v="MAQUINA DE SOLDA"/>
        <s v="MAQUINA SOLDA TIG"/>
        <s v="MARCADOR DE PEÇAS"/>
        <s v="MARRETA 3KG GEDORE"/>
        <s v="MARRETA 4KG"/>
        <s v="MARRETA 8KG"/>
        <s v="MARTELETE MAKITA HR 2470"/>
        <s v="MARTELETE VONDER"/>
        <s v="MARTELO ROMPEDOR SDS MAX 220V 1100W"/>
        <s v="MEDIDOR DE ESPESSURA"/>
        <s v="MEGOMETRO"/>
        <s v="MEGOMETRO DIGITAL FLUKE"/>
        <s v="MICROMETRO 10 A 100MM"/>
        <s v="MICROMETRO 25-50 DIAMETRO EXTERNO"/>
        <s v="MICROMETRO 25-50 DIAMETRO INTERNO"/>
        <s v="MICROMETRO INTERNO"/>
        <s v="MICROMETRO INTERNO - EXTRUSORA"/>
        <s v="MISTURADOR DE ARGAMASSA"/>
        <s v="MOITÃO CADERNAL 3 ROLDANAS "/>
        <s v="NIVEL A LASER BOSCH GLL-2-12"/>
        <s v="NIVEL ALUMINIO BASE MAGNETICA 12&quot;"/>
        <s v="PARAFUSADEIRA FUR DE IMPACTO BRUSHLESS"/>
        <s v="PARAFUSADEIRA FURADEIRA DE IMPACTO 1/2"/>
        <s v="PARAFUSADEIRA HILTI C 4/36-90"/>
        <s v="PISTOLA DE PINTURA PNEUMATICA"/>
        <s v="PISTOLA PNEUMATICA DE PINTURA"/>
        <s v="PONTA DE PROVA MINIPA"/>
        <s v="PONTEIRO ENCAIXE TIPO SDS MAX 400MM"/>
        <s v="PRENSA CABO HIDRAULICO"/>
        <s v="REBITADEIRA MANUAL KJ28"/>
        <s v="REBITADEIRA MANUAL KJ29 - MALETA 1"/>
        <s v="REBITADEIRA MANUAL KJ29 - MALETA 2"/>
        <s v="REBITADOR MANUAL"/>
        <s v="REBITADOR PNEUMATICO"/>
        <s v="REGULADOR DE PRESSAO"/>
        <s v="RELOGIO TORQUIMETRO"/>
        <s v="RETIFICA "/>
        <s v="SACA FUSÍVEL"/>
        <s v="SACA POLIA 02 GARRAS 150MM"/>
        <s v="SACA POLIA 02 GARRAS 250MM GEDORE"/>
        <s v="SACA POLIA 03 GARRAS 250 MM GEDORE"/>
        <s v="SACA POLIA 150MM 3 GARRAS - GEDORE"/>
        <s v="SACA POLIA HIDRAULICO"/>
        <s v="SARGENTO 1 "/>
        <s v="SARGENTO 2"/>
        <s v="SARGENTO 3 "/>
        <s v="SARGENTO 4"/>
        <s v="SARGENTO 5"/>
        <s v="SARGENTO 6"/>
        <s v="SARGENTO 7"/>
        <s v="SERRA CIRCULAR "/>
        <s v="SERRA CIRCULAR MAKITA 4100NH2"/>
        <s v="SERRA ELETRICA GSA 1100"/>
        <s v="SERRA TICO TICO 650W DEWALT "/>
        <s v="SERRA TICO TICO BOSCH C/MALETA"/>
        <s v="SERRA TICO TICO BOSCH S/MALETA"/>
        <s v="SOLDADOR POLYCODE"/>
        <s v="SOPRADOR "/>
        <s v="SOPRADOR TERMICO VONDER 1500W 220V"/>
        <s v="SOQUETE SEXTAVADO 41"/>
        <s v="SOQUETE SEXTAVADO 60"/>
        <s v="SUPORTE DE PAQUIMETRO - CALIBRAÇÃO MOLDADORA"/>
        <s v="SUPORTE RELÓGIO COMPARADOR"/>
        <s v="TALHA 2000KG x 5M"/>
        <s v="TALHA MANUAL 1000KG"/>
        <s v="TALHADEIRA MANUAL SEXTAVADA 300 X 25 MM"/>
        <s v="TERMOMETRO"/>
        <s v="TERMOMETRO PENTA -50 +150 C"/>
        <s v="TESTADOR DE CABOS REDE E CABOS COAXIAL"/>
        <s v="TESTE DE QUALIDADE ENERGIA"/>
        <s v="TORQUIMETRO GEDORE "/>
        <s v="WATTIMETRO"/>
        <s v="FURADEIRA BOSCH 7"/>
        <s v="FERRO DE SOLDAR"/>
        <s v="TACOMETRO"/>
        <s v="VAZADOR"/>
        <s v="TORQUIMETRO GEDORE GRANDE"/>
        <s v="PARAFUSADEIRA FURADEIRA BOSCH"/>
        <s v="CÂMERA TERMOGRAFICA FLIR"/>
        <s v="JOGO SERRA COPO 8PÇS"/>
        <s v="KIT INTENSIFICADOR DE FITA"/>
        <s v="ESCADA "/>
        <s v="CANETA DE VIBRAÇÂO"/>
        <s v="PAQUIMETRO UNIVERSAL 300MM"/>
        <s v="KIT MONTAGEM ROLAMENTO SKF"/>
        <s v="VACUOMETRO DIGITAL"/>
        <s v="MACACO HIDRAULICO CINZA"/>
        <s v="HEADSET H390 LOGITECH"/>
        <s v="DETECTOR DE VAZAMENTO DE GÁS"/>
        <s v="JOGO DE LIMA AGULHA COM 12PCS"/>
        <s v="SACA POLIA COM 2 GARRAS 70MM"/>
        <s v="BOROSCOPIO"/>
        <m u="1"/>
      </sharedItems>
    </cacheField>
    <cacheField name="QUANTIDADE EM ESTOQUE" numFmtId="0">
      <sharedItems containsSemiMixedTypes="0" containsString="0" containsNumber="1" containsInteger="1" minValue="1" maxValue="3"/>
    </cacheField>
    <cacheField name="ENTRADAS" numFmtId="0">
      <sharedItems containsSemiMixedTypes="0" containsString="0" containsNumber="1" containsInteger="1" minValue="0" maxValue="65"/>
    </cacheField>
    <cacheField name="SAÍDAS" numFmtId="0">
      <sharedItems containsSemiMixedTypes="0" containsString="0" containsNumber="1" containsInteger="1" minValue="0" maxValue="68"/>
    </cacheField>
    <cacheField name="ESTOQUE FINAL" numFmtId="0">
      <sharedItems containsSemiMixedTypes="0" containsString="0" containsNumber="1" containsInteger="1" minValue="-4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ovane Eduardo Rocha/ Almoxarifado de Manutenção" refreshedDate="46010.624950347221" createdVersion="6" refreshedVersion="6" minRefreshableVersion="3" recordCount="4511" xr:uid="{00000000-000A-0000-FFFF-FFFF01000000}">
  <cacheSource type="worksheet">
    <worksheetSource ref="B1:K1048576" sheet="Relatorio"/>
  </cacheSource>
  <cacheFields count="11">
    <cacheField name="Cracha" numFmtId="0">
      <sharedItems containsString="0" containsBlank="1" containsNumber="1" containsInteger="1" minValue="33880" maxValue="96464"/>
    </cacheField>
    <cacheField name="Nome" numFmtId="0">
      <sharedItems containsBlank="1"/>
    </cacheField>
    <cacheField name="Oficina" numFmtId="0">
      <sharedItems containsBlank="1" containsMixedTypes="1" containsNumber="1" containsInteger="1" minValue="0" maxValue="0"/>
    </cacheField>
    <cacheField name="Turno" numFmtId="0">
      <sharedItems containsBlank="1" containsMixedTypes="1" containsNumber="1" containsInteger="1" minValue="0" maxValue="0"/>
    </cacheField>
    <cacheField name="Cod. Ferramenta" numFmtId="0">
      <sharedItems containsString="0" containsBlank="1" containsNumber="1" containsInteger="1" minValue="50001740" maxValue="60037922"/>
    </cacheField>
    <cacheField name="Desc. Ferramenta" numFmtId="0">
      <sharedItems containsBlank="1" count="126">
        <s v="LIXADEIRA BOSCH 5"/>
        <m/>
        <s v="LIXADEIRA BOSCH 2"/>
        <s v="CHAVE GRIFO 18"/>
        <s v="TACOMETRO"/>
        <s v="FURADEIRA BOSCH 7"/>
        <s v="JOGO SOQUETE ESTRIADOS 1/2 22PEÇ"/>
        <s v="CHAVE DE IMPACTO 1/2&quot; 20V"/>
        <s v="FURADEIRA DE IMPACTO MAKITA 02"/>
        <s v="JOGO DE BROCAS ACO RAPIDO"/>
        <s v="LIXADEIRA BOSCH 1"/>
        <s v="ESCALA DE ACO 1000MM VONDER "/>
        <s v="SERRA TICO TICO 650W DEWALT "/>
        <s v="SACA POLIA 150MM 3 GARRAS - GEDORE"/>
        <s v="LIXADEIRA BOSCH 3"/>
        <s v="TALHA MANUAL 1000KG"/>
        <s v="CHAVE GANCHO 68 A 75MM"/>
        <s v="FURADEIRA BOSCH 3"/>
        <s v="KIT MONTAGEM ROLAMENTO SKF"/>
        <s v="JOGO DE LIMA AGULHA COM 12PCS"/>
        <s v=" LIXADEIRA BOSCH 6"/>
        <s v="PARAFUSADEIRA FUR DE IMPACTO BRUSHLESS"/>
        <s v="MAQUINA SOLDA TIG"/>
        <s v="CHAVE GANCHO 80 A 90MM"/>
        <s v="MARTELETE VONDER"/>
        <s v="CHAVE GANCHO 95 A 100MM"/>
        <s v="JOGO DE SERRAS COPOS BIMETALICAS 16 PEÇAS"/>
        <s v="ARCO DE SERRA"/>
        <s v="CHAVE GRIFO 36"/>
        <s v="CHAVE GRIFO 24"/>
        <s v="SACA POLIA 03 GARRAS 250 MM GEDORE"/>
        <s v="SACA POLIA 02 GARRAS 250MM GEDORE"/>
        <s v="PISTOLA PNEUMATICA DE PINTURA"/>
        <s v="SOPRADOR TERMICO VONDER 1500W 220V"/>
        <s v="LIXADEIRA BOSCH 4"/>
        <s v="JOGO SERRA COPO 8PÇS"/>
        <s v="CHAVE CATRACA (2) Nº24-41V"/>
        <s v="CHAVE CATRACA (1) Nº24-41V"/>
        <s v="VACUOMETRO DIGITAL"/>
        <s v="TERMOMETRO PENTA -50 +150 C"/>
        <s v="RETIFICA "/>
        <s v="SOLDADOR POLYCODE"/>
        <s v="REBITADOR MANUAL"/>
        <s v="TERMOMETRO"/>
        <s v="MAQUINA DE SOLDA"/>
        <s v="SARGENTO 2"/>
        <s v="CHAVE AJUSTÁVEL 45MM"/>
        <s v="TALHA 2000KG x 5M"/>
        <s v="TORQUIMETRO GEDORE "/>
        <s v="ESTETOSCÓPIO SKF"/>
        <s v="MICROMETRO INTERNO - EXTRUSORA"/>
        <s v="PAQUIMETRO UNIVERSAL 300MM"/>
        <s v="MACACO HIDRAULICO AZUL"/>
        <s v="CAMERA TERMOGRAFICA"/>
        <s v="SERRA TICO TICO BOSCH S/MALETA"/>
        <s v="CHAVE GANCHO 52 A 55MM"/>
        <s v="SUPORTE DE PAQUIMETRO - CALIBRAÇÃO MOLDADORA"/>
        <s v="LIXADEIRA BOSCH 7"/>
        <s v="SARGENTO 1 "/>
        <s v="MARTELO ROMPEDOR SDS MAX 220V 1100W"/>
        <s v="REBITADEIRA MANUAL KJ29 - MALETA 2"/>
        <s v="CHAVE DE BOCA MANUAL"/>
        <s v="NIVEL A LASER BOSCH GLL-2-12"/>
        <s v="CÂMERA TERMOGRAFICA FLIR"/>
        <s v="FURADEIRA BOSCH 2"/>
        <s v="REBITADEIRA MANUAL KJ29 - MALETA 1"/>
        <s v="PARAFUSADEIRA FURADEIRA BOSCH"/>
        <s v="CHAVE GANCHO 45 A 50MM"/>
        <s v="SERRA CIRCULAR MAKITA 4100NH2"/>
        <s v="ASPIRADOR PARA SOLIDOS SEM FIO 20V"/>
        <s v="JOGO DE TARRACHAS "/>
        <s v="SARGENTO 7"/>
        <s v="MARRETA 8KG"/>
        <s v="CHAVE CATRACA 2 Nº24"/>
        <s v="CHAVE CATRACA 1 Nº24"/>
        <s v="SACA POLIA 02 GARRAS 150MM"/>
        <s v="KIT FLANGEADOR DE TUBO DE COBRE"/>
        <s v="MISTURADOR DE ARGAMASSA"/>
        <s v="ALICATE DE CORTE 18"/>
        <s v="HEADSET H390 LOGITECH"/>
        <s v="TALHADEIRA MANUAL SEXTAVADA 300 X 25 MM"/>
        <s v="SARGENTO 6"/>
        <s v="MARRETA 3KG GEDORE"/>
        <s v="ALICATE CRIMPADOR"/>
        <s v="FURADEIRA BOSCH 4"/>
        <s v="JOGO TARRAXA MANUAL"/>
        <s v="VAZADOR 12 PÇS"/>
        <s v="SERRA TICO TICO BOSCH C/MALETA"/>
        <s v="SOPRADOR "/>
        <s v="CHAVE PARA TODAS AS BITOLAS"/>
        <s v="TORQUIMETRO GEDORE GRANDE"/>
        <s v="LIXADEIRA GRANDE MAKITA"/>
        <s v="TESTADOR DE CABOS REDE E CABOS COAXIAL"/>
        <s v="MEDIDOR DE ESPESSURA"/>
        <s v="DUROMETRO"/>
        <s v="RETIFICA"/>
        <s v="DETECTOR DE VAZAMENTO DE GÁS"/>
        <s v="ESCADA "/>
        <s v="SACA POLIA COM 2 GARRAS 70MM"/>
        <s v="KIT FLANGEADOR "/>
        <s v="MARRETA 4KG"/>
        <s v="BOTOEIRA MANUTENÇÃO FORNO 09"/>
        <s v="ALINHADOR DE POLIA A LASER"/>
        <s v="MACACO HIDRAULICO CINZA"/>
        <s v="CHAVE GANCHO 58 A 62MM"/>
        <s v="FURADEIRA DE IMPACTO MAKITA 01"/>
        <s v="FLANGEADOR"/>
        <s v="ALICATE HIDRAULICO PRENSA CRIMPA"/>
        <s v="SERRA CIRCULAR "/>
        <s v="MICROMETRO 25-50 DIAMETRO EXTERNO"/>
        <s v="SOQUETE SEXTAVADO 41"/>
        <s v="CHAVE GANCHO 34 A 36MM"/>
        <s v="MEGOMETRO DIGITAL FLUKE"/>
        <s v="GRAMPO PARA MARCENARIA"/>
        <s v="REBITADOR PNEUMATICO"/>
        <s v="FURADEIRA BOSCH 6"/>
        <s v="SACA POLIA HIDRAULICO"/>
        <s v="ALICATE HIDRAULICO"/>
        <s v="SACA POLIA 03 GARRAS"/>
        <s v="KIT INTENSIFICADOR DE FITA"/>
        <s v="PARAFUSADEIRA FURADEIRA DE IMPACTO 1/2"/>
        <s v="VAZADOR"/>
        <s v="CONJUNTO DE FITA DE ARQUEAR"/>
        <s v="CHAVE CANHÃO 2"/>
        <s v="SARGENTO 4"/>
        <s v="NÃO ENCONTRADO" u="1"/>
      </sharedItems>
    </cacheField>
    <cacheField name="QTD" numFmtId="0">
      <sharedItems containsBlank="1" containsMixedTypes="1" containsNumber="1" containsInteger="1" minValue="1" maxValue="2"/>
    </cacheField>
    <cacheField name="CHECKLIST" numFmtId="0">
      <sharedItems containsBlank="1"/>
    </cacheField>
    <cacheField name="ALMOXARIFE RESP." numFmtId="0">
      <sharedItems containsBlank="1"/>
    </cacheField>
    <cacheField name="Data" numFmtId="14">
      <sharedItems containsNonDate="0" containsDate="1" containsString="0" containsBlank="1" minDate="1899-12-31T00:00:00" maxDate="2025-12-20T00:00:00"/>
    </cacheField>
    <cacheField name="Movimentação" numFmtId="0">
      <sharedItems containsBlank="1" count="3">
        <s v="Entrada"/>
        <m/>
        <s v="Sai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ovane Eduardo Rocha/ Almoxarifado de Manutenção" refreshedDate="46010.625013078701" createdVersion="8" refreshedVersion="6" minRefreshableVersion="3" recordCount="4511" xr:uid="{00000000-000A-0000-FFFF-FFFF02000000}">
  <cacheSource type="worksheet">
    <worksheetSource ref="B1:L1048576" sheet="Relatorio"/>
  </cacheSource>
  <cacheFields count="14">
    <cacheField name="Cracha" numFmtId="0">
      <sharedItems containsString="0" containsBlank="1" containsNumber="1" containsInteger="1" minValue="33880" maxValue="96464"/>
    </cacheField>
    <cacheField name="Nome" numFmtId="0">
      <sharedItems containsBlank="1" count="127">
        <s v="MARLOM ROGERIO VIEIRA"/>
        <m/>
        <s v="CRISTIAM BORGES"/>
        <s v="MARCIO GOMES DA SILVA"/>
        <s v="JEAN FELIPE"/>
        <s v="LUCAS LIRA"/>
        <s v="MARCOS SANTOS"/>
        <s v="GABRIEL CAIXETA"/>
        <s v="FELIPE HENRIQUE DE BRITO"/>
        <s v="ELTON LIMA"/>
        <s v="EVERTON GERONIMO"/>
        <s v="DAVID"/>
        <s v="ORLANDO GOMES"/>
        <s v="CLAUDIO TADEU LEITE"/>
        <s v="CLEBER BRABO"/>
        <s v="FERDINANDO PAZINI"/>
        <s v="DANIEL JULIAO"/>
        <s v="ROGERIO"/>
        <s v="JOSE AUGUSTO MASSUCHINI"/>
        <s v="GEOVANNY ALEXANDER"/>
        <s v="EVANDRO TANAKA"/>
        <s v="EVANILDO PIEDADE"/>
        <s v="ODAIR JOSE DA SILVA"/>
        <s v="VINICIUS ROBLES"/>
        <s v="TIAGO DA SILVA"/>
        <s v="RONALDO DE SOUZA SANTOS"/>
        <s v="DANIEL CAMAÇARI DE OLIVEIRA"/>
        <s v="LUAN ALMEIDA"/>
        <s v="MAICON ANTONIO SANTOS"/>
        <s v="RODRIGO RODRIGUES"/>
        <s v="RAFAEL BALBINO PEREIRA"/>
        <s v="REGINALDO PEREIRA"/>
        <s v="JOAO CARLOS MARIA"/>
        <s v="LEONARDO BORGES"/>
        <s v="REINALDO FERREIRA"/>
        <s v="DANILO BARBOSA"/>
        <s v="DANILO DA SILVA"/>
        <s v="FELIPE GARÇONI"/>
        <s v="RODRIGO LOPES DOS SANTOS"/>
        <s v="EDSON CARLOS"/>
        <s v="MARCELO PAIM"/>
        <s v="GUILHERME VECHIO"/>
        <s v="CRISTIANO LUIZ PEGO"/>
        <s v="RAFAEL AMORIM"/>
        <s v="MARCELINHO"/>
        <s v="MARCO OLIVEIRA"/>
        <s v="KEVIN INAMOTO"/>
        <s v="FABIANO ALVIM"/>
        <s v="ISRAEL MACEDO"/>
        <s v="WELISSON RICARDO"/>
        <s v="DANIEL MANFREDI"/>
        <s v="DOUGLAS FELICIANO MENDES DE OLIVEIRA"/>
        <s v="ANDERSON MARCOLONGO"/>
        <s v="DABTON LEMOS"/>
        <s v="ALTEMAR FEITOSA"/>
        <s v="NELSON JUNIOR"/>
        <s v="Vinicius Rodrigo da Silva Seren"/>
        <s v="LEANDRO VASCONCELOS"/>
        <s v="JUNIOR CESAR DA PENHA"/>
        <s v="LEONARDO DOS SANTOS"/>
        <s v="EVERTON BOLOGNES"/>
        <s v="JOAO CAIXETA"/>
        <s v="VINICIUS GUILHERME BARBOSA"/>
        <s v="ANDERSON MARQUES DA SILVA"/>
        <s v="REGIVALDO MEDEIROS"/>
        <s v="LUCAS LORENCINI"/>
        <s v="JOAO BORTOLI"/>
        <s v="BRUNO DIAS"/>
        <s v="MARCOS AURELIO"/>
        <s v="FABIO JUSTINO"/>
        <s v="DANIEL ARAUJO ROCHA"/>
        <s v="PABLO JUNIOR"/>
        <s v="JOAO OLIVEIRA"/>
        <s v="DANILO CARVALHO VAIDELLO"/>
        <s v="EMERSON DOS SANTOS"/>
        <s v="MARCOS FERNANDES COLOMBO"/>
        <s v="MARCOS DA SILVA"/>
        <s v="WALDYR MARCOS"/>
        <s v="ERICK GUERRA"/>
        <s v="CAIO NASCIMENTO"/>
        <s v="HUGO RUBIRA"/>
        <s v="LUIS LEITE"/>
        <s v="MAYCON COORD."/>
        <s v="TIAGO DE BRITO"/>
        <s v="JOSE BATISTA"/>
        <s v="FABIO CARVALHO"/>
        <s v="WILSON CARVALHO GARCIA JUNIOR"/>
        <s v="EMERSON FOSSALUZA"/>
        <s v="VINICIUS SOUZA"/>
        <s v="VALMIR GREGUI"/>
        <s v="FABIANO MARQUES"/>
        <s v="CLODOALDO DE OLIVEIRA"/>
        <s v="EDMAR CAMILO"/>
        <s v="VINICIUS BORDIN SOUZA"/>
        <s v="LUCAS NASCIMENTO DE OLIVEIRA"/>
        <s v="CARLOS BARATELLA"/>
        <s v="LUCIANO ALBERTO DA SILVA DE OLIVEIRA"/>
        <s v="MARCIO DOS SANTOS"/>
        <s v="MARCOS CESAR CORDEIRO"/>
        <s v="RODRIGO ROCHA"/>
        <s v="MARCELO CAMPOS"/>
        <s v="EDUARDO SANTOS"/>
        <s v="ELIEZER VINICIUS"/>
        <s v="JONATHAN OLIVEIRA"/>
        <s v="REINALDO PADOVANI JUNIOR"/>
        <s v="JEREMIAS BOAVENTURA"/>
        <s v="MARCIO"/>
        <s v="VALTER YUKIO SHIMADA"/>
        <s v="LEONARDO SILVA"/>
        <s v="ALEXANDRE CALDAS"/>
        <s v="ALESSANDRO DE LIMA"/>
        <s v="HELTON ZINHANI"/>
        <s v="THALITA BRUNA ROCHA"/>
        <s v="LEONARDO ALEXANDRE"/>
        <s v="LAISE"/>
        <s v="JOSE CARLOS DOS SANTOS"/>
        <s v="LUCAS FELICIANO MENDES DE OLIVEIRA"/>
        <s v="WESLEY GREGUI"/>
        <s v="GABRIEL CAIXETA DOMICIANO"/>
        <s v="ALDO SANTOS"/>
        <s v="EDUARDO BARBOSA"/>
        <s v="EVANDRO SILVA"/>
        <s v="VITOR FERREIRA DE HOLANDA"/>
        <s v="LUIZ MARANHO"/>
        <s v="SAMUEL GONÇALVES DE OLIVEIRA"/>
        <s v="DANILO BARBOSA DE SOUZA"/>
        <s v="MARCOS DA SILVA "/>
      </sharedItems>
    </cacheField>
    <cacheField name="Oficina" numFmtId="0">
      <sharedItems containsBlank="1" containsMixedTypes="1" containsNumber="1" containsInteger="1" minValue="0" maxValue="0"/>
    </cacheField>
    <cacheField name="Turno" numFmtId="0">
      <sharedItems containsBlank="1" containsMixedTypes="1" containsNumber="1" containsInteger="1" minValue="0" maxValue="0" count="7">
        <s v="ADM"/>
        <m/>
        <s v="1º TURNO"/>
        <s v="2º TURNO"/>
        <s v="3º TURNO"/>
        <s v="1 TURNO"/>
        <n v="0"/>
      </sharedItems>
    </cacheField>
    <cacheField name="Cod. Ferramenta" numFmtId="0">
      <sharedItems containsString="0" containsBlank="1" containsNumber="1" containsInteger="1" minValue="50001740" maxValue="60037922"/>
    </cacheField>
    <cacheField name="Desc. Ferramenta" numFmtId="0">
      <sharedItems containsBlank="1"/>
    </cacheField>
    <cacheField name="QTD" numFmtId="0">
      <sharedItems containsBlank="1" containsMixedTypes="1" containsNumber="1" containsInteger="1" minValue="1" maxValue="2"/>
    </cacheField>
    <cacheField name="CHECKLIST" numFmtId="0">
      <sharedItems containsBlank="1"/>
    </cacheField>
    <cacheField name="ALMOXARIFE RESP." numFmtId="0">
      <sharedItems containsBlank="1"/>
    </cacheField>
    <cacheField name="Data" numFmtId="14">
      <sharedItems containsNonDate="0" containsDate="1" containsString="0" containsBlank="1" minDate="1899-12-31T00:00:00" maxDate="2025-12-20T00:00:00" count="136">
        <d v="2025-12-04T00:00:00"/>
        <m/>
        <d v="2025-12-19T00:00:00"/>
        <d v="2025-12-18T00:00:00"/>
        <d v="2025-12-17T00:00:00"/>
        <d v="2025-12-16T00:00:00"/>
        <d v="2025-12-15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2T00:00:00"/>
        <d v="2025-11-21T00:00:00"/>
        <d v="2025-11-20T00:00:00"/>
        <d v="2025-11-19T00:00:00"/>
        <d v="2025-11-18T00:00:00"/>
        <d v="2025-11-17T00:00:00"/>
        <d v="2025-11-14T00:00:00"/>
        <d v="2025-11-13T00:00:00"/>
        <d v="2025-11-12T00:00:00"/>
        <d v="2025-11-11T00:00:00"/>
        <d v="2025-11-10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30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2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09T00:00:00"/>
        <d v="2025-08-08T00:00:00"/>
        <d v="2025-08-07T00:00:00"/>
        <d v="2025-08-06T00:00:00"/>
        <d v="2025-08-05T00:00:00"/>
        <d v="2025-08-04T00:00:00"/>
        <d v="1899-12-31T00:00:00"/>
        <d v="2024-03-28T00:00:00" u="1"/>
        <d v="2024-05-29T00:00:00" u="1"/>
        <d v="2024-04-29T00:00:00" u="1"/>
        <d v="2024-06-21T00:00:00" u="1"/>
        <d v="2024-05-28T00:00:00" u="1"/>
        <d v="2024-04-28T00:00:00" u="1"/>
      </sharedItems>
      <fieldGroup par="13"/>
    </cacheField>
    <cacheField name="Movimentação" numFmtId="0">
      <sharedItems containsBlank="1" count="3">
        <s v="Entrada"/>
        <m/>
        <s v="Saida"/>
      </sharedItems>
    </cacheField>
    <cacheField name="OBSERVAÇÃO" numFmtId="0">
      <sharedItems containsBlank="1" count="15">
        <s v="1. FERRAMENTA EM PERFEITO ESTADO"/>
        <m/>
        <s v="VERIFICAR CARVÃO "/>
        <s v="FERRAMENTA QUEBRADA"/>
        <s v="2. FERRAMENTA NÃO ESTÁ FUNCIONANDO "/>
        <s v="FALTANDO 1 PEÇA"/>
        <s v="MALETA SUJA"/>
        <s v="1.FERRAMENTA EM PERFIETO ESTADO "/>
        <s v="FERRAMENTA SUJA"/>
        <s v="MALETA JÁ ESTAVA QUEBRADA"/>
        <s v="3. FALTANDO PEÇA DA FERRAMENTA"/>
        <s v="2 SERRA COPOS EM FALTA "/>
        <s v="MALETA JÁ ESTAVA COM AUSENCIA E QUEBRA DE BROCAS"/>
        <s v="FERRAMENTA NÃO ESTÁ FUNCIONANDO " u="1"/>
        <s v="FERRAMENTA EM PERFEITO ESTADO" u="1"/>
      </sharedItems>
    </cacheField>
    <cacheField name="Dias (Data)" numFmtId="0" databaseField="0">
      <fieldGroup base="9">
        <rangePr groupBy="days" startDate="1899-12-31T00:00:00" endDate="2025-12-20T00:00:00"/>
        <groupItems count="368">
          <s v="&lt;01/01/1900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20/12/2025"/>
        </groupItems>
      </fieldGroup>
    </cacheField>
    <cacheField name="Meses (Data)" numFmtId="0" databaseField="0">
      <fieldGroup base="9">
        <rangePr groupBy="months" startDate="1899-12-31T00:00:00" endDate="2025-12-20T00:00:00"/>
        <groupItems count="14">
          <s v="&lt;01/01/190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0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ovane Eduardo Rocha/ Almoxarifado de Manutenção" refreshedDate="46010.625053587966" createdVersion="6" refreshedVersion="6" minRefreshableVersion="3" recordCount="4511" xr:uid="{00000000-000A-0000-FFFF-FFFF03000000}">
  <cacheSource type="worksheet">
    <worksheetSource ref="E1:K1048576" sheet="Relatorio"/>
  </cacheSource>
  <cacheFields count="7">
    <cacheField name="Cod. Ferramenta" numFmtId="0">
      <sharedItems containsString="0" containsBlank="1" containsNumber="1" containsInteger="1" minValue="50001740" maxValue="60037922"/>
    </cacheField>
    <cacheField name="Desc. Ferramenta" numFmtId="0">
      <sharedItems containsBlank="1" count="126">
        <s v="LIXADEIRA BOSCH 5"/>
        <m/>
        <s v="LIXADEIRA BOSCH 2"/>
        <s v="CHAVE GRIFO 18"/>
        <s v="TACOMETRO"/>
        <s v="FURADEIRA BOSCH 7"/>
        <s v="JOGO SOQUETE ESTRIADOS 1/2 22PEÇ"/>
        <s v="CHAVE DE IMPACTO 1/2&quot; 20V"/>
        <s v="FURADEIRA DE IMPACTO MAKITA 02"/>
        <s v="JOGO DE BROCAS ACO RAPIDO"/>
        <s v="LIXADEIRA BOSCH 1"/>
        <s v="ESCALA DE ACO 1000MM VONDER "/>
        <s v="SERRA TICO TICO 650W DEWALT "/>
        <s v="SACA POLIA 150MM 3 GARRAS - GEDORE"/>
        <s v="LIXADEIRA BOSCH 3"/>
        <s v="TALHA MANUAL 1000KG"/>
        <s v="CHAVE GANCHO 68 A 75MM"/>
        <s v="FURADEIRA BOSCH 3"/>
        <s v="KIT MONTAGEM ROLAMENTO SKF"/>
        <s v="JOGO DE LIMA AGULHA COM 12PCS"/>
        <s v=" LIXADEIRA BOSCH 6"/>
        <s v="PARAFUSADEIRA FUR DE IMPACTO BRUSHLESS"/>
        <s v="MAQUINA SOLDA TIG"/>
        <s v="CHAVE GANCHO 80 A 90MM"/>
        <s v="MARTELETE VONDER"/>
        <s v="CHAVE GANCHO 95 A 100MM"/>
        <s v="JOGO DE SERRAS COPOS BIMETALICAS 16 PEÇAS"/>
        <s v="ARCO DE SERRA"/>
        <s v="CHAVE GRIFO 36"/>
        <s v="CHAVE GRIFO 24"/>
        <s v="SACA POLIA 03 GARRAS 250 MM GEDORE"/>
        <s v="SACA POLIA 02 GARRAS 250MM GEDORE"/>
        <s v="PISTOLA PNEUMATICA DE PINTURA"/>
        <s v="SOPRADOR TERMICO VONDER 1500W 220V"/>
        <s v="LIXADEIRA BOSCH 4"/>
        <s v="JOGO SERRA COPO 8PÇS"/>
        <s v="CHAVE CATRACA (2) Nº24-41V"/>
        <s v="CHAVE CATRACA (1) Nº24-41V"/>
        <s v="VACUOMETRO DIGITAL"/>
        <s v="TERMOMETRO PENTA -50 +150 C"/>
        <s v="RETIFICA "/>
        <s v="SOLDADOR POLYCODE"/>
        <s v="REBITADOR MANUAL"/>
        <s v="TERMOMETRO"/>
        <s v="MAQUINA DE SOLDA"/>
        <s v="SARGENTO 2"/>
        <s v="CHAVE AJUSTÁVEL 45MM"/>
        <s v="TALHA 2000KG x 5M"/>
        <s v="TORQUIMETRO GEDORE "/>
        <s v="ESTETOSCÓPIO SKF"/>
        <s v="MICROMETRO INTERNO - EXTRUSORA"/>
        <s v="PAQUIMETRO UNIVERSAL 300MM"/>
        <s v="MACACO HIDRAULICO AZUL"/>
        <s v="CAMERA TERMOGRAFICA"/>
        <s v="SERRA TICO TICO BOSCH S/MALETA"/>
        <s v="CHAVE GANCHO 52 A 55MM"/>
        <s v="SUPORTE DE PAQUIMETRO - CALIBRAÇÃO MOLDADORA"/>
        <s v="LIXADEIRA BOSCH 7"/>
        <s v="SARGENTO 1 "/>
        <s v="MARTELO ROMPEDOR SDS MAX 220V 1100W"/>
        <s v="REBITADEIRA MANUAL KJ29 - MALETA 2"/>
        <s v="CHAVE DE BOCA MANUAL"/>
        <s v="NIVEL A LASER BOSCH GLL-2-12"/>
        <s v="CÂMERA TERMOGRAFICA FLIR"/>
        <s v="FURADEIRA BOSCH 2"/>
        <s v="REBITADEIRA MANUAL KJ29 - MALETA 1"/>
        <s v="PARAFUSADEIRA FURADEIRA BOSCH"/>
        <s v="CHAVE GANCHO 45 A 50MM"/>
        <s v="SERRA CIRCULAR MAKITA 4100NH2"/>
        <s v="ASPIRADOR PARA SOLIDOS SEM FIO 20V"/>
        <s v="JOGO DE TARRACHAS "/>
        <s v="SARGENTO 7"/>
        <s v="MARRETA 8KG"/>
        <s v="CHAVE CATRACA 2 Nº24"/>
        <s v="CHAVE CATRACA 1 Nº24"/>
        <s v="SACA POLIA 02 GARRAS 150MM"/>
        <s v="KIT FLANGEADOR DE TUBO DE COBRE"/>
        <s v="MISTURADOR DE ARGAMASSA"/>
        <s v="ALICATE DE CORTE 18"/>
        <s v="HEADSET H390 LOGITECH"/>
        <s v="TALHADEIRA MANUAL SEXTAVADA 300 X 25 MM"/>
        <s v="SARGENTO 6"/>
        <s v="MARRETA 3KG GEDORE"/>
        <s v="ALICATE CRIMPADOR"/>
        <s v="FURADEIRA BOSCH 4"/>
        <s v="JOGO TARRAXA MANUAL"/>
        <s v="VAZADOR 12 PÇS"/>
        <s v="SERRA TICO TICO BOSCH C/MALETA"/>
        <s v="SOPRADOR "/>
        <s v="CHAVE PARA TODAS AS BITOLAS"/>
        <s v="TORQUIMETRO GEDORE GRANDE"/>
        <s v="LIXADEIRA GRANDE MAKITA"/>
        <s v="TESTADOR DE CABOS REDE E CABOS COAXIAL"/>
        <s v="MEDIDOR DE ESPESSURA"/>
        <s v="DUROMETRO"/>
        <s v="RETIFICA"/>
        <s v="DETECTOR DE VAZAMENTO DE GÁS"/>
        <s v="ESCADA "/>
        <s v="SACA POLIA COM 2 GARRAS 70MM"/>
        <s v="KIT FLANGEADOR "/>
        <s v="MARRETA 4KG"/>
        <s v="BOTOEIRA MANUTENÇÃO FORNO 09"/>
        <s v="ALINHADOR DE POLIA A LASER"/>
        <s v="MACACO HIDRAULICO CINZA"/>
        <s v="CHAVE GANCHO 58 A 62MM"/>
        <s v="FURADEIRA DE IMPACTO MAKITA 01"/>
        <s v="FLANGEADOR"/>
        <s v="ALICATE HIDRAULICO PRENSA CRIMPA"/>
        <s v="SERRA CIRCULAR "/>
        <s v="MICROMETRO 25-50 DIAMETRO EXTERNO"/>
        <s v="SOQUETE SEXTAVADO 41"/>
        <s v="CHAVE GANCHO 34 A 36MM"/>
        <s v="MEGOMETRO DIGITAL FLUKE"/>
        <s v="GRAMPO PARA MARCENARIA"/>
        <s v="REBITADOR PNEUMATICO"/>
        <s v="FURADEIRA BOSCH 6"/>
        <s v="SACA POLIA HIDRAULICO"/>
        <s v="ALICATE HIDRAULICO"/>
        <s v="SACA POLIA 03 GARRAS"/>
        <s v="KIT INTENSIFICADOR DE FITA"/>
        <s v="PARAFUSADEIRA FURADEIRA DE IMPACTO 1/2"/>
        <s v="VAZADOR"/>
        <s v="CONJUNTO DE FITA DE ARQUEAR"/>
        <s v="CHAVE CANHÃO 2"/>
        <s v="SARGENTO 4"/>
        <s v="NÃO ENCONTRADO" u="1"/>
      </sharedItems>
    </cacheField>
    <cacheField name="QTD" numFmtId="0">
      <sharedItems containsBlank="1" containsMixedTypes="1" containsNumber="1" containsInteger="1" minValue="1" maxValue="2"/>
    </cacheField>
    <cacheField name="CHECKLIST" numFmtId="0">
      <sharedItems containsBlank="1"/>
    </cacheField>
    <cacheField name="ALMOXARIFE RESP." numFmtId="0">
      <sharedItems containsBlank="1"/>
    </cacheField>
    <cacheField name="Data" numFmtId="14">
      <sharedItems containsNonDate="0" containsDate="1" containsString="0" containsBlank="1" minDate="1899-12-31T00:00:00" maxDate="2025-12-20T00:00:00"/>
    </cacheField>
    <cacheField name="Movimentação" numFmtId="0">
      <sharedItems containsBlank="1" count="3">
        <s v="Entrada"/>
        <m/>
        <s v="Sai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1">
  <r>
    <n v="50010031"/>
    <x v="0"/>
    <n v="1"/>
    <n v="16"/>
    <n v="16"/>
    <n v="0"/>
  </r>
  <r>
    <n v="50040127"/>
    <x v="1"/>
    <n v="1"/>
    <n v="0"/>
    <n v="0"/>
    <n v="0"/>
  </r>
  <r>
    <n v="50002644"/>
    <x v="2"/>
    <n v="2"/>
    <n v="8"/>
    <n v="11"/>
    <n v="-3"/>
  </r>
  <r>
    <n v="50040133"/>
    <x v="3"/>
    <n v="1"/>
    <n v="0"/>
    <n v="0"/>
    <n v="0"/>
  </r>
  <r>
    <n v="50037950"/>
    <x v="4"/>
    <n v="1"/>
    <n v="0"/>
    <n v="0"/>
    <n v="0"/>
  </r>
  <r>
    <n v="50036284"/>
    <x v="5"/>
    <n v="1"/>
    <n v="0"/>
    <n v="0"/>
    <n v="0"/>
  </r>
  <r>
    <n v="50037965"/>
    <x v="6"/>
    <n v="1"/>
    <n v="1"/>
    <n v="1"/>
    <n v="0"/>
  </r>
  <r>
    <n v="50040694"/>
    <x v="7"/>
    <n v="1"/>
    <n v="1"/>
    <n v="1"/>
    <n v="0"/>
  </r>
  <r>
    <n v="50037951"/>
    <x v="8"/>
    <n v="1"/>
    <n v="0"/>
    <n v="0"/>
    <n v="0"/>
  </r>
  <r>
    <n v="50030127"/>
    <x v="9"/>
    <n v="1"/>
    <n v="0"/>
    <n v="0"/>
    <n v="0"/>
  </r>
  <r>
    <n v="50003298"/>
    <x v="10"/>
    <n v="1"/>
    <n v="0"/>
    <n v="0"/>
    <n v="0"/>
  </r>
  <r>
    <n v="50038600"/>
    <x v="11"/>
    <n v="1"/>
    <n v="0"/>
    <n v="0"/>
    <n v="0"/>
  </r>
  <r>
    <n v="50038854"/>
    <x v="12"/>
    <n v="1"/>
    <n v="14"/>
    <n v="14"/>
    <n v="0"/>
  </r>
  <r>
    <n v="50036298"/>
    <x v="13"/>
    <n v="1"/>
    <n v="2"/>
    <n v="2"/>
    <n v="0"/>
  </r>
  <r>
    <n v="50037939"/>
    <x v="14"/>
    <n v="1"/>
    <n v="0"/>
    <n v="0"/>
    <n v="0"/>
  </r>
  <r>
    <n v="50041130"/>
    <x v="15"/>
    <n v="1"/>
    <n v="0"/>
    <n v="0"/>
    <n v="0"/>
  </r>
  <r>
    <n v="50008602"/>
    <x v="16"/>
    <n v="1"/>
    <n v="0"/>
    <n v="0"/>
    <n v="0"/>
  </r>
  <r>
    <n v="50037927"/>
    <x v="17"/>
    <n v="1"/>
    <n v="0"/>
    <n v="0"/>
    <n v="0"/>
  </r>
  <r>
    <n v="50037857"/>
    <x v="18"/>
    <n v="1"/>
    <n v="0"/>
    <n v="0"/>
    <n v="0"/>
  </r>
  <r>
    <n v="50038991"/>
    <x v="19"/>
    <n v="1"/>
    <n v="4"/>
    <n v="4"/>
    <n v="0"/>
  </r>
  <r>
    <n v="50036296"/>
    <x v="20"/>
    <n v="1"/>
    <n v="6"/>
    <n v="7"/>
    <n v="-1"/>
  </r>
  <r>
    <n v="50037917"/>
    <x v="21"/>
    <n v="1"/>
    <n v="0"/>
    <n v="0"/>
    <n v="0"/>
  </r>
  <r>
    <n v="50037918"/>
    <x v="22"/>
    <n v="1"/>
    <n v="1"/>
    <n v="1"/>
    <n v="0"/>
  </r>
  <r>
    <n v="50037960"/>
    <x v="23"/>
    <n v="1"/>
    <n v="1"/>
    <n v="4"/>
    <n v="-3"/>
  </r>
  <r>
    <n v="50037961"/>
    <x v="24"/>
    <n v="1"/>
    <n v="1"/>
    <n v="4"/>
    <n v="-3"/>
  </r>
  <r>
    <n v="50037957"/>
    <x v="25"/>
    <n v="1"/>
    <n v="0"/>
    <n v="0"/>
    <n v="0"/>
  </r>
  <r>
    <n v="50037958"/>
    <x v="26"/>
    <n v="1"/>
    <n v="0"/>
    <n v="0"/>
    <n v="0"/>
  </r>
  <r>
    <n v="50037959"/>
    <x v="27"/>
    <n v="1"/>
    <n v="0"/>
    <n v="0"/>
    <n v="0"/>
  </r>
  <r>
    <n v="50037922"/>
    <x v="28"/>
    <n v="1"/>
    <n v="1"/>
    <n v="1"/>
    <n v="0"/>
  </r>
  <r>
    <n v="50037923"/>
    <x v="29"/>
    <n v="1"/>
    <n v="0"/>
    <n v="0"/>
    <n v="0"/>
  </r>
  <r>
    <n v="50037925"/>
    <x v="30"/>
    <n v="1"/>
    <n v="0"/>
    <n v="0"/>
    <n v="0"/>
  </r>
  <r>
    <n v="50036255"/>
    <x v="31"/>
    <n v="1"/>
    <n v="4"/>
    <n v="4"/>
    <n v="0"/>
  </r>
  <r>
    <n v="50040132"/>
    <x v="32"/>
    <n v="1"/>
    <n v="0"/>
    <n v="0"/>
    <n v="0"/>
  </r>
  <r>
    <n v="50036285"/>
    <x v="33"/>
    <n v="1"/>
    <n v="0"/>
    <n v="0"/>
    <n v="0"/>
  </r>
  <r>
    <n v="50036286"/>
    <x v="34"/>
    <n v="1"/>
    <n v="0"/>
    <n v="0"/>
    <n v="0"/>
  </r>
  <r>
    <n v="50036287"/>
    <x v="35"/>
    <n v="1"/>
    <n v="0"/>
    <n v="0"/>
    <n v="0"/>
  </r>
  <r>
    <n v="50036288"/>
    <x v="36"/>
    <n v="1"/>
    <n v="1"/>
    <n v="1"/>
    <n v="0"/>
  </r>
  <r>
    <n v="50036289"/>
    <x v="37"/>
    <n v="1"/>
    <n v="0"/>
    <n v="0"/>
    <n v="0"/>
  </r>
  <r>
    <n v="50036290"/>
    <x v="38"/>
    <n v="1"/>
    <n v="0"/>
    <n v="0"/>
    <n v="0"/>
  </r>
  <r>
    <n v="50036291"/>
    <x v="39"/>
    <n v="1"/>
    <n v="1"/>
    <n v="1"/>
    <n v="0"/>
  </r>
  <r>
    <n v="50036292"/>
    <x v="40"/>
    <n v="1"/>
    <n v="0"/>
    <n v="1"/>
    <n v="-1"/>
  </r>
  <r>
    <n v="50036293"/>
    <x v="41"/>
    <n v="1"/>
    <n v="1"/>
    <n v="1"/>
    <n v="0"/>
  </r>
  <r>
    <n v="50036294"/>
    <x v="42"/>
    <n v="1"/>
    <n v="0"/>
    <n v="0"/>
    <n v="0"/>
  </r>
  <r>
    <n v="50036295"/>
    <x v="43"/>
    <n v="1"/>
    <n v="1"/>
    <n v="1"/>
    <n v="0"/>
  </r>
  <r>
    <n v="50036086"/>
    <x v="44"/>
    <n v="1"/>
    <n v="15"/>
    <n v="13"/>
    <n v="2"/>
  </r>
  <r>
    <n v="50003173"/>
    <x v="45"/>
    <n v="1"/>
    <n v="4"/>
    <n v="4"/>
    <n v="0"/>
  </r>
  <r>
    <n v="50038842"/>
    <x v="46"/>
    <n v="2"/>
    <n v="1"/>
    <n v="2"/>
    <n v="-1"/>
  </r>
  <r>
    <n v="50036279"/>
    <x v="46"/>
    <n v="1"/>
    <n v="5"/>
    <n v="5"/>
    <n v="0"/>
  </r>
  <r>
    <n v="50041939"/>
    <x v="47"/>
    <n v="1"/>
    <n v="0"/>
    <n v="0"/>
    <n v="0"/>
  </r>
  <r>
    <n v="50040129"/>
    <x v="48"/>
    <n v="1"/>
    <n v="0"/>
    <n v="0"/>
    <n v="0"/>
  </r>
  <r>
    <n v="50040128"/>
    <x v="49"/>
    <n v="1"/>
    <n v="0"/>
    <n v="0"/>
    <n v="0"/>
  </r>
  <r>
    <n v="50040130"/>
    <x v="50"/>
    <n v="1"/>
    <n v="0"/>
    <n v="0"/>
    <n v="0"/>
  </r>
  <r>
    <n v="50040131"/>
    <x v="51"/>
    <n v="1"/>
    <n v="0"/>
    <n v="0"/>
    <n v="0"/>
  </r>
  <r>
    <n v="50037954"/>
    <x v="52"/>
    <n v="1"/>
    <n v="0"/>
    <n v="0"/>
    <n v="0"/>
  </r>
  <r>
    <n v="50037955"/>
    <x v="53"/>
    <n v="1"/>
    <n v="0"/>
    <n v="0"/>
    <n v="0"/>
  </r>
  <r>
    <n v="50042623"/>
    <x v="54"/>
    <n v="1"/>
    <n v="0"/>
    <n v="0"/>
    <n v="0"/>
  </r>
  <r>
    <n v="50037937"/>
    <x v="55"/>
    <n v="1"/>
    <n v="0"/>
    <n v="0"/>
    <n v="0"/>
  </r>
  <r>
    <n v="50037911"/>
    <x v="56"/>
    <n v="1"/>
    <n v="0"/>
    <n v="0"/>
    <n v="0"/>
  </r>
  <r>
    <n v="50037912"/>
    <x v="57"/>
    <n v="1"/>
    <n v="0"/>
    <n v="0"/>
    <n v="0"/>
  </r>
  <r>
    <n v="50037913"/>
    <x v="58"/>
    <n v="1"/>
    <n v="0"/>
    <n v="0"/>
    <n v="0"/>
  </r>
  <r>
    <n v="50037914"/>
    <x v="59"/>
    <n v="1"/>
    <n v="0"/>
    <n v="0"/>
    <n v="0"/>
  </r>
  <r>
    <n v="50037931"/>
    <x v="60"/>
    <n v="1"/>
    <n v="0"/>
    <n v="0"/>
    <n v="0"/>
  </r>
  <r>
    <n v="50037941"/>
    <x v="61"/>
    <n v="1"/>
    <n v="0"/>
    <n v="0"/>
    <n v="0"/>
  </r>
  <r>
    <n v="50039718"/>
    <x v="62"/>
    <n v="1"/>
    <n v="7"/>
    <n v="7"/>
    <n v="0"/>
  </r>
  <r>
    <n v="50037905"/>
    <x v="63"/>
    <n v="1"/>
    <n v="30"/>
    <n v="30"/>
    <n v="0"/>
  </r>
  <r>
    <n v="50038617"/>
    <x v="64"/>
    <n v="1"/>
    <n v="0"/>
    <n v="0"/>
    <n v="0"/>
  </r>
  <r>
    <n v="50036280"/>
    <x v="65"/>
    <n v="1"/>
    <n v="0"/>
    <n v="0"/>
    <n v="0"/>
  </r>
  <r>
    <n v="50030486"/>
    <x v="66"/>
    <n v="1"/>
    <n v="17"/>
    <n v="17"/>
    <n v="0"/>
  </r>
  <r>
    <n v="50039236"/>
    <x v="67"/>
    <n v="1"/>
    <n v="26"/>
    <n v="27"/>
    <n v="-1"/>
  </r>
  <r>
    <n v="50033115"/>
    <x v="68"/>
    <n v="1"/>
    <n v="0"/>
    <n v="0"/>
    <n v="0"/>
  </r>
  <r>
    <n v="50030074"/>
    <x v="69"/>
    <n v="1"/>
    <n v="8"/>
    <n v="8"/>
    <n v="0"/>
  </r>
  <r>
    <n v="50003296"/>
    <x v="70"/>
    <n v="1"/>
    <n v="11"/>
    <n v="11"/>
    <n v="0"/>
  </r>
  <r>
    <n v="50003297"/>
    <x v="71"/>
    <n v="1"/>
    <n v="21"/>
    <n v="23"/>
    <n v="-2"/>
  </r>
  <r>
    <n v="50037938"/>
    <x v="72"/>
    <n v="1"/>
    <n v="0"/>
    <n v="0"/>
    <n v="0"/>
  </r>
  <r>
    <n v="50037956"/>
    <x v="73"/>
    <n v="1"/>
    <n v="1"/>
    <n v="0"/>
    <n v="1"/>
  </r>
  <r>
    <n v="50037930"/>
    <x v="74"/>
    <n v="1"/>
    <n v="0"/>
    <n v="0"/>
    <n v="0"/>
  </r>
  <r>
    <n v="50029865"/>
    <x v="75"/>
    <n v="2"/>
    <n v="17"/>
    <n v="18"/>
    <n v="-1"/>
  </r>
  <r>
    <n v="50036299"/>
    <x v="76"/>
    <n v="1"/>
    <n v="4"/>
    <n v="4"/>
    <n v="0"/>
  </r>
  <r>
    <n v="50037916"/>
    <x v="77"/>
    <n v="1"/>
    <n v="2"/>
    <n v="2"/>
    <n v="0"/>
  </r>
  <r>
    <n v="50030604"/>
    <x v="78"/>
    <n v="2"/>
    <n v="0"/>
    <n v="0"/>
    <n v="0"/>
  </r>
  <r>
    <n v="50030606"/>
    <x v="79"/>
    <n v="2"/>
    <n v="0"/>
    <n v="0"/>
    <n v="0"/>
  </r>
  <r>
    <n v="50030597"/>
    <x v="80"/>
    <n v="2"/>
    <n v="0"/>
    <n v="0"/>
    <n v="0"/>
  </r>
  <r>
    <n v="50030598"/>
    <x v="81"/>
    <n v="2"/>
    <n v="0"/>
    <n v="0"/>
    <n v="0"/>
  </r>
  <r>
    <n v="50030599"/>
    <x v="82"/>
    <n v="2"/>
    <n v="0"/>
    <n v="0"/>
    <n v="0"/>
  </r>
  <r>
    <n v="50030600"/>
    <x v="83"/>
    <n v="2"/>
    <n v="0"/>
    <n v="0"/>
    <n v="0"/>
  </r>
  <r>
    <n v="50030601"/>
    <x v="84"/>
    <n v="2"/>
    <n v="0"/>
    <n v="0"/>
    <n v="0"/>
  </r>
  <r>
    <n v="50030602"/>
    <x v="85"/>
    <n v="2"/>
    <n v="0"/>
    <n v="0"/>
    <n v="0"/>
  </r>
  <r>
    <n v="50038549"/>
    <x v="86"/>
    <n v="2"/>
    <n v="37"/>
    <n v="40"/>
    <n v="-3"/>
  </r>
  <r>
    <n v="50037921"/>
    <x v="87"/>
    <n v="1"/>
    <n v="0"/>
    <n v="0"/>
    <n v="0"/>
  </r>
  <r>
    <n v="50037909"/>
    <x v="88"/>
    <n v="1"/>
    <n v="1"/>
    <n v="1"/>
    <n v="0"/>
  </r>
  <r>
    <n v="50037910"/>
    <x v="89"/>
    <n v="1"/>
    <n v="0"/>
    <n v="0"/>
    <n v="0"/>
  </r>
  <r>
    <n v="50038956"/>
    <x v="90"/>
    <n v="1"/>
    <n v="40"/>
    <n v="40"/>
    <n v="0"/>
  </r>
  <r>
    <n v="50037892"/>
    <x v="91"/>
    <n v="1"/>
    <n v="43"/>
    <n v="46"/>
    <n v="-3"/>
  </r>
  <r>
    <n v="50037902"/>
    <x v="92"/>
    <n v="1"/>
    <n v="36"/>
    <n v="36"/>
    <n v="0"/>
  </r>
  <r>
    <n v="50038841"/>
    <x v="93"/>
    <n v="1"/>
    <n v="60"/>
    <n v="52"/>
    <n v="8"/>
  </r>
  <r>
    <n v="50038517"/>
    <x v="94"/>
    <n v="1"/>
    <n v="49"/>
    <n v="39"/>
    <n v="10"/>
  </r>
  <r>
    <n v="50038846"/>
    <x v="95"/>
    <n v="1"/>
    <n v="0"/>
    <n v="0"/>
    <n v="0"/>
  </r>
  <r>
    <n v="50037903"/>
    <x v="96"/>
    <n v="1"/>
    <n v="6"/>
    <n v="7"/>
    <n v="-1"/>
  </r>
  <r>
    <n v="50037926"/>
    <x v="97"/>
    <n v="1"/>
    <n v="2"/>
    <n v="2"/>
    <n v="0"/>
  </r>
  <r>
    <n v="50001995"/>
    <x v="98"/>
    <n v="1"/>
    <n v="28"/>
    <n v="32"/>
    <n v="-4"/>
  </r>
  <r>
    <n v="50039065"/>
    <x v="99"/>
    <n v="1"/>
    <n v="26"/>
    <n v="26"/>
    <n v="0"/>
  </r>
  <r>
    <n v="50037935"/>
    <x v="100"/>
    <n v="1"/>
    <n v="0"/>
    <n v="0"/>
    <n v="0"/>
  </r>
  <r>
    <n v="50036332"/>
    <x v="101"/>
    <n v="1"/>
    <n v="1"/>
    <n v="2"/>
    <n v="-1"/>
  </r>
  <r>
    <n v="50036297"/>
    <x v="102"/>
    <n v="1"/>
    <n v="5"/>
    <n v="8"/>
    <n v="-3"/>
  </r>
  <r>
    <n v="50038626"/>
    <x v="103"/>
    <n v="1"/>
    <n v="8"/>
    <n v="11"/>
    <n v="-3"/>
  </r>
  <r>
    <n v="50038516"/>
    <x v="104"/>
    <n v="1"/>
    <n v="0"/>
    <n v="0"/>
    <n v="0"/>
  </r>
  <r>
    <n v="50026357"/>
    <x v="105"/>
    <n v="1"/>
    <n v="21"/>
    <n v="25"/>
    <n v="-4"/>
  </r>
  <r>
    <n v="50038662"/>
    <x v="106"/>
    <n v="1"/>
    <n v="6"/>
    <n v="7"/>
    <n v="-1"/>
  </r>
  <r>
    <n v="50041131"/>
    <x v="107"/>
    <n v="1"/>
    <n v="0"/>
    <n v="0"/>
    <n v="0"/>
  </r>
  <r>
    <n v="50037963"/>
    <x v="108"/>
    <n v="1"/>
    <n v="0"/>
    <n v="0"/>
    <n v="0"/>
  </r>
  <r>
    <n v="50022923"/>
    <x v="109"/>
    <n v="1"/>
    <n v="1"/>
    <n v="1"/>
    <n v="0"/>
  </r>
  <r>
    <n v="50037942"/>
    <x v="110"/>
    <n v="1"/>
    <n v="0"/>
    <n v="0"/>
    <n v="0"/>
  </r>
  <r>
    <n v="50037929"/>
    <x v="111"/>
    <n v="1"/>
    <n v="1"/>
    <n v="1"/>
    <n v="0"/>
  </r>
  <r>
    <n v="50037934"/>
    <x v="112"/>
    <n v="1"/>
    <n v="0"/>
    <n v="0"/>
    <n v="0"/>
  </r>
  <r>
    <n v="50037858"/>
    <x v="113"/>
    <n v="1"/>
    <n v="0"/>
    <n v="0"/>
    <n v="0"/>
  </r>
  <r>
    <n v="50041653"/>
    <x v="114"/>
    <n v="1"/>
    <n v="4"/>
    <n v="4"/>
    <n v="0"/>
  </r>
  <r>
    <n v="50041124"/>
    <x v="115"/>
    <n v="1"/>
    <n v="1"/>
    <n v="1"/>
    <n v="0"/>
  </r>
  <r>
    <n v="50037953"/>
    <x v="116"/>
    <n v="1"/>
    <n v="0"/>
    <n v="0"/>
    <n v="0"/>
  </r>
  <r>
    <n v="50038844"/>
    <x v="117"/>
    <n v="1"/>
    <n v="0"/>
    <n v="0"/>
    <n v="0"/>
  </r>
  <r>
    <n v="50038312"/>
    <x v="118"/>
    <n v="1"/>
    <n v="0"/>
    <n v="0"/>
    <n v="0"/>
  </r>
  <r>
    <n v="50041195"/>
    <x v="119"/>
    <n v="1"/>
    <n v="26"/>
    <n v="26"/>
    <n v="0"/>
  </r>
  <r>
    <n v="50003295"/>
    <x v="120"/>
    <n v="1"/>
    <n v="3"/>
    <n v="3"/>
    <n v="0"/>
  </r>
  <r>
    <n v="50037964"/>
    <x v="121"/>
    <n v="1"/>
    <n v="0"/>
    <n v="0"/>
    <n v="0"/>
  </r>
  <r>
    <n v="50039802"/>
    <x v="122"/>
    <n v="1"/>
    <n v="0"/>
    <n v="0"/>
    <n v="0"/>
  </r>
  <r>
    <n v="50040566"/>
    <x v="123"/>
    <n v="1"/>
    <n v="0"/>
    <n v="0"/>
    <n v="0"/>
  </r>
  <r>
    <n v="50037940"/>
    <x v="124"/>
    <n v="1"/>
    <n v="0"/>
    <n v="0"/>
    <n v="0"/>
  </r>
  <r>
    <n v="50038664"/>
    <x v="125"/>
    <n v="1"/>
    <n v="0"/>
    <n v="0"/>
    <n v="0"/>
  </r>
  <r>
    <n v="50037904"/>
    <x v="126"/>
    <n v="1"/>
    <n v="0"/>
    <n v="0"/>
    <n v="0"/>
  </r>
  <r>
    <n v="50037908"/>
    <x v="127"/>
    <n v="1"/>
    <n v="0"/>
    <n v="0"/>
    <n v="0"/>
  </r>
  <r>
    <n v="50037906"/>
    <x v="128"/>
    <n v="1"/>
    <n v="0"/>
    <n v="2"/>
    <n v="-2"/>
  </r>
  <r>
    <n v="50037907"/>
    <x v="129"/>
    <n v="1"/>
    <n v="0"/>
    <n v="0"/>
    <n v="0"/>
  </r>
  <r>
    <n v="50020622"/>
    <x v="130"/>
    <n v="3"/>
    <n v="12"/>
    <n v="12"/>
    <n v="0"/>
  </r>
  <r>
    <n v="50037915"/>
    <x v="131"/>
    <n v="1"/>
    <n v="0"/>
    <n v="1"/>
    <n v="-1"/>
  </r>
  <r>
    <n v="50042059"/>
    <x v="132"/>
    <n v="1"/>
    <n v="0"/>
    <n v="0"/>
    <n v="0"/>
  </r>
  <r>
    <n v="50037962"/>
    <x v="133"/>
    <n v="1"/>
    <n v="0"/>
    <n v="0"/>
    <n v="0"/>
  </r>
  <r>
    <n v="50004486"/>
    <x v="134"/>
    <n v="1"/>
    <n v="6"/>
    <n v="6"/>
    <n v="0"/>
  </r>
  <r>
    <n v="50037936"/>
    <x v="135"/>
    <n v="1"/>
    <n v="0"/>
    <n v="0"/>
    <n v="0"/>
  </r>
  <r>
    <n v="50007151"/>
    <x v="136"/>
    <n v="1"/>
    <n v="0"/>
    <n v="1"/>
    <n v="-1"/>
  </r>
  <r>
    <n v="50012903"/>
    <x v="137"/>
    <n v="1"/>
    <n v="10"/>
    <n v="10"/>
    <n v="0"/>
  </r>
  <r>
    <n v="50012902"/>
    <x v="138"/>
    <n v="1"/>
    <n v="6"/>
    <n v="7"/>
    <n v="-1"/>
  </r>
  <r>
    <n v="50032775"/>
    <x v="139"/>
    <n v="1"/>
    <n v="8"/>
    <n v="9"/>
    <n v="-1"/>
  </r>
  <r>
    <n v="50037895"/>
    <x v="140"/>
    <n v="1"/>
    <n v="0"/>
    <n v="1"/>
    <n v="-1"/>
  </r>
  <r>
    <n v="50037943"/>
    <x v="141"/>
    <n v="1"/>
    <n v="0"/>
    <n v="0"/>
    <n v="0"/>
  </r>
  <r>
    <n v="50037944"/>
    <x v="142"/>
    <n v="1"/>
    <n v="0"/>
    <n v="0"/>
    <n v="0"/>
  </r>
  <r>
    <n v="50037945"/>
    <x v="143"/>
    <n v="1"/>
    <n v="0"/>
    <n v="0"/>
    <n v="0"/>
  </r>
  <r>
    <n v="50037946"/>
    <x v="144"/>
    <n v="1"/>
    <n v="1"/>
    <n v="1"/>
    <n v="0"/>
  </r>
  <r>
    <n v="50037947"/>
    <x v="145"/>
    <n v="1"/>
    <n v="0"/>
    <n v="0"/>
    <n v="0"/>
  </r>
  <r>
    <n v="50037948"/>
    <x v="146"/>
    <n v="1"/>
    <n v="0"/>
    <n v="0"/>
    <n v="0"/>
  </r>
  <r>
    <n v="50037949"/>
    <x v="147"/>
    <n v="1"/>
    <n v="1"/>
    <n v="1"/>
    <n v="0"/>
  </r>
  <r>
    <n v="50038845"/>
    <x v="148"/>
    <n v="1"/>
    <n v="2"/>
    <n v="2"/>
    <n v="0"/>
  </r>
  <r>
    <n v="50038840"/>
    <x v="149"/>
    <n v="1"/>
    <n v="7"/>
    <n v="7"/>
    <n v="0"/>
  </r>
  <r>
    <n v="50037901"/>
    <x v="150"/>
    <n v="1"/>
    <n v="0"/>
    <n v="0"/>
    <n v="0"/>
  </r>
  <r>
    <n v="50032781"/>
    <x v="151"/>
    <n v="1"/>
    <n v="15"/>
    <n v="15"/>
    <n v="0"/>
  </r>
  <r>
    <n v="50038194"/>
    <x v="152"/>
    <n v="1"/>
    <n v="8"/>
    <n v="8"/>
    <n v="0"/>
  </r>
  <r>
    <n v="50038195"/>
    <x v="153"/>
    <n v="1"/>
    <n v="3"/>
    <n v="3"/>
    <n v="0"/>
  </r>
  <r>
    <n v="50037900"/>
    <x v="154"/>
    <n v="1"/>
    <n v="2"/>
    <n v="1"/>
    <n v="1"/>
  </r>
  <r>
    <n v="50038618"/>
    <x v="155"/>
    <n v="1"/>
    <n v="0"/>
    <n v="1"/>
    <n v="-1"/>
  </r>
  <r>
    <n v="50028220"/>
    <x v="156"/>
    <n v="1"/>
    <n v="11"/>
    <n v="9"/>
    <n v="2"/>
  </r>
  <r>
    <n v="50037920"/>
    <x v="157"/>
    <n v="1"/>
    <n v="1"/>
    <n v="1"/>
    <n v="0"/>
  </r>
  <r>
    <n v="50037919"/>
    <x v="158"/>
    <n v="1"/>
    <n v="0"/>
    <n v="0"/>
    <n v="0"/>
  </r>
  <r>
    <n v="50037952"/>
    <x v="159"/>
    <n v="1"/>
    <n v="3"/>
    <n v="3"/>
    <n v="0"/>
  </r>
  <r>
    <n v="50037932"/>
    <x v="160"/>
    <n v="1"/>
    <n v="0"/>
    <n v="0"/>
    <n v="0"/>
  </r>
  <r>
    <n v="50042283"/>
    <x v="161"/>
    <n v="1"/>
    <n v="2"/>
    <n v="2"/>
    <n v="0"/>
  </r>
  <r>
    <n v="50041095"/>
    <x v="162"/>
    <n v="1"/>
    <n v="0"/>
    <n v="0"/>
    <n v="0"/>
  </r>
  <r>
    <n v="50041194"/>
    <x v="163"/>
    <n v="1"/>
    <n v="3"/>
    <n v="3"/>
    <n v="0"/>
  </r>
  <r>
    <n v="50037933"/>
    <x v="164"/>
    <n v="1"/>
    <n v="9"/>
    <n v="9"/>
    <n v="0"/>
  </r>
  <r>
    <n v="50018168"/>
    <x v="165"/>
    <n v="1"/>
    <n v="0"/>
    <n v="0"/>
    <n v="0"/>
  </r>
  <r>
    <n v="50040691"/>
    <x v="166"/>
    <n v="3"/>
    <n v="0"/>
    <n v="0"/>
    <n v="0"/>
  </r>
  <r>
    <n v="50041243"/>
    <x v="167"/>
    <n v="1"/>
    <n v="0"/>
    <n v="0"/>
    <n v="0"/>
  </r>
  <r>
    <n v="50041089"/>
    <x v="168"/>
    <n v="1"/>
    <n v="1"/>
    <n v="1"/>
    <n v="0"/>
  </r>
  <r>
    <s v="50038969 "/>
    <x v="169"/>
    <n v="1"/>
    <n v="0"/>
    <n v="0"/>
    <n v="0"/>
  </r>
  <r>
    <n v="50043471"/>
    <x v="170"/>
    <n v="1"/>
    <n v="43"/>
    <n v="43"/>
    <n v="0"/>
  </r>
  <r>
    <n v="50039528"/>
    <x v="171"/>
    <n v="1"/>
    <n v="0"/>
    <n v="0"/>
    <n v="0"/>
  </r>
  <r>
    <n v="50043150"/>
    <x v="172"/>
    <n v="1"/>
    <n v="2"/>
    <n v="2"/>
    <n v="0"/>
  </r>
  <r>
    <n v="50043151"/>
    <x v="173"/>
    <n v="1"/>
    <n v="1"/>
    <n v="1"/>
    <n v="0"/>
  </r>
  <r>
    <n v="50037924"/>
    <x v="174"/>
    <n v="1"/>
    <n v="3"/>
    <n v="1"/>
    <n v="2"/>
  </r>
  <r>
    <n v="50043917"/>
    <x v="175"/>
    <n v="1"/>
    <n v="65"/>
    <n v="68"/>
    <n v="-3"/>
  </r>
  <r>
    <n v="50044003"/>
    <x v="176"/>
    <n v="1"/>
    <n v="5"/>
    <n v="5"/>
    <n v="0"/>
  </r>
  <r>
    <n v="50043320"/>
    <x v="177"/>
    <n v="1"/>
    <n v="8"/>
    <n v="10"/>
    <n v="-2"/>
  </r>
  <r>
    <n v="50044250"/>
    <x v="178"/>
    <n v="1"/>
    <n v="2"/>
    <n v="2"/>
    <n v="0"/>
  </r>
  <r>
    <n v="50043520"/>
    <x v="179"/>
    <n v="1"/>
    <n v="4"/>
    <n v="4"/>
    <n v="0"/>
  </r>
  <r>
    <n v="50004404"/>
    <x v="180"/>
    <n v="1"/>
    <n v="0"/>
    <n v="0"/>
    <n v="0"/>
  </r>
  <r>
    <n v="50001740"/>
    <x v="181"/>
    <n v="1"/>
    <n v="1"/>
    <n v="1"/>
    <n v="0"/>
  </r>
  <r>
    <n v="50022878"/>
    <x v="182"/>
    <n v="1"/>
    <n v="14"/>
    <n v="15"/>
    <n v="-1"/>
  </r>
  <r>
    <n v="50042002"/>
    <x v="183"/>
    <n v="1"/>
    <n v="0"/>
    <n v="1"/>
    <n v="-1"/>
  </r>
  <r>
    <n v="50042003"/>
    <x v="184"/>
    <n v="1"/>
    <n v="1"/>
    <n v="1"/>
    <n v="0"/>
  </r>
  <r>
    <n v="50044839"/>
    <x v="185"/>
    <n v="1"/>
    <n v="1"/>
    <n v="3"/>
    <n v="-2"/>
  </r>
  <r>
    <n v="50012576"/>
    <x v="186"/>
    <n v="1"/>
    <n v="0"/>
    <n v="0"/>
    <n v="0"/>
  </r>
  <r>
    <n v="50043316"/>
    <x v="187"/>
    <n v="1"/>
    <n v="0"/>
    <n v="0"/>
    <n v="0"/>
  </r>
  <r>
    <n v="50044453"/>
    <x v="188"/>
    <n v="1"/>
    <n v="1"/>
    <n v="1"/>
    <n v="0"/>
  </r>
  <r>
    <n v="50045204"/>
    <x v="189"/>
    <n v="1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11">
  <r>
    <n v="78678"/>
    <s v="MARLOM ROGERIO VIEIRA"/>
    <s v="MME"/>
    <s v="ADM"/>
    <n v="50038517"/>
    <x v="0"/>
    <n v="1"/>
    <s v="REALIZADO"/>
    <s v="MARCIA"/>
    <d v="2025-12-04T00:00:00"/>
    <x v="0"/>
  </r>
  <r>
    <m/>
    <m/>
    <m/>
    <m/>
    <m/>
    <x v="1"/>
    <m/>
    <m/>
    <m/>
    <m/>
    <x v="1"/>
  </r>
  <r>
    <n v="74611"/>
    <s v="CRISTIAM BORGES"/>
    <s v="MPR"/>
    <s v="ADM"/>
    <n v="50037892"/>
    <x v="2"/>
    <n v="1"/>
    <s v="REALIZADO"/>
    <s v="GEOVANE"/>
    <d v="2025-12-19T00:00:00"/>
    <x v="2"/>
  </r>
  <r>
    <n v="66830"/>
    <s v="MARCIO GOMES DA SILVA"/>
    <s v="MPR"/>
    <s v="ADM"/>
    <n v="50037892"/>
    <x v="2"/>
    <n v="1"/>
    <s v="REALIZADO"/>
    <s v="GEOVANE"/>
    <d v="2025-12-19T00:00:00"/>
    <x v="0"/>
  </r>
  <r>
    <n v="66830"/>
    <s v="MARCIO GOMES DA SILVA"/>
    <s v="MPR"/>
    <s v="ADM"/>
    <n v="50036086"/>
    <x v="3"/>
    <n v="1"/>
    <s v="REALIZADO"/>
    <s v="GEOVANE"/>
    <d v="2025-12-19T00:00:00"/>
    <x v="0"/>
  </r>
  <r>
    <n v="69778"/>
    <s v="JEAN FELIPE"/>
    <s v="MEE"/>
    <s v="1º TURNO"/>
    <n v="50043150"/>
    <x v="4"/>
    <n v="1"/>
    <s v="REALIZADO"/>
    <s v="GEOVANE"/>
    <d v="2025-12-19T00:00:00"/>
    <x v="0"/>
  </r>
  <r>
    <n v="77521"/>
    <s v="LUCAS LIRA"/>
    <s v="MME"/>
    <s v="ADM"/>
    <n v="50043471"/>
    <x v="5"/>
    <n v="1"/>
    <s v="REALIZADO"/>
    <s v="MATHEUS"/>
    <d v="2025-12-19T00:00:00"/>
    <x v="0"/>
  </r>
  <r>
    <n v="70052"/>
    <s v="MARCOS SANTOS"/>
    <s v="MEE"/>
    <s v="ADM"/>
    <n v="50038549"/>
    <x v="6"/>
    <n v="1"/>
    <s v="REALIZADO"/>
    <s v="MATHEUS"/>
    <d v="2025-12-19T00:00:00"/>
    <x v="0"/>
  </r>
  <r>
    <n v="70052"/>
    <s v="MARCOS SANTOS"/>
    <s v="MEE"/>
    <s v="ADM"/>
    <n v="50036255"/>
    <x v="7"/>
    <n v="1"/>
    <s v="REALIZADO"/>
    <s v="MATHEUS"/>
    <d v="2025-12-19T00:00:00"/>
    <x v="0"/>
  </r>
  <r>
    <n v="69510"/>
    <s v="GABRIEL CAIXETA"/>
    <s v="MEE"/>
    <s v="ADM"/>
    <n v="50003297"/>
    <x v="8"/>
    <n v="1"/>
    <s v="REALIZADO"/>
    <s v="MATHEUS"/>
    <d v="2025-12-19T00:00:00"/>
    <x v="0"/>
  </r>
  <r>
    <n v="76994"/>
    <s v="FELIPE HENRIQUE DE BRITO"/>
    <s v="MEE"/>
    <s v="ADM"/>
    <n v="50029865"/>
    <x v="9"/>
    <s v="1"/>
    <s v="REALIZADO"/>
    <s v="MATHEUS"/>
    <d v="2025-12-19T00:00:00"/>
    <x v="2"/>
  </r>
  <r>
    <n v="69510"/>
    <s v="GABRIEL CAIXETA"/>
    <s v="MEE"/>
    <s v="ADM"/>
    <n v="50003297"/>
    <x v="8"/>
    <n v="1"/>
    <s v="REALIZADO"/>
    <s v="MATHEUS"/>
    <d v="2025-12-19T00:00:00"/>
    <x v="2"/>
  </r>
  <r>
    <n v="69778"/>
    <s v="JEAN FELIPE"/>
    <s v="MEE"/>
    <s v="1º TURNO"/>
    <n v="50043150"/>
    <x v="4"/>
    <n v="1"/>
    <s v="REALIZADO"/>
    <s v="MATHEUS"/>
    <d v="2025-12-19T00:00:00"/>
    <x v="2"/>
  </r>
  <r>
    <n v="62471"/>
    <s v="ELTON LIMA"/>
    <s v="MME"/>
    <s v="ADM"/>
    <n v="50038517"/>
    <x v="0"/>
    <n v="1"/>
    <s v="REALIZADO"/>
    <s v="BRUNO"/>
    <d v="2025-12-19T00:00:00"/>
    <x v="2"/>
  </r>
  <r>
    <n v="61264"/>
    <s v="EVERTON GERONIMO"/>
    <s v="MMG"/>
    <s v="ADM"/>
    <n v="50038956"/>
    <x v="10"/>
    <n v="1"/>
    <s v="REALIZADO"/>
    <s v="BRUNO"/>
    <d v="2025-12-19T00:00:00"/>
    <x v="2"/>
  </r>
  <r>
    <n v="79495"/>
    <s v="DAVID"/>
    <s v="MMG"/>
    <s v="1º TURNO"/>
    <n v="50039718"/>
    <x v="11"/>
    <n v="1"/>
    <s v="REALIZADO"/>
    <s v="BRUNO"/>
    <d v="2025-12-19T00:00:00"/>
    <x v="0"/>
  </r>
  <r>
    <n v="79495"/>
    <s v="DAVID"/>
    <s v="MMG"/>
    <s v="1º TURNO"/>
    <n v="50032781"/>
    <x v="12"/>
    <n v="1"/>
    <s v="REALIZADO"/>
    <s v="BRUNO"/>
    <d v="2025-12-19T00:00:00"/>
    <x v="0"/>
  </r>
  <r>
    <n v="78675"/>
    <s v="ORLANDO GOMES"/>
    <s v="MME"/>
    <s v="1º TURNO"/>
    <n v="50032775"/>
    <x v="13"/>
    <n v="1"/>
    <s v="REALIZADO"/>
    <s v="BRUNO"/>
    <d v="2025-12-19T00:00:00"/>
    <x v="2"/>
  </r>
  <r>
    <n v="70052"/>
    <s v="MARCOS SANTOS"/>
    <s v="MEE"/>
    <s v="ADM"/>
    <n v="50038549"/>
    <x v="6"/>
    <n v="1"/>
    <s v="REALIZADO"/>
    <s v="BRUNO"/>
    <d v="2025-12-19T00:00:00"/>
    <x v="2"/>
  </r>
  <r>
    <n v="70052"/>
    <s v="MARCOS SANTOS"/>
    <s v="MEE"/>
    <s v="ADM"/>
    <n v="50036255"/>
    <x v="7"/>
    <n v="1"/>
    <s v="REALIZADO"/>
    <s v="BRUNO"/>
    <d v="2025-12-19T00:00:00"/>
    <x v="2"/>
  </r>
  <r>
    <n v="68708"/>
    <s v="CLAUDIO TADEU LEITE"/>
    <s v="MMG"/>
    <s v="ADM"/>
    <n v="50037902"/>
    <x v="14"/>
    <n v="1"/>
    <s v="REALIZADO"/>
    <s v="BRUNO"/>
    <d v="2025-12-19T00:00:00"/>
    <x v="2"/>
  </r>
  <r>
    <n v="71850"/>
    <s v="CLEBER BRABO"/>
    <s v="MMG"/>
    <s v="ADM"/>
    <n v="50041095"/>
    <x v="15"/>
    <n v="1"/>
    <s v="REALIZADO"/>
    <s v="BRUNO"/>
    <d v="2025-12-19T00:00:00"/>
    <x v="2"/>
  </r>
  <r>
    <n v="68760"/>
    <s v="FERDINANDO PAZINI"/>
    <s v="MMG"/>
    <s v="ADM"/>
    <n v="50036293"/>
    <x v="16"/>
    <n v="1"/>
    <s v="REALIZADO"/>
    <s v="BRUNO"/>
    <d v="2025-12-19T00:00:00"/>
    <x v="2"/>
  </r>
  <r>
    <n v="64253"/>
    <s v="DANIEL JULIAO"/>
    <s v="MMG"/>
    <s v="ADM"/>
    <n v="50037902"/>
    <x v="14"/>
    <n v="1"/>
    <s v="REALIZADO"/>
    <s v="BRUNO"/>
    <d v="2025-12-19T00:00:00"/>
    <x v="0"/>
  </r>
  <r>
    <n v="79495"/>
    <s v="DAVID"/>
    <s v="MMG"/>
    <s v="1º TURNO"/>
    <n v="50032781"/>
    <x v="12"/>
    <n v="1"/>
    <s v="REALIZADO"/>
    <s v="BRUNO"/>
    <d v="2025-12-19T00:00:00"/>
    <x v="2"/>
  </r>
  <r>
    <n v="79495"/>
    <s v="DAVID"/>
    <s v="MMG"/>
    <s v="1º TURNO"/>
    <n v="50039718"/>
    <x v="11"/>
    <n v="1"/>
    <s v="REALIZADO"/>
    <s v="BRUNO"/>
    <d v="2025-12-19T00:00:00"/>
    <x v="2"/>
  </r>
  <r>
    <n v="64253"/>
    <s v="DANIEL JULIAO"/>
    <s v="MMG"/>
    <s v="ADM"/>
    <n v="50037902"/>
    <x v="14"/>
    <n v="1"/>
    <s v="REALIZADO"/>
    <s v="BRUNO"/>
    <d v="2025-12-19T00:00:00"/>
    <x v="2"/>
  </r>
  <r>
    <n v="66830"/>
    <s v="MARCIO GOMES DA SILVA"/>
    <s v="MPR"/>
    <s v="ADM"/>
    <n v="50036086"/>
    <x v="3"/>
    <n v="1"/>
    <s v="REALIZADO"/>
    <s v="BRUNO"/>
    <d v="2025-12-19T00:00:00"/>
    <x v="2"/>
  </r>
  <r>
    <n v="66830"/>
    <s v="MARCIO GOMES DA SILVA"/>
    <s v="MPR"/>
    <s v="ADM"/>
    <n v="50037892"/>
    <x v="2"/>
    <n v="1"/>
    <s v="REALIZADO"/>
    <s v="BRUNO"/>
    <d v="2025-12-19T00:00:00"/>
    <x v="2"/>
  </r>
  <r>
    <n v="77313"/>
    <s v="ROGERIO"/>
    <s v="MPR"/>
    <s v="ADM"/>
    <n v="50030486"/>
    <x v="17"/>
    <n v="1"/>
    <s v="REALIZADO"/>
    <s v="BRUNO"/>
    <d v="2025-12-19T00:00:00"/>
    <x v="2"/>
  </r>
  <r>
    <n v="79495"/>
    <s v="DAVID"/>
    <s v="MMG"/>
    <s v="1º TURNO"/>
    <n v="50022878"/>
    <x v="18"/>
    <n v="1"/>
    <s v="REALIZADO"/>
    <s v="BRUNO"/>
    <d v="2025-12-19T00:00:00"/>
    <x v="0"/>
  </r>
  <r>
    <n v="79495"/>
    <s v="DAVID"/>
    <s v="MMG"/>
    <s v="1º TURNO"/>
    <n v="50022878"/>
    <x v="18"/>
    <n v="1"/>
    <s v="REALIZADO"/>
    <s v="BRUNO"/>
    <d v="2025-12-19T00:00:00"/>
    <x v="2"/>
  </r>
  <r>
    <n v="77521"/>
    <s v="LUCAS LIRA"/>
    <s v="MME"/>
    <s v="ADM"/>
    <n v="50043471"/>
    <x v="5"/>
    <n v="1"/>
    <s v="REALIZADO"/>
    <s v="BRUNO"/>
    <d v="2025-12-19T00:00:00"/>
    <x v="2"/>
  </r>
  <r>
    <n v="62180"/>
    <s v="JOSE AUGUSTO MASSUCHINI"/>
    <s v="MMG"/>
    <s v="ADM"/>
    <n v="50038956"/>
    <x v="10"/>
    <n v="1"/>
    <s v="REALIZADO"/>
    <s v="BRUNO"/>
    <d v="2025-12-18T00:00:00"/>
    <x v="0"/>
  </r>
  <r>
    <n v="76239"/>
    <s v="GEOVANNY ALEXANDER"/>
    <s v="REFRIG"/>
    <s v="ADM"/>
    <n v="50043316"/>
    <x v="19"/>
    <n v="1"/>
    <s v="REALIZADO"/>
    <s v="BRUNO"/>
    <d v="2025-12-18T00:00:00"/>
    <x v="0"/>
  </r>
  <r>
    <n v="73878"/>
    <s v="EVANDRO TANAKA"/>
    <s v="MMG"/>
    <s v="2º TURNO"/>
    <n v="50010031"/>
    <x v="20"/>
    <n v="1"/>
    <s v="REALIZADO"/>
    <s v="BRUNO"/>
    <d v="2025-12-18T00:00:00"/>
    <x v="0"/>
  </r>
  <r>
    <n v="62050"/>
    <s v="EVANILDO PIEDADE"/>
    <s v="MME"/>
    <s v="2º TURNO"/>
    <n v="50041195"/>
    <x v="21"/>
    <n v="1"/>
    <s v="REALIZADO"/>
    <s v="KELLY"/>
    <d v="2025-12-18T00:00:00"/>
    <x v="0"/>
  </r>
  <r>
    <n v="62033"/>
    <s v="ODAIR JOSE DA SILVA"/>
    <s v="MME"/>
    <s v="2º TURNO"/>
    <n v="50037892"/>
    <x v="2"/>
    <n v="1"/>
    <s v="REALIZADO"/>
    <s v="KELLY"/>
    <d v="2025-12-18T00:00:00"/>
    <x v="0"/>
  </r>
  <r>
    <n v="62033"/>
    <s v="ODAIR JOSE DA SILVA"/>
    <s v="MME"/>
    <s v="2º TURNO"/>
    <n v="50039065"/>
    <x v="22"/>
    <n v="1"/>
    <s v="REALIZADO"/>
    <s v="KELLY"/>
    <d v="2025-12-18T00:00:00"/>
    <x v="0"/>
  </r>
  <r>
    <n v="77594"/>
    <s v="VINICIUS ROBLES"/>
    <s v="MME"/>
    <s v="ADM"/>
    <n v="50036294"/>
    <x v="23"/>
    <n v="1"/>
    <s v="REALIZADO"/>
    <s v="GEOVANE"/>
    <d v="2025-12-18T00:00:00"/>
    <x v="0"/>
  </r>
  <r>
    <n v="77594"/>
    <s v="VINICIUS ROBLES"/>
    <s v="MME"/>
    <s v="ADM"/>
    <n v="50036293"/>
    <x v="16"/>
    <n v="1"/>
    <s v="REALIZADO"/>
    <s v="GEOVANE"/>
    <d v="2025-12-18T00:00:00"/>
    <x v="0"/>
  </r>
  <r>
    <n v="62050"/>
    <s v="EVANILDO PIEDADE"/>
    <s v="MME"/>
    <s v="2º TURNO"/>
    <n v="50041195"/>
    <x v="21"/>
    <n v="1"/>
    <s v="REALIZADO"/>
    <s v="GEOVANE"/>
    <d v="2025-12-18T00:00:00"/>
    <x v="2"/>
  </r>
  <r>
    <n v="68708"/>
    <s v="CLAUDIO TADEU LEITE"/>
    <s v="MMG"/>
    <s v="ADM"/>
    <n v="50038549"/>
    <x v="6"/>
    <n v="1"/>
    <s v="REALIZADO"/>
    <s v="GEOVANE"/>
    <d v="2025-12-18T00:00:00"/>
    <x v="0"/>
  </r>
  <r>
    <n v="68708"/>
    <s v="CLAUDIO TADEU LEITE"/>
    <s v="MMG"/>
    <s v="ADM"/>
    <n v="50038517"/>
    <x v="0"/>
    <n v="1"/>
    <s v="REALIZADO"/>
    <s v="GEOVANE"/>
    <d v="2025-12-18T00:00:00"/>
    <x v="0"/>
  </r>
  <r>
    <n v="62033"/>
    <s v="ODAIR JOSE DA SILVA"/>
    <s v="MME"/>
    <s v="2º TURNO"/>
    <n v="50037892"/>
    <x v="2"/>
    <n v="1"/>
    <s v="REALIZADO"/>
    <s v="GEOVANE"/>
    <d v="2025-12-18T00:00:00"/>
    <x v="2"/>
  </r>
  <r>
    <n v="74611"/>
    <s v="CRISTIAM BORGES"/>
    <s v="MPR"/>
    <s v="ADM"/>
    <n v="50003297"/>
    <x v="8"/>
    <n v="1"/>
    <s v="REALIZADO"/>
    <s v="GEOVANE"/>
    <d v="2025-12-18T00:00:00"/>
    <x v="0"/>
  </r>
  <r>
    <n v="74611"/>
    <s v="CRISTIAM BORGES"/>
    <s v="MPR"/>
    <s v="ADM"/>
    <n v="50026357"/>
    <x v="24"/>
    <n v="1"/>
    <s v="REALIZADO"/>
    <s v="GEOVANE"/>
    <d v="2025-12-18T00:00:00"/>
    <x v="0"/>
  </r>
  <r>
    <n v="74611"/>
    <s v="CRISTIAM BORGES"/>
    <s v="MPR"/>
    <s v="ADM"/>
    <n v="50037892"/>
    <x v="2"/>
    <n v="1"/>
    <s v="REALIZADO"/>
    <s v="GEOVANE"/>
    <d v="2025-12-18T00:00:00"/>
    <x v="0"/>
  </r>
  <r>
    <n v="62164"/>
    <s v="TIAGO DA SILVA"/>
    <s v="MEE"/>
    <s v="2º TURNO"/>
    <n v="50043150"/>
    <x v="4"/>
    <n v="1"/>
    <s v="REALIZADO"/>
    <s v="GEOVANE"/>
    <d v="2025-12-18T00:00:00"/>
    <x v="0"/>
  </r>
  <r>
    <n v="73878"/>
    <s v="EVANDRO TANAKA"/>
    <s v="MMG"/>
    <s v="2º TURNO"/>
    <n v="50010031"/>
    <x v="20"/>
    <n v="1"/>
    <s v="REALIZADO"/>
    <s v="GEOVANE"/>
    <d v="2025-12-18T00:00:00"/>
    <x v="2"/>
  </r>
  <r>
    <n v="70105"/>
    <s v="RONALDO DE SOUZA SANTOS"/>
    <s v="MMG"/>
    <s v="ADM"/>
    <n v="50010031"/>
    <x v="20"/>
    <n v="1"/>
    <s v="REALIZADO"/>
    <s v="GEOVANE"/>
    <d v="2025-12-18T00:00:00"/>
    <x v="0"/>
  </r>
  <r>
    <n v="70105"/>
    <s v="RONALDO DE SOUZA SANTOS"/>
    <s v="MMG"/>
    <s v="ADM"/>
    <n v="50010031"/>
    <x v="20"/>
    <n v="1"/>
    <s v="REALIZADO"/>
    <s v="GEOVANE"/>
    <d v="2025-12-18T00:00:00"/>
    <x v="2"/>
  </r>
  <r>
    <n v="62033"/>
    <s v="ODAIR JOSE DA SILVA"/>
    <s v="MME"/>
    <s v="2º TURNO"/>
    <n v="50039065"/>
    <x v="22"/>
    <n v="1"/>
    <s v="REALIZADO"/>
    <s v="GEOVANE"/>
    <d v="2025-12-18T00:00:00"/>
    <x v="2"/>
  </r>
  <r>
    <n v="68708"/>
    <s v="CLAUDIO TADEU LEITE"/>
    <s v="MMG"/>
    <s v="ADM"/>
    <n v="50038517"/>
    <x v="0"/>
    <n v="1"/>
    <s v="REALIZADO"/>
    <s v="GEOVANE"/>
    <d v="2025-12-18T00:00:00"/>
    <x v="2"/>
  </r>
  <r>
    <n v="72715"/>
    <s v="DANIEL CAMAÇARI DE OLIVEIRA"/>
    <s v="MPR"/>
    <s v="ADM"/>
    <n v="50010031"/>
    <x v="20"/>
    <n v="1"/>
    <s v="REALIZADO"/>
    <s v="GEOVANE"/>
    <d v="2025-12-18T00:00:00"/>
    <x v="0"/>
  </r>
  <r>
    <n v="72715"/>
    <s v="DANIEL CAMAÇARI DE OLIVEIRA"/>
    <s v="MPR"/>
    <s v="ADM"/>
    <n v="50043471"/>
    <x v="5"/>
    <n v="1"/>
    <s v="REALIZADO"/>
    <s v="GEOVANE"/>
    <d v="2025-12-18T00:00:00"/>
    <x v="0"/>
  </r>
  <r>
    <n v="62164"/>
    <s v="TIAGO DA SILVA"/>
    <s v="MEE"/>
    <s v="2º TURNO"/>
    <n v="50043150"/>
    <x v="4"/>
    <n v="1"/>
    <s v="REALIZADO"/>
    <s v="GEOVANE"/>
    <d v="2025-12-18T00:00:00"/>
    <x v="2"/>
  </r>
  <r>
    <n v="63684"/>
    <s v="LUAN ALMEIDA"/>
    <s v="MME"/>
    <s v="1º TURNO"/>
    <n v="50041195"/>
    <x v="21"/>
    <n v="1"/>
    <s v="REALIZADO"/>
    <s v="MARCIA"/>
    <d v="2025-12-18T00:00:00"/>
    <x v="0"/>
  </r>
  <r>
    <n v="72715"/>
    <s v="DANIEL CAMAÇARI DE OLIVEIRA"/>
    <s v="MPR"/>
    <s v="ADM"/>
    <n v="50010031"/>
    <x v="20"/>
    <n v="1"/>
    <s v="REALIZADO"/>
    <s v="MARCIA"/>
    <d v="2025-12-18T00:00:00"/>
    <x v="2"/>
  </r>
  <r>
    <n v="72715"/>
    <s v="DANIEL CAMAÇARI DE OLIVEIRA"/>
    <s v="MPR"/>
    <s v="ADM"/>
    <n v="50010031"/>
    <x v="20"/>
    <n v="1"/>
    <s v="REALIZADO"/>
    <s v="BRUNO"/>
    <d v="2025-12-18T00:00:00"/>
    <x v="0"/>
  </r>
  <r>
    <n v="72715"/>
    <s v="DANIEL CAMAÇARI DE OLIVEIRA"/>
    <s v="MPR"/>
    <s v="ADM"/>
    <n v="50043471"/>
    <x v="5"/>
    <n v="1"/>
    <s v="REALIZADO"/>
    <s v="BRUNO"/>
    <d v="2025-12-18T00:00:00"/>
    <x v="2"/>
  </r>
  <r>
    <n v="76239"/>
    <s v="GEOVANNY ALEXANDER"/>
    <s v="REFRIG"/>
    <s v="ADM"/>
    <n v="50043316"/>
    <x v="19"/>
    <n v="1"/>
    <s v="REALIZADO"/>
    <s v="BRUNO"/>
    <d v="2025-12-18T00:00:00"/>
    <x v="2"/>
  </r>
  <r>
    <n v="68708"/>
    <s v="CLAUDIO TADEU LEITE"/>
    <s v="MMG"/>
    <s v="ADM"/>
    <n v="50038549"/>
    <x v="6"/>
    <n v="1"/>
    <s v="REALIZADO"/>
    <s v="BRUNO"/>
    <d v="2025-12-18T00:00:00"/>
    <x v="2"/>
  </r>
  <r>
    <n v="66830"/>
    <s v="MARCIO GOMES DA SILVA"/>
    <s v="MPR"/>
    <s v="ADM"/>
    <n v="50036086"/>
    <x v="3"/>
    <n v="1"/>
    <s v="REALIZADO"/>
    <s v="BRUNO"/>
    <d v="2025-12-18T00:00:00"/>
    <x v="0"/>
  </r>
  <r>
    <n v="77594"/>
    <s v="VINICIUS ROBLES"/>
    <s v="MME"/>
    <s v="ADM"/>
    <n v="50036294"/>
    <x v="23"/>
    <n v="1"/>
    <s v="REALIZADO"/>
    <s v="BRUNO"/>
    <d v="2025-12-18T00:00:00"/>
    <x v="2"/>
  </r>
  <r>
    <n v="77594"/>
    <s v="VINICIUS ROBLES"/>
    <s v="MME"/>
    <s v="ADM"/>
    <n v="50036293"/>
    <x v="16"/>
    <n v="1"/>
    <s v="REALIZADO"/>
    <s v="BRUNO"/>
    <d v="2025-12-18T00:00:00"/>
    <x v="2"/>
  </r>
  <r>
    <n v="77594"/>
    <s v="VINICIUS ROBLES"/>
    <s v="MME"/>
    <s v="ADM"/>
    <n v="50036295"/>
    <x v="25"/>
    <n v="1"/>
    <s v="REALIZADO"/>
    <s v="BRUNO"/>
    <d v="2025-12-18T00:00:00"/>
    <x v="0"/>
  </r>
  <r>
    <n v="77521"/>
    <s v="LUCAS LIRA"/>
    <s v="MME"/>
    <s v="ADM"/>
    <n v="50043471"/>
    <x v="5"/>
    <n v="1"/>
    <s v="REALIZADO"/>
    <s v="BRUNO"/>
    <d v="2025-12-18T00:00:00"/>
    <x v="0"/>
  </r>
  <r>
    <n v="77521"/>
    <s v="LUCAS LIRA"/>
    <s v="MME"/>
    <s v="ADM"/>
    <n v="50036299"/>
    <x v="26"/>
    <n v="1"/>
    <s v="REALIZADO"/>
    <s v="BRUNO"/>
    <d v="2025-12-18T00:00:00"/>
    <x v="0"/>
  </r>
  <r>
    <n v="66830"/>
    <s v="MARCIO GOMES DA SILVA"/>
    <s v="MPR"/>
    <s v="ADM"/>
    <n v="50036086"/>
    <x v="3"/>
    <n v="1"/>
    <s v="REALIZADO"/>
    <s v="BRUNO"/>
    <d v="2025-12-18T00:00:00"/>
    <x v="2"/>
  </r>
  <r>
    <n v="72715"/>
    <s v="DANIEL CAMAÇARI DE OLIVEIRA"/>
    <s v="MPR"/>
    <s v="ADM"/>
    <n v="50010031"/>
    <x v="20"/>
    <n v="1"/>
    <s v="REALIZADO"/>
    <s v="BRUNO"/>
    <d v="2025-12-18T00:00:00"/>
    <x v="2"/>
  </r>
  <r>
    <n v="79177"/>
    <s v="MAICON ANTONIO SANTOS"/>
    <s v="MMG"/>
    <s v="ADM"/>
    <n v="50010031"/>
    <x v="20"/>
    <n v="1"/>
    <s v="REALIZADO"/>
    <s v="BRUNO"/>
    <d v="2025-12-18T00:00:00"/>
    <x v="0"/>
  </r>
  <r>
    <n v="79177"/>
    <s v="MAICON ANTONIO SANTOS"/>
    <s v="MMG"/>
    <s v="ADM"/>
    <n v="50039065"/>
    <x v="22"/>
    <n v="1"/>
    <s v="REALIZADO"/>
    <s v="BRUNO"/>
    <d v="2025-12-18T00:00:00"/>
    <x v="0"/>
  </r>
  <r>
    <n v="74611"/>
    <s v="CRISTIAM BORGES"/>
    <s v="MPR"/>
    <s v="ADM"/>
    <n v="50003297"/>
    <x v="8"/>
    <n v="1"/>
    <s v="REALIZADO"/>
    <s v="BRUNO"/>
    <d v="2025-12-18T00:00:00"/>
    <x v="2"/>
  </r>
  <r>
    <n v="74611"/>
    <s v="CRISTIAM BORGES"/>
    <s v="MPR"/>
    <s v="ADM"/>
    <n v="50026357"/>
    <x v="24"/>
    <n v="1"/>
    <s v="REALIZADO"/>
    <s v="BRUNO"/>
    <d v="2025-12-18T00:00:00"/>
    <x v="2"/>
  </r>
  <r>
    <n v="74611"/>
    <s v="CRISTIAM BORGES"/>
    <s v="MPR"/>
    <s v="ADM"/>
    <n v="50037892"/>
    <x v="2"/>
    <n v="1"/>
    <s v="REALIZADO"/>
    <s v="BRUNO"/>
    <d v="2025-12-18T00:00:00"/>
    <x v="2"/>
  </r>
  <r>
    <n v="77594"/>
    <s v="VINICIUS ROBLES"/>
    <s v="MME"/>
    <s v="ADM"/>
    <n v="50036295"/>
    <x v="25"/>
    <n v="1"/>
    <s v="REALIZADO"/>
    <s v="BRUNO"/>
    <d v="2025-12-18T00:00:00"/>
    <x v="2"/>
  </r>
  <r>
    <n v="77521"/>
    <s v="LUCAS LIRA"/>
    <s v="MME"/>
    <s v="ADM"/>
    <n v="50036299"/>
    <x v="26"/>
    <n v="1"/>
    <s v="REALIZADO"/>
    <s v="BRUNO"/>
    <d v="2025-12-18T00:00:00"/>
    <x v="2"/>
  </r>
  <r>
    <n v="77521"/>
    <s v="LUCAS LIRA"/>
    <s v="MME"/>
    <s v="ADM"/>
    <n v="50043471"/>
    <x v="5"/>
    <n v="1"/>
    <s v="REALIZADO"/>
    <s v="BRUNO"/>
    <d v="2025-12-18T00:00:00"/>
    <x v="2"/>
  </r>
  <r>
    <n v="79177"/>
    <s v="MAICON ANTONIO SANTOS"/>
    <s v="MMG"/>
    <s v="ADM"/>
    <n v="50010031"/>
    <x v="20"/>
    <n v="1"/>
    <s v="REALIZADO"/>
    <s v="BRUNO"/>
    <d v="2025-12-18T00:00:00"/>
    <x v="2"/>
  </r>
  <r>
    <n v="79177"/>
    <s v="MAICON ANTONIO SANTOS"/>
    <s v="MMG"/>
    <s v="ADM"/>
    <n v="50039065"/>
    <x v="22"/>
    <n v="1"/>
    <s v="REALIZADO"/>
    <s v="BRUNO"/>
    <d v="2025-12-18T00:00:00"/>
    <x v="2"/>
  </r>
  <r>
    <n v="62180"/>
    <s v="JOSE AUGUSTO MASSUCHINI"/>
    <s v="MMG"/>
    <s v="ADM"/>
    <n v="50038956"/>
    <x v="10"/>
    <n v="1"/>
    <s v="REALIZADO"/>
    <s v="BRUNO"/>
    <d v="2025-12-18T00:00:00"/>
    <x v="2"/>
  </r>
  <r>
    <n v="62033"/>
    <s v="ODAIR JOSE DA SILVA"/>
    <s v="MME"/>
    <s v="2º TURNO"/>
    <n v="50039065"/>
    <x v="22"/>
    <n v="1"/>
    <s v="REALIZADO"/>
    <s v="KELLY"/>
    <d v="2025-12-17T00:00:00"/>
    <x v="0"/>
  </r>
  <r>
    <n v="73336"/>
    <s v="RODRIGO RODRIGUES"/>
    <s v="MMG"/>
    <s v="2º TURNO"/>
    <n v="50037902"/>
    <x v="14"/>
    <n v="1"/>
    <s v="REALIZADO"/>
    <s v="KELLY"/>
    <d v="2025-12-17T00:00:00"/>
    <x v="0"/>
  </r>
  <r>
    <n v="65482"/>
    <s v="RAFAEL BALBINO PEREIRA"/>
    <s v="MMG"/>
    <s v="ADM"/>
    <n v="50038854"/>
    <x v="27"/>
    <n v="1"/>
    <s v="REALIZADO"/>
    <s v="KELLY"/>
    <d v="2025-12-17T00:00:00"/>
    <x v="0"/>
  </r>
  <r>
    <n v="68708"/>
    <s v="CLAUDIO TADEU LEITE"/>
    <s v="MMG"/>
    <s v="ADM"/>
    <n v="50038549"/>
    <x v="6"/>
    <n v="1"/>
    <s v="REALIZADO"/>
    <s v="JOÃO FRANCISCO"/>
    <d v="2025-12-17T00:00:00"/>
    <x v="0"/>
  </r>
  <r>
    <n v="77521"/>
    <s v="LUCAS LIRA"/>
    <s v="MME"/>
    <s v="ADM"/>
    <n v="50038517"/>
    <x v="0"/>
    <n v="1"/>
    <s v="REALIZADO"/>
    <s v="AGATHA"/>
    <d v="2025-12-17T00:00:00"/>
    <x v="0"/>
  </r>
  <r>
    <n v="73336"/>
    <s v="RODRIGO RODRIGUES"/>
    <s v="MMG"/>
    <s v="2º TURNO"/>
    <n v="50043471"/>
    <x v="5"/>
    <n v="1"/>
    <s v="REALIZADO"/>
    <s v="JOÃO FRANCISCO"/>
    <d v="2025-12-17T00:00:00"/>
    <x v="0"/>
  </r>
  <r>
    <n v="58068"/>
    <s v="REGINALDO PEREIRA"/>
    <s v="MME"/>
    <s v="ADM"/>
    <n v="50036279"/>
    <x v="28"/>
    <n v="1"/>
    <s v="REALIZADO"/>
    <s v="AGATHA"/>
    <d v="2025-12-17T00:00:00"/>
    <x v="0"/>
  </r>
  <r>
    <n v="66830"/>
    <s v="MARCIO GOMES DA SILVA"/>
    <s v="MPR"/>
    <s v="ADM"/>
    <n v="50010031"/>
    <x v="20"/>
    <n v="1"/>
    <s v="REALIZADO"/>
    <s v="AGATHA"/>
    <d v="2025-12-17T00:00:00"/>
    <x v="0"/>
  </r>
  <r>
    <n v="63399"/>
    <s v="JOAO CARLOS MARIA"/>
    <s v="MPR"/>
    <s v="ADM"/>
    <n v="50041195"/>
    <x v="21"/>
    <n v="1"/>
    <s v="REALIZADO"/>
    <s v="AGATHA"/>
    <d v="2025-12-17T00:00:00"/>
    <x v="0"/>
  </r>
  <r>
    <n v="72715"/>
    <s v="DANIEL CAMAÇARI DE OLIVEIRA"/>
    <s v="MPR"/>
    <s v="ADM"/>
    <n v="50038956"/>
    <x v="10"/>
    <n v="1"/>
    <s v="REALIZADO"/>
    <s v="GEOVANE"/>
    <d v="2025-12-17T00:00:00"/>
    <x v="0"/>
  </r>
  <r>
    <n v="62033"/>
    <s v="ODAIR JOSE DA SILVA"/>
    <s v="MME"/>
    <s v="2º TURNO"/>
    <n v="50039065"/>
    <x v="22"/>
    <n v="1"/>
    <s v="REALIZADO"/>
    <s v="AGATHA"/>
    <d v="2025-12-17T00:00:00"/>
    <x v="2"/>
  </r>
  <r>
    <n v="72715"/>
    <s v="DANIEL CAMAÇARI DE OLIVEIRA"/>
    <s v="MPR"/>
    <s v="ADM"/>
    <n v="50038956"/>
    <x v="10"/>
    <n v="1"/>
    <s v="REALIZADO"/>
    <s v="GEOVANE"/>
    <d v="2025-12-17T00:00:00"/>
    <x v="2"/>
  </r>
  <r>
    <n v="74611"/>
    <s v="CRISTIAM BORGES"/>
    <s v="MPR"/>
    <s v="ADM"/>
    <n v="50038956"/>
    <x v="10"/>
    <n v="1"/>
    <s v="REALIZADO"/>
    <s v="AGATHA"/>
    <d v="2025-12-17T00:00:00"/>
    <x v="0"/>
  </r>
  <r>
    <n v="65482"/>
    <s v="RAFAEL BALBINO PEREIRA"/>
    <s v="MMG"/>
    <s v="ADM"/>
    <n v="50038854"/>
    <x v="27"/>
    <n v="1"/>
    <s v="REALIZADO"/>
    <s v="AGATHA"/>
    <d v="2025-12-17T00:00:00"/>
    <x v="2"/>
  </r>
  <r>
    <n v="65482"/>
    <s v="RAFAEL BALBINO PEREIRA"/>
    <s v="MMG"/>
    <s v="ADM"/>
    <n v="50003173"/>
    <x v="29"/>
    <n v="1"/>
    <s v="REALIZADO"/>
    <s v="GEOVANE"/>
    <d v="2025-12-17T00:00:00"/>
    <x v="2"/>
  </r>
  <r>
    <n v="58068"/>
    <s v="REGINALDO PEREIRA"/>
    <s v="MME"/>
    <s v="ADM"/>
    <n v="50036279"/>
    <x v="28"/>
    <n v="1"/>
    <s v="REALIZADO"/>
    <s v="AGATHA"/>
    <d v="2025-12-17T00:00:00"/>
    <x v="2"/>
  </r>
  <r>
    <n v="61264"/>
    <s v="EVERTON GERONIMO"/>
    <s v="MMG"/>
    <s v="ADM"/>
    <n v="50012902"/>
    <x v="30"/>
    <n v="1"/>
    <s v="REALIZADO"/>
    <s v="AGATHA"/>
    <d v="2025-12-17T00:00:00"/>
    <x v="0"/>
  </r>
  <r>
    <n v="73336"/>
    <s v="RODRIGO RODRIGUES"/>
    <s v="MMG"/>
    <s v="2º TURNO"/>
    <n v="50037902"/>
    <x v="14"/>
    <n v="1"/>
    <s v="REALIZADO"/>
    <s v="GEOVANE"/>
    <d v="2025-12-17T00:00:00"/>
    <x v="2"/>
  </r>
  <r>
    <n v="73336"/>
    <s v="RODRIGO RODRIGUES"/>
    <s v="MMG"/>
    <s v="2º TURNO"/>
    <n v="50043471"/>
    <x v="5"/>
    <n v="1"/>
    <s v="REALIZADO"/>
    <s v="GEOVANE"/>
    <d v="2025-12-17T00:00:00"/>
    <x v="2"/>
  </r>
  <r>
    <n v="61264"/>
    <s v="EVERTON GERONIMO"/>
    <s v="MMG"/>
    <s v="ADM"/>
    <n v="50012903"/>
    <x v="31"/>
    <n v="1"/>
    <s v="REALIZADO"/>
    <s v="BRUNO"/>
    <d v="2025-12-17T00:00:00"/>
    <x v="0"/>
  </r>
  <r>
    <n v="71850"/>
    <s v="CLEBER BRABO"/>
    <s v="MMG"/>
    <s v="ADM"/>
    <n v="50043471"/>
    <x v="5"/>
    <n v="1"/>
    <s v="REALIZADO"/>
    <s v="BRUNO"/>
    <d v="2025-12-17T00:00:00"/>
    <x v="0"/>
  </r>
  <r>
    <n v="71850"/>
    <s v="CLEBER BRABO"/>
    <s v="MMG"/>
    <s v="ADM"/>
    <n v="50037892"/>
    <x v="2"/>
    <n v="1"/>
    <s v="REALIZADO"/>
    <s v="BRUNO"/>
    <d v="2025-12-17T00:00:00"/>
    <x v="0"/>
  </r>
  <r>
    <n v="61264"/>
    <s v="EVERTON GERONIMO"/>
    <s v="MMG"/>
    <s v="ADM"/>
    <n v="50012903"/>
    <x v="31"/>
    <n v="1"/>
    <s v="REALIZADO"/>
    <s v="BRUNO"/>
    <d v="2025-12-17T00:00:00"/>
    <x v="0"/>
  </r>
  <r>
    <n v="65482"/>
    <s v="RAFAEL BALBINO PEREIRA"/>
    <s v="MMG"/>
    <s v="ADM"/>
    <n v="50037902"/>
    <x v="14"/>
    <n v="1"/>
    <s v="REALIZADO"/>
    <s v="BRUNO"/>
    <d v="2025-12-17T00:00:00"/>
    <x v="0"/>
  </r>
  <r>
    <n v="61264"/>
    <s v="EVERTON GERONIMO"/>
    <s v="MMG"/>
    <s v="ADM"/>
    <n v="50012903"/>
    <x v="31"/>
    <n v="1"/>
    <s v="REALIZADO"/>
    <s v="BRUNO"/>
    <d v="2025-12-17T00:00:00"/>
    <x v="2"/>
  </r>
  <r>
    <n v="68708"/>
    <s v="CLAUDIO TADEU LEITE"/>
    <s v="MMG"/>
    <s v="ADM"/>
    <n v="50038549"/>
    <x v="6"/>
    <n v="1"/>
    <s v="REALIZADO"/>
    <s v="BRUNO"/>
    <d v="2025-12-17T00:00:00"/>
    <x v="2"/>
  </r>
  <r>
    <n v="61264"/>
    <s v="EVERTON GERONIMO"/>
    <s v="MMG"/>
    <s v="ADM"/>
    <n v="50012902"/>
    <x v="30"/>
    <n v="1"/>
    <s v="REALIZADO"/>
    <s v="BRUNO"/>
    <d v="2025-12-17T00:00:00"/>
    <x v="2"/>
  </r>
  <r>
    <n v="66830"/>
    <s v="MARCIO GOMES DA SILVA"/>
    <s v="MPR"/>
    <s v="ADM"/>
    <n v="50010031"/>
    <x v="20"/>
    <n v="1"/>
    <s v="REALIZADO"/>
    <s v="BRUNO"/>
    <d v="2025-12-17T00:00:00"/>
    <x v="2"/>
  </r>
  <r>
    <n v="62896"/>
    <s v="LEONARDO BORGES"/>
    <s v="MEE"/>
    <s v="ADM"/>
    <n v="50010031"/>
    <x v="20"/>
    <n v="1"/>
    <s v="REALIZADO"/>
    <s v="BRUNO"/>
    <d v="2025-12-16T00:00:00"/>
    <x v="0"/>
  </r>
  <r>
    <n v="65482"/>
    <s v="RAFAEL BALBINO PEREIRA"/>
    <s v="MMG"/>
    <s v="ADM"/>
    <n v="50037902"/>
    <x v="14"/>
    <n v="1"/>
    <s v="REALIZADO"/>
    <s v="BRUNO"/>
    <d v="2025-12-17T00:00:00"/>
    <x v="2"/>
  </r>
  <r>
    <n v="77521"/>
    <s v="LUCAS LIRA"/>
    <s v="MME"/>
    <s v="ADM"/>
    <n v="50038517"/>
    <x v="0"/>
    <n v="1"/>
    <s v="REALIZADO"/>
    <s v="BRUNO"/>
    <d v="2025-12-17T00:00:00"/>
    <x v="2"/>
  </r>
  <r>
    <n v="62033"/>
    <s v="ODAIR JOSE DA SILVA"/>
    <s v="MME"/>
    <s v="2º TURNO"/>
    <n v="50040566"/>
    <x v="32"/>
    <n v="1"/>
    <s v="REALIZADO"/>
    <s v="BRUNO"/>
    <d v="2025-12-16T00:00:00"/>
    <x v="0"/>
  </r>
  <r>
    <n v="70105"/>
    <s v="RONALDO DE SOUZA SANTOS"/>
    <s v="MMG"/>
    <s v="ADM"/>
    <n v="50030486"/>
    <x v="17"/>
    <n v="1"/>
    <s v="REALIZADO"/>
    <s v="BRUNO"/>
    <d v="2025-12-16T00:00:00"/>
    <x v="0"/>
  </r>
  <r>
    <n v="74611"/>
    <s v="CRISTIAM BORGES"/>
    <s v="MPR"/>
    <s v="ADM"/>
    <n v="50038956"/>
    <x v="10"/>
    <n v="1"/>
    <s v="REALIZADO"/>
    <s v="BRUNO"/>
    <d v="2025-12-17T00:00:00"/>
    <x v="2"/>
  </r>
  <r>
    <n v="63399"/>
    <s v="JOAO CARLOS MARIA"/>
    <s v="MPR"/>
    <s v="ADM"/>
    <n v="50041195"/>
    <x v="21"/>
    <n v="1"/>
    <s v="REALIZADO"/>
    <s v="BRUNO"/>
    <d v="2025-12-17T00:00:00"/>
    <x v="2"/>
  </r>
  <r>
    <n v="71850"/>
    <s v="CLEBER BRABO"/>
    <s v="MMG"/>
    <s v="ADM"/>
    <n v="50043471"/>
    <x v="5"/>
    <n v="1"/>
    <s v="REALIZADO"/>
    <s v="BRUNO"/>
    <d v="2025-12-17T00:00:00"/>
    <x v="2"/>
  </r>
  <r>
    <n v="71850"/>
    <s v="CLEBER BRABO"/>
    <s v="MMG"/>
    <s v="ADM"/>
    <n v="50037892"/>
    <x v="2"/>
    <n v="1"/>
    <s v="REALIZADO"/>
    <s v="BRUNO"/>
    <d v="2025-12-17T00:00:00"/>
    <x v="2"/>
  </r>
  <r>
    <n v="60115"/>
    <s v="REINALDO FERREIRA"/>
    <s v="MME"/>
    <s v="2º TURNO"/>
    <n v="50028220"/>
    <x v="33"/>
    <n v="1"/>
    <s v="REALIZADO"/>
    <s v="BRUNO"/>
    <d v="2025-12-16T00:00:00"/>
    <x v="0"/>
  </r>
  <r>
    <n v="62033"/>
    <s v="ODAIR JOSE DA SILVA"/>
    <s v="MME"/>
    <s v="2º TURNO"/>
    <n v="50040566"/>
    <x v="32"/>
    <n v="1"/>
    <s v="REALIZADO"/>
    <s v="AGATHA"/>
    <d v="2025-12-16T00:00:00"/>
    <x v="2"/>
  </r>
  <r>
    <n v="74611"/>
    <s v="CRISTIAM BORGES"/>
    <s v="MPR"/>
    <s v="ADM"/>
    <n v="50038841"/>
    <x v="34"/>
    <n v="1"/>
    <s v="REALIZADO"/>
    <s v="MARCIA"/>
    <d v="2025-12-16T00:00:00"/>
    <x v="0"/>
  </r>
  <r>
    <n v="74611"/>
    <s v="CRISTIAM BORGES"/>
    <s v="MPR"/>
    <s v="ADM"/>
    <n v="50038517"/>
    <x v="0"/>
    <n v="1"/>
    <s v="REALIZADO"/>
    <s v="AGATHA"/>
    <d v="2025-12-16T00:00:00"/>
    <x v="0"/>
  </r>
  <r>
    <n v="62180"/>
    <s v="JOSE AUGUSTO MASSUCHINI"/>
    <s v="MMG"/>
    <s v="ADM"/>
    <n v="50003173"/>
    <x v="29"/>
    <n v="1"/>
    <s v="REALIZADO"/>
    <s v="GEOVANE"/>
    <d v="2025-12-16T00:00:00"/>
    <x v="0"/>
  </r>
  <r>
    <n v="77471"/>
    <s v="DANILO BARBOSA"/>
    <s v="MEE"/>
    <s v="ADM"/>
    <n v="50041195"/>
    <x v="21"/>
    <n v="1"/>
    <s v="REALIZADO"/>
    <s v="GEOVANE"/>
    <d v="2025-12-16T00:00:00"/>
    <x v="0"/>
  </r>
  <r>
    <n v="63770"/>
    <s v="DANILO DA SILVA"/>
    <s v="MMG"/>
    <s v="ADM"/>
    <n v="50029865"/>
    <x v="9"/>
    <n v="1"/>
    <s v="REALIZADO"/>
    <s v="GEOVANE"/>
    <d v="2025-12-16T00:00:00"/>
    <x v="0"/>
  </r>
  <r>
    <n v="77526"/>
    <s v="FELIPE GARÇONI"/>
    <s v="MME"/>
    <s v="ADM"/>
    <n v="50037902"/>
    <x v="14"/>
    <n v="1"/>
    <s v="REALIZADO"/>
    <s v="AGATHA"/>
    <d v="2025-12-16T00:00:00"/>
    <x v="0"/>
  </r>
  <r>
    <n v="60115"/>
    <s v="REINALDO FERREIRA"/>
    <s v="MME"/>
    <s v="2º TURNO"/>
    <n v="50028220"/>
    <x v="33"/>
    <n v="1"/>
    <s v="REALIZADO"/>
    <s v="AGATHA"/>
    <d v="2025-12-16T00:00:00"/>
    <x v="2"/>
  </r>
  <r>
    <n v="63770"/>
    <s v="DANILO DA SILVA"/>
    <s v="MMG"/>
    <s v="ADM"/>
    <n v="50029865"/>
    <x v="9"/>
    <n v="1"/>
    <s v="REALIZADO"/>
    <s v="GEOVANE"/>
    <d v="2025-12-16T00:00:00"/>
    <x v="2"/>
  </r>
  <r>
    <n v="77471"/>
    <s v="DANILO BARBOSA"/>
    <s v="MEE"/>
    <s v="ADM"/>
    <n v="50041195"/>
    <x v="21"/>
    <n v="1"/>
    <s v="REALIZADO"/>
    <s v="GEOVANE"/>
    <d v="2025-12-16T00:00:00"/>
    <x v="2"/>
  </r>
  <r>
    <n v="76994"/>
    <s v="FELIPE HENRIQUE DE BRITO"/>
    <s v="MEE"/>
    <s v="ADM"/>
    <n v="50043320"/>
    <x v="35"/>
    <n v="1"/>
    <s v="REALIZADO"/>
    <s v="AGATHA"/>
    <d v="2025-12-16T00:00:00"/>
    <x v="0"/>
  </r>
  <r>
    <n v="76994"/>
    <s v="FELIPE HENRIQUE DE BRITO"/>
    <s v="MEE"/>
    <s v="ADM"/>
    <n v="50041195"/>
    <x v="21"/>
    <n v="1"/>
    <s v="REALIZADO"/>
    <s v="AGATHA"/>
    <d v="2025-12-16T00:00:00"/>
    <x v="0"/>
  </r>
  <r>
    <n v="68708"/>
    <s v="CLAUDIO TADEU LEITE"/>
    <s v="MMG"/>
    <s v="ADM"/>
    <n v="50003297"/>
    <x v="8"/>
    <n v="1"/>
    <s v="REALIZADO"/>
    <s v="AGATHA"/>
    <d v="2025-12-16T00:00:00"/>
    <x v="0"/>
  </r>
  <r>
    <n v="63770"/>
    <s v="DANILO DA SILVA"/>
    <s v="MMG"/>
    <s v="ADM"/>
    <n v="50038549"/>
    <x v="6"/>
    <n v="1"/>
    <s v="REALIZADO"/>
    <s v="AGATHA"/>
    <d v="2025-12-16T00:00:00"/>
    <x v="0"/>
  </r>
  <r>
    <n v="73336"/>
    <s v="RODRIGO RODRIGUES"/>
    <s v="MMG"/>
    <s v="2º TURNO"/>
    <n v="50022878"/>
    <x v="18"/>
    <n v="1"/>
    <s v="REALIZADO"/>
    <s v="AGATHA"/>
    <d v="2025-12-16T00:00:00"/>
    <x v="0"/>
  </r>
  <r>
    <n v="73336"/>
    <s v="RODRIGO RODRIGUES"/>
    <s v="MMG"/>
    <s v="2º TURNO"/>
    <n v="50022878"/>
    <x v="18"/>
    <n v="1"/>
    <s v="REALIZADO"/>
    <s v="AGATHA"/>
    <d v="2025-12-16T00:00:00"/>
    <x v="2"/>
  </r>
  <r>
    <n v="77526"/>
    <s v="FELIPE GARÇONI"/>
    <s v="MME"/>
    <s v="ADM"/>
    <n v="50037902"/>
    <x v="14"/>
    <n v="1"/>
    <s v="REALIZADO"/>
    <s v="AGATHA"/>
    <d v="2025-12-16T00:00:00"/>
    <x v="2"/>
  </r>
  <r>
    <n v="77521"/>
    <s v="LUCAS LIRA"/>
    <s v="MME"/>
    <s v="ADM"/>
    <n v="50037892"/>
    <x v="2"/>
    <n v="1"/>
    <s v="REALIZADO"/>
    <s v="GEOVANE"/>
    <d v="2025-12-16T00:00:00"/>
    <x v="0"/>
  </r>
  <r>
    <n v="69510"/>
    <s v="GABRIEL CAIXETA"/>
    <s v="MEE"/>
    <s v="ADM"/>
    <n v="50026357"/>
    <x v="24"/>
    <n v="1"/>
    <s v="REALIZADO"/>
    <s v="MARCIA"/>
    <d v="2025-12-16T00:00:00"/>
    <x v="0"/>
  </r>
  <r>
    <n v="71850"/>
    <s v="CLEBER BRABO"/>
    <s v="MMG"/>
    <s v="ADM"/>
    <n v="50030486"/>
    <x v="17"/>
    <n v="1"/>
    <s v="REALIZADO"/>
    <s v="MATHEUS"/>
    <d v="2025-12-16T00:00:00"/>
    <x v="0"/>
  </r>
  <r>
    <n v="62180"/>
    <s v="JOSE AUGUSTO MASSUCHINI"/>
    <s v="MMG"/>
    <s v="ADM"/>
    <n v="50003173"/>
    <x v="29"/>
    <n v="1"/>
    <s v="REALIZADO"/>
    <s v="MATHEUS"/>
    <d v="2025-12-16T00:00:00"/>
    <x v="2"/>
  </r>
  <r>
    <n v="71850"/>
    <s v="CLEBER BRABO"/>
    <s v="MMG"/>
    <s v="ADM"/>
    <n v="50030486"/>
    <x v="17"/>
    <n v="1"/>
    <s v="REALIZADO"/>
    <s v="MATHEUS"/>
    <d v="2025-12-16T00:00:00"/>
    <x v="2"/>
  </r>
  <r>
    <n v="76994"/>
    <s v="FELIPE HENRIQUE DE BRITO"/>
    <s v="MEE"/>
    <s v="ADM"/>
    <n v="50043320"/>
    <x v="35"/>
    <n v="1"/>
    <s v="REALIZADO"/>
    <s v="MATHEUS"/>
    <d v="2025-12-16T00:00:00"/>
    <x v="2"/>
  </r>
  <r>
    <n v="70105"/>
    <s v="RONALDO DE SOUZA SANTOS"/>
    <s v="MMG"/>
    <s v="2º TURNO"/>
    <n v="50030486"/>
    <x v="17"/>
    <n v="1"/>
    <s v="REALIZADO"/>
    <s v="MATHEUS"/>
    <d v="2025-12-16T00:00:00"/>
    <x v="2"/>
  </r>
  <r>
    <n v="74611"/>
    <s v="CRISTIAM BORGES"/>
    <s v="MPR"/>
    <s v="ADM"/>
    <n v="50038517"/>
    <x v="0"/>
    <n v="1"/>
    <s v="REALIZADO"/>
    <s v="MATHEUS"/>
    <d v="2025-12-16T00:00:00"/>
    <x v="2"/>
  </r>
  <r>
    <n v="63770"/>
    <s v="DANILO DA SILVA"/>
    <s v="MMG"/>
    <s v="ADM"/>
    <n v="50038549"/>
    <x v="6"/>
    <n v="1"/>
    <s v="REALIZADO"/>
    <s v="MATHEUS"/>
    <d v="2025-12-16T00:00:00"/>
    <x v="0"/>
  </r>
  <r>
    <n v="74611"/>
    <s v="CRISTIAM BORGES"/>
    <s v="MPR"/>
    <s v="ADM"/>
    <n v="50038841"/>
    <x v="34"/>
    <n v="1"/>
    <s v="REALIZADO"/>
    <s v="MATHEUS"/>
    <d v="2025-12-16T00:00:00"/>
    <x v="2"/>
  </r>
  <r>
    <n v="62896"/>
    <s v="LEONARDO BORGES"/>
    <s v="MEE"/>
    <s v="ADM"/>
    <n v="50010031"/>
    <x v="20"/>
    <n v="1"/>
    <s v="REALIZADO"/>
    <s v="MATHEUS"/>
    <d v="2025-12-16T00:00:00"/>
    <x v="2"/>
  </r>
  <r>
    <n v="62180"/>
    <s v="JOSE AUGUSTO MASSUCHINI"/>
    <s v="MMG"/>
    <s v="ADM"/>
    <n v="50003173"/>
    <x v="29"/>
    <n v="1"/>
    <s v="REALIZADO"/>
    <s v="MATHEUS"/>
    <d v="2025-12-16T00:00:00"/>
    <x v="2"/>
  </r>
  <r>
    <n v="68708"/>
    <s v="CLAUDIO TADEU LEITE"/>
    <s v="MMG"/>
    <s v="ADM"/>
    <n v="50003297"/>
    <x v="8"/>
    <n v="1"/>
    <s v="REALIZADO"/>
    <s v="MATHEUS"/>
    <d v="2025-12-16T00:00:00"/>
    <x v="2"/>
  </r>
  <r>
    <n v="76994"/>
    <s v="FELIPE HENRIQUE DE BRITO"/>
    <s v="MEE"/>
    <s v="ADM"/>
    <n v="50041195"/>
    <x v="21"/>
    <n v="1"/>
    <s v="REALIZADO"/>
    <s v="MATHEUS"/>
    <d v="2025-12-16T00:00:00"/>
    <x v="0"/>
  </r>
  <r>
    <n v="65223"/>
    <s v="RODRIGO LOPES DOS SANTOS"/>
    <s v="MEE"/>
    <s v="2º TURNO"/>
    <n v="50029865"/>
    <x v="9"/>
    <n v="1"/>
    <s v="REALIZADO"/>
    <s v="AGATHA"/>
    <d v="2025-12-15T00:00:00"/>
    <x v="0"/>
  </r>
  <r>
    <n v="68708"/>
    <s v="CLAUDIO TADEU LEITE"/>
    <s v="MMG"/>
    <s v="ADM"/>
    <n v="50003297"/>
    <x v="8"/>
    <n v="1"/>
    <s v="REALIZADO"/>
    <s v="AGATHA"/>
    <d v="2025-12-15T00:00:00"/>
    <x v="0"/>
  </r>
  <r>
    <n v="68708"/>
    <s v="CLAUDIO TADEU LEITE"/>
    <s v="MMG"/>
    <s v="ADM"/>
    <n v="50038549"/>
    <x v="6"/>
    <n v="1"/>
    <s v="REALIZADO"/>
    <s v="AGATHA"/>
    <d v="2025-12-15T00:00:00"/>
    <x v="0"/>
  </r>
  <r>
    <n v="75424"/>
    <s v="EDSON CARLOS"/>
    <s v="MME"/>
    <s v="ADM"/>
    <n v="50043471"/>
    <x v="5"/>
    <n v="1"/>
    <s v="REALIZADO"/>
    <s v="AGATHA"/>
    <d v="2025-12-15T00:00:00"/>
    <x v="0"/>
  </r>
  <r>
    <n v="77521"/>
    <s v="LUCAS LIRA"/>
    <s v="MME"/>
    <s v="ADM"/>
    <n v="50037892"/>
    <x v="2"/>
    <n v="1"/>
    <s v="REALIZADO"/>
    <s v="AGATHA"/>
    <d v="2025-12-15T00:00:00"/>
    <x v="0"/>
  </r>
  <r>
    <n v="62896"/>
    <s v="LEONARDO BORGES"/>
    <s v="MEE"/>
    <s v="ADM"/>
    <n v="50030486"/>
    <x v="17"/>
    <n v="1"/>
    <s v="REALIZADO"/>
    <s v="AGATHA"/>
    <d v="2025-12-15T00:00:00"/>
    <x v="0"/>
  </r>
  <r>
    <n v="62896"/>
    <s v="LEONARDO BORGES"/>
    <s v="MEE"/>
    <s v="ADM"/>
    <n v="50010031"/>
    <x v="20"/>
    <n v="1"/>
    <s v="REALIZADO"/>
    <s v="AGATHA"/>
    <d v="2025-12-15T00:00:00"/>
    <x v="0"/>
  </r>
  <r>
    <n v="62896"/>
    <s v="LEONARDO BORGES"/>
    <s v="MEE"/>
    <s v="ADM"/>
    <n v="50043320"/>
    <x v="35"/>
    <n v="1"/>
    <s v="REALIZADO"/>
    <s v="AGATHA"/>
    <d v="2025-12-15T00:00:00"/>
    <x v="0"/>
  </r>
  <r>
    <n v="63399"/>
    <s v="JOAO CARLOS MARIA"/>
    <s v="MPR"/>
    <s v="ADM"/>
    <n v="50041195"/>
    <x v="21"/>
    <n v="1"/>
    <s v="REALIZADO"/>
    <s v="AGATHA"/>
    <d v="2025-12-15T00:00:00"/>
    <x v="2"/>
  </r>
  <r>
    <n v="77521"/>
    <s v="LUCAS LIRA"/>
    <s v="MME"/>
    <s v="ADM"/>
    <n v="50037892"/>
    <x v="2"/>
    <n v="1"/>
    <s v="REALIZADO"/>
    <s v="AGATHA"/>
    <d v="2025-12-15T00:00:00"/>
    <x v="2"/>
  </r>
  <r>
    <n v="68708"/>
    <s v="CLAUDIO TADEU LEITE"/>
    <s v="MMG"/>
    <s v="ADM"/>
    <n v="50003297"/>
    <x v="8"/>
    <n v="1"/>
    <s v="REALIZADO"/>
    <s v="AGATHA"/>
    <d v="2025-12-15T00:00:00"/>
    <x v="0"/>
  </r>
  <r>
    <n v="62033"/>
    <s v="ODAIR JOSE DA SILVA"/>
    <s v="MME"/>
    <s v="2º TURNO"/>
    <n v="50040566"/>
    <x v="32"/>
    <n v="1"/>
    <s v="REALIZADO"/>
    <s v="AGATHA"/>
    <d v="2025-12-15T00:00:00"/>
    <x v="0"/>
  </r>
  <r>
    <n v="77521"/>
    <s v="LUCAS LIRA"/>
    <s v="MME"/>
    <s v="ADM"/>
    <n v="50032781"/>
    <x v="12"/>
    <n v="1"/>
    <s v="REALIZADO"/>
    <s v="AGATHA"/>
    <d v="2025-12-15T00:00:00"/>
    <x v="0"/>
  </r>
  <r>
    <n v="66830"/>
    <s v="MARCIO GOMES DA SILVA"/>
    <s v="MPR"/>
    <s v="ADM"/>
    <n v="50028220"/>
    <x v="33"/>
    <n v="1"/>
    <s v="REALIZADO"/>
    <s v="AGATHA"/>
    <d v="2025-12-15T00:00:00"/>
    <x v="2"/>
  </r>
  <r>
    <n v="62033"/>
    <s v="ODAIR JOSE DA SILVA"/>
    <s v="MME"/>
    <s v="2º TURNO"/>
    <n v="50040566"/>
    <x v="32"/>
    <n v="1"/>
    <s v="REALIZADO"/>
    <s v="AGATHA"/>
    <d v="2025-12-15T00:00:00"/>
    <x v="2"/>
  </r>
  <r>
    <n v="77521"/>
    <s v="LUCAS LIRA"/>
    <s v="MME"/>
    <s v="ADM"/>
    <n v="50032781"/>
    <x v="12"/>
    <n v="1"/>
    <s v="REALIZADO"/>
    <s v="AGATHA"/>
    <d v="2025-12-15T00:00:00"/>
    <x v="2"/>
  </r>
  <r>
    <n v="62896"/>
    <s v="LEONARDO BORGES"/>
    <s v="MEE"/>
    <s v="ADM"/>
    <n v="50043320"/>
    <x v="35"/>
    <n v="1"/>
    <s v="REALIZADO"/>
    <s v="AGATHA"/>
    <d v="2025-12-15T00:00:00"/>
    <x v="2"/>
  </r>
  <r>
    <n v="62896"/>
    <s v="LEONARDO BORGES"/>
    <s v="MEE"/>
    <s v="ADM"/>
    <n v="50030486"/>
    <x v="17"/>
    <n v="1"/>
    <s v="REALIZADO"/>
    <s v="AGATHA"/>
    <d v="2025-12-15T00:00:00"/>
    <x v="0"/>
  </r>
  <r>
    <n v="67863"/>
    <s v="MARCELO PAIM"/>
    <s v="MME"/>
    <s v="1º TURNO"/>
    <n v="50037892"/>
    <x v="2"/>
    <n v="1"/>
    <s v="REALIZADO"/>
    <s v="AGATHA"/>
    <d v="2025-12-15T00:00:00"/>
    <x v="2"/>
  </r>
  <r>
    <n v="67863"/>
    <s v="MARCELO PAIM"/>
    <s v="MME"/>
    <s v="1º TURNO"/>
    <n v="50037892"/>
    <x v="2"/>
    <n v="1"/>
    <s v="REALIZADO"/>
    <s v="AGATHA"/>
    <d v="2025-12-15T00:00:00"/>
    <x v="0"/>
  </r>
  <r>
    <n v="77521"/>
    <s v="LUCAS LIRA"/>
    <s v="MME"/>
    <s v="ADM"/>
    <n v="50037892"/>
    <x v="2"/>
    <n v="1"/>
    <s v="REALIZADO"/>
    <s v="AGATHA"/>
    <d v="2025-12-15T00:00:00"/>
    <x v="2"/>
  </r>
  <r>
    <n v="77521"/>
    <s v="LUCAS LIRA"/>
    <s v="MME"/>
    <s v="ADM"/>
    <n v="50037892"/>
    <x v="2"/>
    <n v="1"/>
    <s v="REALIZADO"/>
    <s v="MARCIA"/>
    <d v="2025-12-15T00:00:00"/>
    <x v="0"/>
  </r>
  <r>
    <n v="62180"/>
    <s v="JOSE AUGUSTO MASSUCHINI"/>
    <s v="MMG"/>
    <s v="ADM"/>
    <n v="50022878"/>
    <x v="18"/>
    <n v="1"/>
    <s v="REALIZADO"/>
    <s v="BRUNO"/>
    <d v="2025-12-15T00:00:00"/>
    <x v="0"/>
  </r>
  <r>
    <n v="63770"/>
    <s v="DANILO DA SILVA"/>
    <s v="MMG"/>
    <s v="ADM"/>
    <n v="50037902"/>
    <x v="14"/>
    <n v="1"/>
    <s v="REALIZADO"/>
    <s v="BRUNO"/>
    <d v="2025-12-15T00:00:00"/>
    <x v="2"/>
  </r>
  <r>
    <n v="62896"/>
    <s v="LEONARDO BORGES"/>
    <s v="MEE"/>
    <s v="ADM"/>
    <n v="50010031"/>
    <x v="20"/>
    <n v="1"/>
    <s v="REALIZADO"/>
    <s v="BRUNO"/>
    <d v="2025-12-15T00:00:00"/>
    <x v="2"/>
  </r>
  <r>
    <n v="75424"/>
    <s v="EDSON CARLOS"/>
    <s v="MME"/>
    <s v="ADM"/>
    <n v="50043471"/>
    <x v="5"/>
    <n v="1"/>
    <s v="REALIZADO"/>
    <s v="BRUNO"/>
    <d v="2025-12-15T00:00:00"/>
    <x v="2"/>
  </r>
  <r>
    <n v="77471"/>
    <s v="DANILO BARBOSA"/>
    <s v="MEE"/>
    <s v="ADM"/>
    <n v="50038956"/>
    <x v="10"/>
    <n v="1"/>
    <s v="REALIZADO"/>
    <s v="BRUNO"/>
    <d v="2025-12-15T00:00:00"/>
    <x v="2"/>
  </r>
  <r>
    <n v="63399"/>
    <s v="JOAO CARLOS MARIA"/>
    <s v="MPR"/>
    <s v="ADM"/>
    <n v="50041195"/>
    <x v="21"/>
    <n v="1"/>
    <s v="REALIZADO"/>
    <s v="BRUNO"/>
    <d v="2025-12-15T00:00:00"/>
    <x v="0"/>
  </r>
  <r>
    <n v="66830"/>
    <s v="MARCIO GOMES DA SILVA"/>
    <s v="MPR"/>
    <s v="ADM"/>
    <n v="50041195"/>
    <x v="21"/>
    <n v="1"/>
    <s v="REALIZADO"/>
    <s v="BRUNO"/>
    <d v="2025-12-15T00:00:00"/>
    <x v="2"/>
  </r>
  <r>
    <n v="66830"/>
    <s v="MARCIO GOMES DA SILVA"/>
    <s v="MPR"/>
    <s v="ADM"/>
    <n v="50028220"/>
    <x v="33"/>
    <n v="1"/>
    <s v="REALIZADO"/>
    <s v="BRUNO"/>
    <d v="2025-12-15T00:00:00"/>
    <x v="2"/>
  </r>
  <r>
    <n v="68708"/>
    <s v="CLAUDIO TADEU LEITE"/>
    <s v="MMG"/>
    <s v="ADM"/>
    <n v="50038549"/>
    <x v="6"/>
    <n v="1"/>
    <s v="REALIZADO"/>
    <s v="BRUNO"/>
    <d v="2025-12-15T00:00:00"/>
    <x v="2"/>
  </r>
  <r>
    <n v="65223"/>
    <s v="RODRIGO LOPES DOS SANTOS"/>
    <s v="MEE"/>
    <s v="2º TURNO"/>
    <n v="50029865"/>
    <x v="9"/>
    <n v="1"/>
    <s v="REALIZADO"/>
    <s v="BRUNO"/>
    <d v="2025-12-15T00:00:00"/>
    <x v="2"/>
  </r>
  <r>
    <n v="64253"/>
    <s v="DANIEL JULIAO"/>
    <s v="MMG"/>
    <s v="ADM"/>
    <n v="50037961"/>
    <x v="36"/>
    <n v="1"/>
    <s v="REALIZADO"/>
    <s v="BRUNO"/>
    <d v="2025-12-15T00:00:00"/>
    <x v="2"/>
  </r>
  <r>
    <n v="64253"/>
    <s v="DANIEL JULIAO"/>
    <s v="MMG"/>
    <s v="ADM"/>
    <n v="50037960"/>
    <x v="37"/>
    <n v="1"/>
    <s v="REALIZADO"/>
    <s v="BRUNO"/>
    <d v="2025-12-15T00:00:00"/>
    <x v="2"/>
  </r>
  <r>
    <n v="63770"/>
    <s v="DANILO DA SILVA"/>
    <s v="MMG"/>
    <s v="ADM"/>
    <n v="50037902"/>
    <x v="14"/>
    <n v="1"/>
    <s v="REALIZADO"/>
    <s v="BRUNO"/>
    <d v="2025-12-15T00:00:00"/>
    <x v="2"/>
  </r>
  <r>
    <n v="62180"/>
    <s v="JOSE AUGUSTO MASSUCHINI"/>
    <s v="MMG"/>
    <s v="ADM"/>
    <n v="50022878"/>
    <x v="18"/>
    <n v="1"/>
    <s v="REALIZADO"/>
    <s v="BRUNO"/>
    <d v="2025-12-15T00:00:00"/>
    <x v="0"/>
  </r>
  <r>
    <n v="74611"/>
    <s v="CRISTIAM BORGES"/>
    <s v="MPR"/>
    <s v="ADM"/>
    <n v="50037892"/>
    <x v="2"/>
    <n v="1"/>
    <s v="REALIZADO"/>
    <s v="AGATHA"/>
    <d v="2025-12-12T00:00:00"/>
    <x v="0"/>
  </r>
  <r>
    <n v="74611"/>
    <s v="CRISTIAM BORGES"/>
    <s v="MPR"/>
    <s v="ADM"/>
    <n v="50026357"/>
    <x v="24"/>
    <n v="1"/>
    <s v="REALIZADO"/>
    <s v="BRUNO"/>
    <d v="2025-12-12T00:00:00"/>
    <x v="0"/>
  </r>
  <r>
    <n v="74611"/>
    <s v="CRISTIAM BORGES"/>
    <s v="MPR"/>
    <s v="ADM"/>
    <n v="50043471"/>
    <x v="5"/>
    <n v="1"/>
    <s v="REALIZADO"/>
    <s v="BRUNO"/>
    <d v="2025-12-12T00:00:00"/>
    <x v="0"/>
  </r>
  <r>
    <n v="68708"/>
    <s v="CLAUDIO TADEU LEITE"/>
    <s v="MMG"/>
    <s v="ADM"/>
    <n v="50038841"/>
    <x v="34"/>
    <n v="1"/>
    <s v="REALIZADO"/>
    <s v="AGATHA"/>
    <d v="2025-12-12T00:00:00"/>
    <x v="2"/>
  </r>
  <r>
    <n v="65131"/>
    <s v="GUILHERME VECHIO"/>
    <s v="MMG"/>
    <s v="2º TURNO"/>
    <n v="50039065"/>
    <x v="22"/>
    <n v="1"/>
    <s v="REALIZADO"/>
    <s v="AGATHA"/>
    <d v="2025-12-12T00:00:00"/>
    <x v="2"/>
  </r>
  <r>
    <n v="64128"/>
    <s v="CRISTIANO LUIZ PEGO"/>
    <s v="UTI"/>
    <s v="2º TURNO"/>
    <n v="50042002"/>
    <x v="38"/>
    <n v="1"/>
    <s v="REALIZADO"/>
    <s v="AGATHA"/>
    <d v="2025-12-12T00:00:00"/>
    <x v="0"/>
  </r>
  <r>
    <n v="68760"/>
    <s v="FERDINANDO PAZINI"/>
    <s v="MMG"/>
    <s v="ADM"/>
    <n v="50038854"/>
    <x v="27"/>
    <n v="1"/>
    <s v="REALIZADO"/>
    <s v="AGATHA"/>
    <d v="2025-12-12T00:00:00"/>
    <x v="0"/>
  </r>
  <r>
    <n v="63770"/>
    <s v="DANILO DA SILVA"/>
    <s v="MMG"/>
    <s v="ADM"/>
    <n v="50038517"/>
    <x v="0"/>
    <n v="1"/>
    <s v="REALIZADO"/>
    <s v="AGATHA"/>
    <d v="2025-12-12T00:00:00"/>
    <x v="2"/>
  </r>
  <r>
    <n v="63770"/>
    <s v="DANILO DA SILVA"/>
    <s v="MMG"/>
    <s v="ADM"/>
    <n v="50038517"/>
    <x v="0"/>
    <n v="1"/>
    <s v="REALIZADO"/>
    <s v="AGATHA"/>
    <d v="2025-12-12T00:00:00"/>
    <x v="2"/>
  </r>
  <r>
    <n v="68760"/>
    <s v="FERDINANDO PAZINI"/>
    <s v="MMG"/>
    <s v="ADM"/>
    <n v="50038854"/>
    <x v="27"/>
    <n v="1"/>
    <s v="REALIZADO"/>
    <s v="AGATHA"/>
    <d v="2025-12-12T00:00:00"/>
    <x v="2"/>
  </r>
  <r>
    <n v="68708"/>
    <s v="CLAUDIO TADEU LEITE"/>
    <s v="MMG"/>
    <s v="ADM"/>
    <n v="50038841"/>
    <x v="34"/>
    <n v="1"/>
    <s v="REALIZADO"/>
    <s v="AGATHA"/>
    <d v="2025-12-12T00:00:00"/>
    <x v="0"/>
  </r>
  <r>
    <n v="63770"/>
    <s v="DANILO DA SILVA"/>
    <s v="MMG"/>
    <s v="ADM"/>
    <n v="50036279"/>
    <x v="28"/>
    <n v="1"/>
    <s v="REALIZADO"/>
    <s v="AGATHA"/>
    <d v="2025-12-12T00:00:00"/>
    <x v="2"/>
  </r>
  <r>
    <n v="74611"/>
    <s v="CRISTIAM BORGES"/>
    <s v="MPR"/>
    <s v="ADM"/>
    <n v="50037892"/>
    <x v="2"/>
    <n v="1"/>
    <s v="REALIZADO"/>
    <s v="AGATHA"/>
    <d v="2025-12-12T00:00:00"/>
    <x v="0"/>
  </r>
  <r>
    <n v="77526"/>
    <s v="FELIPE GARÇONI"/>
    <s v="MME"/>
    <s v="ADM"/>
    <n v="50038841"/>
    <x v="34"/>
    <n v="1"/>
    <s v="REALIZADO"/>
    <s v="MARCIA"/>
    <d v="2025-12-12T00:00:00"/>
    <x v="0"/>
  </r>
  <r>
    <n v="62137"/>
    <s v="RAFAEL AMORIM"/>
    <s v="MME"/>
    <s v="1º TURNO"/>
    <n v="50003297"/>
    <x v="8"/>
    <n v="1"/>
    <s v="REALIZADO"/>
    <s v="MATHEUS"/>
    <d v="2025-12-12T00:00:00"/>
    <x v="2"/>
  </r>
  <r>
    <n v="77471"/>
    <s v="DANILO BARBOSA"/>
    <s v="MEE"/>
    <s v="ADM"/>
    <n v="50038956"/>
    <x v="10"/>
    <n v="1"/>
    <s v="REALIZADO"/>
    <s v="MATHEUS"/>
    <d v="2025-12-12T00:00:00"/>
    <x v="0"/>
  </r>
  <r>
    <n v="68708"/>
    <s v="CLAUDIO TADEU LEITE"/>
    <s v="MMG"/>
    <s v="ADM"/>
    <n v="50039718"/>
    <x v="11"/>
    <n v="1"/>
    <s v="REALIZADO"/>
    <s v="MATHEUS"/>
    <d v="2025-12-12T00:00:00"/>
    <x v="2"/>
  </r>
  <r>
    <n v="62137"/>
    <s v="RAFAEL AMORIM"/>
    <s v="MME"/>
    <s v="1º TURNO"/>
    <n v="50003297"/>
    <x v="8"/>
    <n v="1"/>
    <s v="REALIZADO"/>
    <s v="MATHEUS"/>
    <d v="2025-12-12T00:00:00"/>
    <x v="2"/>
  </r>
  <r>
    <n v="68708"/>
    <s v="CLAUDIO TADEU LEITE"/>
    <s v="MMG"/>
    <s v="ADM"/>
    <n v="50039718"/>
    <x v="11"/>
    <n v="1"/>
    <s v="REALIZADO"/>
    <s v="MATHEUS"/>
    <d v="2025-12-12T00:00:00"/>
    <x v="0"/>
  </r>
  <r>
    <n v="76239"/>
    <s v="GEOVANNY ALEXANDER"/>
    <s v="REFRIG"/>
    <s v="ADM"/>
    <n v="50018168"/>
    <x v="39"/>
    <n v="1"/>
    <s v="REALIZADO"/>
    <s v="BRUNO"/>
    <d v="2025-12-12T00:00:00"/>
    <x v="0"/>
  </r>
  <r>
    <n v="68708"/>
    <s v="CLAUDIO TADEU LEITE"/>
    <s v="MMG"/>
    <s v="ADM"/>
    <n v="50012902"/>
    <x v="30"/>
    <n v="1"/>
    <s v="REALIZADO"/>
    <s v="BRUNO"/>
    <d v="2025-12-12T00:00:00"/>
    <x v="0"/>
  </r>
  <r>
    <n v="68708"/>
    <s v="CLAUDIO TADEU LEITE"/>
    <s v="MMG"/>
    <s v="ADM"/>
    <n v="50010031"/>
    <x v="20"/>
    <n v="1"/>
    <s v="REALIZADO"/>
    <s v="BRUNO"/>
    <d v="2025-12-12T00:00:00"/>
    <x v="2"/>
  </r>
  <r>
    <n v="63770"/>
    <s v="DANILO DA SILVA"/>
    <s v="MMG"/>
    <s v="ADM"/>
    <n v="50036279"/>
    <x v="28"/>
    <n v="1"/>
    <s v="REALIZADO"/>
    <s v="BRUNO"/>
    <d v="2025-12-12T00:00:00"/>
    <x v="2"/>
  </r>
  <r>
    <n v="68708"/>
    <s v="CLAUDIO TADEU LEITE"/>
    <s v="MMG"/>
    <s v="ADM"/>
    <n v="50010031"/>
    <x v="20"/>
    <n v="1"/>
    <s v="REALIZADO"/>
    <s v="BRUNO"/>
    <d v="2025-12-12T00:00:00"/>
    <x v="2"/>
  </r>
  <r>
    <n v="74611"/>
    <s v="CRISTIAM BORGES"/>
    <s v="MPR"/>
    <s v="ADM"/>
    <n v="50026357"/>
    <x v="24"/>
    <n v="1"/>
    <s v="REALIZADO"/>
    <s v="BRUNO"/>
    <d v="2025-12-12T00:00:00"/>
    <x v="2"/>
  </r>
  <r>
    <n v="74611"/>
    <s v="CRISTIAM BORGES"/>
    <s v="MPR"/>
    <s v="ADM"/>
    <n v="50043471"/>
    <x v="5"/>
    <n v="1"/>
    <s v="REALIZADO"/>
    <s v="BRUNO"/>
    <d v="2025-12-12T00:00:00"/>
    <x v="0"/>
  </r>
  <r>
    <n v="77521"/>
    <s v="LUCAS LIRA"/>
    <s v="MME"/>
    <s v="ADM"/>
    <n v="50004486"/>
    <x v="40"/>
    <n v="1"/>
    <s v="REALIZADO"/>
    <s v="BRUNO"/>
    <d v="2025-12-12T00:00:00"/>
    <x v="2"/>
  </r>
  <r>
    <n v="68708"/>
    <s v="CLAUDIO TADEU LEITE"/>
    <s v="MMG"/>
    <s v="ADM"/>
    <n v="50012902"/>
    <x v="30"/>
    <n v="1"/>
    <s v="REALIZADO"/>
    <s v="BRUNO"/>
    <d v="2025-12-12T00:00:00"/>
    <x v="0"/>
  </r>
  <r>
    <n v="68708"/>
    <s v="CLAUDIO TADEU LEITE"/>
    <s v="MMG"/>
    <s v="ADM"/>
    <n v="50012903"/>
    <x v="31"/>
    <n v="1"/>
    <s v="REALIZADO"/>
    <s v="BRUNO"/>
    <d v="2025-12-12T00:00:00"/>
    <x v="2"/>
  </r>
  <r>
    <n v="68708"/>
    <s v="CLAUDIO TADEU LEITE"/>
    <s v="MMG"/>
    <s v="ADM"/>
    <n v="50012903"/>
    <x v="31"/>
    <n v="1"/>
    <s v="REALIZADO"/>
    <s v="BRUNO"/>
    <d v="2025-12-12T00:00:00"/>
    <x v="2"/>
  </r>
  <r>
    <n v="66830"/>
    <s v="MARCIO GOMES DA SILVA"/>
    <s v="MPR"/>
    <s v="ADM"/>
    <n v="50041195"/>
    <x v="21"/>
    <n v="1"/>
    <s v="REALIZADO"/>
    <s v="BRUNO"/>
    <d v="2025-12-12T00:00:00"/>
    <x v="2"/>
  </r>
  <r>
    <n v="77521"/>
    <s v="LUCAS LIRA"/>
    <s v="MME"/>
    <s v="ADM"/>
    <n v="50004486"/>
    <x v="40"/>
    <n v="1"/>
    <s v="REALIZADO"/>
    <s v="BRUNO"/>
    <d v="2025-12-12T00:00:00"/>
    <x v="2"/>
  </r>
  <r>
    <n v="76239"/>
    <s v="GEOVANNY ALEXANDER"/>
    <s v="REFRIG"/>
    <s v="ADM"/>
    <n v="50018168"/>
    <x v="39"/>
    <n v="1"/>
    <s v="REALIZADO"/>
    <s v="BRUNO"/>
    <d v="2025-12-12T00:00:00"/>
    <x v="2"/>
  </r>
  <r>
    <n v="77526"/>
    <s v="FELIPE GARÇONI"/>
    <s v="MME"/>
    <s v="ADM"/>
    <n v="50038841"/>
    <x v="34"/>
    <n v="1"/>
    <s v="REALIZADO"/>
    <s v="BRUNO"/>
    <d v="2025-12-12T00:00:00"/>
    <x v="0"/>
  </r>
  <r>
    <n v="77526"/>
    <s v="FELIPE GARÇONI"/>
    <s v="MME"/>
    <s v="ADM"/>
    <n v="50038841"/>
    <x v="34"/>
    <n v="1"/>
    <s v="REALIZADO"/>
    <s v="GEOVANE"/>
    <d v="2025-12-11T00:00:00"/>
    <x v="0"/>
  </r>
  <r>
    <n v="62640"/>
    <s v="MARCELINHO"/>
    <s v="MPR"/>
    <s v="ADM"/>
    <n v="50037892"/>
    <x v="2"/>
    <n v="1"/>
    <s v="REALIZADO"/>
    <s v="GEOVANE"/>
    <d v="2025-12-11T00:00:00"/>
    <x v="0"/>
  </r>
  <r>
    <n v="62640"/>
    <s v="MARCELINHO"/>
    <s v="MPR"/>
    <s v="ADM"/>
    <n v="50043471"/>
    <x v="5"/>
    <n v="1"/>
    <s v="REALIZADO"/>
    <s v="GEOVANE"/>
    <d v="2025-12-11T00:00:00"/>
    <x v="0"/>
  </r>
  <r>
    <n v="33880"/>
    <s v="MARCO OLIVEIRA"/>
    <s v="MME"/>
    <s v="3º TURNO"/>
    <n v="50041195"/>
    <x v="21"/>
    <n v="1"/>
    <s v="REALIZADO"/>
    <s v="GEOVANE"/>
    <d v="2025-12-11T00:00:00"/>
    <x v="0"/>
  </r>
  <r>
    <n v="74611"/>
    <s v="CRISTIAM BORGES"/>
    <s v="MPR"/>
    <s v="ADM"/>
    <n v="50026357"/>
    <x v="24"/>
    <n v="1"/>
    <s v="REALIZADO"/>
    <s v="GEOVANE"/>
    <d v="2025-12-11T00:00:00"/>
    <x v="0"/>
  </r>
  <r>
    <n v="77521"/>
    <s v="LUCAS LIRA"/>
    <s v="MME"/>
    <s v="ADM"/>
    <n v="50032781"/>
    <x v="12"/>
    <n v="1"/>
    <s v="REALIZADO"/>
    <s v="GEOVANE"/>
    <d v="2025-12-11T00:00:00"/>
    <x v="0"/>
  </r>
  <r>
    <n v="74611"/>
    <s v="CRISTIAM BORGES"/>
    <s v="MPR"/>
    <s v="ADM"/>
    <n v="50030486"/>
    <x v="17"/>
    <n v="1"/>
    <s v="REALIZADO"/>
    <s v="GEOVANE"/>
    <d v="2025-12-11T00:00:00"/>
    <x v="0"/>
  </r>
  <r>
    <n v="77526"/>
    <s v="FELIPE GARÇONI"/>
    <s v="MME"/>
    <s v="ADM"/>
    <n v="50003297"/>
    <x v="8"/>
    <n v="1"/>
    <s v="REALIZADO"/>
    <s v="GEOVANE"/>
    <d v="2025-12-11T00:00:00"/>
    <x v="0"/>
  </r>
  <r>
    <n v="62640"/>
    <s v="MARCELINHO"/>
    <s v="MPR"/>
    <s v="ADM"/>
    <n v="50037892"/>
    <x v="2"/>
    <n v="1"/>
    <s v="REALIZADO"/>
    <s v="GEOVANE"/>
    <d v="2025-12-11T00:00:00"/>
    <x v="0"/>
  </r>
  <r>
    <n v="62640"/>
    <s v="MARCELINHO"/>
    <s v="MPR"/>
    <s v="ADM"/>
    <n v="50043471"/>
    <x v="5"/>
    <n v="1"/>
    <s v="REALIZADO"/>
    <s v="GEOVANE"/>
    <d v="2025-12-11T00:00:00"/>
    <x v="2"/>
  </r>
  <r>
    <n v="62640"/>
    <s v="MARCELINHO"/>
    <s v="MPR"/>
    <s v="ADM"/>
    <n v="50037892"/>
    <x v="2"/>
    <n v="1"/>
    <s v="REALIZADO"/>
    <s v="GEOVANE"/>
    <d v="2025-12-11T00:00:00"/>
    <x v="2"/>
  </r>
  <r>
    <n v="62640"/>
    <s v="MARCELINHO"/>
    <s v="MPR"/>
    <s v="ADM"/>
    <n v="50043471"/>
    <x v="5"/>
    <n v="1"/>
    <s v="REALIZADO"/>
    <s v="GEOVANE"/>
    <d v="2025-12-11T00:00:00"/>
    <x v="0"/>
  </r>
  <r>
    <n v="77471"/>
    <s v="DANILO BARBOSA"/>
    <s v="MEE"/>
    <s v="ADM"/>
    <n v="50037892"/>
    <x v="2"/>
    <n v="1"/>
    <s v="REALIZADO"/>
    <s v="GEOVANE"/>
    <d v="2025-12-11T00:00:00"/>
    <x v="0"/>
  </r>
  <r>
    <n v="96464"/>
    <s v="KEVIN INAMOTO"/>
    <s v="MEE"/>
    <s v="1º TURNO"/>
    <n v="50043471"/>
    <x v="5"/>
    <n v="1"/>
    <s v="REALIZADO"/>
    <s v="GEOVANE"/>
    <d v="2025-12-11T00:00:00"/>
    <x v="2"/>
  </r>
  <r>
    <n v="73878"/>
    <s v="EVANDRO TANAKA"/>
    <s v="MMG"/>
    <s v="ADM"/>
    <n v="50039065"/>
    <x v="22"/>
    <n v="1"/>
    <s v="REALIZADO"/>
    <s v="GEOVANE"/>
    <d v="2025-12-11T00:00:00"/>
    <x v="2"/>
  </r>
  <r>
    <n v="73878"/>
    <s v="EVANDRO TANAKA"/>
    <s v="MMG"/>
    <s v="ADM"/>
    <n v="50038517"/>
    <x v="0"/>
    <n v="1"/>
    <s v="REALIZADO"/>
    <s v="GEOVANE"/>
    <d v="2025-12-11T00:00:00"/>
    <x v="2"/>
  </r>
  <r>
    <n v="77471"/>
    <s v="DANILO BARBOSA"/>
    <s v="MEE"/>
    <s v="ADM"/>
    <n v="50037892"/>
    <x v="2"/>
    <n v="1"/>
    <s v="REALIZADO"/>
    <s v="GEOVANE"/>
    <d v="2025-12-11T00:00:00"/>
    <x v="2"/>
  </r>
  <r>
    <n v="64253"/>
    <s v="DANIEL JULIAO"/>
    <s v="MMG"/>
    <s v="ADM"/>
    <n v="50037900"/>
    <x v="41"/>
    <n v="1"/>
    <s v="REALIZADO"/>
    <s v="GEOVANE"/>
    <d v="2025-12-11T00:00:00"/>
    <x v="0"/>
  </r>
  <r>
    <n v="77471"/>
    <s v="DANILO BARBOSA"/>
    <s v="MEE"/>
    <s v="ADM"/>
    <n v="50020623"/>
    <x v="42"/>
    <n v="1"/>
    <s v="REALIZADO"/>
    <s v="BRUNO"/>
    <d v="2025-12-11T00:00:00"/>
    <x v="0"/>
  </r>
  <r>
    <n v="79495"/>
    <s v="DAVID"/>
    <s v="MMG"/>
    <s v="1º TURNO"/>
    <n v="50038549"/>
    <x v="6"/>
    <n v="1"/>
    <s v="REALIZADO"/>
    <s v="BRUNO"/>
    <d v="2025-12-11T00:00:00"/>
    <x v="0"/>
  </r>
  <r>
    <n v="79495"/>
    <s v="DAVID"/>
    <s v="MMG"/>
    <s v="1º TURNO"/>
    <n v="50038854"/>
    <x v="27"/>
    <n v="1"/>
    <s v="REALIZADO"/>
    <s v="BRUNO"/>
    <d v="2025-12-11T00:00:00"/>
    <x v="0"/>
  </r>
  <r>
    <n v="68708"/>
    <s v="CLAUDIO TADEU LEITE"/>
    <s v="MMG"/>
    <s v="ADM"/>
    <n v="50038517"/>
    <x v="0"/>
    <n v="1"/>
    <s v="REALIZADO"/>
    <s v="MATHEUS"/>
    <d v="2025-12-11T00:00:00"/>
    <x v="2"/>
  </r>
  <r>
    <n v="68708"/>
    <s v="CLAUDIO TADEU LEITE"/>
    <s v="MMG"/>
    <s v="ADM"/>
    <n v="50038517"/>
    <x v="0"/>
    <n v="1"/>
    <s v="REALIZADO"/>
    <s v="BRUNO"/>
    <d v="2025-12-11T00:00:00"/>
    <x v="0"/>
  </r>
  <r>
    <n v="58068"/>
    <s v="REGINALDO PEREIRA"/>
    <s v="MME"/>
    <s v="ADM"/>
    <n v="50038517"/>
    <x v="0"/>
    <n v="1"/>
    <s v="REALIZADO"/>
    <s v="BRUNO"/>
    <d v="2025-12-11T00:00:00"/>
    <x v="2"/>
  </r>
  <r>
    <n v="79495"/>
    <s v="DAVID"/>
    <s v="MMG"/>
    <s v="1º TURNO"/>
    <n v="50038854"/>
    <x v="27"/>
    <n v="1"/>
    <s v="REALIZADO"/>
    <s v="BRUNO"/>
    <d v="2025-12-11T00:00:00"/>
    <x v="2"/>
  </r>
  <r>
    <n v="33880"/>
    <s v="MARCO OLIVEIRA"/>
    <s v="MME"/>
    <s v="3º TURNO"/>
    <n v="50041195"/>
    <x v="21"/>
    <n v="1"/>
    <s v="REALIZADO"/>
    <s v="BRUNO"/>
    <d v="2025-12-11T00:00:00"/>
    <x v="2"/>
  </r>
  <r>
    <n v="69510"/>
    <s v="GABRIEL CAIXETA"/>
    <s v="MEE"/>
    <s v="ADM"/>
    <n v="50029865"/>
    <x v="9"/>
    <n v="1"/>
    <s v="REALIZADO"/>
    <s v="BRUNO"/>
    <d v="2025-12-11T00:00:00"/>
    <x v="2"/>
  </r>
  <r>
    <n v="74611"/>
    <s v="CRISTIAM BORGES"/>
    <s v="MPR"/>
    <s v="ADM"/>
    <n v="50026357"/>
    <x v="24"/>
    <n v="1"/>
    <s v="REALIZADO"/>
    <s v="BRUNO"/>
    <d v="2025-12-11T00:00:00"/>
    <x v="2"/>
  </r>
  <r>
    <n v="79495"/>
    <s v="DAVID"/>
    <s v="MMG"/>
    <s v="1º TURNO"/>
    <n v="50038549"/>
    <x v="6"/>
    <n v="1"/>
    <s v="REALIZADO"/>
    <s v="BRUNO"/>
    <d v="2025-12-11T00:00:00"/>
    <x v="0"/>
  </r>
  <r>
    <n v="68708"/>
    <s v="CLAUDIO TADEU LEITE"/>
    <s v="MMG"/>
    <s v="ADM"/>
    <n v="50038517"/>
    <x v="0"/>
    <n v="1"/>
    <s v="REALIZADO"/>
    <s v="BRUNO"/>
    <d v="2025-12-11T00:00:00"/>
    <x v="2"/>
  </r>
  <r>
    <n v="58068"/>
    <s v="REGINALDO PEREIRA"/>
    <s v="MME"/>
    <s v="ADM"/>
    <n v="50038517"/>
    <x v="0"/>
    <n v="1"/>
    <s v="REALIZADO"/>
    <s v="BRUNO"/>
    <d v="2025-12-11T00:00:00"/>
    <x v="2"/>
  </r>
  <r>
    <n v="77521"/>
    <s v="LUCAS LIRA"/>
    <s v="MME"/>
    <s v="ADM"/>
    <n v="50032781"/>
    <x v="12"/>
    <n v="1"/>
    <s v="REALIZADO"/>
    <s v="BRUNO"/>
    <d v="2025-12-11T00:00:00"/>
    <x v="2"/>
  </r>
  <r>
    <n v="74611"/>
    <s v="CRISTIAM BORGES"/>
    <s v="MPR"/>
    <s v="ADM"/>
    <n v="50030486"/>
    <x v="17"/>
    <n v="1"/>
    <s v="REALIZADO"/>
    <s v="BRUNO"/>
    <d v="2025-12-11T00:00:00"/>
    <x v="2"/>
  </r>
  <r>
    <n v="74611"/>
    <s v="CRISTIAM BORGES"/>
    <s v="MPR"/>
    <s v="ADM"/>
    <n v="50010031"/>
    <x v="20"/>
    <n v="1"/>
    <s v="REALIZADO"/>
    <s v="BRUNO"/>
    <d v="2025-12-11T00:00:00"/>
    <x v="2"/>
  </r>
  <r>
    <n v="96464"/>
    <s v="KEVIN INAMOTO"/>
    <s v="MEE"/>
    <s v="1º TURNO"/>
    <n v="50043471"/>
    <x v="5"/>
    <n v="1"/>
    <s v="REALIZADO"/>
    <s v="BRUNO"/>
    <d v="2025-12-11T00:00:00"/>
    <x v="2"/>
  </r>
  <r>
    <n v="77471"/>
    <s v="DANILO BARBOSA"/>
    <s v="MEE"/>
    <s v="ADM"/>
    <n v="50020623"/>
    <x v="42"/>
    <n v="1"/>
    <s v="REALIZADO"/>
    <s v="BRUNO"/>
    <d v="2025-12-11T00:00:00"/>
    <x v="0"/>
  </r>
  <r>
    <n v="61753"/>
    <s v="FABIANO ALVIM"/>
    <s v="MEE"/>
    <s v="1º TURNO"/>
    <n v="50043471"/>
    <x v="5"/>
    <n v="1"/>
    <s v="REALIZADO"/>
    <s v="BRUNO"/>
    <d v="2025-12-11T00:00:00"/>
    <x v="0"/>
  </r>
  <r>
    <n v="61753"/>
    <s v="FABIANO ALVIM"/>
    <s v="MEE"/>
    <s v="1º TURNO"/>
    <n v="50037892"/>
    <x v="2"/>
    <n v="1"/>
    <s v="REALIZADO"/>
    <s v="BRUNO"/>
    <d v="2025-12-11T00:00:00"/>
    <x v="2"/>
  </r>
  <r>
    <n v="77526"/>
    <s v="FELIPE GARÇONI"/>
    <s v="MME"/>
    <s v="ADM"/>
    <n v="50003297"/>
    <x v="8"/>
    <n v="1"/>
    <s v="REALIZADO"/>
    <s v="BRUNO"/>
    <d v="2025-12-11T00:00:00"/>
    <x v="2"/>
  </r>
  <r>
    <n v="77526"/>
    <s v="FELIPE GARÇONI"/>
    <s v="MME"/>
    <s v="ADM"/>
    <n v="50038841"/>
    <x v="34"/>
    <n v="1"/>
    <s v="REALIZADO"/>
    <s v="BRUNO"/>
    <d v="2025-12-11T00:00:00"/>
    <x v="2"/>
  </r>
  <r>
    <n v="68708"/>
    <s v="CLAUDIO TADEU LEITE"/>
    <s v="MMG"/>
    <s v="ADM"/>
    <n v="50038517"/>
    <x v="0"/>
    <n v="1"/>
    <s v="REALIZADO"/>
    <s v="BRUNO"/>
    <d v="2025-12-11T00:00:00"/>
    <x v="2"/>
  </r>
  <r>
    <n v="61753"/>
    <s v="FABIANO ALVIM"/>
    <s v="MEE"/>
    <s v="1º TURNO"/>
    <n v="50037892"/>
    <x v="2"/>
    <n v="1"/>
    <s v="REALIZADO"/>
    <s v="BRUNO"/>
    <d v="2025-12-11T00:00:00"/>
    <x v="2"/>
  </r>
  <r>
    <n v="61753"/>
    <s v="FABIANO ALVIM"/>
    <s v="MEE"/>
    <s v="1º TURNO"/>
    <n v="50043471"/>
    <x v="5"/>
    <n v="1"/>
    <s v="REALIZADO"/>
    <s v="BRUNO"/>
    <d v="2025-12-11T00:00:00"/>
    <x v="0"/>
  </r>
  <r>
    <n v="73878"/>
    <s v="EVANDRO TANAKA"/>
    <s v="MMG"/>
    <s v="ADM"/>
    <n v="50039065"/>
    <x v="22"/>
    <n v="1"/>
    <s v="REALIZADO"/>
    <s v="KELLY"/>
    <d v="2025-12-10T00:00:00"/>
    <x v="0"/>
  </r>
  <r>
    <n v="73878"/>
    <s v="EVANDRO TANAKA"/>
    <s v="MMG"/>
    <s v="ADM"/>
    <n v="50038517"/>
    <x v="0"/>
    <n v="1"/>
    <s v="REALIZADO"/>
    <s v="KELLY"/>
    <d v="2025-12-10T00:00:00"/>
    <x v="2"/>
  </r>
  <r>
    <n v="65472"/>
    <s v="ISRAEL MACEDO"/>
    <s v="MMG"/>
    <s v="ADM"/>
    <n v="50041095"/>
    <x v="15"/>
    <n v="1"/>
    <s v="REALIZADO"/>
    <s v="KELLY"/>
    <d v="2025-12-10T00:00:00"/>
    <x v="0"/>
  </r>
  <r>
    <n v="61264"/>
    <s v="EVERTON GERONIMO"/>
    <s v="MMG"/>
    <s v="ADM"/>
    <n v="50037933"/>
    <x v="43"/>
    <n v="1"/>
    <s v="REALIZADO"/>
    <s v="KELLY"/>
    <d v="2025-12-10T00:00:00"/>
    <x v="0"/>
  </r>
  <r>
    <n v="76995"/>
    <s v="WELISSON RICARDO"/>
    <s v="MEE"/>
    <s v="ADM"/>
    <n v="50029865"/>
    <x v="9"/>
    <n v="1"/>
    <s v="REALIZADO"/>
    <s v="KELLY"/>
    <d v="2025-12-10T00:00:00"/>
    <x v="0"/>
  </r>
  <r>
    <n v="76995"/>
    <s v="WELISSON RICARDO"/>
    <s v="MEE"/>
    <s v="ADM"/>
    <n v="50003297"/>
    <x v="8"/>
    <n v="1"/>
    <s v="REALIZADO"/>
    <s v="KELLY"/>
    <d v="2025-12-10T00:00:00"/>
    <x v="0"/>
  </r>
  <r>
    <n v="68760"/>
    <s v="FERDINANDO PAZINI"/>
    <s v="MMG"/>
    <s v="ADM"/>
    <n v="50043471"/>
    <x v="5"/>
    <n v="1"/>
    <s v="REALIZADO"/>
    <s v="KELLY"/>
    <d v="2025-12-10T00:00:00"/>
    <x v="0"/>
  </r>
  <r>
    <n v="74611"/>
    <s v="CRISTIAM BORGES"/>
    <s v="MPR"/>
    <s v="ADM"/>
    <n v="50037892"/>
    <x v="2"/>
    <n v="1"/>
    <s v="REALIZADO"/>
    <s v="KELLY"/>
    <d v="2025-12-10T00:00:00"/>
    <x v="0"/>
  </r>
  <r>
    <n v="64253"/>
    <s v="DANIEL JULIAO"/>
    <s v="MMG"/>
    <s v="ADM"/>
    <n v="50037900"/>
    <x v="41"/>
    <n v="1"/>
    <s v="REALIZADO"/>
    <s v="KELLY"/>
    <d v="2025-12-10T00:00:00"/>
    <x v="0"/>
  </r>
  <r>
    <n v="79177"/>
    <s v="MAICON ANTONIO SANTOS"/>
    <s v="MMG"/>
    <s v="ADM"/>
    <n v="50039718"/>
    <x v="11"/>
    <n v="1"/>
    <s v="REALIZADO"/>
    <s v="AGATHA"/>
    <d v="2025-12-10T00:00:00"/>
    <x v="0"/>
  </r>
  <r>
    <n v="64128"/>
    <s v="CRISTIANO LUIZ PEGO"/>
    <s v="UTI"/>
    <s v="2º TURNO"/>
    <n v="50030486"/>
    <x v="17"/>
    <n v="1"/>
    <s v="REALIZADO"/>
    <s v="AGATHA"/>
    <d v="2025-12-10T00:00:00"/>
    <x v="0"/>
  </r>
  <r>
    <n v="77526"/>
    <s v="FELIPE GARÇONI"/>
    <s v="MME"/>
    <s v="ADM"/>
    <n v="50038841"/>
    <x v="34"/>
    <n v="1"/>
    <s v="REALIZADO"/>
    <s v="AGATHA"/>
    <d v="2025-12-10T00:00:00"/>
    <x v="2"/>
  </r>
  <r>
    <n v="79177"/>
    <s v="MAICON ANTONIO SANTOS"/>
    <s v="MMG"/>
    <s v="ADM"/>
    <n v="50039718"/>
    <x v="11"/>
    <n v="1"/>
    <s v="REALIZADO"/>
    <s v="AGATHA"/>
    <d v="2025-12-10T00:00:00"/>
    <x v="2"/>
  </r>
  <r>
    <n v="73878"/>
    <s v="EVANDRO TANAKA"/>
    <s v="MMG"/>
    <s v="ADM"/>
    <n v="50039065"/>
    <x v="22"/>
    <n v="1"/>
    <s v="REALIZADO"/>
    <s v="JOÃO FRANCISCO"/>
    <d v="2025-12-10T00:00:00"/>
    <x v="2"/>
  </r>
  <r>
    <n v="73878"/>
    <s v="EVANDRO TANAKA"/>
    <s v="MMG"/>
    <s v="ADM"/>
    <n v="50038517"/>
    <x v="0"/>
    <n v="1"/>
    <s v="REALIZADO"/>
    <s v="JOÃO FRANCISCO"/>
    <d v="2025-12-10T00:00:00"/>
    <x v="2"/>
  </r>
  <r>
    <n v="64128"/>
    <s v="CRISTIANO LUIZ PEGO"/>
    <s v="UTI"/>
    <s v="2º TURNO"/>
    <n v="50030486"/>
    <x v="17"/>
    <n v="1"/>
    <s v="REALIZADO"/>
    <s v="AGATHA"/>
    <d v="2025-12-10T00:00:00"/>
    <x v="2"/>
  </r>
  <r>
    <n v="77526"/>
    <s v="FELIPE GARÇONI"/>
    <s v="MME"/>
    <s v="ADM"/>
    <n v="50038841"/>
    <x v="34"/>
    <n v="1"/>
    <s v="REALIZADO"/>
    <s v="MARCIA"/>
    <d v="2025-12-10T00:00:00"/>
    <x v="2"/>
  </r>
  <r>
    <n v="61264"/>
    <s v="EVERTON GERONIMO"/>
    <s v="MMG"/>
    <s v="ADM"/>
    <n v="50037933"/>
    <x v="43"/>
    <n v="1"/>
    <s v="REALIZADO"/>
    <s v="MARCIA"/>
    <d v="2025-12-10T00:00:00"/>
    <x v="0"/>
  </r>
  <r>
    <n v="68701"/>
    <s v="DANIEL MANFREDI"/>
    <s v="MEE"/>
    <s v="1º TURNO"/>
    <n v="50037933"/>
    <x v="43"/>
    <n v="1"/>
    <s v="REALIZADO"/>
    <s v="MARCIA"/>
    <d v="2025-12-10T00:00:00"/>
    <x v="0"/>
  </r>
  <r>
    <n v="68708"/>
    <s v="CLAUDIO TADEU LEITE"/>
    <s v="MMG"/>
    <s v="ADM"/>
    <n v="50038517"/>
    <x v="0"/>
    <n v="1"/>
    <s v="REALIZADO"/>
    <s v="MARCIA"/>
    <d v="2025-12-10T00:00:00"/>
    <x v="2"/>
  </r>
  <r>
    <n v="68708"/>
    <s v="CLAUDIO TADEU LEITE"/>
    <s v="MMG"/>
    <s v="ADM"/>
    <n v="50038517"/>
    <x v="0"/>
    <n v="1"/>
    <s v="REALIZADO"/>
    <s v="MARCIA"/>
    <d v="2025-12-10T00:00:00"/>
    <x v="0"/>
  </r>
  <r>
    <n v="77521"/>
    <s v="LUCAS LIRA"/>
    <s v="MME"/>
    <s v="ADM"/>
    <n v="50041195"/>
    <x v="21"/>
    <n v="1"/>
    <s v="REALIZADO"/>
    <s v="BRUNO"/>
    <d v="2025-12-10T00:00:00"/>
    <x v="2"/>
  </r>
  <r>
    <n v="74611"/>
    <s v="CRISTIAM BORGES"/>
    <s v="MPR"/>
    <s v="ADM"/>
    <n v="50001995"/>
    <x v="44"/>
    <n v="1"/>
    <s v="REALIZADO"/>
    <s v="BRUNO"/>
    <d v="2025-12-10T00:00:00"/>
    <x v="2"/>
  </r>
  <r>
    <n v="76995"/>
    <s v="WELISSON RICARDO"/>
    <s v="MEE"/>
    <s v="ADM"/>
    <n v="50029865"/>
    <x v="9"/>
    <n v="1"/>
    <s v="REALIZADO"/>
    <s v="BRUNO"/>
    <d v="2025-12-10T00:00:00"/>
    <x v="2"/>
  </r>
  <r>
    <n v="76995"/>
    <s v="WELISSON RICARDO"/>
    <s v="MEE"/>
    <s v="ADM"/>
    <n v="50003297"/>
    <x v="8"/>
    <n v="1"/>
    <s v="REALIZADO"/>
    <s v="BRUNO"/>
    <d v="2025-12-10T00:00:00"/>
    <x v="2"/>
  </r>
  <r>
    <n v="68760"/>
    <s v="FERDINANDO PAZINI"/>
    <s v="MMG"/>
    <s v="ADM"/>
    <n v="50043471"/>
    <x v="5"/>
    <n v="1"/>
    <s v="REALIZADO"/>
    <s v="BRUNO"/>
    <d v="2025-12-10T00:00:00"/>
    <x v="0"/>
  </r>
  <r>
    <n v="68760"/>
    <s v="FERDINANDO PAZINI"/>
    <s v="MMG"/>
    <s v="ADM"/>
    <n v="50037902"/>
    <x v="14"/>
    <n v="1"/>
    <s v="REALIZADO"/>
    <s v="BRUNO"/>
    <d v="2025-12-10T00:00:00"/>
    <x v="0"/>
  </r>
  <r>
    <n v="71850"/>
    <s v="CLEBER BRABO"/>
    <s v="MMG"/>
    <s v="ADM"/>
    <n v="50038841"/>
    <x v="34"/>
    <n v="1"/>
    <s v="REALIZADO"/>
    <s v="BRUNO"/>
    <d v="2025-12-10T00:00:00"/>
    <x v="2"/>
  </r>
  <r>
    <n v="78886"/>
    <s v="DOUGLAS FELICIANO MENDES DE OLIVEIRA"/>
    <s v="MME"/>
    <s v="ADM"/>
    <n v="50038956"/>
    <x v="10"/>
    <n v="1"/>
    <s v="REALIZADO"/>
    <s v="BRUNO"/>
    <d v="2025-12-10T00:00:00"/>
    <x v="0"/>
  </r>
  <r>
    <n v="78675"/>
    <s v="ORLANDO GOMES"/>
    <s v="MME"/>
    <s v="1º TURNO"/>
    <n v="50003297"/>
    <x v="8"/>
    <n v="1"/>
    <s v="REALIZADO"/>
    <s v="BRUNO"/>
    <d v="2025-12-10T00:00:00"/>
    <x v="2"/>
  </r>
  <r>
    <n v="74611"/>
    <s v="CRISTIAM BORGES"/>
    <s v="MPR"/>
    <s v="ADM"/>
    <n v="50037892"/>
    <x v="2"/>
    <n v="1"/>
    <s v="REALIZADO"/>
    <s v="BRUNO"/>
    <d v="2025-12-10T00:00:00"/>
    <x v="2"/>
  </r>
  <r>
    <n v="71850"/>
    <s v="CLEBER BRABO"/>
    <s v="MMG"/>
    <s v="ADM"/>
    <n v="50038841"/>
    <x v="34"/>
    <n v="1"/>
    <s v="REALIZADO"/>
    <s v="BRUNO"/>
    <d v="2025-12-10T00:00:00"/>
    <x v="0"/>
  </r>
  <r>
    <n v="79177"/>
    <s v="MAICON ANTONIO SANTOS"/>
    <s v="MMG"/>
    <s v="ADM"/>
    <n v="50038956"/>
    <x v="10"/>
    <n v="1"/>
    <s v="REALIZADO"/>
    <s v="BRUNO"/>
    <d v="2025-12-10T00:00:00"/>
    <x v="0"/>
  </r>
  <r>
    <n v="77521"/>
    <s v="LUCAS LIRA"/>
    <s v="MME"/>
    <s v="ADM"/>
    <n v="50043471"/>
    <x v="5"/>
    <n v="1"/>
    <s v="REALIZADO"/>
    <s v="BRUNO"/>
    <d v="2025-12-10T00:00:00"/>
    <x v="2"/>
  </r>
  <r>
    <n v="79177"/>
    <s v="MAICON ANTONIO SANTOS"/>
    <s v="MMG"/>
    <s v="ADM"/>
    <n v="50038956"/>
    <x v="10"/>
    <n v="1"/>
    <s v="REALIZADO"/>
    <s v="BRUNO"/>
    <d v="2025-12-10T00:00:00"/>
    <x v="0"/>
  </r>
  <r>
    <n v="79177"/>
    <s v="MAICON ANTONIO SANTOS"/>
    <s v="MMG"/>
    <s v="ADM"/>
    <n v="50032781"/>
    <x v="12"/>
    <n v="1"/>
    <s v="REALIZADO"/>
    <s v="BRUNO"/>
    <d v="2025-12-10T00:00:00"/>
    <x v="2"/>
  </r>
  <r>
    <n v="78675"/>
    <s v="ORLANDO GOMES"/>
    <s v="MME"/>
    <s v="1º TURNO"/>
    <n v="50003297"/>
    <x v="8"/>
    <n v="1"/>
    <s v="REALIZADO"/>
    <s v="BRUNO"/>
    <d v="2025-12-10T00:00:00"/>
    <x v="0"/>
  </r>
  <r>
    <n v="78675"/>
    <s v="ORLANDO GOMES"/>
    <s v="MME"/>
    <s v="1º TURNO"/>
    <n v="50038956"/>
    <x v="10"/>
    <n v="1"/>
    <s v="REALIZADO"/>
    <s v="BRUNO"/>
    <d v="2025-12-10T00:00:00"/>
    <x v="2"/>
  </r>
  <r>
    <n v="79177"/>
    <s v="MAICON ANTONIO SANTOS"/>
    <s v="MMG"/>
    <s v="ADM"/>
    <n v="50032781"/>
    <x v="12"/>
    <n v="1"/>
    <s v="REALIZADO"/>
    <s v="BRUNO"/>
    <d v="2025-12-10T00:00:00"/>
    <x v="2"/>
  </r>
  <r>
    <n v="78675"/>
    <s v="ORLANDO GOMES"/>
    <s v="MME"/>
    <s v="1º TURNO"/>
    <n v="50038956"/>
    <x v="10"/>
    <n v="1"/>
    <s v="REALIZADO"/>
    <s v="BRUNO"/>
    <d v="2025-12-10T00:00:00"/>
    <x v="0"/>
  </r>
  <r>
    <n v="78675"/>
    <s v="ORLANDO GOMES"/>
    <s v="MME"/>
    <s v="1º TURNO"/>
    <n v="50037944"/>
    <x v="45"/>
    <n v="1"/>
    <s v="REALIZADO"/>
    <s v="BRUNO"/>
    <d v="2025-12-10T00:00:00"/>
    <x v="2"/>
  </r>
  <r>
    <n v="77521"/>
    <s v="LUCAS LIRA"/>
    <s v="MME"/>
    <s v="ADM"/>
    <n v="50043471"/>
    <x v="5"/>
    <n v="1"/>
    <s v="REALIZADO"/>
    <s v="BRUNO"/>
    <d v="2025-12-10T00:00:00"/>
    <x v="2"/>
  </r>
  <r>
    <n v="78675"/>
    <s v="ORLANDO GOMES"/>
    <s v="MME"/>
    <s v="1º TURNO"/>
    <n v="50037944"/>
    <x v="45"/>
    <n v="1"/>
    <s v="REALIZADO"/>
    <s v="BRUNO"/>
    <d v="2025-12-10T00:00:00"/>
    <x v="2"/>
  </r>
  <r>
    <n v="68760"/>
    <s v="FERDINANDO PAZINI"/>
    <s v="MMG"/>
    <s v="ADM"/>
    <n v="50037902"/>
    <x v="14"/>
    <n v="1"/>
    <s v="REALIZADO"/>
    <s v="BRUNO"/>
    <d v="2025-12-10T00:00:00"/>
    <x v="2"/>
  </r>
  <r>
    <n v="77521"/>
    <s v="LUCAS LIRA"/>
    <s v="MME"/>
    <s v="ADM"/>
    <n v="50041195"/>
    <x v="21"/>
    <n v="1"/>
    <s v="REALIZADO"/>
    <s v="BRUNO"/>
    <d v="2025-12-10T00:00:00"/>
    <x v="2"/>
  </r>
  <r>
    <n v="64253"/>
    <s v="DANIEL JULIAO"/>
    <s v="MMG"/>
    <s v="ADM"/>
    <n v="50037900"/>
    <x v="41"/>
    <n v="1"/>
    <s v="REALIZADO"/>
    <s v="BRUNO"/>
    <d v="2025-12-10T00:00:00"/>
    <x v="2"/>
  </r>
  <r>
    <n v="68701"/>
    <s v="DANIEL MANFREDI"/>
    <s v="MEE"/>
    <s v="1º TURNO"/>
    <n v="50037933"/>
    <x v="43"/>
    <n v="1"/>
    <s v="REALIZADO"/>
    <s v="BRUNO"/>
    <d v="2025-12-10T00:00:00"/>
    <x v="0"/>
  </r>
  <r>
    <n v="73878"/>
    <s v="EVANDRO TANAKA"/>
    <s v="MMG"/>
    <s v="ADM"/>
    <n v="50038517"/>
    <x v="0"/>
    <n v="1"/>
    <s v="REALIZADO"/>
    <s v="KELLY"/>
    <d v="2025-12-09T00:00:00"/>
    <x v="0"/>
  </r>
  <r>
    <n v="78886"/>
    <s v="DOUGLAS FELICIANO MENDES DE OLIVEIRA"/>
    <s v="MME"/>
    <s v="ADM"/>
    <n v="50037892"/>
    <x v="2"/>
    <n v="1"/>
    <s v="REALIZADO"/>
    <s v="KELLY"/>
    <d v="2025-12-09T00:00:00"/>
    <x v="0"/>
  </r>
  <r>
    <n v="70105"/>
    <s v="RONALDO DE SOUZA SANTOS"/>
    <s v="MMG"/>
    <s v="2º TURNO"/>
    <n v="50038549"/>
    <x v="6"/>
    <n v="1"/>
    <s v="REALIZADO"/>
    <s v="AGATHA"/>
    <d v="2025-12-09T00:00:00"/>
    <x v="0"/>
  </r>
  <r>
    <n v="68708"/>
    <s v="CLAUDIO TADEU LEITE"/>
    <s v="MMG"/>
    <s v="ADM"/>
    <n v="50036296"/>
    <x v="46"/>
    <n v="1"/>
    <s v="REALIZADO"/>
    <s v="AGATHA"/>
    <d v="2025-12-09T00:00:00"/>
    <x v="0"/>
  </r>
  <r>
    <n v="70105"/>
    <s v="RONALDO DE SOUZA SANTOS"/>
    <s v="MMG"/>
    <s v="2º TURNO"/>
    <n v="50039718"/>
    <x v="11"/>
    <n v="1"/>
    <s v="REALIZADO"/>
    <s v="AGATHA"/>
    <d v="2025-12-09T00:00:00"/>
    <x v="0"/>
  </r>
  <r>
    <n v="62640"/>
    <s v="MARCELINHO"/>
    <s v="MPR"/>
    <s v="ADM"/>
    <n v="50020623"/>
    <x v="42"/>
    <n v="1"/>
    <s v="REALIZADO"/>
    <s v="AGATHA"/>
    <d v="2025-12-09T00:00:00"/>
    <x v="0"/>
  </r>
  <r>
    <n v="62640"/>
    <s v="MARCELINHO"/>
    <s v="MPR"/>
    <s v="ADM"/>
    <n v="50041195"/>
    <x v="21"/>
    <n v="1"/>
    <s v="REALIZADO"/>
    <s v="AGATHA"/>
    <d v="2025-12-09T00:00:00"/>
    <x v="0"/>
  </r>
  <r>
    <n v="62640"/>
    <s v="MARCELINHO"/>
    <s v="MPR"/>
    <s v="ADM"/>
    <n v="50037902"/>
    <x v="14"/>
    <n v="1"/>
    <s v="REALIZADO"/>
    <s v="AGATHA"/>
    <d v="2025-12-09T00:00:00"/>
    <x v="0"/>
  </r>
  <r>
    <n v="75424"/>
    <s v="EDSON CARLOS"/>
    <s v="MME"/>
    <s v="ADM"/>
    <n v="50003297"/>
    <x v="8"/>
    <n v="1"/>
    <s v="REALIZADO"/>
    <s v="JOÃO FRANCISCO"/>
    <d v="2025-12-09T00:00:00"/>
    <x v="2"/>
  </r>
  <r>
    <n v="73878"/>
    <s v="EVANDRO TANAKA"/>
    <s v="MMG"/>
    <s v="ADM"/>
    <n v="50038517"/>
    <x v="0"/>
    <n v="1"/>
    <s v="REALIZADO"/>
    <s v="AGATHA"/>
    <d v="2025-12-09T00:00:00"/>
    <x v="2"/>
  </r>
  <r>
    <n v="75424"/>
    <s v="EDSON CARLOS"/>
    <s v="MME"/>
    <s v="ADM"/>
    <n v="50003297"/>
    <x v="8"/>
    <n v="1"/>
    <s v="REALIZADO"/>
    <s v="JOÃO FRANCISCO"/>
    <d v="2025-12-09T00:00:00"/>
    <x v="2"/>
  </r>
  <r>
    <n v="62640"/>
    <s v="MARCELINHO"/>
    <s v="MPR"/>
    <s v="ADM"/>
    <n v="50020623"/>
    <x v="42"/>
    <n v="1"/>
    <s v="REALIZADO"/>
    <s v="JOÃO FRANCISCO"/>
    <d v="2025-12-09T00:00:00"/>
    <x v="0"/>
  </r>
  <r>
    <n v="68760"/>
    <s v="FERDINANDO PAZINI"/>
    <s v="MMG"/>
    <s v="ADM"/>
    <n v="50038517"/>
    <x v="0"/>
    <n v="1"/>
    <s v="REALIZADO"/>
    <s v="AGATHA"/>
    <d v="2025-12-09T00:00:00"/>
    <x v="2"/>
  </r>
  <r>
    <n v="70105"/>
    <s v="RONALDO DE SOUZA SANTOS"/>
    <s v="MMG"/>
    <s v="2º TURNO"/>
    <n v="50039718"/>
    <x v="11"/>
    <n v="1"/>
    <s v="REALIZADO"/>
    <s v="AGATHA"/>
    <d v="2025-12-09T00:00:00"/>
    <x v="0"/>
  </r>
  <r>
    <n v="68760"/>
    <s v="FERDINANDO PAZINI"/>
    <s v="MMG"/>
    <s v="ADM"/>
    <n v="50003297"/>
    <x v="8"/>
    <n v="1"/>
    <s v="REALIZADO"/>
    <s v="AGATHA"/>
    <d v="2025-12-09T00:00:00"/>
    <x v="2"/>
  </r>
  <r>
    <n v="68760"/>
    <s v="FERDINANDO PAZINI"/>
    <s v="MMG"/>
    <s v="ADM"/>
    <n v="50038517"/>
    <x v="0"/>
    <n v="1"/>
    <s v="REALIZADO"/>
    <s v="AGATHA"/>
    <d v="2025-12-09T00:00:00"/>
    <x v="2"/>
  </r>
  <r>
    <n v="78886"/>
    <s v="DOUGLAS FELICIANO MENDES DE OLIVEIRA"/>
    <s v="MME"/>
    <s v="ADM"/>
    <n v="50037892"/>
    <x v="2"/>
    <n v="1"/>
    <s v="REALIZADO"/>
    <s v="GEOVANE"/>
    <d v="2025-12-09T00:00:00"/>
    <x v="2"/>
  </r>
  <r>
    <n v="68760"/>
    <s v="FERDINANDO PAZINI"/>
    <s v="MMG"/>
    <s v="ADM"/>
    <n v="50003297"/>
    <x v="8"/>
    <n v="1"/>
    <s v="REALIZADO"/>
    <s v="AGATHA"/>
    <d v="2025-12-09T00:00:00"/>
    <x v="2"/>
  </r>
  <r>
    <n v="62640"/>
    <s v="MARCELINHO"/>
    <s v="MPR"/>
    <s v="ADM"/>
    <n v="50037902"/>
    <x v="14"/>
    <n v="1"/>
    <s v="NÃO REALIZADO"/>
    <s v="MARCIA"/>
    <d v="2025-12-09T00:00:00"/>
    <x v="2"/>
  </r>
  <r>
    <n v="62640"/>
    <s v="MARCELINHO"/>
    <s v="MPR"/>
    <s v="ADM"/>
    <n v="50041195"/>
    <x v="21"/>
    <n v="1"/>
    <s v="REALIZADO"/>
    <s v="MARCIA"/>
    <d v="2025-12-09T00:00:00"/>
    <x v="0"/>
  </r>
  <r>
    <n v="68708"/>
    <s v="CLAUDIO TADEU LEITE"/>
    <s v="MMG"/>
    <s v="ADM"/>
    <n v="50042283"/>
    <x v="47"/>
    <n v="1"/>
    <s v="REALIZADO"/>
    <s v="MARCIA"/>
    <d v="2025-12-09T00:00:00"/>
    <x v="0"/>
  </r>
  <r>
    <n v="68708"/>
    <s v="CLAUDIO TADEU LEITE"/>
    <s v="MMG"/>
    <s v="ADM"/>
    <n v="50037902"/>
    <x v="14"/>
    <n v="1"/>
    <s v="REALIZADO"/>
    <s v="MARCIA"/>
    <d v="2025-12-09T00:00:00"/>
    <x v="0"/>
  </r>
  <r>
    <n v="77594"/>
    <s v="VINICIUS ROBLES"/>
    <s v="MME"/>
    <s v="ADM"/>
    <n v="50010031"/>
    <x v="20"/>
    <n v="1"/>
    <s v="REALIZADO"/>
    <s v="MATHEUS"/>
    <d v="2025-12-09T00:00:00"/>
    <x v="2"/>
  </r>
  <r>
    <n v="68708"/>
    <s v="CLAUDIO TADEU LEITE"/>
    <s v="MMG"/>
    <s v="ADM"/>
    <n v="50037902"/>
    <x v="14"/>
    <n v="1"/>
    <s v="REALIZADO"/>
    <s v="MATHEUS"/>
    <d v="2025-12-09T00:00:00"/>
    <x v="0"/>
  </r>
  <r>
    <n v="77526"/>
    <s v="FELIPE GARÇONI"/>
    <s v="MME"/>
    <s v="ADM"/>
    <n v="50038841"/>
    <x v="34"/>
    <n v="1"/>
    <s v="REALIZADO"/>
    <s v="MATHEUS"/>
    <d v="2025-12-09T00:00:00"/>
    <x v="2"/>
  </r>
  <r>
    <n v="77594"/>
    <s v="VINICIUS ROBLES"/>
    <s v="MME"/>
    <s v="ADM"/>
    <n v="50010031"/>
    <x v="20"/>
    <n v="1"/>
    <s v="REALIZADO"/>
    <s v="MATHEUS"/>
    <d v="2025-12-09T00:00:00"/>
    <x v="2"/>
  </r>
  <r>
    <n v="68708"/>
    <s v="CLAUDIO TADEU LEITE"/>
    <s v="MMG"/>
    <s v="ADM"/>
    <n v="50042283"/>
    <x v="47"/>
    <n v="1"/>
    <s v="REALIZADO"/>
    <s v="MATHEUS"/>
    <d v="2025-12-09T00:00:00"/>
    <x v="2"/>
  </r>
  <r>
    <n v="70105"/>
    <s v="RONALDO DE SOUZA SANTOS"/>
    <s v="MMG"/>
    <s v="2º TURNO"/>
    <n v="50038549"/>
    <x v="6"/>
    <n v="1"/>
    <s v="REALIZADO"/>
    <s v="MATHEUS"/>
    <d v="2025-12-09T00:00:00"/>
    <x v="2"/>
  </r>
  <r>
    <n v="68708"/>
    <s v="CLAUDIO TADEU LEITE"/>
    <s v="MMG"/>
    <s v="ADM"/>
    <n v="50036296"/>
    <x v="46"/>
    <n v="1"/>
    <s v="REALIZADO"/>
    <s v="MATHEUS"/>
    <d v="2025-12-09T00:00:00"/>
    <x v="2"/>
  </r>
  <r>
    <n v="77526"/>
    <s v="FELIPE GARÇONI"/>
    <s v="MME"/>
    <s v="ADM"/>
    <n v="50038841"/>
    <x v="34"/>
    <n v="1"/>
    <s v="REALIZADO"/>
    <s v="MATHEUS"/>
    <d v="2025-12-09T00:00:00"/>
    <x v="0"/>
  </r>
  <r>
    <n v="73336"/>
    <s v="RODRIGO RODRIGUES"/>
    <s v="MMG"/>
    <s v="2º TURNO"/>
    <n v="50041195"/>
    <x v="21"/>
    <n v="1"/>
    <s v="REALIZADO"/>
    <s v="KELLY"/>
    <d v="2025-12-08T00:00:00"/>
    <x v="0"/>
  </r>
  <r>
    <n v="73336"/>
    <s v="RODRIGO RODRIGUES"/>
    <s v="MMG"/>
    <s v="2º TURNO"/>
    <n v="50037892"/>
    <x v="2"/>
    <n v="1"/>
    <s v="REALIZADO"/>
    <s v="KELLY"/>
    <d v="2025-12-08T00:00:00"/>
    <x v="0"/>
  </r>
  <r>
    <n v="67915"/>
    <s v="ANDERSON MARCOLONGO"/>
    <s v="MMG"/>
    <s v="1º TURNO"/>
    <n v="50003297"/>
    <x v="8"/>
    <n v="1"/>
    <s v="REALIZADO"/>
    <s v="KELLY"/>
    <d v="2025-12-08T00:00:00"/>
    <x v="0"/>
  </r>
  <r>
    <n v="78886"/>
    <s v="DOUGLAS FELICIANO MENDES DE OLIVEIRA"/>
    <s v="MME"/>
    <s v="ADM"/>
    <n v="50038517"/>
    <x v="0"/>
    <n v="1"/>
    <s v="REALIZADO"/>
    <s v="KELLY"/>
    <d v="2025-12-08T00:00:00"/>
    <x v="0"/>
  </r>
  <r>
    <n v="61264"/>
    <s v="EVERTON GERONIMO"/>
    <s v="MMG"/>
    <s v="ADM"/>
    <n v="50036255"/>
    <x v="7"/>
    <n v="1"/>
    <s v="REALIZADO"/>
    <s v="KELLY"/>
    <d v="2025-12-08T00:00:00"/>
    <x v="0"/>
  </r>
  <r>
    <n v="77521"/>
    <s v="LUCAS LIRA"/>
    <s v="MME"/>
    <s v="ADM"/>
    <n v="50043471"/>
    <x v="5"/>
    <n v="1"/>
    <s v="REALIZADO"/>
    <s v="KELLY"/>
    <d v="2025-12-08T00:00:00"/>
    <x v="0"/>
  </r>
  <r>
    <n v="61264"/>
    <s v="EVERTON GERONIMO"/>
    <s v="MMG"/>
    <s v="ADM"/>
    <n v="50041089"/>
    <x v="48"/>
    <n v="1"/>
    <s v="REALIZADO"/>
    <s v="KELLY"/>
    <d v="2025-12-08T00:00:00"/>
    <x v="0"/>
  </r>
  <r>
    <n v="65921"/>
    <s v="DABTON LEMOS"/>
    <s v="MME"/>
    <s v="2º TURNO"/>
    <n v="50037905"/>
    <x v="49"/>
    <n v="1"/>
    <s v="REALIZADO"/>
    <s v="KELLY"/>
    <d v="2025-12-08T00:00:00"/>
    <x v="2"/>
  </r>
  <r>
    <n v="73336"/>
    <s v="RODRIGO RODRIGUES"/>
    <s v="MMG"/>
    <s v="2º TURNO"/>
    <n v="50041195"/>
    <x v="21"/>
    <n v="1"/>
    <s v="REALIZADO"/>
    <s v="KELLY"/>
    <d v="2025-12-08T00:00:00"/>
    <x v="2"/>
  </r>
  <r>
    <n v="78886"/>
    <s v="DOUGLAS FELICIANO MENDES DE OLIVEIRA"/>
    <s v="MME"/>
    <s v="ADM"/>
    <n v="50038517"/>
    <x v="0"/>
    <n v="1"/>
    <s v="REALIZADO"/>
    <s v="KELLY"/>
    <d v="2025-12-08T00:00:00"/>
    <x v="2"/>
  </r>
  <r>
    <n v="73336"/>
    <s v="RODRIGO RODRIGUES"/>
    <s v="MMG"/>
    <s v="2º TURNO"/>
    <n v="50037892"/>
    <x v="2"/>
    <n v="1"/>
    <s v="REALIZADO"/>
    <s v="KELLY"/>
    <d v="2025-12-08T00:00:00"/>
    <x v="2"/>
  </r>
  <r>
    <n v="61264"/>
    <s v="EVERTON GERONIMO"/>
    <s v="MMG"/>
    <s v="ADM"/>
    <n v="50036255"/>
    <x v="7"/>
    <n v="1"/>
    <s v="REALIZADO"/>
    <s v="KELLY"/>
    <d v="2025-12-08T00:00:00"/>
    <x v="2"/>
  </r>
  <r>
    <n v="65921"/>
    <s v="DABTON LEMOS"/>
    <s v="MME"/>
    <s v="2º TURNO"/>
    <n v="50037905"/>
    <x v="49"/>
    <n v="1"/>
    <s v="REALIZADO"/>
    <s v="KELLY"/>
    <d v="2025-12-08T00:00:00"/>
    <x v="0"/>
  </r>
  <r>
    <n v="78886"/>
    <s v="DOUGLAS FELICIANO MENDES DE OLIVEIRA"/>
    <s v="MME"/>
    <s v="ADM"/>
    <n v="50037902"/>
    <x v="14"/>
    <n v="1"/>
    <s v="REALIZADO"/>
    <s v="KELLY"/>
    <d v="2025-12-08T00:00:00"/>
    <x v="0"/>
  </r>
  <r>
    <n v="65844"/>
    <s v="ALTEMAR FEITOSA"/>
    <s v="MMG"/>
    <s v="1º TURNO"/>
    <n v="50041653"/>
    <x v="50"/>
    <n v="1"/>
    <s v="REALIZADO"/>
    <s v="KELLY"/>
    <d v="2025-12-08T00:00:00"/>
    <x v="0"/>
  </r>
  <r>
    <n v="62180"/>
    <s v="JOSE AUGUSTO MASSUCHINI"/>
    <s v="MMG"/>
    <s v="ADM"/>
    <n v="50037892"/>
    <x v="2"/>
    <n v="1"/>
    <s v="REALIZADO"/>
    <s v="KELLY"/>
    <d v="2025-12-08T00:00:00"/>
    <x v="2"/>
  </r>
  <r>
    <n v="77521"/>
    <s v="LUCAS LIRA"/>
    <s v="MME"/>
    <s v="ADM"/>
    <n v="50043471"/>
    <x v="5"/>
    <n v="1"/>
    <s v="REALIZADO"/>
    <s v="KELLY"/>
    <d v="2025-12-08T00:00:00"/>
    <x v="0"/>
  </r>
  <r>
    <n v="61955"/>
    <s v="NELSON JUNIOR"/>
    <s v="MME"/>
    <s v="1º TURNO"/>
    <n v="50043471"/>
    <x v="5"/>
    <n v="1"/>
    <s v="REALIZADO"/>
    <s v="KELLY"/>
    <d v="2025-12-08T00:00:00"/>
    <x v="2"/>
  </r>
  <r>
    <n v="67915"/>
    <s v="ANDERSON MARCOLONGO"/>
    <s v="MMG"/>
    <s v="1º TURNO"/>
    <n v="50003297"/>
    <x v="8"/>
    <n v="1"/>
    <s v="REALIZADO"/>
    <s v="KELLY"/>
    <d v="2025-12-08T00:00:00"/>
    <x v="0"/>
  </r>
  <r>
    <n v="62896"/>
    <s v="LEONARDO BORGES"/>
    <s v="MEE"/>
    <s v="ADM"/>
    <n v="50038517"/>
    <x v="0"/>
    <n v="1"/>
    <s v="REALIZADO"/>
    <s v="KELLY"/>
    <d v="2025-12-08T00:00:00"/>
    <x v="2"/>
  </r>
  <r>
    <n v="62896"/>
    <s v="LEONARDO BORGES"/>
    <s v="MEE"/>
    <s v="ADM"/>
    <n v="50038517"/>
    <x v="0"/>
    <n v="1"/>
    <s v="REALIZADO"/>
    <s v="KELLY"/>
    <d v="2025-12-08T00:00:00"/>
    <x v="2"/>
  </r>
  <r>
    <n v="78886"/>
    <s v="DOUGLAS FELICIANO MENDES DE OLIVEIRA"/>
    <s v="MME"/>
    <s v="ADM"/>
    <n v="50037902"/>
    <x v="14"/>
    <n v="1"/>
    <s v="REALIZADO"/>
    <s v="KELLY"/>
    <d v="2025-12-08T00:00:00"/>
    <x v="2"/>
  </r>
  <r>
    <n v="65844"/>
    <s v="ALTEMAR FEITOSA"/>
    <s v="MMG"/>
    <s v="1º TURNO"/>
    <n v="50041653"/>
    <x v="50"/>
    <n v="1"/>
    <s v="REALIZADO"/>
    <s v="KELLY"/>
    <d v="2025-12-08T00:00:00"/>
    <x v="0"/>
  </r>
  <r>
    <n v="79177"/>
    <s v="MAICON ANTONIO SANTOS"/>
    <s v="MMG"/>
    <s v="ADM"/>
    <n v="50039065"/>
    <x v="22"/>
    <n v="1"/>
    <s v="REALIZADO"/>
    <s v="KELLY"/>
    <d v="2025-12-08T00:00:00"/>
    <x v="2"/>
  </r>
  <r>
    <n v="62180"/>
    <s v="JOSE AUGUSTO MASSUCHINI"/>
    <s v="MMG"/>
    <s v="ADM"/>
    <n v="50037892"/>
    <x v="2"/>
    <n v="1"/>
    <s v="REALIZADO"/>
    <s v="KELLY"/>
    <d v="2025-12-08T00:00:00"/>
    <x v="0"/>
  </r>
  <r>
    <n v="64253"/>
    <s v="DANIEL JULIAO"/>
    <s v="MMG"/>
    <s v="ADM"/>
    <n v="50001740"/>
    <x v="51"/>
    <n v="1"/>
    <s v="REALIZADO"/>
    <s v="KELLY"/>
    <d v="2025-12-08T00:00:00"/>
    <x v="2"/>
  </r>
  <r>
    <n v="79177"/>
    <s v="MAICON ANTONIO SANTOS"/>
    <s v="MMG"/>
    <s v="ADM"/>
    <n v="50039065"/>
    <x v="22"/>
    <n v="1"/>
    <s v="REALIZADO"/>
    <s v="KELLY"/>
    <d v="2025-12-08T00:00:00"/>
    <x v="2"/>
  </r>
  <r>
    <n v="64253"/>
    <s v="DANIEL JULIAO"/>
    <s v="MMG"/>
    <s v="ADM"/>
    <n v="50001740"/>
    <x v="51"/>
    <n v="1"/>
    <s v="REALIZADO"/>
    <s v="KELLY"/>
    <d v="2025-12-08T00:00:00"/>
    <x v="2"/>
  </r>
  <r>
    <n v="61264"/>
    <s v="EVERTON GERONIMO"/>
    <s v="MMG"/>
    <s v="ADM"/>
    <n v="50041089"/>
    <x v="48"/>
    <n v="1"/>
    <s v="REALIZADO"/>
    <s v="KELLY"/>
    <d v="2025-12-08T00:00:00"/>
    <x v="0"/>
  </r>
  <r>
    <n v="79177"/>
    <s v="MAICON ANTONIO SANTOS"/>
    <s v="MMG"/>
    <s v="ADM"/>
    <n v="50022878"/>
    <x v="18"/>
    <n v="1"/>
    <s v="REALIZADO"/>
    <s v="KELLY"/>
    <d v="2025-12-08T00:00:00"/>
    <x v="2"/>
  </r>
  <r>
    <n v="79177"/>
    <s v="MAICON ANTONIO SANTOS"/>
    <s v="MMG"/>
    <s v="ADM"/>
    <n v="50022878"/>
    <x v="18"/>
    <n v="1"/>
    <s v="REALIZADO"/>
    <s v="KELLY"/>
    <d v="2025-12-08T00:00:00"/>
    <x v="2"/>
  </r>
  <r>
    <n v="61955"/>
    <s v="NELSON JUNIOR"/>
    <s v="MME"/>
    <s v="1º TURNO"/>
    <n v="50043471"/>
    <x v="5"/>
    <n v="1"/>
    <s v="REALIZADO"/>
    <s v="KELLY"/>
    <d v="2025-12-08T00:00:00"/>
    <x v="0"/>
  </r>
  <r>
    <n v="65131"/>
    <s v="GUILHERME VECHIO"/>
    <s v="MMG"/>
    <s v="2º TURNO"/>
    <n v="50038549"/>
    <x v="6"/>
    <n v="1"/>
    <s v="REALIZADO"/>
    <s v="KELLY"/>
    <d v="2025-12-07T00:00:00"/>
    <x v="0"/>
  </r>
  <r>
    <n v="65131"/>
    <s v="GUILHERME VECHIO"/>
    <s v="MMG"/>
    <s v="2º TURNO"/>
    <n v="50041095"/>
    <x v="15"/>
    <n v="1"/>
    <s v="REALIZADO"/>
    <s v="KELLY"/>
    <d v="2025-12-07T00:00:00"/>
    <x v="0"/>
  </r>
  <r>
    <n v="65131"/>
    <s v="GUILHERME VECHIO"/>
    <s v="MMG"/>
    <s v="2º TURNO"/>
    <n v="50037892"/>
    <x v="2"/>
    <n v="1"/>
    <s v="REALIZADO"/>
    <s v="KELLY"/>
    <d v="2025-12-07T00:00:00"/>
    <x v="2"/>
  </r>
  <r>
    <n v="65131"/>
    <s v="GUILHERME VECHIO"/>
    <s v="MMG"/>
    <s v="2º TURNO"/>
    <n v="50037892"/>
    <x v="2"/>
    <n v="1"/>
    <s v="REALIZADO"/>
    <s v="KELLY"/>
    <d v="2025-12-07T00:00:00"/>
    <x v="2"/>
  </r>
  <r>
    <n v="65131"/>
    <s v="GUILHERME VECHIO"/>
    <s v="MMG"/>
    <s v="2º TURNO"/>
    <n v="50041095"/>
    <x v="15"/>
    <n v="1"/>
    <s v="REALIZADO"/>
    <s v="KELLY"/>
    <d v="2025-12-07T00:00:00"/>
    <x v="2"/>
  </r>
  <r>
    <n v="65131"/>
    <s v="GUILHERME VECHIO"/>
    <s v="MMG"/>
    <s v="2º TURNO"/>
    <n v="50038549"/>
    <x v="6"/>
    <n v="1"/>
    <s v="REALIZADO"/>
    <s v="KELLY"/>
    <d v="2025-12-07T00:00:00"/>
    <x v="0"/>
  </r>
  <r>
    <n v="65472"/>
    <s v="ISRAEL MACEDO"/>
    <s v="MMG"/>
    <s v="ADM"/>
    <n v="50037905"/>
    <x v="49"/>
    <n v="1"/>
    <s v="NÃO REALIZADO"/>
    <s v="KELLY"/>
    <d v="2025-12-07T00:00:00"/>
    <x v="0"/>
  </r>
  <r>
    <n v="73878"/>
    <s v="EVANDRO TANAKA"/>
    <s v="MMG"/>
    <s v="ADM"/>
    <n v="50037926"/>
    <x v="52"/>
    <n v="1"/>
    <s v="REALIZADO"/>
    <s v="KELLY"/>
    <d v="2025-12-06T00:00:00"/>
    <x v="0"/>
  </r>
  <r>
    <n v="65472"/>
    <s v="ISRAEL MACEDO"/>
    <s v="MMG"/>
    <s v="ADM"/>
    <n v="50039718"/>
    <x v="11"/>
    <n v="1"/>
    <s v="REALIZADO"/>
    <s v="KELLY"/>
    <d v="2025-12-06T00:00:00"/>
    <x v="0"/>
  </r>
  <r>
    <n v="78678"/>
    <s v="MARLOM ROGERIO VIEIRA"/>
    <s v="MME"/>
    <s v="ADM"/>
    <n v="50037892"/>
    <x v="2"/>
    <n v="1"/>
    <s v="REALIZADO"/>
    <s v="KELLY"/>
    <d v="2025-12-06T00:00:00"/>
    <x v="2"/>
  </r>
  <r>
    <n v="65472"/>
    <s v="ISRAEL MACEDO"/>
    <s v="MMG"/>
    <s v="ADM"/>
    <n v="50037905"/>
    <x v="49"/>
    <n v="1"/>
    <s v="NÃO REALIZADO"/>
    <s v="KELLY"/>
    <d v="2025-12-06T00:00:00"/>
    <x v="2"/>
  </r>
  <r>
    <n v="65472"/>
    <s v="ISRAEL MACEDO"/>
    <s v="MMG"/>
    <s v="ADM"/>
    <n v="50039718"/>
    <x v="11"/>
    <n v="1"/>
    <s v="REALIZADO"/>
    <s v="KELLY"/>
    <d v="2025-12-06T00:00:00"/>
    <x v="2"/>
  </r>
  <r>
    <n v="73878"/>
    <s v="EVANDRO TANAKA"/>
    <s v="MMG"/>
    <s v="ADM"/>
    <n v="50037926"/>
    <x v="52"/>
    <n v="1"/>
    <s v="REALIZADO"/>
    <s v="KELLY"/>
    <d v="2025-12-06T00:00:00"/>
    <x v="2"/>
  </r>
  <r>
    <n v="78678"/>
    <s v="MARLOM ROGERIO VIEIRA"/>
    <s v="MME"/>
    <s v="ADM"/>
    <n v="50037892"/>
    <x v="2"/>
    <n v="1"/>
    <s v="REALIZADO"/>
    <s v="KELLY"/>
    <d v="2025-12-06T00:00:00"/>
    <x v="0"/>
  </r>
  <r>
    <n v="77514"/>
    <s v="Vinicius Rodrigo da Silva Seren"/>
    <s v="MEE"/>
    <s v="2º TURNO"/>
    <n v="50038991"/>
    <x v="53"/>
    <n v="1"/>
    <s v="REALIZADO"/>
    <s v="KELLY"/>
    <d v="2025-12-05T00:00:00"/>
    <x v="0"/>
  </r>
  <r>
    <n v="73878"/>
    <s v="EVANDRO TANAKA"/>
    <s v="MMG"/>
    <s v="ADM"/>
    <n v="50038841"/>
    <x v="34"/>
    <n v="1"/>
    <s v="REALIZADO"/>
    <s v="KELLY"/>
    <d v="2025-12-05T00:00:00"/>
    <x v="2"/>
  </r>
  <r>
    <n v="77514"/>
    <s v="Vinicius Rodrigo da Silva Seren"/>
    <s v="MEE"/>
    <s v="2º TURNO"/>
    <n v="50038991"/>
    <x v="53"/>
    <n v="1"/>
    <s v="REALIZADO"/>
    <s v="KELLY"/>
    <d v="2025-12-05T00:00:00"/>
    <x v="2"/>
  </r>
  <r>
    <n v="73878"/>
    <s v="EVANDRO TANAKA"/>
    <s v="MMG"/>
    <s v="ADM"/>
    <n v="50038841"/>
    <x v="34"/>
    <n v="1"/>
    <s v="REALIZADO"/>
    <s v="KELLY"/>
    <d v="2025-12-05T00:00:00"/>
    <x v="0"/>
  </r>
  <r>
    <n v="73878"/>
    <s v="EVANDRO TANAKA"/>
    <s v="MMG"/>
    <s v="ADM"/>
    <n v="50037892"/>
    <x v="2"/>
    <n v="1"/>
    <s v="REALIZADO"/>
    <s v="KELLY"/>
    <d v="2025-12-05T00:00:00"/>
    <x v="0"/>
  </r>
  <r>
    <n v="65131"/>
    <s v="GUILHERME VECHIO"/>
    <s v="MMG"/>
    <s v="2º TURNO"/>
    <n v="50039065"/>
    <x v="22"/>
    <n v="1"/>
    <s v="REALIZADO"/>
    <s v="KELLY"/>
    <d v="2025-12-05T00:00:00"/>
    <x v="0"/>
  </r>
  <r>
    <n v="68760"/>
    <s v="FERDINANDO PAZINI"/>
    <s v="MMG"/>
    <s v="ADM"/>
    <n v="50030486"/>
    <x v="17"/>
    <n v="1"/>
    <s v="REALIZADO"/>
    <s v="GEOVANE"/>
    <d v="2025-12-05T00:00:00"/>
    <x v="0"/>
  </r>
  <r>
    <n v="68760"/>
    <s v="FERDINANDO PAZINI"/>
    <s v="MMG"/>
    <s v="ADM"/>
    <n v="50026357"/>
    <x v="24"/>
    <n v="1"/>
    <s v="REALIZADO"/>
    <s v="GEOVANE"/>
    <d v="2025-12-05T00:00:00"/>
    <x v="0"/>
  </r>
  <r>
    <n v="79177"/>
    <s v="MAICON ANTONIO SANTOS"/>
    <s v="MMG"/>
    <s v="ADM"/>
    <n v="50038195"/>
    <x v="54"/>
    <n v="1"/>
    <s v="REALIZADO"/>
    <s v="GEOVANE"/>
    <d v="2025-12-05T00:00:00"/>
    <x v="0"/>
  </r>
  <r>
    <n v="76239"/>
    <s v="GEOVANNY ALEXANDER"/>
    <s v="REFRIG"/>
    <s v="ADM"/>
    <n v="50038549"/>
    <x v="6"/>
    <n v="1"/>
    <s v="REALIZADO"/>
    <s v="GEOVANE"/>
    <d v="2025-12-05T00:00:00"/>
    <x v="2"/>
  </r>
  <r>
    <n v="79177"/>
    <s v="MAICON ANTONIO SANTOS"/>
    <s v="MMG"/>
    <s v="ADM"/>
    <n v="50038195"/>
    <x v="54"/>
    <n v="1"/>
    <s v="REALIZADO"/>
    <s v="GEOVANE"/>
    <d v="2025-12-05T00:00:00"/>
    <x v="2"/>
  </r>
  <r>
    <n v="73878"/>
    <s v="EVANDRO TANAKA"/>
    <s v="MMG"/>
    <s v="ADM"/>
    <n v="50037892"/>
    <x v="2"/>
    <n v="1"/>
    <s v="REALIZADO"/>
    <s v="MARCIA"/>
    <d v="2025-12-05T00:00:00"/>
    <x v="0"/>
  </r>
  <r>
    <n v="77471"/>
    <s v="DANILO BARBOSA"/>
    <s v="MEE"/>
    <s v="ADM"/>
    <n v="50003297"/>
    <x v="8"/>
    <n v="1"/>
    <s v="REALIZADO"/>
    <s v="GEOVANE"/>
    <d v="2025-12-05T00:00:00"/>
    <x v="0"/>
  </r>
  <r>
    <n v="72715"/>
    <s v="DANIEL CAMAÇARI DE OLIVEIRA"/>
    <s v="MPR"/>
    <s v="ADM"/>
    <n v="50041195"/>
    <x v="21"/>
    <n v="1"/>
    <s v="REALIZADO"/>
    <s v="GEOVANE"/>
    <d v="2025-12-05T00:00:00"/>
    <x v="0"/>
  </r>
  <r>
    <n v="64253"/>
    <s v="DANIEL JULIAO"/>
    <s v="MMG"/>
    <s v="ADM"/>
    <n v="50037900"/>
    <x v="41"/>
    <n v="1"/>
    <s v="REALIZADO"/>
    <s v="GEOVANE"/>
    <d v="2025-12-05T00:00:00"/>
    <x v="2"/>
  </r>
  <r>
    <n v="72715"/>
    <s v="DANIEL CAMAÇARI DE OLIVEIRA"/>
    <s v="MPR"/>
    <s v="ADM"/>
    <n v="50041195"/>
    <x v="21"/>
    <n v="1"/>
    <s v="REALIZADO"/>
    <s v="GEOVANE"/>
    <d v="2025-12-05T00:00:00"/>
    <x v="0"/>
  </r>
  <r>
    <n v="78886"/>
    <s v="DOUGLAS FELICIANO MENDES DE OLIVEIRA"/>
    <s v="MME"/>
    <s v="ADM"/>
    <n v="50041195"/>
    <x v="21"/>
    <n v="1"/>
    <s v="REALIZADO"/>
    <s v="GEOVANE"/>
    <d v="2025-12-05T00:00:00"/>
    <x v="0"/>
  </r>
  <r>
    <n v="72715"/>
    <s v="DANIEL CAMAÇARI DE OLIVEIRA"/>
    <s v="MPR"/>
    <s v="ADM"/>
    <n v="50038517"/>
    <x v="0"/>
    <n v="1"/>
    <s v="REALIZADO"/>
    <s v="GEOVANE"/>
    <d v="2025-12-05T00:00:00"/>
    <x v="0"/>
  </r>
  <r>
    <n v="63770"/>
    <s v="DANILO DA SILVA"/>
    <s v="MMG"/>
    <s v="ADM"/>
    <n v="50038195"/>
    <x v="54"/>
    <n v="1"/>
    <s v="REALIZADO"/>
    <s v="GEOVANE"/>
    <d v="2025-12-05T00:00:00"/>
    <x v="2"/>
  </r>
  <r>
    <n v="78886"/>
    <s v="DOUGLAS FELICIANO MENDES DE OLIVEIRA"/>
    <s v="MME"/>
    <s v="ADM"/>
    <n v="50041195"/>
    <x v="21"/>
    <n v="1"/>
    <s v="REALIZADO"/>
    <s v="GEOVANE"/>
    <d v="2025-12-05T00:00:00"/>
    <x v="0"/>
  </r>
  <r>
    <n v="62137"/>
    <s v="RAFAEL AMORIM"/>
    <s v="MME"/>
    <s v="1º TURNO"/>
    <n v="50038841"/>
    <x v="34"/>
    <n v="1"/>
    <s v="REALIZADO"/>
    <s v="GEOVANE"/>
    <d v="2025-12-05T00:00:00"/>
    <x v="2"/>
  </r>
  <r>
    <n v="65131"/>
    <s v="GUILHERME VECHIO"/>
    <s v="MMG"/>
    <s v="2º TURNO"/>
    <n v="50039065"/>
    <x v="22"/>
    <n v="1"/>
    <s v="REALIZADO"/>
    <s v="AGATHA"/>
    <d v="2025-12-05T00:00:00"/>
    <x v="2"/>
  </r>
  <r>
    <n v="72715"/>
    <s v="DANIEL CAMAÇARI DE OLIVEIRA"/>
    <s v="MPR"/>
    <s v="ADM"/>
    <n v="50038517"/>
    <x v="0"/>
    <n v="1"/>
    <s v="REALIZADO"/>
    <s v="AGATHA"/>
    <d v="2025-12-05T00:00:00"/>
    <x v="0"/>
  </r>
  <r>
    <n v="77313"/>
    <s v="ROGERIO"/>
    <s v="MPR"/>
    <s v="ADM"/>
    <n v="50010031"/>
    <x v="20"/>
    <n v="1"/>
    <s v="REALIZADO"/>
    <s v="MATHEUS"/>
    <d v="2025-12-05T00:00:00"/>
    <x v="0"/>
  </r>
  <r>
    <n v="69510"/>
    <s v="GABRIEL CAIXETA"/>
    <s v="MEE"/>
    <s v="ADM"/>
    <n v="50029865"/>
    <x v="9"/>
    <n v="1"/>
    <s v="REALIZADO"/>
    <s v="MATHEUS"/>
    <d v="2025-12-05T00:00:00"/>
    <x v="0"/>
  </r>
  <r>
    <n v="69510"/>
    <s v="GABRIEL CAIXETA"/>
    <s v="MEE"/>
    <s v="ADM"/>
    <n v="50041195"/>
    <x v="21"/>
    <n v="1"/>
    <s v="REALIZADO"/>
    <s v="MATHEUS"/>
    <d v="2025-12-05T00:00:00"/>
    <x v="2"/>
  </r>
  <r>
    <n v="77313"/>
    <s v="ROGERIO"/>
    <s v="MPR"/>
    <s v="ADM"/>
    <n v="50010031"/>
    <x v="20"/>
    <n v="1"/>
    <s v="REALIZADO"/>
    <s v="MATHEUS"/>
    <d v="2025-12-05T00:00:00"/>
    <x v="0"/>
  </r>
  <r>
    <n v="64253"/>
    <s v="DANIEL JULIAO"/>
    <s v="MMG"/>
    <s v="ADM"/>
    <n v="50037892"/>
    <x v="2"/>
    <n v="1"/>
    <s v="REALIZADO"/>
    <s v="MATHEUS"/>
    <d v="2025-12-05T00:00:00"/>
    <x v="2"/>
  </r>
  <r>
    <n v="68760"/>
    <s v="FERDINANDO PAZINI"/>
    <s v="MMG"/>
    <s v="ADM"/>
    <n v="50030486"/>
    <x v="17"/>
    <n v="1"/>
    <s v="REALIZADO"/>
    <s v="MATHEUS"/>
    <d v="2025-12-05T00:00:00"/>
    <x v="2"/>
  </r>
  <r>
    <n v="62137"/>
    <s v="RAFAEL AMORIM"/>
    <s v="MME"/>
    <s v="1º TURNO"/>
    <n v="50038841"/>
    <x v="34"/>
    <n v="1"/>
    <s v="REALIZADO"/>
    <s v="MATHEUS"/>
    <d v="2025-12-05T00:00:00"/>
    <x v="2"/>
  </r>
  <r>
    <n v="68760"/>
    <s v="FERDINANDO PAZINI"/>
    <s v="MMG"/>
    <s v="ADM"/>
    <n v="50026357"/>
    <x v="24"/>
    <n v="1"/>
    <s v="REALIZADO"/>
    <s v="MATHEUS"/>
    <d v="2025-12-05T00:00:00"/>
    <x v="2"/>
  </r>
  <r>
    <n v="69510"/>
    <s v="GABRIEL CAIXETA"/>
    <s v="MEE"/>
    <s v="ADM"/>
    <n v="50029865"/>
    <x v="9"/>
    <n v="1"/>
    <s v="REALIZADO"/>
    <s v="MATHEUS"/>
    <d v="2025-12-05T00:00:00"/>
    <x v="2"/>
  </r>
  <r>
    <n v="77471"/>
    <s v="DANILO BARBOSA"/>
    <s v="MEE"/>
    <s v="ADM"/>
    <n v="50003297"/>
    <x v="8"/>
    <n v="1"/>
    <s v="REALIZADO"/>
    <s v="MATHEUS"/>
    <d v="2025-12-05T00:00:00"/>
    <x v="2"/>
  </r>
  <r>
    <n v="69510"/>
    <s v="GABRIEL CAIXETA"/>
    <s v="MEE"/>
    <s v="ADM"/>
    <n v="50041195"/>
    <x v="21"/>
    <n v="1"/>
    <s v="REALIZADO"/>
    <s v="MATHEUS"/>
    <d v="2025-12-05T00:00:00"/>
    <x v="0"/>
  </r>
  <r>
    <n v="62896"/>
    <s v="LEONARDO BORGES"/>
    <s v="MEE"/>
    <s v="ADM"/>
    <n v="50029865"/>
    <x v="9"/>
    <n v="1"/>
    <s v="REALIZADO"/>
    <s v="MATHEUS"/>
    <d v="2025-12-05T00:00:00"/>
    <x v="0"/>
  </r>
  <r>
    <n v="62896"/>
    <s v="LEONARDO BORGES"/>
    <s v="MEE"/>
    <s v="ADM"/>
    <n v="50041195"/>
    <x v="21"/>
    <n v="1"/>
    <s v="REALIZADO"/>
    <s v="MATHEUS"/>
    <d v="2025-12-05T00:00:00"/>
    <x v="0"/>
  </r>
  <r>
    <n v="76239"/>
    <s v="GEOVANNY ALEXANDER"/>
    <s v="REFRIG"/>
    <s v="ADM"/>
    <n v="50038841"/>
    <x v="34"/>
    <n v="1"/>
    <s v="REALIZADO"/>
    <s v="MATHEUS"/>
    <d v="2025-12-05T00:00:00"/>
    <x v="0"/>
  </r>
  <r>
    <n v="76239"/>
    <s v="GEOVANNY ALEXANDER"/>
    <s v="REFRIG"/>
    <s v="ADM"/>
    <n v="50003297"/>
    <x v="8"/>
    <n v="1"/>
    <s v="REALIZADO"/>
    <s v="MATHEUS"/>
    <d v="2025-12-05T00:00:00"/>
    <x v="2"/>
  </r>
  <r>
    <n v="78886"/>
    <s v="DOUGLAS FELICIANO MENDES DE OLIVEIRA"/>
    <s v="MME"/>
    <s v="ADM"/>
    <n v="50039065"/>
    <x v="22"/>
    <n v="1"/>
    <s v="REALIZADO"/>
    <s v="MATHEUS"/>
    <d v="2025-12-05T00:00:00"/>
    <x v="2"/>
  </r>
  <r>
    <n v="64253"/>
    <s v="DANIEL JULIAO"/>
    <s v="MMG"/>
    <s v="ADM"/>
    <n v="50037892"/>
    <x v="2"/>
    <n v="1"/>
    <s v="REALIZADO"/>
    <s v="BRUNO"/>
    <d v="2025-12-05T00:00:00"/>
    <x v="2"/>
  </r>
  <r>
    <n v="76239"/>
    <s v="GEOVANNY ALEXANDER"/>
    <s v="REFRIG"/>
    <s v="ADM"/>
    <n v="50038841"/>
    <x v="34"/>
    <n v="1"/>
    <s v="REALIZADO"/>
    <s v="BRUNO"/>
    <d v="2025-12-05T00:00:00"/>
    <x v="2"/>
  </r>
  <r>
    <n v="76239"/>
    <s v="GEOVANNY ALEXANDER"/>
    <s v="REFRIG"/>
    <s v="ADM"/>
    <n v="50003297"/>
    <x v="8"/>
    <n v="1"/>
    <s v="REALIZADO"/>
    <s v="BRUNO"/>
    <d v="2025-12-05T00:00:00"/>
    <x v="2"/>
  </r>
  <r>
    <n v="62896"/>
    <s v="LEONARDO BORGES"/>
    <s v="MEE"/>
    <s v="ADM"/>
    <n v="50029865"/>
    <x v="9"/>
    <n v="1"/>
    <s v="REALIZADO"/>
    <s v="BRUNO"/>
    <d v="2025-12-05T00:00:00"/>
    <x v="2"/>
  </r>
  <r>
    <n v="62896"/>
    <s v="LEONARDO BORGES"/>
    <s v="MEE"/>
    <s v="ADM"/>
    <n v="50041195"/>
    <x v="21"/>
    <n v="1"/>
    <s v="REALIZADO"/>
    <s v="BRUNO"/>
    <d v="2025-12-05T00:00:00"/>
    <x v="0"/>
  </r>
  <r>
    <n v="68760"/>
    <s v="FERDINANDO PAZINI"/>
    <s v="MMG"/>
    <s v="ADM"/>
    <n v="50038549"/>
    <x v="6"/>
    <n v="1"/>
    <s v="REALIZADO"/>
    <s v="BRUNO"/>
    <d v="2025-12-04T00:00:00"/>
    <x v="0"/>
  </r>
  <r>
    <n v="78886"/>
    <s v="DOUGLAS FELICIANO MENDES DE OLIVEIRA"/>
    <s v="MME"/>
    <s v="ADM"/>
    <n v="50037892"/>
    <x v="2"/>
    <n v="1"/>
    <s v="REALIZADO"/>
    <s v="BRUNO"/>
    <d v="2025-12-04T00:00:00"/>
    <x v="0"/>
  </r>
  <r>
    <n v="78886"/>
    <s v="DOUGLAS FELICIANO MENDES DE OLIVEIRA"/>
    <s v="MME"/>
    <s v="ADM"/>
    <n v="50043471"/>
    <x v="5"/>
    <n v="1"/>
    <s v="REALIZADO"/>
    <s v="BRUNO"/>
    <d v="2025-12-04T00:00:00"/>
    <x v="0"/>
  </r>
  <r>
    <n v="75424"/>
    <s v="EDSON CARLOS"/>
    <s v="MME"/>
    <s v="ADM"/>
    <n v="50003297"/>
    <x v="8"/>
    <n v="1"/>
    <s v="REALIZADO"/>
    <s v="BRUNO"/>
    <d v="2025-12-04T00:00:00"/>
    <x v="0"/>
  </r>
  <r>
    <n v="63399"/>
    <s v="JOAO CARLOS MARIA"/>
    <s v="MPR"/>
    <s v="ADM"/>
    <n v="50010031"/>
    <x v="20"/>
    <n v="1"/>
    <s v="REALIZADO"/>
    <s v="BRUNO"/>
    <d v="2025-12-04T00:00:00"/>
    <x v="0"/>
  </r>
  <r>
    <n v="69510"/>
    <s v="GABRIEL CAIXETA"/>
    <s v="MEE"/>
    <s v="ADM"/>
    <n v="50041195"/>
    <x v="21"/>
    <n v="1"/>
    <s v="REALIZADO"/>
    <s v="BRUNO"/>
    <d v="2025-12-04T00:00:00"/>
    <x v="2"/>
  </r>
  <r>
    <n v="61264"/>
    <s v="EVERTON GERONIMO"/>
    <s v="MMG"/>
    <s v="ADM"/>
    <n v="50041089"/>
    <x v="48"/>
    <n v="1"/>
    <s v="REALIZADO"/>
    <s v="BRUNO"/>
    <d v="2025-12-05T00:00:00"/>
    <x v="0"/>
  </r>
  <r>
    <n v="70105"/>
    <s v="RONALDO DE SOUZA SANTOS"/>
    <s v="MMG"/>
    <s v="2º TURNO"/>
    <n v="50030486"/>
    <x v="17"/>
    <n v="1"/>
    <s v="REALIZADO"/>
    <s v="BRUNO"/>
    <d v="2025-12-04T00:00:00"/>
    <x v="0"/>
  </r>
  <r>
    <n v="73336"/>
    <s v="RODRIGO RODRIGUES"/>
    <s v="MMG"/>
    <s v="2º TURNO"/>
    <n v="50037902"/>
    <x v="14"/>
    <n v="1"/>
    <s v="REALIZADO"/>
    <s v="BRUNO"/>
    <d v="2025-12-04T00:00:00"/>
    <x v="0"/>
  </r>
  <r>
    <n v="78678"/>
    <s v="MARLOM ROGERIO VIEIRA"/>
    <s v="MME"/>
    <s v="ADM"/>
    <n v="50038517"/>
    <x v="0"/>
    <n v="1"/>
    <s v="REALIZADO"/>
    <s v="BRUNO"/>
    <d v="2025-12-04T00:00:00"/>
    <x v="0"/>
  </r>
  <r>
    <n v="78678"/>
    <s v="MARLOM ROGERIO VIEIRA"/>
    <s v="MME"/>
    <s v="ADM"/>
    <n v="50038841"/>
    <x v="34"/>
    <n v="1"/>
    <s v="REALIZADO"/>
    <s v="BRUNO"/>
    <d v="2025-12-04T00:00:00"/>
    <x v="0"/>
  </r>
  <r>
    <n v="79177"/>
    <s v="MAICON ANTONIO SANTOS"/>
    <s v="MMG"/>
    <s v="ADM"/>
    <n v="50038854"/>
    <x v="27"/>
    <n v="1"/>
    <s v="REALIZADO"/>
    <s v="BRUNO"/>
    <d v="2025-12-05T00:00:00"/>
    <x v="2"/>
  </r>
  <r>
    <n v="64253"/>
    <s v="DANIEL JULIAO"/>
    <s v="MMG"/>
    <s v="ADM"/>
    <n v="50037900"/>
    <x v="41"/>
    <n v="1"/>
    <s v="REALIZADO"/>
    <s v="BRUNO"/>
    <d v="2025-12-05T00:00:00"/>
    <x v="2"/>
  </r>
  <r>
    <n v="76239"/>
    <s v="GEOVANNY ALEXANDER"/>
    <s v="REFRIG"/>
    <s v="ADM"/>
    <n v="50038549"/>
    <x v="6"/>
    <n v="1"/>
    <s v="REALIZADO"/>
    <s v="BRUNO"/>
    <d v="2025-12-05T00:00:00"/>
    <x v="0"/>
  </r>
  <r>
    <n v="68760"/>
    <s v="FERDINANDO PAZINI"/>
    <s v="MMG"/>
    <s v="ADM"/>
    <n v="50038549"/>
    <x v="6"/>
    <n v="1"/>
    <s v="REALIZADO"/>
    <s v="BRUNO"/>
    <d v="2025-12-04T00:00:00"/>
    <x v="0"/>
  </r>
  <r>
    <n v="70105"/>
    <s v="RONALDO DE SOUZA SANTOS"/>
    <s v="MMG"/>
    <s v="2º TURNO"/>
    <n v="50030486"/>
    <x v="17"/>
    <n v="1"/>
    <s v="REALIZADO"/>
    <s v="GEOVANE"/>
    <d v="2025-12-04T00:00:00"/>
    <x v="0"/>
  </r>
  <r>
    <n v="78678"/>
    <s v="MARLOM ROGERIO VIEIRA"/>
    <s v="MME"/>
    <s v="ADM"/>
    <n v="50038517"/>
    <x v="0"/>
    <n v="1"/>
    <s v="REALIZADO"/>
    <s v="GEOVANE"/>
    <d v="2025-12-04T00:00:00"/>
    <x v="0"/>
  </r>
  <r>
    <n v="68708"/>
    <s v="CLAUDIO TADEU LEITE"/>
    <s v="MMG"/>
    <s v="ADM"/>
    <n v="50038854"/>
    <x v="27"/>
    <n v="1"/>
    <s v="REALIZADO"/>
    <s v="GEOVANE"/>
    <d v="2025-12-04T00:00:00"/>
    <x v="2"/>
  </r>
  <r>
    <n v="68708"/>
    <s v="CLAUDIO TADEU LEITE"/>
    <s v="MMG"/>
    <s v="ADM"/>
    <n v="50038854"/>
    <x v="27"/>
    <n v="1"/>
    <s v="REALIZADO"/>
    <s v="GEOVANE"/>
    <d v="2025-12-04T00:00:00"/>
    <x v="2"/>
  </r>
  <r>
    <n v="78678"/>
    <s v="MARLOM ROGERIO VIEIRA"/>
    <s v="MME"/>
    <s v="ADM"/>
    <n v="50038841"/>
    <x v="34"/>
    <n v="1"/>
    <s v="REALIZADO"/>
    <s v="MARCIA"/>
    <d v="2025-12-04T00:00:00"/>
    <x v="2"/>
  </r>
  <r>
    <n v="78678"/>
    <s v="MARLOM ROGERIO VIEIRA"/>
    <s v="MME"/>
    <s v="ADM"/>
    <n v="50038517"/>
    <x v="0"/>
    <n v="1"/>
    <s v="REALIZADO"/>
    <s v="MARCIA"/>
    <d v="2025-12-04T00:00:00"/>
    <x v="0"/>
  </r>
  <r>
    <n v="70105"/>
    <s v="RONALDO DE SOUZA SANTOS"/>
    <s v="MMG"/>
    <s v="2º TURNO"/>
    <n v="50032781"/>
    <x v="12"/>
    <n v="1"/>
    <s v="REALIZADO"/>
    <s v="MARCIA"/>
    <d v="2025-12-04T00:00:00"/>
    <x v="2"/>
  </r>
  <r>
    <n v="73336"/>
    <s v="RODRIGO RODRIGUES"/>
    <s v="MMG"/>
    <s v="ADM"/>
    <n v="50037902"/>
    <x v="14"/>
    <n v="1"/>
    <s v="REALIZADO"/>
    <s v="MARCIA"/>
    <d v="2025-12-04T00:00:00"/>
    <x v="2"/>
  </r>
  <r>
    <n v="79177"/>
    <s v="MAICON ANTONIO SANTOS"/>
    <s v="MMG"/>
    <s v="ADM"/>
    <n v="50038854"/>
    <x v="27"/>
    <n v="1"/>
    <s v="REALIZADO"/>
    <s v="MARCIA"/>
    <d v="2025-12-05T00:00:00"/>
    <x v="2"/>
  </r>
  <r>
    <n v="70105"/>
    <s v="RONALDO DE SOUZA SANTOS"/>
    <s v="MMG"/>
    <s v="2º TURNO"/>
    <n v="50030486"/>
    <x v="17"/>
    <n v="1"/>
    <s v="REALIZADO"/>
    <s v="MARCIA"/>
    <d v="2025-12-04T00:00:00"/>
    <x v="2"/>
  </r>
  <r>
    <n v="70105"/>
    <s v="RONALDO DE SOUZA SANTOS"/>
    <s v="MMG"/>
    <s v="2º TURNO"/>
    <n v="50032781"/>
    <x v="12"/>
    <n v="1"/>
    <s v="REALIZADO"/>
    <s v="MARCIA"/>
    <d v="2025-12-04T00:00:00"/>
    <x v="2"/>
  </r>
  <r>
    <n v="65844"/>
    <s v="ALTEMAR FEITOSA"/>
    <s v="MMG"/>
    <s v="1º TURNO"/>
    <n v="50042283"/>
    <x v="47"/>
    <n v="1"/>
    <s v="REALIZADO"/>
    <s v="BRUNO"/>
    <d v="2025-12-04T00:00:00"/>
    <x v="0"/>
  </r>
  <r>
    <n v="60763"/>
    <s v="LEANDRO VASCONCELOS"/>
    <s v="MMG"/>
    <s v="1º TURNO"/>
    <n v="50022878"/>
    <x v="18"/>
    <n v="1"/>
    <s v="REALIZADO"/>
    <s v="BRUNO"/>
    <d v="2025-12-04T00:00:00"/>
    <x v="0"/>
  </r>
  <r>
    <n v="77526"/>
    <s v="FELIPE GARÇONI"/>
    <s v="MME"/>
    <s v="ADM"/>
    <n v="50038517"/>
    <x v="0"/>
    <n v="1"/>
    <s v="REALIZADO"/>
    <s v="BRUNO"/>
    <d v="2025-12-04T00:00:00"/>
    <x v="0"/>
  </r>
  <r>
    <n v="77521"/>
    <s v="LUCAS LIRA"/>
    <s v="MME"/>
    <s v="ADM"/>
    <n v="50036291"/>
    <x v="55"/>
    <n v="1"/>
    <s v="REALIZADO"/>
    <s v="BRUNO"/>
    <d v="2025-12-04T00:00:00"/>
    <x v="0"/>
  </r>
  <r>
    <n v="79177"/>
    <s v="MAICON ANTONIO SANTOS"/>
    <s v="MMG"/>
    <s v="ADM"/>
    <n v="50038956"/>
    <x v="10"/>
    <n v="1"/>
    <s v="REALIZADO"/>
    <s v="BRUNO"/>
    <d v="2025-12-04T00:00:00"/>
    <x v="0"/>
  </r>
  <r>
    <n v="79177"/>
    <s v="MAICON ANTONIO SANTOS"/>
    <s v="MMG"/>
    <s v="ADM"/>
    <n v="50039065"/>
    <x v="22"/>
    <n v="1"/>
    <s v="REALIZADO"/>
    <s v="BRUNO"/>
    <d v="2025-12-04T00:00:00"/>
    <x v="2"/>
  </r>
  <r>
    <n v="60763"/>
    <s v="LEANDRO VASCONCELOS"/>
    <s v="MMG"/>
    <s v="1º TURNO"/>
    <n v="50022878"/>
    <x v="18"/>
    <n v="1"/>
    <s v="REALIZADO"/>
    <s v="BRUNO"/>
    <d v="2025-12-04T00:00:00"/>
    <x v="2"/>
  </r>
  <r>
    <n v="69510"/>
    <s v="GABRIEL CAIXETA"/>
    <s v="MEE"/>
    <s v="ADM"/>
    <n v="50041195"/>
    <x v="21"/>
    <n v="1"/>
    <s v="REALIZADO"/>
    <s v="BRUNO"/>
    <d v="2025-12-04T00:00:00"/>
    <x v="0"/>
  </r>
  <r>
    <n v="65482"/>
    <s v="RAFAEL BALBINO PEREIRA"/>
    <s v="MMG"/>
    <s v="ADM"/>
    <n v="50037933"/>
    <x v="43"/>
    <n v="1"/>
    <s v="REALIZADO"/>
    <s v="BRUNO"/>
    <d v="2025-12-04T00:00:00"/>
    <x v="2"/>
  </r>
  <r>
    <n v="79177"/>
    <s v="MAICON ANTONIO SANTOS"/>
    <s v="MMG"/>
    <s v="ADM"/>
    <n v="50039065"/>
    <x v="22"/>
    <n v="1"/>
    <s v="REALIZADO"/>
    <s v="BRUNO"/>
    <d v="2025-12-04T00:00:00"/>
    <x v="2"/>
  </r>
  <r>
    <n v="79177"/>
    <s v="MAICON ANTONIO SANTOS"/>
    <s v="MMG"/>
    <s v="ADM"/>
    <n v="50038956"/>
    <x v="10"/>
    <n v="1"/>
    <s v="REALIZADO"/>
    <s v="BRUNO"/>
    <d v="2025-12-04T00:00:00"/>
    <x v="2"/>
  </r>
  <r>
    <n v="77526"/>
    <s v="FELIPE GARÇONI"/>
    <s v="MME"/>
    <s v="ADM"/>
    <n v="50038517"/>
    <x v="0"/>
    <n v="1"/>
    <s v="REALIZADO"/>
    <s v="BRUNO"/>
    <d v="2025-12-04T00:00:00"/>
    <x v="2"/>
  </r>
  <r>
    <n v="63399"/>
    <s v="JOAO CARLOS MARIA"/>
    <s v="MPR"/>
    <s v="ADM"/>
    <n v="50010031"/>
    <x v="20"/>
    <n v="1"/>
    <s v="REALIZADO"/>
    <s v="BRUNO"/>
    <d v="2025-12-04T00:00:00"/>
    <x v="0"/>
  </r>
  <r>
    <n v="72728"/>
    <s v="JUNIOR CESAR DA PENHA"/>
    <s v="UTI"/>
    <s v="2º TURNO"/>
    <n v="50037952"/>
    <x v="56"/>
    <n v="1"/>
    <s v="REALIZADO"/>
    <s v="BRUNO"/>
    <d v="2025-12-04T00:00:00"/>
    <x v="0"/>
  </r>
  <r>
    <n v="72728"/>
    <s v="JUNIOR CESAR DA PENHA"/>
    <s v="UTI"/>
    <s v="2º TURNO"/>
    <n v="50041195"/>
    <x v="21"/>
    <n v="1"/>
    <s v="REALIZADO"/>
    <s v="BRUNO"/>
    <d v="2025-12-04T00:00:00"/>
    <x v="2"/>
  </r>
  <r>
    <n v="75424"/>
    <s v="EDSON CARLOS"/>
    <s v="MME"/>
    <s v="ADM"/>
    <n v="50003297"/>
    <x v="8"/>
    <n v="1"/>
    <s v="REALIZADO"/>
    <s v="BRUNO"/>
    <d v="2025-12-04T00:00:00"/>
    <x v="2"/>
  </r>
  <r>
    <n v="65482"/>
    <s v="RAFAEL BALBINO PEREIRA"/>
    <s v="MMG"/>
    <s v="ADM"/>
    <n v="50037933"/>
    <x v="43"/>
    <n v="1"/>
    <s v="REALIZADO"/>
    <s v="BRUNO"/>
    <d v="2025-12-04T00:00:00"/>
    <x v="2"/>
  </r>
  <r>
    <n v="78886"/>
    <s v="DOUGLAS FELICIANO MENDES DE OLIVEIRA"/>
    <s v="MME"/>
    <s v="ADM"/>
    <n v="50043471"/>
    <x v="5"/>
    <n v="1"/>
    <s v="REALIZADO"/>
    <s v="BRUNO"/>
    <d v="2025-12-04T00:00:00"/>
    <x v="2"/>
  </r>
  <r>
    <n v="78886"/>
    <s v="DOUGLAS FELICIANO MENDES DE OLIVEIRA"/>
    <s v="MME"/>
    <s v="ADM"/>
    <n v="50037892"/>
    <x v="2"/>
    <n v="1"/>
    <s v="REALIZADO"/>
    <s v="BRUNO"/>
    <d v="2025-12-04T00:00:00"/>
    <x v="2"/>
  </r>
  <r>
    <n v="68760"/>
    <s v="FERDINANDO PAZINI"/>
    <s v="MMG"/>
    <s v="ADM"/>
    <n v="50038549"/>
    <x v="6"/>
    <n v="1"/>
    <s v="REALIZADO"/>
    <s v="BRUNO"/>
    <d v="2025-12-04T00:00:00"/>
    <x v="2"/>
  </r>
  <r>
    <n v="72728"/>
    <s v="JUNIOR CESAR DA PENHA"/>
    <s v="UTI"/>
    <s v="2º TURNO"/>
    <n v="50041195"/>
    <x v="21"/>
    <n v="1"/>
    <s v="REALIZADO"/>
    <s v="BRUNO"/>
    <d v="2025-12-04T00:00:00"/>
    <x v="2"/>
  </r>
  <r>
    <n v="72728"/>
    <s v="JUNIOR CESAR DA PENHA"/>
    <s v="UTI"/>
    <s v="2º TURNO"/>
    <n v="50037952"/>
    <x v="56"/>
    <n v="1"/>
    <s v="REALIZADO"/>
    <s v="BRUNO"/>
    <d v="2025-12-04T00:00:00"/>
    <x v="0"/>
  </r>
  <r>
    <n v="72715"/>
    <s v="DANIEL CAMAÇARI DE OLIVEIRA"/>
    <s v="MPR"/>
    <s v="ADM"/>
    <n v="50028220"/>
    <x v="33"/>
    <n v="1"/>
    <s v="REALIZADO"/>
    <s v="GEOVANE"/>
    <d v="2025-12-03T00:00:00"/>
    <x v="0"/>
  </r>
  <r>
    <n v="77521"/>
    <s v="LUCAS LIRA"/>
    <s v="MME"/>
    <s v="ADM"/>
    <n v="50003297"/>
    <x v="8"/>
    <n v="1"/>
    <s v="REALIZADO"/>
    <s v="AGATHA"/>
    <d v="2025-12-03T00:00:00"/>
    <x v="0"/>
  </r>
  <r>
    <n v="65131"/>
    <s v="GUILHERME VECHIO"/>
    <s v="MMG"/>
    <s v="2º TURNO"/>
    <n v="50038549"/>
    <x v="6"/>
    <n v="1"/>
    <s v="REALIZADO"/>
    <s v="AGATHA"/>
    <d v="2025-12-03T00:00:00"/>
    <x v="0"/>
  </r>
  <r>
    <n v="62180"/>
    <s v="JOSE AUGUSTO MASSUCHINI"/>
    <s v="MMG"/>
    <s v="ADM"/>
    <n v="50039718"/>
    <x v="11"/>
    <n v="1"/>
    <s v="REALIZADO"/>
    <s v="AGATHA"/>
    <d v="2025-12-03T00:00:00"/>
    <x v="0"/>
  </r>
  <r>
    <n v="75424"/>
    <s v="EDSON CARLOS"/>
    <s v="MME"/>
    <s v="1º TURNO"/>
    <n v="50038518"/>
    <x v="57"/>
    <n v="1"/>
    <s v="REALIZADO"/>
    <s v="AGATHA"/>
    <d v="2025-12-03T00:00:00"/>
    <x v="0"/>
  </r>
  <r>
    <n v="79177"/>
    <s v="MAICON ANTONIO SANTOS"/>
    <s v="MMG"/>
    <s v="ADM"/>
    <n v="50037892"/>
    <x v="2"/>
    <n v="1"/>
    <s v="REALIZADO"/>
    <s v="AGATHA"/>
    <d v="2025-12-03T00:00:00"/>
    <x v="0"/>
  </r>
  <r>
    <n v="78886"/>
    <s v="DOUGLAS FELICIANO MENDES DE OLIVEIRA"/>
    <s v="MME"/>
    <s v="ADM"/>
    <n v="50038956"/>
    <x v="10"/>
    <n v="1"/>
    <s v="REALIZADO"/>
    <s v="AGATHA"/>
    <d v="2025-12-03T00:00:00"/>
    <x v="0"/>
  </r>
  <r>
    <n v="78886"/>
    <s v="DOUGLAS FELICIANO MENDES DE OLIVEIRA"/>
    <s v="MME"/>
    <s v="ADM"/>
    <n v="50038517"/>
    <x v="0"/>
    <n v="1"/>
    <s v="REALIZADO"/>
    <s v="AGATHA"/>
    <d v="2025-12-03T00:00:00"/>
    <x v="0"/>
  </r>
  <r>
    <n v="79177"/>
    <s v="MAICON ANTONIO SANTOS"/>
    <s v="MMG"/>
    <s v="ADM"/>
    <n v="50039065"/>
    <x v="22"/>
    <n v="1"/>
    <s v="REALIZADO"/>
    <s v="AGATHA"/>
    <d v="2025-12-03T00:00:00"/>
    <x v="0"/>
  </r>
  <r>
    <n v="79177"/>
    <s v="MAICON ANTONIO SANTOS"/>
    <s v="MMG"/>
    <s v="ADM"/>
    <n v="50037943"/>
    <x v="58"/>
    <n v="1"/>
    <s v="REALIZADO"/>
    <s v="AGATHA"/>
    <d v="2025-12-03T00:00:00"/>
    <x v="2"/>
  </r>
  <r>
    <n v="65131"/>
    <s v="GUILHERME VECHIO"/>
    <s v="MMG"/>
    <s v="2º TURNO"/>
    <n v="50038549"/>
    <x v="6"/>
    <n v="1"/>
    <s v="REALIZADO"/>
    <s v="AGATHA"/>
    <d v="2025-12-03T00:00:00"/>
    <x v="2"/>
  </r>
  <r>
    <n v="75424"/>
    <s v="EDSON CARLOS"/>
    <s v="MME"/>
    <s v="1º TURNO"/>
    <n v="50038518"/>
    <x v="57"/>
    <n v="1"/>
    <s v="REALIZADO"/>
    <s v="AGATHA"/>
    <d v="2025-12-03T00:00:00"/>
    <x v="0"/>
  </r>
  <r>
    <n v="72715"/>
    <s v="DANIEL CAMAÇARI DE OLIVEIRA"/>
    <s v="MPR"/>
    <s v="ADM"/>
    <n v="50038662"/>
    <x v="59"/>
    <n v="1"/>
    <s v="REALIZADO"/>
    <s v="AGATHA"/>
    <d v="2025-12-03T00:00:00"/>
    <x v="0"/>
  </r>
  <r>
    <n v="62640"/>
    <s v="MARCELINHO"/>
    <s v="MPR"/>
    <s v="ADM"/>
    <n v="50038854"/>
    <x v="27"/>
    <n v="1"/>
    <s v="REALIZADO"/>
    <s v="AGATHA"/>
    <d v="2025-12-03T00:00:00"/>
    <x v="2"/>
  </r>
  <r>
    <n v="62640"/>
    <s v="MARCELINHO"/>
    <s v="MPR"/>
    <s v="ADM"/>
    <n v="50038854"/>
    <x v="27"/>
    <n v="1"/>
    <s v="REALIZADO"/>
    <s v="AGATHA"/>
    <d v="2025-12-03T00:00:00"/>
    <x v="0"/>
  </r>
  <r>
    <n v="62471"/>
    <s v="ELTON LIMA"/>
    <s v="MME"/>
    <s v="ADM"/>
    <n v="50043471"/>
    <x v="5"/>
    <n v="1"/>
    <s v="REALIZADO"/>
    <s v="AGATHA"/>
    <d v="2025-12-03T00:00:00"/>
    <x v="2"/>
  </r>
  <r>
    <n v="72715"/>
    <s v="DANIEL CAMAÇARI DE OLIVEIRA"/>
    <s v="MPR"/>
    <s v="ADM"/>
    <n v="50038662"/>
    <x v="59"/>
    <n v="1"/>
    <s v="REALIZADO"/>
    <s v="GEOVANE"/>
    <d v="2025-12-03T00:00:00"/>
    <x v="2"/>
  </r>
  <r>
    <n v="73336"/>
    <s v="RODRIGO RODRIGUES"/>
    <s v="MMG"/>
    <s v="ADM"/>
    <n v="50041195"/>
    <x v="21"/>
    <n v="1"/>
    <s v="REALIZADO"/>
    <s v="GEOVANE"/>
    <d v="2025-12-03T00:00:00"/>
    <x v="0"/>
  </r>
  <r>
    <n v="96464"/>
    <s v="KEVIN INAMOTO"/>
    <s v="MEE"/>
    <s v="1º TURNO"/>
    <n v="50010031"/>
    <x v="20"/>
    <n v="1"/>
    <s v="REALIZADO"/>
    <s v="AGATHA"/>
    <d v="2025-12-03T00:00:00"/>
    <x v="2"/>
  </r>
  <r>
    <n v="72715"/>
    <s v="DANIEL CAMAÇARI DE OLIVEIRA"/>
    <s v="MPR"/>
    <s v="ADM"/>
    <n v="50028220"/>
    <x v="33"/>
    <n v="1"/>
    <s v="REALIZADO"/>
    <s v="GEOVANE"/>
    <d v="2025-12-03T00:00:00"/>
    <x v="2"/>
  </r>
  <r>
    <n v="73336"/>
    <s v="RODRIGO RODRIGUES"/>
    <s v="MMG"/>
    <s v="ADM"/>
    <n v="50038841"/>
    <x v="34"/>
    <n v="1"/>
    <s v="REALIZADO"/>
    <s v="AGATHA"/>
    <d v="2025-12-03T00:00:00"/>
    <x v="0"/>
  </r>
  <r>
    <n v="77594"/>
    <s v="VINICIUS ROBLES"/>
    <s v="MME"/>
    <s v="ADM"/>
    <n v="50038517"/>
    <x v="0"/>
    <n v="1"/>
    <s v="REALIZADO"/>
    <s v="AGATHA"/>
    <d v="2025-12-03T00:00:00"/>
    <x v="0"/>
  </r>
  <r>
    <n v="62137"/>
    <s v="RAFAEL AMORIM"/>
    <s v="MME"/>
    <s v="1º TURNO"/>
    <n v="50038841"/>
    <x v="34"/>
    <n v="1"/>
    <s v="REALIZADO"/>
    <s v="JOÃO FRANCISCO"/>
    <d v="2025-12-03T00:00:00"/>
    <x v="2"/>
  </r>
  <r>
    <n v="79177"/>
    <s v="MAICON ANTONIO SANTOS"/>
    <s v="MMG"/>
    <s v="ADM"/>
    <n v="50037943"/>
    <x v="58"/>
    <n v="1"/>
    <s v="REALIZADO"/>
    <s v="BRUNO"/>
    <d v="2025-12-03T00:00:00"/>
    <x v="0"/>
  </r>
  <r>
    <n v="62180"/>
    <s v="JOSE AUGUSTO MASSUCHINI"/>
    <s v="MMG"/>
    <s v="ADM"/>
    <n v="50037926"/>
    <x v="52"/>
    <n v="1"/>
    <s v="REALIZADO"/>
    <s v="BRUNO"/>
    <d v="2025-12-03T00:00:00"/>
    <x v="2"/>
  </r>
  <r>
    <n v="62471"/>
    <s v="ELTON LIMA"/>
    <s v="MME"/>
    <s v="ADM"/>
    <n v="50043471"/>
    <x v="5"/>
    <n v="1"/>
    <s v="REALIZADO"/>
    <s v="BRUNO"/>
    <d v="2025-12-03T00:00:00"/>
    <x v="0"/>
  </r>
  <r>
    <n v="69510"/>
    <s v="GABRIEL CAIXETA"/>
    <s v="MEE"/>
    <s v="ADM"/>
    <n v="50029865"/>
    <x v="9"/>
    <n v="1"/>
    <s v="REALIZADO"/>
    <s v="BRUNO"/>
    <d v="2025-12-03T00:00:00"/>
    <x v="0"/>
  </r>
  <r>
    <n v="69510"/>
    <s v="GABRIEL CAIXETA"/>
    <s v="MEE"/>
    <s v="ADM"/>
    <n v="50043471"/>
    <x v="5"/>
    <n v="1"/>
    <s v="REALIZADO"/>
    <s v="BRUNO"/>
    <d v="2025-12-03T00:00:00"/>
    <x v="2"/>
  </r>
  <r>
    <n v="62180"/>
    <s v="JOSE AUGUSTO MASSUCHINI"/>
    <s v="MMG"/>
    <s v="ADM"/>
    <n v="50037926"/>
    <x v="52"/>
    <n v="1"/>
    <s v="REALIZADO"/>
    <s v="BRUNO"/>
    <d v="2025-12-03T00:00:00"/>
    <x v="0"/>
  </r>
  <r>
    <n v="68760"/>
    <s v="FERDINANDO PAZINI"/>
    <s v="MMG"/>
    <s v="ADM"/>
    <n v="50037902"/>
    <x v="14"/>
    <n v="1"/>
    <s v="REALIZADO"/>
    <s v="BRUNO"/>
    <d v="2025-12-03T00:00:00"/>
    <x v="2"/>
  </r>
  <r>
    <n v="96464"/>
    <s v="KEVIN INAMOTO"/>
    <s v="MEE"/>
    <s v="1º TURNO"/>
    <n v="50010031"/>
    <x v="20"/>
    <n v="1"/>
    <s v="REALIZADO"/>
    <s v="BRUNO"/>
    <d v="2025-12-03T00:00:00"/>
    <x v="0"/>
  </r>
  <r>
    <n v="72707"/>
    <s v="LEONARDO DOS SANTOS"/>
    <s v="MPR"/>
    <s v="ADM"/>
    <n v="50010031"/>
    <x v="20"/>
    <n v="1"/>
    <s v="REALIZADO"/>
    <s v="BRUNO"/>
    <d v="2025-12-03T00:00:00"/>
    <x v="2"/>
  </r>
  <r>
    <n v="77594"/>
    <s v="VINICIUS ROBLES"/>
    <s v="MME"/>
    <s v="ADM"/>
    <n v="50038517"/>
    <x v="0"/>
    <n v="1"/>
    <s v="REALIZADO"/>
    <s v="BRUNO"/>
    <d v="2025-12-03T00:00:00"/>
    <x v="2"/>
  </r>
  <r>
    <n v="78886"/>
    <s v="DOUGLAS FELICIANO MENDES DE OLIVEIRA"/>
    <s v="MME"/>
    <s v="ADM"/>
    <n v="50038956"/>
    <x v="10"/>
    <n v="1"/>
    <s v="REALIZADO"/>
    <s v="BRUNO"/>
    <d v="2025-12-03T00:00:00"/>
    <x v="2"/>
  </r>
  <r>
    <n v="72707"/>
    <s v="LEONARDO DOS SANTOS"/>
    <s v="MPR"/>
    <s v="ADM"/>
    <n v="50010031"/>
    <x v="20"/>
    <n v="1"/>
    <s v="REALIZADO"/>
    <s v="BRUNO"/>
    <d v="2025-12-03T00:00:00"/>
    <x v="0"/>
  </r>
  <r>
    <n v="72707"/>
    <s v="LEONARDO DOS SANTOS"/>
    <s v="MPR"/>
    <s v="ADM"/>
    <n v="50026357"/>
    <x v="24"/>
    <n v="1"/>
    <s v="REALIZADO"/>
    <s v="BRUNO"/>
    <d v="2025-12-03T00:00:00"/>
    <x v="0"/>
  </r>
  <r>
    <n v="76239"/>
    <s v="GEOVANNY ALEXANDER"/>
    <s v="REFRIG"/>
    <s v="ADM"/>
    <n v="50037907"/>
    <x v="60"/>
    <n v="1"/>
    <s v="REALIZADO"/>
    <s v="BRUNO"/>
    <d v="2025-12-03T00:00:00"/>
    <x v="0"/>
  </r>
  <r>
    <n v="76239"/>
    <s v="GEOVANNY ALEXANDER"/>
    <s v="REFRIG"/>
    <s v="ADM"/>
    <n v="50041195"/>
    <x v="21"/>
    <n v="1"/>
    <s v="REALIZADO"/>
    <s v="BRUNO"/>
    <d v="2025-12-03T00:00:00"/>
    <x v="2"/>
  </r>
  <r>
    <n v="72707"/>
    <s v="LEONARDO DOS SANTOS"/>
    <s v="MPR"/>
    <s v="ADM"/>
    <n v="50026357"/>
    <x v="24"/>
    <n v="1"/>
    <s v="REALIZADO"/>
    <s v="BRUNO"/>
    <d v="2025-12-03T00:00:00"/>
    <x v="2"/>
  </r>
  <r>
    <n v="61264"/>
    <s v="EVERTON GERONIMO"/>
    <s v="MMG"/>
    <s v="ADM"/>
    <n v="50036255"/>
    <x v="7"/>
    <n v="1"/>
    <s v="REALIZADO"/>
    <s v="BRUNO"/>
    <d v="2025-12-03T00:00:00"/>
    <x v="2"/>
  </r>
  <r>
    <n v="62137"/>
    <s v="RAFAEL AMORIM"/>
    <s v="MME"/>
    <s v="1º TURNO"/>
    <n v="50038841"/>
    <x v="34"/>
    <n v="1"/>
    <s v="REALIZADO"/>
    <s v="BRUNO"/>
    <d v="2025-12-03T00:00:00"/>
    <x v="2"/>
  </r>
  <r>
    <n v="79177"/>
    <s v="MAICON ANTONIO SANTOS"/>
    <s v="MMG"/>
    <s v="ADM"/>
    <n v="50037892"/>
    <x v="2"/>
    <n v="1"/>
    <s v="REALIZADO"/>
    <s v="BRUNO"/>
    <d v="2025-12-03T00:00:00"/>
    <x v="2"/>
  </r>
  <r>
    <n v="79177"/>
    <s v="MAICON ANTONIO SANTOS"/>
    <s v="MMG"/>
    <s v="ADM"/>
    <n v="50039065"/>
    <x v="22"/>
    <n v="1"/>
    <s v="REALIZADO"/>
    <s v="BRUNO"/>
    <d v="2025-12-03T00:00:00"/>
    <x v="2"/>
  </r>
  <r>
    <n v="77521"/>
    <s v="LUCAS LIRA"/>
    <s v="MME"/>
    <s v="ADM"/>
    <n v="50003297"/>
    <x v="8"/>
    <n v="1"/>
    <s v="REALIZADO"/>
    <s v="BRUNO"/>
    <d v="2025-12-03T00:00:00"/>
    <x v="2"/>
  </r>
  <r>
    <n v="69510"/>
    <s v="GABRIEL CAIXETA"/>
    <s v="MEE"/>
    <s v="ADM"/>
    <n v="50029865"/>
    <x v="9"/>
    <n v="1"/>
    <s v="REALIZADO"/>
    <s v="BRUNO"/>
    <d v="2025-12-03T00:00:00"/>
    <x v="2"/>
  </r>
  <r>
    <n v="69510"/>
    <s v="GABRIEL CAIXETA"/>
    <s v="MEE"/>
    <s v="ADM"/>
    <n v="50043471"/>
    <x v="5"/>
    <n v="1"/>
    <s v="REALIZADO"/>
    <s v="BRUNO"/>
    <d v="2025-12-03T00:00:00"/>
    <x v="0"/>
  </r>
  <r>
    <n v="75424"/>
    <s v="EDSON CARLOS"/>
    <s v="MME"/>
    <s v="1º TURNO"/>
    <n v="50038841"/>
    <x v="34"/>
    <n v="1"/>
    <s v="REALIZADO"/>
    <s v="BRUNO"/>
    <d v="2025-12-03T00:00:00"/>
    <x v="0"/>
  </r>
  <r>
    <n v="78675"/>
    <s v="ORLANDO GOMES"/>
    <s v="MME"/>
    <s v="1º TURNO"/>
    <n v="50010031"/>
    <x v="20"/>
    <n v="1"/>
    <s v="REALIZADO"/>
    <s v="BRUNO"/>
    <d v="2025-12-03T00:00:00"/>
    <x v="2"/>
  </r>
  <r>
    <n v="75424"/>
    <s v="EDSON CARLOS"/>
    <s v="MME"/>
    <s v="1º TURNO"/>
    <n v="50038841"/>
    <x v="34"/>
    <n v="1"/>
    <s v="REALIZADO"/>
    <s v="BRUNO"/>
    <d v="2025-12-03T00:00:00"/>
    <x v="2"/>
  </r>
  <r>
    <n v="68760"/>
    <s v="FERDINANDO PAZINI"/>
    <s v="MMG"/>
    <s v="ADM"/>
    <n v="50037902"/>
    <x v="14"/>
    <n v="1"/>
    <s v="REALIZADO"/>
    <s v="BRUNO"/>
    <d v="2025-12-03T00:00:00"/>
    <x v="2"/>
  </r>
  <r>
    <n v="78675"/>
    <s v="ORLANDO GOMES"/>
    <s v="MME"/>
    <s v="1º TURNO"/>
    <n v="50010031"/>
    <x v="20"/>
    <n v="1"/>
    <s v="REALIZADO"/>
    <s v="BRUNO"/>
    <d v="2025-12-03T00:00:00"/>
    <x v="2"/>
  </r>
  <r>
    <n v="77521"/>
    <s v="LUCAS LIRA"/>
    <s v="MME"/>
    <s v="ADM"/>
    <n v="50036291"/>
    <x v="55"/>
    <n v="1"/>
    <s v="REALIZADO"/>
    <s v="BRUNO"/>
    <d v="2025-12-03T00:00:00"/>
    <x v="2"/>
  </r>
  <r>
    <n v="76239"/>
    <s v="GEOVANNY ALEXANDER"/>
    <s v="REFRIG"/>
    <s v="ADM"/>
    <n v="50037907"/>
    <x v="60"/>
    <n v="1"/>
    <s v="REALIZADO"/>
    <s v="BRUNO"/>
    <d v="2025-12-03T00:00:00"/>
    <x v="2"/>
  </r>
  <r>
    <n v="76239"/>
    <s v="GEOVANNY ALEXANDER"/>
    <s v="REFRIG"/>
    <s v="ADM"/>
    <n v="50041195"/>
    <x v="21"/>
    <n v="1"/>
    <s v="REALIZADO"/>
    <s v="BRUNO"/>
    <d v="2025-12-03T00:00:00"/>
    <x v="2"/>
  </r>
  <r>
    <n v="62180"/>
    <s v="JOSE AUGUSTO MASSUCHINI"/>
    <s v="MMG"/>
    <s v="ADM"/>
    <n v="50039718"/>
    <x v="11"/>
    <n v="1"/>
    <s v="REALIZADO"/>
    <s v="BRUNO"/>
    <d v="2025-12-03T00:00:00"/>
    <x v="0"/>
  </r>
  <r>
    <n v="77521"/>
    <s v="LUCAS LIRA"/>
    <s v="MME"/>
    <s v="ADM"/>
    <n v="50010031"/>
    <x v="20"/>
    <n v="1"/>
    <s v="NÃO REALIZADO"/>
    <s v="KELLY"/>
    <d v="2025-12-02T00:00:00"/>
    <x v="0"/>
  </r>
  <r>
    <n v="66790"/>
    <s v="EVERTON BOLOGNES"/>
    <s v="MMG"/>
    <s v="2º TURNO"/>
    <n v="50041195"/>
    <x v="21"/>
    <n v="1"/>
    <s v="REALIZADO"/>
    <s v="KELLY"/>
    <d v="2025-12-02T00:00:00"/>
    <x v="0"/>
  </r>
  <r>
    <n v="73336"/>
    <s v="RODRIGO RODRIGUES"/>
    <s v="MMG"/>
    <s v="ADM"/>
    <n v="50037933"/>
    <x v="43"/>
    <n v="1"/>
    <s v="REALIZADO"/>
    <s v="KELLY"/>
    <d v="2025-12-02T00:00:00"/>
    <x v="2"/>
  </r>
  <r>
    <n v="66790"/>
    <s v="EVERTON BOLOGNES"/>
    <s v="MMG"/>
    <s v="2º TURNO"/>
    <n v="50041195"/>
    <x v="21"/>
    <n v="1"/>
    <s v="REALIZADO"/>
    <s v="KELLY"/>
    <d v="2025-12-02T00:00:00"/>
    <x v="0"/>
  </r>
  <r>
    <n v="68430"/>
    <s v="JOAO CAIXETA"/>
    <s v="MEE"/>
    <s v="1º TURNO"/>
    <n v="50003297"/>
    <x v="8"/>
    <n v="1"/>
    <s v="REALIZADO"/>
    <s v="KELLY"/>
    <d v="2025-12-02T00:00:00"/>
    <x v="0"/>
  </r>
  <r>
    <n v="66790"/>
    <s v="EVERTON BOLOGNES"/>
    <s v="MMG"/>
    <s v="2º TURNO"/>
    <n v="50037922"/>
    <x v="61"/>
    <n v="1"/>
    <s v="REALIZADO"/>
    <s v="KELLY"/>
    <d v="2025-12-02T00:00:00"/>
    <x v="0"/>
  </r>
  <r>
    <n v="73336"/>
    <s v="RODRIGO RODRIGUES"/>
    <s v="MMG"/>
    <s v="ADM"/>
    <n v="50037905"/>
    <x v="49"/>
    <n v="1"/>
    <s v="REALIZADO"/>
    <s v="KELLY"/>
    <d v="2025-12-02T00:00:00"/>
    <x v="0"/>
  </r>
  <r>
    <n v="73878"/>
    <s v="EVANDRO TANAKA"/>
    <s v="MMG"/>
    <s v="ADM"/>
    <n v="50038841"/>
    <x v="34"/>
    <n v="1"/>
    <s v="REALIZADO"/>
    <s v="KELLY"/>
    <d v="2025-12-02T00:00:00"/>
    <x v="0"/>
  </r>
  <r>
    <n v="73878"/>
    <s v="EVANDRO TANAKA"/>
    <s v="MMG"/>
    <s v="ADM"/>
    <n v="50039065"/>
    <x v="22"/>
    <n v="1"/>
    <s v="REALIZADO"/>
    <s v="KELLY"/>
    <d v="2025-12-02T00:00:00"/>
    <x v="0"/>
  </r>
  <r>
    <n v="76633"/>
    <s v="VINICIUS GUILHERME BARBOSA"/>
    <s v="MMG"/>
    <s v="1º TURNO"/>
    <n v="50039065"/>
    <x v="22"/>
    <n v="1"/>
    <s v="REALIZADO"/>
    <s v="KELLY"/>
    <d v="2025-12-02T00:00:00"/>
    <x v="0"/>
  </r>
  <r>
    <n v="77521"/>
    <s v="LUCAS LIRA"/>
    <s v="MME"/>
    <s v="ADM"/>
    <n v="50036293"/>
    <x v="16"/>
    <n v="1"/>
    <s v="REALIZADO"/>
    <s v="KELLY"/>
    <d v="2025-12-02T00:00:00"/>
    <x v="0"/>
  </r>
  <r>
    <n v="78675"/>
    <s v="ORLANDO GOMES"/>
    <s v="MME"/>
    <s v="1º TURNO"/>
    <n v="50030486"/>
    <x v="17"/>
    <n v="1"/>
    <s v="REALIZADO"/>
    <s v="KELLY"/>
    <d v="2025-12-02T00:00:00"/>
    <x v="0"/>
  </r>
  <r>
    <n v="68708"/>
    <s v="CLAUDIO TADEU LEITE"/>
    <s v="MMG"/>
    <s v="ADM"/>
    <n v="50038549"/>
    <x v="6"/>
    <n v="1"/>
    <s v="REALIZADO"/>
    <s v="KELLY"/>
    <d v="2025-12-02T00:00:00"/>
    <x v="0"/>
  </r>
  <r>
    <n v="77521"/>
    <s v="LUCAS LIRA"/>
    <s v="MME"/>
    <s v="ADM"/>
    <n v="50003297"/>
    <x v="8"/>
    <n v="1"/>
    <s v="REALIZADO"/>
    <s v="KELLY"/>
    <d v="2025-12-02T00:00:00"/>
    <x v="0"/>
  </r>
  <r>
    <n v="68430"/>
    <s v="JOAO CAIXETA"/>
    <s v="MEE"/>
    <s v="1º TURNO"/>
    <n v="50043320"/>
    <x v="35"/>
    <n v="1"/>
    <s v="REALIZADO"/>
    <s v="GEOVANE"/>
    <d v="2025-12-02T00:00:00"/>
    <x v="0"/>
  </r>
  <r>
    <n v="72715"/>
    <s v="DANIEL CAMAÇARI DE OLIVEIRA"/>
    <s v="MPR"/>
    <s v="ADM"/>
    <n v="50038844"/>
    <x v="62"/>
    <n v="1"/>
    <s v="REALIZADO"/>
    <s v="AGATHA"/>
    <d v="2025-12-02T00:00:00"/>
    <x v="0"/>
  </r>
  <r>
    <n v="68710"/>
    <s v="ANDERSON MARQUES DA SILVA"/>
    <s v="MMG"/>
    <s v="ADM"/>
    <n v="50038956"/>
    <x v="10"/>
    <n v="1"/>
    <s v="REALIZADO"/>
    <s v="AGATHA"/>
    <d v="2025-12-02T00:00:00"/>
    <x v="0"/>
  </r>
  <r>
    <n v="77526"/>
    <s v="FELIPE GARÇONI"/>
    <s v="MME"/>
    <s v="ADM"/>
    <n v="50037902"/>
    <x v="14"/>
    <n v="1"/>
    <s v="REALIZADO"/>
    <s v="AGATHA"/>
    <d v="2025-12-02T00:00:00"/>
    <x v="0"/>
  </r>
  <r>
    <n v="76994"/>
    <s v="FELIPE HENRIQUE DE BRITO"/>
    <s v="MEE"/>
    <s v="ADM"/>
    <n v="50041195"/>
    <x v="21"/>
    <n v="1"/>
    <s v="REALIZADO"/>
    <s v="GEOVANE"/>
    <d v="2025-12-02T00:00:00"/>
    <x v="2"/>
  </r>
  <r>
    <n v="76994"/>
    <s v="FELIPE HENRIQUE DE BRITO"/>
    <s v="MEE"/>
    <s v="ADM"/>
    <n v="50041195"/>
    <x v="21"/>
    <n v="1"/>
    <s v="REALIZADO"/>
    <s v="GEOVANE"/>
    <d v="2025-12-02T00:00:00"/>
    <x v="2"/>
  </r>
  <r>
    <n v="73336"/>
    <s v="RODRIGO RODRIGUES"/>
    <s v="MMG"/>
    <s v="ADM"/>
    <n v="50037905"/>
    <x v="49"/>
    <n v="1"/>
    <s v="REALIZADO"/>
    <s v="GEOVANE"/>
    <d v="2025-12-02T00:00:00"/>
    <x v="2"/>
  </r>
  <r>
    <n v="73336"/>
    <s v="RODRIGO RODRIGUES"/>
    <s v="MMG"/>
    <s v="ADM"/>
    <n v="50037933"/>
    <x v="43"/>
    <n v="1"/>
    <s v="REALIZADO"/>
    <s v="GEOVANE"/>
    <d v="2025-12-02T00:00:00"/>
    <x v="2"/>
  </r>
  <r>
    <n v="73878"/>
    <s v="EVANDRO TANAKA"/>
    <s v="MMG"/>
    <s v="ADM"/>
    <n v="50038841"/>
    <x v="34"/>
    <n v="1"/>
    <s v="REALIZADO"/>
    <s v="GEOVANE"/>
    <d v="2025-12-02T00:00:00"/>
    <x v="2"/>
  </r>
  <r>
    <n v="73878"/>
    <s v="EVANDRO TANAKA"/>
    <s v="MMG"/>
    <s v="ADM"/>
    <n v="50039065"/>
    <x v="22"/>
    <n v="1"/>
    <s v="REALIZADO"/>
    <s v="GEOVANE"/>
    <d v="2025-12-02T00:00:00"/>
    <x v="2"/>
  </r>
  <r>
    <n v="66790"/>
    <s v="EVERTON BOLOGNES"/>
    <s v="MMG"/>
    <s v="2º TURNO"/>
    <n v="50037922"/>
    <x v="61"/>
    <n v="1"/>
    <s v="REALIZADO"/>
    <s v="JOÃO FRANCISCO"/>
    <d v="2025-12-02T00:00:00"/>
    <x v="0"/>
  </r>
  <r>
    <n v="78886"/>
    <s v="DOUGLAS FELICIANO MENDES DE OLIVEIRA"/>
    <s v="MME"/>
    <s v="ADM"/>
    <n v="50043471"/>
    <x v="5"/>
    <n v="1"/>
    <s v="REALIZADO"/>
    <s v="AGATHA"/>
    <d v="2025-12-02T00:00:00"/>
    <x v="0"/>
  </r>
  <r>
    <n v="78886"/>
    <s v="DOUGLAS FELICIANO MENDES DE OLIVEIRA"/>
    <s v="MME"/>
    <s v="ADM"/>
    <n v="50037892"/>
    <x v="2"/>
    <n v="1"/>
    <s v="REALIZADO"/>
    <s v="AGATHA"/>
    <d v="2025-12-02T00:00:00"/>
    <x v="0"/>
  </r>
  <r>
    <n v="78886"/>
    <s v="DOUGLAS FELICIANO MENDES DE OLIVEIRA"/>
    <s v="MME"/>
    <s v="ADM"/>
    <n v="50041195"/>
    <x v="21"/>
    <n v="1"/>
    <s v="REALIZADO"/>
    <s v="AGATHA"/>
    <d v="2025-12-02T00:00:00"/>
    <x v="2"/>
  </r>
  <r>
    <n v="77521"/>
    <s v="LUCAS LIRA"/>
    <s v="MME"/>
    <s v="ADM"/>
    <n v="50036293"/>
    <x v="16"/>
    <n v="1"/>
    <s v="REALIZADO"/>
    <s v="AGATHA"/>
    <d v="2025-12-02T00:00:00"/>
    <x v="2"/>
  </r>
  <r>
    <n v="68710"/>
    <s v="ANDERSON MARQUES DA SILVA"/>
    <s v="MMG"/>
    <s v="ADM"/>
    <n v="50038956"/>
    <x v="10"/>
    <n v="1"/>
    <s v="REALIZADO"/>
    <s v="AGATHA"/>
    <d v="2025-12-02T00:00:00"/>
    <x v="2"/>
  </r>
  <r>
    <n v="77526"/>
    <s v="FELIPE GARÇONI"/>
    <s v="MME"/>
    <s v="ADM"/>
    <n v="50037902"/>
    <x v="14"/>
    <n v="1"/>
    <s v="REALIZADO"/>
    <s v="MATHEUS"/>
    <d v="2025-12-02T00:00:00"/>
    <x v="0"/>
  </r>
  <r>
    <n v="76633"/>
    <s v="VINICIUS GUILHERME BARBOSA"/>
    <s v="MMG"/>
    <s v="1º TURNO"/>
    <n v="50038517"/>
    <x v="0"/>
    <n v="1"/>
    <s v="REALIZADO"/>
    <s v="MATHEUS"/>
    <d v="2025-12-02T00:00:00"/>
    <x v="2"/>
  </r>
  <r>
    <n v="76633"/>
    <s v="VINICIUS GUILHERME BARBOSA"/>
    <s v="MMG"/>
    <s v="1º TURNO"/>
    <n v="50038517"/>
    <x v="0"/>
    <n v="1"/>
    <s v="REALIZADO"/>
    <s v="MATHEUS"/>
    <d v="2025-12-02T00:00:00"/>
    <x v="2"/>
  </r>
  <r>
    <n v="77521"/>
    <s v="LUCAS LIRA"/>
    <s v="MME"/>
    <s v="ADM"/>
    <n v="50010031"/>
    <x v="20"/>
    <n v="1"/>
    <s v="REALIZADO"/>
    <s v="MATHEUS"/>
    <d v="2025-12-02T00:00:00"/>
    <x v="2"/>
  </r>
  <r>
    <n v="76633"/>
    <s v="VINICIUS GUILHERME BARBOSA"/>
    <s v="MMG"/>
    <s v="1º TURNO"/>
    <n v="50039065"/>
    <x v="22"/>
    <n v="1"/>
    <s v="REALIZADO"/>
    <s v="MATHEUS"/>
    <d v="2025-12-02T00:00:00"/>
    <x v="2"/>
  </r>
  <r>
    <n v="72715"/>
    <s v="DANIEL CAMAÇARI DE OLIVEIRA"/>
    <s v="MPR"/>
    <s v="ADM"/>
    <n v="50038844"/>
    <x v="62"/>
    <n v="1"/>
    <s v="REALIZADO"/>
    <s v="MATHEUS"/>
    <d v="2025-12-02T00:00:00"/>
    <x v="2"/>
  </r>
  <r>
    <n v="68430"/>
    <s v="JOAO CAIXETA"/>
    <s v="MEE"/>
    <s v="1º TURNO"/>
    <n v="50003297"/>
    <x v="8"/>
    <n v="1"/>
    <s v="REALIZADO"/>
    <s v="MATHEUS"/>
    <d v="2025-12-02T00:00:00"/>
    <x v="2"/>
  </r>
  <r>
    <n v="68430"/>
    <s v="JOAO CAIXETA"/>
    <s v="MEE"/>
    <s v="1º TURNO"/>
    <n v="50043320"/>
    <x v="35"/>
    <n v="1"/>
    <s v="REALIZADO"/>
    <s v="MATHEUS"/>
    <d v="2025-12-02T00:00:00"/>
    <x v="2"/>
  </r>
  <r>
    <n v="68708"/>
    <s v="CLAUDIO TADEU LEITE"/>
    <s v="MMG"/>
    <s v="ADM"/>
    <n v="50038549"/>
    <x v="6"/>
    <n v="1"/>
    <s v="REALIZADO"/>
    <s v="MATHEUS"/>
    <d v="2025-12-02T00:00:00"/>
    <x v="2"/>
  </r>
  <r>
    <n v="78675"/>
    <s v="ORLANDO GOMES"/>
    <s v="MME"/>
    <s v="1º TURNO"/>
    <n v="50030486"/>
    <x v="17"/>
    <n v="1"/>
    <s v="REALIZADO"/>
    <s v="MATHEUS"/>
    <d v="2025-12-02T00:00:00"/>
    <x v="2"/>
  </r>
  <r>
    <n v="78886"/>
    <s v="DOUGLAS FELICIANO MENDES DE OLIVEIRA"/>
    <s v="MME"/>
    <s v="ADM"/>
    <n v="50043471"/>
    <x v="5"/>
    <n v="1"/>
    <s v="REALIZADO"/>
    <s v="MATHEUS"/>
    <d v="2025-12-02T00:00:00"/>
    <x v="2"/>
  </r>
  <r>
    <n v="78886"/>
    <s v="DOUGLAS FELICIANO MENDES DE OLIVEIRA"/>
    <s v="MME"/>
    <s v="ADM"/>
    <n v="50037892"/>
    <x v="2"/>
    <n v="1"/>
    <s v="REALIZADO"/>
    <s v="MATHEUS"/>
    <d v="2025-12-02T00:00:00"/>
    <x v="2"/>
  </r>
  <r>
    <n v="78886"/>
    <s v="DOUGLAS FELICIANO MENDES DE OLIVEIRA"/>
    <s v="MME"/>
    <s v="ADM"/>
    <n v="50041195"/>
    <x v="21"/>
    <n v="1"/>
    <s v="REALIZADO"/>
    <s v="MATHEUS"/>
    <d v="2025-12-02T00:00:00"/>
    <x v="0"/>
  </r>
  <r>
    <n v="78886"/>
    <s v="DOUGLAS FELICIANO MENDES DE OLIVEIRA"/>
    <s v="MME"/>
    <s v="ADM"/>
    <n v="50043471"/>
    <x v="5"/>
    <n v="1"/>
    <s v="REALIZADO"/>
    <s v="AGATHA"/>
    <d v="2025-12-01T00:00:00"/>
    <x v="0"/>
  </r>
  <r>
    <n v="62033"/>
    <s v="ODAIR JOSE DA SILVA"/>
    <s v="MME"/>
    <s v="2º TURNO"/>
    <n v="50038841"/>
    <x v="34"/>
    <n v="1"/>
    <s v="REALIZADO"/>
    <s v="AGATHA"/>
    <d v="2025-12-01T00:00:00"/>
    <x v="0"/>
  </r>
  <r>
    <n v="62033"/>
    <s v="ODAIR JOSE DA SILVA"/>
    <s v="MME"/>
    <s v="2º TURNO"/>
    <n v="50038517"/>
    <x v="0"/>
    <n v="1"/>
    <s v="REALIZADO"/>
    <s v="AGATHA"/>
    <d v="2025-12-01T00:00:00"/>
    <x v="0"/>
  </r>
  <r>
    <n v="78886"/>
    <s v="DOUGLAS FELICIANO MENDES DE OLIVEIRA"/>
    <s v="MME"/>
    <s v="ADM"/>
    <n v="50041195"/>
    <x v="21"/>
    <n v="1"/>
    <s v="REALIZADO"/>
    <s v="AGATHA"/>
    <d v="2025-12-01T00:00:00"/>
    <x v="0"/>
  </r>
  <r>
    <n v="77526"/>
    <s v="FELIPE GARÇONI"/>
    <s v="MME"/>
    <s v="ADM"/>
    <n v="50038195"/>
    <x v="54"/>
    <n v="1"/>
    <s v="REALIZADO"/>
    <s v="AGATHA"/>
    <d v="2025-12-01T00:00:00"/>
    <x v="0"/>
  </r>
  <r>
    <n v="77526"/>
    <s v="FELIPE GARÇONI"/>
    <s v="MME"/>
    <s v="ADM"/>
    <n v="50037892"/>
    <x v="2"/>
    <n v="1"/>
    <s v="REALIZADO"/>
    <s v="AGATHA"/>
    <d v="2025-12-01T00:00:00"/>
    <x v="0"/>
  </r>
  <r>
    <n v="65223"/>
    <s v="RODRIGO LOPES DOS SANTOS"/>
    <s v="MEE"/>
    <s v="2º TURNO"/>
    <n v="50044003"/>
    <x v="63"/>
    <n v="1"/>
    <s v="REALIZADO"/>
    <s v="AGATHA"/>
    <d v="2025-12-01T00:00:00"/>
    <x v="0"/>
  </r>
  <r>
    <n v="77594"/>
    <s v="VINICIUS ROBLES"/>
    <s v="MME"/>
    <s v="ADM"/>
    <n v="50032781"/>
    <x v="12"/>
    <n v="1"/>
    <s v="REALIZADO"/>
    <s v="AGATHA"/>
    <d v="2025-12-01T00:00:00"/>
    <x v="0"/>
  </r>
  <r>
    <n v="68708"/>
    <s v="CLAUDIO TADEU LEITE"/>
    <s v="MMG"/>
    <s v="ADM"/>
    <n v="50022878"/>
    <x v="18"/>
    <n v="1"/>
    <s v="REALIZADO"/>
    <s v="AGATHA"/>
    <d v="2025-12-01T00:00:00"/>
    <x v="2"/>
  </r>
  <r>
    <n v="68708"/>
    <s v="CLAUDIO TADEU LEITE"/>
    <s v="MMG"/>
    <s v="ADM"/>
    <n v="50022878"/>
    <x v="18"/>
    <n v="1"/>
    <s v="REALIZADO"/>
    <s v="AGATHA"/>
    <d v="2025-12-01T00:00:00"/>
    <x v="2"/>
  </r>
  <r>
    <n v="77594"/>
    <s v="VINICIUS ROBLES"/>
    <s v="MME"/>
    <s v="ADM"/>
    <n v="50032781"/>
    <x v="12"/>
    <n v="1"/>
    <s v="REALIZADO"/>
    <s v="AGATHA"/>
    <d v="2025-12-01T00:00:00"/>
    <x v="2"/>
  </r>
  <r>
    <n v="76995"/>
    <s v="WELISSON RICARDO"/>
    <s v="MEE"/>
    <s v="ADM"/>
    <n v="50036280"/>
    <x v="64"/>
    <n v="1"/>
    <s v="REALIZADO"/>
    <s v="AGATHA"/>
    <d v="2025-12-01T00:00:00"/>
    <x v="2"/>
  </r>
  <r>
    <n v="78886"/>
    <s v="DOUGLAS FELICIANO MENDES DE OLIVEIRA"/>
    <s v="MME"/>
    <s v="ADM"/>
    <n v="50043471"/>
    <x v="5"/>
    <n v="1"/>
    <s v="REALIZADO"/>
    <s v="AGATHA"/>
    <d v="2025-12-01T00:00:00"/>
    <x v="2"/>
  </r>
  <r>
    <n v="78886"/>
    <s v="DOUGLAS FELICIANO MENDES DE OLIVEIRA"/>
    <s v="MME"/>
    <s v="ADM"/>
    <n v="50041195"/>
    <x v="21"/>
    <n v="1"/>
    <s v="REALIZADO"/>
    <s v="AGATHA"/>
    <d v="2025-12-01T00:00:00"/>
    <x v="2"/>
  </r>
  <r>
    <n v="62033"/>
    <s v="ODAIR JOSE DA SILVA"/>
    <s v="MME"/>
    <s v="2º TURNO"/>
    <n v="50038841"/>
    <x v="34"/>
    <n v="1"/>
    <s v="REALIZADO"/>
    <s v="JOÃO FRANCISCO"/>
    <d v="2025-12-01T00:00:00"/>
    <x v="2"/>
  </r>
  <r>
    <n v="62033"/>
    <s v="ODAIR JOSE DA SILVA"/>
    <s v="MME"/>
    <s v="2º TURNO"/>
    <n v="50038517"/>
    <x v="0"/>
    <n v="1"/>
    <s v="REALIZADO"/>
    <s v="JOÃO FRANCISCO"/>
    <d v="2025-12-01T00:00:00"/>
    <x v="2"/>
  </r>
  <r>
    <n v="77526"/>
    <s v="FELIPE GARÇONI"/>
    <s v="MME"/>
    <s v="ADM"/>
    <n v="50038195"/>
    <x v="54"/>
    <n v="1"/>
    <s v="REALIZADO"/>
    <s v="JOÃO FRANCISCO"/>
    <d v="2025-12-01T00:00:00"/>
    <x v="0"/>
  </r>
  <r>
    <n v="77521"/>
    <s v="LUCAS LIRA"/>
    <s v="MME"/>
    <s v="ADM"/>
    <n v="50038517"/>
    <x v="0"/>
    <n v="1"/>
    <s v="REALIZADO"/>
    <s v="AGATHA"/>
    <d v="2025-12-01T00:00:00"/>
    <x v="0"/>
  </r>
  <r>
    <n v="76239"/>
    <s v="GEOVANNY ALEXANDER"/>
    <s v="REFRIG"/>
    <s v="ADM"/>
    <n v="50037906"/>
    <x v="65"/>
    <n v="1"/>
    <s v="REALIZADO"/>
    <s v="AGATHA"/>
    <d v="2025-12-01T00:00:00"/>
    <x v="0"/>
  </r>
  <r>
    <n v="76239"/>
    <s v="GEOVANNY ALEXANDER"/>
    <s v="REFRIG"/>
    <s v="ADM"/>
    <n v="50041195"/>
    <x v="21"/>
    <n v="1"/>
    <s v="REALIZADO"/>
    <s v="AGATHA"/>
    <d v="2025-12-01T00:00:00"/>
    <x v="2"/>
  </r>
  <r>
    <n v="77526"/>
    <s v="FELIPE GARÇONI"/>
    <s v="MME"/>
    <s v="ADM"/>
    <n v="50037892"/>
    <x v="2"/>
    <n v="1"/>
    <s v="REALIZADO"/>
    <s v="BRUNO"/>
    <d v="2025-12-01T00:00:00"/>
    <x v="0"/>
  </r>
  <r>
    <n v="71850"/>
    <s v="CLEBER BRABO"/>
    <s v="MMG"/>
    <s v="ADM"/>
    <n v="50022878"/>
    <x v="18"/>
    <n v="1"/>
    <s v="REALIZADO"/>
    <s v="BRUNO"/>
    <d v="2025-12-01T00:00:00"/>
    <x v="2"/>
  </r>
  <r>
    <n v="65223"/>
    <s v="RODRIGO LOPES DOS SANTOS"/>
    <s v="MEE"/>
    <s v="2º TURNO"/>
    <n v="50044003"/>
    <x v="63"/>
    <n v="1"/>
    <s v="REALIZADO"/>
    <s v="BRUNO"/>
    <d v="2025-12-01T00:00:00"/>
    <x v="0"/>
  </r>
  <r>
    <n v="68701"/>
    <s v="DANIEL MANFREDI"/>
    <s v="MEE"/>
    <s v="1º TURNO"/>
    <n v="50044003"/>
    <x v="63"/>
    <n v="1"/>
    <s v="REALIZADO"/>
    <s v="BRUNO"/>
    <d v="2025-12-01T00:00:00"/>
    <x v="2"/>
  </r>
  <r>
    <n v="71850"/>
    <s v="CLEBER BRABO"/>
    <s v="MMG"/>
    <s v="ADM"/>
    <n v="50022878"/>
    <x v="18"/>
    <n v="1"/>
    <s v="REALIZADO"/>
    <s v="BRUNO"/>
    <d v="2025-12-01T00:00:00"/>
    <x v="2"/>
  </r>
  <r>
    <n v="76239"/>
    <s v="GEOVANNY ALEXANDER"/>
    <s v="REFRIG"/>
    <s v="ADM"/>
    <n v="50037906"/>
    <x v="65"/>
    <n v="1"/>
    <s v="REALIZADO"/>
    <s v="BRUNO"/>
    <d v="2025-12-01T00:00:00"/>
    <x v="2"/>
  </r>
  <r>
    <n v="76239"/>
    <s v="GEOVANNY ALEXANDER"/>
    <s v="REFRIG"/>
    <s v="ADM"/>
    <n v="50041195"/>
    <x v="21"/>
    <n v="1"/>
    <s v="REALIZADO"/>
    <s v="BRUNO"/>
    <d v="2025-12-01T00:00:00"/>
    <x v="2"/>
  </r>
  <r>
    <n v="77521"/>
    <s v="LUCAS LIRA"/>
    <s v="MME"/>
    <s v="ADM"/>
    <n v="50038517"/>
    <x v="0"/>
    <n v="1"/>
    <s v="REALIZADO"/>
    <s v="BRUNO"/>
    <d v="2025-12-01T00:00:00"/>
    <x v="2"/>
  </r>
  <r>
    <n v="68701"/>
    <s v="DANIEL MANFREDI"/>
    <s v="MEE"/>
    <s v="1º TURNO"/>
    <n v="50044003"/>
    <x v="63"/>
    <n v="1"/>
    <s v="REALIZADO"/>
    <s v="BRUNO"/>
    <d v="2025-12-01T00:00:00"/>
    <x v="0"/>
  </r>
  <r>
    <n v="65131"/>
    <s v="GUILHERME VECHIO"/>
    <s v="MMG"/>
    <s v="2º TURNO"/>
    <n v="50036279"/>
    <x v="28"/>
    <n v="1"/>
    <s v="REALIZADO"/>
    <s v="BRUNO"/>
    <d v="2025-12-01T00:00:00"/>
    <x v="0"/>
  </r>
  <r>
    <n v="65472"/>
    <s v="ISRAEL MACEDO"/>
    <s v="MMG"/>
    <s v="ADM"/>
    <n v="50041653"/>
    <x v="50"/>
    <n v="1"/>
    <s v="REALIZADO"/>
    <s v="KELLY"/>
    <d v="2025-11-30T00:00:00"/>
    <x v="2"/>
  </r>
  <r>
    <n v="65131"/>
    <s v="GUILHERME VECHIO"/>
    <s v="MMG"/>
    <s v="2º TURNO"/>
    <n v="50036279"/>
    <x v="28"/>
    <n v="1"/>
    <s v="REALIZADO"/>
    <s v="KELLY"/>
    <d v="2025-11-30T00:00:00"/>
    <x v="2"/>
  </r>
  <r>
    <n v="65472"/>
    <s v="ISRAEL MACEDO"/>
    <s v="MMG"/>
    <s v="ADM"/>
    <n v="50041653"/>
    <x v="50"/>
    <n v="1"/>
    <s v="REALIZADO"/>
    <s v="KELLY"/>
    <d v="2025-11-30T00:00:00"/>
    <x v="0"/>
  </r>
  <r>
    <n v="65472"/>
    <s v="ISRAEL MACEDO"/>
    <s v="MMG"/>
    <s v="ADM"/>
    <n v="50037905"/>
    <x v="49"/>
    <n v="1"/>
    <s v="REALIZADO"/>
    <s v="KELLY"/>
    <d v="2025-11-30T00:00:00"/>
    <x v="0"/>
  </r>
  <r>
    <n v="78678"/>
    <s v="MARLOM ROGERIO VIEIRA"/>
    <s v="MME"/>
    <s v="ADM"/>
    <n v="50038956"/>
    <x v="10"/>
    <n v="1"/>
    <s v="REALIZADO"/>
    <s v="KELLY"/>
    <d v="2025-11-29T00:00:00"/>
    <x v="0"/>
  </r>
  <r>
    <n v="60115"/>
    <s v="REINALDO FERREIRA"/>
    <s v="MME"/>
    <s v="2º TURNO"/>
    <n v="50038841"/>
    <x v="34"/>
    <n v="1"/>
    <s v="REALIZADO"/>
    <s v="KELLY"/>
    <d v="2025-11-29T00:00:00"/>
    <x v="2"/>
  </r>
  <r>
    <n v="65472"/>
    <s v="ISRAEL MACEDO"/>
    <s v="MMG"/>
    <s v="ADM"/>
    <n v="50037905"/>
    <x v="49"/>
    <n v="1"/>
    <s v="REALIZADO"/>
    <s v="KELLY"/>
    <d v="2025-11-29T00:00:00"/>
    <x v="2"/>
  </r>
  <r>
    <n v="78678"/>
    <s v="MARLOM ROGERIO VIEIRA"/>
    <s v="MME"/>
    <s v="ADM"/>
    <n v="50038956"/>
    <x v="10"/>
    <n v="1"/>
    <s v="REALIZADO"/>
    <s v="KELLY"/>
    <d v="2025-11-29T00:00:00"/>
    <x v="2"/>
  </r>
  <r>
    <n v="60115"/>
    <s v="REINALDO FERREIRA"/>
    <s v="MME"/>
    <s v="2º TURNO"/>
    <n v="50038841"/>
    <x v="34"/>
    <n v="1"/>
    <s v="REALIZADO"/>
    <s v="KELLY"/>
    <d v="2025-11-29T00:00:00"/>
    <x v="2"/>
  </r>
  <r>
    <n v="63399"/>
    <s v="JOAO CARLOS MARIA"/>
    <s v="MPR"/>
    <s v="ADM"/>
    <n v="50043917"/>
    <x v="66"/>
    <n v="1"/>
    <s v="REALIZADO"/>
    <s v="KELLY"/>
    <d v="2025-11-28T00:00:00"/>
    <x v="0"/>
  </r>
  <r>
    <n v="65472"/>
    <s v="ISRAEL MACEDO"/>
    <s v="MMG"/>
    <s v="ADM"/>
    <n v="50037905"/>
    <x v="49"/>
    <n v="1"/>
    <s v="REALIZADO"/>
    <s v="KELLY"/>
    <d v="2025-11-28T00:00:00"/>
    <x v="2"/>
  </r>
  <r>
    <n v="65472"/>
    <s v="ISRAEL MACEDO"/>
    <s v="MMG"/>
    <s v="ADM"/>
    <n v="50037905"/>
    <x v="49"/>
    <n v="1"/>
    <s v="REALIZADO"/>
    <s v="KELLY"/>
    <d v="2025-11-28T00:00:00"/>
    <x v="0"/>
  </r>
  <r>
    <n v="77594"/>
    <s v="VINICIUS ROBLES"/>
    <s v="MME"/>
    <s v="ADM"/>
    <n v="50038956"/>
    <x v="10"/>
    <n v="1"/>
    <s v="REALIZADO"/>
    <s v="KELLY"/>
    <d v="2025-11-28T00:00:00"/>
    <x v="0"/>
  </r>
  <r>
    <n v="61096"/>
    <s v="REGIVALDO MEDEIROS"/>
    <s v="MME"/>
    <s v="ADM"/>
    <n v="50030486"/>
    <x v="17"/>
    <n v="1"/>
    <s v="REALIZADO"/>
    <s v="KELLY"/>
    <d v="2025-11-28T00:00:00"/>
    <x v="0"/>
  </r>
  <r>
    <n v="73878"/>
    <s v="EVANDRO TANAKA"/>
    <s v="MMG"/>
    <s v="ADM"/>
    <n v="50037905"/>
    <x v="49"/>
    <n v="1"/>
    <s v="REALIZADO"/>
    <s v="KELLY"/>
    <d v="2025-11-28T00:00:00"/>
    <x v="0"/>
  </r>
  <r>
    <n v="63770"/>
    <s v="DANILO DA SILVA"/>
    <s v="MMG"/>
    <s v="ADM"/>
    <n v="50043471"/>
    <x v="5"/>
    <n v="1"/>
    <s v="REALIZADO"/>
    <s v="GEOVANE"/>
    <d v="2025-11-28T00:00:00"/>
    <x v="0"/>
  </r>
  <r>
    <n v="77526"/>
    <s v="FELIPE GARÇONI"/>
    <s v="MME"/>
    <s v="ADM"/>
    <n v="50037892"/>
    <x v="2"/>
    <n v="1"/>
    <s v="REALIZADO"/>
    <s v="GEOVANE"/>
    <d v="2025-11-28T00:00:00"/>
    <x v="0"/>
  </r>
  <r>
    <n v="70105"/>
    <s v="RONALDO DE SOUZA SANTOS"/>
    <s v="MMG"/>
    <s v="2º TURNO"/>
    <n v="50037902"/>
    <x v="14"/>
    <n v="1"/>
    <s v="REALIZADO"/>
    <s v="GEOVANE"/>
    <d v="2025-11-28T00:00:00"/>
    <x v="0"/>
  </r>
  <r>
    <n v="77521"/>
    <s v="LUCAS LIRA"/>
    <s v="MME"/>
    <s v="ADM"/>
    <n v="50036296"/>
    <x v="46"/>
    <n v="1"/>
    <s v="REALIZADO"/>
    <s v="GEOVANE"/>
    <d v="2025-11-28T00:00:00"/>
    <x v="0"/>
  </r>
  <r>
    <n v="77521"/>
    <s v="LUCAS LIRA"/>
    <s v="MME"/>
    <s v="ADM"/>
    <n v="50036290"/>
    <x v="67"/>
    <n v="1"/>
    <s v="REALIZADO"/>
    <s v="GEOVANE"/>
    <d v="2025-11-28T00:00:00"/>
    <x v="0"/>
  </r>
  <r>
    <n v="77521"/>
    <s v="LUCAS LIRA"/>
    <s v="MME"/>
    <s v="ADM"/>
    <n v="50036293"/>
    <x v="16"/>
    <n v="1"/>
    <s v="REALIZADO"/>
    <s v="GEOVANE"/>
    <d v="2025-11-28T00:00:00"/>
    <x v="2"/>
  </r>
  <r>
    <n v="73878"/>
    <s v="EVANDRO TANAKA"/>
    <s v="MMG"/>
    <s v="ADM"/>
    <n v="50037905"/>
    <x v="49"/>
    <n v="1"/>
    <s v="REALIZADO"/>
    <s v="GEOVANE"/>
    <d v="2025-11-28T00:00:00"/>
    <x v="2"/>
  </r>
  <r>
    <n v="70105"/>
    <s v="RONALDO DE SOUZA SANTOS"/>
    <s v="MMG"/>
    <s v="2º TURNO"/>
    <n v="50037902"/>
    <x v="14"/>
    <n v="1"/>
    <s v="REALIZADO"/>
    <s v="GEOVANE"/>
    <d v="2025-11-28T00:00:00"/>
    <x v="2"/>
  </r>
  <r>
    <n v="77526"/>
    <s v="FELIPE GARÇONI"/>
    <s v="MME"/>
    <s v="ADM"/>
    <n v="50037892"/>
    <x v="2"/>
    <n v="1"/>
    <s v="REALIZADO"/>
    <s v="GEOVANE"/>
    <d v="2025-11-28T00:00:00"/>
    <x v="0"/>
  </r>
  <r>
    <n v="72707"/>
    <s v="LEONARDO DOS SANTOS"/>
    <s v="MPR"/>
    <s v="ADM"/>
    <n v="50020623"/>
    <x v="42"/>
    <n v="1"/>
    <s v="REALIZADO"/>
    <s v="AGATHA"/>
    <d v="2025-11-28T00:00:00"/>
    <x v="0"/>
  </r>
  <r>
    <n v="77594"/>
    <s v="VINICIUS ROBLES"/>
    <s v="MME"/>
    <s v="ADM"/>
    <n v="50041195"/>
    <x v="21"/>
    <n v="1"/>
    <s v="REALIZADO"/>
    <s v="AGATHA"/>
    <d v="2025-11-28T00:00:00"/>
    <x v="0"/>
  </r>
  <r>
    <n v="64253"/>
    <s v="DANIEL JULIAO"/>
    <s v="MMG"/>
    <s v="ADM"/>
    <n v="50037892"/>
    <x v="2"/>
    <n v="1"/>
    <s v="REALIZADO"/>
    <s v="KELLY"/>
    <d v="2025-11-28T00:00:00"/>
    <x v="2"/>
  </r>
  <r>
    <n v="64253"/>
    <s v="DANIEL JULIAO"/>
    <s v="MMG"/>
    <s v="ADM"/>
    <n v="50037892"/>
    <x v="2"/>
    <n v="1"/>
    <s v="REALIZADO"/>
    <s v="KELLY"/>
    <d v="2025-11-28T00:00:00"/>
    <x v="2"/>
  </r>
  <r>
    <n v="61096"/>
    <s v="REGIVALDO MEDEIROS"/>
    <s v="MME"/>
    <s v="ADM"/>
    <n v="50030486"/>
    <x v="17"/>
    <n v="1"/>
    <s v="REALIZADO"/>
    <s v="KELLY"/>
    <d v="2025-11-28T00:00:00"/>
    <x v="2"/>
  </r>
  <r>
    <n v="77594"/>
    <s v="VINICIUS ROBLES"/>
    <s v="MME"/>
    <s v="ADM"/>
    <n v="50038956"/>
    <x v="10"/>
    <n v="1"/>
    <s v="REALIZADO"/>
    <s v="MATHEUS"/>
    <d v="2025-11-28T00:00:00"/>
    <x v="0"/>
  </r>
  <r>
    <n v="65844"/>
    <s v="ALTEMAR FEITOSA"/>
    <s v="MMG"/>
    <s v="1º TURNO"/>
    <n v="50037900"/>
    <x v="41"/>
    <n v="1"/>
    <s v="REALIZADO"/>
    <s v="MATHEUS"/>
    <d v="2025-11-28T00:00:00"/>
    <x v="2"/>
  </r>
  <r>
    <n v="77521"/>
    <s v="LUCAS LIRA"/>
    <s v="MME"/>
    <s v="ADM"/>
    <n v="50036296"/>
    <x v="46"/>
    <n v="1"/>
    <s v="REALIZADO"/>
    <s v="MATHEUS"/>
    <d v="2025-11-28T00:00:00"/>
    <x v="0"/>
  </r>
  <r>
    <n v="77594"/>
    <s v="VINICIUS ROBLES"/>
    <s v="MME"/>
    <s v="ADM"/>
    <n v="50032781"/>
    <x v="12"/>
    <n v="1"/>
    <s v="REALIZADO"/>
    <s v="BRUNO"/>
    <d v="2025-11-28T00:00:00"/>
    <x v="0"/>
  </r>
  <r>
    <n v="77594"/>
    <s v="VINICIUS ROBLES"/>
    <s v="MME"/>
    <s v="ADM"/>
    <n v="50038841"/>
    <x v="34"/>
    <n v="1"/>
    <s v="REALIZADO"/>
    <s v="BRUNO"/>
    <d v="2025-11-28T00:00:00"/>
    <x v="2"/>
  </r>
  <r>
    <n v="77594"/>
    <s v="VINICIUS ROBLES"/>
    <s v="MME"/>
    <s v="ADM"/>
    <n v="50041195"/>
    <x v="21"/>
    <n v="1"/>
    <s v="REALIZADO"/>
    <s v="BRUNO"/>
    <d v="2025-11-28T00:00:00"/>
    <x v="0"/>
  </r>
  <r>
    <n v="96464"/>
    <s v="KEVIN INAMOTO"/>
    <s v="MEE"/>
    <s v="1º TURNO"/>
    <n v="50029865"/>
    <x v="9"/>
    <n v="1"/>
    <s v="REALIZADO"/>
    <s v="BRUNO"/>
    <d v="2025-11-28T00:00:00"/>
    <x v="0"/>
  </r>
  <r>
    <n v="96464"/>
    <s v="KEVIN INAMOTO"/>
    <s v="MEE"/>
    <s v="1º TURNO"/>
    <n v="50041195"/>
    <x v="21"/>
    <n v="1"/>
    <s v="REALIZADO"/>
    <s v="BRUNO"/>
    <d v="2025-11-28T00:00:00"/>
    <x v="0"/>
  </r>
  <r>
    <n v="76633"/>
    <s v="VINICIUS GUILHERME BARBOSA"/>
    <s v="MMG"/>
    <s v="1º TURNO"/>
    <n v="50003173"/>
    <x v="29"/>
    <n v="1"/>
    <s v="REALIZADO"/>
    <s v="BRUNO"/>
    <d v="2025-11-28T00:00:00"/>
    <x v="2"/>
  </r>
  <r>
    <n v="77594"/>
    <s v="VINICIUS ROBLES"/>
    <s v="MME"/>
    <s v="ADM"/>
    <n v="50038841"/>
    <x v="34"/>
    <n v="1"/>
    <s v="REALIZADO"/>
    <s v="BRUNO"/>
    <d v="2025-11-28T00:00:00"/>
    <x v="2"/>
  </r>
  <r>
    <n v="77594"/>
    <s v="VINICIUS ROBLES"/>
    <s v="MME"/>
    <s v="ADM"/>
    <n v="50032781"/>
    <x v="12"/>
    <n v="1"/>
    <s v="REALIZADO"/>
    <s v="BRUNO"/>
    <d v="2025-11-28T00:00:00"/>
    <x v="2"/>
  </r>
  <r>
    <n v="72707"/>
    <s v="LEONARDO DOS SANTOS"/>
    <s v="MPR"/>
    <s v="ADM"/>
    <n v="50020623"/>
    <x v="42"/>
    <n v="1"/>
    <s v="REALIZADO"/>
    <s v="BRUNO"/>
    <d v="2025-11-28T00:00:00"/>
    <x v="2"/>
  </r>
  <r>
    <n v="72707"/>
    <s v="LEONARDO DOS SANTOS"/>
    <s v="MPR"/>
    <s v="ADM"/>
    <n v="50043917"/>
    <x v="66"/>
    <n v="1"/>
    <s v="REALIZADO"/>
    <s v="BRUNO"/>
    <d v="2025-11-28T00:00:00"/>
    <x v="2"/>
  </r>
  <r>
    <n v="96464"/>
    <s v="KEVIN INAMOTO"/>
    <s v="MEE"/>
    <s v="1º TURNO"/>
    <n v="50029865"/>
    <x v="9"/>
    <n v="1"/>
    <s v="REALIZADO"/>
    <s v="BRUNO"/>
    <d v="2025-11-28T00:00:00"/>
    <x v="2"/>
  </r>
  <r>
    <n v="96464"/>
    <s v="KEVIN INAMOTO"/>
    <s v="MEE"/>
    <s v="1º TURNO"/>
    <n v="50041195"/>
    <x v="21"/>
    <n v="1"/>
    <s v="REALIZADO"/>
    <s v="BRUNO"/>
    <d v="2025-11-28T00:00:00"/>
    <x v="2"/>
  </r>
  <r>
    <n v="65844"/>
    <s v="ALTEMAR FEITOSA"/>
    <s v="MMG"/>
    <s v="1º TURNO"/>
    <n v="50037900"/>
    <x v="41"/>
    <n v="1"/>
    <s v="REALIZADO"/>
    <s v="BRUNO"/>
    <d v="2025-11-28T00:00:00"/>
    <x v="2"/>
  </r>
  <r>
    <n v="76633"/>
    <s v="VINICIUS GUILHERME BARBOSA"/>
    <s v="MMG"/>
    <s v="1º TURNO"/>
    <n v="50003173"/>
    <x v="29"/>
    <n v="1"/>
    <s v="REALIZADO"/>
    <s v="BRUNO"/>
    <d v="2025-11-28T00:00:00"/>
    <x v="2"/>
  </r>
  <r>
    <n v="63770"/>
    <s v="DANILO DA SILVA"/>
    <s v="MMG"/>
    <s v="ADM"/>
    <n v="50043471"/>
    <x v="5"/>
    <n v="1"/>
    <s v="REALIZADO"/>
    <s v="BRUNO"/>
    <d v="2025-11-28T00:00:00"/>
    <x v="2"/>
  </r>
  <r>
    <n v="77521"/>
    <s v="LUCAS LIRA"/>
    <s v="MME"/>
    <s v="ADM"/>
    <n v="50036290"/>
    <x v="67"/>
    <n v="1"/>
    <s v="REALIZADO"/>
    <s v="BRUNO"/>
    <d v="2025-11-28T00:00:00"/>
    <x v="2"/>
  </r>
  <r>
    <n v="77521"/>
    <s v="LUCAS LIRA"/>
    <s v="MME"/>
    <s v="ADM"/>
    <n v="50036293"/>
    <x v="16"/>
    <n v="1"/>
    <s v="REALIZADO"/>
    <s v="BRUNO"/>
    <d v="2025-11-28T00:00:00"/>
    <x v="0"/>
  </r>
  <r>
    <n v="73878"/>
    <s v="EVANDRO TANAKA"/>
    <s v="MMG"/>
    <s v="ADM"/>
    <n v="50003297"/>
    <x v="8"/>
    <n v="1"/>
    <s v="REALIZADO"/>
    <s v="BRUNO"/>
    <d v="2025-11-28T00:00:00"/>
    <x v="2"/>
  </r>
  <r>
    <n v="73878"/>
    <s v="EVANDRO TANAKA"/>
    <s v="MMG"/>
    <s v="ADM"/>
    <n v="50003297"/>
    <x v="8"/>
    <n v="1"/>
    <s v="REALIZADO"/>
    <s v="KELLY"/>
    <d v="2025-11-27T00:00:00"/>
    <x v="0"/>
  </r>
  <r>
    <n v="72707"/>
    <s v="LEONARDO DOS SANTOS"/>
    <s v="MPR"/>
    <s v="ADM"/>
    <n v="50041195"/>
    <x v="21"/>
    <n v="1"/>
    <s v="REALIZADO"/>
    <s v="KELLY"/>
    <d v="2025-11-27T00:00:00"/>
    <x v="0"/>
  </r>
  <r>
    <n v="60115"/>
    <s v="REINALDO FERREIRA"/>
    <s v="MME"/>
    <s v="2º TURNO"/>
    <n v="50043917"/>
    <x v="66"/>
    <n v="1"/>
    <s v="REALIZADO"/>
    <s v="KELLY"/>
    <d v="2025-11-27T00:00:00"/>
    <x v="0"/>
  </r>
  <r>
    <n v="77521"/>
    <s v="LUCAS LIRA"/>
    <s v="MME"/>
    <s v="ADM"/>
    <n v="50036293"/>
    <x v="16"/>
    <n v="1"/>
    <s v="REALIZADO"/>
    <s v="KELLY"/>
    <d v="2025-11-27T00:00:00"/>
    <x v="0"/>
  </r>
  <r>
    <n v="65131"/>
    <s v="GUILHERME VECHIO"/>
    <s v="MMG"/>
    <s v="2º TURNO"/>
    <n v="50038195"/>
    <x v="54"/>
    <n v="1"/>
    <s v="REALIZADO"/>
    <s v="GEOVANE"/>
    <d v="2025-11-27T00:00:00"/>
    <x v="0"/>
  </r>
  <r>
    <n v="77594"/>
    <s v="VINICIUS ROBLES"/>
    <s v="MME"/>
    <s v="ADM"/>
    <n v="50038517"/>
    <x v="0"/>
    <n v="1"/>
    <s v="REALIZADO"/>
    <s v="GEOVANE"/>
    <d v="2025-11-27T00:00:00"/>
    <x v="0"/>
  </r>
  <r>
    <n v="65131"/>
    <s v="GUILHERME VECHIO"/>
    <s v="MMG"/>
    <s v="2º TURNO"/>
    <n v="50037892"/>
    <x v="2"/>
    <n v="1"/>
    <s v="REALIZADO"/>
    <s v="GEOVANE"/>
    <d v="2025-11-27T00:00:00"/>
    <x v="0"/>
  </r>
  <r>
    <n v="78886"/>
    <s v="DOUGLAS FELICIANO MENDES DE OLIVEIRA"/>
    <s v="MME"/>
    <s v="ADM"/>
    <n v="50003173"/>
    <x v="29"/>
    <n v="1"/>
    <s v="REALIZADO"/>
    <s v="AGATHA"/>
    <d v="2025-11-27T00:00:00"/>
    <x v="0"/>
  </r>
  <r>
    <n v="66830"/>
    <s v="MARCIO GOMES DA SILVA"/>
    <s v="MPR"/>
    <s v="ADM"/>
    <n v="50036086"/>
    <x v="3"/>
    <n v="1"/>
    <s v="REALIZADO"/>
    <s v="AGATHA"/>
    <d v="2025-11-27T00:00:00"/>
    <x v="0"/>
  </r>
  <r>
    <n v="62471"/>
    <s v="ELTON LIMA"/>
    <s v="MME"/>
    <s v="ADM"/>
    <n v="50039065"/>
    <x v="22"/>
    <n v="1"/>
    <s v="REALIZADO"/>
    <s v="AGATHA"/>
    <d v="2025-11-27T00:00:00"/>
    <x v="2"/>
  </r>
  <r>
    <n v="60115"/>
    <s v="REINALDO FERREIRA"/>
    <s v="MME"/>
    <s v="2º TURNO"/>
    <n v="50043917"/>
    <x v="66"/>
    <n v="1"/>
    <s v="REALIZADO"/>
    <s v="AGATHA"/>
    <d v="2025-11-27T00:00:00"/>
    <x v="0"/>
  </r>
  <r>
    <n v="77471"/>
    <s v="DANILO BARBOSA"/>
    <s v="MEE"/>
    <s v="ADM"/>
    <n v="50038840"/>
    <x v="68"/>
    <n v="1"/>
    <s v="REALIZADO"/>
    <s v="AGATHA"/>
    <d v="2025-11-27T00:00:00"/>
    <x v="0"/>
  </r>
  <r>
    <n v="61096"/>
    <s v="REGIVALDO MEDEIROS"/>
    <s v="MME"/>
    <s v="ADM"/>
    <n v="50043471"/>
    <x v="5"/>
    <n v="1"/>
    <s v="REALIZADO"/>
    <s v="AGATHA"/>
    <d v="2025-11-27T00:00:00"/>
    <x v="0"/>
  </r>
  <r>
    <n v="63399"/>
    <s v="JOAO CARLOS MARIA"/>
    <s v="MPR"/>
    <s v="ADM"/>
    <n v="50043917"/>
    <x v="66"/>
    <n v="1"/>
    <s v="REALIZADO"/>
    <s v="AGATHA"/>
    <d v="2025-11-27T00:00:00"/>
    <x v="0"/>
  </r>
  <r>
    <n v="77594"/>
    <s v="VINICIUS ROBLES"/>
    <s v="MME"/>
    <s v="ADM"/>
    <n v="50038841"/>
    <x v="34"/>
    <n v="1"/>
    <s v="REALIZADO"/>
    <s v="AGATHA"/>
    <d v="2025-11-27T00:00:00"/>
    <x v="2"/>
  </r>
  <r>
    <n v="65131"/>
    <s v="GUILHERME VECHIO"/>
    <s v="MMG"/>
    <s v="2º TURNO"/>
    <n v="50037892"/>
    <x v="2"/>
    <n v="1"/>
    <s v="REALIZADO"/>
    <s v="GEOVANE"/>
    <d v="2025-11-27T00:00:00"/>
    <x v="2"/>
  </r>
  <r>
    <n v="65131"/>
    <s v="GUILHERME VECHIO"/>
    <s v="MMG"/>
    <s v="2º TURNO"/>
    <n v="50038195"/>
    <x v="54"/>
    <n v="1"/>
    <s v="REALIZADO"/>
    <s v="GEOVANE"/>
    <d v="2025-11-27T00:00:00"/>
    <x v="0"/>
  </r>
  <r>
    <n v="66301"/>
    <s v="LUCAS LORENCINI"/>
    <s v="MEE"/>
    <s v="ADM"/>
    <n v="50037933"/>
    <x v="43"/>
    <n v="1"/>
    <s v="REALIZADO"/>
    <s v="GEOVANE"/>
    <d v="2025-11-27T00:00:00"/>
    <x v="2"/>
  </r>
  <r>
    <n v="77471"/>
    <s v="DANILO BARBOSA"/>
    <s v="MEE"/>
    <s v="ADM"/>
    <n v="50038840"/>
    <x v="68"/>
    <n v="1"/>
    <s v="REALIZADO"/>
    <s v="GEOVANE"/>
    <d v="2025-11-27T00:00:00"/>
    <x v="2"/>
  </r>
  <r>
    <n v="61096"/>
    <s v="REGIVALDO MEDEIROS"/>
    <s v="MME"/>
    <s v="ADM"/>
    <n v="50043471"/>
    <x v="5"/>
    <n v="1"/>
    <s v="REALIZADO"/>
    <s v="GEOVANE"/>
    <d v="2025-11-27T00:00:00"/>
    <x v="2"/>
  </r>
  <r>
    <n v="66301"/>
    <s v="LUCAS LORENCINI"/>
    <s v="MEE"/>
    <s v="ADM"/>
    <n v="50037933"/>
    <x v="43"/>
    <n v="1"/>
    <s v="REALIZADO"/>
    <s v="GEOVANE"/>
    <d v="2025-11-27T00:00:00"/>
    <x v="2"/>
  </r>
  <r>
    <n v="62471"/>
    <s v="ELTON LIMA"/>
    <s v="MME"/>
    <s v="ADM"/>
    <n v="50039065"/>
    <x v="22"/>
    <n v="1"/>
    <s v="REALIZADO"/>
    <s v="AGATHA"/>
    <d v="2025-11-27T00:00:00"/>
    <x v="2"/>
  </r>
  <r>
    <n v="72707"/>
    <s v="LEONARDO DOS SANTOS"/>
    <s v="MPR"/>
    <s v="ADM"/>
    <n v="50041195"/>
    <x v="21"/>
    <n v="1"/>
    <s v="REALIZADO"/>
    <s v="KELLY"/>
    <d v="2025-11-27T00:00:00"/>
    <x v="0"/>
  </r>
  <r>
    <n v="62896"/>
    <s v="LEONARDO BORGES"/>
    <s v="MEE"/>
    <s v="ADM"/>
    <n v="50041195"/>
    <x v="21"/>
    <n v="1"/>
    <s v="REALIZADO"/>
    <s v="KELLY"/>
    <d v="2025-11-27T00:00:00"/>
    <x v="0"/>
  </r>
  <r>
    <n v="77594"/>
    <s v="VINICIUS ROBLES"/>
    <s v="MME"/>
    <s v="ADM"/>
    <n v="50043471"/>
    <x v="5"/>
    <n v="1"/>
    <s v="REALIZADO"/>
    <s v="KELLY"/>
    <d v="2025-11-27T00:00:00"/>
    <x v="2"/>
  </r>
  <r>
    <n v="77594"/>
    <s v="VINICIUS ROBLES"/>
    <s v="MME"/>
    <s v="ADM"/>
    <n v="50043471"/>
    <x v="5"/>
    <n v="1"/>
    <s v="REALIZADO"/>
    <s v="BRUNO"/>
    <d v="2025-11-27T00:00:00"/>
    <x v="0"/>
  </r>
  <r>
    <n v="68430"/>
    <s v="JOAO CAIXETA"/>
    <s v="MEE"/>
    <s v="1º TURNO"/>
    <n v="50043320"/>
    <x v="35"/>
    <n v="1"/>
    <s v="REALIZADO"/>
    <s v="BRUNO"/>
    <d v="2025-11-27T00:00:00"/>
    <x v="2"/>
  </r>
  <r>
    <n v="63399"/>
    <s v="JOAO CARLOS MARIA"/>
    <s v="MPR"/>
    <s v="ADM"/>
    <n v="50043917"/>
    <x v="66"/>
    <n v="1"/>
    <s v="REALIZADO"/>
    <s v="BRUNO"/>
    <d v="2025-11-27T00:00:00"/>
    <x v="0"/>
  </r>
  <r>
    <n v="69510"/>
    <s v="GABRIEL CAIXETA"/>
    <s v="MEE"/>
    <s v="ADM"/>
    <n v="50038956"/>
    <x v="10"/>
    <n v="1"/>
    <s v="REALIZADO"/>
    <s v="BRUNO"/>
    <d v="2025-11-27T00:00:00"/>
    <x v="2"/>
  </r>
  <r>
    <n v="68430"/>
    <s v="JOAO CAIXETA"/>
    <s v="MEE"/>
    <s v="1º TURNO"/>
    <n v="50043320"/>
    <x v="35"/>
    <n v="1"/>
    <s v="REALIZADO"/>
    <s v="BRUNO"/>
    <d v="2025-11-27T00:00:00"/>
    <x v="2"/>
  </r>
  <r>
    <n v="78886"/>
    <s v="DOUGLAS FELICIANO MENDES DE OLIVEIRA"/>
    <s v="MME"/>
    <s v="ADM"/>
    <n v="50003173"/>
    <x v="29"/>
    <n v="1"/>
    <s v="REALIZADO"/>
    <s v="BRUNO"/>
    <d v="2025-11-27T00:00:00"/>
    <x v="2"/>
  </r>
  <r>
    <n v="77521"/>
    <s v="LUCAS LIRA"/>
    <s v="MME"/>
    <s v="ADM"/>
    <n v="50036293"/>
    <x v="16"/>
    <n v="1"/>
    <s v="REALIZADO"/>
    <s v="BRUNO"/>
    <d v="2025-11-27T00:00:00"/>
    <x v="2"/>
  </r>
  <r>
    <n v="69510"/>
    <s v="GABRIEL CAIXETA"/>
    <s v="MEE"/>
    <s v="ADM"/>
    <n v="50038956"/>
    <x v="10"/>
    <n v="1"/>
    <s v="REALIZADO"/>
    <s v="BRUNO"/>
    <d v="2025-11-27T00:00:00"/>
    <x v="0"/>
  </r>
  <r>
    <n v="76633"/>
    <s v="VINICIUS GUILHERME BARBOSA"/>
    <s v="MMG"/>
    <s v="1º TURNO"/>
    <n v="50037922"/>
    <x v="61"/>
    <n v="1"/>
    <s v="REALIZADO"/>
    <s v="BRUNO"/>
    <d v="2025-11-27T00:00:00"/>
    <x v="2"/>
  </r>
  <r>
    <n v="62896"/>
    <s v="LEONARDO BORGES"/>
    <s v="MEE"/>
    <s v="ADM"/>
    <n v="50041195"/>
    <x v="21"/>
    <n v="1"/>
    <s v="REALIZADO"/>
    <s v="BRUNO"/>
    <d v="2025-11-27T00:00:00"/>
    <x v="2"/>
  </r>
  <r>
    <n v="66830"/>
    <s v="MARCIO GOMES DA SILVA"/>
    <s v="MPR"/>
    <s v="ADM"/>
    <n v="50036086"/>
    <x v="3"/>
    <n v="1"/>
    <s v="REALIZADO"/>
    <s v="BRUNO"/>
    <d v="2025-11-27T00:00:00"/>
    <x v="0"/>
  </r>
  <r>
    <n v="76633"/>
    <s v="VINICIUS GUILHERME BARBOSA"/>
    <s v="MMG"/>
    <s v="1º TURNO"/>
    <n v="50038956"/>
    <x v="10"/>
    <n v="1"/>
    <s v="REALIZADO"/>
    <s v="BRUNO"/>
    <d v="2025-11-27T00:00:00"/>
    <x v="2"/>
  </r>
  <r>
    <n v="77594"/>
    <s v="VINICIUS ROBLES"/>
    <s v="MME"/>
    <s v="ADM"/>
    <n v="50038517"/>
    <x v="0"/>
    <n v="1"/>
    <s v="REALIZADO"/>
    <s v="BRUNO"/>
    <d v="2025-11-27T00:00:00"/>
    <x v="2"/>
  </r>
  <r>
    <n v="77594"/>
    <s v="VINICIUS ROBLES"/>
    <s v="MME"/>
    <s v="ADM"/>
    <n v="50038841"/>
    <x v="34"/>
    <n v="1"/>
    <s v="REALIZADO"/>
    <s v="BRUNO"/>
    <d v="2025-11-27T00:00:00"/>
    <x v="2"/>
  </r>
  <r>
    <n v="76633"/>
    <s v="VINICIUS GUILHERME BARBOSA"/>
    <s v="MMG"/>
    <s v="1º TURNO"/>
    <n v="50038956"/>
    <x v="10"/>
    <n v="1"/>
    <s v="REALIZADO"/>
    <s v="BRUNO"/>
    <d v="2025-11-27T00:00:00"/>
    <x v="2"/>
  </r>
  <r>
    <n v="76633"/>
    <s v="VINICIUS GUILHERME BARBOSA"/>
    <s v="MMG"/>
    <s v="1º TURNO"/>
    <n v="50037922"/>
    <x v="61"/>
    <n v="1"/>
    <s v="REALIZADO"/>
    <s v="BRUNO"/>
    <d v="2025-11-27T00:00:00"/>
    <x v="0"/>
  </r>
  <r>
    <n v="72707"/>
    <s v="LEONARDO DOS SANTOS"/>
    <s v="MPR"/>
    <s v="ADM"/>
    <n v="50041195"/>
    <x v="21"/>
    <n v="1"/>
    <s v="REALIZADO"/>
    <s v="GEOVANE"/>
    <d v="2025-11-26T00:00:00"/>
    <x v="0"/>
  </r>
  <r>
    <n v="62471"/>
    <s v="ELTON LIMA"/>
    <s v="MME"/>
    <s v="ADM"/>
    <n v="50030486"/>
    <x v="17"/>
    <n v="1"/>
    <s v="REALIZADO"/>
    <s v="GEOVANE"/>
    <d v="2025-11-26T00:00:00"/>
    <x v="0"/>
  </r>
  <r>
    <n v="61761"/>
    <s v="JOAO BORTOLI"/>
    <s v="MEE"/>
    <s v="2º TURNO"/>
    <n v="50029865"/>
    <x v="9"/>
    <n v="1"/>
    <s v="REALIZADO"/>
    <s v="GEOVANE"/>
    <d v="2025-11-26T00:00:00"/>
    <x v="0"/>
  </r>
  <r>
    <n v="61761"/>
    <s v="JOAO BORTOLI"/>
    <s v="MEE"/>
    <s v="2º TURNO"/>
    <n v="50036280"/>
    <x v="64"/>
    <n v="1"/>
    <s v="REALIZADO"/>
    <s v="GEOVANE"/>
    <d v="2025-11-26T00:00:00"/>
    <x v="0"/>
  </r>
  <r>
    <n v="66830"/>
    <s v="MARCIO GOMES DA SILVA"/>
    <s v="MPR"/>
    <s v="ADM"/>
    <n v="50038956"/>
    <x v="10"/>
    <n v="1"/>
    <s v="REALIZADO"/>
    <s v="GEOVANE"/>
    <d v="2025-11-26T00:00:00"/>
    <x v="0"/>
  </r>
  <r>
    <n v="77471"/>
    <s v="DANILO BARBOSA"/>
    <s v="MEE"/>
    <s v="ADM"/>
    <n v="50036298"/>
    <x v="69"/>
    <n v="1"/>
    <s v="REALIZADO"/>
    <s v="GEOVANE"/>
    <d v="2025-11-26T00:00:00"/>
    <x v="0"/>
  </r>
  <r>
    <n v="62640"/>
    <s v="MARCELINHO"/>
    <s v="MPR"/>
    <s v="ADM"/>
    <n v="50043917"/>
    <x v="66"/>
    <n v="1"/>
    <s v="REALIZADO"/>
    <s v="GEOVANE"/>
    <d v="2025-11-26T00:00:00"/>
    <x v="0"/>
  </r>
  <r>
    <n v="72715"/>
    <s v="DANIEL CAMAÇARI DE OLIVEIRA"/>
    <s v="MPR"/>
    <s v="ADM"/>
    <n v="50036086"/>
    <x v="3"/>
    <n v="1"/>
    <s v="REALIZADO"/>
    <s v="GEOVANE"/>
    <d v="2025-11-26T00:00:00"/>
    <x v="0"/>
  </r>
  <r>
    <n v="68708"/>
    <s v="CLAUDIO TADEU LEITE"/>
    <s v="MMG"/>
    <s v="ADM"/>
    <n v="50043471"/>
    <x v="5"/>
    <n v="1"/>
    <s v="REALIZADO"/>
    <s v="GEOVANE"/>
    <d v="2025-11-26T00:00:00"/>
    <x v="0"/>
  </r>
  <r>
    <n v="77526"/>
    <s v="FELIPE GARÇONI"/>
    <s v="MME"/>
    <s v="ADM"/>
    <n v="50038518"/>
    <x v="57"/>
    <n v="1"/>
    <s v="REALIZADO"/>
    <s v="GEOVANE"/>
    <d v="2025-11-26T00:00:00"/>
    <x v="0"/>
  </r>
  <r>
    <n v="77526"/>
    <s v="FELIPE GARÇONI"/>
    <s v="MME"/>
    <s v="ADM"/>
    <n v="50038841"/>
    <x v="34"/>
    <n v="1"/>
    <s v="REALIZADO"/>
    <s v="GEOVANE"/>
    <d v="2025-11-26T00:00:00"/>
    <x v="0"/>
  </r>
  <r>
    <n v="77526"/>
    <s v="FELIPE GARÇONI"/>
    <s v="MME"/>
    <s v="ADM"/>
    <n v="50010031"/>
    <x v="20"/>
    <n v="1"/>
    <s v="REALIZADO"/>
    <s v="GEOVANE"/>
    <d v="2025-11-26T00:00:00"/>
    <x v="0"/>
  </r>
  <r>
    <n v="62471"/>
    <s v="ELTON LIMA"/>
    <s v="MME"/>
    <s v="ADM"/>
    <n v="50037902"/>
    <x v="14"/>
    <n v="1"/>
    <s v="REALIZADO"/>
    <s v="GEOVANE"/>
    <d v="2025-11-26T00:00:00"/>
    <x v="0"/>
  </r>
  <r>
    <n v="70105"/>
    <s v="RONALDO DE SOUZA SANTOS"/>
    <s v="MMG"/>
    <s v="2º TURNO"/>
    <n v="50038517"/>
    <x v="0"/>
    <n v="1"/>
    <s v="REALIZADO"/>
    <s v="GEOVANE"/>
    <d v="2025-11-26T00:00:00"/>
    <x v="0"/>
  </r>
  <r>
    <n v="62640"/>
    <s v="MARCELINHO"/>
    <s v="MPR"/>
    <s v="ADM"/>
    <n v="50020623"/>
    <x v="42"/>
    <n v="1"/>
    <s v="REALIZADO"/>
    <s v="GEOVANE"/>
    <d v="2025-11-26T00:00:00"/>
    <x v="2"/>
  </r>
  <r>
    <n v="66790"/>
    <s v="EVERTON BOLOGNES"/>
    <s v="MMG"/>
    <s v="2º TURNO"/>
    <n v="50037905"/>
    <x v="49"/>
    <n v="1"/>
    <s v="REALIZADO"/>
    <s v="GEOVANE"/>
    <d v="2025-11-26T00:00:00"/>
    <x v="0"/>
  </r>
  <r>
    <n v="63684"/>
    <s v="LUAN ALMEIDA"/>
    <s v="MME"/>
    <s v="1º TURNO"/>
    <n v="50044003"/>
    <x v="63"/>
    <n v="1"/>
    <s v="REALIZADO"/>
    <s v="GEOVANE"/>
    <d v="2025-11-26T00:00:00"/>
    <x v="2"/>
  </r>
  <r>
    <n v="61761"/>
    <s v="JOAO BORTOLI"/>
    <s v="MEE"/>
    <s v="2º TURNO"/>
    <n v="50029865"/>
    <x v="9"/>
    <n v="1"/>
    <s v="REALIZADO"/>
    <s v="GEOVANE"/>
    <d v="2025-11-26T00:00:00"/>
    <x v="2"/>
  </r>
  <r>
    <n v="61761"/>
    <s v="JOAO BORTOLI"/>
    <s v="MEE"/>
    <s v="2º TURNO"/>
    <n v="50036280"/>
    <x v="64"/>
    <n v="1"/>
    <s v="REALIZADO"/>
    <s v="GEOVANE"/>
    <d v="2025-11-26T00:00:00"/>
    <x v="0"/>
  </r>
  <r>
    <n v="62137"/>
    <s v="RAFAEL AMORIM"/>
    <s v="MME"/>
    <s v="1º TURNO"/>
    <n v="50037892"/>
    <x v="2"/>
    <n v="1"/>
    <s v="REALIZADO"/>
    <s v="GEOVANE"/>
    <d v="2025-11-26T00:00:00"/>
    <x v="0"/>
  </r>
  <r>
    <n v="62471"/>
    <s v="ELTON LIMA"/>
    <s v="MME"/>
    <s v="ADM"/>
    <n v="50032781"/>
    <x v="12"/>
    <n v="1"/>
    <s v="REALIZADO"/>
    <s v="GEOVANE"/>
    <d v="2025-11-26T00:00:00"/>
    <x v="2"/>
  </r>
  <r>
    <n v="70105"/>
    <s v="RONALDO DE SOUZA SANTOS"/>
    <s v="MMG"/>
    <s v="2º TURNO"/>
    <n v="50038517"/>
    <x v="0"/>
    <n v="1"/>
    <s v="REALIZADO"/>
    <s v="AGATHA"/>
    <d v="2025-11-26T00:00:00"/>
    <x v="2"/>
  </r>
  <r>
    <n v="62471"/>
    <s v="ELTON LIMA"/>
    <s v="MME"/>
    <s v="ADM"/>
    <n v="50030486"/>
    <x v="17"/>
    <n v="1"/>
    <s v="REALIZADO"/>
    <s v="AGATHA"/>
    <d v="2025-11-26T00:00:00"/>
    <x v="2"/>
  </r>
  <r>
    <n v="72715"/>
    <s v="DANIEL CAMAÇARI DE OLIVEIRA"/>
    <s v="MPR"/>
    <s v="ADM"/>
    <n v="50036086"/>
    <x v="3"/>
    <n v="1"/>
    <s v="REALIZADO"/>
    <s v="AGATHA"/>
    <d v="2025-11-26T00:00:00"/>
    <x v="2"/>
  </r>
  <r>
    <n v="62471"/>
    <s v="ELTON LIMA"/>
    <s v="MME"/>
    <s v="ADM"/>
    <n v="50032781"/>
    <x v="12"/>
    <n v="1"/>
    <s v="REALIZADO"/>
    <s v="BRUNO"/>
    <d v="2025-11-26T00:00:00"/>
    <x v="0"/>
  </r>
  <r>
    <n v="68708"/>
    <s v="CLAUDIO TADEU LEITE"/>
    <s v="MMG"/>
    <s v="ADM"/>
    <n v="50004486"/>
    <x v="40"/>
    <n v="1"/>
    <s v="REALIZADO"/>
    <s v="BRUNO"/>
    <d v="2025-11-26T00:00:00"/>
    <x v="0"/>
  </r>
  <r>
    <n v="68708"/>
    <s v="CLAUDIO TADEU LEITE"/>
    <s v="MMG"/>
    <s v="ADM"/>
    <n v="50043320"/>
    <x v="35"/>
    <n v="1"/>
    <s v="REALIZADO"/>
    <s v="BRUNO"/>
    <d v="2025-11-26T00:00:00"/>
    <x v="2"/>
  </r>
  <r>
    <n v="77471"/>
    <s v="DANILO BARBOSA"/>
    <s v="MEE"/>
    <s v="ADM"/>
    <n v="50036298"/>
    <x v="69"/>
    <n v="1"/>
    <s v="REALIZADO"/>
    <s v="BRUNO"/>
    <d v="2025-11-26T00:00:00"/>
    <x v="2"/>
  </r>
  <r>
    <n v="68708"/>
    <s v="CLAUDIO TADEU LEITE"/>
    <s v="MMG"/>
    <s v="ADM"/>
    <n v="50004486"/>
    <x v="40"/>
    <n v="1"/>
    <s v="REALIZADO"/>
    <s v="BRUNO"/>
    <d v="2025-11-26T00:00:00"/>
    <x v="2"/>
  </r>
  <r>
    <n v="77526"/>
    <s v="FELIPE GARÇONI"/>
    <s v="MME"/>
    <s v="ADM"/>
    <n v="50038518"/>
    <x v="57"/>
    <n v="1"/>
    <s v="REALIZADO"/>
    <s v="BRUNO"/>
    <d v="2025-11-26T00:00:00"/>
    <x v="2"/>
  </r>
  <r>
    <n v="68708"/>
    <s v="CLAUDIO TADEU LEITE"/>
    <s v="MMG"/>
    <s v="ADM"/>
    <n v="50043471"/>
    <x v="5"/>
    <n v="1"/>
    <s v="REALIZADO"/>
    <s v="BRUNO"/>
    <d v="2025-11-26T00:00:00"/>
    <x v="2"/>
  </r>
  <r>
    <n v="68708"/>
    <s v="CLAUDIO TADEU LEITE"/>
    <s v="MMG"/>
    <s v="ADM"/>
    <n v="50043320"/>
    <x v="35"/>
    <n v="1"/>
    <s v="REALIZADO"/>
    <s v="BRUNO"/>
    <d v="2025-11-26T00:00:00"/>
    <x v="2"/>
  </r>
  <r>
    <n v="72707"/>
    <s v="LEONARDO DOS SANTOS"/>
    <s v="MPR"/>
    <s v="ADM"/>
    <n v="50041195"/>
    <x v="21"/>
    <n v="1"/>
    <s v="REALIZADO"/>
    <s v="BRUNO"/>
    <d v="2025-11-26T00:00:00"/>
    <x v="2"/>
  </r>
  <r>
    <n v="62640"/>
    <s v="MARCELINHO"/>
    <s v="MPR"/>
    <s v="ADM"/>
    <n v="50020623"/>
    <x v="42"/>
    <n v="1"/>
    <s v="REALIZADO"/>
    <s v="BRUNO"/>
    <d v="2025-11-26T00:00:00"/>
    <x v="2"/>
  </r>
  <r>
    <n v="62640"/>
    <s v="MARCELINHO"/>
    <s v="MPR"/>
    <s v="ADM"/>
    <n v="50043917"/>
    <x v="66"/>
    <n v="1"/>
    <s v="REALIZADO"/>
    <s v="BRUNO"/>
    <d v="2025-11-26T00:00:00"/>
    <x v="2"/>
  </r>
  <r>
    <n v="77526"/>
    <s v="FELIPE GARÇONI"/>
    <s v="MME"/>
    <s v="ADM"/>
    <n v="50038841"/>
    <x v="34"/>
    <n v="1"/>
    <s v="REALIZADO"/>
    <s v="BRUNO"/>
    <d v="2025-11-26T00:00:00"/>
    <x v="2"/>
  </r>
  <r>
    <n v="77526"/>
    <s v="FELIPE GARÇONI"/>
    <s v="MME"/>
    <s v="ADM"/>
    <n v="50010031"/>
    <x v="20"/>
    <n v="1"/>
    <s v="REALIZADO"/>
    <s v="BRUNO"/>
    <d v="2025-11-26T00:00:00"/>
    <x v="0"/>
  </r>
  <r>
    <n v="61955"/>
    <s v="NELSON JUNIOR"/>
    <s v="MME"/>
    <s v="1º TURNO"/>
    <n v="50043917"/>
    <x v="66"/>
    <n v="1"/>
    <s v="REALIZADO"/>
    <s v="BRUNO"/>
    <d v="2025-11-26T00:00:00"/>
    <x v="2"/>
  </r>
  <r>
    <n v="62471"/>
    <s v="ELTON LIMA"/>
    <s v="MME"/>
    <s v="ADM"/>
    <n v="50037902"/>
    <x v="14"/>
    <n v="1"/>
    <s v="REALIZADO"/>
    <s v="BRUNO"/>
    <d v="2025-11-26T00:00:00"/>
    <x v="0"/>
  </r>
  <r>
    <n v="62180"/>
    <s v="JOSE AUGUSTO MASSUCHINI"/>
    <s v="MMG"/>
    <s v="ADM"/>
    <n v="50041195"/>
    <x v="21"/>
    <n v="1"/>
    <s v="REALIZADO"/>
    <s v="BRUNO"/>
    <d v="2025-11-26T00:00:00"/>
    <x v="2"/>
  </r>
  <r>
    <n v="62180"/>
    <s v="JOSE AUGUSTO MASSUCHINI"/>
    <s v="MMG"/>
    <s v="ADM"/>
    <n v="50041195"/>
    <x v="21"/>
    <n v="1"/>
    <s v="REALIZADO"/>
    <s v="BRUNO"/>
    <d v="2025-11-26T00:00:00"/>
    <x v="2"/>
  </r>
  <r>
    <n v="61955"/>
    <s v="NELSON JUNIOR"/>
    <s v="MME"/>
    <s v="1º TURNO"/>
    <n v="50043917"/>
    <x v="66"/>
    <n v="1"/>
    <s v="REALIZADO"/>
    <s v="BRUNO"/>
    <d v="2025-11-26T00:00:00"/>
    <x v="2"/>
  </r>
  <r>
    <n v="66830"/>
    <s v="MARCIO GOMES DA SILVA"/>
    <s v="MPR"/>
    <s v="ADM"/>
    <n v="50038956"/>
    <x v="10"/>
    <n v="1"/>
    <s v="REALIZADO"/>
    <s v="BRUNO"/>
    <d v="2025-11-26T00:00:00"/>
    <x v="2"/>
  </r>
  <r>
    <n v="70105"/>
    <s v="RONALDO DE SOUZA SANTOS"/>
    <s v="MMG"/>
    <s v="2º TURNO"/>
    <n v="50038517"/>
    <x v="0"/>
    <n v="1"/>
    <s v="REALIZADO"/>
    <s v="BRUNO"/>
    <d v="2025-11-26T00:00:00"/>
    <x v="0"/>
  </r>
  <r>
    <n v="62180"/>
    <s v="JOSE AUGUSTO MASSUCHINI"/>
    <s v="MMG"/>
    <s v="ADM"/>
    <n v="50032781"/>
    <x v="12"/>
    <n v="1"/>
    <s v="REALIZADO"/>
    <s v="BRUNO"/>
    <d v="2025-11-26T00:00:00"/>
    <x v="2"/>
  </r>
  <r>
    <n v="63684"/>
    <s v="LUAN ALMEIDA"/>
    <s v="MME"/>
    <s v="1º TURNO"/>
    <n v="50044003"/>
    <x v="63"/>
    <n v="1"/>
    <s v="REALIZADO"/>
    <s v="BRUNO"/>
    <d v="2025-11-26T00:00:00"/>
    <x v="0"/>
  </r>
  <r>
    <n v="73878"/>
    <s v="EVANDRO TANAKA"/>
    <s v="MMG"/>
    <s v="ADM"/>
    <n v="50039718"/>
    <x v="11"/>
    <n v="1"/>
    <s v="REALIZADO"/>
    <s v="BRUNO"/>
    <d v="2025-11-26T00:00:00"/>
    <x v="0"/>
  </r>
  <r>
    <n v="62180"/>
    <s v="JOSE AUGUSTO MASSUCHINI"/>
    <s v="MMG"/>
    <s v="ADM"/>
    <n v="50039718"/>
    <x v="11"/>
    <n v="1"/>
    <s v="REALIZADO"/>
    <s v="BRUNO"/>
    <d v="2025-11-26T00:00:00"/>
    <x v="2"/>
  </r>
  <r>
    <n v="62137"/>
    <s v="RAFAEL AMORIM"/>
    <s v="MME"/>
    <s v="1º TURNO"/>
    <n v="50037892"/>
    <x v="2"/>
    <n v="1"/>
    <s v="REALIZADO"/>
    <s v="BRUNO"/>
    <d v="2025-11-26T00:00:00"/>
    <x v="2"/>
  </r>
  <r>
    <n v="62180"/>
    <s v="JOSE AUGUSTO MASSUCHINI"/>
    <s v="MMG"/>
    <s v="ADM"/>
    <n v="50032781"/>
    <x v="12"/>
    <n v="1"/>
    <s v="REALIZADO"/>
    <s v="BRUNO"/>
    <d v="2025-11-26T00:00:00"/>
    <x v="2"/>
  </r>
  <r>
    <n v="62180"/>
    <s v="JOSE AUGUSTO MASSUCHINI"/>
    <s v="MMG"/>
    <s v="ADM"/>
    <n v="50039718"/>
    <x v="11"/>
    <n v="1"/>
    <s v="REALIZADO"/>
    <s v="BRUNO"/>
    <d v="2025-11-26T00:00:00"/>
    <x v="0"/>
  </r>
  <r>
    <n v="78886"/>
    <s v="DOUGLAS FELICIANO MENDES DE OLIVEIRA"/>
    <s v="MME"/>
    <s v="ADM"/>
    <n v="50038841"/>
    <x v="34"/>
    <n v="1"/>
    <s v="REALIZADO"/>
    <s v="AGATHA"/>
    <d v="2025-11-25T00:00:00"/>
    <x v="0"/>
  </r>
  <r>
    <n v="77594"/>
    <s v="VINICIUS ROBLES"/>
    <s v="MME"/>
    <s v="ADM"/>
    <n v="50003297"/>
    <x v="8"/>
    <n v="1"/>
    <s v="REALIZADO"/>
    <s v="AGATHA"/>
    <d v="2025-11-25T00:00:00"/>
    <x v="0"/>
  </r>
  <r>
    <n v="66830"/>
    <s v="MARCIO GOMES DA SILVA"/>
    <s v="MPR"/>
    <s v="ADM"/>
    <n v="50037916"/>
    <x v="70"/>
    <n v="1"/>
    <s v="REALIZADO"/>
    <s v="AGATHA"/>
    <d v="2025-11-25T00:00:00"/>
    <x v="0"/>
  </r>
  <r>
    <n v="72707"/>
    <s v="LEONARDO DOS SANTOS"/>
    <s v="MPR"/>
    <s v="ADM"/>
    <n v="50043917"/>
    <x v="66"/>
    <n v="1"/>
    <s v="REALIZADO"/>
    <s v="AGATHA"/>
    <d v="2025-11-25T00:00:00"/>
    <x v="0"/>
  </r>
  <r>
    <n v="58068"/>
    <s v="REGINALDO PEREIRA"/>
    <s v="MME"/>
    <s v="ADM"/>
    <n v="50043471"/>
    <x v="5"/>
    <n v="1"/>
    <s v="REALIZADO"/>
    <s v="AGATHA"/>
    <d v="2025-11-25T00:00:00"/>
    <x v="0"/>
  </r>
  <r>
    <n v="72715"/>
    <s v="DANIEL CAMAÇARI DE OLIVEIRA"/>
    <s v="MPR"/>
    <s v="ADM"/>
    <n v="50038854"/>
    <x v="27"/>
    <n v="1"/>
    <s v="REALIZADO"/>
    <s v="AGATHA"/>
    <d v="2025-11-25T00:00:00"/>
    <x v="0"/>
  </r>
  <r>
    <n v="77471"/>
    <s v="DANILO BARBOSA"/>
    <s v="MEE"/>
    <s v="ADM"/>
    <n v="50041195"/>
    <x v="21"/>
    <n v="1"/>
    <s v="REALIZADO"/>
    <s v="AGATHA"/>
    <d v="2025-11-25T00:00:00"/>
    <x v="0"/>
  </r>
  <r>
    <n v="61761"/>
    <s v="JOAO BORTOLI"/>
    <s v="MEE"/>
    <s v="2º TURNO"/>
    <n v="50029865"/>
    <x v="9"/>
    <n v="1"/>
    <s v="REALIZADO"/>
    <s v="AGATHA"/>
    <d v="2025-11-25T00:00:00"/>
    <x v="2"/>
  </r>
  <r>
    <n v="72715"/>
    <s v="DANIEL CAMAÇARI DE OLIVEIRA"/>
    <s v="MPR"/>
    <s v="ADM"/>
    <n v="50038854"/>
    <x v="27"/>
    <n v="1"/>
    <s v="REALIZADO"/>
    <s v="AGATHA"/>
    <d v="2025-11-25T00:00:00"/>
    <x v="2"/>
  </r>
  <r>
    <n v="58068"/>
    <s v="REGINALDO PEREIRA"/>
    <s v="MME"/>
    <s v="ADM"/>
    <n v="50043471"/>
    <x v="5"/>
    <n v="1"/>
    <s v="REALIZADO"/>
    <s v="AGATHA"/>
    <d v="2025-11-25T00:00:00"/>
    <x v="2"/>
  </r>
  <r>
    <n v="61761"/>
    <s v="JOAO BORTOLI"/>
    <s v="MEE"/>
    <s v="2º TURNO"/>
    <n v="50029865"/>
    <x v="9"/>
    <n v="1"/>
    <s v="REALIZADO"/>
    <s v="AGATHA"/>
    <d v="2025-11-25T00:00:00"/>
    <x v="0"/>
  </r>
  <r>
    <n v="62640"/>
    <s v="MARCELINHO"/>
    <s v="MPR"/>
    <s v="ADM"/>
    <n v="50038956"/>
    <x v="10"/>
    <n v="1"/>
    <s v="REALIZADO"/>
    <s v="AGATHA"/>
    <d v="2025-11-25T00:00:00"/>
    <x v="0"/>
  </r>
  <r>
    <n v="62640"/>
    <s v="MARCELINHO"/>
    <s v="MPR"/>
    <s v="ADM"/>
    <n v="50038854"/>
    <x v="27"/>
    <n v="1"/>
    <s v="REALIZADO"/>
    <s v="AGATHA"/>
    <d v="2025-11-25T00:00:00"/>
    <x v="0"/>
  </r>
  <r>
    <n v="79177"/>
    <s v="MAICON ANTONIO SANTOS"/>
    <s v="MMG"/>
    <s v="ADM"/>
    <n v="50039065"/>
    <x v="22"/>
    <n v="1"/>
    <s v="REALIZADO"/>
    <s v="AGATHA"/>
    <d v="2025-11-25T00:00:00"/>
    <x v="0"/>
  </r>
  <r>
    <n v="79177"/>
    <s v="MAICON ANTONIO SANTOS"/>
    <s v="MMG"/>
    <s v="ADM"/>
    <n v="50037949"/>
    <x v="71"/>
    <n v="1"/>
    <s v="REALIZADO"/>
    <s v="AGATHA"/>
    <d v="2025-11-25T00:00:00"/>
    <x v="0"/>
  </r>
  <r>
    <n v="79177"/>
    <s v="MAICON ANTONIO SANTOS"/>
    <s v="MMG"/>
    <s v="ADM"/>
    <n v="50038517"/>
    <x v="0"/>
    <n v="1"/>
    <s v="REALIZADO"/>
    <s v="AGATHA"/>
    <d v="2025-11-25T00:00:00"/>
    <x v="2"/>
  </r>
  <r>
    <n v="73878"/>
    <s v="EVANDRO TANAKA"/>
    <s v="MMG"/>
    <s v="ADM"/>
    <n v="50039718"/>
    <x v="11"/>
    <n v="1"/>
    <s v="REALIZADO"/>
    <s v="AGATHA"/>
    <d v="2025-11-25T00:00:00"/>
    <x v="2"/>
  </r>
  <r>
    <n v="62033"/>
    <s v="ODAIR JOSE DA SILVA"/>
    <s v="MME"/>
    <s v="2º TURNO"/>
    <n v="50040566"/>
    <x v="32"/>
    <n v="1"/>
    <s v="REALIZADO"/>
    <s v="AGATHA"/>
    <d v="2025-11-25T00:00:00"/>
    <x v="2"/>
  </r>
  <r>
    <n v="77594"/>
    <s v="VINICIUS ROBLES"/>
    <s v="MME"/>
    <s v="ADM"/>
    <n v="50003297"/>
    <x v="8"/>
    <n v="1"/>
    <s v="REALIZADO"/>
    <s v="AGATHA"/>
    <d v="2025-11-25T00:00:00"/>
    <x v="2"/>
  </r>
  <r>
    <n v="79177"/>
    <s v="MAICON ANTONIO SANTOS"/>
    <s v="MMG"/>
    <s v="ADM"/>
    <n v="50037949"/>
    <x v="71"/>
    <n v="1"/>
    <s v="REALIZADO"/>
    <s v="AGATHA"/>
    <d v="2025-11-25T00:00:00"/>
    <x v="0"/>
  </r>
  <r>
    <n v="62137"/>
    <s v="RAFAEL AMORIM"/>
    <s v="MME"/>
    <s v="1º TURNO"/>
    <n v="50043471"/>
    <x v="5"/>
    <n v="1"/>
    <s v="REALIZADO"/>
    <s v="AGATHA"/>
    <d v="2025-11-25T00:00:00"/>
    <x v="2"/>
  </r>
  <r>
    <n v="79177"/>
    <s v="MAICON ANTONIO SANTOS"/>
    <s v="MMG"/>
    <s v="ADM"/>
    <n v="50038517"/>
    <x v="0"/>
    <n v="1"/>
    <s v="REALIZADO"/>
    <s v="AGATHA"/>
    <d v="2025-11-25T00:00:00"/>
    <x v="2"/>
  </r>
  <r>
    <n v="77471"/>
    <s v="DANILO BARBOSA"/>
    <s v="MEE"/>
    <s v="ADM"/>
    <n v="50041195"/>
    <x v="21"/>
    <n v="1"/>
    <s v="REALIZADO"/>
    <s v="AGATHA"/>
    <d v="2025-11-25T00:00:00"/>
    <x v="2"/>
  </r>
  <r>
    <n v="79177"/>
    <s v="MAICON ANTONIO SANTOS"/>
    <s v="MMG"/>
    <s v="ADM"/>
    <n v="50039065"/>
    <x v="22"/>
    <n v="1"/>
    <s v="REALIZADO"/>
    <s v="AGATHA"/>
    <d v="2025-11-25T00:00:00"/>
    <x v="0"/>
  </r>
  <r>
    <n v="63713"/>
    <s v="BRUNO DIAS"/>
    <s v="MME"/>
    <s v="ADM"/>
    <n v="50003297"/>
    <x v="8"/>
    <n v="1"/>
    <s v="REALIZADO"/>
    <s v="AGATHA"/>
    <d v="2025-11-25T00:00:00"/>
    <x v="0"/>
  </r>
  <r>
    <n v="72713"/>
    <s v="MARCOS AURELIO"/>
    <s v="MPR"/>
    <s v="ADM"/>
    <n v="50041195"/>
    <x v="21"/>
    <n v="1"/>
    <s v="REALIZADO"/>
    <s v="AGATHA"/>
    <d v="2025-11-25T00:00:00"/>
    <x v="2"/>
  </r>
  <r>
    <n v="62640"/>
    <s v="MARCELINHO"/>
    <s v="MPR"/>
    <s v="ADM"/>
    <n v="50038854"/>
    <x v="27"/>
    <n v="1"/>
    <s v="REALIZADO"/>
    <s v="MARCIA"/>
    <d v="2025-11-25T00:00:00"/>
    <x v="2"/>
  </r>
  <r>
    <n v="62640"/>
    <s v="MARCELINHO"/>
    <s v="MPR"/>
    <s v="ADM"/>
    <n v="50038956"/>
    <x v="10"/>
    <n v="1"/>
    <s v="REALIZADO"/>
    <s v="MARCIA"/>
    <d v="2025-11-25T00:00:00"/>
    <x v="2"/>
  </r>
  <r>
    <n v="66830"/>
    <s v="MARCIO GOMES DA SILVA"/>
    <s v="MPR"/>
    <s v="ADM"/>
    <n v="50037916"/>
    <x v="70"/>
    <n v="1"/>
    <s v="REALIZADO"/>
    <s v="MARCIA"/>
    <d v="2025-11-25T00:00:00"/>
    <x v="2"/>
  </r>
  <r>
    <n v="63713"/>
    <s v="BRUNO DIAS"/>
    <s v="MME"/>
    <s v="ADM"/>
    <n v="50003297"/>
    <x v="8"/>
    <n v="1"/>
    <s v="REALIZADO"/>
    <s v="MARCIA"/>
    <d v="2025-11-25T00:00:00"/>
    <x v="0"/>
  </r>
  <r>
    <n v="79177"/>
    <s v="MAICON ANTONIO SANTOS"/>
    <s v="MMG"/>
    <s v="ADM"/>
    <n v="50037892"/>
    <x v="2"/>
    <n v="1"/>
    <s v="REALIZADO"/>
    <s v="MATHEUS"/>
    <d v="2025-11-25T00:00:00"/>
    <x v="0"/>
  </r>
  <r>
    <n v="79177"/>
    <s v="MAICON ANTONIO SANTOS"/>
    <s v="MMG"/>
    <s v="ADM"/>
    <n v="50039065"/>
    <x v="22"/>
    <n v="1"/>
    <s v="REALIZADO"/>
    <s v="MATHEUS"/>
    <d v="2025-11-25T00:00:00"/>
    <x v="2"/>
  </r>
  <r>
    <n v="62137"/>
    <s v="RAFAEL AMORIM"/>
    <s v="MME"/>
    <s v="1º TURNO"/>
    <n v="50043471"/>
    <x v="5"/>
    <n v="1"/>
    <s v="REALIZADO"/>
    <s v="MATHEUS"/>
    <d v="2025-11-25T00:00:00"/>
    <x v="0"/>
  </r>
  <r>
    <n v="77708"/>
    <s v="FABIO JUSTINO"/>
    <s v="MPR"/>
    <s v="ADM"/>
    <n v="50020623"/>
    <x v="42"/>
    <n v="1"/>
    <s v="REALIZADO"/>
    <s v="MATHEUS"/>
    <d v="2025-11-25T00:00:00"/>
    <x v="2"/>
  </r>
  <r>
    <n v="78886"/>
    <s v="DOUGLAS FELICIANO MENDES DE OLIVEIRA"/>
    <s v="MME"/>
    <s v="ADM"/>
    <n v="50038841"/>
    <x v="34"/>
    <n v="1"/>
    <s v="REALIZADO"/>
    <s v="MATHEUS"/>
    <d v="2025-11-25T00:00:00"/>
    <x v="0"/>
  </r>
  <r>
    <n v="77313"/>
    <s v="ROGERIO"/>
    <s v="MPR"/>
    <s v="ADM"/>
    <n v="50038841"/>
    <x v="34"/>
    <n v="1"/>
    <s v="REALIZADO"/>
    <s v="MATHEUS"/>
    <d v="2025-11-25T00:00:00"/>
    <x v="2"/>
  </r>
  <r>
    <n v="72707"/>
    <s v="LEONARDO DOS SANTOS"/>
    <s v="MPR"/>
    <s v="ADM"/>
    <n v="50043917"/>
    <x v="66"/>
    <n v="1"/>
    <s v="REALIZADO"/>
    <s v="MATHEUS"/>
    <d v="2025-11-25T00:00:00"/>
    <x v="2"/>
  </r>
  <r>
    <n v="77313"/>
    <s v="ROGERIO"/>
    <s v="MPR"/>
    <s v="ADM"/>
    <n v="50038841"/>
    <x v="34"/>
    <n v="1"/>
    <s v="REALIZADO"/>
    <s v="MATHEUS"/>
    <d v="2025-11-25T00:00:00"/>
    <x v="2"/>
  </r>
  <r>
    <n v="79177"/>
    <s v="MAICON ANTONIO SANTOS"/>
    <s v="MMG"/>
    <s v="ADM"/>
    <n v="50039065"/>
    <x v="22"/>
    <n v="1"/>
    <s v="REALIZADO"/>
    <s v="MATHEUS"/>
    <d v="2025-11-25T00:00:00"/>
    <x v="2"/>
  </r>
  <r>
    <n v="72713"/>
    <s v="MARCOS AURELIO"/>
    <s v="MPR"/>
    <s v="ADM"/>
    <n v="50041195"/>
    <x v="21"/>
    <n v="1"/>
    <s v="REALIZADO"/>
    <s v="MATHEUS"/>
    <d v="2025-11-25T00:00:00"/>
    <x v="2"/>
  </r>
  <r>
    <n v="79177"/>
    <s v="MAICON ANTONIO SANTOS"/>
    <s v="MMG"/>
    <s v="ADM"/>
    <n v="50037892"/>
    <x v="2"/>
    <n v="1"/>
    <s v="REALIZADO"/>
    <s v="MATHEUS"/>
    <d v="2025-11-25T00:00:00"/>
    <x v="0"/>
  </r>
  <r>
    <n v="73878"/>
    <s v="EVANDRO TANAKA"/>
    <s v="MMG"/>
    <s v="ADM"/>
    <n v="50038956"/>
    <x v="10"/>
    <n v="1"/>
    <s v="REALIZADO"/>
    <s v="KELLY"/>
    <d v="2025-11-24T00:00:00"/>
    <x v="0"/>
  </r>
  <r>
    <n v="62033"/>
    <s v="ODAIR JOSE DA SILVA"/>
    <s v="MME"/>
    <s v="2º TURNO"/>
    <n v="50040566"/>
    <x v="32"/>
    <n v="1"/>
    <s v="REALIZADO"/>
    <s v="KELLY"/>
    <d v="2025-11-24T00:00:00"/>
    <x v="2"/>
  </r>
  <r>
    <n v="65472"/>
    <s v="ISRAEL MACEDO"/>
    <s v="MMG"/>
    <s v="ADM"/>
    <n v="50038626"/>
    <x v="72"/>
    <n v="1"/>
    <s v="REALIZADO"/>
    <s v="KELLY"/>
    <d v="2025-11-24T00:00:00"/>
    <x v="0"/>
  </r>
  <r>
    <n v="79177"/>
    <s v="MAICON ANTONIO SANTOS"/>
    <s v="MMG"/>
    <s v="ADM"/>
    <n v="50039718"/>
    <x v="11"/>
    <n v="1"/>
    <s v="REALIZADO"/>
    <s v="AGATHA"/>
    <d v="2025-11-24T00:00:00"/>
    <x v="2"/>
  </r>
  <r>
    <n v="62033"/>
    <s v="ODAIR JOSE DA SILVA"/>
    <s v="MME"/>
    <s v="2º TURNO"/>
    <n v="50040566"/>
    <x v="32"/>
    <n v="1"/>
    <s v="REALIZADO"/>
    <s v="AGATHA"/>
    <d v="2025-11-24T00:00:00"/>
    <x v="0"/>
  </r>
  <r>
    <n v="70105"/>
    <s v="RONALDO DE SOUZA SANTOS"/>
    <s v="MMG"/>
    <s v="2º TURNO"/>
    <n v="50012902"/>
    <x v="30"/>
    <n v="1"/>
    <s v="REALIZADO"/>
    <s v="AGATHA"/>
    <d v="2025-11-24T00:00:00"/>
    <x v="0"/>
  </r>
  <r>
    <n v="72715"/>
    <s v="DANIEL CAMAÇARI DE OLIVEIRA"/>
    <s v="MPR"/>
    <s v="ADM"/>
    <n v="50036086"/>
    <x v="3"/>
    <n v="1"/>
    <s v="REALIZADO"/>
    <s v="AGATHA"/>
    <d v="2025-11-24T00:00:00"/>
    <x v="2"/>
  </r>
  <r>
    <n v="66790"/>
    <s v="EVERTON BOLOGNES"/>
    <s v="MMG"/>
    <s v="2º TURNO"/>
    <n v="50042283"/>
    <x v="47"/>
    <n v="1"/>
    <s v="REALIZADO"/>
    <s v="AGATHA"/>
    <d v="2025-11-24T00:00:00"/>
    <x v="2"/>
  </r>
  <r>
    <n v="66790"/>
    <s v="EVERTON BOLOGNES"/>
    <s v="MMG"/>
    <s v="2º TURNO"/>
    <n v="50041095"/>
    <x v="15"/>
    <n v="1"/>
    <s v="REALIZADO"/>
    <s v="AGATHA"/>
    <d v="2025-11-24T00:00:00"/>
    <x v="0"/>
  </r>
  <r>
    <n v="77471"/>
    <s v="DANILO BARBOSA"/>
    <s v="MEE"/>
    <s v="ADM"/>
    <n v="50041195"/>
    <x v="21"/>
    <n v="1"/>
    <s v="REALIZADO"/>
    <s v="AGATHA"/>
    <d v="2025-11-24T00:00:00"/>
    <x v="0"/>
  </r>
  <r>
    <n v="78886"/>
    <s v="DOUGLAS FELICIANO MENDES DE OLIVEIRA"/>
    <s v="MME"/>
    <s v="ADM"/>
    <n v="50038517"/>
    <x v="0"/>
    <n v="1"/>
    <s v="REALIZADO"/>
    <s v="AGATHA"/>
    <d v="2025-11-24T00:00:00"/>
    <x v="2"/>
  </r>
  <r>
    <n v="79177"/>
    <s v="MAICON ANTONIO SANTOS"/>
    <s v="MMG"/>
    <s v="ADM"/>
    <n v="50039718"/>
    <x v="11"/>
    <n v="1"/>
    <s v="REALIZADO"/>
    <s v="AGATHA"/>
    <d v="2025-11-24T00:00:00"/>
    <x v="2"/>
  </r>
  <r>
    <n v="72715"/>
    <s v="DANIEL CAMAÇARI DE OLIVEIRA"/>
    <s v="MPR"/>
    <s v="ADM"/>
    <n v="50036086"/>
    <x v="3"/>
    <n v="1"/>
    <s v="REALIZADO"/>
    <s v="AGATHA"/>
    <d v="2025-11-24T00:00:00"/>
    <x v="2"/>
  </r>
  <r>
    <n v="73878"/>
    <s v="EVANDRO TANAKA"/>
    <s v="MMG"/>
    <s v="ADM"/>
    <n v="50038956"/>
    <x v="10"/>
    <n v="1"/>
    <s v="REALIZADO"/>
    <s v="AGATHA"/>
    <d v="2025-11-24T00:00:00"/>
    <x v="2"/>
  </r>
  <r>
    <n v="70105"/>
    <s v="RONALDO DE SOUZA SANTOS"/>
    <s v="MMG"/>
    <s v="2º TURNO"/>
    <n v="50012902"/>
    <x v="30"/>
    <n v="1"/>
    <s v="REALIZADO"/>
    <s v="AGATHA"/>
    <d v="2025-11-24T00:00:00"/>
    <x v="0"/>
  </r>
  <r>
    <n v="79177"/>
    <s v="MAICON ANTONIO SANTOS"/>
    <s v="MMG"/>
    <s v="ADM"/>
    <n v="50038854"/>
    <x v="27"/>
    <n v="1"/>
    <s v="REALIZADO"/>
    <s v="AGATHA"/>
    <d v="2025-11-24T00:00:00"/>
    <x v="0"/>
  </r>
  <r>
    <n v="77708"/>
    <s v="FABIO JUSTINO"/>
    <s v="MPR"/>
    <s v="ADM"/>
    <n v="50020623"/>
    <x v="42"/>
    <n v="1"/>
    <s v="REALIZADO"/>
    <s v="AGATHA"/>
    <d v="2025-11-24T00:00:00"/>
    <x v="0"/>
  </r>
  <r>
    <n v="77708"/>
    <s v="FABIO JUSTINO"/>
    <s v="MPR"/>
    <s v="ADM"/>
    <n v="50043917"/>
    <x v="66"/>
    <n v="1"/>
    <s v="REALIZADO"/>
    <s v="AGATHA"/>
    <d v="2025-11-24T00:00:00"/>
    <x v="2"/>
  </r>
  <r>
    <n v="79177"/>
    <s v="MAICON ANTONIO SANTOS"/>
    <s v="MMG"/>
    <s v="ADM"/>
    <n v="50038854"/>
    <x v="27"/>
    <n v="1"/>
    <s v="REALIZADO"/>
    <s v="MARCIA"/>
    <d v="2025-11-24T00:00:00"/>
    <x v="2"/>
  </r>
  <r>
    <n v="77708"/>
    <s v="FABIO JUSTINO"/>
    <s v="MPR"/>
    <s v="ADM"/>
    <n v="50020623"/>
    <x v="42"/>
    <n v="1"/>
    <s v="REALIZADO"/>
    <s v="MARCIA"/>
    <d v="2025-11-24T00:00:00"/>
    <x v="2"/>
  </r>
  <r>
    <n v="77708"/>
    <s v="FABIO JUSTINO"/>
    <s v="MPR"/>
    <s v="ADM"/>
    <n v="50043917"/>
    <x v="66"/>
    <n v="1"/>
    <s v="REALIZADO"/>
    <s v="MARCIA"/>
    <d v="2025-11-24T00:00:00"/>
    <x v="0"/>
  </r>
  <r>
    <n v="77594"/>
    <s v="VINICIUS ROBLES"/>
    <s v="MME"/>
    <s v="ADM"/>
    <n v="50043917"/>
    <x v="66"/>
    <n v="1"/>
    <s v="REALIZADO"/>
    <s v="BRUNO"/>
    <d v="2025-11-24T00:00:00"/>
    <x v="0"/>
  </r>
  <r>
    <n v="62896"/>
    <s v="LEONARDO BORGES"/>
    <s v="MEE"/>
    <s v="ADM"/>
    <n v="50038841"/>
    <x v="34"/>
    <n v="1"/>
    <s v="REALIZADO"/>
    <s v="BRUNO"/>
    <d v="2025-11-24T00:00:00"/>
    <x v="0"/>
  </r>
  <r>
    <n v="74950"/>
    <s v="DANIEL ARAUJO ROCHA"/>
    <s v="MTC"/>
    <s v="ADM"/>
    <n v="50039065"/>
    <x v="22"/>
    <n v="1"/>
    <s v="REALIZADO"/>
    <s v="MATHEUS"/>
    <d v="2025-11-24T00:00:00"/>
    <x v="2"/>
  </r>
  <r>
    <n v="78886"/>
    <s v="DOUGLAS FELICIANO MENDES DE OLIVEIRA"/>
    <s v="MME"/>
    <s v="ADM"/>
    <n v="50038517"/>
    <x v="0"/>
    <n v="1"/>
    <s v="REALIZADO"/>
    <s v="BRUNO"/>
    <d v="2025-11-24T00:00:00"/>
    <x v="2"/>
  </r>
  <r>
    <n v="62896"/>
    <s v="LEONARDO BORGES"/>
    <s v="MEE"/>
    <s v="ADM"/>
    <n v="50038841"/>
    <x v="34"/>
    <n v="1"/>
    <s v="REALIZADO"/>
    <s v="BRUNO"/>
    <d v="2025-11-24T00:00:00"/>
    <x v="0"/>
  </r>
  <r>
    <n v="63713"/>
    <s v="BRUNO DIAS"/>
    <s v="MME"/>
    <s v="ADM"/>
    <n v="50038841"/>
    <x v="34"/>
    <n v="1"/>
    <s v="REALIZADO"/>
    <s v="BRUNO"/>
    <d v="2025-11-24T00:00:00"/>
    <x v="2"/>
  </r>
  <r>
    <n v="63713"/>
    <s v="BRUNO DIAS"/>
    <s v="MME"/>
    <s v="ADM"/>
    <n v="50038841"/>
    <x v="34"/>
    <n v="1"/>
    <s v="REALIZADO"/>
    <s v="BRUNO"/>
    <d v="2025-11-24T00:00:00"/>
    <x v="0"/>
  </r>
  <r>
    <n v="77594"/>
    <s v="VINICIUS ROBLES"/>
    <s v="MME"/>
    <s v="ADM"/>
    <n v="50037892"/>
    <x v="2"/>
    <n v="1"/>
    <s v="REALIZADO"/>
    <s v="BRUNO"/>
    <d v="2025-11-24T00:00:00"/>
    <x v="2"/>
  </r>
  <r>
    <n v="74950"/>
    <s v="DANIEL ARAUJO ROCHA"/>
    <s v="MTC"/>
    <s v="ADM"/>
    <n v="50039065"/>
    <x v="22"/>
    <n v="1"/>
    <s v="REALIZADO"/>
    <s v="BRUNO"/>
    <d v="2025-11-24T00:00:00"/>
    <x v="2"/>
  </r>
  <r>
    <n v="77594"/>
    <s v="VINICIUS ROBLES"/>
    <s v="MME"/>
    <s v="ADM"/>
    <n v="50037892"/>
    <x v="2"/>
    <n v="1"/>
    <s v="REALIZADO"/>
    <s v="BRUNO"/>
    <d v="2025-11-24T00:00:00"/>
    <x v="0"/>
  </r>
  <r>
    <n v="61955"/>
    <s v="NELSON JUNIOR"/>
    <s v="MME"/>
    <s v="1º TURNO"/>
    <n v="50038517"/>
    <x v="0"/>
    <n v="1"/>
    <s v="REALIZADO"/>
    <s v="BRUNO"/>
    <d v="2025-11-24T00:00:00"/>
    <x v="0"/>
  </r>
  <r>
    <n v="61955"/>
    <s v="NELSON JUNIOR"/>
    <s v="MME"/>
    <s v="1º TURNO"/>
    <n v="50039065"/>
    <x v="22"/>
    <n v="1"/>
    <s v="REALIZADO"/>
    <s v="BRUNO"/>
    <d v="2025-11-24T00:00:00"/>
    <x v="0"/>
  </r>
  <r>
    <n v="78886"/>
    <s v="DOUGLAS FELICIANO MENDES DE OLIVEIRA"/>
    <s v="MME"/>
    <s v="ADM"/>
    <n v="50038956"/>
    <x v="10"/>
    <n v="1"/>
    <s v="REALIZADO"/>
    <s v="BRUNO"/>
    <d v="2025-11-24T00:00:00"/>
    <x v="2"/>
  </r>
  <r>
    <n v="77594"/>
    <s v="VINICIUS ROBLES"/>
    <s v="MME"/>
    <s v="ADM"/>
    <n v="50043917"/>
    <x v="66"/>
    <n v="1"/>
    <s v="REALIZADO"/>
    <s v="BRUNO"/>
    <d v="2025-11-24T00:00:00"/>
    <x v="2"/>
  </r>
  <r>
    <n v="61955"/>
    <s v="NELSON JUNIOR"/>
    <s v="MME"/>
    <s v="1º TURNO"/>
    <n v="50039065"/>
    <x v="22"/>
    <n v="1"/>
    <s v="REALIZADO"/>
    <s v="BRUNO"/>
    <d v="2025-11-24T00:00:00"/>
    <x v="2"/>
  </r>
  <r>
    <n v="70105"/>
    <s v="RONALDO DE SOUZA SANTOS"/>
    <s v="MMG"/>
    <s v="2º TURNO"/>
    <n v="50037958"/>
    <x v="73"/>
    <n v="1"/>
    <s v="REALIZADO"/>
    <s v="BRUNO"/>
    <d v="2025-11-24T00:00:00"/>
    <x v="2"/>
  </r>
  <r>
    <n v="70105"/>
    <s v="RONALDO DE SOUZA SANTOS"/>
    <s v="MMG"/>
    <s v="2º TURNO"/>
    <n v="50037957"/>
    <x v="74"/>
    <n v="1"/>
    <s v="REALIZADO"/>
    <s v="BRUNO"/>
    <d v="2025-11-24T00:00:00"/>
    <x v="2"/>
  </r>
  <r>
    <n v="61955"/>
    <s v="NELSON JUNIOR"/>
    <s v="MME"/>
    <s v="1º TURNO"/>
    <n v="50038517"/>
    <x v="0"/>
    <n v="1"/>
    <s v="REALIZADO"/>
    <s v="BRUNO"/>
    <d v="2025-11-24T00:00:00"/>
    <x v="0"/>
  </r>
  <r>
    <n v="76239"/>
    <s v="GEOVANNY ALEXANDER"/>
    <s v="REFRIG"/>
    <s v="ADM"/>
    <n v="50003297"/>
    <x v="8"/>
    <n v="1"/>
    <s v="REALIZADO"/>
    <s v="BRUNO"/>
    <d v="2025-11-24T00:00:00"/>
    <x v="2"/>
  </r>
  <r>
    <n v="78886"/>
    <s v="DOUGLAS FELICIANO MENDES DE OLIVEIRA"/>
    <s v="MME"/>
    <s v="ADM"/>
    <n v="50038956"/>
    <x v="10"/>
    <n v="1"/>
    <s v="REALIZADO"/>
    <s v="BRUNO"/>
    <d v="2025-11-24T00:00:00"/>
    <x v="0"/>
  </r>
  <r>
    <n v="70105"/>
    <s v="RONALDO DE SOUZA SANTOS"/>
    <s v="MMG"/>
    <s v="2º TURNO"/>
    <n v="50038841"/>
    <x v="34"/>
    <n v="1"/>
    <s v="REALIZADO"/>
    <s v="BRUNO"/>
    <d v="2025-11-24T00:00:00"/>
    <x v="2"/>
  </r>
  <r>
    <n v="70105"/>
    <s v="RONALDO DE SOUZA SANTOS"/>
    <s v="MMG"/>
    <s v="2º TURNO"/>
    <n v="50038841"/>
    <x v="34"/>
    <n v="1"/>
    <s v="REALIZADO"/>
    <s v="BRUNO"/>
    <d v="2025-11-24T00:00:00"/>
    <x v="0"/>
  </r>
  <r>
    <n v="60953"/>
    <s v="PABLO JUNIOR"/>
    <s v="MMG"/>
    <s v="1º TURNO"/>
    <n v="50043917"/>
    <x v="66"/>
    <n v="1"/>
    <s v="REALIZADO"/>
    <s v="BRUNO"/>
    <d v="2025-11-24T00:00:00"/>
    <x v="2"/>
  </r>
  <r>
    <n v="76239"/>
    <s v="GEOVANNY ALEXANDER"/>
    <s v="REFRIG"/>
    <s v="ADM"/>
    <n v="50003297"/>
    <x v="8"/>
    <n v="1"/>
    <s v="REALIZADO"/>
    <s v="BRUNO"/>
    <d v="2025-11-24T00:00:00"/>
    <x v="2"/>
  </r>
  <r>
    <n v="60953"/>
    <s v="PABLO JUNIOR"/>
    <s v="MMG"/>
    <s v="1º TURNO"/>
    <n v="50043917"/>
    <x v="66"/>
    <n v="1"/>
    <s v="REALIZADO"/>
    <s v="BRUNO"/>
    <d v="2025-11-24T00:00:00"/>
    <x v="2"/>
  </r>
  <r>
    <n v="77471"/>
    <s v="DANILO BARBOSA"/>
    <s v="MEE"/>
    <s v="ADM"/>
    <n v="50041195"/>
    <x v="21"/>
    <n v="1"/>
    <s v="REALIZADO"/>
    <s v="BRUNO"/>
    <d v="2025-11-24T00:00:00"/>
    <x v="0"/>
  </r>
  <r>
    <n v="62161"/>
    <s v="JOAO OLIVEIRA"/>
    <s v="MME"/>
    <s v="2º TURNO"/>
    <n v="50041195"/>
    <x v="21"/>
    <n v="1"/>
    <s v="REALIZADO"/>
    <s v="KELLY"/>
    <d v="2025-11-22T00:00:00"/>
    <x v="0"/>
  </r>
  <r>
    <n v="65131"/>
    <s v="GUILHERME VECHIO"/>
    <s v="MMG"/>
    <s v="2º TURNO"/>
    <n v="50038549"/>
    <x v="6"/>
    <n v="1"/>
    <s v="REALIZADO"/>
    <s v="KELLY"/>
    <d v="2025-11-22T00:00:00"/>
    <x v="0"/>
  </r>
  <r>
    <n v="65472"/>
    <s v="ISRAEL MACEDO"/>
    <s v="MMG"/>
    <s v="ADM"/>
    <n v="50037905"/>
    <x v="49"/>
    <n v="1"/>
    <s v="REALIZADO"/>
    <s v="KELLY"/>
    <d v="2025-11-22T00:00:00"/>
    <x v="2"/>
  </r>
  <r>
    <n v="62161"/>
    <s v="JOAO OLIVEIRA"/>
    <s v="MME"/>
    <s v="2º TURNO"/>
    <n v="50041195"/>
    <x v="21"/>
    <n v="1"/>
    <s v="REALIZADO"/>
    <s v="KELLY"/>
    <d v="2025-11-22T00:00:00"/>
    <x v="2"/>
  </r>
  <r>
    <n v="65131"/>
    <s v="GUILHERME VECHIO"/>
    <s v="MMG"/>
    <s v="2º TURNO"/>
    <n v="50038549"/>
    <x v="6"/>
    <n v="1"/>
    <s v="REALIZADO"/>
    <s v="KELLY"/>
    <d v="2025-11-22T00:00:00"/>
    <x v="2"/>
  </r>
  <r>
    <n v="65472"/>
    <s v="ISRAEL MACEDO"/>
    <s v="MMG"/>
    <s v="ADM"/>
    <n v="50037905"/>
    <x v="49"/>
    <n v="1"/>
    <s v="REALIZADO"/>
    <s v="KELLY"/>
    <d v="2025-11-22T00:00:00"/>
    <x v="0"/>
  </r>
  <r>
    <n v="65472"/>
    <s v="ISRAEL MACEDO"/>
    <s v="MMG"/>
    <s v="ADM"/>
    <n v="50037905"/>
    <x v="49"/>
    <n v="1"/>
    <s v="REALIZADO"/>
    <s v="KELLY"/>
    <d v="2025-11-21T00:00:00"/>
    <x v="0"/>
  </r>
  <r>
    <n v="65900"/>
    <s v="DANILO CARVALHO VAIDELLO"/>
    <s v="MME"/>
    <s v="2º TURNO"/>
    <n v="50003297"/>
    <x v="8"/>
    <n v="1"/>
    <s v="REALIZADO"/>
    <s v="KELLY"/>
    <d v="2025-11-21T00:00:00"/>
    <x v="0"/>
  </r>
  <r>
    <n v="62161"/>
    <s v="JOAO OLIVEIRA"/>
    <s v="MME"/>
    <s v="2º TURNO"/>
    <n v="50041195"/>
    <x v="21"/>
    <n v="1"/>
    <s v="REALIZADO"/>
    <s v="KELLY"/>
    <d v="2025-11-21T00:00:00"/>
    <x v="0"/>
  </r>
  <r>
    <n v="62161"/>
    <s v="JOAO OLIVEIRA"/>
    <s v="MME"/>
    <s v="2º TURNO"/>
    <n v="50037892"/>
    <x v="2"/>
    <n v="1"/>
    <s v="REALIZADO"/>
    <s v="KELLY"/>
    <d v="2025-11-21T00:00:00"/>
    <x v="0"/>
  </r>
  <r>
    <n v="62033"/>
    <s v="ODAIR JOSE DA SILVA"/>
    <s v="MME"/>
    <s v="2º TURNO"/>
    <n v="50040566"/>
    <x v="32"/>
    <n v="1"/>
    <s v="REALIZADO"/>
    <s v="KELLY"/>
    <d v="2025-11-21T00:00:00"/>
    <x v="2"/>
  </r>
  <r>
    <n v="62033"/>
    <s v="ODAIR JOSE DA SILVA"/>
    <s v="MME"/>
    <s v="2º TURNO"/>
    <n v="50040566"/>
    <x v="32"/>
    <n v="1"/>
    <s v="REALIZADO"/>
    <s v="KELLY"/>
    <d v="2025-11-21T00:00:00"/>
    <x v="2"/>
  </r>
  <r>
    <n v="65472"/>
    <s v="ISRAEL MACEDO"/>
    <s v="MMG"/>
    <s v="ADM"/>
    <n v="50037905"/>
    <x v="49"/>
    <n v="1"/>
    <s v="REALIZADO"/>
    <s v="KELLY"/>
    <d v="2025-11-21T00:00:00"/>
    <x v="2"/>
  </r>
  <r>
    <n v="65900"/>
    <s v="DANILO CARVALHO VAIDELLO"/>
    <s v="MME"/>
    <s v="2º TURNO"/>
    <n v="50003297"/>
    <x v="8"/>
    <n v="1"/>
    <s v="REALIZADO"/>
    <s v="KELLY"/>
    <d v="2025-11-21T00:00:00"/>
    <x v="2"/>
  </r>
  <r>
    <n v="62161"/>
    <s v="JOAO OLIVEIRA"/>
    <s v="MME"/>
    <s v="2º TURNO"/>
    <n v="50041195"/>
    <x v="21"/>
    <n v="1"/>
    <s v="REALIZADO"/>
    <s v="KELLY"/>
    <d v="2025-11-21T00:00:00"/>
    <x v="2"/>
  </r>
  <r>
    <n v="62161"/>
    <s v="JOAO OLIVEIRA"/>
    <s v="MME"/>
    <s v="2º TURNO"/>
    <n v="50037892"/>
    <x v="2"/>
    <n v="1"/>
    <s v="REALIZADO"/>
    <s v="KELLY"/>
    <d v="2025-11-21T00:00:00"/>
    <x v="0"/>
  </r>
  <r>
    <n v="65131"/>
    <s v="GUILHERME VECHIO"/>
    <s v="MMG"/>
    <s v="2º TURNO"/>
    <n v="50038549"/>
    <x v="6"/>
    <n v="1"/>
    <s v="REALIZADO"/>
    <s v="KELLY"/>
    <d v="2025-11-21T00:00:00"/>
    <x v="2"/>
  </r>
  <r>
    <n v="65131"/>
    <s v="GUILHERME VECHIO"/>
    <s v="MMG"/>
    <s v="2º TURNO"/>
    <n v="50038549"/>
    <x v="6"/>
    <n v="1"/>
    <s v="REALIZADO"/>
    <s v="KELLY"/>
    <d v="2025-11-21T00:00:00"/>
    <x v="0"/>
  </r>
  <r>
    <n v="62471"/>
    <s v="ELTON LIMA"/>
    <s v="MME"/>
    <s v="ADM"/>
    <n v="50038841"/>
    <x v="34"/>
    <n v="1"/>
    <s v="REALIZADO"/>
    <s v="GEOVANE"/>
    <d v="2025-11-21T00:00:00"/>
    <x v="0"/>
  </r>
  <r>
    <n v="63713"/>
    <s v="BRUNO DIAS"/>
    <s v="MME"/>
    <s v="ADM"/>
    <n v="50043917"/>
    <x v="66"/>
    <n v="1"/>
    <s v="REALIZADO"/>
    <s v="GEOVANE"/>
    <d v="2025-11-21T00:00:00"/>
    <x v="0"/>
  </r>
  <r>
    <n v="68760"/>
    <s v="FERDINANDO PAZINI"/>
    <s v="MMG"/>
    <s v="ADM"/>
    <n v="50039718"/>
    <x v="11"/>
    <n v="1"/>
    <s v="REALIZADO"/>
    <s v="AGATHA"/>
    <d v="2025-11-21T00:00:00"/>
    <x v="2"/>
  </r>
  <r>
    <n v="68760"/>
    <s v="FERDINANDO PAZINI"/>
    <s v="MMG"/>
    <s v="ADM"/>
    <n v="50039718"/>
    <x v="11"/>
    <n v="1"/>
    <s v="REALIZADO"/>
    <s v="AGATHA"/>
    <d v="2025-11-21T00:00:00"/>
    <x v="0"/>
  </r>
  <r>
    <n v="72715"/>
    <s v="DANIEL CAMAÇARI DE OLIVEIRA"/>
    <s v="MPR"/>
    <s v="ADM"/>
    <n v="50037892"/>
    <x v="2"/>
    <n v="1"/>
    <s v="REALIZADO"/>
    <s v="GEOVANE"/>
    <d v="2025-11-21T00:00:00"/>
    <x v="2"/>
  </r>
  <r>
    <n v="72715"/>
    <s v="DANIEL CAMAÇARI DE OLIVEIRA"/>
    <s v="MPR"/>
    <s v="ADM"/>
    <n v="50037892"/>
    <x v="2"/>
    <n v="1"/>
    <s v="REALIZADO"/>
    <s v="GEOVANE"/>
    <d v="2025-11-21T00:00:00"/>
    <x v="0"/>
  </r>
  <r>
    <n v="65472"/>
    <s v="ISRAEL MACEDO"/>
    <s v="MMG"/>
    <s v="ADM"/>
    <n v="50043471"/>
    <x v="5"/>
    <n v="1"/>
    <s v="REALIZADO"/>
    <s v="GEOVANE"/>
    <d v="2025-11-21T00:00:00"/>
    <x v="2"/>
  </r>
  <r>
    <n v="65472"/>
    <s v="ISRAEL MACEDO"/>
    <s v="MMG"/>
    <s v="ADM"/>
    <n v="50043471"/>
    <x v="5"/>
    <n v="1"/>
    <s v="REALIZADO"/>
    <s v="GEOVANE"/>
    <d v="2025-11-21T00:00:00"/>
    <x v="0"/>
  </r>
  <r>
    <n v="62180"/>
    <s v="JOSE AUGUSTO MASSUCHINI"/>
    <s v="MMG"/>
    <s v="ADM"/>
    <n v="50043471"/>
    <x v="5"/>
    <n v="1"/>
    <s v="REALIZADO"/>
    <s v="AGATHA"/>
    <d v="2025-11-21T00:00:00"/>
    <x v="2"/>
  </r>
  <r>
    <n v="62180"/>
    <s v="JOSE AUGUSTO MASSUCHINI"/>
    <s v="MMG"/>
    <s v="ADM"/>
    <n v="50043471"/>
    <x v="5"/>
    <n v="1"/>
    <s v="REALIZADO"/>
    <s v="AGATHA"/>
    <d v="2025-11-21T00:00:00"/>
    <x v="0"/>
  </r>
  <r>
    <n v="62471"/>
    <s v="ELTON LIMA"/>
    <s v="MME"/>
    <s v="ADM"/>
    <n v="50003297"/>
    <x v="8"/>
    <n v="1"/>
    <s v="REALIZADO"/>
    <s v="AGATHA"/>
    <d v="2025-11-21T00:00:00"/>
    <x v="0"/>
  </r>
  <r>
    <n v="62137"/>
    <s v="RAFAEL AMORIM"/>
    <s v="MME"/>
    <s v="1º TURNO"/>
    <n v="50037892"/>
    <x v="2"/>
    <n v="1"/>
    <s v="REALIZADO"/>
    <s v="AGATHA"/>
    <d v="2025-11-21T00:00:00"/>
    <x v="0"/>
  </r>
  <r>
    <n v="72707"/>
    <s v="LEONARDO DOS SANTOS"/>
    <s v="MPR"/>
    <s v="ADM"/>
    <n v="50041195"/>
    <x v="21"/>
    <n v="1"/>
    <s v="REALIZADO"/>
    <s v="AGATHA"/>
    <d v="2025-11-21T00:00:00"/>
    <x v="0"/>
  </r>
  <r>
    <n v="72728"/>
    <s v="JUNIOR CESAR DA PENHA"/>
    <s v="UTI"/>
    <s v="2º TURNO"/>
    <n v="50032775"/>
    <x v="13"/>
    <n v="1"/>
    <s v="REALIZADO"/>
    <s v="GEOVANE"/>
    <d v="2025-11-21T00:00:00"/>
    <x v="0"/>
  </r>
  <r>
    <n v="68430"/>
    <s v="JOAO CAIXETA"/>
    <s v="MEE"/>
    <s v="1º TURNO"/>
    <n v="50036296"/>
    <x v="46"/>
    <n v="1"/>
    <s v="REALIZADO"/>
    <s v="GEOVANE"/>
    <d v="2025-11-21T00:00:00"/>
    <x v="0"/>
  </r>
  <r>
    <n v="72713"/>
    <s v="MARCOS AURELIO"/>
    <s v="MPR"/>
    <s v="ADM"/>
    <n v="50030486"/>
    <x v="17"/>
    <n v="1"/>
    <s v="REALIZADO"/>
    <s v="MATHEUS"/>
    <d v="2025-11-21T00:00:00"/>
    <x v="2"/>
  </r>
  <r>
    <n v="72713"/>
    <s v="MARCOS AURELIO"/>
    <s v="MPR"/>
    <s v="ADM"/>
    <n v="50030486"/>
    <x v="17"/>
    <n v="1"/>
    <s v="REALIZADO"/>
    <s v="MATHEUS"/>
    <d v="2025-11-21T00:00:00"/>
    <x v="0"/>
  </r>
  <r>
    <n v="78886"/>
    <s v="DOUGLAS FELICIANO MENDES DE OLIVEIRA"/>
    <s v="MME"/>
    <s v="ADM"/>
    <n v="50043471"/>
    <x v="5"/>
    <n v="1"/>
    <s v="REALIZADO"/>
    <s v="MATHEUS"/>
    <d v="2025-11-21T00:00:00"/>
    <x v="2"/>
  </r>
  <r>
    <n v="78886"/>
    <s v="DOUGLAS FELICIANO MENDES DE OLIVEIRA"/>
    <s v="MME"/>
    <s v="ADM"/>
    <n v="50043471"/>
    <x v="5"/>
    <n v="1"/>
    <s v="REALIZADO"/>
    <s v="MATHEUS"/>
    <d v="2025-11-21T00:00:00"/>
    <x v="2"/>
  </r>
  <r>
    <n v="62471"/>
    <s v="ELTON LIMA"/>
    <s v="MME"/>
    <s v="ADM"/>
    <n v="50003297"/>
    <x v="8"/>
    <n v="1"/>
    <s v="REALIZADO"/>
    <s v="MATHEUS"/>
    <d v="2025-11-21T00:00:00"/>
    <x v="0"/>
  </r>
  <r>
    <n v="77526"/>
    <s v="FELIPE GARÇONI"/>
    <s v="MME"/>
    <s v="ADM"/>
    <n v="50038956"/>
    <x v="10"/>
    <n v="1"/>
    <s v="REALIZADO"/>
    <s v="MARCIA"/>
    <d v="2025-11-21T00:00:00"/>
    <x v="2"/>
  </r>
  <r>
    <n v="77526"/>
    <s v="FELIPE GARÇONI"/>
    <s v="MME"/>
    <s v="ADM"/>
    <n v="50038956"/>
    <x v="10"/>
    <n v="1"/>
    <s v="REALIZADO"/>
    <s v="MATHEUS"/>
    <d v="2025-11-21T00:00:00"/>
    <x v="2"/>
  </r>
  <r>
    <n v="62137"/>
    <s v="RAFAEL AMORIM"/>
    <s v="MME"/>
    <s v="1º TURNO"/>
    <n v="50037892"/>
    <x v="2"/>
    <n v="1"/>
    <s v="REALIZADO"/>
    <s v="MATHEUS"/>
    <d v="2025-11-21T00:00:00"/>
    <x v="2"/>
  </r>
  <r>
    <n v="62471"/>
    <s v="ELTON LIMA"/>
    <s v="MME"/>
    <s v="ADM"/>
    <n v="50038841"/>
    <x v="34"/>
    <n v="1"/>
    <s v="REALIZADO"/>
    <s v="MATHEUS"/>
    <d v="2025-11-21T00:00:00"/>
    <x v="0"/>
  </r>
  <r>
    <n v="77594"/>
    <s v="VINICIUS ROBLES"/>
    <s v="MME"/>
    <s v="ADM"/>
    <n v="50039065"/>
    <x v="44"/>
    <n v="1"/>
    <s v="REALIZADO"/>
    <s v="MATHEUS"/>
    <d v="2025-11-21T00:00:00"/>
    <x v="2"/>
  </r>
  <r>
    <n v="77594"/>
    <s v="VINICIUS ROBLES"/>
    <s v="MME"/>
    <s v="ADM"/>
    <n v="50039065"/>
    <x v="44"/>
    <n v="1"/>
    <s v="REALIZADO"/>
    <s v="MATHEUS"/>
    <d v="2025-11-21T00:00:00"/>
    <x v="2"/>
  </r>
  <r>
    <n v="72707"/>
    <s v="LEONARDO DOS SANTOS"/>
    <s v="MPR"/>
    <s v="ADM"/>
    <n v="50041195"/>
    <x v="21"/>
    <n v="1"/>
    <s v="REALIZADO"/>
    <s v="MATHEUS"/>
    <d v="2025-11-21T00:00:00"/>
    <x v="2"/>
  </r>
  <r>
    <n v="63713"/>
    <s v="BRUNO DIAS"/>
    <s v="MME"/>
    <s v="ADM"/>
    <n v="50043917"/>
    <x v="66"/>
    <n v="1"/>
    <s v="REALIZADO"/>
    <s v="MARCIA"/>
    <d v="2025-11-21T00:00:00"/>
    <x v="2"/>
  </r>
  <r>
    <n v="72728"/>
    <s v="JUNIOR CESAR DA PENHA"/>
    <s v="UTI"/>
    <s v="2º TURNO"/>
    <n v="50032775"/>
    <x v="13"/>
    <n v="1"/>
    <s v="REALIZADO"/>
    <s v="MATHEUS"/>
    <d v="2025-11-21T00:00:00"/>
    <x v="0"/>
  </r>
  <r>
    <n v="65844"/>
    <s v="ALTEMAR FEITOSA"/>
    <s v="MMG"/>
    <s v="1º TURNO"/>
    <n v="50037952"/>
    <x v="56"/>
    <n v="1"/>
    <s v="REALIZADO"/>
    <s v="MATHEUS"/>
    <d v="2025-11-21T00:00:00"/>
    <x v="2"/>
  </r>
  <r>
    <n v="65844"/>
    <s v="ALTEMAR FEITOSA"/>
    <s v="MMG"/>
    <s v="1º TURNO"/>
    <n v="50037952"/>
    <x v="56"/>
    <n v="1"/>
    <s v="REALIZADO"/>
    <s v="MATHEUS"/>
    <d v="2025-11-21T00:00:00"/>
    <x v="0"/>
  </r>
  <r>
    <n v="65472"/>
    <s v="ISRAEL MACEDO"/>
    <s v="MMG"/>
    <s v="ADM"/>
    <n v="50037905"/>
    <x v="49"/>
    <n v="1"/>
    <s v="REALIZADO"/>
    <s v="KELLY"/>
    <d v="2025-11-20T00:00:00"/>
    <x v="2"/>
  </r>
  <r>
    <n v="65472"/>
    <s v="ISRAEL MACEDO"/>
    <s v="MMG"/>
    <s v="ADM"/>
    <n v="50037905"/>
    <x v="49"/>
    <n v="1"/>
    <s v="REALIZADO"/>
    <s v="KELLY"/>
    <d v="2025-11-20T00:00:00"/>
    <x v="0"/>
  </r>
  <r>
    <n v="62640"/>
    <s v="MARCELINHO"/>
    <s v="MPR"/>
    <s v="ADM"/>
    <n v="50043471"/>
    <x v="5"/>
    <n v="1"/>
    <s v="REALIZADO"/>
    <s v="MARCIA"/>
    <d v="2025-11-20T00:00:00"/>
    <x v="2"/>
  </r>
  <r>
    <n v="62640"/>
    <s v="MARCELINHO"/>
    <s v="MPR"/>
    <s v="ADM"/>
    <n v="50043471"/>
    <x v="5"/>
    <n v="1"/>
    <s v="REALIZADO"/>
    <s v="MARCIA"/>
    <d v="2025-11-20T00:00:00"/>
    <x v="0"/>
  </r>
  <r>
    <n v="63713"/>
    <s v="BRUNO DIAS"/>
    <s v="MME"/>
    <s v="ADM"/>
    <n v="50003297"/>
    <x v="8"/>
    <n v="1"/>
    <s v="REALIZADO"/>
    <s v="KELLY"/>
    <d v="2025-11-20T00:00:00"/>
    <x v="2"/>
  </r>
  <r>
    <n v="63713"/>
    <s v="BRUNO DIAS"/>
    <s v="MME"/>
    <s v="ADM"/>
    <n v="50003297"/>
    <x v="8"/>
    <n v="1"/>
    <s v="REALIZADO"/>
    <s v="MARCIA"/>
    <d v="2025-11-20T00:00:00"/>
    <x v="0"/>
  </r>
  <r>
    <n v="79177"/>
    <s v="MAICON ANTONIO SANTOS"/>
    <s v="MMG"/>
    <s v="ADM"/>
    <n v="50003297"/>
    <x v="8"/>
    <n v="1"/>
    <s v="REALIZADO"/>
    <s v="MARCIA"/>
    <d v="2025-11-20T00:00:00"/>
    <x v="2"/>
  </r>
  <r>
    <n v="79177"/>
    <s v="MAICON ANTONIO SANTOS"/>
    <s v="MMG"/>
    <s v="ADM"/>
    <n v="50003297"/>
    <x v="8"/>
    <n v="1"/>
    <s v="REALIZADO"/>
    <s v="MARCIA"/>
    <d v="2025-11-20T00:00:00"/>
    <x v="0"/>
  </r>
  <r>
    <n v="76995"/>
    <s v="WELISSON RICARDO"/>
    <s v="MEE"/>
    <s v="ADM"/>
    <n v="50043320"/>
    <x v="35"/>
    <n v="1"/>
    <s v="REALIZADO"/>
    <s v="MARCIA"/>
    <d v="2025-11-20T00:00:00"/>
    <x v="2"/>
  </r>
  <r>
    <n v="76995"/>
    <s v="WELISSON RICARDO"/>
    <s v="MEE"/>
    <s v="ADM"/>
    <n v="50043320"/>
    <x v="35"/>
    <n v="1"/>
    <s v="REALIZADO"/>
    <s v="MARCIA"/>
    <d v="2025-11-20T00:00:00"/>
    <x v="0"/>
  </r>
  <r>
    <n v="73878"/>
    <s v="EVANDRO TANAKA"/>
    <s v="MMG"/>
    <s v="ADM"/>
    <n v="50038956"/>
    <x v="10"/>
    <n v="1"/>
    <s v="REALIZADO"/>
    <s v="KELLY"/>
    <d v="2025-11-20T00:00:00"/>
    <x v="2"/>
  </r>
  <r>
    <n v="73878"/>
    <s v="EVANDRO TANAKA"/>
    <s v="MMG"/>
    <s v="ADM"/>
    <n v="50038956"/>
    <x v="10"/>
    <n v="1"/>
    <s v="REALIZADO"/>
    <s v="KELLY"/>
    <d v="2025-11-20T00:00:00"/>
    <x v="0"/>
  </r>
  <r>
    <n v="73878"/>
    <s v="EVANDRO TANAKA"/>
    <s v="MMG"/>
    <s v="ADM"/>
    <n v="50038956"/>
    <x v="10"/>
    <n v="1"/>
    <s v="REALIZADO"/>
    <s v="MARCIA"/>
    <d v="2025-11-20T00:00:00"/>
    <x v="2"/>
  </r>
  <r>
    <n v="73878"/>
    <s v="EVANDRO TANAKA"/>
    <s v="MMG"/>
    <s v="ADM"/>
    <n v="50038956"/>
    <x v="10"/>
    <n v="1"/>
    <s v="REALIZADO"/>
    <s v="MARCIA"/>
    <d v="2025-11-20T00:00:00"/>
    <x v="0"/>
  </r>
  <r>
    <n v="63713"/>
    <s v="BRUNO DIAS"/>
    <s v="MME"/>
    <s v="ADM"/>
    <n v="50037892"/>
    <x v="2"/>
    <n v="1"/>
    <s v="REALIZADO"/>
    <s v="KELLY"/>
    <d v="2025-11-20T00:00:00"/>
    <x v="2"/>
  </r>
  <r>
    <n v="63713"/>
    <s v="BRUNO DIAS"/>
    <s v="MME"/>
    <s v="ADM"/>
    <n v="50037892"/>
    <x v="2"/>
    <n v="1"/>
    <s v="REALIZADO"/>
    <s v="MARCIA"/>
    <d v="2025-11-20T00:00:00"/>
    <x v="0"/>
  </r>
  <r>
    <n v="77526"/>
    <s v="FELIPE GARÇONI"/>
    <s v="MME"/>
    <s v="ADM"/>
    <n v="50037902"/>
    <x v="14"/>
    <n v="1"/>
    <s v="REALIZADO"/>
    <s v="MARCIA"/>
    <d v="2025-11-20T00:00:00"/>
    <x v="2"/>
  </r>
  <r>
    <n v="77526"/>
    <s v="FELIPE GARÇONI"/>
    <s v="MME"/>
    <s v="ADM"/>
    <n v="50037902"/>
    <x v="14"/>
    <n v="1"/>
    <s v="REALIZADO"/>
    <s v="MARCIA"/>
    <d v="2025-11-20T00:00:00"/>
    <x v="0"/>
  </r>
  <r>
    <n v="62640"/>
    <s v="MARCELINHO"/>
    <s v="MPR"/>
    <s v="ADM"/>
    <n v="50037902"/>
    <x v="14"/>
    <n v="1"/>
    <s v="REALIZADO"/>
    <s v="MARCIA"/>
    <d v="2025-11-20T00:00:00"/>
    <x v="2"/>
  </r>
  <r>
    <n v="62640"/>
    <s v="MARCELINHO"/>
    <s v="MPR"/>
    <s v="ADM"/>
    <n v="50037902"/>
    <x v="14"/>
    <n v="1"/>
    <s v="REALIZADO"/>
    <s v="MARCIA"/>
    <d v="2025-11-20T00:00:00"/>
    <x v="0"/>
  </r>
  <r>
    <n v="69778"/>
    <s v="JEAN FELIPE"/>
    <s v="MEE"/>
    <s v="1º TURNO"/>
    <n v="50038517"/>
    <x v="0"/>
    <n v="1"/>
    <s v="REALIZADO"/>
    <s v="MARCIA"/>
    <d v="2025-11-20T00:00:00"/>
    <x v="2"/>
  </r>
  <r>
    <n v="69778"/>
    <s v="JEAN FELIPE"/>
    <s v="MEE"/>
    <s v="1º TURNO"/>
    <n v="50038517"/>
    <x v="0"/>
    <n v="1"/>
    <s v="REALIZADO"/>
    <s v="MARCIA"/>
    <d v="2025-11-20T00:00:00"/>
    <x v="2"/>
  </r>
  <r>
    <n v="73878"/>
    <s v="EVANDRO TANAKA"/>
    <s v="MMG"/>
    <s v="ADM"/>
    <n v="50039065"/>
    <x v="22"/>
    <n v="1"/>
    <s v="REALIZADO"/>
    <s v="KELLY"/>
    <d v="2025-11-20T00:00:00"/>
    <x v="0"/>
  </r>
  <r>
    <n v="76995"/>
    <s v="WELISSON RICARDO"/>
    <s v="MEE"/>
    <s v="ADM"/>
    <n v="50041195"/>
    <x v="21"/>
    <n v="1"/>
    <s v="REALIZADO"/>
    <s v="MARCIA"/>
    <d v="2025-11-20T00:00:00"/>
    <x v="2"/>
  </r>
  <r>
    <n v="76995"/>
    <s v="WELISSON RICARDO"/>
    <s v="MEE"/>
    <s v="ADM"/>
    <n v="50041195"/>
    <x v="21"/>
    <n v="1"/>
    <s v="REALIZADO"/>
    <s v="MARCIA"/>
    <d v="2025-11-20T00:00:00"/>
    <x v="0"/>
  </r>
  <r>
    <n v="69778"/>
    <s v="JEAN FELIPE"/>
    <s v="MEE"/>
    <s v="1º TURNO"/>
    <n v="50043917"/>
    <x v="66"/>
    <n v="1"/>
    <s v="REALIZADO"/>
    <s v="MARCIA"/>
    <d v="2025-11-20T00:00:00"/>
    <x v="2"/>
  </r>
  <r>
    <n v="69778"/>
    <s v="JEAN FELIPE"/>
    <s v="MEE"/>
    <s v="1º TURNO"/>
    <n v="50043917"/>
    <x v="66"/>
    <n v="1"/>
    <s v="REALIZADO"/>
    <s v="MARCIA"/>
    <d v="2025-11-20T00:00:00"/>
    <x v="2"/>
  </r>
  <r>
    <n v="77526"/>
    <s v="FELIPE GARÇONI"/>
    <s v="MME"/>
    <s v="ADM"/>
    <n v="50007151"/>
    <x v="75"/>
    <n v="1"/>
    <s v="REALIZADO"/>
    <s v="MARCIA"/>
    <d v="2025-11-20T00:00:00"/>
    <x v="0"/>
  </r>
  <r>
    <n v="62640"/>
    <s v="MARCELINHO"/>
    <s v="MPR"/>
    <s v="ADM"/>
    <n v="50032781"/>
    <x v="12"/>
    <n v="1"/>
    <s v="REALIZADO"/>
    <s v="MARCIA"/>
    <d v="2025-11-20T00:00:00"/>
    <x v="2"/>
  </r>
  <r>
    <n v="62640"/>
    <s v="MARCELINHO"/>
    <s v="MPR"/>
    <s v="ADM"/>
    <n v="50032781"/>
    <x v="12"/>
    <n v="1"/>
    <s v="REALIZADO"/>
    <s v="MARCIA"/>
    <d v="2025-11-20T00:00:00"/>
    <x v="0"/>
  </r>
  <r>
    <n v="65844"/>
    <s v="ALTEMAR FEITOSA"/>
    <s v="MMG"/>
    <s v="1º TURNO"/>
    <n v="50037900"/>
    <x v="41"/>
    <n v="1"/>
    <s v="REALIZADO"/>
    <s v="MARCIA"/>
    <d v="2025-11-20T00:00:00"/>
    <x v="2"/>
  </r>
  <r>
    <n v="65844"/>
    <s v="ALTEMAR FEITOSA"/>
    <s v="MMG"/>
    <s v="1º TURNO"/>
    <n v="50037900"/>
    <x v="41"/>
    <n v="1"/>
    <s v="REALIZADO"/>
    <s v="MARCIA"/>
    <d v="2025-11-20T00:00:00"/>
    <x v="0"/>
  </r>
  <r>
    <n v="68760"/>
    <s v="FERDINANDO PAZINI"/>
    <s v="MMG"/>
    <s v="ADM"/>
    <n v="50030486"/>
    <x v="17"/>
    <n v="1"/>
    <s v="REALIZADO"/>
    <s v="GEOVANE"/>
    <d v="2025-11-19T00:00:00"/>
    <x v="2"/>
  </r>
  <r>
    <n v="68760"/>
    <s v="FERDINANDO PAZINI"/>
    <s v="MMG"/>
    <s v="ADM"/>
    <n v="50030486"/>
    <x v="17"/>
    <n v="1"/>
    <s v="REALIZADO"/>
    <s v="GEOVANE"/>
    <d v="2025-11-19T00:00:00"/>
    <x v="0"/>
  </r>
  <r>
    <n v="63713"/>
    <s v="BRUNO DIAS"/>
    <s v="MME"/>
    <s v="ADM"/>
    <n v="50043471"/>
    <x v="5"/>
    <n v="1"/>
    <s v="REALIZADO"/>
    <s v="GEOVANE"/>
    <d v="2025-11-19T00:00:00"/>
    <x v="2"/>
  </r>
  <r>
    <n v="63713"/>
    <s v="BRUNO DIAS"/>
    <s v="MME"/>
    <s v="ADM"/>
    <n v="50043471"/>
    <x v="5"/>
    <n v="1"/>
    <s v="REALIZADO"/>
    <s v="MATHEUS"/>
    <d v="2025-11-19T00:00:00"/>
    <x v="0"/>
  </r>
  <r>
    <n v="65131"/>
    <s v="GUILHERME VECHIO"/>
    <s v="MMG"/>
    <s v="2º TURNO"/>
    <n v="50003297"/>
    <x v="8"/>
    <n v="1"/>
    <s v="REALIZADO"/>
    <s v="KELLY"/>
    <d v="2025-11-19T00:00:00"/>
    <x v="2"/>
  </r>
  <r>
    <n v="65131"/>
    <s v="GUILHERME VECHIO"/>
    <s v="MMG"/>
    <s v="2º TURNO"/>
    <n v="50003297"/>
    <x v="8"/>
    <n v="1"/>
    <s v="REALIZADO"/>
    <s v="AGATHA"/>
    <d v="2025-11-19T00:00:00"/>
    <x v="2"/>
  </r>
  <r>
    <n v="78678"/>
    <s v="MARLOM ROGERIO VIEIRA"/>
    <s v="MME"/>
    <s v="ADM"/>
    <n v="50003297"/>
    <x v="8"/>
    <n v="1"/>
    <s v="REALIZADO"/>
    <s v="GEOVANE"/>
    <d v="2025-11-19T00:00:00"/>
    <x v="0"/>
  </r>
  <r>
    <n v="78886"/>
    <s v="DOUGLAS FELICIANO MENDES DE OLIVEIRA"/>
    <s v="MME"/>
    <s v="ADM"/>
    <n v="50003297"/>
    <x v="8"/>
    <n v="1"/>
    <s v="REALIZADO"/>
    <s v="MATHEUS"/>
    <d v="2025-11-19T00:00:00"/>
    <x v="0"/>
  </r>
  <r>
    <n v="70105"/>
    <s v="RONALDO DE SOUZA SANTOS"/>
    <s v="MMG"/>
    <s v="2º TURNO"/>
    <n v="50038549"/>
    <x v="6"/>
    <n v="1"/>
    <s v="REALIZADO"/>
    <s v="GEOVANE"/>
    <d v="2025-11-19T00:00:00"/>
    <x v="2"/>
  </r>
  <r>
    <n v="70105"/>
    <s v="RONALDO DE SOUZA SANTOS"/>
    <s v="MMG"/>
    <s v="2º TURNO"/>
    <n v="50038549"/>
    <x v="6"/>
    <n v="1"/>
    <s v="REALIZADO"/>
    <s v="MATHEUS"/>
    <d v="2025-11-19T00:00:00"/>
    <x v="2"/>
  </r>
  <r>
    <n v="68760"/>
    <s v="FERDINANDO PAZINI"/>
    <s v="MMG"/>
    <s v="ADM"/>
    <n v="50037910"/>
    <x v="76"/>
    <n v="1"/>
    <s v="REALIZADO"/>
    <s v="MATHEUS"/>
    <d v="2025-11-19T00:00:00"/>
    <x v="0"/>
  </r>
  <r>
    <n v="77526"/>
    <s v="FELIPE GARÇONI"/>
    <s v="MME"/>
    <s v="ADM"/>
    <n v="50038956"/>
    <x v="10"/>
    <n v="1"/>
    <s v="REALIZADO"/>
    <s v="MATHEUS"/>
    <d v="2025-11-19T00:00:00"/>
    <x v="2"/>
  </r>
  <r>
    <n v="77526"/>
    <s v="FELIPE GARÇONI"/>
    <s v="MME"/>
    <s v="ADM"/>
    <n v="50038956"/>
    <x v="10"/>
    <n v="1"/>
    <s v="REALIZADO"/>
    <s v="MATHEUS"/>
    <d v="2025-11-19T00:00:00"/>
    <x v="0"/>
  </r>
  <r>
    <n v="77471"/>
    <s v="DANILO BARBOSA"/>
    <s v="MEE"/>
    <s v="ADM"/>
    <n v="50038841"/>
    <x v="34"/>
    <n v="1"/>
    <s v="REALIZADO"/>
    <s v="KELLY"/>
    <d v="2025-11-19T00:00:00"/>
    <x v="2"/>
  </r>
  <r>
    <n v="77471"/>
    <s v="DANILO BARBOSA"/>
    <s v="MEE"/>
    <s v="ADM"/>
    <n v="50038841"/>
    <x v="34"/>
    <n v="1"/>
    <s v="REALIZADO"/>
    <s v="AGATHA"/>
    <d v="2025-11-19T00:00:00"/>
    <x v="0"/>
  </r>
  <r>
    <n v="68708"/>
    <s v="CLAUDIO TADEU LEITE"/>
    <s v="MMG"/>
    <s v="ADM"/>
    <n v="50038841"/>
    <x v="34"/>
    <n v="1"/>
    <s v="REALIZADO"/>
    <s v="GEOVANE"/>
    <d v="2025-11-19T00:00:00"/>
    <x v="2"/>
  </r>
  <r>
    <n v="68708"/>
    <s v="CLAUDIO TADEU LEITE"/>
    <s v="MMG"/>
    <s v="ADM"/>
    <n v="50038841"/>
    <x v="34"/>
    <n v="1"/>
    <s v="REALIZADO"/>
    <s v="MATHEUS"/>
    <d v="2025-11-19T00:00:00"/>
    <x v="0"/>
  </r>
  <r>
    <n v="65131"/>
    <s v="GUILHERME VECHIO"/>
    <s v="MMG"/>
    <s v="2º TURNO"/>
    <n v="50038517"/>
    <x v="0"/>
    <n v="1"/>
    <s v="REALIZADO"/>
    <s v="KELLY"/>
    <d v="2025-11-19T00:00:00"/>
    <x v="2"/>
  </r>
  <r>
    <n v="65131"/>
    <s v="GUILHERME VECHIO"/>
    <s v="MMG"/>
    <s v="2º TURNO"/>
    <n v="50038517"/>
    <x v="0"/>
    <n v="1"/>
    <s v="REALIZADO"/>
    <s v="AGATHA"/>
    <d v="2025-11-19T00:00:00"/>
    <x v="0"/>
  </r>
  <r>
    <n v="63713"/>
    <s v="BRUNO DIAS"/>
    <s v="MME"/>
    <s v="ADM"/>
    <n v="50001995"/>
    <x v="44"/>
    <n v="1"/>
    <s v="REALIZADO"/>
    <s v="AGATHA"/>
    <d v="2025-11-19T00:00:00"/>
    <x v="2"/>
  </r>
  <r>
    <n v="63713"/>
    <s v="BRUNO DIAS"/>
    <s v="MME"/>
    <s v="ADM"/>
    <n v="50001995"/>
    <x v="44"/>
    <n v="1"/>
    <s v="REALIZADO"/>
    <s v="MARCIA"/>
    <d v="2025-11-19T00:00:00"/>
    <x v="0"/>
  </r>
  <r>
    <n v="61096"/>
    <s v="REGIVALDO MEDEIROS"/>
    <s v="MME"/>
    <s v="ADM"/>
    <n v="50039065"/>
    <x v="22"/>
    <n v="1"/>
    <s v="REALIZADO"/>
    <s v="MATHEUS"/>
    <d v="2025-11-19T00:00:00"/>
    <x v="2"/>
  </r>
  <r>
    <n v="61096"/>
    <s v="REGIVALDO MEDEIROS"/>
    <s v="MME"/>
    <s v="ADM"/>
    <n v="50039065"/>
    <x v="22"/>
    <n v="1"/>
    <s v="REALIZADO"/>
    <s v="MATHEUS"/>
    <d v="2025-11-19T00:00:00"/>
    <x v="0"/>
  </r>
  <r>
    <n v="65131"/>
    <s v="GUILHERME VECHIO"/>
    <s v="MMG"/>
    <s v="2º TURNO"/>
    <n v="50038626"/>
    <x v="72"/>
    <n v="1"/>
    <s v="REALIZADO"/>
    <s v="KELLY"/>
    <d v="2025-11-19T00:00:00"/>
    <x v="2"/>
  </r>
  <r>
    <n v="65131"/>
    <s v="GUILHERME VECHIO"/>
    <s v="MMG"/>
    <s v="2º TURNO"/>
    <n v="50038626"/>
    <x v="72"/>
    <n v="1"/>
    <s v="REALIZADO"/>
    <s v="AGATHA"/>
    <d v="2025-11-19T00:00:00"/>
    <x v="0"/>
  </r>
  <r>
    <n v="72713"/>
    <s v="MARCOS AURELIO"/>
    <s v="MPR"/>
    <s v="ADM"/>
    <n v="50041195"/>
    <x v="21"/>
    <n v="1"/>
    <s v="REALIZADO"/>
    <s v="KELLY"/>
    <d v="2025-11-19T00:00:00"/>
    <x v="2"/>
  </r>
  <r>
    <n v="72713"/>
    <s v="MARCOS AURELIO"/>
    <s v="MPR"/>
    <s v="ADM"/>
    <n v="50041195"/>
    <x v="21"/>
    <n v="1"/>
    <s v="REALIZADO"/>
    <s v="MATHEUS"/>
    <d v="2025-11-19T00:00:00"/>
    <x v="0"/>
  </r>
  <r>
    <n v="72715"/>
    <s v="DANIEL CAMAÇARI DE OLIVEIRA"/>
    <s v="MPR"/>
    <s v="ADM"/>
    <n v="50041195"/>
    <x v="21"/>
    <n v="1"/>
    <s v="REALIZADO"/>
    <s v="MATHEUS"/>
    <d v="2025-11-19T00:00:00"/>
    <x v="0"/>
  </r>
  <r>
    <n v="72715"/>
    <s v="DANIEL CAMAÇARI DE OLIVEIRA"/>
    <s v="MPR"/>
    <s v="ADM"/>
    <n v="50043917"/>
    <x v="66"/>
    <n v="1"/>
    <s v="REALIZADO"/>
    <s v="KELLY"/>
    <d v="2025-11-19T00:00:00"/>
    <x v="2"/>
  </r>
  <r>
    <n v="72713"/>
    <s v="MARCOS AURELIO"/>
    <s v="MPR"/>
    <s v="ADM"/>
    <n v="50043917"/>
    <x v="66"/>
    <n v="1"/>
    <s v="REALIZADO"/>
    <s v="MATHEUS"/>
    <d v="2025-11-19T00:00:00"/>
    <x v="0"/>
  </r>
  <r>
    <n v="64253"/>
    <s v="DANIEL JULIAO"/>
    <s v="MMG"/>
    <s v="ADM"/>
    <n v="50012902"/>
    <x v="30"/>
    <n v="1"/>
    <s v="REALIZADO"/>
    <s v="KELLY"/>
    <d v="2025-11-19T00:00:00"/>
    <x v="2"/>
  </r>
  <r>
    <n v="64253"/>
    <s v="DANIEL JULIAO"/>
    <s v="MMG"/>
    <s v="ADM"/>
    <n v="50012902"/>
    <x v="30"/>
    <n v="1"/>
    <s v="REALIZADO"/>
    <s v="MATHEUS"/>
    <d v="2025-11-19T00:00:00"/>
    <x v="0"/>
  </r>
  <r>
    <n v="65844"/>
    <s v="ALTEMAR FEITOSA"/>
    <s v="MMG"/>
    <s v="1º TURNO"/>
    <n v="50041095"/>
    <x v="15"/>
    <n v="1"/>
    <s v="REALIZADO"/>
    <s v="MATHEUS"/>
    <d v="2025-11-19T00:00:00"/>
    <x v="2"/>
  </r>
  <r>
    <n v="65844"/>
    <s v="ALTEMAR FEITOSA"/>
    <s v="MMG"/>
    <s v="1º TURNO"/>
    <n v="50041095"/>
    <x v="15"/>
    <n v="1"/>
    <s v="REALIZADO"/>
    <s v="MATHEUS"/>
    <d v="2025-11-19T00:00:00"/>
    <x v="0"/>
  </r>
  <r>
    <n v="62640"/>
    <s v="MARCELINHO"/>
    <s v="MPR"/>
    <s v="ADM"/>
    <n v="50038854"/>
    <x v="27"/>
    <n v="1"/>
    <s v="REALIZADO"/>
    <s v="MATHEUS"/>
    <d v="2025-11-18T00:00:00"/>
    <x v="2"/>
  </r>
  <r>
    <n v="62640"/>
    <s v="MARCELINHO"/>
    <s v="MPR"/>
    <s v="ADM"/>
    <n v="50038854"/>
    <x v="27"/>
    <n v="1"/>
    <s v="REALIZADO"/>
    <s v="MATHEUS"/>
    <d v="2025-11-18T00:00:00"/>
    <x v="0"/>
  </r>
  <r>
    <n v="64253"/>
    <s v="DANIEL JULIAO"/>
    <s v="MMG"/>
    <s v="ADM"/>
    <n v="50036086"/>
    <x v="3"/>
    <n v="2"/>
    <s v="REALIZADO"/>
    <s v="GEOVANE"/>
    <d v="2025-11-18T00:00:00"/>
    <x v="2"/>
  </r>
  <r>
    <n v="64253"/>
    <s v="DANIEL JULIAO"/>
    <s v="MMG"/>
    <s v="ADM"/>
    <n v="50036086"/>
    <x v="3"/>
    <n v="2"/>
    <s v="REALIZADO"/>
    <s v="MATHEUS"/>
    <d v="2025-11-18T00:00:00"/>
    <x v="0"/>
  </r>
  <r>
    <n v="64253"/>
    <s v="DANIEL JULIAO"/>
    <s v="MMG"/>
    <s v="ADM"/>
    <n v="50003173"/>
    <x v="29"/>
    <n v="1"/>
    <s v="REALIZADO"/>
    <s v="AGATHA"/>
    <d v="2025-11-18T00:00:00"/>
    <x v="2"/>
  </r>
  <r>
    <n v="64253"/>
    <s v="DANIEL JULIAO"/>
    <s v="MMG"/>
    <s v="ADM"/>
    <n v="50003173"/>
    <x v="29"/>
    <n v="1"/>
    <s v="REALIZADO"/>
    <s v="AGATHA"/>
    <d v="2025-11-18T00:00:00"/>
    <x v="0"/>
  </r>
  <r>
    <n v="68760"/>
    <s v="FERDINANDO PAZINI"/>
    <s v="MMG"/>
    <s v="ADM"/>
    <n v="50030486"/>
    <x v="17"/>
    <n v="1"/>
    <s v="REALIZADO"/>
    <s v="GEOVANE"/>
    <d v="2025-11-18T00:00:00"/>
    <x v="2"/>
  </r>
  <r>
    <n v="68760"/>
    <s v="FERDINANDO PAZINI"/>
    <s v="MMG"/>
    <s v="ADM"/>
    <n v="50030486"/>
    <x v="17"/>
    <n v="1"/>
    <s v="REALIZADO"/>
    <s v="GEOVANE"/>
    <d v="2025-11-18T00:00:00"/>
    <x v="2"/>
  </r>
  <r>
    <n v="78886"/>
    <s v="DOUGLAS FELICIANO MENDES DE OLIVEIRA"/>
    <s v="MME"/>
    <s v="ADM"/>
    <n v="50003297"/>
    <x v="8"/>
    <n v="1"/>
    <s v="REALIZADO"/>
    <s v="MATHEUS"/>
    <d v="2025-11-18T00:00:00"/>
    <x v="0"/>
  </r>
  <r>
    <n v="64253"/>
    <s v="DANIEL JULIAO"/>
    <s v="MMG"/>
    <s v="ADM"/>
    <n v="50037916"/>
    <x v="70"/>
    <n v="1"/>
    <s v="REALIZADO"/>
    <s v="AGATHA"/>
    <d v="2025-11-18T00:00:00"/>
    <x v="2"/>
  </r>
  <r>
    <n v="64253"/>
    <s v="DANIEL JULIAO"/>
    <s v="MMG"/>
    <s v="ADM"/>
    <n v="50037916"/>
    <x v="70"/>
    <n v="1"/>
    <s v="REALIZADO"/>
    <s v="AGATHA"/>
    <d v="2025-11-18T00:00:00"/>
    <x v="0"/>
  </r>
  <r>
    <n v="63770"/>
    <s v="DANILO DA SILVA"/>
    <s v="MMG"/>
    <s v="ADM"/>
    <n v="50038549"/>
    <x v="6"/>
    <n v="1"/>
    <s v="REALIZADO"/>
    <s v="GEOVANE"/>
    <d v="2025-11-18T00:00:00"/>
    <x v="0"/>
  </r>
  <r>
    <n v="76239"/>
    <s v="GEOVANNY ALEXANDER"/>
    <s v="REFRIG"/>
    <s v="ADM"/>
    <n v="50038549"/>
    <x v="6"/>
    <n v="1"/>
    <s v="REALIZADO"/>
    <s v="GEOVANE"/>
    <d v="2025-11-18T00:00:00"/>
    <x v="2"/>
  </r>
  <r>
    <n v="76239"/>
    <s v="GEOVANNY ALEXANDER"/>
    <s v="REFRIG"/>
    <s v="ADM"/>
    <n v="50038549"/>
    <x v="6"/>
    <n v="1"/>
    <s v="REALIZADO"/>
    <s v="MATHEUS"/>
    <d v="2025-11-18T00:00:00"/>
    <x v="2"/>
  </r>
  <r>
    <n v="63770"/>
    <s v="DANILO DA SILVA"/>
    <s v="MMG"/>
    <s v="ADM"/>
    <n v="50038549"/>
    <x v="6"/>
    <n v="1"/>
    <s v="REALIZADO"/>
    <s v="MATHEUS"/>
    <d v="2025-11-18T00:00:00"/>
    <x v="0"/>
  </r>
  <r>
    <n v="77526"/>
    <s v="FELIPE GARÇONI"/>
    <s v="MME"/>
    <s v="ADM"/>
    <n v="50038956"/>
    <x v="10"/>
    <n v="1"/>
    <s v="REALIZADO"/>
    <s v="MATHEUS"/>
    <d v="2025-11-18T00:00:00"/>
    <x v="2"/>
  </r>
  <r>
    <n v="77526"/>
    <s v="FELIPE GARÇONI"/>
    <s v="MME"/>
    <s v="ADM"/>
    <n v="50038956"/>
    <x v="10"/>
    <n v="1"/>
    <s v="REALIZADO"/>
    <s v="MATHEUS"/>
    <d v="2025-11-18T00:00:00"/>
    <x v="0"/>
  </r>
  <r>
    <n v="62640"/>
    <s v="MARCELINHO"/>
    <s v="MPR"/>
    <s v="ADM"/>
    <n v="50037902"/>
    <x v="14"/>
    <n v="1"/>
    <s v="REALIZADO"/>
    <s v="MATHEUS"/>
    <d v="2025-11-18T00:00:00"/>
    <x v="2"/>
  </r>
  <r>
    <n v="62640"/>
    <s v="MARCELINHO"/>
    <s v="MPR"/>
    <s v="ADM"/>
    <n v="50037902"/>
    <x v="14"/>
    <n v="1"/>
    <s v="REALIZADO"/>
    <s v="MATHEUS"/>
    <d v="2025-11-18T00:00:00"/>
    <x v="0"/>
  </r>
  <r>
    <n v="65844"/>
    <s v="ALTEMAR FEITOSA"/>
    <s v="MMG"/>
    <s v="1º TURNO"/>
    <n v="50038841"/>
    <x v="34"/>
    <n v="1"/>
    <s v="REALIZADO"/>
    <s v="GEOVANE"/>
    <d v="2025-11-18T00:00:00"/>
    <x v="0"/>
  </r>
  <r>
    <n v="64253"/>
    <s v="DANIEL JULIAO"/>
    <s v="MMG"/>
    <s v="ADM"/>
    <n v="50038841"/>
    <x v="34"/>
    <n v="1"/>
    <s v="REALIZADO"/>
    <s v="GEOVANE"/>
    <d v="2025-11-18T00:00:00"/>
    <x v="2"/>
  </r>
  <r>
    <n v="65844"/>
    <s v="ALTEMAR FEITOSA"/>
    <s v="MMG"/>
    <s v="1º TURNO"/>
    <n v="50038841"/>
    <x v="34"/>
    <n v="1"/>
    <s v="REALIZADO"/>
    <s v="MARCIA"/>
    <d v="2025-11-18T00:00:00"/>
    <x v="2"/>
  </r>
  <r>
    <n v="78886"/>
    <s v="DOUGLAS FELICIANO MENDES DE OLIVEIRA"/>
    <s v="MME"/>
    <s v="ADM"/>
    <n v="50038517"/>
    <x v="0"/>
    <n v="1"/>
    <s v="REALIZADO"/>
    <s v="MATHEUS"/>
    <d v="2025-11-18T00:00:00"/>
    <x v="0"/>
  </r>
  <r>
    <n v="77526"/>
    <s v="FELIPE GARÇONI"/>
    <s v="MME"/>
    <s v="ADM"/>
    <n v="50039065"/>
    <x v="22"/>
    <n v="1"/>
    <s v="REALIZADO"/>
    <s v="MATHEUS"/>
    <d v="2025-11-18T00:00:00"/>
    <x v="2"/>
  </r>
  <r>
    <n v="77526"/>
    <s v="FELIPE GARÇONI"/>
    <s v="MME"/>
    <s v="ADM"/>
    <n v="50039065"/>
    <x v="22"/>
    <n v="1"/>
    <s v="REALIZADO"/>
    <s v="MATHEUS"/>
    <d v="2025-11-18T00:00:00"/>
    <x v="0"/>
  </r>
  <r>
    <n v="72713"/>
    <s v="MARCOS AURELIO"/>
    <s v="MPR"/>
    <s v="ADM"/>
    <n v="50041124"/>
    <x v="77"/>
    <n v="1"/>
    <s v="REALIZADO"/>
    <s v="GEOVANE"/>
    <d v="2025-11-18T00:00:00"/>
    <x v="2"/>
  </r>
  <r>
    <n v="72713"/>
    <s v="MARCOS AURELIO"/>
    <s v="MPR"/>
    <s v="ADM"/>
    <n v="50041124"/>
    <x v="77"/>
    <n v="1"/>
    <s v="REALIZADO"/>
    <s v="MATHEUS"/>
    <d v="2025-11-18T00:00:00"/>
    <x v="2"/>
  </r>
  <r>
    <n v="72715"/>
    <s v="DANIEL CAMAÇARI DE OLIVEIRA"/>
    <s v="MPR"/>
    <s v="ADM"/>
    <n v="50041195"/>
    <x v="21"/>
    <n v="1"/>
    <s v="REALIZADO"/>
    <s v="AGATHA"/>
    <d v="2025-11-18T00:00:00"/>
    <x v="2"/>
  </r>
  <r>
    <n v="65482"/>
    <s v="RAFAEL BALBINO PEREIRA"/>
    <s v="MMG"/>
    <s v="ADM"/>
    <n v="50043917"/>
    <x v="66"/>
    <n v="1"/>
    <s v="REALIZADO"/>
    <s v="GEOVANE"/>
    <d v="2025-11-18T00:00:00"/>
    <x v="0"/>
  </r>
  <r>
    <n v="63770"/>
    <s v="DANILO DA SILVA"/>
    <s v="MMG"/>
    <s v="ADM"/>
    <n v="50043917"/>
    <x v="66"/>
    <n v="1"/>
    <s v="REALIZADO"/>
    <s v="GEOVANE"/>
    <d v="2025-11-18T00:00:00"/>
    <x v="2"/>
  </r>
  <r>
    <n v="63770"/>
    <s v="DANILO DA SILVA"/>
    <s v="MMG"/>
    <s v="ADM"/>
    <n v="50043917"/>
    <x v="66"/>
    <n v="1"/>
    <s v="REALIZADO"/>
    <s v="MATHEUS"/>
    <d v="2025-11-18T00:00:00"/>
    <x v="0"/>
  </r>
  <r>
    <n v="77526"/>
    <s v="FELIPE GARÇONI"/>
    <s v="MME"/>
    <s v="ADM"/>
    <n v="50032781"/>
    <x v="12"/>
    <n v="1"/>
    <s v="REALIZADO"/>
    <s v="GEOVANE"/>
    <d v="2025-11-18T00:00:00"/>
    <x v="0"/>
  </r>
  <r>
    <n v="75424"/>
    <s v="EDSON CARLOS"/>
    <s v="MME"/>
    <s v="1º TURNO"/>
    <n v="50032781"/>
    <x v="12"/>
    <n v="1"/>
    <s v="REALIZADO"/>
    <s v="GEOVANE"/>
    <d v="2025-11-18T00:00:00"/>
    <x v="2"/>
  </r>
  <r>
    <n v="77526"/>
    <s v="FELIPE GARÇONI"/>
    <s v="MME"/>
    <s v="ADM"/>
    <n v="50032781"/>
    <x v="12"/>
    <n v="1"/>
    <s v="REALIZADO"/>
    <s v="JOÃO FRANCISCO"/>
    <d v="2025-11-18T00:00:00"/>
    <x v="2"/>
  </r>
  <r>
    <n v="75424"/>
    <s v="EDSON CARLOS"/>
    <s v="MME"/>
    <s v="1º TURNO"/>
    <n v="50032781"/>
    <x v="12"/>
    <n v="1"/>
    <s v="REALIZADO"/>
    <s v="MATHEUS"/>
    <d v="2025-11-18T00:00:00"/>
    <x v="0"/>
  </r>
  <r>
    <n v="77313"/>
    <s v="ROGERIO"/>
    <s v="MPR"/>
    <s v="ADM"/>
    <n v="50028220"/>
    <x v="33"/>
    <n v="1"/>
    <s v="REALIZADO"/>
    <s v="MATHEUS"/>
    <d v="2025-11-18T00:00:00"/>
    <x v="2"/>
  </r>
  <r>
    <n v="77313"/>
    <s v="ROGERIO"/>
    <s v="MPR"/>
    <s v="ADM"/>
    <n v="50028220"/>
    <x v="33"/>
    <n v="1"/>
    <s v="REALIZADO"/>
    <s v="MATHEUS"/>
    <d v="2025-11-18T00:00:00"/>
    <x v="0"/>
  </r>
  <r>
    <n v="77708"/>
    <s v="FABIO JUSTINO"/>
    <s v="MPR"/>
    <s v="ADM"/>
    <n v="50040133"/>
    <x v="78"/>
    <n v="1"/>
    <s v="REALIZADO"/>
    <s v="BRUNO"/>
    <d v="2025-11-17T00:00:00"/>
    <x v="2"/>
  </r>
  <r>
    <n v="77708"/>
    <s v="FABIO JUSTINO"/>
    <s v="MPR"/>
    <s v="ADM"/>
    <n v="50040133"/>
    <x v="78"/>
    <n v="1"/>
    <s v="REALIZADO"/>
    <s v="BRUNO"/>
    <d v="2025-11-17T00:00:00"/>
    <x v="2"/>
  </r>
  <r>
    <n v="68430"/>
    <s v="JOAO CAIXETA"/>
    <s v="MEE"/>
    <s v="1º TURNO"/>
    <n v="50036298"/>
    <x v="69"/>
    <n v="1"/>
    <s v="REALIZADO"/>
    <s v="BRUNO"/>
    <d v="2025-11-17T00:00:00"/>
    <x v="0"/>
  </r>
  <r>
    <n v="77594"/>
    <s v="VINICIUS ROBLES"/>
    <s v="MME"/>
    <s v="ADM"/>
    <n v="50036280"/>
    <x v="64"/>
    <n v="1"/>
    <s v="REALIZADO"/>
    <s v="JOÃO FRANCISCO"/>
    <d v="2025-11-17T00:00:00"/>
    <x v="2"/>
  </r>
  <r>
    <n v="77594"/>
    <s v="VINICIUS ROBLES"/>
    <s v="MME"/>
    <s v="ADM"/>
    <n v="50036280"/>
    <x v="64"/>
    <n v="1"/>
    <s v="REALIZADO"/>
    <s v="JOÃO FRANCISCO"/>
    <d v="2025-11-17T00:00:00"/>
    <x v="0"/>
  </r>
  <r>
    <n v="77594"/>
    <s v="VINICIUS ROBLES"/>
    <s v="MME"/>
    <s v="ADM"/>
    <n v="50036280"/>
    <x v="64"/>
    <n v="1"/>
    <s v="REALIZADO"/>
    <s v="JOÃO FRANCISCO"/>
    <d v="2025-11-17T00:00:00"/>
    <x v="2"/>
  </r>
  <r>
    <n v="77594"/>
    <s v="VINICIUS ROBLES"/>
    <s v="MME"/>
    <s v="ADM"/>
    <n v="50036280"/>
    <x v="64"/>
    <n v="1"/>
    <s v="REALIZADO"/>
    <s v="JOÃO FRANCISCO"/>
    <d v="2025-11-17T00:00:00"/>
    <x v="0"/>
  </r>
  <r>
    <n v="77526"/>
    <s v="FELIPE GARÇONI"/>
    <s v="MME"/>
    <s v="ADM"/>
    <n v="50030486"/>
    <x v="17"/>
    <n v="1"/>
    <s v="REALIZADO"/>
    <s v="BRUNO"/>
    <d v="2025-11-17T00:00:00"/>
    <x v="0"/>
  </r>
  <r>
    <n v="68760"/>
    <s v="FERDINANDO PAZINI"/>
    <s v="MMG"/>
    <s v="ADM"/>
    <n v="50043471"/>
    <x v="5"/>
    <n v="1"/>
    <s v="REALIZADO"/>
    <s v="JOÃO FRANCISCO"/>
    <d v="2025-11-17T00:00:00"/>
    <x v="2"/>
  </r>
  <r>
    <n v="68760"/>
    <s v="FERDINANDO PAZINI"/>
    <s v="MMG"/>
    <s v="ADM"/>
    <n v="50043471"/>
    <x v="5"/>
    <n v="1"/>
    <s v="REALIZADO"/>
    <s v="BRUNO"/>
    <d v="2025-11-17T00:00:00"/>
    <x v="2"/>
  </r>
  <r>
    <n v="70052"/>
    <s v="MARCOS SANTOS"/>
    <s v="MEE"/>
    <s v="ADM"/>
    <n v="50044839"/>
    <x v="79"/>
    <n v="1"/>
    <s v="REALIZADO"/>
    <s v="BRUNO"/>
    <d v="2025-11-17T00:00:00"/>
    <x v="0"/>
  </r>
  <r>
    <n v="63770"/>
    <s v="DANILO DA SILVA"/>
    <s v="MMG"/>
    <s v="ADM"/>
    <n v="50022878"/>
    <x v="18"/>
    <n v="1"/>
    <s v="REALIZADO"/>
    <s v="JOÃO FRANCISCO"/>
    <d v="2025-11-17T00:00:00"/>
    <x v="2"/>
  </r>
  <r>
    <n v="63770"/>
    <s v="DANILO DA SILVA"/>
    <s v="MMG"/>
    <s v="ADM"/>
    <n v="50022878"/>
    <x v="18"/>
    <n v="1"/>
    <s v="REALIZADO"/>
    <s v="JOÃO FRANCISCO"/>
    <d v="2025-11-17T00:00:00"/>
    <x v="0"/>
  </r>
  <r>
    <n v="77594"/>
    <s v="VINICIUS ROBLES"/>
    <s v="MME"/>
    <s v="ADM"/>
    <n v="50038841"/>
    <x v="34"/>
    <n v="1"/>
    <s v="REALIZADO"/>
    <s v="JOÃO FRANCISCO"/>
    <d v="2025-11-17T00:00:00"/>
    <x v="2"/>
  </r>
  <r>
    <n v="77594"/>
    <s v="VINICIUS ROBLES"/>
    <s v="MME"/>
    <s v="ADM"/>
    <n v="50038841"/>
    <x v="34"/>
    <n v="1"/>
    <s v="REALIZADO"/>
    <s v="BRUNO"/>
    <d v="2025-11-17T00:00:00"/>
    <x v="2"/>
  </r>
  <r>
    <n v="77526"/>
    <s v="FELIPE GARÇONI"/>
    <s v="MME"/>
    <s v="ADM"/>
    <n v="50038517"/>
    <x v="0"/>
    <n v="1"/>
    <s v="NÃO REALIZADO"/>
    <s v="MARCIA"/>
    <d v="2025-11-17T00:00:00"/>
    <x v="0"/>
  </r>
  <r>
    <n v="77526"/>
    <s v="FELIPE GARÇONI"/>
    <s v="MME"/>
    <s v="ADM"/>
    <n v="50038517"/>
    <x v="0"/>
    <n v="1"/>
    <s v="REALIZADO"/>
    <s v="BRUNO"/>
    <d v="2025-11-17T00:00:00"/>
    <x v="2"/>
  </r>
  <r>
    <n v="77526"/>
    <s v="FELIPE GARÇONI"/>
    <s v="MME"/>
    <s v="ADM"/>
    <n v="50038517"/>
    <x v="0"/>
    <n v="1"/>
    <s v="REALIZADO"/>
    <s v="BRUNO"/>
    <d v="2025-11-17T00:00:00"/>
    <x v="0"/>
  </r>
  <r>
    <n v="77594"/>
    <s v="VINICIUS ROBLES"/>
    <s v="MME"/>
    <s v="ADM"/>
    <n v="50039065"/>
    <x v="22"/>
    <n v="1"/>
    <s v="NÃO REALIZADO"/>
    <s v="JOÃO FRANCISCO"/>
    <d v="2025-11-17T00:00:00"/>
    <x v="2"/>
  </r>
  <r>
    <n v="77594"/>
    <s v="VINICIUS ROBLES"/>
    <s v="MME"/>
    <s v="ADM"/>
    <n v="50039065"/>
    <x v="22"/>
    <n v="1"/>
    <s v="REALIZADO"/>
    <s v="BRUNO"/>
    <d v="2025-11-17T00:00:00"/>
    <x v="0"/>
  </r>
  <r>
    <n v="62640"/>
    <s v="MARCELINHO"/>
    <s v="MPR"/>
    <s v="ADM"/>
    <n v="50043917"/>
    <x v="66"/>
    <n v="1"/>
    <s v="REALIZADO"/>
    <s v="JOÃO FRANCISCO"/>
    <d v="2025-11-17T00:00:00"/>
    <x v="2"/>
  </r>
  <r>
    <n v="63399"/>
    <s v="JOAO CARLOS MARIA"/>
    <s v="MPR"/>
    <s v="ADM"/>
    <n v="50043917"/>
    <x v="66"/>
    <n v="1"/>
    <s v="REALIZADO"/>
    <s v="BRUNO"/>
    <d v="2025-11-17T00:00:00"/>
    <x v="0"/>
  </r>
  <r>
    <n v="71850"/>
    <s v="CLEBER BRABO"/>
    <s v="MMG"/>
    <s v="ADM"/>
    <n v="50032775"/>
    <x v="13"/>
    <n v="1"/>
    <s v="REALIZADO"/>
    <s v="JOÃO FRANCISCO"/>
    <d v="2025-11-17T00:00:00"/>
    <x v="2"/>
  </r>
  <r>
    <n v="71850"/>
    <s v="CLEBER BRABO"/>
    <s v="MMG"/>
    <s v="ADM"/>
    <n v="50032775"/>
    <x v="13"/>
    <n v="1"/>
    <s v="REALIZADO"/>
    <s v="BRUNO"/>
    <d v="2025-11-17T00:00:00"/>
    <x v="0"/>
  </r>
  <r>
    <n v="72713"/>
    <s v="MARCOS AURELIO"/>
    <s v="MPR"/>
    <s v="ADM"/>
    <n v="50041194"/>
    <x v="80"/>
    <n v="1"/>
    <s v="REALIZADO"/>
    <s v="BRUNO"/>
    <d v="2025-11-17T00:00:00"/>
    <x v="2"/>
  </r>
  <r>
    <n v="72713"/>
    <s v="MARCOS AURELIO"/>
    <s v="MPR"/>
    <s v="ADM"/>
    <n v="50041194"/>
    <x v="80"/>
    <n v="1"/>
    <s v="REALIZADO"/>
    <s v="BRUNO"/>
    <d v="2025-11-17T00:00:00"/>
    <x v="0"/>
  </r>
  <r>
    <n v="62471"/>
    <s v="ELTON LIMA"/>
    <s v="MME"/>
    <s v="ADM"/>
    <n v="50010031"/>
    <x v="20"/>
    <n v="1"/>
    <s v="REALIZADO"/>
    <s v="BRUNO"/>
    <d v="2025-11-14T00:00:00"/>
    <x v="0"/>
  </r>
  <r>
    <n v="77521"/>
    <s v="LUCAS LIRA"/>
    <s v="MME"/>
    <s v="ADM"/>
    <n v="50036296"/>
    <x v="46"/>
    <n v="1"/>
    <s v="REALIZADO"/>
    <s v="BRUNO"/>
    <d v="2025-11-14T00:00:00"/>
    <x v="2"/>
  </r>
  <r>
    <n v="77521"/>
    <s v="LUCAS LIRA"/>
    <s v="MME"/>
    <s v="ADM"/>
    <n v="50036296"/>
    <x v="46"/>
    <n v="1"/>
    <s v="REALIZADO"/>
    <s v="BRUNO"/>
    <d v="2025-11-14T00:00:00"/>
    <x v="0"/>
  </r>
  <r>
    <n v="60546"/>
    <s v="EMERSON DOS SANTOS"/>
    <s v="MMG"/>
    <s v="3º TURNO"/>
    <n v="50036255"/>
    <x v="7"/>
    <n v="1"/>
    <s v="REALIZADO"/>
    <s v="MATHEUS"/>
    <d v="2025-11-14T00:00:00"/>
    <x v="2"/>
  </r>
  <r>
    <n v="60546"/>
    <s v="EMERSON DOS SANTOS"/>
    <s v="MMG"/>
    <s v="3º TURNO"/>
    <n v="50036255"/>
    <x v="7"/>
    <n v="1"/>
    <s v="REALIZADO"/>
    <s v="MATHEUS"/>
    <d v="2025-11-14T00:00:00"/>
    <x v="2"/>
  </r>
  <r>
    <n v="66830"/>
    <s v="MARCIO GOMES DA SILVA"/>
    <s v="MPR"/>
    <s v="ADM"/>
    <n v="50036086"/>
    <x v="3"/>
    <n v="1"/>
    <s v="REALIZADO"/>
    <s v="MATHEUS"/>
    <d v="2025-11-14T00:00:00"/>
    <x v="2"/>
  </r>
  <r>
    <n v="65131"/>
    <s v="GUILHERME VECHIO"/>
    <s v="MMG"/>
    <s v="2º TURNO"/>
    <n v="50039718"/>
    <x v="11"/>
    <n v="1"/>
    <s v="REALIZADO"/>
    <s v="BRUNO"/>
    <d v="2025-11-14T00:00:00"/>
    <x v="2"/>
  </r>
  <r>
    <n v="73336"/>
    <s v="RODRIGO RODRIGUES"/>
    <s v="MMG"/>
    <s v="ADM"/>
    <n v="50037905"/>
    <x v="49"/>
    <n v="1"/>
    <s v="REALIZADO"/>
    <s v="BRUNO"/>
    <d v="2025-11-14T00:00:00"/>
    <x v="2"/>
  </r>
  <r>
    <n v="77526"/>
    <s v="FELIPE GARÇONI"/>
    <s v="MME"/>
    <s v="ADM"/>
    <n v="50030486"/>
    <x v="17"/>
    <n v="1"/>
    <s v="REALIZADO"/>
    <s v="BRUNO"/>
    <d v="2025-11-14T00:00:00"/>
    <x v="0"/>
  </r>
  <r>
    <n v="77521"/>
    <s v="LUCAS LIRA"/>
    <s v="MME"/>
    <s v="ADM"/>
    <n v="50043471"/>
    <x v="5"/>
    <n v="1"/>
    <s v="REALIZADO"/>
    <s v="BRUNO"/>
    <d v="2025-11-14T00:00:00"/>
    <x v="2"/>
  </r>
  <r>
    <n v="77521"/>
    <s v="LUCAS LIRA"/>
    <s v="MME"/>
    <s v="ADM"/>
    <n v="50043471"/>
    <x v="5"/>
    <n v="1"/>
    <s v="REALIZADO"/>
    <s v="BRUNO"/>
    <d v="2025-11-14T00:00:00"/>
    <x v="0"/>
  </r>
  <r>
    <n v="77594"/>
    <s v="VINICIUS ROBLES"/>
    <s v="MME"/>
    <s v="ADM"/>
    <n v="50043471"/>
    <x v="5"/>
    <n v="1"/>
    <s v="REALIZADO"/>
    <s v="BRUNO"/>
    <d v="2025-11-14T00:00:00"/>
    <x v="2"/>
  </r>
  <r>
    <n v="77594"/>
    <s v="VINICIUS ROBLES"/>
    <s v="MME"/>
    <s v="ADM"/>
    <n v="50043471"/>
    <x v="5"/>
    <n v="1"/>
    <s v="REALIZADO"/>
    <s v="BRUNO"/>
    <d v="2025-11-14T00:00:00"/>
    <x v="0"/>
  </r>
  <r>
    <n v="75424"/>
    <s v="EDSON CARLOS"/>
    <s v="MME"/>
    <s v="1º TURNO"/>
    <n v="50043471"/>
    <x v="5"/>
    <n v="1"/>
    <s v="REALIZADO"/>
    <s v="MATHEUS"/>
    <d v="2025-11-14T00:00:00"/>
    <x v="2"/>
  </r>
  <r>
    <n v="75424"/>
    <s v="EDSON CARLOS"/>
    <s v="MME"/>
    <s v="1º TURNO"/>
    <n v="50043471"/>
    <x v="5"/>
    <n v="1"/>
    <s v="REALIZADO"/>
    <s v="MATHEUS"/>
    <d v="2025-11-14T00:00:00"/>
    <x v="0"/>
  </r>
  <r>
    <n v="62164"/>
    <s v="TIAGO DA SILVA"/>
    <s v="MEE"/>
    <s v="2º TURNO"/>
    <n v="50043320"/>
    <x v="35"/>
    <n v="1"/>
    <s v="REALIZADO"/>
    <s v="BRUNO"/>
    <d v="2025-11-14T00:00:00"/>
    <x v="2"/>
  </r>
  <r>
    <n v="62164"/>
    <s v="TIAGO DA SILVA"/>
    <s v="MEE"/>
    <s v="2º TURNO"/>
    <n v="50043320"/>
    <x v="35"/>
    <n v="1"/>
    <s v="REALIZADO"/>
    <s v="MATHEUS"/>
    <d v="2025-11-14T00:00:00"/>
    <x v="0"/>
  </r>
  <r>
    <n v="70052"/>
    <s v="MARCOS SANTOS"/>
    <s v="MEE"/>
    <s v="ADM"/>
    <n v="50043320"/>
    <x v="35"/>
    <n v="1"/>
    <s v="REALIZADO"/>
    <s v="MATHEUS"/>
    <d v="2025-11-14T00:00:00"/>
    <x v="2"/>
  </r>
  <r>
    <n v="70052"/>
    <s v="MARCOS SANTOS"/>
    <s v="MEE"/>
    <s v="ADM"/>
    <n v="50043320"/>
    <x v="35"/>
    <n v="1"/>
    <s v="REALIZADO"/>
    <s v="MATHEUS"/>
    <d v="2025-11-14T00:00:00"/>
    <x v="0"/>
  </r>
  <r>
    <n v="63770"/>
    <s v="DANILO DA SILVA"/>
    <s v="MMG"/>
    <s v="ADM"/>
    <n v="50038549"/>
    <x v="6"/>
    <n v="1"/>
    <s v="REALIZADO"/>
    <s v="MATHEUS"/>
    <d v="2025-11-14T00:00:00"/>
    <x v="2"/>
  </r>
  <r>
    <n v="63770"/>
    <s v="DANILO DA SILVA"/>
    <s v="MMG"/>
    <s v="ADM"/>
    <n v="50038549"/>
    <x v="6"/>
    <n v="1"/>
    <s v="REALIZADO"/>
    <s v="MATHEUS"/>
    <d v="2025-11-14T00:00:00"/>
    <x v="0"/>
  </r>
  <r>
    <n v="63770"/>
    <s v="DANILO DA SILVA"/>
    <s v="MMG"/>
    <s v="ADM"/>
    <n v="50022878"/>
    <x v="18"/>
    <n v="1"/>
    <s v="REALIZADO"/>
    <s v="MATHEUS"/>
    <d v="2025-11-14T00:00:00"/>
    <x v="2"/>
  </r>
  <r>
    <n v="63770"/>
    <s v="DANILO DA SILVA"/>
    <s v="MMG"/>
    <s v="ADM"/>
    <n v="50022878"/>
    <x v="18"/>
    <n v="1"/>
    <s v="REALIZADO"/>
    <s v="MATHEUS"/>
    <d v="2025-11-14T00:00:00"/>
    <x v="0"/>
  </r>
  <r>
    <n v="77594"/>
    <s v="VINICIUS ROBLES"/>
    <s v="MME"/>
    <s v="ADM"/>
    <n v="50038956"/>
    <x v="10"/>
    <n v="1"/>
    <s v="REALIZADO"/>
    <s v="BRUNO"/>
    <d v="2025-11-14T00:00:00"/>
    <x v="2"/>
  </r>
  <r>
    <n v="77594"/>
    <s v="VINICIUS ROBLES"/>
    <s v="MME"/>
    <s v="ADM"/>
    <n v="50038956"/>
    <x v="10"/>
    <n v="1"/>
    <s v="REALIZADO"/>
    <s v="BRUNO"/>
    <d v="2025-11-14T00:00:00"/>
    <x v="0"/>
  </r>
  <r>
    <n v="70105"/>
    <s v="RONALDO DE SOUZA SANTOS"/>
    <s v="MMG"/>
    <s v="2º TURNO"/>
    <n v="50037892"/>
    <x v="2"/>
    <n v="1"/>
    <s v="REALIZADO"/>
    <s v="BRUNO"/>
    <d v="2025-11-14T00:00:00"/>
    <x v="2"/>
  </r>
  <r>
    <n v="70105"/>
    <s v="RONALDO DE SOUZA SANTOS"/>
    <s v="MMG"/>
    <s v="2º TURNO"/>
    <n v="50037892"/>
    <x v="2"/>
    <n v="1"/>
    <s v="REALIZADO"/>
    <s v="MATHEUS"/>
    <d v="2025-11-14T00:00:00"/>
    <x v="0"/>
  </r>
  <r>
    <n v="77526"/>
    <s v="FELIPE GARÇONI"/>
    <s v="MME"/>
    <s v="ADM"/>
    <n v="50037902"/>
    <x v="14"/>
    <n v="1"/>
    <s v="REALIZADO"/>
    <s v="BRUNO"/>
    <d v="2025-11-14T00:00:00"/>
    <x v="2"/>
  </r>
  <r>
    <n v="77526"/>
    <s v="FELIPE GARÇONI"/>
    <s v="MME"/>
    <s v="ADM"/>
    <n v="50037902"/>
    <x v="14"/>
    <n v="1"/>
    <s v="REALIZADO"/>
    <s v="MATHEUS"/>
    <d v="2025-11-14T00:00:00"/>
    <x v="0"/>
  </r>
  <r>
    <n v="78675"/>
    <s v="ORLANDO GOMES"/>
    <s v="MME"/>
    <s v="1º TURNO"/>
    <n v="50038841"/>
    <x v="34"/>
    <n v="1"/>
    <s v="REALIZADO"/>
    <s v="BRUNO"/>
    <d v="2025-11-14T00:00:00"/>
    <x v="2"/>
  </r>
  <r>
    <n v="78675"/>
    <s v="ORLANDO GOMES"/>
    <s v="MME"/>
    <s v="1º TURNO"/>
    <n v="50038841"/>
    <x v="34"/>
    <n v="1"/>
    <s v="REALIZADO"/>
    <s v="MATHEUS"/>
    <d v="2025-11-14T00:00:00"/>
    <x v="0"/>
  </r>
  <r>
    <n v="77471"/>
    <s v="DANILO BARBOSA"/>
    <s v="MEE"/>
    <s v="ADM"/>
    <n v="50041195"/>
    <x v="21"/>
    <n v="1"/>
    <s v="REALIZADO"/>
    <s v="BRUNO"/>
    <d v="2025-11-14T00:00:00"/>
    <x v="2"/>
  </r>
  <r>
    <n v="77471"/>
    <s v="DANILO BARBOSA"/>
    <s v="MEE"/>
    <s v="ADM"/>
    <n v="50041195"/>
    <x v="21"/>
    <n v="1"/>
    <s v="REALIZADO"/>
    <s v="BRUNO"/>
    <d v="2025-11-14T00:00:00"/>
    <x v="0"/>
  </r>
  <r>
    <n v="62033"/>
    <s v="ODAIR JOSE DA SILVA"/>
    <s v="MME"/>
    <s v="2º TURNO"/>
    <n v="50041195"/>
    <x v="21"/>
    <n v="1"/>
    <s v="REALIZADO"/>
    <s v="BRUNO"/>
    <d v="2025-11-14T00:00:00"/>
    <x v="2"/>
  </r>
  <r>
    <n v="62033"/>
    <s v="ODAIR JOSE DA SILVA"/>
    <s v="MME"/>
    <s v="2º TURNO"/>
    <n v="50041195"/>
    <x v="21"/>
    <n v="1"/>
    <s v="REALIZADO"/>
    <s v="BRUNO"/>
    <d v="2025-11-14T00:00:00"/>
    <x v="0"/>
  </r>
  <r>
    <n v="64074"/>
    <s v="MARCOS FERNANDES COLOMBO"/>
    <s v="MPR"/>
    <s v="ADM"/>
    <n v="50041195"/>
    <x v="21"/>
    <n v="1"/>
    <s v="REALIZADO"/>
    <s v="BRUNO"/>
    <d v="2025-11-14T00:00:00"/>
    <x v="2"/>
  </r>
  <r>
    <n v="64074"/>
    <s v="MARCOS FERNANDES COLOMBO"/>
    <s v="MPR"/>
    <s v="ADM"/>
    <n v="50041195"/>
    <x v="21"/>
    <n v="1"/>
    <s v="REALIZADO"/>
    <s v="BRUNO"/>
    <d v="2025-11-14T00:00:00"/>
    <x v="0"/>
  </r>
  <r>
    <n v="70052"/>
    <s v="MARCOS SANTOS"/>
    <s v="MEE"/>
    <s v="ADM"/>
    <n v="50041195"/>
    <x v="21"/>
    <n v="1"/>
    <s v="REALIZADO"/>
    <s v="MATHEUS"/>
    <d v="2025-11-14T00:00:00"/>
    <x v="2"/>
  </r>
  <r>
    <n v="70052"/>
    <s v="MARCOS SANTOS"/>
    <s v="MEE"/>
    <s v="ADM"/>
    <n v="50041195"/>
    <x v="21"/>
    <n v="1"/>
    <s v="REALIZADO"/>
    <s v="MATHEUS"/>
    <d v="2025-11-14T00:00:00"/>
    <x v="0"/>
  </r>
  <r>
    <n v="70105"/>
    <s v="RONALDO DE SOUZA SANTOS"/>
    <s v="MMG"/>
    <s v="2º TURNO"/>
    <n v="50043917"/>
    <x v="66"/>
    <n v="1"/>
    <s v="REALIZADO"/>
    <s v="BRUNO"/>
    <d v="2025-11-14T00:00:00"/>
    <x v="2"/>
  </r>
  <r>
    <n v="70105"/>
    <s v="RONALDO DE SOUZA SANTOS"/>
    <s v="MMG"/>
    <s v="2º TURNO"/>
    <n v="50043917"/>
    <x v="66"/>
    <n v="1"/>
    <s v="REALIZADO"/>
    <s v="MATHEUS"/>
    <d v="2025-11-14T00:00:00"/>
    <x v="0"/>
  </r>
  <r>
    <n v="63758"/>
    <s v="MARCOS DA SILVA"/>
    <s v="MME"/>
    <s v="3º TURNO"/>
    <n v="50043917"/>
    <x v="66"/>
    <n v="1"/>
    <s v="REALIZADO"/>
    <s v="MATHEUS"/>
    <d v="2025-11-14T00:00:00"/>
    <x v="2"/>
  </r>
  <r>
    <n v="63758"/>
    <s v="MARCOS DA SILVA"/>
    <s v="MME"/>
    <s v="3º TURNO"/>
    <n v="50043917"/>
    <x v="66"/>
    <n v="1"/>
    <s v="REALIZADO"/>
    <s v="MATHEUS"/>
    <d v="2025-11-14T00:00:00"/>
    <x v="0"/>
  </r>
  <r>
    <n v="64074"/>
    <s v="MARCOS FERNANDES COLOMBO"/>
    <s v="MPR"/>
    <s v="ADM"/>
    <n v="50020624"/>
    <x v="42"/>
    <n v="1"/>
    <s v="REALIZADO"/>
    <s v="BRUNO"/>
    <d v="2025-11-14T00:00:00"/>
    <x v="2"/>
  </r>
  <r>
    <n v="64074"/>
    <s v="MARCOS FERNANDES COLOMBO"/>
    <s v="MPR"/>
    <s v="ADM"/>
    <n v="50020624"/>
    <x v="42"/>
    <n v="1"/>
    <s v="REALIZADO"/>
    <s v="BRUNO"/>
    <d v="2025-11-14T00:00:00"/>
    <x v="2"/>
  </r>
  <r>
    <n v="77594"/>
    <s v="VINICIUS ROBLES"/>
    <s v="MME"/>
    <s v="ADM"/>
    <n v="50012903"/>
    <x v="31"/>
    <n v="1"/>
    <s v="REALIZADO"/>
    <s v="MATHEUS"/>
    <d v="2025-11-14T00:00:00"/>
    <x v="0"/>
  </r>
  <r>
    <n v="68708"/>
    <s v="CLAUDIO TADEU LEITE"/>
    <s v="MMG"/>
    <s v="ADM"/>
    <n v="50037948"/>
    <x v="81"/>
    <n v="1"/>
    <s v="REALIZADO"/>
    <s v="MATHEUS"/>
    <d v="2025-11-14T00:00:00"/>
    <x v="2"/>
  </r>
  <r>
    <n v="68708"/>
    <s v="CLAUDIO TADEU LEITE"/>
    <s v="MMG"/>
    <s v="ADM"/>
    <n v="50037948"/>
    <x v="81"/>
    <n v="1"/>
    <s v="REALIZADO"/>
    <s v="MATHEUS"/>
    <d v="2025-11-14T00:00:00"/>
    <x v="2"/>
  </r>
  <r>
    <n v="73336"/>
    <s v="RODRIGO RODRIGUES"/>
    <s v="MMG"/>
    <s v="ADM"/>
    <n v="50037933"/>
    <x v="43"/>
    <n v="1"/>
    <s v="REALIZADO"/>
    <s v="BRUNO"/>
    <d v="2025-11-14T00:00:00"/>
    <x v="0"/>
  </r>
  <r>
    <n v="77526"/>
    <s v="FELIPE GARÇONI"/>
    <s v="MME"/>
    <s v="ADM"/>
    <n v="50010031"/>
    <x v="20"/>
    <n v="1"/>
    <s v="REALIZADO"/>
    <s v="BRUNO"/>
    <d v="2025-11-13T00:00:00"/>
    <x v="2"/>
  </r>
  <r>
    <n v="77526"/>
    <s v="FELIPE GARÇONI"/>
    <s v="MME"/>
    <s v="ADM"/>
    <n v="50010031"/>
    <x v="20"/>
    <n v="1"/>
    <s v="REALIZADO"/>
    <s v="BRUNO"/>
    <d v="2025-11-13T00:00:00"/>
    <x v="2"/>
  </r>
  <r>
    <n v="65131"/>
    <s v="GUILHERME VECHIO"/>
    <s v="MMG"/>
    <s v="2º TURNO"/>
    <n v="50037905"/>
    <x v="49"/>
    <n v="1"/>
    <s v="REALIZADO"/>
    <s v="BRUNO"/>
    <d v="2025-11-13T00:00:00"/>
    <x v="0"/>
  </r>
  <r>
    <n v="62180"/>
    <s v="JOSE AUGUSTO MASSUCHINI"/>
    <s v="MMG"/>
    <s v="ADM"/>
    <n v="50037905"/>
    <x v="49"/>
    <n v="1"/>
    <s v="REALIZADO"/>
    <s v="BRUNO"/>
    <d v="2025-11-13T00:00:00"/>
    <x v="2"/>
  </r>
  <r>
    <n v="62180"/>
    <s v="JOSE AUGUSTO MASSUCHINI"/>
    <s v="MMG"/>
    <s v="ADM"/>
    <n v="50037905"/>
    <x v="49"/>
    <n v="1"/>
    <s v="REALIZADO"/>
    <s v="MATHEUS"/>
    <d v="2025-11-13T00:00:00"/>
    <x v="0"/>
  </r>
  <r>
    <n v="69510"/>
    <s v="GABRIEL CAIXETA"/>
    <s v="MEE"/>
    <s v="ADM"/>
    <n v="50030486"/>
    <x v="17"/>
    <n v="1"/>
    <s v="REALIZADO"/>
    <s v="BRUNO"/>
    <d v="2025-11-13T00:00:00"/>
    <x v="2"/>
  </r>
  <r>
    <n v="69510"/>
    <s v="GABRIEL CAIXETA"/>
    <s v="MEE"/>
    <s v="ADM"/>
    <n v="50030486"/>
    <x v="17"/>
    <n v="1"/>
    <s v="REALIZADO"/>
    <s v="MATHEUS"/>
    <d v="2025-11-13T00:00:00"/>
    <x v="0"/>
  </r>
  <r>
    <n v="77594"/>
    <s v="VINICIUS ROBLES"/>
    <s v="MME"/>
    <s v="ADM"/>
    <n v="50030486"/>
    <x v="17"/>
    <n v="1"/>
    <s v="REALIZADO"/>
    <s v="MATHEUS"/>
    <d v="2025-11-13T00:00:00"/>
    <x v="2"/>
  </r>
  <r>
    <n v="77594"/>
    <s v="VINICIUS ROBLES"/>
    <s v="MME"/>
    <s v="ADM"/>
    <n v="50030486"/>
    <x v="17"/>
    <n v="1"/>
    <s v="REALIZADO"/>
    <s v="MATHEUS"/>
    <d v="2025-11-13T00:00:00"/>
    <x v="0"/>
  </r>
  <r>
    <n v="62471"/>
    <s v="ELTON LIMA"/>
    <s v="MME"/>
    <s v="ADM"/>
    <n v="50043471"/>
    <x v="5"/>
    <n v="1"/>
    <s v="REALIZADO"/>
    <s v="BRUNO"/>
    <d v="2025-11-13T00:00:00"/>
    <x v="2"/>
  </r>
  <r>
    <n v="76994"/>
    <s v="FELIPE HENRIQUE DE BRITO"/>
    <s v="MEE"/>
    <s v="ADM"/>
    <n v="50003297"/>
    <x v="8"/>
    <n v="1"/>
    <s v="REALIZADO"/>
    <s v="MATHEUS"/>
    <d v="2025-11-13T00:00:00"/>
    <x v="0"/>
  </r>
  <r>
    <n v="69510"/>
    <s v="GABRIEL CAIXETA"/>
    <s v="MEE"/>
    <s v="ADM"/>
    <n v="50029865"/>
    <x v="9"/>
    <n v="1"/>
    <s v="REALIZADO"/>
    <s v="BRUNO"/>
    <d v="2025-11-13T00:00:00"/>
    <x v="2"/>
  </r>
  <r>
    <n v="69510"/>
    <s v="GABRIEL CAIXETA"/>
    <s v="MEE"/>
    <s v="ADM"/>
    <n v="50029865"/>
    <x v="9"/>
    <n v="1"/>
    <s v="REALIZADO"/>
    <s v="MATHEUS"/>
    <d v="2025-11-13T00:00:00"/>
    <x v="0"/>
  </r>
  <r>
    <n v="73336"/>
    <s v="RODRIGO RODRIGUES"/>
    <s v="MMG"/>
    <s v="ADM"/>
    <n v="50022878"/>
    <x v="18"/>
    <n v="1"/>
    <s v="REALIZADO"/>
    <s v="BRUNO"/>
    <d v="2025-11-13T00:00:00"/>
    <x v="2"/>
  </r>
  <r>
    <n v="73336"/>
    <s v="RODRIGO RODRIGUES"/>
    <s v="MMG"/>
    <s v="ADM"/>
    <n v="50022878"/>
    <x v="18"/>
    <n v="1"/>
    <s v="REALIZADO"/>
    <s v="BRUNO"/>
    <d v="2025-11-13T00:00:00"/>
    <x v="0"/>
  </r>
  <r>
    <n v="76994"/>
    <s v="FELIPE HENRIQUE DE BRITO"/>
    <s v="MEE"/>
    <s v="ADM"/>
    <n v="50038956"/>
    <x v="10"/>
    <n v="1"/>
    <s v="REALIZADO"/>
    <s v="BRUNO"/>
    <d v="2025-11-13T00:00:00"/>
    <x v="2"/>
  </r>
  <r>
    <n v="76994"/>
    <s v="FELIPE HENRIQUE DE BRITO"/>
    <s v="MEE"/>
    <s v="ADM"/>
    <n v="50038956"/>
    <x v="10"/>
    <n v="1"/>
    <s v="REALIZADO"/>
    <s v="MATHEUS"/>
    <d v="2025-11-13T00:00:00"/>
    <x v="0"/>
  </r>
  <r>
    <n v="62471"/>
    <s v="ELTON LIMA"/>
    <s v="MME"/>
    <s v="ADM"/>
    <n v="50037892"/>
    <x v="2"/>
    <n v="1"/>
    <s v="REALIZADO"/>
    <s v="BRUNO"/>
    <d v="2025-11-13T00:00:00"/>
    <x v="0"/>
  </r>
  <r>
    <n v="68708"/>
    <s v="CLAUDIO TADEU LEITE"/>
    <s v="MMG"/>
    <s v="ADM"/>
    <n v="50037902"/>
    <x v="14"/>
    <n v="1"/>
    <s v="REALIZADO"/>
    <s v="BRUNO"/>
    <d v="2025-11-13T00:00:00"/>
    <x v="0"/>
  </r>
  <r>
    <n v="77526"/>
    <s v="FELIPE GARÇONI"/>
    <s v="MME"/>
    <s v="ADM"/>
    <n v="50038517"/>
    <x v="0"/>
    <n v="1"/>
    <s v="REALIZADO"/>
    <s v="BRUNO"/>
    <d v="2025-11-13T00:00:00"/>
    <x v="2"/>
  </r>
  <r>
    <n v="77526"/>
    <s v="FELIPE GARÇONI"/>
    <s v="MME"/>
    <s v="ADM"/>
    <n v="50038517"/>
    <x v="0"/>
    <n v="1"/>
    <s v="REALIZADO"/>
    <s v="MATHEUS"/>
    <d v="2025-11-13T00:00:00"/>
    <x v="0"/>
  </r>
  <r>
    <n v="62896"/>
    <s v="LEONARDO BORGES"/>
    <s v="MEE"/>
    <s v="ADM"/>
    <n v="50038518"/>
    <x v="57"/>
    <n v="1"/>
    <s v="REALIZADO"/>
    <s v="BRUNO"/>
    <d v="2025-11-13T00:00:00"/>
    <x v="2"/>
  </r>
  <r>
    <n v="62896"/>
    <s v="LEONARDO BORGES"/>
    <s v="MEE"/>
    <s v="ADM"/>
    <n v="50038518"/>
    <x v="57"/>
    <n v="1"/>
    <s v="REALIZADO"/>
    <s v="MATHEUS"/>
    <d v="2025-11-13T00:00:00"/>
    <x v="0"/>
  </r>
  <r>
    <n v="64253"/>
    <s v="DANIEL JULIAO"/>
    <s v="MMG"/>
    <s v="ADM"/>
    <n v="50041195"/>
    <x v="21"/>
    <n v="1"/>
    <s v="REALIZADO"/>
    <s v="BRUNO"/>
    <d v="2025-11-13T00:00:00"/>
    <x v="2"/>
  </r>
  <r>
    <n v="64253"/>
    <s v="DANIEL JULIAO"/>
    <s v="MMG"/>
    <s v="ADM"/>
    <n v="50041195"/>
    <x v="21"/>
    <n v="1"/>
    <s v="REALIZADO"/>
    <s v="MATHEUS"/>
    <d v="2025-11-13T00:00:00"/>
    <x v="2"/>
  </r>
  <r>
    <n v="65900"/>
    <s v="DANILO CARVALHO VAIDELLO"/>
    <s v="MME"/>
    <s v="2º TURNO"/>
    <n v="50043917"/>
    <x v="66"/>
    <n v="1"/>
    <s v="REALIZADO"/>
    <s v="BRUNO"/>
    <d v="2025-11-13T00:00:00"/>
    <x v="0"/>
  </r>
  <r>
    <n v="73878"/>
    <s v="EVANDRO TANAKA"/>
    <s v="MMG"/>
    <s v="ADM"/>
    <n v="50010031"/>
    <x v="20"/>
    <n v="1"/>
    <s v="REALIZADO"/>
    <s v="BRUNO"/>
    <d v="2025-11-12T00:00:00"/>
    <x v="2"/>
  </r>
  <r>
    <n v="73878"/>
    <s v="EVANDRO TANAKA"/>
    <s v="MMG"/>
    <s v="ADM"/>
    <n v="50010031"/>
    <x v="20"/>
    <n v="1"/>
    <s v="REALIZADO"/>
    <s v="BRUNO"/>
    <d v="2025-11-12T00:00:00"/>
    <x v="0"/>
  </r>
  <r>
    <n v="60763"/>
    <s v="LEANDRO VASCONCELOS"/>
    <s v="MMG"/>
    <s v="1º TURNO"/>
    <n v="50037905"/>
    <x v="49"/>
    <n v="1"/>
    <s v="REALIZADO"/>
    <s v="BRUNO"/>
    <d v="2025-11-12T00:00:00"/>
    <x v="2"/>
  </r>
  <r>
    <n v="60763"/>
    <s v="LEANDRO VASCONCELOS"/>
    <s v="MMG"/>
    <s v="1º TURNO"/>
    <n v="50037905"/>
    <x v="49"/>
    <n v="1"/>
    <s v="REALIZADO"/>
    <s v="BRUNO"/>
    <d v="2025-11-12T00:00:00"/>
    <x v="0"/>
  </r>
  <r>
    <n v="76633"/>
    <s v="VINICIUS GUILHERME BARBOSA"/>
    <s v="MMG"/>
    <s v="1º TURNO"/>
    <n v="50030486"/>
    <x v="17"/>
    <n v="1"/>
    <s v="REALIZADO"/>
    <s v="BRUNO"/>
    <d v="2025-11-12T00:00:00"/>
    <x v="2"/>
  </r>
  <r>
    <n v="76633"/>
    <s v="VINICIUS GUILHERME BARBOSA"/>
    <s v="MMG"/>
    <s v="1º TURNO"/>
    <n v="50030486"/>
    <x v="17"/>
    <n v="1"/>
    <s v="REALIZADO"/>
    <s v="MATHEUS"/>
    <d v="2025-11-12T00:00:00"/>
    <x v="2"/>
  </r>
  <r>
    <n v="62471"/>
    <s v="ELTON LIMA"/>
    <s v="MME"/>
    <s v="ADM"/>
    <n v="50043471"/>
    <x v="5"/>
    <n v="1"/>
    <s v="REALIZADO"/>
    <s v="BRUNO"/>
    <d v="2025-11-12T00:00:00"/>
    <x v="0"/>
  </r>
  <r>
    <n v="62896"/>
    <s v="LEONARDO BORGES"/>
    <s v="MEE"/>
    <s v="ADM"/>
    <n v="50003297"/>
    <x v="8"/>
    <n v="1"/>
    <s v="REALIZADO"/>
    <s v="BRUNO"/>
    <d v="2025-11-12T00:00:00"/>
    <x v="2"/>
  </r>
  <r>
    <n v="62896"/>
    <s v="LEONARDO BORGES"/>
    <s v="MEE"/>
    <s v="ADM"/>
    <n v="50003297"/>
    <x v="8"/>
    <n v="1"/>
    <s v="REALIZADO"/>
    <s v="BRUNO"/>
    <d v="2025-11-12T00:00:00"/>
    <x v="0"/>
  </r>
  <r>
    <n v="77594"/>
    <s v="VINICIUS ROBLES"/>
    <s v="MME"/>
    <s v="ADM"/>
    <n v="50003297"/>
    <x v="8"/>
    <n v="1"/>
    <s v="REALIZADO"/>
    <s v="BRUNO"/>
    <d v="2025-11-12T00:00:00"/>
    <x v="2"/>
  </r>
  <r>
    <n v="77594"/>
    <s v="VINICIUS ROBLES"/>
    <s v="MME"/>
    <s v="ADM"/>
    <n v="50003297"/>
    <x v="8"/>
    <n v="1"/>
    <s v="REALIZADO"/>
    <s v="BRUNO"/>
    <d v="2025-11-12T00:00:00"/>
    <x v="0"/>
  </r>
  <r>
    <n v="62896"/>
    <s v="LEONARDO BORGES"/>
    <s v="MEE"/>
    <s v="ADM"/>
    <n v="50043320"/>
    <x v="35"/>
    <n v="1"/>
    <s v="REALIZADO"/>
    <s v="BRUNO"/>
    <d v="2025-11-12T00:00:00"/>
    <x v="2"/>
  </r>
  <r>
    <n v="62896"/>
    <s v="LEONARDO BORGES"/>
    <s v="MEE"/>
    <s v="ADM"/>
    <n v="50043320"/>
    <x v="35"/>
    <n v="1"/>
    <s v="REALIZADO"/>
    <s v="MATHEUS"/>
    <d v="2025-11-12T00:00:00"/>
    <x v="0"/>
  </r>
  <r>
    <n v="68708"/>
    <s v="CLAUDIO TADEU LEITE"/>
    <s v="MMG"/>
    <s v="ADM"/>
    <n v="50038549"/>
    <x v="6"/>
    <n v="1"/>
    <s v="REALIZADO"/>
    <s v="BRUNO"/>
    <d v="2025-11-12T00:00:00"/>
    <x v="2"/>
  </r>
  <r>
    <n v="68708"/>
    <s v="CLAUDIO TADEU LEITE"/>
    <s v="MMG"/>
    <s v="ADM"/>
    <n v="50038549"/>
    <x v="6"/>
    <n v="1"/>
    <s v="REALIZADO"/>
    <s v="MATHEUS"/>
    <d v="2025-11-12T00:00:00"/>
    <x v="0"/>
  </r>
  <r>
    <n v="79177"/>
    <s v="MAICON ANTONIO SANTOS"/>
    <s v="MMG"/>
    <s v="ADM"/>
    <n v="50022878"/>
    <x v="18"/>
    <n v="1"/>
    <s v="REALIZADO"/>
    <s v="MATHEUS"/>
    <d v="2025-11-12T00:00:00"/>
    <x v="2"/>
  </r>
  <r>
    <n v="79177"/>
    <s v="MAICON ANTONIO SANTOS"/>
    <s v="MMG"/>
    <s v="ADM"/>
    <n v="50022878"/>
    <x v="18"/>
    <n v="1"/>
    <s v="REALIZADO"/>
    <s v="MATHEUS"/>
    <d v="2025-11-12T00:00:00"/>
    <x v="0"/>
  </r>
  <r>
    <n v="70105"/>
    <s v="RONALDO DE SOUZA SANTOS"/>
    <s v="MMG"/>
    <s v="2º TURNO"/>
    <n v="50038956"/>
    <x v="10"/>
    <n v="1"/>
    <s v="REALIZADO"/>
    <s v="BRUNO"/>
    <d v="2025-11-12T00:00:00"/>
    <x v="2"/>
  </r>
  <r>
    <n v="70105"/>
    <s v="RONALDO DE SOUZA SANTOS"/>
    <s v="MMG"/>
    <s v="2º TURNO"/>
    <n v="50038956"/>
    <x v="10"/>
    <n v="1"/>
    <s v="REALIZADO"/>
    <s v="MATHEUS"/>
    <d v="2025-11-12T00:00:00"/>
    <x v="2"/>
  </r>
  <r>
    <n v="62471"/>
    <s v="ELTON LIMA"/>
    <s v="MME"/>
    <s v="ADM"/>
    <n v="50037892"/>
    <x v="2"/>
    <n v="1"/>
    <s v="REALIZADO"/>
    <s v="BRUNO"/>
    <d v="2025-11-12T00:00:00"/>
    <x v="0"/>
  </r>
  <r>
    <n v="70105"/>
    <s v="RONALDO DE SOUZA SANTOS"/>
    <s v="MMG"/>
    <s v="2º TURNO"/>
    <n v="50037892"/>
    <x v="2"/>
    <n v="1"/>
    <s v="REALIZADO"/>
    <s v="BRUNO"/>
    <d v="2025-11-12T00:00:00"/>
    <x v="2"/>
  </r>
  <r>
    <n v="70105"/>
    <s v="RONALDO DE SOUZA SANTOS"/>
    <s v="MMG"/>
    <s v="2º TURNO"/>
    <n v="50037892"/>
    <x v="2"/>
    <n v="1"/>
    <s v="REALIZADO"/>
    <s v="MATHEUS"/>
    <d v="2025-11-12T00:00:00"/>
    <x v="0"/>
  </r>
  <r>
    <n v="62471"/>
    <s v="ELTON LIMA"/>
    <s v="MME"/>
    <s v="ADM"/>
    <n v="50038841"/>
    <x v="34"/>
    <n v="1"/>
    <s v="REALIZADO"/>
    <s v="BRUNO"/>
    <d v="2025-11-12T00:00:00"/>
    <x v="2"/>
  </r>
  <r>
    <n v="62471"/>
    <s v="ELTON LIMA"/>
    <s v="MME"/>
    <s v="ADM"/>
    <n v="50038841"/>
    <x v="34"/>
    <n v="1"/>
    <s v="REALIZADO"/>
    <s v="BRUNO"/>
    <d v="2025-11-12T00:00:00"/>
    <x v="0"/>
  </r>
  <r>
    <n v="68708"/>
    <s v="CLAUDIO TADEU LEITE"/>
    <s v="MMG"/>
    <s v="ADM"/>
    <n v="50038841"/>
    <x v="34"/>
    <n v="1"/>
    <s v="REALIZADO"/>
    <s v="BRUNO"/>
    <d v="2025-11-12T00:00:00"/>
    <x v="0"/>
  </r>
  <r>
    <n v="62896"/>
    <s v="LEONARDO BORGES"/>
    <s v="MEE"/>
    <s v="ADM"/>
    <n v="50038841"/>
    <x v="34"/>
    <n v="1"/>
    <s v="REALIZADO"/>
    <s v="BRUNO"/>
    <d v="2025-11-12T00:00:00"/>
    <x v="2"/>
  </r>
  <r>
    <n v="62896"/>
    <s v="LEONARDO BORGES"/>
    <s v="MEE"/>
    <s v="ADM"/>
    <n v="50038841"/>
    <x v="34"/>
    <n v="1"/>
    <s v="REALIZADO"/>
    <s v="BRUNO"/>
    <d v="2025-11-12T00:00:00"/>
    <x v="0"/>
  </r>
  <r>
    <n v="79177"/>
    <s v="MAICON ANTONIO SANTOS"/>
    <s v="MMG"/>
    <s v="ADM"/>
    <n v="50038841"/>
    <x v="34"/>
    <n v="1"/>
    <s v="REALIZADO"/>
    <s v="MATHEUS"/>
    <d v="2025-11-12T00:00:00"/>
    <x v="2"/>
  </r>
  <r>
    <n v="79177"/>
    <s v="MAICON ANTONIO SANTOS"/>
    <s v="MMG"/>
    <s v="ADM"/>
    <n v="50038841"/>
    <x v="34"/>
    <n v="1"/>
    <s v="REALIZADO"/>
    <s v="MATHEUS"/>
    <d v="2025-11-12T00:00:00"/>
    <x v="0"/>
  </r>
  <r>
    <n v="77594"/>
    <s v="VINICIUS ROBLES"/>
    <s v="MME"/>
    <s v="ADM"/>
    <n v="50038517"/>
    <x v="0"/>
    <n v="1"/>
    <s v="REALIZADO"/>
    <s v="BRUNO"/>
    <d v="2025-11-12T00:00:00"/>
    <x v="2"/>
  </r>
  <r>
    <n v="77594"/>
    <s v="VINICIUS ROBLES"/>
    <s v="MME"/>
    <s v="ADM"/>
    <n v="50038517"/>
    <x v="0"/>
    <n v="1"/>
    <s v="REALIZADO"/>
    <s v="BRUNO"/>
    <d v="2025-11-12T00:00:00"/>
    <x v="0"/>
  </r>
  <r>
    <n v="65844"/>
    <s v="ALTEMAR FEITOSA"/>
    <s v="MMG"/>
    <s v="1º TURNO"/>
    <n v="50039065"/>
    <x v="22"/>
    <n v="1"/>
    <s v="REALIZADO"/>
    <s v="AGATHA"/>
    <d v="2025-11-12T00:00:00"/>
    <x v="2"/>
  </r>
  <r>
    <n v="65844"/>
    <s v="ALTEMAR FEITOSA"/>
    <s v="MMG"/>
    <s v="1º TURNO"/>
    <n v="50039065"/>
    <x v="22"/>
    <n v="1"/>
    <s v="REALIZADO"/>
    <s v="BRUNO"/>
    <d v="2025-11-12T00:00:00"/>
    <x v="0"/>
  </r>
  <r>
    <n v="68708"/>
    <s v="CLAUDIO TADEU LEITE"/>
    <s v="MMG"/>
    <s v="ADM"/>
    <n v="50036332"/>
    <x v="82"/>
    <n v="1"/>
    <s v="REALIZADO"/>
    <s v="MATHEUS"/>
    <d v="2025-11-12T00:00:00"/>
    <x v="2"/>
  </r>
  <r>
    <n v="68708"/>
    <s v="CLAUDIO TADEU LEITE"/>
    <s v="MMG"/>
    <s v="ADM"/>
    <n v="50036332"/>
    <x v="82"/>
    <n v="1"/>
    <s v="REALIZADO"/>
    <s v="MATHEUS"/>
    <d v="2025-11-12T00:00:00"/>
    <x v="0"/>
  </r>
  <r>
    <n v="62471"/>
    <s v="ELTON LIMA"/>
    <s v="MME"/>
    <s v="ADM"/>
    <n v="50038626"/>
    <x v="72"/>
    <n v="1"/>
    <s v="REALIZADO"/>
    <s v="MATHEUS"/>
    <d v="2025-11-12T00:00:00"/>
    <x v="0"/>
  </r>
  <r>
    <n v="62896"/>
    <s v="LEONARDO BORGES"/>
    <s v="MEE"/>
    <s v="ADM"/>
    <n v="50026357"/>
    <x v="24"/>
    <n v="1"/>
    <s v="REALIZADO"/>
    <s v="BRUNO"/>
    <d v="2025-11-12T00:00:00"/>
    <x v="2"/>
  </r>
  <r>
    <n v="62896"/>
    <s v="LEONARDO BORGES"/>
    <s v="MEE"/>
    <s v="ADM"/>
    <n v="50026357"/>
    <x v="24"/>
    <n v="1"/>
    <s v="REALIZADO"/>
    <s v="MATHEUS"/>
    <d v="2025-11-12T00:00:00"/>
    <x v="0"/>
  </r>
  <r>
    <n v="72713"/>
    <s v="MARCOS AURELIO"/>
    <s v="MPR"/>
    <s v="ADM"/>
    <n v="50041195"/>
    <x v="21"/>
    <n v="1"/>
    <s v="REALIZADO"/>
    <s v="BRUNO"/>
    <d v="2025-11-12T00:00:00"/>
    <x v="2"/>
  </r>
  <r>
    <n v="72713"/>
    <s v="MARCOS AURELIO"/>
    <s v="MPR"/>
    <s v="ADM"/>
    <n v="50041195"/>
    <x v="21"/>
    <n v="1"/>
    <s v="REALIZADO"/>
    <s v="MATHEUS"/>
    <d v="2025-11-12T00:00:00"/>
    <x v="0"/>
  </r>
  <r>
    <n v="77471"/>
    <s v="DANILO BARBOSA"/>
    <s v="MEE"/>
    <s v="ADM"/>
    <n v="50043917"/>
    <x v="66"/>
    <n v="1"/>
    <s v="REALIZADO"/>
    <s v="BRUNO"/>
    <d v="2025-11-12T00:00:00"/>
    <x v="2"/>
  </r>
  <r>
    <n v="77471"/>
    <s v="DANILO BARBOSA"/>
    <s v="MEE"/>
    <s v="ADM"/>
    <n v="50043917"/>
    <x v="66"/>
    <n v="1"/>
    <s v="REALIZADO"/>
    <s v="MATHEUS"/>
    <d v="2025-11-12T00:00:00"/>
    <x v="0"/>
  </r>
  <r>
    <n v="76633"/>
    <s v="VINICIUS GUILHERME BARBOSA"/>
    <s v="MMG"/>
    <s v="1º TURNO"/>
    <n v="50020623"/>
    <x v="42"/>
    <n v="1"/>
    <s v="REALIZADO"/>
    <s v="BRUNO"/>
    <d v="2025-11-12T00:00:00"/>
    <x v="2"/>
  </r>
  <r>
    <n v="76633"/>
    <s v="VINICIUS GUILHERME BARBOSA"/>
    <s v="MMG"/>
    <s v="1º TURNO"/>
    <n v="50020623"/>
    <x v="42"/>
    <n v="1"/>
    <s v="REALIZADO"/>
    <s v="MATHEUS"/>
    <d v="2025-11-12T00:00:00"/>
    <x v="0"/>
  </r>
  <r>
    <n v="68708"/>
    <s v="CLAUDIO TADEU LEITE"/>
    <s v="MMG"/>
    <s v="ADM"/>
    <n v="50012902"/>
    <x v="30"/>
    <n v="1"/>
    <s v="REALIZADO"/>
    <s v="MATHEUS"/>
    <d v="2025-11-12T00:00:00"/>
    <x v="2"/>
  </r>
  <r>
    <n v="68708"/>
    <s v="CLAUDIO TADEU LEITE"/>
    <s v="MMG"/>
    <s v="ADM"/>
    <n v="50012902"/>
    <x v="30"/>
    <n v="1"/>
    <s v="REALIZADO"/>
    <s v="MATHEUS"/>
    <d v="2025-11-12T00:00:00"/>
    <x v="2"/>
  </r>
  <r>
    <n v="61096"/>
    <s v="REGIVALDO MEDEIROS"/>
    <s v="MME"/>
    <s v="ADM"/>
    <n v="50032781"/>
    <x v="12"/>
    <n v="1"/>
    <s v="REALIZADO"/>
    <s v="MATHEUS"/>
    <d v="2025-11-12T00:00:00"/>
    <x v="0"/>
  </r>
  <r>
    <n v="64074"/>
    <s v="MARCOS FERNANDES COLOMBO"/>
    <s v="MPR"/>
    <s v="ADM"/>
    <n v="50028220"/>
    <x v="33"/>
    <n v="1"/>
    <s v="REALIZADO"/>
    <s v="BRUNO"/>
    <d v="2025-11-12T00:00:00"/>
    <x v="2"/>
  </r>
  <r>
    <n v="64074"/>
    <s v="MARCOS FERNANDES COLOMBO"/>
    <s v="MPR"/>
    <s v="ADM"/>
    <n v="50028220"/>
    <x v="33"/>
    <n v="1"/>
    <s v="REALIZADO"/>
    <s v="BRUNO"/>
    <d v="2025-11-12T00:00:00"/>
    <x v="0"/>
  </r>
  <r>
    <n v="68708"/>
    <s v="CLAUDIO TADEU LEITE"/>
    <s v="MMG"/>
    <s v="ADM"/>
    <n v="50042283"/>
    <x v="47"/>
    <n v="1"/>
    <s v="REALIZADO"/>
    <s v="BRUNO"/>
    <d v="2025-11-12T00:00:00"/>
    <x v="2"/>
  </r>
  <r>
    <n v="68708"/>
    <s v="CLAUDIO TADEU LEITE"/>
    <s v="MMG"/>
    <s v="ADM"/>
    <n v="50042283"/>
    <x v="47"/>
    <n v="1"/>
    <s v="REALIZADO"/>
    <s v="BRUNO"/>
    <d v="2025-11-12T00:00:00"/>
    <x v="0"/>
  </r>
  <r>
    <n v="68708"/>
    <s v="CLAUDIO TADEU LEITE"/>
    <s v="MMG"/>
    <s v="ADM"/>
    <n v="50042283"/>
    <x v="47"/>
    <n v="1"/>
    <s v="REALIZADO"/>
    <s v="MATHEUS"/>
    <d v="2025-11-12T00:00:00"/>
    <x v="2"/>
  </r>
  <r>
    <n v="68708"/>
    <s v="CLAUDIO TADEU LEITE"/>
    <s v="MMG"/>
    <s v="ADM"/>
    <n v="50042283"/>
    <x v="47"/>
    <n v="1"/>
    <s v="REALIZADO"/>
    <s v="MATHEUS"/>
    <d v="2025-11-12T00:00:00"/>
    <x v="0"/>
  </r>
  <r>
    <n v="69510"/>
    <s v="GABRIEL CAIXETA"/>
    <s v="MEE"/>
    <s v="ADM"/>
    <n v="50002644"/>
    <x v="83"/>
    <n v="1"/>
    <s v="REALIZADO"/>
    <s v="GEOVANE"/>
    <d v="2025-11-11T00:00:00"/>
    <x v="2"/>
  </r>
  <r>
    <n v="69510"/>
    <s v="GABRIEL CAIXETA"/>
    <s v="MEE"/>
    <s v="ADM"/>
    <n v="50002644"/>
    <x v="83"/>
    <n v="1"/>
    <s v="REALIZADO"/>
    <s v="AGATHA"/>
    <d v="2025-11-11T00:00:00"/>
    <x v="0"/>
  </r>
  <r>
    <n v="75365"/>
    <s v="WALDYR MARCOS"/>
    <s v="MEE"/>
    <s v="ADM"/>
    <n v="50036298"/>
    <x v="69"/>
    <n v="1"/>
    <s v="REALIZADO"/>
    <s v="AGATHA"/>
    <d v="2025-11-11T00:00:00"/>
    <x v="2"/>
  </r>
  <r>
    <n v="75365"/>
    <s v="WALDYR MARCOS"/>
    <s v="MEE"/>
    <s v="ADM"/>
    <n v="50036298"/>
    <x v="69"/>
    <n v="1"/>
    <s v="REALIZADO"/>
    <s v="AGATHA"/>
    <d v="2025-11-11T00:00:00"/>
    <x v="0"/>
  </r>
  <r>
    <n v="61264"/>
    <s v="EVERTON GERONIMO"/>
    <s v="MMG"/>
    <s v="ADM"/>
    <n v="50036255"/>
    <x v="7"/>
    <n v="1"/>
    <s v="REALIZADO"/>
    <s v="MARCIA"/>
    <d v="2025-11-11T00:00:00"/>
    <x v="2"/>
  </r>
  <r>
    <n v="61264"/>
    <s v="EVERTON GERONIMO"/>
    <s v="MMG"/>
    <s v="ADM"/>
    <n v="50036255"/>
    <x v="7"/>
    <n v="1"/>
    <s v="REALIZADO"/>
    <s v="MATHEUS"/>
    <d v="2025-11-11T00:00:00"/>
    <x v="0"/>
  </r>
  <r>
    <n v="64128"/>
    <s v="CRISTIANO LUIZ PEGO"/>
    <s v="UTI"/>
    <s v="2º TURNO"/>
    <n v="50038842"/>
    <x v="28"/>
    <n v="1"/>
    <s v="REALIZADO"/>
    <s v="AGATHA"/>
    <d v="2025-11-11T00:00:00"/>
    <x v="2"/>
  </r>
  <r>
    <n v="64128"/>
    <s v="CRISTIANO LUIZ PEGO"/>
    <s v="UTI"/>
    <s v="2º TURNO"/>
    <n v="50038842"/>
    <x v="28"/>
    <n v="1"/>
    <s v="REALIZADO"/>
    <s v="AGATHA"/>
    <d v="2025-11-11T00:00:00"/>
    <x v="0"/>
  </r>
  <r>
    <n v="69510"/>
    <s v="GABRIEL CAIXETA"/>
    <s v="MEE"/>
    <s v="ADM"/>
    <n v="50039236"/>
    <x v="84"/>
    <n v="1"/>
    <s v="REALIZADO"/>
    <s v="MATHEUS"/>
    <d v="2025-11-11T00:00:00"/>
    <x v="0"/>
  </r>
  <r>
    <n v="69510"/>
    <s v="GABRIEL CAIXETA"/>
    <s v="MEE"/>
    <s v="ADM"/>
    <n v="50029865"/>
    <x v="9"/>
    <n v="1"/>
    <s v="REALIZADO"/>
    <s v="MATHEUS"/>
    <d v="2025-11-11T00:00:00"/>
    <x v="0"/>
  </r>
  <r>
    <n v="70105"/>
    <s v="RONALDO DE SOUZA SANTOS"/>
    <s v="MMG"/>
    <s v="2º TURNO"/>
    <n v="50038956"/>
    <x v="10"/>
    <n v="1"/>
    <s v="REALIZADO"/>
    <s v="GEOVANE"/>
    <d v="2025-11-11T00:00:00"/>
    <x v="2"/>
  </r>
  <r>
    <n v="70105"/>
    <s v="RONALDO DE SOUZA SANTOS"/>
    <s v="MMG"/>
    <s v="2º TURNO"/>
    <n v="50038956"/>
    <x v="10"/>
    <n v="1"/>
    <s v="REALIZADO"/>
    <s v="GEOVANE"/>
    <d v="2025-11-11T00:00:00"/>
    <x v="0"/>
  </r>
  <r>
    <n v="69510"/>
    <s v="GABRIEL CAIXETA"/>
    <s v="MEE"/>
    <s v="ADM"/>
    <n v="50038956"/>
    <x v="10"/>
    <n v="1"/>
    <s v="REALIZADO"/>
    <s v="MATHEUS"/>
    <d v="2025-11-11T00:00:00"/>
    <x v="0"/>
  </r>
  <r>
    <n v="72715"/>
    <s v="DANIEL CAMAÇARI DE OLIVEIRA"/>
    <s v="MPR"/>
    <s v="ADM"/>
    <n v="50037892"/>
    <x v="2"/>
    <n v="1"/>
    <s v="REALIZADO"/>
    <s v="AGATHA"/>
    <d v="2025-11-11T00:00:00"/>
    <x v="2"/>
  </r>
  <r>
    <n v="72715"/>
    <s v="DANIEL CAMAÇARI DE OLIVEIRA"/>
    <s v="MPR"/>
    <s v="ADM"/>
    <n v="50037892"/>
    <x v="2"/>
    <n v="1"/>
    <s v="REALIZADO"/>
    <s v="MATHEUS"/>
    <d v="2025-11-11T00:00:00"/>
    <x v="2"/>
  </r>
  <r>
    <n v="77594"/>
    <s v="VINICIUS ROBLES"/>
    <s v="MME"/>
    <s v="ADM"/>
    <n v="50037902"/>
    <x v="14"/>
    <n v="1"/>
    <s v="REALIZADO"/>
    <s v="MATHEUS"/>
    <d v="2025-11-11T00:00:00"/>
    <x v="0"/>
  </r>
  <r>
    <n v="76239"/>
    <s v="GEOVANNY ALEXANDER"/>
    <s v="REFRIG"/>
    <s v="ADM"/>
    <n v="50038841"/>
    <x v="34"/>
    <n v="1"/>
    <s v="REALIZADO"/>
    <s v="MATHEUS"/>
    <d v="2025-11-11T00:00:00"/>
    <x v="2"/>
  </r>
  <r>
    <n v="76239"/>
    <s v="GEOVANNY ALEXANDER"/>
    <s v="REFRIG"/>
    <s v="ADM"/>
    <n v="50038841"/>
    <x v="34"/>
    <n v="1"/>
    <s v="REALIZADO"/>
    <s v="MATHEUS"/>
    <d v="2025-11-11T00:00:00"/>
    <x v="0"/>
  </r>
  <r>
    <n v="79177"/>
    <s v="MAICON ANTONIO SANTOS"/>
    <s v="MMG"/>
    <s v="ADM"/>
    <n v="50038517"/>
    <x v="0"/>
    <n v="1"/>
    <s v="REALIZADO"/>
    <s v="GEOVANE"/>
    <d v="2025-11-11T00:00:00"/>
    <x v="2"/>
  </r>
  <r>
    <n v="79177"/>
    <s v="MAICON ANTONIO SANTOS"/>
    <s v="MMG"/>
    <s v="ADM"/>
    <n v="50038517"/>
    <x v="0"/>
    <n v="1"/>
    <s v="REALIZADO"/>
    <s v="GEOVANE"/>
    <d v="2025-11-11T00:00:00"/>
    <x v="2"/>
  </r>
  <r>
    <n v="66789"/>
    <s v="ERICK GUERRA"/>
    <s v="MME"/>
    <s v="1º TURNO"/>
    <n v="50038517"/>
    <x v="0"/>
    <n v="1"/>
    <s v="REALIZADO"/>
    <s v="MATHEUS"/>
    <d v="2025-11-11T00:00:00"/>
    <x v="0"/>
  </r>
  <r>
    <n v="76633"/>
    <s v="VINICIUS GUILHERME BARBOSA"/>
    <s v="MMG"/>
    <s v="1º TURNO"/>
    <n v="50039065"/>
    <x v="22"/>
    <n v="1"/>
    <s v="REALIZADO"/>
    <s v="AGATHA"/>
    <d v="2025-11-11T00:00:00"/>
    <x v="2"/>
  </r>
  <r>
    <n v="76633"/>
    <s v="VINICIUS GUILHERME BARBOSA"/>
    <s v="MMG"/>
    <s v="1º TURNO"/>
    <n v="50039065"/>
    <x v="22"/>
    <n v="1"/>
    <s v="REALIZADO"/>
    <s v="MATHEUS"/>
    <d v="2025-11-11T00:00:00"/>
    <x v="2"/>
  </r>
  <r>
    <n v="66790"/>
    <s v="EVERTON BOLOGNES"/>
    <s v="MMG"/>
    <s v="2º TURNO"/>
    <n v="50038626"/>
    <x v="72"/>
    <n v="1"/>
    <s v="REALIZADO"/>
    <s v="GEOVANE"/>
    <d v="2025-11-11T00:00:00"/>
    <x v="0"/>
  </r>
  <r>
    <n v="72715"/>
    <s v="DANIEL CAMAÇARI DE OLIVEIRA"/>
    <s v="MPR"/>
    <s v="ADM"/>
    <n v="50026357"/>
    <x v="24"/>
    <n v="1"/>
    <s v="REALIZADO"/>
    <s v="GEOVANE"/>
    <d v="2025-11-11T00:00:00"/>
    <x v="2"/>
  </r>
  <r>
    <n v="72715"/>
    <s v="DANIEL CAMAÇARI DE OLIVEIRA"/>
    <s v="MPR"/>
    <s v="ADM"/>
    <n v="50026357"/>
    <x v="24"/>
    <n v="1"/>
    <s v="REALIZADO"/>
    <s v="GEOVANE"/>
    <d v="2025-11-11T00:00:00"/>
    <x v="0"/>
  </r>
  <r>
    <n v="62640"/>
    <s v="MARCELINHO"/>
    <s v="MPR"/>
    <s v="ADM"/>
    <n v="50041195"/>
    <x v="21"/>
    <n v="1"/>
    <s v="REALIZADO"/>
    <s v="AGATHA"/>
    <d v="2025-11-11T00:00:00"/>
    <x v="2"/>
  </r>
  <r>
    <n v="62640"/>
    <s v="MARCELINHO"/>
    <s v="MPR"/>
    <s v="ADM"/>
    <n v="50041195"/>
    <x v="21"/>
    <n v="1"/>
    <s v="REALIZADO"/>
    <s v="MATHEUS"/>
    <d v="2025-11-11T00:00:00"/>
    <x v="0"/>
  </r>
  <r>
    <n v="71850"/>
    <s v="CLEBER BRABO"/>
    <s v="MMG"/>
    <s v="ADM"/>
    <n v="50043917"/>
    <x v="66"/>
    <n v="1"/>
    <s v="REALIZADO"/>
    <s v="AGATHA"/>
    <d v="2025-11-11T00:00:00"/>
    <x v="2"/>
  </r>
  <r>
    <n v="71850"/>
    <s v="CLEBER BRABO"/>
    <s v="MMG"/>
    <s v="ADM"/>
    <n v="50043917"/>
    <x v="66"/>
    <n v="1"/>
    <s v="REALIZADO"/>
    <s v="MATHEUS"/>
    <d v="2025-11-11T00:00:00"/>
    <x v="0"/>
  </r>
  <r>
    <n v="61264"/>
    <s v="EVERTON GERONIMO"/>
    <s v="MMG"/>
    <s v="ADM"/>
    <n v="50032775"/>
    <x v="13"/>
    <n v="1"/>
    <s v="REALIZADO"/>
    <s v="AGATHA"/>
    <d v="2025-11-11T00:00:00"/>
    <x v="2"/>
  </r>
  <r>
    <n v="61264"/>
    <s v="EVERTON GERONIMO"/>
    <s v="MMG"/>
    <s v="ADM"/>
    <n v="50032775"/>
    <x v="13"/>
    <n v="1"/>
    <s v="REALIZADO"/>
    <s v="MATHEUS"/>
    <d v="2025-11-11T00:00:00"/>
    <x v="0"/>
  </r>
  <r>
    <n v="66830"/>
    <s v="MARCIO GOMES DA SILVA"/>
    <s v="MPR"/>
    <s v="ADM"/>
    <n v="50028220"/>
    <x v="33"/>
    <n v="1"/>
    <s v="REALIZADO"/>
    <s v="MATHEUS"/>
    <d v="2025-11-11T00:00:00"/>
    <x v="2"/>
  </r>
  <r>
    <n v="66830"/>
    <s v="MARCIO GOMES DA SILVA"/>
    <s v="MPR"/>
    <s v="ADM"/>
    <n v="50028220"/>
    <x v="33"/>
    <n v="1"/>
    <s v="REALIZADO"/>
    <s v="MATHEUS"/>
    <d v="2025-11-11T00:00:00"/>
    <x v="2"/>
  </r>
  <r>
    <n v="76239"/>
    <s v="GEOVANNY ALEXANDER"/>
    <s v="REFRIG"/>
    <s v="ADM"/>
    <n v="50042002"/>
    <x v="38"/>
    <n v="1"/>
    <s v="REALIZADO"/>
    <s v="MATHEUS"/>
    <d v="2025-11-11T00:00:00"/>
    <x v="0"/>
  </r>
  <r>
    <n v="77471"/>
    <s v="DANILO BARBOSA"/>
    <s v="MEE"/>
    <s v="ADM"/>
    <n v="50010031"/>
    <x v="20"/>
    <n v="1"/>
    <s v="REALIZADO"/>
    <s v="AGATHA"/>
    <d v="2025-11-10T00:00:00"/>
    <x v="2"/>
  </r>
  <r>
    <n v="77471"/>
    <s v="DANILO BARBOSA"/>
    <s v="MEE"/>
    <s v="ADM"/>
    <n v="50010031"/>
    <x v="20"/>
    <n v="1"/>
    <s v="REALIZADO"/>
    <s v="AGATHA"/>
    <d v="2025-11-10T00:00:00"/>
    <x v="0"/>
  </r>
  <r>
    <n v="64074"/>
    <s v="MARCOS FERNANDES COLOMBO"/>
    <s v="MPR"/>
    <s v="ADM"/>
    <n v="50010031"/>
    <x v="20"/>
    <n v="1"/>
    <s v="REALIZADO"/>
    <s v="BRUNO"/>
    <d v="2025-11-10T00:00:00"/>
    <x v="2"/>
  </r>
  <r>
    <n v="64074"/>
    <s v="MARCOS FERNANDES COLOMBO"/>
    <s v="MPR"/>
    <s v="ADM"/>
    <n v="50010031"/>
    <x v="20"/>
    <n v="1"/>
    <s v="REALIZADO"/>
    <s v="BRUNO"/>
    <d v="2025-11-10T00:00:00"/>
    <x v="0"/>
  </r>
  <r>
    <n v="72715"/>
    <s v="DANIEL CAMAÇARI DE OLIVEIRA"/>
    <s v="MPR"/>
    <s v="ADM"/>
    <n v="50038854"/>
    <x v="27"/>
    <n v="1"/>
    <s v="REALIZADO"/>
    <s v="AGATHA"/>
    <d v="2025-11-10T00:00:00"/>
    <x v="2"/>
  </r>
  <r>
    <n v="72715"/>
    <s v="DANIEL CAMAÇARI DE OLIVEIRA"/>
    <s v="MPR"/>
    <s v="ADM"/>
    <n v="50038854"/>
    <x v="27"/>
    <n v="1"/>
    <s v="REALIZADO"/>
    <s v="AGATHA"/>
    <d v="2025-11-10T00:00:00"/>
    <x v="0"/>
  </r>
  <r>
    <n v="61761"/>
    <s v="JOAO BORTOLI"/>
    <s v="MEE"/>
    <s v="2º TURNO"/>
    <n v="50036298"/>
    <x v="69"/>
    <n v="1"/>
    <s v="REALIZADO"/>
    <s v="AGATHA"/>
    <d v="2025-11-10T00:00:00"/>
    <x v="2"/>
  </r>
  <r>
    <n v="61761"/>
    <s v="JOAO BORTOLI"/>
    <s v="MEE"/>
    <s v="2º TURNO"/>
    <n v="50036298"/>
    <x v="69"/>
    <n v="1"/>
    <s v="REALIZADO"/>
    <s v="AGATHA"/>
    <d v="2025-11-10T00:00:00"/>
    <x v="0"/>
  </r>
  <r>
    <n v="68708"/>
    <s v="CLAUDIO TADEU LEITE"/>
    <s v="MMG"/>
    <s v="ADM"/>
    <n v="50003173"/>
    <x v="29"/>
    <n v="1"/>
    <s v="REALIZADO"/>
    <s v="AGATHA"/>
    <d v="2025-11-10T00:00:00"/>
    <x v="2"/>
  </r>
  <r>
    <n v="68708"/>
    <s v="CLAUDIO TADEU LEITE"/>
    <s v="MMG"/>
    <s v="ADM"/>
    <n v="50003173"/>
    <x v="29"/>
    <n v="1"/>
    <s v="REALIZADO"/>
    <s v="AGATHA"/>
    <d v="2025-11-10T00:00:00"/>
    <x v="2"/>
  </r>
  <r>
    <n v="68708"/>
    <s v="CLAUDIO TADEU LEITE"/>
    <s v="MMG"/>
    <s v="ADM"/>
    <n v="50003173"/>
    <x v="29"/>
    <n v="1"/>
    <s v="REALIZADO"/>
    <s v="MARCIA"/>
    <d v="2025-11-10T00:00:00"/>
    <x v="0"/>
  </r>
  <r>
    <n v="65482"/>
    <s v="RAFAEL BALBINO PEREIRA"/>
    <s v="MMG"/>
    <s v="ADM"/>
    <n v="50039718"/>
    <x v="11"/>
    <n v="1"/>
    <s v="REALIZADO"/>
    <s v="AGATHA"/>
    <d v="2025-11-10T00:00:00"/>
    <x v="2"/>
  </r>
  <r>
    <n v="65482"/>
    <s v="RAFAEL BALBINO PEREIRA"/>
    <s v="MMG"/>
    <s v="ADM"/>
    <n v="50039718"/>
    <x v="11"/>
    <n v="1"/>
    <s v="REALIZADO"/>
    <s v="AGATHA"/>
    <d v="2025-11-10T00:00:00"/>
    <x v="0"/>
  </r>
  <r>
    <n v="62896"/>
    <s v="LEONARDO BORGES"/>
    <s v="MEE"/>
    <s v="ADM"/>
    <n v="50030486"/>
    <x v="17"/>
    <n v="1"/>
    <s v="REALIZADO"/>
    <s v="AGATHA"/>
    <d v="2025-11-10T00:00:00"/>
    <x v="2"/>
  </r>
  <r>
    <n v="62896"/>
    <s v="LEONARDO BORGES"/>
    <s v="MEE"/>
    <s v="ADM"/>
    <n v="50030486"/>
    <x v="17"/>
    <n v="1"/>
    <s v="REALIZADO"/>
    <s v="BRUNO"/>
    <d v="2025-11-10T00:00:00"/>
    <x v="2"/>
  </r>
  <r>
    <n v="69510"/>
    <s v="GABRIEL CAIXETA"/>
    <s v="MEE"/>
    <s v="ADM"/>
    <n v="50039236"/>
    <x v="84"/>
    <n v="1"/>
    <s v="REALIZADO"/>
    <s v="AGATHA"/>
    <d v="2025-11-10T00:00:00"/>
    <x v="0"/>
  </r>
  <r>
    <n v="65482"/>
    <s v="RAFAEL BALBINO PEREIRA"/>
    <s v="MMG"/>
    <s v="ADM"/>
    <n v="50043471"/>
    <x v="5"/>
    <n v="1"/>
    <s v="REALIZADO"/>
    <s v="AGATHA"/>
    <d v="2025-11-10T00:00:00"/>
    <x v="2"/>
  </r>
  <r>
    <n v="65482"/>
    <s v="RAFAEL BALBINO PEREIRA"/>
    <s v="MMG"/>
    <s v="ADM"/>
    <n v="50043471"/>
    <x v="5"/>
    <n v="1"/>
    <s v="REALIZADO"/>
    <s v="AGATHA"/>
    <d v="2025-11-10T00:00:00"/>
    <x v="0"/>
  </r>
  <r>
    <n v="76239"/>
    <s v="GEOVANNY ALEXANDER"/>
    <s v="REFRIG"/>
    <s v="ADM"/>
    <n v="50043471"/>
    <x v="5"/>
    <n v="1"/>
    <s v="REALIZADO"/>
    <s v="AGATHA"/>
    <d v="2025-11-10T00:00:00"/>
    <x v="2"/>
  </r>
  <r>
    <n v="76239"/>
    <s v="GEOVANNY ALEXANDER"/>
    <s v="REFRIG"/>
    <s v="ADM"/>
    <n v="50043471"/>
    <x v="5"/>
    <n v="1"/>
    <s v="REALIZADO"/>
    <s v="BRUNA"/>
    <d v="2025-11-10T00:00:00"/>
    <x v="0"/>
  </r>
  <r>
    <n v="73336"/>
    <s v="RODRIGO RODRIGUES"/>
    <s v="MMG"/>
    <s v="ADM"/>
    <n v="50003297"/>
    <x v="8"/>
    <n v="1"/>
    <s v="REALIZADO"/>
    <s v="AGATHA"/>
    <d v="2025-11-10T00:00:00"/>
    <x v="2"/>
  </r>
  <r>
    <n v="73336"/>
    <s v="RODRIGO RODRIGUES"/>
    <s v="MMG"/>
    <s v="ADM"/>
    <n v="50003297"/>
    <x v="8"/>
    <n v="1"/>
    <s v="REALIZADO"/>
    <s v="AGATHA"/>
    <d v="2025-11-10T00:00:00"/>
    <x v="0"/>
  </r>
  <r>
    <n v="62471"/>
    <s v="ELTON LIMA"/>
    <s v="MME"/>
    <s v="ADM"/>
    <n v="50003297"/>
    <x v="8"/>
    <n v="1"/>
    <s v="REALIZADO"/>
    <s v="BRUNO"/>
    <d v="2025-11-10T00:00:00"/>
    <x v="2"/>
  </r>
  <r>
    <n v="62471"/>
    <s v="ELTON LIMA"/>
    <s v="MME"/>
    <s v="ADM"/>
    <n v="50003297"/>
    <x v="8"/>
    <n v="1"/>
    <s v="REALIZADO"/>
    <s v="BRUNO"/>
    <d v="2025-11-10T00:00:00"/>
    <x v="2"/>
  </r>
  <r>
    <n v="69510"/>
    <s v="GABRIEL CAIXETA"/>
    <s v="MEE"/>
    <s v="ADM"/>
    <n v="50029865"/>
    <x v="9"/>
    <n v="1"/>
    <s v="REALIZADO"/>
    <s v="AGATHA"/>
    <d v="2025-11-10T00:00:00"/>
    <x v="2"/>
  </r>
  <r>
    <n v="68708"/>
    <s v="CLAUDIO TADEU LEITE"/>
    <s v="MMG"/>
    <s v="ADM"/>
    <n v="50038549"/>
    <x v="6"/>
    <n v="1"/>
    <s v="REALIZADO"/>
    <s v="BRUNO"/>
    <d v="2025-11-10T00:00:00"/>
    <x v="0"/>
  </r>
  <r>
    <n v="79177"/>
    <s v="MAICON ANTONIO SANTOS"/>
    <s v="MMG"/>
    <s v="ADM"/>
    <n v="50022878"/>
    <x v="18"/>
    <n v="1"/>
    <s v="REALIZADO"/>
    <s v="AGATHA"/>
    <d v="2025-11-10T00:00:00"/>
    <x v="2"/>
  </r>
  <r>
    <n v="79177"/>
    <s v="MAICON ANTONIO SANTOS"/>
    <s v="MMG"/>
    <s v="ADM"/>
    <n v="50022878"/>
    <x v="18"/>
    <n v="1"/>
    <s v="REALIZADO"/>
    <s v="AGATHA"/>
    <d v="2025-11-10T00:00:00"/>
    <x v="2"/>
  </r>
  <r>
    <n v="69510"/>
    <s v="GABRIEL CAIXETA"/>
    <s v="MEE"/>
    <s v="ADM"/>
    <n v="50038956"/>
    <x v="10"/>
    <n v="1"/>
    <s v="REALIZADO"/>
    <s v="AGATHA"/>
    <d v="2025-11-10T00:00:00"/>
    <x v="0"/>
  </r>
  <r>
    <n v="63684"/>
    <s v="LUAN ALMEIDA"/>
    <s v="MME"/>
    <s v="1º TURNO"/>
    <n v="50038956"/>
    <x v="10"/>
    <n v="1"/>
    <s v="REALIZADO"/>
    <s v="MARCIA"/>
    <d v="2025-11-10T00:00:00"/>
    <x v="2"/>
  </r>
  <r>
    <n v="63684"/>
    <s v="LUAN ALMEIDA"/>
    <s v="MME"/>
    <s v="1º TURNO"/>
    <n v="50038956"/>
    <x v="10"/>
    <n v="1"/>
    <s v="REALIZADO"/>
    <s v="BRUNO"/>
    <d v="2025-11-10T00:00:00"/>
    <x v="0"/>
  </r>
  <r>
    <n v="63713"/>
    <s v="BRUNO DIAS"/>
    <s v="MME"/>
    <s v="ADM"/>
    <n v="50037892"/>
    <x v="2"/>
    <n v="1"/>
    <s v="REALIZADO"/>
    <s v="AGATHA"/>
    <d v="2025-11-10T00:00:00"/>
    <x v="2"/>
  </r>
  <r>
    <n v="63713"/>
    <s v="BRUNO DIAS"/>
    <s v="MME"/>
    <s v="ADM"/>
    <n v="50037892"/>
    <x v="2"/>
    <n v="1"/>
    <s v="REALIZADO"/>
    <s v="AGATHA"/>
    <d v="2025-11-10T00:00:00"/>
    <x v="0"/>
  </r>
  <r>
    <n v="72715"/>
    <s v="DANIEL CAMAÇARI DE OLIVEIRA"/>
    <s v="MPR"/>
    <s v="ADM"/>
    <n v="50037892"/>
    <x v="2"/>
    <n v="1"/>
    <s v="REALIZADO"/>
    <s v="BRUNO"/>
    <d v="2025-11-10T00:00:00"/>
    <x v="2"/>
  </r>
  <r>
    <n v="72715"/>
    <s v="DANIEL CAMAÇARI DE OLIVEIRA"/>
    <s v="MPR"/>
    <s v="ADM"/>
    <n v="50037892"/>
    <x v="2"/>
    <n v="1"/>
    <s v="REALIZADO"/>
    <s v="BRUNO"/>
    <d v="2025-11-10T00:00:00"/>
    <x v="0"/>
  </r>
  <r>
    <n v="77594"/>
    <s v="VINICIUS ROBLES"/>
    <s v="MME"/>
    <s v="ADM"/>
    <n v="50037902"/>
    <x v="14"/>
    <n v="1"/>
    <s v="REALIZADO"/>
    <s v="AGATHA"/>
    <d v="2025-11-10T00:00:00"/>
    <x v="0"/>
  </r>
  <r>
    <n v="73336"/>
    <s v="RODRIGO RODRIGUES"/>
    <s v="MMG"/>
    <s v="ADM"/>
    <n v="50038841"/>
    <x v="34"/>
    <n v="1"/>
    <s v="REALIZADO"/>
    <s v="AGATHA"/>
    <d v="2025-11-10T00:00:00"/>
    <x v="2"/>
  </r>
  <r>
    <n v="73336"/>
    <s v="RODRIGO RODRIGUES"/>
    <s v="MMG"/>
    <s v="ADM"/>
    <n v="50038841"/>
    <x v="34"/>
    <n v="1"/>
    <s v="REALIZADO"/>
    <s v="AGATHA"/>
    <d v="2025-11-10T00:00:00"/>
    <x v="0"/>
  </r>
  <r>
    <n v="76239"/>
    <s v="GEOVANNY ALEXANDER"/>
    <s v="REFRIG"/>
    <s v="ADM"/>
    <n v="50038841"/>
    <x v="34"/>
    <n v="1"/>
    <s v="REALIZADO"/>
    <s v="AGATHA"/>
    <d v="2025-11-10T00:00:00"/>
    <x v="2"/>
  </r>
  <r>
    <n v="76239"/>
    <s v="GEOVANNY ALEXANDER"/>
    <s v="REFRIG"/>
    <s v="ADM"/>
    <n v="50038841"/>
    <x v="34"/>
    <n v="1"/>
    <s v="REALIZADO"/>
    <s v="BRUNA"/>
    <d v="2025-11-10T00:00:00"/>
    <x v="0"/>
  </r>
  <r>
    <n v="64074"/>
    <s v="MARCOS FERNANDES COLOMBO"/>
    <s v="MPR"/>
    <s v="ADM"/>
    <n v="50038517"/>
    <x v="0"/>
    <n v="1"/>
    <s v="REALIZADO"/>
    <s v="AGATHA"/>
    <d v="2025-11-10T00:00:00"/>
    <x v="2"/>
  </r>
  <r>
    <n v="64074"/>
    <s v="MARCOS FERNANDES COLOMBO"/>
    <s v="MPR"/>
    <s v="ADM"/>
    <n v="50038517"/>
    <x v="0"/>
    <n v="1"/>
    <s v="REALIZADO"/>
    <s v="BRUNO"/>
    <d v="2025-11-10T00:00:00"/>
    <x v="2"/>
  </r>
  <r>
    <n v="77526"/>
    <s v="FELIPE GARÇONI"/>
    <s v="MME"/>
    <s v="ADM"/>
    <n v="50041195"/>
    <x v="21"/>
    <n v="1"/>
    <s v="REALIZADO"/>
    <s v="AGATHA"/>
    <d v="2025-11-10T00:00:00"/>
    <x v="0"/>
  </r>
  <r>
    <n v="66830"/>
    <s v="MARCIO GOMES DA SILVA"/>
    <s v="MPR"/>
    <s v="ADM"/>
    <n v="50041195"/>
    <x v="21"/>
    <n v="1"/>
    <s v="REALIZADO"/>
    <s v="AGATHA"/>
    <d v="2025-11-10T00:00:00"/>
    <x v="2"/>
  </r>
  <r>
    <n v="66830"/>
    <s v="MARCIO GOMES DA SILVA"/>
    <s v="MPR"/>
    <s v="ADM"/>
    <n v="50041195"/>
    <x v="21"/>
    <n v="1"/>
    <s v="REALIZADO"/>
    <s v="BRUNA"/>
    <d v="2025-11-10T00:00:00"/>
    <x v="0"/>
  </r>
  <r>
    <n v="66830"/>
    <s v="MARCIO GOMES DA SILVA"/>
    <s v="MPR"/>
    <s v="ADM"/>
    <n v="50043917"/>
    <x v="66"/>
    <n v="1"/>
    <s v="REALIZADO"/>
    <s v="AGATHA"/>
    <d v="2025-11-10T00:00:00"/>
    <x v="2"/>
  </r>
  <r>
    <n v="64074"/>
    <s v="MARCOS FERNANDES COLOMBO"/>
    <s v="MPR"/>
    <s v="ADM"/>
    <n v="50043917"/>
    <x v="66"/>
    <n v="1"/>
    <s v="REALIZADO"/>
    <s v="BRUNO"/>
    <d v="2025-11-10T00:00:00"/>
    <x v="0"/>
  </r>
  <r>
    <n v="72808"/>
    <s v="CAIO NASCIMENTO"/>
    <s v="MME"/>
    <s v="2º TURNO"/>
    <n v="50020622"/>
    <x v="42"/>
    <n v="1"/>
    <s v="REALIZADO"/>
    <s v="AGATHA"/>
    <d v="2025-11-10T00:00:00"/>
    <x v="2"/>
  </r>
  <r>
    <n v="72808"/>
    <s v="CAIO NASCIMENTO"/>
    <s v="MME"/>
    <s v="2º TURNO"/>
    <n v="50020622"/>
    <x v="42"/>
    <n v="1"/>
    <s v="REALIZADO"/>
    <s v="AGATHA"/>
    <d v="2025-11-10T00:00:00"/>
    <x v="0"/>
  </r>
  <r>
    <n v="63713"/>
    <s v="BRUNO DIAS"/>
    <s v="MME"/>
    <s v="ADM"/>
    <n v="50004486"/>
    <x v="40"/>
    <n v="1"/>
    <s v="REALIZADO"/>
    <s v="AGATHA"/>
    <d v="2025-11-10T00:00:00"/>
    <x v="2"/>
  </r>
  <r>
    <n v="63713"/>
    <s v="BRUNO DIAS"/>
    <s v="MME"/>
    <s v="ADM"/>
    <n v="50004486"/>
    <x v="40"/>
    <n v="1"/>
    <s v="REALIZADO"/>
    <s v="AGATHA"/>
    <d v="2025-11-10T00:00:00"/>
    <x v="0"/>
  </r>
  <r>
    <n v="77526"/>
    <s v="FELIPE GARÇONI"/>
    <s v="MME"/>
    <s v="ADM"/>
    <n v="50032781"/>
    <x v="12"/>
    <n v="1"/>
    <s v="REALIZADO"/>
    <s v="AGATHA"/>
    <d v="2025-11-10T00:00:00"/>
    <x v="2"/>
  </r>
  <r>
    <n v="77526"/>
    <s v="FELIPE GARÇONI"/>
    <s v="MME"/>
    <s v="ADM"/>
    <n v="50032781"/>
    <x v="12"/>
    <n v="1"/>
    <s v="REALIZADO"/>
    <s v="AGATHA"/>
    <d v="2025-11-10T00:00:00"/>
    <x v="0"/>
  </r>
  <r>
    <n v="62033"/>
    <s v="ODAIR JOSE DA SILVA"/>
    <s v="MME"/>
    <s v="2º TURNO"/>
    <n v="50032781"/>
    <x v="12"/>
    <n v="1"/>
    <s v="REALIZADO"/>
    <s v="AGATHA"/>
    <d v="2025-11-10T00:00:00"/>
    <x v="2"/>
  </r>
  <r>
    <n v="62033"/>
    <s v="ODAIR JOSE DA SILVA"/>
    <s v="MME"/>
    <s v="2º TURNO"/>
    <n v="50032781"/>
    <x v="12"/>
    <n v="1"/>
    <s v="REALIZADO"/>
    <s v="AGATHA"/>
    <d v="2025-11-10T00:00:00"/>
    <x v="0"/>
  </r>
  <r>
    <n v="61096"/>
    <s v="REGIVALDO MEDEIROS"/>
    <s v="MME"/>
    <s v="ADM"/>
    <n v="50037902"/>
    <x v="14"/>
    <n v="1"/>
    <s v="REALIZADO"/>
    <s v="MARCIA"/>
    <d v="2025-11-08T00:00:00"/>
    <x v="2"/>
  </r>
  <r>
    <n v="61096"/>
    <s v="REGIVALDO MEDEIROS"/>
    <s v="MME"/>
    <s v="ADM"/>
    <n v="50037902"/>
    <x v="14"/>
    <n v="1"/>
    <s v="REALIZADO"/>
    <s v="MARCIA"/>
    <d v="2025-11-08T00:00:00"/>
    <x v="0"/>
  </r>
  <r>
    <n v="74611"/>
    <s v="CRISTIAM BORGES"/>
    <s v="MPR"/>
    <s v="ADM"/>
    <n v="50010031"/>
    <x v="20"/>
    <n v="1"/>
    <s v="REALIZADO"/>
    <s v="AGATHA"/>
    <d v="2025-11-07T00:00:00"/>
    <x v="2"/>
  </r>
  <r>
    <n v="74611"/>
    <s v="CRISTIAM BORGES"/>
    <s v="MPR"/>
    <s v="ADM"/>
    <n v="50010031"/>
    <x v="20"/>
    <n v="1"/>
    <s v="REALIZADO"/>
    <s v="MATHEUS"/>
    <d v="2025-11-07T00:00:00"/>
    <x v="0"/>
  </r>
  <r>
    <n v="74749"/>
    <s v="HUGO RUBIRA"/>
    <s v="MME"/>
    <s v="1º TURNO"/>
    <n v="50010031"/>
    <x v="20"/>
    <n v="1"/>
    <s v="REALIZADO"/>
    <s v="MATHEUS"/>
    <d v="2025-11-07T00:00:00"/>
    <x v="2"/>
  </r>
  <r>
    <n v="74749"/>
    <s v="HUGO RUBIRA"/>
    <s v="MME"/>
    <s v="1º TURNO"/>
    <n v="50010031"/>
    <x v="20"/>
    <n v="1"/>
    <s v="REALIZADO"/>
    <s v="BRUNA"/>
    <d v="2025-11-07T00:00:00"/>
    <x v="0"/>
  </r>
  <r>
    <n v="74611"/>
    <s v="CRISTIAM BORGES"/>
    <s v="MPR"/>
    <s v="ADM"/>
    <n v="50038854"/>
    <x v="27"/>
    <n v="1"/>
    <s v="REALIZADO"/>
    <s v="AGATHA"/>
    <d v="2025-11-07T00:00:00"/>
    <x v="2"/>
  </r>
  <r>
    <n v="74611"/>
    <s v="CRISTIAM BORGES"/>
    <s v="MPR"/>
    <s v="ADM"/>
    <n v="50038854"/>
    <x v="27"/>
    <n v="1"/>
    <s v="REALIZADO"/>
    <s v="GEOVANE"/>
    <d v="2025-11-07T00:00:00"/>
    <x v="2"/>
  </r>
  <r>
    <n v="60763"/>
    <s v="LEANDRO VASCONCELOS"/>
    <s v="MMG"/>
    <s v="1º TURNO"/>
    <n v="50037922"/>
    <x v="61"/>
    <n v="1"/>
    <s v="REALIZADO"/>
    <s v="MATHEUS"/>
    <d v="2025-11-07T00:00:00"/>
    <x v="0"/>
  </r>
  <r>
    <n v="66830"/>
    <s v="MARCIO GOMES DA SILVA"/>
    <s v="MPR"/>
    <s v="ADM"/>
    <n v="50036086"/>
    <x v="3"/>
    <n v="1"/>
    <s v="REALIZADO"/>
    <s v="AGATHA"/>
    <d v="2025-11-07T00:00:00"/>
    <x v="2"/>
  </r>
  <r>
    <n v="66830"/>
    <s v="MARCIO GOMES DA SILVA"/>
    <s v="MPR"/>
    <s v="ADM"/>
    <n v="50036086"/>
    <x v="3"/>
    <n v="1"/>
    <s v="REALIZADO"/>
    <s v="MATHEUS"/>
    <d v="2025-11-07T00:00:00"/>
    <x v="0"/>
  </r>
  <r>
    <n v="62180"/>
    <s v="JOSE AUGUSTO MASSUCHINI"/>
    <s v="MMG"/>
    <s v="ADM"/>
    <n v="50037905"/>
    <x v="49"/>
    <n v="1"/>
    <s v="REALIZADO"/>
    <s v="MATHEUS"/>
    <d v="2025-11-07T00:00:00"/>
    <x v="2"/>
  </r>
  <r>
    <n v="62180"/>
    <s v="JOSE AUGUSTO MASSUCHINI"/>
    <s v="MMG"/>
    <s v="ADM"/>
    <n v="50037905"/>
    <x v="49"/>
    <n v="1"/>
    <s v="REALIZADO"/>
    <s v="MATHEUS"/>
    <d v="2025-11-07T00:00:00"/>
    <x v="2"/>
  </r>
  <r>
    <n v="77526"/>
    <s v="FELIPE GARÇONI"/>
    <s v="MME"/>
    <s v="ADM"/>
    <n v="50036280"/>
    <x v="64"/>
    <n v="1"/>
    <s v="REALIZADO"/>
    <s v="GEOVANE"/>
    <d v="2025-11-07T00:00:00"/>
    <x v="0"/>
  </r>
  <r>
    <n v="63713"/>
    <s v="BRUNO DIAS"/>
    <s v="MME"/>
    <s v="ADM"/>
    <n v="50030486"/>
    <x v="17"/>
    <n v="1"/>
    <s v="REALIZADO"/>
    <s v="AGATHA"/>
    <d v="2025-11-07T00:00:00"/>
    <x v="2"/>
  </r>
  <r>
    <n v="63713"/>
    <s v="BRUNO DIAS"/>
    <s v="MME"/>
    <s v="ADM"/>
    <n v="50030486"/>
    <x v="17"/>
    <n v="1"/>
    <s v="REALIZADO"/>
    <s v="AGATHA"/>
    <d v="2025-11-07T00:00:00"/>
    <x v="0"/>
  </r>
  <r>
    <n v="65482"/>
    <s v="RAFAEL BALBINO PEREIRA"/>
    <s v="MMG"/>
    <s v="ADM"/>
    <n v="50030486"/>
    <x v="17"/>
    <n v="1"/>
    <s v="REALIZADO"/>
    <s v="GEOVANE"/>
    <d v="2025-11-07T00:00:00"/>
    <x v="2"/>
  </r>
  <r>
    <n v="65482"/>
    <s v="RAFAEL BALBINO PEREIRA"/>
    <s v="MMG"/>
    <s v="ADM"/>
    <n v="50030486"/>
    <x v="17"/>
    <n v="1"/>
    <s v="REALIZADO"/>
    <s v="GEOVANE"/>
    <d v="2025-11-07T00:00:00"/>
    <x v="0"/>
  </r>
  <r>
    <n v="77526"/>
    <s v="FELIPE GARÇONI"/>
    <s v="MME"/>
    <s v="ADM"/>
    <n v="50030486"/>
    <x v="17"/>
    <n v="1"/>
    <s v="REALIZADO"/>
    <s v="BRUNA"/>
    <d v="2025-11-07T00:00:00"/>
    <x v="2"/>
  </r>
  <r>
    <n v="77526"/>
    <s v="FELIPE GARÇONI"/>
    <s v="MME"/>
    <s v="ADM"/>
    <n v="50030486"/>
    <x v="17"/>
    <n v="1"/>
    <s v="REALIZADO"/>
    <s v="MATHEUS"/>
    <d v="2025-11-07T00:00:00"/>
    <x v="2"/>
  </r>
  <r>
    <n v="61761"/>
    <s v="JOAO BORTOLI"/>
    <s v="MEE"/>
    <s v="2º TURNO"/>
    <n v="50039236"/>
    <x v="84"/>
    <n v="1"/>
    <s v="REALIZADO"/>
    <s v="AGATHA"/>
    <d v="2025-11-07T00:00:00"/>
    <x v="0"/>
  </r>
  <r>
    <n v="69510"/>
    <s v="GABRIEL CAIXETA"/>
    <s v="MEE"/>
    <s v="ADM"/>
    <n v="50039236"/>
    <x v="84"/>
    <n v="1"/>
    <s v="REALIZADO"/>
    <s v="AGATHA"/>
    <d v="2025-11-07T00:00:00"/>
    <x v="2"/>
  </r>
  <r>
    <n v="69510"/>
    <s v="GABRIEL CAIXETA"/>
    <s v="MEE"/>
    <s v="ADM"/>
    <n v="50039236"/>
    <x v="84"/>
    <n v="1"/>
    <s v="REALIZADO"/>
    <s v="GEOVANE"/>
    <d v="2025-11-07T00:00:00"/>
    <x v="0"/>
  </r>
  <r>
    <n v="77708"/>
    <s v="FABIO JUSTINO"/>
    <s v="MPR"/>
    <s v="ADM"/>
    <n v="50039236"/>
    <x v="84"/>
    <n v="1"/>
    <s v="REALIZADO"/>
    <s v="AGATHA"/>
    <d v="2025-11-07T00:00:00"/>
    <x v="2"/>
  </r>
  <r>
    <n v="77708"/>
    <s v="FABIO JUSTINO"/>
    <s v="MPR"/>
    <s v="ADM"/>
    <n v="50039236"/>
    <x v="84"/>
    <n v="1"/>
    <s v="REALIZADO"/>
    <s v="GEOVANE"/>
    <d v="2025-11-07T00:00:00"/>
    <x v="0"/>
  </r>
  <r>
    <n v="79177"/>
    <s v="MAICON ANTONIO SANTOS"/>
    <s v="MMG"/>
    <s v="ADM"/>
    <n v="50039236"/>
    <x v="84"/>
    <n v="1"/>
    <s v="REALIZADO"/>
    <s v="GEOVANE"/>
    <d v="2025-11-07T00:00:00"/>
    <x v="2"/>
  </r>
  <r>
    <n v="79177"/>
    <s v="MAICON ANTONIO SANTOS"/>
    <s v="MMG"/>
    <s v="ADM"/>
    <n v="50039236"/>
    <x v="84"/>
    <n v="1"/>
    <s v="REALIZADO"/>
    <s v="MATHEUS"/>
    <d v="2025-11-07T00:00:00"/>
    <x v="0"/>
  </r>
  <r>
    <n v="77521"/>
    <s v="LUCAS LIRA"/>
    <s v="MME"/>
    <s v="ADM"/>
    <n v="50043471"/>
    <x v="5"/>
    <n v="1"/>
    <s v="REALIZADO"/>
    <s v="AGATHA"/>
    <d v="2025-11-07T00:00:00"/>
    <x v="2"/>
  </r>
  <r>
    <n v="77521"/>
    <s v="LUCAS LIRA"/>
    <s v="MME"/>
    <s v="ADM"/>
    <n v="50043471"/>
    <x v="5"/>
    <n v="1"/>
    <s v="REALIZADO"/>
    <s v="BRUNA"/>
    <d v="2025-11-07T00:00:00"/>
    <x v="0"/>
  </r>
  <r>
    <n v="62896"/>
    <s v="LEONARDO BORGES"/>
    <s v="MEE"/>
    <s v="ADM"/>
    <n v="50003297"/>
    <x v="8"/>
    <n v="1"/>
    <s v="REALIZADO"/>
    <s v="BRUNA"/>
    <d v="2025-11-07T00:00:00"/>
    <x v="2"/>
  </r>
  <r>
    <n v="62896"/>
    <s v="LEONARDO BORGES"/>
    <s v="MEE"/>
    <s v="ADM"/>
    <n v="50003297"/>
    <x v="8"/>
    <n v="1"/>
    <s v="REALIZADO"/>
    <s v="MATHEUS"/>
    <d v="2025-11-07T00:00:00"/>
    <x v="0"/>
  </r>
  <r>
    <n v="70052"/>
    <s v="MARCOS SANTOS"/>
    <s v="MEE"/>
    <s v="ADM"/>
    <n v="50029865"/>
    <x v="9"/>
    <n v="1"/>
    <s v="REALIZADO"/>
    <s v="AGATHA"/>
    <d v="2025-11-07T00:00:00"/>
    <x v="2"/>
  </r>
  <r>
    <n v="61761"/>
    <s v="JOAO BORTOLI"/>
    <s v="MEE"/>
    <s v="2º TURNO"/>
    <n v="50029865"/>
    <x v="9"/>
    <n v="1"/>
    <s v="REALIZADO"/>
    <s v="AGATHA"/>
    <d v="2025-11-07T00:00:00"/>
    <x v="2"/>
  </r>
  <r>
    <n v="70052"/>
    <s v="MARCOS SANTOS"/>
    <s v="MEE"/>
    <s v="ADM"/>
    <n v="50029865"/>
    <x v="9"/>
    <n v="1"/>
    <s v="REALIZADO"/>
    <s v="MATHEUS"/>
    <d v="2025-11-07T00:00:00"/>
    <x v="0"/>
  </r>
  <r>
    <n v="68430"/>
    <s v="JOAO CAIXETA"/>
    <s v="MEE"/>
    <s v="1º TURNO"/>
    <n v="50043320"/>
    <x v="35"/>
    <n v="1"/>
    <s v="REALIZADO"/>
    <s v="MATHEUS"/>
    <d v="2025-11-07T00:00:00"/>
    <x v="2"/>
  </r>
  <r>
    <n v="68430"/>
    <s v="JOAO CAIXETA"/>
    <s v="MEE"/>
    <s v="1º TURNO"/>
    <n v="50043320"/>
    <x v="35"/>
    <n v="1"/>
    <s v="REALIZADO"/>
    <s v="MATHEUS"/>
    <d v="2025-11-07T00:00:00"/>
    <x v="0"/>
  </r>
  <r>
    <n v="76633"/>
    <s v="VINICIUS GUILHERME BARBOSA"/>
    <s v="MMG"/>
    <s v="1º TURNO"/>
    <n v="50038549"/>
    <x v="6"/>
    <n v="1"/>
    <s v="REALIZADO"/>
    <s v="BRUNA"/>
    <d v="2025-11-07T00:00:00"/>
    <x v="2"/>
  </r>
  <r>
    <n v="76633"/>
    <s v="VINICIUS GUILHERME BARBOSA"/>
    <s v="MMG"/>
    <s v="1º TURNO"/>
    <n v="50038549"/>
    <x v="6"/>
    <n v="1"/>
    <s v="REALIZADO"/>
    <s v="MATHEUS"/>
    <d v="2025-11-07T00:00:00"/>
    <x v="0"/>
  </r>
  <r>
    <n v="66830"/>
    <s v="MARCIO GOMES DA SILVA"/>
    <s v="MPR"/>
    <s v="ADM"/>
    <n v="50037921"/>
    <x v="85"/>
    <n v="1"/>
    <s v="REALIZADO"/>
    <s v="GEOVANE"/>
    <d v="2025-11-07T00:00:00"/>
    <x v="2"/>
  </r>
  <r>
    <n v="66830"/>
    <s v="MARCIO GOMES DA SILVA"/>
    <s v="MPR"/>
    <s v="ADM"/>
    <n v="50037921"/>
    <x v="85"/>
    <n v="1"/>
    <s v="REALIZADO"/>
    <s v="GEOVANE"/>
    <d v="2025-11-07T00:00:00"/>
    <x v="0"/>
  </r>
  <r>
    <n v="79177"/>
    <s v="MAICON ANTONIO SANTOS"/>
    <s v="MMG"/>
    <s v="ADM"/>
    <n v="50022878"/>
    <x v="18"/>
    <n v="1"/>
    <s v="REALIZADO"/>
    <s v="MATHEUS"/>
    <d v="2025-11-07T00:00:00"/>
    <x v="2"/>
  </r>
  <r>
    <n v="79177"/>
    <s v="MAICON ANTONIO SANTOS"/>
    <s v="MMG"/>
    <s v="ADM"/>
    <n v="50022878"/>
    <x v="18"/>
    <n v="1"/>
    <s v="REALIZADO"/>
    <s v="MATHEUS"/>
    <d v="2025-11-07T00:00:00"/>
    <x v="0"/>
  </r>
  <r>
    <n v="68708"/>
    <s v="CLAUDIO TADEU LEITE"/>
    <s v="MMG"/>
    <s v="ADM"/>
    <n v="50038956"/>
    <x v="10"/>
    <n v="1"/>
    <s v="REALIZADO"/>
    <s v="AGATHA"/>
    <d v="2025-11-07T00:00:00"/>
    <x v="2"/>
  </r>
  <r>
    <n v="68708"/>
    <s v="CLAUDIO TADEU LEITE"/>
    <s v="MMG"/>
    <s v="ADM"/>
    <n v="50038956"/>
    <x v="10"/>
    <n v="1"/>
    <s v="REALIZADO"/>
    <s v="BRUNA"/>
    <d v="2025-11-07T00:00:00"/>
    <x v="0"/>
  </r>
  <r>
    <n v="77526"/>
    <s v="FELIPE GARÇONI"/>
    <s v="MME"/>
    <s v="ADM"/>
    <n v="50037892"/>
    <x v="2"/>
    <n v="1"/>
    <s v="REALIZADO"/>
    <s v="AGATHA"/>
    <d v="2025-11-07T00:00:00"/>
    <x v="0"/>
  </r>
  <r>
    <n v="77526"/>
    <s v="FELIPE GARÇONI"/>
    <s v="MME"/>
    <s v="ADM"/>
    <n v="50037892"/>
    <x v="2"/>
    <n v="1"/>
    <s v="REALIZADO"/>
    <s v="AGATHA"/>
    <d v="2025-11-07T00:00:00"/>
    <x v="2"/>
  </r>
  <r>
    <n v="77526"/>
    <s v="FELIPE GARÇONI"/>
    <s v="MME"/>
    <s v="ADM"/>
    <n v="50037892"/>
    <x v="2"/>
    <n v="1"/>
    <s v="REALIZADO"/>
    <s v="AGATHA"/>
    <d v="2025-11-07T00:00:00"/>
    <x v="0"/>
  </r>
  <r>
    <n v="49751"/>
    <s v="LUIS LEITE"/>
    <s v="MEE"/>
    <s v="3º TURNO"/>
    <n v="50037892"/>
    <x v="2"/>
    <n v="1"/>
    <s v="REALIZADO"/>
    <s v="AGATHA"/>
    <d v="2025-11-07T00:00:00"/>
    <x v="2"/>
  </r>
  <r>
    <n v="49751"/>
    <s v="LUIS LEITE"/>
    <s v="MEE"/>
    <s v="3º TURNO"/>
    <n v="50037892"/>
    <x v="2"/>
    <n v="1"/>
    <s v="REALIZADO"/>
    <s v="AGATHA"/>
    <d v="2025-11-07T00:00:00"/>
    <x v="0"/>
  </r>
  <r>
    <n v="68708"/>
    <s v="CLAUDIO TADEU LEITE"/>
    <s v="MMG"/>
    <s v="ADM"/>
    <n v="50037892"/>
    <x v="2"/>
    <n v="1"/>
    <s v="REALIZADO"/>
    <s v="AGATHA"/>
    <d v="2025-11-07T00:00:00"/>
    <x v="2"/>
  </r>
  <r>
    <n v="68708"/>
    <s v="CLAUDIO TADEU LEITE"/>
    <s v="MMG"/>
    <s v="ADM"/>
    <n v="50037892"/>
    <x v="2"/>
    <n v="1"/>
    <s v="REALIZADO"/>
    <s v="GEOVANE"/>
    <d v="2025-11-07T00:00:00"/>
    <x v="0"/>
  </r>
  <r>
    <n v="72713"/>
    <s v="MARCOS AURELIO"/>
    <s v="MPR"/>
    <s v="ADM"/>
    <n v="50037902"/>
    <x v="14"/>
    <n v="1"/>
    <s v="REALIZADO"/>
    <s v="AGATHA"/>
    <d v="2025-11-07T00:00:00"/>
    <x v="2"/>
  </r>
  <r>
    <n v="72713"/>
    <s v="MARCOS AURELIO"/>
    <s v="MPR"/>
    <s v="ADM"/>
    <n v="50037902"/>
    <x v="14"/>
    <n v="1"/>
    <s v="REALIZADO"/>
    <s v="GEOVANE"/>
    <d v="2025-11-07T00:00:00"/>
    <x v="0"/>
  </r>
  <r>
    <n v="63770"/>
    <s v="DANILO DA SILVA"/>
    <s v="MMG"/>
    <s v="ADM"/>
    <n v="50037902"/>
    <x v="14"/>
    <n v="1"/>
    <s v="REALIZADO"/>
    <s v="GEOVANE"/>
    <d v="2025-11-07T00:00:00"/>
    <x v="2"/>
  </r>
  <r>
    <n v="63770"/>
    <s v="DANILO DA SILVA"/>
    <s v="MMG"/>
    <s v="ADM"/>
    <n v="50037902"/>
    <x v="14"/>
    <n v="1"/>
    <s v="REALIZADO"/>
    <s v="GEOVANE"/>
    <d v="2025-11-07T00:00:00"/>
    <x v="0"/>
  </r>
  <r>
    <n v="79177"/>
    <s v="MAICON ANTONIO SANTOS"/>
    <s v="MMG"/>
    <s v="ADM"/>
    <n v="50037902"/>
    <x v="14"/>
    <n v="1"/>
    <s v="REALIZADO"/>
    <s v="BRUNA"/>
    <d v="2025-11-07T00:00:00"/>
    <x v="2"/>
  </r>
  <r>
    <n v="79177"/>
    <s v="MAICON ANTONIO SANTOS"/>
    <s v="MMG"/>
    <s v="ADM"/>
    <n v="50037902"/>
    <x v="14"/>
    <n v="1"/>
    <s v="REALIZADO"/>
    <s v="BRUNA"/>
    <d v="2025-11-07T00:00:00"/>
    <x v="0"/>
  </r>
  <r>
    <n v="79177"/>
    <s v="MAICON ANTONIO SANTOS"/>
    <s v="MMG"/>
    <s v="ADM"/>
    <n v="50038841"/>
    <x v="34"/>
    <n v="1"/>
    <s v="REALIZADO"/>
    <s v="AGATHA"/>
    <d v="2025-11-07T00:00:00"/>
    <x v="2"/>
  </r>
  <r>
    <n v="79177"/>
    <s v="MAICON ANTONIO SANTOS"/>
    <s v="MMG"/>
    <s v="ADM"/>
    <n v="50038841"/>
    <x v="34"/>
    <n v="1"/>
    <s v="REALIZADO"/>
    <s v="AGATHA"/>
    <d v="2025-11-07T00:00:00"/>
    <x v="0"/>
  </r>
  <r>
    <n v="69510"/>
    <s v="GABRIEL CAIXETA"/>
    <s v="MEE"/>
    <s v="ADM"/>
    <n v="50038841"/>
    <x v="34"/>
    <n v="1"/>
    <s v="REALIZADO"/>
    <s v="BRUNA"/>
    <d v="2025-11-07T00:00:00"/>
    <x v="2"/>
  </r>
  <r>
    <n v="69510"/>
    <s v="GABRIEL CAIXETA"/>
    <s v="MEE"/>
    <s v="ADM"/>
    <n v="50038841"/>
    <x v="34"/>
    <n v="1"/>
    <s v="REALIZADO"/>
    <s v="MATHEUS"/>
    <d v="2025-11-07T00:00:00"/>
    <x v="0"/>
  </r>
  <r>
    <n v="49751"/>
    <s v="LUIS LEITE"/>
    <s v="MEE"/>
    <s v="3º TURNO"/>
    <n v="50038841"/>
    <x v="34"/>
    <n v="1"/>
    <s v="REALIZADO"/>
    <s v="MATHEUS"/>
    <d v="2025-11-07T00:00:00"/>
    <x v="2"/>
  </r>
  <r>
    <n v="49751"/>
    <s v="LUIS LEITE"/>
    <s v="MEE"/>
    <s v="3º TURNO"/>
    <n v="50038841"/>
    <x v="34"/>
    <n v="1"/>
    <s v="REALIZADO"/>
    <s v="MATHEUS"/>
    <d v="2025-11-07T00:00:00"/>
    <x v="0"/>
  </r>
  <r>
    <n v="77594"/>
    <s v="VINICIUS ROBLES"/>
    <s v="MME"/>
    <s v="ADM"/>
    <n v="50038517"/>
    <x v="0"/>
    <n v="1"/>
    <s v="REALIZADO"/>
    <s v="AGATHA"/>
    <d v="2025-11-07T00:00:00"/>
    <x v="2"/>
  </r>
  <r>
    <n v="77594"/>
    <s v="VINICIUS ROBLES"/>
    <s v="MME"/>
    <s v="ADM"/>
    <n v="50038517"/>
    <x v="0"/>
    <n v="1"/>
    <s v="REALIZADO"/>
    <s v="MATHEUS"/>
    <d v="2025-11-07T00:00:00"/>
    <x v="0"/>
  </r>
  <r>
    <n v="77526"/>
    <s v="FELIPE GARÇONI"/>
    <s v="MME"/>
    <s v="ADM"/>
    <n v="50038518"/>
    <x v="57"/>
    <n v="1"/>
    <s v="REALIZADO"/>
    <s v="MATHEUS"/>
    <d v="2025-11-07T00:00:00"/>
    <x v="2"/>
  </r>
  <r>
    <n v="77526"/>
    <s v="FELIPE GARÇONI"/>
    <s v="MME"/>
    <s v="ADM"/>
    <n v="50038518"/>
    <x v="57"/>
    <n v="1"/>
    <s v="REALIZADO"/>
    <s v="MATHEUS"/>
    <d v="2025-11-07T00:00:00"/>
    <x v="0"/>
  </r>
  <r>
    <n v="79177"/>
    <s v="MAICON ANTONIO SANTOS"/>
    <s v="MMG"/>
    <s v="ADM"/>
    <n v="50039065"/>
    <x v="22"/>
    <n v="1"/>
    <s v="REALIZADO"/>
    <s v="AGATHA"/>
    <d v="2025-11-07T00:00:00"/>
    <x v="2"/>
  </r>
  <r>
    <n v="79177"/>
    <s v="MAICON ANTONIO SANTOS"/>
    <s v="MMG"/>
    <s v="ADM"/>
    <n v="50039065"/>
    <x v="22"/>
    <n v="1"/>
    <s v="REALIZADO"/>
    <s v="AGATHA"/>
    <d v="2025-11-07T00:00:00"/>
    <x v="0"/>
  </r>
  <r>
    <n v="74611"/>
    <s v="CRISTIAM BORGES"/>
    <s v="MPR"/>
    <s v="ADM"/>
    <n v="50026357"/>
    <x v="24"/>
    <n v="1"/>
    <s v="REALIZADO"/>
    <s v="AGATHA"/>
    <d v="2025-11-07T00:00:00"/>
    <x v="2"/>
  </r>
  <r>
    <n v="74611"/>
    <s v="CRISTIAM BORGES"/>
    <s v="MPR"/>
    <s v="ADM"/>
    <n v="50026357"/>
    <x v="24"/>
    <n v="1"/>
    <s v="REALIZADO"/>
    <s v="MATHEUS"/>
    <d v="2025-11-07T00:00:00"/>
    <x v="0"/>
  </r>
  <r>
    <n v="70052"/>
    <s v="MARCOS SANTOS"/>
    <s v="MEE"/>
    <s v="ADM"/>
    <n v="50041195"/>
    <x v="21"/>
    <n v="1"/>
    <s v="REALIZADO"/>
    <s v="AGATHA"/>
    <d v="2025-11-07T00:00:00"/>
    <x v="2"/>
  </r>
  <r>
    <n v="70052"/>
    <s v="MARCOS SANTOS"/>
    <s v="MEE"/>
    <s v="ADM"/>
    <n v="50041195"/>
    <x v="21"/>
    <n v="1"/>
    <s v="REALIZADO"/>
    <s v="MATHEUS"/>
    <d v="2025-11-07T00:00:00"/>
    <x v="0"/>
  </r>
  <r>
    <n v="64074"/>
    <s v="MARCOS FERNANDES COLOMBO"/>
    <s v="MPR"/>
    <s v="ADM"/>
    <n v="50043917"/>
    <x v="66"/>
    <n v="1"/>
    <s v="REALIZADO"/>
    <s v="AGATHA"/>
    <d v="2025-11-07T00:00:00"/>
    <x v="2"/>
  </r>
  <r>
    <n v="64074"/>
    <s v="MARCOS FERNANDES COLOMBO"/>
    <s v="MPR"/>
    <s v="ADM"/>
    <n v="50043917"/>
    <x v="66"/>
    <n v="1"/>
    <s v="REALIZADO"/>
    <s v="MATHEUS"/>
    <d v="2025-11-07T00:00:00"/>
    <x v="0"/>
  </r>
  <r>
    <n v="77708"/>
    <s v="FABIO JUSTINO"/>
    <s v="MPR"/>
    <s v="ADM"/>
    <n v="50020623"/>
    <x v="42"/>
    <n v="1"/>
    <s v="REALIZADO"/>
    <s v="AGATHA"/>
    <d v="2025-11-07T00:00:00"/>
    <x v="2"/>
  </r>
  <r>
    <n v="77708"/>
    <s v="FABIO JUSTINO"/>
    <s v="MPR"/>
    <s v="ADM"/>
    <n v="50020623"/>
    <x v="42"/>
    <n v="1"/>
    <s v="REALIZADO"/>
    <s v="GEOVANE"/>
    <d v="2025-11-07T00:00:00"/>
    <x v="0"/>
  </r>
  <r>
    <n v="62896"/>
    <s v="LEONARDO BORGES"/>
    <s v="MEE"/>
    <s v="ADM"/>
    <n v="50020623"/>
    <x v="42"/>
    <n v="1"/>
    <s v="REALIZADO"/>
    <s v="MATHEUS"/>
    <d v="2025-11-07T00:00:00"/>
    <x v="2"/>
  </r>
  <r>
    <n v="62896"/>
    <s v="LEONARDO BORGES"/>
    <s v="MEE"/>
    <s v="ADM"/>
    <n v="50020623"/>
    <x v="42"/>
    <n v="1"/>
    <s v="REALIZADO"/>
    <s v="MATHEUS"/>
    <d v="2025-11-07T00:00:00"/>
    <x v="0"/>
  </r>
  <r>
    <n v="65482"/>
    <s v="RAFAEL BALBINO PEREIRA"/>
    <s v="MMG"/>
    <s v="ADM"/>
    <n v="50038195"/>
    <x v="54"/>
    <n v="1"/>
    <s v="REALIZADO"/>
    <s v="GEOVANE"/>
    <d v="2025-11-07T00:00:00"/>
    <x v="2"/>
  </r>
  <r>
    <n v="65482"/>
    <s v="RAFAEL BALBINO PEREIRA"/>
    <s v="MMG"/>
    <s v="ADM"/>
    <n v="50038195"/>
    <x v="54"/>
    <n v="1"/>
    <s v="REALIZADO"/>
    <s v="GEOVANE"/>
    <d v="2025-11-07T00:00:00"/>
    <x v="0"/>
  </r>
  <r>
    <n v="64074"/>
    <s v="MARCOS FERNANDES COLOMBO"/>
    <s v="MPR"/>
    <s v="ADM"/>
    <n v="50028220"/>
    <x v="33"/>
    <n v="1"/>
    <s v="REALIZADO"/>
    <s v="AGATHA"/>
    <d v="2025-11-07T00:00:00"/>
    <x v="2"/>
  </r>
  <r>
    <n v="64074"/>
    <s v="MARCOS FERNANDES COLOMBO"/>
    <s v="MPR"/>
    <s v="ADM"/>
    <n v="50028220"/>
    <x v="33"/>
    <n v="1"/>
    <s v="REALIZADO"/>
    <s v="MATHEUS"/>
    <d v="2025-11-07T00:00:00"/>
    <x v="0"/>
  </r>
  <r>
    <n v="64253"/>
    <s v="DANIEL JULIAO"/>
    <s v="MMG"/>
    <s v="ADM"/>
    <n v="50043151"/>
    <x v="86"/>
    <n v="1"/>
    <s v="REALIZADO"/>
    <s v="BRUNA"/>
    <d v="2025-11-07T00:00:00"/>
    <x v="2"/>
  </r>
  <r>
    <n v="64253"/>
    <s v="DANIEL JULIAO"/>
    <s v="MMG"/>
    <s v="ADM"/>
    <n v="50043151"/>
    <x v="86"/>
    <n v="1"/>
    <s v="REALIZADO"/>
    <s v="BRUNA"/>
    <d v="2025-11-07T00:00:00"/>
    <x v="0"/>
  </r>
  <r>
    <n v="74611"/>
    <s v="CRISTIAM BORGES"/>
    <s v="MPR"/>
    <s v="ADM"/>
    <n v="50010031"/>
    <x v="20"/>
    <n v="1"/>
    <s v="REALIZADO"/>
    <s v="MATHEUS"/>
    <d v="2025-11-06T00:00:00"/>
    <x v="2"/>
  </r>
  <r>
    <n v="74611"/>
    <s v="CRISTIAM BORGES"/>
    <s v="MPR"/>
    <s v="ADM"/>
    <n v="50010031"/>
    <x v="20"/>
    <n v="1"/>
    <s v="REALIZADO"/>
    <s v="MATHEUS"/>
    <d v="2025-11-06T00:00:00"/>
    <x v="0"/>
  </r>
  <r>
    <n v="74201"/>
    <s v="MAYCON COORD."/>
    <s v="MEE"/>
    <s v="ADM"/>
    <n v="50038991"/>
    <x v="53"/>
    <n v="1"/>
    <s v="REALIZADO"/>
    <s v="GEOVANE"/>
    <d v="2025-11-06T00:00:00"/>
    <x v="2"/>
  </r>
  <r>
    <n v="74201"/>
    <s v="MAYCON COORD."/>
    <s v="MEE"/>
    <s v="ADM"/>
    <n v="50038991"/>
    <x v="53"/>
    <n v="1"/>
    <s v="REALIZADO"/>
    <s v="MATHEUS"/>
    <d v="2025-11-06T00:00:00"/>
    <x v="0"/>
  </r>
  <r>
    <n v="68760"/>
    <s v="FERDINANDO PAZINI"/>
    <s v="MMG"/>
    <s v="ADM"/>
    <n v="50036296"/>
    <x v="46"/>
    <n v="1"/>
    <s v="REALIZADO"/>
    <s v="GEOVANE"/>
    <d v="2025-11-06T00:00:00"/>
    <x v="2"/>
  </r>
  <r>
    <n v="68760"/>
    <s v="FERDINANDO PAZINI"/>
    <s v="MMG"/>
    <s v="ADM"/>
    <n v="50036296"/>
    <x v="46"/>
    <n v="1"/>
    <s v="REALIZADO"/>
    <s v="GEOVANE"/>
    <d v="2025-11-06T00:00:00"/>
    <x v="0"/>
  </r>
  <r>
    <n v="79177"/>
    <s v="MAICON ANTONIO SANTOS"/>
    <s v="MMG"/>
    <s v="ADM"/>
    <n v="50036086"/>
    <x v="3"/>
    <n v="1"/>
    <s v="REALIZADO"/>
    <s v="GEOVANE"/>
    <d v="2025-11-06T00:00:00"/>
    <x v="0"/>
  </r>
  <r>
    <n v="79177"/>
    <s v="MAICON ANTONIO SANTOS"/>
    <s v="MMG"/>
    <s v="ADM"/>
    <n v="50003173"/>
    <x v="29"/>
    <n v="1"/>
    <s v="REALIZADO"/>
    <s v="GEOVANE"/>
    <d v="2025-11-06T00:00:00"/>
    <x v="0"/>
  </r>
  <r>
    <n v="79177"/>
    <s v="MAICON ANTONIO SANTOS"/>
    <s v="MMG"/>
    <s v="ADM"/>
    <n v="50039718"/>
    <x v="11"/>
    <n v="1"/>
    <s v="REALIZADO"/>
    <s v="GEOVANE"/>
    <d v="2025-11-06T00:00:00"/>
    <x v="2"/>
  </r>
  <r>
    <n v="79177"/>
    <s v="MAICON ANTONIO SANTOS"/>
    <s v="MMG"/>
    <s v="ADM"/>
    <n v="50039718"/>
    <x v="11"/>
    <n v="1"/>
    <s v="REALIZADO"/>
    <s v="BRUNA"/>
    <d v="2025-11-06T00:00:00"/>
    <x v="0"/>
  </r>
  <r>
    <n v="76994"/>
    <s v="FELIPE HENRIQUE DE BRITO"/>
    <s v="MEE"/>
    <s v="ADM"/>
    <n v="50030486"/>
    <x v="17"/>
    <n v="1"/>
    <s v="REALIZADO"/>
    <s v="GEOVANE"/>
    <d v="2025-11-06T00:00:00"/>
    <x v="0"/>
  </r>
  <r>
    <n v="76994"/>
    <s v="FELIPE HENRIQUE DE BRITO"/>
    <s v="MEE"/>
    <s v="ADM"/>
    <n v="50030486"/>
    <x v="17"/>
    <n v="1"/>
    <s v="REALIZADO"/>
    <s v="GEOVANE"/>
    <d v="2025-11-06T00:00:00"/>
    <x v="2"/>
  </r>
  <r>
    <n v="76994"/>
    <s v="FELIPE HENRIQUE DE BRITO"/>
    <s v="MEE"/>
    <s v="ADM"/>
    <n v="50030486"/>
    <x v="17"/>
    <n v="1"/>
    <s v="REALIZADO"/>
    <s v="MATHEUS"/>
    <d v="2025-11-06T00:00:00"/>
    <x v="0"/>
  </r>
  <r>
    <n v="61096"/>
    <s v="REGIVALDO MEDEIROS"/>
    <s v="MME"/>
    <s v="ADM"/>
    <n v="50039236"/>
    <x v="84"/>
    <n v="1"/>
    <s v="REALIZADO"/>
    <s v="GEOVANE"/>
    <d v="2025-11-06T00:00:00"/>
    <x v="2"/>
  </r>
  <r>
    <n v="61096"/>
    <s v="REGIVALDO MEDEIROS"/>
    <s v="MME"/>
    <s v="ADM"/>
    <n v="50039236"/>
    <x v="84"/>
    <n v="1"/>
    <s v="REALIZADO"/>
    <s v="GEOVANE"/>
    <d v="2025-11-06T00:00:00"/>
    <x v="0"/>
  </r>
  <r>
    <n v="67915"/>
    <s v="ANDERSON MARCOLONGO"/>
    <s v="MMG"/>
    <s v="1º TURNO"/>
    <n v="50039236"/>
    <x v="84"/>
    <n v="1"/>
    <s v="REALIZADO"/>
    <s v="GEOVANE"/>
    <d v="2025-11-06T00:00:00"/>
    <x v="2"/>
  </r>
  <r>
    <n v="67915"/>
    <s v="ANDERSON MARCOLONGO"/>
    <s v="MMG"/>
    <s v="1º TURNO"/>
    <n v="50039236"/>
    <x v="84"/>
    <n v="1"/>
    <s v="REALIZADO"/>
    <s v="BRUNA"/>
    <d v="2025-11-06T00:00:00"/>
    <x v="0"/>
  </r>
  <r>
    <n v="77521"/>
    <s v="LUCAS LIRA"/>
    <s v="MME"/>
    <s v="ADM"/>
    <n v="50043471"/>
    <x v="5"/>
    <n v="1"/>
    <s v="REALIZADO"/>
    <s v="MATHEUS"/>
    <d v="2025-11-06T00:00:00"/>
    <x v="2"/>
  </r>
  <r>
    <n v="77521"/>
    <s v="LUCAS LIRA"/>
    <s v="MME"/>
    <s v="ADM"/>
    <n v="50043471"/>
    <x v="5"/>
    <n v="1"/>
    <s v="REALIZADO"/>
    <s v="MATHEUS"/>
    <d v="2025-11-06T00:00:00"/>
    <x v="0"/>
  </r>
  <r>
    <n v="77521"/>
    <s v="LUCAS LIRA"/>
    <s v="MME"/>
    <s v="ADM"/>
    <n v="50043471"/>
    <x v="5"/>
    <n v="1"/>
    <s v="REALIZADO"/>
    <s v="MATHEUS"/>
    <d v="2025-11-06T00:00:00"/>
    <x v="2"/>
  </r>
  <r>
    <n v="77521"/>
    <s v="LUCAS LIRA"/>
    <s v="MME"/>
    <s v="ADM"/>
    <n v="50043471"/>
    <x v="5"/>
    <n v="1"/>
    <s v="REALIZADO"/>
    <s v="BRUNA"/>
    <d v="2025-11-06T00:00:00"/>
    <x v="0"/>
  </r>
  <r>
    <n v="74611"/>
    <s v="CRISTIAM BORGES"/>
    <s v="MPR"/>
    <s v="ADM"/>
    <n v="50003297"/>
    <x v="8"/>
    <n v="1"/>
    <s v="REALIZADO"/>
    <s v="GEOVANE"/>
    <d v="2025-11-06T00:00:00"/>
    <x v="2"/>
  </r>
  <r>
    <n v="74611"/>
    <s v="CRISTIAM BORGES"/>
    <s v="MPR"/>
    <s v="ADM"/>
    <n v="50003297"/>
    <x v="8"/>
    <n v="1"/>
    <s v="REALIZADO"/>
    <s v="MATHEUS"/>
    <d v="2025-11-06T00:00:00"/>
    <x v="0"/>
  </r>
  <r>
    <n v="70052"/>
    <s v="MARCOS SANTOS"/>
    <s v="MEE"/>
    <s v="ADM"/>
    <n v="50043320"/>
    <x v="35"/>
    <n v="1"/>
    <s v="REALIZADO"/>
    <s v="GEOVANE"/>
    <d v="2025-11-06T00:00:00"/>
    <x v="2"/>
  </r>
  <r>
    <n v="70052"/>
    <s v="MARCOS SANTOS"/>
    <s v="MEE"/>
    <s v="ADM"/>
    <n v="50043320"/>
    <x v="35"/>
    <n v="1"/>
    <s v="REALIZADO"/>
    <s v="GEOVANE"/>
    <d v="2025-11-06T00:00:00"/>
    <x v="0"/>
  </r>
  <r>
    <n v="68708"/>
    <s v="CLAUDIO TADEU LEITE"/>
    <s v="MMG"/>
    <s v="ADM"/>
    <n v="50022878"/>
    <x v="18"/>
    <n v="1"/>
    <s v="REALIZADO"/>
    <s v="BRUNA"/>
    <d v="2025-11-06T00:00:00"/>
    <x v="2"/>
  </r>
  <r>
    <n v="68708"/>
    <s v="CLAUDIO TADEU LEITE"/>
    <s v="MMG"/>
    <s v="ADM"/>
    <n v="50022878"/>
    <x v="18"/>
    <n v="1"/>
    <s v="REALIZADO"/>
    <s v="MATHEUS"/>
    <d v="2025-11-06T00:00:00"/>
    <x v="0"/>
  </r>
  <r>
    <n v="49751"/>
    <s v="LUIS LEITE"/>
    <s v="MEE"/>
    <s v="3º TURNO"/>
    <n v="50038956"/>
    <x v="10"/>
    <n v="1"/>
    <s v="REALIZADO"/>
    <s v="BRUNA"/>
    <d v="2025-11-06T00:00:00"/>
    <x v="2"/>
  </r>
  <r>
    <n v="49751"/>
    <s v="LUIS LEITE"/>
    <s v="MEE"/>
    <s v="3º TURNO"/>
    <n v="50038956"/>
    <x v="10"/>
    <n v="1"/>
    <s v="REALIZADO"/>
    <s v="BRUNA"/>
    <d v="2025-11-06T00:00:00"/>
    <x v="0"/>
  </r>
  <r>
    <n v="68708"/>
    <s v="CLAUDIO TADEU LEITE"/>
    <s v="MMG"/>
    <s v="ADM"/>
    <n v="50037892"/>
    <x v="2"/>
    <n v="1"/>
    <s v="REALIZADO"/>
    <s v="GEOVANE"/>
    <d v="2025-11-06T00:00:00"/>
    <x v="2"/>
  </r>
  <r>
    <n v="68708"/>
    <s v="CLAUDIO TADEU LEITE"/>
    <s v="MMG"/>
    <s v="ADM"/>
    <n v="50037892"/>
    <x v="2"/>
    <n v="1"/>
    <s v="REALIZADO"/>
    <s v="GEOVANE"/>
    <d v="2025-11-06T00:00:00"/>
    <x v="0"/>
  </r>
  <r>
    <n v="77526"/>
    <s v="FELIPE GARÇONI"/>
    <s v="MME"/>
    <s v="ADM"/>
    <n v="50037892"/>
    <x v="2"/>
    <n v="1"/>
    <s v="REALIZADO"/>
    <s v="GEOVANE"/>
    <d v="2025-11-06T00:00:00"/>
    <x v="2"/>
  </r>
  <r>
    <n v="77526"/>
    <s v="FELIPE GARÇONI"/>
    <s v="MME"/>
    <s v="ADM"/>
    <n v="50037892"/>
    <x v="2"/>
    <n v="1"/>
    <s v="REALIZADO"/>
    <s v="GEOVANE"/>
    <d v="2025-11-06T00:00:00"/>
    <x v="0"/>
  </r>
  <r>
    <n v="79177"/>
    <s v="MAICON ANTONIO SANTOS"/>
    <s v="MMG"/>
    <s v="ADM"/>
    <n v="50037892"/>
    <x v="2"/>
    <n v="1"/>
    <s v="REALIZADO"/>
    <s v="BRUNA"/>
    <d v="2025-11-06T00:00:00"/>
    <x v="2"/>
  </r>
  <r>
    <n v="79177"/>
    <s v="MAICON ANTONIO SANTOS"/>
    <s v="MMG"/>
    <s v="ADM"/>
    <n v="50037892"/>
    <x v="2"/>
    <n v="1"/>
    <s v="REALIZADO"/>
    <s v="BRUNA"/>
    <d v="2025-11-06T00:00:00"/>
    <x v="0"/>
  </r>
  <r>
    <n v="77526"/>
    <s v="FELIPE GARÇONI"/>
    <s v="MME"/>
    <s v="ADM"/>
    <n v="50037892"/>
    <x v="2"/>
    <n v="1"/>
    <s v="REALIZADO"/>
    <s v="BRUNA"/>
    <d v="2025-11-06T00:00:00"/>
    <x v="2"/>
  </r>
  <r>
    <n v="77526"/>
    <s v="FELIPE GARÇONI"/>
    <s v="MME"/>
    <s v="ADM"/>
    <n v="50037892"/>
    <x v="2"/>
    <n v="1"/>
    <s v="REALIZADO"/>
    <s v="BRUNA"/>
    <d v="2025-11-06T00:00:00"/>
    <x v="0"/>
  </r>
  <r>
    <n v="75424"/>
    <s v="EDSON CARLOS"/>
    <s v="MME"/>
    <s v="1º TURNO"/>
    <n v="50037892"/>
    <x v="2"/>
    <n v="1"/>
    <s v="REALIZADO"/>
    <s v="MATHEUS"/>
    <d v="2025-11-06T00:00:00"/>
    <x v="2"/>
  </r>
  <r>
    <n v="75424"/>
    <s v="EDSON CARLOS"/>
    <s v="MME"/>
    <s v="1º TURNO"/>
    <n v="50037892"/>
    <x v="2"/>
    <n v="1"/>
    <s v="REALIZADO"/>
    <s v="BRUNA"/>
    <d v="2025-11-06T00:00:00"/>
    <x v="0"/>
  </r>
  <r>
    <n v="76994"/>
    <s v="FELIPE HENRIQUE DE BRITO"/>
    <s v="MEE"/>
    <s v="ADM"/>
    <n v="50037902"/>
    <x v="14"/>
    <n v="1"/>
    <s v="REALIZADO"/>
    <s v="MATHEUS"/>
    <d v="2025-11-06T00:00:00"/>
    <x v="2"/>
  </r>
  <r>
    <n v="76994"/>
    <s v="FELIPE HENRIQUE DE BRITO"/>
    <s v="MEE"/>
    <s v="ADM"/>
    <n v="50037902"/>
    <x v="14"/>
    <n v="1"/>
    <s v="REALIZADO"/>
    <s v="MATHEUS"/>
    <d v="2025-11-06T00:00:00"/>
    <x v="0"/>
  </r>
  <r>
    <n v="63713"/>
    <s v="BRUNO DIAS"/>
    <s v="MME"/>
    <s v="ADM"/>
    <n v="50038841"/>
    <x v="34"/>
    <n v="1"/>
    <s v="REALIZADO"/>
    <s v="BRUNA"/>
    <d v="2025-11-06T00:00:00"/>
    <x v="2"/>
  </r>
  <r>
    <n v="63713"/>
    <s v="BRUNO DIAS"/>
    <s v="MME"/>
    <s v="ADM"/>
    <n v="50038841"/>
    <x v="34"/>
    <n v="1"/>
    <s v="REALIZADO"/>
    <s v="MATHEUS"/>
    <d v="2025-11-06T00:00:00"/>
    <x v="0"/>
  </r>
  <r>
    <n v="68708"/>
    <s v="CLAUDIO TADEU LEITE"/>
    <s v="MMG"/>
    <s v="ADM"/>
    <n v="50038517"/>
    <x v="0"/>
    <n v="1"/>
    <s v="REALIZADO"/>
    <s v="BRUNA"/>
    <d v="2025-11-06T00:00:00"/>
    <x v="2"/>
  </r>
  <r>
    <n v="68708"/>
    <s v="CLAUDIO TADEU LEITE"/>
    <s v="MMG"/>
    <s v="ADM"/>
    <n v="50038517"/>
    <x v="0"/>
    <n v="1"/>
    <s v="REALIZADO"/>
    <s v="BRUNA"/>
    <d v="2025-11-06T00:00:00"/>
    <x v="0"/>
  </r>
  <r>
    <n v="77526"/>
    <s v="FELIPE GARÇONI"/>
    <s v="MME"/>
    <s v="ADM"/>
    <n v="50038517"/>
    <x v="0"/>
    <n v="1"/>
    <s v="REALIZADO"/>
    <s v="MATHEUS"/>
    <d v="2025-11-06T00:00:00"/>
    <x v="2"/>
  </r>
  <r>
    <n v="77526"/>
    <s v="FELIPE GARÇONI"/>
    <s v="MME"/>
    <s v="ADM"/>
    <n v="50038517"/>
    <x v="0"/>
    <n v="1"/>
    <s v="REALIZADO"/>
    <s v="MATHEUS"/>
    <d v="2025-11-06T00:00:00"/>
    <x v="0"/>
  </r>
  <r>
    <n v="65482"/>
    <s v="RAFAEL BALBINO PEREIRA"/>
    <s v="MMG"/>
    <s v="ADM"/>
    <n v="50038518"/>
    <x v="57"/>
    <n v="1"/>
    <s v="REALIZADO"/>
    <s v="GEOVANE"/>
    <d v="2025-11-06T00:00:00"/>
    <x v="2"/>
  </r>
  <r>
    <n v="65482"/>
    <s v="RAFAEL BALBINO PEREIRA"/>
    <s v="MMG"/>
    <s v="ADM"/>
    <n v="50038518"/>
    <x v="57"/>
    <n v="1"/>
    <s v="REALIZADO"/>
    <s v="BRUNA"/>
    <d v="2025-11-06T00:00:00"/>
    <x v="0"/>
  </r>
  <r>
    <n v="61955"/>
    <s v="NELSON JUNIOR"/>
    <s v="MME"/>
    <s v="1º TURNO"/>
    <n v="50039065"/>
    <x v="22"/>
    <n v="1"/>
    <s v="REALIZADO"/>
    <s v="MATHEUS"/>
    <d v="2025-11-06T00:00:00"/>
    <x v="2"/>
  </r>
  <r>
    <n v="61955"/>
    <s v="NELSON JUNIOR"/>
    <s v="MME"/>
    <s v="1º TURNO"/>
    <n v="50039065"/>
    <x v="22"/>
    <n v="1"/>
    <s v="REALIZADO"/>
    <s v="MATHEUS"/>
    <d v="2025-11-06T00:00:00"/>
    <x v="0"/>
  </r>
  <r>
    <n v="62640"/>
    <s v="MARCELINHO"/>
    <s v="MPR"/>
    <s v="ADM"/>
    <n v="50026357"/>
    <x v="24"/>
    <n v="1"/>
    <s v="REALIZADO"/>
    <s v="MATHEUS"/>
    <d v="2025-11-06T00:00:00"/>
    <x v="2"/>
  </r>
  <r>
    <n v="62640"/>
    <s v="MARCELINHO"/>
    <s v="MPR"/>
    <s v="ADM"/>
    <n v="50026357"/>
    <x v="24"/>
    <n v="1"/>
    <s v="REALIZADO"/>
    <s v="MATHEUS"/>
    <d v="2025-11-06T00:00:00"/>
    <x v="0"/>
  </r>
  <r>
    <n v="62640"/>
    <s v="MARCELINHO"/>
    <s v="MPR"/>
    <s v="ADM"/>
    <n v="50038662"/>
    <x v="59"/>
    <n v="1"/>
    <s v="REALIZADO"/>
    <s v="MATHEUS"/>
    <d v="2025-11-06T00:00:00"/>
    <x v="2"/>
  </r>
  <r>
    <n v="62640"/>
    <s v="MARCELINHO"/>
    <s v="MPR"/>
    <s v="ADM"/>
    <n v="50038662"/>
    <x v="59"/>
    <n v="1"/>
    <s v="REALIZADO"/>
    <s v="MATHEUS"/>
    <d v="2025-11-06T00:00:00"/>
    <x v="0"/>
  </r>
  <r>
    <n v="77526"/>
    <s v="FELIPE GARÇONI"/>
    <s v="MME"/>
    <s v="ADM"/>
    <n v="50041195"/>
    <x v="21"/>
    <n v="1"/>
    <s v="REALIZADO"/>
    <s v="GEOVANE"/>
    <d v="2025-11-06T00:00:00"/>
    <x v="2"/>
  </r>
  <r>
    <n v="77526"/>
    <s v="FELIPE GARÇONI"/>
    <s v="MME"/>
    <s v="ADM"/>
    <n v="50041195"/>
    <x v="21"/>
    <n v="1"/>
    <s v="REALIZADO"/>
    <s v="BRUNA"/>
    <d v="2025-11-06T00:00:00"/>
    <x v="0"/>
  </r>
  <r>
    <n v="64074"/>
    <s v="MARCOS FERNANDES COLOMBO"/>
    <s v="MPR"/>
    <s v="ADM"/>
    <n v="50043917"/>
    <x v="66"/>
    <n v="1"/>
    <s v="REALIZADO"/>
    <s v="GEOVANE"/>
    <d v="2025-11-06T00:00:00"/>
    <x v="2"/>
  </r>
  <r>
    <n v="64074"/>
    <s v="MARCOS FERNANDES COLOMBO"/>
    <s v="MPR"/>
    <s v="ADM"/>
    <n v="50043917"/>
    <x v="66"/>
    <n v="1"/>
    <s v="REALIZADO"/>
    <s v="MATHEUS"/>
    <d v="2025-11-06T00:00:00"/>
    <x v="0"/>
  </r>
  <r>
    <n v="70105"/>
    <s v="RONALDO DE SOUZA SANTOS"/>
    <s v="MMG"/>
    <s v="2º TURNO"/>
    <n v="50032775"/>
    <x v="13"/>
    <n v="1"/>
    <s v="REALIZADO"/>
    <s v="GEOVANE"/>
    <d v="2025-11-06T00:00:00"/>
    <x v="2"/>
  </r>
  <r>
    <n v="70105"/>
    <s v="RONALDO DE SOUZA SANTOS"/>
    <s v="MMG"/>
    <s v="2º TURNO"/>
    <n v="50032775"/>
    <x v="13"/>
    <n v="1"/>
    <s v="REALIZADO"/>
    <s v="MATHEUS"/>
    <d v="2025-11-06T00:00:00"/>
    <x v="0"/>
  </r>
  <r>
    <n v="62640"/>
    <s v="MARCELINHO"/>
    <s v="MPR"/>
    <s v="ADM"/>
    <n v="50038840"/>
    <x v="68"/>
    <n v="1"/>
    <s v="REALIZADO"/>
    <s v="MATHEUS"/>
    <d v="2025-11-06T00:00:00"/>
    <x v="2"/>
  </r>
  <r>
    <n v="62640"/>
    <s v="MARCELINHO"/>
    <s v="MPR"/>
    <s v="ADM"/>
    <n v="50038840"/>
    <x v="68"/>
    <n v="1"/>
    <s v="REALIZADO"/>
    <s v="MATHEUS"/>
    <d v="2025-11-06T00:00:00"/>
    <x v="0"/>
  </r>
  <r>
    <n v="61096"/>
    <s v="REGIVALDO MEDEIROS"/>
    <s v="MME"/>
    <s v="ADM"/>
    <n v="50038194"/>
    <x v="87"/>
    <n v="1"/>
    <s v="REALIZADO"/>
    <s v="GEOVANE"/>
    <d v="2025-11-06T00:00:00"/>
    <x v="2"/>
  </r>
  <r>
    <n v="61096"/>
    <s v="REGIVALDO MEDEIROS"/>
    <s v="MME"/>
    <s v="ADM"/>
    <n v="50038194"/>
    <x v="87"/>
    <n v="1"/>
    <s v="REALIZADO"/>
    <s v="GEOVANE"/>
    <d v="2025-11-06T00:00:00"/>
    <x v="2"/>
  </r>
  <r>
    <n v="64074"/>
    <s v="MARCOS FERNANDES COLOMBO"/>
    <s v="MPR"/>
    <s v="ADM"/>
    <n v="50038618"/>
    <x v="88"/>
    <n v="1"/>
    <s v="REALIZADO"/>
    <s v="MATHEUS"/>
    <d v="2025-11-06T00:00:00"/>
    <x v="0"/>
  </r>
  <r>
    <n v="64074"/>
    <s v="MARCOS FERNANDES COLOMBO"/>
    <s v="MPR"/>
    <s v="ADM"/>
    <n v="50028220"/>
    <x v="33"/>
    <n v="1"/>
    <s v="REALIZADO"/>
    <s v="GEOVANE"/>
    <d v="2025-11-06T00:00:00"/>
    <x v="0"/>
  </r>
  <r>
    <n v="61096"/>
    <s v="REGIVALDO MEDEIROS"/>
    <s v="MME"/>
    <s v="ADM"/>
    <n v="50028220"/>
    <x v="33"/>
    <n v="1"/>
    <s v="REALIZADO"/>
    <s v="GEOVANE"/>
    <d v="2025-11-06T00:00:00"/>
    <x v="2"/>
  </r>
  <r>
    <n v="61096"/>
    <s v="REGIVALDO MEDEIROS"/>
    <s v="MME"/>
    <s v="ADM"/>
    <n v="50028220"/>
    <x v="33"/>
    <n v="1"/>
    <s v="REALIZADO"/>
    <s v="GEOVANE"/>
    <d v="2025-11-06T00:00:00"/>
    <x v="0"/>
  </r>
  <r>
    <n v="62640"/>
    <s v="MARCELINHO"/>
    <s v="MPR"/>
    <s v="ADM"/>
    <n v="50041095"/>
    <x v="15"/>
    <n v="1"/>
    <s v="REALIZADO"/>
    <s v="GEOVANE"/>
    <d v="2025-11-06T00:00:00"/>
    <x v="2"/>
  </r>
  <r>
    <n v="62640"/>
    <s v="MARCELINHO"/>
    <s v="MPR"/>
    <s v="ADM"/>
    <n v="50041095"/>
    <x v="15"/>
    <n v="1"/>
    <s v="REALIZADO"/>
    <s v="BRUNA"/>
    <d v="2025-11-06T00:00:00"/>
    <x v="0"/>
  </r>
  <r>
    <n v="77471"/>
    <s v="DANILO BARBOSA"/>
    <s v="MEE"/>
    <s v="ADM"/>
    <n v="50036298"/>
    <x v="69"/>
    <n v="1"/>
    <s v="REALIZADO"/>
    <s v="AGATHA"/>
    <d v="2025-11-05T00:00:00"/>
    <x v="2"/>
  </r>
  <r>
    <n v="77471"/>
    <s v="DANILO BARBOSA"/>
    <s v="MEE"/>
    <s v="ADM"/>
    <n v="50036298"/>
    <x v="69"/>
    <n v="1"/>
    <s v="REALIZADO"/>
    <s v="AGATHA"/>
    <d v="2025-11-05T00:00:00"/>
    <x v="0"/>
  </r>
  <r>
    <n v="65084"/>
    <s v="TIAGO DE BRITO"/>
    <s v="MMG"/>
    <s v="3º TURNO"/>
    <n v="50036255"/>
    <x v="7"/>
    <n v="1"/>
    <s v="REALIZADO"/>
    <s v="MATHEUS"/>
    <d v="2025-11-05T00:00:00"/>
    <x v="2"/>
  </r>
  <r>
    <n v="65084"/>
    <s v="TIAGO DE BRITO"/>
    <s v="MMG"/>
    <s v="3º TURNO"/>
    <n v="50036255"/>
    <x v="7"/>
    <n v="1"/>
    <s v="REALIZADO"/>
    <s v="MATHEUS"/>
    <d v="2025-11-05T00:00:00"/>
    <x v="0"/>
  </r>
  <r>
    <n v="62180"/>
    <s v="JOSE AUGUSTO MASSUCHINI"/>
    <s v="MMG"/>
    <s v="ADM"/>
    <n v="50003173"/>
    <x v="29"/>
    <n v="2"/>
    <s v="REALIZADO"/>
    <s v="MATHEUS"/>
    <d v="2025-11-05T00:00:00"/>
    <x v="2"/>
  </r>
  <r>
    <n v="62180"/>
    <s v="JOSE AUGUSTO MASSUCHINI"/>
    <s v="MMG"/>
    <s v="ADM"/>
    <n v="50003173"/>
    <x v="29"/>
    <n v="1"/>
    <s v="REALIZADO"/>
    <s v="MATHEUS"/>
    <d v="2025-11-05T00:00:00"/>
    <x v="2"/>
  </r>
  <r>
    <n v="65482"/>
    <s v="RAFAEL BALBINO PEREIRA"/>
    <s v="MMG"/>
    <s v="ADM"/>
    <n v="50003173"/>
    <x v="29"/>
    <n v="2"/>
    <s v="REALIZADO"/>
    <s v="MATHEUS"/>
    <d v="2025-11-05T00:00:00"/>
    <x v="0"/>
  </r>
  <r>
    <n v="78675"/>
    <s v="ORLANDO GOMES"/>
    <s v="MME"/>
    <s v="1º TURNO"/>
    <n v="50041939"/>
    <x v="89"/>
    <n v="1"/>
    <s v="REALIZADO"/>
    <s v="BRUNA"/>
    <d v="2025-11-05T00:00:00"/>
    <x v="2"/>
  </r>
  <r>
    <n v="78675"/>
    <s v="ORLANDO GOMES"/>
    <s v="MME"/>
    <s v="1º TURNO"/>
    <n v="50041939"/>
    <x v="89"/>
    <n v="1"/>
    <s v="REALIZADO"/>
    <s v="MATHEUS"/>
    <d v="2025-11-05T00:00:00"/>
    <x v="0"/>
  </r>
  <r>
    <n v="68760"/>
    <s v="FERDINANDO PAZINI"/>
    <s v="MMG"/>
    <s v="ADM"/>
    <n v="50039718"/>
    <x v="11"/>
    <n v="1"/>
    <s v="REALIZADO"/>
    <s v="MARCIA"/>
    <d v="2025-11-05T00:00:00"/>
    <x v="2"/>
  </r>
  <r>
    <n v="68760"/>
    <s v="FERDINANDO PAZINI"/>
    <s v="MMG"/>
    <s v="ADM"/>
    <n v="50039718"/>
    <x v="11"/>
    <n v="1"/>
    <s v="REALIZADO"/>
    <s v="MATHEUS"/>
    <d v="2025-11-05T00:00:00"/>
    <x v="0"/>
  </r>
  <r>
    <n v="65472"/>
    <s v="ISRAEL MACEDO"/>
    <s v="MMG"/>
    <s v="ADM"/>
    <n v="50037905"/>
    <x v="49"/>
    <n v="1"/>
    <s v="REALIZADO"/>
    <s v="MARCIA"/>
    <d v="2025-11-05T00:00:00"/>
    <x v="2"/>
  </r>
  <r>
    <n v="65472"/>
    <s v="ISRAEL MACEDO"/>
    <s v="MMG"/>
    <s v="ADM"/>
    <n v="50037905"/>
    <x v="49"/>
    <n v="1"/>
    <s v="REALIZADO"/>
    <s v="AGATHA"/>
    <d v="2025-11-05T00:00:00"/>
    <x v="0"/>
  </r>
  <r>
    <n v="62471"/>
    <s v="ELTON LIMA"/>
    <s v="MME"/>
    <s v="ADM"/>
    <n v="50030486"/>
    <x v="17"/>
    <n v="1"/>
    <s v="REALIZADO"/>
    <s v="AGATHA"/>
    <d v="2025-11-05T00:00:00"/>
    <x v="2"/>
  </r>
  <r>
    <n v="62471"/>
    <s v="ELTON LIMA"/>
    <s v="MME"/>
    <s v="ADM"/>
    <n v="50030486"/>
    <x v="17"/>
    <n v="1"/>
    <s v="REALIZADO"/>
    <s v="BRUNA"/>
    <d v="2025-11-05T00:00:00"/>
    <x v="0"/>
  </r>
  <r>
    <n v="77526"/>
    <s v="FELIPE GARÇONI"/>
    <s v="MME"/>
    <s v="ADM"/>
    <n v="50030486"/>
    <x v="17"/>
    <n v="1"/>
    <s v="REALIZADO"/>
    <s v="BRUNA"/>
    <d v="2025-11-05T00:00:00"/>
    <x v="2"/>
  </r>
  <r>
    <n v="77526"/>
    <s v="FELIPE GARÇONI"/>
    <s v="MME"/>
    <s v="ADM"/>
    <n v="50030486"/>
    <x v="17"/>
    <n v="1"/>
    <s v="REALIZADO"/>
    <s v="MATHEUS"/>
    <d v="2025-11-05T00:00:00"/>
    <x v="0"/>
  </r>
  <r>
    <n v="77526"/>
    <s v="FELIPE GARÇONI"/>
    <s v="MME"/>
    <s v="ADM"/>
    <n v="50039236"/>
    <x v="84"/>
    <n v="1"/>
    <s v="REALIZADO"/>
    <s v="AGATHA"/>
    <d v="2025-11-05T00:00:00"/>
    <x v="2"/>
  </r>
  <r>
    <n v="77526"/>
    <s v="FELIPE GARÇONI"/>
    <s v="MME"/>
    <s v="ADM"/>
    <n v="50039236"/>
    <x v="84"/>
    <n v="1"/>
    <s v="REALIZADO"/>
    <s v="AGATHA"/>
    <d v="2025-11-05T00:00:00"/>
    <x v="0"/>
  </r>
  <r>
    <n v="77594"/>
    <s v="VINICIUS ROBLES"/>
    <s v="MME"/>
    <s v="ADM"/>
    <n v="50039236"/>
    <x v="84"/>
    <n v="1"/>
    <s v="REALIZADO"/>
    <s v="AGATHA"/>
    <d v="2025-11-05T00:00:00"/>
    <x v="2"/>
  </r>
  <r>
    <n v="77594"/>
    <s v="VINICIUS ROBLES"/>
    <s v="MME"/>
    <s v="ADM"/>
    <n v="50039236"/>
    <x v="84"/>
    <n v="1"/>
    <s v="REALIZADO"/>
    <s v="MATHEUS"/>
    <d v="2025-11-05T00:00:00"/>
    <x v="0"/>
  </r>
  <r>
    <n v="96464"/>
    <s v="KEVIN INAMOTO"/>
    <s v="MEE"/>
    <s v="1º TURNO"/>
    <n v="50043471"/>
    <x v="5"/>
    <n v="1"/>
    <s v="REALIZADO"/>
    <s v="MATHEUS"/>
    <d v="2025-11-05T00:00:00"/>
    <x v="2"/>
  </r>
  <r>
    <n v="96464"/>
    <s v="KEVIN INAMOTO"/>
    <s v="MEE"/>
    <s v="1º TURNO"/>
    <n v="50043471"/>
    <x v="5"/>
    <n v="1"/>
    <s v="REALIZADO"/>
    <s v="MATHEUS"/>
    <d v="2025-11-05T00:00:00"/>
    <x v="0"/>
  </r>
  <r>
    <n v="77521"/>
    <s v="LUCAS LIRA"/>
    <s v="MME"/>
    <s v="ADM"/>
    <n v="50003297"/>
    <x v="8"/>
    <n v="1"/>
    <s v="REALIZADO"/>
    <s v="GEOVANE"/>
    <d v="2025-11-05T00:00:00"/>
    <x v="2"/>
  </r>
  <r>
    <n v="77521"/>
    <s v="LUCAS LIRA"/>
    <s v="MME"/>
    <s v="ADM"/>
    <n v="50003297"/>
    <x v="8"/>
    <n v="1"/>
    <s v="REALIZADO"/>
    <s v="MATHEUS"/>
    <d v="2025-11-05T00:00:00"/>
    <x v="0"/>
  </r>
  <r>
    <n v="70052"/>
    <s v="MARCOS SANTOS"/>
    <s v="MEE"/>
    <s v="ADM"/>
    <n v="50044839"/>
    <x v="79"/>
    <n v="1"/>
    <s v="REALIZADO"/>
    <s v="BRUNA"/>
    <d v="2025-11-05T00:00:00"/>
    <x v="2"/>
  </r>
  <r>
    <n v="70052"/>
    <s v="MARCOS SANTOS"/>
    <s v="MEE"/>
    <s v="ADM"/>
    <n v="50044839"/>
    <x v="79"/>
    <n v="1"/>
    <s v="REALIZADO"/>
    <s v="MATHEUS"/>
    <d v="2025-11-05T00:00:00"/>
    <x v="0"/>
  </r>
  <r>
    <n v="65084"/>
    <s v="TIAGO DE BRITO"/>
    <s v="MMG"/>
    <s v="3º TURNO"/>
    <n v="50038549"/>
    <x v="6"/>
    <n v="1"/>
    <s v="REALIZADO"/>
    <s v="MATHEUS"/>
    <d v="2025-11-05T00:00:00"/>
    <x v="2"/>
  </r>
  <r>
    <n v="65084"/>
    <s v="TIAGO DE BRITO"/>
    <s v="MMG"/>
    <s v="3º TURNO"/>
    <n v="50038549"/>
    <x v="6"/>
    <n v="1"/>
    <s v="REALIZADO"/>
    <s v="MATHEUS"/>
    <d v="2025-11-05T00:00:00"/>
    <x v="0"/>
  </r>
  <r>
    <n v="62896"/>
    <s v="LEONARDO BORGES"/>
    <s v="MEE"/>
    <s v="ADM"/>
    <n v="50022878"/>
    <x v="18"/>
    <n v="1"/>
    <s v="REALIZADO"/>
    <s v="MATHEUS"/>
    <d v="2025-11-05T00:00:00"/>
    <x v="2"/>
  </r>
  <r>
    <n v="62896"/>
    <s v="LEONARDO BORGES"/>
    <s v="MEE"/>
    <s v="ADM"/>
    <n v="50022878"/>
    <x v="18"/>
    <n v="1"/>
    <s v="REALIZADO"/>
    <s v="MATHEUS"/>
    <d v="2025-11-05T00:00:00"/>
    <x v="0"/>
  </r>
  <r>
    <n v="62896"/>
    <s v="LEONARDO BORGES"/>
    <s v="MEE"/>
    <s v="ADM"/>
    <n v="50038956"/>
    <x v="10"/>
    <n v="1"/>
    <s v="REALIZADO"/>
    <s v="MARCIA"/>
    <d v="2025-11-05T00:00:00"/>
    <x v="2"/>
  </r>
  <r>
    <n v="62896"/>
    <s v="LEONARDO BORGES"/>
    <s v="MEE"/>
    <s v="ADM"/>
    <n v="50038956"/>
    <x v="10"/>
    <n v="1"/>
    <s v="REALIZADO"/>
    <s v="MARCIA"/>
    <d v="2025-11-05T00:00:00"/>
    <x v="0"/>
  </r>
  <r>
    <n v="62896"/>
    <s v="LEONARDO BORGES"/>
    <s v="MEE"/>
    <s v="ADM"/>
    <n v="50038956"/>
    <x v="10"/>
    <n v="1"/>
    <s v="REALIZADO"/>
    <s v="AGATHA"/>
    <d v="2025-11-05T00:00:00"/>
    <x v="2"/>
  </r>
  <r>
    <n v="60115"/>
    <s v="REINALDO FERREIRA"/>
    <s v="MME"/>
    <s v="2º TURNO"/>
    <n v="50037892"/>
    <x v="2"/>
    <n v="1"/>
    <s v="REALIZADO"/>
    <s v="MARCIA"/>
    <d v="2025-11-05T00:00:00"/>
    <x v="0"/>
  </r>
  <r>
    <n v="64074"/>
    <s v="MARCOS FERNANDES COLOMBO"/>
    <s v="MPR"/>
    <s v="ADM"/>
    <n v="50037892"/>
    <x v="2"/>
    <n v="1"/>
    <s v="REALIZADO"/>
    <s v="AGATHA"/>
    <d v="2025-11-05T00:00:00"/>
    <x v="2"/>
  </r>
  <r>
    <n v="64074"/>
    <s v="MARCOS FERNANDES COLOMBO"/>
    <s v="MPR"/>
    <s v="ADM"/>
    <n v="50037892"/>
    <x v="2"/>
    <n v="1"/>
    <s v="REALIZADO"/>
    <s v="MATHEUS"/>
    <d v="2025-11-05T00:00:00"/>
    <x v="0"/>
  </r>
  <r>
    <n v="68708"/>
    <s v="CLAUDIO TADEU LEITE"/>
    <s v="MMG"/>
    <s v="ADM"/>
    <n v="50037902"/>
    <x v="14"/>
    <n v="1"/>
    <s v="REALIZADO"/>
    <s v="AGATHA"/>
    <d v="2025-11-05T00:00:00"/>
    <x v="2"/>
  </r>
  <r>
    <n v="68708"/>
    <s v="CLAUDIO TADEU LEITE"/>
    <s v="MMG"/>
    <s v="ADM"/>
    <n v="50037902"/>
    <x v="14"/>
    <n v="1"/>
    <s v="REALIZADO"/>
    <s v="BRUNA"/>
    <d v="2025-11-05T00:00:00"/>
    <x v="0"/>
  </r>
  <r>
    <n v="78886"/>
    <s v="DOUGLAS FELICIANO MENDES DE OLIVEIRA"/>
    <s v="MME"/>
    <s v="ADM"/>
    <n v="50037902"/>
    <x v="14"/>
    <n v="1"/>
    <s v="REALIZADO"/>
    <s v="MATHEUS"/>
    <d v="2025-11-05T00:00:00"/>
    <x v="2"/>
  </r>
  <r>
    <n v="78886"/>
    <s v="DOUGLAS FELICIANO MENDES DE OLIVEIRA"/>
    <s v="MME"/>
    <s v="ADM"/>
    <n v="50037902"/>
    <x v="14"/>
    <n v="1"/>
    <s v="REALIZADO"/>
    <s v="MATHEUS"/>
    <d v="2025-11-05T00:00:00"/>
    <x v="0"/>
  </r>
  <r>
    <n v="77471"/>
    <s v="DANILO BARBOSA"/>
    <s v="MEE"/>
    <s v="ADM"/>
    <n v="50038841"/>
    <x v="34"/>
    <n v="1"/>
    <s v="REALIZADO"/>
    <s v="AGATHA"/>
    <d v="2025-11-05T00:00:00"/>
    <x v="2"/>
  </r>
  <r>
    <n v="77471"/>
    <s v="DANILO BARBOSA"/>
    <s v="MEE"/>
    <s v="ADM"/>
    <n v="50038841"/>
    <x v="34"/>
    <n v="1"/>
    <s v="REALIZADO"/>
    <s v="MATHEUS"/>
    <d v="2025-11-05T00:00:00"/>
    <x v="0"/>
  </r>
  <r>
    <n v="63713"/>
    <s v="BRUNO DIAS"/>
    <s v="MME"/>
    <s v="ADM"/>
    <n v="50038517"/>
    <x v="0"/>
    <n v="1"/>
    <s v="REALIZADO"/>
    <s v="AGATHA"/>
    <d v="2025-11-05T00:00:00"/>
    <x v="2"/>
  </r>
  <r>
    <n v="63713"/>
    <s v="BRUNO DIAS"/>
    <s v="MME"/>
    <s v="ADM"/>
    <n v="50038517"/>
    <x v="0"/>
    <n v="1"/>
    <s v="REALIZADO"/>
    <s v="AGATHA"/>
    <d v="2025-11-05T00:00:00"/>
    <x v="0"/>
  </r>
  <r>
    <n v="76994"/>
    <s v="FELIPE HENRIQUE DE BRITO"/>
    <s v="MEE"/>
    <s v="ADM"/>
    <n v="50038518"/>
    <x v="57"/>
    <n v="1"/>
    <s v="REALIZADO"/>
    <s v="MATHEUS"/>
    <d v="2025-11-05T00:00:00"/>
    <x v="2"/>
  </r>
  <r>
    <n v="76994"/>
    <s v="FELIPE HENRIQUE DE BRITO"/>
    <s v="MEE"/>
    <s v="ADM"/>
    <n v="50038518"/>
    <x v="57"/>
    <n v="1"/>
    <s v="REALIZADO"/>
    <s v="MATHEUS"/>
    <d v="2025-11-05T00:00:00"/>
    <x v="0"/>
  </r>
  <r>
    <n v="60953"/>
    <s v="PABLO JUNIOR"/>
    <s v="MMG"/>
    <s v="1º TURNO"/>
    <n v="50041653"/>
    <x v="50"/>
    <n v="1"/>
    <s v="REALIZADO"/>
    <s v="BRUNA"/>
    <d v="2025-11-05T00:00:00"/>
    <x v="2"/>
  </r>
  <r>
    <n v="60953"/>
    <s v="PABLO JUNIOR"/>
    <s v="MMG"/>
    <s v="1º TURNO"/>
    <n v="50041653"/>
    <x v="50"/>
    <n v="1"/>
    <s v="REALIZADO"/>
    <s v="MATHEUS"/>
    <d v="2025-11-05T00:00:00"/>
    <x v="0"/>
  </r>
  <r>
    <n v="65482"/>
    <s v="RAFAEL BALBINO PEREIRA"/>
    <s v="MMG"/>
    <s v="ADM"/>
    <n v="50041195"/>
    <x v="21"/>
    <n v="1"/>
    <s v="REALIZADO"/>
    <s v="MATHEUS"/>
    <d v="2025-11-05T00:00:00"/>
    <x v="2"/>
  </r>
  <r>
    <n v="65482"/>
    <s v="RAFAEL BALBINO PEREIRA"/>
    <s v="MMG"/>
    <s v="ADM"/>
    <n v="50041195"/>
    <x v="21"/>
    <n v="1"/>
    <s v="REALIZADO"/>
    <s v="MATHEUS"/>
    <d v="2025-11-05T00:00:00"/>
    <x v="0"/>
  </r>
  <r>
    <n v="64074"/>
    <s v="MARCOS FERNANDES COLOMBO"/>
    <s v="MPR"/>
    <s v="ADM"/>
    <n v="50043917"/>
    <x v="66"/>
    <n v="1"/>
    <s v="REALIZADO"/>
    <s v="AGATHA"/>
    <d v="2025-11-05T00:00:00"/>
    <x v="2"/>
  </r>
  <r>
    <n v="64074"/>
    <s v="MARCOS FERNANDES COLOMBO"/>
    <s v="MPR"/>
    <s v="ADM"/>
    <n v="50043917"/>
    <x v="66"/>
    <n v="1"/>
    <s v="REALIZADO"/>
    <s v="MATHEUS"/>
    <d v="2025-11-05T00:00:00"/>
    <x v="0"/>
  </r>
  <r>
    <n v="70105"/>
    <s v="RONALDO DE SOUZA SANTOS"/>
    <s v="MMG"/>
    <s v="2º TURNO"/>
    <n v="50012902"/>
    <x v="30"/>
    <n v="1"/>
    <s v="REALIZADO"/>
    <s v="GEOVANE"/>
    <d v="2025-11-05T00:00:00"/>
    <x v="2"/>
  </r>
  <r>
    <n v="70105"/>
    <s v="RONALDO DE SOUZA SANTOS"/>
    <s v="MMG"/>
    <s v="2º TURNO"/>
    <n v="50012902"/>
    <x v="30"/>
    <n v="1"/>
    <s v="REALIZADO"/>
    <s v="BRUNA"/>
    <d v="2025-11-05T00:00:00"/>
    <x v="0"/>
  </r>
  <r>
    <n v="60953"/>
    <s v="PABLO JUNIOR"/>
    <s v="MMG"/>
    <s v="1º TURNO"/>
    <n v="50037924"/>
    <x v="90"/>
    <n v="1"/>
    <s v="REALIZADO"/>
    <s v="BRUNA"/>
    <d v="2025-11-05T00:00:00"/>
    <x v="2"/>
  </r>
  <r>
    <n v="60953"/>
    <s v="PABLO JUNIOR"/>
    <s v="MMG"/>
    <s v="1º TURNO"/>
    <n v="50037924"/>
    <x v="90"/>
    <n v="1"/>
    <s v="REALIZADO"/>
    <s v="MATHEUS"/>
    <d v="2025-11-05T00:00:00"/>
    <x v="0"/>
  </r>
  <r>
    <n v="77313"/>
    <s v="ROGERIO"/>
    <s v="MPR"/>
    <s v="ADM"/>
    <n v="50010031"/>
    <x v="20"/>
    <n v="1"/>
    <s v="REALIZADO"/>
    <s v="BRUNA"/>
    <d v="2025-11-04T00:00:00"/>
    <x v="2"/>
  </r>
  <r>
    <n v="77313"/>
    <s v="ROGERIO"/>
    <s v="MPR"/>
    <s v="ADM"/>
    <n v="50010031"/>
    <x v="20"/>
    <n v="1"/>
    <s v="REALIZADO"/>
    <s v="BRUNA"/>
    <d v="2025-11-04T00:00:00"/>
    <x v="0"/>
  </r>
  <r>
    <n v="62896"/>
    <s v="LEONARDO BORGES"/>
    <s v="MEE"/>
    <s v="ADM"/>
    <n v="50038854"/>
    <x v="27"/>
    <n v="1"/>
    <s v="REALIZADO"/>
    <s v="AGATHA"/>
    <d v="2025-11-04T00:00:00"/>
    <x v="2"/>
  </r>
  <r>
    <n v="62896"/>
    <s v="LEONARDO BORGES"/>
    <s v="MEE"/>
    <s v="ADM"/>
    <n v="50038854"/>
    <x v="27"/>
    <n v="1"/>
    <s v="REALIZADO"/>
    <s v="AGATHA"/>
    <d v="2025-11-04T00:00:00"/>
    <x v="0"/>
  </r>
  <r>
    <n v="63713"/>
    <s v="BRUNO DIAS"/>
    <s v="MME"/>
    <s v="ADM"/>
    <n v="50043471"/>
    <x v="5"/>
    <n v="1"/>
    <s v="REALIZADO"/>
    <s v="AGATHA"/>
    <d v="2025-11-04T00:00:00"/>
    <x v="2"/>
  </r>
  <r>
    <n v="63713"/>
    <s v="BRUNO DIAS"/>
    <s v="MME"/>
    <s v="ADM"/>
    <n v="50043471"/>
    <x v="5"/>
    <n v="1"/>
    <s v="REALIZADO"/>
    <s v="AGATHA"/>
    <d v="2025-11-04T00:00:00"/>
    <x v="0"/>
  </r>
  <r>
    <n v="77313"/>
    <s v="ROGERIO"/>
    <s v="MPR"/>
    <s v="ADM"/>
    <n v="50043471"/>
    <x v="5"/>
    <n v="1"/>
    <s v="REALIZADO"/>
    <s v="BRUNA"/>
    <d v="2025-11-04T00:00:00"/>
    <x v="2"/>
  </r>
  <r>
    <n v="77313"/>
    <s v="ROGERIO"/>
    <s v="MPR"/>
    <s v="ADM"/>
    <n v="50043471"/>
    <x v="5"/>
    <n v="1"/>
    <s v="REALIZADO"/>
    <s v="BRUNA"/>
    <d v="2025-11-04T00:00:00"/>
    <x v="0"/>
  </r>
  <r>
    <n v="62640"/>
    <s v="MARCELINHO"/>
    <s v="MPR"/>
    <s v="ADM"/>
    <n v="50029865"/>
    <x v="9"/>
    <n v="1"/>
    <s v="REALIZADO"/>
    <s v="AGATHA"/>
    <d v="2025-11-04T00:00:00"/>
    <x v="2"/>
  </r>
  <r>
    <n v="62640"/>
    <s v="MARCELINHO"/>
    <s v="MPR"/>
    <s v="ADM"/>
    <n v="50029865"/>
    <x v="9"/>
    <n v="1"/>
    <s v="REALIZADO"/>
    <s v="MATHEUS"/>
    <d v="2025-11-04T00:00:00"/>
    <x v="0"/>
  </r>
  <r>
    <n v="63713"/>
    <s v="BRUNO DIAS"/>
    <s v="MME"/>
    <s v="ADM"/>
    <n v="50043320"/>
    <x v="35"/>
    <n v="1"/>
    <s v="REALIZADO"/>
    <s v="AGATHA"/>
    <d v="2025-11-04T00:00:00"/>
    <x v="2"/>
  </r>
  <r>
    <n v="63713"/>
    <s v="BRUNO DIAS"/>
    <s v="MME"/>
    <s v="ADM"/>
    <n v="50043320"/>
    <x v="35"/>
    <n v="1"/>
    <s v="REALIZADO"/>
    <s v="AGATHA"/>
    <d v="2025-11-04T00:00:00"/>
    <x v="0"/>
  </r>
  <r>
    <n v="73878"/>
    <s v="EVANDRO TANAKA"/>
    <s v="MMG"/>
    <s v="ADM"/>
    <n v="50038956"/>
    <x v="10"/>
    <n v="1"/>
    <s v="REALIZADO"/>
    <s v="MARCIA"/>
    <d v="2025-11-04T00:00:00"/>
    <x v="2"/>
  </r>
  <r>
    <n v="73878"/>
    <s v="EVANDRO TANAKA"/>
    <s v="MMG"/>
    <s v="ADM"/>
    <n v="50038956"/>
    <x v="10"/>
    <n v="1"/>
    <s v="REALIZADO"/>
    <s v="AGATHA"/>
    <d v="2025-11-04T00:00:00"/>
    <x v="0"/>
  </r>
  <r>
    <n v="64253"/>
    <s v="DANIEL JULIAO"/>
    <s v="MMG"/>
    <s v="ADM"/>
    <n v="50038956"/>
    <x v="10"/>
    <n v="1"/>
    <s v="REALIZADO"/>
    <s v="AGATHA"/>
    <d v="2025-11-04T00:00:00"/>
    <x v="2"/>
  </r>
  <r>
    <n v="64253"/>
    <s v="DANIEL JULIAO"/>
    <s v="MMG"/>
    <s v="ADM"/>
    <n v="50038956"/>
    <x v="10"/>
    <n v="1"/>
    <s v="REALIZADO"/>
    <s v="AGATHA"/>
    <d v="2025-11-04T00:00:00"/>
    <x v="0"/>
  </r>
  <r>
    <n v="62896"/>
    <s v="LEONARDO BORGES"/>
    <s v="MEE"/>
    <s v="ADM"/>
    <n v="50038517"/>
    <x v="0"/>
    <n v="1"/>
    <s v="REALIZADO"/>
    <s v="AGATHA"/>
    <d v="2025-11-04T00:00:00"/>
    <x v="2"/>
  </r>
  <r>
    <n v="62896"/>
    <s v="LEONARDO BORGES"/>
    <s v="MEE"/>
    <s v="ADM"/>
    <n v="50038517"/>
    <x v="0"/>
    <n v="1"/>
    <s v="REALIZADO"/>
    <s v="AGATHA"/>
    <d v="2025-11-04T00:00:00"/>
    <x v="0"/>
  </r>
  <r>
    <n v="77594"/>
    <s v="VINICIUS ROBLES"/>
    <s v="MME"/>
    <s v="ADM"/>
    <n v="50026357"/>
    <x v="24"/>
    <n v="1"/>
    <s v="REALIZADO"/>
    <s v="AGATHA"/>
    <d v="2025-11-04T00:00:00"/>
    <x v="2"/>
  </r>
  <r>
    <n v="77594"/>
    <s v="VINICIUS ROBLES"/>
    <s v="MME"/>
    <s v="ADM"/>
    <n v="50026357"/>
    <x v="24"/>
    <n v="1"/>
    <s v="REALIZADO"/>
    <s v="MATHEUS"/>
    <d v="2025-11-04T00:00:00"/>
    <x v="0"/>
  </r>
  <r>
    <n v="62640"/>
    <s v="MARCELINHO"/>
    <s v="MPR"/>
    <s v="ADM"/>
    <n v="50041195"/>
    <x v="21"/>
    <n v="1"/>
    <s v="REALIZADO"/>
    <s v="AGATHA"/>
    <d v="2025-11-04T00:00:00"/>
    <x v="2"/>
  </r>
  <r>
    <n v="62640"/>
    <s v="MARCELINHO"/>
    <s v="MPR"/>
    <s v="ADM"/>
    <n v="50041195"/>
    <x v="21"/>
    <n v="1"/>
    <s v="REALIZADO"/>
    <s v="MATHEUS"/>
    <d v="2025-11-04T00:00:00"/>
    <x v="0"/>
  </r>
  <r>
    <n v="70052"/>
    <s v="MARCOS SANTOS"/>
    <s v="MEE"/>
    <s v="ADM"/>
    <n v="50043917"/>
    <x v="66"/>
    <n v="1"/>
    <s v="REALIZADO"/>
    <s v="MATHEUS"/>
    <d v="2025-11-04T00:00:00"/>
    <x v="2"/>
  </r>
  <r>
    <n v="70052"/>
    <s v="MARCOS SANTOS"/>
    <s v="MEE"/>
    <s v="ADM"/>
    <n v="50043917"/>
    <x v="66"/>
    <n v="1"/>
    <s v="REALIZADO"/>
    <s v="MATHEUS"/>
    <d v="2025-11-04T00:00:00"/>
    <x v="0"/>
  </r>
  <r>
    <n v="63713"/>
    <s v="BRUNO DIAS"/>
    <s v="MME"/>
    <s v="ADM"/>
    <n v="50004486"/>
    <x v="40"/>
    <n v="1"/>
    <s v="REALIZADO"/>
    <s v="AGATHA"/>
    <d v="2025-11-04T00:00:00"/>
    <x v="2"/>
  </r>
  <r>
    <n v="63713"/>
    <s v="BRUNO DIAS"/>
    <s v="MME"/>
    <s v="ADM"/>
    <n v="50004486"/>
    <x v="40"/>
    <n v="1"/>
    <s v="REALIZADO"/>
    <s v="AGATHA"/>
    <d v="2025-11-04T00:00:00"/>
    <x v="0"/>
  </r>
  <r>
    <n v="68708"/>
    <s v="CLAUDIO TADEU LEITE"/>
    <s v="MMG"/>
    <s v="ADM"/>
    <n v="50042283"/>
    <x v="47"/>
    <n v="1"/>
    <s v="REALIZADO"/>
    <s v="MARCIA"/>
    <d v="2025-11-04T00:00:00"/>
    <x v="2"/>
  </r>
  <r>
    <n v="68708"/>
    <s v="CLAUDIO TADEU LEITE"/>
    <s v="MMG"/>
    <s v="ADM"/>
    <n v="50042283"/>
    <x v="47"/>
    <n v="1"/>
    <s v="REALIZADO"/>
    <s v="MATHEUS"/>
    <d v="2025-11-04T00:00:00"/>
    <x v="0"/>
  </r>
  <r>
    <n v="77471"/>
    <s v="DANILO BARBOSA"/>
    <s v="MEE"/>
    <s v="ADM"/>
    <n v="50010031"/>
    <x v="20"/>
    <n v="1"/>
    <s v="REALIZADO"/>
    <s v="AGATHA"/>
    <d v="2025-11-03T00:00:00"/>
    <x v="2"/>
  </r>
  <r>
    <n v="77471"/>
    <s v="DANILO BARBOSA"/>
    <s v="MEE"/>
    <s v="ADM"/>
    <n v="50010031"/>
    <x v="20"/>
    <n v="1"/>
    <s v="REALIZADO"/>
    <s v="BRUNO"/>
    <d v="2025-11-03T00:00:00"/>
    <x v="0"/>
  </r>
  <r>
    <n v="76239"/>
    <s v="GEOVANNY ALEXANDER"/>
    <s v="REFRIG"/>
    <s v="ADM"/>
    <n v="50036086"/>
    <x v="3"/>
    <n v="1"/>
    <s v="REALIZADO"/>
    <s v="BRUNA"/>
    <d v="2025-11-03T00:00:00"/>
    <x v="2"/>
  </r>
  <r>
    <n v="76239"/>
    <s v="GEOVANNY ALEXANDER"/>
    <s v="REFRIG"/>
    <s v="ADM"/>
    <n v="50036086"/>
    <x v="3"/>
    <n v="1"/>
    <s v="REALIZADO"/>
    <s v="BRUNO"/>
    <d v="2025-11-03T00:00:00"/>
    <x v="2"/>
  </r>
  <r>
    <n v="60352"/>
    <s v="JOSE BATISTA"/>
    <s v="MME"/>
    <s v="1º TURNO"/>
    <n v="50003173"/>
    <x v="29"/>
    <n v="1"/>
    <s v="REALIZADO"/>
    <s v="BRUNO"/>
    <d v="2025-11-03T00:00:00"/>
    <x v="2"/>
  </r>
  <r>
    <n v="72713"/>
    <s v="MARCOS AURELIO"/>
    <s v="MPR"/>
    <s v="ADM"/>
    <n v="50030486"/>
    <x v="17"/>
    <n v="1"/>
    <s v="REALIZADO"/>
    <s v="AGATHA"/>
    <d v="2025-11-03T00:00:00"/>
    <x v="0"/>
  </r>
  <r>
    <n v="63713"/>
    <s v="BRUNO DIAS"/>
    <s v="MME"/>
    <s v="ADM"/>
    <n v="50030486"/>
    <x v="17"/>
    <n v="1"/>
    <s v="REALIZADO"/>
    <s v="AGATHA"/>
    <d v="2025-11-03T00:00:00"/>
    <x v="2"/>
  </r>
  <r>
    <n v="63713"/>
    <s v="BRUNO DIAS"/>
    <s v="MME"/>
    <s v="ADM"/>
    <n v="50030486"/>
    <x v="17"/>
    <n v="1"/>
    <s v="REALIZADO"/>
    <s v="AGATHA"/>
    <d v="2025-11-03T00:00:00"/>
    <x v="0"/>
  </r>
  <r>
    <n v="64253"/>
    <s v="DANIEL JULIAO"/>
    <s v="MMG"/>
    <s v="ADM"/>
    <n v="50030486"/>
    <x v="17"/>
    <n v="1"/>
    <s v="REALIZADO"/>
    <s v="BRUNA"/>
    <d v="2025-11-03T00:00:00"/>
    <x v="2"/>
  </r>
  <r>
    <n v="64253"/>
    <s v="DANIEL JULIAO"/>
    <s v="MMG"/>
    <s v="ADM"/>
    <n v="50030486"/>
    <x v="17"/>
    <n v="1"/>
    <s v="REALIZADO"/>
    <s v="BRUNO"/>
    <d v="2025-11-03T00:00:00"/>
    <x v="0"/>
  </r>
  <r>
    <n v="63713"/>
    <s v="BRUNO DIAS"/>
    <s v="MME"/>
    <s v="ADM"/>
    <n v="50039236"/>
    <x v="84"/>
    <n v="1"/>
    <s v="REALIZADO"/>
    <s v="AGATHA"/>
    <d v="2025-11-03T00:00:00"/>
    <x v="2"/>
  </r>
  <r>
    <n v="63713"/>
    <s v="BRUNO DIAS"/>
    <s v="MME"/>
    <s v="ADM"/>
    <n v="50039236"/>
    <x v="84"/>
    <n v="1"/>
    <s v="REALIZADO"/>
    <s v="AGATHA"/>
    <d v="2025-11-03T00:00:00"/>
    <x v="0"/>
  </r>
  <r>
    <n v="77521"/>
    <s v="LUCAS LIRA"/>
    <s v="MME"/>
    <s v="ADM"/>
    <n v="50043471"/>
    <x v="5"/>
    <n v="1"/>
    <s v="REALIZADO"/>
    <s v="MARCIA"/>
    <d v="2025-11-03T00:00:00"/>
    <x v="2"/>
  </r>
  <r>
    <n v="77521"/>
    <s v="LUCAS LIRA"/>
    <s v="MME"/>
    <s v="ADM"/>
    <n v="50043471"/>
    <x v="5"/>
    <n v="1"/>
    <s v="REALIZADO"/>
    <s v="BRUNO"/>
    <d v="2025-11-03T00:00:00"/>
    <x v="0"/>
  </r>
  <r>
    <n v="77526"/>
    <s v="FELIPE GARÇONI"/>
    <s v="MME"/>
    <s v="ADM"/>
    <n v="50003297"/>
    <x v="8"/>
    <n v="1"/>
    <s v="REALIZADO"/>
    <s v="MARCIA"/>
    <d v="2025-11-03T00:00:00"/>
    <x v="2"/>
  </r>
  <r>
    <n v="77526"/>
    <s v="FELIPE GARÇONI"/>
    <s v="MME"/>
    <s v="ADM"/>
    <n v="50003297"/>
    <x v="8"/>
    <n v="1"/>
    <s v="REALIZADO"/>
    <s v="BRUNO"/>
    <d v="2025-11-03T00:00:00"/>
    <x v="0"/>
  </r>
  <r>
    <n v="68708"/>
    <s v="CLAUDIO TADEU LEITE"/>
    <s v="MMG"/>
    <s v="ADM"/>
    <n v="50038956"/>
    <x v="10"/>
    <n v="1"/>
    <s v="REALIZADO"/>
    <s v="AGATHA"/>
    <d v="2025-11-03T00:00:00"/>
    <x v="2"/>
  </r>
  <r>
    <n v="68708"/>
    <s v="CLAUDIO TADEU LEITE"/>
    <s v="MMG"/>
    <s v="ADM"/>
    <n v="50038956"/>
    <x v="10"/>
    <n v="1"/>
    <s v="REALIZADO"/>
    <s v="BRUNA"/>
    <d v="2025-11-03T00:00:00"/>
    <x v="0"/>
  </r>
  <r>
    <n v="74749"/>
    <s v="HUGO RUBIRA"/>
    <s v="MME"/>
    <s v="1º TURNO"/>
    <n v="50038956"/>
    <x v="10"/>
    <n v="1"/>
    <s v="REALIZADO"/>
    <s v="BRUNO"/>
    <d v="2025-11-03T00:00:00"/>
    <x v="2"/>
  </r>
  <r>
    <n v="74749"/>
    <s v="HUGO RUBIRA"/>
    <s v="MME"/>
    <s v="1º TURNO"/>
    <n v="50038956"/>
    <x v="10"/>
    <n v="1"/>
    <s v="REALIZADO"/>
    <s v="BRUNO"/>
    <d v="2025-11-03T00:00:00"/>
    <x v="0"/>
  </r>
  <r>
    <n v="58734"/>
    <s v="FABIO CARVALHO"/>
    <s v="MME"/>
    <s v="2º TURNO"/>
    <n v="50037892"/>
    <x v="2"/>
    <n v="1"/>
    <s v="REALIZADO"/>
    <s v="MARCIA"/>
    <d v="2025-11-03T00:00:00"/>
    <x v="2"/>
  </r>
  <r>
    <n v="58734"/>
    <s v="FABIO CARVALHO"/>
    <s v="MME"/>
    <s v="2º TURNO"/>
    <n v="50037892"/>
    <x v="2"/>
    <n v="1"/>
    <s v="REALIZADO"/>
    <s v="MARCIA"/>
    <d v="2025-11-03T00:00:00"/>
    <x v="0"/>
  </r>
  <r>
    <n v="79177"/>
    <s v="MAICON ANTONIO SANTOS"/>
    <s v="MMG"/>
    <s v="ADM"/>
    <n v="50037892"/>
    <x v="2"/>
    <n v="1"/>
    <s v="REALIZADO"/>
    <s v="BRUNO"/>
    <d v="2025-11-03T00:00:00"/>
    <x v="2"/>
  </r>
  <r>
    <n v="79177"/>
    <s v="MAICON ANTONIO SANTOS"/>
    <s v="MMG"/>
    <s v="ADM"/>
    <n v="50037892"/>
    <x v="2"/>
    <n v="1"/>
    <s v="REALIZADO"/>
    <s v="BRUNO"/>
    <d v="2025-11-03T00:00:00"/>
    <x v="0"/>
  </r>
  <r>
    <n v="77526"/>
    <s v="FELIPE GARÇONI"/>
    <s v="MME"/>
    <s v="ADM"/>
    <n v="50037902"/>
    <x v="14"/>
    <n v="1"/>
    <s v="REALIZADO"/>
    <s v="MARCIA"/>
    <d v="2025-11-03T00:00:00"/>
    <x v="2"/>
  </r>
  <r>
    <n v="77526"/>
    <s v="FELIPE GARÇONI"/>
    <s v="MME"/>
    <s v="ADM"/>
    <n v="50037902"/>
    <x v="14"/>
    <n v="1"/>
    <s v="REALIZADO"/>
    <s v="AGATHA"/>
    <d v="2025-11-03T00:00:00"/>
    <x v="0"/>
  </r>
  <r>
    <n v="62161"/>
    <s v="JOAO OLIVEIRA"/>
    <s v="MME"/>
    <s v="2º TURNO"/>
    <n v="50037902"/>
    <x v="14"/>
    <n v="1"/>
    <s v="REALIZADO"/>
    <s v="AGATHA"/>
    <d v="2025-11-03T00:00:00"/>
    <x v="2"/>
  </r>
  <r>
    <n v="62161"/>
    <s v="JOAO OLIVEIRA"/>
    <s v="MME"/>
    <s v="2º TURNO"/>
    <n v="50037902"/>
    <x v="14"/>
    <n v="1"/>
    <s v="REALIZADO"/>
    <s v="AGATHA"/>
    <d v="2025-11-03T00:00:00"/>
    <x v="0"/>
  </r>
  <r>
    <n v="63713"/>
    <s v="BRUNO DIAS"/>
    <s v="MME"/>
    <s v="ADM"/>
    <n v="50037902"/>
    <x v="14"/>
    <n v="1"/>
    <s v="REALIZADO"/>
    <s v="AGATHA"/>
    <d v="2025-11-03T00:00:00"/>
    <x v="2"/>
  </r>
  <r>
    <n v="63713"/>
    <s v="BRUNO DIAS"/>
    <s v="MME"/>
    <s v="ADM"/>
    <n v="50037902"/>
    <x v="14"/>
    <n v="1"/>
    <s v="REALIZADO"/>
    <s v="BRUNO"/>
    <d v="2025-11-03T00:00:00"/>
    <x v="0"/>
  </r>
  <r>
    <n v="77521"/>
    <s v="LUCAS LIRA"/>
    <s v="MME"/>
    <s v="ADM"/>
    <n v="50038841"/>
    <x v="34"/>
    <n v="1"/>
    <s v="REALIZADO"/>
    <s v="MARCIA"/>
    <d v="2025-11-03T00:00:00"/>
    <x v="2"/>
  </r>
  <r>
    <n v="77521"/>
    <s v="LUCAS LIRA"/>
    <s v="MME"/>
    <s v="ADM"/>
    <n v="50038841"/>
    <x v="34"/>
    <n v="1"/>
    <s v="REALIZADO"/>
    <s v="BRUNO"/>
    <d v="2025-11-03T00:00:00"/>
    <x v="0"/>
  </r>
  <r>
    <n v="63713"/>
    <s v="BRUNO DIAS"/>
    <s v="MME"/>
    <s v="ADM"/>
    <n v="50039065"/>
    <x v="22"/>
    <n v="1"/>
    <s v="REALIZADO"/>
    <s v="AGATHA"/>
    <d v="2025-11-03T00:00:00"/>
    <x v="2"/>
  </r>
  <r>
    <n v="63713"/>
    <s v="BRUNO DIAS"/>
    <s v="MME"/>
    <s v="ADM"/>
    <n v="50039065"/>
    <x v="22"/>
    <n v="1"/>
    <s v="REALIZADO"/>
    <s v="BRUNO"/>
    <d v="2025-11-03T00:00:00"/>
    <x v="0"/>
  </r>
  <r>
    <n v="76633"/>
    <s v="VINICIUS GUILHERME BARBOSA"/>
    <s v="MMG"/>
    <s v="1º TURNO"/>
    <n v="50039065"/>
    <x v="22"/>
    <n v="1"/>
    <s v="REALIZADO"/>
    <s v="BRUNO"/>
    <d v="2025-11-03T00:00:00"/>
    <x v="2"/>
  </r>
  <r>
    <n v="76633"/>
    <s v="VINICIUS GUILHERME BARBOSA"/>
    <s v="MMG"/>
    <s v="1º TURNO"/>
    <n v="50039065"/>
    <x v="22"/>
    <n v="1"/>
    <s v="REALIZADO"/>
    <s v="BRUNO"/>
    <d v="2025-11-03T00:00:00"/>
    <x v="0"/>
  </r>
  <r>
    <n v="68708"/>
    <s v="CLAUDIO TADEU LEITE"/>
    <s v="MMG"/>
    <s v="ADM"/>
    <n v="50038626"/>
    <x v="72"/>
    <n v="1"/>
    <s v="REALIZADO"/>
    <s v="AGATHA"/>
    <d v="2025-11-03T00:00:00"/>
    <x v="2"/>
  </r>
  <r>
    <n v="68708"/>
    <s v="CLAUDIO TADEU LEITE"/>
    <s v="MMG"/>
    <s v="ADM"/>
    <n v="50038626"/>
    <x v="72"/>
    <n v="1"/>
    <s v="REALIZADO"/>
    <s v="BRUNO"/>
    <d v="2025-11-03T00:00:00"/>
    <x v="0"/>
  </r>
  <r>
    <n v="63399"/>
    <s v="JOAO CARLOS MARIA"/>
    <s v="MPR"/>
    <s v="ADM"/>
    <n v="50041195"/>
    <x v="21"/>
    <n v="1"/>
    <s v="REALIZADO"/>
    <s v="JOÃO FRANCISCO"/>
    <d v="2025-11-03T00:00:00"/>
    <x v="2"/>
  </r>
  <r>
    <n v="64074"/>
    <s v="MARCOS FERNANDES COLOMBO"/>
    <s v="MPR"/>
    <s v="ADM"/>
    <n v="50041195"/>
    <x v="21"/>
    <n v="1"/>
    <s v="REALIZADO"/>
    <s v="BRUNO"/>
    <d v="2025-11-03T00:00:00"/>
    <x v="0"/>
  </r>
  <r>
    <n v="77471"/>
    <s v="DANILO BARBOSA"/>
    <s v="MEE"/>
    <s v="ADM"/>
    <n v="50043917"/>
    <x v="66"/>
    <n v="1"/>
    <s v="REALIZADO"/>
    <s v="MARCIA"/>
    <d v="2025-11-03T00:00:00"/>
    <x v="2"/>
  </r>
  <r>
    <n v="77471"/>
    <s v="DANILO BARBOSA"/>
    <s v="MEE"/>
    <s v="ADM"/>
    <n v="50043917"/>
    <x v="66"/>
    <n v="1"/>
    <s v="REALIZADO"/>
    <s v="BRUNO"/>
    <d v="2025-11-03T00:00:00"/>
    <x v="0"/>
  </r>
  <r>
    <n v="70105"/>
    <s v="RONALDO DE SOUZA SANTOS"/>
    <s v="MMG"/>
    <s v="2º TURNO"/>
    <n v="50012903"/>
    <x v="31"/>
    <n v="1"/>
    <s v="REALIZADO"/>
    <s v="AGATHA"/>
    <d v="2025-11-03T00:00:00"/>
    <x v="2"/>
  </r>
  <r>
    <n v="70105"/>
    <s v="RONALDO DE SOUZA SANTOS"/>
    <s v="MMG"/>
    <s v="2º TURNO"/>
    <n v="50012903"/>
    <x v="31"/>
    <n v="1"/>
    <s v="REALIZADO"/>
    <s v="BRUNO"/>
    <d v="2025-11-03T00:00:00"/>
    <x v="0"/>
  </r>
  <r>
    <n v="70105"/>
    <s v="RONALDO DE SOUZA SANTOS"/>
    <s v="MMG"/>
    <s v="2º TURNO"/>
    <n v="50012902"/>
    <x v="30"/>
    <n v="1"/>
    <s v="REALIZADO"/>
    <s v="AGATHA"/>
    <d v="2025-11-03T00:00:00"/>
    <x v="2"/>
  </r>
  <r>
    <n v="70105"/>
    <s v="RONALDO DE SOUZA SANTOS"/>
    <s v="MMG"/>
    <s v="2º TURNO"/>
    <n v="50012902"/>
    <x v="30"/>
    <n v="1"/>
    <s v="REALIZADO"/>
    <s v="BRUNO"/>
    <d v="2025-11-03T00:00:00"/>
    <x v="2"/>
  </r>
  <r>
    <n v="65900"/>
    <s v="DANILO CARVALHO VAIDELLO"/>
    <s v="MME"/>
    <s v="2º TURNO"/>
    <n v="50032781"/>
    <x v="12"/>
    <n v="1"/>
    <s v="REALIZADO"/>
    <s v="MARCIA"/>
    <d v="2025-11-03T00:00:00"/>
    <x v="2"/>
  </r>
  <r>
    <n v="65900"/>
    <s v="DANILO CARVALHO VAIDELLO"/>
    <s v="MME"/>
    <s v="2º TURNO"/>
    <n v="50032781"/>
    <x v="12"/>
    <n v="1"/>
    <s v="NÃO REALIZADO"/>
    <s v="MARCIA"/>
    <d v="2025-11-03T00:00:00"/>
    <x v="0"/>
  </r>
  <r>
    <n v="63713"/>
    <s v="BRUNO DIAS"/>
    <s v="MME"/>
    <s v="ADM"/>
    <n v="50032781"/>
    <x v="12"/>
    <n v="1"/>
    <s v="REALIZADO"/>
    <s v="AGATHA"/>
    <d v="2025-11-03T00:00:00"/>
    <x v="2"/>
  </r>
  <r>
    <n v="63713"/>
    <s v="BRUNO DIAS"/>
    <s v="MME"/>
    <s v="ADM"/>
    <n v="50032781"/>
    <x v="12"/>
    <n v="1"/>
    <s v="REALIZADO"/>
    <s v="AGATHA"/>
    <d v="2025-11-03T00:00:00"/>
    <x v="0"/>
  </r>
  <r>
    <n v="65223"/>
    <s v="RODRIGO LOPES DOS SANTOS"/>
    <s v="MEE"/>
    <s v="2º TURNO"/>
    <n v="50043150"/>
    <x v="4"/>
    <n v="1"/>
    <s v="REALIZADO"/>
    <s v="AGATHA"/>
    <d v="2025-11-03T00:00:00"/>
    <x v="2"/>
  </r>
  <r>
    <n v="65223"/>
    <s v="RODRIGO LOPES DOS SANTOS"/>
    <s v="MEE"/>
    <s v="2º TURNO"/>
    <n v="50043150"/>
    <x v="4"/>
    <n v="1"/>
    <s v="REALIZADO"/>
    <s v="BRUNA"/>
    <d v="2025-11-03T00:00:00"/>
    <x v="2"/>
  </r>
  <r>
    <n v="70105"/>
    <s v="RONALDO DE SOUZA SANTOS"/>
    <s v="MMG"/>
    <s v="2º TURNO"/>
    <n v="50010031"/>
    <x v="20"/>
    <n v="1"/>
    <s v="NÃO REALIZADO"/>
    <s v="BRUNA"/>
    <d v="2025-11-02T00:00:00"/>
    <x v="0"/>
  </r>
  <r>
    <n v="72713"/>
    <s v="MARCOS AURELIO"/>
    <s v="MPR"/>
    <s v="ADM"/>
    <n v="50010031"/>
    <x v="20"/>
    <n v="1"/>
    <s v="NÃO REALIZADO"/>
    <s v="BRUNA"/>
    <d v="2025-11-02T00:00:00"/>
    <x v="2"/>
  </r>
  <r>
    <n v="72713"/>
    <s v="MARCOS AURELIO"/>
    <s v="MPR"/>
    <s v="ADM"/>
    <n v="50010031"/>
    <x v="20"/>
    <n v="1"/>
    <s v="NÃO REALIZADO"/>
    <s v="BRUNA"/>
    <d v="2025-11-02T00:00:00"/>
    <x v="2"/>
  </r>
  <r>
    <n v="75365"/>
    <s v="WALDYR MARCOS"/>
    <s v="MEE"/>
    <s v="ADM"/>
    <n v="50002644"/>
    <x v="83"/>
    <n v="1"/>
    <s v="REALIZADO"/>
    <s v="BRUNA"/>
    <d v="2025-11-02T00:00:00"/>
    <x v="0"/>
  </r>
  <r>
    <n v="75424"/>
    <s v="EDSON CARLOS"/>
    <s v="MME"/>
    <s v="1º TURNO"/>
    <n v="50030486"/>
    <x v="17"/>
    <n v="1"/>
    <s v="REALIZADO"/>
    <s v="BRUNA"/>
    <d v="2025-11-02T00:00:00"/>
    <x v="2"/>
  </r>
  <r>
    <n v="75424"/>
    <s v="EDSON CARLOS"/>
    <s v="MME"/>
    <s v="1º TURNO"/>
    <n v="50030486"/>
    <x v="17"/>
    <n v="1"/>
    <s v="REALIZADO"/>
    <s v="BRUNA"/>
    <d v="2025-11-02T00:00:00"/>
    <x v="2"/>
  </r>
  <r>
    <n v="74611"/>
    <s v="CRISTIAM BORGES"/>
    <s v="MPR"/>
    <s v="ADM"/>
    <n v="50043471"/>
    <x v="5"/>
    <n v="1"/>
    <s v="REALIZADO"/>
    <s v="BRUNA"/>
    <d v="2025-11-02T00:00:00"/>
    <x v="0"/>
  </r>
  <r>
    <n v="68708"/>
    <s v="CLAUDIO TADEU LEITE"/>
    <s v="MMG"/>
    <s v="ADM"/>
    <n v="50043471"/>
    <x v="5"/>
    <n v="1"/>
    <s v="REALIZADO"/>
    <s v="BRUNA"/>
    <d v="2025-11-02T00:00:00"/>
    <x v="2"/>
  </r>
  <r>
    <n v="68708"/>
    <s v="CLAUDIO TADEU LEITE"/>
    <s v="MMG"/>
    <s v="ADM"/>
    <n v="50043471"/>
    <x v="5"/>
    <n v="1"/>
    <s v="REALIZADO"/>
    <s v="BRUNA"/>
    <d v="2025-11-02T00:00:00"/>
    <x v="0"/>
  </r>
  <r>
    <n v="64253"/>
    <s v="DANIEL JULIAO"/>
    <s v="MMG"/>
    <s v="ADM"/>
    <n v="50038549"/>
    <x v="6"/>
    <n v="1"/>
    <s v="REALIZADO"/>
    <s v="BRUNA"/>
    <d v="2025-11-02T00:00:00"/>
    <x v="2"/>
  </r>
  <r>
    <n v="64253"/>
    <s v="DANIEL JULIAO"/>
    <s v="MMG"/>
    <s v="ADM"/>
    <n v="50038549"/>
    <x v="6"/>
    <n v="1"/>
    <s v="REALIZADO"/>
    <s v="BRUNA"/>
    <d v="2025-11-02T00:00:00"/>
    <x v="2"/>
  </r>
  <r>
    <n v="70105"/>
    <s v="RONALDO DE SOUZA SANTOS"/>
    <s v="MMG"/>
    <s v="2º TURNO"/>
    <n v="50022878"/>
    <x v="18"/>
    <n v="1"/>
    <s v="REALIZADO"/>
    <s v="BRUNA"/>
    <d v="2025-11-02T00:00:00"/>
    <x v="0"/>
  </r>
  <r>
    <n v="64074"/>
    <s v="MARCOS FERNANDES COLOMBO"/>
    <s v="MPR"/>
    <s v="ADM"/>
    <n v="50038956"/>
    <x v="10"/>
    <n v="1"/>
    <s v="NÃO REALIZADO"/>
    <s v="BRUNA"/>
    <d v="2025-11-02T00:00:00"/>
    <x v="2"/>
  </r>
  <r>
    <n v="78675"/>
    <s v="ORLANDO GOMES"/>
    <s v="MME"/>
    <s v="1º TURNO"/>
    <n v="50038956"/>
    <x v="10"/>
    <n v="1"/>
    <s v="REALIZADO"/>
    <s v="BRUNA"/>
    <d v="2025-11-02T00:00:00"/>
    <x v="0"/>
  </r>
  <r>
    <n v="64253"/>
    <s v="DANIEL JULIAO"/>
    <s v="MMG"/>
    <s v="ADM"/>
    <n v="50037892"/>
    <x v="2"/>
    <n v="1"/>
    <s v="REALIZADO"/>
    <s v="BRUNA"/>
    <d v="2025-11-02T00:00:00"/>
    <x v="2"/>
  </r>
  <r>
    <n v="62471"/>
    <s v="ELTON LIMA"/>
    <s v="MME"/>
    <s v="ADM"/>
    <n v="50037892"/>
    <x v="2"/>
    <n v="1"/>
    <s v="REALIZADO"/>
    <s v="BRUNA"/>
    <d v="2025-11-02T00:00:00"/>
    <x v="0"/>
  </r>
  <r>
    <n v="63770"/>
    <s v="DANILO DA SILVA"/>
    <s v="MMG"/>
    <s v="ADM"/>
    <n v="50037902"/>
    <x v="14"/>
    <n v="1"/>
    <s v="REALIZADO"/>
    <s v="BRUNA"/>
    <d v="2025-11-02T00:00:00"/>
    <x v="2"/>
  </r>
  <r>
    <n v="63770"/>
    <s v="DANILO DA SILVA"/>
    <s v="MMG"/>
    <s v="ADM"/>
    <n v="50037902"/>
    <x v="14"/>
    <n v="1"/>
    <s v="REALIZADO"/>
    <s v="BRUNA"/>
    <d v="2025-11-02T00:00:00"/>
    <x v="2"/>
  </r>
  <r>
    <n v="64253"/>
    <s v="DANIEL JULIAO"/>
    <s v="MMG"/>
    <s v="ADM"/>
    <n v="50038841"/>
    <x v="34"/>
    <n v="1"/>
    <s v="REALIZADO"/>
    <s v="BRUNA"/>
    <d v="2025-11-02T00:00:00"/>
    <x v="2"/>
  </r>
  <r>
    <n v="72713"/>
    <s v="MARCOS AURELIO"/>
    <s v="MPR"/>
    <s v="ADM"/>
    <n v="50037903"/>
    <x v="91"/>
    <n v="1"/>
    <s v="REALIZADO"/>
    <s v="BRUNA"/>
    <d v="2025-11-02T00:00:00"/>
    <x v="0"/>
  </r>
  <r>
    <n v="64074"/>
    <s v="MARCOS FERNANDES COLOMBO"/>
    <s v="MPR"/>
    <s v="ADM"/>
    <n v="50026357"/>
    <x v="24"/>
    <n v="1"/>
    <s v="NÃO REALIZADO"/>
    <s v="BRUNA"/>
    <d v="2025-11-02T00:00:00"/>
    <x v="2"/>
  </r>
  <r>
    <n v="64074"/>
    <s v="MARCOS FERNANDES COLOMBO"/>
    <s v="MPR"/>
    <s v="ADM"/>
    <n v="50026357"/>
    <x v="24"/>
    <n v="1"/>
    <s v="REALIZADO"/>
    <s v="BRUNA"/>
    <d v="2025-11-02T00:00:00"/>
    <x v="0"/>
  </r>
  <r>
    <n v="72713"/>
    <s v="MARCOS AURELIO"/>
    <s v="MPR"/>
    <s v="ADM"/>
    <n v="50041124"/>
    <x v="77"/>
    <n v="1"/>
    <s v="NÃO REALIZADO"/>
    <s v="BRUNA"/>
    <d v="2025-11-02T00:00:00"/>
    <x v="2"/>
  </r>
  <r>
    <n v="72713"/>
    <s v="MARCOS AURELIO"/>
    <s v="MPR"/>
    <s v="ADM"/>
    <n v="50041124"/>
    <x v="77"/>
    <n v="1"/>
    <s v="NÃO REALIZADO"/>
    <s v="BRUNA"/>
    <d v="2025-11-02T00:00:00"/>
    <x v="2"/>
  </r>
  <r>
    <n v="66301"/>
    <s v="LUCAS LORENCINI"/>
    <s v="MEE"/>
    <s v="ADM"/>
    <n v="50043917"/>
    <x v="66"/>
    <n v="1"/>
    <s v="REALIZADO"/>
    <s v="BRUNA"/>
    <d v="2025-11-02T00:00:00"/>
    <x v="0"/>
  </r>
  <r>
    <n v="69778"/>
    <s v="JEAN FELIPE"/>
    <s v="MEE"/>
    <s v="1º TURNO"/>
    <n v="50043917"/>
    <x v="66"/>
    <n v="1"/>
    <s v="REALIZADO"/>
    <s v="BRUNA"/>
    <d v="2025-11-02T00:00:00"/>
    <x v="2"/>
  </r>
  <r>
    <n v="69778"/>
    <s v="JEAN FELIPE"/>
    <s v="MEE"/>
    <s v="1º TURNO"/>
    <n v="50043917"/>
    <x v="66"/>
    <n v="1"/>
    <s v="REALIZADO"/>
    <s v="BRUNA"/>
    <d v="2025-11-02T00:00:00"/>
    <x v="2"/>
  </r>
  <r>
    <n v="66301"/>
    <s v="LUCAS LORENCINI"/>
    <s v="MEE"/>
    <s v="ADM"/>
    <n v="50020622"/>
    <x v="42"/>
    <n v="1"/>
    <s v="REALIZADO"/>
    <s v="BRUNA"/>
    <d v="2025-11-02T00:00:00"/>
    <x v="2"/>
  </r>
  <r>
    <n v="70105"/>
    <s v="RONALDO DE SOUZA SANTOS"/>
    <s v="MMG"/>
    <s v="2º TURNO"/>
    <n v="50012902"/>
    <x v="30"/>
    <n v="1"/>
    <s v="REALIZADO"/>
    <s v="BRUNA"/>
    <d v="2025-11-02T00:00:00"/>
    <x v="0"/>
  </r>
  <r>
    <n v="74611"/>
    <s v="CRISTIAM BORGES"/>
    <s v="MPR"/>
    <s v="ADM"/>
    <n v="50038840"/>
    <x v="68"/>
    <n v="1"/>
    <s v="NÃO REALIZADO"/>
    <s v="BRUNA"/>
    <d v="2025-11-02T00:00:00"/>
    <x v="2"/>
  </r>
  <r>
    <n v="74611"/>
    <s v="CRISTIAM BORGES"/>
    <s v="MPR"/>
    <s v="ADM"/>
    <n v="50038840"/>
    <x v="68"/>
    <n v="1"/>
    <s v="REALIZADO"/>
    <s v="BRUNA"/>
    <d v="2025-11-02T00:00:00"/>
    <x v="0"/>
  </r>
  <r>
    <n v="74611"/>
    <s v="CRISTIAM BORGES"/>
    <s v="MPR"/>
    <s v="ADM"/>
    <n v="50038618"/>
    <x v="88"/>
    <n v="1"/>
    <s v="NÃO REALIZADO"/>
    <s v="BRUNA"/>
    <d v="2025-11-02T00:00:00"/>
    <x v="2"/>
  </r>
  <r>
    <n v="74611"/>
    <s v="CRISTIAM BORGES"/>
    <s v="MPR"/>
    <s v="ADM"/>
    <n v="50038618"/>
    <x v="88"/>
    <n v="1"/>
    <s v="REALIZADO"/>
    <s v="BRUNA"/>
    <d v="2025-11-02T00:00:00"/>
    <x v="2"/>
  </r>
  <r>
    <n v="60953"/>
    <s v="PABLO JUNIOR"/>
    <s v="MMG"/>
    <s v="1º TURNO"/>
    <n v="50037952"/>
    <x v="56"/>
    <n v="1"/>
    <s v="REALIZADO"/>
    <s v="BRUNA"/>
    <d v="2025-11-02T00:00:00"/>
    <x v="0"/>
  </r>
  <r>
    <n v="68701"/>
    <s v="DANIEL MANFREDI"/>
    <s v="MEE"/>
    <s v="1º TURNO"/>
    <n v="50037933"/>
    <x v="43"/>
    <n v="1"/>
    <s v="REALIZADO"/>
    <s v="BRUNA"/>
    <d v="2025-11-02T00:00:00"/>
    <x v="2"/>
  </r>
  <r>
    <n v="68701"/>
    <s v="DANIEL MANFREDI"/>
    <s v="MEE"/>
    <s v="1º TURNO"/>
    <n v="50037933"/>
    <x v="43"/>
    <n v="1"/>
    <s v="REALIZADO"/>
    <s v="BRUNA"/>
    <d v="2025-11-02T00:00:00"/>
    <x v="2"/>
  </r>
  <r>
    <n v="62640"/>
    <s v="MARCELINHO"/>
    <s v="MPR"/>
    <s v="ADM"/>
    <n v="50029865"/>
    <x v="9"/>
    <n v="1"/>
    <s v="REALIZADO"/>
    <s v="MARCIA"/>
    <d v="2025-11-01T00:00:00"/>
    <x v="2"/>
  </r>
  <r>
    <n v="62640"/>
    <s v="MARCELINHO"/>
    <s v="MPR"/>
    <s v="ADM"/>
    <n v="50037902"/>
    <x v="14"/>
    <m/>
    <s v="REALIZADO"/>
    <s v="MARCIA"/>
    <d v="2025-11-01T00:00:00"/>
    <x v="2"/>
  </r>
  <r>
    <n v="62640"/>
    <s v="MARCELINHO"/>
    <s v="MPR"/>
    <s v="ADM"/>
    <n v="50041195"/>
    <x v="21"/>
    <n v="1"/>
    <s v="REALIZADO"/>
    <s v="MARCIA"/>
    <d v="2025-11-01T00:00:00"/>
    <x v="0"/>
  </r>
  <r>
    <n v="74611"/>
    <s v="CRISTIAM BORGES"/>
    <s v="MPR"/>
    <s v="ADM"/>
    <n v="50010031"/>
    <x v="20"/>
    <n v="1"/>
    <s v="REALIZADO"/>
    <s v="AGATHA"/>
    <d v="2025-10-31T00:00:00"/>
    <x v="2"/>
  </r>
  <r>
    <n v="74611"/>
    <s v="CRISTIAM BORGES"/>
    <s v="MPR"/>
    <s v="ADM"/>
    <n v="50010031"/>
    <x v="20"/>
    <n v="1"/>
    <s v="REALIZADO"/>
    <s v="MATHEUS"/>
    <d v="2025-10-31T00:00:00"/>
    <x v="0"/>
  </r>
  <r>
    <n v="72715"/>
    <s v="DANIEL CAMAÇARI DE OLIVEIRA"/>
    <s v="MPR"/>
    <s v="ADM"/>
    <n v="50038854"/>
    <x v="27"/>
    <n v="1"/>
    <s v="REALIZADO"/>
    <s v="AGATHA"/>
    <d v="2025-10-31T00:00:00"/>
    <x v="2"/>
  </r>
  <r>
    <n v="72715"/>
    <s v="DANIEL CAMAÇARI DE OLIVEIRA"/>
    <s v="MPR"/>
    <s v="ADM"/>
    <n v="50038854"/>
    <x v="27"/>
    <n v="1"/>
    <s v="REALIZADO"/>
    <s v="AGATHA"/>
    <d v="2025-10-31T00:00:00"/>
    <x v="2"/>
  </r>
  <r>
    <n v="66830"/>
    <s v="MARCIO GOMES DA SILVA"/>
    <s v="MPR"/>
    <s v="ADM"/>
    <n v="50036086"/>
    <x v="3"/>
    <n v="1"/>
    <s v="REALIZADO"/>
    <s v="MATHEUS"/>
    <d v="2025-10-31T00:00:00"/>
    <x v="2"/>
  </r>
  <r>
    <n v="73336"/>
    <s v="RODRIGO RODRIGUES"/>
    <s v="MMG"/>
    <s v="ADM"/>
    <n v="50038842"/>
    <x v="28"/>
    <n v="1"/>
    <s v="REALIZADO"/>
    <s v="AGATHA"/>
    <d v="2025-10-31T00:00:00"/>
    <x v="0"/>
  </r>
  <r>
    <n v="66790"/>
    <s v="EVERTON BOLOGNES"/>
    <s v="MMG"/>
    <s v="2º TURNO"/>
    <n v="50037905"/>
    <x v="49"/>
    <n v="1"/>
    <s v="REALIZADO"/>
    <s v="AGATHA"/>
    <d v="2025-10-31T00:00:00"/>
    <x v="2"/>
  </r>
  <r>
    <n v="66790"/>
    <s v="EVERTON BOLOGNES"/>
    <s v="MMG"/>
    <s v="2º TURNO"/>
    <n v="50037905"/>
    <x v="49"/>
    <n v="1"/>
    <s v="REALIZADO"/>
    <s v="AGATHA"/>
    <d v="2025-10-31T00:00:00"/>
    <x v="0"/>
  </r>
  <r>
    <n v="63770"/>
    <s v="DANILO DA SILVA"/>
    <s v="MMG"/>
    <s v="ADM"/>
    <n v="50037905"/>
    <x v="49"/>
    <n v="1"/>
    <s v="REALIZADO"/>
    <s v="AGATHA"/>
    <d v="2025-10-31T00:00:00"/>
    <x v="2"/>
  </r>
  <r>
    <n v="63770"/>
    <s v="DANILO DA SILVA"/>
    <s v="MMG"/>
    <s v="ADM"/>
    <n v="50037905"/>
    <x v="49"/>
    <n v="1"/>
    <s v="REALIZADO"/>
    <s v="BRUNA"/>
    <d v="2025-10-31T00:00:00"/>
    <x v="0"/>
  </r>
  <r>
    <n v="65472"/>
    <s v="ISRAEL MACEDO"/>
    <s v="MMG"/>
    <s v="ADM"/>
    <n v="50037905"/>
    <x v="49"/>
    <n v="1"/>
    <s v="REALIZADO"/>
    <s v="MATHEUS"/>
    <d v="2025-10-31T00:00:00"/>
    <x v="0"/>
  </r>
  <r>
    <n v="75424"/>
    <s v="EDSON CARLOS"/>
    <s v="MME"/>
    <s v="1º TURNO"/>
    <n v="50030486"/>
    <x v="17"/>
    <n v="1"/>
    <s v="REALIZADO"/>
    <s v="AGATHA"/>
    <d v="2025-10-31T00:00:00"/>
    <x v="2"/>
  </r>
  <r>
    <n v="75424"/>
    <s v="EDSON CARLOS"/>
    <s v="MME"/>
    <s v="1º TURNO"/>
    <n v="50030486"/>
    <x v="17"/>
    <n v="1"/>
    <s v="REALIZADO"/>
    <s v="MATHEUS"/>
    <d v="2025-10-31T00:00:00"/>
    <x v="0"/>
  </r>
  <r>
    <n v="77594"/>
    <s v="VINICIUS ROBLES"/>
    <s v="MME"/>
    <s v="ADM"/>
    <n v="50030486"/>
    <x v="17"/>
    <n v="1"/>
    <s v="REALIZADO"/>
    <s v="MATHEUS"/>
    <d v="2025-10-31T00:00:00"/>
    <x v="0"/>
  </r>
  <r>
    <n v="77594"/>
    <s v="VINICIUS ROBLES"/>
    <s v="MME"/>
    <s v="ADM"/>
    <n v="50039236"/>
    <x v="84"/>
    <n v="1"/>
    <s v="REALIZADO"/>
    <s v="MATHEUS"/>
    <d v="2025-10-31T00:00:00"/>
    <x v="0"/>
  </r>
  <r>
    <n v="77471"/>
    <s v="DANILO BARBOSA"/>
    <s v="MEE"/>
    <s v="ADM"/>
    <n v="50043471"/>
    <x v="5"/>
    <n v="1"/>
    <s v="REALIZADO"/>
    <s v="AGATHA"/>
    <d v="2025-10-31T00:00:00"/>
    <x v="2"/>
  </r>
  <r>
    <n v="77471"/>
    <s v="DANILO BARBOSA"/>
    <s v="MEE"/>
    <s v="ADM"/>
    <n v="50043471"/>
    <x v="5"/>
    <n v="1"/>
    <s v="REALIZADO"/>
    <s v="BRUNA"/>
    <d v="2025-10-31T00:00:00"/>
    <x v="0"/>
  </r>
  <r>
    <n v="74611"/>
    <s v="CRISTIAM BORGES"/>
    <s v="MPR"/>
    <s v="ADM"/>
    <n v="50043471"/>
    <x v="5"/>
    <n v="1"/>
    <s v="REALIZADO"/>
    <s v="MATHEUS"/>
    <d v="2025-10-31T00:00:00"/>
    <x v="0"/>
  </r>
  <r>
    <n v="77521"/>
    <s v="LUCAS LIRA"/>
    <s v="MME"/>
    <s v="ADM"/>
    <n v="50003297"/>
    <x v="8"/>
    <n v="1"/>
    <s v="REALIZADO"/>
    <s v="BRUNA"/>
    <d v="2025-10-31T00:00:00"/>
    <x v="2"/>
  </r>
  <r>
    <n v="77521"/>
    <s v="LUCAS LIRA"/>
    <s v="MME"/>
    <s v="ADM"/>
    <n v="50003297"/>
    <x v="8"/>
    <n v="1"/>
    <s v="REALIZADO"/>
    <s v="MATHEUS"/>
    <d v="2025-10-31T00:00:00"/>
    <x v="0"/>
  </r>
  <r>
    <n v="71850"/>
    <s v="CLEBER BRABO"/>
    <s v="MMG"/>
    <s v="ADM"/>
    <n v="50038549"/>
    <x v="6"/>
    <n v="1"/>
    <s v="REALIZADO"/>
    <s v="AGATHA"/>
    <d v="2025-10-31T00:00:00"/>
    <x v="2"/>
  </r>
  <r>
    <n v="71850"/>
    <s v="CLEBER BRABO"/>
    <s v="MMG"/>
    <s v="ADM"/>
    <n v="50038549"/>
    <x v="6"/>
    <n v="1"/>
    <s v="REALIZADO"/>
    <s v="GEOVANE"/>
    <d v="2025-10-31T00:00:00"/>
    <x v="0"/>
  </r>
  <r>
    <n v="66830"/>
    <s v="MARCIO GOMES DA SILVA"/>
    <s v="MPR"/>
    <s v="ADM"/>
    <n v="50038956"/>
    <x v="10"/>
    <n v="1"/>
    <s v="REALIZADO"/>
    <s v="MATHEUS"/>
    <d v="2025-10-31T00:00:00"/>
    <x v="2"/>
  </r>
  <r>
    <n v="63713"/>
    <s v="BRUNO DIAS"/>
    <s v="MME"/>
    <s v="ADM"/>
    <n v="50037902"/>
    <x v="14"/>
    <n v="1"/>
    <s v="REALIZADO"/>
    <s v="AGATHA"/>
    <d v="2025-10-31T00:00:00"/>
    <x v="0"/>
  </r>
  <r>
    <n v="77521"/>
    <s v="LUCAS LIRA"/>
    <s v="MME"/>
    <s v="ADM"/>
    <n v="50037902"/>
    <x v="14"/>
    <n v="1"/>
    <s v="REALIZADO"/>
    <s v="BRUNA"/>
    <d v="2025-10-31T00:00:00"/>
    <x v="2"/>
  </r>
  <r>
    <n v="77521"/>
    <s v="LUCAS LIRA"/>
    <s v="MME"/>
    <s v="ADM"/>
    <n v="50037902"/>
    <x v="14"/>
    <n v="1"/>
    <s v="REALIZADO"/>
    <s v="MATHEUS"/>
    <d v="2025-10-31T00:00:00"/>
    <x v="0"/>
  </r>
  <r>
    <n v="76633"/>
    <s v="VINICIUS GUILHERME BARBOSA"/>
    <s v="MMG"/>
    <s v="1º TURNO"/>
    <n v="50037902"/>
    <x v="14"/>
    <n v="1"/>
    <s v="REALIZADO"/>
    <s v="BRUNA"/>
    <d v="2025-10-31T00:00:00"/>
    <x v="2"/>
  </r>
  <r>
    <n v="76633"/>
    <s v="VINICIUS GUILHERME BARBOSA"/>
    <s v="MMG"/>
    <s v="1º TURNO"/>
    <n v="50037902"/>
    <x v="14"/>
    <n v="1"/>
    <s v="REALIZADO"/>
    <s v="BRUNA"/>
    <d v="2025-10-31T00:00:00"/>
    <x v="2"/>
  </r>
  <r>
    <n v="77471"/>
    <s v="DANILO BARBOSA"/>
    <s v="MEE"/>
    <s v="ADM"/>
    <n v="50038841"/>
    <x v="34"/>
    <n v="1"/>
    <s v="REALIZADO"/>
    <s v="AGATHA"/>
    <d v="2025-10-31T00:00:00"/>
    <x v="0"/>
  </r>
  <r>
    <n v="67863"/>
    <s v="MARCELO PAIM"/>
    <s v="MME"/>
    <s v="1º TURNO"/>
    <n v="50038841"/>
    <x v="34"/>
    <n v="1"/>
    <s v="REALIZADO"/>
    <s v="AGATHA"/>
    <d v="2025-10-31T00:00:00"/>
    <x v="2"/>
  </r>
  <r>
    <n v="67863"/>
    <s v="MARCELO PAIM"/>
    <s v="MME"/>
    <s v="1º TURNO"/>
    <n v="50038841"/>
    <x v="34"/>
    <n v="1"/>
    <s v="REALIZADO"/>
    <s v="BRUNA"/>
    <d v="2025-10-31T00:00:00"/>
    <x v="0"/>
  </r>
  <r>
    <n v="49751"/>
    <s v="LUIS LEITE"/>
    <s v="MEE"/>
    <s v="3º TURNO"/>
    <n v="50038517"/>
    <x v="0"/>
    <n v="1"/>
    <s v="REALIZADO"/>
    <s v="AGATHA"/>
    <d v="2025-10-31T00:00:00"/>
    <x v="0"/>
  </r>
  <r>
    <n v="64074"/>
    <s v="MARCOS FERNANDES COLOMBO"/>
    <s v="MPR"/>
    <s v="ADM"/>
    <n v="50038517"/>
    <x v="0"/>
    <n v="1"/>
    <s v="REALIZADO"/>
    <s v="AGATHA"/>
    <d v="2025-10-31T00:00:00"/>
    <x v="2"/>
  </r>
  <r>
    <n v="64074"/>
    <s v="MARCOS FERNANDES COLOMBO"/>
    <s v="MPR"/>
    <s v="ADM"/>
    <n v="50038517"/>
    <x v="0"/>
    <n v="1"/>
    <s v="REALIZADO"/>
    <s v="BRUNA"/>
    <d v="2025-10-31T00:00:00"/>
    <x v="0"/>
  </r>
  <r>
    <n v="49751"/>
    <s v="LUIS LEITE"/>
    <s v="MEE"/>
    <s v="3º TURNO"/>
    <n v="50038517"/>
    <x v="0"/>
    <n v="1"/>
    <s v="REALIZADO"/>
    <s v="MATHEUS"/>
    <d v="2025-10-31T00:00:00"/>
    <x v="2"/>
  </r>
  <r>
    <n v="76633"/>
    <s v="VINICIUS GUILHERME BARBOSA"/>
    <s v="MMG"/>
    <s v="1º TURNO"/>
    <n v="50039065"/>
    <x v="22"/>
    <n v="1"/>
    <s v="REALIZADO"/>
    <s v="MATHEUS"/>
    <d v="2025-10-31T00:00:00"/>
    <x v="0"/>
  </r>
  <r>
    <n v="76633"/>
    <s v="VINICIUS GUILHERME BARBOSA"/>
    <s v="MMG"/>
    <s v="1º TURNO"/>
    <n v="50039065"/>
    <x v="22"/>
    <n v="1"/>
    <s v="REALIZADO"/>
    <s v="BRUNA"/>
    <d v="2025-10-31T00:00:00"/>
    <x v="2"/>
  </r>
  <r>
    <n v="76633"/>
    <s v="VINICIUS GUILHERME BARBOSA"/>
    <s v="MMG"/>
    <s v="1º TURNO"/>
    <n v="50039065"/>
    <x v="22"/>
    <n v="1"/>
    <s v="REALIZADO"/>
    <s v="BRUNA"/>
    <d v="2025-10-31T00:00:00"/>
    <x v="0"/>
  </r>
  <r>
    <n v="66830"/>
    <s v="MARCIO GOMES DA SILVA"/>
    <s v="MPR"/>
    <s v="ADM"/>
    <n v="50026357"/>
    <x v="24"/>
    <n v="1"/>
    <s v="REALIZADO"/>
    <s v="MATHEUS"/>
    <d v="2025-10-31T00:00:00"/>
    <x v="0"/>
  </r>
  <r>
    <n v="63399"/>
    <s v="JOAO CARLOS MARIA"/>
    <s v="MPR"/>
    <s v="ADM"/>
    <n v="50041195"/>
    <x v="21"/>
    <n v="1"/>
    <s v="REALIZADO"/>
    <s v="AGATHA"/>
    <d v="2025-10-31T00:00:00"/>
    <x v="0"/>
  </r>
  <r>
    <n v="74611"/>
    <s v="CRISTIAM BORGES"/>
    <s v="MPR"/>
    <s v="ADM"/>
    <n v="50043917"/>
    <x v="66"/>
    <n v="1"/>
    <s v="REALIZADO"/>
    <s v="AGATHA"/>
    <d v="2025-10-31T00:00:00"/>
    <x v="2"/>
  </r>
  <r>
    <n v="74611"/>
    <s v="CRISTIAM BORGES"/>
    <s v="MPR"/>
    <s v="ADM"/>
    <n v="50043917"/>
    <x v="66"/>
    <n v="1"/>
    <s v="REALIZADO"/>
    <s v="BRUNA"/>
    <d v="2025-10-31T00:00:00"/>
    <x v="0"/>
  </r>
  <r>
    <n v="76633"/>
    <s v="VINICIUS GUILHERME BARBOSA"/>
    <s v="MMG"/>
    <s v="1º TURNO"/>
    <n v="50012902"/>
    <x v="30"/>
    <n v="1"/>
    <s v="REALIZADO"/>
    <s v="BRUNA"/>
    <d v="2025-10-31T00:00:00"/>
    <x v="2"/>
  </r>
  <r>
    <n v="76633"/>
    <s v="VINICIUS GUILHERME BARBOSA"/>
    <s v="MMG"/>
    <s v="1º TURNO"/>
    <n v="50012902"/>
    <x v="30"/>
    <n v="1"/>
    <s v="REALIZADO"/>
    <s v="BRUNA"/>
    <d v="2025-10-31T00:00:00"/>
    <x v="2"/>
  </r>
  <r>
    <n v="66790"/>
    <s v="EVERTON BOLOGNES"/>
    <s v="MMG"/>
    <s v="2º TURNO"/>
    <n v="50032775"/>
    <x v="13"/>
    <n v="1"/>
    <s v="REALIZADO"/>
    <s v="AGATHA"/>
    <d v="2025-10-31T00:00:00"/>
    <x v="2"/>
  </r>
  <r>
    <n v="74611"/>
    <s v="CRISTIAM BORGES"/>
    <s v="MPR"/>
    <s v="ADM"/>
    <n v="50038840"/>
    <x v="68"/>
    <n v="1"/>
    <s v="REALIZADO"/>
    <s v="MATHEUS"/>
    <d v="2025-10-31T00:00:00"/>
    <x v="2"/>
  </r>
  <r>
    <n v="66790"/>
    <s v="EVERTON BOLOGNES"/>
    <s v="MMG"/>
    <s v="2º TURNO"/>
    <n v="50037933"/>
    <x v="43"/>
    <n v="1"/>
    <s v="REALIZADO"/>
    <s v="AGATHA"/>
    <d v="2025-10-31T00:00:00"/>
    <x v="0"/>
  </r>
  <r>
    <n v="75361"/>
    <s v="WILSON CARVALHO GARCIA JUNIOR"/>
    <s v="MEE"/>
    <s v="ADM"/>
    <n v="50040691"/>
    <x v="92"/>
    <n v="1"/>
    <s v="REALIZADO"/>
    <s v="MATHEUS"/>
    <d v="2025-10-31T00:00:00"/>
    <x v="0"/>
  </r>
  <r>
    <n v="77594"/>
    <s v="VINICIUS ROBLES"/>
    <s v="MME"/>
    <s v="ADM"/>
    <n v="50010031"/>
    <x v="20"/>
    <n v="1"/>
    <s v="REALIZADO"/>
    <s v="GEOVANE"/>
    <d v="2025-10-30T00:00:00"/>
    <x v="2"/>
  </r>
  <r>
    <n v="77594"/>
    <s v="VINICIUS ROBLES"/>
    <s v="MME"/>
    <s v="ADM"/>
    <n v="50010031"/>
    <x v="20"/>
    <n v="1"/>
    <s v="REALIZADO"/>
    <s v="GEOVANE"/>
    <d v="2025-10-30T00:00:00"/>
    <x v="0"/>
  </r>
  <r>
    <n v="79177"/>
    <s v="MAICON ANTONIO SANTOS"/>
    <s v="MMG"/>
    <s v="ADM"/>
    <n v="50039718"/>
    <x v="11"/>
    <n v="1"/>
    <s v="REALIZADO"/>
    <s v="GEOVANE"/>
    <d v="2025-10-30T00:00:00"/>
    <x v="2"/>
  </r>
  <r>
    <n v="79177"/>
    <s v="MAICON ANTONIO SANTOS"/>
    <s v="MMG"/>
    <s v="ADM"/>
    <n v="50039718"/>
    <x v="11"/>
    <n v="1"/>
    <s v="REALIZADO"/>
    <s v="GEOVANE"/>
    <d v="2025-10-30T00:00:00"/>
    <x v="0"/>
  </r>
  <r>
    <n v="65472"/>
    <s v="ISRAEL MACEDO"/>
    <s v="MMG"/>
    <s v="ADM"/>
    <n v="50037905"/>
    <x v="49"/>
    <n v="1"/>
    <s v="REALIZADO"/>
    <s v="GEOVANE"/>
    <d v="2025-10-30T00:00:00"/>
    <x v="2"/>
  </r>
  <r>
    <n v="65472"/>
    <s v="ISRAEL MACEDO"/>
    <s v="MMG"/>
    <s v="ADM"/>
    <n v="50037905"/>
    <x v="49"/>
    <n v="1"/>
    <s v="REALIZADO"/>
    <s v="GEOVANE"/>
    <d v="2025-10-30T00:00:00"/>
    <x v="2"/>
  </r>
  <r>
    <n v="77594"/>
    <s v="VINICIUS ROBLES"/>
    <s v="MME"/>
    <s v="ADM"/>
    <n v="50030486"/>
    <x v="17"/>
    <n v="1"/>
    <s v="REALIZADO"/>
    <s v="GEOVANE"/>
    <d v="2025-10-30T00:00:00"/>
    <x v="0"/>
  </r>
  <r>
    <n v="77594"/>
    <s v="VINICIUS ROBLES"/>
    <s v="MME"/>
    <s v="ADM"/>
    <n v="50039236"/>
    <x v="84"/>
    <n v="1"/>
    <s v="REALIZADO"/>
    <s v="GEOVANE"/>
    <d v="2025-10-30T00:00:00"/>
    <x v="2"/>
  </r>
  <r>
    <n v="77594"/>
    <s v="VINICIUS ROBLES"/>
    <s v="MME"/>
    <s v="ADM"/>
    <n v="50039236"/>
    <x v="84"/>
    <n v="1"/>
    <s v="REALIZADO"/>
    <s v="GEOVANE"/>
    <d v="2025-10-30T00:00:00"/>
    <x v="0"/>
  </r>
  <r>
    <n v="72715"/>
    <s v="DANIEL CAMAÇARI DE OLIVEIRA"/>
    <s v="MPR"/>
    <s v="ADM"/>
    <n v="50039236"/>
    <x v="84"/>
    <n v="1"/>
    <s v="REALIZADO"/>
    <s v="MATHEUS"/>
    <d v="2025-10-30T00:00:00"/>
    <x v="2"/>
  </r>
  <r>
    <n v="72715"/>
    <s v="DANIEL CAMAÇARI DE OLIVEIRA"/>
    <s v="MPR"/>
    <s v="ADM"/>
    <n v="50039236"/>
    <x v="84"/>
    <n v="1"/>
    <s v="REALIZADO"/>
    <s v="BRUNA"/>
    <d v="2025-10-30T00:00:00"/>
    <x v="2"/>
  </r>
  <r>
    <n v="74611"/>
    <s v="CRISTIAM BORGES"/>
    <s v="MPR"/>
    <s v="ADM"/>
    <n v="50043471"/>
    <x v="5"/>
    <n v="1"/>
    <s v="REALIZADO"/>
    <s v="GEOVANE"/>
    <d v="2025-10-30T00:00:00"/>
    <x v="2"/>
  </r>
  <r>
    <n v="72713"/>
    <s v="MARCOS AURELIO"/>
    <s v="MPR"/>
    <s v="ADM"/>
    <n v="50043471"/>
    <x v="5"/>
    <n v="1"/>
    <s v="REALIZADO"/>
    <s v="BRUNA"/>
    <d v="2025-10-30T00:00:00"/>
    <x v="0"/>
  </r>
  <r>
    <n v="72713"/>
    <s v="MARCOS AURELIO"/>
    <s v="MPR"/>
    <s v="ADM"/>
    <n v="50043471"/>
    <x v="5"/>
    <n v="1"/>
    <s v="REALIZADO"/>
    <s v="MATHEUS"/>
    <d v="2025-10-30T00:00:00"/>
    <x v="2"/>
  </r>
  <r>
    <n v="72713"/>
    <s v="MARCOS AURELIO"/>
    <s v="MPR"/>
    <s v="ADM"/>
    <n v="50043471"/>
    <x v="5"/>
    <n v="1"/>
    <s v="NÃO REALIZADO"/>
    <s v="MATHEUS"/>
    <d v="2025-10-30T00:00:00"/>
    <x v="2"/>
  </r>
  <r>
    <n v="78886"/>
    <s v="DOUGLAS FELICIANO MENDES DE OLIVEIRA"/>
    <s v="MME"/>
    <s v="ADM"/>
    <n v="50003297"/>
    <x v="8"/>
    <n v="1"/>
    <s v="REALIZADO"/>
    <s v="MATHEUS"/>
    <d v="2025-10-30T00:00:00"/>
    <x v="2"/>
  </r>
  <r>
    <n v="70052"/>
    <s v="MARCOS SANTOS"/>
    <s v="MEE"/>
    <s v="ADM"/>
    <n v="50044839"/>
    <x v="79"/>
    <n v="1"/>
    <s v="REALIZADO"/>
    <s v="GEOVANE"/>
    <d v="2025-10-30T00:00:00"/>
    <x v="2"/>
  </r>
  <r>
    <n v="77594"/>
    <s v="VINICIUS ROBLES"/>
    <s v="MME"/>
    <s v="ADM"/>
    <n v="50022878"/>
    <x v="18"/>
    <n v="1"/>
    <s v="REALIZADO"/>
    <s v="MATHEUS"/>
    <d v="2025-10-30T00:00:00"/>
    <x v="2"/>
  </r>
  <r>
    <n v="77594"/>
    <s v="VINICIUS ROBLES"/>
    <s v="MME"/>
    <s v="ADM"/>
    <n v="50022878"/>
    <x v="18"/>
    <n v="1"/>
    <s v="REALIZADO"/>
    <s v="BRUNA"/>
    <d v="2025-10-30T00:00:00"/>
    <x v="0"/>
  </r>
  <r>
    <n v="66830"/>
    <s v="MARCIO GOMES DA SILVA"/>
    <s v="MPR"/>
    <s v="ADM"/>
    <n v="50038956"/>
    <x v="10"/>
    <n v="1"/>
    <s v="REALIZADO"/>
    <s v="GEOVANE"/>
    <d v="2025-10-30T00:00:00"/>
    <x v="2"/>
  </r>
  <r>
    <n v="66830"/>
    <s v="MARCIO GOMES DA SILVA"/>
    <s v="MPR"/>
    <s v="ADM"/>
    <n v="50038956"/>
    <x v="10"/>
    <n v="1"/>
    <s v="REALIZADO"/>
    <s v="GEOVANE"/>
    <d v="2025-10-30T00:00:00"/>
    <x v="2"/>
  </r>
  <r>
    <n v="63713"/>
    <s v="BRUNO DIAS"/>
    <s v="MME"/>
    <s v="ADM"/>
    <n v="50037902"/>
    <x v="14"/>
    <n v="1"/>
    <s v="REALIZADO"/>
    <s v="MATHEUS"/>
    <d v="2025-10-30T00:00:00"/>
    <x v="2"/>
  </r>
  <r>
    <n v="74611"/>
    <s v="CRISTIAM BORGES"/>
    <s v="MPR"/>
    <s v="ADM"/>
    <n v="50038841"/>
    <x v="34"/>
    <n v="1"/>
    <s v="REALIZADO"/>
    <s v="MATHEUS"/>
    <d v="2025-10-30T00:00:00"/>
    <x v="0"/>
  </r>
  <r>
    <n v="76633"/>
    <s v="VINICIUS GUILHERME BARBOSA"/>
    <s v="MMG"/>
    <s v="1º TURNO"/>
    <n v="50038841"/>
    <x v="34"/>
    <n v="1"/>
    <s v="REALIZADO"/>
    <s v="BRUNA"/>
    <d v="2025-10-30T00:00:00"/>
    <x v="2"/>
  </r>
  <r>
    <n v="76633"/>
    <s v="VINICIUS GUILHERME BARBOSA"/>
    <s v="MMG"/>
    <s v="1º TURNO"/>
    <n v="50038841"/>
    <x v="34"/>
    <n v="1"/>
    <s v="REALIZADO"/>
    <s v="BRUNA"/>
    <d v="2025-10-30T00:00:00"/>
    <x v="2"/>
  </r>
  <r>
    <n v="49751"/>
    <s v="LUIS LEITE"/>
    <s v="MEE"/>
    <s v="3º TURNO"/>
    <n v="50038517"/>
    <x v="0"/>
    <n v="1"/>
    <s v="REALIZADO"/>
    <s v="GEOVANE"/>
    <d v="2025-10-30T00:00:00"/>
    <x v="0"/>
  </r>
  <r>
    <n v="72715"/>
    <s v="DANIEL CAMAÇARI DE OLIVEIRA"/>
    <s v="MPR"/>
    <s v="ADM"/>
    <n v="50038517"/>
    <x v="0"/>
    <n v="1"/>
    <s v="REALIZADO"/>
    <s v="MATHEUS"/>
    <d v="2025-10-30T00:00:00"/>
    <x v="2"/>
  </r>
  <r>
    <n v="72715"/>
    <s v="DANIEL CAMAÇARI DE OLIVEIRA"/>
    <s v="MPR"/>
    <s v="ADM"/>
    <n v="50038517"/>
    <x v="0"/>
    <n v="1"/>
    <s v="REALIZADO"/>
    <s v="BRUNA"/>
    <d v="2025-10-30T00:00:00"/>
    <x v="2"/>
  </r>
  <r>
    <n v="63713"/>
    <s v="BRUNO DIAS"/>
    <s v="MME"/>
    <s v="ADM"/>
    <n v="50039065"/>
    <x v="22"/>
    <n v="1"/>
    <s v="REALIZADO"/>
    <s v="MATHEUS"/>
    <d v="2025-10-30T00:00:00"/>
    <x v="0"/>
  </r>
  <r>
    <n v="66830"/>
    <s v="MARCIO GOMES DA SILVA"/>
    <s v="MPR"/>
    <s v="ADM"/>
    <n v="50026357"/>
    <x v="24"/>
    <n v="1"/>
    <s v="REALIZADO"/>
    <s v="GEOVANE"/>
    <d v="2025-10-30T00:00:00"/>
    <x v="2"/>
  </r>
  <r>
    <n v="66830"/>
    <s v="MARCIO GOMES DA SILVA"/>
    <s v="MPR"/>
    <s v="ADM"/>
    <n v="50026357"/>
    <x v="24"/>
    <n v="1"/>
    <s v="REALIZADO"/>
    <s v="GEOVANE"/>
    <d v="2025-10-30T00:00:00"/>
    <x v="2"/>
  </r>
  <r>
    <n v="72707"/>
    <s v="LEONARDO DOS SANTOS"/>
    <s v="MPR"/>
    <s v="ADM"/>
    <n v="50041195"/>
    <x v="21"/>
    <n v="1"/>
    <s v="REALIZADO"/>
    <s v="MATHEUS"/>
    <d v="2025-10-30T00:00:00"/>
    <x v="2"/>
  </r>
  <r>
    <n v="77471"/>
    <s v="DANILO BARBOSA"/>
    <s v="MEE"/>
    <s v="ADM"/>
    <n v="50043917"/>
    <x v="66"/>
    <n v="1"/>
    <s v="REALIZADO"/>
    <s v="BRUNA"/>
    <d v="2025-10-30T00:00:00"/>
    <x v="0"/>
  </r>
  <r>
    <n v="77313"/>
    <s v="ROGERIO"/>
    <s v="MPR"/>
    <s v="ADM"/>
    <n v="50020622"/>
    <x v="42"/>
    <n v="1"/>
    <s v="REALIZADO"/>
    <s v="BRUNA"/>
    <d v="2025-10-30T00:00:00"/>
    <x v="2"/>
  </r>
  <r>
    <n v="77313"/>
    <s v="ROGERIO"/>
    <s v="MPR"/>
    <s v="ADM"/>
    <n v="50020622"/>
    <x v="42"/>
    <n v="1"/>
    <s v="REALIZADO"/>
    <s v="BRUNA"/>
    <d v="2025-10-30T00:00:00"/>
    <x v="0"/>
  </r>
  <r>
    <n v="61264"/>
    <s v="EVERTON GERONIMO"/>
    <s v="MMG"/>
    <s v="ADM"/>
    <n v="50043150"/>
    <x v="4"/>
    <n v="1"/>
    <s v="REALIZADO"/>
    <s v="GEOVANE"/>
    <d v="2025-10-30T00:00:00"/>
    <x v="2"/>
  </r>
  <r>
    <n v="61264"/>
    <s v="EVERTON GERONIMO"/>
    <s v="MMG"/>
    <s v="ADM"/>
    <n v="50043150"/>
    <x v="4"/>
    <n v="1"/>
    <s v="REALIZADO"/>
    <s v="GEOVANE"/>
    <d v="2025-10-30T00:00:00"/>
    <x v="2"/>
  </r>
  <r>
    <n v="75361"/>
    <s v="WILSON CARVALHO GARCIA JUNIOR"/>
    <s v="MEE"/>
    <s v="ADM"/>
    <n v="50040691"/>
    <x v="92"/>
    <n v="1"/>
    <s v="REALIZADO"/>
    <s v="BRUNA"/>
    <d v="2025-10-30T00:00:00"/>
    <x v="0"/>
  </r>
  <r>
    <n v="70105"/>
    <s v="RONALDO DE SOUZA SANTOS"/>
    <s v="MMG"/>
    <s v="2º TURNO"/>
    <n v="50043151"/>
    <x v="86"/>
    <n v="1"/>
    <s v="REALIZADO"/>
    <s v="BRUNA"/>
    <d v="2025-10-30T00:00:00"/>
    <x v="2"/>
  </r>
  <r>
    <n v="70105"/>
    <s v="RONALDO DE SOUZA SANTOS"/>
    <s v="MMG"/>
    <s v="2º TURNO"/>
    <n v="50043151"/>
    <x v="86"/>
    <n v="1"/>
    <s v="REALIZADO"/>
    <s v="MATHEUS"/>
    <d v="2025-10-30T00:00:00"/>
    <x v="0"/>
  </r>
  <r>
    <n v="61096"/>
    <s v="REGIVALDO MEDEIROS"/>
    <s v="MME"/>
    <s v="ADM"/>
    <n v="50010031"/>
    <x v="20"/>
    <n v="1"/>
    <s v="REALIZADO"/>
    <s v="AGATHA"/>
    <d v="2025-10-29T00:00:00"/>
    <x v="2"/>
  </r>
  <r>
    <n v="61096"/>
    <s v="REGIVALDO MEDEIROS"/>
    <s v="MME"/>
    <s v="ADM"/>
    <n v="50010031"/>
    <x v="20"/>
    <n v="1"/>
    <s v="REALIZADO"/>
    <s v="MATHEUS"/>
    <d v="2025-10-29T00:00:00"/>
    <x v="2"/>
  </r>
  <r>
    <n v="72713"/>
    <s v="MARCOS AURELIO"/>
    <s v="MPR"/>
    <s v="ADM"/>
    <n v="50038854"/>
    <x v="27"/>
    <n v="1"/>
    <s v="REALIZADO"/>
    <s v="AGATHA"/>
    <d v="2025-10-29T00:00:00"/>
    <x v="0"/>
  </r>
  <r>
    <n v="78675"/>
    <s v="ORLANDO GOMES"/>
    <s v="MME"/>
    <s v="1º TURNO"/>
    <n v="50041939"/>
    <x v="89"/>
    <n v="1"/>
    <s v="REALIZADO"/>
    <s v="MATHEUS"/>
    <d v="2025-10-29T00:00:00"/>
    <x v="2"/>
  </r>
  <r>
    <n v="78675"/>
    <s v="ORLANDO GOMES"/>
    <s v="MME"/>
    <s v="1º TURNO"/>
    <n v="50041939"/>
    <x v="89"/>
    <n v="1"/>
    <s v="REALIZADO"/>
    <s v="MATHEUS"/>
    <d v="2025-10-29T00:00:00"/>
    <x v="2"/>
  </r>
  <r>
    <n v="65472"/>
    <s v="ISRAEL MACEDO"/>
    <s v="MMG"/>
    <s v="ADM"/>
    <n v="50037905"/>
    <x v="49"/>
    <n v="1"/>
    <s v="REALIZADO"/>
    <s v="AGATHA"/>
    <d v="2025-10-29T00:00:00"/>
    <x v="0"/>
  </r>
  <r>
    <n v="60763"/>
    <s v="LEANDRO VASCONCELOS"/>
    <s v="MMG"/>
    <s v="1º TURNO"/>
    <n v="50037905"/>
    <x v="49"/>
    <n v="1"/>
    <s v="REALIZADO"/>
    <s v="BRUNA"/>
    <d v="2025-10-29T00:00:00"/>
    <x v="2"/>
  </r>
  <r>
    <n v="60763"/>
    <s v="LEANDRO VASCONCELOS"/>
    <s v="MMG"/>
    <s v="1º TURNO"/>
    <n v="50037905"/>
    <x v="49"/>
    <n v="1"/>
    <s v="REALIZADO"/>
    <s v="BRUNA"/>
    <d v="2025-10-29T00:00:00"/>
    <x v="0"/>
  </r>
  <r>
    <n v="77521"/>
    <s v="LUCAS LIRA"/>
    <s v="MME"/>
    <s v="ADM"/>
    <n v="50039236"/>
    <x v="84"/>
    <n v="1"/>
    <s v="REALIZADO"/>
    <s v="MARCIA"/>
    <d v="2025-10-29T00:00:00"/>
    <x v="2"/>
  </r>
  <r>
    <n v="77521"/>
    <s v="LUCAS LIRA"/>
    <s v="MME"/>
    <s v="ADM"/>
    <n v="50039236"/>
    <x v="84"/>
    <n v="1"/>
    <s v="REALIZADO"/>
    <s v="MARCIA"/>
    <d v="2025-10-29T00:00:00"/>
    <x v="0"/>
  </r>
  <r>
    <n v="77594"/>
    <s v="VINICIUS ROBLES"/>
    <s v="MME"/>
    <s v="ADM"/>
    <n v="50003297"/>
    <x v="8"/>
    <n v="1"/>
    <s v="REALIZADO"/>
    <s v="MARCIA"/>
    <d v="2025-10-29T00:00:00"/>
    <x v="2"/>
  </r>
  <r>
    <n v="77594"/>
    <s v="VINICIUS ROBLES"/>
    <s v="MME"/>
    <s v="ADM"/>
    <n v="50003297"/>
    <x v="8"/>
    <n v="1"/>
    <s v="REALIZADO"/>
    <s v="AGATHA"/>
    <d v="2025-10-29T00:00:00"/>
    <x v="0"/>
  </r>
  <r>
    <n v="77594"/>
    <s v="VINICIUS ROBLES"/>
    <s v="MME"/>
    <s v="ADM"/>
    <n v="50003297"/>
    <x v="8"/>
    <n v="1"/>
    <s v="REALIZADO"/>
    <s v="AGATHA"/>
    <d v="2025-10-29T00:00:00"/>
    <x v="2"/>
  </r>
  <r>
    <n v="77594"/>
    <s v="VINICIUS ROBLES"/>
    <s v="MME"/>
    <s v="ADM"/>
    <n v="50003297"/>
    <x v="8"/>
    <n v="1"/>
    <s v="REALIZADO"/>
    <s v="GEOVANE"/>
    <d v="2025-10-29T00:00:00"/>
    <x v="0"/>
  </r>
  <r>
    <n v="65472"/>
    <s v="ISRAEL MACEDO"/>
    <s v="MMG"/>
    <s v="ADM"/>
    <n v="50038956"/>
    <x v="10"/>
    <n v="1"/>
    <s v="REALIZADO"/>
    <s v="MARCIA"/>
    <d v="2025-10-29T00:00:00"/>
    <x v="2"/>
  </r>
  <r>
    <n v="65472"/>
    <s v="ISRAEL MACEDO"/>
    <s v="MMG"/>
    <s v="ADM"/>
    <n v="50038956"/>
    <x v="10"/>
    <n v="1"/>
    <s v="REALIZADO"/>
    <s v="MARCIA"/>
    <d v="2025-10-29T00:00:00"/>
    <x v="0"/>
  </r>
  <r>
    <n v="77521"/>
    <s v="LUCAS LIRA"/>
    <s v="MME"/>
    <s v="ADM"/>
    <n v="50038956"/>
    <x v="10"/>
    <n v="1"/>
    <s v="REALIZADO"/>
    <s v="MARCIA"/>
    <d v="2025-10-29T00:00:00"/>
    <x v="2"/>
  </r>
  <r>
    <n v="77521"/>
    <s v="LUCAS LIRA"/>
    <s v="MME"/>
    <s v="ADM"/>
    <n v="50038956"/>
    <x v="10"/>
    <n v="1"/>
    <s v="REALIZADO"/>
    <s v="MARCIA"/>
    <d v="2025-10-29T00:00:00"/>
    <x v="2"/>
  </r>
  <r>
    <n v="63713"/>
    <s v="BRUNO DIAS"/>
    <s v="MME"/>
    <s v="ADM"/>
    <n v="50038956"/>
    <x v="10"/>
    <n v="1"/>
    <s v="REALIZADO"/>
    <s v="AGATHA"/>
    <d v="2025-10-29T00:00:00"/>
    <x v="2"/>
  </r>
  <r>
    <n v="63713"/>
    <s v="BRUNO DIAS"/>
    <s v="MME"/>
    <s v="ADM"/>
    <n v="50038956"/>
    <x v="10"/>
    <n v="1"/>
    <s v="REALIZADO"/>
    <s v="AGATHA"/>
    <d v="2025-10-29T00:00:00"/>
    <x v="0"/>
  </r>
  <r>
    <n v="69510"/>
    <s v="GABRIEL CAIXETA"/>
    <s v="MEE"/>
    <s v="ADM"/>
    <n v="50037902"/>
    <x v="14"/>
    <n v="1"/>
    <s v="REALIZADO"/>
    <s v="MARCIA"/>
    <d v="2025-10-29T00:00:00"/>
    <x v="2"/>
  </r>
  <r>
    <n v="69510"/>
    <s v="GABRIEL CAIXETA"/>
    <s v="MEE"/>
    <s v="ADM"/>
    <n v="50037902"/>
    <x v="14"/>
    <n v="1"/>
    <s v="REALIZADO"/>
    <s v="BRUNA"/>
    <d v="2025-10-29T00:00:00"/>
    <x v="0"/>
  </r>
  <r>
    <n v="63713"/>
    <s v="BRUNO DIAS"/>
    <s v="MME"/>
    <s v="ADM"/>
    <n v="50037902"/>
    <x v="14"/>
    <n v="1"/>
    <s v="REALIZADO"/>
    <s v="BRUNA"/>
    <d v="2025-10-29T00:00:00"/>
    <x v="2"/>
  </r>
  <r>
    <n v="62471"/>
    <s v="ELTON LIMA"/>
    <s v="MME"/>
    <s v="ADM"/>
    <n v="50038841"/>
    <x v="34"/>
    <n v="1"/>
    <s v="REALIZADO"/>
    <s v="BRUNA"/>
    <d v="2025-10-29T00:00:00"/>
    <x v="2"/>
  </r>
  <r>
    <n v="66789"/>
    <s v="ERICK GUERRA"/>
    <s v="MME"/>
    <s v="1º TURNO"/>
    <n v="50038517"/>
    <x v="0"/>
    <n v="1"/>
    <s v="REALIZADO"/>
    <s v="BRUNA"/>
    <d v="2025-10-29T00:00:00"/>
    <x v="0"/>
  </r>
  <r>
    <n v="65472"/>
    <s v="ISRAEL MACEDO"/>
    <s v="MMG"/>
    <s v="ADM"/>
    <n v="50039065"/>
    <x v="22"/>
    <m/>
    <s v="REALIZADO"/>
    <s v="MARCIA"/>
    <d v="2025-10-29T00:00:00"/>
    <x v="2"/>
  </r>
  <r>
    <n v="65472"/>
    <s v="ISRAEL MACEDO"/>
    <s v="MMG"/>
    <s v="ADM"/>
    <n v="50039065"/>
    <x v="22"/>
    <m/>
    <s v="REALIZADO"/>
    <s v="MARCIA"/>
    <d v="2025-10-29T00:00:00"/>
    <x v="2"/>
  </r>
  <r>
    <n v="73336"/>
    <s v="RODRIGO RODRIGUES"/>
    <s v="MMG"/>
    <s v="ADM"/>
    <n v="50039065"/>
    <x v="22"/>
    <n v="1"/>
    <s v="REALIZADO"/>
    <s v="MARCIA"/>
    <d v="2025-10-29T00:00:00"/>
    <x v="0"/>
  </r>
  <r>
    <n v="73336"/>
    <s v="RODRIGO RODRIGUES"/>
    <s v="MMG"/>
    <s v="ADM"/>
    <n v="50039065"/>
    <x v="22"/>
    <n v="1"/>
    <s v="REALIZADO"/>
    <s v="MARCIA"/>
    <d v="2025-10-29T00:00:00"/>
    <x v="2"/>
  </r>
  <r>
    <n v="61096"/>
    <s v="REGIVALDO MEDEIROS"/>
    <s v="MME"/>
    <s v="ADM"/>
    <n v="50039065"/>
    <x v="22"/>
    <n v="1"/>
    <s v="REALIZADO"/>
    <s v="MATHEUS"/>
    <d v="2025-10-29T00:00:00"/>
    <x v="2"/>
  </r>
  <r>
    <n v="64074"/>
    <s v="MARCOS FERNANDES COLOMBO"/>
    <s v="MPR"/>
    <s v="ADM"/>
    <n v="50026357"/>
    <x v="24"/>
    <n v="1"/>
    <s v="REALIZADO"/>
    <s v="BRUNA"/>
    <d v="2025-10-29T00:00:00"/>
    <x v="0"/>
  </r>
  <r>
    <n v="72707"/>
    <s v="LEONARDO DOS SANTOS"/>
    <s v="MPR"/>
    <s v="ADM"/>
    <n v="50041195"/>
    <x v="21"/>
    <n v="1"/>
    <s v="REALIZADO"/>
    <s v="MATHEUS"/>
    <d v="2025-10-29T00:00:00"/>
    <x v="2"/>
  </r>
  <r>
    <n v="72707"/>
    <s v="LEONARDO DOS SANTOS"/>
    <s v="MPR"/>
    <s v="ADM"/>
    <n v="50041195"/>
    <x v="21"/>
    <n v="1"/>
    <s v="REALIZADO"/>
    <s v="MATHEUS"/>
    <d v="2025-10-29T00:00:00"/>
    <x v="2"/>
  </r>
  <r>
    <n v="77708"/>
    <s v="FABIO JUSTINO"/>
    <s v="MPR"/>
    <s v="ADM"/>
    <n v="50043917"/>
    <x v="66"/>
    <n v="1"/>
    <s v="REALIZADO"/>
    <s v="AGATHA"/>
    <d v="2025-10-29T00:00:00"/>
    <x v="0"/>
  </r>
  <r>
    <n v="69510"/>
    <s v="GABRIEL CAIXETA"/>
    <s v="MEE"/>
    <s v="ADM"/>
    <n v="50043917"/>
    <x v="66"/>
    <n v="1"/>
    <s v="REALIZADO"/>
    <s v="BRUNA"/>
    <d v="2025-10-29T00:00:00"/>
    <x v="2"/>
  </r>
  <r>
    <n v="69510"/>
    <s v="GABRIEL CAIXETA"/>
    <s v="MEE"/>
    <s v="ADM"/>
    <n v="50043917"/>
    <x v="66"/>
    <n v="1"/>
    <s v="REALIZADO"/>
    <s v="MATHEUS"/>
    <d v="2025-10-29T00:00:00"/>
    <x v="0"/>
  </r>
  <r>
    <n v="69510"/>
    <s v="GABRIEL CAIXETA"/>
    <s v="MEE"/>
    <s v="ADM"/>
    <n v="50020622"/>
    <x v="42"/>
    <n v="1"/>
    <s v="REALIZADO"/>
    <s v="MARCIA"/>
    <d v="2025-10-29T00:00:00"/>
    <x v="2"/>
  </r>
  <r>
    <n v="69510"/>
    <s v="GABRIEL CAIXETA"/>
    <s v="MEE"/>
    <s v="ADM"/>
    <n v="50020622"/>
    <x v="42"/>
    <n v="1"/>
    <s v="REALIZADO"/>
    <s v="AGATHA"/>
    <d v="2025-10-29T00:00:00"/>
    <x v="0"/>
  </r>
  <r>
    <n v="68760"/>
    <s v="FERDINANDO PAZINI"/>
    <s v="MMG"/>
    <s v="ADM"/>
    <n v="50037933"/>
    <x v="43"/>
    <n v="1"/>
    <s v="REALIZADO"/>
    <s v="AGATHA"/>
    <d v="2025-10-29T00:00:00"/>
    <x v="2"/>
  </r>
  <r>
    <n v="68760"/>
    <s v="FERDINANDO PAZINI"/>
    <s v="MMG"/>
    <s v="ADM"/>
    <n v="50037933"/>
    <x v="43"/>
    <n v="1"/>
    <s v="REALIZADO"/>
    <s v="GEOVANE"/>
    <d v="2025-10-29T00:00:00"/>
    <x v="2"/>
  </r>
  <r>
    <n v="77594"/>
    <s v="VINICIUS ROBLES"/>
    <s v="MME"/>
    <s v="ADM"/>
    <n v="50010031"/>
    <x v="20"/>
    <n v="1"/>
    <s v="REALIZADO"/>
    <s v="MATHEUS"/>
    <d v="2025-10-28T00:00:00"/>
    <x v="2"/>
  </r>
  <r>
    <n v="79177"/>
    <s v="MAICON ANTONIO SANTOS"/>
    <s v="MMG"/>
    <s v="ADM"/>
    <n v="50038854"/>
    <x v="27"/>
    <n v="1"/>
    <s v="REALIZADO"/>
    <s v="BRUNA"/>
    <d v="2025-10-28T00:00:00"/>
    <x v="0"/>
  </r>
  <r>
    <n v="64074"/>
    <s v="MARCOS FERNANDES COLOMBO"/>
    <s v="MPR"/>
    <s v="ADM"/>
    <n v="50036086"/>
    <x v="3"/>
    <n v="1"/>
    <s v="REALIZADO"/>
    <s v="AGATHA"/>
    <d v="2025-10-28T00:00:00"/>
    <x v="2"/>
  </r>
  <r>
    <n v="64074"/>
    <s v="MARCOS FERNANDES COLOMBO"/>
    <s v="MPR"/>
    <s v="ADM"/>
    <n v="50036086"/>
    <x v="3"/>
    <n v="1"/>
    <s v="REALIZADO"/>
    <s v="MATHEUS"/>
    <d v="2025-10-28T00:00:00"/>
    <x v="0"/>
  </r>
  <r>
    <n v="63713"/>
    <s v="BRUNO DIAS"/>
    <s v="MME"/>
    <s v="ADM"/>
    <n v="50003173"/>
    <x v="29"/>
    <n v="1"/>
    <s v="REALIZADO"/>
    <s v="AGATHA"/>
    <d v="2025-10-28T00:00:00"/>
    <x v="2"/>
  </r>
  <r>
    <n v="63713"/>
    <s v="BRUNO DIAS"/>
    <s v="MME"/>
    <s v="ADM"/>
    <n v="50003173"/>
    <x v="29"/>
    <n v="1"/>
    <s v="REALIZADO"/>
    <s v="AGATHA"/>
    <d v="2025-10-28T00:00:00"/>
    <x v="0"/>
  </r>
  <r>
    <n v="79177"/>
    <s v="MAICON ANTONIO SANTOS"/>
    <s v="MMG"/>
    <s v="ADM"/>
    <n v="50039718"/>
    <x v="11"/>
    <n v="1"/>
    <s v="REALIZADO"/>
    <s v="AGATHA"/>
    <d v="2025-10-28T00:00:00"/>
    <x v="2"/>
  </r>
  <r>
    <n v="79177"/>
    <s v="MAICON ANTONIO SANTOS"/>
    <s v="MMG"/>
    <s v="ADM"/>
    <n v="50039718"/>
    <x v="11"/>
    <n v="1"/>
    <s v="REALIZADO"/>
    <s v="BRUNA"/>
    <d v="2025-10-28T00:00:00"/>
    <x v="0"/>
  </r>
  <r>
    <n v="65472"/>
    <s v="ISRAEL MACEDO"/>
    <s v="MMG"/>
    <s v="ADM"/>
    <n v="50037905"/>
    <x v="49"/>
    <n v="1"/>
    <s v="REALIZADO"/>
    <s v="MARCIA"/>
    <d v="2025-10-28T00:00:00"/>
    <x v="2"/>
  </r>
  <r>
    <n v="65472"/>
    <s v="ISRAEL MACEDO"/>
    <s v="MMG"/>
    <s v="ADM"/>
    <n v="50037905"/>
    <x v="49"/>
    <n v="1"/>
    <s v="REALIZADO"/>
    <s v="MARCIA"/>
    <d v="2025-10-28T00:00:00"/>
    <x v="0"/>
  </r>
  <r>
    <n v="77526"/>
    <s v="FELIPE GARÇONI"/>
    <s v="MME"/>
    <s v="ADM"/>
    <n v="50039236"/>
    <x v="84"/>
    <n v="1"/>
    <s v="REALIZADO"/>
    <s v="AGATHA"/>
    <d v="2025-10-28T00:00:00"/>
    <x v="2"/>
  </r>
  <r>
    <n v="77526"/>
    <s v="FELIPE GARÇONI"/>
    <s v="MME"/>
    <s v="ADM"/>
    <n v="50039236"/>
    <x v="84"/>
    <n v="1"/>
    <s v="REALIZADO"/>
    <s v="AGATHA"/>
    <d v="2025-10-28T00:00:00"/>
    <x v="0"/>
  </r>
  <r>
    <n v="79177"/>
    <s v="MAICON ANTONIO SANTOS"/>
    <s v="MMG"/>
    <s v="ADM"/>
    <n v="50043471"/>
    <x v="5"/>
    <n v="1"/>
    <s v="REALIZADO"/>
    <s v="AGATHA"/>
    <d v="2025-10-28T00:00:00"/>
    <x v="2"/>
  </r>
  <r>
    <n v="79177"/>
    <s v="MAICON ANTONIO SANTOS"/>
    <s v="MMG"/>
    <s v="ADM"/>
    <n v="50043471"/>
    <x v="5"/>
    <n v="1"/>
    <s v="REALIZADO"/>
    <s v="MATHEUS"/>
    <d v="2025-10-28T00:00:00"/>
    <x v="0"/>
  </r>
  <r>
    <n v="66790"/>
    <s v="EVERTON BOLOGNES"/>
    <s v="MMG"/>
    <s v="2º TURNO"/>
    <n v="50003297"/>
    <x v="8"/>
    <n v="1"/>
    <s v="REALIZADO"/>
    <s v="MARCIA"/>
    <d v="2025-10-28T00:00:00"/>
    <x v="2"/>
  </r>
  <r>
    <n v="66790"/>
    <s v="EVERTON BOLOGNES"/>
    <s v="MMG"/>
    <s v="2º TURNO"/>
    <n v="50003297"/>
    <x v="8"/>
    <n v="1"/>
    <s v="REALIZADO"/>
    <s v="AGATHA"/>
    <d v="2025-10-28T00:00:00"/>
    <x v="2"/>
  </r>
  <r>
    <n v="61761"/>
    <s v="JOAO BORTOLI"/>
    <s v="MEE"/>
    <s v="2º TURNO"/>
    <n v="50003297"/>
    <x v="8"/>
    <n v="1"/>
    <s v="REALIZADO"/>
    <s v="AGATHA"/>
    <d v="2025-10-28T00:00:00"/>
    <x v="0"/>
  </r>
  <r>
    <n v="77526"/>
    <s v="FELIPE GARÇONI"/>
    <s v="MME"/>
    <s v="ADM"/>
    <n v="50029865"/>
    <x v="9"/>
    <n v="1"/>
    <s v="REALIZADO"/>
    <s v="AGATHA"/>
    <d v="2025-10-28T00:00:00"/>
    <x v="2"/>
  </r>
  <r>
    <n v="61761"/>
    <s v="JOAO BORTOLI"/>
    <s v="MEE"/>
    <s v="2º TURNO"/>
    <n v="50029865"/>
    <x v="9"/>
    <n v="1"/>
    <s v="REALIZADO"/>
    <s v="AGATHA"/>
    <d v="2025-10-28T00:00:00"/>
    <x v="2"/>
  </r>
  <r>
    <n v="77526"/>
    <s v="FELIPE GARÇONI"/>
    <s v="MME"/>
    <s v="ADM"/>
    <n v="50029865"/>
    <x v="9"/>
    <n v="1"/>
    <s v="REALIZADO"/>
    <s v="AGATHA"/>
    <d v="2025-10-28T00:00:00"/>
    <x v="0"/>
  </r>
  <r>
    <n v="77526"/>
    <s v="FELIPE GARÇONI"/>
    <s v="MME"/>
    <s v="ADM"/>
    <n v="50043320"/>
    <x v="35"/>
    <n v="1"/>
    <s v="REALIZADO"/>
    <s v="AGATHA"/>
    <d v="2025-10-28T00:00:00"/>
    <x v="2"/>
  </r>
  <r>
    <n v="77526"/>
    <s v="FELIPE GARÇONI"/>
    <s v="MME"/>
    <s v="ADM"/>
    <n v="50043320"/>
    <x v="35"/>
    <n v="1"/>
    <s v="REALIZADO"/>
    <s v="AGATHA"/>
    <d v="2025-10-28T00:00:00"/>
    <x v="0"/>
  </r>
  <r>
    <n v="63713"/>
    <s v="BRUNO DIAS"/>
    <s v="MME"/>
    <s v="ADM"/>
    <n v="50022878"/>
    <x v="18"/>
    <n v="1"/>
    <s v="REALIZADO"/>
    <s v="AGATHA"/>
    <d v="2025-10-28T00:00:00"/>
    <x v="2"/>
  </r>
  <r>
    <n v="63713"/>
    <s v="BRUNO DIAS"/>
    <s v="MME"/>
    <s v="ADM"/>
    <n v="50022878"/>
    <x v="18"/>
    <n v="1"/>
    <s v="REALIZADO"/>
    <s v="BRUNA"/>
    <d v="2025-10-28T00:00:00"/>
    <x v="0"/>
  </r>
  <r>
    <n v="77526"/>
    <s v="FELIPE GARÇONI"/>
    <s v="MME"/>
    <s v="ADM"/>
    <n v="50037892"/>
    <x v="2"/>
    <n v="1"/>
    <s v="REALIZADO"/>
    <s v="AGATHA"/>
    <d v="2025-10-28T00:00:00"/>
    <x v="2"/>
  </r>
  <r>
    <n v="77526"/>
    <s v="FELIPE GARÇONI"/>
    <s v="MME"/>
    <s v="ADM"/>
    <n v="50037892"/>
    <x v="2"/>
    <n v="1"/>
    <s v="REALIZADO"/>
    <s v="AGATHA"/>
    <d v="2025-10-28T00:00:00"/>
    <x v="2"/>
  </r>
  <r>
    <n v="79177"/>
    <s v="MAICON ANTONIO SANTOS"/>
    <s v="MMG"/>
    <s v="ADM"/>
    <n v="50037892"/>
    <x v="2"/>
    <n v="1"/>
    <s v="REALIZADO"/>
    <s v="MATHEUS"/>
    <d v="2025-10-28T00:00:00"/>
    <x v="2"/>
  </r>
  <r>
    <n v="63713"/>
    <s v="BRUNO DIAS"/>
    <s v="MME"/>
    <s v="ADM"/>
    <n v="50037902"/>
    <x v="14"/>
    <n v="1"/>
    <s v="REALIZADO"/>
    <s v="MATHEUS"/>
    <d v="2025-10-28T00:00:00"/>
    <x v="2"/>
  </r>
  <r>
    <n v="62033"/>
    <s v="ODAIR JOSE DA SILVA"/>
    <s v="MME"/>
    <s v="2º TURNO"/>
    <n v="50038517"/>
    <x v="0"/>
    <n v="1"/>
    <s v="REALIZADO"/>
    <s v="AGATHA"/>
    <d v="2025-10-28T00:00:00"/>
    <x v="0"/>
  </r>
  <r>
    <n v="77594"/>
    <s v="VINICIUS ROBLES"/>
    <s v="MME"/>
    <s v="ADM"/>
    <n v="50039065"/>
    <x v="22"/>
    <n v="1"/>
    <s v="REALIZADO"/>
    <s v="AGATHA"/>
    <d v="2025-10-28T00:00:00"/>
    <x v="2"/>
  </r>
  <r>
    <n v="77594"/>
    <s v="VINICIUS ROBLES"/>
    <s v="MME"/>
    <s v="ADM"/>
    <n v="50039065"/>
    <x v="22"/>
    <n v="1"/>
    <s v="REALIZADO"/>
    <s v="GEOVANE"/>
    <d v="2025-10-28T00:00:00"/>
    <x v="0"/>
  </r>
  <r>
    <n v="66830"/>
    <s v="MARCIO GOMES DA SILVA"/>
    <s v="MPR"/>
    <s v="ADM"/>
    <n v="50026357"/>
    <x v="24"/>
    <n v="1"/>
    <s v="REALIZADO"/>
    <s v="MARCIA"/>
    <d v="2025-10-28T00:00:00"/>
    <x v="2"/>
  </r>
  <r>
    <n v="66830"/>
    <s v="MARCIO GOMES DA SILVA"/>
    <s v="MPR"/>
    <s v="ADM"/>
    <n v="50026357"/>
    <x v="24"/>
    <n v="1"/>
    <s v="REALIZADO"/>
    <s v="MARCIA"/>
    <d v="2025-10-28T00:00:00"/>
    <x v="0"/>
  </r>
  <r>
    <n v="66830"/>
    <s v="MARCIO GOMES DA SILVA"/>
    <s v="MPR"/>
    <s v="ADM"/>
    <n v="50026357"/>
    <x v="24"/>
    <n v="1"/>
    <s v="REALIZADO"/>
    <s v="AGATHA"/>
    <d v="2025-10-28T00:00:00"/>
    <x v="2"/>
  </r>
  <r>
    <n v="66830"/>
    <s v="MARCIO GOMES DA SILVA"/>
    <s v="MPR"/>
    <s v="ADM"/>
    <n v="50026357"/>
    <x v="24"/>
    <n v="1"/>
    <s v="REALIZADO"/>
    <s v="BRUNA"/>
    <d v="2025-10-28T00:00:00"/>
    <x v="2"/>
  </r>
  <r>
    <n v="65482"/>
    <s v="RAFAEL BALBINO PEREIRA"/>
    <s v="MMG"/>
    <s v="ADM"/>
    <n v="50041131"/>
    <x v="93"/>
    <n v="1"/>
    <s v="REALIZADO"/>
    <s v="MATHEUS"/>
    <d v="2025-10-28T00:00:00"/>
    <x v="2"/>
  </r>
  <r>
    <n v="65482"/>
    <s v="RAFAEL BALBINO PEREIRA"/>
    <s v="MMG"/>
    <s v="ADM"/>
    <n v="50041131"/>
    <x v="93"/>
    <n v="1"/>
    <s v="REALIZADO"/>
    <s v="MATHEUS"/>
    <d v="2025-10-28T00:00:00"/>
    <x v="2"/>
  </r>
  <r>
    <n v="72715"/>
    <s v="DANIEL CAMAÇARI DE OLIVEIRA"/>
    <s v="MPR"/>
    <s v="ADM"/>
    <n v="50041195"/>
    <x v="21"/>
    <n v="1"/>
    <s v="REALIZADO"/>
    <s v="BRUNA"/>
    <d v="2025-10-28T00:00:00"/>
    <x v="2"/>
  </r>
  <r>
    <n v="74611"/>
    <s v="CRISTIAM BORGES"/>
    <s v="MPR"/>
    <s v="ADM"/>
    <n v="50043917"/>
    <x v="66"/>
    <n v="1"/>
    <s v="REALIZADO"/>
    <s v="MATHEUS"/>
    <d v="2025-10-28T00:00:00"/>
    <x v="0"/>
  </r>
  <r>
    <n v="74611"/>
    <s v="CRISTIAM BORGES"/>
    <s v="MPR"/>
    <s v="ADM"/>
    <n v="50020622"/>
    <x v="42"/>
    <n v="1"/>
    <s v="REALIZADO"/>
    <s v="AGATHA"/>
    <d v="2025-10-28T00:00:00"/>
    <x v="2"/>
  </r>
  <r>
    <n v="74611"/>
    <s v="CRISTIAM BORGES"/>
    <s v="MPR"/>
    <s v="ADM"/>
    <n v="50020622"/>
    <x v="42"/>
    <n v="1"/>
    <s v="REALIZADO"/>
    <s v="MATHEUS"/>
    <d v="2025-10-28T00:00:00"/>
    <x v="2"/>
  </r>
  <r>
    <n v="61096"/>
    <s v="REGIVALDO MEDEIROS"/>
    <s v="MME"/>
    <s v="ADM"/>
    <n v="50032781"/>
    <x v="12"/>
    <n v="1"/>
    <s v="REALIZADO"/>
    <s v="AGATHA"/>
    <d v="2025-10-28T00:00:00"/>
    <x v="0"/>
  </r>
  <r>
    <n v="76633"/>
    <s v="VINICIUS GUILHERME BARBOSA"/>
    <s v="MMG"/>
    <s v="1º TURNO"/>
    <n v="50010031"/>
    <x v="20"/>
    <n v="1"/>
    <s v="REALIZADO"/>
    <s v="AGATHA"/>
    <d v="2025-10-27T00:00:00"/>
    <x v="2"/>
  </r>
  <r>
    <n v="76633"/>
    <s v="VINICIUS GUILHERME BARBOSA"/>
    <s v="MMG"/>
    <s v="1º TURNO"/>
    <n v="50010031"/>
    <x v="20"/>
    <n v="1"/>
    <s v="REALIZADO"/>
    <s v="BRUNA"/>
    <d v="2025-10-27T00:00:00"/>
    <x v="2"/>
  </r>
  <r>
    <n v="65084"/>
    <s v="TIAGO DE BRITO"/>
    <s v="MMG"/>
    <s v="3º TURNO"/>
    <n v="50036296"/>
    <x v="46"/>
    <n v="1"/>
    <s v="REALIZADO"/>
    <s v="MARINA"/>
    <d v="2025-10-27T00:00:00"/>
    <x v="0"/>
  </r>
  <r>
    <n v="65084"/>
    <s v="TIAGO DE BRITO"/>
    <s v="MMG"/>
    <s v="3º TURNO"/>
    <n v="50036296"/>
    <x v="46"/>
    <n v="1"/>
    <s v="REALIZADO"/>
    <s v="MARINA"/>
    <d v="2025-10-27T00:00:00"/>
    <x v="2"/>
  </r>
  <r>
    <n v="65084"/>
    <s v="TIAGO DE BRITO"/>
    <s v="MMG"/>
    <s v="3º TURNO"/>
    <n v="50036086"/>
    <x v="3"/>
    <n v="1"/>
    <s v="REALIZADO"/>
    <s v="MARINA"/>
    <d v="2025-10-27T00:00:00"/>
    <x v="0"/>
  </r>
  <r>
    <n v="65084"/>
    <s v="TIAGO DE BRITO"/>
    <s v="MMG"/>
    <s v="3º TURNO"/>
    <n v="50036806"/>
    <x v="3"/>
    <n v="1"/>
    <s v="REALIZADO"/>
    <s v="MARINA"/>
    <d v="2025-10-27T00:00:00"/>
    <x v="0"/>
  </r>
  <r>
    <n v="68760"/>
    <s v="FERDINANDO PAZINI"/>
    <s v="MMG"/>
    <s v="ADM"/>
    <n v="50037941"/>
    <x v="94"/>
    <n v="1"/>
    <s v="REALIZADO"/>
    <s v="BRUNO"/>
    <d v="2025-10-27T00:00:00"/>
    <x v="2"/>
  </r>
  <r>
    <n v="68760"/>
    <s v="FERDINANDO PAZINI"/>
    <s v="MMG"/>
    <s v="ADM"/>
    <n v="50037941"/>
    <x v="94"/>
    <n v="1"/>
    <s v="REALIZADO"/>
    <s v="BRUNO"/>
    <d v="2025-10-27T00:00:00"/>
    <x v="0"/>
  </r>
  <r>
    <n v="65482"/>
    <s v="RAFAEL BALBINO PEREIRA"/>
    <s v="MMG"/>
    <s v="ADM"/>
    <n v="50043471"/>
    <x v="5"/>
    <n v="1"/>
    <s v="REALIZADO"/>
    <s v="BRUNA"/>
    <d v="2025-10-27T00:00:00"/>
    <x v="2"/>
  </r>
  <r>
    <n v="65482"/>
    <s v="RAFAEL BALBINO PEREIRA"/>
    <s v="MMG"/>
    <s v="ADM"/>
    <n v="50043471"/>
    <x v="5"/>
    <n v="1"/>
    <s v="REALIZADO"/>
    <s v="BRUNO"/>
    <d v="2025-10-27T00:00:00"/>
    <x v="0"/>
  </r>
  <r>
    <n v="79177"/>
    <s v="MAICON ANTONIO SANTOS"/>
    <s v="MMG"/>
    <s v="ADM"/>
    <n v="50022878"/>
    <x v="18"/>
    <n v="1"/>
    <s v="REALIZADO"/>
    <s v="AGATHA"/>
    <d v="2025-10-27T00:00:00"/>
    <x v="2"/>
  </r>
  <r>
    <n v="79177"/>
    <s v="MAICON ANTONIO SANTOS"/>
    <s v="MMG"/>
    <s v="ADM"/>
    <n v="50022878"/>
    <x v="18"/>
    <n v="1"/>
    <s v="REALIZADO"/>
    <s v="AGATHA"/>
    <d v="2025-10-27T00:00:00"/>
    <x v="0"/>
  </r>
  <r>
    <n v="79177"/>
    <s v="MAICON ANTONIO SANTOS"/>
    <s v="MMG"/>
    <s v="ADM"/>
    <n v="50022878"/>
    <x v="18"/>
    <n v="1"/>
    <s v="REALIZADO"/>
    <s v="BRUNO"/>
    <d v="2025-10-27T00:00:00"/>
    <x v="2"/>
  </r>
  <r>
    <n v="79177"/>
    <s v="MAICON ANTONIO SANTOS"/>
    <s v="MMG"/>
    <s v="ADM"/>
    <n v="50022878"/>
    <x v="18"/>
    <n v="1"/>
    <s v="REALIZADO"/>
    <s v="BRUNO"/>
    <d v="2025-10-27T00:00:00"/>
    <x v="2"/>
  </r>
  <r>
    <n v="73878"/>
    <s v="EVANDRO TANAKA"/>
    <s v="MMG"/>
    <s v="ADM"/>
    <n v="50038956"/>
    <x v="10"/>
    <n v="1"/>
    <s v="REALIZADO"/>
    <s v="AGATHA"/>
    <d v="2025-10-27T00:00:00"/>
    <x v="0"/>
  </r>
  <r>
    <n v="77594"/>
    <s v="VINICIUS ROBLES"/>
    <s v="MME"/>
    <s v="ADM"/>
    <n v="50038956"/>
    <x v="10"/>
    <n v="1"/>
    <s v="REALIZADO"/>
    <s v="BRUNA"/>
    <d v="2025-10-27T00:00:00"/>
    <x v="2"/>
  </r>
  <r>
    <n v="77594"/>
    <s v="VINICIUS ROBLES"/>
    <s v="MME"/>
    <s v="ADM"/>
    <n v="50038956"/>
    <x v="10"/>
    <n v="1"/>
    <s v="REALIZADO"/>
    <s v="BRUNA"/>
    <d v="2025-10-27T00:00:00"/>
    <x v="2"/>
  </r>
  <r>
    <n v="63713"/>
    <s v="BRUNO DIAS"/>
    <s v="MME"/>
    <s v="ADM"/>
    <n v="50037892"/>
    <x v="2"/>
    <n v="1"/>
    <s v="REALIZADO"/>
    <s v="AGATHA"/>
    <d v="2025-10-27T00:00:00"/>
    <x v="0"/>
  </r>
  <r>
    <n v="78678"/>
    <s v="MARLOM ROGERIO VIEIRA"/>
    <s v="MME"/>
    <s v="ADM"/>
    <n v="50037902"/>
    <x v="14"/>
    <n v="1"/>
    <s v="REALIZADO"/>
    <s v="AGATHA"/>
    <d v="2025-10-27T00:00:00"/>
    <x v="2"/>
  </r>
  <r>
    <n v="78678"/>
    <s v="MARLOM ROGERIO VIEIRA"/>
    <s v="MME"/>
    <s v="ADM"/>
    <n v="50037902"/>
    <x v="14"/>
    <n v="1"/>
    <s v="REALIZADO"/>
    <s v="BRUNA"/>
    <d v="2025-10-27T00:00:00"/>
    <x v="0"/>
  </r>
  <r>
    <n v="77526"/>
    <s v="FELIPE GARÇONI"/>
    <s v="MME"/>
    <s v="ADM"/>
    <n v="50038841"/>
    <x v="34"/>
    <n v="1"/>
    <s v="REALIZADO"/>
    <s v="BRUNO"/>
    <d v="2025-10-27T00:00:00"/>
    <x v="2"/>
  </r>
  <r>
    <n v="77526"/>
    <s v="FELIPE GARÇONI"/>
    <s v="MME"/>
    <s v="ADM"/>
    <n v="50038841"/>
    <x v="34"/>
    <n v="1"/>
    <s v="REALIZADO"/>
    <s v="BRUNO"/>
    <d v="2025-10-27T00:00:00"/>
    <x v="0"/>
  </r>
  <r>
    <n v="75424"/>
    <s v="EDSON CARLOS"/>
    <s v="MME"/>
    <s v="1º TURNO"/>
    <n v="50038841"/>
    <x v="34"/>
    <n v="1"/>
    <s v="REALIZADO"/>
    <s v="BRUNO"/>
    <d v="2025-10-27T00:00:00"/>
    <x v="2"/>
  </r>
  <r>
    <n v="75424"/>
    <s v="EDSON CARLOS"/>
    <s v="MME"/>
    <s v="1º TURNO"/>
    <n v="50038841"/>
    <x v="34"/>
    <n v="1"/>
    <s v="REALIZADO"/>
    <s v="BRUNO"/>
    <d v="2025-10-27T00:00:00"/>
    <x v="2"/>
  </r>
  <r>
    <n v="79177"/>
    <s v="MAICON ANTONIO SANTOS"/>
    <s v="MMG"/>
    <s v="ADM"/>
    <n v="50038517"/>
    <x v="0"/>
    <n v="1"/>
    <s v="REALIZADO"/>
    <s v="AGATHA"/>
    <d v="2025-10-27T00:00:00"/>
    <x v="0"/>
  </r>
  <r>
    <n v="62896"/>
    <s v="LEONARDO BORGES"/>
    <s v="MEE"/>
    <s v="ADM"/>
    <n v="50038517"/>
    <x v="0"/>
    <n v="1"/>
    <s v="REALIZADO"/>
    <s v="BRUNO"/>
    <d v="2025-10-27T00:00:00"/>
    <x v="2"/>
  </r>
  <r>
    <n v="62896"/>
    <s v="LEONARDO BORGES"/>
    <s v="MEE"/>
    <s v="ADM"/>
    <n v="50038517"/>
    <x v="0"/>
    <n v="1"/>
    <s v="REALIZADO"/>
    <s v="BRUNO"/>
    <d v="2025-10-27T00:00:00"/>
    <x v="2"/>
  </r>
  <r>
    <n v="65084"/>
    <s v="TIAGO DE BRITO"/>
    <s v="MMG"/>
    <s v="3º TURNO"/>
    <n v="50038517"/>
    <x v="0"/>
    <n v="1"/>
    <s v="REALIZADO"/>
    <s v="MARINA"/>
    <d v="2025-10-27T00:00:00"/>
    <x v="0"/>
  </r>
  <r>
    <n v="65084"/>
    <s v="TIAGO DE BRITO"/>
    <s v="MMG"/>
    <s v="3º TURNO"/>
    <n v="50038517"/>
    <x v="0"/>
    <n v="1"/>
    <s v="REALIZADO"/>
    <s v="MARINA"/>
    <d v="2025-10-27T00:00:00"/>
    <x v="2"/>
  </r>
  <r>
    <n v="65131"/>
    <s v="GUILHERME VECHIO"/>
    <s v="MMG"/>
    <s v="2º TURNO"/>
    <n v="50037926"/>
    <x v="52"/>
    <n v="1"/>
    <s v="REALIZADO"/>
    <s v="AGATHA"/>
    <d v="2025-10-27T00:00:00"/>
    <x v="2"/>
  </r>
  <r>
    <n v="77313"/>
    <s v="ROGERIO"/>
    <s v="MPR"/>
    <s v="ADM"/>
    <n v="50026357"/>
    <x v="24"/>
    <n v="1"/>
    <s v="REALIZADO"/>
    <s v="BRUNO"/>
    <d v="2025-10-27T00:00:00"/>
    <x v="2"/>
  </r>
  <r>
    <n v="77471"/>
    <s v="DANILO BARBOSA"/>
    <s v="MEE"/>
    <s v="ADM"/>
    <n v="50041195"/>
    <x v="21"/>
    <n v="1"/>
    <s v="REALIZADO"/>
    <s v="BRUNO"/>
    <d v="2025-10-27T00:00:00"/>
    <x v="2"/>
  </r>
  <r>
    <n v="65084"/>
    <s v="TIAGO DE BRITO"/>
    <s v="MMG"/>
    <s v="3º TURNO"/>
    <n v="50041195"/>
    <x v="21"/>
    <n v="1"/>
    <s v="REALIZADO"/>
    <s v="FABIANO"/>
    <d v="2025-10-27T00:00:00"/>
    <x v="0"/>
  </r>
  <r>
    <n v="65084"/>
    <s v="TIAGO DE BRITO"/>
    <s v="MMG"/>
    <s v="3º TURNO"/>
    <n v="50041195"/>
    <x v="21"/>
    <n v="1"/>
    <s v="REALIZADO"/>
    <s v="FABIANO"/>
    <d v="2025-10-27T00:00:00"/>
    <x v="0"/>
  </r>
  <r>
    <n v="77526"/>
    <s v="FELIPE GARÇONI"/>
    <s v="MME"/>
    <s v="ADM"/>
    <n v="50043917"/>
    <x v="66"/>
    <n v="1"/>
    <s v="REALIZADO"/>
    <s v="AGATHA"/>
    <d v="2025-10-27T00:00:00"/>
    <x v="2"/>
  </r>
  <r>
    <n v="77526"/>
    <s v="FELIPE GARÇONI"/>
    <s v="MME"/>
    <s v="ADM"/>
    <n v="50043917"/>
    <x v="66"/>
    <n v="1"/>
    <s v="REALIZADO"/>
    <s v="BRUNO"/>
    <d v="2025-10-27T00:00:00"/>
    <x v="0"/>
  </r>
  <r>
    <n v="62896"/>
    <s v="LEONARDO BORGES"/>
    <s v="MEE"/>
    <s v="ADM"/>
    <n v="50043917"/>
    <x v="66"/>
    <n v="1"/>
    <s v="REALIZADO"/>
    <s v="BRUNO"/>
    <d v="2025-10-27T00:00:00"/>
    <x v="2"/>
  </r>
  <r>
    <n v="62896"/>
    <s v="LEONARDO BORGES"/>
    <s v="MEE"/>
    <s v="ADM"/>
    <n v="50043917"/>
    <x v="66"/>
    <n v="1"/>
    <s v="REALIZADO"/>
    <s v="BRUNO"/>
    <d v="2025-10-27T00:00:00"/>
    <x v="0"/>
  </r>
  <r>
    <n v="62896"/>
    <s v="LEONARDO BORGES"/>
    <s v="MEE"/>
    <s v="ADM"/>
    <n v="50020622"/>
    <x v="42"/>
    <n v="1"/>
    <s v="REALIZADO"/>
    <s v="BRUNO"/>
    <d v="2025-10-27T00:00:00"/>
    <x v="2"/>
  </r>
  <r>
    <n v="62896"/>
    <s v="LEONARDO BORGES"/>
    <s v="MEE"/>
    <s v="ADM"/>
    <n v="50020622"/>
    <x v="42"/>
    <n v="1"/>
    <s v="REALIZADO"/>
    <s v="BRUNO"/>
    <d v="2025-10-27T00:00:00"/>
    <x v="0"/>
  </r>
  <r>
    <n v="65482"/>
    <s v="RAFAEL BALBINO PEREIRA"/>
    <s v="MMG"/>
    <s v="ADM"/>
    <n v="50032781"/>
    <x v="12"/>
    <n v="1"/>
    <s v="REALIZADO"/>
    <s v="BRUNA"/>
    <d v="2025-10-27T00:00:00"/>
    <x v="2"/>
  </r>
  <r>
    <n v="65482"/>
    <s v="RAFAEL BALBINO PEREIRA"/>
    <s v="MMG"/>
    <s v="ADM"/>
    <n v="50032781"/>
    <x v="12"/>
    <n v="1"/>
    <s v="REALIZADO"/>
    <s v="BRUNO"/>
    <d v="2025-10-27T00:00:00"/>
    <x v="0"/>
  </r>
  <r>
    <n v="77526"/>
    <s v="FELIPE GARÇONI"/>
    <s v="MME"/>
    <s v="ADM"/>
    <n v="50038194"/>
    <x v="87"/>
    <n v="1"/>
    <s v="REALIZADO"/>
    <s v="BRUNO"/>
    <d v="2025-10-27T00:00:00"/>
    <x v="2"/>
  </r>
  <r>
    <n v="77526"/>
    <s v="FELIPE GARÇONI"/>
    <s v="MME"/>
    <s v="ADM"/>
    <n v="50038194"/>
    <x v="87"/>
    <n v="1"/>
    <s v="REALIZADO"/>
    <s v="BRUNO"/>
    <d v="2025-10-27T00:00:00"/>
    <x v="2"/>
  </r>
  <r>
    <n v="67915"/>
    <s v="ANDERSON MARCOLONGO"/>
    <s v="MMG"/>
    <s v="1º TURNO"/>
    <n v="50039718"/>
    <x v="11"/>
    <n v="1"/>
    <s v="REALIZADO"/>
    <s v="KAYKY"/>
    <d v="2025-10-26T00:00:00"/>
    <x v="0"/>
  </r>
  <r>
    <n v="67915"/>
    <s v="ANDERSON MARCOLONGO"/>
    <s v="MMG"/>
    <s v="1º TURNO"/>
    <n v="50039718"/>
    <x v="11"/>
    <n v="1"/>
    <s v="REALIZADO"/>
    <s v="KAYKY"/>
    <d v="2025-10-26T00:00:00"/>
    <x v="2"/>
  </r>
  <r>
    <n v="65482"/>
    <s v="RAFAEL BALBINO PEREIRA"/>
    <s v="MMG"/>
    <s v="ADM"/>
    <n v="50029865"/>
    <x v="9"/>
    <n v="1"/>
    <s v="REALIZADO"/>
    <s v="MARINA"/>
    <d v="2025-10-26T00:00:00"/>
    <x v="0"/>
  </r>
  <r>
    <n v="65482"/>
    <s v="RAFAEL BALBINO PEREIRA"/>
    <s v="MMG"/>
    <s v="ADM"/>
    <n v="50029865"/>
    <x v="9"/>
    <n v="1"/>
    <s v="REALIZADO"/>
    <s v="MARINA"/>
    <d v="2025-10-26T00:00:00"/>
    <x v="2"/>
  </r>
  <r>
    <n v="62137"/>
    <s v="RAFAEL AMORIM"/>
    <s v="MME"/>
    <s v="1º TURNO"/>
    <n v="50038956"/>
    <x v="10"/>
    <n v="1"/>
    <s v="REALIZADO"/>
    <s v="KAYKY"/>
    <d v="2025-10-26T00:00:00"/>
    <x v="0"/>
  </r>
  <r>
    <n v="62137"/>
    <s v="RAFAEL AMORIM"/>
    <s v="MME"/>
    <s v="1º TURNO"/>
    <n v="50038956"/>
    <x v="10"/>
    <n v="1"/>
    <s v="REALIZADO"/>
    <s v="KAYKY"/>
    <d v="2025-10-26T00:00:00"/>
    <x v="2"/>
  </r>
  <r>
    <n v="76633"/>
    <s v="VINICIUS GUILHERME BARBOSA"/>
    <s v="MMG"/>
    <s v="1º TURNO"/>
    <n v="50037892"/>
    <x v="2"/>
    <n v="1"/>
    <s v="REALIZADO"/>
    <s v="KAYKY"/>
    <d v="2025-10-26T00:00:00"/>
    <x v="0"/>
  </r>
  <r>
    <n v="76633"/>
    <s v="VINICIUS GUILHERME BARBOSA"/>
    <s v="MMG"/>
    <s v="1º TURNO"/>
    <n v="50037892"/>
    <x v="2"/>
    <n v="1"/>
    <s v="REALIZADO"/>
    <s v="KAYKY"/>
    <d v="2025-10-26T00:00:00"/>
    <x v="2"/>
  </r>
  <r>
    <n v="61264"/>
    <s v="EVERTON GERONIMO"/>
    <s v="MMG"/>
    <s v="ADM"/>
    <n v="50037902"/>
    <x v="14"/>
    <n v="1"/>
    <s v="REALIZADO"/>
    <s v="MARINA"/>
    <d v="2025-10-26T00:00:00"/>
    <x v="0"/>
  </r>
  <r>
    <n v="61264"/>
    <s v="EVERTON GERONIMO"/>
    <s v="MMG"/>
    <s v="ADM"/>
    <n v="50037902"/>
    <x v="14"/>
    <n v="1"/>
    <s v="REALIZADO"/>
    <s v="MARINA"/>
    <d v="2025-10-26T00:00:00"/>
    <x v="2"/>
  </r>
  <r>
    <n v="65482"/>
    <s v="RAFAEL BALBINO PEREIRA"/>
    <s v="MMG"/>
    <s v="ADM"/>
    <n v="50041195"/>
    <x v="21"/>
    <n v="1"/>
    <s v="REALIZADO"/>
    <s v="MARINA"/>
    <d v="2025-10-26T00:00:00"/>
    <x v="0"/>
  </r>
  <r>
    <n v="65482"/>
    <s v="RAFAEL BALBINO PEREIRA"/>
    <s v="MMG"/>
    <s v="ADM"/>
    <n v="50041195"/>
    <x v="21"/>
    <n v="1"/>
    <s v="REALIZADO"/>
    <s v="MARINA"/>
    <d v="2025-10-26T00:00:00"/>
    <x v="2"/>
  </r>
  <r>
    <n v="67915"/>
    <s v="ANDERSON MARCOLONGO"/>
    <s v="MMG"/>
    <s v="1º TURNO"/>
    <n v="50043917"/>
    <x v="66"/>
    <n v="1"/>
    <s v="REALIZADO"/>
    <s v="KAYKY"/>
    <d v="2025-10-26T00:00:00"/>
    <x v="0"/>
  </r>
  <r>
    <n v="67915"/>
    <s v="ANDERSON MARCOLONGO"/>
    <s v="MMG"/>
    <s v="1º TURNO"/>
    <n v="50043917"/>
    <x v="66"/>
    <n v="1"/>
    <s v="REALIZADO"/>
    <s v="KAYKY"/>
    <d v="2025-10-26T00:00:00"/>
    <x v="2"/>
  </r>
  <r>
    <n v="65482"/>
    <s v="RAFAEL BALBINO PEREIRA"/>
    <s v="MMG"/>
    <s v="ADM"/>
    <n v="50032781"/>
    <x v="12"/>
    <n v="1"/>
    <s v="REALIZADO"/>
    <s v="MARINA"/>
    <d v="2025-10-26T00:00:00"/>
    <x v="0"/>
  </r>
  <r>
    <n v="65482"/>
    <s v="RAFAEL BALBINO PEREIRA"/>
    <s v="MMG"/>
    <s v="ADM"/>
    <n v="50032781"/>
    <x v="12"/>
    <n v="1"/>
    <s v="REALIZADO"/>
    <s v="MARINA"/>
    <d v="2025-10-26T00:00:00"/>
    <x v="0"/>
  </r>
  <r>
    <n v="62137"/>
    <s v="RAFAEL AMORIM"/>
    <s v="MME"/>
    <s v="1º TURNO"/>
    <n v="50010031"/>
    <x v="20"/>
    <n v="1"/>
    <s v="REALIZADO"/>
    <s v="BRUNA"/>
    <d v="2025-10-25T00:00:00"/>
    <x v="2"/>
  </r>
  <r>
    <n v="62137"/>
    <s v="RAFAEL AMORIM"/>
    <s v="MME"/>
    <s v="1º TURNO"/>
    <n v="50010031"/>
    <x v="20"/>
    <n v="1"/>
    <s v="REALIZADO"/>
    <s v="BRUNA"/>
    <d v="2025-10-25T00:00:00"/>
    <x v="0"/>
  </r>
  <r>
    <n v="60510"/>
    <s v="EMERSON FOSSALUZA"/>
    <s v="MME"/>
    <s v="1º TURNO"/>
    <n v="50010031"/>
    <x v="20"/>
    <n v="1"/>
    <s v="REALIZADO"/>
    <s v="BRUNA"/>
    <d v="2025-10-25T00:00:00"/>
    <x v="2"/>
  </r>
  <r>
    <n v="60510"/>
    <s v="EMERSON FOSSALUZA"/>
    <s v="MME"/>
    <s v="1º TURNO"/>
    <n v="50010031"/>
    <x v="20"/>
    <n v="1"/>
    <s v="REALIZADO"/>
    <s v="BRUNA"/>
    <d v="2025-10-25T00:00:00"/>
    <x v="0"/>
  </r>
  <r>
    <n v="72715"/>
    <s v="DANIEL CAMAÇARI DE OLIVEIRA"/>
    <s v="MPR"/>
    <s v="ADM"/>
    <n v="50029865"/>
    <x v="9"/>
    <n v="1"/>
    <s v="REALIZADO"/>
    <s v="BRUNA"/>
    <d v="2025-10-25T00:00:00"/>
    <x v="2"/>
  </r>
  <r>
    <n v="72715"/>
    <s v="DANIEL CAMAÇARI DE OLIVEIRA"/>
    <s v="MPR"/>
    <s v="ADM"/>
    <n v="50029865"/>
    <x v="9"/>
    <n v="1"/>
    <s v="REALIZADO"/>
    <s v="BRUNA"/>
    <d v="2025-10-25T00:00:00"/>
    <x v="0"/>
  </r>
  <r>
    <n v="63684"/>
    <s v="LUAN ALMEIDA"/>
    <s v="MME"/>
    <s v="1º TURNO"/>
    <n v="50037902"/>
    <x v="14"/>
    <n v="1"/>
    <s v="REALIZADO"/>
    <s v="BRUNA"/>
    <d v="2025-10-25T00:00:00"/>
    <x v="2"/>
  </r>
  <r>
    <n v="63684"/>
    <s v="LUAN ALMEIDA"/>
    <s v="MME"/>
    <s v="1º TURNO"/>
    <n v="50037902"/>
    <x v="14"/>
    <n v="1"/>
    <s v="REALIZADO"/>
    <s v="BRUNA"/>
    <d v="2025-10-25T00:00:00"/>
    <x v="2"/>
  </r>
  <r>
    <n v="62640"/>
    <s v="MARCELINHO"/>
    <s v="MPR"/>
    <s v="ADM"/>
    <n v="50038517"/>
    <x v="0"/>
    <n v="1"/>
    <s v="REALIZADO"/>
    <s v="BRUNA"/>
    <d v="2025-10-25T00:00:00"/>
    <x v="2"/>
  </r>
  <r>
    <n v="67559"/>
    <s v="VINICIUS SOUZA"/>
    <s v="MME"/>
    <s v="2º TURNO"/>
    <n v="50038517"/>
    <x v="0"/>
    <n v="1"/>
    <s v="REALIZADO"/>
    <s v="MARIO"/>
    <d v="2025-10-25T00:00:00"/>
    <x v="0"/>
  </r>
  <r>
    <n v="67559"/>
    <s v="VINICIUS SOUZA"/>
    <s v="MME"/>
    <s v="2º TURNO"/>
    <n v="50038517"/>
    <x v="0"/>
    <n v="1"/>
    <s v="REALIZADO"/>
    <s v="MARIO"/>
    <d v="2025-10-25T00:00:00"/>
    <x v="0"/>
  </r>
  <r>
    <n v="78675"/>
    <s v="ORLANDO GOMES"/>
    <s v="MME"/>
    <s v="1º TURNO"/>
    <n v="50041195"/>
    <x v="21"/>
    <n v="1"/>
    <s v="REALIZADO"/>
    <s v="BRUNA"/>
    <d v="2025-10-25T00:00:00"/>
    <x v="2"/>
  </r>
  <r>
    <n v="78675"/>
    <s v="ORLANDO GOMES"/>
    <s v="MME"/>
    <s v="1º TURNO"/>
    <n v="50041195"/>
    <x v="21"/>
    <n v="1"/>
    <s v="REALIZADO"/>
    <s v="BRUNA"/>
    <d v="2025-10-25T00:00:00"/>
    <x v="0"/>
  </r>
  <r>
    <n v="72715"/>
    <s v="DANIEL CAMAÇARI DE OLIVEIRA"/>
    <s v="MPR"/>
    <s v="ADM"/>
    <n v="50041195"/>
    <x v="21"/>
    <n v="1"/>
    <s v="REALIZADO"/>
    <s v="BRUNA"/>
    <d v="2025-10-25T00:00:00"/>
    <x v="2"/>
  </r>
  <r>
    <n v="72715"/>
    <s v="DANIEL CAMAÇARI DE OLIVEIRA"/>
    <s v="MPR"/>
    <s v="ADM"/>
    <n v="50041195"/>
    <x v="21"/>
    <n v="1"/>
    <s v="REALIZADO"/>
    <s v="BRUNA"/>
    <d v="2025-10-25T00:00:00"/>
    <x v="0"/>
  </r>
  <r>
    <n v="63684"/>
    <s v="LUAN ALMEIDA"/>
    <s v="MME"/>
    <s v="1º TURNO"/>
    <n v="50043917"/>
    <x v="66"/>
    <n v="1"/>
    <s v="REALIZADO"/>
    <s v="BRUNA"/>
    <d v="2025-10-25T00:00:00"/>
    <x v="2"/>
  </r>
  <r>
    <n v="63684"/>
    <s v="LUAN ALMEIDA"/>
    <s v="MME"/>
    <s v="1º TURNO"/>
    <n v="50043917"/>
    <x v="66"/>
    <n v="1"/>
    <s v="REALIZADO"/>
    <s v="BRUNA"/>
    <d v="2025-10-25T00:00:00"/>
    <x v="2"/>
  </r>
  <r>
    <n v="72808"/>
    <s v="CAIO NASCIMENTO"/>
    <s v="MME"/>
    <s v="2º TURNO"/>
    <n v="50004486"/>
    <x v="95"/>
    <n v="1"/>
    <s v="REALIZADO"/>
    <s v="MARINA"/>
    <d v="2025-10-25T00:00:00"/>
    <x v="0"/>
  </r>
  <r>
    <n v="72808"/>
    <s v="CAIO NASCIMENTO"/>
    <s v="MME"/>
    <s v="2º TURNO"/>
    <n v="50004486"/>
    <x v="95"/>
    <n v="1"/>
    <s v="REALIZADO"/>
    <s v="MARINA"/>
    <d v="2025-10-25T00:00:00"/>
    <x v="0"/>
  </r>
  <r>
    <n v="64128"/>
    <s v="CRISTIANO LUIZ PEGO"/>
    <s v="UTI"/>
    <s v="2º TURNO"/>
    <n v="50012576"/>
    <x v="96"/>
    <n v="1"/>
    <s v="REALIZADO"/>
    <s v="KELLY"/>
    <d v="2025-10-24T00:00:00"/>
    <x v="2"/>
  </r>
  <r>
    <n v="64128"/>
    <s v="CRISTIANO LUIZ PEGO"/>
    <s v="UTI"/>
    <s v="2º TURNO"/>
    <n v="50012576"/>
    <x v="96"/>
    <n v="1"/>
    <s v="REALIZADO"/>
    <s v="KELLY"/>
    <d v="2025-10-24T00:00:00"/>
    <x v="0"/>
  </r>
  <r>
    <n v="77313"/>
    <s v="ROGERIO"/>
    <s v="MPR"/>
    <s v="ADM"/>
    <n v="50043520"/>
    <x v="97"/>
    <n v="1"/>
    <s v="REALIZADO"/>
    <s v="AGATHA"/>
    <d v="2025-10-24T00:00:00"/>
    <x v="2"/>
  </r>
  <r>
    <n v="77313"/>
    <s v="ROGERIO"/>
    <s v="MPR"/>
    <s v="ADM"/>
    <n v="50043520"/>
    <x v="97"/>
    <n v="1"/>
    <s v="REALIZADO"/>
    <s v="AGATHA"/>
    <d v="2025-10-24T00:00:00"/>
    <x v="2"/>
  </r>
  <r>
    <n v="72715"/>
    <s v="DANIEL CAMAÇARI DE OLIVEIRA"/>
    <s v="MPR"/>
    <s v="ADM"/>
    <n v="50030486"/>
    <x v="17"/>
    <n v="1"/>
    <s v="REALIZADO"/>
    <s v="BRUNA"/>
    <d v="2025-10-24T00:00:00"/>
    <x v="0"/>
  </r>
  <r>
    <n v="68708"/>
    <s v="CLAUDIO TADEU LEITE"/>
    <s v="MMG"/>
    <s v="ADM"/>
    <n v="50003297"/>
    <x v="8"/>
    <n v="1"/>
    <s v="REALIZADO"/>
    <s v="KELLY"/>
    <d v="2025-10-24T00:00:00"/>
    <x v="2"/>
  </r>
  <r>
    <n v="78886"/>
    <s v="DOUGLAS FELICIANO MENDES DE OLIVEIRA"/>
    <s v="MME"/>
    <s v="ADM"/>
    <n v="50003297"/>
    <x v="8"/>
    <n v="1"/>
    <s v="REALIZADO"/>
    <s v="GEOVANE"/>
    <d v="2025-10-24T00:00:00"/>
    <x v="0"/>
  </r>
  <r>
    <n v="66830"/>
    <s v="MARCIO GOMES DA SILVA"/>
    <s v="MPR"/>
    <s v="ADM"/>
    <n v="50003297"/>
    <x v="8"/>
    <n v="1"/>
    <s v="REALIZADO"/>
    <s v="BRUNA"/>
    <d v="2025-10-24T00:00:00"/>
    <x v="2"/>
  </r>
  <r>
    <n v="66830"/>
    <s v="MARCIO GOMES DA SILVA"/>
    <s v="MPR"/>
    <s v="ADM"/>
    <n v="50003297"/>
    <x v="8"/>
    <n v="1"/>
    <s v="REALIZADO"/>
    <s v="MATHEUS"/>
    <d v="2025-10-24T00:00:00"/>
    <x v="0"/>
  </r>
  <r>
    <n v="62033"/>
    <s v="ODAIR JOSE DA SILVA"/>
    <s v="MME"/>
    <s v="2º TURNO"/>
    <n v="50038956"/>
    <x v="10"/>
    <n v="1"/>
    <s v="REALIZADO"/>
    <s v="KELLY"/>
    <d v="2025-10-24T00:00:00"/>
    <x v="2"/>
  </r>
  <r>
    <n v="62033"/>
    <s v="ODAIR JOSE DA SILVA"/>
    <s v="MME"/>
    <s v="2º TURNO"/>
    <n v="50038956"/>
    <x v="10"/>
    <n v="1"/>
    <s v="REALIZADO"/>
    <s v="KELLY"/>
    <d v="2025-10-24T00:00:00"/>
    <x v="2"/>
  </r>
  <r>
    <n v="60510"/>
    <s v="EMERSON FOSSALUZA"/>
    <s v="MME"/>
    <s v="1º TURNO"/>
    <n v="50037892"/>
    <x v="2"/>
    <n v="1"/>
    <s v="REALIZADO"/>
    <s v="MATHEUS"/>
    <d v="2025-10-24T00:00:00"/>
    <x v="2"/>
  </r>
  <r>
    <n v="78886"/>
    <s v="DOUGLAS FELICIANO MENDES DE OLIVEIRA"/>
    <s v="MME"/>
    <s v="ADM"/>
    <n v="50038841"/>
    <x v="34"/>
    <n v="1"/>
    <s v="REALIZADO"/>
    <s v="MATHEUS"/>
    <d v="2025-10-24T00:00:00"/>
    <x v="0"/>
  </r>
  <r>
    <n v="63713"/>
    <s v="BRUNO DIAS"/>
    <s v="MME"/>
    <s v="ADM"/>
    <n v="50041195"/>
    <x v="21"/>
    <n v="1"/>
    <s v="REALIZADO"/>
    <s v="AGATHA"/>
    <d v="2025-10-24T00:00:00"/>
    <x v="2"/>
  </r>
  <r>
    <n v="63713"/>
    <s v="BRUNO DIAS"/>
    <s v="MME"/>
    <s v="ADM"/>
    <n v="50041195"/>
    <x v="21"/>
    <n v="1"/>
    <s v="REALIZADO"/>
    <s v="BRUNA"/>
    <d v="2025-10-24T00:00:00"/>
    <x v="0"/>
  </r>
  <r>
    <n v="66790"/>
    <s v="EVERTON BOLOGNES"/>
    <s v="MMG"/>
    <s v="2º TURNO"/>
    <n v="50043151"/>
    <x v="86"/>
    <n v="1"/>
    <s v="REALIZADO"/>
    <s v="KELLY"/>
    <d v="2025-10-24T00:00:00"/>
    <x v="2"/>
  </r>
  <r>
    <n v="66790"/>
    <s v="EVERTON BOLOGNES"/>
    <s v="MMG"/>
    <s v="2º TURNO"/>
    <n v="50043151"/>
    <x v="86"/>
    <n v="1"/>
    <s v="REALIZADO"/>
    <s v="KELLY"/>
    <d v="2025-10-24T00:00:00"/>
    <x v="0"/>
  </r>
  <r>
    <n v="63770"/>
    <s v="DANILO DA SILVA"/>
    <s v="MMG"/>
    <s v="ADM"/>
    <n v="50043151"/>
    <x v="86"/>
    <n v="1"/>
    <s v="REALIZADO"/>
    <s v="KELLY"/>
    <d v="2025-10-24T00:00:00"/>
    <x v="2"/>
  </r>
  <r>
    <n v="63770"/>
    <s v="DANILO DA SILVA"/>
    <s v="MMG"/>
    <s v="ADM"/>
    <n v="50043151"/>
    <x v="86"/>
    <n v="1"/>
    <s v="REALIZADO"/>
    <s v="AGATHA"/>
    <d v="2025-10-24T00:00:00"/>
    <x v="0"/>
  </r>
  <r>
    <n v="74611"/>
    <s v="CRISTIAM BORGES"/>
    <s v="MPR"/>
    <s v="ADM"/>
    <n v="50010031"/>
    <x v="20"/>
    <n v="1"/>
    <s v="REALIZADO"/>
    <s v="GEOVANE"/>
    <d v="2025-10-23T00:00:00"/>
    <x v="2"/>
  </r>
  <r>
    <n v="74611"/>
    <s v="CRISTIAM BORGES"/>
    <s v="MPR"/>
    <s v="ADM"/>
    <n v="50010031"/>
    <x v="20"/>
    <n v="1"/>
    <s v="REALIZADO"/>
    <s v="BRUNO"/>
    <d v="2025-10-23T00:00:00"/>
    <x v="2"/>
  </r>
  <r>
    <n v="65482"/>
    <s v="RAFAEL BALBINO PEREIRA"/>
    <s v="MMG"/>
    <s v="ADM"/>
    <n v="50036086"/>
    <x v="3"/>
    <n v="1"/>
    <s v="REALIZADO"/>
    <s v="MATHEUS"/>
    <d v="2025-10-23T00:00:00"/>
    <x v="0"/>
  </r>
  <r>
    <n v="66830"/>
    <s v="MARCIO GOMES DA SILVA"/>
    <s v="MPR"/>
    <s v="ADM"/>
    <n v="50003173"/>
    <x v="29"/>
    <n v="1"/>
    <s v="REALIZADO"/>
    <s v="GEOVANE"/>
    <d v="2025-10-23T00:00:00"/>
    <x v="2"/>
  </r>
  <r>
    <n v="66830"/>
    <s v="MARCIO GOMES DA SILVA"/>
    <s v="MPR"/>
    <s v="ADM"/>
    <n v="50003173"/>
    <x v="29"/>
    <n v="1"/>
    <s v="REALIZADO"/>
    <s v="MATHEUS"/>
    <d v="2025-10-23T00:00:00"/>
    <x v="2"/>
  </r>
  <r>
    <n v="68760"/>
    <s v="FERDINANDO PAZINI"/>
    <s v="MMG"/>
    <s v="ADM"/>
    <n v="50039718"/>
    <x v="11"/>
    <n v="1"/>
    <s v="REALIZADO"/>
    <s v="MATHEUS"/>
    <d v="2025-10-23T00:00:00"/>
    <x v="2"/>
  </r>
  <r>
    <n v="74611"/>
    <s v="CRISTIAM BORGES"/>
    <s v="MPR"/>
    <s v="ADM"/>
    <n v="50030486"/>
    <x v="17"/>
    <n v="1"/>
    <s v="REALIZADO"/>
    <s v="GEOVANE"/>
    <d v="2025-10-23T00:00:00"/>
    <x v="2"/>
  </r>
  <r>
    <n v="72715"/>
    <s v="DANIEL CAMAÇARI DE OLIVEIRA"/>
    <s v="MPR"/>
    <s v="ADM"/>
    <n v="50039236"/>
    <x v="84"/>
    <n v="1"/>
    <s v="REALIZADO"/>
    <s v="GEOVANE"/>
    <d v="2025-10-23T00:00:00"/>
    <x v="0"/>
  </r>
  <r>
    <n v="63713"/>
    <s v="BRUNO DIAS"/>
    <s v="MME"/>
    <s v="ADM"/>
    <n v="50043471"/>
    <x v="5"/>
    <n v="1"/>
    <s v="REALIZADO"/>
    <s v="KELLY"/>
    <d v="2025-10-23T00:00:00"/>
    <x v="2"/>
  </r>
  <r>
    <n v="63713"/>
    <s v="BRUNO DIAS"/>
    <s v="MME"/>
    <s v="ADM"/>
    <n v="50043471"/>
    <x v="5"/>
    <n v="1"/>
    <s v="REALIZADO"/>
    <s v="BRUNO"/>
    <d v="2025-10-23T00:00:00"/>
    <x v="0"/>
  </r>
  <r>
    <n v="63713"/>
    <s v="BRUNO DIAS"/>
    <s v="MME"/>
    <s v="ADM"/>
    <n v="50003297"/>
    <x v="8"/>
    <n v="1"/>
    <s v="REALIZADO"/>
    <s v="KELLY"/>
    <d v="2025-10-23T00:00:00"/>
    <x v="2"/>
  </r>
  <r>
    <n v="63713"/>
    <s v="BRUNO DIAS"/>
    <s v="MME"/>
    <s v="ADM"/>
    <n v="50003297"/>
    <x v="8"/>
    <n v="1"/>
    <s v="REALIZADO"/>
    <s v="KELLY"/>
    <d v="2025-10-23T00:00:00"/>
    <x v="0"/>
  </r>
  <r>
    <n v="68708"/>
    <s v="CLAUDIO TADEU LEITE"/>
    <s v="MMG"/>
    <s v="ADM"/>
    <n v="50038549"/>
    <x v="6"/>
    <n v="1"/>
    <s v="REALIZADO"/>
    <s v="GEOVANE"/>
    <d v="2025-10-23T00:00:00"/>
    <x v="2"/>
  </r>
  <r>
    <n v="68708"/>
    <s v="CLAUDIO TADEU LEITE"/>
    <s v="MMG"/>
    <s v="ADM"/>
    <n v="50038549"/>
    <x v="6"/>
    <n v="1"/>
    <s v="REALIZADO"/>
    <s v="MATHEUS"/>
    <d v="2025-10-23T00:00:00"/>
    <x v="2"/>
  </r>
  <r>
    <n v="73336"/>
    <s v="RODRIGO RODRIGUES"/>
    <s v="MMG"/>
    <s v="ADM"/>
    <n v="50022878"/>
    <x v="18"/>
    <n v="1"/>
    <s v="REALIZADO"/>
    <s v="GEOVANE"/>
    <d v="2025-10-23T00:00:00"/>
    <x v="0"/>
  </r>
  <r>
    <n v="77521"/>
    <s v="LUCAS LIRA"/>
    <s v="MME"/>
    <s v="ADM"/>
    <n v="50037892"/>
    <x v="2"/>
    <n v="1"/>
    <s v="REALIZADO"/>
    <s v="GEOVANE"/>
    <d v="2025-10-23T00:00:00"/>
    <x v="2"/>
  </r>
  <r>
    <n v="77521"/>
    <s v="LUCAS LIRA"/>
    <s v="MME"/>
    <s v="ADM"/>
    <n v="50037892"/>
    <x v="2"/>
    <n v="1"/>
    <s v="REALIZADO"/>
    <s v="BRUNO"/>
    <d v="2025-10-23T00:00:00"/>
    <x v="0"/>
  </r>
  <r>
    <n v="76633"/>
    <s v="VINICIUS GUILHERME BARBOSA"/>
    <s v="MMG"/>
    <s v="1º TURNO"/>
    <n v="50037902"/>
    <x v="14"/>
    <n v="1"/>
    <s v="REALIZADO"/>
    <s v="BRUNO"/>
    <d v="2025-10-23T00:00:00"/>
    <x v="2"/>
  </r>
  <r>
    <n v="76633"/>
    <s v="VINICIUS GUILHERME BARBOSA"/>
    <s v="MMG"/>
    <s v="1º TURNO"/>
    <n v="50037902"/>
    <x v="14"/>
    <n v="1"/>
    <s v="REALIZADO"/>
    <s v="BRUNO"/>
    <d v="2025-10-23T00:00:00"/>
    <x v="0"/>
  </r>
  <r>
    <n v="49751"/>
    <s v="LUIS LEITE"/>
    <s v="MEE"/>
    <s v="3º TURNO"/>
    <n v="50038841"/>
    <x v="34"/>
    <n v="1"/>
    <s v="REALIZADO"/>
    <s v="GEOVANE"/>
    <d v="2025-10-23T00:00:00"/>
    <x v="2"/>
  </r>
  <r>
    <n v="49751"/>
    <s v="LUIS LEITE"/>
    <s v="MEE"/>
    <s v="3º TURNO"/>
    <n v="50038841"/>
    <x v="34"/>
    <n v="1"/>
    <s v="REALIZADO"/>
    <s v="MATHEUS"/>
    <d v="2025-10-23T00:00:00"/>
    <x v="0"/>
  </r>
  <r>
    <n v="79177"/>
    <s v="MAICON ANTONIO SANTOS"/>
    <s v="MMG"/>
    <s v="ADM"/>
    <n v="50039065"/>
    <x v="22"/>
    <n v="1"/>
    <s v="REALIZADO"/>
    <s v="BRUNA"/>
    <d v="2025-10-23T00:00:00"/>
    <x v="2"/>
  </r>
  <r>
    <n v="79177"/>
    <s v="MAICON ANTONIO SANTOS"/>
    <s v="MMG"/>
    <s v="ADM"/>
    <n v="50039065"/>
    <x v="22"/>
    <n v="1"/>
    <s v="REALIZADO"/>
    <s v="BRUNA"/>
    <d v="2025-10-23T00:00:00"/>
    <x v="0"/>
  </r>
  <r>
    <n v="76633"/>
    <s v="VINICIUS GUILHERME BARBOSA"/>
    <s v="MMG"/>
    <s v="1º TURNO"/>
    <n v="50039065"/>
    <x v="22"/>
    <n v="1"/>
    <s v="REALIZADO"/>
    <s v="BRUNO"/>
    <d v="2025-10-23T00:00:00"/>
    <x v="2"/>
  </r>
  <r>
    <n v="76633"/>
    <s v="VINICIUS GUILHERME BARBOSA"/>
    <s v="MMG"/>
    <s v="1º TURNO"/>
    <n v="50039065"/>
    <x v="22"/>
    <n v="1"/>
    <s v="REALIZADO"/>
    <s v="BRUNO"/>
    <d v="2025-10-23T00:00:00"/>
    <x v="0"/>
  </r>
  <r>
    <n v="77594"/>
    <s v="VINICIUS ROBLES"/>
    <s v="MME"/>
    <s v="ADM"/>
    <n v="50026357"/>
    <x v="24"/>
    <n v="1"/>
    <s v="REALIZADO"/>
    <s v="GEOVANE"/>
    <d v="2025-10-23T00:00:00"/>
    <x v="2"/>
  </r>
  <r>
    <n v="77594"/>
    <s v="VINICIUS ROBLES"/>
    <s v="MME"/>
    <s v="ADM"/>
    <n v="50026357"/>
    <x v="24"/>
    <n v="1"/>
    <s v="REALIZADO"/>
    <s v="GEOVANE"/>
    <d v="2025-10-23T00:00:00"/>
    <x v="0"/>
  </r>
  <r>
    <n v="78886"/>
    <s v="DOUGLAS FELICIANO MENDES DE OLIVEIRA"/>
    <s v="MME"/>
    <s v="ADM"/>
    <n v="50041195"/>
    <x v="21"/>
    <n v="1"/>
    <s v="REALIZADO"/>
    <s v="KELLY"/>
    <d v="2025-10-23T00:00:00"/>
    <x v="2"/>
  </r>
  <r>
    <n v="78886"/>
    <s v="DOUGLAS FELICIANO MENDES DE OLIVEIRA"/>
    <s v="MME"/>
    <s v="ADM"/>
    <n v="50041195"/>
    <x v="21"/>
    <n v="1"/>
    <s v="REALIZADO"/>
    <s v="GEOVANE"/>
    <d v="2025-10-23T00:00:00"/>
    <x v="2"/>
  </r>
  <r>
    <n v="64074"/>
    <s v="MARCOS FERNANDES COLOMBO"/>
    <s v="MPR"/>
    <s v="ADM"/>
    <n v="50041195"/>
    <x v="21"/>
    <n v="1"/>
    <s v="REALIZADO"/>
    <s v="MATHEUS"/>
    <d v="2025-10-23T00:00:00"/>
    <x v="0"/>
  </r>
  <r>
    <n v="63713"/>
    <s v="BRUNO DIAS"/>
    <s v="MME"/>
    <s v="ADM"/>
    <n v="50043917"/>
    <x v="66"/>
    <n v="1"/>
    <s v="REALIZADO"/>
    <s v="KELLY"/>
    <d v="2025-10-23T00:00:00"/>
    <x v="2"/>
  </r>
  <r>
    <n v="63713"/>
    <s v="BRUNO DIAS"/>
    <s v="MME"/>
    <s v="ADM"/>
    <n v="50043917"/>
    <x v="66"/>
    <n v="1"/>
    <s v="REALIZADO"/>
    <s v="BRUNO"/>
    <d v="2025-10-23T00:00:00"/>
    <x v="0"/>
  </r>
  <r>
    <n v="62896"/>
    <s v="LEONARDO BORGES"/>
    <s v="MEE"/>
    <s v="ADM"/>
    <n v="50043917"/>
    <x v="66"/>
    <n v="1"/>
    <s v="REALIZADO"/>
    <s v="BRUNO"/>
    <d v="2025-10-23T00:00:00"/>
    <x v="2"/>
  </r>
  <r>
    <n v="62896"/>
    <s v="LEONARDO BORGES"/>
    <s v="MEE"/>
    <s v="ADM"/>
    <n v="50043917"/>
    <x v="66"/>
    <n v="1"/>
    <s v="REALIZADO"/>
    <s v="MATHEUS"/>
    <d v="2025-10-23T00:00:00"/>
    <x v="0"/>
  </r>
  <r>
    <n v="73336"/>
    <s v="RODRIGO RODRIGUES"/>
    <s v="MMG"/>
    <s v="ADM"/>
    <n v="50012902"/>
    <x v="30"/>
    <n v="1"/>
    <s v="REALIZADO"/>
    <s v="BRUNO"/>
    <d v="2025-10-23T00:00:00"/>
    <x v="2"/>
  </r>
  <r>
    <n v="73336"/>
    <s v="RODRIGO RODRIGUES"/>
    <s v="MMG"/>
    <s v="ADM"/>
    <n v="50012902"/>
    <x v="30"/>
    <n v="1"/>
    <s v="REALIZADO"/>
    <s v="BRUNO"/>
    <d v="2025-10-23T00:00:00"/>
    <x v="0"/>
  </r>
  <r>
    <n v="73336"/>
    <s v="RODRIGO RODRIGUES"/>
    <s v="MMG"/>
    <s v="ADM"/>
    <n v="50032775"/>
    <x v="13"/>
    <n v="1"/>
    <s v="REALIZADO"/>
    <s v="BRUNO"/>
    <d v="2025-10-23T00:00:00"/>
    <x v="2"/>
  </r>
  <r>
    <n v="73336"/>
    <s v="RODRIGO RODRIGUES"/>
    <s v="MMG"/>
    <s v="ADM"/>
    <n v="50032775"/>
    <x v="13"/>
    <n v="1"/>
    <s v="REALIZADO"/>
    <s v="BRUNO"/>
    <d v="2025-10-23T00:00:00"/>
    <x v="2"/>
  </r>
  <r>
    <n v="68708"/>
    <s v="CLAUDIO TADEU LEITE"/>
    <s v="MMG"/>
    <s v="ADM"/>
    <n v="50042283"/>
    <x v="47"/>
    <n v="1"/>
    <s v="REALIZADO"/>
    <s v="MATHEUS"/>
    <d v="2025-10-23T00:00:00"/>
    <x v="0"/>
  </r>
  <r>
    <n v="63713"/>
    <s v="BRUNO DIAS"/>
    <s v="MME"/>
    <s v="ADM"/>
    <n v="50010031"/>
    <x v="20"/>
    <n v="1"/>
    <s v="REALIZADO"/>
    <s v="KELLY"/>
    <d v="2025-10-22T00:00:00"/>
    <x v="2"/>
  </r>
  <r>
    <n v="63713"/>
    <s v="BRUNO DIAS"/>
    <s v="MME"/>
    <s v="ADM"/>
    <n v="50010031"/>
    <x v="20"/>
    <n v="1"/>
    <s v="REALIZADO"/>
    <s v="BRUNA"/>
    <d v="2025-10-22T00:00:00"/>
    <x v="2"/>
  </r>
  <r>
    <n v="65900"/>
    <s v="DANILO CARVALHO VAIDELLO"/>
    <s v="MME"/>
    <s v="2º TURNO"/>
    <n v="50036296"/>
    <x v="46"/>
    <n v="1"/>
    <s v="REALIZADO"/>
    <s v="AGATHA"/>
    <d v="2025-10-22T00:00:00"/>
    <x v="2"/>
  </r>
  <r>
    <n v="66830"/>
    <s v="MARCIO GOMES DA SILVA"/>
    <s v="MPR"/>
    <s v="ADM"/>
    <n v="50036086"/>
    <x v="3"/>
    <n v="1"/>
    <s v="REALIZADO"/>
    <s v="BRUNA"/>
    <d v="2025-10-22T00:00:00"/>
    <x v="2"/>
  </r>
  <r>
    <n v="73878"/>
    <s v="EVANDRO TANAKA"/>
    <s v="MMG"/>
    <s v="ADM"/>
    <n v="50039718"/>
    <x v="11"/>
    <n v="1"/>
    <s v="REALIZADO"/>
    <s v="KELLY"/>
    <d v="2025-10-22T00:00:00"/>
    <x v="2"/>
  </r>
  <r>
    <n v="79177"/>
    <s v="MAICON ANTONIO SANTOS"/>
    <s v="MMG"/>
    <s v="ADM"/>
    <n v="50039718"/>
    <x v="11"/>
    <n v="1"/>
    <s v="REALIZADO"/>
    <s v="GEOVANE"/>
    <d v="2025-10-22T00:00:00"/>
    <x v="0"/>
  </r>
  <r>
    <n v="60763"/>
    <s v="LEANDRO VASCONCELOS"/>
    <s v="MMG"/>
    <s v="1º TURNO"/>
    <n v="50030486"/>
    <x v="17"/>
    <n v="1"/>
    <s v="REALIZADO"/>
    <s v="BRUNA"/>
    <d v="2025-10-22T00:00:00"/>
    <x v="2"/>
  </r>
  <r>
    <n v="60763"/>
    <s v="LEANDRO VASCONCELOS"/>
    <s v="MMG"/>
    <s v="1º TURNO"/>
    <n v="50030486"/>
    <x v="17"/>
    <n v="1"/>
    <s v="REALIZADO"/>
    <s v="BRUNA"/>
    <d v="2025-10-22T00:00:00"/>
    <x v="2"/>
  </r>
  <r>
    <n v="77521"/>
    <s v="LUCAS LIRA"/>
    <s v="MME"/>
    <s v="ADM"/>
    <n v="50043471"/>
    <x v="5"/>
    <n v="1"/>
    <s v="REALIZADO"/>
    <s v="BRUNA"/>
    <d v="2025-10-22T00:00:00"/>
    <x v="0"/>
  </r>
  <r>
    <n v="63713"/>
    <s v="BRUNO DIAS"/>
    <s v="MME"/>
    <s v="ADM"/>
    <n v="50003297"/>
    <x v="8"/>
    <n v="1"/>
    <s v="REALIZADO"/>
    <s v="AGATHA"/>
    <d v="2025-10-22T00:00:00"/>
    <x v="2"/>
  </r>
  <r>
    <n v="63713"/>
    <s v="BRUNO DIAS"/>
    <s v="MME"/>
    <s v="ADM"/>
    <n v="50003297"/>
    <x v="8"/>
    <n v="1"/>
    <s v="REALIZADO"/>
    <s v="BRUNA"/>
    <d v="2025-10-22T00:00:00"/>
    <x v="0"/>
  </r>
  <r>
    <n v="63713"/>
    <s v="BRUNO DIAS"/>
    <s v="MME"/>
    <s v="ADM"/>
    <n v="50043320"/>
    <x v="35"/>
    <n v="1"/>
    <s v="REALIZADO"/>
    <s v="AGATHA"/>
    <d v="2025-10-22T00:00:00"/>
    <x v="2"/>
  </r>
  <r>
    <n v="63713"/>
    <s v="BRUNO DIAS"/>
    <s v="MME"/>
    <s v="ADM"/>
    <n v="50043320"/>
    <x v="35"/>
    <n v="1"/>
    <s v="REALIZADO"/>
    <s v="BRUNA"/>
    <d v="2025-10-22T00:00:00"/>
    <x v="0"/>
  </r>
  <r>
    <n v="66830"/>
    <s v="MARCIO GOMES DA SILVA"/>
    <s v="MPR"/>
    <s v="ADM"/>
    <n v="50038549"/>
    <x v="6"/>
    <n v="1"/>
    <s v="REALIZADO"/>
    <s v="AGATHA"/>
    <d v="2025-10-22T00:00:00"/>
    <x v="2"/>
  </r>
  <r>
    <n v="66830"/>
    <s v="MARCIO GOMES DA SILVA"/>
    <s v="MPR"/>
    <s v="ADM"/>
    <n v="50038549"/>
    <x v="6"/>
    <n v="1"/>
    <s v="REALIZADO"/>
    <s v="AGATHA"/>
    <d v="2025-10-22T00:00:00"/>
    <x v="2"/>
  </r>
  <r>
    <n v="61264"/>
    <s v="EVERTON GERONIMO"/>
    <s v="MMG"/>
    <s v="ADM"/>
    <n v="50038549"/>
    <x v="6"/>
    <n v="1"/>
    <s v="REALIZADO"/>
    <s v="BRUNA"/>
    <d v="2025-10-22T00:00:00"/>
    <x v="2"/>
  </r>
  <r>
    <n v="73336"/>
    <s v="RODRIGO RODRIGUES"/>
    <s v="MMG"/>
    <s v="ADM"/>
    <n v="50022878"/>
    <x v="18"/>
    <n v="1"/>
    <s v="REALIZADO"/>
    <s v="AGATHA"/>
    <d v="2025-10-22T00:00:00"/>
    <x v="0"/>
  </r>
  <r>
    <n v="72715"/>
    <s v="DANIEL CAMAÇARI DE OLIVEIRA"/>
    <s v="MPR"/>
    <s v="ADM"/>
    <n v="50038956"/>
    <x v="10"/>
    <n v="1"/>
    <s v="REALIZADO"/>
    <s v="AGATHA"/>
    <d v="2025-10-22T00:00:00"/>
    <x v="2"/>
  </r>
  <r>
    <n v="72715"/>
    <s v="DANIEL CAMAÇARI DE OLIVEIRA"/>
    <s v="MPR"/>
    <s v="ADM"/>
    <n v="50038956"/>
    <x v="10"/>
    <n v="1"/>
    <s v="REALIZADO"/>
    <s v="BRUNA"/>
    <d v="2025-10-22T00:00:00"/>
    <x v="0"/>
  </r>
  <r>
    <n v="62471"/>
    <s v="ELTON LIMA"/>
    <s v="MME"/>
    <s v="ADM"/>
    <n v="50037892"/>
    <x v="2"/>
    <n v="1"/>
    <s v="REALIZADO"/>
    <s v="KELLY"/>
    <d v="2025-10-22T00:00:00"/>
    <x v="2"/>
  </r>
  <r>
    <n v="62471"/>
    <s v="ELTON LIMA"/>
    <s v="MME"/>
    <s v="ADM"/>
    <n v="50037892"/>
    <x v="2"/>
    <n v="1"/>
    <s v="REALIZADO"/>
    <s v="BRUNA"/>
    <d v="2025-10-22T00:00:00"/>
    <x v="0"/>
  </r>
  <r>
    <n v="66789"/>
    <s v="ERICK GUERRA"/>
    <s v="MME"/>
    <s v="1º TURNO"/>
    <n v="50037902"/>
    <x v="14"/>
    <n v="1"/>
    <s v="REALIZADO"/>
    <s v="KELLY"/>
    <d v="2025-10-22T00:00:00"/>
    <x v="2"/>
  </r>
  <r>
    <n v="66789"/>
    <s v="ERICK GUERRA"/>
    <s v="MME"/>
    <s v="1º TURNO"/>
    <n v="50037902"/>
    <x v="14"/>
    <n v="1"/>
    <s v="REALIZADO"/>
    <s v="BRUNA"/>
    <d v="2025-10-22T00:00:00"/>
    <x v="0"/>
  </r>
  <r>
    <n v="68708"/>
    <s v="CLAUDIO TADEU LEITE"/>
    <s v="MMG"/>
    <s v="ADM"/>
    <n v="50038841"/>
    <x v="34"/>
    <n v="1"/>
    <s v="REALIZADO"/>
    <s v="AGATHA"/>
    <d v="2025-10-22T00:00:00"/>
    <x v="2"/>
  </r>
  <r>
    <n v="68708"/>
    <s v="CLAUDIO TADEU LEITE"/>
    <s v="MMG"/>
    <s v="ADM"/>
    <n v="50038841"/>
    <x v="34"/>
    <n v="1"/>
    <s v="REALIZADO"/>
    <s v="BRUNA"/>
    <d v="2025-10-22T00:00:00"/>
    <x v="0"/>
  </r>
  <r>
    <n v="64253"/>
    <s v="DANIEL JULIAO"/>
    <s v="MMG"/>
    <s v="ADM"/>
    <n v="50038517"/>
    <x v="0"/>
    <n v="1"/>
    <s v="REALIZADO"/>
    <s v="AGATHA"/>
    <d v="2025-10-22T00:00:00"/>
    <x v="2"/>
  </r>
  <r>
    <n v="64253"/>
    <s v="DANIEL JULIAO"/>
    <s v="MMG"/>
    <s v="ADM"/>
    <n v="50038517"/>
    <x v="0"/>
    <n v="1"/>
    <s v="REALIZADO"/>
    <s v="BRUNA"/>
    <d v="2025-10-22T00:00:00"/>
    <x v="2"/>
  </r>
  <r>
    <n v="73878"/>
    <s v="EVANDRO TANAKA"/>
    <s v="MMG"/>
    <s v="ADM"/>
    <n v="50037926"/>
    <x v="52"/>
    <n v="1"/>
    <s v="REALIZADO"/>
    <s v="KELLY"/>
    <d v="2025-10-22T00:00:00"/>
    <x v="0"/>
  </r>
  <r>
    <n v="66830"/>
    <s v="MARCIO GOMES DA SILVA"/>
    <s v="MPR"/>
    <s v="ADM"/>
    <n v="50026357"/>
    <x v="24"/>
    <n v="1"/>
    <s v="REALIZADO"/>
    <s v="AGATHA"/>
    <d v="2025-10-22T00:00:00"/>
    <x v="2"/>
  </r>
  <r>
    <n v="66830"/>
    <s v="MARCIO GOMES DA SILVA"/>
    <s v="MPR"/>
    <s v="ADM"/>
    <n v="50026357"/>
    <x v="24"/>
    <n v="1"/>
    <s v="REALIZADO"/>
    <s v="AGATHA"/>
    <d v="2025-10-22T00:00:00"/>
    <x v="0"/>
  </r>
  <r>
    <n v="75361"/>
    <s v="WILSON CARVALHO GARCIA JUNIOR"/>
    <s v="MEE"/>
    <s v="ADM"/>
    <n v="50026357"/>
    <x v="24"/>
    <n v="1"/>
    <s v="REALIZADO"/>
    <s v="AGATHA"/>
    <d v="2025-10-22T00:00:00"/>
    <x v="2"/>
  </r>
  <r>
    <n v="75361"/>
    <s v="WILSON CARVALHO GARCIA JUNIOR"/>
    <s v="MEE"/>
    <s v="ADM"/>
    <n v="50026357"/>
    <x v="24"/>
    <n v="1"/>
    <s v="REALIZADO"/>
    <s v="AGATHA"/>
    <d v="2025-10-22T00:00:00"/>
    <x v="2"/>
  </r>
  <r>
    <n v="69510"/>
    <s v="GABRIEL CAIXETA"/>
    <s v="MEE"/>
    <s v="ADM"/>
    <n v="50038662"/>
    <x v="59"/>
    <n v="1"/>
    <s v="REALIZADO"/>
    <s v="AGATHA"/>
    <d v="2025-10-22T00:00:00"/>
    <x v="2"/>
  </r>
  <r>
    <n v="64074"/>
    <s v="MARCOS FERNANDES COLOMBO"/>
    <s v="MPR"/>
    <s v="ADM"/>
    <n v="50041195"/>
    <x v="21"/>
    <n v="1"/>
    <s v="REALIZADO"/>
    <s v="BRUNA"/>
    <d v="2025-10-22T00:00:00"/>
    <x v="0"/>
  </r>
  <r>
    <n v="63713"/>
    <s v="BRUNO DIAS"/>
    <s v="MME"/>
    <s v="ADM"/>
    <n v="50043917"/>
    <x v="66"/>
    <n v="1"/>
    <s v="REALIZADO"/>
    <s v="AGATHA"/>
    <d v="2025-10-22T00:00:00"/>
    <x v="2"/>
  </r>
  <r>
    <n v="63713"/>
    <s v="BRUNO DIAS"/>
    <s v="MME"/>
    <s v="ADM"/>
    <n v="50043917"/>
    <x v="66"/>
    <n v="1"/>
    <s v="REALIZADO"/>
    <s v="BRUNA"/>
    <d v="2025-10-22T00:00:00"/>
    <x v="2"/>
  </r>
  <r>
    <n v="62444"/>
    <s v="VALMIR GREGUI"/>
    <s v="MMG"/>
    <s v="3º TURNO"/>
    <n v="50043917"/>
    <x v="66"/>
    <n v="1"/>
    <s v="REALIZADO"/>
    <s v="MARINA"/>
    <d v="2025-10-22T00:00:00"/>
    <x v="0"/>
  </r>
  <r>
    <n v="62444"/>
    <s v="VALMIR GREGUI"/>
    <s v="MMG"/>
    <s v="3º TURNO"/>
    <n v="50043917"/>
    <x v="66"/>
    <n v="1"/>
    <s v="REALIZADO"/>
    <s v="MARINA"/>
    <d v="2025-10-22T00:00:00"/>
    <x v="0"/>
  </r>
  <r>
    <n v="61264"/>
    <s v="EVERTON GERONIMO"/>
    <s v="MMG"/>
    <s v="ADM"/>
    <n v="50044453"/>
    <x v="98"/>
    <n v="1"/>
    <s v="REALIZADO"/>
    <s v="AGATHA"/>
    <d v="2025-10-22T00:00:00"/>
    <x v="2"/>
  </r>
  <r>
    <n v="61264"/>
    <s v="EVERTON GERONIMO"/>
    <s v="MMG"/>
    <s v="ADM"/>
    <n v="50044453"/>
    <x v="98"/>
    <n v="1"/>
    <s v="REALIZADO"/>
    <s v="AGATHA"/>
    <d v="2025-10-22T00:00:00"/>
    <x v="0"/>
  </r>
  <r>
    <n v="77526"/>
    <s v="FELIPE GARÇONI"/>
    <s v="MME"/>
    <s v="ADM"/>
    <n v="50032781"/>
    <x v="12"/>
    <n v="1"/>
    <s v="REALIZADO"/>
    <s v="AGATHA"/>
    <d v="2025-10-22T00:00:00"/>
    <x v="2"/>
  </r>
  <r>
    <n v="77526"/>
    <s v="FELIPE GARÇONI"/>
    <s v="MME"/>
    <s v="ADM"/>
    <n v="50032781"/>
    <x v="12"/>
    <n v="1"/>
    <s v="REALIZADO"/>
    <s v="AGATHA"/>
    <d v="2025-10-22T00:00:00"/>
    <x v="0"/>
  </r>
  <r>
    <n v="77526"/>
    <s v="FELIPE GARÇONI"/>
    <s v="MME"/>
    <s v="ADM"/>
    <n v="50038618"/>
    <x v="88"/>
    <n v="1"/>
    <s v="REALIZADO"/>
    <s v="AGATHA"/>
    <d v="2025-10-22T00:00:00"/>
    <x v="2"/>
  </r>
  <r>
    <n v="77526"/>
    <s v="FELIPE GARÇONI"/>
    <s v="MME"/>
    <s v="ADM"/>
    <n v="50038618"/>
    <x v="88"/>
    <n v="1"/>
    <s v="REALIZADO"/>
    <s v="AGATHA"/>
    <d v="2025-10-22T00:00:00"/>
    <x v="0"/>
  </r>
  <r>
    <n v="77526"/>
    <s v="FELIPE GARÇONI"/>
    <s v="MME"/>
    <s v="ADM"/>
    <n v="50028220"/>
    <x v="33"/>
    <n v="1"/>
    <s v="REALIZADO"/>
    <s v="AGATHA"/>
    <d v="2025-10-22T00:00:00"/>
    <x v="2"/>
  </r>
  <r>
    <n v="77526"/>
    <s v="FELIPE GARÇONI"/>
    <s v="MME"/>
    <s v="ADM"/>
    <n v="50028220"/>
    <x v="33"/>
    <n v="1"/>
    <s v="REALIZADO"/>
    <s v="AGATHA"/>
    <d v="2025-10-22T00:00:00"/>
    <x v="0"/>
  </r>
  <r>
    <n v="63713"/>
    <s v="BRUNO DIAS"/>
    <s v="MME"/>
    <s v="ADM"/>
    <n v="50010031"/>
    <x v="20"/>
    <n v="1"/>
    <s v="REALIZADO"/>
    <s v="AGATHA"/>
    <d v="2025-10-21T00:00:00"/>
    <x v="2"/>
  </r>
  <r>
    <n v="63713"/>
    <s v="BRUNO DIAS"/>
    <s v="MME"/>
    <s v="ADM"/>
    <n v="50010031"/>
    <x v="20"/>
    <n v="1"/>
    <s v="REALIZADO"/>
    <s v="AGATHA"/>
    <d v="2025-10-21T00:00:00"/>
    <x v="0"/>
  </r>
  <r>
    <n v="65084"/>
    <s v="TIAGO DE BRITO"/>
    <s v="MMG"/>
    <s v="3º TURNO"/>
    <n v="50036255"/>
    <x v="7"/>
    <n v="1"/>
    <s v="REALIZADO"/>
    <s v="MATHEUS"/>
    <d v="2025-10-21T00:00:00"/>
    <x v="2"/>
  </r>
  <r>
    <n v="65084"/>
    <s v="TIAGO DE BRITO"/>
    <s v="MMG"/>
    <s v="3º TURNO"/>
    <n v="50036255"/>
    <x v="7"/>
    <n v="1"/>
    <s v="REALIZADO"/>
    <s v="MATHEUS"/>
    <d v="2025-10-21T00:00:00"/>
    <x v="0"/>
  </r>
  <r>
    <n v="77521"/>
    <s v="LUCAS LIRA"/>
    <s v="MME"/>
    <s v="ADM"/>
    <n v="50030486"/>
    <x v="17"/>
    <n v="1"/>
    <s v="REALIZADO"/>
    <s v="AGATHA"/>
    <d v="2025-10-21T00:00:00"/>
    <x v="2"/>
  </r>
  <r>
    <n v="77521"/>
    <s v="LUCAS LIRA"/>
    <s v="MME"/>
    <s v="ADM"/>
    <n v="50030486"/>
    <x v="17"/>
    <n v="1"/>
    <s v="REALIZADO"/>
    <s v="GEOVANE"/>
    <d v="2025-10-21T00:00:00"/>
    <x v="2"/>
  </r>
  <r>
    <n v="76633"/>
    <s v="VINICIUS GUILHERME BARBOSA"/>
    <s v="MMG"/>
    <s v="1º TURNO"/>
    <n v="50039236"/>
    <x v="84"/>
    <n v="1"/>
    <s v="REALIZADO"/>
    <s v="MATHEUS"/>
    <d v="2025-10-21T00:00:00"/>
    <x v="0"/>
  </r>
  <r>
    <n v="75424"/>
    <s v="EDSON CARLOS"/>
    <s v="MME"/>
    <s v="1º TURNO"/>
    <n v="50039236"/>
    <x v="84"/>
    <n v="1"/>
    <s v="REALIZADO"/>
    <s v="MATHEUS"/>
    <d v="2025-10-21T00:00:00"/>
    <x v="2"/>
  </r>
  <r>
    <n v="75424"/>
    <s v="EDSON CARLOS"/>
    <s v="MME"/>
    <s v="1º TURNO"/>
    <n v="50039236"/>
    <x v="84"/>
    <n v="1"/>
    <s v="REALIZADO"/>
    <s v="MATHEUS"/>
    <d v="2025-10-21T00:00:00"/>
    <x v="0"/>
  </r>
  <r>
    <n v="33880"/>
    <s v="MARCO OLIVEIRA"/>
    <s v="MME"/>
    <s v="3º TURNO"/>
    <n v="50043471"/>
    <x v="5"/>
    <n v="1"/>
    <s v="REALIZADO"/>
    <s v="AGATHA"/>
    <d v="2025-10-21T00:00:00"/>
    <x v="2"/>
  </r>
  <r>
    <n v="33880"/>
    <s v="MARCO OLIVEIRA"/>
    <s v="MME"/>
    <s v="3º TURNO"/>
    <n v="50043471"/>
    <x v="5"/>
    <n v="1"/>
    <s v="REALIZADO"/>
    <s v="AGATHA"/>
    <d v="2025-10-21T00:00:00"/>
    <x v="2"/>
  </r>
  <r>
    <n v="76994"/>
    <s v="FELIPE HENRIQUE DE BRITO"/>
    <s v="MEE"/>
    <s v="ADM"/>
    <n v="50003297"/>
    <x v="8"/>
    <n v="1"/>
    <s v="REALIZADO"/>
    <s v="MATHEUS"/>
    <d v="2025-10-21T00:00:00"/>
    <x v="0"/>
  </r>
  <r>
    <n v="65084"/>
    <s v="TIAGO DE BRITO"/>
    <s v="MMG"/>
    <s v="3º TURNO"/>
    <n v="50038549"/>
    <x v="6"/>
    <n v="1"/>
    <s v="REALIZADO"/>
    <s v="MATHEUS"/>
    <d v="2025-10-21T00:00:00"/>
    <x v="2"/>
  </r>
  <r>
    <n v="65084"/>
    <s v="TIAGO DE BRITO"/>
    <s v="MMG"/>
    <s v="3º TURNO"/>
    <n v="50038549"/>
    <x v="6"/>
    <n v="1"/>
    <s v="REALIZADO"/>
    <s v="MATHEUS"/>
    <d v="2025-10-21T00:00:00"/>
    <x v="2"/>
  </r>
  <r>
    <n v="68708"/>
    <s v="CLAUDIO TADEU LEITE"/>
    <s v="MMG"/>
    <s v="ADM"/>
    <n v="50022878"/>
    <x v="18"/>
    <n v="1"/>
    <s v="REALIZADO"/>
    <s v="MATHEUS"/>
    <d v="2025-10-21T00:00:00"/>
    <x v="0"/>
  </r>
  <r>
    <n v="75424"/>
    <s v="EDSON CARLOS"/>
    <s v="MME"/>
    <s v="1º TURNO"/>
    <n v="50037892"/>
    <x v="2"/>
    <n v="1"/>
    <s v="REALIZADO"/>
    <s v="MATHEUS"/>
    <d v="2025-10-21T00:00:00"/>
    <x v="2"/>
  </r>
  <r>
    <n v="75424"/>
    <s v="EDSON CARLOS"/>
    <s v="MME"/>
    <s v="1º TURNO"/>
    <n v="50037892"/>
    <x v="2"/>
    <n v="1"/>
    <s v="REALIZADO"/>
    <s v="MATHEUS"/>
    <d v="2025-10-21T00:00:00"/>
    <x v="0"/>
  </r>
  <r>
    <n v="77521"/>
    <s v="LUCAS LIRA"/>
    <s v="MME"/>
    <s v="ADM"/>
    <n v="50038517"/>
    <x v="0"/>
    <n v="1"/>
    <s v="REALIZADO"/>
    <s v="AGATHA"/>
    <d v="2025-10-21T00:00:00"/>
    <x v="2"/>
  </r>
  <r>
    <n v="77521"/>
    <s v="LUCAS LIRA"/>
    <s v="MME"/>
    <s v="ADM"/>
    <n v="50038517"/>
    <x v="0"/>
    <n v="1"/>
    <s v="REALIZADO"/>
    <s v="AGATHA"/>
    <d v="2025-10-21T00:00:00"/>
    <x v="0"/>
  </r>
  <r>
    <n v="61264"/>
    <s v="EVERTON GERONIMO"/>
    <s v="MMG"/>
    <s v="ADM"/>
    <n v="50038517"/>
    <x v="0"/>
    <n v="1"/>
    <s v="REALIZADO"/>
    <s v="MARCIA"/>
    <d v="2025-10-21T00:00:00"/>
    <x v="2"/>
  </r>
  <r>
    <n v="61264"/>
    <s v="EVERTON GERONIMO"/>
    <s v="MMG"/>
    <s v="ADM"/>
    <n v="50038517"/>
    <x v="0"/>
    <n v="1"/>
    <s v="REALIZADO"/>
    <s v="MARCIA"/>
    <d v="2025-10-21T00:00:00"/>
    <x v="2"/>
  </r>
  <r>
    <n v="78886"/>
    <s v="DOUGLAS FELICIANO MENDES DE OLIVEIRA"/>
    <s v="MME"/>
    <s v="ADM"/>
    <n v="50038517"/>
    <x v="0"/>
    <n v="1"/>
    <s v="REALIZADO"/>
    <s v="MATHEUS"/>
    <d v="2025-10-21T00:00:00"/>
    <x v="0"/>
  </r>
  <r>
    <n v="68708"/>
    <s v="CLAUDIO TADEU LEITE"/>
    <s v="MMG"/>
    <s v="ADM"/>
    <n v="50038517"/>
    <x v="0"/>
    <n v="1"/>
    <s v="REALIZADO"/>
    <s v="MATHEUS"/>
    <d v="2025-10-21T00:00:00"/>
    <x v="2"/>
  </r>
  <r>
    <n v="68708"/>
    <s v="CLAUDIO TADEU LEITE"/>
    <s v="MMG"/>
    <s v="ADM"/>
    <n v="50038517"/>
    <x v="0"/>
    <n v="1"/>
    <s v="REALIZADO"/>
    <s v="MATHEUS"/>
    <d v="2025-10-21T00:00:00"/>
    <x v="0"/>
  </r>
  <r>
    <n v="75424"/>
    <s v="EDSON CARLOS"/>
    <s v="MME"/>
    <s v="1º TURNO"/>
    <n v="50039065"/>
    <x v="22"/>
    <n v="1"/>
    <s v="REALIZADO"/>
    <s v="AGATHA"/>
    <d v="2025-10-21T00:00:00"/>
    <x v="2"/>
  </r>
  <r>
    <n v="75424"/>
    <s v="EDSON CARLOS"/>
    <s v="MME"/>
    <s v="1º TURNO"/>
    <n v="50039065"/>
    <x v="22"/>
    <n v="1"/>
    <s v="REALIZADO"/>
    <s v="MATHEUS"/>
    <d v="2025-10-21T00:00:00"/>
    <x v="2"/>
  </r>
  <r>
    <n v="79177"/>
    <s v="MAICON ANTONIO SANTOS"/>
    <s v="MMG"/>
    <s v="ADM"/>
    <n v="50039065"/>
    <x v="22"/>
    <n v="1"/>
    <s v="REALIZADO"/>
    <s v="BRUNA"/>
    <d v="2025-10-21T00:00:00"/>
    <x v="0"/>
  </r>
  <r>
    <n v="77521"/>
    <s v="LUCAS LIRA"/>
    <s v="MME"/>
    <s v="ADM"/>
    <n v="50026357"/>
    <x v="24"/>
    <n v="1"/>
    <s v="REALIZADO"/>
    <s v="AGATHA"/>
    <d v="2025-10-21T00:00:00"/>
    <x v="2"/>
  </r>
  <r>
    <n v="77521"/>
    <s v="LUCAS LIRA"/>
    <s v="MME"/>
    <s v="ADM"/>
    <n v="50026357"/>
    <x v="24"/>
    <n v="1"/>
    <s v="REALIZADO"/>
    <s v="GEOVANE"/>
    <d v="2025-10-21T00:00:00"/>
    <x v="2"/>
  </r>
  <r>
    <n v="65900"/>
    <s v="DANILO CARVALHO VAIDELLO"/>
    <s v="MME"/>
    <s v="2º TURNO"/>
    <n v="50041195"/>
    <x v="21"/>
    <n v="1"/>
    <s v="REALIZADO"/>
    <s v="AGATHA"/>
    <d v="2025-10-21T00:00:00"/>
    <x v="0"/>
  </r>
  <r>
    <n v="77526"/>
    <s v="FELIPE GARÇONI"/>
    <s v="MME"/>
    <s v="ADM"/>
    <n v="50041195"/>
    <x v="21"/>
    <n v="1"/>
    <s v="REALIZADO"/>
    <s v="MATHEUS"/>
    <d v="2025-10-21T00:00:00"/>
    <x v="2"/>
  </r>
  <r>
    <n v="77526"/>
    <s v="FELIPE GARÇONI"/>
    <s v="MME"/>
    <s v="ADM"/>
    <n v="50041195"/>
    <x v="21"/>
    <n v="1"/>
    <s v="REALIZADO"/>
    <s v="MATHEUS"/>
    <d v="2025-10-21T00:00:00"/>
    <x v="0"/>
  </r>
  <r>
    <n v="77471"/>
    <s v="DANILO BARBOSA"/>
    <s v="MEE"/>
    <s v="ADM"/>
    <n v="50043917"/>
    <x v="66"/>
    <n v="1"/>
    <s v="REALIZADO"/>
    <s v="AGATHA"/>
    <d v="2025-10-21T00:00:00"/>
    <x v="2"/>
  </r>
  <r>
    <n v="77471"/>
    <s v="DANILO BARBOSA"/>
    <s v="MEE"/>
    <s v="ADM"/>
    <n v="50043917"/>
    <x v="66"/>
    <n v="1"/>
    <s v="REALIZADO"/>
    <s v="AGATHA"/>
    <d v="2025-10-21T00:00:00"/>
    <x v="0"/>
  </r>
  <r>
    <n v="79177"/>
    <s v="MAICON ANTONIO SANTOS"/>
    <s v="MMG"/>
    <s v="ADM"/>
    <n v="50004486"/>
    <x v="40"/>
    <n v="1"/>
    <s v="REALIZADO"/>
    <s v="MATHEUS"/>
    <d v="2025-10-21T00:00:00"/>
    <x v="2"/>
  </r>
  <r>
    <n v="79177"/>
    <s v="MAICON ANTONIO SANTOS"/>
    <s v="MMG"/>
    <s v="ADM"/>
    <n v="50004486"/>
    <x v="40"/>
    <n v="1"/>
    <s v="REALIZADO"/>
    <s v="BRUNA"/>
    <d v="2025-10-21T00:00:00"/>
    <x v="2"/>
  </r>
  <r>
    <n v="77526"/>
    <s v="FELIPE GARÇONI"/>
    <s v="MME"/>
    <s v="ADM"/>
    <n v="50032781"/>
    <x v="12"/>
    <n v="1"/>
    <s v="REALIZADO"/>
    <s v="KELLY"/>
    <d v="2025-10-21T00:00:00"/>
    <x v="2"/>
  </r>
  <r>
    <n v="78886"/>
    <s v="DOUGLAS FELICIANO MENDES DE OLIVEIRA"/>
    <s v="MME"/>
    <s v="ADM"/>
    <n v="50032781"/>
    <x v="12"/>
    <n v="1"/>
    <s v="REALIZADO"/>
    <s v="MARCIA"/>
    <d v="2025-10-21T00:00:00"/>
    <x v="0"/>
  </r>
  <r>
    <n v="63713"/>
    <s v="BRUNO DIAS"/>
    <s v="MME"/>
    <s v="ADM"/>
    <n v="50010031"/>
    <x v="20"/>
    <n v="1"/>
    <s v="REALIZADO"/>
    <s v="BRUNA"/>
    <d v="2025-10-20T00:00:00"/>
    <x v="2"/>
  </r>
  <r>
    <n v="63713"/>
    <s v="BRUNO DIAS"/>
    <s v="MME"/>
    <s v="ADM"/>
    <n v="50010031"/>
    <x v="20"/>
    <n v="1"/>
    <s v="REALIZADO"/>
    <s v="BRUNO"/>
    <d v="2025-10-20T00:00:00"/>
    <x v="2"/>
  </r>
  <r>
    <n v="62137"/>
    <s v="RAFAEL AMORIM"/>
    <s v="MME"/>
    <s v="1º TURNO"/>
    <n v="50036086"/>
    <x v="3"/>
    <n v="1"/>
    <s v="REALIZADO"/>
    <s v="BRUNO"/>
    <d v="2025-10-20T00:00:00"/>
    <x v="0"/>
  </r>
  <r>
    <n v="78675"/>
    <s v="ORLANDO GOMES"/>
    <s v="MME"/>
    <s v="1º TURNO"/>
    <n v="50043471"/>
    <x v="5"/>
    <n v="1"/>
    <s v="REALIZADO"/>
    <s v="BRUNA"/>
    <d v="2025-10-20T00:00:00"/>
    <x v="2"/>
  </r>
  <r>
    <n v="78675"/>
    <s v="ORLANDO GOMES"/>
    <s v="MME"/>
    <s v="1º TURNO"/>
    <n v="50043471"/>
    <x v="5"/>
    <n v="1"/>
    <s v="REALIZADO"/>
    <s v="BRUNO"/>
    <d v="2025-10-20T00:00:00"/>
    <x v="0"/>
  </r>
  <r>
    <n v="60115"/>
    <s v="REINALDO FERREIRA"/>
    <s v="MME"/>
    <s v="2º TURNO"/>
    <n v="50037892"/>
    <x v="2"/>
    <n v="1"/>
    <s v="REALIZADO"/>
    <s v="KELLY"/>
    <d v="2025-10-20T00:00:00"/>
    <x v="2"/>
  </r>
  <r>
    <n v="60115"/>
    <s v="REINALDO FERREIRA"/>
    <s v="MME"/>
    <s v="2º TURNO"/>
    <n v="50037892"/>
    <x v="2"/>
    <n v="1"/>
    <s v="REALIZADO"/>
    <s v="KELLY"/>
    <d v="2025-10-20T00:00:00"/>
    <x v="0"/>
  </r>
  <r>
    <n v="63713"/>
    <s v="BRUNO DIAS"/>
    <s v="MME"/>
    <s v="ADM"/>
    <n v="50037892"/>
    <x v="2"/>
    <n v="1"/>
    <s v="REALIZADO"/>
    <s v="KELLY"/>
    <d v="2025-10-20T00:00:00"/>
    <x v="2"/>
  </r>
  <r>
    <n v="63713"/>
    <s v="BRUNO DIAS"/>
    <s v="MME"/>
    <s v="ADM"/>
    <n v="50037892"/>
    <x v="2"/>
    <n v="1"/>
    <s v="REALIZADO"/>
    <s v="AGATHA"/>
    <d v="2025-10-20T00:00:00"/>
    <x v="0"/>
  </r>
  <r>
    <n v="63713"/>
    <s v="BRUNO DIAS"/>
    <s v="MME"/>
    <s v="ADM"/>
    <n v="50037892"/>
    <x v="2"/>
    <n v="1"/>
    <s v="REALIZADO"/>
    <s v="BRUNA"/>
    <d v="2025-10-20T00:00:00"/>
    <x v="2"/>
  </r>
  <r>
    <n v="63713"/>
    <s v="BRUNO DIAS"/>
    <s v="MME"/>
    <s v="ADM"/>
    <n v="50037892"/>
    <x v="2"/>
    <n v="1"/>
    <s v="REALIZADO"/>
    <s v="BRUNO"/>
    <d v="2025-10-20T00:00:00"/>
    <x v="0"/>
  </r>
  <r>
    <n v="76994"/>
    <s v="FELIPE HENRIQUE DE BRITO"/>
    <s v="MEE"/>
    <s v="ADM"/>
    <n v="50038841"/>
    <x v="34"/>
    <n v="1"/>
    <s v="REALIZADO"/>
    <s v="AGATHA"/>
    <d v="2025-10-20T00:00:00"/>
    <x v="2"/>
  </r>
  <r>
    <n v="76994"/>
    <s v="FELIPE HENRIQUE DE BRITO"/>
    <s v="MEE"/>
    <s v="ADM"/>
    <n v="50038841"/>
    <x v="34"/>
    <n v="1"/>
    <s v="REALIZADO"/>
    <s v="AGATHA"/>
    <d v="2025-10-20T00:00:00"/>
    <x v="2"/>
  </r>
  <r>
    <n v="62896"/>
    <s v="LEONARDO BORGES"/>
    <s v="MEE"/>
    <s v="ADM"/>
    <n v="50038841"/>
    <x v="34"/>
    <n v="1"/>
    <s v="REALIZADO"/>
    <s v="BRUNO"/>
    <d v="2025-10-20T00:00:00"/>
    <x v="0"/>
  </r>
  <r>
    <n v="77526"/>
    <s v="FELIPE GARÇONI"/>
    <s v="MME"/>
    <s v="ADM"/>
    <n v="50038517"/>
    <x v="0"/>
    <n v="1"/>
    <s v="REALIZADO"/>
    <s v="AGATHA"/>
    <d v="2025-10-20T00:00:00"/>
    <x v="0"/>
  </r>
  <r>
    <n v="78678"/>
    <s v="MARLOM ROGERIO VIEIRA"/>
    <s v="MME"/>
    <s v="ADM"/>
    <n v="50038517"/>
    <x v="0"/>
    <n v="1"/>
    <s v="REALIZADO"/>
    <s v="AGATHA"/>
    <d v="2025-10-20T00:00:00"/>
    <x v="2"/>
  </r>
  <r>
    <n v="78678"/>
    <s v="MARLOM ROGERIO VIEIRA"/>
    <s v="MME"/>
    <s v="ADM"/>
    <n v="50038517"/>
    <x v="0"/>
    <n v="1"/>
    <s v="REALIZADO"/>
    <s v="BRUNO"/>
    <d v="2025-10-20T00:00:00"/>
    <x v="0"/>
  </r>
  <r>
    <n v="73336"/>
    <s v="RODRIGO RODRIGUES"/>
    <s v="MMG"/>
    <s v="ADM"/>
    <n v="50001995"/>
    <x v="44"/>
    <n v="1"/>
    <s v="REALIZADO"/>
    <s v="AGATHA"/>
    <d v="2025-10-20T00:00:00"/>
    <x v="2"/>
  </r>
  <r>
    <n v="73336"/>
    <s v="RODRIGO RODRIGUES"/>
    <s v="MMG"/>
    <s v="ADM"/>
    <n v="50001995"/>
    <x v="44"/>
    <n v="1"/>
    <s v="REALIZADO"/>
    <s v="AGATHA"/>
    <d v="2025-10-20T00:00:00"/>
    <x v="2"/>
  </r>
  <r>
    <n v="65084"/>
    <s v="TIAGO DE BRITO"/>
    <s v="MMG"/>
    <s v="3º TURNO"/>
    <n v="50001995"/>
    <x v="44"/>
    <n v="1"/>
    <s v="REALIZADO"/>
    <s v="FABIANO"/>
    <d v="2025-10-20T00:00:00"/>
    <x v="0"/>
  </r>
  <r>
    <n v="65084"/>
    <s v="TIAGO DE BRITO"/>
    <s v="MMG"/>
    <s v="3º TURNO"/>
    <n v="50001995"/>
    <x v="44"/>
    <n v="1"/>
    <s v="REALIZADO"/>
    <s v="FABIANO"/>
    <d v="2025-10-20T00:00:00"/>
    <x v="0"/>
  </r>
  <r>
    <n v="65472"/>
    <s v="ISRAEL MACEDO"/>
    <s v="MMG"/>
    <s v="ADM"/>
    <n v="50039065"/>
    <x v="22"/>
    <n v="1"/>
    <s v="NÃO REALIZADO"/>
    <s v="KELLY"/>
    <d v="2025-10-20T00:00:00"/>
    <x v="2"/>
  </r>
  <r>
    <n v="63713"/>
    <s v="BRUNO DIAS"/>
    <s v="MME"/>
    <s v="ADM"/>
    <n v="50039065"/>
    <x v="22"/>
    <n v="1"/>
    <s v="REALIZADO"/>
    <s v="BRUNO"/>
    <d v="2025-10-20T00:00:00"/>
    <x v="0"/>
  </r>
  <r>
    <n v="69510"/>
    <s v="GABRIEL CAIXETA"/>
    <s v="MEE"/>
    <s v="ADM"/>
    <n v="50026357"/>
    <x v="24"/>
    <n v="1"/>
    <s v="REALIZADO"/>
    <s v="AGATHA"/>
    <d v="2025-10-20T00:00:00"/>
    <x v="2"/>
  </r>
  <r>
    <n v="69510"/>
    <s v="GABRIEL CAIXETA"/>
    <s v="MEE"/>
    <s v="ADM"/>
    <n v="50026357"/>
    <x v="24"/>
    <n v="1"/>
    <s v="REALIZADO"/>
    <s v="BRUNO"/>
    <d v="2025-10-20T00:00:00"/>
    <x v="0"/>
  </r>
  <r>
    <n v="64074"/>
    <s v="MARCOS FERNANDES COLOMBO"/>
    <s v="MPR"/>
    <s v="ADM"/>
    <n v="50041195"/>
    <x v="21"/>
    <n v="1"/>
    <s v="REALIZADO"/>
    <s v="AGATHA"/>
    <d v="2025-10-20T00:00:00"/>
    <x v="2"/>
  </r>
  <r>
    <n v="64074"/>
    <s v="MARCOS FERNANDES COLOMBO"/>
    <s v="MPR"/>
    <s v="ADM"/>
    <n v="50041195"/>
    <x v="21"/>
    <n v="1"/>
    <s v="REALIZADO"/>
    <s v="BRUNO"/>
    <d v="2025-10-20T00:00:00"/>
    <x v="2"/>
  </r>
  <r>
    <n v="65084"/>
    <s v="TIAGO DE BRITO"/>
    <s v="MMG"/>
    <s v="3º TURNO"/>
    <n v="50041195"/>
    <x v="21"/>
    <n v="1"/>
    <s v="REALIZADO"/>
    <s v="FABIANO"/>
    <d v="2025-10-20T00:00:00"/>
    <x v="0"/>
  </r>
  <r>
    <n v="65084"/>
    <s v="TIAGO DE BRITO"/>
    <s v="MMG"/>
    <s v="3º TURNO"/>
    <n v="50041195"/>
    <x v="21"/>
    <n v="1"/>
    <s v="REALIZADO"/>
    <s v="FABIANO"/>
    <d v="2025-10-20T00:00:00"/>
    <x v="0"/>
  </r>
  <r>
    <n v="69510"/>
    <s v="GABRIEL CAIXETA"/>
    <s v="MEE"/>
    <s v="ADM"/>
    <n v="50043917"/>
    <x v="66"/>
    <n v="1"/>
    <s v="REALIZADO"/>
    <s v="AGATHA"/>
    <d v="2025-10-20T00:00:00"/>
    <x v="2"/>
  </r>
  <r>
    <n v="69510"/>
    <s v="GABRIEL CAIXETA"/>
    <s v="MEE"/>
    <s v="ADM"/>
    <n v="50043917"/>
    <x v="66"/>
    <n v="1"/>
    <s v="REALIZADO"/>
    <s v="BRUNO"/>
    <d v="2025-10-20T00:00:00"/>
    <x v="2"/>
  </r>
  <r>
    <n v="77526"/>
    <s v="FELIPE GARÇONI"/>
    <s v="MME"/>
    <s v="ADM"/>
    <n v="50032781"/>
    <x v="12"/>
    <n v="1"/>
    <s v="REALIZADO"/>
    <s v="AGATHA"/>
    <d v="2025-10-20T00:00:00"/>
    <x v="0"/>
  </r>
  <r>
    <n v="77526"/>
    <s v="FELIPE GARÇONI"/>
    <s v="MME"/>
    <s v="ADM"/>
    <n v="50038618"/>
    <x v="88"/>
    <n v="1"/>
    <s v="REALIZADO"/>
    <s v="AGATHA"/>
    <d v="2025-10-20T00:00:00"/>
    <x v="2"/>
  </r>
  <r>
    <n v="77526"/>
    <s v="FELIPE GARÇONI"/>
    <s v="MME"/>
    <s v="ADM"/>
    <n v="50038618"/>
    <x v="88"/>
    <n v="1"/>
    <s v="REALIZADO"/>
    <s v="AGATHA"/>
    <d v="2025-10-20T00:00:00"/>
    <x v="2"/>
  </r>
  <r>
    <n v="74874"/>
    <s v="FABIANO MARQUES"/>
    <s v="MMG"/>
    <s v="ADM"/>
    <n v="50037892"/>
    <x v="2"/>
    <n v="1"/>
    <s v="REALIZADO"/>
    <s v="MARINA"/>
    <d v="2025-10-19T00:00:00"/>
    <x v="0"/>
  </r>
  <r>
    <n v="74874"/>
    <s v="FABIANO MARQUES"/>
    <s v="MMG"/>
    <s v="ADM"/>
    <n v="50037892"/>
    <x v="2"/>
    <n v="1"/>
    <s v="REALIZADO"/>
    <s v="MARINA"/>
    <d v="2025-10-19T00:00:00"/>
    <x v="2"/>
  </r>
  <r>
    <n v="62444"/>
    <s v="VALMIR GREGUI"/>
    <s v="MMG"/>
    <s v="3º TURNO"/>
    <n v="50043917"/>
    <x v="66"/>
    <n v="1"/>
    <s v="REALIZADO"/>
    <s v="FABIANO"/>
    <d v="2025-10-19T00:00:00"/>
    <x v="0"/>
  </r>
  <r>
    <n v="62444"/>
    <s v="VALMIR GREGUI"/>
    <s v="MMG"/>
    <s v="3º TURNO"/>
    <n v="50043917"/>
    <x v="66"/>
    <n v="1"/>
    <s v="REALIZADO"/>
    <s v="FABIANO"/>
    <d v="2025-10-19T00:00:00"/>
    <x v="0"/>
  </r>
  <r>
    <n v="75361"/>
    <s v="WILSON CARVALHO GARCIA JUNIOR"/>
    <s v="MEE"/>
    <s v="ADM"/>
    <n v="50039236"/>
    <x v="84"/>
    <n v="1"/>
    <s v="REALIZADO"/>
    <s v="MARCIA"/>
    <d v="2025-10-18T00:00:00"/>
    <x v="2"/>
  </r>
  <r>
    <n v="75361"/>
    <s v="WILSON CARVALHO GARCIA JUNIOR"/>
    <s v="MEE"/>
    <s v="ADM"/>
    <n v="50039236"/>
    <x v="84"/>
    <n v="1"/>
    <s v="REALIZADO"/>
    <s v="MARCIA"/>
    <d v="2025-10-18T00:00:00"/>
    <x v="0"/>
  </r>
  <r>
    <n v="75361"/>
    <s v="WILSON CARVALHO GARCIA JUNIOR"/>
    <s v="MEE"/>
    <s v="ADM"/>
    <n v="50043320"/>
    <x v="35"/>
    <n v="1"/>
    <s v="REALIZADO"/>
    <s v="MARCIA"/>
    <d v="2025-10-18T00:00:00"/>
    <x v="2"/>
  </r>
  <r>
    <n v="75361"/>
    <s v="WILSON CARVALHO GARCIA JUNIOR"/>
    <s v="MEE"/>
    <s v="ADM"/>
    <n v="50043320"/>
    <x v="35"/>
    <n v="1"/>
    <s v="REALIZADO"/>
    <s v="MARCIA"/>
    <d v="2025-10-18T00:00:00"/>
    <x v="2"/>
  </r>
  <r>
    <n v="64053"/>
    <s v="CLODOALDO DE OLIVEIRA"/>
    <s v="MMG"/>
    <s v="3º TURNO"/>
    <n v="50038841"/>
    <x v="34"/>
    <n v="1"/>
    <s v="REALIZADO"/>
    <s v="MARINA"/>
    <d v="2025-10-18T00:00:00"/>
    <x v="0"/>
  </r>
  <r>
    <n v="64053"/>
    <s v="CLODOALDO DE OLIVEIRA"/>
    <s v="MMG"/>
    <s v="3º TURNO"/>
    <n v="50038841"/>
    <x v="34"/>
    <n v="1"/>
    <s v="REALIZADO"/>
    <s v="MARINA"/>
    <d v="2025-10-18T00:00:00"/>
    <x v="2"/>
  </r>
  <r>
    <n v="58734"/>
    <s v="FABIO CARVALHO"/>
    <s v="MME"/>
    <s v="2º TURNO"/>
    <n v="50001995"/>
    <x v="44"/>
    <n v="1"/>
    <s v="REALIZADO"/>
    <s v="FELIPE"/>
    <d v="2025-10-18T00:00:00"/>
    <x v="0"/>
  </r>
  <r>
    <n v="58734"/>
    <s v="FABIO CARVALHO"/>
    <s v="MME"/>
    <s v="2º TURNO"/>
    <n v="50001995"/>
    <x v="44"/>
    <n v="1"/>
    <s v="REALIZADO"/>
    <s v="FELIPE"/>
    <d v="2025-10-18T00:00:00"/>
    <x v="2"/>
  </r>
  <r>
    <n v="74874"/>
    <s v="FABIANO MARQUES"/>
    <s v="MMG"/>
    <s v="ADM"/>
    <n v="50038626"/>
    <x v="72"/>
    <n v="1"/>
    <s v="REALIZADO"/>
    <s v="MARCIA"/>
    <d v="2025-10-18T00:00:00"/>
    <x v="2"/>
  </r>
  <r>
    <n v="75361"/>
    <s v="WILSON CARVALHO GARCIA JUNIOR"/>
    <s v="MEE"/>
    <s v="ADM"/>
    <n v="50041195"/>
    <x v="21"/>
    <n v="1"/>
    <s v="REALIZADO"/>
    <s v="MARINA"/>
    <d v="2025-10-18T00:00:00"/>
    <x v="0"/>
  </r>
  <r>
    <n v="75361"/>
    <s v="WILSON CARVALHO GARCIA JUNIOR"/>
    <s v="MEE"/>
    <s v="ADM"/>
    <n v="50041195"/>
    <x v="21"/>
    <n v="1"/>
    <s v="REALIZADO"/>
    <s v="MARINA"/>
    <d v="2025-10-18T00:00:00"/>
    <x v="0"/>
  </r>
  <r>
    <n v="63684"/>
    <s v="LUAN ALMEIDA"/>
    <s v="MME"/>
    <s v="1º TURNO"/>
    <n v="50043917"/>
    <x v="66"/>
    <n v="1"/>
    <s v="REALIZADO"/>
    <s v="MARCIA"/>
    <d v="2025-10-18T00:00:00"/>
    <x v="2"/>
  </r>
  <r>
    <n v="63684"/>
    <s v="LUAN ALMEIDA"/>
    <s v="MME"/>
    <s v="1º TURNO"/>
    <n v="50043917"/>
    <x v="66"/>
    <n v="1"/>
    <s v="REALIZADO"/>
    <s v="MARCIA"/>
    <d v="2025-10-18T00:00:00"/>
    <x v="0"/>
  </r>
  <r>
    <n v="68430"/>
    <s v="JOAO CAIXETA"/>
    <s v="MEE"/>
    <s v="1º TURNO"/>
    <n v="50036296"/>
    <x v="46"/>
    <n v="1"/>
    <s v="REALIZADO"/>
    <s v="AGATHA"/>
    <d v="2025-10-17T00:00:00"/>
    <x v="2"/>
  </r>
  <r>
    <n v="68430"/>
    <s v="JOAO CAIXETA"/>
    <s v="MEE"/>
    <s v="1º TURNO"/>
    <n v="50036296"/>
    <x v="46"/>
    <n v="1"/>
    <s v="REALIZADO"/>
    <s v="MATHEUS"/>
    <d v="2025-10-17T00:00:00"/>
    <x v="0"/>
  </r>
  <r>
    <n v="63770"/>
    <s v="DANILO DA SILVA"/>
    <s v="MMG"/>
    <s v="ADM"/>
    <n v="50012576"/>
    <x v="96"/>
    <n v="1"/>
    <s v="REALIZADO"/>
    <s v="AGATHA"/>
    <d v="2025-10-17T00:00:00"/>
    <x v="2"/>
  </r>
  <r>
    <n v="63770"/>
    <s v="DANILO DA SILVA"/>
    <s v="MMG"/>
    <s v="ADM"/>
    <n v="50012576"/>
    <x v="96"/>
    <n v="1"/>
    <s v="REALIZADO"/>
    <s v="AGATHA"/>
    <d v="2025-10-17T00:00:00"/>
    <x v="2"/>
  </r>
  <r>
    <n v="61096"/>
    <s v="REGIVALDO MEDEIROS"/>
    <s v="MME"/>
    <s v="ADM"/>
    <n v="50030486"/>
    <x v="17"/>
    <n v="1"/>
    <s v="REALIZADO"/>
    <s v="BRUNO"/>
    <d v="2025-10-17T00:00:00"/>
    <x v="0"/>
  </r>
  <r>
    <n v="64128"/>
    <s v="CRISTIANO LUIZ PEGO"/>
    <s v="UTI"/>
    <s v="2º TURNO"/>
    <n v="50039236"/>
    <x v="84"/>
    <n v="1"/>
    <s v="REALIZADO"/>
    <s v="KELLY"/>
    <d v="2025-10-17T00:00:00"/>
    <x v="2"/>
  </r>
  <r>
    <n v="64128"/>
    <s v="CRISTIANO LUIZ PEGO"/>
    <s v="UTI"/>
    <s v="2º TURNO"/>
    <n v="50039236"/>
    <x v="84"/>
    <n v="1"/>
    <s v="REALIZADO"/>
    <s v="GEOVANE"/>
    <d v="2025-10-17T00:00:00"/>
    <x v="0"/>
  </r>
  <r>
    <n v="77526"/>
    <s v="FELIPE GARÇONI"/>
    <s v="MME"/>
    <s v="ADM"/>
    <n v="50043471"/>
    <x v="5"/>
    <n v="1"/>
    <s v="REALIZADO"/>
    <s v="AGATHA"/>
    <d v="2025-10-17T00:00:00"/>
    <x v="2"/>
  </r>
  <r>
    <n v="62471"/>
    <s v="ELTON LIMA"/>
    <s v="MME"/>
    <s v="ADM"/>
    <n v="50043471"/>
    <x v="5"/>
    <n v="1"/>
    <s v="REALIZADO"/>
    <s v="BRUNO"/>
    <d v="2025-10-17T00:00:00"/>
    <x v="0"/>
  </r>
  <r>
    <n v="77521"/>
    <s v="LUCAS LIRA"/>
    <s v="MME"/>
    <s v="ADM"/>
    <n v="50003297"/>
    <x v="8"/>
    <n v="1"/>
    <s v="REALIZADO"/>
    <s v="KELLY"/>
    <d v="2025-10-17T00:00:00"/>
    <x v="2"/>
  </r>
  <r>
    <n v="77521"/>
    <s v="LUCAS LIRA"/>
    <s v="MME"/>
    <s v="ADM"/>
    <n v="50003297"/>
    <x v="8"/>
    <n v="1"/>
    <s v="REALIZADO"/>
    <s v="AGATHA"/>
    <d v="2025-10-17T00:00:00"/>
    <x v="0"/>
  </r>
  <r>
    <n v="64128"/>
    <s v="CRISTIANO LUIZ PEGO"/>
    <s v="UTI"/>
    <s v="2º TURNO"/>
    <n v="50038956"/>
    <x v="10"/>
    <n v="1"/>
    <s v="REALIZADO"/>
    <s v="KELLY"/>
    <d v="2025-10-17T00:00:00"/>
    <x v="2"/>
  </r>
  <r>
    <n v="64128"/>
    <s v="CRISTIANO LUIZ PEGO"/>
    <s v="UTI"/>
    <s v="2º TURNO"/>
    <n v="50038956"/>
    <x v="10"/>
    <n v="1"/>
    <s v="REALIZADO"/>
    <s v="AGATHA"/>
    <d v="2025-10-17T00:00:00"/>
    <x v="2"/>
  </r>
  <r>
    <n v="64074"/>
    <s v="MARCOS FERNANDES COLOMBO"/>
    <s v="MPR"/>
    <s v="ADM"/>
    <n v="50037892"/>
    <x v="2"/>
    <n v="1"/>
    <s v="REALIZADO"/>
    <s v="BRUNO"/>
    <d v="2025-10-17T00:00:00"/>
    <x v="2"/>
  </r>
  <r>
    <n v="68708"/>
    <s v="CLAUDIO TADEU LEITE"/>
    <s v="MMG"/>
    <s v="ADM"/>
    <n v="50037902"/>
    <x v="14"/>
    <n v="1"/>
    <s v="REALIZADO"/>
    <s v="BRUNO"/>
    <d v="2025-10-17T00:00:00"/>
    <x v="2"/>
  </r>
  <r>
    <n v="60546"/>
    <s v="EMERSON DOS SANTOS"/>
    <s v="MMG"/>
    <s v="3º TURNO"/>
    <n v="50037902"/>
    <x v="14"/>
    <n v="1"/>
    <s v="REALIZADO"/>
    <s v="FABIANO"/>
    <d v="2025-10-17T00:00:00"/>
    <x v="0"/>
  </r>
  <r>
    <n v="60546"/>
    <s v="EMERSON DOS SANTOS"/>
    <s v="MMG"/>
    <s v="3º TURNO"/>
    <n v="50037902"/>
    <x v="14"/>
    <n v="1"/>
    <s v="REALIZADO"/>
    <s v="FABIANO"/>
    <d v="2025-10-17T00:00:00"/>
    <x v="0"/>
  </r>
  <r>
    <n v="77526"/>
    <s v="FELIPE GARÇONI"/>
    <s v="MME"/>
    <s v="ADM"/>
    <n v="50038841"/>
    <x v="34"/>
    <n v="1"/>
    <s v="REALIZADO"/>
    <s v="AGATHA"/>
    <d v="2025-10-17T00:00:00"/>
    <x v="2"/>
  </r>
  <r>
    <n v="77526"/>
    <s v="FELIPE GARÇONI"/>
    <s v="MME"/>
    <s v="ADM"/>
    <n v="50038841"/>
    <x v="34"/>
    <n v="1"/>
    <s v="REALIZADO"/>
    <s v="BRUNO"/>
    <d v="2025-10-17T00:00:00"/>
    <x v="0"/>
  </r>
  <r>
    <n v="63713"/>
    <s v="BRUNO DIAS"/>
    <s v="MME"/>
    <s v="ADM"/>
    <n v="50038517"/>
    <x v="0"/>
    <n v="1"/>
    <s v="REALIZADO"/>
    <s v="AGATHA"/>
    <d v="2025-10-17T00:00:00"/>
    <x v="2"/>
  </r>
  <r>
    <n v="63713"/>
    <s v="BRUNO DIAS"/>
    <s v="MME"/>
    <s v="ADM"/>
    <n v="50038517"/>
    <x v="0"/>
    <n v="1"/>
    <s v="REALIZADO"/>
    <s v="BRUNO"/>
    <d v="2025-10-17T00:00:00"/>
    <x v="0"/>
  </r>
  <r>
    <n v="63713"/>
    <s v="BRUNO DIAS"/>
    <s v="MME"/>
    <s v="ADM"/>
    <n v="50039065"/>
    <x v="22"/>
    <n v="1"/>
    <s v="REALIZADO"/>
    <s v="AGATHA"/>
    <d v="2025-10-17T00:00:00"/>
    <x v="2"/>
  </r>
  <r>
    <n v="63713"/>
    <s v="BRUNO DIAS"/>
    <s v="MME"/>
    <s v="ADM"/>
    <n v="50039065"/>
    <x v="22"/>
    <n v="1"/>
    <s v="REALIZADO"/>
    <s v="BRUNO"/>
    <d v="2025-10-17T00:00:00"/>
    <x v="0"/>
  </r>
  <r>
    <n v="66830"/>
    <s v="MARCIO GOMES DA SILVA"/>
    <s v="MPR"/>
    <s v="ADM"/>
    <n v="50026357"/>
    <x v="24"/>
    <n v="1"/>
    <s v="REALIZADO"/>
    <s v="AGATHA"/>
    <d v="2025-10-17T00:00:00"/>
    <x v="2"/>
  </r>
  <r>
    <n v="66830"/>
    <s v="MARCIO GOMES DA SILVA"/>
    <s v="MPR"/>
    <s v="ADM"/>
    <n v="50026357"/>
    <x v="24"/>
    <n v="1"/>
    <s v="REALIZADO"/>
    <s v="GEOVANE"/>
    <d v="2025-10-17T00:00:00"/>
    <x v="0"/>
  </r>
  <r>
    <n v="63684"/>
    <s v="LUAN ALMEIDA"/>
    <s v="MME"/>
    <s v="1º TURNO"/>
    <n v="50043917"/>
    <x v="66"/>
    <n v="1"/>
    <s v="REALIZADO"/>
    <s v="KELLY"/>
    <d v="2025-10-17T00:00:00"/>
    <x v="0"/>
  </r>
  <r>
    <n v="63684"/>
    <s v="LUAN ALMEIDA"/>
    <s v="MME"/>
    <s v="1º TURNO"/>
    <n v="50043917"/>
    <x v="66"/>
    <n v="1"/>
    <s v="REALIZADO"/>
    <s v="AGATHA"/>
    <d v="2025-10-17T00:00:00"/>
    <x v="2"/>
  </r>
  <r>
    <n v="63684"/>
    <s v="LUAN ALMEIDA"/>
    <s v="MME"/>
    <s v="1º TURNO"/>
    <n v="50043917"/>
    <x v="66"/>
    <n v="1"/>
    <s v="REALIZADO"/>
    <s v="MATHEUS"/>
    <d v="2025-10-17T00:00:00"/>
    <x v="0"/>
  </r>
  <r>
    <n v="65910"/>
    <s v="GABRIEL CAIXETA"/>
    <s v="MEE"/>
    <s v="ADM"/>
    <n v="50020622"/>
    <x v="42"/>
    <n v="1"/>
    <s v="REALIZADO"/>
    <s v="AGATHA"/>
    <d v="2025-10-17T00:00:00"/>
    <x v="2"/>
  </r>
  <r>
    <n v="65910"/>
    <s v="GABRIEL CAIXETA"/>
    <s v="MEE"/>
    <s v="ADM"/>
    <n v="50020622"/>
    <x v="42"/>
    <n v="1"/>
    <s v="REALIZADO"/>
    <s v="AGATHA"/>
    <d v="2025-10-17T00:00:00"/>
    <x v="2"/>
  </r>
  <r>
    <n v="65844"/>
    <s v="ALTEMAR FEITOSA"/>
    <s v="MMG"/>
    <s v="1º TURNO"/>
    <n v="50012902"/>
    <x v="30"/>
    <n v="1"/>
    <s v="REALIZADO"/>
    <s v="BRUNO"/>
    <d v="2025-10-17T00:00:00"/>
    <x v="0"/>
  </r>
  <r>
    <n v="60115"/>
    <s v="REINALDO FERREIRA"/>
    <s v="MME"/>
    <s v="2º TURNO"/>
    <n v="50032781"/>
    <x v="12"/>
    <n v="1"/>
    <s v="REALIZADO"/>
    <s v="AGATHA"/>
    <d v="2025-10-17T00:00:00"/>
    <x v="2"/>
  </r>
  <r>
    <n v="60115"/>
    <s v="REINALDO FERREIRA"/>
    <s v="MME"/>
    <s v="2º TURNO"/>
    <n v="50032781"/>
    <x v="12"/>
    <n v="1"/>
    <s v="REALIZADO"/>
    <s v="AGATHA"/>
    <d v="2025-10-17T00:00:00"/>
    <x v="0"/>
  </r>
  <r>
    <n v="64074"/>
    <s v="MARCOS FERNANDES COLOMBO"/>
    <s v="MPR"/>
    <s v="ADM"/>
    <n v="50028220"/>
    <x v="33"/>
    <n v="1"/>
    <s v="REALIZADO"/>
    <s v="AGATHA"/>
    <d v="2025-10-17T00:00:00"/>
    <x v="2"/>
  </r>
  <r>
    <n v="64074"/>
    <s v="MARCOS FERNANDES COLOMBO"/>
    <s v="MPR"/>
    <s v="ADM"/>
    <n v="50028220"/>
    <x v="33"/>
    <n v="1"/>
    <s v="REALIZADO"/>
    <s v="GEOVANE"/>
    <d v="2025-10-17T00:00:00"/>
    <x v="2"/>
  </r>
  <r>
    <n v="78886"/>
    <s v="DOUGLAS FELICIANO MENDES DE OLIVEIRA"/>
    <s v="MME"/>
    <s v="ADM"/>
    <n v="50010031"/>
    <x v="20"/>
    <n v="1"/>
    <s v="REALIZADO"/>
    <s v="BRUNO"/>
    <d v="2025-10-16T00:00:00"/>
    <x v="2"/>
  </r>
  <r>
    <n v="66830"/>
    <s v="MARCIO GOMES DA SILVA"/>
    <s v="MPR"/>
    <s v="ADM"/>
    <n v="50036086"/>
    <x v="3"/>
    <n v="1"/>
    <s v="REALIZADO"/>
    <s v="BRUNO"/>
    <d v="2025-10-16T00:00:00"/>
    <x v="2"/>
  </r>
  <r>
    <n v="63713"/>
    <s v="BRUNO DIAS"/>
    <s v="MME"/>
    <s v="ADM"/>
    <n v="50003173"/>
    <x v="29"/>
    <n v="1"/>
    <s v="REALIZADO"/>
    <s v="BRUNO"/>
    <d v="2025-10-16T00:00:00"/>
    <x v="2"/>
  </r>
  <r>
    <n v="75361"/>
    <s v="WILSON CARVALHO GARCIA JUNIOR"/>
    <s v="MEE"/>
    <s v="ADM"/>
    <n v="50030486"/>
    <x v="17"/>
    <n v="1"/>
    <s v="REALIZADO"/>
    <s v="BRUNO"/>
    <d v="2025-10-16T00:00:00"/>
    <x v="2"/>
  </r>
  <r>
    <n v="78678"/>
    <s v="MARLOM ROGERIO VIEIRA"/>
    <s v="MME"/>
    <s v="ADM"/>
    <n v="50039236"/>
    <x v="84"/>
    <n v="1"/>
    <s v="REALIZADO"/>
    <s v="GEOVANE"/>
    <d v="2025-10-16T00:00:00"/>
    <x v="0"/>
  </r>
  <r>
    <n v="77521"/>
    <s v="LUCAS LIRA"/>
    <s v="MME"/>
    <s v="ADM"/>
    <n v="50043471"/>
    <x v="5"/>
    <n v="1"/>
    <s v="REALIZADO"/>
    <s v="GEOVANE"/>
    <d v="2025-10-16T00:00:00"/>
    <x v="2"/>
  </r>
  <r>
    <n v="77521"/>
    <s v="LUCAS LIRA"/>
    <s v="MME"/>
    <s v="ADM"/>
    <n v="50043471"/>
    <x v="5"/>
    <n v="1"/>
    <s v="REALIZADO"/>
    <s v="BRUNO"/>
    <d v="2025-10-16T00:00:00"/>
    <x v="0"/>
  </r>
  <r>
    <n v="75361"/>
    <s v="WILSON CARVALHO GARCIA JUNIOR"/>
    <s v="MEE"/>
    <s v="ADM"/>
    <n v="50043320"/>
    <x v="35"/>
    <n v="1"/>
    <s v="REALIZADO"/>
    <s v="GEOVANE"/>
    <d v="2025-10-16T00:00:00"/>
    <x v="2"/>
  </r>
  <r>
    <n v="75361"/>
    <s v="WILSON CARVALHO GARCIA JUNIOR"/>
    <s v="MEE"/>
    <s v="ADM"/>
    <n v="50043320"/>
    <x v="35"/>
    <n v="1"/>
    <s v="REALIZADO"/>
    <s v="BRUNO"/>
    <d v="2025-10-16T00:00:00"/>
    <x v="0"/>
  </r>
  <r>
    <n v="70052"/>
    <s v="MARCOS SANTOS"/>
    <s v="MEE"/>
    <s v="ADM"/>
    <n v="50038549"/>
    <x v="6"/>
    <n v="1"/>
    <s v="REALIZADO"/>
    <s v="BRUNA"/>
    <d v="2025-10-16T00:00:00"/>
    <x v="0"/>
  </r>
  <r>
    <n v="79177"/>
    <s v="MAICON ANTONIO SANTOS"/>
    <s v="MMG"/>
    <s v="ADM"/>
    <n v="50022878"/>
    <x v="18"/>
    <n v="1"/>
    <s v="REALIZADO"/>
    <s v="GEOVANE"/>
    <d v="2025-10-16T00:00:00"/>
    <x v="2"/>
  </r>
  <r>
    <n v="79177"/>
    <s v="MAICON ANTONIO SANTOS"/>
    <s v="MMG"/>
    <s v="ADM"/>
    <n v="50022878"/>
    <x v="18"/>
    <n v="1"/>
    <s v="REALIZADO"/>
    <s v="BRUNO"/>
    <d v="2025-10-16T00:00:00"/>
    <x v="0"/>
  </r>
  <r>
    <n v="78675"/>
    <s v="ORLANDO GOMES"/>
    <s v="MME"/>
    <s v="1º TURNO"/>
    <n v="50038956"/>
    <x v="10"/>
    <n v="1"/>
    <s v="REALIZADO"/>
    <s v="GEOVANE"/>
    <d v="2025-10-16T00:00:00"/>
    <x v="2"/>
  </r>
  <r>
    <n v="78675"/>
    <s v="ORLANDO GOMES"/>
    <s v="MME"/>
    <s v="1º TURNO"/>
    <n v="50038956"/>
    <x v="10"/>
    <n v="1"/>
    <s v="REALIZADO"/>
    <s v="BRUNO"/>
    <d v="2025-10-16T00:00:00"/>
    <x v="2"/>
  </r>
  <r>
    <n v="75361"/>
    <s v="WILSON CARVALHO GARCIA JUNIOR"/>
    <s v="MEE"/>
    <s v="ADM"/>
    <n v="50037892"/>
    <x v="2"/>
    <n v="1"/>
    <s v="REALIZADO"/>
    <s v="BRUNO"/>
    <d v="2025-10-16T00:00:00"/>
    <x v="2"/>
  </r>
  <r>
    <n v="63684"/>
    <s v="LUAN ALMEIDA"/>
    <s v="MME"/>
    <s v="1º TURNO"/>
    <n v="50037902"/>
    <x v="14"/>
    <n v="1"/>
    <s v="REALIZADO"/>
    <s v="BRUNA"/>
    <d v="2025-10-16T00:00:00"/>
    <x v="0"/>
  </r>
  <r>
    <n v="73336"/>
    <s v="RODRIGO RODRIGUES"/>
    <s v="MMG"/>
    <s v="ADM"/>
    <n v="50038841"/>
    <x v="34"/>
    <n v="1"/>
    <s v="REALIZADO"/>
    <s v="KELLY"/>
    <d v="2025-10-16T00:00:00"/>
    <x v="2"/>
  </r>
  <r>
    <n v="73336"/>
    <s v="RODRIGO RODRIGUES"/>
    <s v="MMG"/>
    <s v="ADM"/>
    <n v="50038841"/>
    <x v="34"/>
    <n v="1"/>
    <s v="REALIZADO"/>
    <s v="GEOVANE"/>
    <d v="2025-10-16T00:00:00"/>
    <x v="0"/>
  </r>
  <r>
    <n v="77521"/>
    <s v="LUCAS LIRA"/>
    <s v="MME"/>
    <s v="ADM"/>
    <n v="50038841"/>
    <x v="34"/>
    <n v="1"/>
    <s v="REALIZADO"/>
    <s v="BRUNA"/>
    <d v="2025-10-16T00:00:00"/>
    <x v="2"/>
  </r>
  <r>
    <n v="77521"/>
    <s v="LUCAS LIRA"/>
    <s v="MME"/>
    <s v="ADM"/>
    <n v="50038841"/>
    <x v="34"/>
    <n v="1"/>
    <s v="REALIZADO"/>
    <s v="BRUNO"/>
    <d v="2025-10-16T00:00:00"/>
    <x v="2"/>
  </r>
  <r>
    <n v="64074"/>
    <s v="MARCOS FERNANDES COLOMBO"/>
    <s v="MPR"/>
    <s v="ADM"/>
    <n v="50038517"/>
    <x v="0"/>
    <n v="1"/>
    <s v="REALIZADO"/>
    <s v="BRUNO"/>
    <d v="2025-10-16T00:00:00"/>
    <x v="2"/>
  </r>
  <r>
    <n v="64074"/>
    <s v="MARCOS FERNANDES COLOMBO"/>
    <s v="MPR"/>
    <s v="ADM"/>
    <n v="50037903"/>
    <x v="91"/>
    <n v="1"/>
    <s v="REALIZADO"/>
    <s v="BRUNO"/>
    <d v="2025-10-16T00:00:00"/>
    <x v="2"/>
  </r>
  <r>
    <n v="66790"/>
    <s v="EVERTON BOLOGNES"/>
    <s v="MMG"/>
    <s v="2º TURNO"/>
    <n v="50001995"/>
    <x v="44"/>
    <n v="1"/>
    <s v="REALIZADO"/>
    <s v="GEOVANE"/>
    <d v="2025-10-16T00:00:00"/>
    <x v="0"/>
  </r>
  <r>
    <n v="63684"/>
    <s v="LUAN ALMEIDA"/>
    <s v="MME"/>
    <s v="1º TURNO"/>
    <n v="50039065"/>
    <x v="22"/>
    <n v="1"/>
    <s v="REALIZADO"/>
    <s v="GEOVANE"/>
    <d v="2025-10-16T00:00:00"/>
    <x v="2"/>
  </r>
  <r>
    <n v="63684"/>
    <s v="LUAN ALMEIDA"/>
    <s v="MME"/>
    <s v="1º TURNO"/>
    <n v="50039065"/>
    <x v="22"/>
    <n v="1"/>
    <s v="REALIZADO"/>
    <s v="BRUNA"/>
    <d v="2025-10-16T00:00:00"/>
    <x v="0"/>
  </r>
  <r>
    <n v="77521"/>
    <s v="LUCAS LIRA"/>
    <s v="MME"/>
    <s v="ADM"/>
    <n v="50041195"/>
    <x v="21"/>
    <n v="1"/>
    <s v="REALIZADO"/>
    <s v="KELLY"/>
    <d v="2025-10-16T00:00:00"/>
    <x v="2"/>
  </r>
  <r>
    <n v="77521"/>
    <s v="LUCAS LIRA"/>
    <s v="MME"/>
    <s v="ADM"/>
    <n v="50041195"/>
    <x v="21"/>
    <n v="1"/>
    <s v="REALIZADO"/>
    <s v="GEOVANE"/>
    <d v="2025-10-16T00:00:00"/>
    <x v="0"/>
  </r>
  <r>
    <n v="75361"/>
    <s v="WILSON CARVALHO GARCIA JUNIOR"/>
    <s v="MEE"/>
    <s v="ADM"/>
    <n v="50041195"/>
    <x v="21"/>
    <n v="1"/>
    <s v="REALIZADO"/>
    <s v="GEOVANE"/>
    <d v="2025-10-16T00:00:00"/>
    <x v="2"/>
  </r>
  <r>
    <n v="75361"/>
    <s v="WILSON CARVALHO GARCIA JUNIOR"/>
    <s v="MEE"/>
    <s v="ADM"/>
    <n v="50041195"/>
    <x v="21"/>
    <n v="1"/>
    <s v="REALIZADO"/>
    <s v="BRUNO"/>
    <d v="2025-10-16T00:00:00"/>
    <x v="0"/>
  </r>
  <r>
    <n v="77521"/>
    <s v="LUCAS LIRA"/>
    <s v="MME"/>
    <s v="ADM"/>
    <n v="50043917"/>
    <x v="66"/>
    <n v="1"/>
    <s v="REALIZADO"/>
    <s v="GEOVANE"/>
    <d v="2025-10-16T00:00:00"/>
    <x v="2"/>
  </r>
  <r>
    <n v="77521"/>
    <s v="LUCAS LIRA"/>
    <s v="MME"/>
    <s v="ADM"/>
    <n v="50043917"/>
    <x v="66"/>
    <n v="1"/>
    <s v="REALIZADO"/>
    <s v="BRUNA"/>
    <d v="2025-10-16T00:00:00"/>
    <x v="0"/>
  </r>
  <r>
    <n v="61096"/>
    <s v="REGIVALDO MEDEIROS"/>
    <s v="MME"/>
    <s v="ADM"/>
    <n v="50012902"/>
    <x v="30"/>
    <n v="1"/>
    <s v="REALIZADO"/>
    <s v="KELLY"/>
    <d v="2025-10-16T00:00:00"/>
    <x v="2"/>
  </r>
  <r>
    <n v="61096"/>
    <s v="REGIVALDO MEDEIROS"/>
    <s v="MME"/>
    <s v="ADM"/>
    <n v="50012902"/>
    <x v="30"/>
    <n v="1"/>
    <s v="REALIZADO"/>
    <s v="BRUNO"/>
    <d v="2025-10-16T00:00:00"/>
    <x v="0"/>
  </r>
  <r>
    <n v="65844"/>
    <s v="ALTEMAR FEITOSA"/>
    <s v="MMG"/>
    <s v="1º TURNO"/>
    <n v="50044453"/>
    <x v="98"/>
    <n v="1"/>
    <s v="REALIZADO"/>
    <s v="BRUNO"/>
    <d v="2025-10-16T00:00:00"/>
    <x v="2"/>
  </r>
  <r>
    <n v="65844"/>
    <s v="ALTEMAR FEITOSA"/>
    <s v="MMG"/>
    <s v="1º TURNO"/>
    <n v="50044453"/>
    <x v="98"/>
    <n v="1"/>
    <s v="REALIZADO"/>
    <s v="BRUNO"/>
    <d v="2025-10-16T00:00:00"/>
    <x v="0"/>
  </r>
  <r>
    <n v="75361"/>
    <s v="WILSON CARVALHO GARCIA JUNIOR"/>
    <s v="MEE"/>
    <s v="ADM"/>
    <n v="50032781"/>
    <x v="12"/>
    <n v="1"/>
    <s v="REALIZADO"/>
    <s v="GEOVANE"/>
    <d v="2025-10-16T00:00:00"/>
    <x v="2"/>
  </r>
  <r>
    <n v="75361"/>
    <s v="WILSON CARVALHO GARCIA JUNIOR"/>
    <s v="MEE"/>
    <s v="ADM"/>
    <n v="50032781"/>
    <x v="12"/>
    <n v="1"/>
    <s v="REALIZADO"/>
    <s v="BRUNA"/>
    <d v="2025-10-16T00:00:00"/>
    <x v="0"/>
  </r>
  <r>
    <n v="75361"/>
    <s v="WILSON CARVALHO GARCIA JUNIOR"/>
    <s v="MEE"/>
    <s v="ADM"/>
    <n v="50028220"/>
    <x v="33"/>
    <n v="1"/>
    <s v="REALIZADO"/>
    <s v="GEOVANE"/>
    <d v="2025-10-16T00:00:00"/>
    <x v="2"/>
  </r>
  <r>
    <n v="75361"/>
    <s v="WILSON CARVALHO GARCIA JUNIOR"/>
    <s v="MEE"/>
    <s v="ADM"/>
    <n v="50028220"/>
    <x v="33"/>
    <n v="1"/>
    <s v="REALIZADO"/>
    <s v="BRUNA"/>
    <d v="2025-10-16T00:00:00"/>
    <x v="0"/>
  </r>
  <r>
    <n v="63713"/>
    <s v="BRUNO DIAS"/>
    <s v="MME"/>
    <s v="ADM"/>
    <n v="50010031"/>
    <x v="20"/>
    <n v="1"/>
    <s v="REALIZADO"/>
    <s v="GEOVANE"/>
    <d v="2025-10-15T00:00:00"/>
    <x v="2"/>
  </r>
  <r>
    <n v="63713"/>
    <s v="BRUNO DIAS"/>
    <s v="MME"/>
    <s v="ADM"/>
    <n v="50010031"/>
    <x v="20"/>
    <n v="1"/>
    <s v="REALIZADO"/>
    <s v="AGATHA"/>
    <d v="2025-10-15T00:00:00"/>
    <x v="0"/>
  </r>
  <r>
    <n v="76633"/>
    <s v="VINICIUS GUILHERME BARBOSA"/>
    <s v="MMG"/>
    <s v="1º TURNO"/>
    <n v="50036086"/>
    <x v="3"/>
    <n v="1"/>
    <s v="REALIZADO"/>
    <s v="BRUNA"/>
    <d v="2025-10-15T00:00:00"/>
    <x v="2"/>
  </r>
  <r>
    <n v="76633"/>
    <s v="VINICIUS GUILHERME BARBOSA"/>
    <s v="MMG"/>
    <s v="1º TURNO"/>
    <n v="50036086"/>
    <x v="3"/>
    <n v="1"/>
    <s v="REALIZADO"/>
    <s v="BRUNO"/>
    <d v="2025-10-15T00:00:00"/>
    <x v="0"/>
  </r>
  <r>
    <n v="74874"/>
    <s v="FABIANO MARQUES"/>
    <s v="MMG"/>
    <s v="ADM"/>
    <n v="50037905"/>
    <x v="49"/>
    <n v="1"/>
    <s v="REALIZADO"/>
    <s v="BRUNO"/>
    <d v="2025-10-15T00:00:00"/>
    <x v="2"/>
  </r>
  <r>
    <n v="74874"/>
    <s v="FABIANO MARQUES"/>
    <s v="MMG"/>
    <s v="ADM"/>
    <n v="50037905"/>
    <x v="49"/>
    <n v="1"/>
    <s v="REALIZADO"/>
    <s v="BRUNO"/>
    <d v="2025-10-15T00:00:00"/>
    <x v="2"/>
  </r>
  <r>
    <n v="65472"/>
    <s v="ISRAEL MACEDO"/>
    <s v="MMG"/>
    <s v="ADM"/>
    <n v="50030486"/>
    <x v="17"/>
    <n v="1"/>
    <s v="REALIZADO"/>
    <s v="AGATHA"/>
    <d v="2025-10-15T00:00:00"/>
    <x v="0"/>
  </r>
  <r>
    <n v="74611"/>
    <s v="CRISTIAM BORGES"/>
    <s v="MPR"/>
    <s v="ADM"/>
    <n v="50039236"/>
    <x v="84"/>
    <n v="1"/>
    <s v="REALIZADO"/>
    <s v="GEOVANE"/>
    <d v="2025-10-15T00:00:00"/>
    <x v="2"/>
  </r>
  <r>
    <n v="74611"/>
    <s v="CRISTIAM BORGES"/>
    <s v="MPR"/>
    <s v="ADM"/>
    <n v="50039236"/>
    <x v="84"/>
    <n v="1"/>
    <s v="REALIZADO"/>
    <s v="BRUNA"/>
    <d v="2025-10-15T00:00:00"/>
    <x v="2"/>
  </r>
  <r>
    <n v="65472"/>
    <s v="ISRAEL MACEDO"/>
    <s v="MMG"/>
    <s v="ADM"/>
    <n v="50043471"/>
    <x v="5"/>
    <n v="1"/>
    <s v="REALIZADO"/>
    <s v="GEOVANE"/>
    <d v="2025-10-15T00:00:00"/>
    <x v="0"/>
  </r>
  <r>
    <n v="72728"/>
    <s v="JUNIOR CESAR DA PENHA"/>
    <s v="UTI"/>
    <s v="2º TURNO"/>
    <n v="50043471"/>
    <x v="5"/>
    <n v="1"/>
    <s v="REALIZADO"/>
    <s v="BRUNO"/>
    <d v="2025-10-15T00:00:00"/>
    <x v="2"/>
  </r>
  <r>
    <n v="72728"/>
    <s v="JUNIOR CESAR DA PENHA"/>
    <s v="UTI"/>
    <s v="2º TURNO"/>
    <n v="50043471"/>
    <x v="5"/>
    <n v="1"/>
    <s v="REALIZADO"/>
    <s v="BRUNO"/>
    <d v="2025-10-15T00:00:00"/>
    <x v="2"/>
  </r>
  <r>
    <n v="62419"/>
    <s v="EDMAR CAMILO"/>
    <s v="MEE"/>
    <s v="3º TURNO"/>
    <n v="50043471"/>
    <x v="5"/>
    <n v="1"/>
    <s v="REALIZADO"/>
    <s v="MARINA"/>
    <d v="2025-10-15T00:00:00"/>
    <x v="0"/>
  </r>
  <r>
    <n v="62419"/>
    <s v="EDMAR CAMILO"/>
    <s v="MEE"/>
    <s v="3º TURNO"/>
    <n v="50043471"/>
    <x v="5"/>
    <n v="1"/>
    <s v="REALIZADO"/>
    <s v="MARINA"/>
    <d v="2025-10-15T00:00:00"/>
    <x v="2"/>
  </r>
  <r>
    <n v="62896"/>
    <s v="LEONARDO BORGES"/>
    <s v="MEE"/>
    <s v="ADM"/>
    <n v="50043320"/>
    <x v="35"/>
    <n v="1"/>
    <s v="REALIZADO"/>
    <s v="BRUNO"/>
    <d v="2025-10-15T00:00:00"/>
    <x v="2"/>
  </r>
  <r>
    <n v="70052"/>
    <s v="MARCOS SANTOS"/>
    <s v="MEE"/>
    <s v="ADM"/>
    <n v="50038549"/>
    <x v="6"/>
    <n v="1"/>
    <s v="REALIZADO"/>
    <s v="AGATHA"/>
    <d v="2025-10-15T00:00:00"/>
    <x v="0"/>
  </r>
  <r>
    <n v="65482"/>
    <s v="RAFAEL BALBINO PEREIRA"/>
    <s v="MMG"/>
    <s v="ADM"/>
    <n v="50037909"/>
    <x v="99"/>
    <n v="1"/>
    <s v="REALIZADO"/>
    <s v="BRUNO"/>
    <d v="2025-10-15T00:00:00"/>
    <x v="2"/>
  </r>
  <r>
    <n v="65482"/>
    <s v="RAFAEL BALBINO PEREIRA"/>
    <s v="MMG"/>
    <s v="ADM"/>
    <n v="50037909"/>
    <x v="99"/>
    <n v="1"/>
    <s v="REALIZADO"/>
    <s v="BRUNO"/>
    <d v="2025-10-15T00:00:00"/>
    <x v="0"/>
  </r>
  <r>
    <n v="61264"/>
    <s v="EVERTON GERONIMO"/>
    <s v="MMG"/>
    <s v="ADM"/>
    <n v="50022878"/>
    <x v="18"/>
    <n v="1"/>
    <s v="REALIZADO"/>
    <s v="BRUNA"/>
    <d v="2025-10-15T00:00:00"/>
    <x v="2"/>
  </r>
  <r>
    <n v="61264"/>
    <s v="EVERTON GERONIMO"/>
    <s v="MMG"/>
    <s v="ADM"/>
    <n v="50022878"/>
    <x v="18"/>
    <n v="1"/>
    <s v="REALIZADO"/>
    <s v="BRUNA"/>
    <d v="2025-10-15T00:00:00"/>
    <x v="0"/>
  </r>
  <r>
    <n v="74611"/>
    <s v="CRISTIAM BORGES"/>
    <s v="MPR"/>
    <s v="ADM"/>
    <n v="50038956"/>
    <x v="10"/>
    <n v="1"/>
    <s v="REALIZADO"/>
    <s v="GEOVANE"/>
    <d v="2025-10-15T00:00:00"/>
    <x v="2"/>
  </r>
  <r>
    <n v="74611"/>
    <s v="CRISTIAM BORGES"/>
    <s v="MPR"/>
    <s v="ADM"/>
    <n v="50038956"/>
    <x v="10"/>
    <n v="1"/>
    <s v="REALIZADO"/>
    <s v="BRUNA"/>
    <d v="2025-10-15T00:00:00"/>
    <x v="0"/>
  </r>
  <r>
    <n v="58068"/>
    <s v="REGINALDO PEREIRA"/>
    <s v="MME"/>
    <s v="ADM"/>
    <n v="50037892"/>
    <x v="2"/>
    <n v="1"/>
    <s v="REALIZADO"/>
    <s v="BRUNO"/>
    <d v="2025-10-15T00:00:00"/>
    <x v="2"/>
  </r>
  <r>
    <n v="62896"/>
    <s v="LEONARDO BORGES"/>
    <s v="MEE"/>
    <s v="ADM"/>
    <n v="50037892"/>
    <x v="2"/>
    <n v="1"/>
    <s v="REALIZADO"/>
    <s v="BRUNO"/>
    <d v="2025-10-15T00:00:00"/>
    <x v="2"/>
  </r>
  <r>
    <n v="58068"/>
    <s v="REGINALDO PEREIRA"/>
    <s v="MME"/>
    <s v="ADM"/>
    <n v="50037892"/>
    <x v="2"/>
    <n v="1"/>
    <s v="REALIZADO"/>
    <s v="BRUNO"/>
    <d v="2025-10-15T00:00:00"/>
    <x v="2"/>
  </r>
  <r>
    <n v="77526"/>
    <s v="FELIPE GARÇONI"/>
    <s v="MME"/>
    <s v="ADM"/>
    <n v="50037902"/>
    <x v="14"/>
    <n v="1"/>
    <s v="REALIZADO"/>
    <s v="BRUNO"/>
    <d v="2025-10-15T00:00:00"/>
    <x v="0"/>
  </r>
  <r>
    <n v="73878"/>
    <s v="EVANDRO TANAKA"/>
    <s v="MMG"/>
    <s v="ADM"/>
    <n v="50038841"/>
    <x v="34"/>
    <n v="1"/>
    <s v="REALIZADO"/>
    <s v="KELLY"/>
    <d v="2025-10-15T00:00:00"/>
    <x v="2"/>
  </r>
  <r>
    <n v="73878"/>
    <s v="EVANDRO TANAKA"/>
    <s v="MMG"/>
    <s v="ADM"/>
    <n v="50038841"/>
    <x v="34"/>
    <n v="1"/>
    <s v="REALIZADO"/>
    <s v="AGATHA"/>
    <d v="2025-10-15T00:00:00"/>
    <x v="0"/>
  </r>
  <r>
    <n v="72728"/>
    <s v="JUNIOR CESAR DA PENHA"/>
    <s v="UTI"/>
    <s v="2º TURNO"/>
    <n v="50038841"/>
    <x v="34"/>
    <n v="1"/>
    <s v="REALIZADO"/>
    <s v="BRUNO"/>
    <d v="2025-10-15T00:00:00"/>
    <x v="2"/>
  </r>
  <r>
    <n v="72728"/>
    <s v="JUNIOR CESAR DA PENHA"/>
    <s v="UTI"/>
    <s v="2º TURNO"/>
    <n v="50038841"/>
    <x v="34"/>
    <n v="1"/>
    <s v="REALIZADO"/>
    <s v="BRUNO"/>
    <d v="2025-10-15T00:00:00"/>
    <x v="0"/>
  </r>
  <r>
    <n v="76994"/>
    <s v="FELIPE HENRIQUE DE BRITO"/>
    <s v="MEE"/>
    <s v="ADM"/>
    <n v="50038517"/>
    <x v="0"/>
    <n v="1"/>
    <s v="REALIZADO"/>
    <s v="AGATHA"/>
    <d v="2025-10-15T00:00:00"/>
    <x v="2"/>
  </r>
  <r>
    <n v="76994"/>
    <s v="FELIPE HENRIQUE DE BRITO"/>
    <s v="MEE"/>
    <s v="ADM"/>
    <n v="50038517"/>
    <x v="0"/>
    <n v="1"/>
    <s v="REALIZADO"/>
    <s v="BRUNO"/>
    <d v="2025-10-15T00:00:00"/>
    <x v="0"/>
  </r>
  <r>
    <n v="64053"/>
    <s v="CLODOALDO DE OLIVEIRA"/>
    <s v="MMG"/>
    <s v="3º TURNO"/>
    <n v="50001995"/>
    <x v="44"/>
    <n v="1"/>
    <s v="REALIZADO"/>
    <s v="FABIANO"/>
    <d v="2025-10-15T00:00:00"/>
    <x v="0"/>
  </r>
  <r>
    <n v="63713"/>
    <s v="BRUNO DIAS"/>
    <s v="MME"/>
    <s v="ADM"/>
    <n v="50039065"/>
    <x v="22"/>
    <n v="1"/>
    <s v="REALIZADO"/>
    <s v="GEOVANE"/>
    <d v="2025-10-15T00:00:00"/>
    <x v="2"/>
  </r>
  <r>
    <n v="63713"/>
    <s v="BRUNO DIAS"/>
    <s v="MME"/>
    <s v="ADM"/>
    <n v="50039065"/>
    <x v="22"/>
    <n v="1"/>
    <s v="REALIZADO"/>
    <s v="AGATHA"/>
    <d v="2025-10-15T00:00:00"/>
    <x v="0"/>
  </r>
  <r>
    <n v="60546"/>
    <s v="EMERSON DOS SANTOS"/>
    <s v="MMG"/>
    <s v="ADM"/>
    <n v="50039065"/>
    <x v="22"/>
    <n v="1"/>
    <s v="REALIZADO"/>
    <s v="MARINA"/>
    <d v="2025-10-15T00:00:00"/>
    <x v="0"/>
  </r>
  <r>
    <n v="61264"/>
    <s v="EVERTON GERONIMO"/>
    <s v="MMG"/>
    <s v="ADM"/>
    <n v="50036297"/>
    <x v="100"/>
    <n v="1"/>
    <s v="REALIZADO"/>
    <s v="BRUNA"/>
    <d v="2025-10-15T00:00:00"/>
    <x v="2"/>
  </r>
  <r>
    <n v="61264"/>
    <s v="EVERTON GERONIMO"/>
    <s v="MMG"/>
    <s v="ADM"/>
    <n v="50036297"/>
    <x v="100"/>
    <n v="1"/>
    <s v="REALIZADO"/>
    <s v="BRUNO"/>
    <d v="2025-10-15T00:00:00"/>
    <x v="0"/>
  </r>
  <r>
    <n v="66830"/>
    <s v="MARCIO GOMES DA SILVA"/>
    <s v="MPR"/>
    <s v="ADM"/>
    <n v="50026357"/>
    <x v="24"/>
    <n v="1"/>
    <s v="REALIZADO"/>
    <s v="JOÃO FRANCISCO"/>
    <d v="2025-10-15T00:00:00"/>
    <x v="2"/>
  </r>
  <r>
    <n v="66830"/>
    <s v="MARCIO GOMES DA SILVA"/>
    <s v="MPR"/>
    <s v="ADM"/>
    <n v="50026357"/>
    <x v="24"/>
    <n v="1"/>
    <s v="REALIZADO"/>
    <s v="BRUNO"/>
    <d v="2025-10-15T00:00:00"/>
    <x v="2"/>
  </r>
  <r>
    <n v="77471"/>
    <s v="DANILO BARBOSA"/>
    <s v="MEE"/>
    <s v="ADM"/>
    <n v="50041195"/>
    <x v="21"/>
    <n v="1"/>
    <s v="REALIZADO"/>
    <s v="AGATHA"/>
    <d v="2025-10-15T00:00:00"/>
    <x v="2"/>
  </r>
  <r>
    <n v="62896"/>
    <s v="LEONARDO BORGES"/>
    <s v="MEE"/>
    <s v="ADM"/>
    <n v="50041195"/>
    <x v="21"/>
    <n v="1"/>
    <s v="REALIZADO"/>
    <s v="BRUNO"/>
    <d v="2025-10-15T00:00:00"/>
    <x v="2"/>
  </r>
  <r>
    <n v="77521"/>
    <s v="LUCAS LIRA"/>
    <s v="MME"/>
    <s v="ADM"/>
    <n v="50012903"/>
    <x v="31"/>
    <n v="1"/>
    <s v="REALIZADO"/>
    <s v="BRUNO"/>
    <d v="2025-10-15T00:00:00"/>
    <x v="0"/>
  </r>
  <r>
    <n v="72728"/>
    <s v="JUNIOR CESAR DA PENHA"/>
    <s v="UTI"/>
    <s v="2º TURNO"/>
    <n v="50032775"/>
    <x v="13"/>
    <n v="1"/>
    <s v="REALIZADO"/>
    <s v="BRUNO"/>
    <d v="2025-10-15T00:00:00"/>
    <x v="2"/>
  </r>
  <r>
    <n v="72728"/>
    <s v="JUNIOR CESAR DA PENHA"/>
    <s v="UTI"/>
    <s v="2º TURNO"/>
    <n v="50032775"/>
    <x v="13"/>
    <n v="1"/>
    <s v="REALIZADO"/>
    <s v="BRUNO"/>
    <d v="2025-10-15T00:00:00"/>
    <x v="0"/>
  </r>
  <r>
    <n v="72728"/>
    <s v="JUNIOR CESAR DA PENHA"/>
    <s v="UTI"/>
    <s v="2º TURNO"/>
    <n v="50044453"/>
    <x v="98"/>
    <n v="1"/>
    <s v="REALIZADO"/>
    <s v="BRUNO"/>
    <d v="2025-10-15T00:00:00"/>
    <x v="2"/>
  </r>
  <r>
    <n v="72728"/>
    <s v="JUNIOR CESAR DA PENHA"/>
    <s v="UTI"/>
    <s v="2º TURNO"/>
    <n v="50044453"/>
    <x v="98"/>
    <n v="1"/>
    <s v="REALIZADO"/>
    <s v="BRUNO"/>
    <d v="2025-10-15T00:00:00"/>
    <x v="0"/>
  </r>
  <r>
    <n v="64253"/>
    <s v="DANIEL JULIAO"/>
    <s v="MMG"/>
    <s v="ADM"/>
    <n v="50037952"/>
    <x v="56"/>
    <n v="1"/>
    <s v="REALIZADO"/>
    <s v="KELLY"/>
    <d v="2025-10-15T00:00:00"/>
    <x v="2"/>
  </r>
  <r>
    <n v="60953"/>
    <s v="PABLO JUNIOR"/>
    <s v="MMG"/>
    <s v="1º TURNO"/>
    <n v="50037952"/>
    <x v="56"/>
    <n v="1"/>
    <s v="REALIZADO"/>
    <s v="AGATHA"/>
    <d v="2025-10-15T00:00:00"/>
    <x v="0"/>
  </r>
  <r>
    <n v="65844"/>
    <s v="ALTEMAR FEITOSA"/>
    <s v="MMG"/>
    <s v="1º TURNO"/>
    <n v="50037952"/>
    <x v="56"/>
    <n v="1"/>
    <s v="REALIZADO"/>
    <s v="BRUNA"/>
    <d v="2025-10-15T00:00:00"/>
    <x v="2"/>
  </r>
  <r>
    <n v="65844"/>
    <s v="ALTEMAR FEITOSA"/>
    <s v="MMG"/>
    <s v="1º TURNO"/>
    <n v="50037952"/>
    <x v="56"/>
    <n v="1"/>
    <s v="REALIZADO"/>
    <s v="BRUNA"/>
    <d v="2025-10-15T00:00:00"/>
    <x v="0"/>
  </r>
  <r>
    <n v="78886"/>
    <s v="DOUGLAS FELICIANO MENDES DE OLIVEIRA"/>
    <s v="MME"/>
    <s v="ADM"/>
    <n v="50010031"/>
    <x v="20"/>
    <n v="1"/>
    <s v="REALIZADO"/>
    <s v="GEOVANE"/>
    <d v="2025-10-14T00:00:00"/>
    <x v="2"/>
  </r>
  <r>
    <n v="78886"/>
    <s v="DOUGLAS FELICIANO MENDES DE OLIVEIRA"/>
    <s v="MME"/>
    <s v="ADM"/>
    <n v="50010031"/>
    <x v="20"/>
    <n v="1"/>
    <s v="REALIZADO"/>
    <s v="AGATHA"/>
    <d v="2025-10-14T00:00:00"/>
    <x v="0"/>
  </r>
  <r>
    <n v="62471"/>
    <s v="ELTON LIMA"/>
    <s v="MME"/>
    <s v="ADM"/>
    <n v="50010031"/>
    <x v="20"/>
    <n v="1"/>
    <s v="REALIZADO"/>
    <s v="GEOVANE"/>
    <d v="2025-10-14T00:00:00"/>
    <x v="2"/>
  </r>
  <r>
    <n v="62471"/>
    <s v="ELTON LIMA"/>
    <s v="MME"/>
    <s v="ADM"/>
    <n v="50010031"/>
    <x v="20"/>
    <n v="1"/>
    <s v="REALIZADO"/>
    <s v="MARCIA"/>
    <d v="2025-10-14T00:00:00"/>
    <x v="0"/>
  </r>
  <r>
    <n v="62471"/>
    <s v="ELTON LIMA"/>
    <s v="MME"/>
    <s v="ADM"/>
    <n v="50010031"/>
    <x v="20"/>
    <n v="1"/>
    <s v="REALIZADO"/>
    <s v="MARCIA"/>
    <d v="2025-10-14T00:00:00"/>
    <x v="2"/>
  </r>
  <r>
    <n v="62471"/>
    <s v="ELTON LIMA"/>
    <s v="MME"/>
    <s v="ADM"/>
    <n v="50010031"/>
    <x v="20"/>
    <n v="1"/>
    <s v="REALIZADO"/>
    <s v="MATHEUS"/>
    <d v="2025-10-14T00:00:00"/>
    <x v="0"/>
  </r>
  <r>
    <n v="61264"/>
    <s v="EVERTON GERONIMO"/>
    <s v="MMG"/>
    <s v="ADM"/>
    <n v="50036086"/>
    <x v="3"/>
    <n v="1"/>
    <s v="REALIZADO"/>
    <s v="AGATHA"/>
    <d v="2025-10-14T00:00:00"/>
    <x v="2"/>
  </r>
  <r>
    <n v="61264"/>
    <s v="EVERTON GERONIMO"/>
    <s v="MMG"/>
    <s v="ADM"/>
    <n v="50036086"/>
    <x v="3"/>
    <n v="1"/>
    <s v="REALIZADO"/>
    <s v="GEOVANE"/>
    <d v="2025-10-14T00:00:00"/>
    <x v="2"/>
  </r>
  <r>
    <n v="77526"/>
    <s v="FELIPE GARÇONI"/>
    <s v="MME"/>
    <s v="ADM"/>
    <n v="50039236"/>
    <x v="84"/>
    <n v="1"/>
    <s v="REALIZADO"/>
    <s v="BRUNA"/>
    <d v="2025-10-14T00:00:00"/>
    <x v="2"/>
  </r>
  <r>
    <n v="68708"/>
    <s v="CLAUDIO TADEU LEITE"/>
    <s v="MMG"/>
    <s v="ADM"/>
    <n v="50043471"/>
    <x v="5"/>
    <n v="1"/>
    <s v="REALIZADO"/>
    <s v="MATHEUS"/>
    <d v="2025-10-14T00:00:00"/>
    <x v="0"/>
  </r>
  <r>
    <n v="78886"/>
    <s v="DOUGLAS FELICIANO MENDES DE OLIVEIRA"/>
    <s v="MME"/>
    <s v="ADM"/>
    <n v="50003297"/>
    <x v="8"/>
    <n v="1"/>
    <s v="REALIZADO"/>
    <s v="MATHEUS"/>
    <d v="2025-10-14T00:00:00"/>
    <x v="0"/>
  </r>
  <r>
    <n v="76995"/>
    <s v="WELISSON RICARDO"/>
    <s v="MEE"/>
    <s v="ADM"/>
    <n v="50029865"/>
    <x v="9"/>
    <n v="1"/>
    <s v="REALIZADO"/>
    <s v="AGATHA"/>
    <d v="2025-10-14T00:00:00"/>
    <x v="2"/>
  </r>
  <r>
    <n v="76995"/>
    <s v="WELISSON RICARDO"/>
    <s v="MEE"/>
    <s v="ADM"/>
    <n v="50029865"/>
    <x v="9"/>
    <n v="1"/>
    <s v="REALIZADO"/>
    <s v="MATHEUS"/>
    <d v="2025-10-14T00:00:00"/>
    <x v="0"/>
  </r>
  <r>
    <n v="63770"/>
    <s v="DANILO DA SILVA"/>
    <s v="MMG"/>
    <s v="ADM"/>
    <n v="50038549"/>
    <x v="6"/>
    <n v="1"/>
    <s v="REALIZADO"/>
    <s v="AGATHA"/>
    <d v="2025-10-14T00:00:00"/>
    <x v="2"/>
  </r>
  <r>
    <n v="63770"/>
    <s v="DANILO DA SILVA"/>
    <s v="MMG"/>
    <s v="ADM"/>
    <n v="50038549"/>
    <x v="6"/>
    <n v="1"/>
    <s v="REALIZADO"/>
    <s v="BRUNA"/>
    <d v="2025-10-14T00:00:00"/>
    <x v="2"/>
  </r>
  <r>
    <n v="79177"/>
    <s v="MAICON ANTONIO SANTOS"/>
    <s v="MMG"/>
    <s v="ADM"/>
    <n v="50022878"/>
    <x v="18"/>
    <n v="1"/>
    <s v="REALIZADO"/>
    <s v="MARCIA"/>
    <d v="2025-10-14T00:00:00"/>
    <x v="0"/>
  </r>
  <r>
    <n v="76995"/>
    <s v="WELISSON RICARDO"/>
    <s v="MEE"/>
    <s v="ADM"/>
    <n v="50038956"/>
    <x v="10"/>
    <n v="1"/>
    <s v="REALIZADO"/>
    <s v="AGATHA"/>
    <d v="2025-10-14T00:00:00"/>
    <x v="2"/>
  </r>
  <r>
    <n v="76995"/>
    <s v="WELISSON RICARDO"/>
    <s v="MEE"/>
    <s v="ADM"/>
    <n v="50038956"/>
    <x v="10"/>
    <n v="1"/>
    <s v="REALIZADO"/>
    <s v="MATHEUS"/>
    <d v="2025-10-14T00:00:00"/>
    <x v="0"/>
  </r>
  <r>
    <n v="61264"/>
    <s v="EVERTON GERONIMO"/>
    <s v="MMG"/>
    <s v="ADM"/>
    <n v="50037902"/>
    <x v="14"/>
    <n v="1"/>
    <s v="REALIZADO"/>
    <s v="AGATHA"/>
    <d v="2025-10-14T00:00:00"/>
    <x v="2"/>
  </r>
  <r>
    <n v="61264"/>
    <s v="EVERTON GERONIMO"/>
    <s v="MMG"/>
    <s v="ADM"/>
    <n v="50037902"/>
    <x v="14"/>
    <n v="1"/>
    <s v="REALIZADO"/>
    <s v="MARCIA"/>
    <d v="2025-10-14T00:00:00"/>
    <x v="0"/>
  </r>
  <r>
    <n v="77594"/>
    <s v="VINICIUS ROBLES"/>
    <s v="MME"/>
    <s v="ADM"/>
    <n v="50037902"/>
    <x v="14"/>
    <n v="1"/>
    <s v="REALIZADO"/>
    <s v="MATHEUS"/>
    <d v="2025-10-14T00:00:00"/>
    <x v="2"/>
  </r>
  <r>
    <n v="77594"/>
    <s v="VINICIUS ROBLES"/>
    <s v="MME"/>
    <s v="ADM"/>
    <n v="50037902"/>
    <x v="14"/>
    <n v="1"/>
    <s v="REALIZADO"/>
    <s v="MATHEUS"/>
    <d v="2025-10-14T00:00:00"/>
    <x v="0"/>
  </r>
  <r>
    <n v="75424"/>
    <s v="EDSON CARLOS"/>
    <s v="MME"/>
    <s v="1º TURNO"/>
    <n v="50037902"/>
    <x v="14"/>
    <n v="1"/>
    <s v="REALIZADO"/>
    <s v="MATHEUS"/>
    <d v="2025-10-14T00:00:00"/>
    <x v="2"/>
  </r>
  <r>
    <n v="75424"/>
    <s v="EDSON CARLOS"/>
    <s v="MME"/>
    <s v="1º TURNO"/>
    <n v="50037902"/>
    <x v="14"/>
    <n v="1"/>
    <s v="REALIZADO"/>
    <s v="MATHEUS"/>
    <d v="2025-10-14T00:00:00"/>
    <x v="2"/>
  </r>
  <r>
    <n v="77526"/>
    <s v="FELIPE GARÇONI"/>
    <s v="MME"/>
    <s v="ADM"/>
    <n v="50038841"/>
    <x v="34"/>
    <n v="1"/>
    <s v="REALIZADO"/>
    <s v="BRUNA"/>
    <d v="2025-10-14T00:00:00"/>
    <x v="2"/>
  </r>
  <r>
    <n v="64053"/>
    <s v="CLODOALDO DE OLIVEIRA"/>
    <s v="MMG"/>
    <s v="3º TURNO"/>
    <n v="50001995"/>
    <x v="44"/>
    <n v="1"/>
    <s v="REALIZADO"/>
    <s v="FABIANO"/>
    <d v="2025-10-14T00:00:00"/>
    <x v="0"/>
  </r>
  <r>
    <n v="62471"/>
    <s v="ELTON LIMA"/>
    <s v="MME"/>
    <s v="ADM"/>
    <n v="50039065"/>
    <x v="22"/>
    <n v="1"/>
    <s v="REALIZADO"/>
    <s v="GEOVANE"/>
    <d v="2025-10-14T00:00:00"/>
    <x v="2"/>
  </r>
  <r>
    <n v="62471"/>
    <s v="ELTON LIMA"/>
    <s v="MME"/>
    <s v="ADM"/>
    <n v="50039065"/>
    <x v="22"/>
    <n v="1"/>
    <s v="REALIZADO"/>
    <s v="MARCIA"/>
    <d v="2025-10-14T00:00:00"/>
    <x v="0"/>
  </r>
  <r>
    <n v="62471"/>
    <s v="ELTON LIMA"/>
    <s v="MME"/>
    <s v="ADM"/>
    <n v="50039065"/>
    <x v="22"/>
    <n v="1"/>
    <s v="REALIZADO"/>
    <s v="MATHEUS"/>
    <d v="2025-10-14T00:00:00"/>
    <x v="2"/>
  </r>
  <r>
    <n v="62471"/>
    <s v="ELTON LIMA"/>
    <s v="MME"/>
    <s v="ADM"/>
    <n v="50039065"/>
    <x v="22"/>
    <n v="1"/>
    <s v="REALIZADO"/>
    <s v="MATHEUS"/>
    <d v="2025-10-14T00:00:00"/>
    <x v="2"/>
  </r>
  <r>
    <n v="60546"/>
    <s v="EMERSON DOS SANTOS"/>
    <s v="MMG"/>
    <s v="ADM"/>
    <n v="50039065"/>
    <x v="22"/>
    <n v="1"/>
    <s v="REALIZADO"/>
    <s v="MARINA"/>
    <d v="2025-10-14T00:00:00"/>
    <x v="0"/>
  </r>
  <r>
    <n v="66830"/>
    <s v="MARCIO GOMES DA SILVA"/>
    <s v="MPR"/>
    <s v="ADM"/>
    <n v="50026357"/>
    <x v="24"/>
    <n v="1"/>
    <s v="REALIZADO"/>
    <s v="AGATHA"/>
    <d v="2025-10-14T00:00:00"/>
    <x v="2"/>
  </r>
  <r>
    <n v="66830"/>
    <s v="MARCIO GOMES DA SILVA"/>
    <s v="MPR"/>
    <s v="ADM"/>
    <n v="50026357"/>
    <x v="24"/>
    <n v="1"/>
    <s v="REALIZADO"/>
    <s v="GEOVANE"/>
    <d v="2025-10-14T00:00:00"/>
    <x v="0"/>
  </r>
  <r>
    <n v="75424"/>
    <s v="EDSON CARLOS"/>
    <s v="MME"/>
    <s v="1º TURNO"/>
    <n v="50026357"/>
    <x v="24"/>
    <n v="1"/>
    <s v="REALIZADO"/>
    <s v="MARCIA"/>
    <d v="2025-10-14T00:00:00"/>
    <x v="2"/>
  </r>
  <r>
    <n v="75424"/>
    <s v="EDSON CARLOS"/>
    <s v="MME"/>
    <s v="1º TURNO"/>
    <n v="50026357"/>
    <x v="24"/>
    <n v="1"/>
    <s v="REALIZADO"/>
    <s v="BRUNA"/>
    <d v="2025-10-14T00:00:00"/>
    <x v="0"/>
  </r>
  <r>
    <n v="77594"/>
    <s v="VINICIUS ROBLES"/>
    <s v="MME"/>
    <s v="ADM"/>
    <n v="50041195"/>
    <x v="21"/>
    <n v="1"/>
    <s v="REALIZADO"/>
    <s v="KELLY"/>
    <d v="2025-10-14T00:00:00"/>
    <x v="2"/>
  </r>
  <r>
    <n v="77594"/>
    <s v="VINICIUS ROBLES"/>
    <s v="MME"/>
    <s v="ADM"/>
    <n v="50041195"/>
    <x v="21"/>
    <n v="1"/>
    <s v="REALIZADO"/>
    <s v="KELLY"/>
    <d v="2025-10-14T00:00:00"/>
    <x v="0"/>
  </r>
  <r>
    <n v="76995"/>
    <s v="WELISSON RICARDO"/>
    <s v="MEE"/>
    <s v="ADM"/>
    <n v="50041195"/>
    <x v="21"/>
    <n v="1"/>
    <s v="REALIZADO"/>
    <s v="AGATHA"/>
    <d v="2025-10-14T00:00:00"/>
    <x v="2"/>
  </r>
  <r>
    <n v="76995"/>
    <s v="WELISSON RICARDO"/>
    <s v="MEE"/>
    <s v="ADM"/>
    <n v="50041195"/>
    <x v="21"/>
    <n v="1"/>
    <s v="REALIZADO"/>
    <s v="MATHEUS"/>
    <d v="2025-10-14T00:00:00"/>
    <x v="0"/>
  </r>
  <r>
    <n v="33880"/>
    <s v="MARCO OLIVEIRA"/>
    <s v="MME"/>
    <s v="3º TURNO"/>
    <n v="50043917"/>
    <x v="66"/>
    <n v="1"/>
    <s v="REALIZADO"/>
    <s v="MARCIA"/>
    <d v="2025-10-14T00:00:00"/>
    <x v="2"/>
  </r>
  <r>
    <n v="33880"/>
    <s v="MARCO OLIVEIRA"/>
    <s v="MME"/>
    <s v="3º TURNO"/>
    <n v="50043917"/>
    <x v="66"/>
    <n v="1"/>
    <s v="REALIZADO"/>
    <s v="MATHEUS"/>
    <d v="2025-10-14T00:00:00"/>
    <x v="0"/>
  </r>
  <r>
    <n v="62896"/>
    <s v="LEONARDO BORGES"/>
    <s v="MEE"/>
    <s v="ADM"/>
    <n v="50043917"/>
    <x v="66"/>
    <n v="1"/>
    <s v="REALIZADO"/>
    <s v="MATHEUS"/>
    <d v="2025-10-14T00:00:00"/>
    <x v="2"/>
  </r>
  <r>
    <n v="62896"/>
    <s v="LEONARDO BORGES"/>
    <s v="MEE"/>
    <s v="ADM"/>
    <n v="50043917"/>
    <x v="66"/>
    <n v="1"/>
    <s v="REALIZADO"/>
    <s v="MATHEUS"/>
    <d v="2025-10-14T00:00:00"/>
    <x v="0"/>
  </r>
  <r>
    <n v="75424"/>
    <s v="EDSON CARLOS"/>
    <s v="MME"/>
    <s v="1º TURNO"/>
    <n v="50012903"/>
    <x v="31"/>
    <n v="1"/>
    <s v="REALIZADO"/>
    <s v="MATHEUS"/>
    <d v="2025-10-14T00:00:00"/>
    <x v="2"/>
  </r>
  <r>
    <n v="75424"/>
    <s v="EDSON CARLOS"/>
    <s v="MME"/>
    <s v="1º TURNO"/>
    <n v="50012903"/>
    <x v="31"/>
    <n v="1"/>
    <s v="REALIZADO"/>
    <s v="MATHEUS"/>
    <d v="2025-10-14T00:00:00"/>
    <x v="0"/>
  </r>
  <r>
    <n v="74627"/>
    <s v="VINICIUS BORDIN SOUZA"/>
    <s v="MEE"/>
    <s v="1º TURNO"/>
    <n v="50037933"/>
    <x v="43"/>
    <n v="1"/>
    <s v="REALIZADO"/>
    <s v="MATHEUS"/>
    <d v="2025-10-14T00:00:00"/>
    <x v="2"/>
  </r>
  <r>
    <n v="74627"/>
    <s v="VINICIUS BORDIN SOUZA"/>
    <s v="MEE"/>
    <s v="1º TURNO"/>
    <n v="50037933"/>
    <x v="43"/>
    <n v="1"/>
    <s v="REALIZADO"/>
    <s v="MATHEUS"/>
    <d v="2025-10-14T00:00:00"/>
    <x v="2"/>
  </r>
  <r>
    <n v="68701"/>
    <s v="DANIEL MANFREDI"/>
    <s v="MEE"/>
    <s v="1º TURNO"/>
    <n v="50037933"/>
    <x v="43"/>
    <n v="1"/>
    <s v="REALIZADO"/>
    <s v="BRUNA"/>
    <d v="2025-10-14T00:00:00"/>
    <x v="0"/>
  </r>
  <r>
    <n v="78886"/>
    <s v="DOUGLAS FELICIANO MENDES DE OLIVEIRA"/>
    <s v="MME"/>
    <s v="ADM"/>
    <n v="50010031"/>
    <x v="20"/>
    <n v="1"/>
    <s v="REALIZADO"/>
    <s v="BRUNA"/>
    <d v="2025-10-13T00:00:00"/>
    <x v="2"/>
  </r>
  <r>
    <n v="78886"/>
    <s v="DOUGLAS FELICIANO MENDES DE OLIVEIRA"/>
    <s v="MME"/>
    <s v="ADM"/>
    <n v="50010031"/>
    <x v="20"/>
    <n v="1"/>
    <s v="REALIZADO"/>
    <s v="BRUNO"/>
    <d v="2025-10-13T00:00:00"/>
    <x v="0"/>
  </r>
  <r>
    <n v="78886"/>
    <s v="DOUGLAS FELICIANO MENDES DE OLIVEIRA"/>
    <s v="MME"/>
    <s v="ADM"/>
    <n v="50010031"/>
    <x v="20"/>
    <n v="1"/>
    <s v="REALIZADO"/>
    <s v="BRUNO"/>
    <d v="2025-10-13T00:00:00"/>
    <x v="2"/>
  </r>
  <r>
    <n v="78886"/>
    <s v="DOUGLAS FELICIANO MENDES DE OLIVEIRA"/>
    <s v="MME"/>
    <s v="ADM"/>
    <n v="50010031"/>
    <x v="20"/>
    <n v="1"/>
    <s v="REALIZADO"/>
    <s v="BRUNO"/>
    <d v="2025-10-13T00:00:00"/>
    <x v="2"/>
  </r>
  <r>
    <n v="61264"/>
    <s v="EVERTON GERONIMO"/>
    <s v="MMG"/>
    <s v="ADM"/>
    <n v="50041129"/>
    <x v="101"/>
    <n v="1"/>
    <s v="REALIZADO"/>
    <s v="BRUNO"/>
    <d v="2025-10-13T00:00:00"/>
    <x v="2"/>
  </r>
  <r>
    <n v="70052"/>
    <s v="MARCOS SANTOS"/>
    <s v="MEE"/>
    <s v="ADM"/>
    <n v="50044003"/>
    <x v="63"/>
    <n v="1"/>
    <s v="REALIZADO"/>
    <s v="BRUNO"/>
    <d v="2025-10-13T00:00:00"/>
    <x v="0"/>
  </r>
  <r>
    <n v="61264"/>
    <s v="EVERTON GERONIMO"/>
    <s v="MMG"/>
    <s v="ADM"/>
    <n v="50036255"/>
    <x v="7"/>
    <n v="1"/>
    <s v="REALIZADO"/>
    <s v="AGATHA"/>
    <d v="2025-10-13T00:00:00"/>
    <x v="2"/>
  </r>
  <r>
    <n v="61264"/>
    <s v="EVERTON GERONIMO"/>
    <s v="MMG"/>
    <s v="ADM"/>
    <n v="50036255"/>
    <x v="7"/>
    <n v="1"/>
    <s v="REALIZADO"/>
    <s v="BRUNO"/>
    <d v="2025-10-13T00:00:00"/>
    <x v="0"/>
  </r>
  <r>
    <n v="65084"/>
    <s v="TIAGO DE BRITO"/>
    <s v="MMG"/>
    <s v="3º TURNO"/>
    <n v="50036255"/>
    <x v="7"/>
    <n v="1"/>
    <s v="REALIZADO"/>
    <s v="BRUNA"/>
    <d v="2025-10-13T00:00:00"/>
    <x v="2"/>
  </r>
  <r>
    <n v="65084"/>
    <s v="TIAGO DE BRITO"/>
    <s v="MMG"/>
    <s v="3º TURNO"/>
    <n v="50036255"/>
    <x v="7"/>
    <n v="1"/>
    <s v="REALIZADO"/>
    <s v="BRUNA"/>
    <d v="2025-10-13T00:00:00"/>
    <x v="0"/>
  </r>
  <r>
    <n v="64253"/>
    <s v="DANIEL JULIAO"/>
    <s v="MMG"/>
    <s v="ADM"/>
    <n v="50003173"/>
    <x v="29"/>
    <n v="1"/>
    <s v="REALIZADO"/>
    <s v="AGATHA"/>
    <d v="2025-10-13T00:00:00"/>
    <x v="2"/>
  </r>
  <r>
    <n v="64253"/>
    <s v="DANIEL JULIAO"/>
    <s v="MMG"/>
    <s v="ADM"/>
    <n v="50003173"/>
    <x v="29"/>
    <n v="1"/>
    <s v="REALIZADO"/>
    <s v="BRUNO"/>
    <d v="2025-10-13T00:00:00"/>
    <x v="2"/>
  </r>
  <r>
    <n v="78886"/>
    <s v="DOUGLAS FELICIANO MENDES DE OLIVEIRA"/>
    <s v="MME"/>
    <s v="ADM"/>
    <n v="50043471"/>
    <x v="5"/>
    <n v="1"/>
    <s v="REALIZADO"/>
    <s v="BRUNO"/>
    <d v="2025-10-13T00:00:00"/>
    <x v="2"/>
  </r>
  <r>
    <n v="77526"/>
    <s v="FELIPE GARÇONI"/>
    <s v="MME"/>
    <s v="ADM"/>
    <n v="50003297"/>
    <x v="8"/>
    <n v="1"/>
    <s v="REALIZADO"/>
    <s v="BRUNO"/>
    <d v="2025-10-13T00:00:00"/>
    <x v="0"/>
  </r>
  <r>
    <n v="68760"/>
    <s v="FERDINANDO PAZINI"/>
    <s v="MMG"/>
    <s v="ADM"/>
    <n v="50038549"/>
    <x v="6"/>
    <n v="1"/>
    <s v="REALIZADO"/>
    <s v="AGATHA"/>
    <d v="2025-10-13T00:00:00"/>
    <x v="0"/>
  </r>
  <r>
    <n v="63770"/>
    <s v="DANILO DA SILVA"/>
    <s v="MMG"/>
    <s v="ADM"/>
    <n v="50038549"/>
    <x v="6"/>
    <n v="1"/>
    <s v="REALIZADO"/>
    <s v="AGATHA"/>
    <d v="2025-10-13T00:00:00"/>
    <x v="2"/>
  </r>
  <r>
    <n v="68760"/>
    <s v="FERDINANDO PAZINI"/>
    <s v="MMG"/>
    <s v="ADM"/>
    <n v="50038549"/>
    <x v="6"/>
    <n v="1"/>
    <s v="REALIZADO"/>
    <s v="AGATHA"/>
    <d v="2025-10-13T00:00:00"/>
    <x v="2"/>
  </r>
  <r>
    <n v="63770"/>
    <s v="DANILO DA SILVA"/>
    <s v="MMG"/>
    <s v="ADM"/>
    <n v="50038549"/>
    <x v="6"/>
    <n v="1"/>
    <s v="REALIZADO"/>
    <s v="AGATHA"/>
    <d v="2025-10-13T00:00:00"/>
    <x v="0"/>
  </r>
  <r>
    <n v="65084"/>
    <s v="TIAGO DE BRITO"/>
    <s v="MMG"/>
    <s v="3º TURNO"/>
    <n v="50038549"/>
    <x v="6"/>
    <n v="1"/>
    <s v="REALIZADO"/>
    <s v="BRUNA"/>
    <d v="2025-10-13T00:00:00"/>
    <x v="2"/>
  </r>
  <r>
    <n v="65084"/>
    <s v="TIAGO DE BRITO"/>
    <s v="MMG"/>
    <s v="3º TURNO"/>
    <n v="50038549"/>
    <x v="6"/>
    <n v="1"/>
    <s v="REALIZADO"/>
    <s v="BRUNA"/>
    <d v="2025-10-13T00:00:00"/>
    <x v="0"/>
  </r>
  <r>
    <n v="64253"/>
    <s v="DANIEL JULIAO"/>
    <s v="MMG"/>
    <s v="ADM"/>
    <n v="50022878"/>
    <x v="18"/>
    <n v="1"/>
    <s v="REALIZADO"/>
    <s v="AGATHA"/>
    <d v="2025-10-13T00:00:00"/>
    <x v="2"/>
  </r>
  <r>
    <n v="64253"/>
    <s v="DANIEL JULIAO"/>
    <s v="MMG"/>
    <s v="ADM"/>
    <n v="50022878"/>
    <x v="18"/>
    <n v="1"/>
    <s v="REALIZADO"/>
    <s v="AGATHA"/>
    <d v="2025-10-13T00:00:00"/>
    <x v="0"/>
  </r>
  <r>
    <n v="74611"/>
    <s v="CRISTIAM BORGES"/>
    <s v="MPR"/>
    <s v="ADM"/>
    <n v="50038956"/>
    <x v="10"/>
    <n v="1"/>
    <s v="REALIZADO"/>
    <s v="BRUNO"/>
    <d v="2025-10-13T00:00:00"/>
    <x v="2"/>
  </r>
  <r>
    <n v="74611"/>
    <s v="CRISTIAM BORGES"/>
    <s v="MPR"/>
    <s v="ADM"/>
    <n v="50038956"/>
    <x v="10"/>
    <n v="1"/>
    <s v="REALIZADO"/>
    <s v="BRUNO"/>
    <d v="2025-10-13T00:00:00"/>
    <x v="2"/>
  </r>
  <r>
    <n v="61096"/>
    <s v="REGIVALDO MEDEIROS"/>
    <s v="MME"/>
    <s v="ADM"/>
    <n v="50037892"/>
    <x v="2"/>
    <n v="1"/>
    <s v="REALIZADO"/>
    <s v="BRUNA"/>
    <d v="2025-10-13T00:00:00"/>
    <x v="2"/>
  </r>
  <r>
    <n v="77526"/>
    <s v="FELIPE GARÇONI"/>
    <s v="MME"/>
    <s v="ADM"/>
    <n v="50038841"/>
    <x v="34"/>
    <n v="1"/>
    <s v="REALIZADO"/>
    <s v="BRUNO"/>
    <d v="2025-10-13T00:00:00"/>
    <x v="0"/>
  </r>
  <r>
    <n v="74611"/>
    <s v="CRISTIAM BORGES"/>
    <s v="MPR"/>
    <s v="ADM"/>
    <n v="50038517"/>
    <x v="0"/>
    <n v="1"/>
    <s v="REALIZADO"/>
    <s v="AGATHA"/>
    <d v="2025-10-13T00:00:00"/>
    <x v="2"/>
  </r>
  <r>
    <n v="74611"/>
    <s v="CRISTIAM BORGES"/>
    <s v="MPR"/>
    <s v="ADM"/>
    <n v="50038517"/>
    <x v="0"/>
    <n v="1"/>
    <s v="REALIZADO"/>
    <s v="AGATHA"/>
    <d v="2025-10-13T00:00:00"/>
    <x v="0"/>
  </r>
  <r>
    <n v="65844"/>
    <s v="ALTEMAR FEITOSA"/>
    <s v="MMG"/>
    <s v="1º TURNO"/>
    <n v="50038517"/>
    <x v="0"/>
    <n v="1"/>
    <s v="REALIZADO"/>
    <s v="AGATHA"/>
    <d v="2025-10-13T00:00:00"/>
    <x v="2"/>
  </r>
  <r>
    <n v="65844"/>
    <s v="ALTEMAR FEITOSA"/>
    <s v="MMG"/>
    <s v="1º TURNO"/>
    <n v="50038517"/>
    <x v="0"/>
    <n v="1"/>
    <s v="REALIZADO"/>
    <s v="AGATHA"/>
    <d v="2025-10-13T00:00:00"/>
    <x v="0"/>
  </r>
  <r>
    <n v="79177"/>
    <s v="MAICON ANTONIO SANTOS"/>
    <s v="MMG"/>
    <s v="ADM"/>
    <n v="50038517"/>
    <x v="0"/>
    <n v="1"/>
    <s v="REALIZADO"/>
    <s v="BRUNA"/>
    <d v="2025-10-13T00:00:00"/>
    <x v="2"/>
  </r>
  <r>
    <n v="79177"/>
    <s v="MAICON ANTONIO SANTOS"/>
    <s v="MMG"/>
    <s v="ADM"/>
    <n v="50038517"/>
    <x v="0"/>
    <n v="1"/>
    <s v="REALIZADO"/>
    <s v="BRUNA"/>
    <d v="2025-10-13T00:00:00"/>
    <x v="0"/>
  </r>
  <r>
    <n v="78675"/>
    <s v="ORLANDO GOMES"/>
    <s v="MME"/>
    <s v="1º TURNO"/>
    <n v="50038517"/>
    <x v="0"/>
    <n v="1"/>
    <s v="REALIZADO"/>
    <s v="BRUNO"/>
    <d v="2025-10-13T00:00:00"/>
    <x v="2"/>
  </r>
  <r>
    <n v="78675"/>
    <s v="ORLANDO GOMES"/>
    <s v="MME"/>
    <s v="1º TURNO"/>
    <n v="50038517"/>
    <x v="0"/>
    <n v="1"/>
    <s v="REALIZADO"/>
    <s v="BRUNA"/>
    <d v="2025-10-13T00:00:00"/>
    <x v="0"/>
  </r>
  <r>
    <n v="62471"/>
    <s v="ELTON LIMA"/>
    <s v="MME"/>
    <s v="ADM"/>
    <n v="50039065"/>
    <x v="22"/>
    <n v="1"/>
    <s v="REALIZADO"/>
    <s v="AGATHA"/>
    <d v="2025-10-13T00:00:00"/>
    <x v="2"/>
  </r>
  <r>
    <n v="62471"/>
    <s v="ELTON LIMA"/>
    <s v="MME"/>
    <s v="ADM"/>
    <n v="50039065"/>
    <x v="22"/>
    <n v="1"/>
    <s v="REALIZADO"/>
    <s v="AGATHA"/>
    <d v="2025-10-13T00:00:00"/>
    <x v="0"/>
  </r>
  <r>
    <n v="79177"/>
    <s v="MAICON ANTONIO SANTOS"/>
    <s v="MMG"/>
    <s v="ADM"/>
    <n v="50039065"/>
    <x v="22"/>
    <n v="1"/>
    <s v="REALIZADO"/>
    <s v="BRUNA"/>
    <d v="2025-10-13T00:00:00"/>
    <x v="2"/>
  </r>
  <r>
    <n v="79177"/>
    <s v="MAICON ANTONIO SANTOS"/>
    <s v="MMG"/>
    <s v="ADM"/>
    <n v="50039065"/>
    <x v="22"/>
    <n v="1"/>
    <s v="REALIZADO"/>
    <s v="BRUNA"/>
    <d v="2025-10-13T00:00:00"/>
    <x v="0"/>
  </r>
  <r>
    <n v="77313"/>
    <s v="ROGERIO"/>
    <s v="MPR"/>
    <s v="ADM"/>
    <n v="50026357"/>
    <x v="24"/>
    <n v="1"/>
    <s v="REALIZADO"/>
    <s v="AGATHA"/>
    <d v="2025-10-13T00:00:00"/>
    <x v="2"/>
  </r>
  <r>
    <n v="77313"/>
    <s v="ROGERIO"/>
    <s v="MPR"/>
    <s v="ADM"/>
    <n v="50026357"/>
    <x v="24"/>
    <n v="1"/>
    <s v="REALIZADO"/>
    <s v="AGATHA"/>
    <d v="2025-10-13T00:00:00"/>
    <x v="0"/>
  </r>
  <r>
    <n v="63697"/>
    <s v="LUCAS NASCIMENTO DE OLIVEIRA"/>
    <s v="MME"/>
    <s v="ADM"/>
    <n v="50001740"/>
    <x v="51"/>
    <n v="1"/>
    <s v="REALIZADO"/>
    <s v="BRUNO"/>
    <d v="2025-10-13T00:00:00"/>
    <x v="2"/>
  </r>
  <r>
    <n v="63697"/>
    <s v="LUCAS NASCIMENTO DE OLIVEIRA"/>
    <s v="MME"/>
    <s v="ADM"/>
    <n v="50001740"/>
    <x v="51"/>
    <n v="1"/>
    <s v="REALIZADO"/>
    <s v="BRUNO"/>
    <d v="2025-10-13T00:00:00"/>
    <x v="0"/>
  </r>
  <r>
    <n v="74611"/>
    <s v="CRISTIAM BORGES"/>
    <s v="MPR"/>
    <s v="ADM"/>
    <n v="50041195"/>
    <x v="21"/>
    <n v="1"/>
    <s v="REALIZADO"/>
    <s v="AGATHA"/>
    <d v="2025-10-13T00:00:00"/>
    <x v="2"/>
  </r>
  <r>
    <n v="74611"/>
    <s v="CRISTIAM BORGES"/>
    <s v="MPR"/>
    <s v="ADM"/>
    <n v="50041195"/>
    <x v="21"/>
    <n v="1"/>
    <s v="REALIZADO"/>
    <s v="AGATHA"/>
    <d v="2025-10-13T00:00:00"/>
    <x v="0"/>
  </r>
  <r>
    <n v="63770"/>
    <s v="DANILO DA SILVA"/>
    <s v="MMG"/>
    <s v="ADM"/>
    <n v="50041195"/>
    <x v="21"/>
    <n v="1"/>
    <s v="REALIZADO"/>
    <s v="BRUNO"/>
    <d v="2025-10-13T00:00:00"/>
    <x v="2"/>
  </r>
  <r>
    <n v="63770"/>
    <s v="DANILO DA SILVA"/>
    <s v="MMG"/>
    <s v="ADM"/>
    <n v="50041195"/>
    <x v="21"/>
    <n v="1"/>
    <s v="REALIZADO"/>
    <s v="BRUNO"/>
    <d v="2025-10-13T00:00:00"/>
    <x v="0"/>
  </r>
  <r>
    <n v="61761"/>
    <s v="JOAO BORTOLI"/>
    <s v="MEE"/>
    <s v="2º TURNO"/>
    <n v="50043917"/>
    <x v="66"/>
    <n v="1"/>
    <s v="REALIZADO"/>
    <s v="AGATHA"/>
    <d v="2025-10-13T00:00:00"/>
    <x v="2"/>
  </r>
  <r>
    <n v="61761"/>
    <s v="JOAO BORTOLI"/>
    <s v="MEE"/>
    <s v="2º TURNO"/>
    <n v="50043917"/>
    <x v="66"/>
    <n v="1"/>
    <s v="REALIZADO"/>
    <s v="AGATHA"/>
    <d v="2025-10-13T00:00:00"/>
    <x v="0"/>
  </r>
  <r>
    <n v="72715"/>
    <s v="DANIEL CAMAÇARI DE OLIVEIRA"/>
    <s v="MPR"/>
    <s v="ADM"/>
    <n v="50043917"/>
    <x v="66"/>
    <n v="1"/>
    <s v="REALIZADO"/>
    <s v="AGATHA"/>
    <d v="2025-10-13T00:00:00"/>
    <x v="2"/>
  </r>
  <r>
    <n v="72715"/>
    <s v="DANIEL CAMAÇARI DE OLIVEIRA"/>
    <s v="MPR"/>
    <s v="ADM"/>
    <n v="50043917"/>
    <x v="66"/>
    <n v="1"/>
    <s v="REALIZADO"/>
    <s v="AGATHA"/>
    <d v="2025-10-13T00:00:00"/>
    <x v="0"/>
  </r>
  <r>
    <n v="68701"/>
    <s v="DANIEL MANFREDI"/>
    <s v="MEE"/>
    <s v="1º TURNO"/>
    <n v="50043917"/>
    <x v="66"/>
    <n v="1"/>
    <s v="REALIZADO"/>
    <s v="BRUNA"/>
    <d v="2025-10-13T00:00:00"/>
    <x v="2"/>
  </r>
  <r>
    <n v="68701"/>
    <s v="DANIEL MANFREDI"/>
    <s v="MEE"/>
    <s v="1º TURNO"/>
    <n v="50043917"/>
    <x v="66"/>
    <n v="1"/>
    <s v="REALIZADO"/>
    <s v="BRUNO"/>
    <d v="2025-10-13T00:00:00"/>
    <x v="0"/>
  </r>
  <r>
    <n v="74611"/>
    <s v="CRISTIAM BORGES"/>
    <s v="MPR"/>
    <s v="ADM"/>
    <n v="50020622"/>
    <x v="42"/>
    <n v="1"/>
    <s v="REALIZADO"/>
    <s v="AGATHA"/>
    <d v="2025-10-13T00:00:00"/>
    <x v="2"/>
  </r>
  <r>
    <n v="74611"/>
    <s v="CRISTIAM BORGES"/>
    <s v="MPR"/>
    <s v="ADM"/>
    <n v="50020622"/>
    <x v="42"/>
    <n v="1"/>
    <s v="REALIZADO"/>
    <s v="AGATHA"/>
    <d v="2025-10-13T00:00:00"/>
    <x v="0"/>
  </r>
  <r>
    <n v="61096"/>
    <s v="REGIVALDO MEDEIROS"/>
    <s v="MME"/>
    <s v="ADM"/>
    <n v="50032775"/>
    <x v="13"/>
    <n v="1"/>
    <s v="REALIZADO"/>
    <s v="AGATHA"/>
    <d v="2025-10-13T00:00:00"/>
    <x v="2"/>
  </r>
  <r>
    <n v="61096"/>
    <s v="REGIVALDO MEDEIROS"/>
    <s v="MME"/>
    <s v="ADM"/>
    <n v="50032775"/>
    <x v="13"/>
    <n v="1"/>
    <s v="REALIZADO"/>
    <s v="BRUNO"/>
    <d v="2025-10-13T00:00:00"/>
    <x v="0"/>
  </r>
  <r>
    <n v="68708"/>
    <s v="CLAUDIO TADEU LEITE"/>
    <s v="MMG"/>
    <s v="ADM"/>
    <n v="50044453"/>
    <x v="98"/>
    <n v="1"/>
    <s v="REALIZADO"/>
    <s v="AGATHA"/>
    <d v="2025-10-13T00:00:00"/>
    <x v="2"/>
  </r>
  <r>
    <n v="68708"/>
    <s v="CLAUDIO TADEU LEITE"/>
    <s v="MMG"/>
    <s v="ADM"/>
    <n v="50044453"/>
    <x v="98"/>
    <n v="1"/>
    <s v="REALIZADO"/>
    <s v="AGATHA"/>
    <d v="2025-10-13T00:00:00"/>
    <x v="0"/>
  </r>
  <r>
    <n v="60953"/>
    <s v="PABLO JUNIOR"/>
    <s v="MMG"/>
    <s v="1º TURNO"/>
    <n v="50044453"/>
    <x v="98"/>
    <n v="1"/>
    <s v="REALIZADO"/>
    <s v="AGATHA"/>
    <d v="2025-10-13T00:00:00"/>
    <x v="2"/>
  </r>
  <r>
    <n v="60953"/>
    <s v="PABLO JUNIOR"/>
    <s v="MMG"/>
    <s v="1º TURNO"/>
    <n v="50044453"/>
    <x v="98"/>
    <n v="1"/>
    <s v="REALIZADO"/>
    <s v="AGATHA"/>
    <d v="2025-10-13T00:00:00"/>
    <x v="0"/>
  </r>
  <r>
    <n v="72715"/>
    <s v="DANIEL CAMAÇARI DE OLIVEIRA"/>
    <s v="MPR"/>
    <s v="ADM"/>
    <n v="50038840"/>
    <x v="68"/>
    <n v="1"/>
    <s v="REALIZADO"/>
    <s v="AGATHA"/>
    <d v="2025-10-13T00:00:00"/>
    <x v="2"/>
  </r>
  <r>
    <n v="72715"/>
    <s v="DANIEL CAMAÇARI DE OLIVEIRA"/>
    <s v="MPR"/>
    <s v="ADM"/>
    <n v="50038840"/>
    <x v="68"/>
    <n v="1"/>
    <s v="REALIZADO"/>
    <s v="AGATHA"/>
    <d v="2025-10-13T00:00:00"/>
    <x v="0"/>
  </r>
  <r>
    <n v="61264"/>
    <s v="EVERTON GERONIMO"/>
    <s v="MMG"/>
    <s v="ADM"/>
    <n v="50037933"/>
    <x v="43"/>
    <n v="1"/>
    <s v="REALIZADO"/>
    <s v="AGATHA"/>
    <d v="2025-10-13T00:00:00"/>
    <x v="2"/>
  </r>
  <r>
    <n v="61264"/>
    <s v="EVERTON GERONIMO"/>
    <s v="MMG"/>
    <s v="ADM"/>
    <n v="50037933"/>
    <x v="43"/>
    <n v="1"/>
    <s v="REALIZADO"/>
    <s v="AGATHA"/>
    <d v="2025-10-13T00:00:00"/>
    <x v="0"/>
  </r>
  <r>
    <n v="63770"/>
    <s v="DANILO DA SILVA"/>
    <s v="MMG"/>
    <s v="ADM"/>
    <n v="50010031"/>
    <x v="20"/>
    <n v="1"/>
    <s v="REALIZADO"/>
    <s v="MARCIA"/>
    <d v="2025-10-12T00:00:00"/>
    <x v="2"/>
  </r>
  <r>
    <n v="63770"/>
    <s v="DANILO DA SILVA"/>
    <s v="MMG"/>
    <s v="ADM"/>
    <n v="50010031"/>
    <x v="20"/>
    <n v="1"/>
    <s v="REALIZADO"/>
    <s v="MARCIA"/>
    <d v="2025-10-12T00:00:00"/>
    <x v="2"/>
  </r>
  <r>
    <n v="65472"/>
    <s v="ISRAEL MACEDO"/>
    <s v="MMG"/>
    <s v="ADM"/>
    <n v="50003298"/>
    <x v="102"/>
    <n v="1"/>
    <s v="REALIZADO"/>
    <s v="MARCIA"/>
    <d v="2025-10-12T00:00:00"/>
    <x v="0"/>
  </r>
  <r>
    <n v="62640"/>
    <s v="MARCELINHO"/>
    <s v="MPR"/>
    <s v="ADM"/>
    <n v="50038854"/>
    <x v="27"/>
    <n v="1"/>
    <s v="REALIZADO"/>
    <s v="MARCIA"/>
    <d v="2025-10-12T00:00:00"/>
    <x v="2"/>
  </r>
  <r>
    <n v="62640"/>
    <s v="MARCELINHO"/>
    <s v="MPR"/>
    <s v="ADM"/>
    <n v="50038854"/>
    <x v="27"/>
    <n v="1"/>
    <s v="REALIZADO"/>
    <s v="MARCIA"/>
    <d v="2025-10-12T00:00:00"/>
    <x v="0"/>
  </r>
  <r>
    <n v="75365"/>
    <s v="WALDYR MARCOS"/>
    <s v="MEE"/>
    <s v="ADM"/>
    <n v="50036298"/>
    <x v="69"/>
    <n v="1"/>
    <s v="REALIZADO"/>
    <s v="KELLY"/>
    <d v="2025-10-12T00:00:00"/>
    <x v="2"/>
  </r>
  <r>
    <n v="75365"/>
    <s v="WALDYR MARCOS"/>
    <s v="MEE"/>
    <s v="ADM"/>
    <n v="50036298"/>
    <x v="69"/>
    <n v="1"/>
    <s v="REALIZADO"/>
    <s v="MARCIA"/>
    <d v="2025-10-12T00:00:00"/>
    <x v="0"/>
  </r>
  <r>
    <n v="65472"/>
    <s v="ISRAEL MACEDO"/>
    <s v="MMG"/>
    <s v="ADM"/>
    <n v="50039718"/>
    <x v="11"/>
    <n v="1"/>
    <s v="REALIZADO"/>
    <s v="KELLY"/>
    <d v="2025-10-12T00:00:00"/>
    <x v="0"/>
  </r>
  <r>
    <n v="67100"/>
    <s v="CARLOS BARATELLA"/>
    <s v="MMG"/>
    <s v="2º TURNO"/>
    <n v="50039718"/>
    <x v="11"/>
    <n v="1"/>
    <s v="REALIZADO"/>
    <s v="KELLY"/>
    <d v="2025-10-12T00:00:00"/>
    <x v="2"/>
  </r>
  <r>
    <n v="67100"/>
    <s v="CARLOS BARATELLA"/>
    <s v="MMG"/>
    <s v="2º TURNO"/>
    <n v="50039718"/>
    <x v="11"/>
    <n v="1"/>
    <s v="REALIZADO"/>
    <s v="MARCIA"/>
    <d v="2025-10-12T00:00:00"/>
    <x v="2"/>
  </r>
  <r>
    <n v="65472"/>
    <s v="ISRAEL MACEDO"/>
    <s v="MMG"/>
    <s v="ADM"/>
    <n v="50039718"/>
    <x v="11"/>
    <n v="1"/>
    <s v="REALIZADO"/>
    <s v="MARCIA"/>
    <d v="2025-10-12T00:00:00"/>
    <x v="0"/>
  </r>
  <r>
    <n v="67915"/>
    <s v="ANDERSON MARCOLONGO"/>
    <s v="MMG"/>
    <s v="1º TURNO"/>
    <n v="50003297"/>
    <x v="8"/>
    <n v="1"/>
    <s v="REALIZADO"/>
    <s v="MARCIA"/>
    <d v="2025-10-12T00:00:00"/>
    <x v="0"/>
  </r>
  <r>
    <n v="62164"/>
    <s v="TIAGO DA SILVA"/>
    <s v="MEE"/>
    <s v="2º TURNO"/>
    <n v="50043320"/>
    <x v="35"/>
    <n v="1"/>
    <s v="REALIZADO"/>
    <s v="MARCIA"/>
    <d v="2025-10-12T00:00:00"/>
    <x v="2"/>
  </r>
  <r>
    <n v="62164"/>
    <s v="TIAGO DA SILVA"/>
    <s v="MEE"/>
    <s v="2º TURNO"/>
    <n v="50043320"/>
    <x v="35"/>
    <n v="1"/>
    <s v="REALIZADO"/>
    <s v="MARCIA"/>
    <d v="2025-10-12T00:00:00"/>
    <x v="0"/>
  </r>
  <r>
    <n v="68760"/>
    <s v="FERDINANDO PAZINI"/>
    <s v="MMG"/>
    <s v="ADM"/>
    <n v="50022878"/>
    <x v="18"/>
    <n v="1"/>
    <s v="REALIZADO"/>
    <s v="KELLY"/>
    <d v="2025-10-12T00:00:00"/>
    <x v="2"/>
  </r>
  <r>
    <n v="68760"/>
    <s v="FERDINANDO PAZINI"/>
    <s v="MMG"/>
    <s v="ADM"/>
    <n v="50022878"/>
    <x v="18"/>
    <n v="1"/>
    <s v="REALIZADO"/>
    <s v="MARCIA"/>
    <d v="2025-10-12T00:00:00"/>
    <x v="0"/>
  </r>
  <r>
    <n v="70146"/>
    <s v="LUCIANO ALBERTO DA SILVA DE OLIVEIRA"/>
    <s v="UTI"/>
    <s v="1º TURNO"/>
    <n v="50022878"/>
    <x v="18"/>
    <n v="1"/>
    <s v="REALIZADO"/>
    <s v="MARCIA"/>
    <d v="2025-10-12T00:00:00"/>
    <x v="2"/>
  </r>
  <r>
    <n v="70146"/>
    <s v="LUCIANO ALBERTO DA SILVA DE OLIVEIRA"/>
    <s v="UTI"/>
    <s v="1º TURNO"/>
    <n v="50022878"/>
    <x v="18"/>
    <m/>
    <s v="REALIZADO"/>
    <s v="MARCIA"/>
    <d v="2025-10-12T00:00:00"/>
    <x v="0"/>
  </r>
  <r>
    <n v="74611"/>
    <s v="CRISTIAM BORGES"/>
    <s v="MPR"/>
    <s v="ADM"/>
    <n v="50038956"/>
    <x v="10"/>
    <n v="1"/>
    <s v="REALIZADO"/>
    <s v="MARCIA"/>
    <d v="2025-10-12T00:00:00"/>
    <x v="2"/>
  </r>
  <r>
    <n v="74611"/>
    <s v="CRISTIAM BORGES"/>
    <s v="MPR"/>
    <s v="ADM"/>
    <n v="50038956"/>
    <x v="10"/>
    <n v="1"/>
    <s v="REALIZADO"/>
    <s v="MARCIA"/>
    <d v="2025-10-12T00:00:00"/>
    <x v="0"/>
  </r>
  <r>
    <n v="67915"/>
    <s v="ANDERSON MARCOLONGO"/>
    <s v="MMG"/>
    <s v="1º TURNO"/>
    <n v="50037892"/>
    <x v="2"/>
    <n v="1"/>
    <s v="REALIZADO"/>
    <s v="KELLY"/>
    <d v="2025-10-12T00:00:00"/>
    <x v="2"/>
  </r>
  <r>
    <n v="67915"/>
    <s v="ANDERSON MARCOLONGO"/>
    <s v="MMG"/>
    <s v="1º TURNO"/>
    <n v="50037892"/>
    <x v="2"/>
    <n v="1"/>
    <s v="REALIZADO"/>
    <s v="MARCIA"/>
    <d v="2025-10-12T00:00:00"/>
    <x v="0"/>
  </r>
  <r>
    <n v="67863"/>
    <s v="MARCELO PAIM"/>
    <s v="MME"/>
    <s v="1º TURNO"/>
    <n v="50038841"/>
    <x v="34"/>
    <n v="1"/>
    <s v="REALIZADO"/>
    <s v="MARCIA"/>
    <d v="2025-10-12T00:00:00"/>
    <x v="2"/>
  </r>
  <r>
    <n v="67863"/>
    <s v="MARCELO PAIM"/>
    <s v="MME"/>
    <s v="1º TURNO"/>
    <n v="50038841"/>
    <x v="34"/>
    <n v="1"/>
    <s v="REALIZADO"/>
    <s v="MARCIA"/>
    <d v="2025-10-12T00:00:00"/>
    <x v="0"/>
  </r>
  <r>
    <n v="62164"/>
    <s v="TIAGO DA SILVA"/>
    <s v="MEE"/>
    <s v="2º TURNO"/>
    <n v="50038517"/>
    <x v="0"/>
    <n v="1"/>
    <s v="REALIZADO"/>
    <s v="MARCIA"/>
    <d v="2025-10-12T00:00:00"/>
    <x v="2"/>
  </r>
  <r>
    <n v="62164"/>
    <s v="TIAGO DA SILVA"/>
    <s v="MEE"/>
    <s v="2º TURNO"/>
    <n v="50038517"/>
    <x v="0"/>
    <n v="1"/>
    <s v="REALIZADO"/>
    <s v="MARCIA"/>
    <d v="2025-10-12T00:00:00"/>
    <x v="0"/>
  </r>
  <r>
    <n v="68708"/>
    <s v="CLAUDIO TADEU LEITE"/>
    <s v="MMG"/>
    <s v="ADM"/>
    <n v="50001995"/>
    <x v="44"/>
    <n v="1"/>
    <s v="REALIZADO"/>
    <s v="MARCIA"/>
    <d v="2025-10-12T00:00:00"/>
    <x v="2"/>
  </r>
  <r>
    <n v="68708"/>
    <s v="CLAUDIO TADEU LEITE"/>
    <s v="MMG"/>
    <s v="ADM"/>
    <n v="50001995"/>
    <x v="44"/>
    <n v="1"/>
    <s v="REALIZADO"/>
    <s v="MARCIA"/>
    <d v="2025-10-12T00:00:00"/>
    <x v="0"/>
  </r>
  <r>
    <n v="68708"/>
    <s v="CLAUDIO TADEU LEITE"/>
    <s v="MPR"/>
    <s v="ADM"/>
    <n v="50038626"/>
    <x v="72"/>
    <n v="1"/>
    <s v="REALIZADO"/>
    <s v="MARCIA"/>
    <d v="2025-10-12T00:00:00"/>
    <x v="2"/>
  </r>
  <r>
    <n v="74611"/>
    <s v="CRISTIAM BORGES"/>
    <s v="MPR"/>
    <s v="ADM"/>
    <n v="50038626"/>
    <x v="72"/>
    <n v="1"/>
    <s v="REALIZADO"/>
    <s v="MARCIA"/>
    <d v="2025-10-12T00:00:00"/>
    <x v="0"/>
  </r>
  <r>
    <n v="77313"/>
    <s v="ROGERIO"/>
    <s v="MPR"/>
    <s v="ADM"/>
    <n v="50026357"/>
    <x v="24"/>
    <n v="1"/>
    <s v="REALIZADO"/>
    <s v="KELLY"/>
    <d v="2025-10-12T00:00:00"/>
    <x v="2"/>
  </r>
  <r>
    <n v="77313"/>
    <s v="ROGERIO"/>
    <s v="MPR"/>
    <s v="ADM"/>
    <n v="50026357"/>
    <x v="24"/>
    <n v="1"/>
    <s v="REALIZADO"/>
    <s v="MARCIA"/>
    <d v="2025-10-12T00:00:00"/>
    <x v="0"/>
  </r>
  <r>
    <n v="64074"/>
    <s v="MARCOS FERNANDES COLOMBO"/>
    <s v="MPR"/>
    <s v="ADM"/>
    <n v="50041124"/>
    <x v="77"/>
    <n v="1"/>
    <s v="REALIZADO"/>
    <s v="KELLY"/>
    <d v="2025-10-12T00:00:00"/>
    <x v="2"/>
  </r>
  <r>
    <n v="72713"/>
    <s v="MARCOS AURELIO"/>
    <s v="MPR"/>
    <s v="ADM"/>
    <n v="50041124"/>
    <x v="77"/>
    <n v="1"/>
    <s v="REALIZADO"/>
    <s v="MARCIA"/>
    <d v="2025-10-12T00:00:00"/>
    <x v="0"/>
  </r>
  <r>
    <n v="62896"/>
    <s v="LEONARDO BORGES"/>
    <s v="MEE"/>
    <s v="ADM"/>
    <n v="50020622"/>
    <x v="42"/>
    <n v="1"/>
    <s v="REALIZADO"/>
    <s v="MARCIA"/>
    <d v="2025-10-12T00:00:00"/>
    <x v="2"/>
  </r>
  <r>
    <n v="62896"/>
    <s v="LEONARDO BORGES"/>
    <s v="MEE"/>
    <s v="ADM"/>
    <n v="50020622"/>
    <x v="42"/>
    <n v="1"/>
    <s v="REALIZADO"/>
    <s v="MARCIA"/>
    <d v="2025-10-12T00:00:00"/>
    <x v="0"/>
  </r>
  <r>
    <n v="60953"/>
    <s v="PABLO JUNIOR"/>
    <s v="MMG"/>
    <s v="1º TURNO"/>
    <n v="50004486"/>
    <x v="40"/>
    <n v="1"/>
    <s v="REALIZADO"/>
    <s v="MARCIA"/>
    <d v="2025-10-12T00:00:00"/>
    <x v="2"/>
  </r>
  <r>
    <n v="60953"/>
    <s v="PABLO JUNIOR"/>
    <s v="MMG"/>
    <s v="1º TURNO"/>
    <n v="50004486"/>
    <x v="40"/>
    <n v="1"/>
    <s v="REALIZADO"/>
    <s v="MARCIA"/>
    <d v="2025-10-12T00:00:00"/>
    <x v="0"/>
  </r>
  <r>
    <n v="64074"/>
    <s v="MARCOS FERNANDES COLOMBO"/>
    <s v="MPR"/>
    <s v="ADM"/>
    <n v="50038840"/>
    <x v="68"/>
    <n v="1"/>
    <s v="REALIZADO"/>
    <s v="KELLY"/>
    <d v="2025-10-12T00:00:00"/>
    <x v="2"/>
  </r>
  <r>
    <n v="64074"/>
    <s v="MARCOS FERNANDES COLOMBO"/>
    <s v="MPR"/>
    <s v="ADM"/>
    <n v="50038840"/>
    <x v="68"/>
    <n v="1"/>
    <s v="REALIZADO"/>
    <s v="MARCIA"/>
    <d v="2025-10-12T00:00:00"/>
    <x v="2"/>
  </r>
  <r>
    <n v="72713"/>
    <s v="MARCOS AURELIO"/>
    <s v="MPR"/>
    <s v="ADM"/>
    <n v="50038618"/>
    <x v="88"/>
    <n v="1"/>
    <s v="REALIZADO"/>
    <s v="MARCIA"/>
    <d v="2025-10-12T00:00:00"/>
    <x v="2"/>
  </r>
  <r>
    <n v="72713"/>
    <s v="MARCOS AURELIO"/>
    <s v="MPR"/>
    <s v="ADM"/>
    <n v="50041194"/>
    <x v="80"/>
    <n v="1"/>
    <s v="REALIZADO"/>
    <s v="MARCIA"/>
    <d v="2025-10-12T00:00:00"/>
    <x v="0"/>
  </r>
  <r>
    <n v="74874"/>
    <s v="FABIANO MARQUES"/>
    <s v="MMG"/>
    <s v="ADM"/>
    <n v="50037905"/>
    <x v="49"/>
    <n v="1"/>
    <s v="REALIZADO"/>
    <s v="BRUNA"/>
    <d v="2025-10-11T00:00:00"/>
    <x v="2"/>
  </r>
  <r>
    <n v="74874"/>
    <s v="FABIANO MARQUES"/>
    <s v="MMG"/>
    <s v="ADM"/>
    <n v="50037905"/>
    <x v="49"/>
    <n v="1"/>
    <s v="REALIZADO"/>
    <s v="BRUNA"/>
    <d v="2025-10-11T00:00:00"/>
    <x v="0"/>
  </r>
  <r>
    <n v="67915"/>
    <s v="ANDERSON MARCOLONGO"/>
    <s v="MMG"/>
    <s v="1º TURNO"/>
    <n v="50043471"/>
    <x v="5"/>
    <n v="1"/>
    <s v="REALIZADO"/>
    <s v="BRUNA"/>
    <d v="2025-10-11T00:00:00"/>
    <x v="0"/>
  </r>
  <r>
    <n v="74874"/>
    <s v="FABIANO MARQUES"/>
    <s v="MMG"/>
    <s v="ADM"/>
    <n v="50038841"/>
    <x v="34"/>
    <n v="1"/>
    <s v="REALIZADO"/>
    <s v="BRUNA"/>
    <d v="2025-10-11T00:00:00"/>
    <x v="2"/>
  </r>
  <r>
    <n v="74874"/>
    <s v="FABIANO MARQUES"/>
    <s v="MMG"/>
    <s v="ADM"/>
    <n v="50038841"/>
    <x v="34"/>
    <n v="1"/>
    <s v="REALIZADO"/>
    <s v="BRUNA"/>
    <d v="2025-10-11T00:00:00"/>
    <x v="0"/>
  </r>
  <r>
    <n v="62896"/>
    <s v="LEONARDO BORGES"/>
    <s v="MEE"/>
    <s v="ADM"/>
    <n v="50036298"/>
    <x v="69"/>
    <n v="1"/>
    <s v="REALIZADO"/>
    <s v="GEOVANE"/>
    <d v="2025-10-10T00:00:00"/>
    <x v="2"/>
  </r>
  <r>
    <n v="62896"/>
    <s v="LEONARDO BORGES"/>
    <s v="MEE"/>
    <s v="ADM"/>
    <n v="50036298"/>
    <x v="69"/>
    <n v="1"/>
    <s v="REALIZADO"/>
    <s v="MATHEUS"/>
    <d v="2025-10-10T00:00:00"/>
    <x v="0"/>
  </r>
  <r>
    <n v="74611"/>
    <s v="CRISTIAM BORGES"/>
    <s v="MPR"/>
    <s v="ADM"/>
    <n v="50036086"/>
    <x v="3"/>
    <n v="1"/>
    <s v="REALIZADO"/>
    <s v="AGATHA"/>
    <d v="2025-10-10T00:00:00"/>
    <x v="2"/>
  </r>
  <r>
    <n v="74611"/>
    <s v="CRISTIAM BORGES"/>
    <s v="MPR"/>
    <s v="ADM"/>
    <n v="50036086"/>
    <x v="3"/>
    <n v="1"/>
    <s v="REALIZADO"/>
    <s v="GEOVANE"/>
    <d v="2025-10-10T00:00:00"/>
    <x v="0"/>
  </r>
  <r>
    <n v="76994"/>
    <s v="FELIPE HENRIQUE DE BRITO"/>
    <s v="MEE"/>
    <s v="ADM"/>
    <n v="50039236"/>
    <x v="84"/>
    <n v="1"/>
    <s v="REALIZADO"/>
    <s v="MATHEUS"/>
    <d v="2025-10-10T00:00:00"/>
    <x v="2"/>
  </r>
  <r>
    <n v="62471"/>
    <s v="ELTON LIMA"/>
    <s v="MME"/>
    <s v="ADM"/>
    <n v="50043471"/>
    <x v="5"/>
    <n v="1"/>
    <s v="REALIZADO"/>
    <s v="GEOVANE"/>
    <d v="2025-10-10T00:00:00"/>
    <x v="2"/>
  </r>
  <r>
    <n v="66789"/>
    <s v="ERICK GUERRA"/>
    <s v="MME"/>
    <s v="1º TURNO"/>
    <n v="50003297"/>
    <x v="8"/>
    <n v="1"/>
    <s v="REALIZADO"/>
    <s v="MATHEUS"/>
    <d v="2025-10-10T00:00:00"/>
    <x v="0"/>
  </r>
  <r>
    <n v="65472"/>
    <s v="ISRAEL MACEDO"/>
    <s v="MMG"/>
    <s v="ADM"/>
    <n v="50003297"/>
    <x v="8"/>
    <n v="1"/>
    <s v="REALIZADO"/>
    <s v="BRUNO"/>
    <d v="2025-10-10T00:00:00"/>
    <x v="0"/>
  </r>
  <r>
    <n v="61264"/>
    <s v="EVERTON GERONIMO"/>
    <s v="MMG"/>
    <s v="ADM"/>
    <n v="50029865"/>
    <x v="9"/>
    <n v="1"/>
    <s v="REALIZADO"/>
    <s v="AGATHA"/>
    <d v="2025-10-10T00:00:00"/>
    <x v="2"/>
  </r>
  <r>
    <n v="61264"/>
    <s v="EVERTON GERONIMO"/>
    <s v="MMG"/>
    <s v="ADM"/>
    <n v="50029865"/>
    <x v="9"/>
    <n v="1"/>
    <s v="REALIZADO"/>
    <s v="BRUNO"/>
    <d v="2025-10-10T00:00:00"/>
    <x v="0"/>
  </r>
  <r>
    <n v="64253"/>
    <s v="DANIEL JULIAO"/>
    <s v="MMG"/>
    <s v="ADM"/>
    <n v="50038956"/>
    <x v="10"/>
    <n v="1"/>
    <s v="REALIZADO"/>
    <s v="GEOVANE"/>
    <d v="2025-10-10T00:00:00"/>
    <x v="2"/>
  </r>
  <r>
    <n v="64253"/>
    <s v="DANIEL JULIAO"/>
    <s v="MMG"/>
    <s v="ADM"/>
    <n v="50038956"/>
    <x v="10"/>
    <n v="1"/>
    <s v="REALIZADO"/>
    <s v="GEOVANE"/>
    <d v="2025-10-10T00:00:00"/>
    <x v="0"/>
  </r>
  <r>
    <n v="77526"/>
    <s v="FELIPE GARÇONI"/>
    <s v="MME"/>
    <s v="ADM"/>
    <n v="50038956"/>
    <x v="10"/>
    <n v="1"/>
    <s v="REALIZADO"/>
    <s v="MATHEUS"/>
    <d v="2025-10-10T00:00:00"/>
    <x v="2"/>
  </r>
  <r>
    <n v="77526"/>
    <s v="FELIPE GARÇONI"/>
    <s v="MME"/>
    <s v="ADM"/>
    <n v="50038956"/>
    <x v="10"/>
    <n v="1"/>
    <s v="REALIZADO"/>
    <s v="MATHEUS"/>
    <d v="2025-10-10T00:00:00"/>
    <x v="0"/>
  </r>
  <r>
    <n v="73878"/>
    <s v="EVANDRO TANAKA"/>
    <s v="MMG"/>
    <s v="ADM"/>
    <n v="50037892"/>
    <x v="2"/>
    <n v="1"/>
    <s v="NÃO REALIZADO"/>
    <s v="MARCIA"/>
    <d v="2025-10-10T00:00:00"/>
    <x v="2"/>
  </r>
  <r>
    <n v="73878"/>
    <s v="EVANDRO TANAKA"/>
    <s v="MMG"/>
    <s v="ADM"/>
    <n v="50037892"/>
    <x v="2"/>
    <n v="1"/>
    <s v="NÃO REALIZADO"/>
    <s v="MARCIA"/>
    <d v="2025-10-10T00:00:00"/>
    <x v="2"/>
  </r>
  <r>
    <n v="65474"/>
    <s v="MARCIO DOS SANTOS"/>
    <s v="MMG"/>
    <s v="1º TURNO"/>
    <n v="50037892"/>
    <x v="2"/>
    <n v="1"/>
    <s v="REALIZADO"/>
    <s v="MARINA"/>
    <d v="2025-10-10T00:00:00"/>
    <x v="0"/>
  </r>
  <r>
    <n v="65474"/>
    <s v="MARCIO DOS SANTOS"/>
    <s v="MMG"/>
    <s v="1º TURNO"/>
    <n v="50037892"/>
    <x v="2"/>
    <n v="1"/>
    <s v="REALIZADO"/>
    <s v="MARINA"/>
    <d v="2025-10-10T00:00:00"/>
    <x v="0"/>
  </r>
  <r>
    <n v="62896"/>
    <s v="LEONARDO BORGES"/>
    <s v="MEE"/>
    <s v="ADM"/>
    <n v="50038841"/>
    <x v="34"/>
    <n v="1"/>
    <s v="REALIZADO"/>
    <s v="MATHEUS"/>
    <d v="2025-10-10T00:00:00"/>
    <x v="2"/>
  </r>
  <r>
    <n v="62896"/>
    <s v="LEONARDO BORGES"/>
    <s v="MEE"/>
    <s v="ADM"/>
    <n v="50038841"/>
    <x v="34"/>
    <n v="1"/>
    <s v="REALIZADO"/>
    <s v="BRUNO"/>
    <d v="2025-10-10T00:00:00"/>
    <x v="0"/>
  </r>
  <r>
    <n v="74611"/>
    <s v="CRISTIAM BORGES"/>
    <s v="MPR"/>
    <s v="ADM"/>
    <n v="50038517"/>
    <x v="0"/>
    <n v="1"/>
    <s v="REALIZADO"/>
    <s v="AGATHA"/>
    <d v="2025-10-10T00:00:00"/>
    <x v="2"/>
  </r>
  <r>
    <n v="74611"/>
    <s v="CRISTIAM BORGES"/>
    <s v="MPR"/>
    <s v="ADM"/>
    <n v="50038517"/>
    <x v="0"/>
    <n v="1"/>
    <s v="REALIZADO"/>
    <s v="BRUNO"/>
    <d v="2025-10-10T00:00:00"/>
    <x v="0"/>
  </r>
  <r>
    <n v="68708"/>
    <s v="CLAUDIO TADEU LEITE"/>
    <s v="MMG"/>
    <s v="ADM"/>
    <n v="50042003"/>
    <x v="103"/>
    <n v="1"/>
    <s v="REALIZADO"/>
    <s v="GEOVANE"/>
    <d v="2025-10-10T00:00:00"/>
    <x v="2"/>
  </r>
  <r>
    <n v="68708"/>
    <s v="CLAUDIO TADEU LEITE"/>
    <s v="MMG"/>
    <s v="ADM"/>
    <n v="50042003"/>
    <x v="103"/>
    <n v="1"/>
    <s v="REALIZADO"/>
    <s v="BRUNO"/>
    <d v="2025-10-10T00:00:00"/>
    <x v="0"/>
  </r>
  <r>
    <n v="65474"/>
    <s v="MARCIO DOS SANTOS"/>
    <s v="MMG"/>
    <s v="1º TURNO"/>
    <n v="50001995"/>
    <x v="44"/>
    <n v="1"/>
    <s v="REALIZADO"/>
    <s v="MARINA"/>
    <d v="2025-10-10T00:00:00"/>
    <x v="0"/>
  </r>
  <r>
    <n v="68760"/>
    <s v="FERDINANDO PAZINI"/>
    <s v="MMG"/>
    <s v="ADM"/>
    <n v="50039065"/>
    <x v="22"/>
    <n v="1"/>
    <s v="REALIZADO"/>
    <s v="BRUNO"/>
    <d v="2025-10-10T00:00:00"/>
    <x v="2"/>
  </r>
  <r>
    <n v="68760"/>
    <s v="FERDINANDO PAZINI"/>
    <s v="MMG"/>
    <s v="ADM"/>
    <n v="50039065"/>
    <x v="22"/>
    <n v="1"/>
    <s v="REALIZADO"/>
    <s v="BRUNO"/>
    <d v="2025-10-10T00:00:00"/>
    <x v="0"/>
  </r>
  <r>
    <n v="61264"/>
    <s v="EVERTON GERONIMO"/>
    <s v="MMG"/>
    <s v="ADM"/>
    <n v="50041195"/>
    <x v="21"/>
    <n v="1"/>
    <s v="REALIZADO"/>
    <s v="AGATHA"/>
    <d v="2025-10-10T00:00:00"/>
    <x v="2"/>
  </r>
  <r>
    <n v="61264"/>
    <s v="EVERTON GERONIMO"/>
    <s v="MMG"/>
    <s v="ADM"/>
    <n v="50041195"/>
    <x v="21"/>
    <n v="1"/>
    <s v="REALIZADO"/>
    <s v="BRUNO"/>
    <d v="2025-10-10T00:00:00"/>
    <x v="0"/>
  </r>
  <r>
    <n v="62896"/>
    <s v="LEONARDO BORGES"/>
    <s v="MEE"/>
    <s v="ADM"/>
    <n v="50043917"/>
    <x v="66"/>
    <n v="1"/>
    <s v="REALIZADO"/>
    <s v="MATHEUS"/>
    <d v="2025-10-10T00:00:00"/>
    <x v="2"/>
  </r>
  <r>
    <n v="62896"/>
    <s v="LEONARDO BORGES"/>
    <s v="MEE"/>
    <s v="ADM"/>
    <n v="50043917"/>
    <x v="66"/>
    <n v="1"/>
    <s v="REALIZADO"/>
    <s v="BRUNO"/>
    <d v="2025-10-10T00:00:00"/>
    <x v="0"/>
  </r>
  <r>
    <n v="78886"/>
    <s v="DOUGLAS FELICIANO MENDES DE OLIVEIRA"/>
    <s v="MME"/>
    <s v="ADM"/>
    <n v="50043917"/>
    <x v="66"/>
    <n v="1"/>
    <s v="REALIZADO"/>
    <s v="BRUNO"/>
    <d v="2025-10-10T00:00:00"/>
    <x v="2"/>
  </r>
  <r>
    <n v="78886"/>
    <s v="DOUGLAS FELICIANO MENDES DE OLIVEIRA"/>
    <s v="MME"/>
    <s v="ADM"/>
    <n v="50043917"/>
    <x v="66"/>
    <n v="1"/>
    <s v="REALIZADO"/>
    <s v="BRUNO"/>
    <d v="2025-10-10T00:00:00"/>
    <x v="2"/>
  </r>
  <r>
    <n v="65474"/>
    <s v="MARCIO DOS SANTOS"/>
    <s v="MMG"/>
    <s v="1º TURNO"/>
    <n v="50043917"/>
    <x v="66"/>
    <n v="1"/>
    <s v="REALIZADO"/>
    <s v="MARINA"/>
    <d v="2025-10-10T00:00:00"/>
    <x v="0"/>
  </r>
  <r>
    <n v="65474"/>
    <s v="MARCIO DOS SANTOS"/>
    <s v="MMG"/>
    <s v="1º TURNO"/>
    <n v="50043917"/>
    <x v="66"/>
    <n v="1"/>
    <s v="REALIZADO"/>
    <s v="MARINA"/>
    <d v="2025-10-10T00:00:00"/>
    <x v="0"/>
  </r>
  <r>
    <n v="61096"/>
    <s v="REGIVALDO MEDEIROS"/>
    <s v="MME"/>
    <s v="ADM"/>
    <n v="50032775"/>
    <x v="13"/>
    <n v="1"/>
    <s v="REALIZADO"/>
    <s v="BRUNA"/>
    <d v="2025-10-10T00:00:00"/>
    <x v="2"/>
  </r>
  <r>
    <n v="61096"/>
    <s v="REGIVALDO MEDEIROS"/>
    <s v="MME"/>
    <s v="ADM"/>
    <n v="50032775"/>
    <x v="13"/>
    <n v="1"/>
    <s v="REALIZADO"/>
    <s v="BRUNO"/>
    <d v="2025-10-10T00:00:00"/>
    <x v="0"/>
  </r>
  <r>
    <n v="68708"/>
    <s v="CLAUDIO TADEU LEITE"/>
    <s v="MMG"/>
    <s v="ADM"/>
    <n v="50042283"/>
    <x v="47"/>
    <n v="1"/>
    <s v="REALIZADO"/>
    <s v="AGATHA"/>
    <d v="2025-10-10T00:00:00"/>
    <x v="0"/>
  </r>
  <r>
    <n v="77594"/>
    <s v="VINICIUS ROBLES"/>
    <s v="MME"/>
    <s v="ADM"/>
    <n v="50010031"/>
    <x v="20"/>
    <n v="1"/>
    <s v="REALIZADO"/>
    <s v="BRUNO"/>
    <d v="2025-10-09T00:00:00"/>
    <x v="2"/>
  </r>
  <r>
    <n v="77594"/>
    <s v="VINICIUS ROBLES"/>
    <s v="MME"/>
    <s v="ADM"/>
    <n v="50010031"/>
    <x v="20"/>
    <n v="1"/>
    <s v="REALIZADO"/>
    <s v="BRUNO"/>
    <d v="2025-10-09T00:00:00"/>
    <x v="0"/>
  </r>
  <r>
    <n v="74874"/>
    <s v="FABIANO MARQUES"/>
    <s v="MMG"/>
    <s v="ADM"/>
    <n v="50010031"/>
    <x v="20"/>
    <n v="1"/>
    <s v="REALIZADO"/>
    <s v="BRUNA"/>
    <d v="2025-10-09T00:00:00"/>
    <x v="2"/>
  </r>
  <r>
    <n v="74874"/>
    <s v="FABIANO MARQUES"/>
    <s v="MMG"/>
    <s v="ADM"/>
    <n v="50010031"/>
    <x v="20"/>
    <n v="1"/>
    <s v="REALIZADO"/>
    <s v="BRUNA"/>
    <d v="2025-10-09T00:00:00"/>
    <x v="2"/>
  </r>
  <r>
    <n v="68708"/>
    <s v="CLAUDIO TADEU LEITE"/>
    <s v="MMG"/>
    <s v="ADM"/>
    <n v="50036296"/>
    <x v="46"/>
    <n v="1"/>
    <s v="REALIZADO"/>
    <s v="BRUNO"/>
    <d v="2025-10-09T00:00:00"/>
    <x v="0"/>
  </r>
  <r>
    <n v="77526"/>
    <s v="FELIPE GARÇONI"/>
    <s v="MME"/>
    <s v="ADM"/>
    <n v="50030486"/>
    <x v="17"/>
    <n v="1"/>
    <s v="REALIZADO"/>
    <s v="BRUNA"/>
    <d v="2025-10-09T00:00:00"/>
    <x v="2"/>
  </r>
  <r>
    <n v="77526"/>
    <s v="FELIPE GARÇONI"/>
    <s v="MME"/>
    <s v="ADM"/>
    <n v="50030486"/>
    <x v="17"/>
    <n v="1"/>
    <s v="REALIZADO"/>
    <s v="BRUNO"/>
    <d v="2025-10-09T00:00:00"/>
    <x v="2"/>
  </r>
  <r>
    <n v="76994"/>
    <s v="FELIPE HENRIQUE DE BRITO"/>
    <s v="MEE"/>
    <s v="ADM"/>
    <n v="50039236"/>
    <x v="84"/>
    <n v="1"/>
    <s v="REALIZADO"/>
    <s v="BRUNO"/>
    <d v="2025-10-09T00:00:00"/>
    <x v="0"/>
  </r>
  <r>
    <n v="77526"/>
    <s v="FELIPE GARÇONI"/>
    <s v="MME"/>
    <s v="ADM"/>
    <n v="50043471"/>
    <x v="5"/>
    <n v="1"/>
    <s v="REALIZADO"/>
    <s v="GEOVANE"/>
    <d v="2025-10-09T00:00:00"/>
    <x v="0"/>
  </r>
  <r>
    <n v="77526"/>
    <s v="FELIPE GARÇONI"/>
    <s v="MME"/>
    <s v="ADM"/>
    <n v="50043471"/>
    <x v="5"/>
    <n v="1"/>
    <s v="REALIZADO"/>
    <s v="GEOVANE"/>
    <d v="2025-10-09T00:00:00"/>
    <x v="2"/>
  </r>
  <r>
    <n v="77526"/>
    <s v="FELIPE GARÇONI"/>
    <s v="MME"/>
    <s v="ADM"/>
    <n v="50043471"/>
    <x v="5"/>
    <n v="1"/>
    <s v="REALIZADO"/>
    <s v="GEOVANE"/>
    <d v="2025-10-09T00:00:00"/>
    <x v="0"/>
  </r>
  <r>
    <n v="78675"/>
    <s v="ORLANDO GOMES"/>
    <s v="MME"/>
    <s v="1º TURNO"/>
    <n v="50043471"/>
    <x v="5"/>
    <n v="1"/>
    <s v="REALIZADO"/>
    <s v="BRUNA"/>
    <d v="2025-10-09T00:00:00"/>
    <x v="2"/>
  </r>
  <r>
    <n v="78675"/>
    <s v="ORLANDO GOMES"/>
    <s v="MME"/>
    <s v="1º TURNO"/>
    <n v="50043471"/>
    <x v="5"/>
    <n v="1"/>
    <s v="REALIZADO"/>
    <s v="BRUNO"/>
    <d v="2025-10-09T00:00:00"/>
    <x v="0"/>
  </r>
  <r>
    <n v="77526"/>
    <s v="FELIPE GARÇONI"/>
    <s v="MME"/>
    <s v="ADM"/>
    <n v="50043471"/>
    <x v="5"/>
    <n v="1"/>
    <s v="REALIZADO"/>
    <s v="BRUNO"/>
    <d v="2025-10-09T00:00:00"/>
    <x v="2"/>
  </r>
  <r>
    <n v="77526"/>
    <s v="FELIPE GARÇONI"/>
    <s v="MME"/>
    <s v="ADM"/>
    <n v="50043471"/>
    <x v="5"/>
    <n v="1"/>
    <s v="REALIZADO"/>
    <s v="BRUNO"/>
    <d v="2025-10-09T00:00:00"/>
    <x v="2"/>
  </r>
  <r>
    <n v="65472"/>
    <s v="ISRAEL MACEDO"/>
    <s v="MMG"/>
    <s v="ADM"/>
    <n v="50003297"/>
    <x v="8"/>
    <n v="1"/>
    <s v="REALIZADO"/>
    <s v="BRUNO"/>
    <d v="2025-10-09T00:00:00"/>
    <x v="0"/>
  </r>
  <r>
    <n v="77521"/>
    <s v="LUCAS LIRA"/>
    <s v="MME"/>
    <s v="ADM"/>
    <n v="50038956"/>
    <x v="10"/>
    <n v="1"/>
    <s v="REALIZADO"/>
    <s v="GEOVANE"/>
    <d v="2025-10-09T00:00:00"/>
    <x v="2"/>
  </r>
  <r>
    <n v="77521"/>
    <s v="LUCAS LIRA"/>
    <s v="MME"/>
    <s v="ADM"/>
    <n v="50038956"/>
    <x v="10"/>
    <n v="1"/>
    <s v="REALIZADO"/>
    <s v="GEOVANE"/>
    <d v="2025-10-09T00:00:00"/>
    <x v="0"/>
  </r>
  <r>
    <n v="67559"/>
    <s v="VINICIUS SOUZA"/>
    <s v="MME"/>
    <s v="2º TURNO"/>
    <n v="50038956"/>
    <x v="10"/>
    <n v="1"/>
    <s v="REALIZADO"/>
    <s v="GEOVANE"/>
    <d v="2025-10-09T00:00:00"/>
    <x v="2"/>
  </r>
  <r>
    <n v="67559"/>
    <s v="VINICIUS SOUZA"/>
    <s v="MME"/>
    <s v="2º TURNO"/>
    <n v="50038956"/>
    <x v="10"/>
    <n v="1"/>
    <s v="REALIZADO"/>
    <s v="GEOVANE"/>
    <d v="2025-10-09T00:00:00"/>
    <x v="0"/>
  </r>
  <r>
    <n v="74874"/>
    <s v="FABIANO MARQUES"/>
    <s v="MMG"/>
    <s v="ADM"/>
    <n v="50038956"/>
    <x v="10"/>
    <n v="1"/>
    <s v="REALIZADO"/>
    <s v="BRUNO"/>
    <d v="2025-10-09T00:00:00"/>
    <x v="2"/>
  </r>
  <r>
    <n v="74874"/>
    <s v="FABIANO MARQUES"/>
    <s v="MMG"/>
    <s v="ADM"/>
    <n v="50038956"/>
    <x v="10"/>
    <n v="1"/>
    <s v="REALIZADO"/>
    <s v="BRUNO"/>
    <d v="2025-10-09T00:00:00"/>
    <x v="2"/>
  </r>
  <r>
    <n v="64074"/>
    <s v="MARCOS FERNANDES COLOMBO"/>
    <s v="MPR"/>
    <s v="ADM"/>
    <n v="50037902"/>
    <x v="14"/>
    <n v="1"/>
    <s v="REALIZADO"/>
    <s v="BRUNO"/>
    <d v="2025-10-09T00:00:00"/>
    <x v="0"/>
  </r>
  <r>
    <n v="62137"/>
    <s v="RAFAEL AMORIM"/>
    <s v="MME"/>
    <s v="1º TURNO"/>
    <n v="50038517"/>
    <x v="0"/>
    <n v="1"/>
    <s v="REALIZADO"/>
    <s v="BRUNA"/>
    <d v="2025-10-09T00:00:00"/>
    <x v="2"/>
  </r>
  <r>
    <n v="62137"/>
    <s v="RAFAEL AMORIM"/>
    <s v="MME"/>
    <s v="1º TURNO"/>
    <n v="50038517"/>
    <x v="0"/>
    <n v="1"/>
    <s v="REALIZADO"/>
    <s v="BRUNA"/>
    <d v="2025-10-09T00:00:00"/>
    <x v="2"/>
  </r>
  <r>
    <n v="65084"/>
    <s v="TIAGO DE BRITO"/>
    <s v="MMG"/>
    <s v="3º TURNO"/>
    <n v="50038517"/>
    <x v="0"/>
    <n v="1"/>
    <s v="REALIZADO"/>
    <s v="FABIANO"/>
    <d v="2025-10-09T00:00:00"/>
    <x v="0"/>
  </r>
  <r>
    <n v="65084"/>
    <s v="TIAGO DE BRITO"/>
    <s v="MMG"/>
    <s v="3º TURNO"/>
    <n v="50038517"/>
    <x v="0"/>
    <n v="1"/>
    <s v="REALIZADO"/>
    <s v="FABIANO"/>
    <d v="2025-10-09T00:00:00"/>
    <x v="2"/>
  </r>
  <r>
    <n v="64074"/>
    <s v="MARCOS FERNANDES COLOMBO"/>
    <s v="MPR"/>
    <s v="ADM"/>
    <n v="50037903"/>
    <x v="91"/>
    <n v="1"/>
    <s v="REALIZADO"/>
    <s v="BRUNO"/>
    <d v="2025-10-09T00:00:00"/>
    <x v="2"/>
  </r>
  <r>
    <n v="68708"/>
    <s v="CLAUDIO TADEU LEITE"/>
    <s v="MMG"/>
    <s v="ADM"/>
    <n v="50001995"/>
    <x v="44"/>
    <n v="1"/>
    <s v="REALIZADO"/>
    <s v="BRUNO"/>
    <d v="2025-10-09T00:00:00"/>
    <x v="2"/>
  </r>
  <r>
    <n v="65474"/>
    <s v="MARCIO DOS SANTOS"/>
    <s v="MMG"/>
    <s v="1º TURNO"/>
    <n v="50001995"/>
    <x v="44"/>
    <n v="1"/>
    <s v="REALIZADO"/>
    <s v="MARINA"/>
    <d v="2025-10-09T00:00:00"/>
    <x v="2"/>
  </r>
  <r>
    <n v="64074"/>
    <s v="MARCOS FERNANDES COLOMBO"/>
    <s v="MPR"/>
    <s v="ADM"/>
    <n v="50038662"/>
    <x v="59"/>
    <n v="1"/>
    <s v="REALIZADO"/>
    <s v="BRUNO"/>
    <d v="2025-10-09T00:00:00"/>
    <x v="0"/>
  </r>
  <r>
    <n v="72707"/>
    <s v="LEONARDO DOS SANTOS"/>
    <s v="MPR"/>
    <s v="ADM"/>
    <n v="50041195"/>
    <x v="21"/>
    <n v="1"/>
    <s v="REALIZADO"/>
    <s v="BRUNO"/>
    <d v="2025-10-09T00:00:00"/>
    <x v="2"/>
  </r>
  <r>
    <n v="72707"/>
    <s v="LEONARDO DOS SANTOS"/>
    <s v="MPR"/>
    <s v="ADM"/>
    <n v="50041195"/>
    <x v="21"/>
    <n v="1"/>
    <s v="REALIZADO"/>
    <s v="BRUNO"/>
    <d v="2025-10-09T00:00:00"/>
    <x v="0"/>
  </r>
  <r>
    <n v="77526"/>
    <s v="FELIPE GARÇONI"/>
    <s v="MME"/>
    <s v="ADM"/>
    <n v="50041195"/>
    <x v="21"/>
    <n v="1"/>
    <s v="REALIZADO"/>
    <s v="BRUNO"/>
    <d v="2025-10-09T00:00:00"/>
    <x v="2"/>
  </r>
  <r>
    <n v="77526"/>
    <s v="FELIPE GARÇONI"/>
    <s v="MME"/>
    <s v="ADM"/>
    <n v="50041195"/>
    <x v="21"/>
    <n v="1"/>
    <s v="REALIZADO"/>
    <s v="BRUNO"/>
    <d v="2025-10-09T00:00:00"/>
    <x v="0"/>
  </r>
  <r>
    <n v="77521"/>
    <s v="LUCAS LIRA"/>
    <s v="MME"/>
    <s v="ADM"/>
    <n v="50043917"/>
    <x v="66"/>
    <n v="1"/>
    <s v="REALIZADO"/>
    <s v="GEOVANE"/>
    <d v="2025-10-09T00:00:00"/>
    <x v="2"/>
  </r>
  <r>
    <n v="77521"/>
    <s v="LUCAS LIRA"/>
    <s v="MME"/>
    <s v="ADM"/>
    <n v="50043917"/>
    <x v="66"/>
    <n v="1"/>
    <s v="REALIZADO"/>
    <s v="GEOVANE"/>
    <d v="2025-10-09T00:00:00"/>
    <x v="0"/>
  </r>
  <r>
    <n v="67915"/>
    <s v="ANDERSON MARCOLONGO"/>
    <s v="MMG"/>
    <s v="1º TURNO"/>
    <n v="50043917"/>
    <x v="66"/>
    <n v="1"/>
    <s v="REALIZADO"/>
    <s v="BRUNO"/>
    <d v="2025-10-09T00:00:00"/>
    <x v="2"/>
  </r>
  <r>
    <n v="67915"/>
    <s v="ANDERSON MARCOLONGO"/>
    <s v="MMG"/>
    <s v="1º TURNO"/>
    <n v="50043917"/>
    <x v="66"/>
    <n v="1"/>
    <s v="REALIZADO"/>
    <s v="BRUNO"/>
    <d v="2025-10-09T00:00:00"/>
    <x v="0"/>
  </r>
  <r>
    <n v="62471"/>
    <s v="ELTON LIMA"/>
    <s v="MME"/>
    <s v="ADM"/>
    <n v="50043917"/>
    <x v="66"/>
    <n v="1"/>
    <s v="REALIZADO"/>
    <s v="BRUNO"/>
    <d v="2025-10-09T00:00:00"/>
    <x v="2"/>
  </r>
  <r>
    <n v="62471"/>
    <s v="ELTON LIMA"/>
    <s v="MME"/>
    <s v="ADM"/>
    <n v="50043917"/>
    <x v="66"/>
    <n v="1"/>
    <s v="REALIZADO"/>
    <s v="BRUNO"/>
    <d v="2025-10-09T00:00:00"/>
    <x v="0"/>
  </r>
  <r>
    <n v="74874"/>
    <s v="FABIANO MARQUES"/>
    <s v="MMG"/>
    <s v="ADM"/>
    <n v="50004486"/>
    <x v="40"/>
    <n v="1"/>
    <s v="REALIZADO"/>
    <s v="BRUNO"/>
    <d v="2025-10-09T00:00:00"/>
    <x v="2"/>
  </r>
  <r>
    <n v="74874"/>
    <s v="FABIANO MARQUES"/>
    <s v="MMG"/>
    <s v="ADM"/>
    <n v="50004486"/>
    <x v="40"/>
    <n v="1"/>
    <s v="REALIZADO"/>
    <s v="BRUNO"/>
    <d v="2025-10-09T00:00:00"/>
    <x v="2"/>
  </r>
  <r>
    <n v="64253"/>
    <s v="DANIEL JULIAO"/>
    <s v="MMG"/>
    <s v="ADM"/>
    <n v="50032775"/>
    <x v="13"/>
    <n v="1"/>
    <s v="REALIZADO"/>
    <s v="BRUNO"/>
    <d v="2025-10-09T00:00:00"/>
    <x v="0"/>
  </r>
  <r>
    <n v="77521"/>
    <s v="LUCAS LIRA"/>
    <s v="MME"/>
    <s v="ADM"/>
    <n v="50038195"/>
    <x v="54"/>
    <n v="1"/>
    <s v="REALIZADO"/>
    <s v="GEOVANE"/>
    <d v="2025-10-09T00:00:00"/>
    <x v="2"/>
  </r>
  <r>
    <n v="77521"/>
    <s v="LUCAS LIRA"/>
    <s v="MME"/>
    <s v="ADM"/>
    <n v="50038195"/>
    <x v="54"/>
    <n v="1"/>
    <s v="REALIZADO"/>
    <s v="GEOVANE"/>
    <d v="2025-10-09T00:00:00"/>
    <x v="2"/>
  </r>
  <r>
    <n v="74611"/>
    <s v="CRISTIAM BORGES"/>
    <s v="MPR"/>
    <s v="ADM"/>
    <n v="50028220"/>
    <x v="33"/>
    <n v="1"/>
    <s v="REALIZADO"/>
    <s v="BRUNO"/>
    <d v="2025-10-09T00:00:00"/>
    <x v="0"/>
  </r>
  <r>
    <n v="68430"/>
    <s v="JOAO CAIXETA"/>
    <s v="MEE"/>
    <s v="1º TURNO"/>
    <n v="50038991"/>
    <x v="53"/>
    <n v="1"/>
    <s v="REALIZADO"/>
    <s v="AGATHA"/>
    <d v="2025-10-08T00:00:00"/>
    <x v="2"/>
  </r>
  <r>
    <n v="68430"/>
    <s v="JOAO CAIXETA"/>
    <s v="MEE"/>
    <s v="1º TURNO"/>
    <n v="50038991"/>
    <x v="53"/>
    <n v="1"/>
    <s v="REALIZADO"/>
    <s v="AGATHA"/>
    <d v="2025-10-08T00:00:00"/>
    <x v="0"/>
  </r>
  <r>
    <n v="77313"/>
    <s v="ROGERIO"/>
    <s v="MPR"/>
    <s v="ADM"/>
    <n v="50003173"/>
    <x v="29"/>
    <n v="1"/>
    <s v="REALIZADO"/>
    <s v="BRUNA"/>
    <d v="2025-10-08T00:00:00"/>
    <x v="2"/>
  </r>
  <r>
    <n v="77313"/>
    <s v="ROGERIO"/>
    <s v="MPR"/>
    <s v="ADM"/>
    <n v="50003173"/>
    <x v="29"/>
    <n v="1"/>
    <s v="REALIZADO"/>
    <s v="BRUNO"/>
    <d v="2025-10-08T00:00:00"/>
    <x v="0"/>
  </r>
  <r>
    <n v="77594"/>
    <s v="VINICIUS ROBLES"/>
    <s v="MME"/>
    <s v="ADM"/>
    <n v="50039236"/>
    <x v="84"/>
    <n v="1"/>
    <s v="REALIZADO"/>
    <s v="AGATHA"/>
    <d v="2025-10-08T00:00:00"/>
    <x v="2"/>
  </r>
  <r>
    <n v="77594"/>
    <s v="VINICIUS ROBLES"/>
    <s v="MME"/>
    <s v="ADM"/>
    <n v="50039236"/>
    <x v="84"/>
    <n v="1"/>
    <s v="REALIZADO"/>
    <s v="AGATHA"/>
    <d v="2025-10-08T00:00:00"/>
    <x v="0"/>
  </r>
  <r>
    <n v="62471"/>
    <s v="ELTON LIMA"/>
    <s v="MME"/>
    <s v="ADM"/>
    <n v="50039236"/>
    <x v="84"/>
    <n v="1"/>
    <s v="REALIZADO"/>
    <s v="AGATHA"/>
    <d v="2025-10-08T00:00:00"/>
    <x v="2"/>
  </r>
  <r>
    <n v="62471"/>
    <s v="ELTON LIMA"/>
    <s v="MME"/>
    <s v="ADM"/>
    <n v="50039236"/>
    <x v="84"/>
    <n v="1"/>
    <s v="REALIZADO"/>
    <s v="GEOVANE"/>
    <d v="2025-10-08T00:00:00"/>
    <x v="0"/>
  </r>
  <r>
    <n v="61472"/>
    <s v="MARCOS CESAR CORDEIRO"/>
    <s v="UTI"/>
    <s v="2º TURNO"/>
    <n v="50043471"/>
    <x v="5"/>
    <n v="1"/>
    <s v="REALIZADO"/>
    <s v="MARCIA"/>
    <d v="2025-10-08T00:00:00"/>
    <x v="0"/>
  </r>
  <r>
    <n v="61472"/>
    <s v="MARCOS CESAR CORDEIRO"/>
    <s v="UTI"/>
    <s v="2º TURNO"/>
    <n v="50043471"/>
    <x v="5"/>
    <n v="1"/>
    <s v="REALIZADO"/>
    <s v="AGATHA"/>
    <d v="2025-10-08T00:00:00"/>
    <x v="2"/>
  </r>
  <r>
    <n v="61472"/>
    <s v="MARCOS CESAR CORDEIRO"/>
    <s v="UTI"/>
    <s v="2º TURNO"/>
    <n v="50043471"/>
    <x v="5"/>
    <n v="1"/>
    <s v="REALIZADO"/>
    <s v="AGATHA"/>
    <d v="2025-10-08T00:00:00"/>
    <x v="0"/>
  </r>
  <r>
    <n v="76994"/>
    <s v="FELIPE HENRIQUE DE BRITO"/>
    <s v="MEE"/>
    <s v="ADM"/>
    <n v="50043471"/>
    <x v="5"/>
    <n v="1"/>
    <s v="REALIZADO"/>
    <s v="GEOVANE"/>
    <d v="2025-10-08T00:00:00"/>
    <x v="2"/>
  </r>
  <r>
    <n v="76994"/>
    <s v="FELIPE HENRIQUE DE BRITO"/>
    <s v="MEE"/>
    <s v="ADM"/>
    <n v="50043471"/>
    <x v="5"/>
    <n v="1"/>
    <s v="REALIZADO"/>
    <s v="BRUNO"/>
    <d v="2025-10-08T00:00:00"/>
    <x v="0"/>
  </r>
  <r>
    <n v="68708"/>
    <s v="CLAUDIO TADEU LEITE"/>
    <s v="MMG"/>
    <s v="ADM"/>
    <n v="50003297"/>
    <x v="8"/>
    <n v="1"/>
    <s v="REALIZADO"/>
    <s v="AGATHA"/>
    <d v="2025-10-08T00:00:00"/>
    <x v="2"/>
  </r>
  <r>
    <n v="68708"/>
    <s v="CLAUDIO TADEU LEITE"/>
    <s v="MMG"/>
    <s v="ADM"/>
    <n v="50003297"/>
    <x v="8"/>
    <n v="1"/>
    <s v="REALIZADO"/>
    <s v="AGATHA"/>
    <d v="2025-10-08T00:00:00"/>
    <x v="2"/>
  </r>
  <r>
    <n v="76995"/>
    <s v="WELISSON RICARDO"/>
    <s v="MEE"/>
    <s v="ADM"/>
    <n v="50043320"/>
    <x v="35"/>
    <n v="1"/>
    <s v="REALIZADO"/>
    <s v="BRUNA"/>
    <d v="2025-10-08T00:00:00"/>
    <x v="0"/>
  </r>
  <r>
    <n v="64253"/>
    <s v="DANIEL JULIAO"/>
    <s v="MMG"/>
    <s v="ADM"/>
    <n v="50038549"/>
    <x v="6"/>
    <n v="1"/>
    <s v="REALIZADO"/>
    <s v="AGATHA"/>
    <d v="2025-10-08T00:00:00"/>
    <x v="2"/>
  </r>
  <r>
    <n v="64253"/>
    <s v="DANIEL JULIAO"/>
    <s v="MMG"/>
    <s v="ADM"/>
    <n v="50038549"/>
    <x v="6"/>
    <n v="1"/>
    <s v="REALIZADO"/>
    <s v="AGATHA"/>
    <d v="2025-10-08T00:00:00"/>
    <x v="2"/>
  </r>
  <r>
    <n v="61264"/>
    <s v="EVERTON GERONIMO"/>
    <s v="MMG"/>
    <s v="ADM"/>
    <n v="50022878"/>
    <x v="18"/>
    <n v="1"/>
    <s v="REALIZADO"/>
    <s v="GEOVANE"/>
    <d v="2025-10-08T00:00:00"/>
    <x v="0"/>
  </r>
  <r>
    <n v="77594"/>
    <s v="VINICIUS ROBLES"/>
    <s v="MME"/>
    <s v="ADM"/>
    <n v="50038956"/>
    <x v="10"/>
    <n v="1"/>
    <s v="REALIZADO"/>
    <s v="AGATHA"/>
    <d v="2025-10-08T00:00:00"/>
    <x v="2"/>
  </r>
  <r>
    <n v="77594"/>
    <s v="VINICIUS ROBLES"/>
    <s v="MME"/>
    <s v="ADM"/>
    <n v="50038956"/>
    <x v="10"/>
    <n v="1"/>
    <s v="REALIZADO"/>
    <s v="AGATHA"/>
    <d v="2025-10-08T00:00:00"/>
    <x v="0"/>
  </r>
  <r>
    <n v="74874"/>
    <s v="FABIANO MARQUES"/>
    <s v="MMG"/>
    <s v="ADM"/>
    <n v="50038956"/>
    <x v="10"/>
    <n v="1"/>
    <s v="REALIZADO"/>
    <s v="GEOVANE"/>
    <d v="2025-10-08T00:00:00"/>
    <x v="2"/>
  </r>
  <r>
    <n v="74874"/>
    <s v="FABIANO MARQUES"/>
    <s v="MMG"/>
    <s v="ADM"/>
    <n v="50038956"/>
    <x v="10"/>
    <n v="1"/>
    <s v="REALIZADO"/>
    <s v="GEOVANE"/>
    <d v="2025-10-08T00:00:00"/>
    <x v="0"/>
  </r>
  <r>
    <n v="78886"/>
    <s v="DOUGLAS FELICIANO MENDES DE OLIVEIRA"/>
    <s v="MME"/>
    <s v="ADM"/>
    <n v="50038956"/>
    <x v="10"/>
    <n v="1"/>
    <s v="REALIZADO"/>
    <s v="BRUNO"/>
    <d v="2025-10-08T00:00:00"/>
    <x v="2"/>
  </r>
  <r>
    <n v="78886"/>
    <s v="DOUGLAS FELICIANO MENDES DE OLIVEIRA"/>
    <s v="MME"/>
    <s v="ADM"/>
    <n v="50038956"/>
    <x v="10"/>
    <n v="1"/>
    <s v="REALIZADO"/>
    <s v="BRUNO"/>
    <d v="2025-10-08T00:00:00"/>
    <x v="0"/>
  </r>
  <r>
    <n v="77526"/>
    <s v="FELIPE GARÇONI"/>
    <s v="MME"/>
    <s v="ADM"/>
    <n v="50037892"/>
    <x v="2"/>
    <n v="1"/>
    <s v="REALIZADO"/>
    <s v="BRUNA"/>
    <d v="2025-10-08T00:00:00"/>
    <x v="2"/>
  </r>
  <r>
    <n v="77526"/>
    <s v="FELIPE GARÇONI"/>
    <s v="MME"/>
    <s v="ADM"/>
    <n v="50037892"/>
    <x v="2"/>
    <n v="1"/>
    <s v="REALIZADO"/>
    <s v="BRUNO"/>
    <d v="2025-10-08T00:00:00"/>
    <x v="0"/>
  </r>
  <r>
    <n v="77526"/>
    <s v="FELIPE GARÇONI"/>
    <s v="MME"/>
    <s v="ADM"/>
    <n v="50037892"/>
    <x v="2"/>
    <n v="1"/>
    <s v="REALIZADO"/>
    <s v="BRUNO"/>
    <d v="2025-10-08T00:00:00"/>
    <x v="2"/>
  </r>
  <r>
    <n v="77526"/>
    <s v="FELIPE GARÇONI"/>
    <s v="MME"/>
    <s v="ADM"/>
    <n v="50037892"/>
    <x v="2"/>
    <n v="1"/>
    <s v="REALIZADO"/>
    <s v="BRUNO"/>
    <d v="2025-10-08T00:00:00"/>
    <x v="0"/>
  </r>
  <r>
    <n v="78675"/>
    <s v="ORLANDO GOMES"/>
    <s v="MME"/>
    <s v="1º TURNO"/>
    <n v="50038841"/>
    <x v="34"/>
    <n v="1"/>
    <s v="REALIZADO"/>
    <s v="BRUNO"/>
    <d v="2025-10-08T00:00:00"/>
    <x v="2"/>
  </r>
  <r>
    <n v="78675"/>
    <s v="ORLANDO GOMES"/>
    <s v="MME"/>
    <s v="1º TURNO"/>
    <n v="50038841"/>
    <x v="34"/>
    <n v="1"/>
    <s v="REALIZADO"/>
    <s v="BRUNO"/>
    <d v="2025-10-08T00:00:00"/>
    <x v="0"/>
  </r>
  <r>
    <n v="68708"/>
    <s v="CLAUDIO TADEU LEITE"/>
    <s v="MMG"/>
    <s v="ADM"/>
    <n v="50038517"/>
    <x v="0"/>
    <n v="1"/>
    <s v="REALIZADO"/>
    <s v="BRUNA"/>
    <d v="2025-10-08T00:00:00"/>
    <x v="2"/>
  </r>
  <r>
    <n v="68708"/>
    <s v="CLAUDIO TADEU LEITE"/>
    <s v="MMG"/>
    <s v="ADM"/>
    <n v="50038517"/>
    <x v="0"/>
    <n v="1"/>
    <s v="REALIZADO"/>
    <s v="BRUNA"/>
    <d v="2025-10-08T00:00:00"/>
    <x v="0"/>
  </r>
  <r>
    <n v="96464"/>
    <s v="KEVIN INAMOTO"/>
    <s v="MEE"/>
    <s v="1º TURNO"/>
    <n v="50038517"/>
    <x v="0"/>
    <n v="1"/>
    <s v="REALIZADO"/>
    <s v="BRUNO"/>
    <d v="2025-10-08T00:00:00"/>
    <x v="2"/>
  </r>
  <r>
    <n v="96464"/>
    <s v="KEVIN INAMOTO"/>
    <s v="MEE"/>
    <s v="1º TURNO"/>
    <n v="50038517"/>
    <x v="0"/>
    <n v="1"/>
    <s v="REALIZADO"/>
    <s v="BRUNO"/>
    <d v="2025-10-08T00:00:00"/>
    <x v="0"/>
  </r>
  <r>
    <n v="61096"/>
    <s v="REGIVALDO MEDEIROS"/>
    <s v="MME"/>
    <s v="ADM"/>
    <n v="50038517"/>
    <x v="0"/>
    <n v="1"/>
    <s v="REALIZADO"/>
    <s v="BRUNO"/>
    <d v="2025-10-08T00:00:00"/>
    <x v="2"/>
  </r>
  <r>
    <n v="61096"/>
    <s v="REGIVALDO MEDEIROS"/>
    <s v="MME"/>
    <s v="ADM"/>
    <n v="50038517"/>
    <x v="0"/>
    <n v="1"/>
    <s v="REALIZADO"/>
    <s v="BRUNO"/>
    <d v="2025-10-08T00:00:00"/>
    <x v="0"/>
  </r>
  <r>
    <n v="74611"/>
    <s v="CRISTIAM BORGES"/>
    <s v="MPR"/>
    <s v="ADM"/>
    <n v="50037903"/>
    <x v="91"/>
    <n v="1"/>
    <s v="REALIZADO"/>
    <s v="AGATHA"/>
    <d v="2025-10-08T00:00:00"/>
    <x v="2"/>
  </r>
  <r>
    <n v="74611"/>
    <s v="CRISTIAM BORGES"/>
    <s v="MPR"/>
    <s v="ADM"/>
    <n v="50037903"/>
    <x v="91"/>
    <n v="1"/>
    <s v="REALIZADO"/>
    <s v="BRUNO"/>
    <d v="2025-10-08T00:00:00"/>
    <x v="2"/>
  </r>
  <r>
    <n v="68708"/>
    <s v="CLAUDIO TADEU LEITE"/>
    <s v="MMG"/>
    <s v="ADM"/>
    <n v="50001995"/>
    <x v="44"/>
    <n v="1"/>
    <s v="REALIZADO"/>
    <s v="BRUNO"/>
    <d v="2025-10-08T00:00:00"/>
    <x v="0"/>
  </r>
  <r>
    <n v="77526"/>
    <s v="FELIPE GARÇONI"/>
    <s v="MME"/>
    <s v="ADM"/>
    <n v="50039065"/>
    <x v="22"/>
    <n v="1"/>
    <s v="REALIZADO"/>
    <s v="BRUNA"/>
    <d v="2025-10-08T00:00:00"/>
    <x v="2"/>
  </r>
  <r>
    <n v="77526"/>
    <s v="FELIPE GARÇONI"/>
    <s v="MME"/>
    <s v="ADM"/>
    <n v="50039065"/>
    <x v="22"/>
    <n v="1"/>
    <s v="REALIZADO"/>
    <s v="BRUNO"/>
    <d v="2025-10-08T00:00:00"/>
    <x v="0"/>
  </r>
  <r>
    <n v="74874"/>
    <s v="FABIANO MARQUES"/>
    <s v="MMG"/>
    <s v="ADM"/>
    <n v="50036297"/>
    <x v="100"/>
    <n v="1"/>
    <s v="REALIZADO"/>
    <s v="BRUNO"/>
    <d v="2025-10-08T00:00:00"/>
    <x v="2"/>
  </r>
  <r>
    <n v="74874"/>
    <s v="FABIANO MARQUES"/>
    <s v="MMG"/>
    <s v="ADM"/>
    <n v="50036297"/>
    <x v="100"/>
    <n v="1"/>
    <s v="REALIZADO"/>
    <s v="BRUNO"/>
    <d v="2025-10-08T00:00:00"/>
    <x v="0"/>
  </r>
  <r>
    <n v="68708"/>
    <s v="CLAUDIO TADEU LEITE"/>
    <s v="MMG"/>
    <s v="ADM"/>
    <n v="50038626"/>
    <x v="72"/>
    <n v="1"/>
    <s v="REALIZADO"/>
    <s v="AGATHA"/>
    <d v="2025-10-08T00:00:00"/>
    <x v="2"/>
  </r>
  <r>
    <n v="68708"/>
    <s v="CLAUDIO TADEU LEITE"/>
    <s v="MMG"/>
    <s v="ADM"/>
    <n v="50038626"/>
    <x v="72"/>
    <n v="1"/>
    <s v="REALIZADO"/>
    <s v="BRUNA"/>
    <d v="2025-10-08T00:00:00"/>
    <x v="0"/>
  </r>
  <r>
    <n v="77313"/>
    <s v="ROGERIO"/>
    <s v="MPR"/>
    <s v="ADM"/>
    <n v="50026357"/>
    <x v="24"/>
    <n v="1"/>
    <s v="REALIZADO"/>
    <s v="BRUNA"/>
    <d v="2025-10-08T00:00:00"/>
    <x v="2"/>
  </r>
  <r>
    <n v="77313"/>
    <s v="ROGERIO"/>
    <s v="MPR"/>
    <s v="ADM"/>
    <n v="50026357"/>
    <x v="24"/>
    <n v="1"/>
    <s v="REALIZADO"/>
    <s v="BRUNO"/>
    <d v="2025-10-08T00:00:00"/>
    <x v="0"/>
  </r>
  <r>
    <n v="74611"/>
    <s v="CRISTIAM BORGES"/>
    <s v="MPR"/>
    <s v="ADM"/>
    <n v="50038662"/>
    <x v="59"/>
    <n v="1"/>
    <s v="REALIZADO"/>
    <s v="AGATHA"/>
    <d v="2025-10-08T00:00:00"/>
    <x v="2"/>
  </r>
  <r>
    <n v="74611"/>
    <s v="CRISTIAM BORGES"/>
    <s v="MPR"/>
    <s v="ADM"/>
    <n v="50038662"/>
    <x v="59"/>
    <n v="1"/>
    <s v="REALIZADO"/>
    <s v="BRUNO"/>
    <d v="2025-10-08T00:00:00"/>
    <x v="0"/>
  </r>
  <r>
    <n v="72715"/>
    <s v="DANIEL CAMAÇARI DE OLIVEIRA"/>
    <s v="MPR"/>
    <s v="ADM"/>
    <n v="50041195"/>
    <x v="21"/>
    <n v="1"/>
    <s v="REALIZADO"/>
    <s v="AGATHA"/>
    <d v="2025-10-08T00:00:00"/>
    <x v="2"/>
  </r>
  <r>
    <n v="72715"/>
    <s v="DANIEL CAMAÇARI DE OLIVEIRA"/>
    <s v="MPR"/>
    <s v="ADM"/>
    <n v="50041195"/>
    <x v="21"/>
    <n v="1"/>
    <s v="REALIZADO"/>
    <s v="BRUNO"/>
    <d v="2025-10-08T00:00:00"/>
    <x v="2"/>
  </r>
  <r>
    <n v="76995"/>
    <s v="WELISSON RICARDO"/>
    <s v="MEE"/>
    <s v="ADM"/>
    <n v="50043917"/>
    <x v="66"/>
    <n v="1"/>
    <s v="REALIZADO"/>
    <s v="BRUNA"/>
    <d v="2025-10-08T00:00:00"/>
    <x v="0"/>
  </r>
  <r>
    <n v="68708"/>
    <s v="CLAUDIO TADEU LEITE"/>
    <s v="MMG"/>
    <s v="ADM"/>
    <n v="50004486"/>
    <x v="40"/>
    <n v="1"/>
    <s v="REALIZADO"/>
    <s v="AGATHA"/>
    <d v="2025-10-08T00:00:00"/>
    <x v="2"/>
  </r>
  <r>
    <n v="68708"/>
    <s v="CLAUDIO TADEU LEITE"/>
    <s v="MMG"/>
    <s v="ADM"/>
    <n v="50004486"/>
    <x v="40"/>
    <n v="1"/>
    <s v="REALIZADO"/>
    <s v="AGATHA"/>
    <d v="2025-10-08T00:00:00"/>
    <x v="2"/>
  </r>
  <r>
    <n v="64074"/>
    <s v="MARCOS FERNANDES COLOMBO"/>
    <s v="MPR"/>
    <s v="ADM"/>
    <n v="50038618"/>
    <x v="88"/>
    <n v="1"/>
    <s v="REALIZADO"/>
    <s v="BRUNO"/>
    <d v="2025-10-08T00:00:00"/>
    <x v="0"/>
  </r>
  <r>
    <n v="77313"/>
    <s v="ROGERIO"/>
    <s v="MPR"/>
    <s v="ADM"/>
    <n v="50028220"/>
    <x v="33"/>
    <n v="1"/>
    <s v="REALIZADO"/>
    <s v="BRUNO"/>
    <d v="2025-10-08T00:00:00"/>
    <x v="2"/>
  </r>
  <r>
    <n v="77313"/>
    <s v="ROGERIO"/>
    <s v="MPR"/>
    <s v="ADM"/>
    <n v="50028220"/>
    <x v="33"/>
    <n v="1"/>
    <s v="REALIZADO"/>
    <s v="BRUNO"/>
    <d v="2025-10-08T00:00:00"/>
    <x v="2"/>
  </r>
  <r>
    <n v="68708"/>
    <s v="CLAUDIO TADEU LEITE"/>
    <s v="MMG"/>
    <s v="ADM"/>
    <n v="50042283"/>
    <x v="47"/>
    <n v="1"/>
    <s v="REALIZADO"/>
    <s v="BRUNO"/>
    <d v="2025-10-08T00:00:00"/>
    <x v="0"/>
  </r>
  <r>
    <n v="68792"/>
    <s v="RODRIGO ROCHA"/>
    <s v="MEE"/>
    <s v="2º TURNO"/>
    <n v="50037933"/>
    <x v="43"/>
    <n v="1"/>
    <s v="REALIZADO"/>
    <s v="GEOVANE"/>
    <d v="2025-10-08T00:00:00"/>
    <x v="0"/>
  </r>
  <r>
    <n v="60953"/>
    <s v="PABLO JUNIOR"/>
    <s v="MMG"/>
    <s v="1º TURNO"/>
    <n v="50037924"/>
    <x v="90"/>
    <n v="1"/>
    <s v="REALIZADO"/>
    <s v="AGATHA"/>
    <d v="2025-10-08T00:00:00"/>
    <x v="2"/>
  </r>
  <r>
    <n v="60953"/>
    <s v="PABLO JUNIOR"/>
    <s v="MMG"/>
    <s v="1º TURNO"/>
    <n v="50037924"/>
    <x v="90"/>
    <n v="1"/>
    <s v="REALIZADO"/>
    <s v="BRUNA"/>
    <d v="2025-10-08T00:00:00"/>
    <x v="0"/>
  </r>
  <r>
    <n v="68708"/>
    <s v="CLAUDIO TADEU LEITE"/>
    <s v="MMG"/>
    <s v="ADM"/>
    <n v="50010031"/>
    <x v="20"/>
    <n v="1"/>
    <s v="REALIZADO"/>
    <s v="MARCIA"/>
    <d v="2025-10-07T00:00:00"/>
    <x v="2"/>
  </r>
  <r>
    <n v="68708"/>
    <s v="CLAUDIO TADEU LEITE"/>
    <s v="MMG"/>
    <s v="ADM"/>
    <n v="50010031"/>
    <x v="20"/>
    <n v="1"/>
    <s v="REALIZADO"/>
    <s v="AGATHA"/>
    <d v="2025-10-07T00:00:00"/>
    <x v="0"/>
  </r>
  <r>
    <n v="77313"/>
    <s v="ROGERIO"/>
    <s v="MPR"/>
    <s v="ADM"/>
    <n v="50036086"/>
    <x v="3"/>
    <n v="1"/>
    <s v="REALIZADO"/>
    <s v="JOÃO FRANCISCO"/>
    <d v="2025-10-07T00:00:00"/>
    <x v="2"/>
  </r>
  <r>
    <n v="72715"/>
    <s v="DANIEL CAMAÇARI DE OLIVEIRA"/>
    <s v="MPR"/>
    <s v="ADM"/>
    <n v="50036086"/>
    <x v="3"/>
    <n v="1"/>
    <s v="REALIZADO"/>
    <s v="AGATHA"/>
    <d v="2025-10-07T00:00:00"/>
    <x v="0"/>
  </r>
  <r>
    <n v="77313"/>
    <s v="ROGERIO"/>
    <s v="MPR"/>
    <s v="ADM"/>
    <n v="50003173"/>
    <x v="29"/>
    <n v="1"/>
    <s v="REALIZADO"/>
    <s v="JOÃO FRANCISCO"/>
    <d v="2025-10-07T00:00:00"/>
    <x v="2"/>
  </r>
  <r>
    <n v="77313"/>
    <s v="ROGERIO"/>
    <s v="MPR"/>
    <s v="ADM"/>
    <n v="50003173"/>
    <x v="29"/>
    <n v="1"/>
    <s v="REALIZADO"/>
    <s v="AGATHA"/>
    <d v="2025-10-07T00:00:00"/>
    <x v="0"/>
  </r>
  <r>
    <n v="76994"/>
    <s v="FELIPE HENRIQUE DE BRITO"/>
    <s v="MEE"/>
    <s v="ADM"/>
    <n v="50030486"/>
    <x v="17"/>
    <n v="1"/>
    <s v="REALIZADO"/>
    <s v="AGATHA"/>
    <d v="2025-10-07T00:00:00"/>
    <x v="2"/>
  </r>
  <r>
    <n v="76994"/>
    <s v="FELIPE HENRIQUE DE BRITO"/>
    <s v="MEE"/>
    <s v="ADM"/>
    <n v="50030486"/>
    <x v="17"/>
    <n v="1"/>
    <s v="REALIZADO"/>
    <s v="MATHEUS"/>
    <d v="2025-10-07T00:00:00"/>
    <x v="0"/>
  </r>
  <r>
    <n v="77526"/>
    <s v="FELIPE GARÇONI"/>
    <s v="MME"/>
    <s v="ADM"/>
    <n v="50043471"/>
    <x v="5"/>
    <n v="1"/>
    <s v="REALIZADO"/>
    <s v="GEOVANE"/>
    <d v="2025-10-07T00:00:00"/>
    <x v="2"/>
  </r>
  <r>
    <n v="77526"/>
    <s v="FELIPE GARÇONI"/>
    <s v="MME"/>
    <s v="ADM"/>
    <n v="50043471"/>
    <x v="5"/>
    <n v="1"/>
    <s v="REALIZADO"/>
    <s v="AGATHA"/>
    <d v="2025-10-07T00:00:00"/>
    <x v="0"/>
  </r>
  <r>
    <n v="78675"/>
    <s v="ORLANDO GOMES"/>
    <s v="MME"/>
    <s v="1º TURNO"/>
    <n v="50043471"/>
    <x v="5"/>
    <n v="1"/>
    <s v="REALIZADO"/>
    <s v="BRUNA"/>
    <d v="2025-10-07T00:00:00"/>
    <x v="2"/>
  </r>
  <r>
    <n v="78675"/>
    <s v="ORLANDO GOMES"/>
    <s v="MME"/>
    <s v="1º TURNO"/>
    <n v="50043471"/>
    <x v="5"/>
    <n v="1"/>
    <s v="REALIZADO"/>
    <s v="BRUNA"/>
    <d v="2025-10-07T00:00:00"/>
    <x v="0"/>
  </r>
  <r>
    <n v="66789"/>
    <s v="ERICK GUERRA"/>
    <s v="MME"/>
    <s v="1º TURNO"/>
    <n v="50003297"/>
    <x v="8"/>
    <n v="1"/>
    <s v="REALIZADO"/>
    <s v="BRUNA"/>
    <d v="2025-10-07T00:00:00"/>
    <x v="2"/>
  </r>
  <r>
    <n v="66789"/>
    <s v="ERICK GUERRA"/>
    <s v="MME"/>
    <s v="1º TURNO"/>
    <n v="50003297"/>
    <x v="8"/>
    <n v="1"/>
    <s v="REALIZADO"/>
    <s v="BRUNA"/>
    <d v="2025-10-07T00:00:00"/>
    <x v="0"/>
  </r>
  <r>
    <n v="68708"/>
    <s v="CLAUDIO TADEU LEITE"/>
    <s v="MMG"/>
    <s v="ADM"/>
    <n v="50038549"/>
    <x v="6"/>
    <n v="1"/>
    <s v="REALIZADO"/>
    <s v="MARCIA"/>
    <d v="2025-10-07T00:00:00"/>
    <x v="2"/>
  </r>
  <r>
    <n v="68708"/>
    <s v="CLAUDIO TADEU LEITE"/>
    <s v="MMG"/>
    <s v="ADM"/>
    <n v="50038549"/>
    <x v="6"/>
    <n v="1"/>
    <s v="REALIZADO"/>
    <s v="BRUNA"/>
    <d v="2025-10-07T00:00:00"/>
    <x v="0"/>
  </r>
  <r>
    <n v="76994"/>
    <s v="FELIPE HENRIQUE DE BRITO"/>
    <s v="MEE"/>
    <s v="ADM"/>
    <n v="50038956"/>
    <x v="10"/>
    <n v="1"/>
    <s v="REALIZADO"/>
    <s v="AGATHA"/>
    <d v="2025-10-07T00:00:00"/>
    <x v="2"/>
  </r>
  <r>
    <n v="76994"/>
    <s v="FELIPE HENRIQUE DE BRITO"/>
    <s v="MEE"/>
    <s v="ADM"/>
    <n v="50038956"/>
    <x v="10"/>
    <n v="1"/>
    <s v="REALIZADO"/>
    <s v="MATHEUS"/>
    <d v="2025-10-07T00:00:00"/>
    <x v="0"/>
  </r>
  <r>
    <n v="72715"/>
    <s v="DANIEL CAMAÇARI DE OLIVEIRA"/>
    <s v="MPR"/>
    <s v="ADM"/>
    <n v="50037892"/>
    <x v="2"/>
    <n v="1"/>
    <s v="REALIZADO"/>
    <s v="BRUNA"/>
    <d v="2025-10-07T00:00:00"/>
    <x v="2"/>
  </r>
  <r>
    <n v="72715"/>
    <s v="DANIEL CAMAÇARI DE OLIVEIRA"/>
    <s v="MPR"/>
    <s v="ADM"/>
    <n v="50037892"/>
    <x v="2"/>
    <n v="1"/>
    <s v="REALIZADO"/>
    <s v="MATHEUS"/>
    <d v="2025-10-07T00:00:00"/>
    <x v="0"/>
  </r>
  <r>
    <n v="77526"/>
    <s v="FELIPE GARÇONI"/>
    <s v="MME"/>
    <s v="ADM"/>
    <n v="50037902"/>
    <x v="14"/>
    <n v="1"/>
    <s v="REALIZADO"/>
    <s v="AGATHA"/>
    <d v="2025-10-07T00:00:00"/>
    <x v="2"/>
  </r>
  <r>
    <n v="77526"/>
    <s v="FELIPE GARÇONI"/>
    <s v="MME"/>
    <s v="ADM"/>
    <n v="50037902"/>
    <x v="14"/>
    <n v="1"/>
    <s v="REALIZADO"/>
    <s v="GEOVANE"/>
    <d v="2025-10-07T00:00:00"/>
    <x v="0"/>
  </r>
  <r>
    <n v="74611"/>
    <s v="CRISTIAM BORGES"/>
    <s v="MPR"/>
    <s v="ADM"/>
    <n v="50037902"/>
    <x v="14"/>
    <n v="1"/>
    <s v="REALIZADO"/>
    <s v="GEOVANE"/>
    <d v="2025-10-07T00:00:00"/>
    <x v="2"/>
  </r>
  <r>
    <n v="74611"/>
    <s v="CRISTIAM BORGES"/>
    <s v="MPR"/>
    <s v="ADM"/>
    <n v="50037902"/>
    <x v="14"/>
    <n v="1"/>
    <s v="REALIZADO"/>
    <s v="GEOVANE"/>
    <d v="2025-10-07T00:00:00"/>
    <x v="0"/>
  </r>
  <r>
    <n v="74611"/>
    <s v="CRISTIAM BORGES"/>
    <s v="MPR"/>
    <s v="ADM"/>
    <n v="50038841"/>
    <x v="34"/>
    <n v="1"/>
    <s v="REALIZADO"/>
    <s v="AGATHA"/>
    <d v="2025-10-07T00:00:00"/>
    <x v="2"/>
  </r>
  <r>
    <n v="74611"/>
    <s v="CRISTIAM BORGES"/>
    <s v="MPR"/>
    <s v="ADM"/>
    <n v="50038841"/>
    <x v="34"/>
    <n v="1"/>
    <s v="REALIZADO"/>
    <s v="BRUNA"/>
    <d v="2025-10-07T00:00:00"/>
    <x v="0"/>
  </r>
  <r>
    <n v="77526"/>
    <s v="FELIPE GARÇONI"/>
    <s v="MME"/>
    <s v="ADM"/>
    <n v="50038517"/>
    <x v="0"/>
    <n v="1"/>
    <s v="REALIZADO"/>
    <s v="AGATHA"/>
    <d v="2025-10-07T00:00:00"/>
    <x v="2"/>
  </r>
  <r>
    <n v="77526"/>
    <s v="FELIPE GARÇONI"/>
    <s v="MME"/>
    <s v="ADM"/>
    <n v="50038517"/>
    <x v="0"/>
    <n v="1"/>
    <s v="REALIZADO"/>
    <s v="BRUNA"/>
    <d v="2025-10-07T00:00:00"/>
    <x v="0"/>
  </r>
  <r>
    <n v="63713"/>
    <s v="BRUNO DIAS"/>
    <s v="MME"/>
    <s v="ADM"/>
    <n v="50039065"/>
    <x v="22"/>
    <n v="1"/>
    <s v="REALIZADO"/>
    <s v="AGATHA"/>
    <d v="2025-10-07T00:00:00"/>
    <x v="2"/>
  </r>
  <r>
    <n v="63713"/>
    <s v="BRUNO DIAS"/>
    <s v="MME"/>
    <s v="ADM"/>
    <n v="50039065"/>
    <x v="22"/>
    <n v="1"/>
    <s v="REALIZADO"/>
    <s v="BRUNA"/>
    <d v="2025-10-07T00:00:00"/>
    <x v="0"/>
  </r>
  <r>
    <n v="78675"/>
    <s v="ORLANDO GOMES"/>
    <s v="MME"/>
    <s v="1º TURNO"/>
    <n v="50036297"/>
    <x v="100"/>
    <n v="1"/>
    <s v="REALIZADO"/>
    <s v="BRUNA"/>
    <d v="2025-10-07T00:00:00"/>
    <x v="2"/>
  </r>
  <r>
    <n v="78675"/>
    <s v="ORLANDO GOMES"/>
    <s v="MME"/>
    <s v="1º TURNO"/>
    <n v="50036297"/>
    <x v="100"/>
    <n v="1"/>
    <s v="REALIZADO"/>
    <s v="BRUNA"/>
    <d v="2025-10-07T00:00:00"/>
    <x v="0"/>
  </r>
  <r>
    <n v="77313"/>
    <s v="ROGERIO"/>
    <s v="MPR"/>
    <s v="ADM"/>
    <n v="50026357"/>
    <x v="24"/>
    <n v="1"/>
    <s v="REALIZADO"/>
    <s v="JOÃO FRANCISCO"/>
    <d v="2025-10-07T00:00:00"/>
    <x v="2"/>
  </r>
  <r>
    <n v="77313"/>
    <s v="ROGERIO"/>
    <s v="MPR"/>
    <s v="ADM"/>
    <n v="50026357"/>
    <x v="24"/>
    <n v="1"/>
    <s v="REALIZADO"/>
    <s v="AGATHA"/>
    <d v="2025-10-07T00:00:00"/>
    <x v="0"/>
  </r>
  <r>
    <n v="60953"/>
    <s v="PABLO JUNIOR"/>
    <s v="MMG"/>
    <s v="1º TURNO"/>
    <n v="50041653"/>
    <x v="50"/>
    <n v="1"/>
    <s v="REALIZADO"/>
    <s v="AGATHA"/>
    <d v="2025-10-07T00:00:00"/>
    <x v="2"/>
  </r>
  <r>
    <n v="60953"/>
    <s v="PABLO JUNIOR"/>
    <s v="MMG"/>
    <s v="1º TURNO"/>
    <n v="50041653"/>
    <x v="50"/>
    <n v="1"/>
    <s v="REALIZADO"/>
    <s v="BRUNA"/>
    <d v="2025-10-07T00:00:00"/>
    <x v="0"/>
  </r>
  <r>
    <n v="77708"/>
    <s v="FABIO JUSTINO"/>
    <s v="MPR"/>
    <s v="ADM"/>
    <n v="50041195"/>
    <x v="21"/>
    <n v="1"/>
    <s v="REALIZADO"/>
    <s v="AGATHA"/>
    <d v="2025-10-07T00:00:00"/>
    <x v="0"/>
  </r>
  <r>
    <n v="72707"/>
    <s v="LEONARDO DOS SANTOS"/>
    <s v="MPR"/>
    <s v="ADM"/>
    <n v="50043917"/>
    <x v="66"/>
    <n v="1"/>
    <s v="REALIZADO"/>
    <s v="AGATHA"/>
    <d v="2025-10-07T00:00:00"/>
    <x v="2"/>
  </r>
  <r>
    <n v="72707"/>
    <s v="LEONARDO DOS SANTOS"/>
    <s v="MPR"/>
    <s v="ADM"/>
    <n v="50043917"/>
    <x v="66"/>
    <n v="1"/>
    <s v="REALIZADO"/>
    <s v="BRUNA"/>
    <d v="2025-10-07T00:00:00"/>
    <x v="2"/>
  </r>
  <r>
    <n v="49743"/>
    <s v="MARCELO CAMPOS"/>
    <s v="MME"/>
    <s v="3º TURNO"/>
    <n v="50043917"/>
    <x v="66"/>
    <n v="1"/>
    <s v="REALIZADO"/>
    <s v="MARINA"/>
    <d v="2025-10-07T00:00:00"/>
    <x v="0"/>
  </r>
  <r>
    <n v="49743"/>
    <s v="MARCELO CAMPOS"/>
    <s v="MME"/>
    <s v="3º TURNO"/>
    <n v="50043917"/>
    <x v="66"/>
    <n v="1"/>
    <s v="REALIZADO"/>
    <s v="MARINA"/>
    <d v="2025-10-07T00:00:00"/>
    <x v="0"/>
  </r>
  <r>
    <n v="72707"/>
    <s v="LEONARDO DOS SANTOS"/>
    <s v="MPR"/>
    <s v="ADM"/>
    <n v="50020622"/>
    <x v="42"/>
    <n v="1"/>
    <s v="REALIZADO"/>
    <s v="AGATHA"/>
    <d v="2025-10-07T00:00:00"/>
    <x v="2"/>
  </r>
  <r>
    <n v="72707"/>
    <s v="LEONARDO DOS SANTOS"/>
    <s v="MPR"/>
    <s v="ADM"/>
    <n v="50020622"/>
    <x v="42"/>
    <n v="1"/>
    <s v="REALIZADO"/>
    <s v="BRUNA"/>
    <d v="2025-10-07T00:00:00"/>
    <x v="0"/>
  </r>
  <r>
    <n v="63770"/>
    <s v="DANILO DA SILVA"/>
    <s v="MMG"/>
    <s v="ADM"/>
    <n v="50012903"/>
    <x v="31"/>
    <n v="1"/>
    <s v="REALIZADO"/>
    <s v="JOÃO FRANCISCO"/>
    <d v="2025-10-07T00:00:00"/>
    <x v="2"/>
  </r>
  <r>
    <n v="63770"/>
    <s v="DANILO DA SILVA"/>
    <s v="MMG"/>
    <s v="ADM"/>
    <n v="50012903"/>
    <x v="31"/>
    <n v="1"/>
    <s v="REALIZADO"/>
    <s v="JOÃO FRANCISCO"/>
    <d v="2025-10-07T00:00:00"/>
    <x v="2"/>
  </r>
  <r>
    <n v="63698"/>
    <s v="EDUARDO SANTOS"/>
    <s v="MME"/>
    <s v="3º TURNO"/>
    <n v="50038195"/>
    <x v="54"/>
    <n v="1"/>
    <s v="REALIZADO"/>
    <s v="MARINA"/>
    <d v="2025-10-07T00:00:00"/>
    <x v="0"/>
  </r>
  <r>
    <n v="63698"/>
    <s v="EDUARDO SANTOS"/>
    <s v="MME"/>
    <s v="3º TURNO"/>
    <n v="50038195"/>
    <x v="54"/>
    <n v="1"/>
    <s v="REALIZADO"/>
    <s v="MARINA"/>
    <d v="2025-10-07T00:00:00"/>
    <x v="0"/>
  </r>
  <r>
    <n v="77313"/>
    <s v="ROGERIO"/>
    <s v="MPR"/>
    <s v="ADM"/>
    <n v="50028220"/>
    <x v="33"/>
    <n v="1"/>
    <s v="REALIZADO"/>
    <s v="JOÃO FRANCISCO"/>
    <d v="2025-10-07T00:00:00"/>
    <x v="2"/>
  </r>
  <r>
    <n v="62640"/>
    <s v="MARCELINHO"/>
    <s v="MPR"/>
    <s v="ADM"/>
    <n v="50028220"/>
    <x v="33"/>
    <n v="1"/>
    <s v="REALIZADO"/>
    <s v="AGATHA"/>
    <d v="2025-10-07T00:00:00"/>
    <x v="2"/>
  </r>
  <r>
    <n v="68792"/>
    <s v="RODRIGO ROCHA"/>
    <s v="MEE"/>
    <s v="2º TURNO"/>
    <n v="50037933"/>
    <x v="43"/>
    <n v="1"/>
    <s v="REALIZADO"/>
    <s v="MARCIA"/>
    <d v="2025-10-07T00:00:00"/>
    <x v="0"/>
  </r>
  <r>
    <n v="60953"/>
    <s v="PABLO JUNIOR"/>
    <s v="MMG"/>
    <s v="1º TURNO"/>
    <n v="50037924"/>
    <x v="90"/>
    <n v="1"/>
    <s v="REALIZADO"/>
    <s v="AGATHA"/>
    <d v="2025-10-07T00:00:00"/>
    <x v="2"/>
  </r>
  <r>
    <n v="60953"/>
    <s v="PABLO JUNIOR"/>
    <s v="MMG"/>
    <s v="1º TURNO"/>
    <n v="50037924"/>
    <x v="90"/>
    <n v="1"/>
    <s v="REALIZADO"/>
    <s v="BRUNA"/>
    <d v="2025-10-07T00:00:00"/>
    <x v="2"/>
  </r>
  <r>
    <n v="65472"/>
    <s v="ISRAEL MACEDO"/>
    <s v="MMG"/>
    <s v="ADM"/>
    <n v="50010031"/>
    <x v="20"/>
    <n v="1"/>
    <s v="REALIZADO"/>
    <s v="BRUNO"/>
    <d v="2025-10-06T00:00:00"/>
    <x v="0"/>
  </r>
  <r>
    <n v="74874"/>
    <s v="FABIANO MARQUES"/>
    <s v="MMG"/>
    <s v="ADM"/>
    <n v="50010031"/>
    <x v="20"/>
    <n v="1"/>
    <s v="REALIZADO"/>
    <s v="BRUNA"/>
    <d v="2025-10-06T00:00:00"/>
    <x v="2"/>
  </r>
  <r>
    <n v="74874"/>
    <s v="FABIANO MARQUES"/>
    <s v="MMG"/>
    <s v="ADM"/>
    <n v="50010031"/>
    <x v="20"/>
    <n v="1"/>
    <s v="REALIZADO"/>
    <s v="BRUNA"/>
    <d v="2025-10-06T00:00:00"/>
    <x v="0"/>
  </r>
  <r>
    <n v="77594"/>
    <s v="VINICIUS ROBLES"/>
    <s v="MME"/>
    <s v="ADM"/>
    <n v="50036291"/>
    <x v="55"/>
    <n v="1"/>
    <s v="REALIZADO"/>
    <s v="BRUNO"/>
    <d v="2025-10-06T00:00:00"/>
    <x v="2"/>
  </r>
  <r>
    <n v="77594"/>
    <s v="VINICIUS ROBLES"/>
    <s v="MME"/>
    <s v="ADM"/>
    <n v="50036291"/>
    <x v="55"/>
    <n v="1"/>
    <s v="REALIZADO"/>
    <s v="BRUNO"/>
    <d v="2025-10-06T00:00:00"/>
    <x v="2"/>
  </r>
  <r>
    <n v="77594"/>
    <s v="VINICIUS ROBLES"/>
    <s v="MME"/>
    <s v="ADM"/>
    <n v="50036292"/>
    <x v="104"/>
    <n v="1"/>
    <s v="REALIZADO"/>
    <s v="BRUNO"/>
    <d v="2025-10-06T00:00:00"/>
    <x v="0"/>
  </r>
  <r>
    <n v="77594"/>
    <s v="VINICIUS ROBLES"/>
    <s v="MME"/>
    <s v="ADM"/>
    <n v="50036293"/>
    <x v="16"/>
    <n v="1"/>
    <s v="REALIZADO"/>
    <s v="BRUNO"/>
    <d v="2025-10-06T00:00:00"/>
    <x v="2"/>
  </r>
  <r>
    <n v="77594"/>
    <s v="VINICIUS ROBLES"/>
    <s v="MME"/>
    <s v="ADM"/>
    <n v="50036293"/>
    <x v="16"/>
    <n v="1"/>
    <s v="REALIZADO"/>
    <s v="BRUNO"/>
    <d v="2025-10-06T00:00:00"/>
    <x v="0"/>
  </r>
  <r>
    <n v="77594"/>
    <s v="VINICIUS ROBLES"/>
    <s v="MME"/>
    <s v="ADM"/>
    <n v="50036295"/>
    <x v="25"/>
    <n v="1"/>
    <s v="REALIZADO"/>
    <s v="BRUNO"/>
    <d v="2025-10-06T00:00:00"/>
    <x v="2"/>
  </r>
  <r>
    <n v="77594"/>
    <s v="VINICIUS ROBLES"/>
    <s v="MME"/>
    <s v="ADM"/>
    <n v="50036295"/>
    <x v="25"/>
    <n v="1"/>
    <s v="REALIZADO"/>
    <s v="BRUNO"/>
    <d v="2025-10-06T00:00:00"/>
    <x v="0"/>
  </r>
  <r>
    <n v="77594"/>
    <s v="VINICIUS ROBLES"/>
    <s v="MME"/>
    <s v="ADM"/>
    <n v="50036086"/>
    <x v="3"/>
    <n v="1"/>
    <s v="REALIZADO"/>
    <s v="BRUNO"/>
    <d v="2025-10-06T00:00:00"/>
    <x v="2"/>
  </r>
  <r>
    <n v="77594"/>
    <s v="VINICIUS ROBLES"/>
    <s v="MME"/>
    <s v="ADM"/>
    <n v="50036086"/>
    <x v="3"/>
    <n v="1"/>
    <s v="REALIZADO"/>
    <s v="BRUNO"/>
    <d v="2025-10-06T00:00:00"/>
    <x v="0"/>
  </r>
  <r>
    <n v="77594"/>
    <s v="VINICIUS ROBLES"/>
    <s v="MME"/>
    <s v="ADM"/>
    <n v="50038842"/>
    <x v="28"/>
    <n v="1"/>
    <s v="REALIZADO"/>
    <s v="BRUNO"/>
    <d v="2025-10-06T00:00:00"/>
    <x v="2"/>
  </r>
  <r>
    <n v="77594"/>
    <s v="VINICIUS ROBLES"/>
    <s v="MME"/>
    <s v="ADM"/>
    <n v="50038842"/>
    <x v="28"/>
    <n v="1"/>
    <s v="REALIZADO"/>
    <s v="BRUNO"/>
    <d v="2025-10-06T00:00:00"/>
    <x v="2"/>
  </r>
  <r>
    <n v="77594"/>
    <s v="VINICIUS ROBLES"/>
    <s v="MME"/>
    <s v="ADM"/>
    <n v="50038842"/>
    <x v="28"/>
    <n v="1"/>
    <s v="REALIZADO"/>
    <s v="BRUNO"/>
    <d v="2025-10-06T00:00:00"/>
    <x v="2"/>
  </r>
  <r>
    <n v="77526"/>
    <s v="FELIPE GARÇONI"/>
    <s v="MME"/>
    <s v="ADM"/>
    <n v="50043471"/>
    <x v="5"/>
    <n v="1"/>
    <s v="REALIZADO"/>
    <s v="BRUNA"/>
    <d v="2025-10-06T00:00:00"/>
    <x v="2"/>
  </r>
  <r>
    <n v="60546"/>
    <s v="EMERSON DOS SANTOS"/>
    <s v="MMG"/>
    <s v="3º TURNO"/>
    <n v="50003296"/>
    <x v="105"/>
    <n v="1"/>
    <s v="REALIZADO"/>
    <s v="MARINA"/>
    <d v="2025-10-06T00:00:00"/>
    <x v="0"/>
  </r>
  <r>
    <n v="60546"/>
    <s v="EMERSON DOS SANTOS"/>
    <s v="MMG"/>
    <s v="3º TURNO"/>
    <n v="50003296"/>
    <x v="105"/>
    <n v="1"/>
    <s v="REALIZADO"/>
    <s v="MARINA"/>
    <d v="2025-10-06T00:00:00"/>
    <x v="2"/>
  </r>
  <r>
    <n v="79195"/>
    <s v="ELIEZER VINICIUS"/>
    <s v="MTC"/>
    <s v="1 TURNO"/>
    <n v="50043320"/>
    <x v="35"/>
    <n v="1"/>
    <s v="REALIZADO"/>
    <s v="BRUNA"/>
    <d v="2025-10-06T00:00:00"/>
    <x v="0"/>
  </r>
  <r>
    <n v="68708"/>
    <s v="CLAUDIO TADEU LEITE"/>
    <s v="MMG"/>
    <s v="ADM"/>
    <n v="50038549"/>
    <x v="6"/>
    <n v="1"/>
    <s v="REALIZADO"/>
    <s v="AGATHA"/>
    <d v="2025-10-06T00:00:00"/>
    <x v="2"/>
  </r>
  <r>
    <n v="68708"/>
    <s v="CLAUDIO TADEU LEITE"/>
    <s v="MMG"/>
    <s v="ADM"/>
    <n v="50038549"/>
    <x v="6"/>
    <n v="1"/>
    <s v="REALIZADO"/>
    <s v="BRUNO"/>
    <d v="2025-10-06T00:00:00"/>
    <x v="0"/>
  </r>
  <r>
    <n v="74611"/>
    <s v="CRISTIAM BORGES"/>
    <s v="MPR"/>
    <s v="ADM"/>
    <n v="50038956"/>
    <x v="10"/>
    <n v="1"/>
    <s v="REALIZADO"/>
    <s v="AGATHA"/>
    <d v="2025-10-06T00:00:00"/>
    <x v="2"/>
  </r>
  <r>
    <n v="74611"/>
    <s v="CRISTIAM BORGES"/>
    <s v="MPR"/>
    <s v="ADM"/>
    <n v="50038956"/>
    <x v="10"/>
    <n v="1"/>
    <s v="REALIZADO"/>
    <s v="BRUNO"/>
    <d v="2025-10-06T00:00:00"/>
    <x v="0"/>
  </r>
  <r>
    <n v="77594"/>
    <s v="VINICIUS ROBLES"/>
    <s v="MME"/>
    <s v="ADM"/>
    <n v="50037892"/>
    <x v="2"/>
    <n v="1"/>
    <s v="REALIZADO"/>
    <s v="BRUNO"/>
    <d v="2025-10-06T00:00:00"/>
    <x v="2"/>
  </r>
  <r>
    <n v="77594"/>
    <s v="VINICIUS ROBLES"/>
    <s v="MME"/>
    <s v="ADM"/>
    <n v="50037892"/>
    <x v="2"/>
    <n v="1"/>
    <s v="REALIZADO"/>
    <s v="BRUNO"/>
    <d v="2025-10-06T00:00:00"/>
    <x v="2"/>
  </r>
  <r>
    <n v="77526"/>
    <s v="FELIPE GARÇONI"/>
    <s v="MME"/>
    <s v="ADM"/>
    <n v="50037902"/>
    <x v="14"/>
    <n v="1"/>
    <s v="REALIZADO"/>
    <s v="BRUNO"/>
    <d v="2025-10-06T00:00:00"/>
    <x v="0"/>
  </r>
  <r>
    <n v="64074"/>
    <s v="MARCOS FERNANDES COLOMBO"/>
    <s v="MPR"/>
    <s v="ADM"/>
    <n v="50038841"/>
    <x v="34"/>
    <n v="1"/>
    <s v="REALIZADO"/>
    <s v="AGATHA"/>
    <d v="2025-10-06T00:00:00"/>
    <x v="2"/>
  </r>
  <r>
    <n v="64074"/>
    <s v="MARCOS FERNANDES COLOMBO"/>
    <s v="MPR"/>
    <s v="ADM"/>
    <n v="50038841"/>
    <x v="34"/>
    <n v="1"/>
    <s v="REALIZADO"/>
    <s v="AGATHA"/>
    <d v="2025-10-06T00:00:00"/>
    <x v="0"/>
  </r>
  <r>
    <n v="65482"/>
    <s v="RAFAEL BALBINO PEREIRA"/>
    <s v="MMG"/>
    <s v="ADM"/>
    <n v="50038841"/>
    <x v="34"/>
    <n v="1"/>
    <s v="REALIZADO"/>
    <s v="AGATHA"/>
    <d v="2025-10-06T00:00:00"/>
    <x v="2"/>
  </r>
  <r>
    <n v="65482"/>
    <s v="RAFAEL BALBINO PEREIRA"/>
    <s v="MMG"/>
    <s v="ADM"/>
    <n v="50038841"/>
    <x v="34"/>
    <n v="1"/>
    <s v="REALIZADO"/>
    <s v="AGATHA"/>
    <d v="2025-10-06T00:00:00"/>
    <x v="0"/>
  </r>
  <r>
    <n v="76633"/>
    <s v="VINICIUS GUILHERME BARBOSA"/>
    <s v="MMG"/>
    <s v="1º TURNO"/>
    <n v="50038841"/>
    <x v="34"/>
    <n v="1"/>
    <s v="REALIZADO"/>
    <s v="BRUNA"/>
    <d v="2025-10-06T00:00:00"/>
    <x v="2"/>
  </r>
  <r>
    <n v="76633"/>
    <s v="VINICIUS GUILHERME BARBOSA"/>
    <s v="MMG"/>
    <s v="1º TURNO"/>
    <n v="50038841"/>
    <x v="34"/>
    <n v="1"/>
    <s v="REALIZADO"/>
    <s v="BRUNA"/>
    <d v="2025-10-06T00:00:00"/>
    <x v="0"/>
  </r>
  <r>
    <n v="65482"/>
    <s v="RAFAEL BALBINO PEREIRA"/>
    <s v="MMG"/>
    <s v="ADM"/>
    <n v="50038841"/>
    <x v="34"/>
    <n v="1"/>
    <s v="REALIZADO"/>
    <s v="BRUNO"/>
    <d v="2025-10-06T00:00:00"/>
    <x v="2"/>
  </r>
  <r>
    <n v="65482"/>
    <s v="RAFAEL BALBINO PEREIRA"/>
    <s v="MMG"/>
    <s v="ADM"/>
    <n v="50038841"/>
    <x v="34"/>
    <n v="1"/>
    <s v="REALIZADO"/>
    <s v="BRUNO"/>
    <d v="2025-10-06T00:00:00"/>
    <x v="0"/>
  </r>
  <r>
    <n v="76633"/>
    <s v="VINICIUS GUILHERME BARBOSA"/>
    <s v="MMG"/>
    <s v="1º TURNO"/>
    <n v="50038841"/>
    <x v="34"/>
    <n v="1"/>
    <s v="REALIZADO"/>
    <s v="BRUNO"/>
    <d v="2025-10-06T00:00:00"/>
    <x v="2"/>
  </r>
  <r>
    <n v="76633"/>
    <s v="VINICIUS GUILHERME BARBOSA"/>
    <s v="MMG"/>
    <s v="1º TURNO"/>
    <n v="50038841"/>
    <x v="34"/>
    <n v="1"/>
    <s v="REALIZADO"/>
    <s v="BRUNO"/>
    <d v="2025-10-06T00:00:00"/>
    <x v="0"/>
  </r>
  <r>
    <n v="76994"/>
    <s v="FELIPE HENRIQUE DE BRITO"/>
    <s v="MEE"/>
    <s v="ADM"/>
    <n v="50038517"/>
    <x v="0"/>
    <n v="1"/>
    <s v="REALIZADO"/>
    <s v="AGATHA"/>
    <d v="2025-10-06T00:00:00"/>
    <x v="2"/>
  </r>
  <r>
    <n v="76994"/>
    <s v="FELIPE HENRIQUE DE BRITO"/>
    <s v="MEE"/>
    <s v="ADM"/>
    <n v="50038517"/>
    <x v="0"/>
    <n v="1"/>
    <s v="REALIZADO"/>
    <s v="BRUNO"/>
    <d v="2025-10-06T00:00:00"/>
    <x v="2"/>
  </r>
  <r>
    <n v="64074"/>
    <s v="MARCOS FERNANDES COLOMBO"/>
    <s v="MPR"/>
    <s v="ADM"/>
    <n v="50001995"/>
    <x v="44"/>
    <n v="1"/>
    <s v="REALIZADO"/>
    <s v="BRUNO"/>
    <d v="2025-10-06T00:00:00"/>
    <x v="0"/>
  </r>
  <r>
    <n v="74611"/>
    <s v="CRISTIAM BORGES"/>
    <s v="MPR"/>
    <s v="ADM"/>
    <n v="50039065"/>
    <x v="22"/>
    <n v="1"/>
    <s v="REALIZADO"/>
    <s v="AGATHA"/>
    <d v="2025-10-06T00:00:00"/>
    <x v="2"/>
  </r>
  <r>
    <n v="74611"/>
    <s v="CRISTIAM BORGES"/>
    <s v="MPR"/>
    <s v="ADM"/>
    <n v="50039065"/>
    <x v="22"/>
    <n v="1"/>
    <s v="REALIZADO"/>
    <s v="AGATHA"/>
    <d v="2025-10-06T00:00:00"/>
    <x v="0"/>
  </r>
  <r>
    <n v="65472"/>
    <s v="ISRAEL MACEDO"/>
    <s v="MMG"/>
    <s v="ADM"/>
    <n v="50039065"/>
    <x v="22"/>
    <n v="1"/>
    <s v="REALIZADO"/>
    <s v="BRUNO"/>
    <d v="2025-10-06T00:00:00"/>
    <x v="2"/>
  </r>
  <r>
    <n v="65472"/>
    <s v="ISRAEL MACEDO"/>
    <s v="MMG"/>
    <s v="ADM"/>
    <n v="50039065"/>
    <x v="22"/>
    <n v="1"/>
    <s v="REALIZADO"/>
    <s v="BRUNO"/>
    <d v="2025-10-06T00:00:00"/>
    <x v="2"/>
  </r>
  <r>
    <n v="60546"/>
    <s v="EMERSON DOS SANTOS"/>
    <s v="MMG"/>
    <s v="3º TURNO"/>
    <n v="50039065"/>
    <x v="22"/>
    <n v="1"/>
    <s v="REALIZADO"/>
    <s v="MARINA"/>
    <d v="2025-10-06T00:00:00"/>
    <x v="0"/>
  </r>
  <r>
    <n v="60546"/>
    <s v="EMERSON DOS SANTOS"/>
    <s v="MMG"/>
    <s v="3º TURNO"/>
    <n v="50039065"/>
    <x v="22"/>
    <n v="1"/>
    <s v="REALIZADO"/>
    <s v="MARINA"/>
    <d v="2025-10-06T00:00:00"/>
    <x v="0"/>
  </r>
  <r>
    <n v="77313"/>
    <s v="ROGERIO"/>
    <s v="MPR"/>
    <s v="ADM"/>
    <n v="50026357"/>
    <x v="24"/>
    <n v="1"/>
    <s v="REALIZADO"/>
    <s v="AGATHA"/>
    <d v="2025-10-06T00:00:00"/>
    <x v="2"/>
  </r>
  <r>
    <n v="77313"/>
    <s v="ROGERIO"/>
    <s v="MPR"/>
    <s v="ADM"/>
    <n v="50026357"/>
    <x v="24"/>
    <n v="1"/>
    <s v="REALIZADO"/>
    <s v="AGATHA"/>
    <d v="2025-10-06T00:00:00"/>
    <x v="0"/>
  </r>
  <r>
    <n v="77313"/>
    <s v="ROGERIO"/>
    <s v="MPR"/>
    <s v="ADM"/>
    <n v="50026357"/>
    <x v="24"/>
    <n v="1"/>
    <s v="REALIZADO"/>
    <s v="BRUNO"/>
    <d v="2025-10-06T00:00:00"/>
    <x v="2"/>
  </r>
  <r>
    <n v="77313"/>
    <s v="ROGERIO"/>
    <s v="MPR"/>
    <s v="ADM"/>
    <n v="50026357"/>
    <x v="24"/>
    <n v="1"/>
    <s v="REALIZADO"/>
    <s v="BRUNO"/>
    <d v="2025-10-06T00:00:00"/>
    <x v="2"/>
  </r>
  <r>
    <n v="77708"/>
    <s v="FABIO JUSTINO"/>
    <s v="MPR"/>
    <s v="ADM"/>
    <n v="50041195"/>
    <x v="21"/>
    <n v="1"/>
    <s v="REALIZADO"/>
    <s v="AGATHA"/>
    <d v="2025-10-06T00:00:00"/>
    <x v="0"/>
  </r>
  <r>
    <n v="62896"/>
    <s v="LEONARDO BORGES"/>
    <s v="MEE"/>
    <s v="ADM"/>
    <n v="50041195"/>
    <x v="21"/>
    <n v="1"/>
    <s v="REALIZADO"/>
    <s v="BRUNA"/>
    <d v="2025-10-06T00:00:00"/>
    <x v="2"/>
  </r>
  <r>
    <n v="62896"/>
    <s v="LEONARDO BORGES"/>
    <s v="MEE"/>
    <s v="ADM"/>
    <n v="50041195"/>
    <x v="21"/>
    <n v="1"/>
    <s v="REALIZADO"/>
    <s v="BRUNO"/>
    <d v="2025-10-06T00:00:00"/>
    <x v="2"/>
  </r>
  <r>
    <n v="79195"/>
    <s v="ELIEZER VINICIUS"/>
    <n v="0"/>
    <s v="1 TURNO"/>
    <n v="50043917"/>
    <x v="66"/>
    <n v="1"/>
    <s v="REALIZADO"/>
    <s v="BRUNA"/>
    <d v="2025-10-06T00:00:00"/>
    <x v="2"/>
  </r>
  <r>
    <n v="65472"/>
    <s v="ISRAEL MACEDO"/>
    <s v="MMG"/>
    <s v="ADM"/>
    <n v="50037906"/>
    <x v="65"/>
    <n v="1"/>
    <s v="REALIZADO"/>
    <s v="AGATHA"/>
    <d v="2025-10-06T00:00:00"/>
    <x v="0"/>
  </r>
  <r>
    <n v="65482"/>
    <s v="RAFAEL BALBINO PEREIRA"/>
    <s v="MMG"/>
    <s v="ADM"/>
    <n v="50012903"/>
    <x v="31"/>
    <n v="1"/>
    <s v="REALIZADO"/>
    <s v="BRUNO"/>
    <d v="2025-10-06T00:00:00"/>
    <x v="2"/>
  </r>
  <r>
    <n v="65482"/>
    <s v="RAFAEL BALBINO PEREIRA"/>
    <s v="MMG"/>
    <s v="ADM"/>
    <n v="50012903"/>
    <x v="31"/>
    <n v="1"/>
    <s v="REALIZADO"/>
    <s v="BRUNA"/>
    <d v="2025-10-06T00:00:00"/>
    <x v="2"/>
  </r>
  <r>
    <n v="68708"/>
    <s v="CLAUDIO TADEU LEITE"/>
    <s v="MMG"/>
    <s v="ADM"/>
    <n v="50012902"/>
    <x v="30"/>
    <n v="1"/>
    <s v="REALIZADO"/>
    <s v="BRUNO"/>
    <d v="2025-10-06T00:00:00"/>
    <x v="0"/>
  </r>
  <r>
    <n v="72728"/>
    <s v="JUNIOR CESAR DA PENHA"/>
    <s v="UTI"/>
    <s v="2º TURNO"/>
    <n v="50044453"/>
    <x v="98"/>
    <n v="1"/>
    <s v="REALIZADO"/>
    <s v="AGATHA"/>
    <d v="2025-10-06T00:00:00"/>
    <x v="2"/>
  </r>
  <r>
    <n v="72728"/>
    <s v="JUNIOR CESAR DA PENHA"/>
    <s v="UTI"/>
    <s v="2º TURNO"/>
    <n v="50044453"/>
    <x v="98"/>
    <n v="1"/>
    <s v="REALIZADO"/>
    <s v="BRUNO"/>
    <d v="2025-10-06T00:00:00"/>
    <x v="0"/>
  </r>
  <r>
    <n v="63684"/>
    <s v="LUAN ALMEIDA"/>
    <s v="MME"/>
    <s v="1º TURNO"/>
    <n v="50037933"/>
    <x v="43"/>
    <n v="1"/>
    <s v="REALIZADO"/>
    <s v="BRUNA"/>
    <d v="2025-10-06T00:00:00"/>
    <x v="2"/>
  </r>
  <r>
    <n v="63684"/>
    <s v="LUAN ALMEIDA"/>
    <s v="MME"/>
    <s v="1º TURNO"/>
    <n v="50037933"/>
    <x v="43"/>
    <n v="1"/>
    <s v="REALIZADO"/>
    <s v="BRUNO"/>
    <d v="2025-10-06T00:00:00"/>
    <x v="2"/>
  </r>
  <r>
    <n v="76633"/>
    <s v="VINICIUS GUILHERME BARBOSA"/>
    <s v="MMG"/>
    <s v="1º TURNO"/>
    <n v="50039236"/>
    <x v="84"/>
    <n v="1"/>
    <s v="REALIZADO"/>
    <s v="MARINA"/>
    <d v="2025-10-05T00:00:00"/>
    <x v="0"/>
  </r>
  <r>
    <n v="76633"/>
    <s v="VINICIUS GUILHERME BARBOSA"/>
    <s v="MMG"/>
    <s v="1º TURNO"/>
    <n v="50039236"/>
    <x v="84"/>
    <n v="1"/>
    <s v="REALIZADO"/>
    <s v="MARINA"/>
    <d v="2025-10-05T00:00:00"/>
    <x v="2"/>
  </r>
  <r>
    <n v="76633"/>
    <s v="VINICIUS GUILHERME BARBOSA"/>
    <s v="MMG"/>
    <s v="1º TURNO"/>
    <n v="50037892"/>
    <x v="2"/>
    <n v="1"/>
    <s v="REALIZADO"/>
    <s v="MARINA"/>
    <d v="2025-10-05T00:00:00"/>
    <x v="0"/>
  </r>
  <r>
    <n v="76633"/>
    <s v="VINICIUS GUILHERME BARBOSA"/>
    <s v="MMG"/>
    <s v="1º TURNO"/>
    <n v="50037892"/>
    <x v="2"/>
    <n v="1"/>
    <s v="REALIZADO"/>
    <s v="MARINA"/>
    <d v="2025-10-05T00:00:00"/>
    <x v="2"/>
  </r>
  <r>
    <n v="66014"/>
    <s v="JONATHAN OLIVEIRA"/>
    <s v="MME"/>
    <s v="1º TURNO"/>
    <n v="50038517"/>
    <x v="0"/>
    <n v="1"/>
    <s v="REALIZADO"/>
    <s v="MARINA"/>
    <d v="2025-10-05T00:00:00"/>
    <x v="0"/>
  </r>
  <r>
    <n v="66014"/>
    <s v="JONATHAN OLIVEIRA"/>
    <s v="MME"/>
    <s v="1º TURNO"/>
    <n v="50038517"/>
    <x v="0"/>
    <n v="1"/>
    <s v="REALIZADO"/>
    <s v="MARINA"/>
    <d v="2025-10-05T00:00:00"/>
    <x v="2"/>
  </r>
  <r>
    <n v="77471"/>
    <s v="DANILO BARBOSA"/>
    <s v="MEE"/>
    <s v="ADM"/>
    <n v="50041195"/>
    <x v="21"/>
    <n v="1"/>
    <s v="REALIZADO"/>
    <s v="MARINA"/>
    <d v="2025-10-05T00:00:00"/>
    <x v="0"/>
  </r>
  <r>
    <n v="77471"/>
    <s v="DANILO BARBOSA"/>
    <s v="MEE"/>
    <s v="ADM"/>
    <n v="50041195"/>
    <x v="21"/>
    <n v="1"/>
    <s v="REALIZADO"/>
    <s v="MARINA"/>
    <d v="2025-10-05T00:00:00"/>
    <x v="0"/>
  </r>
  <r>
    <n v="65844"/>
    <s v="ALTEMAR FEITOSA"/>
    <s v="MMG"/>
    <s v="1º TURNO"/>
    <n v="50037922"/>
    <x v="61"/>
    <n v="1"/>
    <s v="REALIZADO"/>
    <s v="KELLY"/>
    <d v="2025-10-04T00:00:00"/>
    <x v="2"/>
  </r>
  <r>
    <n v="65844"/>
    <s v="ALTEMAR FEITOSA"/>
    <s v="MMG"/>
    <s v="1º TURNO"/>
    <n v="50037922"/>
    <x v="61"/>
    <n v="1"/>
    <s v="REALIZADO"/>
    <s v="KELLY"/>
    <d v="2025-10-04T00:00:00"/>
    <x v="0"/>
  </r>
  <r>
    <n v="58734"/>
    <s v="FABIO CARVALHO"/>
    <s v="MME"/>
    <s v="2º TURNO"/>
    <n v="50037905"/>
    <x v="49"/>
    <n v="1"/>
    <s v="REALIZADO"/>
    <s v="KELLY"/>
    <d v="2025-10-04T00:00:00"/>
    <x v="2"/>
  </r>
  <r>
    <n v="60546"/>
    <s v="EMERSON DOS SANTOS"/>
    <s v="MMG"/>
    <s v="3º TURNO"/>
    <n v="50044522"/>
    <x v="106"/>
    <n v="1"/>
    <s v="REALIZADO"/>
    <s v="FABIANO"/>
    <d v="2025-10-04T00:00:00"/>
    <x v="0"/>
  </r>
  <r>
    <n v="60546"/>
    <s v="EMERSON DOS SANTOS"/>
    <s v="MMG"/>
    <s v="3º TURNO"/>
    <n v="50044522"/>
    <x v="106"/>
    <n v="1"/>
    <s v="REALIZADO"/>
    <s v="FABIANO"/>
    <d v="2025-10-04T00:00:00"/>
    <x v="0"/>
  </r>
  <r>
    <n v="76239"/>
    <s v="GEOVANNY ALEXANDER"/>
    <s v="REFRIG"/>
    <s v="ADM"/>
    <n v="50043471"/>
    <x v="5"/>
    <n v="1"/>
    <s v="REALIZADO"/>
    <s v="KELLY"/>
    <d v="2025-10-04T00:00:00"/>
    <x v="2"/>
  </r>
  <r>
    <n v="76633"/>
    <s v="VINICIUS GUILHERME BARBOSA"/>
    <s v="MMG"/>
    <s v="1º TURNO"/>
    <n v="50037902"/>
    <x v="14"/>
    <n v="1"/>
    <s v="REALIZADO"/>
    <s v="KELLY"/>
    <d v="2025-10-04T00:00:00"/>
    <x v="0"/>
  </r>
  <r>
    <n v="76239"/>
    <s v="GEOVANNY ALEXANDER"/>
    <s v="REFRIG"/>
    <s v="ADM"/>
    <n v="50037902"/>
    <x v="14"/>
    <n v="1"/>
    <s v="REALIZADO"/>
    <s v="KELLY"/>
    <d v="2025-10-04T00:00:00"/>
    <x v="0"/>
  </r>
  <r>
    <n v="76633"/>
    <s v="VINICIUS GUILHERME BARBOSA"/>
    <s v="MMG"/>
    <s v="1º TURNO"/>
    <n v="50037902"/>
    <x v="14"/>
    <n v="1"/>
    <s v="REALIZADO"/>
    <s v="KELLY"/>
    <d v="2025-10-04T00:00:00"/>
    <x v="0"/>
  </r>
  <r>
    <n v="74611"/>
    <s v="CRISTIAM BORGES"/>
    <s v="MPR"/>
    <s v="ADM"/>
    <n v="50038517"/>
    <x v="0"/>
    <n v="1"/>
    <s v="REALIZADO"/>
    <s v="KELLY"/>
    <d v="2025-10-04T00:00:00"/>
    <x v="2"/>
  </r>
  <r>
    <n v="74611"/>
    <s v="CRISTIAM BORGES"/>
    <s v="MPR"/>
    <s v="ADM"/>
    <n v="50038517"/>
    <x v="0"/>
    <n v="1"/>
    <s v="REALIZADO"/>
    <s v="KELLY"/>
    <d v="2025-10-04T00:00:00"/>
    <x v="2"/>
  </r>
  <r>
    <n v="74611"/>
    <s v="CRISTIAM BORGES"/>
    <s v="MPR"/>
    <s v="ADM"/>
    <n v="50001995"/>
    <x v="44"/>
    <n v="1"/>
    <s v="REALIZADO"/>
    <s v="KELLY"/>
    <d v="2025-10-04T00:00:00"/>
    <x v="2"/>
  </r>
  <r>
    <n v="65131"/>
    <s v="GUILHERME VECHIO"/>
    <s v="MMG"/>
    <s v="2º TURNO"/>
    <n v="50039065"/>
    <x v="22"/>
    <n v="1"/>
    <s v="REALIZADO"/>
    <s v="MARINA"/>
    <d v="2025-10-04T00:00:00"/>
    <x v="0"/>
  </r>
  <r>
    <n v="65131"/>
    <s v="GUILHERME VECHIO"/>
    <s v="MMG"/>
    <s v="2º TURNO"/>
    <n v="50039065"/>
    <x v="22"/>
    <n v="1"/>
    <s v="REALIZADO"/>
    <s v="MARINA"/>
    <d v="2025-10-04T00:00:00"/>
    <x v="0"/>
  </r>
  <r>
    <n v="74611"/>
    <s v="CRISTIAM BORGES"/>
    <s v="MPR"/>
    <s v="ADM"/>
    <n v="50026357"/>
    <x v="24"/>
    <n v="1"/>
    <s v="REALIZADO"/>
    <s v="KELLY"/>
    <d v="2025-10-04T00:00:00"/>
    <x v="2"/>
  </r>
  <r>
    <n v="74611"/>
    <s v="CRISTIAM BORGES"/>
    <s v="MPR"/>
    <s v="ADM"/>
    <n v="50026357"/>
    <x v="24"/>
    <n v="1"/>
    <s v="REALIZADO"/>
    <s v="KELLY"/>
    <d v="2025-10-04T00:00:00"/>
    <x v="2"/>
  </r>
  <r>
    <n v="62050"/>
    <s v="EVANILDO PIEDADE"/>
    <s v="MME"/>
    <s v="2º TURNO"/>
    <n v="50041195"/>
    <x v="21"/>
    <n v="1"/>
    <s v="REALIZADO"/>
    <s v="KELLY"/>
    <d v="2025-10-04T00:00:00"/>
    <x v="0"/>
  </r>
  <r>
    <n v="74611"/>
    <s v="CRISTIAM BORGES"/>
    <s v="MPR"/>
    <s v="ADM"/>
    <n v="50010031"/>
    <x v="20"/>
    <n v="1"/>
    <s v="REALIZADO"/>
    <s v="GEOVANE"/>
    <d v="2025-10-03T00:00:00"/>
    <x v="2"/>
  </r>
  <r>
    <n v="74611"/>
    <s v="CRISTIAM BORGES"/>
    <s v="MPR"/>
    <s v="ADM"/>
    <n v="50010031"/>
    <x v="20"/>
    <n v="1"/>
    <s v="REALIZADO"/>
    <s v="MATHEUS"/>
    <d v="2025-10-03T00:00:00"/>
    <x v="0"/>
  </r>
  <r>
    <n v="65910"/>
    <s v="GABRIEL CAIXETA"/>
    <s v="MEE"/>
    <s v="ADM"/>
    <n v="50040694"/>
    <x v="107"/>
    <n v="1"/>
    <s v="REALIZADO"/>
    <s v="AGATHA"/>
    <d v="2025-10-03T00:00:00"/>
    <x v="2"/>
  </r>
  <r>
    <n v="65910"/>
    <s v="GABRIEL CAIXETA"/>
    <s v="MEE"/>
    <s v="ADM"/>
    <n v="50040694"/>
    <x v="107"/>
    <n v="1"/>
    <s v="REALIZADO"/>
    <s v="MATHEUS"/>
    <d v="2025-10-03T00:00:00"/>
    <x v="0"/>
  </r>
  <r>
    <n v="76994"/>
    <s v="FELIPE HENRIQUE DE BRITO"/>
    <s v="MEE"/>
    <s v="ADM"/>
    <n v="50044003"/>
    <x v="63"/>
    <n v="1"/>
    <s v="REALIZADO"/>
    <s v="KELLY"/>
    <d v="2025-10-03T00:00:00"/>
    <x v="2"/>
  </r>
  <r>
    <n v="76994"/>
    <s v="FELIPE HENRIQUE DE BRITO"/>
    <s v="MEE"/>
    <s v="ADM"/>
    <n v="50044003"/>
    <x v="63"/>
    <n v="1"/>
    <s v="REALIZADO"/>
    <s v="MATHEUS"/>
    <d v="2025-10-03T00:00:00"/>
    <x v="2"/>
  </r>
  <r>
    <n v="58734"/>
    <s v="FABIO CARVALHO"/>
    <s v="MME"/>
    <s v="2º TURNO"/>
    <n v="50037905"/>
    <x v="49"/>
    <n v="1"/>
    <s v="REALIZADO"/>
    <s v="KELLY"/>
    <d v="2025-10-03T00:00:00"/>
    <x v="2"/>
  </r>
  <r>
    <n v="76239"/>
    <s v="GEOVANNY ALEXANDER"/>
    <s v="REFRIG"/>
    <s v="ADM"/>
    <n v="50043471"/>
    <x v="5"/>
    <n v="1"/>
    <s v="REALIZADO"/>
    <s v="KELLY"/>
    <d v="2025-10-03T00:00:00"/>
    <x v="0"/>
  </r>
  <r>
    <n v="62640"/>
    <s v="MARCELINHO"/>
    <s v="MPR"/>
    <s v="ADM"/>
    <n v="50043471"/>
    <x v="5"/>
    <n v="1"/>
    <s v="REALIZADO"/>
    <s v="GEOVANE"/>
    <d v="2025-10-03T00:00:00"/>
    <x v="2"/>
  </r>
  <r>
    <n v="62640"/>
    <s v="MARCELINHO"/>
    <s v="MPR"/>
    <s v="ADM"/>
    <n v="50043471"/>
    <x v="5"/>
    <n v="1"/>
    <s v="REALIZADO"/>
    <s v="AGATHA"/>
    <d v="2025-10-03T00:00:00"/>
    <x v="0"/>
  </r>
  <r>
    <n v="74611"/>
    <s v="CRISTIAM BORGES"/>
    <s v="MPR"/>
    <s v="ADM"/>
    <n v="50029865"/>
    <x v="9"/>
    <n v="1"/>
    <s v="REALIZADO"/>
    <s v="GEOVANE"/>
    <d v="2025-10-03T00:00:00"/>
    <x v="2"/>
  </r>
  <r>
    <n v="74611"/>
    <s v="CRISTIAM BORGES"/>
    <s v="MPR"/>
    <s v="ADM"/>
    <n v="50029865"/>
    <x v="9"/>
    <n v="1"/>
    <s v="REALIZADO"/>
    <s v="MATHEUS"/>
    <d v="2025-10-03T00:00:00"/>
    <x v="0"/>
  </r>
  <r>
    <n v="62896"/>
    <s v="LEONARDO BORGES"/>
    <s v="MEE"/>
    <s v="ADM"/>
    <n v="50043320"/>
    <x v="35"/>
    <n v="1"/>
    <s v="REALIZADO"/>
    <s v="KELLY"/>
    <d v="2025-10-03T00:00:00"/>
    <x v="2"/>
  </r>
  <r>
    <n v="62896"/>
    <s v="LEONARDO BORGES"/>
    <s v="MEE"/>
    <s v="ADM"/>
    <n v="50043320"/>
    <x v="35"/>
    <n v="1"/>
    <s v="REALIZADO"/>
    <s v="MATHEUS"/>
    <d v="2025-10-03T00:00:00"/>
    <x v="0"/>
  </r>
  <r>
    <n v="64253"/>
    <s v="DANIEL JULIAO"/>
    <s v="MMG"/>
    <s v="ADM"/>
    <n v="50038549"/>
    <x v="6"/>
    <n v="1"/>
    <s v="REALIZADO"/>
    <s v="KELLY"/>
    <d v="2025-10-03T00:00:00"/>
    <x v="2"/>
  </r>
  <r>
    <n v="64253"/>
    <s v="DANIEL JULIAO"/>
    <s v="MMG"/>
    <s v="ADM"/>
    <n v="50038549"/>
    <x v="6"/>
    <n v="1"/>
    <s v="REALIZADO"/>
    <s v="KELLY"/>
    <d v="2025-10-03T00:00:00"/>
    <x v="0"/>
  </r>
  <r>
    <n v="68760"/>
    <s v="FERDINANDO PAZINI"/>
    <s v="MMG"/>
    <s v="ADM"/>
    <n v="50022878"/>
    <x v="18"/>
    <n v="1"/>
    <s v="REALIZADO"/>
    <s v="GEOVANE"/>
    <d v="2025-10-03T00:00:00"/>
    <x v="2"/>
  </r>
  <r>
    <n v="68760"/>
    <s v="FERDINANDO PAZINI"/>
    <s v="MMG"/>
    <s v="ADM"/>
    <n v="50022878"/>
    <x v="18"/>
    <n v="1"/>
    <s v="REALIZADO"/>
    <s v="MATHEUS"/>
    <d v="2025-10-03T00:00:00"/>
    <x v="0"/>
  </r>
  <r>
    <n v="70105"/>
    <s v="RONALDO DE SOUZA SANTOS"/>
    <s v="MMG"/>
    <s v="2º TURNO"/>
    <n v="50038956"/>
    <x v="10"/>
    <n v="1"/>
    <s v="REALIZADO"/>
    <s v="KELLY"/>
    <d v="2025-10-03T00:00:00"/>
    <x v="2"/>
  </r>
  <r>
    <n v="70105"/>
    <s v="RONALDO DE SOUZA SANTOS"/>
    <s v="MMG"/>
    <s v="2º TURNO"/>
    <n v="50038956"/>
    <x v="10"/>
    <n v="1"/>
    <s v="REALIZADO"/>
    <s v="GEOVANE"/>
    <d v="2025-10-03T00:00:00"/>
    <x v="0"/>
  </r>
  <r>
    <n v="77526"/>
    <s v="FELIPE GARÇONI"/>
    <s v="MME"/>
    <s v="ADM"/>
    <n v="50038956"/>
    <x v="10"/>
    <n v="1"/>
    <s v="REALIZADO"/>
    <s v="MATHEUS"/>
    <d v="2025-10-03T00:00:00"/>
    <x v="2"/>
  </r>
  <r>
    <n v="77526"/>
    <s v="FELIPE GARÇONI"/>
    <s v="MME"/>
    <s v="ADM"/>
    <n v="50038956"/>
    <x v="10"/>
    <n v="1"/>
    <s v="REALIZADO"/>
    <s v="MATHEUS"/>
    <d v="2025-10-03T00:00:00"/>
    <x v="0"/>
  </r>
  <r>
    <n v="76633"/>
    <s v="VINICIUS GUILHERME BARBOSA"/>
    <s v="MMG"/>
    <s v="1º TURNO"/>
    <n v="50038956"/>
    <x v="10"/>
    <n v="1"/>
    <s v="REALIZADO"/>
    <s v="MATHEUS"/>
    <d v="2025-10-03T00:00:00"/>
    <x v="2"/>
  </r>
  <r>
    <n v="76633"/>
    <s v="VINICIUS GUILHERME BARBOSA"/>
    <s v="MMG"/>
    <s v="1º TURNO"/>
    <n v="50038956"/>
    <x v="10"/>
    <n v="1"/>
    <s v="REALIZADO"/>
    <s v="MATHEUS"/>
    <d v="2025-10-03T00:00:00"/>
    <x v="0"/>
  </r>
  <r>
    <n v="77313"/>
    <s v="ROGERIO"/>
    <s v="MPR"/>
    <s v="ADM"/>
    <n v="50037892"/>
    <x v="2"/>
    <n v="1"/>
    <s v="REALIZADO"/>
    <s v="GEOVANE"/>
    <d v="2025-10-03T00:00:00"/>
    <x v="2"/>
  </r>
  <r>
    <n v="77313"/>
    <s v="ROGERIO"/>
    <s v="MPR"/>
    <s v="ADM"/>
    <n v="50037892"/>
    <x v="2"/>
    <n v="1"/>
    <s v="REALIZADO"/>
    <s v="MATHEUS"/>
    <d v="2025-10-03T00:00:00"/>
    <x v="2"/>
  </r>
  <r>
    <n v="76239"/>
    <s v="GEOVANNY ALEXANDER"/>
    <s v="REFRIG"/>
    <s v="ADM"/>
    <n v="50037902"/>
    <x v="14"/>
    <n v="1"/>
    <s v="REALIZADO"/>
    <s v="KELLY"/>
    <d v="2025-10-03T00:00:00"/>
    <x v="0"/>
  </r>
  <r>
    <n v="62161"/>
    <s v="JOAO OLIVEIRA"/>
    <s v="MME"/>
    <s v="2º TURNO"/>
    <n v="50037902"/>
    <x v="14"/>
    <n v="1"/>
    <s v="REALIZADO"/>
    <s v="KELLY"/>
    <d v="2025-10-03T00:00:00"/>
    <x v="2"/>
  </r>
  <r>
    <n v="62161"/>
    <s v="JOAO OLIVEIRA"/>
    <s v="MME"/>
    <s v="2º TURNO"/>
    <n v="50037902"/>
    <x v="14"/>
    <n v="1"/>
    <s v="REALIZADO"/>
    <s v="KELLY"/>
    <d v="2025-10-03T00:00:00"/>
    <x v="0"/>
  </r>
  <r>
    <n v="78886"/>
    <s v="DOUGLAS FELICIANO MENDES DE OLIVEIRA"/>
    <s v="MME"/>
    <s v="ADM"/>
    <n v="50037902"/>
    <x v="14"/>
    <n v="1"/>
    <s v="REALIZADO"/>
    <s v="KELLY"/>
    <d v="2025-10-03T00:00:00"/>
    <x v="2"/>
  </r>
  <r>
    <n v="78886"/>
    <s v="DOUGLAS FELICIANO MENDES DE OLIVEIRA"/>
    <s v="MME"/>
    <s v="ADM"/>
    <n v="50037902"/>
    <x v="14"/>
    <n v="1"/>
    <s v="REALIZADO"/>
    <s v="MATHEUS"/>
    <d v="2025-10-03T00:00:00"/>
    <x v="0"/>
  </r>
  <r>
    <n v="67915"/>
    <s v="ANDERSON MARCOLONGO"/>
    <s v="MMG"/>
    <s v="1º TURNO"/>
    <n v="50038841"/>
    <x v="34"/>
    <n v="1"/>
    <s v="REALIZADO"/>
    <s v="BRUNO"/>
    <d v="2025-10-03T00:00:00"/>
    <x v="2"/>
  </r>
  <r>
    <n v="67915"/>
    <s v="ANDERSON MARCOLONGO"/>
    <s v="MMG"/>
    <s v="1º TURNO"/>
    <n v="50038841"/>
    <x v="34"/>
    <n v="1"/>
    <s v="REALIZADO"/>
    <s v="BRUNO"/>
    <d v="2025-10-03T00:00:00"/>
    <x v="0"/>
  </r>
  <r>
    <n v="78678"/>
    <s v="MARLOM ROGERIO VIEIRA"/>
    <s v="MME"/>
    <s v="ADM"/>
    <n v="50038517"/>
    <x v="0"/>
    <n v="1"/>
    <s v="REALIZADO"/>
    <s v="KELLY"/>
    <d v="2025-10-03T00:00:00"/>
    <x v="2"/>
  </r>
  <r>
    <n v="63713"/>
    <s v="BRUNO DIAS"/>
    <s v="MME"/>
    <s v="ADM"/>
    <n v="50038517"/>
    <x v="0"/>
    <n v="1"/>
    <s v="REALIZADO"/>
    <s v="MATHEUS"/>
    <d v="2025-10-03T00:00:00"/>
    <x v="0"/>
  </r>
  <r>
    <n v="67505"/>
    <s v="REINALDO PADOVANI JUNIOR"/>
    <s v="MEE"/>
    <s v="ADM"/>
    <n v="50038517"/>
    <x v="0"/>
    <n v="1"/>
    <s v="REALIZADO"/>
    <s v="MARINA"/>
    <d v="2025-10-03T00:00:00"/>
    <x v="0"/>
  </r>
  <r>
    <n v="64074"/>
    <s v="MARCOS FERNANDES COLOMBO"/>
    <s v="MPR"/>
    <s v="ADM"/>
    <n v="50001995"/>
    <x v="44"/>
    <n v="1"/>
    <s v="REALIZADO"/>
    <s v="KELLY"/>
    <d v="2025-10-03T00:00:00"/>
    <x v="2"/>
  </r>
  <r>
    <n v="64074"/>
    <s v="MARCOS FERNANDES COLOMBO"/>
    <s v="MPR"/>
    <s v="ADM"/>
    <n v="50001995"/>
    <x v="44"/>
    <n v="1"/>
    <s v="REALIZADO"/>
    <s v="MATHEUS"/>
    <d v="2025-10-03T00:00:00"/>
    <x v="2"/>
  </r>
  <r>
    <n v="73878"/>
    <s v="EVANDRO TANAKA"/>
    <s v="MMG"/>
    <s v="ADM"/>
    <n v="50039065"/>
    <x v="22"/>
    <n v="1"/>
    <s v="REALIZADO"/>
    <s v="KELLY"/>
    <d v="2025-10-03T00:00:00"/>
    <x v="0"/>
  </r>
  <r>
    <n v="63713"/>
    <s v="BRUNO DIAS"/>
    <s v="MME"/>
    <s v="ADM"/>
    <n v="50039065"/>
    <x v="22"/>
    <n v="1"/>
    <s v="REALIZADO"/>
    <s v="KELLY"/>
    <d v="2025-10-03T00:00:00"/>
    <x v="2"/>
  </r>
  <r>
    <n v="63713"/>
    <s v="BRUNO DIAS"/>
    <s v="MME"/>
    <s v="ADM"/>
    <n v="50039065"/>
    <x v="22"/>
    <n v="1"/>
    <s v="REALIZADO"/>
    <s v="BRUNO"/>
    <d v="2025-10-03T00:00:00"/>
    <x v="0"/>
  </r>
  <r>
    <n v="72707"/>
    <s v="LEONARDO DOS SANTOS"/>
    <s v="MPR"/>
    <s v="ADM"/>
    <n v="50026357"/>
    <x v="24"/>
    <n v="1"/>
    <s v="REALIZADO"/>
    <s v="KELLY"/>
    <d v="2025-10-03T00:00:00"/>
    <x v="2"/>
  </r>
  <r>
    <n v="72707"/>
    <s v="LEONARDO DOS SANTOS"/>
    <s v="MPR"/>
    <s v="ADM"/>
    <n v="50026357"/>
    <x v="24"/>
    <n v="1"/>
    <s v="REALIZADO"/>
    <s v="MATHEUS"/>
    <d v="2025-10-03T00:00:00"/>
    <x v="0"/>
  </r>
  <r>
    <n v="74611"/>
    <s v="CRISTIAM BORGES"/>
    <s v="MPR"/>
    <s v="ADM"/>
    <n v="50041195"/>
    <x v="21"/>
    <n v="1"/>
    <s v="REALIZADO"/>
    <s v="GEOVANE"/>
    <d v="2025-10-03T00:00:00"/>
    <x v="2"/>
  </r>
  <r>
    <n v="74611"/>
    <s v="CRISTIAM BORGES"/>
    <s v="MPR"/>
    <s v="ADM"/>
    <n v="50041195"/>
    <x v="21"/>
    <n v="1"/>
    <s v="REALIZADO"/>
    <s v="MATHEUS"/>
    <d v="2025-10-03T00:00:00"/>
    <x v="0"/>
  </r>
  <r>
    <n v="67505"/>
    <s v="REINALDO PADOVANI JUNIOR"/>
    <s v="MEE"/>
    <s v="ADM"/>
    <n v="50041195"/>
    <x v="21"/>
    <n v="1"/>
    <s v="REALIZADO"/>
    <s v="MARINA"/>
    <d v="2025-10-03T00:00:00"/>
    <x v="0"/>
  </r>
  <r>
    <n v="62896"/>
    <s v="LEONARDO BORGES"/>
    <s v="MEE"/>
    <s v="ADM"/>
    <n v="50043917"/>
    <x v="66"/>
    <n v="1"/>
    <s v="REALIZADO"/>
    <s v="KELLY"/>
    <d v="2025-10-03T00:00:00"/>
    <x v="2"/>
  </r>
  <r>
    <n v="62896"/>
    <s v="LEONARDO BORGES"/>
    <s v="MEE"/>
    <s v="ADM"/>
    <n v="50043917"/>
    <x v="66"/>
    <n v="1"/>
    <s v="REALIZADO"/>
    <s v="MATHEUS"/>
    <d v="2025-10-03T00:00:00"/>
    <x v="0"/>
  </r>
  <r>
    <n v="68708"/>
    <s v="CLAUDIO TADEU LEITE"/>
    <s v="MMG"/>
    <s v="ADM"/>
    <n v="50012903"/>
    <x v="31"/>
    <n v="1"/>
    <s v="REALIZADO"/>
    <s v="KELLY"/>
    <d v="2025-10-03T00:00:00"/>
    <x v="2"/>
  </r>
  <r>
    <n v="68708"/>
    <s v="CLAUDIO TADEU LEITE"/>
    <s v="MMG"/>
    <s v="ADM"/>
    <n v="50012903"/>
    <x v="31"/>
    <n v="1"/>
    <s v="REALIZADO"/>
    <s v="MATHEUS"/>
    <d v="2025-10-03T00:00:00"/>
    <x v="0"/>
  </r>
  <r>
    <n v="64253"/>
    <s v="DANIEL JULIAO"/>
    <s v="MMG"/>
    <s v="ADM"/>
    <n v="50032775"/>
    <x v="13"/>
    <n v="1"/>
    <s v="REALIZADO"/>
    <s v="KELLY"/>
    <d v="2025-10-03T00:00:00"/>
    <x v="2"/>
  </r>
  <r>
    <n v="64253"/>
    <s v="DANIEL JULIAO"/>
    <s v="MMG"/>
    <s v="ADM"/>
    <n v="50032775"/>
    <x v="13"/>
    <n v="1"/>
    <s v="REALIZADO"/>
    <s v="MATHEUS"/>
    <d v="2025-10-03T00:00:00"/>
    <x v="0"/>
  </r>
  <r>
    <n v="64074"/>
    <s v="MARCOS FERNANDES COLOMBO"/>
    <s v="MPR"/>
    <s v="ADM"/>
    <n v="50038840"/>
    <x v="68"/>
    <n v="1"/>
    <s v="REALIZADO"/>
    <s v="KELLY"/>
    <d v="2025-10-03T00:00:00"/>
    <x v="2"/>
  </r>
  <r>
    <n v="64074"/>
    <s v="MARCOS FERNANDES COLOMBO"/>
    <s v="MPR"/>
    <s v="ADM"/>
    <n v="50038840"/>
    <x v="68"/>
    <n v="1"/>
    <s v="REALIZADO"/>
    <s v="KELLY"/>
    <d v="2025-10-03T00:00:00"/>
    <x v="0"/>
  </r>
  <r>
    <n v="77708"/>
    <s v="FABIO JUSTINO"/>
    <s v="MPR"/>
    <s v="ADM"/>
    <n v="50041194"/>
    <x v="80"/>
    <n v="1"/>
    <s v="REALIZADO"/>
    <s v="KELLY"/>
    <d v="2025-10-03T00:00:00"/>
    <x v="0"/>
  </r>
  <r>
    <n v="77471"/>
    <s v="DANILO BARBOSA"/>
    <s v="MEE"/>
    <s v="ADM"/>
    <n v="50037933"/>
    <x v="43"/>
    <n v="1"/>
    <s v="REALIZADO"/>
    <s v="KELLY"/>
    <d v="2025-10-03T00:00:00"/>
    <x v="2"/>
  </r>
  <r>
    <n v="78886"/>
    <s v="DOUGLAS FELICIANO MENDES DE OLIVEIRA"/>
    <s v="MME"/>
    <s v="ADM"/>
    <n v="50010031"/>
    <x v="20"/>
    <n v="1"/>
    <s v="REALIZADO"/>
    <s v="BRUNO"/>
    <d v="2025-10-02T00:00:00"/>
    <x v="0"/>
  </r>
  <r>
    <n v="66830"/>
    <s v="MARCIO GOMES DA SILVA"/>
    <s v="MPR"/>
    <s v="ADM"/>
    <n v="50036086"/>
    <x v="3"/>
    <n v="1"/>
    <s v="REALIZADO"/>
    <s v="BRUNO"/>
    <d v="2025-10-02T00:00:00"/>
    <x v="2"/>
  </r>
  <r>
    <n v="66830"/>
    <s v="MARCIO GOMES DA SILVA"/>
    <s v="MPR"/>
    <s v="ADM"/>
    <n v="50036086"/>
    <x v="3"/>
    <n v="1"/>
    <s v="REALIZADO"/>
    <s v="BRUNO"/>
    <d v="2025-10-02T00:00:00"/>
    <x v="0"/>
  </r>
  <r>
    <n v="74874"/>
    <s v="FABIANO MARQUES"/>
    <s v="MMG"/>
    <s v="ADM"/>
    <n v="50003173"/>
    <x v="29"/>
    <n v="1"/>
    <s v="REALIZADO"/>
    <s v="MARCIA"/>
    <d v="2025-10-02T00:00:00"/>
    <x v="2"/>
  </r>
  <r>
    <n v="74874"/>
    <s v="FABIANO MARQUES"/>
    <s v="MMG"/>
    <s v="ADM"/>
    <n v="50003173"/>
    <x v="29"/>
    <n v="1"/>
    <s v="REALIZADO"/>
    <s v="BRUNO"/>
    <d v="2025-10-02T00:00:00"/>
    <x v="0"/>
  </r>
  <r>
    <n v="74611"/>
    <s v="CRISTIAM BORGES"/>
    <s v="MPR"/>
    <s v="ADM"/>
    <n v="50030486"/>
    <x v="17"/>
    <n v="1"/>
    <s v="REALIZADO"/>
    <s v="KELLY"/>
    <d v="2025-10-02T00:00:00"/>
    <x v="2"/>
  </r>
  <r>
    <n v="74611"/>
    <s v="CRISTIAM BORGES"/>
    <s v="MPR"/>
    <s v="ADM"/>
    <n v="50030486"/>
    <x v="17"/>
    <n v="1"/>
    <s v="REALIZADO"/>
    <s v="GEOVANE"/>
    <d v="2025-10-02T00:00:00"/>
    <x v="0"/>
  </r>
  <r>
    <n v="77594"/>
    <s v="VINICIUS ROBLES"/>
    <s v="MME"/>
    <s v="ADM"/>
    <n v="50043471"/>
    <x v="5"/>
    <n v="1"/>
    <s v="REALIZADO"/>
    <s v="KELLY"/>
    <d v="2025-10-02T00:00:00"/>
    <x v="2"/>
  </r>
  <r>
    <n v="77594"/>
    <s v="VINICIUS ROBLES"/>
    <s v="MME"/>
    <s v="ADM"/>
    <n v="50043471"/>
    <x v="5"/>
    <n v="1"/>
    <s v="REALIZADO"/>
    <s v="BRUNO"/>
    <d v="2025-10-02T00:00:00"/>
    <x v="0"/>
  </r>
  <r>
    <n v="70052"/>
    <s v="MARCOS SANTOS"/>
    <s v="MEE"/>
    <s v="ADM"/>
    <n v="50003297"/>
    <x v="8"/>
    <n v="1"/>
    <s v="REALIZADO"/>
    <s v="GEOVANE"/>
    <d v="2025-10-02T00:00:00"/>
    <x v="2"/>
  </r>
  <r>
    <n v="70052"/>
    <s v="MARCOS SANTOS"/>
    <s v="MEE"/>
    <s v="ADM"/>
    <n v="50003297"/>
    <x v="8"/>
    <n v="1"/>
    <s v="REALIZADO"/>
    <s v="GEOVANE"/>
    <d v="2025-10-02T00:00:00"/>
    <x v="2"/>
  </r>
  <r>
    <n v="70052"/>
    <s v="MARCOS SANTOS"/>
    <s v="MEE"/>
    <s v="ADM"/>
    <n v="50044839"/>
    <x v="79"/>
    <n v="1"/>
    <s v="REALIZADO"/>
    <s v="BRUNO"/>
    <d v="2025-10-02T00:00:00"/>
    <x v="0"/>
  </r>
  <r>
    <n v="68708"/>
    <s v="CLAUDIO TADEU LEITE"/>
    <s v="MMG"/>
    <s v="ADM"/>
    <n v="50022878"/>
    <x v="18"/>
    <n v="1"/>
    <s v="REALIZADO"/>
    <s v="BRUNO"/>
    <d v="2025-10-02T00:00:00"/>
    <x v="2"/>
  </r>
  <r>
    <n v="68708"/>
    <s v="CLAUDIO TADEU LEITE"/>
    <s v="MMG"/>
    <s v="ADM"/>
    <n v="50022878"/>
    <x v="18"/>
    <n v="1"/>
    <s v="REALIZADO"/>
    <s v="BRUNO"/>
    <d v="2025-10-02T00:00:00"/>
    <x v="0"/>
  </r>
  <r>
    <n v="72707"/>
    <s v="LEONARDO DOS SANTOS"/>
    <s v="MPR"/>
    <s v="ADM"/>
    <n v="50038956"/>
    <x v="10"/>
    <n v="1"/>
    <s v="REALIZADO"/>
    <s v="KELLY"/>
    <d v="2025-10-02T00:00:00"/>
    <x v="2"/>
  </r>
  <r>
    <n v="72707"/>
    <s v="LEONARDO DOS SANTOS"/>
    <s v="MPR"/>
    <s v="ADM"/>
    <n v="50038956"/>
    <x v="10"/>
    <n v="1"/>
    <s v="REALIZADO"/>
    <s v="BRUNO"/>
    <d v="2025-10-02T00:00:00"/>
    <x v="0"/>
  </r>
  <r>
    <n v="70105"/>
    <s v="RONALDO DE SOUZA SANTOS"/>
    <s v="MMG"/>
    <s v="2º TURNO"/>
    <n v="50037892"/>
    <x v="2"/>
    <n v="1"/>
    <s v="REALIZADO"/>
    <s v="MARCIA"/>
    <d v="2025-10-02T00:00:00"/>
    <x v="2"/>
  </r>
  <r>
    <n v="70105"/>
    <s v="RONALDO DE SOUZA SANTOS"/>
    <s v="MMG"/>
    <s v="2º TURNO"/>
    <n v="50037892"/>
    <x v="2"/>
    <n v="1"/>
    <s v="REALIZADO"/>
    <s v="MARCIA"/>
    <d v="2025-10-02T00:00:00"/>
    <x v="0"/>
  </r>
  <r>
    <n v="70105"/>
    <s v="RONALDO DE SOUZA SANTOS"/>
    <s v="MMG"/>
    <s v="2º TURNO"/>
    <n v="50037892"/>
    <x v="2"/>
    <n v="1"/>
    <s v="REALIZADO"/>
    <s v="MARCIA"/>
    <d v="2025-10-02T00:00:00"/>
    <x v="2"/>
  </r>
  <r>
    <n v="70105"/>
    <s v="RONALDO DE SOUZA SANTOS"/>
    <s v="MMG"/>
    <s v="2º TURNO"/>
    <n v="50037892"/>
    <x v="2"/>
    <n v="1"/>
    <s v="REALIZADO"/>
    <s v="MARCIA"/>
    <d v="2025-10-02T00:00:00"/>
    <x v="0"/>
  </r>
  <r>
    <n v="77526"/>
    <s v="FELIPE GARÇONI"/>
    <s v="MME"/>
    <s v="ADM"/>
    <n v="50037892"/>
    <x v="2"/>
    <n v="1"/>
    <s v="REALIZADO"/>
    <s v="BRUNO"/>
    <d v="2025-10-02T00:00:00"/>
    <x v="2"/>
  </r>
  <r>
    <n v="77526"/>
    <s v="FELIPE GARÇONI"/>
    <s v="MME"/>
    <s v="ADM"/>
    <n v="50037892"/>
    <x v="2"/>
    <n v="1"/>
    <s v="REALIZADO"/>
    <s v="BRUNO"/>
    <d v="2025-10-02T00:00:00"/>
    <x v="0"/>
  </r>
  <r>
    <n v="68708"/>
    <s v="CLAUDIO TADEU LEITE"/>
    <s v="MMG"/>
    <s v="ADM"/>
    <n v="50037902"/>
    <x v="14"/>
    <n v="1"/>
    <s v="REALIZADO"/>
    <s v="GEOVANE"/>
    <d v="2025-10-02T00:00:00"/>
    <x v="2"/>
  </r>
  <r>
    <n v="68708"/>
    <s v="CLAUDIO TADEU LEITE"/>
    <s v="MMG"/>
    <s v="ADM"/>
    <n v="50037902"/>
    <x v="14"/>
    <n v="1"/>
    <s v="REALIZADO"/>
    <s v="GEOVANE"/>
    <d v="2025-10-02T00:00:00"/>
    <x v="0"/>
  </r>
  <r>
    <n v="62161"/>
    <s v="JOAO OLIVEIRA"/>
    <s v="MME"/>
    <s v="2º TURNO"/>
    <n v="50038841"/>
    <x v="34"/>
    <n v="1"/>
    <s v="REALIZADO"/>
    <s v="KELLY"/>
    <d v="2025-10-02T00:00:00"/>
    <x v="2"/>
  </r>
  <r>
    <n v="62161"/>
    <s v="JOAO OLIVEIRA"/>
    <s v="MME"/>
    <s v="2º TURNO"/>
    <n v="50038841"/>
    <x v="34"/>
    <n v="1"/>
    <s v="REALIZADO"/>
    <s v="KELLY"/>
    <d v="2025-10-02T00:00:00"/>
    <x v="0"/>
  </r>
  <r>
    <n v="77594"/>
    <s v="VINICIUS ROBLES"/>
    <s v="MME"/>
    <s v="ADM"/>
    <n v="50038841"/>
    <x v="34"/>
    <n v="1"/>
    <s v="REALIZADO"/>
    <s v="KELLY"/>
    <d v="2025-10-02T00:00:00"/>
    <x v="2"/>
  </r>
  <r>
    <n v="77594"/>
    <s v="VINICIUS ROBLES"/>
    <s v="MME"/>
    <s v="ADM"/>
    <n v="50038841"/>
    <x v="34"/>
    <n v="1"/>
    <s v="REALIZADO"/>
    <s v="BRUNO"/>
    <d v="2025-10-02T00:00:00"/>
    <x v="0"/>
  </r>
  <r>
    <n v="75424"/>
    <s v="EDSON CARLOS"/>
    <s v="MME"/>
    <s v="1º TURNO"/>
    <n v="50038517"/>
    <x v="0"/>
    <n v="1"/>
    <s v="REALIZADO"/>
    <s v="KELLY"/>
    <d v="2025-10-02T00:00:00"/>
    <x v="2"/>
  </r>
  <r>
    <n v="75424"/>
    <s v="EDSON CARLOS"/>
    <s v="MME"/>
    <s v="1º TURNO"/>
    <n v="50038517"/>
    <x v="0"/>
    <n v="1"/>
    <s v="REALIZADO"/>
    <s v="BRUNO"/>
    <d v="2025-10-02T00:00:00"/>
    <x v="0"/>
  </r>
  <r>
    <n v="61290"/>
    <s v="JEREMIAS BOAVENTURA"/>
    <s v="UTI"/>
    <s v="1º TURNO"/>
    <n v="50038517"/>
    <x v="0"/>
    <n v="1"/>
    <s v="REALIZADO"/>
    <s v="BRUNO"/>
    <d v="2025-10-02T00:00:00"/>
    <x v="2"/>
  </r>
  <r>
    <n v="61290"/>
    <s v="JEREMIAS BOAVENTURA"/>
    <s v="UTI"/>
    <s v="1º TURNO"/>
    <n v="50038517"/>
    <x v="0"/>
    <n v="1"/>
    <s v="REALIZADO"/>
    <s v="BRUNO"/>
    <d v="2025-10-02T00:00:00"/>
    <x v="0"/>
  </r>
  <r>
    <n v="78886"/>
    <s v="DOUGLAS FELICIANO MENDES DE OLIVEIRA"/>
    <s v="MME"/>
    <s v="ADM"/>
    <n v="50038517"/>
    <x v="0"/>
    <n v="1"/>
    <s v="REALIZADO"/>
    <s v="BRUNO"/>
    <d v="2025-10-02T00:00:00"/>
    <x v="2"/>
  </r>
  <r>
    <n v="78886"/>
    <s v="DOUGLAS FELICIANO MENDES DE OLIVEIRA"/>
    <s v="MME"/>
    <s v="ADM"/>
    <n v="50038517"/>
    <x v="0"/>
    <n v="1"/>
    <s v="REALIZADO"/>
    <s v="BRUNO"/>
    <d v="2025-10-02T00:00:00"/>
    <x v="2"/>
  </r>
  <r>
    <n v="67505"/>
    <s v="REINALDO PADOVANI JUNIOR"/>
    <s v="MEE"/>
    <s v="ADM"/>
    <n v="50038517"/>
    <x v="0"/>
    <n v="1"/>
    <s v="REALIZADO"/>
    <s v="MARINA"/>
    <d v="2025-10-02T00:00:00"/>
    <x v="0"/>
  </r>
  <r>
    <n v="74611"/>
    <s v="CRISTIAM BORGES"/>
    <s v="MPR"/>
    <s v="ADM"/>
    <n v="50001995"/>
    <x v="44"/>
    <n v="1"/>
    <s v="REALIZADO"/>
    <s v="GEOVANE"/>
    <d v="2025-10-02T00:00:00"/>
    <x v="2"/>
  </r>
  <r>
    <n v="74611"/>
    <s v="CRISTIAM BORGES"/>
    <s v="MPR"/>
    <s v="ADM"/>
    <n v="50001995"/>
    <x v="44"/>
    <n v="1"/>
    <s v="REALIZADO"/>
    <s v="MARCIA"/>
    <d v="2025-10-02T00:00:00"/>
    <x v="0"/>
  </r>
  <r>
    <n v="77526"/>
    <s v="FELIPE GARÇONI"/>
    <s v="MME"/>
    <s v="ADM"/>
    <n v="50039065"/>
    <x v="22"/>
    <n v="1"/>
    <s v="REALIZADO"/>
    <s v="KELLY"/>
    <d v="2025-10-02T00:00:00"/>
    <x v="0"/>
  </r>
  <r>
    <n v="68708"/>
    <s v="CLAUDIO TADEU LEITE"/>
    <s v="MMG"/>
    <s v="ADM"/>
    <n v="50039065"/>
    <x v="22"/>
    <n v="1"/>
    <s v="REALIZADO"/>
    <s v="GEOVANE"/>
    <d v="2025-10-02T00:00:00"/>
    <x v="2"/>
  </r>
  <r>
    <n v="68708"/>
    <s v="CLAUDIO TADEU LEITE"/>
    <s v="MMG"/>
    <s v="ADM"/>
    <n v="50039065"/>
    <x v="22"/>
    <n v="1"/>
    <s v="REALIZADO"/>
    <s v="GEOVANE"/>
    <d v="2025-10-02T00:00:00"/>
    <x v="0"/>
  </r>
  <r>
    <n v="68708"/>
    <s v="CLAUDIO TADEU LEITE"/>
    <s v="MMG"/>
    <s v="ADM"/>
    <n v="50041195"/>
    <x v="21"/>
    <n v="1"/>
    <s v="REALIZADO"/>
    <s v="KELLY"/>
    <d v="2025-10-02T00:00:00"/>
    <x v="2"/>
  </r>
  <r>
    <n v="68708"/>
    <s v="CLAUDIO TADEU LEITE"/>
    <s v="MMG"/>
    <s v="ADM"/>
    <n v="50041195"/>
    <x v="21"/>
    <n v="1"/>
    <s v="REALIZADO"/>
    <s v="GEOVANE"/>
    <d v="2025-10-02T00:00:00"/>
    <x v="0"/>
  </r>
  <r>
    <n v="77526"/>
    <s v="FELIPE GARÇONI"/>
    <s v="MME"/>
    <s v="ADM"/>
    <n v="50041195"/>
    <x v="21"/>
    <n v="1"/>
    <s v="REALIZADO"/>
    <s v="MARCIA"/>
    <d v="2025-10-02T00:00:00"/>
    <x v="2"/>
  </r>
  <r>
    <n v="77526"/>
    <s v="FELIPE GARÇONI"/>
    <s v="MME"/>
    <s v="ADM"/>
    <n v="50041195"/>
    <x v="21"/>
    <n v="1"/>
    <s v="REALIZADO"/>
    <s v="BRUNO"/>
    <d v="2025-10-02T00:00:00"/>
    <x v="2"/>
  </r>
  <r>
    <n v="67505"/>
    <s v="REINALDO PADOVANI JUNIOR"/>
    <s v="MEE"/>
    <s v="ADM"/>
    <n v="50041195"/>
    <x v="21"/>
    <n v="1"/>
    <s v="REALIZADO"/>
    <s v="MARINA"/>
    <d v="2025-10-02T00:00:00"/>
    <x v="0"/>
  </r>
  <r>
    <n v="78886"/>
    <s v="DOUGLAS FELICIANO MENDES DE OLIVEIRA"/>
    <s v="MME"/>
    <s v="ADM"/>
    <n v="50043917"/>
    <x v="66"/>
    <n v="1"/>
    <s v="REALIZADO"/>
    <s v="BRUNO"/>
    <d v="2025-10-02T00:00:00"/>
    <x v="2"/>
  </r>
  <r>
    <n v="78886"/>
    <s v="DOUGLAS FELICIANO MENDES DE OLIVEIRA"/>
    <s v="MME"/>
    <s v="ADM"/>
    <n v="50043917"/>
    <x v="66"/>
    <n v="1"/>
    <s v="REALIZADO"/>
    <s v="BRUNO"/>
    <d v="2025-10-02T00:00:00"/>
    <x v="0"/>
  </r>
  <r>
    <n v="77526"/>
    <s v="FELIPE GARÇONI"/>
    <s v="MME"/>
    <s v="ADM"/>
    <n v="50032781"/>
    <x v="12"/>
    <n v="1"/>
    <s v="REALIZADO"/>
    <s v="BRUNO"/>
    <d v="2025-10-02T00:00:00"/>
    <x v="2"/>
  </r>
  <r>
    <n v="77526"/>
    <s v="FELIPE GARÇONI"/>
    <s v="MME"/>
    <s v="ADM"/>
    <n v="50032781"/>
    <x v="12"/>
    <n v="1"/>
    <s v="REALIZADO"/>
    <s v="BRUNO"/>
    <d v="2025-10-02T00:00:00"/>
    <x v="2"/>
  </r>
  <r>
    <n v="77708"/>
    <s v="FABIO JUSTINO"/>
    <s v="MPR"/>
    <s v="ADM"/>
    <n v="50041194"/>
    <x v="80"/>
    <n v="1"/>
    <s v="REALIZADO"/>
    <s v="BRUNO"/>
    <d v="2025-10-02T00:00:00"/>
    <x v="2"/>
  </r>
  <r>
    <n v="77471"/>
    <s v="DANILO BARBOSA"/>
    <s v="MEE"/>
    <s v="ADM"/>
    <n v="50037933"/>
    <x v="43"/>
    <n v="1"/>
    <s v="REALIZADO"/>
    <s v="GEOVANE"/>
    <d v="2025-10-02T00:00:00"/>
    <x v="2"/>
  </r>
  <r>
    <n v="79195"/>
    <s v="ELIEZER VINICIUS"/>
    <n v="0"/>
    <s v="1 TURNO"/>
    <n v="50036298"/>
    <x v="69"/>
    <n v="1"/>
    <s v="REALIZADO"/>
    <s v="GEOVANE"/>
    <d v="2025-10-01T00:00:00"/>
    <x v="0"/>
  </r>
  <r>
    <n v="79195"/>
    <s v="ELIEZER VINICIUS"/>
    <s v="MTC"/>
    <s v="1º TURNO"/>
    <n v="50036298"/>
    <x v="69"/>
    <n v="1"/>
    <s v="REALIZADO"/>
    <s v="MARCIA"/>
    <d v="2025-10-01T00:00:00"/>
    <x v="2"/>
  </r>
  <r>
    <n v="79195"/>
    <s v="ELIEZER VINICIUS"/>
    <s v="MTC"/>
    <s v="1º TURNO"/>
    <n v="50036298"/>
    <x v="69"/>
    <n v="1"/>
    <s v="REALIZADO"/>
    <s v="MARCIA"/>
    <d v="2025-10-01T00:00:00"/>
    <x v="0"/>
  </r>
  <r>
    <n v="77526"/>
    <s v="FELIPE GARÇONI"/>
    <s v="MME"/>
    <s v="ADM"/>
    <n v="50039718"/>
    <x v="11"/>
    <n v="1"/>
    <s v="REALIZADO"/>
    <s v="MATHEUS"/>
    <d v="2025-10-01T00:00:00"/>
    <x v="2"/>
  </r>
  <r>
    <n v="77526"/>
    <s v="FELIPE GARÇONI"/>
    <s v="MME"/>
    <s v="ADM"/>
    <n v="50039718"/>
    <x v="11"/>
    <n v="1"/>
    <s v="REALIZADO"/>
    <s v="MATHEUS"/>
    <d v="2025-10-01T00:00:00"/>
    <x v="0"/>
  </r>
  <r>
    <n v="62471"/>
    <s v="ELTON LIMA"/>
    <s v="MME"/>
    <s v="ADM"/>
    <n v="50030486"/>
    <x v="17"/>
    <n v="1"/>
    <s v="REALIZADO"/>
    <s v="KELLY"/>
    <d v="2025-10-01T00:00:00"/>
    <x v="2"/>
  </r>
  <r>
    <n v="62471"/>
    <s v="ELTON LIMA"/>
    <s v="MME"/>
    <s v="ADM"/>
    <n v="50030486"/>
    <x v="17"/>
    <n v="1"/>
    <s v="REALIZADO"/>
    <s v="MATHEUS"/>
    <d v="2025-10-01T00:00:00"/>
    <x v="0"/>
  </r>
  <r>
    <n v="65910"/>
    <s v="GABRIEL CAIXETA"/>
    <s v="MEE"/>
    <s v="ADM"/>
    <n v="50043471"/>
    <x v="5"/>
    <n v="1"/>
    <s v="REALIZADO"/>
    <s v="GEOVANE"/>
    <d v="2025-10-01T00:00:00"/>
    <x v="2"/>
  </r>
  <r>
    <n v="65910"/>
    <s v="GABRIEL CAIXETA"/>
    <s v="MEE"/>
    <s v="ADM"/>
    <n v="50043471"/>
    <x v="5"/>
    <n v="1"/>
    <s v="REALIZADO"/>
    <s v="MATHEUS"/>
    <d v="2025-10-01T00:00:00"/>
    <x v="2"/>
  </r>
  <r>
    <n v="64053"/>
    <s v="CLODOALDO DE OLIVEIRA"/>
    <s v="MMG"/>
    <s v="3º TURNO"/>
    <n v="50043471"/>
    <x v="5"/>
    <n v="1"/>
    <s v="REALIZADO"/>
    <s v="FABRICIO"/>
    <d v="2025-10-01T00:00:00"/>
    <x v="0"/>
  </r>
  <r>
    <n v="64053"/>
    <s v="CLODOALDO DE OLIVEIRA"/>
    <s v="MMG"/>
    <s v="3º TURNO"/>
    <n v="50043471"/>
    <x v="5"/>
    <n v="1"/>
    <s v="REALIZADO"/>
    <s v="FABRICIO"/>
    <d v="2025-10-01T00:00:00"/>
    <x v="0"/>
  </r>
  <r>
    <n v="65131"/>
    <s v="GUILHERME VECHIO"/>
    <s v="MMG"/>
    <s v="2º TURNO"/>
    <n v="50038549"/>
    <x v="6"/>
    <n v="1"/>
    <s v="REALIZADO"/>
    <s v="KELLY"/>
    <d v="2025-10-01T00:00:00"/>
    <x v="0"/>
  </r>
  <r>
    <n v="66790"/>
    <s v="EVERTON BOLOGNES"/>
    <s v="MMG"/>
    <s v="2º TURNO"/>
    <n v="50038549"/>
    <x v="6"/>
    <n v="1"/>
    <s v="REALIZADO"/>
    <s v="KELLY"/>
    <d v="2025-10-01T00:00:00"/>
    <x v="2"/>
  </r>
  <r>
    <n v="66790"/>
    <s v="EVERTON BOLOGNES"/>
    <s v="MMG"/>
    <s v="2º TURNO"/>
    <n v="50038549"/>
    <x v="6"/>
    <n v="1"/>
    <s v="REALIZADO"/>
    <s v="KELLY"/>
    <d v="2025-10-01T00:00:00"/>
    <x v="2"/>
  </r>
  <r>
    <n v="65131"/>
    <s v="GUILHERME VECHIO"/>
    <s v="MMG"/>
    <s v="2º TURNO"/>
    <n v="50038549"/>
    <x v="6"/>
    <n v="1"/>
    <s v="REALIZADO"/>
    <s v="KELLY"/>
    <d v="2025-10-01T00:00:00"/>
    <x v="0"/>
  </r>
  <r>
    <n v="65910"/>
    <s v="GABRIEL CAIXETA"/>
    <s v="MEE"/>
    <s v="ADM"/>
    <n v="50038956"/>
    <x v="10"/>
    <n v="1"/>
    <s v="REALIZADO"/>
    <s v="AGATHA"/>
    <d v="2025-10-01T00:00:00"/>
    <x v="0"/>
  </r>
  <r>
    <n v="77471"/>
    <s v="DANILO BARBOSA"/>
    <s v="MEE"/>
    <s v="ADM"/>
    <n v="50037892"/>
    <x v="2"/>
    <n v="1"/>
    <s v="REALIZADO"/>
    <s v="AGATHA"/>
    <d v="2025-10-01T00:00:00"/>
    <x v="2"/>
  </r>
  <r>
    <n v="77471"/>
    <s v="DANILO BARBOSA"/>
    <s v="MEE"/>
    <s v="ADM"/>
    <n v="50037892"/>
    <x v="2"/>
    <n v="1"/>
    <s v="REALIZADO"/>
    <s v="MATHEUS"/>
    <d v="2025-10-01T00:00:00"/>
    <x v="2"/>
  </r>
  <r>
    <m/>
    <s v="MARCIO"/>
    <m/>
    <m/>
    <n v="50037892"/>
    <x v="2"/>
    <n v="1"/>
    <s v="REALIZADO"/>
    <s v="FABRICIO"/>
    <d v="2025-10-01T00:00:00"/>
    <x v="0"/>
  </r>
  <r>
    <m/>
    <s v="MARCIO"/>
    <m/>
    <m/>
    <n v="50037892"/>
    <x v="2"/>
    <n v="1"/>
    <s v="REALIZADO"/>
    <s v="FABRICIO"/>
    <d v="2025-10-01T00:00:00"/>
    <x v="0"/>
  </r>
  <r>
    <n v="62471"/>
    <s v="ELTON LIMA"/>
    <s v="MME"/>
    <s v="ADM"/>
    <n v="50037902"/>
    <x v="14"/>
    <n v="1"/>
    <s v="REALIZADO"/>
    <s v="KELLY"/>
    <d v="2025-10-01T00:00:00"/>
    <x v="2"/>
  </r>
  <r>
    <n v="62471"/>
    <s v="ELTON LIMA"/>
    <s v="MME"/>
    <s v="ADM"/>
    <n v="50037902"/>
    <x v="14"/>
    <n v="1"/>
    <s v="REALIZADO"/>
    <s v="MATHEUS"/>
    <d v="2025-10-01T00:00:00"/>
    <x v="0"/>
  </r>
  <r>
    <n v="74611"/>
    <s v="CRISTIAM BORGES"/>
    <s v="MPR"/>
    <s v="ADM"/>
    <n v="50038841"/>
    <x v="34"/>
    <n v="1"/>
    <s v="REALIZADO"/>
    <s v="KELLY"/>
    <d v="2025-10-01T00:00:00"/>
    <x v="2"/>
  </r>
  <r>
    <n v="74611"/>
    <s v="CRISTIAM BORGES"/>
    <s v="MPR"/>
    <s v="ADM"/>
    <n v="50038841"/>
    <x v="34"/>
    <n v="1"/>
    <s v="REALIZADO"/>
    <s v="MATHEUS"/>
    <d v="2025-10-01T00:00:00"/>
    <x v="0"/>
  </r>
  <r>
    <n v="77708"/>
    <s v="FABIO JUSTINO"/>
    <s v="MPR"/>
    <s v="ADM"/>
    <n v="50038517"/>
    <x v="0"/>
    <n v="1"/>
    <s v="REALIZADO"/>
    <s v="GEOVANE"/>
    <d v="2025-10-01T00:00:00"/>
    <x v="2"/>
  </r>
  <r>
    <n v="77708"/>
    <s v="FABIO JUSTINO"/>
    <s v="MPR"/>
    <s v="ADM"/>
    <n v="50038517"/>
    <x v="0"/>
    <n v="1"/>
    <s v="REALIZADO"/>
    <s v="AGATHA"/>
    <d v="2025-10-01T00:00:00"/>
    <x v="0"/>
  </r>
  <r>
    <n v="68708"/>
    <s v="CLAUDIO TADEU LEITE"/>
    <s v="MMG"/>
    <s v="ADM"/>
    <n v="50038517"/>
    <x v="0"/>
    <n v="1"/>
    <s v="REALIZADO"/>
    <s v="GEOVANE"/>
    <d v="2025-10-01T00:00:00"/>
    <x v="2"/>
  </r>
  <r>
    <n v="68708"/>
    <s v="CLAUDIO TADEU LEITE"/>
    <s v="MMG"/>
    <s v="ADM"/>
    <n v="50038517"/>
    <x v="0"/>
    <n v="1"/>
    <s v="REALIZADO"/>
    <s v="GEOVANE"/>
    <d v="2025-10-01T00:00:00"/>
    <x v="0"/>
  </r>
  <r>
    <n v="67915"/>
    <s v="ANDERSON MARCOLONGO"/>
    <s v="MMG"/>
    <s v="1º TURNO"/>
    <n v="50038517"/>
    <x v="0"/>
    <n v="1"/>
    <s v="REALIZADO"/>
    <s v="AGATHA"/>
    <d v="2025-10-01T00:00:00"/>
    <x v="2"/>
  </r>
  <r>
    <n v="67915"/>
    <s v="ANDERSON MARCOLONGO"/>
    <s v="MMG"/>
    <s v="1º TURNO"/>
    <n v="50038517"/>
    <x v="0"/>
    <n v="1"/>
    <s v="REALIZADO"/>
    <s v="MATHEUS"/>
    <d v="2025-10-01T00:00:00"/>
    <x v="0"/>
  </r>
  <r>
    <n v="65131"/>
    <s v="GUILHERME VECHIO"/>
    <s v="MMG"/>
    <s v="2º TURNO"/>
    <n v="50037926"/>
    <x v="52"/>
    <n v="1"/>
    <s v="REALIZADO"/>
    <s v="KELLY"/>
    <d v="2025-10-01T00:00:00"/>
    <x v="2"/>
  </r>
  <r>
    <n v="65131"/>
    <s v="GUILHERME VECHIO"/>
    <s v="MMG"/>
    <s v="2º TURNO"/>
    <n v="50037926"/>
    <x v="52"/>
    <n v="1"/>
    <s v="REALIZADO"/>
    <s v="KELLY"/>
    <d v="2025-10-01T00:00:00"/>
    <x v="0"/>
  </r>
  <r>
    <n v="63684"/>
    <s v="LUAN ALMEIDA"/>
    <s v="MME"/>
    <s v="1º TURNO"/>
    <n v="50036297"/>
    <x v="100"/>
    <n v="1"/>
    <s v="REALIZADO"/>
    <s v="AGATHA"/>
    <d v="2025-10-01T00:00:00"/>
    <x v="2"/>
  </r>
  <r>
    <n v="63684"/>
    <s v="LUAN ALMEIDA"/>
    <s v="MME"/>
    <s v="1º TURNO"/>
    <n v="50036297"/>
    <x v="100"/>
    <n v="1"/>
    <s v="REALIZADO"/>
    <s v="MATHEUS"/>
    <d v="2025-10-01T00:00:00"/>
    <x v="2"/>
  </r>
  <r>
    <n v="62471"/>
    <s v="ELTON LIMA"/>
    <s v="MME"/>
    <s v="ADM"/>
    <n v="50038626"/>
    <x v="72"/>
    <n v="1"/>
    <s v="REALIZADO"/>
    <s v="MATHEUS"/>
    <d v="2025-10-01T00:00:00"/>
    <x v="0"/>
  </r>
  <r>
    <n v="77526"/>
    <s v="FELIPE GARÇONI"/>
    <s v="MME"/>
    <s v="ADM"/>
    <n v="50041195"/>
    <x v="21"/>
    <n v="1"/>
    <s v="REALIZADO"/>
    <s v="KELLY"/>
    <d v="2025-10-01T00:00:00"/>
    <x v="2"/>
  </r>
  <r>
    <n v="77526"/>
    <s v="FELIPE GARÇONI"/>
    <s v="MME"/>
    <s v="ADM"/>
    <n v="50041195"/>
    <x v="21"/>
    <n v="1"/>
    <s v="REALIZADO"/>
    <s v="MATHEUS"/>
    <d v="2025-10-01T00:00:00"/>
    <x v="2"/>
  </r>
  <r>
    <n v="64074"/>
    <s v="MARCOS FERNANDES COLOMBO"/>
    <s v="MPR"/>
    <s v="ADM"/>
    <n v="50043917"/>
    <x v="66"/>
    <n v="1"/>
    <s v="REALIZADO"/>
    <s v="MATHEUS"/>
    <d v="2025-10-01T00:00:00"/>
    <x v="0"/>
  </r>
  <r>
    <n v="62640"/>
    <s v="MARCELINHO"/>
    <s v="MPR"/>
    <s v="ADM"/>
    <n v="50038840"/>
    <x v="68"/>
    <n v="1"/>
    <s v="REALIZADO"/>
    <s v="AGATHA"/>
    <d v="2025-10-01T00:00:00"/>
    <x v="2"/>
  </r>
  <r>
    <n v="62640"/>
    <s v="MARCELINHO"/>
    <s v="MPR"/>
    <s v="ADM"/>
    <n v="50038840"/>
    <x v="68"/>
    <n v="1"/>
    <s v="REALIZADO"/>
    <s v="MARCIA"/>
    <d v="2025-10-01T00:00:00"/>
    <x v="0"/>
  </r>
  <r>
    <n v="64253"/>
    <s v="DANIEL JULIAO"/>
    <s v="MMG"/>
    <s v="ADM"/>
    <n v="50037952"/>
    <x v="56"/>
    <n v="1"/>
    <s v="REALIZADO"/>
    <s v="MATHEUS"/>
    <d v="2025-10-01T00:00:00"/>
    <x v="2"/>
  </r>
  <r>
    <n v="64253"/>
    <s v="DANIEL JULIAO"/>
    <s v="MMG"/>
    <s v="ADM"/>
    <n v="50037952"/>
    <x v="56"/>
    <n v="1"/>
    <s v="REALIZADO"/>
    <s v="MATHEUS"/>
    <d v="2025-10-01T00:00:00"/>
    <x v="0"/>
  </r>
  <r>
    <n v="65921"/>
    <s v="DABTON LEMOS"/>
    <s v="MME"/>
    <s v="2º TURNO"/>
    <n v="50010031"/>
    <x v="20"/>
    <n v="1"/>
    <s v="REALIZADO"/>
    <s v="KELLY"/>
    <d v="2025-09-30T00:00:00"/>
    <x v="2"/>
  </r>
  <r>
    <n v="65921"/>
    <s v="DABTON LEMOS"/>
    <s v="MME"/>
    <s v="2º TURNO"/>
    <n v="50010031"/>
    <x v="20"/>
    <n v="1"/>
    <s v="REALIZADO"/>
    <s v="KELLY"/>
    <d v="2025-09-30T00:00:00"/>
    <x v="0"/>
  </r>
  <r>
    <n v="96464"/>
    <s v="KEVIN INAMOTO"/>
    <s v="MEE"/>
    <s v="1º TURNO"/>
    <n v="50038991"/>
    <x v="53"/>
    <n v="1"/>
    <s v="REALIZADO"/>
    <s v="GEOVANE"/>
    <d v="2025-09-30T00:00:00"/>
    <x v="2"/>
  </r>
  <r>
    <n v="96464"/>
    <s v="KEVIN INAMOTO"/>
    <s v="MEE"/>
    <s v="1º TURNO"/>
    <n v="50038991"/>
    <x v="53"/>
    <n v="1"/>
    <s v="REALIZADO"/>
    <s v="MATHEUS"/>
    <d v="2025-09-30T00:00:00"/>
    <x v="0"/>
  </r>
  <r>
    <n v="64253"/>
    <s v="DANIEL JULIAO"/>
    <s v="MMG"/>
    <s v="ADM"/>
    <n v="50036279"/>
    <x v="28"/>
    <n v="1"/>
    <s v="REALIZADO"/>
    <s v="MARCIA"/>
    <d v="2025-09-30T00:00:00"/>
    <x v="2"/>
  </r>
  <r>
    <n v="64253"/>
    <s v="DANIEL JULIAO"/>
    <s v="MMG"/>
    <s v="ADM"/>
    <n v="50036279"/>
    <x v="28"/>
    <n v="1"/>
    <s v="REALIZADO"/>
    <s v="BRUNA"/>
    <d v="2025-09-30T00:00:00"/>
    <x v="0"/>
  </r>
  <r>
    <n v="78678"/>
    <s v="MARLOM ROGERIO VIEIRA"/>
    <s v="MME"/>
    <s v="ADM"/>
    <n v="50043471"/>
    <x v="5"/>
    <n v="1"/>
    <s v="REALIZADO"/>
    <s v="MARCIA"/>
    <d v="2025-09-30T00:00:00"/>
    <x v="2"/>
  </r>
  <r>
    <n v="78678"/>
    <s v="MARLOM ROGERIO VIEIRA"/>
    <s v="MME"/>
    <s v="ADM"/>
    <n v="50043471"/>
    <x v="5"/>
    <n v="1"/>
    <s v="REALIZADO"/>
    <s v="MATHEUS"/>
    <d v="2025-09-30T00:00:00"/>
    <x v="2"/>
  </r>
  <r>
    <n v="62896"/>
    <s v="LEONARDO BORGES"/>
    <s v="MEE"/>
    <s v="ADM"/>
    <n v="50043320"/>
    <x v="35"/>
    <n v="1"/>
    <s v="REALIZADO"/>
    <s v="MATHEUS"/>
    <d v="2025-09-30T00:00:00"/>
    <x v="2"/>
  </r>
  <r>
    <n v="62896"/>
    <s v="LEONARDO BORGES"/>
    <s v="MEE"/>
    <s v="ADM"/>
    <n v="50041195"/>
    <x v="21"/>
    <n v="1"/>
    <s v="REALIZADO"/>
    <s v="MATHEUS"/>
    <d v="2025-09-30T00:00:00"/>
    <x v="2"/>
  </r>
  <r>
    <n v="62180"/>
    <s v="JOSE AUGUSTO MASSUCHINI"/>
    <s v="MMG"/>
    <s v="ADM"/>
    <n v="50041195"/>
    <x v="21"/>
    <n v="1"/>
    <s v="REALIZADO"/>
    <s v="MATHEUS"/>
    <d v="2025-09-30T00:00:00"/>
    <x v="2"/>
  </r>
  <r>
    <n v="72707"/>
    <s v="LEONARDO DOS SANTOS"/>
    <s v="MPR"/>
    <s v="ADM"/>
    <n v="50043917"/>
    <x v="66"/>
    <n v="1"/>
    <s v="REALIZADO"/>
    <s v="GEOVANE"/>
    <d v="2025-09-30T00:00:00"/>
    <x v="0"/>
  </r>
  <r>
    <n v="60763"/>
    <s v="LEANDRO VASCONCELOS"/>
    <s v="MMG"/>
    <s v="1º TURNO"/>
    <n v="50020622"/>
    <x v="42"/>
    <n v="1"/>
    <s v="REALIZADO"/>
    <s v="MARCIA"/>
    <d v="2025-09-30T00:00:00"/>
    <x v="2"/>
  </r>
  <r>
    <n v="60763"/>
    <s v="LEANDRO VASCONCELOS"/>
    <s v="MMG"/>
    <s v="1º TURNO"/>
    <n v="50020622"/>
    <x v="42"/>
    <n v="1"/>
    <s v="REALIZADO"/>
    <s v="MATHEUS"/>
    <d v="2025-09-30T00:00:00"/>
    <x v="0"/>
  </r>
  <r>
    <n v="62471"/>
    <s v="ELTON LIMA"/>
    <s v="MME"/>
    <s v="ADM"/>
    <n v="50012902"/>
    <x v="30"/>
    <n v="1"/>
    <s v="REALIZADO"/>
    <s v="GEOVANE"/>
    <d v="2025-09-30T00:00:00"/>
    <x v="2"/>
  </r>
  <r>
    <n v="62471"/>
    <s v="ELTON LIMA"/>
    <s v="MME"/>
    <s v="ADM"/>
    <n v="50012902"/>
    <x v="30"/>
    <n v="1"/>
    <s v="REALIZADO"/>
    <s v="AGATHA"/>
    <d v="2025-09-30T00:00:00"/>
    <x v="0"/>
  </r>
  <r>
    <n v="77313"/>
    <s v="ROGERIO"/>
    <s v="MPR"/>
    <s v="ADM"/>
    <n v="50010031"/>
    <x v="20"/>
    <n v="1"/>
    <s v="REALIZADO"/>
    <s v="BRUNO"/>
    <d v="2025-09-29T00:00:00"/>
    <x v="2"/>
  </r>
  <r>
    <n v="77313"/>
    <s v="ROGERIO"/>
    <s v="MPR"/>
    <s v="ADM"/>
    <n v="50010031"/>
    <x v="20"/>
    <n v="1"/>
    <s v="REALIZADO"/>
    <s v="BRUNO"/>
    <d v="2025-09-29T00:00:00"/>
    <x v="0"/>
  </r>
  <r>
    <n v="64253"/>
    <s v="DANIEL JULIAO"/>
    <s v="MMG"/>
    <s v="ADM"/>
    <n v="50036086"/>
    <x v="3"/>
    <n v="1"/>
    <s v="REALIZADO"/>
    <s v="BRUNO"/>
    <d v="2025-09-29T00:00:00"/>
    <x v="2"/>
  </r>
  <r>
    <n v="64253"/>
    <s v="DANIEL JULIAO"/>
    <s v="MMG"/>
    <s v="ADM"/>
    <n v="50036086"/>
    <x v="3"/>
    <n v="1"/>
    <s v="REALIZADO"/>
    <s v="BRUNO"/>
    <d v="2025-09-29T00:00:00"/>
    <x v="0"/>
  </r>
  <r>
    <n v="62180"/>
    <s v="JOSE AUGUSTO MASSUCHINI"/>
    <s v="MMG"/>
    <s v="ADM"/>
    <n v="50037905"/>
    <x v="49"/>
    <n v="1"/>
    <s v="REALIZADO"/>
    <s v="BRUNO"/>
    <d v="2025-09-29T00:00:00"/>
    <x v="2"/>
  </r>
  <r>
    <n v="62180"/>
    <s v="JOSE AUGUSTO MASSUCHINI"/>
    <s v="MMG"/>
    <s v="ADM"/>
    <n v="50037905"/>
    <x v="49"/>
    <n v="1"/>
    <s v="REALIZADO"/>
    <s v="BRUNO"/>
    <d v="2025-09-29T00:00:00"/>
    <x v="0"/>
  </r>
  <r>
    <n v="77313"/>
    <s v="ROGERIO"/>
    <s v="MPR"/>
    <s v="ADM"/>
    <n v="50003297"/>
    <x v="8"/>
    <n v="1"/>
    <s v="REALIZADO"/>
    <s v="BRUNO"/>
    <d v="2025-09-29T00:00:00"/>
    <x v="2"/>
  </r>
  <r>
    <n v="77313"/>
    <s v="ROGERIO"/>
    <s v="MPR"/>
    <s v="ADM"/>
    <n v="50003297"/>
    <x v="8"/>
    <n v="1"/>
    <s v="REALIZADO"/>
    <s v="BRUNO"/>
    <d v="2025-09-29T00:00:00"/>
    <x v="0"/>
  </r>
  <r>
    <n v="74611"/>
    <s v="CRISTIAM BORGES"/>
    <s v="MPR"/>
    <s v="ADM"/>
    <n v="50029865"/>
    <x v="9"/>
    <n v="1"/>
    <s v="REALIZADO"/>
    <s v="AGATHA"/>
    <d v="2025-09-29T00:00:00"/>
    <x v="2"/>
  </r>
  <r>
    <n v="74611"/>
    <s v="CRISTIAM BORGES"/>
    <s v="MPR"/>
    <s v="ADM"/>
    <n v="50029865"/>
    <x v="9"/>
    <n v="1"/>
    <s v="REALIZADO"/>
    <s v="AGATHA"/>
    <d v="2025-09-29T00:00:00"/>
    <x v="0"/>
  </r>
  <r>
    <n v="62896"/>
    <s v="LEONARDO BORGES"/>
    <s v="MEE"/>
    <s v="ADM"/>
    <n v="50043320"/>
    <x v="35"/>
    <n v="1"/>
    <s v="REALIZADO"/>
    <s v="BRUNO"/>
    <d v="2025-09-29T00:00:00"/>
    <x v="2"/>
  </r>
  <r>
    <n v="62896"/>
    <s v="LEONARDO BORGES"/>
    <s v="MEE"/>
    <s v="ADM"/>
    <n v="50043320"/>
    <x v="35"/>
    <n v="1"/>
    <s v="REALIZADO"/>
    <s v="BRUNO"/>
    <d v="2025-09-29T00:00:00"/>
    <x v="0"/>
  </r>
  <r>
    <n v="70105"/>
    <s v="RONALDO DE SOUZA SANTOS"/>
    <s v="MMG"/>
    <s v="2º TURNO"/>
    <n v="50022878"/>
    <x v="18"/>
    <n v="1"/>
    <s v="REALIZADO"/>
    <s v="MARCIA"/>
    <d v="2025-09-29T00:00:00"/>
    <x v="2"/>
  </r>
  <r>
    <n v="70105"/>
    <s v="RONALDO DE SOUZA SANTOS"/>
    <s v="MMG"/>
    <s v="2º TURNO"/>
    <n v="50022878"/>
    <x v="18"/>
    <n v="1"/>
    <s v="REALIZADO"/>
    <s v="BRUNO"/>
    <d v="2025-09-29T00:00:00"/>
    <x v="0"/>
  </r>
  <r>
    <n v="64253"/>
    <s v="DANIEL JULIAO"/>
    <s v="MMG"/>
    <s v="ADM"/>
    <n v="50038956"/>
    <x v="10"/>
    <n v="1"/>
    <s v="REALIZADO"/>
    <s v="AGATHA"/>
    <d v="2025-09-29T00:00:00"/>
    <x v="2"/>
  </r>
  <r>
    <n v="64253"/>
    <s v="DANIEL JULIAO"/>
    <s v="MMG"/>
    <s v="ADM"/>
    <n v="50038956"/>
    <x v="10"/>
    <n v="1"/>
    <s v="REALIZADO"/>
    <s v="AGATHA"/>
    <d v="2025-09-29T00:00:00"/>
    <x v="2"/>
  </r>
  <r>
    <n v="77526"/>
    <s v="FELIPE GARÇONI"/>
    <s v="MME"/>
    <s v="ADM"/>
    <n v="50038956"/>
    <x v="10"/>
    <n v="1"/>
    <s v="REALIZADO"/>
    <s v="BRUNO"/>
    <d v="2025-09-29T00:00:00"/>
    <x v="0"/>
  </r>
  <r>
    <n v="78675"/>
    <s v="ORLANDO GOMES"/>
    <s v="MME"/>
    <s v="1º TURNO"/>
    <n v="50038956"/>
    <x v="10"/>
    <n v="1"/>
    <s v="REALIZADO"/>
    <s v="BRUNO"/>
    <d v="2025-09-29T00:00:00"/>
    <x v="2"/>
  </r>
  <r>
    <n v="78675"/>
    <s v="ORLANDO GOMES"/>
    <s v="MME"/>
    <s v="1º TURNO"/>
    <n v="50038956"/>
    <x v="10"/>
    <n v="1"/>
    <s v="REALIZADO"/>
    <s v="BRUNO"/>
    <d v="2025-09-29T00:00:00"/>
    <x v="0"/>
  </r>
  <r>
    <n v="63713"/>
    <s v="BRUNO DIAS"/>
    <s v="MME"/>
    <s v="ADM"/>
    <n v="50038841"/>
    <x v="34"/>
    <n v="1"/>
    <s v="REALIZADO"/>
    <s v="AGATHA"/>
    <d v="2025-09-29T00:00:00"/>
    <x v="2"/>
  </r>
  <r>
    <n v="63713"/>
    <s v="BRUNO DIAS"/>
    <s v="MME"/>
    <s v="ADM"/>
    <n v="50038841"/>
    <x v="34"/>
    <n v="1"/>
    <s v="REALIZADO"/>
    <s v="MARCIA"/>
    <d v="2025-09-29T00:00:00"/>
    <x v="0"/>
  </r>
  <r>
    <n v="76633"/>
    <s v="VINICIUS GUILHERME BARBOSA"/>
    <s v="MMG"/>
    <s v="1º TURNO"/>
    <n v="50038841"/>
    <x v="34"/>
    <n v="1"/>
    <s v="REALIZADO"/>
    <s v="BRUNO"/>
    <d v="2025-09-29T00:00:00"/>
    <x v="2"/>
  </r>
  <r>
    <n v="76633"/>
    <s v="VINICIUS GUILHERME BARBOSA"/>
    <s v="MMG"/>
    <s v="1º TURNO"/>
    <n v="50038841"/>
    <x v="34"/>
    <n v="1"/>
    <s v="REALIZADO"/>
    <s v="BRUNO"/>
    <d v="2025-09-29T00:00:00"/>
    <x v="0"/>
  </r>
  <r>
    <n v="64074"/>
    <s v="MARCOS FERNANDES COLOMBO"/>
    <s v="MPR"/>
    <s v="ADM"/>
    <n v="50038841"/>
    <x v="34"/>
    <n v="1"/>
    <s v="REALIZADO"/>
    <s v="BRUNO"/>
    <d v="2025-09-29T00:00:00"/>
    <x v="2"/>
  </r>
  <r>
    <n v="64074"/>
    <s v="MARCOS FERNANDES COLOMBO"/>
    <s v="MPR"/>
    <s v="ADM"/>
    <n v="50038841"/>
    <x v="34"/>
    <n v="1"/>
    <s v="REALIZADO"/>
    <s v="BRUNO"/>
    <d v="2025-09-29T00:00:00"/>
    <x v="0"/>
  </r>
  <r>
    <n v="63770"/>
    <s v="DANILO DA SILVA"/>
    <s v="MMG"/>
    <s v="ADM"/>
    <n v="50038517"/>
    <x v="0"/>
    <n v="1"/>
    <s v="REALIZADO"/>
    <s v="AGATHA"/>
    <d v="2025-09-29T00:00:00"/>
    <x v="2"/>
  </r>
  <r>
    <n v="63770"/>
    <s v="DANILO DA SILVA"/>
    <s v="MMG"/>
    <s v="ADM"/>
    <n v="50038517"/>
    <x v="0"/>
    <n v="1"/>
    <s v="REALIZADO"/>
    <s v="BRUNO"/>
    <d v="2025-09-29T00:00:00"/>
    <x v="0"/>
  </r>
  <r>
    <n v="78675"/>
    <s v="ORLANDO GOMES"/>
    <s v="MME"/>
    <s v="1º TURNO"/>
    <n v="50039065"/>
    <x v="22"/>
    <n v="1"/>
    <s v="REALIZADO"/>
    <s v="BRUNO"/>
    <d v="2025-09-29T00:00:00"/>
    <x v="2"/>
  </r>
  <r>
    <n v="78675"/>
    <s v="ORLANDO GOMES"/>
    <s v="MME"/>
    <s v="1º TURNO"/>
    <n v="50039065"/>
    <x v="22"/>
    <n v="1"/>
    <s v="REALIZADO"/>
    <s v="BRUNO"/>
    <d v="2025-09-29T00:00:00"/>
    <x v="0"/>
  </r>
  <r>
    <n v="76633"/>
    <s v="VINICIUS GUILHERME BARBOSA"/>
    <s v="MMG"/>
    <s v="1º TURNO"/>
    <n v="50039065"/>
    <x v="22"/>
    <n v="1"/>
    <s v="REALIZADO"/>
    <s v="BRUNO"/>
    <d v="2025-09-29T00:00:00"/>
    <x v="2"/>
  </r>
  <r>
    <n v="76633"/>
    <s v="VINICIUS GUILHERME BARBOSA"/>
    <s v="MMG"/>
    <s v="1º TURNO"/>
    <n v="50039065"/>
    <x v="22"/>
    <n v="1"/>
    <s v="REALIZADO"/>
    <s v="BRUNO"/>
    <d v="2025-09-29T00:00:00"/>
    <x v="0"/>
  </r>
  <r>
    <n v="64074"/>
    <s v="MARCOS FERNANDES COLOMBO"/>
    <s v="MPR"/>
    <s v="ADM"/>
    <n v="50041195"/>
    <x v="21"/>
    <n v="1"/>
    <s v="REALIZADO"/>
    <s v="AGATHA"/>
    <d v="2025-09-29T00:00:00"/>
    <x v="2"/>
  </r>
  <r>
    <n v="64074"/>
    <s v="MARCOS FERNANDES COLOMBO"/>
    <s v="MPR"/>
    <s v="ADM"/>
    <n v="50041195"/>
    <x v="21"/>
    <n v="1"/>
    <s v="REALIZADO"/>
    <s v="BRUNO"/>
    <d v="2025-09-29T00:00:00"/>
    <x v="0"/>
  </r>
  <r>
    <n v="74611"/>
    <s v="CRISTIAM BORGES"/>
    <s v="MPR"/>
    <s v="ADM"/>
    <n v="50043917"/>
    <x v="66"/>
    <n v="1"/>
    <s v="REALIZADO"/>
    <s v="AGATHA"/>
    <d v="2025-09-29T00:00:00"/>
    <x v="2"/>
  </r>
  <r>
    <n v="74611"/>
    <s v="CRISTIAM BORGES"/>
    <s v="MPR"/>
    <s v="ADM"/>
    <n v="50043917"/>
    <x v="66"/>
    <n v="1"/>
    <s v="REALIZADO"/>
    <s v="AGATHA"/>
    <d v="2025-09-29T00:00:00"/>
    <x v="0"/>
  </r>
  <r>
    <n v="62896"/>
    <s v="LEONARDO BORGES"/>
    <s v="MEE"/>
    <s v="ADM"/>
    <n v="50043917"/>
    <x v="66"/>
    <n v="1"/>
    <s v="REALIZADO"/>
    <s v="BRUNO"/>
    <d v="2025-09-29T00:00:00"/>
    <x v="2"/>
  </r>
  <r>
    <n v="62896"/>
    <s v="LEONARDO BORGES"/>
    <s v="MEE"/>
    <s v="ADM"/>
    <n v="50043917"/>
    <x v="66"/>
    <n v="1"/>
    <s v="REALIZADO"/>
    <s v="BRUNO"/>
    <d v="2025-09-29T00:00:00"/>
    <x v="0"/>
  </r>
  <r>
    <n v="77313"/>
    <s v="ROGERIO"/>
    <s v="MPR"/>
    <s v="ADM"/>
    <n v="50020622"/>
    <x v="42"/>
    <n v="1"/>
    <s v="REALIZADO"/>
    <s v="BRUNO"/>
    <d v="2025-09-29T00:00:00"/>
    <x v="0"/>
  </r>
  <r>
    <n v="64074"/>
    <s v="MARCOS FERNANDES COLOMBO"/>
    <s v="MPR"/>
    <s v="ADM"/>
    <n v="50020622"/>
    <x v="42"/>
    <n v="1"/>
    <s v="REALIZADO"/>
    <s v="BRUNO"/>
    <d v="2025-09-29T00:00:00"/>
    <x v="2"/>
  </r>
  <r>
    <n v="64074"/>
    <s v="MARCOS FERNANDES COLOMBO"/>
    <s v="MPR"/>
    <s v="ADM"/>
    <n v="50020622"/>
    <x v="42"/>
    <n v="1"/>
    <s v="REALIZADO"/>
    <s v="BRUNO"/>
    <d v="2025-09-29T00:00:00"/>
    <x v="0"/>
  </r>
  <r>
    <n v="65910"/>
    <s v="GABRIEL CAIXETA"/>
    <s v="MEE"/>
    <s v="ADM"/>
    <n v="50012903"/>
    <x v="31"/>
    <n v="1"/>
    <s v="REALIZADO"/>
    <s v="BRUNO"/>
    <d v="2025-09-29T00:00:00"/>
    <x v="2"/>
  </r>
  <r>
    <n v="65910"/>
    <s v="GABRIEL CAIXETA"/>
    <s v="MEE"/>
    <s v="ADM"/>
    <n v="50012903"/>
    <x v="31"/>
    <n v="1"/>
    <s v="REALIZADO"/>
    <s v="BRUNO"/>
    <d v="2025-09-29T00:00:00"/>
    <x v="0"/>
  </r>
  <r>
    <n v="65910"/>
    <s v="GABRIEL CAIXETA"/>
    <s v="MEE"/>
    <s v="ADM"/>
    <n v="50012902"/>
    <x v="30"/>
    <n v="1"/>
    <s v="REALIZADO"/>
    <s v="BRUNO"/>
    <d v="2025-09-29T00:00:00"/>
    <x v="2"/>
  </r>
  <r>
    <n v="65910"/>
    <s v="GABRIEL CAIXETA"/>
    <s v="MEE"/>
    <s v="ADM"/>
    <n v="50012902"/>
    <x v="30"/>
    <n v="1"/>
    <s v="REALIZADO"/>
    <s v="BRUNO"/>
    <d v="2025-09-29T00:00:00"/>
    <x v="0"/>
  </r>
  <r>
    <n v="74611"/>
    <s v="CRISTIAM BORGES"/>
    <s v="MPR"/>
    <s v="ADM"/>
    <n v="50038845"/>
    <x v="108"/>
    <n v="1"/>
    <s v="REALIZADO"/>
    <s v="AGATHA"/>
    <d v="2025-09-29T00:00:00"/>
    <x v="2"/>
  </r>
  <r>
    <n v="74611"/>
    <s v="CRISTIAM BORGES"/>
    <s v="MPR"/>
    <s v="ADM"/>
    <n v="50038845"/>
    <x v="108"/>
    <n v="1"/>
    <s v="REALIZADO"/>
    <s v="AGATHA"/>
    <d v="2025-09-29T00:00:00"/>
    <x v="0"/>
  </r>
  <r>
    <n v="74611"/>
    <s v="CRISTIAM BORGES"/>
    <s v="MPR"/>
    <s v="ADM"/>
    <n v="50038840"/>
    <x v="68"/>
    <n v="1"/>
    <s v="REALIZADO"/>
    <s v="BRUNO"/>
    <d v="2025-09-29T00:00:00"/>
    <x v="2"/>
  </r>
  <r>
    <n v="74611"/>
    <s v="CRISTIAM BORGES"/>
    <s v="MPR"/>
    <s v="ADM"/>
    <n v="50038840"/>
    <x v="68"/>
    <n v="1"/>
    <s v="REALIZADO"/>
    <s v="BRUNO"/>
    <d v="2025-09-29T00:00:00"/>
    <x v="0"/>
  </r>
  <r>
    <n v="62640"/>
    <s v="MARCELINHO"/>
    <s v="MPR"/>
    <s v="ADM"/>
    <n v="50032781"/>
    <x v="12"/>
    <n v="1"/>
    <s v="REALIZADO"/>
    <s v="BRUNO"/>
    <d v="2025-09-29T00:00:00"/>
    <x v="2"/>
  </r>
  <r>
    <n v="62640"/>
    <s v="MARCELINHO"/>
    <s v="MPR"/>
    <s v="ADM"/>
    <n v="50032781"/>
    <x v="12"/>
    <n v="1"/>
    <s v="REALIZADO"/>
    <s v="BRUNO"/>
    <d v="2025-09-29T00:00:00"/>
    <x v="0"/>
  </r>
  <r>
    <n v="60953"/>
    <s v="PABLO JUNIOR"/>
    <s v="MMG"/>
    <s v="1º TURNO"/>
    <n v="50037933"/>
    <x v="43"/>
    <n v="1"/>
    <s v="REALIZADO"/>
    <s v="MARCIA"/>
    <d v="2025-09-29T00:00:00"/>
    <x v="2"/>
  </r>
  <r>
    <n v="60953"/>
    <s v="PABLO JUNIOR"/>
    <s v="MMG"/>
    <s v="1º TURNO"/>
    <n v="50037933"/>
    <x v="43"/>
    <n v="1"/>
    <s v="REALIZADO"/>
    <s v="MARCIA"/>
    <d v="2025-09-29T00:00:00"/>
    <x v="0"/>
  </r>
  <r>
    <n v="62640"/>
    <s v="MARCELINHO"/>
    <s v="MPR"/>
    <s v="ADM"/>
    <n v="50029865"/>
    <x v="9"/>
    <n v="1"/>
    <s v="REALIZADO"/>
    <s v="AGATHA"/>
    <d v="2025-09-26T00:00:00"/>
    <x v="2"/>
  </r>
  <r>
    <n v="62640"/>
    <s v="MARCELINHO"/>
    <s v="MPR"/>
    <s v="ADM"/>
    <n v="50029865"/>
    <x v="9"/>
    <n v="1"/>
    <s v="REALIZADO"/>
    <s v="BRUNO"/>
    <d v="2025-09-26T00:00:00"/>
    <x v="0"/>
  </r>
  <r>
    <n v="66790"/>
    <s v="EVERTON BOLOGNES"/>
    <s v="MMG"/>
    <s v="2º TURNO"/>
    <n v="50038549"/>
    <x v="6"/>
    <n v="1"/>
    <s v="REALIZADO"/>
    <s v="KELLY"/>
    <d v="2025-09-26T00:00:00"/>
    <x v="2"/>
  </r>
  <r>
    <n v="66790"/>
    <s v="EVERTON BOLOGNES"/>
    <s v="MMG"/>
    <s v="2º TURNO"/>
    <n v="50038549"/>
    <x v="6"/>
    <n v="1"/>
    <s v="REALIZADO"/>
    <s v="KELLY"/>
    <d v="2025-09-26T00:00:00"/>
    <x v="0"/>
  </r>
  <r>
    <n v="63770"/>
    <s v="DANILO DA SILVA"/>
    <s v="MMG"/>
    <s v="ADM"/>
    <n v="50038549"/>
    <x v="6"/>
    <n v="1"/>
    <s v="REALIZADO"/>
    <s v="AGATHA"/>
    <d v="2025-09-26T00:00:00"/>
    <x v="2"/>
  </r>
  <r>
    <n v="63770"/>
    <s v="DANILO DA SILVA"/>
    <s v="MMG"/>
    <s v="ADM"/>
    <n v="50038549"/>
    <x v="6"/>
    <n v="1"/>
    <s v="REALIZADO"/>
    <s v="BRUNO"/>
    <d v="2025-09-26T00:00:00"/>
    <x v="0"/>
  </r>
  <r>
    <n v="49751"/>
    <s v="LUIS LEITE"/>
    <s v="MEE"/>
    <s v="3º TURNO"/>
    <n v="50038549"/>
    <x v="6"/>
    <n v="1"/>
    <s v="REALIZADO"/>
    <s v="BRUNO"/>
    <d v="2025-09-26T00:00:00"/>
    <x v="2"/>
  </r>
  <r>
    <n v="49751"/>
    <s v="LUIS LEITE"/>
    <s v="MEE"/>
    <s v="3º TURNO"/>
    <n v="50038549"/>
    <x v="6"/>
    <n v="1"/>
    <s v="REALIZADO"/>
    <s v="BRUNO"/>
    <d v="2025-09-26T00:00:00"/>
    <x v="0"/>
  </r>
  <r>
    <n v="78886"/>
    <s v="DOUGLAS FELICIANO MENDES DE OLIVEIRA"/>
    <s v="MME"/>
    <s v="ADM"/>
    <n v="50038956"/>
    <x v="10"/>
    <n v="1"/>
    <s v="REALIZADO"/>
    <s v="KELLY"/>
    <d v="2025-09-26T00:00:00"/>
    <x v="2"/>
  </r>
  <r>
    <n v="78886"/>
    <s v="DOUGLAS FELICIANO MENDES DE OLIVEIRA"/>
    <s v="MME"/>
    <s v="ADM"/>
    <n v="50038956"/>
    <x v="10"/>
    <n v="1"/>
    <s v="REALIZADO"/>
    <s v="GEOVANE"/>
    <d v="2025-09-26T00:00:00"/>
    <x v="0"/>
  </r>
  <r>
    <n v="76994"/>
    <s v="FELIPE HENRIQUE DE BRITO"/>
    <s v="MEE"/>
    <s v="ADM"/>
    <n v="50037892"/>
    <x v="2"/>
    <n v="1"/>
    <s v="REALIZADO"/>
    <s v="KELLY"/>
    <d v="2025-09-26T00:00:00"/>
    <x v="2"/>
  </r>
  <r>
    <n v="76994"/>
    <s v="FELIPE HENRIQUE DE BRITO"/>
    <s v="MEE"/>
    <s v="ADM"/>
    <n v="50037892"/>
    <x v="2"/>
    <n v="1"/>
    <s v="REALIZADO"/>
    <s v="BRUNO"/>
    <d v="2025-09-26T00:00:00"/>
    <x v="0"/>
  </r>
  <r>
    <n v="63770"/>
    <s v="DANILO DA SILVA"/>
    <s v="MMG"/>
    <s v="ADM"/>
    <n v="50037902"/>
    <x v="14"/>
    <n v="1"/>
    <s v="REALIZADO"/>
    <s v="AGATHA"/>
    <d v="2025-09-26T00:00:00"/>
    <x v="2"/>
  </r>
  <r>
    <n v="63770"/>
    <s v="DANILO DA SILVA"/>
    <s v="MMG"/>
    <s v="ADM"/>
    <n v="50037902"/>
    <x v="14"/>
    <n v="1"/>
    <s v="REALIZADO"/>
    <s v="BRUNO"/>
    <d v="2025-09-26T00:00:00"/>
    <x v="0"/>
  </r>
  <r>
    <n v="67915"/>
    <s v="ANDERSON MARCOLONGO"/>
    <s v="MMG"/>
    <s v="1º TURNO"/>
    <n v="50038841"/>
    <x v="34"/>
    <n v="1"/>
    <s v="REALIZADO"/>
    <s v="BRUNO"/>
    <d v="2025-09-26T00:00:00"/>
    <x v="2"/>
  </r>
  <r>
    <n v="67915"/>
    <s v="ANDERSON MARCOLONGO"/>
    <s v="MMG"/>
    <s v="1º TURNO"/>
    <n v="50038841"/>
    <x v="34"/>
    <n v="1"/>
    <s v="REALIZADO"/>
    <s v="BRUNO"/>
    <d v="2025-09-26T00:00:00"/>
    <x v="0"/>
  </r>
  <r>
    <n v="60953"/>
    <s v="PABLO JUNIOR"/>
    <s v="MMG"/>
    <s v="1º TURNO"/>
    <n v="50041653"/>
    <x v="50"/>
    <n v="1"/>
    <s v="REALIZADO"/>
    <s v="AGATHA"/>
    <d v="2025-09-26T00:00:00"/>
    <x v="2"/>
  </r>
  <r>
    <n v="60953"/>
    <s v="PABLO JUNIOR"/>
    <s v="MMG"/>
    <s v="1º TURNO"/>
    <n v="50041653"/>
    <x v="50"/>
    <n v="1"/>
    <s v="REALIZADO"/>
    <s v="BRUNO"/>
    <d v="2025-09-26T00:00:00"/>
    <x v="0"/>
  </r>
  <r>
    <n v="67100"/>
    <s v="CARLOS BARATELLA"/>
    <s v="MMG"/>
    <s v="2º TURNO"/>
    <n v="50041195"/>
    <x v="21"/>
    <n v="1"/>
    <s v="REALIZADO"/>
    <s v="KELLY"/>
    <d v="2025-09-26T00:00:00"/>
    <x v="2"/>
  </r>
  <r>
    <n v="67100"/>
    <s v="CARLOS BARATELLA"/>
    <s v="MMG"/>
    <s v="2º TURNO"/>
    <n v="50041195"/>
    <x v="21"/>
    <n v="1"/>
    <s v="REALIZADO"/>
    <s v="KELLY"/>
    <d v="2025-09-26T00:00:00"/>
    <x v="0"/>
  </r>
  <r>
    <n v="72707"/>
    <s v="LEONARDO DOS SANTOS"/>
    <s v="MPR"/>
    <s v="ADM"/>
    <n v="50041195"/>
    <x v="21"/>
    <n v="1"/>
    <s v="REALIZADO"/>
    <s v="GEOVANE"/>
    <d v="2025-09-26T00:00:00"/>
    <x v="2"/>
  </r>
  <r>
    <n v="72707"/>
    <s v="LEONARDO DOS SANTOS"/>
    <s v="MPR"/>
    <s v="ADM"/>
    <n v="50041195"/>
    <x v="21"/>
    <n v="1"/>
    <s v="REALIZADO"/>
    <s v="GEOVANE"/>
    <d v="2025-09-26T00:00:00"/>
    <x v="0"/>
  </r>
  <r>
    <n v="62640"/>
    <s v="MARCELINHO"/>
    <s v="MPR"/>
    <s v="ADM"/>
    <n v="50041195"/>
    <x v="21"/>
    <n v="1"/>
    <s v="REALIZADO"/>
    <s v="AGATHA"/>
    <d v="2025-09-26T00:00:00"/>
    <x v="2"/>
  </r>
  <r>
    <n v="62640"/>
    <s v="MARCELINHO"/>
    <s v="MPR"/>
    <s v="ADM"/>
    <n v="50041195"/>
    <x v="21"/>
    <n v="1"/>
    <s v="REALIZADO"/>
    <s v="BRUNO"/>
    <d v="2025-09-26T00:00:00"/>
    <x v="0"/>
  </r>
  <r>
    <n v="62180"/>
    <s v="JOSE AUGUSTO MASSUCHINI"/>
    <s v="MMG"/>
    <s v="ADM"/>
    <n v="50041195"/>
    <x v="21"/>
    <n v="1"/>
    <s v="REALIZADO"/>
    <s v="BRUNO"/>
    <d v="2025-09-26T00:00:00"/>
    <x v="2"/>
  </r>
  <r>
    <n v="62180"/>
    <s v="JOSE AUGUSTO MASSUCHINI"/>
    <s v="MMG"/>
    <s v="ADM"/>
    <n v="50041195"/>
    <x v="21"/>
    <n v="1"/>
    <s v="REALIZADO"/>
    <s v="BRUNO"/>
    <d v="2025-09-26T00:00:00"/>
    <x v="0"/>
  </r>
  <r>
    <n v="67100"/>
    <s v="CARLOS BARATELLA"/>
    <s v="MMG"/>
    <s v="2º TURNO"/>
    <n v="50043917"/>
    <x v="66"/>
    <n v="1"/>
    <s v="REALIZADO"/>
    <s v="KELLY"/>
    <d v="2025-09-26T00:00:00"/>
    <x v="2"/>
  </r>
  <r>
    <n v="67100"/>
    <s v="CARLOS BARATELLA"/>
    <s v="MMG"/>
    <s v="2º TURNO"/>
    <n v="50043917"/>
    <x v="66"/>
    <n v="1"/>
    <s v="REALIZADO"/>
    <s v="KELLY"/>
    <d v="2025-09-26T00:00:00"/>
    <x v="2"/>
  </r>
  <r>
    <n v="62640"/>
    <s v="MARCELINHO"/>
    <s v="MPR"/>
    <s v="ADM"/>
    <n v="50043917"/>
    <x v="66"/>
    <n v="1"/>
    <s v="REALIZADO"/>
    <s v="BRUNO"/>
    <d v="2025-09-26T00:00:00"/>
    <x v="2"/>
  </r>
  <r>
    <n v="60953"/>
    <s v="PABLO JUNIOR"/>
    <s v="MMG"/>
    <s v="1º TURNO"/>
    <n v="50037924"/>
    <x v="90"/>
    <n v="1"/>
    <s v="REALIZADO"/>
    <s v="BRUNO"/>
    <d v="2025-09-26T00:00:00"/>
    <x v="0"/>
  </r>
  <r>
    <n v="66830"/>
    <s v="MARCIO GOMES DA SILVA"/>
    <s v="MPR"/>
    <s v="ADM"/>
    <n v="50036086"/>
    <x v="3"/>
    <n v="1"/>
    <s v="REALIZADO"/>
    <s v="BRUNO"/>
    <d v="2025-09-25T00:00:00"/>
    <x v="2"/>
  </r>
  <r>
    <n v="65474"/>
    <s v="MARCIO DOS SANTOS"/>
    <s v="MMG"/>
    <s v="1º TURNO"/>
    <n v="50036086"/>
    <x v="3"/>
    <n v="1"/>
    <s v="REALIZADO"/>
    <s v="FABIANO"/>
    <d v="2025-09-25T00:00:00"/>
    <x v="0"/>
  </r>
  <r>
    <n v="65474"/>
    <s v="MARCIO DOS SANTOS"/>
    <s v="MMG"/>
    <s v="1º TURNO"/>
    <n v="50036086"/>
    <x v="3"/>
    <n v="1"/>
    <s v="REALIZADO"/>
    <s v="FABIANO"/>
    <d v="2025-09-25T00:00:00"/>
    <x v="0"/>
  </r>
  <r>
    <n v="77565"/>
    <s v="VALTER YUKIO SHIMADA"/>
    <n v="0"/>
    <s v="1º TURNO"/>
    <n v="50037905"/>
    <x v="49"/>
    <n v="1"/>
    <s v="REALIZADO"/>
    <s v="MARCIA"/>
    <d v="2025-09-25T00:00:00"/>
    <x v="2"/>
  </r>
  <r>
    <n v="77565"/>
    <s v="VALTER YUKIO SHIMADA"/>
    <n v="0"/>
    <s v="1º TURNO"/>
    <n v="50037905"/>
    <x v="49"/>
    <n v="1"/>
    <s v="REALIZADO"/>
    <s v="BRUNO"/>
    <d v="2025-09-25T00:00:00"/>
    <x v="0"/>
  </r>
  <r>
    <n v="63713"/>
    <s v="BRUNO DIAS"/>
    <s v="MME"/>
    <s v="ADM"/>
    <n v="50039236"/>
    <x v="84"/>
    <n v="1"/>
    <s v="REALIZADO"/>
    <s v="KELLY"/>
    <d v="2025-09-25T00:00:00"/>
    <x v="2"/>
  </r>
  <r>
    <n v="63713"/>
    <s v="BRUNO DIAS"/>
    <s v="MME"/>
    <s v="ADM"/>
    <n v="50039236"/>
    <x v="84"/>
    <n v="1"/>
    <s v="REALIZADO"/>
    <s v="GEOVANE"/>
    <d v="2025-09-25T00:00:00"/>
    <x v="2"/>
  </r>
  <r>
    <n v="63770"/>
    <s v="DANILO DA SILVA"/>
    <s v="MMG"/>
    <s v="ADM"/>
    <n v="50038549"/>
    <x v="6"/>
    <n v="1"/>
    <s v="REALIZADO"/>
    <s v="MARCIA"/>
    <d v="2025-09-25T00:00:00"/>
    <x v="0"/>
  </r>
  <r>
    <n v="67559"/>
    <s v="VINICIUS SOUZA"/>
    <s v="MME"/>
    <s v="2º TURNO"/>
    <n v="50038956"/>
    <x v="10"/>
    <n v="1"/>
    <s v="REALIZADO"/>
    <s v="KELLY"/>
    <d v="2025-09-25T00:00:00"/>
    <x v="2"/>
  </r>
  <r>
    <n v="60115"/>
    <s v="REINALDO FERREIRA"/>
    <s v="MME"/>
    <s v="2º TURNO"/>
    <n v="50038956"/>
    <x v="10"/>
    <n v="1"/>
    <s v="REALIZADO"/>
    <s v="KELLY"/>
    <d v="2025-09-25T00:00:00"/>
    <x v="0"/>
  </r>
  <r>
    <n v="76239"/>
    <s v="GEOVANNY ALEXANDER"/>
    <s v="REFRIG"/>
    <s v="ADM"/>
    <n v="50037892"/>
    <x v="2"/>
    <n v="1"/>
    <s v="REALIZADO"/>
    <s v="KELLY"/>
    <d v="2025-09-25T00:00:00"/>
    <x v="2"/>
  </r>
  <r>
    <n v="74874"/>
    <s v="FABIANO MARQUES"/>
    <s v="MMG"/>
    <s v="ADM"/>
    <n v="50037892"/>
    <x v="2"/>
    <n v="1"/>
    <s v="REALIZADO"/>
    <s v="BRUNO"/>
    <d v="2025-09-25T00:00:00"/>
    <x v="0"/>
  </r>
  <r>
    <n v="68708"/>
    <s v="CLAUDIO TADEU LEITE"/>
    <s v="MMG"/>
    <s v="ADM"/>
    <n v="50038841"/>
    <x v="34"/>
    <n v="1"/>
    <s v="REALIZADO"/>
    <s v="GEOVANE"/>
    <d v="2025-09-25T00:00:00"/>
    <x v="2"/>
  </r>
  <r>
    <n v="68708"/>
    <s v="CLAUDIO TADEU LEITE"/>
    <s v="MMG"/>
    <s v="ADM"/>
    <n v="50038841"/>
    <x v="34"/>
    <n v="1"/>
    <s v="REALIZADO"/>
    <s v="MARCIA"/>
    <d v="2025-09-25T00:00:00"/>
    <x v="0"/>
  </r>
  <r>
    <n v="77594"/>
    <s v="VINICIUS ROBLES"/>
    <s v="MME"/>
    <s v="ADM"/>
    <n v="50038841"/>
    <x v="34"/>
    <n v="1"/>
    <s v="REALIZADO"/>
    <s v="MARCIA"/>
    <d v="2025-09-25T00:00:00"/>
    <x v="2"/>
  </r>
  <r>
    <n v="77594"/>
    <s v="VINICIUS ROBLES"/>
    <s v="MME"/>
    <s v="ADM"/>
    <n v="50038841"/>
    <x v="34"/>
    <n v="1"/>
    <s v="REALIZADO"/>
    <s v="BRUNO"/>
    <d v="2025-09-25T00:00:00"/>
    <x v="0"/>
  </r>
  <r>
    <n v="63713"/>
    <s v="BRUNO DIAS"/>
    <s v="MME"/>
    <s v="ADM"/>
    <n v="50038517"/>
    <x v="0"/>
    <n v="1"/>
    <s v="REALIZADO"/>
    <s v="KELLY"/>
    <d v="2025-09-25T00:00:00"/>
    <x v="2"/>
  </r>
  <r>
    <n v="63713"/>
    <s v="BRUNO DIAS"/>
    <s v="MME"/>
    <s v="ADM"/>
    <n v="50038517"/>
    <x v="0"/>
    <n v="1"/>
    <s v="REALIZADO"/>
    <s v="BRUNO"/>
    <d v="2025-09-25T00:00:00"/>
    <x v="0"/>
  </r>
  <r>
    <n v="65131"/>
    <s v="GUILHERME VECHIO"/>
    <s v="MMG"/>
    <s v="2º TURNO"/>
    <n v="50039065"/>
    <x v="22"/>
    <n v="1"/>
    <s v="REALIZADO"/>
    <s v="KELLY"/>
    <d v="2025-09-25T00:00:00"/>
    <x v="2"/>
  </r>
  <r>
    <n v="63713"/>
    <s v="BRUNO DIAS"/>
    <s v="MME"/>
    <s v="ADM"/>
    <n v="50039065"/>
    <x v="22"/>
    <n v="1"/>
    <s v="REALIZADO"/>
    <s v="BRUNO"/>
    <d v="2025-09-25T00:00:00"/>
    <x v="0"/>
  </r>
  <r>
    <n v="66830"/>
    <s v="MARCIO GOMES DA SILVA"/>
    <s v="MPR"/>
    <s v="ADM"/>
    <n v="50026357"/>
    <x v="24"/>
    <n v="1"/>
    <s v="REALIZADO"/>
    <s v="KELLY"/>
    <d v="2025-09-25T00:00:00"/>
    <x v="2"/>
  </r>
  <r>
    <n v="66830"/>
    <s v="MARCIO GOMES DA SILVA"/>
    <s v="MPR"/>
    <s v="ADM"/>
    <n v="50026357"/>
    <x v="24"/>
    <n v="1"/>
    <s v="REALIZADO"/>
    <s v="BRUNO"/>
    <d v="2025-09-25T00:00:00"/>
    <x v="0"/>
  </r>
  <r>
    <n v="77708"/>
    <s v="FABIO JUSTINO"/>
    <s v="MPR"/>
    <s v="ADM"/>
    <n v="50038662"/>
    <x v="59"/>
    <n v="1"/>
    <s v="REALIZADO"/>
    <s v="GEOVANE"/>
    <d v="2025-09-25T00:00:00"/>
    <x v="2"/>
  </r>
  <r>
    <n v="77708"/>
    <s v="FABIO JUSTINO"/>
    <s v="MPR"/>
    <s v="ADM"/>
    <n v="50038662"/>
    <x v="59"/>
    <n v="1"/>
    <s v="REALIZADO"/>
    <s v="BRUNO"/>
    <d v="2025-09-25T00:00:00"/>
    <x v="0"/>
  </r>
  <r>
    <n v="62896"/>
    <s v="LEONARDO BORGES"/>
    <s v="MEE"/>
    <s v="ADM"/>
    <n v="50041195"/>
    <x v="21"/>
    <n v="1"/>
    <s v="REALIZADO"/>
    <s v="BRUNO"/>
    <d v="2025-09-25T00:00:00"/>
    <x v="2"/>
  </r>
  <r>
    <n v="72707"/>
    <s v="LEONARDO DOS SANTOS"/>
    <s v="MPR"/>
    <s v="ADM"/>
    <n v="50041195"/>
    <x v="21"/>
    <n v="1"/>
    <s v="REALIZADO"/>
    <s v="BRUNO"/>
    <d v="2025-09-25T00:00:00"/>
    <x v="0"/>
  </r>
  <r>
    <n v="67559"/>
    <s v="VINICIUS SOUZA"/>
    <s v="MME"/>
    <s v="2º TURNO"/>
    <n v="50043917"/>
    <x v="66"/>
    <n v="1"/>
    <s v="REALIZADO"/>
    <s v="KELLY"/>
    <d v="2025-09-25T00:00:00"/>
    <x v="2"/>
  </r>
  <r>
    <n v="67559"/>
    <s v="VINICIUS SOUZA"/>
    <s v="MME"/>
    <s v="2º TURNO"/>
    <n v="50043917"/>
    <x v="66"/>
    <n v="1"/>
    <s v="REALIZADO"/>
    <s v="KELLY"/>
    <d v="2025-09-25T00:00:00"/>
    <x v="0"/>
  </r>
  <r>
    <n v="64074"/>
    <s v="MARCOS FERNANDES COLOMBO"/>
    <s v="MPR"/>
    <s v="ADM"/>
    <n v="50043917"/>
    <x v="66"/>
    <n v="1"/>
    <s v="REALIZADO"/>
    <s v="KELLY"/>
    <d v="2025-09-25T00:00:00"/>
    <x v="2"/>
  </r>
  <r>
    <n v="64074"/>
    <s v="MARCOS FERNANDES COLOMBO"/>
    <s v="MPR"/>
    <s v="ADM"/>
    <n v="50043917"/>
    <x v="66"/>
    <n v="1"/>
    <s v="REALIZADO"/>
    <s v="BRUNO"/>
    <d v="2025-09-25T00:00:00"/>
    <x v="0"/>
  </r>
  <r>
    <n v="64074"/>
    <s v="MARCOS FERNANDES COLOMBO"/>
    <s v="MPR"/>
    <s v="ADM"/>
    <n v="50020622"/>
    <x v="42"/>
    <n v="1"/>
    <s v="REALIZADO"/>
    <s v="BRUNO"/>
    <d v="2025-09-25T00:00:00"/>
    <x v="2"/>
  </r>
  <r>
    <n v="64074"/>
    <s v="MARCOS FERNANDES COLOMBO"/>
    <s v="MPR"/>
    <s v="ADM"/>
    <n v="50020622"/>
    <x v="42"/>
    <n v="1"/>
    <s v="REALIZADO"/>
    <s v="BRUNO"/>
    <d v="2025-09-25T00:00:00"/>
    <x v="0"/>
  </r>
  <r>
    <n v="77594"/>
    <s v="VINICIUS ROBLES"/>
    <s v="MME"/>
    <s v="ADM"/>
    <n v="50032781"/>
    <x v="12"/>
    <n v="1"/>
    <s v="REALIZADO"/>
    <s v="MARCIA"/>
    <d v="2025-09-25T00:00:00"/>
    <x v="2"/>
  </r>
  <r>
    <n v="77594"/>
    <s v="VINICIUS ROBLES"/>
    <s v="MME"/>
    <s v="ADM"/>
    <n v="50032781"/>
    <x v="12"/>
    <n v="1"/>
    <s v="REALIZADO"/>
    <s v="BRUNO"/>
    <d v="2025-09-25T00:00:00"/>
    <x v="0"/>
  </r>
  <r>
    <n v="74611"/>
    <s v="CRISTIAM BORGES"/>
    <s v="MPR"/>
    <s v="ADM"/>
    <n v="50028220"/>
    <x v="33"/>
    <n v="1"/>
    <s v="REALIZADO"/>
    <s v="BRUNO"/>
    <d v="2025-09-25T00:00:00"/>
    <x v="2"/>
  </r>
  <r>
    <n v="74611"/>
    <s v="CRISTIAM BORGES"/>
    <s v="MPR"/>
    <s v="ADM"/>
    <n v="50028220"/>
    <x v="33"/>
    <n v="1"/>
    <s v="REALIZADO"/>
    <s v="BRUNO"/>
    <d v="2025-09-25T00:00:00"/>
    <x v="0"/>
  </r>
  <r>
    <n v="65627"/>
    <s v="LEONARDO SILVA"/>
    <s v="MME"/>
    <s v="ADM"/>
    <n v="50043150"/>
    <x v="4"/>
    <n v="1"/>
    <s v="REALIZADO"/>
    <s v="BRUNO"/>
    <d v="2025-09-25T00:00:00"/>
    <x v="2"/>
  </r>
  <r>
    <n v="65627"/>
    <s v="LEONARDO SILVA"/>
    <s v="MME"/>
    <s v="ADM"/>
    <n v="50043150"/>
    <x v="4"/>
    <n v="1"/>
    <s v="REALIZADO"/>
    <s v="BRUNO"/>
    <d v="2025-09-25T00:00:00"/>
    <x v="0"/>
  </r>
  <r>
    <n v="68430"/>
    <s v="JOAO CAIXETA"/>
    <s v="MEE"/>
    <s v="1º TURNO"/>
    <n v="50010031"/>
    <x v="20"/>
    <n v="1"/>
    <s v="REALIZADO"/>
    <s v="JOÃO FRANCISCO"/>
    <d v="2025-09-24T00:00:00"/>
    <x v="2"/>
  </r>
  <r>
    <n v="68430"/>
    <s v="JOAO CAIXETA"/>
    <s v="MEE"/>
    <s v="1º TURNO"/>
    <n v="50010031"/>
    <x v="20"/>
    <n v="1"/>
    <s v="REALIZADO"/>
    <s v="AGATHA"/>
    <d v="2025-09-24T00:00:00"/>
    <x v="0"/>
  </r>
  <r>
    <n v="74874"/>
    <s v="FABIANO MARQUES"/>
    <s v="MMG"/>
    <s v="ADM"/>
    <n v="50010031"/>
    <x v="20"/>
    <n v="1"/>
    <s v="REALIZADO"/>
    <s v="MARCIA"/>
    <d v="2025-09-24T00:00:00"/>
    <x v="2"/>
  </r>
  <r>
    <n v="74874"/>
    <s v="FABIANO MARQUES"/>
    <s v="MMG"/>
    <s v="ADM"/>
    <n v="50010031"/>
    <x v="20"/>
    <n v="1"/>
    <s v="REALIZADO"/>
    <s v="MARCIA"/>
    <d v="2025-09-24T00:00:00"/>
    <x v="0"/>
  </r>
  <r>
    <n v="76994"/>
    <s v="FELIPE HENRIQUE DE BRITO"/>
    <s v="MEE"/>
    <s v="ADM"/>
    <n v="50044003"/>
    <x v="63"/>
    <n v="1"/>
    <s v="REALIZADO"/>
    <s v="AGATHA"/>
    <d v="2025-09-24T00:00:00"/>
    <x v="2"/>
  </r>
  <r>
    <n v="76994"/>
    <s v="FELIPE HENRIQUE DE BRITO"/>
    <s v="MEE"/>
    <s v="ADM"/>
    <n v="50044003"/>
    <x v="63"/>
    <n v="1"/>
    <s v="REALIZADO"/>
    <s v="BRUNO"/>
    <d v="2025-09-24T00:00:00"/>
    <x v="2"/>
  </r>
  <r>
    <n v="68760"/>
    <s v="FERDINANDO PAZINI"/>
    <s v="MMG"/>
    <s v="ADM"/>
    <n v="50037960"/>
    <x v="37"/>
    <n v="1"/>
    <s v="REALIZADO"/>
    <s v="MARCIA"/>
    <d v="2025-09-24T00:00:00"/>
    <x v="2"/>
  </r>
  <r>
    <n v="68760"/>
    <s v="FERDINANDO PAZINI"/>
    <s v="MMG"/>
    <s v="ADM"/>
    <n v="50037961"/>
    <x v="36"/>
    <n v="1"/>
    <s v="REALIZADO"/>
    <s v="MARCIA"/>
    <d v="2025-09-24T00:00:00"/>
    <x v="0"/>
  </r>
  <r>
    <n v="61264"/>
    <s v="EVERTON GERONIMO"/>
    <s v="MMG"/>
    <s v="ADM"/>
    <n v="50036255"/>
    <x v="7"/>
    <n v="1"/>
    <s v="REALIZADO"/>
    <s v="GEOVANE"/>
    <d v="2025-09-24T00:00:00"/>
    <x v="2"/>
  </r>
  <r>
    <n v="61264"/>
    <s v="EVERTON GERONIMO"/>
    <s v="MMG"/>
    <s v="ADM"/>
    <n v="50036255"/>
    <x v="7"/>
    <n v="1"/>
    <s v="REALIZADO"/>
    <s v="BRUNO"/>
    <d v="2025-09-24T00:00:00"/>
    <x v="2"/>
  </r>
  <r>
    <n v="66830"/>
    <s v="MARCIO GOMES DA SILVA"/>
    <s v="MPR"/>
    <s v="ADM"/>
    <n v="50036086"/>
    <x v="3"/>
    <n v="1"/>
    <s v="REALIZADO"/>
    <s v="AGATHA"/>
    <d v="2025-09-24T00:00:00"/>
    <x v="0"/>
  </r>
  <r>
    <n v="70105"/>
    <s v="RONALDO DE SOUZA SANTOS"/>
    <s v="MMG"/>
    <s v="2º TURNO"/>
    <n v="50039718"/>
    <x v="11"/>
    <n v="1"/>
    <s v="REALIZADO"/>
    <s v="MARCIA"/>
    <d v="2025-09-24T00:00:00"/>
    <x v="2"/>
  </r>
  <r>
    <n v="70105"/>
    <s v="RONALDO DE SOUZA SANTOS"/>
    <s v="MMG"/>
    <s v="2º TURNO"/>
    <n v="50039718"/>
    <x v="11"/>
    <n v="1"/>
    <s v="REALIZADO"/>
    <s v="BRUNO"/>
    <d v="2025-09-24T00:00:00"/>
    <x v="0"/>
  </r>
  <r>
    <n v="68760"/>
    <s v="FERDINANDO PAZINI"/>
    <s v="MMG"/>
    <s v="ADM"/>
    <n v="50039236"/>
    <x v="84"/>
    <n v="1"/>
    <s v="REALIZADO"/>
    <s v="KELLY"/>
    <d v="2025-09-24T00:00:00"/>
    <x v="2"/>
  </r>
  <r>
    <n v="68760"/>
    <s v="FERDINANDO PAZINI"/>
    <s v="MMG"/>
    <s v="ADM"/>
    <n v="50039236"/>
    <x v="84"/>
    <n v="1"/>
    <s v="REALIZADO"/>
    <s v="BRUNO"/>
    <d v="2025-09-24T00:00:00"/>
    <x v="0"/>
  </r>
  <r>
    <n v="64074"/>
    <s v="MARCOS FERNANDES COLOMBO"/>
    <s v="MPR"/>
    <s v="ADM"/>
    <n v="50043471"/>
    <x v="5"/>
    <n v="1"/>
    <s v="REALIZADO"/>
    <s v="GEOVANE"/>
    <d v="2025-09-24T00:00:00"/>
    <x v="2"/>
  </r>
  <r>
    <n v="64074"/>
    <s v="MARCOS FERNANDES COLOMBO"/>
    <s v="MPR"/>
    <s v="ADM"/>
    <n v="50043471"/>
    <x v="5"/>
    <n v="1"/>
    <s v="REALIZADO"/>
    <s v="JOÃO FRANCISCO"/>
    <d v="2025-09-24T00:00:00"/>
    <x v="0"/>
  </r>
  <r>
    <n v="68760"/>
    <s v="FERDINANDO PAZINI"/>
    <s v="MMG"/>
    <s v="ADM"/>
    <n v="50038549"/>
    <x v="6"/>
    <n v="1"/>
    <s v="REALIZADO"/>
    <s v="KELLY"/>
    <d v="2025-09-24T00:00:00"/>
    <x v="0"/>
  </r>
  <r>
    <n v="68708"/>
    <s v="CLAUDIO TADEU LEITE"/>
    <s v="MMG"/>
    <s v="ADM"/>
    <n v="50038549"/>
    <x v="6"/>
    <n v="1"/>
    <s v="REALIZADO"/>
    <s v="GEOVANE"/>
    <d v="2025-09-24T00:00:00"/>
    <x v="2"/>
  </r>
  <r>
    <n v="68708"/>
    <s v="CLAUDIO TADEU LEITE"/>
    <s v="MMG"/>
    <s v="ADM"/>
    <n v="50038549"/>
    <x v="6"/>
    <n v="1"/>
    <s v="REALIZADO"/>
    <s v="BRUNO"/>
    <d v="2025-09-24T00:00:00"/>
    <x v="2"/>
  </r>
  <r>
    <n v="68760"/>
    <s v="FERDINANDO PAZINI"/>
    <s v="MMG"/>
    <s v="ADM"/>
    <n v="50038549"/>
    <x v="6"/>
    <n v="1"/>
    <s v="REALIZADO"/>
    <s v="BRUNO"/>
    <d v="2025-09-24T00:00:00"/>
    <x v="0"/>
  </r>
  <r>
    <n v="58068"/>
    <s v="REGINALDO PEREIRA"/>
    <s v="MME"/>
    <s v="ADM"/>
    <n v="50038956"/>
    <x v="10"/>
    <n v="1"/>
    <s v="REALIZADO"/>
    <s v="KELLY"/>
    <d v="2025-09-24T00:00:00"/>
    <x v="0"/>
  </r>
  <r>
    <n v="77471"/>
    <s v="DANILO BARBOSA"/>
    <s v="MEE"/>
    <s v="ADM"/>
    <n v="50037892"/>
    <x v="2"/>
    <n v="1"/>
    <s v="REALIZADO"/>
    <s v="KELLY"/>
    <d v="2025-09-24T00:00:00"/>
    <x v="2"/>
  </r>
  <r>
    <n v="77471"/>
    <s v="DANILO BARBOSA"/>
    <s v="MEE"/>
    <s v="ADM"/>
    <n v="50037892"/>
    <x v="2"/>
    <n v="1"/>
    <s v="REALIZADO"/>
    <s v="BRUNO"/>
    <d v="2025-09-24T00:00:00"/>
    <x v="0"/>
  </r>
  <r>
    <n v="67915"/>
    <s v="ANDERSON MARCOLONGO"/>
    <s v="MMG"/>
    <s v="1º TURNO"/>
    <n v="50037892"/>
    <x v="2"/>
    <n v="1"/>
    <s v="REALIZADO"/>
    <s v="BRUNO"/>
    <d v="2025-09-24T00:00:00"/>
    <x v="2"/>
  </r>
  <r>
    <n v="67915"/>
    <s v="ANDERSON MARCOLONGO"/>
    <s v="MMG"/>
    <s v="1º TURNO"/>
    <n v="50037892"/>
    <x v="2"/>
    <n v="1"/>
    <s v="REALIZADO"/>
    <s v="BRUNO"/>
    <d v="2025-09-24T00:00:00"/>
    <x v="0"/>
  </r>
  <r>
    <n v="74611"/>
    <s v="CRISTIAM BORGES"/>
    <s v="MPR"/>
    <s v="ADM"/>
    <n v="50037902"/>
    <x v="14"/>
    <n v="1"/>
    <s v="REALIZADO"/>
    <s v="GEOVANE"/>
    <d v="2025-09-24T00:00:00"/>
    <x v="2"/>
  </r>
  <r>
    <n v="74611"/>
    <s v="CRISTIAM BORGES"/>
    <s v="MPR"/>
    <s v="ADM"/>
    <n v="50037902"/>
    <x v="14"/>
    <n v="1"/>
    <s v="REALIZADO"/>
    <s v="BRUNO"/>
    <d v="2025-09-24T00:00:00"/>
    <x v="0"/>
  </r>
  <r>
    <n v="77526"/>
    <s v="FELIPE GARÇONI"/>
    <s v="MME"/>
    <s v="ADM"/>
    <n v="50038841"/>
    <x v="34"/>
    <n v="1"/>
    <s v="REALIZADO"/>
    <s v="KELLY"/>
    <d v="2025-09-24T00:00:00"/>
    <x v="2"/>
  </r>
  <r>
    <n v="77526"/>
    <s v="FELIPE GARÇONI"/>
    <s v="MME"/>
    <s v="ADM"/>
    <n v="50038841"/>
    <x v="34"/>
    <n v="1"/>
    <s v="REALIZADO"/>
    <s v="BRUNO"/>
    <d v="2025-09-24T00:00:00"/>
    <x v="0"/>
  </r>
  <r>
    <n v="58068"/>
    <s v="REGINALDO PEREIRA"/>
    <s v="MME"/>
    <s v="ADM"/>
    <n v="50038517"/>
    <x v="0"/>
    <n v="1"/>
    <s v="REALIZADO"/>
    <s v="KELLY"/>
    <d v="2025-09-24T00:00:00"/>
    <x v="2"/>
  </r>
  <r>
    <n v="78678"/>
    <s v="MARLOM ROGERIO VIEIRA"/>
    <s v="MME"/>
    <s v="ADM"/>
    <n v="50038517"/>
    <x v="0"/>
    <n v="1"/>
    <s v="REALIZADO"/>
    <s v="BRUNO"/>
    <d v="2025-09-24T00:00:00"/>
    <x v="0"/>
  </r>
  <r>
    <n v="65844"/>
    <s v="ALTEMAR FEITOSA"/>
    <s v="MMG"/>
    <s v="1º TURNO"/>
    <n v="50038517"/>
    <x v="0"/>
    <n v="1"/>
    <s v="REALIZADO"/>
    <s v="BRUNO"/>
    <d v="2025-09-24T00:00:00"/>
    <x v="2"/>
  </r>
  <r>
    <n v="65844"/>
    <s v="ALTEMAR FEITOSA"/>
    <s v="MMG"/>
    <s v="1º TURNO"/>
    <n v="50038517"/>
    <x v="0"/>
    <n v="1"/>
    <s v="REALIZADO"/>
    <s v="BRUNO"/>
    <d v="2025-09-24T00:00:00"/>
    <x v="0"/>
  </r>
  <r>
    <n v="60510"/>
    <s v="EMERSON FOSSALUZA"/>
    <s v="MME"/>
    <s v="1º TURNO"/>
    <n v="50038517"/>
    <x v="0"/>
    <n v="1"/>
    <s v="REALIZADO"/>
    <s v="BRUNO"/>
    <d v="2025-09-24T00:00:00"/>
    <x v="2"/>
  </r>
  <r>
    <n v="60510"/>
    <s v="EMERSON FOSSALUZA"/>
    <s v="MME"/>
    <s v="1º TURNO"/>
    <n v="50038517"/>
    <x v="0"/>
    <n v="1"/>
    <s v="REALIZADO"/>
    <s v="BRUNO"/>
    <d v="2025-09-24T00:00:00"/>
    <x v="0"/>
  </r>
  <r>
    <n v="65472"/>
    <s v="ISRAEL MACEDO"/>
    <s v="MMG"/>
    <s v="ADM"/>
    <n v="50001995"/>
    <x v="44"/>
    <n v="1"/>
    <s v="REALIZADO"/>
    <s v="AGATHA"/>
    <d v="2025-09-24T00:00:00"/>
    <x v="2"/>
  </r>
  <r>
    <n v="65472"/>
    <s v="ISRAEL MACEDO"/>
    <s v="MMG"/>
    <s v="ADM"/>
    <n v="50001995"/>
    <x v="44"/>
    <n v="1"/>
    <s v="REALIZADO"/>
    <s v="GEOVANE"/>
    <d v="2025-09-24T00:00:00"/>
    <x v="0"/>
  </r>
  <r>
    <n v="77526"/>
    <s v="FELIPE GARÇONI"/>
    <s v="MME"/>
    <s v="ADM"/>
    <n v="50039065"/>
    <x v="22"/>
    <n v="1"/>
    <s v="REALIZADO"/>
    <s v="KELLY"/>
    <d v="2025-09-24T00:00:00"/>
    <x v="2"/>
  </r>
  <r>
    <n v="77526"/>
    <s v="FELIPE GARÇONI"/>
    <s v="MME"/>
    <s v="ADM"/>
    <n v="50039065"/>
    <x v="22"/>
    <n v="1"/>
    <s v="REALIZADO"/>
    <s v="BRUNO"/>
    <d v="2025-09-24T00:00:00"/>
    <x v="0"/>
  </r>
  <r>
    <n v="61096"/>
    <s v="REGIVALDO MEDEIROS"/>
    <s v="MME"/>
    <s v="ADM"/>
    <n v="50039065"/>
    <x v="22"/>
    <n v="1"/>
    <s v="REALIZADO"/>
    <s v="BRUNO"/>
    <d v="2025-09-24T00:00:00"/>
    <x v="2"/>
  </r>
  <r>
    <n v="61096"/>
    <s v="REGIVALDO MEDEIROS"/>
    <s v="MME"/>
    <s v="ADM"/>
    <n v="50039065"/>
    <x v="22"/>
    <n v="1"/>
    <s v="REALIZADO"/>
    <s v="BRUNO"/>
    <d v="2025-09-24T00:00:00"/>
    <x v="0"/>
  </r>
  <r>
    <n v="66830"/>
    <s v="MARCIO GOMES DA SILVA"/>
    <s v="MPR"/>
    <s v="ADM"/>
    <n v="50026357"/>
    <x v="24"/>
    <n v="1"/>
    <s v="REALIZADO"/>
    <s v="GEOVANE"/>
    <d v="2025-09-24T00:00:00"/>
    <x v="2"/>
  </r>
  <r>
    <n v="66830"/>
    <s v="MARCIO GOMES DA SILVA"/>
    <s v="MPR"/>
    <s v="ADM"/>
    <n v="50026357"/>
    <x v="24"/>
    <n v="1"/>
    <s v="REALIZADO"/>
    <s v="AGATHA"/>
    <d v="2025-09-24T00:00:00"/>
    <x v="0"/>
  </r>
  <r>
    <n v="77471"/>
    <s v="DANILO BARBOSA"/>
    <s v="MEE"/>
    <s v="ADM"/>
    <n v="50041195"/>
    <x v="21"/>
    <n v="1"/>
    <s v="REALIZADO"/>
    <s v="KELLY"/>
    <d v="2025-09-24T00:00:00"/>
    <x v="2"/>
  </r>
  <r>
    <n v="77471"/>
    <s v="DANILO BARBOSA"/>
    <s v="MEE"/>
    <s v="ADM"/>
    <n v="50041195"/>
    <x v="21"/>
    <n v="1"/>
    <s v="REALIZADO"/>
    <s v="BRUNO"/>
    <d v="2025-09-24T00:00:00"/>
    <x v="0"/>
  </r>
  <r>
    <n v="63399"/>
    <s v="JOAO CARLOS MARIA"/>
    <s v="MPR"/>
    <s v="ADM"/>
    <n v="50043917"/>
    <x v="66"/>
    <n v="1"/>
    <s v="REALIZADO"/>
    <s v="AGATHA"/>
    <d v="2025-09-24T00:00:00"/>
    <x v="2"/>
  </r>
  <r>
    <n v="63399"/>
    <s v="JOAO CARLOS MARIA"/>
    <s v="MPR"/>
    <s v="ADM"/>
    <n v="50043917"/>
    <x v="66"/>
    <n v="1"/>
    <s v="REALIZADO"/>
    <s v="BRUNO"/>
    <d v="2025-09-24T00:00:00"/>
    <x v="2"/>
  </r>
  <r>
    <n v="64074"/>
    <s v="MARCOS FERNANDES COLOMBO"/>
    <s v="MPR"/>
    <s v="ADM"/>
    <n v="50020622"/>
    <x v="42"/>
    <n v="1"/>
    <s v="REALIZADO"/>
    <s v="JOÃO FRANCISCO"/>
    <d v="2025-09-24T00:00:00"/>
    <x v="0"/>
  </r>
  <r>
    <n v="63713"/>
    <s v="BRUNO DIAS"/>
    <s v="MME"/>
    <s v="ADM"/>
    <n v="50010031"/>
    <x v="20"/>
    <n v="1"/>
    <s v="REALIZADO"/>
    <s v="KELLY"/>
    <d v="2025-09-23T00:00:00"/>
    <x v="2"/>
  </r>
  <r>
    <n v="63713"/>
    <s v="BRUNO DIAS"/>
    <s v="MME"/>
    <s v="ADM"/>
    <n v="50010031"/>
    <x v="20"/>
    <n v="1"/>
    <s v="REALIZADO"/>
    <s v="MATHEUS"/>
    <d v="2025-09-23T00:00:00"/>
    <x v="0"/>
  </r>
  <r>
    <n v="68792"/>
    <s v="RODRIGO ROCHA"/>
    <s v="MEE"/>
    <s v="2º TURNO"/>
    <n v="50038991"/>
    <x v="53"/>
    <n v="1"/>
    <s v="REALIZADO"/>
    <s v="GEOVANE"/>
    <d v="2025-09-23T00:00:00"/>
    <x v="0"/>
  </r>
  <r>
    <n v="74874"/>
    <s v="FABIANO MARQUES"/>
    <s v="MMG"/>
    <s v="ADM"/>
    <n v="50039718"/>
    <x v="11"/>
    <n v="1"/>
    <s v="REALIZADO"/>
    <s v="MATHEUS"/>
    <d v="2025-09-23T00:00:00"/>
    <x v="2"/>
  </r>
  <r>
    <n v="74874"/>
    <s v="FABIANO MARQUES"/>
    <s v="MMG"/>
    <s v="ADM"/>
    <n v="50039718"/>
    <x v="11"/>
    <n v="1"/>
    <s v="REALIZADO"/>
    <s v="MATHEUS"/>
    <d v="2025-09-23T00:00:00"/>
    <x v="0"/>
  </r>
  <r>
    <n v="77313"/>
    <s v="ROGERIO"/>
    <s v="MPR"/>
    <s v="ADM"/>
    <n v="50039236"/>
    <x v="84"/>
    <n v="1"/>
    <s v="REALIZADO"/>
    <s v="MATHEUS"/>
    <d v="2025-09-23T00:00:00"/>
    <x v="2"/>
  </r>
  <r>
    <n v="77313"/>
    <s v="ROGERIO"/>
    <s v="MPR"/>
    <s v="ADM"/>
    <n v="50039236"/>
    <x v="84"/>
    <n v="1"/>
    <s v="REALIZADO"/>
    <s v="MATHEUS"/>
    <d v="2025-09-23T00:00:00"/>
    <x v="2"/>
  </r>
  <r>
    <n v="78886"/>
    <s v="DOUGLAS FELICIANO MENDES DE OLIVEIRA"/>
    <s v="MME"/>
    <s v="ADM"/>
    <n v="50038956"/>
    <x v="10"/>
    <n v="1"/>
    <s v="REALIZADO"/>
    <s v="MATHEUS"/>
    <d v="2025-09-23T00:00:00"/>
    <x v="0"/>
  </r>
  <r>
    <n v="78675"/>
    <s v="ORLANDO GOMES"/>
    <s v="MME"/>
    <s v="1º TURNO"/>
    <n v="50037892"/>
    <x v="2"/>
    <n v="1"/>
    <s v="REALIZADO"/>
    <s v="MATHEUS"/>
    <d v="2025-09-23T00:00:00"/>
    <x v="2"/>
  </r>
  <r>
    <n v="78675"/>
    <s v="ORLANDO GOMES"/>
    <s v="MME"/>
    <s v="1º TURNO"/>
    <n v="50037892"/>
    <x v="2"/>
    <n v="1"/>
    <s v="REALIZADO"/>
    <s v="MARCIA"/>
    <d v="2025-09-23T00:00:00"/>
    <x v="0"/>
  </r>
  <r>
    <n v="60115"/>
    <s v="REINALDO FERREIRA"/>
    <s v="MME"/>
    <s v="2º TURNO"/>
    <n v="50037902"/>
    <x v="14"/>
    <n v="1"/>
    <s v="REALIZADO"/>
    <s v="KELLY"/>
    <d v="2025-09-23T00:00:00"/>
    <x v="2"/>
  </r>
  <r>
    <n v="60115"/>
    <s v="REINALDO FERREIRA"/>
    <s v="MME"/>
    <s v="2º TURNO"/>
    <n v="50037902"/>
    <x v="14"/>
    <n v="1"/>
    <s v="REALIZADO"/>
    <s v="KELLY"/>
    <d v="2025-09-23T00:00:00"/>
    <x v="0"/>
  </r>
  <r>
    <n v="65910"/>
    <s v="GABRIEL CAIXETA"/>
    <s v="MEE"/>
    <s v="ADM"/>
    <n v="50038841"/>
    <x v="34"/>
    <n v="1"/>
    <s v="REALIZADO"/>
    <s v="KELLY"/>
    <d v="2025-09-23T00:00:00"/>
    <x v="2"/>
  </r>
  <r>
    <n v="65910"/>
    <s v="GABRIEL CAIXETA"/>
    <s v="MEE"/>
    <s v="ADM"/>
    <n v="50038841"/>
    <x v="34"/>
    <n v="1"/>
    <s v="REALIZADO"/>
    <s v="JOÃO FRANCISCO"/>
    <d v="2025-09-23T00:00:00"/>
    <x v="0"/>
  </r>
  <r>
    <n v="77526"/>
    <s v="FELIPE GARÇONI"/>
    <s v="MME"/>
    <s v="ADM"/>
    <n v="50038841"/>
    <x v="34"/>
    <n v="1"/>
    <s v="REALIZADO"/>
    <s v="MATHEUS"/>
    <d v="2025-09-23T00:00:00"/>
    <x v="2"/>
  </r>
  <r>
    <n v="77526"/>
    <s v="FELIPE GARÇONI"/>
    <s v="MME"/>
    <s v="ADM"/>
    <n v="50038841"/>
    <x v="34"/>
    <n v="1"/>
    <s v="REALIZADO"/>
    <s v="MATHEUS"/>
    <d v="2025-09-23T00:00:00"/>
    <x v="0"/>
  </r>
  <r>
    <n v="74874"/>
    <s v="FABIANO MARQUES"/>
    <s v="MMG"/>
    <s v="ADM"/>
    <n v="50001995"/>
    <x v="44"/>
    <n v="1"/>
    <s v="REALIZADO"/>
    <s v="FELIPE"/>
    <d v="2025-09-23T00:00:00"/>
    <x v="2"/>
  </r>
  <r>
    <n v="74874"/>
    <s v="FABIANO MARQUES"/>
    <s v="MMG"/>
    <s v="ADM"/>
    <n v="50001995"/>
    <x v="44"/>
    <n v="1"/>
    <s v="REALIZADO"/>
    <s v="FELIPE"/>
    <d v="2025-09-23T00:00:00"/>
    <x v="2"/>
  </r>
  <r>
    <n v="62471"/>
    <s v="ELTON LIMA"/>
    <s v="MME"/>
    <s v="ADM"/>
    <n v="50038626"/>
    <x v="72"/>
    <n v="1"/>
    <s v="REALIZADO"/>
    <s v="MATHEUS"/>
    <d v="2025-09-23T00:00:00"/>
    <x v="0"/>
  </r>
  <r>
    <n v="66830"/>
    <s v="MARCIO GOMES DA SILVA"/>
    <s v="MPR"/>
    <s v="ADM"/>
    <n v="50026357"/>
    <x v="24"/>
    <n v="1"/>
    <s v="REALIZADO"/>
    <s v="AGATHA"/>
    <d v="2025-09-23T00:00:00"/>
    <x v="2"/>
  </r>
  <r>
    <n v="66830"/>
    <s v="MARCIO GOMES DA SILVA"/>
    <s v="MPR"/>
    <s v="ADM"/>
    <n v="50026357"/>
    <x v="24"/>
    <n v="1"/>
    <s v="REALIZADO"/>
    <s v="MATHEUS"/>
    <d v="2025-09-23T00:00:00"/>
    <x v="0"/>
  </r>
  <r>
    <n v="74611"/>
    <s v="CRISTIAM BORGES"/>
    <s v="MPR"/>
    <s v="ADM"/>
    <n v="50038662"/>
    <x v="59"/>
    <n v="1"/>
    <s v="REALIZADO"/>
    <s v="GEOVANE"/>
    <d v="2025-09-23T00:00:00"/>
    <x v="2"/>
  </r>
  <r>
    <n v="72713"/>
    <s v="MARCOS AURELIO"/>
    <s v="MPR"/>
    <s v="ADM"/>
    <n v="50038662"/>
    <x v="59"/>
    <n v="1"/>
    <s v="REALIZADO"/>
    <s v="MATHEUS"/>
    <d v="2025-09-23T00:00:00"/>
    <x v="0"/>
  </r>
  <r>
    <n v="65474"/>
    <s v="MARCIO DOS SANTOS"/>
    <s v="MMG"/>
    <s v="1º TURNO"/>
    <n v="50037929"/>
    <x v="109"/>
    <n v="1"/>
    <s v="REALIZADO"/>
    <s v="FABIANO"/>
    <d v="2025-09-23T00:00:00"/>
    <x v="0"/>
  </r>
  <r>
    <n v="62640"/>
    <s v="MARCELINHO"/>
    <s v="MPR"/>
    <s v="ADM"/>
    <n v="50041195"/>
    <x v="21"/>
    <n v="1"/>
    <s v="REALIZADO"/>
    <s v="AGATHA"/>
    <d v="2025-09-23T00:00:00"/>
    <x v="2"/>
  </r>
  <r>
    <n v="62640"/>
    <s v="MARCELINHO"/>
    <s v="MPR"/>
    <s v="ADM"/>
    <n v="50041195"/>
    <x v="21"/>
    <n v="1"/>
    <s v="REALIZADO"/>
    <s v="MATHEUS"/>
    <d v="2025-09-23T00:00:00"/>
    <x v="0"/>
  </r>
  <r>
    <n v="62640"/>
    <s v="MARCELINHO"/>
    <s v="MPR"/>
    <s v="ADM"/>
    <n v="50043917"/>
    <x v="66"/>
    <n v="1"/>
    <s v="REALIZADO"/>
    <s v="AGATHA"/>
    <d v="2025-09-23T00:00:00"/>
    <x v="2"/>
  </r>
  <r>
    <n v="62640"/>
    <s v="MARCELINHO"/>
    <s v="MPR"/>
    <s v="ADM"/>
    <n v="50043917"/>
    <x v="66"/>
    <n v="1"/>
    <s v="REALIZADO"/>
    <s v="MATHEUS"/>
    <d v="2025-09-23T00:00:00"/>
    <x v="0"/>
  </r>
  <r>
    <n v="77521"/>
    <s v="LUCAS LIRA"/>
    <s v="MME"/>
    <s v="ADM"/>
    <n v="50004486"/>
    <x v="40"/>
    <n v="1"/>
    <s v="REALIZADO"/>
    <s v="GEOVANE"/>
    <d v="2025-09-23T00:00:00"/>
    <x v="2"/>
  </r>
  <r>
    <n v="77521"/>
    <s v="LUCAS LIRA"/>
    <s v="MME"/>
    <s v="ADM"/>
    <n v="50004486"/>
    <x v="40"/>
    <n v="1"/>
    <s v="REALIZADO"/>
    <s v="MATHEUS"/>
    <d v="2025-09-23T00:00:00"/>
    <x v="0"/>
  </r>
  <r>
    <n v="58734"/>
    <s v="FABIO CARVALHO"/>
    <s v="MME"/>
    <s v="2º TURNO"/>
    <n v="50032775"/>
    <x v="13"/>
    <n v="1"/>
    <s v="REALIZADO"/>
    <s v="KELLY"/>
    <d v="2025-09-23T00:00:00"/>
    <x v="2"/>
  </r>
  <r>
    <n v="72808"/>
    <s v="CAIO NASCIMENTO"/>
    <s v="MME"/>
    <s v="2º TURNO"/>
    <n v="50032775"/>
    <x v="13"/>
    <n v="1"/>
    <s v="REALIZADO"/>
    <s v="KELLY"/>
    <d v="2025-09-23T00:00:00"/>
    <x v="0"/>
  </r>
  <r>
    <n v="74611"/>
    <s v="CRISTIAM BORGES"/>
    <s v="MPR"/>
    <s v="ADM"/>
    <n v="50038840"/>
    <x v="68"/>
    <n v="1"/>
    <s v="REALIZADO"/>
    <s v="GEOVANE"/>
    <d v="2025-09-23T00:00:00"/>
    <x v="2"/>
  </r>
  <r>
    <n v="72713"/>
    <s v="MARCOS AURELIO"/>
    <s v="MPR"/>
    <s v="ADM"/>
    <n v="50038840"/>
    <x v="68"/>
    <n v="1"/>
    <s v="REALIZADO"/>
    <s v="MATHEUS"/>
    <d v="2025-09-23T00:00:00"/>
    <x v="0"/>
  </r>
  <r>
    <n v="61264"/>
    <s v="EVERTON GERONIMO"/>
    <s v="MMG"/>
    <s v="ADM"/>
    <n v="50037933"/>
    <x v="43"/>
    <n v="1"/>
    <s v="REALIZADO"/>
    <s v="AGATHA"/>
    <d v="2025-09-23T00:00:00"/>
    <x v="2"/>
  </r>
  <r>
    <n v="69778"/>
    <s v="JEAN FELIPE"/>
    <s v="MEE"/>
    <s v="1º TURNO"/>
    <n v="50037933"/>
    <x v="43"/>
    <n v="1"/>
    <s v="REALIZADO"/>
    <s v="MATHEUS"/>
    <d v="2025-09-23T00:00:00"/>
    <x v="0"/>
  </r>
  <r>
    <n v="72713"/>
    <s v="MARCOS AURELIO"/>
    <s v="MPR"/>
    <s v="ADM"/>
    <n v="50038854"/>
    <x v="27"/>
    <n v="1"/>
    <s v="REALIZADO"/>
    <s v="MARCIA"/>
    <d v="2025-09-22T00:00:00"/>
    <x v="2"/>
  </r>
  <r>
    <n v="72713"/>
    <s v="MARCOS AURELIO"/>
    <s v="MPR"/>
    <s v="ADM"/>
    <n v="50038854"/>
    <x v="27"/>
    <n v="1"/>
    <s v="REALIZADO"/>
    <s v="MARCIA"/>
    <d v="2025-09-22T00:00:00"/>
    <x v="2"/>
  </r>
  <r>
    <n v="68792"/>
    <s v="RODRIGO ROCHA"/>
    <s v="MEE"/>
    <s v="2º TURNO"/>
    <n v="50038991"/>
    <x v="53"/>
    <n v="1"/>
    <s v="REALIZADO"/>
    <s v="KELLY"/>
    <d v="2025-09-22T00:00:00"/>
    <x v="0"/>
  </r>
  <r>
    <n v="73878"/>
    <s v="EVANDRO TANAKA"/>
    <s v="MMG"/>
    <s v="ADM"/>
    <n v="50037905"/>
    <x v="49"/>
    <n v="1"/>
    <s v="REALIZADO"/>
    <s v="KELLY"/>
    <d v="2025-09-22T00:00:00"/>
    <x v="2"/>
  </r>
  <r>
    <n v="73878"/>
    <s v="EVANDRO TANAKA"/>
    <s v="MMG"/>
    <s v="ADM"/>
    <n v="50037905"/>
    <x v="49"/>
    <n v="1"/>
    <s v="REALIZADO"/>
    <s v="AGATHA"/>
    <d v="2025-09-22T00:00:00"/>
    <x v="0"/>
  </r>
  <r>
    <n v="66830"/>
    <s v="MARCIO GOMES DA SILVA"/>
    <s v="MPR"/>
    <s v="ADM"/>
    <n v="50037916"/>
    <x v="70"/>
    <n v="1"/>
    <s v="REALIZADO"/>
    <s v="AGATHA"/>
    <d v="2025-09-22T00:00:00"/>
    <x v="2"/>
  </r>
  <r>
    <n v="66830"/>
    <s v="MARCIO GOMES DA SILVA"/>
    <s v="MPR"/>
    <s v="ADM"/>
    <n v="50037916"/>
    <x v="70"/>
    <n v="1"/>
    <s v="REALIZADO"/>
    <s v="AGATHA"/>
    <d v="2025-09-22T00:00:00"/>
    <x v="2"/>
  </r>
  <r>
    <n v="67915"/>
    <s v="ANDERSON MARCOLONGO"/>
    <s v="MMG"/>
    <s v="1º TURNO"/>
    <n v="50038956"/>
    <x v="10"/>
    <n v="1"/>
    <s v="REALIZADO"/>
    <s v="MARCIA"/>
    <d v="2025-09-22T00:00:00"/>
    <x v="0"/>
  </r>
  <r>
    <n v="65472"/>
    <s v="ISRAEL MACEDO"/>
    <s v="MMG"/>
    <s v="ADM"/>
    <n v="50037892"/>
    <x v="2"/>
    <n v="1"/>
    <s v="REALIZADO"/>
    <s v="AGATHA"/>
    <d v="2025-09-22T00:00:00"/>
    <x v="2"/>
  </r>
  <r>
    <n v="65472"/>
    <s v="ISRAEL MACEDO"/>
    <s v="MMG"/>
    <s v="ADM"/>
    <n v="50037892"/>
    <x v="2"/>
    <n v="1"/>
    <s v="REALIZADO"/>
    <s v="AGATHA"/>
    <d v="2025-09-22T00:00:00"/>
    <x v="0"/>
  </r>
  <r>
    <n v="74611"/>
    <s v="CRISTIAM BORGES"/>
    <s v="MPR"/>
    <s v="ADM"/>
    <n v="50037892"/>
    <x v="2"/>
    <n v="1"/>
    <s v="REALIZADO"/>
    <s v="AGATHA"/>
    <d v="2025-09-22T00:00:00"/>
    <x v="2"/>
  </r>
  <r>
    <n v="74611"/>
    <s v="CRISTIAM BORGES"/>
    <s v="MPR"/>
    <s v="ADM"/>
    <n v="50037892"/>
    <x v="2"/>
    <n v="1"/>
    <s v="REALIZADO"/>
    <s v="MARCIA"/>
    <d v="2025-09-22T00:00:00"/>
    <x v="0"/>
  </r>
  <r>
    <n v="73878"/>
    <s v="EVANDRO TANAKA"/>
    <s v="MMG"/>
    <s v="ADM"/>
    <n v="50037902"/>
    <x v="14"/>
    <n v="1"/>
    <s v="REALIZADO"/>
    <s v="KELLY"/>
    <d v="2025-09-22T00:00:00"/>
    <x v="0"/>
  </r>
  <r>
    <n v="78886"/>
    <s v="DOUGLAS FELICIANO MENDES DE OLIVEIRA"/>
    <s v="MME"/>
    <s v="ADM"/>
    <n v="50038841"/>
    <x v="34"/>
    <n v="1"/>
    <s v="REALIZADO"/>
    <s v="AGATHA"/>
    <d v="2025-09-22T00:00:00"/>
    <x v="2"/>
  </r>
  <r>
    <n v="78886"/>
    <s v="DOUGLAS FELICIANO MENDES DE OLIVEIRA"/>
    <s v="MME"/>
    <s v="ADM"/>
    <n v="50038841"/>
    <x v="34"/>
    <n v="1"/>
    <s v="REALIZADO"/>
    <s v="AGATHA"/>
    <d v="2025-09-22T00:00:00"/>
    <x v="0"/>
  </r>
  <r>
    <n v="65131"/>
    <s v="GUILHERME VECHIO"/>
    <s v="MMG"/>
    <s v="2º TURNO"/>
    <n v="50039065"/>
    <x v="22"/>
    <n v="1"/>
    <s v="REALIZADO"/>
    <s v="KELLY"/>
    <d v="2025-09-22T00:00:00"/>
    <x v="2"/>
  </r>
  <r>
    <n v="65131"/>
    <s v="GUILHERME VECHIO"/>
    <s v="MMG"/>
    <s v="2º TURNO"/>
    <n v="50039065"/>
    <x v="22"/>
    <n v="1"/>
    <s v="REALIZADO"/>
    <s v="KELLY"/>
    <d v="2025-09-22T00:00:00"/>
    <x v="0"/>
  </r>
  <r>
    <n v="63713"/>
    <s v="BRUNO DIAS"/>
    <s v="MME"/>
    <s v="ADM"/>
    <n v="50039065"/>
    <x v="22"/>
    <n v="1"/>
    <s v="REALIZADO"/>
    <s v="AGATHA"/>
    <d v="2025-09-22T00:00:00"/>
    <x v="2"/>
  </r>
  <r>
    <n v="63713"/>
    <s v="BRUNO DIAS"/>
    <s v="MME"/>
    <s v="ADM"/>
    <n v="50039065"/>
    <x v="22"/>
    <n v="1"/>
    <s v="REALIZADO"/>
    <s v="AGATHA"/>
    <d v="2025-09-22T00:00:00"/>
    <x v="0"/>
  </r>
  <r>
    <n v="65084"/>
    <s v="TIAGO DE BRITO"/>
    <s v="MMG"/>
    <s v="3º TURNO"/>
    <n v="50038626"/>
    <x v="72"/>
    <n v="1"/>
    <s v="REALIZADO"/>
    <s v="FABIANO"/>
    <d v="2025-09-22T00:00:00"/>
    <x v="0"/>
  </r>
  <r>
    <n v="66830"/>
    <s v="MARCIO GOMES DA SILVA"/>
    <s v="MPR"/>
    <s v="ADM"/>
    <n v="50026357"/>
    <x v="24"/>
    <n v="1"/>
    <s v="REALIZADO"/>
    <s v="AGATHA"/>
    <d v="2025-09-22T00:00:00"/>
    <x v="2"/>
  </r>
  <r>
    <n v="66830"/>
    <s v="MARCIO GOMES DA SILVA"/>
    <s v="MPR"/>
    <s v="ADM"/>
    <n v="50026357"/>
    <x v="24"/>
    <n v="1"/>
    <s v="REALIZADO"/>
    <s v="AGATHA"/>
    <d v="2025-09-22T00:00:00"/>
    <x v="2"/>
  </r>
  <r>
    <n v="65474"/>
    <s v="MARCIO DOS SANTOS"/>
    <s v="MMG"/>
    <s v="1º TURNO"/>
    <n v="50037929"/>
    <x v="109"/>
    <n v="1"/>
    <s v="REALIZADO"/>
    <s v="FABIANO"/>
    <d v="2025-09-22T00:00:00"/>
    <x v="0"/>
  </r>
  <r>
    <n v="62640"/>
    <s v="MARCELINHO"/>
    <s v="MPR"/>
    <s v="ADM"/>
    <n v="50041195"/>
    <x v="21"/>
    <n v="1"/>
    <s v="REALIZADO"/>
    <s v="KELLY"/>
    <d v="2025-09-22T00:00:00"/>
    <x v="2"/>
  </r>
  <r>
    <n v="62640"/>
    <s v="MARCELINHO"/>
    <s v="MPR"/>
    <s v="ADM"/>
    <n v="50041195"/>
    <x v="21"/>
    <n v="1"/>
    <s v="REALIZADO"/>
    <s v="MARCIA"/>
    <d v="2025-09-22T00:00:00"/>
    <x v="0"/>
  </r>
  <r>
    <n v="77526"/>
    <s v="FELIPE GARÇONI"/>
    <s v="MME"/>
    <s v="ADM"/>
    <n v="50043917"/>
    <x v="66"/>
    <n v="1"/>
    <s v="REALIZADO"/>
    <s v="AGATHA"/>
    <d v="2025-09-22T00:00:00"/>
    <x v="2"/>
  </r>
  <r>
    <n v="77526"/>
    <s v="FELIPE GARÇONI"/>
    <s v="MME"/>
    <s v="ADM"/>
    <n v="50043917"/>
    <x v="66"/>
    <n v="1"/>
    <s v="REALIZADO"/>
    <s v="AGATHA"/>
    <d v="2025-09-22T00:00:00"/>
    <x v="2"/>
  </r>
  <r>
    <n v="68792"/>
    <s v="RODRIGO ROCHA"/>
    <s v="MEE"/>
    <s v="2º TURNO"/>
    <n v="50037933"/>
    <x v="43"/>
    <n v="1"/>
    <s v="REALIZADO"/>
    <s v="KELLY"/>
    <d v="2025-09-22T00:00:00"/>
    <x v="0"/>
  </r>
  <r>
    <n v="68792"/>
    <s v="RODRIGO ROCHA"/>
    <s v="MEE"/>
    <s v="2º TURNO"/>
    <n v="50037933"/>
    <x v="43"/>
    <n v="1"/>
    <s v="REALIZADO"/>
    <s v="KELLY"/>
    <d v="2025-09-22T00:00:00"/>
    <x v="2"/>
  </r>
  <r>
    <n v="61761"/>
    <s v="JOAO BORTOLI"/>
    <s v="MEE"/>
    <s v="2º TURNO"/>
    <n v="50037933"/>
    <x v="43"/>
    <n v="1"/>
    <s v="REALIZADO"/>
    <s v="AGATHA"/>
    <d v="2025-09-22T00:00:00"/>
    <x v="0"/>
  </r>
  <r>
    <n v="62180"/>
    <s v="JOSE AUGUSTO MASSUCHINI"/>
    <s v="MMG"/>
    <s v="ADM"/>
    <n v="50037905"/>
    <x v="49"/>
    <n v="1"/>
    <s v="REALIZADO"/>
    <s v="FELIPE"/>
    <d v="2025-09-21T00:00:00"/>
    <x v="2"/>
  </r>
  <r>
    <n v="62180"/>
    <s v="JOSE AUGUSTO MASSUCHINI"/>
    <s v="MMG"/>
    <s v="ADM"/>
    <n v="50037905"/>
    <x v="49"/>
    <n v="1"/>
    <s v="REALIZADO"/>
    <s v="FELIPE"/>
    <d v="2025-09-21T00:00:00"/>
    <x v="2"/>
  </r>
  <r>
    <n v="66789"/>
    <s v="ERICK GUERRA"/>
    <s v="MME"/>
    <s v="1º TURNO"/>
    <n v="50038517"/>
    <x v="0"/>
    <n v="1"/>
    <s v="REALIZADO"/>
    <s v="MARINA"/>
    <d v="2025-09-21T00:00:00"/>
    <x v="0"/>
  </r>
  <r>
    <n v="66789"/>
    <s v="ERICK GUERRA"/>
    <s v="MME"/>
    <s v="1º TURNO"/>
    <n v="50038517"/>
    <x v="0"/>
    <n v="1"/>
    <s v="REALIZADO"/>
    <s v="MARINA"/>
    <d v="2025-09-21T00:00:00"/>
    <x v="2"/>
  </r>
  <r>
    <n v="67863"/>
    <s v="MARCELO PAIM"/>
    <s v="MME"/>
    <s v="1º TURNO"/>
    <n v="50038626"/>
    <x v="72"/>
    <n v="1"/>
    <s v="REALIZADO"/>
    <s v="MARINA"/>
    <d v="2025-09-21T00:00:00"/>
    <x v="0"/>
  </r>
  <r>
    <n v="67863"/>
    <s v="MARCELO PAIM"/>
    <s v="MME"/>
    <s v="1º TURNO"/>
    <n v="50038626"/>
    <x v="72"/>
    <n v="1"/>
    <s v="REALIZADO"/>
    <s v="MARINA"/>
    <d v="2025-09-21T00:00:00"/>
    <x v="2"/>
  </r>
  <r>
    <n v="65084"/>
    <s v="TIAGO DE BRITO"/>
    <s v="MMG"/>
    <s v="3º TURNO"/>
    <n v="50038626"/>
    <x v="72"/>
    <n v="1"/>
    <s v="REALIZADO"/>
    <s v="FABIANO"/>
    <d v="2025-09-21T00:00:00"/>
    <x v="0"/>
  </r>
  <r>
    <n v="62419"/>
    <s v="EDMAR CAMILO"/>
    <s v="MEE"/>
    <s v="3º TURNO"/>
    <n v="50037933"/>
    <x v="43"/>
    <n v="1"/>
    <s v="REALIZADO"/>
    <s v="EDMAR"/>
    <d v="2025-09-21T00:00:00"/>
    <x v="0"/>
  </r>
  <r>
    <n v="74874"/>
    <s v="FABIANO MARQUES"/>
    <s v="MMG"/>
    <s v="ADM"/>
    <n v="50037905"/>
    <x v="49"/>
    <n v="1"/>
    <s v="REALIZADO"/>
    <s v="KELLY"/>
    <d v="2025-09-20T00:00:00"/>
    <x v="2"/>
  </r>
  <r>
    <n v="74874"/>
    <s v="FABIANO MARQUES"/>
    <s v="MMG"/>
    <s v="ADM"/>
    <n v="50037905"/>
    <x v="49"/>
    <n v="1"/>
    <s v="REALIZADO"/>
    <s v="KELLY"/>
    <d v="2025-09-20T00:00:00"/>
    <x v="0"/>
  </r>
  <r>
    <n v="67863"/>
    <s v="MARCELO PAIM"/>
    <s v="MME"/>
    <s v="1º TURNO"/>
    <n v="50003297"/>
    <x v="8"/>
    <n v="1"/>
    <s v="REALIZADO"/>
    <s v="KELLY"/>
    <d v="2025-09-20T00:00:00"/>
    <x v="2"/>
  </r>
  <r>
    <n v="67863"/>
    <s v="MARCELO PAIM"/>
    <s v="MME"/>
    <s v="1º TURNO"/>
    <n v="50003297"/>
    <x v="8"/>
    <n v="1"/>
    <s v="REALIZADO"/>
    <s v="KELLY"/>
    <d v="2025-09-20T00:00:00"/>
    <x v="0"/>
  </r>
  <r>
    <n v="66790"/>
    <s v="EVERTON BOLOGNES"/>
    <s v="MMG"/>
    <s v="2º TURNO"/>
    <n v="50038549"/>
    <x v="6"/>
    <n v="1"/>
    <s v="REALIZADO"/>
    <s v="KELLY"/>
    <d v="2025-09-20T00:00:00"/>
    <x v="2"/>
  </r>
  <r>
    <n v="73878"/>
    <s v="EVANDRO TANAKA"/>
    <s v="MMG"/>
    <s v="ADM"/>
    <n v="50037902"/>
    <x v="14"/>
    <n v="1"/>
    <s v="REALIZADO"/>
    <s v="KELLY"/>
    <d v="2025-09-20T00:00:00"/>
    <x v="0"/>
  </r>
  <r>
    <n v="66789"/>
    <s v="ERICK GUERRA"/>
    <s v="MME"/>
    <s v="1º TURNO"/>
    <n v="50037902"/>
    <x v="14"/>
    <n v="1"/>
    <s v="REALIZADO"/>
    <s v="KELLY"/>
    <d v="2025-09-20T00:00:00"/>
    <x v="2"/>
  </r>
  <r>
    <n v="66789"/>
    <s v="ERICK GUERRA"/>
    <s v="MME"/>
    <s v="1º TURNO"/>
    <n v="50037902"/>
    <x v="14"/>
    <n v="1"/>
    <s v="REALIZADO"/>
    <s v="KELLY"/>
    <d v="2025-09-20T00:00:00"/>
    <x v="0"/>
  </r>
  <r>
    <n v="64253"/>
    <s v="DANIEL JULIAO"/>
    <s v="MMG"/>
    <s v="ADM"/>
    <n v="50037902"/>
    <x v="14"/>
    <n v="1"/>
    <s v="REALIZADO"/>
    <s v="KELLY"/>
    <d v="2025-09-20T00:00:00"/>
    <x v="2"/>
  </r>
  <r>
    <n v="66789"/>
    <s v="ERICK GUERRA"/>
    <s v="MME"/>
    <s v="1º TURNO"/>
    <n v="50036297"/>
    <x v="100"/>
    <n v="1"/>
    <s v="REALIZADO"/>
    <s v="KELLY"/>
    <d v="2025-09-20T00:00:00"/>
    <x v="0"/>
  </r>
  <r>
    <n v="60546"/>
    <s v="EMERSON DOS SANTOS"/>
    <s v="MMG"/>
    <s v="3º TURNO"/>
    <n v="50041195"/>
    <x v="21"/>
    <n v="1"/>
    <s v="REALIZADO"/>
    <s v="GLAUBER"/>
    <d v="2025-09-20T00:00:00"/>
    <x v="2"/>
  </r>
  <r>
    <n v="62419"/>
    <s v="EDMAR CAMILO"/>
    <s v="MEE"/>
    <s v="3º TURNO"/>
    <n v="50037933"/>
    <x v="43"/>
    <n v="1"/>
    <s v="REALIZADO"/>
    <s v="EDMAR"/>
    <d v="2025-09-20T00:00:00"/>
    <x v="2"/>
  </r>
  <r>
    <n v="68760"/>
    <s v="FERDINANDO PAZINI"/>
    <s v="MMG"/>
    <s v="ADM"/>
    <n v="50037960"/>
    <x v="37"/>
    <n v="1"/>
    <s v="REALIZADO"/>
    <s v="BRUNO"/>
    <d v="2025-09-19T00:00:00"/>
    <x v="2"/>
  </r>
  <r>
    <n v="68760"/>
    <s v="FERDINANDO PAZINI"/>
    <s v="MMG"/>
    <s v="ADM"/>
    <n v="50037961"/>
    <x v="36"/>
    <n v="1"/>
    <s v="REALIZADO"/>
    <s v="BRUNO"/>
    <d v="2025-09-19T00:00:00"/>
    <x v="0"/>
  </r>
  <r>
    <n v="77521"/>
    <s v="LUCAS LIRA"/>
    <s v="MME"/>
    <s v="ADM"/>
    <n v="50043471"/>
    <x v="5"/>
    <n v="1"/>
    <s v="REALIZADO"/>
    <s v="AGATHA"/>
    <d v="2025-09-19T00:00:00"/>
    <x v="2"/>
  </r>
  <r>
    <n v="77521"/>
    <s v="LUCAS LIRA"/>
    <s v="MME"/>
    <s v="ADM"/>
    <n v="50043471"/>
    <x v="5"/>
    <n v="1"/>
    <s v="REALIZADO"/>
    <s v="GEOVANE"/>
    <d v="2025-09-19T00:00:00"/>
    <x v="0"/>
  </r>
  <r>
    <n v="77313"/>
    <s v="ROGERIO"/>
    <s v="MPR"/>
    <s v="ADM"/>
    <n v="50043471"/>
    <x v="5"/>
    <n v="1"/>
    <s v="REALIZADO"/>
    <s v="MATHEUS"/>
    <d v="2025-09-19T00:00:00"/>
    <x v="2"/>
  </r>
  <r>
    <n v="77313"/>
    <s v="ROGERIO"/>
    <s v="MPR"/>
    <s v="ADM"/>
    <n v="50043471"/>
    <x v="5"/>
    <n v="1"/>
    <s v="REALIZADO"/>
    <s v="BRUNO"/>
    <d v="2025-09-19T00:00:00"/>
    <x v="2"/>
  </r>
  <r>
    <n v="66790"/>
    <s v="EVERTON BOLOGNES"/>
    <s v="MMG"/>
    <s v="2º TURNO"/>
    <n v="50038549"/>
    <x v="6"/>
    <n v="1"/>
    <s v="REALIZADO"/>
    <s v="AGATHA"/>
    <d v="2025-09-19T00:00:00"/>
    <x v="2"/>
  </r>
  <r>
    <n v="62444"/>
    <s v="VALMIR GREGUI"/>
    <s v="MMG"/>
    <s v="3º TURNO"/>
    <n v="50038549"/>
    <x v="6"/>
    <n v="1"/>
    <s v="REALIZADO"/>
    <s v="FABIANO"/>
    <d v="2025-09-19T00:00:00"/>
    <x v="0"/>
  </r>
  <r>
    <n v="62444"/>
    <s v="VALMIR GREGUI"/>
    <s v="MMG"/>
    <s v="3º TURNO"/>
    <n v="50038549"/>
    <x v="6"/>
    <n v="1"/>
    <s v="REALIZADO"/>
    <s v="FABIANO"/>
    <d v="2025-09-19T00:00:00"/>
    <x v="0"/>
  </r>
  <r>
    <n v="65472"/>
    <s v="ISRAEL MACEDO"/>
    <s v="MMG"/>
    <s v="ADM"/>
    <n v="50038956"/>
    <x v="10"/>
    <n v="1"/>
    <s v="REALIZADO"/>
    <s v="MATHEUS"/>
    <d v="2025-09-19T00:00:00"/>
    <x v="0"/>
  </r>
  <r>
    <n v="65472"/>
    <s v="ISRAEL MACEDO"/>
    <s v="MMG"/>
    <s v="ADM"/>
    <n v="50038956"/>
    <x v="10"/>
    <n v="1"/>
    <s v="REALIZADO"/>
    <s v="BRUNO"/>
    <d v="2025-09-19T00:00:00"/>
    <x v="2"/>
  </r>
  <r>
    <n v="65472"/>
    <s v="ISRAEL MACEDO"/>
    <s v="MMG"/>
    <s v="ADM"/>
    <n v="50038956"/>
    <x v="10"/>
    <n v="1"/>
    <s v="REALIZADO"/>
    <s v="BRUNO"/>
    <d v="2025-09-19T00:00:00"/>
    <x v="0"/>
  </r>
  <r>
    <n v="72707"/>
    <s v="LEONARDO DOS SANTOS"/>
    <s v="MPR"/>
    <s v="ADM"/>
    <n v="50037892"/>
    <x v="2"/>
    <n v="1"/>
    <s v="REALIZADO"/>
    <s v="GEOVANE"/>
    <d v="2025-09-19T00:00:00"/>
    <x v="2"/>
  </r>
  <r>
    <n v="72707"/>
    <s v="LEONARDO DOS SANTOS"/>
    <s v="MPR"/>
    <s v="ADM"/>
    <n v="50037892"/>
    <x v="2"/>
    <n v="1"/>
    <s v="REALIZADO"/>
    <s v="BRUNO"/>
    <d v="2025-09-19T00:00:00"/>
    <x v="2"/>
  </r>
  <r>
    <n v="64253"/>
    <s v="DANIEL JULIAO"/>
    <s v="MMG"/>
    <s v="ADM"/>
    <n v="50037902"/>
    <x v="14"/>
    <n v="1"/>
    <s v="REALIZADO"/>
    <s v="AGATHA"/>
    <d v="2025-09-19T00:00:00"/>
    <x v="0"/>
  </r>
  <r>
    <n v="60135"/>
    <s v="ALEXANDRE CALDAS"/>
    <s v="MME"/>
    <s v="1º TURNO"/>
    <n v="50038841"/>
    <x v="34"/>
    <n v="1"/>
    <s v="REALIZADO"/>
    <s v="AGATHA"/>
    <d v="2025-09-19T00:00:00"/>
    <x v="2"/>
  </r>
  <r>
    <n v="60135"/>
    <s v="ALEXANDRE CALDAS"/>
    <s v="MME"/>
    <s v="1º TURNO"/>
    <n v="50038841"/>
    <x v="34"/>
    <n v="1"/>
    <s v="REALIZADO"/>
    <s v="BRUNO"/>
    <d v="2025-09-19T00:00:00"/>
    <x v="0"/>
  </r>
  <r>
    <n v="77594"/>
    <s v="VINICIUS ROBLES"/>
    <s v="MME"/>
    <s v="ADM"/>
    <n v="50041195"/>
    <x v="21"/>
    <n v="1"/>
    <s v="REALIZADO"/>
    <s v="AGATHA"/>
    <d v="2025-09-19T00:00:00"/>
    <x v="2"/>
  </r>
  <r>
    <n v="77594"/>
    <s v="VINICIUS ROBLES"/>
    <s v="MME"/>
    <s v="ADM"/>
    <n v="50041195"/>
    <x v="21"/>
    <n v="1"/>
    <s v="REALIZADO"/>
    <s v="AGATHA"/>
    <d v="2025-09-19T00:00:00"/>
    <x v="0"/>
  </r>
  <r>
    <n v="77521"/>
    <s v="LUCAS LIRA"/>
    <s v="MME"/>
    <s v="ADM"/>
    <n v="50041195"/>
    <x v="21"/>
    <n v="1"/>
    <s v="REALIZADO"/>
    <s v="GEOVANE"/>
    <d v="2025-09-19T00:00:00"/>
    <x v="2"/>
  </r>
  <r>
    <n v="77521"/>
    <s v="LUCAS LIRA"/>
    <s v="MME"/>
    <s v="ADM"/>
    <n v="50041195"/>
    <x v="21"/>
    <n v="1"/>
    <s v="REALIZADO"/>
    <s v="BRUNO"/>
    <d v="2025-09-19T00:00:00"/>
    <x v="2"/>
  </r>
  <r>
    <n v="60546"/>
    <s v="EMERSON DOS SANTOS"/>
    <s v="MMG"/>
    <s v="3º TURNO"/>
    <n v="50041195"/>
    <x v="21"/>
    <n v="1"/>
    <s v="REALIZADO"/>
    <s v="GLAUBER"/>
    <d v="2025-09-19T00:00:00"/>
    <x v="2"/>
  </r>
  <r>
    <n v="63770"/>
    <s v="DANILO DA SILVA"/>
    <s v="MMG"/>
    <s v="ADM"/>
    <n v="50043917"/>
    <x v="66"/>
    <n v="1"/>
    <s v="REALIZADO"/>
    <s v="GEOVANE"/>
    <d v="2025-09-19T00:00:00"/>
    <x v="0"/>
  </r>
  <r>
    <n v="63770"/>
    <s v="DANILO DA SILVA"/>
    <s v="MMG"/>
    <s v="ADM"/>
    <n v="50037920"/>
    <x v="110"/>
    <n v="1"/>
    <s v="REALIZADO"/>
    <s v="BRUNO"/>
    <d v="2025-09-19T00:00:00"/>
    <x v="2"/>
  </r>
  <r>
    <n v="63770"/>
    <s v="DANILO DA SILVA"/>
    <s v="MMG"/>
    <s v="ADM"/>
    <n v="50037920"/>
    <x v="110"/>
    <n v="1"/>
    <s v="REALIZADO"/>
    <s v="BRUNO"/>
    <d v="2025-09-19T00:00:00"/>
    <x v="0"/>
  </r>
  <r>
    <n v="65844"/>
    <s v="ALTEMAR FEITOSA"/>
    <s v="MMG"/>
    <s v="1º TURNO"/>
    <n v="50043150"/>
    <x v="4"/>
    <n v="1"/>
    <s v="REALIZADO"/>
    <s v="GEOVANE"/>
    <d v="2025-09-19T00:00:00"/>
    <x v="2"/>
  </r>
  <r>
    <n v="65844"/>
    <s v="ALTEMAR FEITOSA"/>
    <s v="MMG"/>
    <s v="1º TURNO"/>
    <n v="50043150"/>
    <x v="4"/>
    <n v="1"/>
    <s v="REALIZADO"/>
    <s v="BRUNO"/>
    <d v="2025-09-19T00:00:00"/>
    <x v="0"/>
  </r>
  <r>
    <n v="72713"/>
    <s v="MARCOS AURELIO"/>
    <s v="MPR"/>
    <s v="ADM"/>
    <n v="50041194"/>
    <x v="80"/>
    <n v="1"/>
    <s v="REALIZADO"/>
    <s v="GEOVANE"/>
    <d v="2025-09-19T00:00:00"/>
    <x v="2"/>
  </r>
  <r>
    <n v="72713"/>
    <s v="MARCOS AURELIO"/>
    <s v="MPR"/>
    <s v="ADM"/>
    <n v="50041194"/>
    <x v="80"/>
    <n v="1"/>
    <s v="REALIZADO"/>
    <s v="GEOVANE"/>
    <d v="2025-09-19T00:00:00"/>
    <x v="0"/>
  </r>
  <r>
    <n v="74611"/>
    <s v="CRISTIAM BORGES"/>
    <s v="MPR"/>
    <s v="ADM"/>
    <n v="50010031"/>
    <x v="20"/>
    <n v="1"/>
    <s v="REALIZADO"/>
    <s v="GEOVANE"/>
    <d v="2025-09-18T00:00:00"/>
    <x v="2"/>
  </r>
  <r>
    <n v="74611"/>
    <s v="CRISTIAM BORGES"/>
    <s v="MPR"/>
    <s v="ADM"/>
    <n v="50010031"/>
    <x v="20"/>
    <n v="1"/>
    <s v="REALIZADO"/>
    <s v="BRUNO"/>
    <d v="2025-09-18T00:00:00"/>
    <x v="0"/>
  </r>
  <r>
    <n v="77514"/>
    <s v="Vinicius Rodrigo da Silva Seren"/>
    <s v="MEE"/>
    <s v="2º TURNO"/>
    <n v="50038991"/>
    <x v="53"/>
    <n v="1"/>
    <s v="REALIZADO"/>
    <s v="KELLY"/>
    <d v="2025-09-18T00:00:00"/>
    <x v="2"/>
  </r>
  <r>
    <n v="77514"/>
    <s v="Vinicius Rodrigo da Silva Seren"/>
    <s v="MEE"/>
    <s v="2º TURNO"/>
    <n v="50038991"/>
    <x v="53"/>
    <n v="1"/>
    <s v="REALIZADO"/>
    <s v="KELLY"/>
    <d v="2025-09-18T00:00:00"/>
    <x v="0"/>
  </r>
  <r>
    <n v="76994"/>
    <s v="FELIPE HENRIQUE DE BRITO"/>
    <s v="MEE"/>
    <s v="ADM"/>
    <n v="50044003"/>
    <x v="63"/>
    <n v="1"/>
    <s v="REALIZADO"/>
    <s v="BRUNO"/>
    <d v="2025-09-18T00:00:00"/>
    <x v="2"/>
  </r>
  <r>
    <n v="76994"/>
    <s v="FELIPE HENRIQUE DE BRITO"/>
    <s v="MEE"/>
    <s v="ADM"/>
    <n v="50044003"/>
    <x v="63"/>
    <n v="1"/>
    <s v="REALIZADO"/>
    <s v="GEOVANE"/>
    <d v="2025-09-18T00:00:00"/>
    <x v="0"/>
  </r>
  <r>
    <n v="61264"/>
    <s v="EVERTON GERONIMO"/>
    <s v="MMG"/>
    <s v="ADM"/>
    <n v="50036255"/>
    <x v="7"/>
    <n v="1"/>
    <s v="REALIZADO"/>
    <s v="GEOVANE"/>
    <d v="2025-09-18T00:00:00"/>
    <x v="2"/>
  </r>
  <r>
    <n v="61264"/>
    <s v="EVERTON GERONIMO"/>
    <s v="MMG"/>
    <s v="ADM"/>
    <n v="50036255"/>
    <x v="7"/>
    <n v="1"/>
    <s v="REALIZADO"/>
    <s v="GEOVANE"/>
    <d v="2025-09-18T00:00:00"/>
    <x v="0"/>
  </r>
  <r>
    <n v="61264"/>
    <s v="EVERTON GERONIMO"/>
    <s v="MMG"/>
    <s v="ADM"/>
    <n v="50036279"/>
    <x v="28"/>
    <n v="1"/>
    <s v="REALIZADO"/>
    <s v="BRUNO"/>
    <d v="2025-09-18T00:00:00"/>
    <x v="2"/>
  </r>
  <r>
    <n v="61264"/>
    <s v="EVERTON GERONIMO"/>
    <s v="MMG"/>
    <s v="ADM"/>
    <n v="50036279"/>
    <x v="28"/>
    <n v="1"/>
    <s v="REALIZADO"/>
    <s v="BRUNO"/>
    <d v="2025-09-18T00:00:00"/>
    <x v="0"/>
  </r>
  <r>
    <n v="65084"/>
    <s v="TIAGO DE BRITO"/>
    <s v="MMG"/>
    <s v="3º TURNO"/>
    <n v="50039718"/>
    <x v="11"/>
    <n v="1"/>
    <s v="REALIZADO"/>
    <s v="FABIANO"/>
    <d v="2025-09-18T00:00:00"/>
    <x v="0"/>
  </r>
  <r>
    <n v="77594"/>
    <s v="VINICIUS ROBLES"/>
    <s v="MME"/>
    <s v="ADM"/>
    <n v="50030486"/>
    <x v="17"/>
    <n v="1"/>
    <s v="REALIZADO"/>
    <s v="BRUNO"/>
    <d v="2025-09-18T00:00:00"/>
    <x v="2"/>
  </r>
  <r>
    <n v="77594"/>
    <s v="VINICIUS ROBLES"/>
    <s v="MME"/>
    <s v="ADM"/>
    <n v="50030486"/>
    <x v="17"/>
    <n v="1"/>
    <s v="REALIZADO"/>
    <s v="BRUNO"/>
    <d v="2025-09-18T00:00:00"/>
    <x v="0"/>
  </r>
  <r>
    <n v="77313"/>
    <s v="ROGERIO"/>
    <s v="MPR"/>
    <s v="ADM"/>
    <n v="50039236"/>
    <x v="84"/>
    <n v="1"/>
    <s v="REALIZADO"/>
    <s v="GEOVANE"/>
    <d v="2025-09-18T00:00:00"/>
    <x v="2"/>
  </r>
  <r>
    <n v="77313"/>
    <s v="ROGERIO"/>
    <s v="MPR"/>
    <s v="ADM"/>
    <n v="50039236"/>
    <x v="84"/>
    <n v="1"/>
    <s v="REALIZADO"/>
    <s v="BRUNO"/>
    <d v="2025-09-18T00:00:00"/>
    <x v="0"/>
  </r>
  <r>
    <n v="66790"/>
    <s v="EVERTON BOLOGNES"/>
    <s v="MMG"/>
    <s v="2º TURNO"/>
    <n v="50003296"/>
    <x v="105"/>
    <n v="1"/>
    <s v="NÃO REALIZADO"/>
    <s v="KELLY"/>
    <d v="2025-09-18T00:00:00"/>
    <x v="2"/>
  </r>
  <r>
    <n v="66790"/>
    <s v="EVERTON BOLOGNES"/>
    <s v="MMG"/>
    <s v="2º TURNO"/>
    <n v="50003296"/>
    <x v="105"/>
    <n v="1"/>
    <s v="REALIZADO"/>
    <s v="KELLY"/>
    <d v="2025-09-18T00:00:00"/>
    <x v="0"/>
  </r>
  <r>
    <n v="70105"/>
    <s v="RONALDO DE SOUZA SANTOS"/>
    <s v="MMG"/>
    <s v="2º TURNO"/>
    <n v="50003297"/>
    <x v="8"/>
    <n v="1"/>
    <s v="REALIZADO"/>
    <s v="BRUNO"/>
    <d v="2025-09-18T00:00:00"/>
    <x v="2"/>
  </r>
  <r>
    <n v="70105"/>
    <s v="RONALDO DE SOUZA SANTOS"/>
    <s v="MMG"/>
    <s v="2º TURNO"/>
    <n v="50003297"/>
    <x v="8"/>
    <n v="1"/>
    <s v="REALIZADO"/>
    <s v="BRUNO"/>
    <d v="2025-09-18T00:00:00"/>
    <x v="0"/>
  </r>
  <r>
    <n v="62161"/>
    <s v="JOAO OLIVEIRA"/>
    <s v="MME"/>
    <s v="2º TURNO"/>
    <n v="50037902"/>
    <x v="14"/>
    <n v="1"/>
    <s v="REALIZADO"/>
    <s v="KELLY"/>
    <d v="2025-09-18T00:00:00"/>
    <x v="2"/>
  </r>
  <r>
    <n v="62161"/>
    <s v="JOAO OLIVEIRA"/>
    <s v="MME"/>
    <s v="2º TURNO"/>
    <n v="50037902"/>
    <x v="14"/>
    <n v="1"/>
    <s v="REALIZADO"/>
    <s v="GEOVANE"/>
    <d v="2025-09-18T00:00:00"/>
    <x v="0"/>
  </r>
  <r>
    <n v="77594"/>
    <s v="VINICIUS ROBLES"/>
    <s v="MME"/>
    <s v="ADM"/>
    <n v="50038841"/>
    <x v="34"/>
    <n v="1"/>
    <s v="REALIZADO"/>
    <s v="BRUNO"/>
    <d v="2025-09-18T00:00:00"/>
    <x v="2"/>
  </r>
  <r>
    <n v="77594"/>
    <s v="VINICIUS ROBLES"/>
    <s v="MME"/>
    <s v="ADM"/>
    <n v="50038841"/>
    <x v="34"/>
    <n v="1"/>
    <s v="REALIZADO"/>
    <s v="BRUNO"/>
    <d v="2025-09-18T00:00:00"/>
    <x v="0"/>
  </r>
  <r>
    <n v="63713"/>
    <s v="BRUNO DIAS"/>
    <s v="MME"/>
    <s v="ADM"/>
    <n v="50038841"/>
    <x v="34"/>
    <n v="1"/>
    <s v="REALIZADO"/>
    <s v="BRUNO"/>
    <d v="2025-09-18T00:00:00"/>
    <x v="2"/>
  </r>
  <r>
    <n v="63713"/>
    <s v="BRUNO DIAS"/>
    <s v="MME"/>
    <s v="ADM"/>
    <n v="50038841"/>
    <x v="34"/>
    <n v="1"/>
    <s v="REALIZADO"/>
    <s v="BRUNO"/>
    <d v="2025-09-18T00:00:00"/>
    <x v="0"/>
  </r>
  <r>
    <n v="70105"/>
    <s v="RONALDO DE SOUZA SANTOS"/>
    <s v="MMG"/>
    <s v="2º TURNO"/>
    <n v="50038517"/>
    <x v="0"/>
    <n v="1"/>
    <s v="REALIZADO"/>
    <s v="BRUNO"/>
    <d v="2025-09-18T00:00:00"/>
    <x v="2"/>
  </r>
  <r>
    <n v="70105"/>
    <s v="RONALDO DE SOUZA SANTOS"/>
    <s v="MMG"/>
    <s v="2º TURNO"/>
    <n v="50038517"/>
    <x v="0"/>
    <n v="1"/>
    <s v="REALIZADO"/>
    <s v="BRUNO"/>
    <d v="2025-09-18T00:00:00"/>
    <x v="0"/>
  </r>
  <r>
    <n v="62444"/>
    <s v="VALMIR GREGUI"/>
    <s v="MMG"/>
    <s v="3º TURNO"/>
    <n v="50001995"/>
    <x v="44"/>
    <n v="1"/>
    <s v="REALIZADO"/>
    <s v="FABIANO"/>
    <d v="2025-09-18T00:00:00"/>
    <x v="0"/>
  </r>
  <r>
    <n v="72713"/>
    <s v="MARCOS AURELIO"/>
    <s v="MPR"/>
    <s v="ADM"/>
    <n v="50038662"/>
    <x v="59"/>
    <n v="1"/>
    <s v="REALIZADO"/>
    <s v="BRUNO"/>
    <d v="2025-09-18T00:00:00"/>
    <x v="0"/>
  </r>
  <r>
    <n v="62161"/>
    <s v="JOAO OLIVEIRA"/>
    <s v="MME"/>
    <s v="2º TURNO"/>
    <n v="50041195"/>
    <x v="21"/>
    <n v="1"/>
    <s v="REALIZADO"/>
    <s v="KELLY"/>
    <d v="2025-09-18T00:00:00"/>
    <x v="2"/>
  </r>
  <r>
    <n v="62161"/>
    <s v="JOAO OLIVEIRA"/>
    <s v="MME"/>
    <s v="2º TURNO"/>
    <n v="50041195"/>
    <x v="21"/>
    <n v="1"/>
    <s v="REALIZADO"/>
    <s v="KELLY"/>
    <d v="2025-09-18T00:00:00"/>
    <x v="0"/>
  </r>
  <r>
    <n v="70105"/>
    <s v="RONALDO DE SOUZA SANTOS"/>
    <s v="MMG"/>
    <s v="2º TURNO"/>
    <n v="50043917"/>
    <x v="66"/>
    <n v="1"/>
    <s v="REALIZADO"/>
    <s v="BRUNO"/>
    <d v="2025-09-18T00:00:00"/>
    <x v="2"/>
  </r>
  <r>
    <n v="70105"/>
    <s v="RONALDO DE SOUZA SANTOS"/>
    <s v="MMG"/>
    <s v="2º TURNO"/>
    <n v="50043917"/>
    <x v="66"/>
    <n v="1"/>
    <s v="REALIZADO"/>
    <s v="BRUNO"/>
    <d v="2025-09-18T00:00:00"/>
    <x v="0"/>
  </r>
  <r>
    <n v="77313"/>
    <s v="ROGERIO"/>
    <s v="MPR"/>
    <s v="ADM"/>
    <n v="50020622"/>
    <x v="42"/>
    <n v="1"/>
    <s v="REALIZADO"/>
    <s v="GEOVANE"/>
    <d v="2025-09-18T00:00:00"/>
    <x v="2"/>
  </r>
  <r>
    <n v="77313"/>
    <s v="ROGERIO"/>
    <s v="MPR"/>
    <s v="ADM"/>
    <n v="50020622"/>
    <x v="42"/>
    <n v="1"/>
    <s v="REALIZADO"/>
    <s v="BRUNO"/>
    <d v="2025-09-18T00:00:00"/>
    <x v="0"/>
  </r>
  <r>
    <n v="61264"/>
    <s v="EVERTON GERONIMO"/>
    <s v="MMG"/>
    <s v="ADM"/>
    <n v="50032775"/>
    <x v="13"/>
    <n v="1"/>
    <s v="REALIZADO"/>
    <s v="GEOVANE"/>
    <d v="2025-09-18T00:00:00"/>
    <x v="2"/>
  </r>
  <r>
    <n v="61264"/>
    <s v="EVERTON GERONIMO"/>
    <s v="MMG"/>
    <s v="ADM"/>
    <n v="50032775"/>
    <x v="13"/>
    <n v="1"/>
    <s v="REALIZADO"/>
    <s v="GEOVANE"/>
    <d v="2025-09-18T00:00:00"/>
    <x v="0"/>
  </r>
  <r>
    <n v="74611"/>
    <s v="CRISTIAM BORGES"/>
    <s v="MPR"/>
    <s v="ADM"/>
    <n v="50028220"/>
    <x v="33"/>
    <n v="1"/>
    <s v="REALIZADO"/>
    <s v="GEOVANE"/>
    <d v="2025-09-18T00:00:00"/>
    <x v="2"/>
  </r>
  <r>
    <n v="74611"/>
    <s v="CRISTIAM BORGES"/>
    <s v="MPR"/>
    <s v="ADM"/>
    <n v="50028220"/>
    <x v="33"/>
    <n v="1"/>
    <s v="REALIZADO"/>
    <s v="GEOVANE"/>
    <d v="2025-09-18T00:00:00"/>
    <x v="0"/>
  </r>
  <r>
    <n v="72728"/>
    <s v="JUNIOR CESAR DA PENHA"/>
    <s v="UTI"/>
    <s v="2º TURNO"/>
    <n v="50028220"/>
    <x v="33"/>
    <n v="1"/>
    <s v="REALIZADO"/>
    <s v="BRUNO"/>
    <d v="2025-09-18T00:00:00"/>
    <x v="2"/>
  </r>
  <r>
    <n v="72728"/>
    <s v="JUNIOR CESAR DA PENHA"/>
    <s v="UTI"/>
    <s v="2º TURNO"/>
    <n v="50028220"/>
    <x v="33"/>
    <n v="1"/>
    <s v="REALIZADO"/>
    <s v="BRUNO"/>
    <d v="2025-09-18T00:00:00"/>
    <x v="0"/>
  </r>
  <r>
    <n v="72713"/>
    <s v="MARCOS AURELIO"/>
    <s v="MPR"/>
    <s v="ADM"/>
    <n v="50041194"/>
    <x v="80"/>
    <n v="1"/>
    <s v="REALIZADO"/>
    <s v="BRUNO"/>
    <d v="2025-09-18T00:00:00"/>
    <x v="2"/>
  </r>
  <r>
    <n v="65084"/>
    <s v="TIAGO DE BRITO"/>
    <s v="MMG"/>
    <s v="3º TURNO"/>
    <n v="50039718"/>
    <x v="11"/>
    <n v="1"/>
    <s v="REALIZADO"/>
    <s v="FABIANO"/>
    <d v="2025-09-17T00:00:00"/>
    <x v="0"/>
  </r>
  <r>
    <n v="77521"/>
    <s v="LUCAS LIRA"/>
    <s v="MME"/>
    <s v="ADM"/>
    <n v="50030486"/>
    <x v="17"/>
    <n v="1"/>
    <s v="REALIZADO"/>
    <s v="AGATHA"/>
    <d v="2025-09-17T00:00:00"/>
    <x v="2"/>
  </r>
  <r>
    <n v="77521"/>
    <s v="LUCAS LIRA"/>
    <s v="MME"/>
    <s v="ADM"/>
    <n v="50030486"/>
    <x v="17"/>
    <n v="1"/>
    <s v="REALIZADO"/>
    <s v="GEOVANE"/>
    <d v="2025-09-17T00:00:00"/>
    <x v="0"/>
  </r>
  <r>
    <n v="77521"/>
    <s v="LUCAS LIRA"/>
    <s v="MME"/>
    <s v="ADM"/>
    <n v="50039236"/>
    <x v="84"/>
    <n v="1"/>
    <s v="REALIZADO"/>
    <s v="BRUNO"/>
    <d v="2025-09-17T00:00:00"/>
    <x v="2"/>
  </r>
  <r>
    <n v="77521"/>
    <s v="LUCAS LIRA"/>
    <s v="MME"/>
    <s v="ADM"/>
    <n v="50039236"/>
    <x v="84"/>
    <n v="1"/>
    <s v="REALIZADO"/>
    <s v="BRUNO"/>
    <d v="2025-09-17T00:00:00"/>
    <x v="0"/>
  </r>
  <r>
    <n v="68708"/>
    <s v="CLAUDIO TADEU LEITE"/>
    <s v="MMG"/>
    <s v="ADM"/>
    <n v="50043471"/>
    <x v="5"/>
    <n v="1"/>
    <s v="REALIZADO"/>
    <s v="GEOVANE"/>
    <d v="2025-09-17T00:00:00"/>
    <x v="2"/>
  </r>
  <r>
    <n v="68708"/>
    <s v="CLAUDIO TADEU LEITE"/>
    <s v="MMG"/>
    <s v="ADM"/>
    <n v="50043471"/>
    <x v="5"/>
    <n v="1"/>
    <s v="REALIZADO"/>
    <s v="BRUNO"/>
    <d v="2025-09-17T00:00:00"/>
    <x v="0"/>
  </r>
  <r>
    <n v="77521"/>
    <s v="LUCAS LIRA"/>
    <s v="MME"/>
    <s v="ADM"/>
    <n v="50003296"/>
    <x v="105"/>
    <n v="1"/>
    <s v="REALIZADO"/>
    <s v="AGATHA"/>
    <d v="2025-09-17T00:00:00"/>
    <x v="2"/>
  </r>
  <r>
    <n v="77521"/>
    <s v="LUCAS LIRA"/>
    <s v="MME"/>
    <s v="ADM"/>
    <n v="50003296"/>
    <x v="105"/>
    <n v="1"/>
    <s v="REALIZADO"/>
    <s v="AGATHA"/>
    <d v="2025-09-17T00:00:00"/>
    <x v="0"/>
  </r>
  <r>
    <n v="68708"/>
    <s v="CLAUDIO TADEU LEITE"/>
    <s v="MMG"/>
    <s v="ADM"/>
    <n v="50038549"/>
    <x v="6"/>
    <n v="1"/>
    <s v="REALIZADO"/>
    <s v="AGATHA"/>
    <d v="2025-09-17T00:00:00"/>
    <x v="2"/>
  </r>
  <r>
    <n v="67100"/>
    <s v="CARLOS BARATELLA"/>
    <s v="MMG"/>
    <s v="2º TURNO"/>
    <n v="50038549"/>
    <x v="6"/>
    <n v="1"/>
    <s v="REALIZADO"/>
    <s v="AGATHA"/>
    <d v="2025-09-17T00:00:00"/>
    <x v="2"/>
  </r>
  <r>
    <n v="68708"/>
    <s v="CLAUDIO TADEU LEITE"/>
    <s v="MMG"/>
    <s v="ADM"/>
    <n v="50038549"/>
    <x v="6"/>
    <n v="1"/>
    <s v="REALIZADO"/>
    <s v="BRUNO"/>
    <d v="2025-09-17T00:00:00"/>
    <x v="0"/>
  </r>
  <r>
    <n v="61355"/>
    <s v="ALESSANDRO DE LIMA"/>
    <s v="MEE"/>
    <s v="3º TURNO"/>
    <n v="50038549"/>
    <x v="6"/>
    <n v="1"/>
    <s v="REALIZADO"/>
    <s v="BRUNO"/>
    <d v="2025-09-17T00:00:00"/>
    <x v="2"/>
  </r>
  <r>
    <n v="61355"/>
    <s v="ALESSANDRO DE LIMA"/>
    <s v="MEE"/>
    <s v="3º TURNO"/>
    <n v="50038549"/>
    <x v="6"/>
    <n v="1"/>
    <s v="REALIZADO"/>
    <s v="BRUNO"/>
    <d v="2025-09-17T00:00:00"/>
    <x v="0"/>
  </r>
  <r>
    <n v="63770"/>
    <s v="DANILO DA SILVA"/>
    <s v="MMG"/>
    <s v="ADM"/>
    <n v="50022878"/>
    <x v="18"/>
    <n v="1"/>
    <s v="REALIZADO"/>
    <s v="BRUNO"/>
    <d v="2025-09-17T00:00:00"/>
    <x v="2"/>
  </r>
  <r>
    <n v="63770"/>
    <s v="DANILO DA SILVA"/>
    <s v="MMG"/>
    <s v="ADM"/>
    <n v="50022878"/>
    <x v="18"/>
    <n v="1"/>
    <s v="REALIZADO"/>
    <s v="BRUNO"/>
    <d v="2025-09-17T00:00:00"/>
    <x v="0"/>
  </r>
  <r>
    <n v="77521"/>
    <s v="LUCAS LIRA"/>
    <s v="MME"/>
    <s v="ADM"/>
    <n v="50038956"/>
    <x v="10"/>
    <n v="1"/>
    <s v="REALIZADO"/>
    <s v="AGATHA"/>
    <d v="2025-09-17T00:00:00"/>
    <x v="2"/>
  </r>
  <r>
    <n v="62137"/>
    <s v="BRUNO DIAS"/>
    <s v="MME"/>
    <s v="1º TURNO"/>
    <n v="50038956"/>
    <x v="10"/>
    <n v="1"/>
    <s v="REALIZADO"/>
    <s v="BRUNO"/>
    <d v="2025-09-17T00:00:00"/>
    <x v="0"/>
  </r>
  <r>
    <n v="78678"/>
    <s v="MARLOM ROGERIO VIEIRA"/>
    <s v="MME"/>
    <s v="ADM"/>
    <n v="50037902"/>
    <x v="14"/>
    <n v="1"/>
    <s v="REALIZADO"/>
    <s v="GEOVANE"/>
    <d v="2025-09-17T00:00:00"/>
    <x v="2"/>
  </r>
  <r>
    <n v="78678"/>
    <s v="MARLOM ROGERIO VIEIRA"/>
    <s v="MME"/>
    <s v="ADM"/>
    <n v="50037902"/>
    <x v="14"/>
    <n v="1"/>
    <s v="REALIZADO"/>
    <s v="GEOVANE"/>
    <d v="2025-09-17T00:00:00"/>
    <x v="0"/>
  </r>
  <r>
    <n v="66830"/>
    <s v="MARCIO GOMES DA SILVA"/>
    <s v="MPR"/>
    <s v="ADM"/>
    <n v="50037902"/>
    <x v="14"/>
    <n v="1"/>
    <s v="REALIZADO"/>
    <s v="BRUNO"/>
    <d v="2025-09-17T00:00:00"/>
    <x v="0"/>
  </r>
  <r>
    <n v="65814"/>
    <s v="HELTON ZINHANI"/>
    <s v="MME"/>
    <s v="2º TURNO"/>
    <n v="50038841"/>
    <x v="34"/>
    <n v="1"/>
    <s v="NÃO REALIZADO"/>
    <s v="KELLY"/>
    <d v="2025-09-17T00:00:00"/>
    <x v="2"/>
  </r>
  <r>
    <n v="65814"/>
    <s v="HELTON ZINHANI"/>
    <s v="MME"/>
    <s v="2º TURNO"/>
    <n v="50038841"/>
    <x v="34"/>
    <n v="1"/>
    <s v="REALIZADO"/>
    <s v="KELLY"/>
    <d v="2025-09-17T00:00:00"/>
    <x v="2"/>
  </r>
  <r>
    <n v="62444"/>
    <s v="VALMIR GREGUI"/>
    <s v="MMG"/>
    <s v="3º TURNO"/>
    <n v="50001995"/>
    <x v="44"/>
    <n v="1"/>
    <s v="REALIZADO"/>
    <s v="FABIANO"/>
    <d v="2025-09-17T00:00:00"/>
    <x v="0"/>
  </r>
  <r>
    <n v="67100"/>
    <s v="CARLOS BARATELLA"/>
    <s v="MMG"/>
    <s v="2º TURNO"/>
    <n v="50038626"/>
    <x v="72"/>
    <n v="1"/>
    <s v="REALIZADO"/>
    <s v="KELLY"/>
    <d v="2025-09-17T00:00:00"/>
    <x v="2"/>
  </r>
  <r>
    <n v="67100"/>
    <s v="CARLOS BARATELLA"/>
    <s v="MMG"/>
    <s v="2º TURNO"/>
    <n v="50038626"/>
    <x v="72"/>
    <n v="1"/>
    <s v="REALIZADO"/>
    <s v="KELLY"/>
    <d v="2025-09-17T00:00:00"/>
    <x v="0"/>
  </r>
  <r>
    <n v="62640"/>
    <s v="MARCELINHO"/>
    <s v="MPR"/>
    <s v="ADM"/>
    <n v="50026357"/>
    <x v="24"/>
    <n v="1"/>
    <s v="REALIZADO"/>
    <s v="AGATHA"/>
    <d v="2025-09-17T00:00:00"/>
    <x v="2"/>
  </r>
  <r>
    <n v="62640"/>
    <s v="MARCELINHO"/>
    <s v="MPR"/>
    <s v="ADM"/>
    <n v="50026357"/>
    <x v="24"/>
    <n v="1"/>
    <s v="REALIZADO"/>
    <s v="BRUNO"/>
    <d v="2025-09-17T00:00:00"/>
    <x v="2"/>
  </r>
  <r>
    <n v="72713"/>
    <s v="MARCOS AURELIO"/>
    <s v="MPR"/>
    <s v="ADM"/>
    <n v="50038662"/>
    <x v="59"/>
    <n v="1"/>
    <s v="REALIZADO"/>
    <s v="BRUNO"/>
    <d v="2025-09-17T00:00:00"/>
    <x v="0"/>
  </r>
  <r>
    <n v="72808"/>
    <s v="CAIO NASCIMENTO"/>
    <s v="MME"/>
    <s v="2º TURNO"/>
    <n v="50043917"/>
    <x v="66"/>
    <n v="1"/>
    <s v="REALIZADO"/>
    <s v="KELLY"/>
    <d v="2025-09-17T00:00:00"/>
    <x v="0"/>
  </r>
  <r>
    <n v="72808"/>
    <s v="CAIO NASCIMENTO"/>
    <s v="MME"/>
    <s v="2º TURNO"/>
    <n v="50043917"/>
    <x v="66"/>
    <n v="1"/>
    <s v="REALIZADO"/>
    <s v="KELLY"/>
    <d v="2025-09-17T00:00:00"/>
    <x v="0"/>
  </r>
  <r>
    <n v="62640"/>
    <s v="MARCELINHO"/>
    <s v="MPR"/>
    <s v="ADM"/>
    <n v="50043917"/>
    <x v="66"/>
    <n v="1"/>
    <s v="REALIZADO"/>
    <s v="AGATHA"/>
    <d v="2025-09-17T00:00:00"/>
    <x v="2"/>
  </r>
  <r>
    <n v="62640"/>
    <s v="MARCELINHO"/>
    <s v="MPR"/>
    <s v="ADM"/>
    <n v="50043917"/>
    <x v="66"/>
    <n v="1"/>
    <s v="REALIZADO"/>
    <s v="GEOVANE"/>
    <d v="2025-09-17T00:00:00"/>
    <x v="0"/>
  </r>
  <r>
    <n v="77521"/>
    <s v="LUCAS LIRA"/>
    <s v="MME"/>
    <s v="ADM"/>
    <n v="50012902"/>
    <x v="30"/>
    <n v="1"/>
    <s v="REALIZADO"/>
    <s v="AGATHA"/>
    <d v="2025-09-17T00:00:00"/>
    <x v="2"/>
  </r>
  <r>
    <n v="77521"/>
    <s v="LUCAS LIRA"/>
    <s v="MME"/>
    <s v="ADM"/>
    <n v="50012902"/>
    <x v="30"/>
    <n v="1"/>
    <s v="REALIZADO"/>
    <s v="BRUNO"/>
    <d v="2025-09-17T00:00:00"/>
    <x v="0"/>
  </r>
  <r>
    <n v="74611"/>
    <s v="CRISTIAM BORGES"/>
    <s v="MPR"/>
    <s v="ADM"/>
    <n v="50038840"/>
    <x v="68"/>
    <n v="1"/>
    <s v="REALIZADO"/>
    <s v="AGATHA"/>
    <d v="2025-09-17T00:00:00"/>
    <x v="2"/>
  </r>
  <r>
    <n v="74611"/>
    <s v="CRISTIAM BORGES"/>
    <s v="MPR"/>
    <s v="ADM"/>
    <n v="50038840"/>
    <x v="68"/>
    <n v="1"/>
    <s v="REALIZADO"/>
    <s v="BRUNO"/>
    <d v="2025-09-17T00:00:00"/>
    <x v="2"/>
  </r>
  <r>
    <n v="72713"/>
    <s v="MARCOS AURELIO"/>
    <s v="MPR"/>
    <s v="ADM"/>
    <n v="50041194"/>
    <x v="80"/>
    <n v="1"/>
    <s v="REALIZADO"/>
    <s v="BRUNO"/>
    <d v="2025-09-17T00:00:00"/>
    <x v="0"/>
  </r>
  <r>
    <n v="66830"/>
    <s v="MARCIO GOMES DA SILVA"/>
    <s v="MPR"/>
    <s v="ADM"/>
    <n v="50036086"/>
    <x v="3"/>
    <n v="1"/>
    <s v="REALIZADO"/>
    <s v="GEOVANE"/>
    <d v="2025-09-16T00:00:00"/>
    <x v="2"/>
  </r>
  <r>
    <n v="66830"/>
    <s v="MARCIO GOMES DA SILVA"/>
    <s v="MPR"/>
    <s v="ADM"/>
    <n v="50036086"/>
    <x v="3"/>
    <n v="1"/>
    <s v="REALIZADO"/>
    <s v="MATHEUS"/>
    <d v="2025-09-16T00:00:00"/>
    <x v="0"/>
  </r>
  <r>
    <n v="65474"/>
    <s v="MARCIO DOS SANTOS"/>
    <s v="MMG"/>
    <s v="1º TURNO"/>
    <n v="50036086"/>
    <x v="3"/>
    <n v="1"/>
    <s v="REALIZADO"/>
    <s v="FABIANO"/>
    <d v="2025-09-16T00:00:00"/>
    <x v="2"/>
  </r>
  <r>
    <n v="65474"/>
    <s v="MARCIO DOS SANTOS"/>
    <s v="MMG"/>
    <s v="1º TURNO"/>
    <n v="50036086"/>
    <x v="3"/>
    <n v="1"/>
    <s v="REALIZADO"/>
    <s v="FABIANO"/>
    <d v="2025-09-16T00:00:00"/>
    <x v="0"/>
  </r>
  <r>
    <n v="65472"/>
    <s v="ISRAEL MACEDO"/>
    <s v="MMG"/>
    <s v="ADM"/>
    <n v="50036279"/>
    <x v="28"/>
    <n v="2"/>
    <s v="REALIZADO"/>
    <s v="MARCIA"/>
    <d v="2025-09-16T00:00:00"/>
    <x v="2"/>
  </r>
  <r>
    <n v="65472"/>
    <s v="ISRAEL MACEDO"/>
    <s v="MMG"/>
    <s v="ADM"/>
    <n v="50036279"/>
    <x v="28"/>
    <n v="2"/>
    <s v="REALIZADO"/>
    <s v="MATHEUS"/>
    <d v="2025-09-16T00:00:00"/>
    <x v="0"/>
  </r>
  <r>
    <n v="67100"/>
    <s v="CARLOS BARATELLA"/>
    <s v="MMG"/>
    <s v="2º TURNO"/>
    <n v="50039718"/>
    <x v="11"/>
    <n v="1"/>
    <s v="REALIZADO"/>
    <s v="KELLY"/>
    <d v="2025-09-16T00:00:00"/>
    <x v="2"/>
  </r>
  <r>
    <n v="74874"/>
    <s v="FABIANO MARQUES"/>
    <s v="MMG"/>
    <s v="ADM"/>
    <n v="50039718"/>
    <x v="11"/>
    <n v="1"/>
    <s v="REALIZADO"/>
    <s v="GEOVANE"/>
    <d v="2025-09-16T00:00:00"/>
    <x v="0"/>
  </r>
  <r>
    <n v="74874"/>
    <s v="FABIANO MARQUES"/>
    <s v="MMG"/>
    <s v="ADM"/>
    <n v="50037905"/>
    <x v="49"/>
    <n v="1"/>
    <s v="REALIZADO"/>
    <s v="MARCIA"/>
    <d v="2025-09-16T00:00:00"/>
    <x v="2"/>
  </r>
  <r>
    <n v="74874"/>
    <s v="FABIANO MARQUES"/>
    <s v="MMG"/>
    <s v="ADM"/>
    <n v="50037905"/>
    <x v="49"/>
    <n v="1"/>
    <s v="REALIZADO"/>
    <s v="MARCIA"/>
    <d v="2025-09-16T00:00:00"/>
    <x v="0"/>
  </r>
  <r>
    <n v="74611"/>
    <s v="CRISTIAM BORGES"/>
    <s v="MPR"/>
    <s v="ADM"/>
    <n v="50030486"/>
    <x v="17"/>
    <n v="1"/>
    <s v="REALIZADO"/>
    <s v="GEOVANE"/>
    <d v="2025-09-16T00:00:00"/>
    <x v="2"/>
  </r>
  <r>
    <n v="74611"/>
    <s v="CRISTIAM BORGES"/>
    <s v="MPR"/>
    <s v="ADM"/>
    <n v="50030486"/>
    <x v="17"/>
    <n v="1"/>
    <s v="REALIZADO"/>
    <s v="MATHEUS"/>
    <d v="2025-09-16T00:00:00"/>
    <x v="0"/>
  </r>
  <r>
    <n v="73878"/>
    <s v="EVANDRO TANAKA"/>
    <s v="MMG"/>
    <s v="ADM"/>
    <n v="50039236"/>
    <x v="84"/>
    <n v="1"/>
    <s v="REALIZADO"/>
    <s v="KELLY"/>
    <d v="2025-09-16T00:00:00"/>
    <x v="2"/>
  </r>
  <r>
    <n v="73878"/>
    <s v="EVANDRO TANAKA"/>
    <s v="MMG"/>
    <s v="ADM"/>
    <n v="50039236"/>
    <x v="84"/>
    <n v="1"/>
    <s v="REALIZADO"/>
    <s v="GEOVANE"/>
    <d v="2025-09-16T00:00:00"/>
    <x v="0"/>
  </r>
  <r>
    <n v="62896"/>
    <s v="LEONARDO BORGES"/>
    <s v="MEE"/>
    <s v="ADM"/>
    <n v="50043471"/>
    <x v="5"/>
    <n v="1"/>
    <s v="REALIZADO"/>
    <s v="MATHEUS"/>
    <d v="2025-09-16T00:00:00"/>
    <x v="2"/>
  </r>
  <r>
    <n v="62896"/>
    <s v="LEONARDO BORGES"/>
    <s v="MEE"/>
    <s v="ADM"/>
    <n v="50043471"/>
    <x v="5"/>
    <n v="1"/>
    <s v="REALIZADO"/>
    <s v="MATHEUS"/>
    <d v="2025-09-16T00:00:00"/>
    <x v="0"/>
  </r>
  <r>
    <n v="74611"/>
    <s v="CRISTIAM BORGES"/>
    <s v="MPR"/>
    <s v="ADM"/>
    <n v="50029865"/>
    <x v="9"/>
    <n v="1"/>
    <s v="REALIZADO"/>
    <s v="GEOVANE"/>
    <d v="2025-09-16T00:00:00"/>
    <x v="2"/>
  </r>
  <r>
    <n v="74611"/>
    <s v="CRISTIAM BORGES"/>
    <s v="MPR"/>
    <s v="ADM"/>
    <n v="50029865"/>
    <x v="9"/>
    <n v="1"/>
    <s v="REALIZADO"/>
    <s v="MATHEUS"/>
    <d v="2025-09-16T00:00:00"/>
    <x v="0"/>
  </r>
  <r>
    <n v="67100"/>
    <s v="CARLOS BARATELLA"/>
    <s v="MMG"/>
    <s v="2º TURNO"/>
    <n v="50038549"/>
    <x v="6"/>
    <n v="1"/>
    <s v="REALIZADO"/>
    <s v="KELLY"/>
    <d v="2025-09-16T00:00:00"/>
    <x v="2"/>
  </r>
  <r>
    <n v="77471"/>
    <s v="DANILO BARBOSA"/>
    <s v="MEE"/>
    <s v="ADM"/>
    <n v="50038549"/>
    <x v="6"/>
    <n v="1"/>
    <s v="REALIZADO"/>
    <s v="GEOVANE"/>
    <d v="2025-09-16T00:00:00"/>
    <x v="2"/>
  </r>
  <r>
    <n v="68708"/>
    <s v="CLAUDIO TADEU LEITE"/>
    <s v="MMG"/>
    <s v="ADM"/>
    <n v="50038549"/>
    <x v="6"/>
    <n v="1"/>
    <s v="REALIZADO"/>
    <s v="MATHEUS"/>
    <d v="2025-09-16T00:00:00"/>
    <x v="2"/>
  </r>
  <r>
    <n v="62444"/>
    <s v="VALMIR GREGUI"/>
    <s v="MMG"/>
    <s v="3º TURNO"/>
    <n v="50038549"/>
    <x v="6"/>
    <n v="1"/>
    <s v="REALIZADO"/>
    <s v="FABIANO"/>
    <d v="2025-09-16T00:00:00"/>
    <x v="0"/>
  </r>
  <r>
    <n v="62444"/>
    <s v="VALMIR GREGUI"/>
    <s v="MMG"/>
    <s v="3º TURNO"/>
    <n v="50038549"/>
    <x v="6"/>
    <n v="1"/>
    <s v="REALIZADO"/>
    <s v="FABIANO"/>
    <d v="2025-09-16T00:00:00"/>
    <x v="2"/>
  </r>
  <r>
    <n v="66830"/>
    <s v="MARCIO GOMES DA SILVA"/>
    <s v="MPR"/>
    <s v="ADM"/>
    <n v="50037902"/>
    <x v="14"/>
    <n v="1"/>
    <s v="REALIZADO"/>
    <s v="MATHEUS"/>
    <d v="2025-09-16T00:00:00"/>
    <x v="0"/>
  </r>
  <r>
    <n v="61096"/>
    <s v="REGIVALDO MEDEIROS"/>
    <s v="MME"/>
    <s v="ADM"/>
    <n v="50038841"/>
    <x v="34"/>
    <n v="1"/>
    <s v="REALIZADO"/>
    <s v="MARCIA"/>
    <d v="2025-09-16T00:00:00"/>
    <x v="2"/>
  </r>
  <r>
    <n v="61096"/>
    <s v="REGIVALDO MEDEIROS"/>
    <s v="MME"/>
    <s v="ADM"/>
    <n v="50038841"/>
    <x v="34"/>
    <n v="1"/>
    <s v="REALIZADO"/>
    <s v="MATHEUS"/>
    <d v="2025-09-16T00:00:00"/>
    <x v="2"/>
  </r>
  <r>
    <n v="65474"/>
    <s v="MARCIO DOS SANTOS"/>
    <s v="MMG"/>
    <s v="1º TURNO"/>
    <n v="50038517"/>
    <x v="0"/>
    <n v="1"/>
    <s v="REALIZADO"/>
    <s v="FABIANO"/>
    <d v="2025-09-16T00:00:00"/>
    <x v="0"/>
  </r>
  <r>
    <n v="65474"/>
    <s v="MARCIO DOS SANTOS"/>
    <s v="MMG"/>
    <s v="1º TURNO"/>
    <n v="50038517"/>
    <x v="0"/>
    <n v="1"/>
    <s v="REALIZADO"/>
    <s v="FABIANO"/>
    <d v="2025-09-16T00:00:00"/>
    <x v="0"/>
  </r>
  <r>
    <n v="74611"/>
    <s v="CRISTIAM BORGES"/>
    <s v="MPR"/>
    <s v="ADM"/>
    <n v="50043917"/>
    <x v="66"/>
    <n v="1"/>
    <s v="REALIZADO"/>
    <s v="GEOVANE"/>
    <d v="2025-09-16T00:00:00"/>
    <x v="2"/>
  </r>
  <r>
    <n v="74611"/>
    <s v="CRISTIAM BORGES"/>
    <s v="MPR"/>
    <s v="ADM"/>
    <n v="50043917"/>
    <x v="66"/>
    <n v="1"/>
    <s v="REALIZADO"/>
    <s v="MATHEUS"/>
    <d v="2025-09-16T00:00:00"/>
    <x v="0"/>
  </r>
  <r>
    <n v="65474"/>
    <s v="MARCIO DOS SANTOS"/>
    <s v="MMG"/>
    <s v="1º TURNO"/>
    <n v="50041089"/>
    <x v="48"/>
    <n v="1"/>
    <s v="REALIZADO"/>
    <s v="FABIANO"/>
    <d v="2025-09-16T00:00:00"/>
    <x v="2"/>
  </r>
  <r>
    <n v="65474"/>
    <s v="MARCIO DOS SANTOS"/>
    <s v="MMG"/>
    <s v="1º TURNO"/>
    <n v="50041089"/>
    <x v="48"/>
    <n v="1"/>
    <s v="REALIZADO"/>
    <s v="FABIANO"/>
    <d v="2025-09-16T00:00:00"/>
    <x v="0"/>
  </r>
  <r>
    <n v="63713"/>
    <s v="BRUNO DIAS"/>
    <s v="MME"/>
    <s v="ADM"/>
    <n v="50010031"/>
    <x v="20"/>
    <n v="1"/>
    <s v="REALIZADO"/>
    <s v="KELLY"/>
    <d v="2025-09-15T00:00:00"/>
    <x v="2"/>
  </r>
  <r>
    <n v="63713"/>
    <s v="BRUNO DIAS"/>
    <s v="MME"/>
    <s v="ADM"/>
    <n v="50010031"/>
    <x v="20"/>
    <n v="1"/>
    <s v="REALIZADO"/>
    <s v="AGATHA"/>
    <d v="2025-09-15T00:00:00"/>
    <x v="0"/>
  </r>
  <r>
    <n v="67107"/>
    <s v="THALITA BRUNA ROCHA"/>
    <s v="PCM"/>
    <s v="ADM"/>
    <n v="50044003"/>
    <x v="63"/>
    <n v="1"/>
    <s v="REALIZADO"/>
    <s v="AGATHA"/>
    <d v="2025-09-15T00:00:00"/>
    <x v="2"/>
  </r>
  <r>
    <n v="67107"/>
    <s v="THALITA BRUNA ROCHA"/>
    <s v="PCM"/>
    <s v="ADM"/>
    <n v="50044003"/>
    <x v="63"/>
    <n v="1"/>
    <s v="REALIZADO"/>
    <s v="BRUNO"/>
    <d v="2025-09-15T00:00:00"/>
    <x v="0"/>
  </r>
  <r>
    <n v="65472"/>
    <s v="ISRAEL MACEDO"/>
    <s v="MMG"/>
    <s v="ADM"/>
    <n v="50036296"/>
    <x v="46"/>
    <n v="1"/>
    <s v="REALIZADO"/>
    <s v="KELLY"/>
    <d v="2025-09-15T00:00:00"/>
    <x v="2"/>
  </r>
  <r>
    <n v="68708"/>
    <s v="CLAUDIO TADEU LEITE"/>
    <s v="MMG"/>
    <s v="ADM"/>
    <n v="50036296"/>
    <x v="46"/>
    <n v="1"/>
    <s v="REALIZADO"/>
    <s v="BRUNO"/>
    <d v="2025-09-15T00:00:00"/>
    <x v="0"/>
  </r>
  <r>
    <n v="66790"/>
    <s v="EVERTON BOLOGNES"/>
    <s v="MMG"/>
    <s v="2º TURNO"/>
    <n v="50036086"/>
    <x v="3"/>
    <n v="1"/>
    <s v="REALIZADO"/>
    <s v="KELLY"/>
    <d v="2025-09-15T00:00:00"/>
    <x v="2"/>
  </r>
  <r>
    <n v="66790"/>
    <s v="EVERTON BOLOGNES"/>
    <s v="MMG"/>
    <s v="2º TURNO"/>
    <n v="50036086"/>
    <x v="3"/>
    <n v="1"/>
    <s v="REALIZADO"/>
    <s v="AGATHA"/>
    <d v="2025-09-15T00:00:00"/>
    <x v="0"/>
  </r>
  <r>
    <n v="66830"/>
    <s v="MARCIO GOMES DA SILVA"/>
    <s v="MPR"/>
    <s v="ADM"/>
    <n v="50036086"/>
    <x v="3"/>
    <n v="1"/>
    <s v="REALIZADO"/>
    <s v="AGATHA"/>
    <d v="2025-09-15T00:00:00"/>
    <x v="2"/>
  </r>
  <r>
    <n v="66830"/>
    <s v="MARCIO GOMES DA SILVA"/>
    <s v="MPR"/>
    <s v="ADM"/>
    <n v="50036086"/>
    <x v="3"/>
    <n v="1"/>
    <s v="REALIZADO"/>
    <s v="AGATHA"/>
    <d v="2025-09-15T00:00:00"/>
    <x v="0"/>
  </r>
  <r>
    <n v="74874"/>
    <s v="FABIANO MARQUES"/>
    <s v="MMG"/>
    <s v="ADM"/>
    <n v="50037905"/>
    <x v="49"/>
    <n v="1"/>
    <s v="REALIZADO"/>
    <s v="BRUNO"/>
    <d v="2025-09-15T00:00:00"/>
    <x v="2"/>
  </r>
  <r>
    <n v="74874"/>
    <s v="FABIANO MARQUES"/>
    <s v="MMG"/>
    <s v="ADM"/>
    <n v="50037905"/>
    <x v="49"/>
    <n v="1"/>
    <s v="REALIZADO"/>
    <s v="BRUNO"/>
    <d v="2025-09-15T00:00:00"/>
    <x v="0"/>
  </r>
  <r>
    <n v="62180"/>
    <s v="JOSE AUGUSTO MASSUCHINI"/>
    <s v="MMG"/>
    <s v="ADM"/>
    <n v="50043471"/>
    <x v="5"/>
    <n v="1"/>
    <s v="REALIZADO"/>
    <s v="AGATHA"/>
    <d v="2025-09-15T00:00:00"/>
    <x v="2"/>
  </r>
  <r>
    <n v="62180"/>
    <s v="JOSE AUGUSTO MASSUCHINI"/>
    <s v="MMG"/>
    <s v="ADM"/>
    <n v="50043471"/>
    <x v="5"/>
    <n v="1"/>
    <s v="REALIZADO"/>
    <s v="BRUNO"/>
    <d v="2025-09-15T00:00:00"/>
    <x v="2"/>
  </r>
  <r>
    <n v="65844"/>
    <s v="ALTEMAR FEITOSA"/>
    <s v="MMG"/>
    <s v="1º TURNO"/>
    <n v="50043471"/>
    <x v="5"/>
    <n v="1"/>
    <s v="REALIZADO"/>
    <s v="FELIPE"/>
    <d v="2025-09-15T00:00:00"/>
    <x v="0"/>
  </r>
  <r>
    <n v="65844"/>
    <s v="ALTEMAR FEITOSA"/>
    <s v="MMG"/>
    <s v="1º TURNO"/>
    <n v="50043471"/>
    <x v="5"/>
    <n v="1"/>
    <s v="REALIZADO"/>
    <s v="FELIPE"/>
    <d v="2025-09-15T00:00:00"/>
    <x v="0"/>
  </r>
  <r>
    <n v="74611"/>
    <s v="CRISTIAM BORGES"/>
    <s v="MPR"/>
    <s v="ADM"/>
    <n v="50003297"/>
    <x v="8"/>
    <n v="1"/>
    <s v="REALIZADO"/>
    <s v="AGATHA"/>
    <d v="2025-09-15T00:00:00"/>
    <x v="2"/>
  </r>
  <r>
    <n v="74611"/>
    <s v="CRISTIAM BORGES"/>
    <s v="MPR"/>
    <s v="ADM"/>
    <n v="50003297"/>
    <x v="8"/>
    <n v="1"/>
    <s v="REALIZADO"/>
    <s v="AGATHA"/>
    <d v="2025-09-15T00:00:00"/>
    <x v="0"/>
  </r>
  <r>
    <n v="66790"/>
    <s v="EVERTON BOLOGNES"/>
    <s v="MMG"/>
    <s v="2º TURNO"/>
    <n v="50038549"/>
    <x v="6"/>
    <n v="1"/>
    <s v="REALIZADO"/>
    <s v="KELLY"/>
    <d v="2025-09-15T00:00:00"/>
    <x v="2"/>
  </r>
  <r>
    <n v="66790"/>
    <s v="EVERTON BOLOGNES"/>
    <s v="MMG"/>
    <s v="2º TURNO"/>
    <n v="50038549"/>
    <x v="6"/>
    <n v="1"/>
    <s v="REALIZADO"/>
    <s v="AGATHA"/>
    <d v="2025-09-15T00:00:00"/>
    <x v="0"/>
  </r>
  <r>
    <n v="64253"/>
    <s v="DANIEL JULIAO"/>
    <s v="MMG"/>
    <s v="ADM"/>
    <n v="50022878"/>
    <x v="18"/>
    <n v="1"/>
    <s v="REALIZADO"/>
    <s v="AGATHA"/>
    <d v="2025-09-15T00:00:00"/>
    <x v="2"/>
  </r>
  <r>
    <n v="64253"/>
    <s v="DANIEL JULIAO"/>
    <s v="MMG"/>
    <s v="ADM"/>
    <n v="50022878"/>
    <x v="18"/>
    <n v="1"/>
    <s v="REALIZADO"/>
    <s v="MARCIA"/>
    <d v="2025-09-15T00:00:00"/>
    <x v="0"/>
  </r>
  <r>
    <n v="74611"/>
    <s v="CRISTIAM BORGES"/>
    <s v="MPR"/>
    <s v="ADM"/>
    <n v="50038956"/>
    <x v="10"/>
    <n v="1"/>
    <s v="REALIZADO"/>
    <s v="AGATHA"/>
    <d v="2025-09-15T00:00:00"/>
    <x v="2"/>
  </r>
  <r>
    <n v="74611"/>
    <s v="CRISTIAM BORGES"/>
    <s v="MPR"/>
    <s v="ADM"/>
    <n v="50038956"/>
    <x v="10"/>
    <n v="1"/>
    <s v="REALIZADO"/>
    <s v="AGATHA"/>
    <d v="2025-09-15T00:00:00"/>
    <x v="2"/>
  </r>
  <r>
    <n v="67193"/>
    <s v="LEONARDO ALEXANDRE"/>
    <s v="MME"/>
    <s v="3º TURNO"/>
    <n v="50037892"/>
    <x v="2"/>
    <n v="1"/>
    <s v="REALIZADO"/>
    <s v="GLAUBER"/>
    <d v="2025-09-15T00:00:00"/>
    <x v="0"/>
  </r>
  <r>
    <n v="67193"/>
    <s v="LEONARDO ALEXANDRE"/>
    <s v="MME"/>
    <s v="3º TURNO"/>
    <n v="50037892"/>
    <x v="2"/>
    <n v="1"/>
    <s v="REALIZADO"/>
    <s v="GLAUBER"/>
    <d v="2025-09-15T00:00:00"/>
    <x v="0"/>
  </r>
  <r>
    <n v="65472"/>
    <s v="ISRAEL MACEDO"/>
    <s v="MMG"/>
    <s v="ADM"/>
    <n v="50038841"/>
    <x v="34"/>
    <n v="1"/>
    <s v="REALIZADO"/>
    <s v="KELLY"/>
    <d v="2025-09-15T00:00:00"/>
    <x v="2"/>
  </r>
  <r>
    <n v="68708"/>
    <s v="CLAUDIO TADEU LEITE"/>
    <s v="MMG"/>
    <s v="ADM"/>
    <n v="50038841"/>
    <x v="34"/>
    <n v="1"/>
    <s v="REALIZADO"/>
    <s v="AGATHA"/>
    <d v="2025-09-15T00:00:00"/>
    <x v="0"/>
  </r>
  <r>
    <n v="77521"/>
    <s v="LUCAS LIRA"/>
    <s v="MME"/>
    <s v="ADM"/>
    <n v="50038841"/>
    <x v="34"/>
    <n v="1"/>
    <s v="REALIZADO"/>
    <s v="AGATHA"/>
    <d v="2025-09-15T00:00:00"/>
    <x v="2"/>
  </r>
  <r>
    <n v="77521"/>
    <s v="LUCAS LIRA"/>
    <s v="MME"/>
    <s v="ADM"/>
    <n v="50038841"/>
    <x v="34"/>
    <n v="1"/>
    <s v="REALIZADO"/>
    <s v="AGATHA"/>
    <d v="2025-09-15T00:00:00"/>
    <x v="0"/>
  </r>
  <r>
    <n v="62180"/>
    <s v="JOSE AUGUSTO MASSUCHINI"/>
    <s v="MMG"/>
    <s v="ADM"/>
    <n v="50038841"/>
    <x v="34"/>
    <n v="1"/>
    <s v="REALIZADO"/>
    <s v="BRUNO"/>
    <d v="2025-09-15T00:00:00"/>
    <x v="2"/>
  </r>
  <r>
    <n v="62180"/>
    <s v="JOSE AUGUSTO MASSUCHINI"/>
    <s v="MMG"/>
    <s v="ADM"/>
    <n v="50038841"/>
    <x v="34"/>
    <n v="1"/>
    <s v="REALIZADO"/>
    <s v="BRUNO"/>
    <d v="2025-09-15T00:00:00"/>
    <x v="0"/>
  </r>
  <r>
    <n v="65482"/>
    <s v="RAFAEL BALBINO PEREIRA"/>
    <s v="MMG"/>
    <s v="ADM"/>
    <n v="50038517"/>
    <x v="0"/>
    <n v="1"/>
    <s v="REALIZADO"/>
    <s v="KELLY"/>
    <d v="2025-09-15T00:00:00"/>
    <x v="2"/>
  </r>
  <r>
    <n v="65482"/>
    <s v="RAFAEL BALBINO PEREIRA"/>
    <s v="MMG"/>
    <s v="ADM"/>
    <n v="50038517"/>
    <x v="0"/>
    <n v="1"/>
    <s v="REALIZADO"/>
    <s v="MARCIA"/>
    <d v="2025-09-15T00:00:00"/>
    <x v="0"/>
  </r>
  <r>
    <n v="65472"/>
    <s v="ISRAEL MACEDO"/>
    <s v="MMG"/>
    <s v="ADM"/>
    <n v="50037903"/>
    <x v="91"/>
    <n v="1"/>
    <s v="REALIZADO"/>
    <s v="KELLY"/>
    <d v="2025-09-15T00:00:00"/>
    <x v="2"/>
  </r>
  <r>
    <n v="68708"/>
    <s v="CLAUDIO TADEU LEITE"/>
    <s v="MMG"/>
    <s v="ADM"/>
    <n v="50037903"/>
    <x v="91"/>
    <n v="1"/>
    <s v="REALIZADO"/>
    <s v="BRUNO"/>
    <d v="2025-09-15T00:00:00"/>
    <x v="2"/>
  </r>
  <r>
    <n v="68708"/>
    <s v="CLAUDIO TADEU LEITE"/>
    <s v="MMG"/>
    <s v="ADM"/>
    <n v="50035332"/>
    <x v="82"/>
    <n v="1"/>
    <s v="REALIZADO"/>
    <s v="BRUNO"/>
    <d v="2025-09-15T00:00:00"/>
    <x v="2"/>
  </r>
  <r>
    <n v="61264"/>
    <s v="EVERTON GERONIMO"/>
    <s v="MMG"/>
    <s v="ADM"/>
    <n v="50036297"/>
    <x v="100"/>
    <n v="1"/>
    <s v="REALIZADO"/>
    <s v="BRUNO"/>
    <d v="2025-09-15T00:00:00"/>
    <x v="0"/>
  </r>
  <r>
    <n v="66830"/>
    <s v="MARCIO GOMES DA SILVA"/>
    <s v="MPR"/>
    <s v="ADM"/>
    <n v="50026357"/>
    <x v="24"/>
    <n v="1"/>
    <s v="REALIZADO"/>
    <s v="AGATHA"/>
    <d v="2025-09-15T00:00:00"/>
    <x v="2"/>
  </r>
  <r>
    <n v="66830"/>
    <s v="MARCIO GOMES DA SILVA"/>
    <s v="MPR"/>
    <s v="ADM"/>
    <n v="50026357"/>
    <x v="24"/>
    <n v="1"/>
    <s v="REALIZADO"/>
    <s v="MARCIA"/>
    <d v="2025-09-15T00:00:00"/>
    <x v="0"/>
  </r>
  <r>
    <n v="72707"/>
    <s v="LEONARDO DOS SANTOS"/>
    <s v="MPR"/>
    <s v="ADM"/>
    <n v="50041195"/>
    <x v="21"/>
    <n v="1"/>
    <s v="REALIZADO"/>
    <s v="AGATHA"/>
    <d v="2025-09-15T00:00:00"/>
    <x v="2"/>
  </r>
  <r>
    <n v="72707"/>
    <s v="LEONARDO DOS SANTOS"/>
    <s v="MPR"/>
    <s v="ADM"/>
    <n v="50041195"/>
    <x v="21"/>
    <n v="1"/>
    <s v="REALIZADO"/>
    <s v="AGATHA"/>
    <d v="2025-09-15T00:00:00"/>
    <x v="0"/>
  </r>
  <r>
    <n v="72707"/>
    <s v="LEONARDO DOS SANTOS"/>
    <s v="MPR"/>
    <s v="ADM"/>
    <n v="50041195"/>
    <x v="21"/>
    <n v="1"/>
    <s v="REALIZADO"/>
    <s v="BRUNO"/>
    <d v="2025-09-15T00:00:00"/>
    <x v="2"/>
  </r>
  <r>
    <n v="72707"/>
    <s v="LEONARDO DOS SANTOS"/>
    <s v="MPR"/>
    <s v="ADM"/>
    <n v="50041195"/>
    <x v="21"/>
    <n v="1"/>
    <s v="REALIZADO"/>
    <s v="BRUNO"/>
    <d v="2025-09-15T00:00:00"/>
    <x v="0"/>
  </r>
  <r>
    <n v="64074"/>
    <s v="MARCOS FERNANDES COLOMBO"/>
    <s v="MPR"/>
    <s v="ADM"/>
    <n v="50043917"/>
    <x v="66"/>
    <n v="1"/>
    <s v="REALIZADO"/>
    <s v="AGATHA"/>
    <d v="2025-09-15T00:00:00"/>
    <x v="2"/>
  </r>
  <r>
    <n v="64074"/>
    <s v="MARCOS FERNANDES COLOMBO"/>
    <s v="MPR"/>
    <s v="ADM"/>
    <n v="50043917"/>
    <x v="66"/>
    <n v="1"/>
    <s v="REALIZADO"/>
    <s v="MARCIA"/>
    <d v="2025-09-15T00:00:00"/>
    <x v="2"/>
  </r>
  <r>
    <n v="65921"/>
    <s v="DABTON LEMOS"/>
    <s v="MME"/>
    <s v="2º TURNO"/>
    <n v="50012903"/>
    <x v="31"/>
    <n v="1"/>
    <s v="REALIZADO"/>
    <s v="KELLY"/>
    <d v="2025-09-15T00:00:00"/>
    <x v="0"/>
  </r>
  <r>
    <n v="61096"/>
    <s v="REGIVALDO MEDEIROS"/>
    <s v="MME"/>
    <s v="ADM"/>
    <n v="50012903"/>
    <x v="31"/>
    <n v="1"/>
    <s v="REALIZADO"/>
    <s v="AGATHA"/>
    <d v="2025-09-15T00:00:00"/>
    <x v="2"/>
  </r>
  <r>
    <n v="61096"/>
    <s v="REGIVALDO MEDEIROS"/>
    <s v="MME"/>
    <s v="ADM"/>
    <n v="50012903"/>
    <x v="31"/>
    <n v="1"/>
    <s v="REALIZADO"/>
    <s v="BRUNO"/>
    <d v="2025-09-15T00:00:00"/>
    <x v="0"/>
  </r>
  <r>
    <n v="65921"/>
    <s v="DABTON LEMOS"/>
    <s v="MME"/>
    <s v="2º TURNO"/>
    <n v="50032775"/>
    <x v="13"/>
    <n v="1"/>
    <s v="REALIZADO"/>
    <s v="KELLY"/>
    <d v="2025-09-15T00:00:00"/>
    <x v="2"/>
  </r>
  <r>
    <n v="65921"/>
    <s v="DABTON LEMOS"/>
    <s v="MME"/>
    <s v="2º TURNO"/>
    <n v="50032775"/>
    <x v="13"/>
    <n v="1"/>
    <s v="REALIZADO"/>
    <s v="AGATHA"/>
    <d v="2025-09-15T00:00:00"/>
    <x v="0"/>
  </r>
  <r>
    <n v="65472"/>
    <s v="ISRAEL MACEDO"/>
    <s v="MMG"/>
    <s v="ADM"/>
    <n v="50037949"/>
    <x v="71"/>
    <n v="1"/>
    <s v="REALIZADO"/>
    <s v="KELLY"/>
    <d v="2025-09-15T00:00:00"/>
    <x v="2"/>
  </r>
  <r>
    <n v="68708"/>
    <s v="CLAUDIO TADEU LEITE"/>
    <s v="MMG"/>
    <s v="ADM"/>
    <n v="50037949"/>
    <x v="71"/>
    <n v="1"/>
    <s v="REALIZADO"/>
    <s v="AGATHA"/>
    <d v="2025-09-15T00:00:00"/>
    <x v="0"/>
  </r>
  <r>
    <n v="65472"/>
    <s v="ISRAEL MACEDO"/>
    <s v="MMG"/>
    <s v="ADM"/>
    <n v="50042283"/>
    <x v="47"/>
    <n v="1"/>
    <s v="REALIZADO"/>
    <s v="KELLY"/>
    <d v="2025-09-15T00:00:00"/>
    <x v="2"/>
  </r>
  <r>
    <n v="68708"/>
    <s v="CLAUDIO TADEU LEITE"/>
    <s v="MMG"/>
    <s v="ADM"/>
    <n v="50042283"/>
    <x v="47"/>
    <n v="1"/>
    <s v="REALIZADO"/>
    <s v="BRUNO"/>
    <d v="2025-09-15T00:00:00"/>
    <x v="0"/>
  </r>
  <r>
    <n v="66790"/>
    <s v="EVERTON BOLOGNES"/>
    <s v="MMG"/>
    <s v="2º TURNO"/>
    <n v="50037905"/>
    <x v="49"/>
    <n v="1"/>
    <s v="REALIZADO"/>
    <s v="JOÃO CARLOS"/>
    <d v="2025-09-14T00:00:00"/>
    <x v="2"/>
  </r>
  <r>
    <n v="66790"/>
    <s v="EVERTON BOLOGNES"/>
    <s v="MMG"/>
    <s v="2º TURNO"/>
    <n v="50037905"/>
    <x v="49"/>
    <n v="1"/>
    <s v="REALIZADO"/>
    <s v="JOÃO CARLOS"/>
    <d v="2025-09-14T00:00:00"/>
    <x v="0"/>
  </r>
  <r>
    <n v="73878"/>
    <s v="EVANDRO TANAKA"/>
    <s v="MMG"/>
    <s v="2º TURNO"/>
    <n v="50003297"/>
    <x v="8"/>
    <n v="1"/>
    <s v="REALIZADO"/>
    <s v="JOÃO CARLOS"/>
    <d v="2025-09-14T00:00:00"/>
    <x v="2"/>
  </r>
  <r>
    <n v="73878"/>
    <s v="EVANDRO TANAKA"/>
    <s v="MMG"/>
    <s v="2º TURNO"/>
    <n v="50003297"/>
    <x v="8"/>
    <n v="1"/>
    <s v="REALIZADO"/>
    <s v="JOÃO CARLOS"/>
    <d v="2025-09-14T00:00:00"/>
    <x v="2"/>
  </r>
  <r>
    <n v="62137"/>
    <s v="RAFAEL AMORIM"/>
    <s v="MME"/>
    <s v="1º TURNO"/>
    <n v="50037892"/>
    <x v="2"/>
    <n v="1"/>
    <s v="REALIZADO"/>
    <s v="FELIPE"/>
    <d v="2025-09-14T00:00:00"/>
    <x v="0"/>
  </r>
  <r>
    <n v="62137"/>
    <s v="RAFAEL AMORIM"/>
    <s v="MME"/>
    <s v="1º TURNO"/>
    <n v="50037892"/>
    <x v="2"/>
    <n v="1"/>
    <s v="REALIZADO"/>
    <s v="FELIPE"/>
    <d v="2025-09-14T00:00:00"/>
    <x v="2"/>
  </r>
  <r>
    <n v="73878"/>
    <s v="EVANDRO TANAKA"/>
    <s v="MMG"/>
    <s v="2º TURNO"/>
    <n v="50038517"/>
    <x v="0"/>
    <n v="1"/>
    <s v="REALIZADO"/>
    <s v="JOÃO CARLOS"/>
    <d v="2025-09-14T00:00:00"/>
    <x v="0"/>
  </r>
  <r>
    <n v="73878"/>
    <s v="EVANDRO TANAKA"/>
    <s v="MMG"/>
    <s v="2º TURNO"/>
    <n v="50038517"/>
    <x v="0"/>
    <n v="1"/>
    <s v="REALIZADO"/>
    <s v="JOÃO CARLOS"/>
    <d v="2025-09-14T00:00:00"/>
    <x v="0"/>
  </r>
  <r>
    <n v="74874"/>
    <s v="FABIANO MARQUES"/>
    <s v="MMG"/>
    <s v="ADM"/>
    <n v="50001995"/>
    <x v="44"/>
    <n v="1"/>
    <s v="REALIZADO"/>
    <s v="FELIPE"/>
    <d v="2025-09-14T00:00:00"/>
    <x v="2"/>
  </r>
  <r>
    <n v="74874"/>
    <s v="FABIANO MARQUES"/>
    <s v="MMG"/>
    <s v="ADM"/>
    <n v="50001995"/>
    <x v="44"/>
    <n v="1"/>
    <s v="REALIZADO"/>
    <s v="FELIPE"/>
    <d v="2025-09-14T00:00:00"/>
    <x v="0"/>
  </r>
  <r>
    <n v="73878"/>
    <s v="EVANDRO TANAKA"/>
    <s v="MMG"/>
    <s v="2º TURNO"/>
    <n v="50001995"/>
    <x v="44"/>
    <n v="1"/>
    <s v="REALIZADO"/>
    <s v="JOÃO CARLOS"/>
    <d v="2025-09-14T00:00:00"/>
    <x v="2"/>
  </r>
  <r>
    <n v="73878"/>
    <s v="EVANDRO TANAKA"/>
    <s v="MMG"/>
    <s v="2º TURNO"/>
    <n v="50001995"/>
    <x v="44"/>
    <n v="1"/>
    <s v="REALIZADO"/>
    <s v="JOÃO CARLOS"/>
    <d v="2025-09-14T00:00:00"/>
    <x v="0"/>
  </r>
  <r>
    <n v="74749"/>
    <s v="HUGO RUBIRA"/>
    <s v="MME"/>
    <s v="1º TURNO"/>
    <n v="50038194"/>
    <x v="87"/>
    <n v="1"/>
    <s v="REALIZADO"/>
    <s v="FELIPE"/>
    <d v="2025-09-14T00:00:00"/>
    <x v="2"/>
  </r>
  <r>
    <n v="74749"/>
    <s v="HUGO RUBIRA"/>
    <s v="MME"/>
    <s v="1º TURNO"/>
    <n v="50038194"/>
    <x v="87"/>
    <n v="1"/>
    <s v="REALIZADO"/>
    <s v="FELIPE"/>
    <d v="2025-09-14T00:00:00"/>
    <x v="0"/>
  </r>
  <r>
    <n v="74749"/>
    <s v="HUGO RUBIRA"/>
    <s v="MME"/>
    <s v="1º TURNO"/>
    <n v="50028220"/>
    <x v="33"/>
    <n v="1"/>
    <s v="REALIZADO"/>
    <s v="FELIPE"/>
    <d v="2025-09-14T00:00:00"/>
    <x v="2"/>
  </r>
  <r>
    <n v="74749"/>
    <s v="HUGO RUBIRA"/>
    <s v="MME"/>
    <s v="1º TURNO"/>
    <n v="50028220"/>
    <x v="33"/>
    <n v="1"/>
    <s v="REALIZADO"/>
    <s v="FELIPE"/>
    <d v="2025-09-14T00:00:00"/>
    <x v="0"/>
  </r>
  <r>
    <n v="74874"/>
    <s v="FABIANO MARQUES"/>
    <s v="MMG"/>
    <s v="ADM"/>
    <n v="50037905"/>
    <x v="49"/>
    <n v="1"/>
    <s v="REALIZADO"/>
    <s v="BRUNA"/>
    <d v="2025-09-13T00:00:00"/>
    <x v="2"/>
  </r>
  <r>
    <n v="74874"/>
    <s v="FABIANO MARQUES"/>
    <s v="MMG"/>
    <s v="ADM"/>
    <n v="50037905"/>
    <x v="49"/>
    <n v="1"/>
    <s v="REALIZADO"/>
    <s v="BRUNA"/>
    <d v="2025-09-13T00:00:00"/>
    <x v="0"/>
  </r>
  <r>
    <n v="60135"/>
    <s v="ALEXANDRE CALDAS"/>
    <s v="MME"/>
    <s v="1º TURNO"/>
    <n v="50043471"/>
    <x v="5"/>
    <n v="1"/>
    <s v="REALIZADO"/>
    <s v="BRUNA"/>
    <d v="2025-09-13T00:00:00"/>
    <x v="2"/>
  </r>
  <r>
    <n v="60135"/>
    <s v="ALEXANDRE CALDAS"/>
    <s v="MME"/>
    <s v="1º TURNO"/>
    <n v="50043471"/>
    <x v="5"/>
    <n v="1"/>
    <s v="REALIZADO"/>
    <s v="BRUNA"/>
    <d v="2025-09-13T00:00:00"/>
    <x v="0"/>
  </r>
  <r>
    <n v="69778"/>
    <s v="JEAN FELIPE"/>
    <s v="MEE"/>
    <s v="1º TURNO"/>
    <n v="50003296"/>
    <x v="105"/>
    <n v="1"/>
    <s v="REALIZADO"/>
    <s v="BRUNA"/>
    <d v="2025-09-13T00:00:00"/>
    <x v="2"/>
  </r>
  <r>
    <n v="69778"/>
    <s v="JEAN FELIPE"/>
    <s v="MEE"/>
    <s v="1º TURNO"/>
    <n v="50003296"/>
    <x v="105"/>
    <n v="1"/>
    <s v="REALIZADO"/>
    <s v="BRUNA"/>
    <d v="2025-09-13T00:00:00"/>
    <x v="0"/>
  </r>
  <r>
    <n v="66790"/>
    <s v="EVERTON BOLOGNES"/>
    <s v="MMG"/>
    <s v="2º TURNO"/>
    <n v="50003297"/>
    <x v="8"/>
    <n v="1"/>
    <s v="REALIZADO"/>
    <s v="JOÃO CARLOS"/>
    <d v="2025-09-13T00:00:00"/>
    <x v="2"/>
  </r>
  <r>
    <n v="66790"/>
    <s v="EVERTON BOLOGNES"/>
    <s v="MMG"/>
    <s v="2º TURNO"/>
    <n v="50003297"/>
    <x v="8"/>
    <n v="1"/>
    <s v="REALIZADO"/>
    <s v="JOÃO CARLOS"/>
    <d v="2025-09-13T00:00:00"/>
    <x v="0"/>
  </r>
  <r>
    <n v="49751"/>
    <s v="LUIS LEITE"/>
    <s v="MEE"/>
    <s v="3º TURNO"/>
    <n v="50038549"/>
    <x v="6"/>
    <n v="1"/>
    <s v="REALIZADO"/>
    <s v="BRUNA"/>
    <d v="2025-09-13T00:00:00"/>
    <x v="2"/>
  </r>
  <r>
    <n v="49751"/>
    <s v="LUIS LEITE"/>
    <s v="MEE"/>
    <s v="3º TURNO"/>
    <n v="50038549"/>
    <x v="6"/>
    <n v="1"/>
    <s v="REALIZADO"/>
    <s v="BRUNA"/>
    <d v="2025-09-13T00:00:00"/>
    <x v="2"/>
  </r>
  <r>
    <n v="66790"/>
    <s v="EVERTON BOLOGNES"/>
    <s v="MMG"/>
    <s v="2º TURNO"/>
    <n v="50038549"/>
    <x v="6"/>
    <n v="1"/>
    <s v="REALIZADO"/>
    <s v="JOÃO CARLOS"/>
    <d v="2025-09-13T00:00:00"/>
    <x v="0"/>
  </r>
  <r>
    <n v="66790"/>
    <s v="EVERTON BOLOGNES"/>
    <s v="MMG"/>
    <s v="2º TURNO"/>
    <n v="50038549"/>
    <x v="6"/>
    <n v="1"/>
    <s v="REALIZADO"/>
    <s v="JOÃO CARLOS"/>
    <d v="2025-09-13T00:00:00"/>
    <x v="0"/>
  </r>
  <r>
    <n v="78675"/>
    <s v="ORLANDO GOMES"/>
    <s v="MME"/>
    <s v="1º TURNO"/>
    <n v="50038956"/>
    <x v="10"/>
    <n v="1"/>
    <s v="REALIZADO"/>
    <s v="BRUNA"/>
    <d v="2025-09-13T00:00:00"/>
    <x v="2"/>
  </r>
  <r>
    <n v="78675"/>
    <s v="ORLANDO GOMES"/>
    <s v="MME"/>
    <s v="1º TURNO"/>
    <n v="50038956"/>
    <x v="10"/>
    <n v="1"/>
    <s v="REALIZADO"/>
    <s v="BRUNA"/>
    <d v="2025-09-13T00:00:00"/>
    <x v="2"/>
  </r>
  <r>
    <n v="66790"/>
    <s v="EVERTON BOLOGNES"/>
    <s v="MMG"/>
    <s v="2º TURNO"/>
    <n v="50037892"/>
    <x v="2"/>
    <n v="1"/>
    <s v="REALIZADO"/>
    <s v="JOÃO CARLOS"/>
    <d v="2025-09-13T00:00:00"/>
    <x v="0"/>
  </r>
  <r>
    <n v="66790"/>
    <s v="EVERTON BOLOGNES"/>
    <s v="MMG"/>
    <s v="2º TURNO"/>
    <n v="50037892"/>
    <x v="2"/>
    <n v="1"/>
    <s v="REALIZADO"/>
    <s v="JOÃO CARLOS"/>
    <d v="2025-09-13T00:00:00"/>
    <x v="0"/>
  </r>
  <r>
    <n v="66790"/>
    <s v="EVERTON BOLOGNES"/>
    <s v="MMG"/>
    <s v="2º TURNO"/>
    <n v="50001995"/>
    <x v="44"/>
    <n v="1"/>
    <s v="REALIZADO"/>
    <s v="JOÃO CARLOS"/>
    <d v="2025-09-13T00:00:00"/>
    <x v="2"/>
  </r>
  <r>
    <n v="66790"/>
    <s v="EVERTON BOLOGNES"/>
    <s v="MMG"/>
    <s v="2º TURNO"/>
    <n v="50001995"/>
    <x v="44"/>
    <n v="1"/>
    <s v="REALIZADO"/>
    <s v="JOÃO CARLOS"/>
    <d v="2025-09-13T00:00:00"/>
    <x v="0"/>
  </r>
  <r>
    <n v="62180"/>
    <s v="JOSE AUGUSTO MASSUCHINI"/>
    <s v="MMG"/>
    <s v="ADM"/>
    <n v="50043917"/>
    <x v="66"/>
    <n v="1"/>
    <s v="REALIZADO"/>
    <s v="BRUNA"/>
    <d v="2025-09-13T00:00:00"/>
    <x v="2"/>
  </r>
  <r>
    <n v="62180"/>
    <s v="JOSE AUGUSTO MASSUCHINI"/>
    <s v="MMG"/>
    <s v="ADM"/>
    <n v="50043917"/>
    <x v="66"/>
    <n v="1"/>
    <s v="REALIZADO"/>
    <s v="BRUNA"/>
    <d v="2025-09-13T00:00:00"/>
    <x v="0"/>
  </r>
  <r>
    <n v="62180"/>
    <s v="JOSE AUGUSTO MASSUCHINI"/>
    <s v="MMG"/>
    <s v="ADM"/>
    <n v="50020622"/>
    <x v="42"/>
    <n v="1"/>
    <s v="REALIZADO"/>
    <s v="BRUNA"/>
    <d v="2025-09-13T00:00:00"/>
    <x v="2"/>
  </r>
  <r>
    <n v="62180"/>
    <s v="JOSE AUGUSTO MASSUCHINI"/>
    <s v="MMG"/>
    <s v="ADM"/>
    <n v="50020622"/>
    <x v="42"/>
    <n v="1"/>
    <s v="REALIZADO"/>
    <s v="BRUNA"/>
    <d v="2025-09-13T00:00:00"/>
    <x v="0"/>
  </r>
  <r>
    <n v="61264"/>
    <s v="EVERTON GERONIMO"/>
    <s v="MMG"/>
    <s v="ADM"/>
    <n v="50038854"/>
    <x v="27"/>
    <n v="1"/>
    <s v="REALIZADO"/>
    <s v="BRUNO"/>
    <d v="2025-09-12T00:00:00"/>
    <x v="2"/>
  </r>
  <r>
    <n v="61264"/>
    <s v="EVERTON GERONIMO"/>
    <s v="MMG"/>
    <s v="ADM"/>
    <n v="50038854"/>
    <x v="27"/>
    <n v="1"/>
    <s v="REALIZADO"/>
    <s v="BRUNO"/>
    <d v="2025-09-12T00:00:00"/>
    <x v="0"/>
  </r>
  <r>
    <n v="61096"/>
    <s v="REGIVALDO MEDEIROS"/>
    <s v="MME"/>
    <s v="ADM"/>
    <n v="50036288"/>
    <x v="111"/>
    <n v="1"/>
    <s v="REALIZADO"/>
    <s v="BRUNO"/>
    <d v="2025-09-12T00:00:00"/>
    <x v="0"/>
  </r>
  <r>
    <n v="77313"/>
    <s v="ROGERIO"/>
    <s v="MPR"/>
    <s v="ADM"/>
    <n v="50043471"/>
    <x v="5"/>
    <n v="1"/>
    <s v="REALIZADO"/>
    <s v="AGATHA"/>
    <d v="2025-09-12T00:00:00"/>
    <x v="2"/>
  </r>
  <r>
    <n v="77313"/>
    <s v="ROGERIO"/>
    <s v="MPR"/>
    <s v="ADM"/>
    <n v="50043471"/>
    <x v="5"/>
    <n v="1"/>
    <s v="REALIZADO"/>
    <s v="AGATHA"/>
    <d v="2025-09-12T00:00:00"/>
    <x v="0"/>
  </r>
  <r>
    <n v="63684"/>
    <s v="LUAN ALMEIDA"/>
    <s v="MME"/>
    <s v="1º TURNO"/>
    <n v="50043471"/>
    <x v="5"/>
    <n v="1"/>
    <s v="REALIZADO"/>
    <s v="AGATHA"/>
    <d v="2025-09-12T00:00:00"/>
    <x v="2"/>
  </r>
  <r>
    <n v="63684"/>
    <s v="LUAN ALMEIDA"/>
    <s v="MME"/>
    <s v="1º TURNO"/>
    <n v="50043471"/>
    <x v="5"/>
    <n v="1"/>
    <s v="REALIZADO"/>
    <s v="BRUNA"/>
    <d v="2025-09-12T00:00:00"/>
    <x v="0"/>
  </r>
  <r>
    <n v="74611"/>
    <s v="CRISTIAM BORGES"/>
    <s v="MPR"/>
    <s v="ADM"/>
    <n v="50003297"/>
    <x v="8"/>
    <n v="1"/>
    <s v="REALIZADO"/>
    <s v="GEOVANE"/>
    <d v="2025-09-12T00:00:00"/>
    <x v="2"/>
  </r>
  <r>
    <n v="74611"/>
    <s v="CRISTIAM BORGES"/>
    <s v="MPR"/>
    <s v="ADM"/>
    <n v="50003297"/>
    <x v="8"/>
    <n v="1"/>
    <s v="REALIZADO"/>
    <s v="GEOVANE"/>
    <d v="2025-09-12T00:00:00"/>
    <x v="0"/>
  </r>
  <r>
    <n v="62180"/>
    <s v="JOSE AUGUSTO MASSUCHINI"/>
    <s v="MMG"/>
    <s v="ADM"/>
    <n v="50038549"/>
    <x v="6"/>
    <n v="1"/>
    <s v="REALIZADO"/>
    <s v="AGATHA"/>
    <d v="2025-09-12T00:00:00"/>
    <x v="2"/>
  </r>
  <r>
    <n v="62180"/>
    <s v="JOSE AUGUSTO MASSUCHINI"/>
    <s v="MMG"/>
    <s v="ADM"/>
    <n v="50038549"/>
    <x v="6"/>
    <n v="1"/>
    <s v="REALIZADO"/>
    <s v="BRUNO"/>
    <d v="2025-09-12T00:00:00"/>
    <x v="0"/>
  </r>
  <r>
    <n v="73878"/>
    <s v="EVANDRO TANAKA"/>
    <s v="MMG"/>
    <s v="ADM"/>
    <n v="50038956"/>
    <x v="10"/>
    <n v="1"/>
    <s v="REALIZADO"/>
    <s v="KELLY"/>
    <d v="2025-09-12T00:00:00"/>
    <x v="2"/>
  </r>
  <r>
    <n v="73878"/>
    <s v="EVANDRO TANAKA"/>
    <s v="MMG"/>
    <s v="ADM"/>
    <n v="50038956"/>
    <x v="10"/>
    <n v="1"/>
    <s v="REALIZADO"/>
    <s v="KELLY"/>
    <d v="2025-09-12T00:00:00"/>
    <x v="0"/>
  </r>
  <r>
    <n v="76994"/>
    <s v="FELIPE HENRIQUE DE BRITO"/>
    <s v="MEE"/>
    <s v="ADM"/>
    <n v="50038956"/>
    <x v="10"/>
    <n v="1"/>
    <s v="REALIZADO"/>
    <s v="KELLY"/>
    <d v="2025-09-12T00:00:00"/>
    <x v="2"/>
  </r>
  <r>
    <n v="76994"/>
    <s v="FELIPE HENRIQUE DE BRITO"/>
    <s v="MEE"/>
    <s v="ADM"/>
    <n v="50038956"/>
    <x v="10"/>
    <n v="1"/>
    <s v="REALIZADO"/>
    <s v="BRUNO"/>
    <d v="2025-09-12T00:00:00"/>
    <x v="0"/>
  </r>
  <r>
    <n v="61096"/>
    <s v="REGIVALDO MEDEIROS"/>
    <s v="MME"/>
    <s v="ADM"/>
    <n v="50038841"/>
    <x v="34"/>
    <n v="1"/>
    <s v="REALIZADO"/>
    <s v="BRUNO"/>
    <d v="2025-09-12T00:00:00"/>
    <x v="2"/>
  </r>
  <r>
    <n v="61096"/>
    <s v="REGIVALDO MEDEIROS"/>
    <s v="MME"/>
    <s v="ADM"/>
    <n v="50038841"/>
    <x v="34"/>
    <n v="1"/>
    <s v="REALIZADO"/>
    <s v="BRUNO"/>
    <d v="2025-09-12T00:00:00"/>
    <x v="0"/>
  </r>
  <r>
    <n v="61096"/>
    <s v="REGIVALDO MEDEIROS"/>
    <s v="MME"/>
    <s v="ADM"/>
    <n v="50038517"/>
    <x v="0"/>
    <n v="1"/>
    <s v="REALIZADO"/>
    <s v="MATHEUS"/>
    <d v="2025-09-12T00:00:00"/>
    <x v="2"/>
  </r>
  <r>
    <n v="61096"/>
    <s v="REGIVALDO MEDEIROS"/>
    <s v="MME"/>
    <s v="ADM"/>
    <n v="50038517"/>
    <x v="0"/>
    <n v="1"/>
    <s v="REALIZADO"/>
    <s v="MATHEUS"/>
    <d v="2025-09-12T00:00:00"/>
    <x v="0"/>
  </r>
  <r>
    <n v="74611"/>
    <s v="CRISTIAM BORGES"/>
    <s v="MPR"/>
    <s v="ADM"/>
    <n v="50037903"/>
    <x v="91"/>
    <n v="1"/>
    <s v="REALIZADO"/>
    <s v="BRUNO"/>
    <d v="2025-09-12T00:00:00"/>
    <x v="2"/>
  </r>
  <r>
    <n v="74611"/>
    <s v="CRISTIAM BORGES"/>
    <s v="MPR"/>
    <s v="ADM"/>
    <n v="50037903"/>
    <x v="91"/>
    <n v="1"/>
    <s v="REALIZADO"/>
    <s v="BRUNO"/>
    <d v="2025-09-12T00:00:00"/>
    <x v="0"/>
  </r>
  <r>
    <n v="73878"/>
    <s v="EVANDRO TANAKA"/>
    <s v="MMG"/>
    <s v="ADM"/>
    <n v="50039065"/>
    <x v="22"/>
    <n v="1"/>
    <s v="REALIZADO"/>
    <s v="KELLY"/>
    <d v="2025-09-12T00:00:00"/>
    <x v="2"/>
  </r>
  <r>
    <n v="73878"/>
    <s v="EVANDRO TANAKA"/>
    <s v="MMG"/>
    <s v="ADM"/>
    <n v="50039065"/>
    <x v="22"/>
    <n v="1"/>
    <s v="REALIZADO"/>
    <s v="KELLY"/>
    <d v="2025-09-12T00:00:00"/>
    <x v="0"/>
  </r>
  <r>
    <n v="61096"/>
    <s v="REGIVALDO MEDEIROS"/>
    <s v="MME"/>
    <s v="ADM"/>
    <n v="50039065"/>
    <x v="22"/>
    <n v="1"/>
    <s v="REALIZADO"/>
    <s v="BRUNO"/>
    <d v="2025-09-12T00:00:00"/>
    <x v="2"/>
  </r>
  <r>
    <n v="61096"/>
    <s v="REGIVALDO MEDEIROS"/>
    <s v="MME"/>
    <s v="ADM"/>
    <n v="50039065"/>
    <x v="22"/>
    <n v="1"/>
    <s v="REALIZADO"/>
    <s v="BRUNO"/>
    <d v="2025-09-12T00:00:00"/>
    <x v="0"/>
  </r>
  <r>
    <n v="74611"/>
    <s v="CRISTIAM BORGES"/>
    <s v="MPR"/>
    <s v="ADM"/>
    <n v="50038662"/>
    <x v="59"/>
    <n v="1"/>
    <s v="REALIZADO"/>
    <s v="GEOVANE"/>
    <d v="2025-09-12T00:00:00"/>
    <x v="2"/>
  </r>
  <r>
    <n v="74611"/>
    <s v="CRISTIAM BORGES"/>
    <s v="MPR"/>
    <s v="ADM"/>
    <n v="50038662"/>
    <x v="59"/>
    <n v="1"/>
    <s v="REALIZADO"/>
    <s v="BRUNO"/>
    <d v="2025-09-12T00:00:00"/>
    <x v="0"/>
  </r>
  <r>
    <n v="65472"/>
    <s v="ISRAEL MACEDO"/>
    <s v="MMG"/>
    <s v="ADM"/>
    <n v="50043917"/>
    <x v="66"/>
    <n v="1"/>
    <s v="REALIZADO"/>
    <s v="AGATHA"/>
    <d v="2025-09-12T00:00:00"/>
    <x v="2"/>
  </r>
  <r>
    <n v="65472"/>
    <s v="ISRAEL MACEDO"/>
    <s v="MMG"/>
    <s v="ADM"/>
    <n v="50043917"/>
    <x v="66"/>
    <n v="1"/>
    <s v="REALIZADO"/>
    <s v="GEOVANE"/>
    <d v="2025-09-12T00:00:00"/>
    <x v="0"/>
  </r>
  <r>
    <n v="64074"/>
    <s v="MARCOS FERNANDES COLOMBO"/>
    <s v="MPR"/>
    <s v="ADM"/>
    <n v="50020622"/>
    <x v="42"/>
    <n v="1"/>
    <s v="REALIZADO"/>
    <s v="AGATHA"/>
    <d v="2025-09-12T00:00:00"/>
    <x v="0"/>
  </r>
  <r>
    <n v="74611"/>
    <s v="CRISTIAM BORGES"/>
    <s v="MPR"/>
    <s v="ADM"/>
    <n v="50038840"/>
    <x v="68"/>
    <n v="1"/>
    <s v="REALIZADO"/>
    <s v="GEOVANE"/>
    <d v="2025-09-12T00:00:00"/>
    <x v="2"/>
  </r>
  <r>
    <n v="74611"/>
    <s v="CRISTIAM BORGES"/>
    <s v="MPR"/>
    <s v="ADM"/>
    <n v="50038840"/>
    <x v="68"/>
    <n v="1"/>
    <s v="REALIZADO"/>
    <s v="BRUNO"/>
    <d v="2025-09-12T00:00:00"/>
    <x v="0"/>
  </r>
  <r>
    <n v="64253"/>
    <s v="DANIEL JULIAO"/>
    <s v="MMG"/>
    <s v="ADM"/>
    <n v="50037952"/>
    <x v="56"/>
    <n v="1"/>
    <s v="REALIZADO"/>
    <s v="GEOVANE"/>
    <d v="2025-09-12T00:00:00"/>
    <x v="2"/>
  </r>
  <r>
    <n v="64253"/>
    <s v="DANIEL JULIAO"/>
    <s v="MMG"/>
    <s v="ADM"/>
    <n v="50037952"/>
    <x v="56"/>
    <n v="1"/>
    <s v="REALIZADO"/>
    <s v="BRUNO"/>
    <d v="2025-09-12T00:00:00"/>
    <x v="0"/>
  </r>
  <r>
    <n v="73336"/>
    <s v="RODRIGO RODRIGUES"/>
    <s v="MMG"/>
    <s v="ADM"/>
    <n v="50036296"/>
    <x v="46"/>
    <n v="1"/>
    <s v="REALIZADO"/>
    <s v="GEOVANE"/>
    <d v="2025-09-11T00:00:00"/>
    <x v="2"/>
  </r>
  <r>
    <n v="73336"/>
    <s v="RODRIGO RODRIGUES"/>
    <s v="MMG"/>
    <s v="ADM"/>
    <n v="50036296"/>
    <x v="46"/>
    <n v="1"/>
    <s v="REALIZADO"/>
    <s v="BRUNO"/>
    <d v="2025-09-11T00:00:00"/>
    <x v="0"/>
  </r>
  <r>
    <n v="65472"/>
    <s v="ISRAEL MACEDO"/>
    <s v="MMG"/>
    <s v="ADM"/>
    <n v="50039718"/>
    <x v="11"/>
    <n v="1"/>
    <s v="REALIZADO"/>
    <s v="KELLY"/>
    <d v="2025-09-11T00:00:00"/>
    <x v="2"/>
  </r>
  <r>
    <n v="65472"/>
    <s v="ISRAEL MACEDO"/>
    <s v="MMG"/>
    <s v="ADM"/>
    <n v="50039718"/>
    <x v="11"/>
    <n v="1"/>
    <s v="REALIZADO"/>
    <s v="GEOVANE"/>
    <d v="2025-09-11T00:00:00"/>
    <x v="0"/>
  </r>
  <r>
    <n v="67100"/>
    <s v="CARLOS BARATELLA"/>
    <s v="MMG"/>
    <s v="2º TURNO"/>
    <n v="50037905"/>
    <x v="49"/>
    <n v="1"/>
    <s v="REALIZADO"/>
    <s v="KELLY"/>
    <d v="2025-09-11T00:00:00"/>
    <x v="2"/>
  </r>
  <r>
    <n v="67100"/>
    <s v="CARLOS BARATELLA"/>
    <s v="MMG"/>
    <s v="2º TURNO"/>
    <n v="50037905"/>
    <x v="49"/>
    <n v="1"/>
    <s v="NÃO REALIZADO"/>
    <s v="GEOVANE"/>
    <d v="2025-09-11T00:00:00"/>
    <x v="0"/>
  </r>
  <r>
    <n v="62180"/>
    <s v="JOSE AUGUSTO MASSUCHINI"/>
    <s v="MMG"/>
    <s v="ADM"/>
    <n v="50037905"/>
    <x v="49"/>
    <n v="1"/>
    <s v="NÃO REALIZADO"/>
    <s v="GEOVANE"/>
    <d v="2025-09-11T00:00:00"/>
    <x v="2"/>
  </r>
  <r>
    <n v="62180"/>
    <s v="JOSE AUGUSTO MASSUCHINI"/>
    <s v="MMG"/>
    <s v="ADM"/>
    <n v="50037905"/>
    <x v="49"/>
    <n v="1"/>
    <s v="NÃO REALIZADO"/>
    <s v="MARCIA"/>
    <d v="2025-09-11T00:00:00"/>
    <x v="0"/>
  </r>
  <r>
    <n v="63713"/>
    <s v="BRUNO DIAS"/>
    <s v="MME"/>
    <s v="ADM"/>
    <n v="50030486"/>
    <x v="17"/>
    <n v="1"/>
    <s v="REALIZADO"/>
    <s v="KELLY"/>
    <d v="2025-09-11T00:00:00"/>
    <x v="2"/>
  </r>
  <r>
    <n v="63713"/>
    <s v="BRUNO DIAS"/>
    <s v="MME"/>
    <s v="ADM"/>
    <n v="50030486"/>
    <x v="17"/>
    <n v="1"/>
    <s v="REALIZADO"/>
    <s v="MATHEUS"/>
    <d v="2025-09-11T00:00:00"/>
    <x v="0"/>
  </r>
  <r>
    <n v="78678"/>
    <s v="MARLOM ROGERIO VIEIRA"/>
    <s v="MME"/>
    <s v="ADM"/>
    <n v="50043471"/>
    <x v="5"/>
    <n v="1"/>
    <s v="REALIZADO"/>
    <s v="KELLY"/>
    <d v="2025-09-11T00:00:00"/>
    <x v="2"/>
  </r>
  <r>
    <n v="62471"/>
    <s v="ELTON LIMA"/>
    <s v="MME"/>
    <s v="ADM"/>
    <n v="50043471"/>
    <x v="5"/>
    <n v="1"/>
    <s v="REALIZADO"/>
    <s v="BRUNA"/>
    <d v="2025-09-11T00:00:00"/>
    <x v="0"/>
  </r>
  <r>
    <n v="61761"/>
    <s v="JOAO BORTOLI"/>
    <s v="MEE"/>
    <s v="2º TURNO"/>
    <n v="50003297"/>
    <x v="8"/>
    <n v="1"/>
    <s v="REALIZADO"/>
    <s v="KELLY"/>
    <d v="2025-09-11T00:00:00"/>
    <x v="2"/>
  </r>
  <r>
    <n v="61761"/>
    <s v="JOAO BORTOLI"/>
    <s v="MEE"/>
    <s v="2º TURNO"/>
    <n v="50003297"/>
    <x v="8"/>
    <n v="1"/>
    <s v="REALIZADO"/>
    <s v="KELLY"/>
    <d v="2025-09-11T00:00:00"/>
    <x v="0"/>
  </r>
  <r>
    <n v="61761"/>
    <s v="JOAO BORTOLI"/>
    <s v="MEE"/>
    <s v="2º TURNO"/>
    <n v="50036299"/>
    <x v="26"/>
    <n v="1"/>
    <s v="REALIZADO"/>
    <s v="KELLY"/>
    <d v="2025-09-11T00:00:00"/>
    <x v="2"/>
  </r>
  <r>
    <n v="61761"/>
    <s v="JOAO BORTOLI"/>
    <s v="MEE"/>
    <s v="2º TURNO"/>
    <n v="50036299"/>
    <x v="26"/>
    <n v="1"/>
    <s v="REALIZADO"/>
    <s v="KELLY"/>
    <d v="2025-09-11T00:00:00"/>
    <x v="0"/>
  </r>
  <r>
    <n v="63770"/>
    <s v="DANILO DA SILVA"/>
    <s v="MMG"/>
    <s v="ADM"/>
    <n v="50038549"/>
    <x v="6"/>
    <n v="1"/>
    <s v="REALIZADO"/>
    <s v="GEOVANE"/>
    <d v="2025-09-11T00:00:00"/>
    <x v="2"/>
  </r>
  <r>
    <n v="63770"/>
    <s v="DANILO DA SILVA"/>
    <s v="MMG"/>
    <s v="ADM"/>
    <n v="50038549"/>
    <x v="6"/>
    <n v="1"/>
    <s v="REALIZADO"/>
    <s v="MATHEUS"/>
    <d v="2025-09-11T00:00:00"/>
    <x v="0"/>
  </r>
  <r>
    <n v="76994"/>
    <s v="FELIPE HENRIQUE DE BRITO"/>
    <s v="MEE"/>
    <s v="ADM"/>
    <n v="50037892"/>
    <x v="2"/>
    <n v="1"/>
    <s v="REALIZADO"/>
    <s v="BRUNA"/>
    <d v="2025-09-11T00:00:00"/>
    <x v="2"/>
  </r>
  <r>
    <n v="76994"/>
    <s v="FELIPE HENRIQUE DE BRITO"/>
    <s v="MEE"/>
    <s v="ADM"/>
    <n v="50037892"/>
    <x v="2"/>
    <n v="1"/>
    <s v="REALIZADO"/>
    <s v="BRUNO"/>
    <d v="2025-09-11T00:00:00"/>
    <x v="0"/>
  </r>
  <r>
    <n v="78675"/>
    <s v="ORLANDO GOMES"/>
    <s v="MME"/>
    <s v="1º TURNO"/>
    <n v="50037892"/>
    <x v="2"/>
    <n v="1"/>
    <s v="REALIZADO"/>
    <s v="BRUNO"/>
    <d v="2025-09-11T00:00:00"/>
    <x v="2"/>
  </r>
  <r>
    <n v="78675"/>
    <s v="ORLANDO GOMES"/>
    <s v="MME"/>
    <s v="1º TURNO"/>
    <n v="50037892"/>
    <x v="2"/>
    <n v="1"/>
    <s v="REALIZADO"/>
    <s v="MARCIA"/>
    <d v="2025-09-11T00:00:00"/>
    <x v="0"/>
  </r>
  <r>
    <n v="78678"/>
    <s v="MARLOM ROGERIO VIEIRA"/>
    <s v="MME"/>
    <s v="ADM"/>
    <n v="50037902"/>
    <x v="14"/>
    <n v="1"/>
    <s v="REALIZADO"/>
    <s v="KELLY"/>
    <d v="2025-09-11T00:00:00"/>
    <x v="2"/>
  </r>
  <r>
    <n v="78678"/>
    <s v="MARLOM ROGERIO VIEIRA"/>
    <s v="MME"/>
    <s v="ADM"/>
    <n v="50037902"/>
    <x v="14"/>
    <n v="1"/>
    <s v="REALIZADO"/>
    <s v="GEOVANE"/>
    <d v="2025-09-11T00:00:00"/>
    <x v="0"/>
  </r>
  <r>
    <n v="58068"/>
    <s v="REGINALDO PEREIRA"/>
    <s v="MME"/>
    <s v="ADM"/>
    <n v="50037902"/>
    <x v="14"/>
    <n v="1"/>
    <s v="REALIZADO"/>
    <s v="BRUNA"/>
    <d v="2025-09-11T00:00:00"/>
    <x v="2"/>
  </r>
  <r>
    <n v="58068"/>
    <s v="REGINALDO PEREIRA"/>
    <s v="MME"/>
    <s v="ADM"/>
    <n v="50037902"/>
    <x v="14"/>
    <n v="1"/>
    <s v="REALIZADO"/>
    <s v="BRUNA"/>
    <d v="2025-09-11T00:00:00"/>
    <x v="0"/>
  </r>
  <r>
    <n v="63713"/>
    <s v="BRUNO DIAS"/>
    <s v="MME"/>
    <s v="ADM"/>
    <n v="50038841"/>
    <x v="34"/>
    <n v="1"/>
    <s v="REALIZADO"/>
    <s v="KELLY"/>
    <d v="2025-09-11T00:00:00"/>
    <x v="2"/>
  </r>
  <r>
    <n v="63713"/>
    <s v="BRUNO DIAS"/>
    <s v="MME"/>
    <s v="ADM"/>
    <n v="50038841"/>
    <x v="34"/>
    <n v="1"/>
    <s v="REALIZADO"/>
    <s v="MATHEUS"/>
    <d v="2025-09-11T00:00:00"/>
    <x v="0"/>
  </r>
  <r>
    <n v="68430"/>
    <s v="JOAO CAIXETA"/>
    <s v="MEE"/>
    <s v="1º TURNO"/>
    <n v="50038517"/>
    <x v="0"/>
    <n v="1"/>
    <s v="REALIZADO"/>
    <s v="GEOVANE"/>
    <d v="2025-09-11T00:00:00"/>
    <x v="2"/>
  </r>
  <r>
    <n v="68430"/>
    <s v="JOAO CAIXETA"/>
    <s v="MEE"/>
    <s v="1º TURNO"/>
    <n v="50038517"/>
    <x v="0"/>
    <n v="1"/>
    <s v="REALIZADO"/>
    <s v="MATHEUS"/>
    <d v="2025-09-11T00:00:00"/>
    <x v="0"/>
  </r>
  <r>
    <n v="66014"/>
    <s v="JONATHAN OLIVEIRA"/>
    <s v="MME"/>
    <s v="1º TURNO"/>
    <n v="50038517"/>
    <x v="0"/>
    <n v="1"/>
    <s v="REALIZADO"/>
    <s v="BRUNO"/>
    <d v="2025-09-11T00:00:00"/>
    <x v="2"/>
  </r>
  <r>
    <n v="66014"/>
    <s v="JONATHAN OLIVEIRA"/>
    <s v="MME"/>
    <s v="1º TURNO"/>
    <n v="50038517"/>
    <x v="0"/>
    <n v="1"/>
    <s v="REALIZADO"/>
    <s v="BRUNO"/>
    <d v="2025-09-11T00:00:00"/>
    <x v="0"/>
  </r>
  <r>
    <n v="65131"/>
    <s v="GUILHERME VECHIO"/>
    <s v="MMG"/>
    <s v="2º TURNO"/>
    <n v="50001995"/>
    <x v="44"/>
    <n v="1"/>
    <s v="REALIZADO"/>
    <s v="KELLY"/>
    <d v="2025-09-11T00:00:00"/>
    <x v="2"/>
  </r>
  <r>
    <n v="65131"/>
    <s v="GUILHERME VECHIO"/>
    <s v="MMG"/>
    <s v="2º TURNO"/>
    <n v="50001995"/>
    <x v="44"/>
    <n v="1"/>
    <s v="REALIZADO"/>
    <s v="GEOVANE"/>
    <d v="2025-09-11T00:00:00"/>
    <x v="0"/>
  </r>
  <r>
    <n v="65910"/>
    <s v="GABRIEL CAIXETA"/>
    <s v="MEE"/>
    <s v="ADM"/>
    <n v="50026357"/>
    <x v="24"/>
    <n v="1"/>
    <s v="REALIZADO"/>
    <s v="BRUNA"/>
    <d v="2025-09-11T00:00:00"/>
    <x v="2"/>
  </r>
  <r>
    <n v="65910"/>
    <s v="GABRIEL CAIXETA"/>
    <s v="MEE"/>
    <s v="ADM"/>
    <n v="50026357"/>
    <x v="24"/>
    <n v="1"/>
    <s v="REALIZADO"/>
    <s v="MATHEUS"/>
    <d v="2025-09-11T00:00:00"/>
    <x v="0"/>
  </r>
  <r>
    <n v="74611"/>
    <s v="CRISTIAM BORGES"/>
    <s v="MPR"/>
    <s v="ADM"/>
    <n v="50041124"/>
    <x v="77"/>
    <n v="1"/>
    <s v="REALIZADO"/>
    <s v="GEOVANE"/>
    <d v="2025-09-11T00:00:00"/>
    <x v="2"/>
  </r>
  <r>
    <n v="74611"/>
    <s v="CRISTIAM BORGES"/>
    <s v="MPR"/>
    <s v="ADM"/>
    <n v="50041124"/>
    <x v="77"/>
    <n v="1"/>
    <s v="REALIZADO"/>
    <s v="MATHEUS"/>
    <d v="2025-09-11T00:00:00"/>
    <x v="2"/>
  </r>
  <r>
    <n v="63399"/>
    <s v="JOAO CARLOS MARIA"/>
    <s v="MPR"/>
    <s v="ADM"/>
    <n v="50041195"/>
    <x v="21"/>
    <n v="1"/>
    <s v="REALIZADO"/>
    <s v="BRUNO"/>
    <d v="2025-09-11T00:00:00"/>
    <x v="0"/>
  </r>
  <r>
    <n v="72808"/>
    <s v="CAIO NASCIMENTO"/>
    <s v="MME"/>
    <s v="2º TURNO"/>
    <n v="50043917"/>
    <x v="66"/>
    <n v="1"/>
    <s v="REALIZADO"/>
    <s v="KELLY"/>
    <d v="2025-09-11T00:00:00"/>
    <x v="2"/>
  </r>
  <r>
    <n v="72808"/>
    <s v="CAIO NASCIMENTO"/>
    <s v="MME"/>
    <s v="2º TURNO"/>
    <n v="50043917"/>
    <x v="66"/>
    <n v="1"/>
    <s v="REALIZADO"/>
    <s v="KELLY"/>
    <d v="2025-09-11T00:00:00"/>
    <x v="0"/>
  </r>
  <r>
    <n v="61753"/>
    <s v="FABIANO ALVIM"/>
    <s v="MEE"/>
    <s v="1º TURNO"/>
    <n v="50043917"/>
    <x v="66"/>
    <n v="1"/>
    <s v="REALIZADO"/>
    <s v="GEOVANE"/>
    <d v="2025-09-11T00:00:00"/>
    <x v="2"/>
  </r>
  <r>
    <n v="61753"/>
    <s v="FABIANO ALVIM"/>
    <s v="MEE"/>
    <s v="1º TURNO"/>
    <n v="50043917"/>
    <x v="66"/>
    <n v="1"/>
    <s v="REALIZADO"/>
    <s v="GEOVANE"/>
    <d v="2025-09-11T00:00:00"/>
    <x v="0"/>
  </r>
  <r>
    <n v="65482"/>
    <s v="RAFAEL BALBINO PEREIRA"/>
    <s v="MMG"/>
    <s v="ADM"/>
    <n v="50043917"/>
    <x v="66"/>
    <n v="1"/>
    <s v="REALIZADO"/>
    <s v="GEOVANE"/>
    <d v="2025-09-11T00:00:00"/>
    <x v="2"/>
  </r>
  <r>
    <n v="65482"/>
    <s v="RAFAEL BALBINO PEREIRA"/>
    <s v="MMG"/>
    <s v="ADM"/>
    <n v="50043917"/>
    <x v="66"/>
    <n v="1"/>
    <s v="REALIZADO"/>
    <s v="BRUNA"/>
    <d v="2025-09-11T00:00:00"/>
    <x v="0"/>
  </r>
  <r>
    <n v="68708"/>
    <s v="CLAUDIO TADEU LEITE"/>
    <s v="MMG"/>
    <s v="ADM"/>
    <n v="50043917"/>
    <x v="66"/>
    <n v="1"/>
    <s v="REALIZADO"/>
    <s v="BRUNO"/>
    <d v="2025-09-11T00:00:00"/>
    <x v="2"/>
  </r>
  <r>
    <n v="68708"/>
    <s v="CLAUDIO TADEU LEITE"/>
    <s v="MMG"/>
    <s v="ADM"/>
    <n v="50043917"/>
    <x v="66"/>
    <n v="1"/>
    <s v="REALIZADO"/>
    <s v="BRUNO"/>
    <d v="2025-09-11T00:00:00"/>
    <x v="2"/>
  </r>
  <r>
    <n v="77313"/>
    <s v="ROGERIO"/>
    <s v="MPR"/>
    <s v="ADM"/>
    <n v="50020622"/>
    <x v="42"/>
    <n v="1"/>
    <s v="REALIZADO"/>
    <s v="BRUNA"/>
    <d v="2025-09-11T00:00:00"/>
    <x v="0"/>
  </r>
  <r>
    <n v="63770"/>
    <s v="DANILO DA SILVA"/>
    <s v="MMG"/>
    <s v="ADM"/>
    <n v="50012902"/>
    <x v="30"/>
    <n v="1"/>
    <s v="REALIZADO"/>
    <s v="BRUNA"/>
    <d v="2025-09-11T00:00:00"/>
    <x v="2"/>
  </r>
  <r>
    <n v="63770"/>
    <s v="DANILO DA SILVA"/>
    <s v="MMG"/>
    <s v="ADM"/>
    <n v="50012902"/>
    <x v="30"/>
    <n v="1"/>
    <s v="REALIZADO"/>
    <s v="BRUNA"/>
    <d v="2025-09-11T00:00:00"/>
    <x v="0"/>
  </r>
  <r>
    <n v="68708"/>
    <s v="CLAUDIO TADEU LEITE"/>
    <s v="MMG"/>
    <s v="ADM"/>
    <n v="50032781"/>
    <x v="12"/>
    <n v="1"/>
    <s v="REALIZADO"/>
    <s v="BRUNO"/>
    <d v="2025-09-11T00:00:00"/>
    <x v="2"/>
  </r>
  <r>
    <n v="68708"/>
    <s v="CLAUDIO TADEU LEITE"/>
    <s v="MMG"/>
    <s v="ADM"/>
    <n v="50032781"/>
    <x v="12"/>
    <n v="1"/>
    <s v="REALIZADO"/>
    <s v="BRUNO"/>
    <d v="2025-09-11T00:00:00"/>
    <x v="0"/>
  </r>
  <r>
    <n v="68708"/>
    <s v="CLAUDIO TADEU LEITE"/>
    <s v="MMG"/>
    <s v="ADM"/>
    <n v="50038194"/>
    <x v="87"/>
    <n v="1"/>
    <s v="REALIZADO"/>
    <s v="BRUNA"/>
    <d v="2025-09-11T00:00:00"/>
    <x v="2"/>
  </r>
  <r>
    <n v="68708"/>
    <s v="CLAUDIO TADEU LEITE"/>
    <s v="MMG"/>
    <s v="ADM"/>
    <n v="50038194"/>
    <x v="87"/>
    <n v="1"/>
    <s v="REALIZADO"/>
    <s v="BRUNA"/>
    <d v="2025-09-11T00:00:00"/>
    <x v="0"/>
  </r>
  <r>
    <n v="62180"/>
    <s v="JOSE AUGUSTO MASSUCHINI"/>
    <s v="MMG"/>
    <s v="ADM"/>
    <n v="50037905"/>
    <x v="49"/>
    <n v="1"/>
    <s v="REALIZADO"/>
    <s v="BRUNA"/>
    <d v="2025-09-10T00:00:00"/>
    <x v="2"/>
  </r>
  <r>
    <n v="62180"/>
    <s v="JOSE AUGUSTO MASSUCHINI"/>
    <s v="MMG"/>
    <s v="ADM"/>
    <n v="50037905"/>
    <x v="49"/>
    <n v="1"/>
    <s v="REALIZADO"/>
    <s v="BRUNA"/>
    <d v="2025-09-10T00:00:00"/>
    <x v="0"/>
  </r>
  <r>
    <n v="74611"/>
    <s v="CRISTIAM BORGES"/>
    <s v="MPR"/>
    <s v="ADM"/>
    <n v="50030486"/>
    <x v="17"/>
    <n v="1"/>
    <s v="REALIZADO"/>
    <s v="KELLY"/>
    <d v="2025-09-10T00:00:00"/>
    <x v="2"/>
  </r>
  <r>
    <n v="74611"/>
    <s v="CRISTIAM BORGES"/>
    <s v="MPR"/>
    <s v="ADM"/>
    <n v="50030486"/>
    <x v="17"/>
    <n v="1"/>
    <s v="REALIZADO"/>
    <s v="AGATHA"/>
    <d v="2025-09-10T00:00:00"/>
    <x v="0"/>
  </r>
  <r>
    <n v="74611"/>
    <s v="CRISTIAM BORGES"/>
    <s v="MPR"/>
    <s v="ADM"/>
    <n v="50043471"/>
    <x v="5"/>
    <n v="1"/>
    <s v="REALIZADO"/>
    <s v="BRUNA"/>
    <d v="2025-09-10T00:00:00"/>
    <x v="2"/>
  </r>
  <r>
    <n v="74611"/>
    <s v="CRISTIAM BORGES"/>
    <s v="MPR"/>
    <s v="ADM"/>
    <n v="50043471"/>
    <x v="5"/>
    <n v="1"/>
    <s v="REALIZADO"/>
    <s v="BRUNO"/>
    <d v="2025-09-10T00:00:00"/>
    <x v="0"/>
  </r>
  <r>
    <n v="60953"/>
    <s v="PABLO JUNIOR"/>
    <s v="MMG"/>
    <s v="1º TURNO"/>
    <n v="50044839"/>
    <x v="79"/>
    <n v="1"/>
    <s v="REALIZADO"/>
    <s v="BRUNO"/>
    <d v="2025-09-10T00:00:00"/>
    <x v="2"/>
  </r>
  <r>
    <n v="77583"/>
    <s v="LAISE"/>
    <n v="0"/>
    <s v="1º TURNO"/>
    <n v="50044839"/>
    <x v="79"/>
    <n v="1"/>
    <s v="REALIZADO"/>
    <s v="BRUNO"/>
    <d v="2025-09-10T00:00:00"/>
    <x v="2"/>
  </r>
  <r>
    <n v="60953"/>
    <s v="PABLO JUNIOR"/>
    <s v="MMG"/>
    <s v="1º TURNO"/>
    <n v="50044839"/>
    <x v="79"/>
    <n v="1"/>
    <s v="REALIZADO"/>
    <s v="BRUNO"/>
    <d v="2025-09-10T00:00:00"/>
    <x v="0"/>
  </r>
  <r>
    <n v="74611"/>
    <s v="CRISTIAM BORGES"/>
    <s v="MPR"/>
    <s v="ADM"/>
    <n v="50029865"/>
    <x v="9"/>
    <n v="1"/>
    <s v="REALIZADO"/>
    <s v="BRUNA"/>
    <d v="2025-09-10T00:00:00"/>
    <x v="2"/>
  </r>
  <r>
    <n v="74611"/>
    <s v="CRISTIAM BORGES"/>
    <s v="MPR"/>
    <s v="ADM"/>
    <n v="50029865"/>
    <x v="9"/>
    <n v="1"/>
    <s v="REALIZADO"/>
    <s v="BRUNO"/>
    <d v="2025-09-10T00:00:00"/>
    <x v="0"/>
  </r>
  <r>
    <n v="62640"/>
    <s v="MARCELINHO"/>
    <s v="MPR"/>
    <s v="ADM"/>
    <n v="50036299"/>
    <x v="26"/>
    <n v="1"/>
    <s v="REALIZADO"/>
    <s v="KELLY"/>
    <d v="2025-09-10T00:00:00"/>
    <x v="2"/>
  </r>
  <r>
    <n v="62640"/>
    <s v="MARCELINHO"/>
    <s v="MPR"/>
    <s v="ADM"/>
    <n v="50036299"/>
    <x v="26"/>
    <n v="1"/>
    <s v="REALIZADO"/>
    <s v="GEOVANE"/>
    <d v="2025-09-10T00:00:00"/>
    <x v="0"/>
  </r>
  <r>
    <n v="65910"/>
    <s v="GABRIEL CAIXETA"/>
    <s v="MEE"/>
    <s v="ADM"/>
    <n v="50043320"/>
    <x v="35"/>
    <n v="1"/>
    <s v="REALIZADO"/>
    <s v="KELLY"/>
    <d v="2025-09-10T00:00:00"/>
    <x v="0"/>
  </r>
  <r>
    <n v="77526"/>
    <s v="FELIPE GARÇONI"/>
    <s v="MEE"/>
    <s v="1º TURNO"/>
    <n v="50038549"/>
    <x v="6"/>
    <n v="1"/>
    <s v="REALIZADO"/>
    <s v="AGATHA"/>
    <d v="2025-09-10T00:00:00"/>
    <x v="2"/>
  </r>
  <r>
    <n v="61753"/>
    <s v="FABIANO ALVIM"/>
    <s v="MEE"/>
    <s v="1º TURNO"/>
    <n v="50038549"/>
    <x v="6"/>
    <n v="1"/>
    <s v="REALIZADO"/>
    <s v="BRUNA"/>
    <d v="2025-09-10T00:00:00"/>
    <x v="0"/>
  </r>
  <r>
    <n v="73336"/>
    <s v="RODRIGO RODRIGUES"/>
    <s v="MMG"/>
    <s v="ADM"/>
    <n v="50022878"/>
    <x v="18"/>
    <n v="1"/>
    <s v="REALIZADO"/>
    <s v="KELLY"/>
    <d v="2025-09-10T00:00:00"/>
    <x v="2"/>
  </r>
  <r>
    <n v="73336"/>
    <s v="RODRIGO RODRIGUES"/>
    <s v="MMG"/>
    <s v="ADM"/>
    <n v="50022878"/>
    <x v="18"/>
    <n v="1"/>
    <s v="REALIZADO"/>
    <s v="GEOVANE"/>
    <d v="2025-09-10T00:00:00"/>
    <x v="0"/>
  </r>
  <r>
    <n v="78678"/>
    <s v="MARLOM ROGERIO VIEIRA"/>
    <s v="MME"/>
    <s v="ADM"/>
    <n v="50038956"/>
    <x v="10"/>
    <n v="1"/>
    <s v="REALIZADO"/>
    <s v="BRUNO"/>
    <d v="2025-09-10T00:00:00"/>
    <x v="2"/>
  </r>
  <r>
    <n v="78678"/>
    <s v="MARLOM ROGERIO VIEIRA"/>
    <s v="MME"/>
    <s v="ADM"/>
    <n v="50038956"/>
    <x v="10"/>
    <n v="1"/>
    <s v="REALIZADO"/>
    <s v="BRUNO"/>
    <d v="2025-09-10T00:00:00"/>
    <x v="0"/>
  </r>
  <r>
    <n v="78675"/>
    <s v="ORLANDO GOMES"/>
    <s v="MME"/>
    <s v="1º TURNO"/>
    <n v="50038956"/>
    <x v="10"/>
    <n v="1"/>
    <s v="REALIZADO"/>
    <s v="BRUNA"/>
    <d v="2025-09-10T00:00:00"/>
    <x v="2"/>
  </r>
  <r>
    <n v="78675"/>
    <s v="ORLANDO GOMES"/>
    <s v="MME"/>
    <s v="1º TURNO"/>
    <n v="50038956"/>
    <x v="10"/>
    <n v="1"/>
    <s v="REALIZADO"/>
    <s v="BRUNA"/>
    <d v="2025-09-10T00:00:00"/>
    <x v="0"/>
  </r>
  <r>
    <n v="70105"/>
    <s v="RONALDO DE SOUZA SANTOS"/>
    <s v="MMG"/>
    <s v="2º TURNO"/>
    <n v="50037892"/>
    <x v="2"/>
    <n v="1"/>
    <s v="REALIZADO"/>
    <s v="AGATHA"/>
    <d v="2025-09-10T00:00:00"/>
    <x v="2"/>
  </r>
  <r>
    <n v="70105"/>
    <s v="RONALDO DE SOUZA SANTOS"/>
    <s v="MMG"/>
    <s v="2º TURNO"/>
    <n v="50037892"/>
    <x v="2"/>
    <n v="1"/>
    <s v="REALIZADO"/>
    <s v="BRUNO"/>
    <d v="2025-09-10T00:00:00"/>
    <x v="0"/>
  </r>
  <r>
    <n v="74611"/>
    <s v="CRISTIAM BORGES"/>
    <s v="MPR"/>
    <s v="ADM"/>
    <n v="50037902"/>
    <x v="14"/>
    <n v="1"/>
    <s v="REALIZADO"/>
    <s v="KELLY"/>
    <d v="2025-09-10T00:00:00"/>
    <x v="2"/>
  </r>
  <r>
    <n v="74611"/>
    <s v="CRISTIAM BORGES"/>
    <s v="MPR"/>
    <s v="ADM"/>
    <n v="50037902"/>
    <x v="14"/>
    <n v="1"/>
    <s v="REALIZADO"/>
    <s v="GEOVANE"/>
    <d v="2025-09-10T00:00:00"/>
    <x v="0"/>
  </r>
  <r>
    <n v="74611"/>
    <s v="CRISTIAM BORGES"/>
    <s v="MPR"/>
    <s v="ADM"/>
    <n v="50037902"/>
    <x v="14"/>
    <n v="1"/>
    <s v="REALIZADO"/>
    <s v="BRUNA"/>
    <d v="2025-09-10T00:00:00"/>
    <x v="2"/>
  </r>
  <r>
    <n v="74611"/>
    <s v="CRISTIAM BORGES"/>
    <s v="MPR"/>
    <s v="ADM"/>
    <n v="50037902"/>
    <x v="14"/>
    <n v="1"/>
    <s v="REALIZADO"/>
    <s v="BRUNO"/>
    <d v="2025-09-10T00:00:00"/>
    <x v="0"/>
  </r>
  <r>
    <n v="65472"/>
    <s v="ISRAEL MACEDO"/>
    <s v="MMG"/>
    <s v="ADM"/>
    <n v="50038517"/>
    <x v="0"/>
    <n v="1"/>
    <s v="REALIZADO"/>
    <s v="BRUNO"/>
    <d v="2025-09-10T00:00:00"/>
    <x v="2"/>
  </r>
  <r>
    <n v="65472"/>
    <s v="ISRAEL MACEDO"/>
    <s v="MMG"/>
    <s v="ADM"/>
    <n v="50038517"/>
    <x v="0"/>
    <n v="1"/>
    <s v="REALIZADO"/>
    <s v="BRUNO"/>
    <d v="2025-09-10T00:00:00"/>
    <x v="0"/>
  </r>
  <r>
    <n v="74611"/>
    <s v="CRISTIAM BORGES"/>
    <s v="MPR"/>
    <s v="ADM"/>
    <n v="50001995"/>
    <x v="44"/>
    <n v="1"/>
    <s v="REALIZADO"/>
    <s v="GEOVANE"/>
    <d v="2025-09-10T00:00:00"/>
    <x v="2"/>
  </r>
  <r>
    <n v="74611"/>
    <s v="CRISTIAM BORGES"/>
    <s v="MPR"/>
    <s v="ADM"/>
    <n v="50001995"/>
    <x v="44"/>
    <n v="1"/>
    <s v="REALIZADO"/>
    <s v="BRUNO"/>
    <d v="2025-09-10T00:00:00"/>
    <x v="0"/>
  </r>
  <r>
    <n v="77313"/>
    <s v="ROGERIO"/>
    <s v="MPR"/>
    <s v="ADM"/>
    <n v="50026357"/>
    <x v="24"/>
    <n v="1"/>
    <s v="REALIZADO"/>
    <s v="AGATHA"/>
    <d v="2025-09-10T00:00:00"/>
    <x v="2"/>
  </r>
  <r>
    <n v="77313"/>
    <s v="ROGERIO"/>
    <s v="MPR"/>
    <s v="ADM"/>
    <n v="50026357"/>
    <x v="24"/>
    <n v="1"/>
    <s v="REALIZADO"/>
    <s v="BRUNO"/>
    <d v="2025-09-10T00:00:00"/>
    <x v="0"/>
  </r>
  <r>
    <n v="77526"/>
    <s v="FELIPE GARÇONI"/>
    <s v="MME"/>
    <s v="ADM"/>
    <n v="50041195"/>
    <x v="21"/>
    <n v="1"/>
    <s v="REALIZADO"/>
    <s v="KELLY"/>
    <d v="2025-09-10T00:00:00"/>
    <x v="2"/>
  </r>
  <r>
    <n v="77526"/>
    <s v="FELIPE GARÇONI"/>
    <s v="MEE"/>
    <s v="ADM"/>
    <n v="50041195"/>
    <x v="21"/>
    <n v="1"/>
    <s v="REALIZADO"/>
    <s v="AGATHA"/>
    <d v="2025-09-10T00:00:00"/>
    <x v="0"/>
  </r>
  <r>
    <n v="78678"/>
    <s v="MARLOM ROGERIO VIEIRA"/>
    <s v="MME"/>
    <s v="ADM"/>
    <n v="50041195"/>
    <x v="21"/>
    <n v="1"/>
    <s v="REALIZADO"/>
    <s v="BRUNO"/>
    <d v="2025-09-10T00:00:00"/>
    <x v="2"/>
  </r>
  <r>
    <n v="78678"/>
    <s v="MARLOM ROGERIO VIEIRA"/>
    <s v="MME"/>
    <s v="ADM"/>
    <n v="50041195"/>
    <x v="21"/>
    <n v="1"/>
    <s v="REALIZADO"/>
    <s v="BRUNO"/>
    <d v="2025-09-10T00:00:00"/>
    <x v="0"/>
  </r>
  <r>
    <n v="62033"/>
    <s v="ODAIR JOSE DA SILVA"/>
    <s v="MME"/>
    <s v="2º TURNO"/>
    <n v="50043917"/>
    <x v="66"/>
    <n v="1"/>
    <s v="REALIZADO"/>
    <s v="KELLY"/>
    <d v="2025-09-10T00:00:00"/>
    <x v="2"/>
  </r>
  <r>
    <n v="62033"/>
    <s v="ODAIR JOSE DA SILVA"/>
    <s v="MME"/>
    <s v="2º TURNO"/>
    <n v="50043917"/>
    <x v="66"/>
    <n v="1"/>
    <s v="REALIZADO"/>
    <s v="KELLY"/>
    <d v="2025-09-10T00:00:00"/>
    <x v="0"/>
  </r>
  <r>
    <n v="64253"/>
    <s v="DANIEL JULIAO"/>
    <s v="MMG"/>
    <s v="ADM"/>
    <n v="50043917"/>
    <x v="66"/>
    <n v="1"/>
    <s v="REALIZADO"/>
    <s v="KELLY"/>
    <d v="2025-09-10T00:00:00"/>
    <x v="2"/>
  </r>
  <r>
    <n v="64253"/>
    <s v="DANIEL JULIAO"/>
    <s v="MMG"/>
    <s v="ADM"/>
    <n v="50043917"/>
    <x v="66"/>
    <n v="1"/>
    <s v="REALIZADO"/>
    <s v="AGATHA"/>
    <d v="2025-09-10T00:00:00"/>
    <x v="2"/>
  </r>
  <r>
    <n v="63770"/>
    <s v="DANILO DA SILVA"/>
    <s v="MMG"/>
    <s v="ADM"/>
    <n v="50037906"/>
    <x v="65"/>
    <n v="1"/>
    <s v="REALIZADO"/>
    <s v="GEOVANE"/>
    <d v="2025-09-10T00:00:00"/>
    <x v="0"/>
  </r>
  <r>
    <n v="65844"/>
    <s v="ALTEMAR FEITOSA"/>
    <s v="MMG"/>
    <s v="1º TURNO"/>
    <n v="50020622"/>
    <x v="42"/>
    <n v="1"/>
    <s v="REALIZADO"/>
    <s v="BRUNA"/>
    <d v="2025-09-10T00:00:00"/>
    <x v="2"/>
  </r>
  <r>
    <n v="65844"/>
    <s v="ALTEMAR FEITOSA"/>
    <s v="MMG"/>
    <s v="1º TURNO"/>
    <n v="50020622"/>
    <x v="42"/>
    <n v="1"/>
    <s v="REALIZADO"/>
    <s v="BRUNO"/>
    <d v="2025-09-10T00:00:00"/>
    <x v="0"/>
  </r>
  <r>
    <n v="77521"/>
    <s v="LUCAS LIRA"/>
    <s v="MME"/>
    <s v="ADM"/>
    <n v="50032781"/>
    <x v="12"/>
    <n v="1"/>
    <s v="REALIZADO"/>
    <s v="BRUNO"/>
    <d v="2025-09-10T00:00:00"/>
    <x v="2"/>
  </r>
  <r>
    <n v="77521"/>
    <s v="LUCAS LIRA"/>
    <s v="MME"/>
    <s v="ADM"/>
    <n v="50032781"/>
    <x v="12"/>
    <n v="1"/>
    <s v="REALIZADO"/>
    <s v="BRUNO"/>
    <d v="2025-09-10T00:00:00"/>
    <x v="0"/>
  </r>
  <r>
    <n v="63770"/>
    <s v="DANILO DA SILVA"/>
    <s v="MMG"/>
    <s v="ADM"/>
    <n v="50037900"/>
    <x v="41"/>
    <n v="1"/>
    <s v="REALIZADO"/>
    <s v="KELLY"/>
    <d v="2025-09-10T00:00:00"/>
    <x v="2"/>
  </r>
  <r>
    <n v="72728"/>
    <s v="JUNIOR CESAR DA PENHA"/>
    <s v="UTI"/>
    <s v="2º TURNO"/>
    <n v="50042002"/>
    <x v="38"/>
    <n v="1"/>
    <s v="REALIZADO"/>
    <s v="BRUNO"/>
    <d v="2025-09-10T00:00:00"/>
    <x v="2"/>
  </r>
  <r>
    <n v="77526"/>
    <s v="FELIPE GARÇONI"/>
    <s v="MME"/>
    <s v="ADM"/>
    <n v="50002644"/>
    <x v="83"/>
    <n v="1"/>
    <s v="REALIZADO"/>
    <s v="GEOVANE"/>
    <d v="2025-09-09T00:00:00"/>
    <x v="2"/>
  </r>
  <r>
    <n v="62896"/>
    <s v="LEONARDO BORGES"/>
    <s v="MEE"/>
    <s v="ADM"/>
    <n v="50036298"/>
    <x v="69"/>
    <n v="1"/>
    <s v="REALIZADO"/>
    <s v="MATHEUS"/>
    <d v="2025-09-09T00:00:00"/>
    <x v="2"/>
  </r>
  <r>
    <n v="61096"/>
    <s v="REGIVALDO MEDEIROS"/>
    <s v="MME"/>
    <s v="ADM"/>
    <n v="50036288"/>
    <x v="111"/>
    <n v="1"/>
    <s v="REALIZADO"/>
    <s v="BRUNA"/>
    <d v="2025-09-09T00:00:00"/>
    <x v="0"/>
  </r>
  <r>
    <n v="61332"/>
    <s v="JOSE CARLOS DOS SANTOS"/>
    <s v="PROJETOS"/>
    <s v="ADM"/>
    <n v="50030486"/>
    <x v="17"/>
    <n v="1"/>
    <s v="REALIZADO"/>
    <s v="JOÃO FRANCISCO"/>
    <d v="2025-09-09T00:00:00"/>
    <x v="2"/>
  </r>
  <r>
    <n v="61332"/>
    <s v="JOSE CARLOS DOS SANTOS"/>
    <s v="PROJETOS"/>
    <s v="ADM"/>
    <n v="50030486"/>
    <x v="17"/>
    <n v="1"/>
    <s v="REALIZADO"/>
    <s v="AGATHA"/>
    <d v="2025-09-09T00:00:00"/>
    <x v="0"/>
  </r>
  <r>
    <n v="77313"/>
    <s v="ROGERIO"/>
    <s v="MPR"/>
    <s v="ADM"/>
    <n v="50039236"/>
    <x v="84"/>
    <n v="1"/>
    <s v="REALIZADO"/>
    <s v="AGATHA"/>
    <d v="2025-09-09T00:00:00"/>
    <x v="2"/>
  </r>
  <r>
    <n v="77313"/>
    <s v="ROGERIO"/>
    <s v="MPR"/>
    <s v="ADM"/>
    <n v="50039236"/>
    <x v="84"/>
    <n v="1"/>
    <s v="REALIZADO"/>
    <s v="AGATHA"/>
    <d v="2025-09-09T00:00:00"/>
    <x v="0"/>
  </r>
  <r>
    <n v="63713"/>
    <s v="BRUNO DIAS"/>
    <s v="MME"/>
    <s v="ADM"/>
    <n v="50043471"/>
    <x v="5"/>
    <n v="1"/>
    <s v="REALIZADO"/>
    <s v="AGATHA"/>
    <d v="2025-09-09T00:00:00"/>
    <x v="2"/>
  </r>
  <r>
    <n v="63713"/>
    <s v="BRUNO DIAS"/>
    <s v="MME"/>
    <s v="ADM"/>
    <n v="50043471"/>
    <x v="5"/>
    <n v="1"/>
    <s v="REALIZADO"/>
    <s v="BRUNA"/>
    <d v="2025-09-09T00:00:00"/>
    <x v="0"/>
  </r>
  <r>
    <n v="64074"/>
    <s v="MARCOS FERNANDES COLOMBO"/>
    <s v="MPR"/>
    <s v="ADM"/>
    <n v="50003296"/>
    <x v="105"/>
    <n v="1"/>
    <s v="REALIZADO"/>
    <s v="KELLY"/>
    <d v="2025-09-09T00:00:00"/>
    <x v="2"/>
  </r>
  <r>
    <n v="64074"/>
    <s v="MARCOS FERNANDES COLOMBO"/>
    <s v="MPR"/>
    <s v="ADM"/>
    <n v="50003296"/>
    <x v="105"/>
    <n v="1"/>
    <s v="REALIZADO"/>
    <s v="AGATHA"/>
    <d v="2025-09-09T00:00:00"/>
    <x v="0"/>
  </r>
  <r>
    <n v="67863"/>
    <s v="MARCELO PAIM"/>
    <s v="MME"/>
    <s v="1º TURNO"/>
    <n v="50003297"/>
    <x v="8"/>
    <n v="1"/>
    <s v="REALIZADO"/>
    <s v="MATHEUS"/>
    <d v="2025-09-09T00:00:00"/>
    <x v="2"/>
  </r>
  <r>
    <n v="67863"/>
    <s v="MARCELO PAIM"/>
    <s v="MME"/>
    <s v="1º TURNO"/>
    <n v="50003297"/>
    <x v="8"/>
    <n v="1"/>
    <s v="REALIZADO"/>
    <s v="MATHEUS"/>
    <d v="2025-09-09T00:00:00"/>
    <x v="0"/>
  </r>
  <r>
    <n v="64253"/>
    <s v="DANIEL JULIAO"/>
    <s v="MMG"/>
    <s v="ADM"/>
    <n v="50022878"/>
    <x v="18"/>
    <n v="1"/>
    <s v="REALIZADO"/>
    <s v="AGATHA"/>
    <d v="2025-09-09T00:00:00"/>
    <x v="2"/>
  </r>
  <r>
    <n v="70105"/>
    <s v="RONALDO DE SOUZA SANTOS"/>
    <s v="MMG"/>
    <s v="2º TURNO"/>
    <n v="50022878"/>
    <x v="18"/>
    <n v="1"/>
    <s v="REALIZADO"/>
    <s v="BRUNA"/>
    <d v="2025-09-09T00:00:00"/>
    <x v="0"/>
  </r>
  <r>
    <n v="64253"/>
    <s v="DANIEL JULIAO"/>
    <s v="MMG"/>
    <s v="ADM"/>
    <n v="50022878"/>
    <x v="18"/>
    <n v="1"/>
    <s v="REALIZADO"/>
    <s v="BRUNA"/>
    <d v="2025-09-09T00:00:00"/>
    <x v="2"/>
  </r>
  <r>
    <n v="64253"/>
    <s v="DANIEL JULIAO"/>
    <s v="MMG"/>
    <s v="ADM"/>
    <n v="50022878"/>
    <x v="18"/>
    <n v="1"/>
    <s v="REALIZADO"/>
    <s v="MATHEUS"/>
    <d v="2025-09-09T00:00:00"/>
    <x v="0"/>
  </r>
  <r>
    <n v="73878"/>
    <s v="EVANDRO TANAKA"/>
    <s v="MMG"/>
    <s v="ADM"/>
    <n v="50037892"/>
    <x v="2"/>
    <n v="1"/>
    <s v="REALIZADO"/>
    <s v="KELLY"/>
    <d v="2025-09-09T00:00:00"/>
    <x v="2"/>
  </r>
  <r>
    <n v="73878"/>
    <s v="EVANDRO TANAKA"/>
    <s v="MMG"/>
    <s v="ADM"/>
    <n v="50037892"/>
    <x v="2"/>
    <n v="1"/>
    <s v="REALIZADO"/>
    <s v="AGATHA"/>
    <d v="2025-09-09T00:00:00"/>
    <x v="0"/>
  </r>
  <r>
    <n v="63713"/>
    <s v="BRUNO DIAS"/>
    <s v="MME"/>
    <s v="ADM"/>
    <n v="50038841"/>
    <x v="34"/>
    <n v="1"/>
    <s v="REALIZADO"/>
    <s v="GEOVANE"/>
    <d v="2025-09-09T00:00:00"/>
    <x v="2"/>
  </r>
  <r>
    <n v="63713"/>
    <s v="BRUNO DIAS"/>
    <s v="MME"/>
    <s v="ADM"/>
    <n v="50038841"/>
    <x v="34"/>
    <n v="1"/>
    <s v="REALIZADO"/>
    <s v="MATHEUS"/>
    <d v="2025-09-09T00:00:00"/>
    <x v="0"/>
  </r>
  <r>
    <n v="74611"/>
    <s v="CRISTIAM BORGES"/>
    <s v="MPR"/>
    <s v="ADM"/>
    <n v="50038517"/>
    <x v="0"/>
    <n v="1"/>
    <s v="REALIZADO"/>
    <s v="AGATHA"/>
    <d v="2025-09-09T00:00:00"/>
    <x v="2"/>
  </r>
  <r>
    <n v="64074"/>
    <s v="MARCOS FERNANDES COLOMBO"/>
    <s v="MPR"/>
    <s v="ADM"/>
    <n v="50038517"/>
    <x v="0"/>
    <n v="1"/>
    <s v="REALIZADO"/>
    <s v="MATHEUS"/>
    <d v="2025-09-09T00:00:00"/>
    <x v="0"/>
  </r>
  <r>
    <n v="74611"/>
    <s v="CRISTIAM BORGES"/>
    <s v="MPR"/>
    <s v="ADM"/>
    <n v="50001995"/>
    <x v="44"/>
    <n v="1"/>
    <s v="REALIZADO"/>
    <s v="AGATHA"/>
    <d v="2025-09-09T00:00:00"/>
    <x v="2"/>
  </r>
  <r>
    <n v="74611"/>
    <s v="CRISTIAM BORGES"/>
    <s v="MPR"/>
    <s v="ADM"/>
    <n v="50001995"/>
    <x v="44"/>
    <n v="1"/>
    <s v="REALIZADO"/>
    <s v="MATHEUS"/>
    <d v="2025-09-09T00:00:00"/>
    <x v="0"/>
  </r>
  <r>
    <n v="77313"/>
    <s v="ROGERIO"/>
    <s v="MPR"/>
    <s v="ADM"/>
    <n v="50026357"/>
    <x v="24"/>
    <n v="1"/>
    <s v="REALIZADO"/>
    <s v="AGATHA"/>
    <d v="2025-09-09T00:00:00"/>
    <x v="2"/>
  </r>
  <r>
    <n v="77313"/>
    <s v="ROGERIO"/>
    <s v="MPR"/>
    <s v="ADM"/>
    <n v="50026357"/>
    <x v="24"/>
    <n v="1"/>
    <s v="REALIZADO"/>
    <s v="MATHEUS"/>
    <d v="2025-09-09T00:00:00"/>
    <x v="0"/>
  </r>
  <r>
    <n v="65472"/>
    <s v="ISRAEL MACEDO"/>
    <s v="MMG"/>
    <s v="ADM"/>
    <n v="50041653"/>
    <x v="50"/>
    <n v="1"/>
    <s v="REALIZADO"/>
    <s v="BRUNA"/>
    <d v="2025-09-09T00:00:00"/>
    <x v="2"/>
  </r>
  <r>
    <n v="65472"/>
    <s v="ISRAEL MACEDO"/>
    <s v="MMG"/>
    <s v="ADM"/>
    <n v="50041653"/>
    <x v="50"/>
    <n v="1"/>
    <s v="REALIZADO"/>
    <s v="MATHEUS"/>
    <d v="2025-09-09T00:00:00"/>
    <x v="0"/>
  </r>
  <r>
    <n v="58734"/>
    <s v="FABIO CARVALHO"/>
    <s v="MME"/>
    <s v="2º TURNO"/>
    <n v="50041195"/>
    <x v="21"/>
    <n v="1"/>
    <s v="REALIZADO"/>
    <s v="KELLY"/>
    <d v="2025-09-09T00:00:00"/>
    <x v="2"/>
  </r>
  <r>
    <n v="58734"/>
    <s v="FABIO CARVALHO"/>
    <s v="MME"/>
    <s v="2º TURNO"/>
    <n v="50041195"/>
    <x v="21"/>
    <n v="1"/>
    <s v="REALIZADO"/>
    <s v="KELLY"/>
    <d v="2025-09-09T00:00:00"/>
    <x v="0"/>
  </r>
  <r>
    <n v="77471"/>
    <s v="DANILO BARBOSA"/>
    <s v="MEE"/>
    <s v="ADM"/>
    <n v="50041195"/>
    <x v="21"/>
    <n v="1"/>
    <s v="REALIZADO"/>
    <s v="KELLY"/>
    <d v="2025-09-09T00:00:00"/>
    <x v="2"/>
  </r>
  <r>
    <n v="77471"/>
    <s v="DANILO BARBOSA"/>
    <s v="MEE"/>
    <s v="ADM"/>
    <n v="50041195"/>
    <x v="21"/>
    <n v="1"/>
    <s v="REALIZADO"/>
    <s v="GEOVANE"/>
    <d v="2025-09-09T00:00:00"/>
    <x v="0"/>
  </r>
  <r>
    <n v="62640"/>
    <s v="MARCELINHO"/>
    <s v="MPR"/>
    <s v="ADM"/>
    <n v="50041195"/>
    <x v="21"/>
    <n v="1"/>
    <s v="REALIZADO"/>
    <s v="AGATHA"/>
    <d v="2025-09-09T00:00:00"/>
    <x v="2"/>
  </r>
  <r>
    <n v="62640"/>
    <s v="MARCELINHO"/>
    <s v="MPR"/>
    <s v="ADM"/>
    <n v="50041195"/>
    <x v="21"/>
    <n v="1"/>
    <s v="REALIZADO"/>
    <s v="AGATHA"/>
    <d v="2025-09-09T00:00:00"/>
    <x v="2"/>
  </r>
  <r>
    <n v="66830"/>
    <s v="MARCIO GOMES DA SILVA"/>
    <s v="MPR"/>
    <s v="ADM"/>
    <n v="50041195"/>
    <x v="21"/>
    <n v="1"/>
    <s v="REALIZADO"/>
    <s v="MATHEUS"/>
    <d v="2025-09-09T00:00:00"/>
    <x v="0"/>
  </r>
  <r>
    <n v="77471"/>
    <s v="DANILO BARBOSA"/>
    <s v="MEE"/>
    <s v="ADM"/>
    <n v="50043917"/>
    <x v="66"/>
    <n v="1"/>
    <s v="REALIZADO"/>
    <s v="GEOVANE"/>
    <d v="2025-09-09T00:00:00"/>
    <x v="2"/>
  </r>
  <r>
    <n v="77471"/>
    <s v="DANILO BARBOSA"/>
    <s v="MEE"/>
    <s v="ADM"/>
    <n v="50043917"/>
    <x v="66"/>
    <n v="1"/>
    <s v="REALIZADO"/>
    <s v="MATHEUS"/>
    <d v="2025-09-09T00:00:00"/>
    <x v="0"/>
  </r>
  <r>
    <n v="68760"/>
    <s v="FERDINANDO PAZINI"/>
    <s v="MMG"/>
    <s v="ADM"/>
    <n v="50004486"/>
    <x v="40"/>
    <n v="1"/>
    <s v="REALIZADO"/>
    <s v="AGATHA"/>
    <d v="2025-09-09T00:00:00"/>
    <x v="2"/>
  </r>
  <r>
    <n v="68760"/>
    <s v="FERDINANDO PAZINI"/>
    <s v="MMG"/>
    <s v="ADM"/>
    <n v="50004486"/>
    <x v="40"/>
    <n v="1"/>
    <s v="REALIZADO"/>
    <s v="GEOVANE"/>
    <d v="2025-09-09T00:00:00"/>
    <x v="0"/>
  </r>
  <r>
    <n v="78886"/>
    <s v="DOUGLAS FELICIANO MENDES DE OLIVEIRA"/>
    <s v="MME"/>
    <s v="ADM"/>
    <n v="50032781"/>
    <x v="12"/>
    <n v="1"/>
    <s v="REALIZADO"/>
    <s v="BRUNA"/>
    <d v="2025-09-09T00:00:00"/>
    <x v="2"/>
  </r>
  <r>
    <n v="78886"/>
    <s v="DOUGLAS FELICIANO MENDES DE OLIVEIRA"/>
    <s v="MME"/>
    <s v="ADM"/>
    <n v="50032781"/>
    <x v="12"/>
    <n v="1"/>
    <s v="REALIZADO"/>
    <s v="MATHEUS"/>
    <d v="2025-09-09T00:00:00"/>
    <x v="2"/>
  </r>
  <r>
    <n v="65472"/>
    <s v="ISRAEL MACEDO"/>
    <s v="MMG"/>
    <s v="ADM"/>
    <n v="50037924"/>
    <x v="90"/>
    <n v="1"/>
    <s v="REALIZADO"/>
    <s v="MATHEUS"/>
    <d v="2025-09-09T00:00:00"/>
    <x v="2"/>
  </r>
  <r>
    <n v="65472"/>
    <s v="ISRAEL MACEDO"/>
    <s v="MMG"/>
    <s v="ADM"/>
    <n v="50037924"/>
    <x v="90"/>
    <n v="1"/>
    <s v="REALIZADO"/>
    <s v="MATHEUS"/>
    <d v="2025-09-09T00:00:00"/>
    <x v="0"/>
  </r>
  <r>
    <n v="76994"/>
    <s v="FELIPE HENRIQUE DE BRITO"/>
    <s v="MEE"/>
    <s v="ADM"/>
    <n v="50002644"/>
    <x v="83"/>
    <n v="1"/>
    <s v="REALIZADO"/>
    <s v="AGATHA"/>
    <d v="2025-09-08T00:00:00"/>
    <x v="2"/>
  </r>
  <r>
    <n v="76994"/>
    <s v="FELIPE HENRIQUE DE BRITO"/>
    <s v="MEE"/>
    <s v="ADM"/>
    <n v="50002644"/>
    <x v="83"/>
    <n v="1"/>
    <s v="REALIZADO"/>
    <s v="BRUNO"/>
    <d v="2025-09-08T00:00:00"/>
    <x v="0"/>
  </r>
  <r>
    <n v="77313"/>
    <s v="ROGERIO"/>
    <s v="MPR"/>
    <s v="ADM"/>
    <n v="50030486"/>
    <x v="17"/>
    <n v="1"/>
    <s v="REALIZADO"/>
    <s v="AGATHA"/>
    <d v="2025-09-08T00:00:00"/>
    <x v="2"/>
  </r>
  <r>
    <n v="77313"/>
    <s v="ROGERIO"/>
    <s v="MPR"/>
    <s v="ADM"/>
    <n v="50030486"/>
    <x v="17"/>
    <n v="1"/>
    <s v="REALIZADO"/>
    <s v="AGATHA"/>
    <d v="2025-09-08T00:00:00"/>
    <x v="0"/>
  </r>
  <r>
    <n v="62640"/>
    <s v="MARCELINHO"/>
    <s v="MPR"/>
    <s v="ADM"/>
    <n v="50043471"/>
    <x v="5"/>
    <n v="1"/>
    <s v="REALIZADO"/>
    <s v="AGATHA"/>
    <d v="2025-09-08T00:00:00"/>
    <x v="2"/>
  </r>
  <r>
    <n v="62640"/>
    <s v="MARCELINHO"/>
    <s v="MPR"/>
    <s v="ADM"/>
    <n v="50043471"/>
    <x v="5"/>
    <n v="1"/>
    <s v="REALIZADO"/>
    <s v="AGATHA"/>
    <d v="2025-09-08T00:00:00"/>
    <x v="0"/>
  </r>
  <r>
    <n v="61264"/>
    <s v="EVERTON GERONIMO"/>
    <s v="MMG"/>
    <s v="ADM"/>
    <n v="50037909"/>
    <x v="99"/>
    <n v="1"/>
    <s v="REALIZADO"/>
    <s v="AGATHA"/>
    <d v="2025-09-08T00:00:00"/>
    <x v="2"/>
  </r>
  <r>
    <n v="61264"/>
    <s v="EVERTON GERONIMO"/>
    <s v="MMG"/>
    <s v="ADM"/>
    <n v="50037909"/>
    <x v="99"/>
    <n v="1"/>
    <s v="REALIZADO"/>
    <s v="AGATHA"/>
    <d v="2025-09-08T00:00:00"/>
    <x v="0"/>
  </r>
  <r>
    <n v="70105"/>
    <s v="RONALDO DE SOUZA SANTOS"/>
    <s v="MMG"/>
    <s v="2º TURNO"/>
    <n v="50022878"/>
    <x v="18"/>
    <n v="1"/>
    <s v="REALIZADO"/>
    <s v="KELLY"/>
    <d v="2025-09-08T00:00:00"/>
    <x v="2"/>
  </r>
  <r>
    <n v="70105"/>
    <s v="RONALDO DE SOUZA SANTOS"/>
    <s v="MMG"/>
    <s v="2º TURNO"/>
    <n v="50022878"/>
    <x v="18"/>
    <n v="1"/>
    <s v="REALIZADO"/>
    <s v="BRUNO"/>
    <d v="2025-09-08T00:00:00"/>
    <x v="0"/>
  </r>
  <r>
    <n v="58734"/>
    <s v="FABIO CARVALHO"/>
    <s v="MME"/>
    <s v="2º TURNO"/>
    <n v="50038956"/>
    <x v="10"/>
    <n v="1"/>
    <s v="REALIZADO"/>
    <s v="KELLY"/>
    <d v="2025-09-08T00:00:00"/>
    <x v="2"/>
  </r>
  <r>
    <n v="58734"/>
    <s v="FABIO CARVALHO"/>
    <s v="MME"/>
    <s v="2º TURNO"/>
    <n v="50038956"/>
    <x v="10"/>
    <n v="1"/>
    <s v="REALIZADO"/>
    <s v="KELLY"/>
    <d v="2025-09-08T00:00:00"/>
    <x v="0"/>
  </r>
  <r>
    <n v="74611"/>
    <s v="CRISTIAM BORGES"/>
    <s v="MPR"/>
    <s v="ADM"/>
    <n v="50038956"/>
    <x v="10"/>
    <n v="1"/>
    <s v="REALIZADO"/>
    <s v="AGATHA"/>
    <d v="2025-09-08T00:00:00"/>
    <x v="2"/>
  </r>
  <r>
    <n v="74611"/>
    <s v="CRISTIAM BORGES"/>
    <s v="MPR"/>
    <s v="ADM"/>
    <n v="50038956"/>
    <x v="10"/>
    <n v="1"/>
    <s v="REALIZADO"/>
    <s v="BRUNO"/>
    <d v="2025-09-08T00:00:00"/>
    <x v="0"/>
  </r>
  <r>
    <n v="77708"/>
    <s v="FABIO JUSTINO"/>
    <s v="MPR"/>
    <s v="ADM"/>
    <n v="50037892"/>
    <x v="2"/>
    <n v="1"/>
    <s v="REALIZADO"/>
    <s v="BRUNO"/>
    <d v="2025-09-08T00:00:00"/>
    <x v="2"/>
  </r>
  <r>
    <n v="77708"/>
    <s v="FABIO JUSTINO"/>
    <s v="MPR"/>
    <s v="ADM"/>
    <n v="50037892"/>
    <x v="2"/>
    <n v="1"/>
    <s v="REALIZADO"/>
    <s v="BRUNO"/>
    <d v="2025-09-08T00:00:00"/>
    <x v="0"/>
  </r>
  <r>
    <n v="70105"/>
    <s v="RONALDO DE SOUZA SANTOS"/>
    <s v="MMG"/>
    <s v="2º TURNO"/>
    <n v="50037902"/>
    <x v="14"/>
    <n v="1"/>
    <s v="REALIZADO"/>
    <s v="AGATHA"/>
    <d v="2025-09-08T00:00:00"/>
    <x v="2"/>
  </r>
  <r>
    <n v="70105"/>
    <s v="RONALDO DE SOUZA SANTOS"/>
    <s v="MMG"/>
    <s v="2º TURNO"/>
    <n v="50037902"/>
    <x v="14"/>
    <n v="1"/>
    <s v="REALIZADO"/>
    <s v="BRUNO"/>
    <d v="2025-09-08T00:00:00"/>
    <x v="0"/>
  </r>
  <r>
    <n v="78886"/>
    <s v="LUCAS FELICIANO MENDES DE OLIVEIRA"/>
    <s v="MME"/>
    <s v="ADM"/>
    <n v="50038841"/>
    <x v="34"/>
    <n v="1"/>
    <s v="REALIZADO"/>
    <s v="BRUNO"/>
    <d v="2025-09-08T00:00:00"/>
    <x v="2"/>
  </r>
  <r>
    <n v="78886"/>
    <s v="LUCAS FELICIANO MENDES DE OLIVEIRA"/>
    <s v="MME"/>
    <s v="ADM"/>
    <n v="50038841"/>
    <x v="34"/>
    <n v="1"/>
    <s v="REALIZADO"/>
    <s v="BRUNO"/>
    <d v="2025-09-08T00:00:00"/>
    <x v="0"/>
  </r>
  <r>
    <n v="74611"/>
    <s v="CRISTIAM BORGES"/>
    <s v="MPR"/>
    <s v="ADM"/>
    <n v="50001995"/>
    <x v="44"/>
    <n v="1"/>
    <s v="REALIZADO"/>
    <s v="AGATHA"/>
    <d v="2025-09-08T00:00:00"/>
    <x v="2"/>
  </r>
  <r>
    <n v="74611"/>
    <s v="CRISTIAM BORGES"/>
    <s v="MPR"/>
    <s v="ADM"/>
    <n v="50001995"/>
    <x v="44"/>
    <n v="1"/>
    <s v="REALIZADO"/>
    <s v="BRUNO"/>
    <d v="2025-09-08T00:00:00"/>
    <x v="0"/>
  </r>
  <r>
    <n v="73878"/>
    <s v="EVANDRO TANAKA"/>
    <s v="MMG"/>
    <s v="ADM"/>
    <n v="50039065"/>
    <x v="22"/>
    <n v="1"/>
    <s v="REALIZADO"/>
    <s v="KELLY"/>
    <d v="2025-09-08T00:00:00"/>
    <x v="0"/>
  </r>
  <r>
    <n v="66301"/>
    <s v="LUCAS LORENCINI"/>
    <s v="MEE"/>
    <s v="ADM"/>
    <n v="50022923"/>
    <x v="112"/>
    <n v="1"/>
    <s v="REALIZADO"/>
    <s v="KELLY"/>
    <d v="2025-09-08T00:00:00"/>
    <x v="2"/>
  </r>
  <r>
    <n v="66301"/>
    <s v="LUCAS LORENCINI"/>
    <s v="MEE"/>
    <s v="ADM"/>
    <n v="50022923"/>
    <x v="112"/>
    <n v="1"/>
    <s v="REALIZADO"/>
    <s v="AGATHA"/>
    <d v="2025-09-08T00:00:00"/>
    <x v="0"/>
  </r>
  <r>
    <n v="65472"/>
    <s v="ISRAEL MACEDO"/>
    <s v="MMG"/>
    <s v="ADM"/>
    <n v="50041653"/>
    <x v="50"/>
    <n v="1"/>
    <s v="REALIZADO"/>
    <s v="AGATHA"/>
    <d v="2025-09-08T00:00:00"/>
    <x v="2"/>
  </r>
  <r>
    <n v="65472"/>
    <s v="ISRAEL MACEDO"/>
    <s v="MMG"/>
    <s v="ADM"/>
    <n v="50041653"/>
    <x v="50"/>
    <n v="1"/>
    <s v="REALIZADO"/>
    <s v="BRUNO"/>
    <d v="2025-09-08T00:00:00"/>
    <x v="0"/>
  </r>
  <r>
    <n v="63399"/>
    <s v="JOAO CARLOS MARIA"/>
    <s v="MPR"/>
    <s v="ADM"/>
    <n v="50041195"/>
    <x v="21"/>
    <n v="1"/>
    <s v="REALIZADO"/>
    <s v="AGATHA"/>
    <d v="2025-09-08T00:00:00"/>
    <x v="2"/>
  </r>
  <r>
    <n v="63399"/>
    <s v="JOAO CARLOS MARIA"/>
    <s v="MPR"/>
    <s v="ADM"/>
    <n v="50041195"/>
    <x v="21"/>
    <n v="1"/>
    <s v="REALIZADO"/>
    <s v="BRUNO"/>
    <d v="2025-09-08T00:00:00"/>
    <x v="0"/>
  </r>
  <r>
    <n v="77471"/>
    <s v="DANILO BARBOSA"/>
    <s v="MEE"/>
    <s v="ADM"/>
    <n v="50043917"/>
    <x v="66"/>
    <n v="1"/>
    <s v="REALIZADO"/>
    <s v="AGATHA"/>
    <d v="2025-09-08T00:00:00"/>
    <x v="0"/>
  </r>
  <r>
    <n v="78678"/>
    <s v="MARLOM ROGERIO VIEIRA"/>
    <s v="MME"/>
    <s v="ADM"/>
    <n v="50043917"/>
    <x v="66"/>
    <n v="1"/>
    <s v="REALIZADO"/>
    <s v="BRUNA"/>
    <d v="2025-09-08T00:00:00"/>
    <x v="2"/>
  </r>
  <r>
    <n v="78678"/>
    <s v="MARLOM ROGERIO VIEIRA"/>
    <s v="MME"/>
    <s v="ADM"/>
    <n v="50043917"/>
    <x v="66"/>
    <n v="1"/>
    <s v="REALIZADO"/>
    <s v="BRUNO"/>
    <d v="2025-09-08T00:00:00"/>
    <x v="0"/>
  </r>
  <r>
    <n v="64074"/>
    <s v="MARCOS FERNANDES COLOMBO"/>
    <s v="MPR"/>
    <s v="ADM"/>
    <n v="50043917"/>
    <x v="66"/>
    <n v="1"/>
    <s v="REALIZADO"/>
    <s v="BRUNO"/>
    <d v="2025-09-08T00:00:00"/>
    <x v="2"/>
  </r>
  <r>
    <n v="64074"/>
    <s v="MARCOS FERNANDES COLOMBO"/>
    <s v="MPR"/>
    <s v="ADM"/>
    <n v="50043917"/>
    <x v="66"/>
    <n v="1"/>
    <s v="REALIZADO"/>
    <s v="BRUNO"/>
    <d v="2025-09-08T00:00:00"/>
    <x v="0"/>
  </r>
  <r>
    <n v="78678"/>
    <s v="MARLOM ROGERIO VIEIRA"/>
    <s v="MME"/>
    <s v="ADM"/>
    <n v="50020622"/>
    <x v="42"/>
    <n v="1"/>
    <s v="REALIZADO"/>
    <s v="BRUNA"/>
    <d v="2025-09-08T00:00:00"/>
    <x v="2"/>
  </r>
  <r>
    <n v="78678"/>
    <s v="MARLOM ROGERIO VIEIRA"/>
    <s v="MME"/>
    <s v="ADM"/>
    <n v="50020622"/>
    <x v="42"/>
    <n v="1"/>
    <s v="REALIZADO"/>
    <s v="BRUNO"/>
    <d v="2025-09-08T00:00:00"/>
    <x v="0"/>
  </r>
  <r>
    <n v="61264"/>
    <s v="EVERTON GERONIMO"/>
    <s v="MMG"/>
    <s v="ADM"/>
    <n v="50012903"/>
    <x v="31"/>
    <n v="1"/>
    <s v="REALIZADO"/>
    <s v="AGATHA"/>
    <d v="2025-09-08T00:00:00"/>
    <x v="2"/>
  </r>
  <r>
    <n v="61264"/>
    <s v="EVERTON GERONIMO"/>
    <s v="MMG"/>
    <s v="ADM"/>
    <n v="50012903"/>
    <x v="31"/>
    <n v="1"/>
    <s v="REALIZADO"/>
    <s v="AGATHA"/>
    <d v="2025-09-08T00:00:00"/>
    <x v="0"/>
  </r>
  <r>
    <n v="64253"/>
    <s v="DANIEL JULIAO"/>
    <s v="MMG"/>
    <s v="ADM"/>
    <n v="50012903"/>
    <x v="31"/>
    <n v="1"/>
    <s v="REALIZADO"/>
    <s v="AGATHA"/>
    <d v="2025-09-08T00:00:00"/>
    <x v="2"/>
  </r>
  <r>
    <n v="64253"/>
    <s v="DANIEL JULIAO"/>
    <s v="MMG"/>
    <s v="ADM"/>
    <n v="50012903"/>
    <x v="31"/>
    <n v="1"/>
    <s v="REALIZADO"/>
    <s v="BRUNA"/>
    <d v="2025-09-08T00:00:00"/>
    <x v="0"/>
  </r>
  <r>
    <n v="77526"/>
    <s v="FELIPE GARÇONI"/>
    <s v="MME"/>
    <s v="ADM"/>
    <n v="50032781"/>
    <x v="12"/>
    <n v="1"/>
    <s v="REALIZADO"/>
    <s v="AGATHA"/>
    <d v="2025-09-08T00:00:00"/>
    <x v="2"/>
  </r>
  <r>
    <n v="77526"/>
    <s v="FELIPE GARÇONI"/>
    <s v="MME"/>
    <s v="ADM"/>
    <n v="50032781"/>
    <x v="12"/>
    <n v="1"/>
    <s v="REALIZADO"/>
    <s v="AGATHA"/>
    <d v="2025-09-08T00:00:00"/>
    <x v="0"/>
  </r>
  <r>
    <n v="62640"/>
    <s v="MARCELINHO"/>
    <s v="MPR"/>
    <s v="ADM"/>
    <n v="50028220"/>
    <x v="33"/>
    <n v="1"/>
    <s v="REALIZADO"/>
    <s v="BRUNA"/>
    <d v="2025-09-08T00:00:00"/>
    <x v="2"/>
  </r>
  <r>
    <n v="62640"/>
    <s v="MARCELINHO"/>
    <s v="MPR"/>
    <s v="ADM"/>
    <n v="50028220"/>
    <x v="33"/>
    <n v="1"/>
    <s v="REALIZADO"/>
    <s v="BRUNO"/>
    <d v="2025-09-08T00:00:00"/>
    <x v="0"/>
  </r>
  <r>
    <n v="65472"/>
    <s v="ISRAEL MACEDO"/>
    <s v="MMG"/>
    <s v="ADM"/>
    <n v="50037924"/>
    <x v="90"/>
    <n v="1"/>
    <s v="REALIZADO"/>
    <s v="AGATHA"/>
    <d v="2025-09-08T00:00:00"/>
    <x v="2"/>
  </r>
  <r>
    <n v="65472"/>
    <s v="ISRAEL MACEDO"/>
    <s v="MMG"/>
    <s v="ADM"/>
    <n v="50037924"/>
    <x v="90"/>
    <n v="1"/>
    <s v="REALIZADO"/>
    <s v="BRUNO"/>
    <d v="2025-09-08T00:00:00"/>
    <x v="0"/>
  </r>
  <r>
    <n v="63684"/>
    <s v="LUAN ALMEIDA"/>
    <s v="MME"/>
    <s v="1º TURNO"/>
    <n v="50038854"/>
    <x v="27"/>
    <n v="1"/>
    <s v="REALIZADO"/>
    <s v="KELLY"/>
    <d v="2025-09-06T00:00:00"/>
    <x v="2"/>
  </r>
  <r>
    <n v="63684"/>
    <s v="LUAN ALMEIDA"/>
    <s v="MME"/>
    <s v="1º TURNO"/>
    <n v="50038854"/>
    <x v="27"/>
    <n v="1"/>
    <s v="REALIZADO"/>
    <s v="KELLY"/>
    <d v="2025-09-06T00:00:00"/>
    <x v="0"/>
  </r>
  <r>
    <n v="78675"/>
    <s v="ORLANDO GOMES"/>
    <s v="MME"/>
    <s v="1º TURNO"/>
    <n v="50037892"/>
    <x v="2"/>
    <n v="1"/>
    <s v="REALIZADO"/>
    <s v="KELLY"/>
    <d v="2025-09-06T00:00:00"/>
    <x v="2"/>
  </r>
  <r>
    <n v="78675"/>
    <s v="ORLANDO GOMES"/>
    <s v="MME"/>
    <s v="1º TURNO"/>
    <n v="50037892"/>
    <x v="2"/>
    <n v="1"/>
    <s v="REALIZADO"/>
    <s v="KELLY"/>
    <d v="2025-09-06T00:00:00"/>
    <x v="0"/>
  </r>
  <r>
    <n v="62180"/>
    <s v="JOSE AUGUSTO MASSUCHINI"/>
    <s v="MMG"/>
    <s v="ADM"/>
    <n v="50037892"/>
    <x v="2"/>
    <n v="1"/>
    <s v="REALIZADO"/>
    <s v="KELLY"/>
    <d v="2025-09-06T00:00:00"/>
    <x v="2"/>
  </r>
  <r>
    <n v="62180"/>
    <s v="JOSE AUGUSTO MASSUCHINI"/>
    <s v="MMG"/>
    <s v="ADM"/>
    <n v="50037892"/>
    <x v="2"/>
    <n v="1"/>
    <s v="REALIZADO"/>
    <s v="KELLY"/>
    <d v="2025-09-06T00:00:00"/>
    <x v="0"/>
  </r>
  <r>
    <n v="63399"/>
    <s v="JOAO CARLOS MARIA"/>
    <s v="MPR"/>
    <s v="ADM"/>
    <n v="50038841"/>
    <x v="34"/>
    <n v="1"/>
    <s v="REALIZADO"/>
    <s v="KELLY"/>
    <d v="2025-09-06T00:00:00"/>
    <x v="2"/>
  </r>
  <r>
    <n v="63399"/>
    <s v="JOAO CARLOS MARIA"/>
    <s v="MPR"/>
    <s v="ADM"/>
    <n v="50038841"/>
    <x v="34"/>
    <n v="1"/>
    <s v="REALIZADO"/>
    <s v="KELLY"/>
    <d v="2025-09-06T00:00:00"/>
    <x v="0"/>
  </r>
  <r>
    <n v="67915"/>
    <s v="ANDERSON MARCOLONGO"/>
    <s v="MMG"/>
    <s v="1º TURNO"/>
    <n v="50038841"/>
    <x v="34"/>
    <n v="1"/>
    <s v="REALIZADO"/>
    <s v="KELLY"/>
    <d v="2025-09-06T00:00:00"/>
    <x v="2"/>
  </r>
  <r>
    <n v="67915"/>
    <s v="ANDERSON MARCOLONGO"/>
    <s v="MMG"/>
    <s v="1º TURNO"/>
    <n v="50038841"/>
    <x v="34"/>
    <n v="1"/>
    <s v="REALIZADO"/>
    <s v="KELLY"/>
    <d v="2025-09-06T00:00:00"/>
    <x v="0"/>
  </r>
  <r>
    <n v="60510"/>
    <s v="EMERSON FOSSALUZA"/>
    <s v="MME"/>
    <s v="1º TURNO"/>
    <n v="50041195"/>
    <x v="21"/>
    <n v="1"/>
    <s v="REALIZADO"/>
    <s v="KELLY"/>
    <d v="2025-09-06T00:00:00"/>
    <x v="2"/>
  </r>
  <r>
    <n v="60510"/>
    <s v="EMERSON FOSSALUZA"/>
    <s v="MME"/>
    <s v="1º TURNO"/>
    <n v="50041195"/>
    <x v="21"/>
    <n v="1"/>
    <s v="REALIZADO"/>
    <s v="KELLY"/>
    <d v="2025-09-06T00:00:00"/>
    <x v="0"/>
  </r>
  <r>
    <n v="63684"/>
    <s v="LUAN ALMEIDA"/>
    <s v="MME"/>
    <s v="1º TURNO"/>
    <n v="50043917"/>
    <x v="66"/>
    <n v="1"/>
    <s v="REALIZADO"/>
    <s v="KELLY"/>
    <d v="2025-09-06T00:00:00"/>
    <x v="2"/>
  </r>
  <r>
    <n v="63684"/>
    <s v="LUAN ALMEIDA"/>
    <s v="MME"/>
    <s v="1º TURNO"/>
    <n v="50043917"/>
    <x v="66"/>
    <n v="1"/>
    <s v="REALIZADO"/>
    <s v="KELLY"/>
    <d v="2025-09-06T00:00:00"/>
    <x v="0"/>
  </r>
  <r>
    <n v="74611"/>
    <s v="CRISTIAM BORGES"/>
    <s v="MPR"/>
    <s v="ADM"/>
    <n v="50038854"/>
    <x v="27"/>
    <n v="1"/>
    <s v="REALIZADO"/>
    <s v="JOÃO FRANCISCO"/>
    <d v="2025-09-05T00:00:00"/>
    <x v="2"/>
  </r>
  <r>
    <n v="74611"/>
    <s v="CRISTIAM BORGES"/>
    <s v="MPR"/>
    <s v="ADM"/>
    <n v="50038854"/>
    <x v="27"/>
    <n v="1"/>
    <s v="REALIZADO"/>
    <s v="AGATHA"/>
    <d v="2025-09-05T00:00:00"/>
    <x v="0"/>
  </r>
  <r>
    <n v="61264"/>
    <s v="EVERTON GERONIMO"/>
    <s v="MMG"/>
    <s v="ADM"/>
    <n v="50038854"/>
    <x v="27"/>
    <n v="1"/>
    <s v="REALIZADO"/>
    <s v="BRUNO"/>
    <d v="2025-09-05T00:00:00"/>
    <x v="2"/>
  </r>
  <r>
    <n v="61264"/>
    <s v="EVERTON GERONIMO"/>
    <s v="MMG"/>
    <s v="ADM"/>
    <n v="50038854"/>
    <x v="27"/>
    <n v="1"/>
    <s v="REALIZADO"/>
    <s v="BRUNO"/>
    <d v="2025-09-05T00:00:00"/>
    <x v="0"/>
  </r>
  <r>
    <n v="70105"/>
    <s v="RONALDO DE SOUZA SANTOS"/>
    <s v="MMG"/>
    <s v="2º TURNO"/>
    <n v="50036296"/>
    <x v="46"/>
    <n v="1"/>
    <s v="REALIZADO"/>
    <s v="BRUNO"/>
    <d v="2025-09-05T00:00:00"/>
    <x v="2"/>
  </r>
  <r>
    <n v="70105"/>
    <s v="RONALDO DE SOUZA SANTOS"/>
    <s v="MMG"/>
    <s v="2º TURNO"/>
    <n v="50036296"/>
    <x v="46"/>
    <n v="1"/>
    <s v="REALIZADO"/>
    <s v="BRUNO"/>
    <d v="2025-09-05T00:00:00"/>
    <x v="0"/>
  </r>
  <r>
    <n v="63713"/>
    <s v="BRUNO DIAS"/>
    <s v="MME"/>
    <s v="ADM"/>
    <n v="50030486"/>
    <x v="17"/>
    <n v="1"/>
    <s v="REALIZADO"/>
    <s v="JOÃO FRANCISCO"/>
    <d v="2025-09-05T00:00:00"/>
    <x v="2"/>
  </r>
  <r>
    <n v="63713"/>
    <s v="BRUNO DIAS"/>
    <s v="MME"/>
    <s v="ADM"/>
    <n v="50030486"/>
    <x v="17"/>
    <n v="1"/>
    <s v="REALIZADO"/>
    <s v="MATHEUS"/>
    <d v="2025-09-05T00:00:00"/>
    <x v="0"/>
  </r>
  <r>
    <n v="65472"/>
    <s v="ISRAEL MACEDO"/>
    <s v="MMG"/>
    <s v="ADM"/>
    <n v="50039236"/>
    <x v="84"/>
    <n v="1"/>
    <s v="REALIZADO"/>
    <s v="JOÃO FRANCISCO"/>
    <d v="2025-09-05T00:00:00"/>
    <x v="2"/>
  </r>
  <r>
    <n v="65472"/>
    <s v="ISRAEL MACEDO"/>
    <s v="MMG"/>
    <s v="ADM"/>
    <n v="50039236"/>
    <x v="84"/>
    <n v="1"/>
    <s v="REALIZADO"/>
    <s v="BRUNO"/>
    <d v="2025-09-05T00:00:00"/>
    <x v="0"/>
  </r>
  <r>
    <n v="70105"/>
    <s v="RONALDO DE SOUZA SANTOS"/>
    <s v="MMG"/>
    <s v="2º TURNO"/>
    <n v="50038549"/>
    <x v="6"/>
    <n v="1"/>
    <s v="REALIZADO"/>
    <s v="MATHEUS"/>
    <d v="2025-09-05T00:00:00"/>
    <x v="2"/>
  </r>
  <r>
    <n v="70105"/>
    <s v="RONALDO DE SOUZA SANTOS"/>
    <s v="MMG"/>
    <s v="2º TURNO"/>
    <n v="50038549"/>
    <x v="6"/>
    <n v="1"/>
    <s v="REALIZADO"/>
    <s v="MATHEUS"/>
    <d v="2025-09-05T00:00:00"/>
    <x v="0"/>
  </r>
  <r>
    <n v="77594"/>
    <s v="VINICIUS ROBLES"/>
    <s v="MME"/>
    <s v="ADM"/>
    <n v="50037892"/>
    <x v="2"/>
    <n v="1"/>
    <s v="REALIZADO"/>
    <s v="BRUNO"/>
    <d v="2025-09-05T00:00:00"/>
    <x v="2"/>
  </r>
  <r>
    <n v="77594"/>
    <s v="VINICIUS ROBLES"/>
    <s v="MME"/>
    <s v="ADM"/>
    <n v="50037892"/>
    <x v="2"/>
    <n v="1"/>
    <s v="REALIZADO"/>
    <s v="BRUNO"/>
    <d v="2025-09-05T00:00:00"/>
    <x v="0"/>
  </r>
  <r>
    <n v="78675"/>
    <s v="ORLANDO GOMES"/>
    <s v="MME"/>
    <s v="1º TURNO"/>
    <n v="50037892"/>
    <x v="2"/>
    <n v="1"/>
    <s v="REALIZADO"/>
    <s v="BRUNO"/>
    <d v="2025-09-05T00:00:00"/>
    <x v="2"/>
  </r>
  <r>
    <n v="78675"/>
    <s v="ORLANDO GOMES"/>
    <s v="MME"/>
    <s v="1º TURNO"/>
    <n v="50037892"/>
    <x v="2"/>
    <n v="1"/>
    <s v="REALIZADO"/>
    <s v="BRUNO"/>
    <d v="2025-09-05T00:00:00"/>
    <x v="0"/>
  </r>
  <r>
    <n v="63770"/>
    <s v="DANILO DA SILVA"/>
    <s v="MMG"/>
    <s v="ADM"/>
    <n v="50037902"/>
    <x v="14"/>
    <n v="1"/>
    <s v="REALIZADO"/>
    <s v="AGATHA"/>
    <d v="2025-09-05T00:00:00"/>
    <x v="2"/>
  </r>
  <r>
    <n v="63770"/>
    <s v="DANILO DA SILVA"/>
    <s v="MMG"/>
    <s v="ADM"/>
    <n v="50037902"/>
    <x v="14"/>
    <n v="1"/>
    <s v="REALIZADO"/>
    <s v="GEOVANE"/>
    <d v="2025-09-05T00:00:00"/>
    <x v="0"/>
  </r>
  <r>
    <n v="66014"/>
    <s v="JONATHAN OLIVEIRA"/>
    <s v="MME"/>
    <s v="1º TURNO"/>
    <n v="50038841"/>
    <x v="34"/>
    <n v="1"/>
    <s v="REALIZADO"/>
    <s v="GEOVANE"/>
    <d v="2025-09-05T00:00:00"/>
    <x v="2"/>
  </r>
  <r>
    <n v="66014"/>
    <s v="JONATHAN OLIVEIRA"/>
    <s v="MME"/>
    <s v="1º TURNO"/>
    <n v="50038841"/>
    <x v="34"/>
    <n v="1"/>
    <s v="REALIZADO"/>
    <s v="BRUNO"/>
    <d v="2025-09-05T00:00:00"/>
    <x v="0"/>
  </r>
  <r>
    <n v="74611"/>
    <s v="CRISTIAM BORGES"/>
    <s v="MPR"/>
    <s v="ADM"/>
    <n v="50001995"/>
    <x v="44"/>
    <n v="1"/>
    <s v="REALIZADO"/>
    <s v="BRUNO"/>
    <d v="2025-09-05T00:00:00"/>
    <x v="2"/>
  </r>
  <r>
    <n v="74611"/>
    <s v="CRISTIAM BORGES"/>
    <s v="MPR"/>
    <s v="ADM"/>
    <n v="50001995"/>
    <x v="44"/>
    <n v="1"/>
    <s v="REALIZADO"/>
    <s v="BRUNO"/>
    <d v="2025-09-05T00:00:00"/>
    <x v="0"/>
  </r>
  <r>
    <n v="72713"/>
    <s v="MARCOS AURELIO"/>
    <s v="MPR"/>
    <s v="ADM"/>
    <n v="50041195"/>
    <x v="21"/>
    <n v="1"/>
    <s v="REALIZADO"/>
    <s v="JOÃO FRANCISCO"/>
    <d v="2025-09-05T00:00:00"/>
    <x v="0"/>
  </r>
  <r>
    <n v="61264"/>
    <s v="EVERTON GERONIMO"/>
    <s v="MMG"/>
    <s v="ADM"/>
    <n v="50041195"/>
    <x v="21"/>
    <n v="1"/>
    <s v="REALIZADO"/>
    <s v="BRUNO"/>
    <d v="2025-09-05T00:00:00"/>
    <x v="2"/>
  </r>
  <r>
    <n v="61264"/>
    <s v="EVERTON GERONIMO"/>
    <s v="MMG"/>
    <s v="ADM"/>
    <n v="50041195"/>
    <x v="21"/>
    <n v="1"/>
    <s v="REALIZADO"/>
    <s v="BRUNO"/>
    <d v="2025-09-05T00:00:00"/>
    <x v="0"/>
  </r>
  <r>
    <n v="62640"/>
    <s v="MARCELINHO"/>
    <s v="MPR"/>
    <s v="ADM"/>
    <n v="50043917"/>
    <x v="66"/>
    <n v="1"/>
    <s v="REALIZADO"/>
    <s v="JOÃO FRANCISCO"/>
    <d v="2025-09-05T00:00:00"/>
    <x v="2"/>
  </r>
  <r>
    <n v="62640"/>
    <s v="MARCELINHO"/>
    <s v="MPR"/>
    <s v="ADM"/>
    <n v="50043917"/>
    <x v="66"/>
    <n v="1"/>
    <s v="REALIZADO"/>
    <s v="BRUNO"/>
    <d v="2025-09-05T00:00:00"/>
    <x v="0"/>
  </r>
  <r>
    <n v="64074"/>
    <s v="MARCOS FERNANDES COLOMBO"/>
    <s v="MPR"/>
    <s v="ADM"/>
    <n v="50043917"/>
    <x v="66"/>
    <n v="1"/>
    <s v="REALIZADO"/>
    <s v="BRUNO"/>
    <d v="2025-09-05T00:00:00"/>
    <x v="2"/>
  </r>
  <r>
    <n v="64074"/>
    <s v="MARCOS FERNANDES COLOMBO"/>
    <s v="MPR"/>
    <s v="ADM"/>
    <n v="50043917"/>
    <x v="66"/>
    <n v="1"/>
    <s v="REALIZADO"/>
    <s v="BRUNO"/>
    <d v="2025-09-05T00:00:00"/>
    <x v="0"/>
  </r>
  <r>
    <n v="61264"/>
    <s v="EVERTON GERONIMO"/>
    <s v="MMG"/>
    <s v="ADM"/>
    <n v="50012903"/>
    <x v="31"/>
    <n v="1"/>
    <s v="REALIZADO"/>
    <s v="GEOVANE"/>
    <d v="2025-09-05T00:00:00"/>
    <x v="2"/>
  </r>
  <r>
    <n v="61264"/>
    <s v="EVERTON GERONIMO"/>
    <s v="MMG"/>
    <s v="ADM"/>
    <n v="50012903"/>
    <x v="31"/>
    <n v="1"/>
    <s v="REALIZADO"/>
    <s v="AGATHA"/>
    <d v="2025-09-05T00:00:00"/>
    <x v="0"/>
  </r>
  <r>
    <n v="64253"/>
    <s v="DANIEL JULIAO"/>
    <s v="MMG"/>
    <s v="ADM"/>
    <n v="50010031"/>
    <x v="20"/>
    <n v="1"/>
    <s v="REALIZADO"/>
    <s v="KELLY"/>
    <d v="2025-09-04T00:00:00"/>
    <x v="2"/>
  </r>
  <r>
    <n v="64253"/>
    <s v="DANIEL JULIAO"/>
    <s v="MMG"/>
    <s v="ADM"/>
    <n v="50010031"/>
    <x v="20"/>
    <n v="1"/>
    <s v="REALIZADO"/>
    <s v="BRUNO"/>
    <d v="2025-09-04T00:00:00"/>
    <x v="0"/>
  </r>
  <r>
    <n v="65910"/>
    <s v="GABRIEL CAIXETA"/>
    <s v="MEE"/>
    <s v="ADM"/>
    <n v="50002644"/>
    <x v="83"/>
    <n v="1"/>
    <s v="REALIZADO"/>
    <s v="BRUNO"/>
    <d v="2025-09-04T00:00:00"/>
    <x v="2"/>
  </r>
  <r>
    <n v="65910"/>
    <s v="GABRIEL CAIXETA"/>
    <s v="MEE"/>
    <s v="ADM"/>
    <n v="50002644"/>
    <x v="83"/>
    <n v="1"/>
    <s v="REALIZADO"/>
    <s v="BRUNO"/>
    <d v="2025-09-04T00:00:00"/>
    <x v="0"/>
  </r>
  <r>
    <n v="65482"/>
    <s v="RAFAEL BALBINO PEREIRA"/>
    <s v="MMG"/>
    <s v="ADM"/>
    <n v="50038854"/>
    <x v="27"/>
    <n v="1"/>
    <s v="REALIZADO"/>
    <s v="KELLY"/>
    <d v="2025-09-04T00:00:00"/>
    <x v="2"/>
  </r>
  <r>
    <n v="65482"/>
    <s v="RAFAEL BALBINO PEREIRA"/>
    <s v="MMG"/>
    <n v="0"/>
    <n v="50038854"/>
    <x v="27"/>
    <n v="1"/>
    <s v="REALIZADO"/>
    <s v="BRUNA"/>
    <d v="2025-09-04T00:00:00"/>
    <x v="2"/>
  </r>
  <r>
    <n v="61753"/>
    <s v="FABIANO ALVIM"/>
    <s v="MEE"/>
    <s v="1º TURNO"/>
    <n v="50036298"/>
    <x v="69"/>
    <n v="1"/>
    <s v="REALIZADO"/>
    <s v="GEOVANE"/>
    <d v="2025-09-04T00:00:00"/>
    <x v="0"/>
  </r>
  <r>
    <n v="67100"/>
    <s v="CARLOS BARATELLA"/>
    <s v="MMG"/>
    <s v="2º TURNO"/>
    <n v="50037905"/>
    <x v="49"/>
    <n v="1"/>
    <s v="NÃO REALIZADO"/>
    <s v="KELLY"/>
    <d v="2025-09-04T00:00:00"/>
    <x v="2"/>
  </r>
  <r>
    <n v="66790"/>
    <s v="EVERTON BOLOGNES"/>
    <s v="MMG"/>
    <s v="2º TURNO"/>
    <n v="50037905"/>
    <x v="49"/>
    <n v="1"/>
    <s v="REALIZADO"/>
    <s v="GEOVANE"/>
    <d v="2025-09-04T00:00:00"/>
    <x v="0"/>
  </r>
  <r>
    <n v="77594"/>
    <s v="VINICIUS ROBLES"/>
    <s v="MME"/>
    <s v="ADM"/>
    <n v="50030486"/>
    <x v="17"/>
    <n v="1"/>
    <s v="REALIZADO"/>
    <s v="KELLY"/>
    <d v="2025-09-04T00:00:00"/>
    <x v="2"/>
  </r>
  <r>
    <n v="77594"/>
    <s v="VINICIUS ROBLES"/>
    <s v="MME"/>
    <s v="ADM"/>
    <n v="50030486"/>
    <x v="17"/>
    <n v="1"/>
    <s v="REALIZADO"/>
    <s v="BRUNO"/>
    <d v="2025-09-04T00:00:00"/>
    <x v="0"/>
  </r>
  <r>
    <n v="68760"/>
    <s v="FERDINANDO PAZINI"/>
    <s v="MMG"/>
    <s v="ADM"/>
    <n v="50043471"/>
    <x v="5"/>
    <n v="1"/>
    <s v="REALIZADO"/>
    <s v="KELLY"/>
    <d v="2025-09-04T00:00:00"/>
    <x v="2"/>
  </r>
  <r>
    <n v="68760"/>
    <s v="FERDINANDO PAZINI"/>
    <s v="MMG"/>
    <s v="ADM"/>
    <n v="50043471"/>
    <x v="5"/>
    <n v="1"/>
    <s v="REALIZADO"/>
    <s v="BRUNO"/>
    <d v="2025-09-04T00:00:00"/>
    <x v="0"/>
  </r>
  <r>
    <n v="65910"/>
    <s v="GABRIEL CAIXETA"/>
    <s v="MEE"/>
    <s v="ADM"/>
    <n v="50003297"/>
    <x v="8"/>
    <n v="1"/>
    <s v="REALIZADO"/>
    <s v="KELLY"/>
    <d v="2025-09-04T00:00:00"/>
    <x v="2"/>
  </r>
  <r>
    <n v="65910"/>
    <s v="GABRIEL CAIXETA"/>
    <s v="MEE"/>
    <s v="ADM"/>
    <n v="50003297"/>
    <x v="8"/>
    <n v="1"/>
    <s v="REALIZADO"/>
    <s v="BRUNO"/>
    <d v="2025-09-04T00:00:00"/>
    <x v="0"/>
  </r>
  <r>
    <n v="96464"/>
    <s v="KEVIN INAMOTO"/>
    <s v="MEE"/>
    <s v="1º TURNO"/>
    <n v="50003297"/>
    <x v="8"/>
    <n v="1"/>
    <s v="REALIZADO"/>
    <s v="BRUNO"/>
    <d v="2025-09-04T00:00:00"/>
    <x v="2"/>
  </r>
  <r>
    <n v="96464"/>
    <s v="KEVIN INAMOTO"/>
    <s v="MEE"/>
    <s v="1º TURNO"/>
    <n v="50003297"/>
    <x v="8"/>
    <n v="1"/>
    <s v="REALIZADO"/>
    <s v="BRUNO"/>
    <d v="2025-09-04T00:00:00"/>
    <x v="0"/>
  </r>
  <r>
    <n v="74611"/>
    <s v="CRISTIAM BORGES"/>
    <s v="MPR"/>
    <s v="ADM"/>
    <n v="50029865"/>
    <x v="9"/>
    <n v="1"/>
    <s v="REALIZADO"/>
    <s v="KELLY"/>
    <d v="2025-09-04T00:00:00"/>
    <x v="2"/>
  </r>
  <r>
    <n v="74611"/>
    <s v="CRISTIAM BORGES"/>
    <s v="MPR"/>
    <s v="ADM"/>
    <n v="50029865"/>
    <x v="9"/>
    <n v="1"/>
    <s v="REALIZADO"/>
    <s v="BRUNO"/>
    <d v="2025-09-04T00:00:00"/>
    <x v="0"/>
  </r>
  <r>
    <n v="65910"/>
    <s v="GABRIEL CAIXETA"/>
    <s v="MEE"/>
    <s v="ADM"/>
    <n v="50036299"/>
    <x v="26"/>
    <n v="1"/>
    <s v="REALIZADO"/>
    <s v="BRUNO"/>
    <d v="2025-09-04T00:00:00"/>
    <x v="2"/>
  </r>
  <r>
    <n v="65910"/>
    <s v="GABRIEL CAIXETA"/>
    <s v="MEE"/>
    <s v="ADM"/>
    <n v="50036299"/>
    <x v="26"/>
    <n v="1"/>
    <s v="REALIZADO"/>
    <s v="BRUNO"/>
    <d v="2025-09-04T00:00:00"/>
    <x v="0"/>
  </r>
  <r>
    <n v="65910"/>
    <s v="GABRIEL CAIXETA"/>
    <s v="MEE"/>
    <s v="ADM"/>
    <n v="50043320"/>
    <x v="35"/>
    <n v="1"/>
    <s v="REALIZADO"/>
    <s v="KELLY"/>
    <d v="2025-09-04T00:00:00"/>
    <x v="2"/>
  </r>
  <r>
    <n v="65910"/>
    <s v="GABRIEL CAIXETA"/>
    <s v="MEE"/>
    <s v="ADM"/>
    <n v="50043320"/>
    <x v="35"/>
    <n v="1"/>
    <s v="REALIZADO"/>
    <s v="BRUNO"/>
    <d v="2025-09-04T00:00:00"/>
    <x v="0"/>
  </r>
  <r>
    <n v="68708"/>
    <s v="CLAUDIO TADEU LEITE"/>
    <s v="MMG"/>
    <s v="ADM"/>
    <n v="50022878"/>
    <x v="18"/>
    <n v="1"/>
    <s v="REALIZADO"/>
    <s v="GEOVANE"/>
    <d v="2025-09-04T00:00:00"/>
    <x v="2"/>
  </r>
  <r>
    <n v="68708"/>
    <s v="CLAUDIO TADEU LEITE"/>
    <s v="MMG"/>
    <s v="ADM"/>
    <n v="50022878"/>
    <x v="18"/>
    <n v="1"/>
    <s v="REALIZADO"/>
    <s v="MARCIA"/>
    <d v="2025-09-04T00:00:00"/>
    <x v="0"/>
  </r>
  <r>
    <n v="78886"/>
    <s v="LUCAS FELICIANO MENDES DE OLIVEIRA"/>
    <s v="MME"/>
    <s v="ADM"/>
    <n v="50038956"/>
    <x v="10"/>
    <n v="1"/>
    <s v="REALIZADO"/>
    <s v="GEOVANE"/>
    <d v="2025-09-04T00:00:00"/>
    <x v="2"/>
  </r>
  <r>
    <n v="78886"/>
    <s v="LUCAS FELICIANO MENDES DE OLIVEIRA"/>
    <s v="MME"/>
    <s v="ADM"/>
    <n v="50038956"/>
    <x v="10"/>
    <n v="1"/>
    <s v="REALIZADO"/>
    <s v="GEOVANE"/>
    <d v="2025-09-04T00:00:00"/>
    <x v="0"/>
  </r>
  <r>
    <n v="74611"/>
    <s v="CRISTIAM BORGES"/>
    <s v="MPR"/>
    <s v="ADM"/>
    <n v="50037892"/>
    <x v="2"/>
    <n v="1"/>
    <s v="REALIZADO"/>
    <s v="KELLY"/>
    <d v="2025-09-04T00:00:00"/>
    <x v="2"/>
  </r>
  <r>
    <n v="74611"/>
    <s v="CRISTIAM BORGES"/>
    <s v="MPR"/>
    <s v="ADM"/>
    <n v="50037892"/>
    <x v="2"/>
    <n v="1"/>
    <s v="REALIZADO"/>
    <s v="BRUNO"/>
    <d v="2025-09-04T00:00:00"/>
    <x v="0"/>
  </r>
  <r>
    <n v="58068"/>
    <s v="REGINALDO PEREIRA"/>
    <s v="MME"/>
    <s v="ADM"/>
    <n v="50038841"/>
    <x v="34"/>
    <n v="1"/>
    <s v="REALIZADO"/>
    <s v="BRUNO"/>
    <d v="2025-09-04T00:00:00"/>
    <x v="2"/>
  </r>
  <r>
    <n v="58068"/>
    <s v="REGINALDO PEREIRA"/>
    <s v="MME"/>
    <s v="ADM"/>
    <n v="50038841"/>
    <x v="34"/>
    <n v="1"/>
    <s v="REALIZADO"/>
    <s v="BRUNO"/>
    <d v="2025-09-04T00:00:00"/>
    <x v="0"/>
  </r>
  <r>
    <n v="65482"/>
    <s v="RAFAEL BALBINO PEREIRA"/>
    <s v="MMG"/>
    <s v="ADM"/>
    <n v="50041195"/>
    <x v="21"/>
    <n v="1"/>
    <s v="REALIZADO"/>
    <s v="KELLY"/>
    <d v="2025-09-04T00:00:00"/>
    <x v="2"/>
  </r>
  <r>
    <n v="65482"/>
    <s v="RAFAEL BALBINO PEREIRA"/>
    <s v="MMG"/>
    <n v="0"/>
    <n v="50041195"/>
    <x v="21"/>
    <n v="1"/>
    <s v="REALIZADO"/>
    <s v="BRUNA"/>
    <d v="2025-09-04T00:00:00"/>
    <x v="0"/>
  </r>
  <r>
    <n v="62640"/>
    <s v="MARCELINHO"/>
    <s v="MPR"/>
    <s v="ADM"/>
    <n v="50043917"/>
    <x v="66"/>
    <n v="1"/>
    <s v="REALIZADO"/>
    <s v="KELLY"/>
    <d v="2025-09-04T00:00:00"/>
    <x v="2"/>
  </r>
  <r>
    <n v="62640"/>
    <s v="MARCELINHO"/>
    <s v="MPR"/>
    <s v="ADM"/>
    <n v="50043917"/>
    <x v="66"/>
    <n v="1"/>
    <s v="REALIZADO"/>
    <s v="BRUNO"/>
    <d v="2025-09-04T00:00:00"/>
    <x v="0"/>
  </r>
  <r>
    <n v="73878"/>
    <s v="EVANDRO TANAKA"/>
    <s v="MMG"/>
    <s v="ADM"/>
    <n v="50004486"/>
    <x v="40"/>
    <n v="1"/>
    <s v="REALIZADO"/>
    <s v="KELLY"/>
    <d v="2025-09-04T00:00:00"/>
    <x v="2"/>
  </r>
  <r>
    <n v="73878"/>
    <s v="EVANDRO TANAKA"/>
    <s v="MMG"/>
    <s v="ADM"/>
    <n v="50004486"/>
    <x v="40"/>
    <n v="1"/>
    <s v="REALIZADO"/>
    <s v="GEOVANE"/>
    <d v="2025-09-04T00:00:00"/>
    <x v="0"/>
  </r>
  <r>
    <n v="78886"/>
    <s v="LUCAS FELICIANO MENDES DE OLIVEIRA"/>
    <s v="MME"/>
    <s v="ADM"/>
    <n v="50004486"/>
    <x v="40"/>
    <n v="1"/>
    <s v="REALIZADO"/>
    <s v="MARCIA"/>
    <d v="2025-09-04T00:00:00"/>
    <x v="2"/>
  </r>
  <r>
    <n v="78886"/>
    <s v="LUCAS FELICIANO MENDES DE OLIVEIRA"/>
    <s v="MME"/>
    <s v="ADM"/>
    <n v="50004486"/>
    <x v="40"/>
    <n v="1"/>
    <s v="NÃO REALIZADO"/>
    <s v="MARCIA"/>
    <d v="2025-09-04T00:00:00"/>
    <x v="0"/>
  </r>
  <r>
    <n v="64074"/>
    <s v="MARCOS FERNANDES COLOMBO"/>
    <s v="MPR"/>
    <s v="ADM"/>
    <n v="50028220"/>
    <x v="33"/>
    <n v="1"/>
    <s v="REALIZADO"/>
    <s v="KELLY"/>
    <d v="2025-09-04T00:00:00"/>
    <x v="2"/>
  </r>
  <r>
    <n v="64074"/>
    <s v="MARCOS FERNANDES COLOMBO"/>
    <s v="MPR"/>
    <s v="ADM"/>
    <n v="50028220"/>
    <x v="33"/>
    <n v="1"/>
    <s v="REALIZADO"/>
    <s v="GEOVANE"/>
    <d v="2025-09-04T00:00:00"/>
    <x v="0"/>
  </r>
  <r>
    <n v="68708"/>
    <s v="CLAUDIO TADEU LEITE"/>
    <s v="MMG"/>
    <s v="ADM"/>
    <n v="50010031"/>
    <x v="20"/>
    <n v="1"/>
    <s v="REALIZADO"/>
    <s v="BRUNO"/>
    <d v="2025-09-03T00:00:00"/>
    <x v="2"/>
  </r>
  <r>
    <n v="68708"/>
    <s v="CLAUDIO TADEU LEITE"/>
    <s v="MMG"/>
    <s v="ADM"/>
    <n v="50010031"/>
    <x v="20"/>
    <n v="1"/>
    <s v="REALIZADO"/>
    <s v="BRUNO"/>
    <d v="2025-09-03T00:00:00"/>
    <x v="0"/>
  </r>
  <r>
    <n v="76995"/>
    <s v="WELISSON RICARDO"/>
    <s v="MEE"/>
    <s v="ADM"/>
    <n v="50002644"/>
    <x v="83"/>
    <n v="1"/>
    <s v="REALIZADO"/>
    <s v="BRUNO"/>
    <d v="2025-09-03T00:00:00"/>
    <x v="2"/>
  </r>
  <r>
    <n v="76995"/>
    <s v="WELISSON RICARDO"/>
    <s v="MEE"/>
    <s v="ADM"/>
    <n v="50002644"/>
    <x v="83"/>
    <n v="1"/>
    <s v="REALIZADO"/>
    <s v="BRUNO"/>
    <d v="2025-09-03T00:00:00"/>
    <x v="0"/>
  </r>
  <r>
    <n v="61264"/>
    <s v="EVERTON GERONIMO"/>
    <s v="MMG"/>
    <s v="ADM"/>
    <n v="50038854"/>
    <x v="27"/>
    <n v="1"/>
    <s v="REALIZADO"/>
    <s v="AGATHA"/>
    <d v="2025-09-03T00:00:00"/>
    <x v="2"/>
  </r>
  <r>
    <n v="61264"/>
    <s v="EVERTON GERONIMO"/>
    <s v="MMG"/>
    <s v="ADM"/>
    <n v="50038854"/>
    <x v="27"/>
    <n v="1"/>
    <s v="REALIZADO"/>
    <s v="GEOVANE"/>
    <d v="2025-09-03T00:00:00"/>
    <x v="0"/>
  </r>
  <r>
    <n v="77526"/>
    <s v="FELIPE GARÇONI"/>
    <s v="MME"/>
    <s v="ADM"/>
    <n v="50039236"/>
    <x v="84"/>
    <n v="1"/>
    <s v="REALIZADO"/>
    <s v="AGATHA"/>
    <d v="2025-09-03T00:00:00"/>
    <x v="2"/>
  </r>
  <r>
    <n v="77526"/>
    <s v="FELIPE GARÇONI"/>
    <s v="MME"/>
    <s v="ADM"/>
    <n v="50039236"/>
    <x v="84"/>
    <n v="1"/>
    <s v="REALIZADO"/>
    <s v="AGATHA"/>
    <d v="2025-09-03T00:00:00"/>
    <x v="0"/>
  </r>
  <r>
    <n v="77521"/>
    <s v="LUCAS LIRA"/>
    <s v="MME"/>
    <s v="ADM"/>
    <n v="50039236"/>
    <x v="84"/>
    <n v="1"/>
    <s v="REALIZADO"/>
    <s v="GEOVANE"/>
    <d v="2025-09-03T00:00:00"/>
    <x v="2"/>
  </r>
  <r>
    <n v="77521"/>
    <s v="LUCAS LIRA"/>
    <s v="MME"/>
    <s v="ADM"/>
    <n v="50039236"/>
    <x v="84"/>
    <n v="1"/>
    <s v="REALIZADO"/>
    <s v="BRUNA"/>
    <d v="2025-09-03T00:00:00"/>
    <x v="0"/>
  </r>
  <r>
    <n v="77708"/>
    <s v="FABIO JUSTINO"/>
    <s v="MPR"/>
    <s v="ADM"/>
    <n v="50039236"/>
    <x v="84"/>
    <n v="1"/>
    <s v="REALIZADO"/>
    <s v="BRUNO"/>
    <d v="2025-09-03T00:00:00"/>
    <x v="2"/>
  </r>
  <r>
    <n v="77708"/>
    <s v="FABIO JUSTINO"/>
    <s v="MPR"/>
    <s v="ADM"/>
    <n v="50039236"/>
    <x v="84"/>
    <n v="1"/>
    <s v="REALIZADO"/>
    <s v="BRUNO"/>
    <d v="2025-09-03T00:00:00"/>
    <x v="0"/>
  </r>
  <r>
    <n v="77526"/>
    <s v="FELIPE GARÇONI"/>
    <s v="MME"/>
    <s v="ADM"/>
    <n v="50043471"/>
    <x v="5"/>
    <n v="1"/>
    <s v="REALIZADO"/>
    <s v="BRUNO"/>
    <d v="2025-09-03T00:00:00"/>
    <x v="2"/>
  </r>
  <r>
    <n v="77526"/>
    <s v="FELIPE GARÇONI"/>
    <s v="MME"/>
    <s v="ADM"/>
    <n v="50043471"/>
    <x v="5"/>
    <n v="1"/>
    <s v="REALIZADO"/>
    <s v="BRUNO"/>
    <d v="2025-09-03T00:00:00"/>
    <x v="0"/>
  </r>
  <r>
    <n v="77708"/>
    <s v="FABIO JUSTINO"/>
    <s v="MPR"/>
    <s v="ADM"/>
    <n v="50029865"/>
    <x v="9"/>
    <n v="1"/>
    <s v="REALIZADO"/>
    <s v="BRUNO"/>
    <d v="2025-09-03T00:00:00"/>
    <x v="2"/>
  </r>
  <r>
    <n v="77708"/>
    <s v="FABIO JUSTINO"/>
    <s v="MPR"/>
    <s v="ADM"/>
    <n v="50029865"/>
    <x v="9"/>
    <n v="1"/>
    <s v="REALIZADO"/>
    <s v="BRUNO"/>
    <d v="2025-09-03T00:00:00"/>
    <x v="0"/>
  </r>
  <r>
    <n v="62137"/>
    <s v="RAFAEL AMORIM"/>
    <s v="MME"/>
    <s v="1º TURNO"/>
    <n v="50038956"/>
    <x v="10"/>
    <n v="1"/>
    <s v="REALIZADO"/>
    <s v="GEOVANE"/>
    <d v="2025-09-03T00:00:00"/>
    <x v="2"/>
  </r>
  <r>
    <n v="62137"/>
    <s v="RAFAEL AMORIM"/>
    <s v="MME"/>
    <s v="1º TURNO"/>
    <n v="50038956"/>
    <x v="10"/>
    <n v="1"/>
    <s v="REALIZADO"/>
    <s v="BRUNA"/>
    <d v="2025-09-03T00:00:00"/>
    <x v="0"/>
  </r>
  <r>
    <n v="77708"/>
    <s v="FABIO JUSTINO"/>
    <s v="MPR"/>
    <s v="ADM"/>
    <n v="50038956"/>
    <x v="10"/>
    <n v="1"/>
    <s v="REALIZADO"/>
    <s v="BRUNO"/>
    <d v="2025-09-03T00:00:00"/>
    <x v="2"/>
  </r>
  <r>
    <n v="77708"/>
    <s v="FABIO JUSTINO"/>
    <s v="MPR"/>
    <s v="ADM"/>
    <n v="50038956"/>
    <x v="10"/>
    <n v="1"/>
    <s v="REALIZADO"/>
    <s v="BRUNO"/>
    <d v="2025-09-03T00:00:00"/>
    <x v="0"/>
  </r>
  <r>
    <n v="78886"/>
    <s v="LUCAS FELICIANO MENDES DE OLIVEIRA"/>
    <s v="MME"/>
    <s v="ADM"/>
    <n v="50037892"/>
    <x v="2"/>
    <n v="1"/>
    <s v="REALIZADO"/>
    <s v="AGATHA"/>
    <d v="2025-09-03T00:00:00"/>
    <x v="2"/>
  </r>
  <r>
    <n v="63713"/>
    <s v="BRUNO DIAS"/>
    <s v="MME"/>
    <s v="ADM"/>
    <n v="50037892"/>
    <x v="2"/>
    <n v="1"/>
    <s v="REALIZADO"/>
    <s v="BRUNA"/>
    <d v="2025-09-03T00:00:00"/>
    <x v="0"/>
  </r>
  <r>
    <n v="63713"/>
    <s v="BRUNO DIAS"/>
    <s v="MME"/>
    <s v="ADM"/>
    <n v="50037892"/>
    <x v="2"/>
    <n v="1"/>
    <s v="REALIZADO"/>
    <s v="BRUNA"/>
    <d v="2025-09-03T00:00:00"/>
    <x v="0"/>
  </r>
  <r>
    <n v="63770"/>
    <s v="DANILO DA SILVA"/>
    <s v="MMG"/>
    <s v="ADM"/>
    <n v="50038841"/>
    <x v="34"/>
    <n v="1"/>
    <s v="REALIZADO"/>
    <s v="JOÃO FRANCISCO"/>
    <d v="2025-09-03T00:00:00"/>
    <x v="2"/>
  </r>
  <r>
    <n v="63770"/>
    <s v="DANILO DA SILVA"/>
    <s v="MMG"/>
    <s v="ADM"/>
    <n v="50038841"/>
    <x v="34"/>
    <n v="1"/>
    <s v="REALIZADO"/>
    <s v="GEOVANE"/>
    <d v="2025-09-03T00:00:00"/>
    <x v="0"/>
  </r>
  <r>
    <n v="77526"/>
    <s v="FELIPE GARÇONI"/>
    <s v="MME"/>
    <s v="ADM"/>
    <n v="50038841"/>
    <x v="34"/>
    <n v="1"/>
    <s v="REALIZADO"/>
    <s v="GEOVANE"/>
    <d v="2025-09-03T00:00:00"/>
    <x v="0"/>
  </r>
  <r>
    <n v="65844"/>
    <s v="ALTEMAR FEITOSA"/>
    <s v="MMG"/>
    <s v="1º TURNO"/>
    <n v="50001995"/>
    <x v="44"/>
    <n v="1"/>
    <s v="REALIZADO"/>
    <s v="BRUNO"/>
    <d v="2025-09-03T00:00:00"/>
    <x v="2"/>
  </r>
  <r>
    <n v="65844"/>
    <s v="ALTEMAR FEITOSA"/>
    <s v="MMG"/>
    <s v="1º TURNO"/>
    <n v="50001995"/>
    <x v="44"/>
    <n v="1"/>
    <s v="REALIZADO"/>
    <s v="BRUNO"/>
    <d v="2025-09-03T00:00:00"/>
    <x v="0"/>
  </r>
  <r>
    <n v="64074"/>
    <s v="MARCOS FERNANDES COLOMBO"/>
    <s v="MPR"/>
    <s v="ADM"/>
    <n v="50001995"/>
    <x v="44"/>
    <n v="1"/>
    <s v="REALIZADO"/>
    <s v="BRUNO"/>
    <d v="2025-09-03T00:00:00"/>
    <x v="2"/>
  </r>
  <r>
    <n v="64074"/>
    <s v="MARCOS FERNANDES COLOMBO"/>
    <s v="MPR"/>
    <s v="ADM"/>
    <n v="50001995"/>
    <x v="44"/>
    <n v="1"/>
    <s v="REALIZADO"/>
    <s v="BRUNO"/>
    <d v="2025-09-03T00:00:00"/>
    <x v="0"/>
  </r>
  <r>
    <n v="61264"/>
    <s v="EVERTON GERONIMO"/>
    <s v="MMG"/>
    <s v="ADM"/>
    <n v="50041195"/>
    <x v="21"/>
    <n v="1"/>
    <s v="REALIZADO"/>
    <s v="AGATHA"/>
    <d v="2025-09-03T00:00:00"/>
    <x v="2"/>
  </r>
  <r>
    <n v="61264"/>
    <s v="EVERTON GERONIMO"/>
    <s v="MMG"/>
    <s v="ADM"/>
    <n v="50041195"/>
    <x v="21"/>
    <n v="1"/>
    <s v="REALIZADO"/>
    <s v="BRUNO"/>
    <d v="2025-09-03T00:00:00"/>
    <x v="0"/>
  </r>
  <r>
    <n v="62640"/>
    <s v="MARCELINHO"/>
    <s v="MPR"/>
    <s v="ADM"/>
    <n v="50043917"/>
    <x v="66"/>
    <n v="1"/>
    <s v="REALIZADO"/>
    <s v="AGATHA"/>
    <d v="2025-09-03T00:00:00"/>
    <x v="0"/>
  </r>
  <r>
    <n v="70105"/>
    <s v="RONALDO DE SOUZA SANTOS"/>
    <s v="MMG"/>
    <s v="2º TURNO"/>
    <n v="50032775"/>
    <x v="13"/>
    <n v="1"/>
    <s v="REALIZADO"/>
    <s v="BRUNA"/>
    <d v="2025-09-03T00:00:00"/>
    <x v="2"/>
  </r>
  <r>
    <n v="70105"/>
    <s v="RONALDO DE SOUZA SANTOS"/>
    <s v="MMG"/>
    <s v="2º TURNO"/>
    <n v="50032775"/>
    <x v="13"/>
    <n v="1"/>
    <s v="REALIZADO"/>
    <s v="BRUNA"/>
    <d v="2025-09-03T00:00:00"/>
    <x v="0"/>
  </r>
  <r>
    <n v="65482"/>
    <s v="RAFAEL BALBINO PEREIRA"/>
    <s v="MMG"/>
    <n v="0"/>
    <n v="50010031"/>
    <x v="20"/>
    <n v="2"/>
    <s v="REALIZADO"/>
    <s v="JOÃO FRANCISCO"/>
    <d v="2025-09-02T00:00:00"/>
    <x v="2"/>
  </r>
  <r>
    <n v="65482"/>
    <s v="RAFAEL BALBINO PEREIRA"/>
    <s v="MMG"/>
    <n v="0"/>
    <n v="50010031"/>
    <x v="20"/>
    <n v="2"/>
    <s v="REALIZADO"/>
    <s v="MATHEUS"/>
    <d v="2025-09-02T00:00:00"/>
    <x v="0"/>
  </r>
  <r>
    <n v="78678"/>
    <s v="MARLOM ROGERIO VIEIRA"/>
    <s v="MME"/>
    <s v="ADM"/>
    <n v="50038854"/>
    <x v="27"/>
    <n v="1"/>
    <s v="REALIZADO"/>
    <s v="MATHEUS"/>
    <d v="2025-09-02T00:00:00"/>
    <x v="2"/>
  </r>
  <r>
    <n v="74611"/>
    <s v="CRISTIAM BORGES"/>
    <s v="MPR"/>
    <s v="ADM"/>
    <n v="50038854"/>
    <x v="27"/>
    <n v="1"/>
    <s v="REALIZADO"/>
    <s v="MATHEUS"/>
    <d v="2025-09-02T00:00:00"/>
    <x v="0"/>
  </r>
  <r>
    <n v="62180"/>
    <s v="JOSE AUGUSTO MASSUCHINI"/>
    <s v="MMG"/>
    <s v="ADM"/>
    <n v="50037905"/>
    <x v="49"/>
    <n v="1"/>
    <s v="REALIZADO"/>
    <s v="BRUNA"/>
    <d v="2025-09-02T00:00:00"/>
    <x v="2"/>
  </r>
  <r>
    <n v="62180"/>
    <s v="JOSE AUGUSTO MASSUCHINI"/>
    <s v="MMG"/>
    <s v="ADM"/>
    <n v="50037905"/>
    <x v="49"/>
    <n v="1"/>
    <s v="REALIZADO"/>
    <s v="BRUNA"/>
    <d v="2025-09-02T00:00:00"/>
    <x v="0"/>
  </r>
  <r>
    <n v="62640"/>
    <s v="MARCELINHO"/>
    <s v="MPR"/>
    <s v="ADM"/>
    <n v="50039236"/>
    <x v="84"/>
    <n v="1"/>
    <s v="REALIZADO"/>
    <s v="JOÃO FRANCISCO"/>
    <d v="2025-09-02T00:00:00"/>
    <x v="2"/>
  </r>
  <r>
    <n v="62640"/>
    <s v="MARCELINHO"/>
    <s v="MPR"/>
    <s v="ADM"/>
    <n v="50039236"/>
    <x v="84"/>
    <n v="1"/>
    <s v="REALIZADO"/>
    <s v="JOÃO FRANCISCO"/>
    <d v="2025-09-02T00:00:00"/>
    <x v="0"/>
  </r>
  <r>
    <n v="77526"/>
    <s v="FELIPE GARÇONI"/>
    <s v="MME"/>
    <s v="ADM"/>
    <n v="50043471"/>
    <x v="5"/>
    <n v="1"/>
    <s v="REALIZADO"/>
    <s v="MATHEUS"/>
    <d v="2025-09-02T00:00:00"/>
    <x v="2"/>
  </r>
  <r>
    <n v="77526"/>
    <s v="FELIPE GARÇONI"/>
    <s v="MME"/>
    <s v="ADM"/>
    <n v="50043471"/>
    <x v="5"/>
    <n v="1"/>
    <s v="REALIZADO"/>
    <s v="MATHEUS"/>
    <d v="2025-09-02T00:00:00"/>
    <x v="0"/>
  </r>
  <r>
    <n v="74611"/>
    <s v="CRISTIAM BORGES"/>
    <s v="MPR"/>
    <s v="ADM"/>
    <n v="50003297"/>
    <x v="8"/>
    <n v="1"/>
    <s v="REALIZADO"/>
    <s v="JOÃO FRANCISCO"/>
    <d v="2025-09-02T00:00:00"/>
    <x v="2"/>
  </r>
  <r>
    <n v="74611"/>
    <s v="CRISTIAM BORGES"/>
    <s v="MPR"/>
    <s v="ADM"/>
    <n v="50003297"/>
    <x v="8"/>
    <n v="1"/>
    <s v="REALIZADO"/>
    <s v="MATHEUS"/>
    <d v="2025-09-02T00:00:00"/>
    <x v="0"/>
  </r>
  <r>
    <n v="62640"/>
    <s v="MARCELINHO"/>
    <s v="MPR"/>
    <s v="ADM"/>
    <n v="50029865"/>
    <x v="9"/>
    <n v="1"/>
    <s v="REALIZADO"/>
    <s v="JOÃO FRANCISCO"/>
    <d v="2025-09-02T00:00:00"/>
    <x v="2"/>
  </r>
  <r>
    <n v="62640"/>
    <s v="MARCELINHO"/>
    <s v="MPR"/>
    <s v="ADM"/>
    <n v="50029865"/>
    <x v="9"/>
    <n v="1"/>
    <s v="REALIZADO"/>
    <s v="JOÃO FRANCISCO"/>
    <d v="2025-09-02T00:00:00"/>
    <x v="2"/>
  </r>
  <r>
    <n v="63713"/>
    <s v="BRUNO DIAS"/>
    <s v="MME"/>
    <s v="ADM"/>
    <n v="50037892"/>
    <x v="2"/>
    <n v="1"/>
    <s v="REALIZADO"/>
    <s v="BRUNA"/>
    <d v="2025-09-02T00:00:00"/>
    <x v="2"/>
  </r>
  <r>
    <n v="78678"/>
    <s v="MARLOM ROGERIO VIEIRA"/>
    <s v="MME"/>
    <s v="ADM"/>
    <n v="50038841"/>
    <x v="34"/>
    <n v="1"/>
    <s v="REALIZADO"/>
    <s v="MATHEUS"/>
    <d v="2025-09-02T00:00:00"/>
    <x v="0"/>
  </r>
  <r>
    <n v="77526"/>
    <s v="FELIPE GARÇONI"/>
    <s v="MME"/>
    <s v="ADM"/>
    <n v="50038841"/>
    <x v="34"/>
    <n v="1"/>
    <s v="REALIZADO"/>
    <s v="MATHEUS"/>
    <d v="2025-09-02T00:00:00"/>
    <x v="2"/>
  </r>
  <r>
    <n v="77526"/>
    <s v="FELIPE GARÇONI"/>
    <s v="MME"/>
    <s v="ADM"/>
    <n v="50038841"/>
    <x v="34"/>
    <n v="1"/>
    <s v="REALIZADO"/>
    <s v="BRUNA"/>
    <d v="2025-09-02T00:00:00"/>
    <x v="0"/>
  </r>
  <r>
    <n v="65472"/>
    <s v="ISRAEL MACEDO"/>
    <s v="MMG"/>
    <s v="ADM"/>
    <n v="50001995"/>
    <x v="44"/>
    <n v="1"/>
    <s v="REALIZADO"/>
    <s v="JOÃO FRANCISCO"/>
    <d v="2025-09-02T00:00:00"/>
    <x v="2"/>
  </r>
  <r>
    <n v="65472"/>
    <s v="ISRAEL MACEDO"/>
    <s v="MMG"/>
    <s v="ADM"/>
    <n v="50001995"/>
    <x v="44"/>
    <n v="1"/>
    <s v="REALIZADO"/>
    <s v="MATHEUS"/>
    <d v="2025-09-02T00:00:00"/>
    <x v="2"/>
  </r>
  <r>
    <n v="63713"/>
    <s v="BRUNO DIAS"/>
    <s v="MME"/>
    <s v="ADM"/>
    <n v="50039065"/>
    <x v="22"/>
    <n v="1"/>
    <s v="REALIZADO"/>
    <s v="BRUNA"/>
    <d v="2025-09-02T00:00:00"/>
    <x v="0"/>
  </r>
  <r>
    <n v="74950"/>
    <s v="DANIEL ARAUJO ROCHA"/>
    <s v="MME"/>
    <s v="ADM"/>
    <n v="50026357"/>
    <x v="24"/>
    <n v="1"/>
    <s v="REALIZADO"/>
    <s v="GEOVANE"/>
    <d v="2025-09-02T00:00:00"/>
    <x v="2"/>
  </r>
  <r>
    <n v="74950"/>
    <s v="DANIEL ARAUJO ROCHA"/>
    <s v="MME"/>
    <s v="ADM"/>
    <n v="50026357"/>
    <x v="24"/>
    <n v="1"/>
    <s v="REALIZADO"/>
    <s v="GEOVANE"/>
    <d v="2025-09-02T00:00:00"/>
    <x v="0"/>
  </r>
  <r>
    <n v="77526"/>
    <s v="FELIPE GARÇONI"/>
    <s v="MME"/>
    <s v="ADM"/>
    <n v="50041195"/>
    <x v="21"/>
    <n v="1"/>
    <s v="REALIZADO"/>
    <s v="JOÃO FRANCISCO"/>
    <d v="2025-09-02T00:00:00"/>
    <x v="0"/>
  </r>
  <r>
    <n v="70105"/>
    <s v="RONALDO DE SOUZA SANTOS"/>
    <s v="MMG"/>
    <s v="2º TURNO"/>
    <n v="50043917"/>
    <x v="66"/>
    <n v="1"/>
    <s v="REALIZADO"/>
    <s v="JOÃO FRANCISCO"/>
    <d v="2025-09-02T00:00:00"/>
    <x v="2"/>
  </r>
  <r>
    <n v="70105"/>
    <s v="RONALDO DE SOUZA SANTOS"/>
    <s v="MMG"/>
    <s v="2º TURNO"/>
    <n v="50043917"/>
    <x v="66"/>
    <n v="1"/>
    <s v="REALIZADO"/>
    <s v="JOÃO FRANCISCO"/>
    <d v="2025-09-02T00:00:00"/>
    <x v="2"/>
  </r>
  <r>
    <n v="72713"/>
    <s v="MARCOS AURELIO"/>
    <s v="MPR"/>
    <s v="ADM"/>
    <n v="50043917"/>
    <x v="66"/>
    <n v="1"/>
    <s v="REALIZADO"/>
    <s v="BRUNA"/>
    <d v="2025-09-02T00:00:00"/>
    <x v="0"/>
  </r>
  <r>
    <n v="77526"/>
    <s v="FELIPE GARÇONI"/>
    <s v="MME"/>
    <s v="ADM"/>
    <n v="50032781"/>
    <x v="12"/>
    <n v="1"/>
    <s v="REALIZADO"/>
    <s v="JOÃO FRANCISCO"/>
    <d v="2025-09-02T00:00:00"/>
    <x v="2"/>
  </r>
  <r>
    <n v="77526"/>
    <s v="FELIPE GARÇONI"/>
    <s v="MME"/>
    <s v="ADM"/>
    <n v="50032781"/>
    <x v="12"/>
    <n v="1"/>
    <s v="REALIZADO"/>
    <s v="GEOVANE"/>
    <d v="2025-09-02T00:00:00"/>
    <x v="0"/>
  </r>
  <r>
    <n v="77526"/>
    <s v="FELIPE GARÇONI"/>
    <s v="MME"/>
    <s v="ADM"/>
    <n v="50038194"/>
    <x v="87"/>
    <n v="1"/>
    <s v="REALIZADO"/>
    <s v="GEOVANE"/>
    <d v="2025-09-02T00:00:00"/>
    <x v="2"/>
  </r>
  <r>
    <n v="77526"/>
    <s v="FELIPE GARÇONI"/>
    <s v="MME"/>
    <s v="ADM"/>
    <n v="50038194"/>
    <x v="87"/>
    <n v="1"/>
    <s v="REALIZADO"/>
    <s v="MATHEUS"/>
    <d v="2025-09-02T00:00:00"/>
    <x v="0"/>
  </r>
  <r>
    <n v="61096"/>
    <s v="REGIVALDO MEDEIROS"/>
    <s v="MME"/>
    <s v="ADM"/>
    <n v="50038194"/>
    <x v="87"/>
    <n v="1"/>
    <s v="REALIZADO"/>
    <s v="MATHEUS"/>
    <d v="2025-09-02T00:00:00"/>
    <x v="2"/>
  </r>
  <r>
    <n v="61096"/>
    <s v="REGIVALDO MEDEIROS"/>
    <s v="MME"/>
    <s v="ADM"/>
    <n v="50038194"/>
    <x v="87"/>
    <n v="1"/>
    <s v="REALIZADO"/>
    <s v="MATHEUS"/>
    <d v="2025-09-02T00:00:00"/>
    <x v="0"/>
  </r>
  <r>
    <n v="62180"/>
    <s v="JOSE AUGUSTO MASSUCHINI"/>
    <s v="MMG"/>
    <s v="ADM"/>
    <n v="50038194"/>
    <x v="87"/>
    <n v="1"/>
    <s v="REALIZADO"/>
    <s v="MATHEUS"/>
    <d v="2025-09-02T00:00:00"/>
    <x v="2"/>
  </r>
  <r>
    <n v="62180"/>
    <s v="JOSE AUGUSTO MASSUCHINI"/>
    <s v="MMG"/>
    <s v="ADM"/>
    <n v="50038194"/>
    <x v="87"/>
    <n v="1"/>
    <s v="REALIZADO"/>
    <s v="MATHEUS"/>
    <d v="2025-09-02T00:00:00"/>
    <x v="0"/>
  </r>
  <r>
    <n v="78678"/>
    <s v="MARLOM ROGERIO VIEIRA"/>
    <s v="MME"/>
    <s v="ADM"/>
    <n v="50038194"/>
    <x v="87"/>
    <n v="1"/>
    <s v="REALIZADO"/>
    <s v="MATHEUS"/>
    <d v="2025-09-02T00:00:00"/>
    <x v="2"/>
  </r>
  <r>
    <n v="78678"/>
    <s v="MARLOM ROGERIO VIEIRA"/>
    <s v="MME"/>
    <s v="ADM"/>
    <n v="50038194"/>
    <x v="87"/>
    <n v="1"/>
    <s v="NÃO REALIZADO"/>
    <s v="BRUNA"/>
    <d v="2025-09-02T00:00:00"/>
    <x v="0"/>
  </r>
  <r>
    <n v="62896"/>
    <s v="LEONARDO BORGES"/>
    <s v="MEE"/>
    <s v="ADM"/>
    <n v="50010031"/>
    <x v="20"/>
    <n v="1"/>
    <s v="REALIZADO"/>
    <s v="KELLY"/>
    <d v="2025-09-01T00:00:00"/>
    <x v="2"/>
  </r>
  <r>
    <n v="62896"/>
    <s v="LEONARDO BORGES"/>
    <s v="MEE"/>
    <s v="ADM"/>
    <n v="50010031"/>
    <x v="20"/>
    <n v="1"/>
    <s v="REALIZADO"/>
    <s v="BRUNA"/>
    <d v="2025-09-01T00:00:00"/>
    <x v="2"/>
  </r>
  <r>
    <n v="68792"/>
    <s v="RODRIGO ROCHA"/>
    <s v="MEE"/>
    <s v="2º TURNO"/>
    <n v="50002644"/>
    <x v="83"/>
    <n v="1"/>
    <s v="REALIZADO"/>
    <s v="MARCIA"/>
    <d v="2025-09-01T00:00:00"/>
    <x v="0"/>
  </r>
  <r>
    <n v="65482"/>
    <s v="RAFAEL BALBINO PEREIRA"/>
    <s v="MMG"/>
    <n v="0"/>
    <n v="50038956"/>
    <x v="10"/>
    <n v="1"/>
    <s v="REALIZADO"/>
    <s v="KELLY"/>
    <d v="2025-09-01T00:00:00"/>
    <x v="2"/>
  </r>
  <r>
    <n v="65482"/>
    <s v="RAFAEL BALBINO PEREIRA"/>
    <s v="MMG"/>
    <n v="0"/>
    <n v="50038956"/>
    <x v="10"/>
    <n v="1"/>
    <s v="REALIZADO"/>
    <s v="BRUNO"/>
    <d v="2025-09-01T00:00:00"/>
    <x v="0"/>
  </r>
  <r>
    <n v="77526"/>
    <s v="FELIPE GARÇONI"/>
    <s v="MME"/>
    <s v="ADM"/>
    <n v="50037892"/>
    <x v="2"/>
    <n v="1"/>
    <s v="REALIZADO"/>
    <s v="KELLY"/>
    <d v="2025-09-01T00:00:00"/>
    <x v="2"/>
  </r>
  <r>
    <n v="77526"/>
    <s v="FELIPE GARÇONI"/>
    <s v="MME"/>
    <s v="ADM"/>
    <n v="50037892"/>
    <x v="2"/>
    <n v="1"/>
    <s v="REALIZADO"/>
    <s v="BRUNA"/>
    <d v="2025-09-01T00:00:00"/>
    <x v="0"/>
  </r>
  <r>
    <n v="73878"/>
    <s v="EVANDRO TANAKA"/>
    <s v="MMG"/>
    <s v="ADM"/>
    <n v="50037902"/>
    <x v="14"/>
    <n v="1"/>
    <s v="REALIZADO"/>
    <s v="KELLY"/>
    <d v="2025-09-01T00:00:00"/>
    <x v="2"/>
  </r>
  <r>
    <n v="77594"/>
    <s v="VINICIUS ROBLES"/>
    <s v="MME"/>
    <s v="ADM"/>
    <n v="50037902"/>
    <x v="14"/>
    <n v="1"/>
    <s v="REALIZADO"/>
    <s v="BRUNA"/>
    <d v="2025-09-01T00:00:00"/>
    <x v="0"/>
  </r>
  <r>
    <n v="77313"/>
    <s v="ROGERIO"/>
    <s v="MPR"/>
    <s v="ADM"/>
    <n v="50026357"/>
    <x v="24"/>
    <n v="1"/>
    <s v="REALIZADO"/>
    <s v="KELLY"/>
    <d v="2025-09-01T00:00:00"/>
    <x v="2"/>
  </r>
  <r>
    <n v="77313"/>
    <s v="ROGERIO"/>
    <s v="MPR"/>
    <s v="ADM"/>
    <n v="50026357"/>
    <x v="24"/>
    <n v="1"/>
    <s v="REALIZADO"/>
    <s v="BRUNO"/>
    <d v="2025-09-01T00:00:00"/>
    <x v="2"/>
  </r>
  <r>
    <n v="77526"/>
    <s v="FELIPE GARÇONI"/>
    <s v="MME"/>
    <s v="ADM"/>
    <n v="50041195"/>
    <x v="21"/>
    <n v="1"/>
    <s v="REALIZADO"/>
    <s v="BRUNO"/>
    <d v="2025-09-01T00:00:00"/>
    <x v="0"/>
  </r>
  <r>
    <n v="65084"/>
    <s v="TIAGO DE BRITO"/>
    <s v="MMG"/>
    <s v="3º TURNO"/>
    <n v="50037956"/>
    <x v="113"/>
    <n v="1"/>
    <s v="REALIZADO"/>
    <m/>
    <d v="2025-08-31T00:00:00"/>
    <x v="0"/>
  </r>
  <r>
    <n v="74874"/>
    <s v="FABIANO MARQUES"/>
    <s v="MMG"/>
    <s v="ADM"/>
    <n v="50037905"/>
    <x v="49"/>
    <n v="1"/>
    <s v="REALIZADO"/>
    <s v="BRUNA"/>
    <d v="2025-08-30T00:00:00"/>
    <x v="2"/>
  </r>
  <r>
    <n v="74874"/>
    <s v="FABIANO MARQUES"/>
    <s v="MMG"/>
    <s v="ADM"/>
    <n v="50037905"/>
    <x v="49"/>
    <n v="1"/>
    <s v="REALIZADO"/>
    <s v="BRUNA"/>
    <d v="2025-08-30T00:00:00"/>
    <x v="0"/>
  </r>
  <r>
    <n v="78675"/>
    <s v="ORLANDO GOMES"/>
    <s v="MME"/>
    <s v="1º TURNO"/>
    <n v="50038841"/>
    <x v="34"/>
    <n v="1"/>
    <s v="REALIZADO"/>
    <s v="BRUNA"/>
    <d v="2025-08-30T00:00:00"/>
    <x v="2"/>
  </r>
  <r>
    <n v="78675"/>
    <s v="ORLANDO GOMES"/>
    <s v="MME"/>
    <s v="1º TURNO"/>
    <n v="50038841"/>
    <x v="34"/>
    <n v="1"/>
    <s v="REALIZADO"/>
    <s v="BRUNA"/>
    <d v="2025-08-30T00:00:00"/>
    <x v="0"/>
  </r>
  <r>
    <n v="62180"/>
    <s v="JOSE AUGUSTO MASSUCHINI"/>
    <s v="MMG"/>
    <s v="ADM"/>
    <n v="50038626"/>
    <x v="72"/>
    <n v="1"/>
    <s v="REALIZADO"/>
    <s v="BRUNA"/>
    <d v="2025-08-30T00:00:00"/>
    <x v="2"/>
  </r>
  <r>
    <n v="62180"/>
    <s v="JOSE AUGUSTO MASSUCHINI"/>
    <s v="MMG"/>
    <s v="ADM"/>
    <n v="50038626"/>
    <x v="72"/>
    <n v="1"/>
    <s v="REALIZADO"/>
    <s v="BRUNA"/>
    <d v="2025-08-30T00:00:00"/>
    <x v="2"/>
  </r>
  <r>
    <n v="62640"/>
    <s v="MARCELINHO"/>
    <s v="MPR"/>
    <s v="ADM"/>
    <n v="50041195"/>
    <x v="21"/>
    <n v="1"/>
    <s v="REALIZADO"/>
    <s v="BRUNA"/>
    <d v="2025-08-30T00:00:00"/>
    <x v="0"/>
  </r>
  <r>
    <n v="77594"/>
    <s v="VINICIUS ROBLES"/>
    <s v="MME"/>
    <s v="ADM"/>
    <n v="50010031"/>
    <x v="20"/>
    <n v="1"/>
    <s v="REALIZADO"/>
    <s v="JOÃO FRANCISCO"/>
    <d v="2025-08-29T00:00:00"/>
    <x v="2"/>
  </r>
  <r>
    <n v="77594"/>
    <s v="VINICIUS ROBLES"/>
    <s v="MME"/>
    <s v="ADM"/>
    <n v="50010031"/>
    <x v="20"/>
    <n v="1"/>
    <s v="REALIZADO"/>
    <s v="BRUNO"/>
    <d v="2025-08-29T00:00:00"/>
    <x v="2"/>
  </r>
  <r>
    <n v="74874"/>
    <s v="FABIANO MARQUES"/>
    <s v="MMG"/>
    <s v="ADM"/>
    <n v="50044003"/>
    <x v="63"/>
    <n v="1"/>
    <s v="REALIZADO"/>
    <s v="BRUNO"/>
    <d v="2025-08-29T00:00:00"/>
    <x v="0"/>
  </r>
  <r>
    <n v="70105"/>
    <s v="RONALDO DE SOUZA SANTOS"/>
    <s v="MMG"/>
    <s v="2º TURNO"/>
    <n v="50037905"/>
    <x v="49"/>
    <n v="1"/>
    <s v="REALIZADO"/>
    <s v="KELLY"/>
    <d v="2025-08-29T00:00:00"/>
    <x v="2"/>
  </r>
  <r>
    <n v="70105"/>
    <s v="RONALDO DE SOUZA SANTOS"/>
    <s v="MMG"/>
    <s v="2º TURNO"/>
    <n v="50037905"/>
    <x v="49"/>
    <n v="1"/>
    <s v="REALIZADO"/>
    <s v="GEOVANE"/>
    <d v="2025-08-29T00:00:00"/>
    <x v="0"/>
  </r>
  <r>
    <n v="74874"/>
    <s v="FABIANO MARQUES"/>
    <s v="MMG"/>
    <s v="ADM"/>
    <n v="50037905"/>
    <x v="49"/>
    <n v="1"/>
    <s v="REALIZADO"/>
    <s v="GEOVANE"/>
    <d v="2025-08-29T00:00:00"/>
    <x v="2"/>
  </r>
  <r>
    <n v="74874"/>
    <s v="FABIANO MARQUES"/>
    <s v="MMG"/>
    <s v="ADM"/>
    <n v="50037905"/>
    <x v="49"/>
    <n v="1"/>
    <s v="REALIZADO"/>
    <s v="GEOVANE"/>
    <d v="2025-08-29T00:00:00"/>
    <x v="0"/>
  </r>
  <r>
    <n v="74874"/>
    <s v="FABIANO MARQUES"/>
    <s v="MMG"/>
    <s v="ADM"/>
    <n v="50037905"/>
    <x v="49"/>
    <n v="1"/>
    <s v="REALIZADO"/>
    <s v="BRUNO"/>
    <d v="2025-08-29T00:00:00"/>
    <x v="2"/>
  </r>
  <r>
    <n v="74874"/>
    <s v="FABIANO MARQUES"/>
    <s v="MMG"/>
    <s v="ADM"/>
    <n v="50037905"/>
    <x v="49"/>
    <n v="1"/>
    <s v="REALIZADO"/>
    <s v="BRUNO"/>
    <d v="2025-08-29T00:00:00"/>
    <x v="0"/>
  </r>
  <r>
    <n v="78886"/>
    <s v="LUCAS FELICIANO MENDES DE OLIVEIRA"/>
    <s v="MME"/>
    <s v="ADM"/>
    <n v="50039236"/>
    <x v="84"/>
    <n v="1"/>
    <s v="REALIZADO"/>
    <s v="BRUNO"/>
    <d v="2025-08-29T00:00:00"/>
    <x v="2"/>
  </r>
  <r>
    <n v="77594"/>
    <s v="VINICIUS ROBLES"/>
    <s v="MME"/>
    <s v="ADM"/>
    <n v="50039236"/>
    <x v="84"/>
    <n v="1"/>
    <s v="REALIZADO"/>
    <s v="BRUNO"/>
    <d v="2025-08-29T00:00:00"/>
    <x v="0"/>
  </r>
  <r>
    <n v="72715"/>
    <s v="DANIEL CAMAÇARI DE OLIVEIRA"/>
    <s v="MPR"/>
    <s v="ADM"/>
    <n v="50043471"/>
    <x v="5"/>
    <n v="1"/>
    <s v="REALIZADO"/>
    <s v="KELLY"/>
    <d v="2025-08-29T00:00:00"/>
    <x v="2"/>
  </r>
  <r>
    <n v="72715"/>
    <s v="DANIEL CAMAÇARI DE OLIVEIRA"/>
    <s v="MPR"/>
    <s v="ADM"/>
    <n v="50043471"/>
    <x v="5"/>
    <n v="1"/>
    <s v="REALIZADO"/>
    <s v="GEOVANE"/>
    <d v="2025-08-29T00:00:00"/>
    <x v="0"/>
  </r>
  <r>
    <n v="72715"/>
    <s v="DANIEL CAMAÇARI DE OLIVEIRA"/>
    <s v="MPR"/>
    <s v="ADM"/>
    <n v="50029865"/>
    <x v="9"/>
    <n v="1"/>
    <s v="REALIZADO"/>
    <s v="JOÃO FRANCISCO"/>
    <d v="2025-08-29T00:00:00"/>
    <x v="2"/>
  </r>
  <r>
    <n v="62640"/>
    <s v="MARCELINHO"/>
    <s v="MPR"/>
    <s v="ADM"/>
    <n v="50029865"/>
    <x v="9"/>
    <n v="1"/>
    <s v="REALIZADO"/>
    <s v="BRUNO"/>
    <d v="2025-08-29T00:00:00"/>
    <x v="0"/>
  </r>
  <r>
    <n v="65910"/>
    <s v="GABRIEL CAIXETA"/>
    <s v="MEE"/>
    <s v="ADM"/>
    <n v="50038549"/>
    <x v="6"/>
    <n v="1"/>
    <s v="REALIZADO"/>
    <s v="BRUNO"/>
    <d v="2025-08-29T00:00:00"/>
    <x v="2"/>
  </r>
  <r>
    <n v="65910"/>
    <s v="GABRIEL CAIXETA"/>
    <s v="MEE"/>
    <s v="ADM"/>
    <n v="50038549"/>
    <x v="6"/>
    <n v="1"/>
    <s v="REALIZADO"/>
    <s v="BRUNO"/>
    <d v="2025-08-29T00:00:00"/>
    <x v="0"/>
  </r>
  <r>
    <n v="65472"/>
    <s v="ISRAEL MACEDO"/>
    <s v="MMG"/>
    <s v="ADM"/>
    <n v="50022878"/>
    <x v="18"/>
    <n v="1"/>
    <s v="REALIZADO"/>
    <s v="BRUNO"/>
    <d v="2025-08-29T00:00:00"/>
    <x v="2"/>
  </r>
  <r>
    <n v="65472"/>
    <s v="ISRAEL MACEDO"/>
    <s v="MMG"/>
    <s v="ADM"/>
    <n v="50022878"/>
    <x v="18"/>
    <n v="1"/>
    <s v="REALIZADO"/>
    <s v="BRUNO"/>
    <d v="2025-08-29T00:00:00"/>
    <x v="0"/>
  </r>
  <r>
    <n v="73336"/>
    <s v="RODRIGO RODRIGUES"/>
    <s v="MMG"/>
    <s v="ADM"/>
    <n v="50022878"/>
    <x v="18"/>
    <n v="1"/>
    <s v="REALIZADO"/>
    <s v="BRUNO"/>
    <d v="2025-08-29T00:00:00"/>
    <x v="2"/>
  </r>
  <r>
    <n v="73336"/>
    <s v="RODRIGO RODRIGUES"/>
    <s v="MMG"/>
    <s v="ADM"/>
    <n v="50022878"/>
    <x v="18"/>
    <n v="1"/>
    <s v="REALIZADO"/>
    <s v="BRUNO"/>
    <d v="2025-08-29T00:00:00"/>
    <x v="0"/>
  </r>
  <r>
    <n v="74874"/>
    <s v="FABIANO MARQUES"/>
    <s v="MMG"/>
    <s v="ADM"/>
    <n v="50038956"/>
    <x v="10"/>
    <n v="1"/>
    <s v="REALIZADO"/>
    <s v="BRUNO"/>
    <d v="2025-08-29T00:00:00"/>
    <x v="2"/>
  </r>
  <r>
    <n v="73878"/>
    <s v="EVANDRO TANAKA"/>
    <s v="MMG"/>
    <s v="ADM"/>
    <n v="50038956"/>
    <x v="10"/>
    <n v="1"/>
    <s v="REALIZADO"/>
    <s v="BRUNO"/>
    <d v="2025-08-29T00:00:00"/>
    <x v="0"/>
  </r>
  <r>
    <n v="78886"/>
    <s v="LUCAS FELICIANO MENDES DE OLIVEIRA"/>
    <s v="MME"/>
    <s v="ADM"/>
    <n v="50037892"/>
    <x v="2"/>
    <n v="1"/>
    <s v="REALIZADO"/>
    <s v="BRUNO"/>
    <d v="2025-08-29T00:00:00"/>
    <x v="2"/>
  </r>
  <r>
    <n v="68708"/>
    <s v="CLAUDIO TADEU LEITE"/>
    <s v="MMG"/>
    <s v="ADM"/>
    <n v="50037892"/>
    <x v="2"/>
    <n v="1"/>
    <s v="REALIZADO"/>
    <s v="BRUNO"/>
    <d v="2025-08-29T00:00:00"/>
    <x v="0"/>
  </r>
  <r>
    <n v="65910"/>
    <s v="GABRIEL CAIXETA"/>
    <s v="MEE"/>
    <s v="ADM"/>
    <n v="50038841"/>
    <x v="34"/>
    <n v="1"/>
    <s v="REALIZADO"/>
    <s v="BRUNO"/>
    <d v="2025-08-29T00:00:00"/>
    <x v="2"/>
  </r>
  <r>
    <n v="65910"/>
    <s v="GABRIEL CAIXETA"/>
    <s v="MEE"/>
    <s v="ADM"/>
    <n v="50038841"/>
    <x v="34"/>
    <n v="1"/>
    <s v="REALIZADO"/>
    <s v="BRUNO"/>
    <d v="2025-08-29T00:00:00"/>
    <x v="0"/>
  </r>
  <r>
    <n v="74611"/>
    <s v="CRISTIAM BORGES"/>
    <s v="MPR"/>
    <s v="ADM"/>
    <n v="50038517"/>
    <x v="0"/>
    <n v="1"/>
    <s v="REALIZADO"/>
    <s v="JOÃO FRANCISCO"/>
    <d v="2025-08-29T00:00:00"/>
    <x v="2"/>
  </r>
  <r>
    <n v="74611"/>
    <s v="CRISTIAM BORGES"/>
    <s v="MPR"/>
    <s v="ADM"/>
    <n v="50038517"/>
    <x v="0"/>
    <n v="1"/>
    <s v="REALIZADO"/>
    <s v="GEOVANE"/>
    <d v="2025-08-29T00:00:00"/>
    <x v="0"/>
  </r>
  <r>
    <n v="74874"/>
    <s v="FABIANO MARQUES"/>
    <s v="MMG"/>
    <s v="ADM"/>
    <n v="50038517"/>
    <x v="0"/>
    <n v="1"/>
    <s v="REALIZADO"/>
    <s v="BRUNO"/>
    <d v="2025-08-29T00:00:00"/>
    <x v="2"/>
  </r>
  <r>
    <n v="74874"/>
    <s v="FABIANO MARQUES"/>
    <s v="MMG"/>
    <s v="ADM"/>
    <n v="50038517"/>
    <x v="0"/>
    <n v="1"/>
    <s v="REALIZADO"/>
    <s v="BRUNO"/>
    <d v="2025-08-29T00:00:00"/>
    <x v="0"/>
  </r>
  <r>
    <n v="74611"/>
    <s v="CRISTIAM BORGES"/>
    <s v="MPR"/>
    <s v="ADM"/>
    <n v="50001995"/>
    <x v="44"/>
    <n v="1"/>
    <s v="REALIZADO"/>
    <s v="JOÃO FRANCISCO"/>
    <d v="2025-08-29T00:00:00"/>
    <x v="2"/>
  </r>
  <r>
    <n v="74611"/>
    <s v="CRISTIAM BORGES"/>
    <s v="MPR"/>
    <s v="ADM"/>
    <n v="50001995"/>
    <x v="44"/>
    <n v="1"/>
    <s v="REALIZADO"/>
    <s v="GEOVANE"/>
    <d v="2025-08-29T00:00:00"/>
    <x v="0"/>
  </r>
  <r>
    <n v="77526"/>
    <s v="FELIPE GARÇONI"/>
    <s v="MME"/>
    <s v="ADM"/>
    <n v="50041195"/>
    <x v="21"/>
    <n v="1"/>
    <s v="REALIZADO"/>
    <s v="BRUNA"/>
    <d v="2025-08-29T00:00:00"/>
    <x v="2"/>
  </r>
  <r>
    <n v="77526"/>
    <s v="FELIPE GARÇONI"/>
    <s v="MME"/>
    <s v="ADM"/>
    <n v="50041195"/>
    <x v="21"/>
    <n v="1"/>
    <s v="REALIZADO"/>
    <s v="BRUNO"/>
    <d v="2025-08-29T00:00:00"/>
    <x v="0"/>
  </r>
  <r>
    <n v="65910"/>
    <s v="GABRIEL CAIXETA"/>
    <s v="MEE"/>
    <s v="ADM"/>
    <n v="50041195"/>
    <x v="21"/>
    <n v="1"/>
    <s v="REALIZADO"/>
    <s v="BRUNO"/>
    <d v="2025-08-29T00:00:00"/>
    <x v="2"/>
  </r>
  <r>
    <n v="65910"/>
    <s v="GABRIEL CAIXETA"/>
    <s v="MEE"/>
    <s v="ADM"/>
    <n v="50041195"/>
    <x v="21"/>
    <n v="1"/>
    <s v="REALIZADO"/>
    <s v="BRUNO"/>
    <d v="2025-08-29T00:00:00"/>
    <x v="0"/>
  </r>
  <r>
    <n v="72715"/>
    <s v="DANIEL CAMAÇARI DE OLIVEIRA"/>
    <s v="MPR"/>
    <s v="ADM"/>
    <n v="50043917"/>
    <x v="66"/>
    <n v="1"/>
    <s v="REALIZADO"/>
    <s v="JOÃO FRANCISCO"/>
    <d v="2025-08-29T00:00:00"/>
    <x v="2"/>
  </r>
  <r>
    <n v="62640"/>
    <s v="MARCELINHO"/>
    <s v="MPR"/>
    <s v="ADM"/>
    <n v="50043917"/>
    <x v="66"/>
    <n v="1"/>
    <s v="REALIZADO"/>
    <s v="BRUNO"/>
    <d v="2025-08-29T00:00:00"/>
    <x v="0"/>
  </r>
  <r>
    <n v="65472"/>
    <s v="ISRAEL MACEDO"/>
    <s v="MMG"/>
    <s v="ADM"/>
    <n v="50032775"/>
    <x v="13"/>
    <n v="1"/>
    <s v="REALIZADO"/>
    <s v="BRUNO"/>
    <d v="2025-08-29T00:00:00"/>
    <x v="2"/>
  </r>
  <r>
    <n v="65472"/>
    <s v="ISRAEL MACEDO"/>
    <s v="MMG"/>
    <s v="ADM"/>
    <n v="50032775"/>
    <x v="13"/>
    <n v="1"/>
    <s v="REALIZADO"/>
    <s v="BRUNO"/>
    <d v="2025-08-29T00:00:00"/>
    <x v="0"/>
  </r>
  <r>
    <n v="77594"/>
    <s v="VINICIUS ROBLES"/>
    <s v="MME"/>
    <s v="ADM"/>
    <n v="50032781"/>
    <x v="12"/>
    <n v="1"/>
    <s v="REALIZADO"/>
    <s v="JOÃO FRANCISCO"/>
    <d v="2025-08-29T00:00:00"/>
    <x v="2"/>
  </r>
  <r>
    <n v="77594"/>
    <s v="VINICIUS ROBLES"/>
    <s v="MME"/>
    <s v="ADM"/>
    <n v="50032781"/>
    <x v="12"/>
    <n v="1"/>
    <s v="REALIZADO"/>
    <s v="BRUNO"/>
    <d v="2025-08-29T00:00:00"/>
    <x v="0"/>
  </r>
  <r>
    <n v="77526"/>
    <s v="FELIPE GARÇONI"/>
    <s v="MME"/>
    <s v="ADM"/>
    <n v="50038194"/>
    <x v="87"/>
    <n v="1"/>
    <s v="REALIZADO"/>
    <s v="BRUNA"/>
    <d v="2025-08-29T00:00:00"/>
    <x v="2"/>
  </r>
  <r>
    <n v="77526"/>
    <s v="FELIPE GARÇONI"/>
    <s v="MME"/>
    <s v="ADM"/>
    <n v="50038194"/>
    <x v="87"/>
    <n v="1"/>
    <s v="REALIZADO"/>
    <s v="BRUNO"/>
    <d v="2025-08-29T00:00:00"/>
    <x v="2"/>
  </r>
  <r>
    <n v="72728"/>
    <s v="JUNIOR CESAR DA PENHA"/>
    <s v="UTI"/>
    <s v="2º TURNO"/>
    <n v="50037933"/>
    <x v="43"/>
    <n v="1"/>
    <s v="REALIZADO"/>
    <s v="BRUNO"/>
    <d v="2025-08-29T00:00:00"/>
    <x v="0"/>
  </r>
  <r>
    <n v="62180"/>
    <s v="JOSE AUGUSTO MASSUCHINI"/>
    <s v="MMG"/>
    <s v="ADM"/>
    <n v="50037905"/>
    <x v="49"/>
    <n v="1"/>
    <s v="REALIZADO"/>
    <s v="BRUNO"/>
    <d v="2025-08-28T00:00:00"/>
    <x v="2"/>
  </r>
  <r>
    <n v="62180"/>
    <s v="JOSE AUGUSTO MASSUCHINI"/>
    <s v="MMG"/>
    <s v="ADM"/>
    <n v="50037905"/>
    <x v="49"/>
    <n v="1"/>
    <s v="REALIZADO"/>
    <s v="BRUNO"/>
    <d v="2025-08-28T00:00:00"/>
    <x v="0"/>
  </r>
  <r>
    <n v="63713"/>
    <s v="BRUNO DIAS"/>
    <s v="MME"/>
    <s v="ADM"/>
    <n v="50030486"/>
    <x v="17"/>
    <n v="1"/>
    <s v="REALIZADO"/>
    <s v="KELLY"/>
    <d v="2025-08-28T00:00:00"/>
    <x v="2"/>
  </r>
  <r>
    <n v="63713"/>
    <s v="BRUNO DIAS"/>
    <s v="MME"/>
    <s v="ADM"/>
    <n v="50030486"/>
    <x v="17"/>
    <n v="1"/>
    <s v="REALIZADO"/>
    <s v="BRUNO"/>
    <d v="2025-08-28T00:00:00"/>
    <x v="0"/>
  </r>
  <r>
    <n v="61096"/>
    <s v="REGIVALDO MEDEIROS"/>
    <s v="MME"/>
    <s v="ADM"/>
    <n v="50039236"/>
    <x v="84"/>
    <n v="1"/>
    <s v="REALIZADO"/>
    <s v="KELLY"/>
    <d v="2025-08-28T00:00:00"/>
    <x v="2"/>
  </r>
  <r>
    <n v="61096"/>
    <s v="REGIVALDO MEDEIROS"/>
    <s v="MME"/>
    <s v="ADM"/>
    <n v="50039236"/>
    <x v="84"/>
    <n v="1"/>
    <s v="REALIZADO"/>
    <s v="BRUNO"/>
    <d v="2025-08-28T00:00:00"/>
    <x v="0"/>
  </r>
  <r>
    <n v="62640"/>
    <s v="MARCELINHO"/>
    <s v="MPR"/>
    <s v="ADM"/>
    <n v="50043471"/>
    <x v="5"/>
    <n v="1"/>
    <s v="REALIZADO"/>
    <s v="GEOVANE"/>
    <d v="2025-08-28T00:00:00"/>
    <x v="2"/>
  </r>
  <r>
    <n v="62640"/>
    <s v="MARCELINHO"/>
    <s v="MPR"/>
    <s v="ADM"/>
    <n v="50043471"/>
    <x v="5"/>
    <n v="1"/>
    <s v="REALIZADO"/>
    <s v="BRUNO"/>
    <d v="2025-08-28T00:00:00"/>
    <x v="0"/>
  </r>
  <r>
    <n v="64253"/>
    <s v="DANIEL JULIAO"/>
    <s v="MMG"/>
    <s v="ADM"/>
    <n v="50003297"/>
    <x v="8"/>
    <n v="1"/>
    <s v="REALIZADO"/>
    <s v="BRUNO"/>
    <d v="2025-08-28T00:00:00"/>
    <x v="2"/>
  </r>
  <r>
    <n v="64253"/>
    <s v="DANIEL JULIAO"/>
    <s v="MMG"/>
    <s v="ADM"/>
    <n v="50003297"/>
    <x v="8"/>
    <n v="1"/>
    <s v="REALIZADO"/>
    <s v="BRUNO"/>
    <d v="2025-08-28T00:00:00"/>
    <x v="0"/>
  </r>
  <r>
    <n v="65910"/>
    <s v="GABRIEL CAIXETA"/>
    <s v="MEE"/>
    <s v="ADM"/>
    <n v="50038549"/>
    <x v="6"/>
    <n v="1"/>
    <s v="REALIZADO"/>
    <s v="KELLY"/>
    <d v="2025-08-28T00:00:00"/>
    <x v="2"/>
  </r>
  <r>
    <n v="65910"/>
    <s v="GABRIEL CAIXETA"/>
    <s v="MEE"/>
    <n v="0"/>
    <n v="50038549"/>
    <x v="6"/>
    <n v="1"/>
    <s v="REALIZADO"/>
    <s v="BRUNA"/>
    <d v="2025-08-28T00:00:00"/>
    <x v="0"/>
  </r>
  <r>
    <n v="65910"/>
    <s v="GABRIEL CAIXETA"/>
    <s v="MEE"/>
    <s v="ADM"/>
    <n v="50037892"/>
    <x v="2"/>
    <n v="1"/>
    <s v="REALIZADO"/>
    <s v="KELLY"/>
    <d v="2025-08-28T00:00:00"/>
    <x v="2"/>
  </r>
  <r>
    <n v="65910"/>
    <s v="GABRIEL CAIXETA"/>
    <s v="MEE"/>
    <n v="0"/>
    <n v="50037892"/>
    <x v="2"/>
    <n v="1"/>
    <s v="REALIZADO"/>
    <s v="BRUNA"/>
    <d v="2025-08-28T00:00:00"/>
    <x v="0"/>
  </r>
  <r>
    <n v="63713"/>
    <s v="BRUNO DIAS"/>
    <s v="MME"/>
    <s v="ADM"/>
    <n v="50037902"/>
    <x v="14"/>
    <n v="1"/>
    <s v="REALIZADO"/>
    <s v="KELLY"/>
    <d v="2025-08-28T00:00:00"/>
    <x v="2"/>
  </r>
  <r>
    <n v="63713"/>
    <s v="BRUNO DIAS"/>
    <s v="MME"/>
    <s v="ADM"/>
    <n v="50037902"/>
    <x v="14"/>
    <n v="1"/>
    <s v="REALIZADO"/>
    <s v="BRUNO"/>
    <d v="2025-08-28T00:00:00"/>
    <x v="0"/>
  </r>
  <r>
    <n v="78886"/>
    <s v="LUCAS FELICIANO MENDES DE OLIVEIRA"/>
    <s v="MME"/>
    <s v="ADM"/>
    <n v="50038517"/>
    <x v="0"/>
    <n v="1"/>
    <s v="REALIZADO"/>
    <s v="KELLY"/>
    <d v="2025-08-28T00:00:00"/>
    <x v="2"/>
  </r>
  <r>
    <n v="78886"/>
    <s v="LUCAS FELICIANO MENDES DE OLIVEIRA"/>
    <s v="MME"/>
    <s v="ADM"/>
    <n v="50038517"/>
    <x v="0"/>
    <n v="1"/>
    <s v="REALIZADO"/>
    <s v="BRUNO"/>
    <d v="2025-08-28T00:00:00"/>
    <x v="0"/>
  </r>
  <r>
    <n v="74874"/>
    <s v="FABIANO MARQUES"/>
    <s v="MMG"/>
    <s v="ADM"/>
    <n v="50001995"/>
    <x v="44"/>
    <n v="1"/>
    <s v="REALIZADO"/>
    <s v="GEOVANE"/>
    <d v="2025-08-28T00:00:00"/>
    <x v="2"/>
  </r>
  <r>
    <n v="74874"/>
    <s v="FABIANO MARQUES"/>
    <s v="MMG"/>
    <s v="ADM"/>
    <n v="50001995"/>
    <x v="44"/>
    <n v="1"/>
    <s v="REALIZADO"/>
    <s v="GEOVANE"/>
    <d v="2025-08-28T00:00:00"/>
    <x v="0"/>
  </r>
  <r>
    <n v="76633"/>
    <s v="VINICIUS GUILHERME BARBOSA"/>
    <s v="MMG"/>
    <s v="1º TURNO"/>
    <n v="50039065"/>
    <x v="22"/>
    <n v="1"/>
    <s v="REALIZADO"/>
    <s v="BRUNO"/>
    <d v="2025-08-28T00:00:00"/>
    <x v="2"/>
  </r>
  <r>
    <n v="76633"/>
    <s v="VINICIUS GUILHERME BARBOSA"/>
    <s v="MMG"/>
    <s v="1º TURNO"/>
    <n v="50039065"/>
    <x v="22"/>
    <n v="1"/>
    <s v="REALIZADO"/>
    <s v="BRUNO"/>
    <d v="2025-08-28T00:00:00"/>
    <x v="0"/>
  </r>
  <r>
    <n v="62640"/>
    <s v="MARCELINHO"/>
    <s v="MPR"/>
    <s v="ADM"/>
    <n v="50026357"/>
    <x v="24"/>
    <n v="1"/>
    <s v="REALIZADO"/>
    <s v="BRUNO"/>
    <d v="2025-08-28T00:00:00"/>
    <x v="0"/>
  </r>
  <r>
    <n v="65910"/>
    <s v="GABRIEL CAIXETA"/>
    <s v="MEE"/>
    <s v="ADM"/>
    <n v="50041195"/>
    <x v="21"/>
    <n v="1"/>
    <s v="REALIZADO"/>
    <s v="KELLY"/>
    <d v="2025-08-28T00:00:00"/>
    <x v="2"/>
  </r>
  <r>
    <n v="65910"/>
    <s v="GABRIEL CAIXETA"/>
    <s v="MEE"/>
    <n v="0"/>
    <n v="50041195"/>
    <x v="21"/>
    <n v="1"/>
    <s v="REALIZADO"/>
    <s v="BRUNA"/>
    <d v="2025-08-28T00:00:00"/>
    <x v="0"/>
  </r>
  <r>
    <n v="72707"/>
    <s v="LEONARDO DOS SANTOS"/>
    <s v="MPR"/>
    <s v="ADM"/>
    <n v="50043917"/>
    <x v="66"/>
    <n v="1"/>
    <s v="REALIZADO"/>
    <s v="KELLY"/>
    <d v="2025-08-28T00:00:00"/>
    <x v="2"/>
  </r>
  <r>
    <n v="72707"/>
    <s v="LEONARDO DOS SANTOS"/>
    <s v="MPR"/>
    <s v="ADM"/>
    <n v="50043917"/>
    <x v="66"/>
    <n v="1"/>
    <s v="REALIZADO"/>
    <s v="BRUNO"/>
    <d v="2025-08-28T00:00:00"/>
    <x v="0"/>
  </r>
  <r>
    <n v="78886"/>
    <s v="LUCAS FELICIANO MENDES DE OLIVEIRA"/>
    <s v="MME"/>
    <s v="ADM"/>
    <n v="50032781"/>
    <x v="12"/>
    <n v="1"/>
    <s v="REALIZADO"/>
    <s v="GEOVANE"/>
    <d v="2025-08-28T00:00:00"/>
    <x v="2"/>
  </r>
  <r>
    <n v="78886"/>
    <s v="LUCAS FELICIANO MENDES DE OLIVEIRA"/>
    <s v="MME"/>
    <s v="ADM"/>
    <n v="50032781"/>
    <x v="12"/>
    <n v="1"/>
    <s v="REALIZADO"/>
    <s v="GEOVANE"/>
    <d v="2025-08-28T00:00:00"/>
    <x v="0"/>
  </r>
  <r>
    <n v="78675"/>
    <s v="ORLANDO GOMES"/>
    <s v="MME"/>
    <s v="1º TURNO"/>
    <n v="50010031"/>
    <x v="20"/>
    <n v="1"/>
    <s v="REALIZADO"/>
    <s v="BRUNO"/>
    <d v="2025-08-27T00:00:00"/>
    <x v="2"/>
  </r>
  <r>
    <n v="78675"/>
    <s v="ORLANDO GOMES"/>
    <s v="MME"/>
    <s v="1º TURNO"/>
    <n v="50010031"/>
    <x v="20"/>
    <n v="1"/>
    <s v="REALIZADO"/>
    <s v="BRUNO"/>
    <d v="2025-08-27T00:00:00"/>
    <x v="0"/>
  </r>
  <r>
    <n v="68430"/>
    <s v="JOAO CAIXETA"/>
    <s v="MEE"/>
    <s v="1º TURNO"/>
    <n v="50036296"/>
    <x v="46"/>
    <n v="1"/>
    <s v="REALIZADO"/>
    <s v="JOÃO FRANCISCO"/>
    <d v="2025-08-27T00:00:00"/>
    <x v="2"/>
  </r>
  <r>
    <n v="68430"/>
    <s v="JOAO CAIXETA"/>
    <s v="MEE"/>
    <s v="1º TURNO"/>
    <n v="50036296"/>
    <x v="46"/>
    <n v="1"/>
    <s v="REALIZADO"/>
    <s v="BRUNO"/>
    <d v="2025-08-27T00:00:00"/>
    <x v="2"/>
  </r>
  <r>
    <n v="61264"/>
    <s v="EVERTON GERONIMO"/>
    <s v="MMG"/>
    <s v="ADM"/>
    <n v="50037960"/>
    <x v="37"/>
    <n v="1"/>
    <s v="REALIZADO"/>
    <s v="BRUNO"/>
    <d v="2025-08-27T00:00:00"/>
    <x v="2"/>
  </r>
  <r>
    <n v="61264"/>
    <s v="EVERTON GERONIMO"/>
    <s v="MMG"/>
    <s v="ADM"/>
    <n v="50037961"/>
    <x v="36"/>
    <n v="1"/>
    <s v="REALIZADO"/>
    <s v="BRUNO"/>
    <d v="2025-08-27T00:00:00"/>
    <x v="0"/>
  </r>
  <r>
    <n v="62180"/>
    <s v="JOSE AUGUSTO MASSUCHINI"/>
    <s v="MMG"/>
    <s v="ADM"/>
    <n v="50037905"/>
    <x v="49"/>
    <n v="1"/>
    <s v="REALIZADO"/>
    <s v="BRUNO"/>
    <d v="2025-08-27T00:00:00"/>
    <x v="2"/>
  </r>
  <r>
    <n v="62180"/>
    <s v="JOSE AUGUSTO MASSUCHINI"/>
    <s v="MMG"/>
    <s v="ADM"/>
    <n v="50037905"/>
    <x v="49"/>
    <n v="1"/>
    <s v="REALIZADO"/>
    <s v="MARCIA"/>
    <d v="2025-08-27T00:00:00"/>
    <x v="0"/>
  </r>
  <r>
    <n v="66830"/>
    <s v="MARCIO GOMES DA SILVA"/>
    <s v="MPR"/>
    <s v="ADM"/>
    <n v="50030486"/>
    <x v="17"/>
    <n v="1"/>
    <s v="REALIZADO"/>
    <s v="JOÃO FRANCISCO"/>
    <d v="2025-08-27T00:00:00"/>
    <x v="2"/>
  </r>
  <r>
    <n v="66830"/>
    <s v="MARCIO GOMES DA SILVA"/>
    <s v="MPR"/>
    <s v="ADM"/>
    <n v="50030486"/>
    <x v="17"/>
    <n v="1"/>
    <s v="REALIZADO"/>
    <s v="GEOVANE"/>
    <d v="2025-08-27T00:00:00"/>
    <x v="2"/>
  </r>
  <r>
    <n v="77526"/>
    <s v="FELIPE GARÇONI"/>
    <s v="MME"/>
    <s v="ADM"/>
    <n v="50039236"/>
    <x v="84"/>
    <n v="1"/>
    <s v="REALIZADO"/>
    <s v="BRUNO"/>
    <d v="2025-08-27T00:00:00"/>
    <x v="0"/>
  </r>
  <r>
    <n v="61096"/>
    <s v="REGIVALDO MEDEIROS"/>
    <s v="MME"/>
    <s v="ADM"/>
    <n v="50043471"/>
    <x v="5"/>
    <n v="1"/>
    <s v="REALIZADO"/>
    <s v="JOÃO FRANCISCO"/>
    <d v="2025-08-27T00:00:00"/>
    <x v="2"/>
  </r>
  <r>
    <n v="61096"/>
    <s v="REGIVALDO MEDEIROS"/>
    <s v="MME"/>
    <s v="ADM"/>
    <n v="50043471"/>
    <x v="5"/>
    <n v="1"/>
    <s v="REALIZADO"/>
    <s v="GEOVANE"/>
    <d v="2025-08-27T00:00:00"/>
    <x v="0"/>
  </r>
  <r>
    <n v="72715"/>
    <s v="DANIEL CAMAÇARI DE OLIVEIRA"/>
    <s v="MPR"/>
    <s v="ADM"/>
    <n v="50003296"/>
    <x v="105"/>
    <n v="1"/>
    <s v="REALIZADO"/>
    <s v="JOÃO FRANCISCO"/>
    <d v="2025-08-27T00:00:00"/>
    <x v="2"/>
  </r>
  <r>
    <n v="72715"/>
    <s v="DANIEL CAMAÇARI DE OLIVEIRA"/>
    <s v="MPR"/>
    <s v="ADM"/>
    <n v="50003296"/>
    <x v="105"/>
    <n v="1"/>
    <s v="REALIZADO"/>
    <s v="GEOVANE"/>
    <d v="2025-08-27T00:00:00"/>
    <x v="0"/>
  </r>
  <r>
    <n v="68708"/>
    <s v="CLAUDIO TADEU LEITE"/>
    <s v="MMG"/>
    <s v="ADM"/>
    <n v="50038549"/>
    <x v="6"/>
    <n v="1"/>
    <s v="REALIZADO"/>
    <s v="GEOVANE"/>
    <d v="2025-08-27T00:00:00"/>
    <x v="2"/>
  </r>
  <r>
    <n v="70052"/>
    <s v="MARCOS SANTOS"/>
    <s v="MEE"/>
    <s v="ADM"/>
    <n v="50038549"/>
    <x v="6"/>
    <n v="1"/>
    <s v="REALIZADO"/>
    <s v="BRUNA"/>
    <d v="2025-08-27T00:00:00"/>
    <x v="0"/>
  </r>
  <r>
    <n v="63684"/>
    <s v="LUAN ALMEIDA"/>
    <s v="MME"/>
    <s v="1º TURNO"/>
    <n v="50038517"/>
    <x v="0"/>
    <n v="1"/>
    <s v="REALIZADO"/>
    <s v="GEOVANE"/>
    <d v="2025-08-27T00:00:00"/>
    <x v="2"/>
  </r>
  <r>
    <n v="63684"/>
    <s v="LUAN ALMEIDA"/>
    <s v="MME"/>
    <s v="1º TURNO"/>
    <n v="50038517"/>
    <x v="0"/>
    <n v="1"/>
    <s v="REALIZADO"/>
    <s v="GEOVANE"/>
    <d v="2025-08-27T00:00:00"/>
    <x v="0"/>
  </r>
  <r>
    <n v="78678"/>
    <s v="MARLOM ROGERIO VIEIRA"/>
    <s v="MME"/>
    <s v="ADM"/>
    <n v="50038517"/>
    <x v="0"/>
    <n v="1"/>
    <s v="REALIZADO"/>
    <s v="BRUNA"/>
    <d v="2025-08-27T00:00:00"/>
    <x v="2"/>
  </r>
  <r>
    <n v="78678"/>
    <s v="MARLOM ROGERIO VIEIRA"/>
    <s v="MME"/>
    <s v="ADM"/>
    <n v="50038517"/>
    <x v="0"/>
    <n v="1"/>
    <s v="REALIZADO"/>
    <s v="BRUNO"/>
    <d v="2025-08-27T00:00:00"/>
    <x v="2"/>
  </r>
  <r>
    <n v="77313"/>
    <s v="ROGERIO"/>
    <s v="MPR"/>
    <s v="ADM"/>
    <n v="50026357"/>
    <x v="24"/>
    <n v="1"/>
    <s v="REALIZADO"/>
    <s v="GEOVANE"/>
    <d v="2025-08-27T00:00:00"/>
    <x v="2"/>
  </r>
  <r>
    <n v="70052"/>
    <s v="MARCOS SANTOS"/>
    <s v="MEE"/>
    <s v="ADM"/>
    <n v="50041195"/>
    <x v="21"/>
    <n v="1"/>
    <s v="REALIZADO"/>
    <s v="BRUNA"/>
    <d v="2025-08-27T00:00:00"/>
    <x v="0"/>
  </r>
  <r>
    <n v="67193"/>
    <s v="LEONARDO ALEXANDRE"/>
    <s v="MME"/>
    <s v="3º TURNO"/>
    <n v="50041195"/>
    <x v="21"/>
    <n v="1"/>
    <s v="REALIZADO"/>
    <s v="GLAUBER"/>
    <d v="2025-08-27T00:00:00"/>
    <x v="2"/>
  </r>
  <r>
    <n v="72707"/>
    <s v="LEONARDO DOS SANTOS"/>
    <s v="MPR"/>
    <s v="ADM"/>
    <n v="50043917"/>
    <x v="66"/>
    <n v="1"/>
    <s v="REALIZADO"/>
    <s v="BRUNO"/>
    <d v="2025-08-27T00:00:00"/>
    <x v="2"/>
  </r>
  <r>
    <n v="70052"/>
    <s v="MARCOS SANTOS"/>
    <s v="MEE"/>
    <s v="ADM"/>
    <n v="50037915"/>
    <x v="114"/>
    <n v="1"/>
    <s v="REALIZADO"/>
    <s v="JOÃO FRANCISCO"/>
    <d v="2025-08-27T00:00:00"/>
    <x v="0"/>
  </r>
  <r>
    <n v="61096"/>
    <s v="REGIVALDO MEDEIROS"/>
    <s v="MME"/>
    <s v="ADM"/>
    <n v="50032781"/>
    <x v="12"/>
    <n v="1"/>
    <s v="REALIZADO"/>
    <s v="JOÃO FRANCISCO"/>
    <d v="2025-08-27T00:00:00"/>
    <x v="2"/>
  </r>
  <r>
    <n v="61096"/>
    <s v="REGIVALDO MEDEIROS"/>
    <s v="MME"/>
    <s v="ADM"/>
    <n v="50032781"/>
    <x v="12"/>
    <n v="1"/>
    <s v="REALIZADO"/>
    <s v="JOÃO FRANCISCO"/>
    <d v="2025-08-27T00:00:00"/>
    <x v="0"/>
  </r>
  <r>
    <n v="77313"/>
    <s v="ROGERIO"/>
    <s v="MPR"/>
    <s v="ADM"/>
    <n v="50038854"/>
    <x v="27"/>
    <n v="1"/>
    <s v="NÃO REALIZADO"/>
    <s v="MARCIA"/>
    <d v="2025-08-26T00:00:00"/>
    <x v="0"/>
  </r>
  <r>
    <n v="62180"/>
    <s v="JOSE AUGUSTO MASSUCHINI"/>
    <s v="MMG"/>
    <s v="ADM"/>
    <n v="50037905"/>
    <x v="49"/>
    <n v="1"/>
    <s v="REALIZADO"/>
    <s v="MARCIA"/>
    <d v="2025-08-26T00:00:00"/>
    <x v="2"/>
  </r>
  <r>
    <n v="62180"/>
    <s v="JOSE AUGUSTO MASSUCHINI"/>
    <s v="MMG"/>
    <s v="ADM"/>
    <n v="50037905"/>
    <x v="49"/>
    <n v="1"/>
    <s v="REALIZADO"/>
    <s v="MARCIA"/>
    <d v="2025-08-26T00:00:00"/>
    <x v="0"/>
  </r>
  <r>
    <n v="78886"/>
    <s v="LUCAS FELICIANO MENDES DE OLIVEIRA"/>
    <s v="MME"/>
    <s v="ADM"/>
    <n v="50030486"/>
    <x v="17"/>
    <n v="1"/>
    <s v="REALIZADO"/>
    <s v="KELLY"/>
    <d v="2025-08-26T00:00:00"/>
    <x v="2"/>
  </r>
  <r>
    <n v="78886"/>
    <s v="LUCAS FELICIANO MENDES DE OLIVEIRA"/>
    <s v="MME"/>
    <s v="ADM"/>
    <n v="50030486"/>
    <x v="17"/>
    <n v="1"/>
    <s v="REALIZADO"/>
    <s v="MARCIA"/>
    <d v="2025-08-26T00:00:00"/>
    <x v="0"/>
  </r>
  <r>
    <n v="61096"/>
    <s v="REGIVALDO MEDEIROS"/>
    <s v="MME"/>
    <s v="ADM"/>
    <n v="50003297"/>
    <x v="8"/>
    <n v="1"/>
    <s v="REALIZADO"/>
    <s v="KELLY"/>
    <d v="2025-08-26T00:00:00"/>
    <x v="2"/>
  </r>
  <r>
    <n v="78675"/>
    <s v="ORLANDO GOMES"/>
    <s v="MME"/>
    <s v="1º TURNO"/>
    <n v="50003297"/>
    <x v="8"/>
    <n v="1"/>
    <s v="REALIZADO"/>
    <s v="MARCIA"/>
    <d v="2025-08-26T00:00:00"/>
    <x v="0"/>
  </r>
  <r>
    <n v="62444"/>
    <s v="VALMIR GREGUI"/>
    <s v="MMG"/>
    <s v="3º TURNO"/>
    <n v="50038549"/>
    <x v="6"/>
    <n v="1"/>
    <s v="REALIZADO"/>
    <m/>
    <d v="2025-08-26T00:00:00"/>
    <x v="0"/>
  </r>
  <r>
    <n v="77526"/>
    <s v="FELIPE GARÇONI"/>
    <s v="MME"/>
    <s v="ADM"/>
    <n v="50022878"/>
    <x v="18"/>
    <n v="1"/>
    <s v="REALIZADO"/>
    <s v="MARCIA"/>
    <d v="2025-08-26T00:00:00"/>
    <x v="2"/>
  </r>
  <r>
    <n v="77526"/>
    <s v="FELIPE GARÇONI"/>
    <s v="MME"/>
    <s v="ADM"/>
    <n v="50022878"/>
    <x v="18"/>
    <n v="1"/>
    <s v="REALIZADO"/>
    <s v="MARCIA"/>
    <d v="2025-08-26T00:00:00"/>
    <x v="0"/>
  </r>
  <r>
    <n v="77594"/>
    <s v="VINICIUS ROBLES"/>
    <s v="MME"/>
    <s v="ADM"/>
    <n v="50037892"/>
    <x v="2"/>
    <n v="1"/>
    <s v="REALIZADO"/>
    <s v="MARCIA"/>
    <d v="2025-08-26T00:00:00"/>
    <x v="2"/>
  </r>
  <r>
    <n v="77594"/>
    <s v="VINICIUS ROBLES"/>
    <s v="MME"/>
    <s v="ADM"/>
    <n v="50037892"/>
    <x v="2"/>
    <n v="1"/>
    <s v="REALIZADO"/>
    <s v="MARCIA"/>
    <d v="2025-08-26T00:00:00"/>
    <x v="0"/>
  </r>
  <r>
    <n v="77526"/>
    <s v="FELIPE GARÇONI"/>
    <s v="MME"/>
    <s v="ADM"/>
    <n v="50037902"/>
    <x v="14"/>
    <n v="1"/>
    <s v="REALIZADO"/>
    <s v="MARCIA"/>
    <d v="2025-08-26T00:00:00"/>
    <x v="2"/>
  </r>
  <r>
    <n v="77526"/>
    <s v="FELIPE GARÇONI"/>
    <s v="MME"/>
    <s v="ADM"/>
    <n v="50037902"/>
    <x v="14"/>
    <n v="1"/>
    <s v="REALIZADO"/>
    <s v="MARCIA"/>
    <d v="2025-08-26T00:00:00"/>
    <x v="0"/>
  </r>
  <r>
    <n v="77313"/>
    <s v="ROGERIO"/>
    <s v="MPR"/>
    <s v="ADM"/>
    <n v="50038841"/>
    <x v="34"/>
    <n v="1"/>
    <s v="NÃO REALIZADO"/>
    <s v="MARCIA"/>
    <d v="2025-08-26T00:00:00"/>
    <x v="2"/>
  </r>
  <r>
    <n v="77313"/>
    <s v="ROGERIO"/>
    <s v="MPR"/>
    <s v="ADM"/>
    <n v="50038841"/>
    <x v="34"/>
    <n v="1"/>
    <s v="REALIZADO"/>
    <s v="MARCIA"/>
    <d v="2025-08-26T00:00:00"/>
    <x v="0"/>
  </r>
  <r>
    <n v="65223"/>
    <s v="RODRIGO LOPES DOS SANTOS"/>
    <s v="MEE"/>
    <s v="2º TURNO"/>
    <n v="50038517"/>
    <x v="0"/>
    <n v="1"/>
    <s v="REALIZADO"/>
    <s v="MARCIA"/>
    <d v="2025-08-26T00:00:00"/>
    <x v="2"/>
  </r>
  <r>
    <n v="65223"/>
    <s v="RODRIGO LOPES DOS SANTOS"/>
    <s v="MEE"/>
    <s v="2º TURNO"/>
    <n v="50038517"/>
    <x v="0"/>
    <n v="1"/>
    <s v="REALIZADO"/>
    <s v="MARCIA"/>
    <d v="2025-08-26T00:00:00"/>
    <x v="2"/>
  </r>
  <r>
    <n v="64074"/>
    <s v="MARCOS FERNANDES COLOMBO"/>
    <s v="MPR"/>
    <s v="ADM"/>
    <n v="50041195"/>
    <x v="21"/>
    <n v="1"/>
    <s v="REALIZADO"/>
    <s v="MARCIA"/>
    <d v="2025-08-26T00:00:00"/>
    <x v="2"/>
  </r>
  <r>
    <n v="62640"/>
    <s v="MARCELINHO"/>
    <s v="MPR"/>
    <s v="ADM"/>
    <n v="50043917"/>
    <x v="66"/>
    <n v="1"/>
    <s v="REALIZADO"/>
    <s v="MARCIA"/>
    <d v="2025-08-26T00:00:00"/>
    <x v="2"/>
  </r>
  <r>
    <n v="77313"/>
    <s v="ROGERIO"/>
    <s v="MPR"/>
    <s v="ADM"/>
    <n v="50038854"/>
    <x v="27"/>
    <n v="1"/>
    <s v="REALIZADO"/>
    <s v="AGATHA"/>
    <d v="2025-08-25T00:00:00"/>
    <x v="0"/>
  </r>
  <r>
    <n v="66790"/>
    <s v="EVERTON BOLOGNES"/>
    <s v="MMG"/>
    <s v="2º TURNO"/>
    <n v="50037905"/>
    <x v="49"/>
    <n v="1"/>
    <s v="REALIZADO"/>
    <s v="KELLY"/>
    <d v="2025-08-25T00:00:00"/>
    <x v="2"/>
  </r>
  <r>
    <n v="66790"/>
    <s v="EVERTON BOLOGNES"/>
    <s v="MMG"/>
    <s v="2º TURNO"/>
    <n v="50037905"/>
    <x v="49"/>
    <n v="1"/>
    <s v="REALIZADO"/>
    <s v="MARCIA"/>
    <d v="2025-08-25T00:00:00"/>
    <x v="0"/>
  </r>
  <r>
    <n v="63713"/>
    <s v="BRUNO DIAS"/>
    <s v="MME"/>
    <s v="ADM"/>
    <n v="50039236"/>
    <x v="84"/>
    <n v="1"/>
    <s v="REALIZADO"/>
    <s v="AGATHA"/>
    <d v="2025-08-25T00:00:00"/>
    <x v="0"/>
  </r>
  <r>
    <n v="63713"/>
    <s v="BRUNO DIAS"/>
    <s v="MME"/>
    <s v="ADM"/>
    <n v="50039236"/>
    <x v="84"/>
    <n v="1"/>
    <s v="REALIZADO"/>
    <s v="AGATHA"/>
    <d v="2025-08-25T00:00:00"/>
    <x v="2"/>
  </r>
  <r>
    <n v="70147"/>
    <s v="WESLEY GREGUI"/>
    <s v="MEE"/>
    <s v="2º TURNO"/>
    <n v="50036299"/>
    <x v="26"/>
    <n v="1"/>
    <s v="REALIZADO"/>
    <s v="KELLY"/>
    <d v="2025-08-25T00:00:00"/>
    <x v="0"/>
  </r>
  <r>
    <n v="70147"/>
    <s v="WESLEY GREGUI"/>
    <s v="MEE"/>
    <s v="2º TURNO"/>
    <n v="50036299"/>
    <x v="26"/>
    <n v="1"/>
    <s v="REALIZADO"/>
    <s v="KELLY"/>
    <d v="2025-08-25T00:00:00"/>
    <x v="0"/>
  </r>
  <r>
    <n v="77526"/>
    <s v="FELIPE GARÇONI"/>
    <s v="MME"/>
    <s v="ADM"/>
    <n v="50037902"/>
    <x v="14"/>
    <n v="1"/>
    <s v="REALIZADO"/>
    <s v="AGATHA"/>
    <d v="2025-08-25T00:00:00"/>
    <x v="2"/>
  </r>
  <r>
    <n v="77526"/>
    <s v="FELIPE GARÇONI"/>
    <s v="MME"/>
    <s v="ADM"/>
    <n v="50037902"/>
    <x v="14"/>
    <n v="1"/>
    <s v="REALIZADO"/>
    <s v="MARCIA"/>
    <d v="2025-08-25T00:00:00"/>
    <x v="0"/>
  </r>
  <r>
    <n v="74611"/>
    <s v="CRISTIAM BORGES"/>
    <s v="MPR"/>
    <s v="ADM"/>
    <n v="50038841"/>
    <x v="34"/>
    <n v="1"/>
    <s v="REALIZADO"/>
    <s v="KELLY"/>
    <d v="2025-08-25T00:00:00"/>
    <x v="2"/>
  </r>
  <r>
    <n v="74611"/>
    <s v="CRISTIAM BORGES"/>
    <s v="MPR"/>
    <s v="ADM"/>
    <n v="50038841"/>
    <x v="34"/>
    <n v="1"/>
    <s v="REALIZADO"/>
    <s v="MARCIA"/>
    <d v="2025-08-25T00:00:00"/>
    <x v="0"/>
  </r>
  <r>
    <n v="74611"/>
    <s v="CRISTIAM BORGES"/>
    <s v="MPR"/>
    <s v="ADM"/>
    <n v="50001995"/>
    <x v="44"/>
    <n v="1"/>
    <s v="REALIZADO"/>
    <s v="KELLY"/>
    <d v="2025-08-25T00:00:00"/>
    <x v="2"/>
  </r>
  <r>
    <n v="74611"/>
    <s v="CRISTIAM BORGES"/>
    <s v="MPR"/>
    <s v="ADM"/>
    <n v="50001995"/>
    <x v="44"/>
    <n v="1"/>
    <s v="REALIZADO"/>
    <s v="MARCIA"/>
    <d v="2025-08-25T00:00:00"/>
    <x v="0"/>
  </r>
  <r>
    <n v="62640"/>
    <s v="MARCELINHO"/>
    <s v="MPR"/>
    <s v="ADM"/>
    <n v="50026357"/>
    <x v="24"/>
    <n v="1"/>
    <s v="REALIZADO"/>
    <s v="AGATHA"/>
    <d v="2025-08-25T00:00:00"/>
    <x v="2"/>
  </r>
  <r>
    <n v="62640"/>
    <s v="MARCELINHO"/>
    <s v="MPR"/>
    <s v="ADM"/>
    <n v="50026357"/>
    <x v="24"/>
    <n v="1"/>
    <s v="NÃO REALIZADO"/>
    <s v="MARCIA"/>
    <d v="2025-08-25T00:00:00"/>
    <x v="2"/>
  </r>
  <r>
    <n v="70147"/>
    <s v="WESLEY GREGUI"/>
    <s v="MEE"/>
    <s v="2º TURNO"/>
    <n v="50041195"/>
    <x v="21"/>
    <n v="1"/>
    <s v="REALIZADO"/>
    <s v="KELLY"/>
    <d v="2025-08-25T00:00:00"/>
    <x v="0"/>
  </r>
  <r>
    <n v="76995"/>
    <s v="WELISSON RICARDO"/>
    <s v="MEE"/>
    <s v="ADM"/>
    <n v="50041195"/>
    <x v="21"/>
    <n v="1"/>
    <s v="REALIZADO"/>
    <s v="KELLY"/>
    <d v="2025-08-25T00:00:00"/>
    <x v="0"/>
  </r>
  <r>
    <n v="70147"/>
    <s v="WESLEY GREGUI"/>
    <s v="MEE"/>
    <s v="2º TURNO"/>
    <n v="50041195"/>
    <x v="21"/>
    <n v="1"/>
    <s v="REALIZADO"/>
    <s v="KELLY"/>
    <d v="2025-08-25T00:00:00"/>
    <x v="0"/>
  </r>
  <r>
    <n v="64074"/>
    <s v="MARCOS FERNANDES COLOMBO"/>
    <s v="MPR"/>
    <s v="ADM"/>
    <n v="50043917"/>
    <x v="66"/>
    <n v="1"/>
    <s v="REALIZADO"/>
    <s v="AGATHA"/>
    <d v="2025-08-25T00:00:00"/>
    <x v="2"/>
  </r>
  <r>
    <n v="64074"/>
    <s v="MARCOS FERNANDES COLOMBO"/>
    <s v="MPR"/>
    <s v="ADM"/>
    <n v="50043917"/>
    <x v="66"/>
    <n v="1"/>
    <s v="REALIZADO"/>
    <s v="MARCIA"/>
    <d v="2025-08-25T00:00:00"/>
    <x v="0"/>
  </r>
  <r>
    <n v="65084"/>
    <s v="TIAGO DE BRITO"/>
    <s v="MMG"/>
    <s v="3º TURNO"/>
    <n v="50037933"/>
    <x v="43"/>
    <n v="1"/>
    <s v="REALIZADO"/>
    <m/>
    <d v="2025-08-25T00:00:00"/>
    <x v="0"/>
  </r>
  <r>
    <n v="65084"/>
    <s v="TIAGO DE BRITO"/>
    <s v="MMG"/>
    <s v="3º TURNO"/>
    <n v="50037933"/>
    <x v="43"/>
    <n v="1"/>
    <s v="REALIZADO"/>
    <m/>
    <d v="2025-08-25T00:00:00"/>
    <x v="0"/>
  </r>
  <r>
    <n v="65474"/>
    <s v="MARCIO DOS SANTOS"/>
    <s v="MMG"/>
    <s v="1º TURNO"/>
    <n v="50043917"/>
    <x v="66"/>
    <n v="1"/>
    <s v="REALIZADO"/>
    <s v="ALESSANDRO"/>
    <d v="2025-08-24T00:00:00"/>
    <x v="0"/>
  </r>
  <r>
    <n v="76633"/>
    <s v="VINICIUS GUILHERME BARBOSA"/>
    <s v="MMG"/>
    <s v="1º TURNO"/>
    <n v="50038956"/>
    <x v="10"/>
    <n v="1"/>
    <s v="REALIZADO"/>
    <s v="KELLY"/>
    <d v="2025-08-23T00:00:00"/>
    <x v="2"/>
  </r>
  <r>
    <n v="76633"/>
    <s v="VINICIUS GUILHERME BARBOSA"/>
    <s v="MMG"/>
    <s v="1º TURNO"/>
    <n v="50038956"/>
    <x v="10"/>
    <n v="1"/>
    <s v="REALIZADO"/>
    <s v="KELLY"/>
    <d v="2025-08-23T00:00:00"/>
    <x v="0"/>
  </r>
  <r>
    <n v="63684"/>
    <s v="LUAN ALMEIDA"/>
    <s v="MME"/>
    <s v="1º TURNO"/>
    <n v="50038841"/>
    <x v="34"/>
    <n v="1"/>
    <s v="REALIZADO"/>
    <s v="KELLY"/>
    <d v="2025-08-23T00:00:00"/>
    <x v="2"/>
  </r>
  <r>
    <n v="63684"/>
    <s v="LUAN ALMEIDA"/>
    <s v="MME"/>
    <s v="1º TURNO"/>
    <n v="50038841"/>
    <x v="34"/>
    <n v="1"/>
    <s v="REALIZADO"/>
    <s v="KELLY"/>
    <d v="2025-08-23T00:00:00"/>
    <x v="0"/>
  </r>
  <r>
    <n v="63684"/>
    <s v="LUAN ALMEIDA"/>
    <s v="MME"/>
    <s v="1º TURNO"/>
    <n v="50039065"/>
    <x v="22"/>
    <n v="1"/>
    <s v="REALIZADO"/>
    <s v="KELLY"/>
    <d v="2025-08-23T00:00:00"/>
    <x v="2"/>
  </r>
  <r>
    <n v="63684"/>
    <s v="LUAN ALMEIDA"/>
    <s v="MME"/>
    <s v="1º TURNO"/>
    <n v="50039065"/>
    <x v="22"/>
    <n v="1"/>
    <s v="REALIZADO"/>
    <s v="KELLY"/>
    <d v="2025-08-23T00:00:00"/>
    <x v="0"/>
  </r>
  <r>
    <n v="78675"/>
    <s v="ORLANDO GOMES"/>
    <s v="MME"/>
    <s v="1º TURNO"/>
    <n v="50010031"/>
    <x v="20"/>
    <n v="1"/>
    <s v="REALIZADO"/>
    <s v="AGATHA"/>
    <d v="2025-08-22T00:00:00"/>
    <x v="2"/>
  </r>
  <r>
    <n v="78675"/>
    <s v="ORLANDO GOMES"/>
    <s v="MME"/>
    <s v="1º TURNO"/>
    <n v="50010031"/>
    <x v="20"/>
    <n v="1"/>
    <s v="REALIZADO"/>
    <s v="BRUNA"/>
    <d v="2025-08-22T00:00:00"/>
    <x v="0"/>
  </r>
  <r>
    <n v="77708"/>
    <s v="FABIO JUSTINO"/>
    <s v="MPR"/>
    <s v="ADM"/>
    <n v="50002644"/>
    <x v="83"/>
    <n v="1"/>
    <s v="REALIZADO"/>
    <s v="BRUNO"/>
    <d v="2025-08-22T00:00:00"/>
    <x v="0"/>
  </r>
  <r>
    <n v="65910"/>
    <s v="GABRIEL CAIXETA"/>
    <s v="MEE"/>
    <n v="0"/>
    <n v="50002644"/>
    <x v="83"/>
    <n v="1"/>
    <s v="REALIZADO"/>
    <s v="BRUNO"/>
    <d v="2025-08-22T00:00:00"/>
    <x v="2"/>
  </r>
  <r>
    <n v="77708"/>
    <s v="FABIO JUSTINO"/>
    <s v="MPR"/>
    <s v="ADM"/>
    <n v="50002644"/>
    <x v="83"/>
    <n v="1"/>
    <s v="REALIZADO"/>
    <s v="BRUNO"/>
    <d v="2025-08-22T00:00:00"/>
    <x v="2"/>
  </r>
  <r>
    <n v="65910"/>
    <s v="GABRIEL CAIXETA"/>
    <s v="MEE"/>
    <n v="0"/>
    <n v="50002644"/>
    <x v="83"/>
    <n v="1"/>
    <s v="REALIZADO"/>
    <s v="BRUNA"/>
    <d v="2025-08-22T00:00:00"/>
    <x v="0"/>
  </r>
  <r>
    <n v="70052"/>
    <s v="MARCOS SANTOS"/>
    <s v="MEE"/>
    <s v="ADM"/>
    <n v="50038854"/>
    <x v="27"/>
    <n v="1"/>
    <s v="REALIZADO"/>
    <s v="AGATHA"/>
    <d v="2025-08-22T00:00:00"/>
    <x v="2"/>
  </r>
  <r>
    <n v="70052"/>
    <s v="MARCOS SANTOS"/>
    <s v="MEE"/>
    <s v="ADM"/>
    <n v="50038854"/>
    <x v="27"/>
    <n v="1"/>
    <s v="REALIZADO"/>
    <s v="GEOVANE"/>
    <d v="2025-08-22T00:00:00"/>
    <x v="0"/>
  </r>
  <r>
    <n v="96464"/>
    <s v="KEVIN INAMOTO"/>
    <s v="MEE"/>
    <s v="1º TURNO"/>
    <n v="50036298"/>
    <x v="69"/>
    <n v="1"/>
    <s v="REALIZADO"/>
    <s v="BRUNO"/>
    <d v="2025-08-22T00:00:00"/>
    <x v="2"/>
  </r>
  <r>
    <n v="96464"/>
    <s v="KEVIN INAMOTO"/>
    <s v="MEE"/>
    <s v="1º TURNO"/>
    <n v="50036298"/>
    <x v="69"/>
    <n v="1"/>
    <s v="REALIZADO"/>
    <s v="BRUNO"/>
    <d v="2025-08-22T00:00:00"/>
    <x v="0"/>
  </r>
  <r>
    <n v="61264"/>
    <s v="EVERTON GERONIMO"/>
    <s v="MMG"/>
    <s v="ADM"/>
    <n v="50037960"/>
    <x v="37"/>
    <n v="1"/>
    <s v="REALIZADO"/>
    <s v="KELLY"/>
    <d v="2025-08-22T00:00:00"/>
    <x v="0"/>
  </r>
  <r>
    <n v="61264"/>
    <s v="EVERTON GERONIMO"/>
    <s v="MMG"/>
    <s v="ADM"/>
    <n v="50037961"/>
    <x v="36"/>
    <n v="1"/>
    <s v="REALIZADO"/>
    <s v="KELLY"/>
    <d v="2025-08-22T00:00:00"/>
    <x v="0"/>
  </r>
  <r>
    <n v="63684"/>
    <s v="LUAN ALMEIDA"/>
    <s v="MME"/>
    <s v="1º TURNO"/>
    <n v="50039236"/>
    <x v="84"/>
    <n v="1"/>
    <s v="REALIZADO"/>
    <s v="AGATHA"/>
    <d v="2025-08-22T00:00:00"/>
    <x v="2"/>
  </r>
  <r>
    <n v="63684"/>
    <s v="LUAN ALMEIDA"/>
    <s v="MME"/>
    <s v="1º TURNO"/>
    <n v="50039236"/>
    <x v="84"/>
    <n v="1"/>
    <s v="REALIZADO"/>
    <s v="BRUNO"/>
    <d v="2025-08-22T00:00:00"/>
    <x v="0"/>
  </r>
  <r>
    <n v="77594"/>
    <s v="VINICIUS ROBLES"/>
    <s v="MME"/>
    <s v="ADM"/>
    <n v="50043471"/>
    <x v="5"/>
    <n v="1"/>
    <s v="REALIZADO"/>
    <s v="BRUNO"/>
    <d v="2025-08-22T00:00:00"/>
    <x v="2"/>
  </r>
  <r>
    <n v="77594"/>
    <s v="VINICIUS ROBLES"/>
    <s v="MME"/>
    <s v="ADM"/>
    <n v="50043471"/>
    <x v="5"/>
    <n v="1"/>
    <s v="REALIZADO"/>
    <s v="BRUNA"/>
    <d v="2025-08-22T00:00:00"/>
    <x v="0"/>
  </r>
  <r>
    <n v="76994"/>
    <s v="FELIPE HENRIQUE DE BRITO"/>
    <s v="MEE"/>
    <s v="ADM"/>
    <n v="50003296"/>
    <x v="105"/>
    <n v="1"/>
    <s v="REALIZADO"/>
    <s v="BRUNO"/>
    <d v="2025-08-22T00:00:00"/>
    <x v="2"/>
  </r>
  <r>
    <n v="76994"/>
    <s v="FELIPE HENRIQUE DE BRITO"/>
    <s v="MEE"/>
    <s v="ADM"/>
    <n v="50003296"/>
    <x v="105"/>
    <n v="1"/>
    <s v="REALIZADO"/>
    <s v="BRUNO"/>
    <d v="2025-08-22T00:00:00"/>
    <x v="0"/>
  </r>
  <r>
    <n v="65472"/>
    <s v="ISRAEL MACEDO"/>
    <s v="MMG"/>
    <s v="ADM"/>
    <n v="50038956"/>
    <x v="10"/>
    <n v="1"/>
    <s v="REALIZADO"/>
    <s v="AGATHA"/>
    <d v="2025-08-22T00:00:00"/>
    <x v="2"/>
  </r>
  <r>
    <n v="65472"/>
    <s v="ISRAEL MACEDO"/>
    <s v="MMG"/>
    <s v="ADM"/>
    <n v="50038956"/>
    <x v="10"/>
    <n v="1"/>
    <s v="REALIZADO"/>
    <s v="BRUNA"/>
    <d v="2025-08-22T00:00:00"/>
    <x v="0"/>
  </r>
  <r>
    <n v="77594"/>
    <s v="VINICIUS ROBLES"/>
    <s v="MME"/>
    <s v="ADM"/>
    <n v="50037892"/>
    <x v="2"/>
    <n v="1"/>
    <s v="REALIZADO"/>
    <s v="BRUNO"/>
    <d v="2025-08-22T00:00:00"/>
    <x v="2"/>
  </r>
  <r>
    <n v="77594"/>
    <s v="VINICIUS ROBLES"/>
    <s v="MME"/>
    <s v="ADM"/>
    <n v="50037892"/>
    <x v="2"/>
    <n v="1"/>
    <s v="REALIZADO"/>
    <s v="BRUNO"/>
    <d v="2025-08-22T00:00:00"/>
    <x v="0"/>
  </r>
  <r>
    <n v="65084"/>
    <s v="TIAGO DE BRITO"/>
    <s v="MMG"/>
    <s v="3º TURNO"/>
    <n v="50037902"/>
    <x v="14"/>
    <n v="1"/>
    <s v="REALIZADO"/>
    <s v="MARCIA"/>
    <d v="2025-08-22T00:00:00"/>
    <x v="2"/>
  </r>
  <r>
    <n v="65084"/>
    <s v="TIAGO DE BRITO"/>
    <s v="MMG"/>
    <s v="3º TURNO"/>
    <n v="50037902"/>
    <x v="14"/>
    <n v="1"/>
    <s v="NÃO REALIZADO"/>
    <s v="MARCIA"/>
    <d v="2025-08-22T00:00:00"/>
    <x v="0"/>
  </r>
  <r>
    <n v="77526"/>
    <s v="FELIPE GARÇONI"/>
    <s v="MME"/>
    <s v="ADM"/>
    <n v="50038841"/>
    <x v="34"/>
    <n v="1"/>
    <s v="REALIZADO"/>
    <s v="KELLY"/>
    <d v="2025-08-22T00:00:00"/>
    <x v="2"/>
  </r>
  <r>
    <n v="77526"/>
    <s v="FELIPE GARÇONI"/>
    <s v="MME"/>
    <s v="ADM"/>
    <n v="50038841"/>
    <x v="34"/>
    <n v="1"/>
    <s v="REALIZADO"/>
    <s v="AGATHA"/>
    <d v="2025-08-22T00:00:00"/>
    <x v="0"/>
  </r>
  <r>
    <n v="62137"/>
    <s v="RAFAEL AMORIM"/>
    <s v="MME"/>
    <s v="1º TURNO"/>
    <n v="50038841"/>
    <x v="34"/>
    <n v="1"/>
    <s v="REALIZADO"/>
    <s v="AGATHA"/>
    <d v="2025-08-22T00:00:00"/>
    <x v="2"/>
  </r>
  <r>
    <n v="62137"/>
    <s v="RAFAEL AMORIM"/>
    <s v="MME"/>
    <s v="1º TURNO"/>
    <n v="50038841"/>
    <x v="34"/>
    <n v="1"/>
    <s v="REALIZADO"/>
    <s v="AGATHA"/>
    <d v="2025-08-22T00:00:00"/>
    <x v="0"/>
  </r>
  <r>
    <n v="62640"/>
    <s v="MARCELINHO"/>
    <s v="MPR"/>
    <s v="ADM"/>
    <n v="50038841"/>
    <x v="34"/>
    <n v="1"/>
    <s v="REALIZADO"/>
    <s v="BRUNO"/>
    <d v="2025-08-22T00:00:00"/>
    <x v="2"/>
  </r>
  <r>
    <n v="62640"/>
    <s v="MARCELINHO"/>
    <s v="MPR"/>
    <s v="ADM"/>
    <n v="50038841"/>
    <x v="34"/>
    <n v="1"/>
    <s v="REALIZADO"/>
    <s v="BRUNO"/>
    <d v="2025-08-22T00:00:00"/>
    <x v="0"/>
  </r>
  <r>
    <n v="77594"/>
    <s v="VINICIUS ROBLES"/>
    <s v="MME"/>
    <s v="ADM"/>
    <n v="50038517"/>
    <x v="0"/>
    <n v="1"/>
    <s v="REALIZADO"/>
    <s v="BRUNO"/>
    <d v="2025-08-22T00:00:00"/>
    <x v="2"/>
  </r>
  <r>
    <n v="77594"/>
    <s v="VINICIUS ROBLES"/>
    <s v="MME"/>
    <s v="ADM"/>
    <n v="50038517"/>
    <x v="0"/>
    <n v="1"/>
    <s v="REALIZADO"/>
    <s v="BRUNA"/>
    <d v="2025-08-22T00:00:00"/>
    <x v="0"/>
  </r>
  <r>
    <n v="65472"/>
    <s v="ISRAEL MACEDO"/>
    <s v="MMG"/>
    <s v="ADM"/>
    <n v="50001995"/>
    <x v="44"/>
    <n v="1"/>
    <s v="REALIZADO"/>
    <s v="AGATHA"/>
    <d v="2025-08-22T00:00:00"/>
    <x v="2"/>
  </r>
  <r>
    <n v="65472"/>
    <s v="ISRAEL MACEDO"/>
    <s v="MMG"/>
    <s v="ADM"/>
    <n v="50001995"/>
    <x v="44"/>
    <n v="1"/>
    <s v="REALIZADO"/>
    <s v="BRUNO"/>
    <d v="2025-08-22T00:00:00"/>
    <x v="0"/>
  </r>
  <r>
    <n v="65472"/>
    <s v="ISRAEL MACEDO"/>
    <s v="MMG"/>
    <s v="ADM"/>
    <n v="50001995"/>
    <x v="44"/>
    <n v="1"/>
    <s v="REALIZADO"/>
    <s v="BRUNO"/>
    <d v="2025-08-22T00:00:00"/>
    <x v="2"/>
  </r>
  <r>
    <n v="65472"/>
    <s v="ISRAEL MACEDO"/>
    <s v="MMG"/>
    <s v="ADM"/>
    <n v="50001995"/>
    <x v="44"/>
    <n v="1"/>
    <s v="REALIZADO"/>
    <s v="BRUNA"/>
    <d v="2025-08-22T00:00:00"/>
    <x v="0"/>
  </r>
  <r>
    <n v="65472"/>
    <s v="ISRAEL MACEDO"/>
    <s v="MMG"/>
    <s v="ADM"/>
    <n v="50039065"/>
    <x v="22"/>
    <n v="1"/>
    <s v="REALIZADO"/>
    <s v="BRUNO"/>
    <d v="2025-08-22T00:00:00"/>
    <x v="2"/>
  </r>
  <r>
    <n v="65472"/>
    <s v="ISRAEL MACEDO"/>
    <s v="MMG"/>
    <s v="ADM"/>
    <n v="50039065"/>
    <x v="22"/>
    <n v="1"/>
    <s v="REALIZADO"/>
    <s v="BRUNO"/>
    <d v="2025-08-22T00:00:00"/>
    <x v="0"/>
  </r>
  <r>
    <n v="62640"/>
    <s v="MARCELINHO"/>
    <s v="MPR"/>
    <s v="ADM"/>
    <n v="50026357"/>
    <x v="24"/>
    <n v="1"/>
    <s v="REALIZADO"/>
    <s v="BRUNO"/>
    <d v="2025-08-22T00:00:00"/>
    <x v="2"/>
  </r>
  <r>
    <n v="62640"/>
    <s v="MARCELINHO"/>
    <s v="MPR"/>
    <s v="ADM"/>
    <n v="50026357"/>
    <x v="24"/>
    <n v="1"/>
    <s v="REALIZADO"/>
    <s v="BRUNO"/>
    <d v="2025-08-22T00:00:00"/>
    <x v="0"/>
  </r>
  <r>
    <n v="77708"/>
    <s v="FABIO JUSTINO"/>
    <s v="MPR"/>
    <s v="ADM"/>
    <n v="50038662"/>
    <x v="59"/>
    <n v="1"/>
    <s v="REALIZADO"/>
    <s v="BRUNO"/>
    <d v="2025-08-22T00:00:00"/>
    <x v="2"/>
  </r>
  <r>
    <n v="77708"/>
    <s v="FABIO JUSTINO"/>
    <s v="MPR"/>
    <s v="ADM"/>
    <n v="50038662"/>
    <x v="59"/>
    <n v="1"/>
    <s v="REALIZADO"/>
    <s v="BRUNO"/>
    <d v="2025-08-22T00:00:00"/>
    <x v="2"/>
  </r>
  <r>
    <n v="76995"/>
    <s v="WELISSON RICARDO"/>
    <s v="MEE"/>
    <s v="ADM"/>
    <n v="50041195"/>
    <x v="21"/>
    <n v="1"/>
    <s v="REALIZADO"/>
    <s v="KELLY"/>
    <d v="2025-08-22T00:00:00"/>
    <x v="0"/>
  </r>
  <r>
    <n v="68760"/>
    <s v="FERDINANDO PAZINI"/>
    <s v="MMG"/>
    <s v="ADM"/>
    <n v="50041195"/>
    <x v="21"/>
    <n v="1"/>
    <s v="REALIZADO"/>
    <s v="BRUNO"/>
    <d v="2025-08-22T00:00:00"/>
    <x v="2"/>
  </r>
  <r>
    <n v="68760"/>
    <s v="FERDINANDO PAZINI"/>
    <s v="MMG"/>
    <s v="ADM"/>
    <n v="50041195"/>
    <x v="21"/>
    <n v="1"/>
    <s v="REALIZADO"/>
    <s v="BRUNA"/>
    <d v="2025-08-22T00:00:00"/>
    <x v="0"/>
  </r>
  <r>
    <n v="72707"/>
    <s v="LEONARDO DOS SANTOS"/>
    <s v="MPR"/>
    <s v="ADM"/>
    <n v="50043917"/>
    <x v="66"/>
    <n v="1"/>
    <s v="REALIZADO"/>
    <s v="KELLY"/>
    <d v="2025-08-22T00:00:00"/>
    <x v="2"/>
  </r>
  <r>
    <n v="72707"/>
    <s v="LEONARDO DOS SANTOS"/>
    <s v="MPR"/>
    <s v="ADM"/>
    <n v="50043917"/>
    <x v="66"/>
    <n v="1"/>
    <s v="REALIZADO"/>
    <s v="BRUNO"/>
    <d v="2025-08-22T00:00:00"/>
    <x v="0"/>
  </r>
  <r>
    <n v="68708"/>
    <s v="CLAUDIO TADEU LEITE"/>
    <s v="MMG"/>
    <s v="ADM"/>
    <n v="50032775"/>
    <x v="13"/>
    <n v="1"/>
    <s v="REALIZADO"/>
    <s v="KELLY"/>
    <d v="2025-08-22T00:00:00"/>
    <x v="2"/>
  </r>
  <r>
    <n v="68708"/>
    <s v="CLAUDIO TADEU LEITE"/>
    <s v="MMG"/>
    <s v="ADM"/>
    <n v="50032775"/>
    <x v="13"/>
    <n v="1"/>
    <s v="REALIZADO"/>
    <s v="BRUNA"/>
    <d v="2025-08-22T00:00:00"/>
    <x v="0"/>
  </r>
  <r>
    <n v="76994"/>
    <s v="FELIPE HENRIQUE DE BRITO"/>
    <s v="MEE"/>
    <s v="ADM"/>
    <n v="50010031"/>
    <x v="20"/>
    <n v="1"/>
    <s v="REALIZADO"/>
    <s v="GEOVANE"/>
    <d v="2025-08-21T00:00:00"/>
    <x v="2"/>
  </r>
  <r>
    <n v="76994"/>
    <s v="FELIPE HENRIQUE DE BRITO"/>
    <s v="MEE"/>
    <s v="ADM"/>
    <n v="50010031"/>
    <x v="20"/>
    <n v="1"/>
    <s v="REALIZADO"/>
    <s v="BRUNO"/>
    <d v="2025-08-21T00:00:00"/>
    <x v="0"/>
  </r>
  <r>
    <n v="78675"/>
    <s v="ORLANDO GOMES"/>
    <s v="MME"/>
    <s v="1º TURNO"/>
    <n v="50036086"/>
    <x v="3"/>
    <n v="1"/>
    <s v="REALIZADO"/>
    <s v="BRUNA"/>
    <d v="2025-08-21T00:00:00"/>
    <x v="2"/>
  </r>
  <r>
    <n v="78675"/>
    <s v="ORLANDO GOMES"/>
    <s v="MME"/>
    <s v="1º TURNO"/>
    <n v="50036086"/>
    <x v="3"/>
    <n v="1"/>
    <s v="REALIZADO"/>
    <s v="BRUNO"/>
    <d v="2025-08-21T00:00:00"/>
    <x v="0"/>
  </r>
  <r>
    <n v="77313"/>
    <s v="ROGERIO"/>
    <s v="MPR"/>
    <s v="ADM"/>
    <n v="50030486"/>
    <x v="17"/>
    <n v="1"/>
    <s v="REALIZADO"/>
    <s v="BRUNA"/>
    <d v="2025-08-21T00:00:00"/>
    <x v="2"/>
  </r>
  <r>
    <n v="77313"/>
    <s v="ROGERIO"/>
    <s v="MPR"/>
    <s v="ADM"/>
    <n v="50030486"/>
    <x v="17"/>
    <n v="1"/>
    <s v="REALIZADO"/>
    <s v="BRUNO"/>
    <d v="2025-08-21T00:00:00"/>
    <x v="0"/>
  </r>
  <r>
    <n v="65472"/>
    <s v="ISRAEL MACEDO"/>
    <s v="MMG"/>
    <s v="ADM"/>
    <n v="50038549"/>
    <x v="6"/>
    <n v="1"/>
    <s v="REALIZADO"/>
    <s v="GEOVANE"/>
    <d v="2025-08-21T00:00:00"/>
    <x v="2"/>
  </r>
  <r>
    <n v="65472"/>
    <s v="ISRAEL MACEDO"/>
    <s v="MMG"/>
    <s v="ADM"/>
    <n v="50038549"/>
    <x v="6"/>
    <n v="1"/>
    <s v="REALIZADO"/>
    <s v="GEOVANE"/>
    <d v="2025-08-21T00:00:00"/>
    <x v="0"/>
  </r>
  <r>
    <n v="77594"/>
    <s v="VINICIUS ROBLES"/>
    <s v="MME"/>
    <s v="ADM"/>
    <n v="50038956"/>
    <x v="10"/>
    <n v="1"/>
    <s v="REALIZADO"/>
    <s v="GEOVANE"/>
    <d v="2025-08-21T00:00:00"/>
    <x v="2"/>
  </r>
  <r>
    <n v="77594"/>
    <s v="VINICIUS ROBLES"/>
    <s v="MME"/>
    <s v="ADM"/>
    <n v="50038956"/>
    <x v="10"/>
    <n v="1"/>
    <s v="REALIZADO"/>
    <s v="BRUNO"/>
    <d v="2025-08-21T00:00:00"/>
    <x v="0"/>
  </r>
  <r>
    <n v="78675"/>
    <s v="ORLANDO GOMES"/>
    <s v="MME"/>
    <s v="1º TURNO"/>
    <n v="50036297"/>
    <x v="100"/>
    <n v="1"/>
    <s v="REALIZADO"/>
    <s v="BRUNO"/>
    <d v="2025-08-21T00:00:00"/>
    <x v="2"/>
  </r>
  <r>
    <n v="78675"/>
    <s v="ORLANDO GOMES"/>
    <s v="MME"/>
    <s v="1º TURNO"/>
    <n v="50036297"/>
    <x v="100"/>
    <n v="1"/>
    <s v="REALIZADO"/>
    <s v="BRUNO"/>
    <d v="2025-08-21T00:00:00"/>
    <x v="2"/>
  </r>
  <r>
    <n v="65482"/>
    <s v="RAFAEL BALBINO PEREIRA"/>
    <s v="MMG"/>
    <n v="0"/>
    <n v="50038626"/>
    <x v="72"/>
    <n v="1"/>
    <s v="REALIZADO"/>
    <s v="GEOVANE"/>
    <d v="2025-08-21T00:00:00"/>
    <x v="0"/>
  </r>
  <r>
    <n v="74874"/>
    <s v="FABIANO MARQUES"/>
    <s v="MMG"/>
    <s v="ADM"/>
    <n v="50043917"/>
    <x v="66"/>
    <n v="1"/>
    <s v="REALIZADO"/>
    <s v="BRUNO"/>
    <d v="2025-08-21T00:00:00"/>
    <x v="2"/>
  </r>
  <r>
    <n v="74874"/>
    <s v="FABIANO MARQUES"/>
    <s v="MMG"/>
    <s v="ADM"/>
    <n v="50043917"/>
    <x v="66"/>
    <n v="1"/>
    <s v="REALIZADO"/>
    <s v="BRUNO"/>
    <d v="2025-08-21T00:00:00"/>
    <x v="0"/>
  </r>
  <r>
    <n v="65844"/>
    <s v="ALTEMAR FEITOSA"/>
    <s v="MMG"/>
    <s v="1º TURNO"/>
    <n v="50020622"/>
    <x v="42"/>
    <n v="1"/>
    <s v="REALIZADO"/>
    <s v="BRUNO"/>
    <d v="2025-08-21T00:00:00"/>
    <x v="2"/>
  </r>
  <r>
    <n v="65844"/>
    <s v="ALTEMAR FEITOSA"/>
    <s v="MMG"/>
    <s v="1º TURNO"/>
    <n v="50020622"/>
    <x v="42"/>
    <n v="1"/>
    <s v="REALIZADO"/>
    <s v="BRUNO"/>
    <d v="2025-08-21T00:00:00"/>
    <x v="0"/>
  </r>
  <r>
    <n v="77313"/>
    <s v="ROGERIO"/>
    <s v="MPR"/>
    <s v="ADM"/>
    <n v="50032781"/>
    <x v="12"/>
    <n v="1"/>
    <s v="REALIZADO"/>
    <s v="BRUNO"/>
    <d v="2025-08-21T00:00:00"/>
    <x v="2"/>
  </r>
  <r>
    <n v="62640"/>
    <s v="MARCELINHO"/>
    <s v="MPR"/>
    <s v="ADM"/>
    <n v="50032781"/>
    <x v="12"/>
    <n v="1"/>
    <s v="REALIZADO"/>
    <s v="BRUNO"/>
    <d v="2025-08-21T00:00:00"/>
    <x v="0"/>
  </r>
  <r>
    <n v="63713"/>
    <s v="BRUNO DIAS"/>
    <s v="MME"/>
    <s v="ADM"/>
    <n v="50010031"/>
    <x v="20"/>
    <n v="1"/>
    <s v="REALIZADO"/>
    <s v="AGATHA"/>
    <d v="2025-08-20T00:00:00"/>
    <x v="2"/>
  </r>
  <r>
    <n v="63713"/>
    <s v="BRUNO DIAS"/>
    <s v="MME"/>
    <s v="ADM"/>
    <n v="50010031"/>
    <x v="20"/>
    <n v="1"/>
    <s v="REALIZADO"/>
    <s v="BRUNO"/>
    <d v="2025-08-20T00:00:00"/>
    <x v="2"/>
  </r>
  <r>
    <n v="77471"/>
    <s v="DANILO BARBOSA"/>
    <s v="MEE"/>
    <s v="ADM"/>
    <n v="50036298"/>
    <x v="69"/>
    <n v="1"/>
    <s v="REALIZADO"/>
    <s v="MARCIA"/>
    <d v="2025-08-20T00:00:00"/>
    <x v="0"/>
  </r>
  <r>
    <n v="71850"/>
    <s v="CLEBER BRABO"/>
    <s v="MMG"/>
    <s v="ADM"/>
    <n v="50037905"/>
    <x v="49"/>
    <n v="1"/>
    <s v="REALIZADO"/>
    <s v="AGATHA"/>
    <d v="2025-08-20T00:00:00"/>
    <x v="2"/>
  </r>
  <r>
    <n v="71850"/>
    <s v="CLEBER BRABO"/>
    <s v="MMG"/>
    <s v="ADM"/>
    <n v="50037905"/>
    <x v="49"/>
    <n v="1"/>
    <s v="REALIZADO"/>
    <s v="AGATHA"/>
    <d v="2025-08-20T00:00:00"/>
    <x v="0"/>
  </r>
  <r>
    <n v="63713"/>
    <s v="BRUNO DIAS"/>
    <s v="MME"/>
    <s v="ADM"/>
    <n v="50039236"/>
    <x v="84"/>
    <n v="1"/>
    <s v="REALIZADO"/>
    <s v="AGATHA"/>
    <d v="2025-08-20T00:00:00"/>
    <x v="2"/>
  </r>
  <r>
    <n v="63713"/>
    <s v="BRUNO DIAS"/>
    <s v="MME"/>
    <s v="ADM"/>
    <n v="50039236"/>
    <x v="84"/>
    <n v="1"/>
    <s v="REALIZADO"/>
    <s v="BRUNO"/>
    <d v="2025-08-20T00:00:00"/>
    <x v="0"/>
  </r>
  <r>
    <n v="65472"/>
    <s v="ISRAEL MACEDO"/>
    <s v="MMG"/>
    <s v="ADM"/>
    <n v="50043471"/>
    <x v="5"/>
    <n v="1"/>
    <s v="REALIZADO"/>
    <s v="AGATHA"/>
    <d v="2025-08-20T00:00:00"/>
    <x v="2"/>
  </r>
  <r>
    <n v="65472"/>
    <s v="ISRAEL MACEDO"/>
    <s v="MMG"/>
    <s v="ADM"/>
    <n v="50043471"/>
    <x v="5"/>
    <n v="1"/>
    <s v="REALIZADO"/>
    <s v="BRUNO"/>
    <d v="2025-08-20T00:00:00"/>
    <x v="0"/>
  </r>
  <r>
    <n v="58068"/>
    <s v="REGINALDO PEREIRA"/>
    <s v="MME"/>
    <s v="ADM"/>
    <n v="50003297"/>
    <x v="8"/>
    <n v="1"/>
    <s v="REALIZADO"/>
    <s v="BRUNO"/>
    <d v="2025-08-20T00:00:00"/>
    <x v="0"/>
  </r>
  <r>
    <n v="76995"/>
    <s v="WELISSON RICARDO"/>
    <s v="MEE"/>
    <s v="ADM"/>
    <n v="50029865"/>
    <x v="9"/>
    <n v="1"/>
    <s v="REALIZADO"/>
    <s v="MARCIA"/>
    <d v="2025-08-20T00:00:00"/>
    <x v="2"/>
  </r>
  <r>
    <n v="76995"/>
    <s v="WELISSON RICARDO"/>
    <s v="MEE"/>
    <s v="ADM"/>
    <n v="50029865"/>
    <x v="9"/>
    <n v="1"/>
    <s v="REALIZADO"/>
    <s v="MARCIA"/>
    <d v="2025-08-20T00:00:00"/>
    <x v="0"/>
  </r>
  <r>
    <n v="62640"/>
    <s v="MARCELINHO"/>
    <s v="MPR"/>
    <s v="ADM"/>
    <n v="50029865"/>
    <x v="9"/>
    <n v="1"/>
    <s v="REALIZADO"/>
    <s v="AGATHA"/>
    <d v="2025-08-20T00:00:00"/>
    <x v="2"/>
  </r>
  <r>
    <n v="62640"/>
    <s v="MARCELINHO"/>
    <s v="MPR"/>
    <s v="ADM"/>
    <n v="50029865"/>
    <x v="9"/>
    <n v="1"/>
    <s v="REALIZADO"/>
    <s v="AGATHA"/>
    <d v="2025-08-20T00:00:00"/>
    <x v="0"/>
  </r>
  <r>
    <n v="75395"/>
    <s v="WELISSON RICARDO"/>
    <s v="MEE"/>
    <s v="ADM"/>
    <n v="50043320"/>
    <x v="35"/>
    <n v="1"/>
    <s v="REALIZADO"/>
    <s v="BRUNO"/>
    <d v="2025-08-20T00:00:00"/>
    <x v="2"/>
  </r>
  <r>
    <n v="75395"/>
    <s v="WELISSON RICARDO"/>
    <s v="MEE"/>
    <s v="ADM"/>
    <n v="50043320"/>
    <x v="35"/>
    <n v="1"/>
    <s v="REALIZADO"/>
    <s v="BRUNO"/>
    <d v="2025-08-20T00:00:00"/>
    <x v="0"/>
  </r>
  <r>
    <n v="65472"/>
    <s v="ISRAEL MACEDO"/>
    <s v="MMG"/>
    <s v="ADM"/>
    <n v="50038549"/>
    <x v="6"/>
    <n v="1"/>
    <s v="REALIZADO"/>
    <s v="AGATHA"/>
    <d v="2025-08-20T00:00:00"/>
    <x v="2"/>
  </r>
  <r>
    <n v="65472"/>
    <s v="ISRAEL MACEDO"/>
    <s v="MMG"/>
    <s v="ADM"/>
    <n v="50038549"/>
    <x v="6"/>
    <n v="1"/>
    <s v="REALIZADO"/>
    <s v="BRUNO"/>
    <d v="2025-08-20T00:00:00"/>
    <x v="0"/>
  </r>
  <r>
    <n v="69510"/>
    <s v="GABRIEL CAIXETA DOMICIANO"/>
    <s v="MEE"/>
    <s v="ADM"/>
    <n v="50038956"/>
    <x v="10"/>
    <n v="1"/>
    <s v="REALIZADO"/>
    <s v="AGATHA"/>
    <d v="2025-08-20T00:00:00"/>
    <x v="2"/>
  </r>
  <r>
    <n v="69510"/>
    <s v="GABRIEL CAIXETA DOMICIANO"/>
    <s v="MEE"/>
    <s v="ADM"/>
    <n v="50038956"/>
    <x v="10"/>
    <n v="1"/>
    <s v="REALIZADO"/>
    <s v="BRUNO"/>
    <d v="2025-08-20T00:00:00"/>
    <x v="0"/>
  </r>
  <r>
    <n v="78678"/>
    <s v="MARLOM ROGERIO VIEIRA"/>
    <s v="MME"/>
    <s v="ADM"/>
    <n v="50037892"/>
    <x v="2"/>
    <n v="1"/>
    <s v="REALIZADO"/>
    <s v="AGATHA"/>
    <d v="2025-08-20T00:00:00"/>
    <x v="2"/>
  </r>
  <r>
    <n v="78678"/>
    <s v="MARLOM ROGERIO VIEIRA"/>
    <s v="MME"/>
    <s v="ADM"/>
    <n v="50037892"/>
    <x v="2"/>
    <n v="1"/>
    <s v="REALIZADO"/>
    <s v="AGATHA"/>
    <d v="2025-08-20T00:00:00"/>
    <x v="0"/>
  </r>
  <r>
    <n v="77526"/>
    <s v="FELIPE GARÇONI"/>
    <s v="MME"/>
    <s v="ADM"/>
    <n v="50037892"/>
    <x v="2"/>
    <n v="1"/>
    <s v="REALIZADO"/>
    <s v="AGATHA"/>
    <d v="2025-08-20T00:00:00"/>
    <x v="2"/>
  </r>
  <r>
    <n v="77526"/>
    <s v="FELIPE GARÇONI"/>
    <s v="MME"/>
    <s v="ADM"/>
    <n v="50037892"/>
    <x v="2"/>
    <n v="1"/>
    <s v="REALIZADO"/>
    <s v="AGATHA"/>
    <d v="2025-08-20T00:00:00"/>
    <x v="0"/>
  </r>
  <r>
    <n v="77594"/>
    <s v="VINICIUS ROBLES"/>
    <s v="MME"/>
    <s v="ADM"/>
    <n v="50037892"/>
    <x v="2"/>
    <n v="1"/>
    <s v="REALIZADO"/>
    <s v="AGATHA"/>
    <d v="2025-08-20T00:00:00"/>
    <x v="2"/>
  </r>
  <r>
    <n v="77594"/>
    <s v="VINICIUS ROBLES"/>
    <s v="MME"/>
    <s v="ADM"/>
    <n v="50037892"/>
    <x v="2"/>
    <n v="1"/>
    <s v="REALIZADO"/>
    <s v="BRUNO"/>
    <d v="2025-08-20T00:00:00"/>
    <x v="0"/>
  </r>
  <r>
    <n v="77526"/>
    <s v="FELIPE GARÇONI"/>
    <s v="MME"/>
    <s v="ADM"/>
    <n v="50037902"/>
    <x v="14"/>
    <n v="1"/>
    <s v="REALIZADO"/>
    <s v="BRUNO"/>
    <d v="2025-08-20T00:00:00"/>
    <x v="2"/>
  </r>
  <r>
    <n v="77526"/>
    <s v="FELIPE GARÇONI"/>
    <s v="MME"/>
    <s v="ADM"/>
    <n v="50037902"/>
    <x v="14"/>
    <n v="1"/>
    <s v="REALIZADO"/>
    <s v="BRUNO"/>
    <d v="2025-08-20T00:00:00"/>
    <x v="0"/>
  </r>
  <r>
    <n v="74611"/>
    <s v="CRISTIAM BORGES"/>
    <s v="MPR"/>
    <s v="ADM"/>
    <n v="50038841"/>
    <x v="34"/>
    <n v="1"/>
    <s v="REALIZADO"/>
    <s v="AGATHA"/>
    <d v="2025-08-20T00:00:00"/>
    <x v="2"/>
  </r>
  <r>
    <n v="74611"/>
    <s v="CRISTIAM BORGES"/>
    <s v="MPR"/>
    <s v="ADM"/>
    <n v="50038841"/>
    <x v="34"/>
    <n v="1"/>
    <s v="REALIZADO"/>
    <s v="BRUNO"/>
    <d v="2025-08-20T00:00:00"/>
    <x v="0"/>
  </r>
  <r>
    <n v="68708"/>
    <s v="CLAUDIO TADEU LEITE"/>
    <s v="MMG"/>
    <s v="ADM"/>
    <n v="50038517"/>
    <x v="0"/>
    <n v="1"/>
    <s v="REALIZADO"/>
    <s v="AGATHA"/>
    <d v="2025-08-20T00:00:00"/>
    <x v="2"/>
  </r>
  <r>
    <n v="68708"/>
    <s v="CLAUDIO TADEU LEITE"/>
    <s v="MMG"/>
    <s v="ADM"/>
    <n v="50038517"/>
    <x v="0"/>
    <n v="1"/>
    <s v="REALIZADO"/>
    <s v="AGATHA"/>
    <d v="2025-08-20T00:00:00"/>
    <x v="0"/>
  </r>
  <r>
    <n v="77313"/>
    <s v="ROGERIO"/>
    <s v="MPR"/>
    <s v="ADM"/>
    <n v="50037903"/>
    <x v="91"/>
    <n v="1"/>
    <s v="REALIZADO"/>
    <s v="BRUNO"/>
    <d v="2025-08-20T00:00:00"/>
    <x v="2"/>
  </r>
  <r>
    <n v="77313"/>
    <s v="ROGERIO"/>
    <s v="MPR"/>
    <s v="ADM"/>
    <n v="50037903"/>
    <x v="91"/>
    <n v="1"/>
    <s v="REALIZADO"/>
    <s v="BRUNO"/>
    <d v="2025-08-20T00:00:00"/>
    <x v="0"/>
  </r>
  <r>
    <n v="77313"/>
    <s v="ROGERIO"/>
    <s v="MPR"/>
    <s v="ADM"/>
    <n v="50026357"/>
    <x v="24"/>
    <n v="1"/>
    <s v="REALIZADO"/>
    <s v="AGATHA"/>
    <d v="2025-08-20T00:00:00"/>
    <x v="2"/>
  </r>
  <r>
    <n v="77313"/>
    <s v="ROGERIO"/>
    <s v="MPR"/>
    <s v="ADM"/>
    <n v="50026357"/>
    <x v="24"/>
    <n v="1"/>
    <s v="REALIZADO"/>
    <s v="MATHEUS"/>
    <d v="2025-08-20T00:00:00"/>
    <x v="0"/>
  </r>
  <r>
    <n v="72707"/>
    <s v="LEONARDO DOS SANTOS"/>
    <s v="MPR"/>
    <s v="ADM"/>
    <n v="50041195"/>
    <x v="21"/>
    <n v="1"/>
    <s v="REALIZADO"/>
    <s v="AGATHA"/>
    <d v="2025-08-20T00:00:00"/>
    <x v="2"/>
  </r>
  <r>
    <n v="72707"/>
    <s v="LEONARDO DOS SANTOS"/>
    <s v="MPR"/>
    <s v="ADM"/>
    <n v="50041195"/>
    <x v="21"/>
    <n v="1"/>
    <s v="REALIZADO"/>
    <s v="BRUNO"/>
    <d v="2025-08-20T00:00:00"/>
    <x v="0"/>
  </r>
  <r>
    <n v="62640"/>
    <s v="MARCELINHO"/>
    <s v="MPR"/>
    <s v="ADM"/>
    <n v="50043917"/>
    <x v="66"/>
    <n v="1"/>
    <s v="REALIZADO"/>
    <s v="AGATHA"/>
    <d v="2025-08-20T00:00:00"/>
    <x v="2"/>
  </r>
  <r>
    <n v="62640"/>
    <s v="MARCELINHO"/>
    <s v="MPR"/>
    <s v="ADM"/>
    <n v="50043917"/>
    <x v="66"/>
    <n v="1"/>
    <s v="REALIZADO"/>
    <s v="AGATHA"/>
    <d v="2025-08-20T00:00:00"/>
    <x v="0"/>
  </r>
  <r>
    <n v="77526"/>
    <s v="FELIPE GARÇONI"/>
    <s v="MME"/>
    <s v="ADM"/>
    <n v="50043917"/>
    <x v="66"/>
    <n v="1"/>
    <s v="REALIZADO"/>
    <s v="AGATHA"/>
    <d v="2025-08-20T00:00:00"/>
    <x v="2"/>
  </r>
  <r>
    <n v="77526"/>
    <s v="FELIPE GARÇONI"/>
    <s v="MME"/>
    <s v="ADM"/>
    <n v="50043917"/>
    <x v="66"/>
    <n v="1"/>
    <s v="REALIZADO"/>
    <s v="BRUNO"/>
    <d v="2025-08-20T00:00:00"/>
    <x v="0"/>
  </r>
  <r>
    <n v="74749"/>
    <s v="HUGO RUBIRA"/>
    <s v="MME"/>
    <s v="1º TURNO"/>
    <n v="50012902"/>
    <x v="30"/>
    <n v="1"/>
    <s v="REALIZADO"/>
    <s v="BRUNO"/>
    <d v="2025-08-20T00:00:00"/>
    <x v="2"/>
  </r>
  <r>
    <n v="74749"/>
    <s v="HUGO RUBIRA"/>
    <s v="MME"/>
    <s v="1º TURNO"/>
    <n v="50012902"/>
    <x v="30"/>
    <n v="1"/>
    <s v="REALIZADO"/>
    <s v="BRUNO"/>
    <d v="2025-08-20T00:00:00"/>
    <x v="0"/>
  </r>
  <r>
    <n v="77526"/>
    <s v="FELIPE GARÇONI"/>
    <s v="MME"/>
    <s v="ADM"/>
    <n v="50032781"/>
    <x v="12"/>
    <n v="1"/>
    <s v="REALIZADO"/>
    <s v="AGATHA"/>
    <d v="2025-08-20T00:00:00"/>
    <x v="2"/>
  </r>
  <r>
    <n v="77526"/>
    <s v="FELIPE GARÇONI"/>
    <s v="MME"/>
    <s v="ADM"/>
    <n v="50032781"/>
    <x v="12"/>
    <n v="1"/>
    <s v="REALIZADO"/>
    <s v="BRUNO"/>
    <d v="2025-08-20T00:00:00"/>
    <x v="0"/>
  </r>
  <r>
    <n v="64253"/>
    <s v="DANIEL JULIAO"/>
    <s v="MMG"/>
    <s v="ADM"/>
    <n v="50028220"/>
    <x v="33"/>
    <n v="1"/>
    <s v="REALIZADO"/>
    <s v="AGATHA"/>
    <d v="2025-08-20T00:00:00"/>
    <x v="2"/>
  </r>
  <r>
    <n v="64253"/>
    <s v="DANIEL JULIAO"/>
    <s v="MMG"/>
    <s v="ADM"/>
    <n v="50028220"/>
    <x v="33"/>
    <n v="1"/>
    <s v="REALIZADO"/>
    <s v="AGATHA"/>
    <d v="2025-08-20T00:00:00"/>
    <x v="0"/>
  </r>
  <r>
    <n v="70105"/>
    <s v="RONALDO DE SOUZA SANTOS"/>
    <s v="MMG"/>
    <s v="2º TURNO"/>
    <n v="50043520"/>
    <x v="97"/>
    <n v="1"/>
    <s v="REALIZADO"/>
    <s v="AGATHA"/>
    <d v="2025-08-19T00:00:00"/>
    <x v="2"/>
  </r>
  <r>
    <n v="66790"/>
    <s v="EVERTON BOLOGNES"/>
    <s v="MMG"/>
    <s v="2º TURNO"/>
    <n v="50043520"/>
    <x v="97"/>
    <n v="1"/>
    <s v="REALIZADO"/>
    <s v="AGATHA"/>
    <d v="2025-08-19T00:00:00"/>
    <x v="2"/>
  </r>
  <r>
    <n v="61096"/>
    <s v="REGIVALDO MEDEIROS"/>
    <s v="MME"/>
    <s v="ADM"/>
    <n v="50030074"/>
    <x v="115"/>
    <n v="1"/>
    <s v="REALIZADO"/>
    <s v="MATHEUS"/>
    <d v="2025-08-19T00:00:00"/>
    <x v="0"/>
  </r>
  <r>
    <n v="73878"/>
    <s v="EVANDRO TANAKA"/>
    <s v="MMG"/>
    <s v="ADM"/>
    <n v="50043471"/>
    <x v="5"/>
    <n v="1"/>
    <s v="REALIZADO"/>
    <s v="AGATHA"/>
    <d v="2025-08-19T00:00:00"/>
    <x v="2"/>
  </r>
  <r>
    <n v="73878"/>
    <s v="EVANDRO TANAKA"/>
    <s v="MMG"/>
    <s v="ADM"/>
    <n v="50043471"/>
    <x v="5"/>
    <n v="1"/>
    <s v="REALIZADO"/>
    <s v="BRUNA"/>
    <d v="2025-08-19T00:00:00"/>
    <x v="0"/>
  </r>
  <r>
    <n v="73336"/>
    <s v="RODRIGO RODRIGUES"/>
    <s v="MMG"/>
    <s v="ADM"/>
    <n v="50022878"/>
    <x v="18"/>
    <n v="1"/>
    <s v="REALIZADO"/>
    <s v="BRUNA"/>
    <d v="2025-08-19T00:00:00"/>
    <x v="2"/>
  </r>
  <r>
    <n v="73336"/>
    <s v="RODRIGO RODRIGUES"/>
    <s v="MMG"/>
    <s v="ADM"/>
    <n v="50022878"/>
    <x v="18"/>
    <n v="1"/>
    <s v="REALIZADO"/>
    <s v="MATHEUS"/>
    <d v="2025-08-19T00:00:00"/>
    <x v="0"/>
  </r>
  <r>
    <n v="77313"/>
    <s v="ROGERIO"/>
    <s v="MPR"/>
    <s v="ADM"/>
    <n v="50038841"/>
    <x v="34"/>
    <n v="1"/>
    <s v="REALIZADO"/>
    <s v="AGATHA"/>
    <d v="2025-08-19T00:00:00"/>
    <x v="2"/>
  </r>
  <r>
    <n v="77313"/>
    <s v="ROGERIO"/>
    <s v="MPR"/>
    <s v="ADM"/>
    <n v="50038841"/>
    <x v="34"/>
    <n v="1"/>
    <s v="REALIZADO"/>
    <s v="MATHEUS"/>
    <d v="2025-08-19T00:00:00"/>
    <x v="0"/>
  </r>
  <r>
    <n v="68708"/>
    <s v="CLAUDIO TADEU LEITE"/>
    <s v="MMG"/>
    <s v="ADM"/>
    <n v="50038841"/>
    <x v="34"/>
    <n v="1"/>
    <s v="REALIZADO"/>
    <s v="MATHEUS"/>
    <d v="2025-08-19T00:00:00"/>
    <x v="2"/>
  </r>
  <r>
    <n v="68708"/>
    <s v="CLAUDIO TADEU LEITE"/>
    <s v="MMG"/>
    <s v="ADM"/>
    <n v="50038841"/>
    <x v="34"/>
    <n v="1"/>
    <s v="REALIZADO"/>
    <s v="MATHEUS"/>
    <d v="2025-08-19T00:00:00"/>
    <x v="0"/>
  </r>
  <r>
    <n v="78886"/>
    <s v="LUCAS FELICIANO MENDES DE OLIVEIRA"/>
    <s v="MME"/>
    <s v="ADM"/>
    <n v="50038517"/>
    <x v="0"/>
    <n v="1"/>
    <s v="REALIZADO"/>
    <s v="BRUNA"/>
    <d v="2025-08-19T00:00:00"/>
    <x v="0"/>
  </r>
  <r>
    <n v="74611"/>
    <s v="CRISTIAM BORGES"/>
    <s v="MPR"/>
    <s v="ADM"/>
    <n v="50037903"/>
    <x v="91"/>
    <n v="1"/>
    <s v="REALIZADO"/>
    <s v="AGATHA"/>
    <d v="2025-08-19T00:00:00"/>
    <x v="2"/>
  </r>
  <r>
    <n v="74611"/>
    <s v="CRISTIAM BORGES"/>
    <s v="MPR"/>
    <s v="ADM"/>
    <n v="50037903"/>
    <x v="91"/>
    <n v="1"/>
    <s v="REALIZADO"/>
    <s v="MATHEUS"/>
    <d v="2025-08-19T00:00:00"/>
    <x v="0"/>
  </r>
  <r>
    <n v="74611"/>
    <s v="CRISTIAM BORGES"/>
    <s v="MPR"/>
    <s v="ADM"/>
    <n v="50001995"/>
    <x v="44"/>
    <n v="1"/>
    <s v="REALIZADO"/>
    <s v="AGATHA"/>
    <d v="2025-08-19T00:00:00"/>
    <x v="2"/>
  </r>
  <r>
    <n v="74611"/>
    <s v="CRISTIAM BORGES"/>
    <s v="MPR"/>
    <s v="ADM"/>
    <n v="50001995"/>
    <x v="44"/>
    <n v="1"/>
    <s v="REALIZADO"/>
    <s v="MATHEUS"/>
    <d v="2025-08-19T00:00:00"/>
    <x v="0"/>
  </r>
  <r>
    <n v="61264"/>
    <s v="EVERTON GERONIMO"/>
    <s v="MMG"/>
    <s v="ADM"/>
    <n v="50036297"/>
    <x v="100"/>
    <n v="1"/>
    <s v="REALIZADO"/>
    <s v="BRUNA"/>
    <d v="2025-08-19T00:00:00"/>
    <x v="2"/>
  </r>
  <r>
    <n v="61264"/>
    <s v="EVERTON GERONIMO"/>
    <s v="MMG"/>
    <s v="ADM"/>
    <n v="50036297"/>
    <x v="100"/>
    <n v="1"/>
    <s v="REALIZADO"/>
    <s v="MATHEUS"/>
    <d v="2025-08-19T00:00:00"/>
    <x v="0"/>
  </r>
  <r>
    <n v="63770"/>
    <s v="DANILO DA SILVA"/>
    <s v="MMG"/>
    <s v="ADM"/>
    <n v="50038626"/>
    <x v="72"/>
    <n v="1"/>
    <s v="REALIZADO"/>
    <s v="AGATHA"/>
    <d v="2025-08-19T00:00:00"/>
    <x v="0"/>
  </r>
  <r>
    <n v="63770"/>
    <s v="DANILO DA SILVA"/>
    <s v="MMG"/>
    <s v="ADM"/>
    <n v="50038626"/>
    <x v="72"/>
    <n v="1"/>
    <s v="REALIZADO"/>
    <s v="BRUNA"/>
    <d v="2025-08-19T00:00:00"/>
    <x v="2"/>
  </r>
  <r>
    <n v="63770"/>
    <s v="DANILO DA SILVA"/>
    <s v="MMG"/>
    <s v="ADM"/>
    <n v="50038626"/>
    <x v="72"/>
    <n v="1"/>
    <s v="REALIZADO"/>
    <s v="MATHEUS"/>
    <d v="2025-08-19T00:00:00"/>
    <x v="0"/>
  </r>
  <r>
    <n v="73336"/>
    <s v="RODRIGO RODRIGUES"/>
    <s v="MMG"/>
    <s v="ADM"/>
    <n v="50001740"/>
    <x v="51"/>
    <n v="1"/>
    <s v="REALIZADO"/>
    <s v="BRUNA"/>
    <d v="2025-08-19T00:00:00"/>
    <x v="2"/>
  </r>
  <r>
    <n v="73336"/>
    <s v="RODRIGO RODRIGUES"/>
    <s v="MMG"/>
    <s v="ADM"/>
    <n v="50001740"/>
    <x v="51"/>
    <n v="1"/>
    <s v="REALIZADO"/>
    <s v="MATHEUS"/>
    <d v="2025-08-19T00:00:00"/>
    <x v="0"/>
  </r>
  <r>
    <n v="72707"/>
    <s v="LEONARDO DOS SANTOS"/>
    <s v="MPR"/>
    <s v="ADM"/>
    <n v="50041195"/>
    <x v="21"/>
    <n v="1"/>
    <s v="REALIZADO"/>
    <s v="AGATHA"/>
    <d v="2025-08-19T00:00:00"/>
    <x v="2"/>
  </r>
  <r>
    <n v="72707"/>
    <s v="LEONARDO DOS SANTOS"/>
    <s v="MPR"/>
    <s v="ADM"/>
    <n v="50041195"/>
    <x v="21"/>
    <n v="1"/>
    <s v="REALIZADO"/>
    <s v="MATHEUS"/>
    <d v="2025-08-19T00:00:00"/>
    <x v="0"/>
  </r>
  <r>
    <n v="72715"/>
    <s v="DANIEL CAMAÇARI DE OLIVEIRA"/>
    <s v="MPR"/>
    <s v="ADM"/>
    <n v="50036086"/>
    <x v="3"/>
    <n v="1"/>
    <s v="REALIZADO"/>
    <s v="AGATHA"/>
    <d v="2025-08-18T00:00:00"/>
    <x v="2"/>
  </r>
  <r>
    <n v="72715"/>
    <s v="DANIEL CAMAÇARI DE OLIVEIRA"/>
    <s v="MPR"/>
    <s v="ADM"/>
    <n v="50036086"/>
    <x v="3"/>
    <n v="1"/>
    <s v="REALIZADO"/>
    <s v="BRUNO"/>
    <d v="2025-08-18T00:00:00"/>
    <x v="0"/>
  </r>
  <r>
    <n v="61264"/>
    <s v="EVERTON GERONIMO"/>
    <s v="MMG"/>
    <s v="ADM"/>
    <n v="50003173"/>
    <x v="29"/>
    <n v="1"/>
    <s v="REALIZADO"/>
    <s v="BRUNA"/>
    <d v="2025-08-18T00:00:00"/>
    <x v="2"/>
  </r>
  <r>
    <n v="61264"/>
    <s v="EVERTON GERONIMO"/>
    <s v="MMG"/>
    <s v="ADM"/>
    <n v="50003173"/>
    <x v="29"/>
    <n v="1"/>
    <s v="REALIZADO"/>
    <s v="BRUNA"/>
    <d v="2025-08-18T00:00:00"/>
    <x v="0"/>
  </r>
  <r>
    <n v="61264"/>
    <s v="EVERTON GERONIMO"/>
    <s v="MMG"/>
    <s v="ADM"/>
    <n v="50036279"/>
    <x v="28"/>
    <n v="1"/>
    <s v="REALIZADO"/>
    <s v="BRUNA"/>
    <d v="2025-08-18T00:00:00"/>
    <x v="2"/>
  </r>
  <r>
    <n v="61264"/>
    <s v="EVERTON GERONIMO"/>
    <s v="MMG"/>
    <s v="ADM"/>
    <n v="50036279"/>
    <x v="28"/>
    <n v="1"/>
    <s v="REALIZADO"/>
    <s v="BRUNA"/>
    <d v="2025-08-18T00:00:00"/>
    <x v="0"/>
  </r>
  <r>
    <n v="70105"/>
    <s v="RONALDO DE SOUZA SANTOS"/>
    <s v="MMG"/>
    <s v="2º TURNO"/>
    <n v="50037905"/>
    <x v="49"/>
    <n v="1"/>
    <s v="REALIZADO"/>
    <s v="BRUNO"/>
    <d v="2025-08-18T00:00:00"/>
    <x v="0"/>
  </r>
  <r>
    <n v="76633"/>
    <s v="VINICIUS GUILHERME BARBOSA"/>
    <s v="MMG"/>
    <s v="1º TURNO"/>
    <n v="50030074"/>
    <x v="115"/>
    <n v="1"/>
    <s v="REALIZADO"/>
    <s v="BRUNO"/>
    <d v="2025-08-18T00:00:00"/>
    <x v="2"/>
  </r>
  <r>
    <n v="76633"/>
    <s v="VINICIUS GUILHERME BARBOSA"/>
    <s v="MMG"/>
    <s v="1º TURNO"/>
    <n v="50030074"/>
    <x v="115"/>
    <n v="1"/>
    <s v="REALIZADO"/>
    <s v="BRUNO"/>
    <d v="2025-08-18T00:00:00"/>
    <x v="0"/>
  </r>
  <r>
    <n v="74611"/>
    <s v="CRISTIAM BORGES"/>
    <s v="MPR"/>
    <s v="ADM"/>
    <n v="50043471"/>
    <x v="5"/>
    <n v="1"/>
    <s v="REALIZADO"/>
    <s v="AGATHA"/>
    <d v="2025-08-18T00:00:00"/>
    <x v="2"/>
  </r>
  <r>
    <n v="74611"/>
    <s v="CRISTIAM BORGES"/>
    <s v="MPR"/>
    <s v="ADM"/>
    <n v="50043471"/>
    <x v="5"/>
    <n v="1"/>
    <s v="REALIZADO"/>
    <s v="BRUNO"/>
    <d v="2025-08-18T00:00:00"/>
    <x v="0"/>
  </r>
  <r>
    <n v="62640"/>
    <s v="MARCELINHO"/>
    <s v="MPR"/>
    <s v="ADM"/>
    <n v="50029865"/>
    <x v="9"/>
    <n v="1"/>
    <s v="REALIZADO"/>
    <s v="BRUNO"/>
    <d v="2025-08-18T00:00:00"/>
    <x v="2"/>
  </r>
  <r>
    <n v="62640"/>
    <s v="MARCELINHO"/>
    <s v="MPR"/>
    <s v="ADM"/>
    <n v="50029865"/>
    <x v="9"/>
    <n v="1"/>
    <s v="REALIZADO"/>
    <s v="BRUNO"/>
    <d v="2025-08-18T00:00:00"/>
    <x v="0"/>
  </r>
  <r>
    <n v="61264"/>
    <s v="EVERTON GERONIMO"/>
    <s v="MMG"/>
    <s v="ADM"/>
    <n v="50038549"/>
    <x v="6"/>
    <n v="1"/>
    <s v="REALIZADO"/>
    <s v="AGATHA"/>
    <d v="2025-08-18T00:00:00"/>
    <x v="0"/>
  </r>
  <r>
    <n v="73336"/>
    <s v="RODRIGO RODRIGUES"/>
    <s v="MMG"/>
    <s v="ADM"/>
    <n v="50038549"/>
    <x v="6"/>
    <n v="1"/>
    <s v="REALIZADO"/>
    <s v="AGATHA"/>
    <d v="2025-08-18T00:00:00"/>
    <x v="2"/>
  </r>
  <r>
    <n v="61264"/>
    <s v="EVERTON GERONIMO"/>
    <s v="MMG"/>
    <s v="ADM"/>
    <n v="50038549"/>
    <x v="6"/>
    <n v="1"/>
    <s v="REALIZADO"/>
    <s v="AGATHA"/>
    <d v="2025-08-18T00:00:00"/>
    <x v="2"/>
  </r>
  <r>
    <n v="73336"/>
    <s v="RODRIGO RODRIGUES"/>
    <s v="MMG"/>
    <s v="ADM"/>
    <n v="50038549"/>
    <x v="6"/>
    <n v="1"/>
    <s v="REALIZADO"/>
    <s v="BRUNO"/>
    <d v="2025-08-18T00:00:00"/>
    <x v="0"/>
  </r>
  <r>
    <n v="74611"/>
    <s v="CRISTIAM BORGES"/>
    <s v="MPR"/>
    <s v="ADM"/>
    <n v="50038841"/>
    <x v="34"/>
    <n v="1"/>
    <s v="REALIZADO"/>
    <s v="AGATHA"/>
    <d v="2025-08-18T00:00:00"/>
    <x v="2"/>
  </r>
  <r>
    <n v="74611"/>
    <s v="CRISTIAM BORGES"/>
    <s v="MPR"/>
    <s v="ADM"/>
    <n v="50038841"/>
    <x v="34"/>
    <n v="1"/>
    <s v="REALIZADO"/>
    <s v="BRUNO"/>
    <d v="2025-08-18T00:00:00"/>
    <x v="2"/>
  </r>
  <r>
    <n v="63713"/>
    <s v="BRUNO DIAS"/>
    <s v="MME"/>
    <s v="ADM"/>
    <n v="50038517"/>
    <x v="0"/>
    <n v="1"/>
    <s v="REALIZADO"/>
    <s v="BRUNO"/>
    <d v="2025-08-18T00:00:00"/>
    <x v="0"/>
  </r>
  <r>
    <n v="61264"/>
    <s v="EVERTON GERONIMO"/>
    <s v="MMG"/>
    <s v="ADM"/>
    <n v="50037926"/>
    <x v="52"/>
    <n v="1"/>
    <s v="REALIZADO"/>
    <s v="BRUNA"/>
    <d v="2025-08-18T00:00:00"/>
    <x v="2"/>
  </r>
  <r>
    <n v="61264"/>
    <s v="EVERTON GERONIMO"/>
    <s v="MMG"/>
    <s v="ADM"/>
    <n v="50037926"/>
    <x v="52"/>
    <n v="1"/>
    <s v="REALIZADO"/>
    <s v="BRUNO"/>
    <d v="2025-08-18T00:00:00"/>
    <x v="0"/>
  </r>
  <r>
    <n v="76633"/>
    <s v="VINICIUS GUILHERME BARBOSA"/>
    <s v="MMG"/>
    <s v="1º TURNO"/>
    <n v="50001995"/>
    <x v="44"/>
    <n v="1"/>
    <s v="REALIZADO"/>
    <s v="BRUNO"/>
    <d v="2025-08-18T00:00:00"/>
    <x v="2"/>
  </r>
  <r>
    <n v="76633"/>
    <s v="VINICIUS GUILHERME BARBOSA"/>
    <s v="MMG"/>
    <s v="1º TURNO"/>
    <n v="50001995"/>
    <x v="44"/>
    <n v="1"/>
    <s v="REALIZADO"/>
    <s v="BRUNO"/>
    <d v="2025-08-18T00:00:00"/>
    <x v="2"/>
  </r>
  <r>
    <n v="62180"/>
    <s v="JOSE AUGUSTO MASSUCHINI"/>
    <s v="MMG"/>
    <s v="ADM"/>
    <n v="50036332"/>
    <x v="82"/>
    <n v="1"/>
    <s v="REALIZADO"/>
    <s v="BRUNA"/>
    <d v="2025-08-18T00:00:00"/>
    <x v="0"/>
  </r>
  <r>
    <n v="77313"/>
    <s v="ROGERIO"/>
    <s v="MPR"/>
    <s v="ADM"/>
    <n v="50026357"/>
    <x v="24"/>
    <n v="1"/>
    <s v="REALIZADO"/>
    <s v="BRUNA"/>
    <d v="2025-08-18T00:00:00"/>
    <x v="2"/>
  </r>
  <r>
    <n v="72713"/>
    <s v="MARCOS AURELIO"/>
    <s v="MPR"/>
    <s v="ADM"/>
    <n v="50026357"/>
    <x v="24"/>
    <n v="1"/>
    <s v="REALIZADO"/>
    <s v="BRUNO"/>
    <d v="2025-08-18T00:00:00"/>
    <x v="0"/>
  </r>
  <r>
    <n v="72707"/>
    <s v="LEONARDO DOS SANTOS"/>
    <s v="MPR"/>
    <s v="ADM"/>
    <n v="50041195"/>
    <x v="21"/>
    <n v="1"/>
    <s v="REALIZADO"/>
    <s v="AGATHA"/>
    <d v="2025-08-18T00:00:00"/>
    <x v="2"/>
  </r>
  <r>
    <n v="72707"/>
    <s v="LEONARDO DOS SANTOS"/>
    <s v="MPR"/>
    <s v="ADM"/>
    <n v="50041195"/>
    <x v="21"/>
    <n v="1"/>
    <s v="REALIZADO"/>
    <s v="BRUNO"/>
    <d v="2025-08-18T00:00:00"/>
    <x v="0"/>
  </r>
  <r>
    <n v="62640"/>
    <s v="MARCELINHO"/>
    <s v="MPR"/>
    <s v="ADM"/>
    <n v="50043917"/>
    <x v="66"/>
    <n v="1"/>
    <s v="REALIZADO"/>
    <s v="BRUNO"/>
    <d v="2025-08-18T00:00:00"/>
    <x v="2"/>
  </r>
  <r>
    <n v="62640"/>
    <s v="MARCELINHO"/>
    <s v="MPR"/>
    <s v="ADM"/>
    <n v="50043917"/>
    <x v="66"/>
    <n v="1"/>
    <s v="REALIZADO"/>
    <s v="BRUNO"/>
    <d v="2025-08-18T00:00:00"/>
    <x v="0"/>
  </r>
  <r>
    <n v="66015"/>
    <s v="ALDO SANTOS"/>
    <s v="MME"/>
    <s v="3º TURNO"/>
    <n v="50012903"/>
    <x v="31"/>
    <n v="1"/>
    <s v="REALIZADO"/>
    <m/>
    <d v="2025-08-18T00:00:00"/>
    <x v="0"/>
  </r>
  <r>
    <n v="75424"/>
    <s v="EDSON CARLOS"/>
    <s v="MME"/>
    <s v="1º TURNO"/>
    <n v="50012902"/>
    <x v="30"/>
    <n v="1"/>
    <s v="REALIZADO"/>
    <s v="BRUNA"/>
    <d v="2025-08-18T00:00:00"/>
    <x v="2"/>
  </r>
  <r>
    <n v="75424"/>
    <s v="EDSON CARLOS"/>
    <s v="MME"/>
    <s v="1º TURNO"/>
    <n v="50012902"/>
    <x v="30"/>
    <n v="1"/>
    <s v="REALIZADO"/>
    <s v="BRUNO"/>
    <d v="2025-08-18T00:00:00"/>
    <x v="2"/>
  </r>
  <r>
    <n v="61264"/>
    <s v="EVERTON GERONIMO"/>
    <s v="MMG"/>
    <s v="ADM"/>
    <n v="50037895"/>
    <x v="116"/>
    <n v="1"/>
    <s v="REALIZADO"/>
    <s v="AGATHA"/>
    <d v="2025-08-18T00:00:00"/>
    <x v="0"/>
  </r>
  <r>
    <n v="72715"/>
    <s v="DANIEL CAMAÇARI DE OLIVEIRA"/>
    <s v="MPR"/>
    <s v="ADM"/>
    <n v="50038840"/>
    <x v="68"/>
    <n v="1"/>
    <s v="REALIZADO"/>
    <s v="AGATHA"/>
    <d v="2025-08-18T00:00:00"/>
    <x v="2"/>
  </r>
  <r>
    <n v="72715"/>
    <s v="DANIEL CAMAÇARI DE OLIVEIRA"/>
    <s v="MPR"/>
    <s v="ADM"/>
    <n v="50038840"/>
    <x v="68"/>
    <n v="1"/>
    <s v="REALIZADO"/>
    <s v="AGATHA"/>
    <d v="2025-08-18T00:00:00"/>
    <x v="0"/>
  </r>
  <r>
    <n v="65084"/>
    <s v="TIAGO DE BRITO"/>
    <s v="MMG"/>
    <s v="3º TURNO"/>
    <n v="50041195"/>
    <x v="21"/>
    <n v="1"/>
    <s v="REALIZADO"/>
    <s v="FABIANO"/>
    <d v="2025-08-17T00:00:00"/>
    <x v="2"/>
  </r>
  <r>
    <n v="70105"/>
    <s v="RONALDO DE SOUZA SANTOS"/>
    <s v="MMG"/>
    <s v="2º TURNO"/>
    <n v="50037905"/>
    <x v="49"/>
    <n v="1"/>
    <s v="REALIZADO"/>
    <s v="BRUNA"/>
    <d v="2025-08-16T00:00:00"/>
    <x v="0"/>
  </r>
  <r>
    <n v="76633"/>
    <s v="VINICIUS GUILHERME BARBOSA"/>
    <s v="MMG"/>
    <s v="1º TURNO"/>
    <n v="50038841"/>
    <x v="34"/>
    <n v="1"/>
    <s v="REALIZADO"/>
    <s v="BRUNA"/>
    <d v="2025-08-16T00:00:00"/>
    <x v="2"/>
  </r>
  <r>
    <n v="76633"/>
    <s v="VINICIUS GUILHERME BARBOSA"/>
    <s v="MMG"/>
    <s v="1º TURNO"/>
    <n v="50038841"/>
    <x v="34"/>
    <n v="1"/>
    <s v="REALIZADO"/>
    <s v="BRUNA"/>
    <d v="2025-08-16T00:00:00"/>
    <x v="0"/>
  </r>
  <r>
    <n v="78678"/>
    <s v="MARLOM ROGERIO VIEIRA"/>
    <s v="MME"/>
    <s v="ADM"/>
    <n v="50030074"/>
    <x v="115"/>
    <n v="1"/>
    <s v="REALIZADO"/>
    <s v="AGATHA"/>
    <d v="2025-08-15T00:00:00"/>
    <x v="2"/>
  </r>
  <r>
    <n v="78678"/>
    <s v="MARLOM ROGERIO VIEIRA"/>
    <s v="MME"/>
    <s v="ADM"/>
    <n v="50030074"/>
    <x v="115"/>
    <n v="1"/>
    <s v="REALIZADO"/>
    <s v="AGATHA"/>
    <d v="2025-08-15T00:00:00"/>
    <x v="0"/>
  </r>
  <r>
    <n v="77526"/>
    <s v="FELIPE GARÇONI"/>
    <s v="MME"/>
    <s v="ADM"/>
    <n v="50030074"/>
    <x v="115"/>
    <n v="1"/>
    <s v="REALIZADO"/>
    <s v="AGATHA"/>
    <d v="2025-08-15T00:00:00"/>
    <x v="2"/>
  </r>
  <r>
    <n v="77526"/>
    <s v="FELIPE GARÇONI"/>
    <s v="MME"/>
    <s v="ADM"/>
    <n v="50030074"/>
    <x v="115"/>
    <n v="1"/>
    <s v="NÃO REALIZADO"/>
    <s v="MARCIA"/>
    <d v="2025-08-15T00:00:00"/>
    <x v="0"/>
  </r>
  <r>
    <n v="72715"/>
    <s v="DANIEL CAMAÇARI DE OLIVEIRA"/>
    <s v="MPR"/>
    <s v="ADM"/>
    <n v="50029865"/>
    <x v="9"/>
    <n v="1"/>
    <s v="REALIZADO"/>
    <s v="AGATHA"/>
    <d v="2025-08-15T00:00:00"/>
    <x v="2"/>
  </r>
  <r>
    <n v="72715"/>
    <s v="DANIEL CAMAÇARI DE OLIVEIRA"/>
    <s v="MPR"/>
    <s v="ADM"/>
    <n v="50029865"/>
    <x v="9"/>
    <n v="1"/>
    <s v="REALIZADO"/>
    <s v="GEOVANE"/>
    <d v="2025-08-15T00:00:00"/>
    <x v="0"/>
  </r>
  <r>
    <n v="62640"/>
    <s v="MARCELINHO"/>
    <s v="MPR"/>
    <s v="ADM"/>
    <n v="50029865"/>
    <x v="9"/>
    <n v="1"/>
    <s v="REALIZADO"/>
    <s v="BRUNA"/>
    <d v="2025-08-15T00:00:00"/>
    <x v="2"/>
  </r>
  <r>
    <n v="62640"/>
    <s v="MARCELINHO"/>
    <s v="MPR"/>
    <s v="ADM"/>
    <n v="50029865"/>
    <x v="9"/>
    <n v="1"/>
    <s v="REALIZADO"/>
    <s v="BRUNA"/>
    <d v="2025-08-15T00:00:00"/>
    <x v="0"/>
  </r>
  <r>
    <n v="72715"/>
    <s v="DANIEL CAMAÇARI DE OLIVEIRA"/>
    <s v="MPR"/>
    <s v="ADM"/>
    <n v="50037916"/>
    <x v="70"/>
    <n v="1"/>
    <s v="REALIZADO"/>
    <s v="BRUNO"/>
    <d v="2025-08-15T00:00:00"/>
    <x v="2"/>
  </r>
  <r>
    <n v="72715"/>
    <s v="DANIEL CAMAÇARI DE OLIVEIRA"/>
    <s v="MPR"/>
    <s v="ADM"/>
    <n v="50037916"/>
    <x v="70"/>
    <n v="1"/>
    <s v="REALIZADO"/>
    <s v="MATHEUS"/>
    <d v="2025-08-15T00:00:00"/>
    <x v="0"/>
  </r>
  <r>
    <n v="65472"/>
    <s v="ISRAEL MACEDO"/>
    <s v="MMG"/>
    <s v="ADM"/>
    <n v="50038549"/>
    <x v="6"/>
    <n v="1"/>
    <s v="REALIZADO"/>
    <s v="BRUNO"/>
    <d v="2025-08-15T00:00:00"/>
    <x v="2"/>
  </r>
  <r>
    <n v="65472"/>
    <s v="ISRAEL MACEDO"/>
    <s v="MMG"/>
    <s v="ADM"/>
    <n v="50038549"/>
    <x v="6"/>
    <n v="1"/>
    <s v="REALIZADO"/>
    <s v="BRUNO"/>
    <d v="2025-08-15T00:00:00"/>
    <x v="0"/>
  </r>
  <r>
    <n v="77526"/>
    <s v="FELIPE GARÇONI"/>
    <s v="MME"/>
    <s v="ADM"/>
    <n v="50037902"/>
    <x v="14"/>
    <n v="1"/>
    <s v="REALIZADO"/>
    <s v="AGATHA"/>
    <d v="2025-08-15T00:00:00"/>
    <x v="2"/>
  </r>
  <r>
    <n v="77526"/>
    <s v="FELIPE GARÇONI"/>
    <s v="MME"/>
    <s v="ADM"/>
    <n v="50037902"/>
    <x v="14"/>
    <n v="1"/>
    <s v="NÃO REALIZADO"/>
    <s v="MARCIA"/>
    <d v="2025-08-15T00:00:00"/>
    <x v="0"/>
  </r>
  <r>
    <n v="74611"/>
    <s v="CRISTIAM BORGES"/>
    <s v="MPR"/>
    <s v="ADM"/>
    <n v="50038841"/>
    <x v="34"/>
    <n v="1"/>
    <s v="REALIZADO"/>
    <s v="AGATHA"/>
    <d v="2025-08-15T00:00:00"/>
    <x v="2"/>
  </r>
  <r>
    <n v="74611"/>
    <s v="CRISTIAM BORGES"/>
    <s v="MPR"/>
    <s v="ADM"/>
    <n v="50038841"/>
    <x v="34"/>
    <n v="1"/>
    <s v="REALIZADO"/>
    <s v="AGATHA"/>
    <d v="2025-08-15T00:00:00"/>
    <x v="0"/>
  </r>
  <r>
    <n v="61264"/>
    <s v="EVERTON GERONIMO"/>
    <s v="MMG"/>
    <s v="ADM"/>
    <n v="50038517"/>
    <x v="0"/>
    <n v="1"/>
    <s v="REALIZADO"/>
    <s v="BRUNA"/>
    <d v="2025-08-15T00:00:00"/>
    <x v="0"/>
  </r>
  <r>
    <n v="77526"/>
    <s v="FELIPE GARÇONI"/>
    <s v="MME"/>
    <s v="ADM"/>
    <n v="50039065"/>
    <x v="22"/>
    <n v="1"/>
    <s v="REALIZADO"/>
    <s v="AGATHA"/>
    <d v="2025-08-15T00:00:00"/>
    <x v="2"/>
  </r>
  <r>
    <n v="77526"/>
    <s v="FELIPE GARÇONI"/>
    <s v="MME"/>
    <s v="ADM"/>
    <n v="50039065"/>
    <x v="22"/>
    <n v="1"/>
    <s v="REALIZADO"/>
    <s v="BRUNO"/>
    <d v="2025-08-15T00:00:00"/>
    <x v="0"/>
  </r>
  <r>
    <n v="63399"/>
    <s v="JOAO CARLOS MARIA"/>
    <s v="MPR"/>
    <s v="ADM"/>
    <n v="50041195"/>
    <x v="21"/>
    <n v="1"/>
    <s v="REALIZADO"/>
    <s v="AGATHA"/>
    <d v="2025-08-15T00:00:00"/>
    <x v="2"/>
  </r>
  <r>
    <n v="63399"/>
    <s v="JOAO CARLOS MARIA"/>
    <s v="MPR"/>
    <s v="ADM"/>
    <n v="50041195"/>
    <x v="21"/>
    <n v="1"/>
    <s v="REALIZADO"/>
    <s v="BRUNO"/>
    <d v="2025-08-15T00:00:00"/>
    <x v="0"/>
  </r>
  <r>
    <n v="72715"/>
    <s v="DANIEL CAMAÇARI DE OLIVEIRA"/>
    <s v="MPR"/>
    <s v="ADM"/>
    <n v="50043917"/>
    <x v="66"/>
    <n v="1"/>
    <s v="REALIZADO"/>
    <s v="AGATHA"/>
    <d v="2025-08-15T00:00:00"/>
    <x v="2"/>
  </r>
  <r>
    <n v="72715"/>
    <s v="DANIEL CAMAÇARI DE OLIVEIRA"/>
    <s v="MPR"/>
    <s v="ADM"/>
    <n v="50043917"/>
    <x v="66"/>
    <n v="1"/>
    <s v="REALIZADO"/>
    <s v="GEOVANE"/>
    <d v="2025-08-15T00:00:00"/>
    <x v="0"/>
  </r>
  <r>
    <n v="62640"/>
    <s v="MARCELINHO"/>
    <s v="MPR"/>
    <s v="ADM"/>
    <n v="50020622"/>
    <x v="42"/>
    <n v="1"/>
    <s v="REALIZADO"/>
    <s v="BRUNA"/>
    <d v="2025-08-15T00:00:00"/>
    <x v="2"/>
  </r>
  <r>
    <n v="62640"/>
    <s v="MARCELINHO"/>
    <s v="MPR"/>
    <s v="ADM"/>
    <n v="50020622"/>
    <x v="42"/>
    <n v="1"/>
    <s v="REALIZADO"/>
    <s v="BRUNA"/>
    <d v="2025-08-15T00:00:00"/>
    <x v="0"/>
  </r>
  <r>
    <n v="70052"/>
    <s v="MARCOS SANTOS"/>
    <s v="MEE"/>
    <s v="ADM"/>
    <n v="50002644"/>
    <x v="83"/>
    <n v="1"/>
    <s v="REALIZADO"/>
    <s v="GEOVANE"/>
    <d v="2025-08-14T00:00:00"/>
    <x v="2"/>
  </r>
  <r>
    <n v="70052"/>
    <s v="MARCOS SANTOS"/>
    <s v="MEE"/>
    <s v="ADM"/>
    <n v="50002644"/>
    <x v="83"/>
    <n v="1"/>
    <s v="REALIZADO"/>
    <s v="GEOVANE"/>
    <d v="2025-08-14T00:00:00"/>
    <x v="0"/>
  </r>
  <r>
    <n v="69510"/>
    <s v="GABRIEL CAIXETA DOMICIANO"/>
    <s v="MEE"/>
    <s v="ADM"/>
    <n v="50037965"/>
    <x v="117"/>
    <n v="1"/>
    <s v="REALIZADO"/>
    <s v="BRUNO"/>
    <d v="2025-08-14T00:00:00"/>
    <x v="2"/>
  </r>
  <r>
    <n v="69510"/>
    <s v="GABRIEL CAIXETA DOMICIANO"/>
    <s v="MEE"/>
    <s v="ADM"/>
    <n v="50037965"/>
    <x v="117"/>
    <n v="1"/>
    <s v="REALIZADO"/>
    <s v="BRUNO"/>
    <d v="2025-08-14T00:00:00"/>
    <x v="2"/>
  </r>
  <r>
    <n v="61264"/>
    <s v="EVERTON GERONIMO"/>
    <s v="MMG"/>
    <s v="ADM"/>
    <n v="50037960"/>
    <x v="37"/>
    <n v="1"/>
    <s v="REALIZADO"/>
    <s v="BRUNO"/>
    <d v="2025-08-14T00:00:00"/>
    <x v="2"/>
  </r>
  <r>
    <n v="61264"/>
    <s v="EVERTON GERONIMO"/>
    <s v="MMG"/>
    <s v="ADM"/>
    <n v="50037961"/>
    <x v="36"/>
    <n v="1"/>
    <s v="REALIZADO"/>
    <s v="BRUNO"/>
    <d v="2025-08-14T00:00:00"/>
    <x v="0"/>
  </r>
  <r>
    <n v="74611"/>
    <s v="CRISTIAM BORGES"/>
    <s v="MPR"/>
    <s v="ADM"/>
    <n v="50039236"/>
    <x v="84"/>
    <n v="1"/>
    <s v="REALIZADO"/>
    <s v="BRUNO"/>
    <d v="2025-08-14T00:00:00"/>
    <x v="2"/>
  </r>
  <r>
    <n v="74611"/>
    <s v="CRISTIAM BORGES"/>
    <s v="MPR"/>
    <s v="ADM"/>
    <n v="50039236"/>
    <x v="84"/>
    <n v="1"/>
    <s v="REALIZADO"/>
    <s v="BRUNO"/>
    <d v="2025-08-14T00:00:00"/>
    <x v="2"/>
  </r>
  <r>
    <n v="77526"/>
    <s v="FELIPE GARÇONI"/>
    <s v="MME"/>
    <s v="ADM"/>
    <n v="50039236"/>
    <x v="84"/>
    <n v="1"/>
    <s v="REALIZADO"/>
    <s v="BRUNO"/>
    <d v="2025-08-14T00:00:00"/>
    <x v="0"/>
  </r>
  <r>
    <n v="67863"/>
    <s v="MARCELO PAIM"/>
    <s v="MME"/>
    <s v="1º TURNO"/>
    <n v="50043471"/>
    <x v="5"/>
    <n v="1"/>
    <s v="REALIZADO"/>
    <s v="BRUNA"/>
    <d v="2025-08-14T00:00:00"/>
    <x v="2"/>
  </r>
  <r>
    <n v="77313"/>
    <s v="ROGERIO"/>
    <s v="MPR"/>
    <s v="ADM"/>
    <n v="50003297"/>
    <x v="8"/>
    <n v="1"/>
    <s v="REALIZADO"/>
    <s v="BRUNO"/>
    <d v="2025-08-14T00:00:00"/>
    <x v="0"/>
  </r>
  <r>
    <n v="62640"/>
    <s v="MARCELINHO"/>
    <s v="MPR"/>
    <s v="ADM"/>
    <n v="50029865"/>
    <x v="9"/>
    <n v="1"/>
    <s v="REALIZADO"/>
    <s v="BRUNO"/>
    <d v="2025-08-14T00:00:00"/>
    <x v="2"/>
  </r>
  <r>
    <n v="62640"/>
    <s v="MARCELINHO"/>
    <s v="MPR"/>
    <s v="ADM"/>
    <n v="50029865"/>
    <x v="9"/>
    <n v="1"/>
    <s v="REALIZADO"/>
    <s v="BRUNO"/>
    <d v="2025-08-14T00:00:00"/>
    <x v="2"/>
  </r>
  <r>
    <n v="61264"/>
    <s v="EVERTON GERONIMO"/>
    <s v="MMG"/>
    <s v="ADM"/>
    <n v="50038517"/>
    <x v="0"/>
    <n v="1"/>
    <s v="REALIZADO"/>
    <s v="BRUNO"/>
    <d v="2025-08-14T00:00:00"/>
    <x v="0"/>
  </r>
  <r>
    <n v="74611"/>
    <s v="CRISTIAM BORGES"/>
    <s v="MPR"/>
    <s v="ADM"/>
    <n v="50037903"/>
    <x v="91"/>
    <n v="1"/>
    <s v="REALIZADO"/>
    <s v="GEOVANE"/>
    <d v="2025-08-14T00:00:00"/>
    <x v="2"/>
  </r>
  <r>
    <n v="74611"/>
    <s v="CRISTIAM BORGES"/>
    <s v="MPR"/>
    <s v="ADM"/>
    <n v="50037903"/>
    <x v="91"/>
    <n v="1"/>
    <s v="REALIZADO"/>
    <s v="BRUNO"/>
    <d v="2025-08-14T00:00:00"/>
    <x v="0"/>
  </r>
  <r>
    <n v="74611"/>
    <s v="CRISTIAM BORGES"/>
    <s v="MPR"/>
    <s v="ADM"/>
    <n v="50001995"/>
    <x v="44"/>
    <n v="1"/>
    <s v="REALIZADO"/>
    <s v="GEOVANE"/>
    <d v="2025-08-14T00:00:00"/>
    <x v="2"/>
  </r>
  <r>
    <n v="74611"/>
    <s v="CRISTIAM BORGES"/>
    <s v="MPR"/>
    <s v="ADM"/>
    <n v="50001995"/>
    <x v="44"/>
    <n v="1"/>
    <s v="REALIZADO"/>
    <s v="BRUNO"/>
    <d v="2025-08-14T00:00:00"/>
    <x v="0"/>
  </r>
  <r>
    <n v="74611"/>
    <s v="CRISTIAM BORGES"/>
    <s v="MPR"/>
    <s v="ADM"/>
    <n v="50026357"/>
    <x v="24"/>
    <n v="1"/>
    <s v="REALIZADO"/>
    <s v="GEOVANE"/>
    <d v="2025-08-14T00:00:00"/>
    <x v="2"/>
  </r>
  <r>
    <n v="74611"/>
    <s v="CRISTIAM BORGES"/>
    <s v="MPR"/>
    <s v="ADM"/>
    <n v="50026357"/>
    <x v="24"/>
    <n v="1"/>
    <s v="REALIZADO"/>
    <s v="BRUNO"/>
    <d v="2025-08-14T00:00:00"/>
    <x v="0"/>
  </r>
  <r>
    <n v="62640"/>
    <s v="MARCELINHO"/>
    <s v="MPR"/>
    <s v="ADM"/>
    <n v="50043917"/>
    <x v="66"/>
    <n v="1"/>
    <s v="REALIZADO"/>
    <s v="BRUNO"/>
    <d v="2025-08-14T00:00:00"/>
    <x v="2"/>
  </r>
  <r>
    <n v="62640"/>
    <s v="MARCELINHO"/>
    <s v="MPR"/>
    <s v="ADM"/>
    <n v="50043917"/>
    <x v="66"/>
    <n v="1"/>
    <s v="REALIZADO"/>
    <s v="BRUNO"/>
    <d v="2025-08-14T00:00:00"/>
    <x v="0"/>
  </r>
  <r>
    <n v="60909"/>
    <s v="EDUARDO BARBOSA"/>
    <s v="MME"/>
    <s v="3º TURNO"/>
    <n v="50043917"/>
    <x v="66"/>
    <n v="1"/>
    <s v="REALIZADO"/>
    <s v="BRUNA"/>
    <d v="2025-08-14T00:00:00"/>
    <x v="2"/>
  </r>
  <r>
    <n v="60909"/>
    <s v="EDUARDO BARBOSA"/>
    <s v="MME"/>
    <s v="3º TURNO"/>
    <n v="50043917"/>
    <x v="66"/>
    <n v="1"/>
    <s v="NÃO REALIZADO"/>
    <s v="MARCIA"/>
    <d v="2025-08-14T00:00:00"/>
    <x v="0"/>
  </r>
  <r>
    <n v="74611"/>
    <s v="CRISTIAM BORGES"/>
    <s v="MPR"/>
    <s v="ADM"/>
    <n v="50038195"/>
    <x v="54"/>
    <n v="1"/>
    <s v="REALIZADO"/>
    <s v="BRUNO"/>
    <d v="2025-08-14T00:00:00"/>
    <x v="2"/>
  </r>
  <r>
    <n v="74611"/>
    <s v="CRISTIAM BORGES"/>
    <s v="MPR"/>
    <s v="ADM"/>
    <n v="50038195"/>
    <x v="54"/>
    <n v="1"/>
    <s v="REALIZADO"/>
    <s v="BRUNO"/>
    <d v="2025-08-14T00:00:00"/>
    <x v="0"/>
  </r>
  <r>
    <n v="77526"/>
    <s v="FELIPE GARÇONI"/>
    <s v="MME"/>
    <s v="ADM"/>
    <n v="50038854"/>
    <x v="27"/>
    <n v="1"/>
    <s v="REALIZADO"/>
    <s v="BRUNO"/>
    <d v="2025-08-13T00:00:00"/>
    <x v="2"/>
  </r>
  <r>
    <n v="77526"/>
    <s v="FELIPE GARÇONI"/>
    <s v="MME"/>
    <s v="ADM"/>
    <n v="50038854"/>
    <x v="27"/>
    <n v="1"/>
    <s v="REALIZADO"/>
    <s v="BRUNO"/>
    <d v="2025-08-13T00:00:00"/>
    <x v="0"/>
  </r>
  <r>
    <n v="65496"/>
    <s v="EVANDRO SILVA"/>
    <s v="MME"/>
    <s v="3º TURNO"/>
    <n v="50038854"/>
    <x v="27"/>
    <n v="1"/>
    <s v="REALIZADO"/>
    <s v="MARCIA"/>
    <d v="2025-08-13T00:00:00"/>
    <x v="2"/>
  </r>
  <r>
    <n v="65496"/>
    <s v="EVANDRO SILVA"/>
    <s v="MME"/>
    <s v="3º TURNO"/>
    <n v="50038854"/>
    <x v="27"/>
    <n v="1"/>
    <s v="REALIZADO"/>
    <s v="MARCIA"/>
    <d v="2025-08-13T00:00:00"/>
    <x v="0"/>
  </r>
  <r>
    <n v="62180"/>
    <s v="JOSE AUGUSTO MASSUCHINI"/>
    <s v="MMG"/>
    <s v="ADM"/>
    <n v="50037905"/>
    <x v="49"/>
    <n v="1"/>
    <s v="REALIZADO"/>
    <s v="BRUNO"/>
    <d v="2025-08-13T00:00:00"/>
    <x v="2"/>
  </r>
  <r>
    <n v="62180"/>
    <s v="JOSE AUGUSTO MASSUCHINI"/>
    <s v="MMG"/>
    <s v="ADM"/>
    <n v="50037905"/>
    <x v="49"/>
    <n v="1"/>
    <s v="REALIZADO"/>
    <s v="MARCIA"/>
    <d v="2025-08-13T00:00:00"/>
    <x v="0"/>
  </r>
  <r>
    <n v="65084"/>
    <s v="TIAGO DE BRITO"/>
    <s v="MMG"/>
    <s v="3º TURNO"/>
    <n v="50037902"/>
    <x v="14"/>
    <n v="1"/>
    <s v="REALIZADO"/>
    <s v="MARCIA"/>
    <d v="2025-08-13T00:00:00"/>
    <x v="0"/>
  </r>
  <r>
    <n v="65084"/>
    <s v="TIAGO DE BRITO"/>
    <s v="MMG"/>
    <s v="3º TURNO"/>
    <n v="50041195"/>
    <x v="21"/>
    <n v="1"/>
    <s v="REALIZADO"/>
    <s v="MARCIA"/>
    <d v="2025-08-13T00:00:00"/>
    <x v="0"/>
  </r>
  <r>
    <n v="58734"/>
    <s v="FABIO CARVALHO"/>
    <s v="MME"/>
    <s v="2º TURNO"/>
    <n v="50043917"/>
    <x v="66"/>
    <n v="1"/>
    <s v="REALIZADO"/>
    <s v="KELLY"/>
    <d v="2025-08-13T00:00:00"/>
    <x v="2"/>
  </r>
  <r>
    <n v="58734"/>
    <s v="FABIO CARVALHO"/>
    <s v="MME"/>
    <s v="2º TURNO"/>
    <n v="50043917"/>
    <x v="66"/>
    <n v="1"/>
    <s v="REALIZADO"/>
    <s v="AGATHA"/>
    <d v="2025-08-13T00:00:00"/>
    <x v="0"/>
  </r>
  <r>
    <n v="62640"/>
    <s v="MARCELINHO"/>
    <s v="MPR"/>
    <s v="ADM"/>
    <n v="50043917"/>
    <x v="66"/>
    <n v="1"/>
    <s v="REALIZADO"/>
    <s v="AGATHA"/>
    <d v="2025-08-13T00:00:00"/>
    <x v="2"/>
  </r>
  <r>
    <n v="62640"/>
    <s v="MARCELINHO"/>
    <s v="MPR"/>
    <s v="ADM"/>
    <n v="50043917"/>
    <x v="66"/>
    <n v="1"/>
    <s v="REALIZADO"/>
    <s v="AGATHA"/>
    <d v="2025-08-13T00:00:00"/>
    <x v="2"/>
  </r>
  <r>
    <n v="77594"/>
    <s v="VINICIUS ROBLES"/>
    <s v="MME"/>
    <s v="ADM"/>
    <n v="50007151"/>
    <x v="75"/>
    <n v="1"/>
    <s v="REALIZADO"/>
    <s v="AGATHA"/>
    <d v="2025-08-13T00:00:00"/>
    <x v="2"/>
  </r>
  <r>
    <n v="77594"/>
    <s v="VINICIUS ROBLES"/>
    <s v="MME"/>
    <s v="ADM"/>
    <n v="50005179"/>
    <x v="118"/>
    <n v="1"/>
    <s v="REALIZADO"/>
    <s v="AGATHA"/>
    <d v="2025-08-13T00:00:00"/>
    <x v="2"/>
  </r>
  <r>
    <n v="69510"/>
    <s v="GABRIEL CAIXETA DOMICIANO"/>
    <s v="MEE"/>
    <s v="ADM"/>
    <n v="50002644"/>
    <x v="83"/>
    <n v="1"/>
    <s v="REALIZADO"/>
    <s v="BRUNA"/>
    <d v="2025-08-12T00:00:00"/>
    <x v="0"/>
  </r>
  <r>
    <n v="74627"/>
    <s v="VINICIUS BORDIN SOUZA"/>
    <s v="MEE"/>
    <s v="1º TURNO"/>
    <n v="50038854"/>
    <x v="27"/>
    <n v="1"/>
    <s v="REALIZADO"/>
    <s v="MARCIA"/>
    <d v="2025-08-12T00:00:00"/>
    <x v="2"/>
  </r>
  <r>
    <n v="74627"/>
    <s v="VINICIUS BORDIN SOUZA"/>
    <s v="MEE"/>
    <s v="1º TURNO"/>
    <n v="50038854"/>
    <x v="27"/>
    <n v="1"/>
    <s v="REALIZADO"/>
    <s v="MARCIA"/>
    <d v="2025-08-12T00:00:00"/>
    <x v="0"/>
  </r>
  <r>
    <n v="70105"/>
    <s v="RONALDO DE SOUZA SANTOS"/>
    <s v="MMG"/>
    <s v="2º TURNO"/>
    <n v="50036296"/>
    <x v="46"/>
    <n v="1"/>
    <s v="REALIZADO"/>
    <s v="AGATHA"/>
    <d v="2025-08-12T00:00:00"/>
    <x v="2"/>
  </r>
  <r>
    <n v="70105"/>
    <s v="RONALDO DE SOUZA SANTOS"/>
    <s v="MMG"/>
    <s v="2º TURNO"/>
    <n v="50036296"/>
    <x v="46"/>
    <n v="1"/>
    <s v="REALIZADO"/>
    <s v="AGATHA"/>
    <d v="2025-08-12T00:00:00"/>
    <x v="0"/>
  </r>
  <r>
    <n v="77313"/>
    <s v="ROGERIO"/>
    <s v="MPR"/>
    <s v="ADM"/>
    <n v="50036086"/>
    <x v="3"/>
    <n v="1"/>
    <s v="REALIZADO"/>
    <s v="BRUNA"/>
    <d v="2025-08-12T00:00:00"/>
    <x v="0"/>
  </r>
  <r>
    <n v="74874"/>
    <s v="FABIANO MARQUES"/>
    <s v="MMG"/>
    <s v="ADM"/>
    <n v="50037905"/>
    <x v="49"/>
    <n v="1"/>
    <s v="REALIZADO"/>
    <s v="MATHEUS"/>
    <d v="2025-08-12T00:00:00"/>
    <x v="2"/>
  </r>
  <r>
    <n v="74874"/>
    <s v="FABIANO MARQUES"/>
    <s v="MMG"/>
    <s v="ADM"/>
    <n v="50037905"/>
    <x v="49"/>
    <n v="1"/>
    <s v="REALIZADO"/>
    <s v="MARCIA"/>
    <d v="2025-08-12T00:00:00"/>
    <x v="0"/>
  </r>
  <r>
    <n v="77521"/>
    <s v="LUCAS LIRA"/>
    <s v="MME"/>
    <s v="ADM"/>
    <n v="50039236"/>
    <x v="84"/>
    <n v="1"/>
    <s v="REALIZADO"/>
    <s v="MATHEUS"/>
    <d v="2025-08-12T00:00:00"/>
    <x v="2"/>
  </r>
  <r>
    <n v="77521"/>
    <s v="LUCAS LIRA"/>
    <s v="MME"/>
    <s v="ADM"/>
    <n v="50039236"/>
    <x v="84"/>
    <n v="1"/>
    <s v="REALIZADO"/>
    <s v="MATHEUS"/>
    <d v="2025-08-12T00:00:00"/>
    <x v="0"/>
  </r>
  <r>
    <n v="77526"/>
    <s v="FELIPE GARÇONI"/>
    <s v="MME"/>
    <s v="ADM"/>
    <n v="50030074"/>
    <x v="115"/>
    <n v="1"/>
    <s v="REALIZADO"/>
    <s v="AGATHA"/>
    <d v="2025-08-12T00:00:00"/>
    <x v="0"/>
  </r>
  <r>
    <n v="77526"/>
    <s v="FELIPE GARÇONI"/>
    <s v="MME"/>
    <s v="ADM"/>
    <n v="50030074"/>
    <x v="115"/>
    <n v="1"/>
    <s v="REALIZADO"/>
    <s v="AGATHA"/>
    <d v="2025-08-12T00:00:00"/>
    <x v="2"/>
  </r>
  <r>
    <n v="77526"/>
    <s v="FELIPE GARÇONI"/>
    <s v="MME"/>
    <s v="ADM"/>
    <n v="50030074"/>
    <x v="115"/>
    <n v="1"/>
    <s v="REALIZADO"/>
    <s v="MATHEUS"/>
    <d v="2025-08-12T00:00:00"/>
    <x v="2"/>
  </r>
  <r>
    <n v="67863"/>
    <s v="MARCELO PAIM"/>
    <s v="MME"/>
    <s v="1º TURNO"/>
    <n v="50043471"/>
    <x v="5"/>
    <n v="1"/>
    <s v="REALIZADO"/>
    <s v="BRUNA"/>
    <d v="2025-08-12T00:00:00"/>
    <x v="0"/>
  </r>
  <r>
    <n v="61761"/>
    <s v="JOAO BORTOLI"/>
    <s v="MEE"/>
    <s v="2º TURNO"/>
    <n v="50003297"/>
    <x v="8"/>
    <n v="1"/>
    <s v="REALIZADO"/>
    <s v="AGATHA"/>
    <d v="2025-08-12T00:00:00"/>
    <x v="2"/>
  </r>
  <r>
    <n v="61761"/>
    <s v="JOAO BORTOLI"/>
    <s v="MEE"/>
    <s v="2º TURNO"/>
    <n v="50003297"/>
    <x v="8"/>
    <n v="1"/>
    <s v="REALIZADO"/>
    <s v="AGATHA"/>
    <d v="2025-08-12T00:00:00"/>
    <x v="0"/>
  </r>
  <r>
    <n v="62471"/>
    <s v="ELTON LIMA"/>
    <s v="MME"/>
    <s v="ADM"/>
    <n v="50003297"/>
    <x v="8"/>
    <n v="1"/>
    <s v="REALIZADO"/>
    <s v="AGATHA"/>
    <d v="2025-08-12T00:00:00"/>
    <x v="2"/>
  </r>
  <r>
    <n v="62471"/>
    <s v="ELTON LIMA"/>
    <s v="MME"/>
    <s v="ADM"/>
    <n v="50003297"/>
    <x v="8"/>
    <n v="1"/>
    <s v="REALIZADO"/>
    <s v="AGATHA"/>
    <d v="2025-08-12T00:00:00"/>
    <x v="0"/>
  </r>
  <r>
    <n v="61761"/>
    <s v="JOAO BORTOLI"/>
    <s v="MEE"/>
    <s v="2º TURNO"/>
    <n v="50043320"/>
    <x v="35"/>
    <n v="1"/>
    <s v="REALIZADO"/>
    <s v="AGATHA"/>
    <d v="2025-08-12T00:00:00"/>
    <x v="2"/>
  </r>
  <r>
    <n v="61761"/>
    <s v="JOAO BORTOLI"/>
    <s v="MEE"/>
    <s v="2º TURNO"/>
    <n v="50043320"/>
    <x v="35"/>
    <n v="1"/>
    <s v="REALIZADO"/>
    <s v="AGATHA"/>
    <d v="2025-08-12T00:00:00"/>
    <x v="0"/>
  </r>
  <r>
    <n v="61355"/>
    <s v="ALESSANDRO DE LIMA"/>
    <s v="MEE"/>
    <s v="3º TURNO"/>
    <n v="50043320"/>
    <x v="35"/>
    <n v="1"/>
    <s v="REALIZADO"/>
    <s v="MARCIA"/>
    <d v="2025-08-12T00:00:00"/>
    <x v="2"/>
  </r>
  <r>
    <n v="61355"/>
    <s v="ALESSANDRO DE LIMA"/>
    <s v="MEE"/>
    <s v="3º TURNO"/>
    <n v="50043320"/>
    <x v="35"/>
    <n v="1"/>
    <s v="REALIZADO"/>
    <s v="MARCIA"/>
    <d v="2025-08-12T00:00:00"/>
    <x v="0"/>
  </r>
  <r>
    <n v="68430"/>
    <s v="JOAO CAIXETA"/>
    <s v="MEE"/>
    <s v="1º TURNO"/>
    <n v="50038549"/>
    <x v="6"/>
    <n v="1"/>
    <s v="REALIZADO"/>
    <s v="AGATHA"/>
    <d v="2025-08-12T00:00:00"/>
    <x v="2"/>
  </r>
  <r>
    <n v="68430"/>
    <s v="JOAO CAIXETA"/>
    <s v="MEE"/>
    <s v="1º TURNO"/>
    <n v="50038549"/>
    <x v="6"/>
    <n v="1"/>
    <s v="REALIZADO"/>
    <s v="MATHEUS"/>
    <d v="2025-08-12T00:00:00"/>
    <x v="2"/>
  </r>
  <r>
    <n v="65084"/>
    <s v="TIAGO DE BRITO"/>
    <s v="MMG"/>
    <s v="3º TURNO"/>
    <n v="50037902"/>
    <x v="14"/>
    <n v="1"/>
    <s v="REALIZADO"/>
    <s v="MARCIA"/>
    <d v="2025-08-12T00:00:00"/>
    <x v="0"/>
  </r>
  <r>
    <n v="65900"/>
    <s v="DANILO CARVALHO VAIDELLO"/>
    <s v="MME"/>
    <s v="2º TURNO"/>
    <n v="50037902"/>
    <x v="14"/>
    <n v="1"/>
    <s v="REALIZADO"/>
    <s v="KELLY"/>
    <d v="2025-08-12T00:00:00"/>
    <x v="2"/>
  </r>
  <r>
    <n v="65900"/>
    <s v="DANILO CARVALHO VAIDELLO"/>
    <s v="MME"/>
    <s v="2º TURNO"/>
    <n v="50037902"/>
    <x v="14"/>
    <n v="1"/>
    <s v="REALIZADO"/>
    <s v="KELLY"/>
    <d v="2025-08-12T00:00:00"/>
    <x v="0"/>
  </r>
  <r>
    <n v="77526"/>
    <s v="FELIPE GARÇONI"/>
    <s v="MME"/>
    <s v="ADM"/>
    <n v="50037902"/>
    <x v="14"/>
    <n v="1"/>
    <s v="REALIZADO"/>
    <s v="AGATHA"/>
    <d v="2025-08-12T00:00:00"/>
    <x v="2"/>
  </r>
  <r>
    <n v="77526"/>
    <s v="FELIPE GARÇONI"/>
    <s v="MME"/>
    <s v="ADM"/>
    <n v="50037902"/>
    <x v="14"/>
    <n v="1"/>
    <s v="REALIZADO"/>
    <s v="MATHEUS"/>
    <d v="2025-08-12T00:00:00"/>
    <x v="0"/>
  </r>
  <r>
    <n v="74611"/>
    <s v="CRISTIAM BORGES"/>
    <s v="MPR"/>
    <s v="ADM"/>
    <n v="50038841"/>
    <x v="34"/>
    <n v="1"/>
    <s v="REALIZADO"/>
    <s v="AGATHA"/>
    <d v="2025-08-12T00:00:00"/>
    <x v="2"/>
  </r>
  <r>
    <n v="74611"/>
    <s v="CRISTIAM BORGES"/>
    <s v="MPR"/>
    <s v="ADM"/>
    <n v="50038841"/>
    <x v="34"/>
    <n v="1"/>
    <s v="REALIZADO"/>
    <s v="MATHEUS"/>
    <d v="2025-08-12T00:00:00"/>
    <x v="0"/>
  </r>
  <r>
    <n v="73878"/>
    <s v="EVANDRO TANAKA"/>
    <s v="MMG"/>
    <s v="ADM"/>
    <n v="50038517"/>
    <x v="0"/>
    <n v="1"/>
    <s v="REALIZADO"/>
    <s v="AGATHA"/>
    <d v="2025-08-12T00:00:00"/>
    <x v="2"/>
  </r>
  <r>
    <n v="73878"/>
    <s v="EVANDRO TANAKA"/>
    <s v="MMG"/>
    <s v="ADM"/>
    <n v="50038517"/>
    <x v="0"/>
    <n v="1"/>
    <s v="REALIZADO"/>
    <s v="MATHEUS"/>
    <d v="2025-08-12T00:00:00"/>
    <x v="0"/>
  </r>
  <r>
    <n v="74611"/>
    <s v="CRISTIAM BORGES"/>
    <s v="MPR"/>
    <s v="ADM"/>
    <n v="50001995"/>
    <x v="44"/>
    <n v="1"/>
    <s v="REALIZADO"/>
    <s v="AGATHA"/>
    <d v="2025-08-12T00:00:00"/>
    <x v="2"/>
  </r>
  <r>
    <n v="74611"/>
    <s v="CRISTIAM BORGES"/>
    <s v="MPR"/>
    <s v="ADM"/>
    <n v="50001995"/>
    <x v="44"/>
    <n v="1"/>
    <s v="REALIZADO"/>
    <s v="MATHEUS"/>
    <d v="2025-08-12T00:00:00"/>
    <x v="0"/>
  </r>
  <r>
    <n v="61096"/>
    <s v="REGIVALDO MEDEIROS"/>
    <s v="MME"/>
    <s v="ADM"/>
    <n v="50036332"/>
    <x v="82"/>
    <n v="1"/>
    <s v="REALIZADO"/>
    <s v="BRUNA"/>
    <d v="2025-08-12T00:00:00"/>
    <x v="2"/>
  </r>
  <r>
    <n v="65084"/>
    <s v="TIAGO DE BRITO"/>
    <s v="MMG"/>
    <s v="3º TURNO"/>
    <n v="50041195"/>
    <x v="21"/>
    <n v="1"/>
    <s v="REALIZADO"/>
    <s v="MARCIA"/>
    <d v="2025-08-12T00:00:00"/>
    <x v="0"/>
  </r>
  <r>
    <n v="72707"/>
    <s v="LEONARDO DOS SANTOS"/>
    <s v="MPR"/>
    <s v="ADM"/>
    <n v="50041195"/>
    <x v="21"/>
    <n v="1"/>
    <s v="REALIZADO"/>
    <s v="AGATHA"/>
    <d v="2025-08-12T00:00:00"/>
    <x v="2"/>
  </r>
  <r>
    <n v="72707"/>
    <s v="LEONARDO DOS SANTOS"/>
    <s v="MPR"/>
    <s v="ADM"/>
    <n v="50041195"/>
    <x v="21"/>
    <n v="1"/>
    <s v="REALIZADO"/>
    <s v="MATHEUS"/>
    <d v="2025-08-12T00:00:00"/>
    <x v="0"/>
  </r>
  <r>
    <n v="78678"/>
    <s v="MARLOM ROGERIO VIEIRA"/>
    <s v="MME"/>
    <s v="ADM"/>
    <n v="50043917"/>
    <x v="66"/>
    <n v="1"/>
    <s v="REALIZADO"/>
    <s v="MATHEUS"/>
    <d v="2025-08-12T00:00:00"/>
    <x v="2"/>
  </r>
  <r>
    <n v="78678"/>
    <s v="MARLOM ROGERIO VIEIRA"/>
    <s v="MME"/>
    <s v="ADM"/>
    <n v="50043917"/>
    <x v="66"/>
    <n v="1"/>
    <s v="REALIZADO"/>
    <s v="MATHEUS"/>
    <d v="2025-08-12T00:00:00"/>
    <x v="0"/>
  </r>
  <r>
    <n v="61355"/>
    <s v="ALESSANDRO DE LIMA"/>
    <s v="MEE"/>
    <s v="3º TURNO"/>
    <n v="50043917"/>
    <x v="66"/>
    <n v="1"/>
    <s v="REALIZADO"/>
    <s v="MARCIA"/>
    <d v="2025-08-12T00:00:00"/>
    <x v="2"/>
  </r>
  <r>
    <n v="61355"/>
    <s v="ALESSANDRO DE LIMA"/>
    <s v="MEE"/>
    <s v="3º TURNO"/>
    <n v="50043917"/>
    <x v="66"/>
    <n v="1"/>
    <s v="REALIZADO"/>
    <s v="MARCIA"/>
    <d v="2025-08-12T00:00:00"/>
    <x v="0"/>
  </r>
  <r>
    <n v="64253"/>
    <s v="DANIEL JULIAO"/>
    <s v="MMG"/>
    <s v="ADM"/>
    <n v="50037952"/>
    <x v="56"/>
    <n v="1"/>
    <s v="REALIZADO"/>
    <s v="AGATHA"/>
    <d v="2025-08-12T00:00:00"/>
    <x v="2"/>
  </r>
  <r>
    <n v="64253"/>
    <s v="DANIEL JULIAO"/>
    <s v="MMG"/>
    <s v="ADM"/>
    <n v="50037952"/>
    <x v="56"/>
    <n v="1"/>
    <s v="REALIZADO"/>
    <s v="BRUNA"/>
    <d v="2025-08-12T00:00:00"/>
    <x v="0"/>
  </r>
  <r>
    <n v="73336"/>
    <s v="RODRIGO RODRIGUES"/>
    <s v="MMG"/>
    <s v="ADM"/>
    <n v="50036296"/>
    <x v="46"/>
    <n v="1"/>
    <s v="REALIZADO"/>
    <s v="BRUNO"/>
    <d v="2025-08-11T00:00:00"/>
    <x v="2"/>
  </r>
  <r>
    <n v="73336"/>
    <s v="RODRIGO RODRIGUES"/>
    <s v="MMG"/>
    <s v="ADM"/>
    <n v="50036296"/>
    <x v="46"/>
    <n v="1"/>
    <s v="REALIZADO"/>
    <s v="BRUNO"/>
    <d v="2025-08-11T00:00:00"/>
    <x v="0"/>
  </r>
  <r>
    <n v="77526"/>
    <s v="FELIPE GARÇONI"/>
    <s v="MME"/>
    <s v="ADM"/>
    <n v="50030074"/>
    <x v="115"/>
    <n v="1"/>
    <s v="REALIZADO"/>
    <s v="AGATHA"/>
    <d v="2025-08-11T00:00:00"/>
    <x v="2"/>
  </r>
  <r>
    <n v="77526"/>
    <s v="FELIPE GARÇONI"/>
    <s v="MME"/>
    <s v="ADM"/>
    <n v="50030074"/>
    <x v="115"/>
    <n v="1"/>
    <s v="REALIZADO"/>
    <s v="BRUNO"/>
    <d v="2025-08-11T00:00:00"/>
    <x v="0"/>
  </r>
  <r>
    <n v="74874"/>
    <s v="FABIANO MARQUES"/>
    <s v="MMG"/>
    <s v="ADM"/>
    <n v="50030074"/>
    <x v="115"/>
    <n v="1"/>
    <s v="REALIZADO"/>
    <s v="BRUNO"/>
    <d v="2025-08-11T00:00:00"/>
    <x v="2"/>
  </r>
  <r>
    <n v="74874"/>
    <s v="FABIANO MARQUES"/>
    <s v="MMG"/>
    <s v="ADM"/>
    <n v="50030074"/>
    <x v="115"/>
    <n v="1"/>
    <s v="REALIZADO"/>
    <s v="BRUNO"/>
    <d v="2025-08-11T00:00:00"/>
    <x v="0"/>
  </r>
  <r>
    <n v="58068"/>
    <s v="REGINALDO PEREIRA"/>
    <s v="MME"/>
    <s v="ADM"/>
    <n v="50003296"/>
    <x v="105"/>
    <n v="1"/>
    <s v="REALIZADO"/>
    <s v="AGATHA"/>
    <d v="2025-08-11T00:00:00"/>
    <x v="2"/>
  </r>
  <r>
    <n v="58068"/>
    <s v="REGINALDO PEREIRA"/>
    <s v="MME"/>
    <s v="ADM"/>
    <n v="50003296"/>
    <x v="105"/>
    <n v="1"/>
    <s v="REALIZADO"/>
    <s v="AGATHA"/>
    <d v="2025-08-11T00:00:00"/>
    <x v="0"/>
  </r>
  <r>
    <n v="63713"/>
    <s v="BRUNO DIAS"/>
    <s v="MME"/>
    <s v="ADM"/>
    <n v="50003296"/>
    <x v="105"/>
    <n v="1"/>
    <s v="REALIZADO"/>
    <s v="AGATHA"/>
    <d v="2025-08-11T00:00:00"/>
    <x v="2"/>
  </r>
  <r>
    <n v="63713"/>
    <s v="BRUNO DIAS"/>
    <s v="MME"/>
    <s v="ADM"/>
    <n v="50003296"/>
    <x v="105"/>
    <n v="1"/>
    <s v="REALIZADO"/>
    <s v="AGATHA"/>
    <d v="2025-08-11T00:00:00"/>
    <x v="0"/>
  </r>
  <r>
    <n v="68430"/>
    <s v="JOAO CAIXETA"/>
    <s v="MEE"/>
    <s v="1º TURNO"/>
    <n v="50038549"/>
    <x v="6"/>
    <n v="1"/>
    <s v="REALIZADO"/>
    <s v="AGATHA"/>
    <d v="2025-08-11T00:00:00"/>
    <x v="2"/>
  </r>
  <r>
    <n v="68430"/>
    <s v="JOAO CAIXETA"/>
    <s v="MEE"/>
    <s v="1º TURNO"/>
    <n v="50038549"/>
    <x v="6"/>
    <n v="1"/>
    <s v="REALIZADO"/>
    <s v="BRUNO"/>
    <d v="2025-08-11T00:00:00"/>
    <x v="0"/>
  </r>
  <r>
    <n v="73878"/>
    <s v="EVANDRO TANAKA"/>
    <s v="MMG"/>
    <s v="ADM"/>
    <n v="50037902"/>
    <x v="14"/>
    <n v="1"/>
    <s v="REALIZADO"/>
    <s v="AGATHA"/>
    <d v="2025-08-11T00:00:00"/>
    <x v="2"/>
  </r>
  <r>
    <n v="73878"/>
    <s v="EVANDRO TANAKA"/>
    <s v="MMG"/>
    <s v="ADM"/>
    <n v="50037902"/>
    <x v="14"/>
    <n v="1"/>
    <s v="REALIZADO"/>
    <s v="BRUNO"/>
    <d v="2025-08-11T00:00:00"/>
    <x v="0"/>
  </r>
  <r>
    <n v="74874"/>
    <s v="FABIANO MARQUES"/>
    <s v="MMG"/>
    <s v="ADM"/>
    <n v="50037902"/>
    <x v="14"/>
    <n v="1"/>
    <s v="REALIZADO"/>
    <s v="BRUNO"/>
    <d v="2025-08-11T00:00:00"/>
    <x v="2"/>
  </r>
  <r>
    <n v="74874"/>
    <s v="FABIANO MARQUES"/>
    <s v="MMG"/>
    <s v="ADM"/>
    <n v="50037902"/>
    <x v="14"/>
    <n v="1"/>
    <s v="REALIZADO"/>
    <s v="BRUNO"/>
    <d v="2025-08-11T00:00:00"/>
    <x v="0"/>
  </r>
  <r>
    <n v="77526"/>
    <s v="FELIPE GARÇONI"/>
    <s v="MME"/>
    <s v="ADM"/>
    <n v="50038841"/>
    <x v="34"/>
    <n v="1"/>
    <s v="REALIZADO"/>
    <s v="AGATHA"/>
    <d v="2025-08-11T00:00:00"/>
    <x v="2"/>
  </r>
  <r>
    <n v="77526"/>
    <s v="FELIPE GARÇONI"/>
    <s v="MME"/>
    <s v="ADM"/>
    <n v="50038841"/>
    <x v="34"/>
    <n v="1"/>
    <s v="REALIZADO"/>
    <s v="BRUNO"/>
    <d v="2025-08-11T00:00:00"/>
    <x v="0"/>
  </r>
  <r>
    <n v="77521"/>
    <s v="LUCAS LIRA"/>
    <s v="MME"/>
    <s v="ADM"/>
    <n v="50038517"/>
    <x v="0"/>
    <n v="1"/>
    <s v="REALIZADO"/>
    <s v="AGATHA"/>
    <d v="2025-08-11T00:00:00"/>
    <x v="2"/>
  </r>
  <r>
    <n v="77521"/>
    <s v="LUCAS LIRA"/>
    <s v="MME"/>
    <s v="ADM"/>
    <n v="50038517"/>
    <x v="0"/>
    <n v="1"/>
    <s v="REALIZADO"/>
    <s v="AGATHA"/>
    <d v="2025-08-11T00:00:00"/>
    <x v="0"/>
  </r>
  <r>
    <n v="63713"/>
    <s v="BRUNO DIAS"/>
    <s v="MME"/>
    <s v="ADM"/>
    <n v="50038517"/>
    <x v="0"/>
    <n v="1"/>
    <s v="REALIZADO"/>
    <s v="BRUNA"/>
    <d v="2025-08-11T00:00:00"/>
    <x v="2"/>
  </r>
  <r>
    <n v="63713"/>
    <s v="BRUNO DIAS"/>
    <s v="MME"/>
    <s v="ADM"/>
    <n v="50038517"/>
    <x v="0"/>
    <n v="1"/>
    <s v="REALIZADO"/>
    <s v="BRUNO"/>
    <d v="2025-08-11T00:00:00"/>
    <x v="0"/>
  </r>
  <r>
    <n v="77526"/>
    <s v="FELIPE GARÇONI"/>
    <s v="MME"/>
    <s v="ADM"/>
    <n v="50038517"/>
    <x v="0"/>
    <n v="1"/>
    <s v="REALIZADO"/>
    <s v="BRUNO"/>
    <d v="2025-08-11T00:00:00"/>
    <x v="2"/>
  </r>
  <r>
    <n v="77526"/>
    <s v="FELIPE GARÇONI"/>
    <s v="MME"/>
    <s v="ADM"/>
    <n v="50038517"/>
    <x v="0"/>
    <n v="1"/>
    <s v="REALIZADO"/>
    <s v="BRUNO"/>
    <d v="2025-08-11T00:00:00"/>
    <x v="0"/>
  </r>
  <r>
    <n v="73878"/>
    <s v="EVANDRO TANAKA"/>
    <s v="MMG"/>
    <s v="ADM"/>
    <n v="50001995"/>
    <x v="44"/>
    <n v="1"/>
    <s v="REALIZADO"/>
    <s v="BRUNA"/>
    <d v="2025-08-11T00:00:00"/>
    <x v="2"/>
  </r>
  <r>
    <n v="73878"/>
    <s v="EVANDRO TANAKA"/>
    <s v="MMG"/>
    <s v="ADM"/>
    <n v="50001995"/>
    <x v="44"/>
    <n v="1"/>
    <s v="REALIZADO"/>
    <s v="BRUNO"/>
    <d v="2025-08-11T00:00:00"/>
    <x v="2"/>
  </r>
  <r>
    <n v="61096"/>
    <s v="REGIVALDO MEDEIROS"/>
    <s v="MME"/>
    <s v="ADM"/>
    <n v="50036332"/>
    <x v="82"/>
    <n v="1"/>
    <s v="REALIZADO"/>
    <s v="BRUNO"/>
    <d v="2025-08-11T00:00:00"/>
    <x v="2"/>
  </r>
  <r>
    <n v="78678"/>
    <s v="MARLOM ROGERIO VIEIRA"/>
    <s v="MME"/>
    <s v="ADM"/>
    <n v="50036297"/>
    <x v="100"/>
    <n v="1"/>
    <s v="REALIZADO"/>
    <s v="KELLY"/>
    <d v="2025-08-11T00:00:00"/>
    <x v="2"/>
  </r>
  <r>
    <n v="61096"/>
    <s v="REGIVALDO MEDEIROS"/>
    <s v="MME"/>
    <s v="ADM"/>
    <n v="50038626"/>
    <x v="72"/>
    <n v="1"/>
    <s v="REALIZADO"/>
    <s v="BRUNO"/>
    <d v="2025-08-11T00:00:00"/>
    <x v="0"/>
  </r>
  <r>
    <n v="70102"/>
    <s v="VITOR FERREIRA DE HOLANDA"/>
    <s v="MEE"/>
    <s v="2º TURNO"/>
    <n v="50041195"/>
    <x v="21"/>
    <n v="1"/>
    <s v="REALIZADO"/>
    <s v="AGATHA"/>
    <d v="2025-08-11T00:00:00"/>
    <x v="2"/>
  </r>
  <r>
    <n v="70102"/>
    <s v="VITOR FERREIRA DE HOLANDA"/>
    <s v="MEE"/>
    <s v="2º TURNO"/>
    <n v="50041195"/>
    <x v="21"/>
    <n v="1"/>
    <s v="REALIZADO"/>
    <s v="AGATHA"/>
    <d v="2025-08-11T00:00:00"/>
    <x v="0"/>
  </r>
  <r>
    <n v="74874"/>
    <s v="FABIANO MARQUES"/>
    <s v="MMG"/>
    <s v="ADM"/>
    <n v="50041195"/>
    <x v="21"/>
    <n v="1"/>
    <s v="REALIZADO"/>
    <s v="BRUNO"/>
    <d v="2025-08-11T00:00:00"/>
    <x v="2"/>
  </r>
  <r>
    <n v="74874"/>
    <s v="FABIANO MARQUES"/>
    <s v="MMG"/>
    <s v="ADM"/>
    <n v="50041195"/>
    <x v="21"/>
    <n v="1"/>
    <s v="REALIZADO"/>
    <s v="BRUNO"/>
    <d v="2025-08-11T00:00:00"/>
    <x v="0"/>
  </r>
  <r>
    <n v="64074"/>
    <s v="MARCOS FERNANDES COLOMBO"/>
    <s v="MPR"/>
    <s v="ADM"/>
    <n v="50043917"/>
    <x v="66"/>
    <n v="1"/>
    <s v="REALIZADO"/>
    <s v="AGATHA"/>
    <d v="2025-08-11T00:00:00"/>
    <x v="2"/>
  </r>
  <r>
    <n v="64074"/>
    <s v="MARCOS FERNANDES COLOMBO"/>
    <s v="MPR"/>
    <s v="ADM"/>
    <n v="50043917"/>
    <x v="66"/>
    <n v="1"/>
    <s v="REALIZADO"/>
    <s v="BRUNO"/>
    <d v="2025-08-11T00:00:00"/>
    <x v="0"/>
  </r>
  <r>
    <n v="62931"/>
    <s v="LUIZ MARANHO"/>
    <s v="MME"/>
    <s v="1º TURNO"/>
    <n v="50037902"/>
    <x v="14"/>
    <n v="1"/>
    <s v="REALIZADO"/>
    <s v="KELLY"/>
    <d v="2025-08-09T00:00:00"/>
    <x v="2"/>
  </r>
  <r>
    <n v="62931"/>
    <s v="LUIZ MARANHO"/>
    <s v="MME"/>
    <s v="1º TURNO"/>
    <n v="50037902"/>
    <x v="14"/>
    <n v="1"/>
    <s v="REALIZADO"/>
    <s v="KELLY"/>
    <d v="2025-08-09T00:00:00"/>
    <x v="0"/>
  </r>
  <r>
    <n v="60763"/>
    <s v="LEANDRO VASCONCELOS"/>
    <s v="MMG"/>
    <s v="1º TURNO"/>
    <n v="50038194"/>
    <x v="87"/>
    <n v="1"/>
    <s v="REALIZADO"/>
    <s v="KELLY"/>
    <d v="2025-08-09T00:00:00"/>
    <x v="2"/>
  </r>
  <r>
    <n v="60763"/>
    <s v="LEANDRO VASCONCELOS"/>
    <s v="MMG"/>
    <s v="1º TURNO"/>
    <n v="50038194"/>
    <x v="87"/>
    <n v="1"/>
    <s v="REALIZADO"/>
    <s v="KELLY"/>
    <d v="2025-08-09T00:00:00"/>
    <x v="0"/>
  </r>
  <r>
    <n v="74874"/>
    <s v="FABIANO MARQUES"/>
    <s v="MMG"/>
    <s v="ADM"/>
    <n v="50037905"/>
    <x v="49"/>
    <n v="1"/>
    <s v="REALIZADO"/>
    <s v="BRUNO"/>
    <d v="2025-08-08T00:00:00"/>
    <x v="2"/>
  </r>
  <r>
    <n v="74874"/>
    <s v="FABIANO MARQUES"/>
    <s v="MMG"/>
    <s v="ADM"/>
    <n v="50037905"/>
    <x v="49"/>
    <n v="1"/>
    <s v="REALIZADO"/>
    <s v="BRUNA"/>
    <d v="2025-08-08T00:00:00"/>
    <x v="0"/>
  </r>
  <r>
    <n v="68760"/>
    <s v="FERDINANDO PAZINI"/>
    <s v="MMG"/>
    <s v="ADM"/>
    <n v="50039236"/>
    <x v="84"/>
    <n v="1"/>
    <s v="REALIZADO"/>
    <s v="GEOVANE"/>
    <d v="2025-08-08T00:00:00"/>
    <x v="2"/>
  </r>
  <r>
    <n v="68760"/>
    <s v="FERDINANDO PAZINI"/>
    <s v="MMG"/>
    <s v="ADM"/>
    <n v="50039236"/>
    <x v="84"/>
    <n v="1"/>
    <s v="REALIZADO"/>
    <s v="BRUNO"/>
    <d v="2025-08-08T00:00:00"/>
    <x v="0"/>
  </r>
  <r>
    <n v="62640"/>
    <s v="MARCELINHO"/>
    <s v="MPR"/>
    <s v="ADM"/>
    <n v="50029865"/>
    <x v="9"/>
    <n v="1"/>
    <s v="REALIZADO"/>
    <s v="BRUNO"/>
    <d v="2025-08-08T00:00:00"/>
    <x v="2"/>
  </r>
  <r>
    <n v="62640"/>
    <s v="MARCELINHO"/>
    <s v="MPR"/>
    <s v="ADM"/>
    <n v="50029865"/>
    <x v="9"/>
    <n v="1"/>
    <s v="REALIZADO"/>
    <s v="BRUNA"/>
    <d v="2025-08-08T00:00:00"/>
    <x v="0"/>
  </r>
  <r>
    <n v="60953"/>
    <s v="PABLO JUNIOR"/>
    <s v="MMG"/>
    <s v="1º TURNO"/>
    <n v="50043320"/>
    <x v="35"/>
    <n v="1"/>
    <s v="REALIZADO"/>
    <s v="AGATHA"/>
    <d v="2025-08-08T00:00:00"/>
    <x v="2"/>
  </r>
  <r>
    <n v="60953"/>
    <s v="PABLO JUNIOR"/>
    <s v="MMG"/>
    <s v="1º TURNO"/>
    <n v="50043320"/>
    <x v="35"/>
    <n v="1"/>
    <s v="REALIZADO"/>
    <s v="AGATHA"/>
    <d v="2025-08-08T00:00:00"/>
    <x v="0"/>
  </r>
  <r>
    <n v="68430"/>
    <s v="JOAO CAIXETA"/>
    <s v="MEE"/>
    <s v="1º TURNO"/>
    <n v="50038549"/>
    <x v="6"/>
    <n v="1"/>
    <s v="REALIZADO"/>
    <s v="AGATHA"/>
    <d v="2025-08-08T00:00:00"/>
    <x v="2"/>
  </r>
  <r>
    <n v="68430"/>
    <s v="JOAO CAIXETA"/>
    <s v="MEE"/>
    <s v="1º TURNO"/>
    <n v="50038549"/>
    <x v="6"/>
    <n v="1"/>
    <s v="REALIZADO"/>
    <s v="BRUNA"/>
    <d v="2025-08-08T00:00:00"/>
    <x v="0"/>
  </r>
  <r>
    <n v="61264"/>
    <s v="EVERTON GERONIMO"/>
    <s v="MMG"/>
    <s v="ADM"/>
    <n v="50044250"/>
    <x v="119"/>
    <n v="1"/>
    <s v="REALIZADO"/>
    <s v="GEOVANE"/>
    <d v="2025-08-08T00:00:00"/>
    <x v="0"/>
  </r>
  <r>
    <n v="67863"/>
    <s v="MARCELO PAIM"/>
    <s v="MME"/>
    <s v="1º TURNO"/>
    <n v="50038517"/>
    <x v="0"/>
    <n v="1"/>
    <s v="REALIZADO"/>
    <s v="BRUNA"/>
    <d v="2025-08-08T00:00:00"/>
    <x v="2"/>
  </r>
  <r>
    <n v="67863"/>
    <s v="MARCELO PAIM"/>
    <s v="MME"/>
    <s v="1º TURNO"/>
    <n v="50038517"/>
    <x v="0"/>
    <n v="1"/>
    <s v="REALIZADO"/>
    <s v="BRUNO"/>
    <d v="2025-08-08T00:00:00"/>
    <x v="0"/>
  </r>
  <r>
    <n v="74950"/>
    <s v="DANIEL ARAUJO ROCHA"/>
    <s v="MME"/>
    <s v="ADM"/>
    <n v="50039065"/>
    <x v="22"/>
    <n v="1"/>
    <s v="REALIZADO"/>
    <s v="AGATHA"/>
    <d v="2025-08-08T00:00:00"/>
    <x v="2"/>
  </r>
  <r>
    <n v="74950"/>
    <s v="DANIEL ARAUJO ROCHA"/>
    <s v="MME"/>
    <s v="ADM"/>
    <n v="50039065"/>
    <x v="22"/>
    <n v="1"/>
    <s v="REALIZADO"/>
    <s v="BRUNO"/>
    <d v="2025-08-08T00:00:00"/>
    <x v="0"/>
  </r>
  <r>
    <n v="64074"/>
    <s v="MARCOS FERNANDES COLOMBO"/>
    <s v="MPR"/>
    <s v="ADM"/>
    <n v="50041195"/>
    <x v="21"/>
    <n v="1"/>
    <s v="REALIZADO"/>
    <s v="BRUNO"/>
    <d v="2025-08-08T00:00:00"/>
    <x v="0"/>
  </r>
  <r>
    <n v="73878"/>
    <s v="EVANDRO TANAKA"/>
    <s v="MMG"/>
    <s v="2º TURNO"/>
    <n v="50041195"/>
    <x v="21"/>
    <n v="1"/>
    <s v="REALIZADO"/>
    <s v="HILARIO"/>
    <d v="2025-08-08T00:00:00"/>
    <x v="0"/>
  </r>
  <r>
    <n v="64128"/>
    <s v="CRISTIANO LUIZ PEGO"/>
    <s v="UTI"/>
    <s v="2º TURNO"/>
    <n v="50043917"/>
    <x v="66"/>
    <n v="1"/>
    <s v="REALIZADO"/>
    <s v="KELLY"/>
    <d v="2025-08-08T00:00:00"/>
    <x v="2"/>
  </r>
  <r>
    <n v="64128"/>
    <s v="CRISTIANO LUIZ PEGO"/>
    <s v="UTI"/>
    <s v="2º TURNO"/>
    <n v="50043917"/>
    <x v="66"/>
    <n v="1"/>
    <s v="REALIZADO"/>
    <s v="KELLY"/>
    <d v="2025-08-08T00:00:00"/>
    <x v="0"/>
  </r>
  <r>
    <n v="62640"/>
    <s v="MARCELINHO"/>
    <s v="MPR"/>
    <s v="ADM"/>
    <n v="50043917"/>
    <x v="66"/>
    <n v="1"/>
    <s v="REALIZADO"/>
    <s v="BRUNO"/>
    <d v="2025-08-08T00:00:00"/>
    <x v="2"/>
  </r>
  <r>
    <n v="62640"/>
    <s v="MARCELINHO"/>
    <s v="MPR"/>
    <s v="ADM"/>
    <n v="50043917"/>
    <x v="66"/>
    <n v="1"/>
    <s v="REALIZADO"/>
    <s v="BRUNA"/>
    <d v="2025-08-08T00:00:00"/>
    <x v="0"/>
  </r>
  <r>
    <n v="68760"/>
    <s v="FERDINANDO PAZINI"/>
    <s v="MMG"/>
    <s v="ADM"/>
    <n v="50003295"/>
    <x v="120"/>
    <n v="1"/>
    <s v="REALIZADO"/>
    <s v="GEOVANE"/>
    <d v="2025-08-08T00:00:00"/>
    <x v="2"/>
  </r>
  <r>
    <n v="68760"/>
    <s v="FERDINANDO PAZINI"/>
    <s v="MMG"/>
    <s v="ADM"/>
    <n v="50003295"/>
    <x v="120"/>
    <n v="1"/>
    <s v="REALIZADO"/>
    <s v="BRUNA"/>
    <d v="2025-08-08T00:00:00"/>
    <x v="2"/>
  </r>
  <r>
    <n v="66790"/>
    <s v="EVERTON BOLOGNES"/>
    <s v="MMG"/>
    <s v="2º TURNO"/>
    <n v="50005179"/>
    <x v="118"/>
    <n v="1"/>
    <s v="REALIZADO"/>
    <s v="AGATHA"/>
    <d v="2025-08-08T00:00:00"/>
    <x v="0"/>
  </r>
  <r>
    <n v="66790"/>
    <s v="EVERTON BOLOGNES"/>
    <s v="MMG"/>
    <s v="2º TURNO"/>
    <n v="50043151"/>
    <x v="121"/>
    <n v="1"/>
    <s v="REALIZADO"/>
    <s v="KELLY"/>
    <d v="2025-08-08T00:00:00"/>
    <x v="2"/>
  </r>
  <r>
    <n v="66790"/>
    <s v="EVERTON BOLOGNES"/>
    <s v="MMG"/>
    <s v="2º TURNO"/>
    <n v="50043151"/>
    <x v="121"/>
    <n v="1"/>
    <s v="REALIZADO"/>
    <s v="KELLY"/>
    <d v="2025-08-08T00:00:00"/>
    <x v="0"/>
  </r>
  <r>
    <n v="61264"/>
    <s v="EVERTON GERONIMO"/>
    <s v="MMG"/>
    <s v="ADM"/>
    <n v="50044250"/>
    <x v="122"/>
    <n v="1"/>
    <s v="REALIZADO"/>
    <s v="GEOVANE"/>
    <d v="2025-08-07T00:00:00"/>
    <x v="2"/>
  </r>
  <r>
    <n v="61264"/>
    <s v="EVERTON GERONIMO"/>
    <s v="MMG"/>
    <s v="ADM"/>
    <n v="50044250"/>
    <x v="122"/>
    <n v="1"/>
    <s v="REALIZADO"/>
    <s v="GEOVANE"/>
    <d v="2025-08-07T00:00:00"/>
    <x v="0"/>
  </r>
  <r>
    <n v="61955"/>
    <s v="NELSON JUNIOR"/>
    <s v="MME"/>
    <s v="1º TURNO"/>
    <n v="50043471"/>
    <x v="5"/>
    <n v="1"/>
    <s v="REALIZADO"/>
    <s v="GEOVANE"/>
    <d v="2025-08-07T00:00:00"/>
    <x v="2"/>
  </r>
  <r>
    <n v="61955"/>
    <s v="NELSON JUNIOR"/>
    <s v="MME"/>
    <s v="1º TURNO"/>
    <n v="50043471"/>
    <x v="5"/>
    <n v="1"/>
    <s v="REALIZADO"/>
    <s v="BRUNA"/>
    <d v="2025-08-07T00:00:00"/>
    <x v="0"/>
  </r>
  <r>
    <n v="68708"/>
    <s v="CLAUDIO TADEU LEITE"/>
    <s v="MMG"/>
    <s v="ADM"/>
    <n v="50038549"/>
    <x v="6"/>
    <n v="1"/>
    <s v="REALIZADO"/>
    <s v="BRUNA"/>
    <d v="2025-08-07T00:00:00"/>
    <x v="2"/>
  </r>
  <r>
    <n v="68708"/>
    <s v="CLAUDIO TADEU LEITE"/>
    <s v="MMG"/>
    <s v="ADM"/>
    <n v="50038549"/>
    <x v="6"/>
    <n v="1"/>
    <s v="REALIZADO"/>
    <s v="MATHEUS"/>
    <d v="2025-08-07T00:00:00"/>
    <x v="0"/>
  </r>
  <r>
    <n v="68708"/>
    <s v="CLAUDIO TADEU LEITE"/>
    <s v="MMG"/>
    <s v="ADM"/>
    <n v="50037902"/>
    <x v="14"/>
    <n v="1"/>
    <s v="REALIZADO"/>
    <s v="GEOVANE"/>
    <d v="2025-08-07T00:00:00"/>
    <x v="2"/>
  </r>
  <r>
    <n v="68708"/>
    <s v="CLAUDIO TADEU LEITE"/>
    <s v="MMG"/>
    <s v="ADM"/>
    <n v="50037902"/>
    <x v="14"/>
    <n v="1"/>
    <s v="REALIZADO"/>
    <s v="GEOVANE"/>
    <d v="2025-08-07T00:00:00"/>
    <x v="0"/>
  </r>
  <r>
    <n v="96464"/>
    <s v="KEVIN INAMOTO"/>
    <s v="MEE"/>
    <s v="1º TURNO"/>
    <n v="50037902"/>
    <x v="14"/>
    <n v="1"/>
    <s v="REALIZADO"/>
    <s v="BRUNO"/>
    <d v="2025-08-07T00:00:00"/>
    <x v="2"/>
  </r>
  <r>
    <n v="96464"/>
    <s v="KEVIN INAMOTO"/>
    <s v="MEE"/>
    <s v="1º TURNO"/>
    <n v="50037902"/>
    <x v="14"/>
    <n v="1"/>
    <s v="REALIZADO"/>
    <s v="BRUNO"/>
    <d v="2025-08-07T00:00:00"/>
    <x v="0"/>
  </r>
  <r>
    <n v="61955"/>
    <s v="NELSON JUNIOR"/>
    <s v="MME"/>
    <s v="1º TURNO"/>
    <n v="50038841"/>
    <x v="34"/>
    <n v="1"/>
    <s v="REALIZADO"/>
    <s v="GEOVANE"/>
    <d v="2025-08-07T00:00:00"/>
    <x v="2"/>
  </r>
  <r>
    <n v="61955"/>
    <s v="NELSON JUNIOR"/>
    <s v="MME"/>
    <s v="1º TURNO"/>
    <n v="50038841"/>
    <x v="34"/>
    <n v="1"/>
    <s v="REALIZADO"/>
    <s v="BRUNO"/>
    <d v="2025-08-07T00:00:00"/>
    <x v="0"/>
  </r>
  <r>
    <n v="61264"/>
    <s v="EVERTON GERONIMO"/>
    <s v="MMG"/>
    <s v="ADM"/>
    <n v="50038841"/>
    <x v="34"/>
    <n v="1"/>
    <s v="REALIZADO"/>
    <s v="BRUNO"/>
    <d v="2025-08-07T00:00:00"/>
    <x v="2"/>
  </r>
  <r>
    <n v="61264"/>
    <s v="EVERTON GERONIMO"/>
    <s v="MMG"/>
    <s v="ADM"/>
    <n v="50038841"/>
    <x v="34"/>
    <n v="1"/>
    <s v="REALIZADO"/>
    <s v="MATHEUS"/>
    <d v="2025-08-07T00:00:00"/>
    <x v="2"/>
  </r>
  <r>
    <n v="64074"/>
    <s v="MARCOS FERNANDES COLOMBO"/>
    <s v="MPR"/>
    <s v="ADM"/>
    <n v="50041195"/>
    <x v="21"/>
    <n v="1"/>
    <s v="REALIZADO"/>
    <s v="BRUNO"/>
    <d v="2025-08-07T00:00:00"/>
    <x v="0"/>
  </r>
  <r>
    <n v="65084"/>
    <s v="TIAGO DE BRITO"/>
    <s v="MMG"/>
    <s v="3º TURNO"/>
    <n v="50041195"/>
    <x v="21"/>
    <n v="1"/>
    <s v="REALIZADO"/>
    <s v="HILARIO"/>
    <d v="2025-08-07T00:00:00"/>
    <x v="0"/>
  </r>
  <r>
    <n v="72715"/>
    <s v="DANIEL CAMAÇARI DE OLIVEIRA"/>
    <s v="MPR"/>
    <s v="ADM"/>
    <n v="50003295"/>
    <x v="120"/>
    <n v="1"/>
    <s v="REALIZADO"/>
    <s v="GEOVANE"/>
    <d v="2025-08-07T00:00:00"/>
    <x v="2"/>
  </r>
  <r>
    <n v="72715"/>
    <s v="DANIEL CAMAÇARI DE OLIVEIRA"/>
    <s v="MPR"/>
    <s v="ADM"/>
    <n v="50003295"/>
    <x v="120"/>
    <n v="1"/>
    <s v="REALIZADO"/>
    <s v="GEOVANE"/>
    <d v="2025-08-07T00:00:00"/>
    <x v="0"/>
  </r>
  <r>
    <n v="62164"/>
    <s v="TIAGO DA SILVA"/>
    <s v="MEE"/>
    <s v="3º TURNO"/>
    <n v="50002644"/>
    <x v="83"/>
    <n v="1"/>
    <s v="REALIZADO"/>
    <s v="AGATHA"/>
    <d v="2025-08-06T00:00:00"/>
    <x v="2"/>
  </r>
  <r>
    <n v="62164"/>
    <s v="TIAGO DA SILVA"/>
    <s v="MEE"/>
    <s v="3º TURNO"/>
    <n v="50002644"/>
    <x v="83"/>
    <n v="1"/>
    <s v="REALIZADO"/>
    <s v="AGATHA"/>
    <d v="2025-08-06T00:00:00"/>
    <x v="0"/>
  </r>
  <r>
    <n v="78861"/>
    <s v="SAMUEL GONÇALVES DE OLIVEIRA"/>
    <s v="MTC"/>
    <s v="1º TURNO"/>
    <n v="50036255"/>
    <x v="7"/>
    <n v="1"/>
    <s v="REALIZADO"/>
    <s v="BRUNA"/>
    <d v="2025-08-06T00:00:00"/>
    <x v="2"/>
  </r>
  <r>
    <n v="78861"/>
    <s v="SAMUEL GONÇALVES DE OLIVEIRA"/>
    <s v="MTC"/>
    <s v="1º TURNO"/>
    <n v="50036255"/>
    <x v="7"/>
    <n v="1"/>
    <s v="REALIZADO"/>
    <s v="BRUNA"/>
    <d v="2025-08-06T00:00:00"/>
    <x v="2"/>
  </r>
  <r>
    <n v="62471"/>
    <s v="ELTON LIMA"/>
    <s v="MME"/>
    <s v="ADM"/>
    <n v="50036086"/>
    <x v="3"/>
    <n v="1"/>
    <s v="REALIZADO"/>
    <s v="BRUNA"/>
    <d v="2025-08-06T00:00:00"/>
    <x v="0"/>
  </r>
  <r>
    <n v="71850"/>
    <s v="CLEBER BRABO"/>
    <s v="MMG"/>
    <s v="ADM"/>
    <n v="50043520"/>
    <x v="97"/>
    <n v="1"/>
    <s v="REALIZADO"/>
    <s v="KELLY"/>
    <d v="2025-08-06T00:00:00"/>
    <x v="2"/>
  </r>
  <r>
    <n v="71850"/>
    <s v="CLEBER BRABO"/>
    <s v="MMG"/>
    <s v="ADM"/>
    <n v="50043520"/>
    <x v="97"/>
    <n v="1"/>
    <s v="REALIZADO"/>
    <s v="KELLY"/>
    <d v="2025-08-06T00:00:00"/>
    <x v="0"/>
  </r>
  <r>
    <n v="78886"/>
    <s v="LUCAS FELICIANO MENDES DE OLIVEIRA"/>
    <s v="MME"/>
    <s v="ADM"/>
    <n v="50043520"/>
    <x v="97"/>
    <n v="1"/>
    <s v="REALIZADO"/>
    <s v="AGATHA"/>
    <d v="2025-08-06T00:00:00"/>
    <x v="2"/>
  </r>
  <r>
    <n v="78886"/>
    <s v="LUCAS FELICIANO MENDES DE OLIVEIRA"/>
    <s v="MME"/>
    <s v="ADM"/>
    <n v="50043520"/>
    <x v="97"/>
    <n v="1"/>
    <s v="REALIZADO"/>
    <s v="BRUNA"/>
    <d v="2025-08-06T00:00:00"/>
    <x v="0"/>
  </r>
  <r>
    <n v="74874"/>
    <s v="FABIANO MARQUES"/>
    <s v="MMG"/>
    <s v="ADM"/>
    <n v="50037905"/>
    <x v="49"/>
    <n v="1"/>
    <s v="REALIZADO"/>
    <s v="BRUNA"/>
    <d v="2025-08-06T00:00:00"/>
    <x v="2"/>
  </r>
  <r>
    <n v="74874"/>
    <s v="FABIANO MARQUES"/>
    <s v="MMG"/>
    <s v="ADM"/>
    <n v="50037905"/>
    <x v="49"/>
    <n v="1"/>
    <s v="REALIZADO"/>
    <s v="BRUNA"/>
    <d v="2025-08-06T00:00:00"/>
    <x v="0"/>
  </r>
  <r>
    <n v="75424"/>
    <s v="EDSON CARLOS"/>
    <s v="MME"/>
    <s v="1º TURNO"/>
    <n v="50030074"/>
    <x v="115"/>
    <n v="1"/>
    <s v="REALIZADO"/>
    <s v="AGATHA"/>
    <d v="2025-08-06T00:00:00"/>
    <x v="2"/>
  </r>
  <r>
    <n v="75424"/>
    <s v="EDSON CARLOS"/>
    <s v="MME"/>
    <s v="1º TURNO"/>
    <n v="50030074"/>
    <x v="115"/>
    <n v="1"/>
    <s v="REALIZADO"/>
    <s v="AGATHA"/>
    <d v="2025-08-06T00:00:00"/>
    <x v="0"/>
  </r>
  <r>
    <n v="78675"/>
    <s v="ORLANDO GOMES"/>
    <s v="MME"/>
    <s v="1º TURNO"/>
    <n v="50043471"/>
    <x v="5"/>
    <n v="1"/>
    <s v="REALIZADO"/>
    <s v="AGATHA"/>
    <d v="2025-08-06T00:00:00"/>
    <x v="2"/>
  </r>
  <r>
    <n v="78675"/>
    <s v="ORLANDO GOMES"/>
    <s v="MME"/>
    <s v="1º TURNO"/>
    <n v="50043471"/>
    <x v="5"/>
    <n v="1"/>
    <s v="REALIZADO"/>
    <s v="AGATHA"/>
    <d v="2025-08-06T00:00:00"/>
    <x v="0"/>
  </r>
  <r>
    <n v="78675"/>
    <s v="ORLANDO GOMES"/>
    <s v="MME"/>
    <s v="1º TURNO"/>
    <n v="50043471"/>
    <x v="5"/>
    <n v="1"/>
    <s v="REALIZADO"/>
    <s v="AGATHA"/>
    <d v="2025-08-06T00:00:00"/>
    <x v="2"/>
  </r>
  <r>
    <n v="78675"/>
    <s v="ORLANDO GOMES"/>
    <s v="MME"/>
    <s v="1º TURNO"/>
    <n v="50043471"/>
    <x v="5"/>
    <n v="1"/>
    <s v="REALIZADO"/>
    <s v="BRUNO"/>
    <d v="2025-08-06T00:00:00"/>
    <x v="0"/>
  </r>
  <r>
    <n v="65472"/>
    <s v="ISRAEL MACEDO"/>
    <s v="MMG"/>
    <s v="ADM"/>
    <n v="50003296"/>
    <x v="105"/>
    <n v="1"/>
    <s v="REALIZADO"/>
    <s v="KELLY"/>
    <d v="2025-08-06T00:00:00"/>
    <x v="2"/>
  </r>
  <r>
    <n v="65472"/>
    <s v="ISRAEL MACEDO"/>
    <s v="MMG"/>
    <s v="ADM"/>
    <n v="50003296"/>
    <x v="105"/>
    <n v="1"/>
    <s v="REALIZADO"/>
    <s v="BRUNO"/>
    <d v="2025-08-06T00:00:00"/>
    <x v="0"/>
  </r>
  <r>
    <n v="72715"/>
    <s v="DANIEL CAMAÇARI DE OLIVEIRA"/>
    <s v="MPR"/>
    <s v="ADM"/>
    <n v="50029865"/>
    <x v="9"/>
    <n v="1"/>
    <s v="REALIZADO"/>
    <s v="AGATHA"/>
    <d v="2025-08-06T00:00:00"/>
    <x v="2"/>
  </r>
  <r>
    <n v="72715"/>
    <s v="DANIEL CAMAÇARI DE OLIVEIRA"/>
    <s v="MPR"/>
    <s v="ADM"/>
    <n v="50029865"/>
    <x v="9"/>
    <n v="1"/>
    <s v="REALIZADO"/>
    <s v="AGATHA"/>
    <d v="2025-08-06T00:00:00"/>
    <x v="0"/>
  </r>
  <r>
    <n v="96464"/>
    <s v="KEVIN INAMOTO"/>
    <s v="MEE"/>
    <s v="1º TURNO"/>
    <n v="50038549"/>
    <x v="6"/>
    <n v="1"/>
    <s v="REALIZADO"/>
    <s v="KELLY"/>
    <d v="2025-08-06T00:00:00"/>
    <x v="2"/>
  </r>
  <r>
    <n v="96464"/>
    <s v="KEVIN INAMOTO"/>
    <s v="MEE"/>
    <s v="1º TURNO"/>
    <n v="50038549"/>
    <x v="6"/>
    <n v="1"/>
    <s v="REALIZADO"/>
    <s v="BRUNO"/>
    <d v="2025-08-06T00:00:00"/>
    <x v="0"/>
  </r>
  <r>
    <n v="74611"/>
    <s v="CRISTIAM BORGES"/>
    <s v="MPR"/>
    <s v="ADM"/>
    <n v="50037902"/>
    <x v="14"/>
    <n v="1"/>
    <s v="REALIZADO"/>
    <s v="AGATHA"/>
    <d v="2025-08-06T00:00:00"/>
    <x v="2"/>
  </r>
  <r>
    <n v="74611"/>
    <s v="CRISTIAM BORGES"/>
    <s v="MPR"/>
    <s v="ADM"/>
    <n v="50037902"/>
    <x v="14"/>
    <n v="1"/>
    <s v="REALIZADO"/>
    <s v="BRUNO"/>
    <d v="2025-08-06T00:00:00"/>
    <x v="0"/>
  </r>
  <r>
    <n v="73878"/>
    <s v="EVANDRO TANAKA"/>
    <s v="MMG"/>
    <s v="ADM"/>
    <n v="50038841"/>
    <x v="34"/>
    <n v="1"/>
    <s v="REALIZADO"/>
    <s v="AGATHA"/>
    <d v="2025-08-06T00:00:00"/>
    <x v="2"/>
  </r>
  <r>
    <n v="73878"/>
    <s v="EVANDRO TANAKA"/>
    <s v="MMG"/>
    <s v="ADM"/>
    <n v="50038841"/>
    <x v="34"/>
    <n v="1"/>
    <s v="REALIZADO"/>
    <s v="BRUNO"/>
    <d v="2025-08-06T00:00:00"/>
    <x v="0"/>
  </r>
  <r>
    <n v="75424"/>
    <s v="EDSON CARLOS"/>
    <s v="MME"/>
    <s v="1º TURNO"/>
    <n v="50038517"/>
    <x v="0"/>
    <n v="1"/>
    <s v="REALIZADO"/>
    <s v="KELLY"/>
    <d v="2025-08-06T00:00:00"/>
    <x v="2"/>
  </r>
  <r>
    <n v="75424"/>
    <s v="EDSON CARLOS"/>
    <s v="MME"/>
    <s v="1º TURNO"/>
    <n v="50038517"/>
    <x v="0"/>
    <n v="1"/>
    <s v="REALIZADO"/>
    <s v="BRUNA"/>
    <d v="2025-08-06T00:00:00"/>
    <x v="0"/>
  </r>
  <r>
    <n v="74611"/>
    <s v="CRISTIAM BORGES"/>
    <s v="MPR"/>
    <s v="ADM"/>
    <n v="50001995"/>
    <x v="44"/>
    <n v="1"/>
    <s v="REALIZADO"/>
    <s v="AGATHA"/>
    <d v="2025-08-06T00:00:00"/>
    <x v="2"/>
  </r>
  <r>
    <n v="74611"/>
    <s v="CRISTIAM BORGES"/>
    <s v="MPR"/>
    <s v="ADM"/>
    <n v="50001995"/>
    <x v="44"/>
    <n v="1"/>
    <s v="REALIZADO"/>
    <s v="BRUNO"/>
    <d v="2025-08-06T00:00:00"/>
    <x v="0"/>
  </r>
  <r>
    <n v="62471"/>
    <s v="ELTON LIMA"/>
    <s v="MME"/>
    <s v="ADM"/>
    <n v="50038626"/>
    <x v="72"/>
    <n v="1"/>
    <s v="REALIZADO"/>
    <s v="KELLY"/>
    <d v="2025-08-06T00:00:00"/>
    <x v="2"/>
  </r>
  <r>
    <n v="62471"/>
    <s v="ELTON LIMA"/>
    <s v="MME"/>
    <s v="ADM"/>
    <n v="50038626"/>
    <x v="72"/>
    <n v="1"/>
    <s v="REALIZADO"/>
    <s v="BRUNA"/>
    <d v="2025-08-06T00:00:00"/>
    <x v="0"/>
  </r>
  <r>
    <n v="74611"/>
    <s v="CRISTIAM BORGES"/>
    <s v="MPR"/>
    <s v="ADM"/>
    <n v="50026357"/>
    <x v="24"/>
    <n v="1"/>
    <s v="REALIZADO"/>
    <s v="AGATHA"/>
    <d v="2025-08-06T00:00:00"/>
    <x v="2"/>
  </r>
  <r>
    <n v="74611"/>
    <s v="CRISTIAM BORGES"/>
    <s v="MPR"/>
    <s v="ADM"/>
    <n v="50026357"/>
    <x v="24"/>
    <n v="1"/>
    <s v="REALIZADO"/>
    <s v="AGATHA"/>
    <d v="2025-08-06T00:00:00"/>
    <x v="0"/>
  </r>
  <r>
    <n v="64074"/>
    <s v="MARCOS FERNANDES COLOMBO"/>
    <s v="MPR"/>
    <s v="ADM"/>
    <n v="50041195"/>
    <x v="21"/>
    <n v="1"/>
    <s v="REALIZADO"/>
    <s v="KELLY"/>
    <d v="2025-08-06T00:00:00"/>
    <x v="2"/>
  </r>
  <r>
    <n v="64074"/>
    <s v="MARCOS FERNANDES COLOMBO"/>
    <s v="MPR"/>
    <s v="ADM"/>
    <n v="50041195"/>
    <x v="21"/>
    <n v="1"/>
    <s v="REALIZADO"/>
    <s v="BRUNO"/>
    <d v="2025-08-06T00:00:00"/>
    <x v="0"/>
  </r>
  <r>
    <n v="72715"/>
    <s v="DANIEL CAMAÇARI DE OLIVEIRA"/>
    <s v="MPR"/>
    <s v="ADM"/>
    <n v="50043917"/>
    <x v="66"/>
    <n v="1"/>
    <s v="REALIZADO"/>
    <s v="AGATHA"/>
    <d v="2025-08-06T00:00:00"/>
    <x v="2"/>
  </r>
  <r>
    <n v="72715"/>
    <s v="DANIEL CAMAÇARI DE OLIVEIRA"/>
    <s v="MPR"/>
    <s v="ADM"/>
    <n v="50043917"/>
    <x v="66"/>
    <n v="1"/>
    <s v="REALIZADO"/>
    <s v="AGATHA"/>
    <d v="2025-08-06T00:00:00"/>
    <x v="0"/>
  </r>
  <r>
    <n v="77526"/>
    <s v="FELIPE GARÇONI"/>
    <s v="MME"/>
    <s v="ADM"/>
    <n v="50012903"/>
    <x v="31"/>
    <n v="1"/>
    <s v="REALIZADO"/>
    <s v="BRUNA"/>
    <d v="2025-08-06T00:00:00"/>
    <x v="2"/>
  </r>
  <r>
    <n v="77526"/>
    <s v="FELIPE GARÇONI"/>
    <s v="MME"/>
    <s v="ADM"/>
    <n v="50012903"/>
    <x v="31"/>
    <n v="1"/>
    <s v="REALIZADO"/>
    <s v="BRUNA"/>
    <d v="2025-08-06T00:00:00"/>
    <x v="0"/>
  </r>
  <r>
    <n v="61264"/>
    <s v="EVERTON GERONIMO"/>
    <s v="MMG"/>
    <s v="ADM"/>
    <n v="50038845"/>
    <x v="108"/>
    <n v="1"/>
    <s v="REALIZADO"/>
    <s v="AGATHA"/>
    <d v="2025-08-06T00:00:00"/>
    <x v="2"/>
  </r>
  <r>
    <n v="61264"/>
    <s v="EVERTON GERONIMO"/>
    <s v="MMG"/>
    <s v="ADM"/>
    <n v="50038845"/>
    <x v="108"/>
    <n v="1"/>
    <s v="REALIZADO"/>
    <s v="AGATHA"/>
    <d v="2025-08-06T00:00:00"/>
    <x v="0"/>
  </r>
  <r>
    <n v="78675"/>
    <s v="ORLANDO GOMES"/>
    <s v="MME"/>
    <s v="1º TURNO"/>
    <n v="50032781"/>
    <x v="12"/>
    <n v="1"/>
    <s v="REALIZADO"/>
    <s v="AGATHA"/>
    <d v="2025-08-06T00:00:00"/>
    <x v="2"/>
  </r>
  <r>
    <n v="78675"/>
    <s v="ORLANDO GOMES"/>
    <s v="MME"/>
    <s v="1º TURNO"/>
    <n v="50032781"/>
    <x v="12"/>
    <n v="1"/>
    <s v="REALIZADO"/>
    <s v="AGATHA"/>
    <d v="2025-08-06T00:00:00"/>
    <x v="0"/>
  </r>
  <r>
    <n v="78861"/>
    <s v="SAMUEL GONÇALVES DE OLIVEIRA"/>
    <s v="MTC"/>
    <s v="1º TURNO"/>
    <n v="50032781"/>
    <x v="12"/>
    <n v="1"/>
    <s v="REALIZADO"/>
    <s v="BRUNA"/>
    <d v="2025-08-06T00:00:00"/>
    <x v="2"/>
  </r>
  <r>
    <n v="78675"/>
    <s v="ORLANDO GOMES"/>
    <s v="MME"/>
    <s v="1º TURNO"/>
    <n v="50032781"/>
    <x v="12"/>
    <n v="1"/>
    <s v="REALIZADO"/>
    <s v="BRUNO"/>
    <d v="2025-08-06T00:00:00"/>
    <x v="0"/>
  </r>
  <r>
    <n v="66790"/>
    <s v="EVERTON BOLOGNES"/>
    <s v="MMG"/>
    <s v="2º TURNO"/>
    <n v="50037900"/>
    <x v="41"/>
    <n v="1"/>
    <s v="REALIZADO"/>
    <s v="KELLY"/>
    <d v="2025-08-06T00:00:00"/>
    <x v="2"/>
  </r>
  <r>
    <n v="66790"/>
    <s v="EVERTON BOLOGNES"/>
    <s v="MMG"/>
    <s v="2º TURNO"/>
    <n v="50037900"/>
    <x v="41"/>
    <n v="1"/>
    <s v="REALIZADO"/>
    <s v="AGATHA"/>
    <d v="2025-08-06T00:00:00"/>
    <x v="0"/>
  </r>
  <r>
    <n v="72715"/>
    <s v="DANIEL CAMAÇARI DE OLIVEIRA"/>
    <s v="MPR"/>
    <s v="ADM"/>
    <n v="50028220"/>
    <x v="33"/>
    <n v="1"/>
    <s v="REALIZADO"/>
    <s v="AGATHA"/>
    <d v="2025-08-06T00:00:00"/>
    <x v="2"/>
  </r>
  <r>
    <n v="72715"/>
    <s v="DANIEL CAMAÇARI DE OLIVEIRA"/>
    <s v="MPR"/>
    <s v="ADM"/>
    <n v="50028220"/>
    <x v="33"/>
    <n v="1"/>
    <s v="REALIZADO"/>
    <s v="AGATHA"/>
    <d v="2025-08-06T00:00:00"/>
    <x v="0"/>
  </r>
  <r>
    <n v="65844"/>
    <s v="ALTEMAR FEITOSA"/>
    <s v="MMG"/>
    <s v="1º TURNO"/>
    <n v="50028220"/>
    <x v="33"/>
    <n v="1"/>
    <s v="REALIZADO"/>
    <s v="BRUNA"/>
    <d v="2025-08-06T00:00:00"/>
    <x v="2"/>
  </r>
  <r>
    <n v="65844"/>
    <s v="ALTEMAR FEITOSA"/>
    <s v="MMG"/>
    <s v="1º TURNO"/>
    <n v="50028220"/>
    <x v="33"/>
    <n v="1"/>
    <s v="REALIZADO"/>
    <s v="BRUNA"/>
    <d v="2025-08-06T00:00:00"/>
    <x v="0"/>
  </r>
  <r>
    <n v="62164"/>
    <s v="TIAGO DA SILVA"/>
    <s v="MEE"/>
    <s v="3º TURNO"/>
    <n v="50002644"/>
    <x v="83"/>
    <n v="1"/>
    <s v="REALIZADO"/>
    <s v="AGATHA"/>
    <d v="2025-08-05T00:00:00"/>
    <x v="2"/>
  </r>
  <r>
    <n v="62164"/>
    <s v="TIAGO DA SILVA"/>
    <s v="MEE"/>
    <s v="3º TURNO"/>
    <n v="50002644"/>
    <x v="83"/>
    <n v="1"/>
    <s v="REALIZADO"/>
    <s v="AGATHA"/>
    <d v="2025-08-05T00:00:00"/>
    <x v="0"/>
  </r>
  <r>
    <n v="72715"/>
    <s v="DANIEL CAMAÇARI DE OLIVEIRA"/>
    <s v="MPR"/>
    <s v="ADM"/>
    <n v="50038854"/>
    <x v="27"/>
    <n v="1"/>
    <s v="REALIZADO"/>
    <s v="AGATHA"/>
    <d v="2025-08-05T00:00:00"/>
    <x v="2"/>
  </r>
  <r>
    <n v="72715"/>
    <s v="DANIEL CAMAÇARI DE OLIVEIRA"/>
    <s v="MPR"/>
    <s v="ADM"/>
    <n v="50038854"/>
    <x v="27"/>
    <n v="1"/>
    <s v="REALIZADO"/>
    <s v="AGATHA"/>
    <d v="2025-08-05T00:00:00"/>
    <x v="0"/>
  </r>
  <r>
    <n v="77471"/>
    <s v="DANILO BARBOSA"/>
    <s v="MEE"/>
    <s v="ADM"/>
    <n v="50036298"/>
    <x v="69"/>
    <n v="1"/>
    <s v="REALIZADO"/>
    <s v="KELLY"/>
    <d v="2025-08-05T00:00:00"/>
    <x v="2"/>
  </r>
  <r>
    <n v="77471"/>
    <s v="DANILO BARBOSA DE SOUZA"/>
    <s v="MEE"/>
    <s v="ADM"/>
    <n v="50036298"/>
    <x v="69"/>
    <n v="1"/>
    <s v="REALIZADO"/>
    <s v="AGATHA"/>
    <d v="2025-08-05T00:00:00"/>
    <x v="0"/>
  </r>
  <r>
    <n v="58068"/>
    <s v="REGINALDO PEREIRA"/>
    <s v="MME"/>
    <s v="ADM"/>
    <n v="50037918"/>
    <x v="123"/>
    <n v="1"/>
    <s v="REALIZADO"/>
    <s v="AGATHA"/>
    <d v="2025-08-05T00:00:00"/>
    <x v="2"/>
  </r>
  <r>
    <n v="58068"/>
    <s v="REGINALDO PEREIRA"/>
    <s v="MME"/>
    <s v="ADM"/>
    <n v="50037918"/>
    <x v="123"/>
    <n v="1"/>
    <s v="REALIZADO"/>
    <s v="AGATHA"/>
    <d v="2025-08-05T00:00:00"/>
    <x v="0"/>
  </r>
  <r>
    <n v="78861"/>
    <s v="SAMUEL GONÇALVES DE OLIVEIRA"/>
    <s v="MTC"/>
    <s v="1º TURNO"/>
    <n v="50036255"/>
    <x v="7"/>
    <n v="1"/>
    <s v="REALIZADO"/>
    <s v="AGATHA"/>
    <d v="2025-08-05T00:00:00"/>
    <x v="2"/>
  </r>
  <r>
    <n v="78861"/>
    <s v="SAMUEL GONÇALVES DE OLIVEIRA"/>
    <s v="MTC"/>
    <s v="1º TURNO"/>
    <n v="50036255"/>
    <x v="7"/>
    <n v="1"/>
    <s v="REALIZADO"/>
    <s v="BRUNA"/>
    <d v="2025-08-05T00:00:00"/>
    <x v="0"/>
  </r>
  <r>
    <n v="65131"/>
    <s v="GUILHERME VECHIO"/>
    <s v="MMG"/>
    <s v="2º TURNO"/>
    <n v="50036086"/>
    <x v="3"/>
    <n v="1"/>
    <s v="REALIZADO"/>
    <s v="KELLY"/>
    <d v="2025-08-05T00:00:00"/>
    <x v="2"/>
  </r>
  <r>
    <n v="65131"/>
    <s v="GUILHERME VECHIO"/>
    <s v="MMG"/>
    <s v="2º TURNO"/>
    <n v="50036086"/>
    <x v="3"/>
    <n v="1"/>
    <s v="REALIZADO"/>
    <s v="KELLY"/>
    <d v="2025-08-05T00:00:00"/>
    <x v="0"/>
  </r>
  <r>
    <n v="72715"/>
    <s v="DANIEL CAMAÇARI DE OLIVEIRA"/>
    <s v="MPR"/>
    <s v="ADM"/>
    <n v="50036086"/>
    <x v="3"/>
    <n v="1"/>
    <s v="REALIZADO"/>
    <s v="AGATHA"/>
    <d v="2025-08-05T00:00:00"/>
    <x v="2"/>
  </r>
  <r>
    <n v="72715"/>
    <s v="DANIEL CAMAÇARI DE OLIVEIRA"/>
    <s v="MPR"/>
    <s v="ADM"/>
    <n v="50036086"/>
    <x v="3"/>
    <n v="1"/>
    <s v="REALIZADO"/>
    <s v="AGATHA"/>
    <d v="2025-08-05T00:00:00"/>
    <x v="0"/>
  </r>
  <r>
    <n v="61955"/>
    <s v="NELSON JUNIOR"/>
    <s v="MME"/>
    <s v="1º TURNO"/>
    <n v="50036279"/>
    <x v="28"/>
    <n v="1"/>
    <s v="REALIZADO"/>
    <s v="KELLY"/>
    <d v="2025-08-05T00:00:00"/>
    <x v="2"/>
  </r>
  <r>
    <n v="61955"/>
    <s v="NELSON JUNIOR"/>
    <s v="MME"/>
    <s v="1º TURNO"/>
    <n v="50036279"/>
    <x v="28"/>
    <n v="1"/>
    <s v="REALIZADO"/>
    <s v="AGATHA"/>
    <d v="2025-08-05T00:00:00"/>
    <x v="0"/>
  </r>
  <r>
    <n v="65131"/>
    <s v="GUILHERME VECHIO"/>
    <s v="MMG"/>
    <s v="2º TURNO"/>
    <n v="50043520"/>
    <x v="97"/>
    <n v="1"/>
    <s v="REALIZADO"/>
    <s v="KELLY"/>
    <d v="2025-08-05T00:00:00"/>
    <x v="2"/>
  </r>
  <r>
    <n v="65131"/>
    <s v="GUILHERME VECHIO"/>
    <s v="MMG"/>
    <s v="2º TURNO"/>
    <n v="50043520"/>
    <x v="97"/>
    <n v="1"/>
    <s v="REALIZADO"/>
    <s v="KELLY"/>
    <d v="2025-08-05T00:00:00"/>
    <x v="0"/>
  </r>
  <r>
    <n v="66790"/>
    <s v="EVERTON BOLOGNES"/>
    <s v="MMG"/>
    <s v="2º TURNO"/>
    <n v="50039718"/>
    <x v="11"/>
    <n v="1"/>
    <s v="REALIZADO"/>
    <s v="KELLY"/>
    <d v="2025-08-05T00:00:00"/>
    <x v="2"/>
  </r>
  <r>
    <n v="66790"/>
    <s v="EVERTON BOLOGNES"/>
    <s v="MMG"/>
    <s v="2º TURNO"/>
    <n v="50039718"/>
    <x v="11"/>
    <n v="1"/>
    <s v="REALIZADO"/>
    <s v="AGATHA"/>
    <d v="2025-08-05T00:00:00"/>
    <x v="0"/>
  </r>
  <r>
    <n v="66790"/>
    <s v="EVERTON BOLOGNES"/>
    <s v="MMG"/>
    <s v="2º TURNO"/>
    <n v="50037905"/>
    <x v="49"/>
    <n v="1"/>
    <s v="REALIZADO"/>
    <s v="KELLY"/>
    <d v="2025-08-05T00:00:00"/>
    <x v="2"/>
  </r>
  <r>
    <n v="66790"/>
    <s v="EVERTON BOLOGNES"/>
    <s v="MMG"/>
    <s v="2º TURNO"/>
    <n v="50037905"/>
    <x v="49"/>
    <n v="1"/>
    <s v="REALIZADO"/>
    <s v="AGATHA"/>
    <d v="2025-08-05T00:00:00"/>
    <x v="0"/>
  </r>
  <r>
    <n v="68708"/>
    <s v="CLAUDIO TADEU LEITE"/>
    <s v="MMG"/>
    <s v="ADM"/>
    <n v="50039236"/>
    <x v="84"/>
    <n v="1"/>
    <s v="REALIZADO"/>
    <s v="AGATHA"/>
    <d v="2025-08-05T00:00:00"/>
    <x v="2"/>
  </r>
  <r>
    <n v="68708"/>
    <s v="CLAUDIO TADEU LEITE"/>
    <s v="MMG"/>
    <s v="ADM"/>
    <n v="50039236"/>
    <x v="84"/>
    <n v="1"/>
    <s v="REALIZADO"/>
    <s v="AGATHA"/>
    <d v="2025-08-05T00:00:00"/>
    <x v="0"/>
  </r>
  <r>
    <n v="78675"/>
    <s v="ORLANDO GOMES"/>
    <s v="MME"/>
    <s v="1º TURNO"/>
    <n v="50003296"/>
    <x v="105"/>
    <n v="1"/>
    <s v="REALIZADO"/>
    <s v="BRUNA"/>
    <d v="2025-08-05T00:00:00"/>
    <x v="2"/>
  </r>
  <r>
    <n v="78675"/>
    <s v="ORLANDO GOMES"/>
    <s v="MME"/>
    <s v="1º TURNO"/>
    <n v="50003296"/>
    <x v="105"/>
    <n v="1"/>
    <s v="REALIZADO"/>
    <s v="MATHEUS"/>
    <d v="2025-08-05T00:00:00"/>
    <x v="0"/>
  </r>
  <r>
    <n v="62640"/>
    <s v="MARCELINHO"/>
    <s v="MPR"/>
    <s v="ADM"/>
    <n v="50029865"/>
    <x v="9"/>
    <n v="1"/>
    <s v="REALIZADO"/>
    <s v="KELLY"/>
    <d v="2025-08-05T00:00:00"/>
    <x v="2"/>
  </r>
  <r>
    <n v="62640"/>
    <s v="MARCELINHO"/>
    <s v="MPR"/>
    <s v="ADM"/>
    <n v="50029865"/>
    <x v="9"/>
    <n v="1"/>
    <s v="REALIZADO"/>
    <s v="BRUNA"/>
    <d v="2025-08-05T00:00:00"/>
    <x v="0"/>
  </r>
  <r>
    <n v="73878"/>
    <s v="EVANDRO TANAKA"/>
    <s v="MMG"/>
    <s v="ADM"/>
    <n v="50038517"/>
    <x v="0"/>
    <n v="1"/>
    <s v="REALIZADO"/>
    <s v="AGATHA"/>
    <d v="2025-08-05T00:00:00"/>
    <x v="2"/>
  </r>
  <r>
    <n v="73878"/>
    <s v="EVANDRO TANAKA"/>
    <s v="MMG"/>
    <s v="ADM"/>
    <n v="50038517"/>
    <x v="0"/>
    <n v="1"/>
    <s v="REALIZADO"/>
    <s v="MATHEUS"/>
    <d v="2025-08-05T00:00:00"/>
    <x v="0"/>
  </r>
  <r>
    <n v="61955"/>
    <s v="NELSON JUNIOR"/>
    <s v="MME"/>
    <s v="1º TURNO"/>
    <n v="50039065"/>
    <x v="22"/>
    <n v="1"/>
    <s v="REALIZADO"/>
    <s v="KELLY"/>
    <d v="2025-08-05T00:00:00"/>
    <x v="2"/>
  </r>
  <r>
    <n v="61955"/>
    <s v="NELSON JUNIOR"/>
    <s v="MME"/>
    <s v="1º TURNO"/>
    <n v="50039065"/>
    <x v="22"/>
    <n v="1"/>
    <s v="REALIZADO"/>
    <s v="BRUNA"/>
    <d v="2025-08-05T00:00:00"/>
    <x v="0"/>
  </r>
  <r>
    <n v="72715"/>
    <s v="DANIEL CAMAÇARI DE OLIVEIRA"/>
    <s v="MPR"/>
    <s v="ADM"/>
    <n v="50026357"/>
    <x v="24"/>
    <n v="1"/>
    <s v="REALIZADO"/>
    <s v="KELLY"/>
    <d v="2025-08-05T00:00:00"/>
    <x v="2"/>
  </r>
  <r>
    <n v="72715"/>
    <s v="DANIEL CAMAÇARI DE OLIVEIRA"/>
    <s v="MPR"/>
    <s v="ADM"/>
    <n v="50026357"/>
    <x v="24"/>
    <n v="1"/>
    <s v="REALIZADO"/>
    <s v="AGATHA"/>
    <d v="2025-08-05T00:00:00"/>
    <x v="0"/>
  </r>
  <r>
    <n v="62640"/>
    <s v="MARCELINHO"/>
    <s v="MPR"/>
    <s v="ADM"/>
    <n v="50041195"/>
    <x v="21"/>
    <n v="1"/>
    <s v="REALIZADO"/>
    <s v="KELLY"/>
    <d v="2025-08-05T00:00:00"/>
    <x v="2"/>
  </r>
  <r>
    <n v="62640"/>
    <s v="MARCELINHO"/>
    <s v="MPR"/>
    <s v="ADM"/>
    <n v="50041195"/>
    <x v="21"/>
    <n v="1"/>
    <s v="REALIZADO"/>
    <s v="BRUNA"/>
    <d v="2025-08-05T00:00:00"/>
    <x v="0"/>
  </r>
  <r>
    <n v="73336"/>
    <s v="RODRIGO RODRIGUES"/>
    <s v="MMG"/>
    <s v="ADM"/>
    <n v="50041195"/>
    <x v="21"/>
    <n v="1"/>
    <s v="REALIZADO"/>
    <s v="BRUNA"/>
    <d v="2025-08-05T00:00:00"/>
    <x v="2"/>
  </r>
  <r>
    <n v="73336"/>
    <s v="RODRIGO RODRIGUES"/>
    <s v="MMG"/>
    <s v="ADM"/>
    <n v="50041195"/>
    <x v="21"/>
    <n v="1"/>
    <s v="REALIZADO"/>
    <s v="BRUNA"/>
    <d v="2025-08-05T00:00:00"/>
    <x v="0"/>
  </r>
  <r>
    <n v="75395"/>
    <s v="GABRIEL CAIXETA DOMICIANO"/>
    <s v="MEE"/>
    <s v="ADM"/>
    <n v="50043917"/>
    <x v="66"/>
    <n v="1"/>
    <s v="REALIZADO"/>
    <s v="AGATHA"/>
    <d v="2025-08-05T00:00:00"/>
    <x v="2"/>
  </r>
  <r>
    <n v="69510"/>
    <s v="GABRIEL CAIXETA DOMICIANO"/>
    <s v="MEE"/>
    <s v="ADM"/>
    <n v="50043917"/>
    <x v="66"/>
    <n v="1"/>
    <s v="REALIZADO"/>
    <s v="AGATHA"/>
    <d v="2025-08-05T00:00:00"/>
    <x v="0"/>
  </r>
  <r>
    <n v="61355"/>
    <s v="ALESSANDRO DE LIMA"/>
    <s v="MEE"/>
    <s v="3º TURNO"/>
    <n v="50043917"/>
    <x v="66"/>
    <n v="1"/>
    <s v="REALIZADO"/>
    <s v="MAYCON"/>
    <d v="2025-08-05T00:00:00"/>
    <x v="0"/>
  </r>
  <r>
    <n v="77708"/>
    <s v="FABIO JUSTINO"/>
    <s v="MPR"/>
    <s v="ADM"/>
    <n v="50003295"/>
    <x v="120"/>
    <n v="1"/>
    <s v="REALIZADO"/>
    <s v="AGATHA"/>
    <d v="2025-08-05T00:00:00"/>
    <x v="2"/>
  </r>
  <r>
    <n v="77708"/>
    <s v="FABIO JUSTINO"/>
    <s v="MPR"/>
    <s v="ADM"/>
    <n v="50003295"/>
    <x v="120"/>
    <n v="1"/>
    <s v="REALIZADO"/>
    <s v="AGATHA"/>
    <d v="2025-08-05T00:00:00"/>
    <x v="0"/>
  </r>
  <r>
    <n v="66790"/>
    <s v="EVERTON BOLOGNES"/>
    <s v="MMG"/>
    <s v="2º TURNO"/>
    <n v="50005179"/>
    <x v="118"/>
    <n v="1"/>
    <s v="REALIZADO"/>
    <s v="KELLY"/>
    <d v="2025-08-05T00:00:00"/>
    <x v="2"/>
  </r>
  <r>
    <n v="66790"/>
    <s v="EVERTON BOLOGNES"/>
    <s v="MMG"/>
    <s v="2º TURNO"/>
    <n v="50005179"/>
    <x v="118"/>
    <n v="1"/>
    <s v="REALIZADO"/>
    <s v="AGATHA"/>
    <d v="2025-08-05T00:00:00"/>
    <x v="0"/>
  </r>
  <r>
    <n v="68708"/>
    <s v="CLAUDIO TADEU LEITE"/>
    <s v="MMG"/>
    <s v="ADM"/>
    <n v="50037946"/>
    <x v="124"/>
    <n v="1"/>
    <s v="REALIZADO"/>
    <s v="AGATHA"/>
    <d v="2025-08-05T00:00:00"/>
    <x v="2"/>
  </r>
  <r>
    <n v="68708"/>
    <s v="CLAUDIO TADEU LEITE"/>
    <s v="MMG"/>
    <s v="ADM"/>
    <n v="50037946"/>
    <x v="124"/>
    <n v="1"/>
    <s v="REALIZADO"/>
    <s v="AGATHA"/>
    <d v="2025-08-05T00:00:00"/>
    <x v="0"/>
  </r>
  <r>
    <n v="61355"/>
    <s v="ALESSANDRO DE LIMA"/>
    <s v="MEE"/>
    <s v="3º TURNO"/>
    <n v="50043917"/>
    <x v="66"/>
    <n v="1"/>
    <s v="REALIZADO"/>
    <s v="HILARIO"/>
    <d v="2025-08-04T00:00:00"/>
    <x v="0"/>
  </r>
  <r>
    <n v="72713"/>
    <s v="MARCOS AURELIO"/>
    <s v="MPR"/>
    <s v="ADM"/>
    <n v="50037903"/>
    <x v="91"/>
    <n v="1"/>
    <s v="NÃO REALIZADO"/>
    <s v="BRUNA"/>
    <d v="1899-12-31T00:00:00"/>
    <x v="2"/>
  </r>
  <r>
    <n v="65084"/>
    <s v="TIAGO DE BRITO"/>
    <s v="MMG"/>
    <s v="3º TURNO"/>
    <n v="50038549"/>
    <x v="6"/>
    <n v="1"/>
    <s v="REALIZADO"/>
    <s v="FABIANO"/>
    <d v="2025-11-22T00:00:00"/>
    <x v="0"/>
  </r>
  <r>
    <n v="65084"/>
    <s v="TIAGO DE BRITO"/>
    <s v="MMG"/>
    <s v="3º TURNO"/>
    <n v="50038549"/>
    <x v="6"/>
    <n v="1"/>
    <s v="REALIZADO"/>
    <s v="FABIANO"/>
    <d v="2025-11-22T00:00:00"/>
    <x v="2"/>
  </r>
  <r>
    <n v="77594"/>
    <s v="VINICIUS ROBLES"/>
    <s v="MMG"/>
    <s v="ADM"/>
    <n v="50043917"/>
    <x v="66"/>
    <n v="1"/>
    <s v="REALIZADO"/>
    <s v="KELLY"/>
    <d v="2025-11-22T00:00:00"/>
    <x v="0"/>
  </r>
  <r>
    <n v="77594"/>
    <s v="VINICIUS ROBLES"/>
    <s v="MMG"/>
    <s v="ADM"/>
    <n v="50043917"/>
    <x v="66"/>
    <n v="1"/>
    <s v="REALIZADO"/>
    <s v="KELLY"/>
    <d v="2025-11-22T00:00:00"/>
    <x v="2"/>
  </r>
  <r>
    <n v="77594"/>
    <s v="VINICIUS ROBLES"/>
    <s v="MMG"/>
    <s v="ADM"/>
    <n v="50003297"/>
    <x v="8"/>
    <n v="1"/>
    <s v="REALIZADO"/>
    <s v="KELLY"/>
    <d v="2025-11-22T00:00:00"/>
    <x v="0"/>
  </r>
  <r>
    <n v="77594"/>
    <s v="VINICIUS ROBLES"/>
    <s v="MMG"/>
    <s v="ADM"/>
    <n v="50003297"/>
    <x v="8"/>
    <n v="1"/>
    <s v="REALIZADO"/>
    <s v="KELLY"/>
    <d v="2025-11-22T00:00:00"/>
    <x v="2"/>
  </r>
  <r>
    <n v="77594"/>
    <s v="VINICIUS ROBLES"/>
    <s v="MMG"/>
    <s v="ADM"/>
    <n v="50037892"/>
    <x v="2"/>
    <n v="1"/>
    <s v="REALIZADO"/>
    <s v="KELLY"/>
    <d v="2025-11-22T00:00:00"/>
    <x v="0"/>
  </r>
  <r>
    <n v="77594"/>
    <s v="VINICIUS ROBLES"/>
    <s v="MMG"/>
    <s v="ADM"/>
    <n v="50037892"/>
    <x v="2"/>
    <n v="1"/>
    <s v="REALIZADO"/>
    <s v="KELLY"/>
    <d v="2025-11-22T00:00:00"/>
    <x v="2"/>
  </r>
  <r>
    <n v="62180"/>
    <s v="JOSE AUGUSTO MASSUCHINI"/>
    <s v="MMG"/>
    <s v="ADM"/>
    <n v="50038517"/>
    <x v="0"/>
    <n v="1"/>
    <s v="REALIZADO"/>
    <s v="KELLY"/>
    <d v="2025-11-22T00:00:00"/>
    <x v="0"/>
  </r>
  <r>
    <n v="62180"/>
    <s v="JOSE AUGUSTO MASSUCHINI"/>
    <s v="MMG"/>
    <s v="ADM"/>
    <n v="50038517"/>
    <x v="0"/>
    <n v="1"/>
    <s v="REALIZADO"/>
    <s v="KELLY"/>
    <d v="2025-11-22T00:00:00"/>
    <x v="2"/>
  </r>
  <r>
    <n v="77594"/>
    <s v="VINICIUS ROBLES"/>
    <s v="MMG"/>
    <s v="ADM"/>
    <n v="50039718"/>
    <x v="11"/>
    <n v="1"/>
    <s v="REALIZADO"/>
    <s v="KELLY"/>
    <d v="2025-11-22T00:00:00"/>
    <x v="0"/>
  </r>
  <r>
    <n v="77594"/>
    <s v="VINICIUS ROBLES"/>
    <s v="MMG"/>
    <s v="ADM"/>
    <n v="50039718"/>
    <x v="11"/>
    <n v="1"/>
    <s v="REALIZADO"/>
    <s v="KELLY"/>
    <d v="2025-11-22T00:00:00"/>
    <x v="2"/>
  </r>
  <r>
    <n v="62180"/>
    <s v="JOSE AUGUSTO MASSUCHINI"/>
    <s v="MMG"/>
    <s v="ADM"/>
    <n v="50004486"/>
    <x v="95"/>
    <n v="1"/>
    <s v="REALIZADO"/>
    <s v="KELLY"/>
    <d v="2025-11-22T00:00:00"/>
    <x v="0"/>
  </r>
  <r>
    <n v="62180"/>
    <s v="JOSE AUGUSTO MASSUCHINI"/>
    <s v="MMG"/>
    <s v="ADM"/>
    <n v="50004486"/>
    <x v="95"/>
    <n v="1"/>
    <s v="REALIZADO"/>
    <s v="KELLY"/>
    <d v="2025-11-22T00:00:00"/>
    <x v="2"/>
  </r>
  <r>
    <n v="62180"/>
    <s v="JOSE AUGUSTO MASSUCHINI"/>
    <s v="MMG"/>
    <s v="ADM"/>
    <n v="50041195"/>
    <x v="21"/>
    <n v="1"/>
    <s v="REALIZADO"/>
    <s v="KELLY"/>
    <d v="2025-11-22T00:00:00"/>
    <x v="0"/>
  </r>
  <r>
    <n v="62180"/>
    <s v="JOSE AUGUSTO MASSUCHINI"/>
    <s v="MMG"/>
    <s v="ADM"/>
    <n v="50041195"/>
    <x v="21"/>
    <n v="1"/>
    <s v="REALIZADO"/>
    <s v="KELLY"/>
    <d v="2025-11-22T00:00:00"/>
    <x v="2"/>
  </r>
  <r>
    <n v="62180"/>
    <s v="JOSE AUGUSTO MASSUCHINI"/>
    <s v="MMG"/>
    <s v="ADM"/>
    <n v="50038549"/>
    <x v="6"/>
    <n v="1"/>
    <s v="REALIZADO"/>
    <s v="KELLY"/>
    <d v="2025-11-22T00:00:00"/>
    <x v="0"/>
  </r>
  <r>
    <n v="62180"/>
    <s v="JOSE AUGUSTO MASSUCHINI"/>
    <s v="MMG"/>
    <s v="ADM"/>
    <n v="50038549"/>
    <x v="6"/>
    <n v="1"/>
    <s v="REALIZADO"/>
    <s v="KELLY"/>
    <d v="2025-11-22T00:00:00"/>
    <x v="2"/>
  </r>
  <r>
    <n v="77594"/>
    <s v="VINICIUS ROBLES"/>
    <s v="MMG"/>
    <s v="ADM"/>
    <n v="50039065"/>
    <x v="22"/>
    <n v="1"/>
    <s v="REALIZADO"/>
    <s v="KELLY"/>
    <d v="2025-11-22T00:00:00"/>
    <x v="0"/>
  </r>
  <r>
    <n v="77594"/>
    <s v="VINICIUS ROBLES"/>
    <s v="MMG"/>
    <s v="ADM"/>
    <n v="50039065"/>
    <x v="22"/>
    <n v="1"/>
    <s v="REALIZADO"/>
    <s v="KELLY"/>
    <d v="2025-11-22T00:00:00"/>
    <x v="2"/>
  </r>
  <r>
    <n v="64053"/>
    <s v="CLODOALDO DE OLIVEIRA"/>
    <s v="MMG"/>
    <s v="3º TURNO"/>
    <n v="60037922"/>
    <x v="61"/>
    <n v="1"/>
    <s v="REALIZADO"/>
    <s v="MARCOS "/>
    <d v="2025-11-25T00:00:00"/>
    <x v="0"/>
  </r>
  <r>
    <n v="64053"/>
    <s v="CLODOALDO DE OLIVEIRA"/>
    <s v="MMG"/>
    <s v="3º TURNO"/>
    <n v="50037922"/>
    <x v="61"/>
    <n v="1"/>
    <s v="REALIZADO"/>
    <s v="MARCOS "/>
    <d v="2025-11-26T00:00:00"/>
    <x v="2"/>
  </r>
  <r>
    <n v="67193"/>
    <s v="LEONARDO ALEXANDRE"/>
    <s v="MME"/>
    <s v="3º TURNO"/>
    <n v="50043471"/>
    <x v="5"/>
    <n v="1"/>
    <s v="REALIZADO"/>
    <s v="MARCOS "/>
    <d v="2025-11-26T00:00:00"/>
    <x v="0"/>
  </r>
  <r>
    <n v="67193"/>
    <s v="LEONARDO ALEXANDRE"/>
    <s v="MME"/>
    <s v="3º TURNO"/>
    <n v="50043471"/>
    <x v="5"/>
    <n v="1"/>
    <s v="REALIZADO"/>
    <s v="MARCOS "/>
    <d v="2025-11-26T00:00:00"/>
    <x v="2"/>
  </r>
  <r>
    <n v="49743"/>
    <s v="MARCELO CAMPOS"/>
    <s v="MME"/>
    <s v="3º TURNO"/>
    <n v="50038517"/>
    <x v="0"/>
    <n v="1"/>
    <s v="REALIZADO"/>
    <s v="FABIANO"/>
    <d v="2025-11-26T00:00:00"/>
    <x v="0"/>
  </r>
  <r>
    <n v="49743"/>
    <s v="MARCELO CAMPOS"/>
    <s v="MME"/>
    <s v="3º TURNO"/>
    <n v="50038517"/>
    <x v="0"/>
    <n v="1"/>
    <s v="REALIZADO"/>
    <s v="FABIANO"/>
    <d v="2025-11-26T00:00:00"/>
    <x v="2"/>
  </r>
  <r>
    <n v="62180"/>
    <s v="JOSE AUGUSTO MASSUCHINI"/>
    <s v="MMG"/>
    <s v="ADM"/>
    <n v="50032781"/>
    <x v="12"/>
    <n v="1"/>
    <s v="REALIZADO"/>
    <s v="KELLY"/>
    <d v="2025-11-26T00:00:00"/>
    <x v="0"/>
  </r>
  <r>
    <n v="62180"/>
    <s v="JOSE AUGUSTO MASSUCHINI"/>
    <s v="MMG"/>
    <s v="ADM"/>
    <n v="50032781"/>
    <x v="12"/>
    <n v="1"/>
    <s v="REALIZADO"/>
    <s v="KELLY"/>
    <d v="2025-11-26T00:00:00"/>
    <x v="2"/>
  </r>
  <r>
    <n v="63758"/>
    <s v="MARCOS DA SILVA "/>
    <s v="MME"/>
    <s v="3º TURNO"/>
    <n v="50030486"/>
    <x v="17"/>
    <n v="1"/>
    <s v="REALIZADO"/>
    <s v="FABIANO"/>
    <d v="2025-11-28T00:00:00"/>
    <x v="0"/>
  </r>
  <r>
    <n v="63758"/>
    <s v="MARCOS DA SILVA "/>
    <s v="MME"/>
    <s v="3º TURNO"/>
    <n v="50030486"/>
    <x v="17"/>
    <n v="1"/>
    <s v="REALIZADO"/>
    <s v="FABIANO"/>
    <d v="2025-11-28T00:00:00"/>
    <x v="2"/>
  </r>
  <r>
    <n v="66830"/>
    <s v="MARCIO GOMES DA SILVA"/>
    <s v="MPR"/>
    <s v="ADM"/>
    <n v="50038517"/>
    <x v="0"/>
    <n v="1"/>
    <s v="REALIZADO"/>
    <s v="KELLY"/>
    <d v="2025-11-29T00:00:00"/>
    <x v="0"/>
  </r>
  <r>
    <n v="66830"/>
    <s v="MARCIO GOMES DA SILVA"/>
    <s v="MPR"/>
    <s v="ADM"/>
    <n v="50038517"/>
    <x v="0"/>
    <n v="1"/>
    <s v="REALIZADO"/>
    <s v="KELLY"/>
    <d v="2025-11-29T00:00:00"/>
    <x v="2"/>
  </r>
  <r>
    <n v="78675"/>
    <s v="ORLANDO GOMES"/>
    <s v="MME"/>
    <s v="1º TURNO"/>
    <n v="50038841"/>
    <x v="34"/>
    <n v="1"/>
    <s v="REALIZADO"/>
    <s v="KELLY"/>
    <d v="2025-11-29T00:00:00"/>
    <x v="0"/>
  </r>
  <r>
    <n v="78675"/>
    <s v="ORLANDO GOMES"/>
    <s v="MME"/>
    <s v="1º TURNO"/>
    <n v="50038841"/>
    <x v="34"/>
    <n v="1"/>
    <s v="REALIZADO"/>
    <s v="KELLY"/>
    <d v="2025-11-29T00:00:00"/>
    <x v="2"/>
  </r>
  <r>
    <n v="72715"/>
    <s v="DANIEL CAMAÇARI DE OLIVEIRA"/>
    <s v="MPR"/>
    <s v="ADM"/>
    <n v="50041195"/>
    <x v="21"/>
    <n v="1"/>
    <s v="REALIZADO"/>
    <s v="KELLY"/>
    <d v="2025-11-30T00:00:00"/>
    <x v="0"/>
  </r>
  <r>
    <n v="72715"/>
    <s v="DANIEL CAMAÇARI DE OLIVEIRA"/>
    <s v="MPR"/>
    <s v="ADM"/>
    <n v="50041195"/>
    <x v="21"/>
    <n v="1"/>
    <s v="REALIZADO"/>
    <s v="KELLY"/>
    <d v="2025-11-30T00:00:00"/>
    <x v="2"/>
  </r>
  <r>
    <n v="72715"/>
    <s v="DANIEL CAMAÇARI DE OLIVEIRA"/>
    <s v="MPR"/>
    <s v="ADM"/>
    <n v="50037892"/>
    <x v="2"/>
    <n v="1"/>
    <s v="REALIZADO"/>
    <s v="KELLY"/>
    <d v="2025-11-30T00:00:00"/>
    <x v="0"/>
  </r>
  <r>
    <n v="72715"/>
    <s v="DANIEL CAMAÇARI DE OLIVEIRA"/>
    <s v="MPR"/>
    <s v="ADM"/>
    <n v="50037892"/>
    <x v="2"/>
    <n v="1"/>
    <s v="REALIZADO"/>
    <s v="KELLY"/>
    <d v="2025-11-30T00:00:00"/>
    <x v="2"/>
  </r>
  <r>
    <n v="76633"/>
    <s v="VINICIUS GUILHERME BARBOSA"/>
    <s v="MMG"/>
    <s v="1º TURNO"/>
    <n v="50041095"/>
    <x v="15"/>
    <n v="1"/>
    <s v="REALIZADO"/>
    <s v="KELLY"/>
    <d v="2025-11-30T00:00:00"/>
    <x v="0"/>
  </r>
  <r>
    <n v="76633"/>
    <s v="VINICIUS GUILHERME BARBOSA"/>
    <s v="MMG"/>
    <s v="1º TURNO"/>
    <n v="50041095"/>
    <x v="15"/>
    <n v="1"/>
    <s v="REALIZADO"/>
    <s v="KELLY"/>
    <d v="2025-11-30T00:00:00"/>
    <x v="2"/>
  </r>
  <r>
    <n v="66789"/>
    <s v="ERICK GUERRA"/>
    <s v="MME"/>
    <s v="1º TURNO"/>
    <n v="50038956"/>
    <x v="10"/>
    <n v="1"/>
    <s v="REALIZADO"/>
    <s v="KELLY"/>
    <d v="2025-11-30T00:00:00"/>
    <x v="0"/>
  </r>
  <r>
    <n v="66789"/>
    <s v="ERICK GUERRA"/>
    <s v="MME"/>
    <s v="1º TURNO"/>
    <n v="50038956"/>
    <x v="10"/>
    <n v="1"/>
    <s v="REALIZADO"/>
    <s v="KELLY"/>
    <d v="2025-11-30T00:00:00"/>
    <x v="2"/>
  </r>
  <r>
    <n v="74749"/>
    <s v="HUGO RUBIRA"/>
    <s v="MME"/>
    <s v="1º TURNO"/>
    <n v="50037902"/>
    <x v="14"/>
    <n v="1"/>
    <s v="REALIZADO"/>
    <s v="FELIPE"/>
    <d v="2025-12-01T00:00:00"/>
    <x v="0"/>
  </r>
  <r>
    <n v="74749"/>
    <s v="HUGO RUBIRA"/>
    <s v="MME"/>
    <s v="1º TURNO"/>
    <n v="50037902"/>
    <x v="14"/>
    <n v="1"/>
    <s v="REALIZADO"/>
    <s v="FELIPE"/>
    <d v="2025-12-01T00:00:00"/>
    <x v="2"/>
  </r>
  <r>
    <n v="60546"/>
    <s v="EMERSON DOS SANTOS"/>
    <s v="MMG"/>
    <s v="3º TURNO"/>
    <n v="50004486"/>
    <x v="95"/>
    <n v="1"/>
    <s v="REALIZADO"/>
    <s v="FABIANO"/>
    <d v="2025-12-03T00:00:00"/>
    <x v="0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  <r>
    <m/>
    <m/>
    <m/>
    <m/>
    <m/>
    <x v="1"/>
    <m/>
    <m/>
    <m/>
    <m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511">
  <r>
    <n v="78678"/>
    <x v="0"/>
    <s v="MME"/>
    <x v="0"/>
    <n v="50038517"/>
    <s v="LIXADEIRA BOSCH 5"/>
    <n v="1"/>
    <s v="REALIZADO"/>
    <s v="MARCIA"/>
    <x v="0"/>
    <x v="0"/>
    <x v="0"/>
  </r>
  <r>
    <m/>
    <x v="1"/>
    <m/>
    <x v="1"/>
    <m/>
    <m/>
    <m/>
    <m/>
    <m/>
    <x v="1"/>
    <x v="1"/>
    <x v="1"/>
  </r>
  <r>
    <n v="74611"/>
    <x v="2"/>
    <s v="MPR"/>
    <x v="0"/>
    <n v="50037892"/>
    <s v="LIXADEIRA BOSCH 2"/>
    <n v="1"/>
    <s v="REALIZADO"/>
    <s v="GEOVANE"/>
    <x v="2"/>
    <x v="2"/>
    <x v="0"/>
  </r>
  <r>
    <n v="66830"/>
    <x v="3"/>
    <s v="MPR"/>
    <x v="0"/>
    <n v="50037892"/>
    <s v="LIXADEIRA BOSCH 2"/>
    <n v="1"/>
    <s v="REALIZADO"/>
    <s v="GEOVANE"/>
    <x v="2"/>
    <x v="0"/>
    <x v="0"/>
  </r>
  <r>
    <n v="66830"/>
    <x v="3"/>
    <s v="MPR"/>
    <x v="0"/>
    <n v="50036086"/>
    <s v="CHAVE GRIFO 18"/>
    <n v="1"/>
    <s v="REALIZADO"/>
    <s v="GEOVANE"/>
    <x v="2"/>
    <x v="0"/>
    <x v="0"/>
  </r>
  <r>
    <n v="69778"/>
    <x v="4"/>
    <s v="MEE"/>
    <x v="2"/>
    <n v="50043150"/>
    <s v="TACOMETRO"/>
    <n v="1"/>
    <s v="REALIZADO"/>
    <s v="GEOVANE"/>
    <x v="2"/>
    <x v="0"/>
    <x v="0"/>
  </r>
  <r>
    <n v="77521"/>
    <x v="5"/>
    <s v="MME"/>
    <x v="0"/>
    <n v="50043471"/>
    <s v="FURADEIRA BOSCH 7"/>
    <n v="1"/>
    <s v="REALIZADO"/>
    <s v="MATHEUS"/>
    <x v="2"/>
    <x v="0"/>
    <x v="0"/>
  </r>
  <r>
    <n v="70052"/>
    <x v="6"/>
    <s v="MEE"/>
    <x v="0"/>
    <n v="50038549"/>
    <s v="JOGO SOQUETE ESTRIADOS 1/2 22PEÇ"/>
    <n v="1"/>
    <s v="REALIZADO"/>
    <s v="MATHEUS"/>
    <x v="2"/>
    <x v="0"/>
    <x v="0"/>
  </r>
  <r>
    <n v="70052"/>
    <x v="6"/>
    <s v="MEE"/>
    <x v="0"/>
    <n v="50036255"/>
    <s v="CHAVE DE IMPACTO 1/2&quot; 20V"/>
    <n v="1"/>
    <s v="REALIZADO"/>
    <s v="MATHEUS"/>
    <x v="2"/>
    <x v="0"/>
    <x v="0"/>
  </r>
  <r>
    <n v="69510"/>
    <x v="7"/>
    <s v="MEE"/>
    <x v="0"/>
    <n v="50003297"/>
    <s v="FURADEIRA DE IMPACTO MAKITA 02"/>
    <n v="1"/>
    <s v="REALIZADO"/>
    <s v="MATHEUS"/>
    <x v="2"/>
    <x v="0"/>
    <x v="0"/>
  </r>
  <r>
    <n v="76994"/>
    <x v="8"/>
    <s v="MEE"/>
    <x v="0"/>
    <n v="50029865"/>
    <s v="JOGO DE BROCAS ACO RAPIDO"/>
    <s v="1"/>
    <s v="REALIZADO"/>
    <s v="MATHEUS"/>
    <x v="2"/>
    <x v="2"/>
    <x v="0"/>
  </r>
  <r>
    <n v="69510"/>
    <x v="7"/>
    <s v="MEE"/>
    <x v="0"/>
    <n v="50003297"/>
    <s v="FURADEIRA DE IMPACTO MAKITA 02"/>
    <n v="1"/>
    <s v="REALIZADO"/>
    <s v="MATHEUS"/>
    <x v="2"/>
    <x v="2"/>
    <x v="0"/>
  </r>
  <r>
    <n v="69778"/>
    <x v="4"/>
    <s v="MEE"/>
    <x v="2"/>
    <n v="50043150"/>
    <s v="TACOMETRO"/>
    <n v="1"/>
    <s v="REALIZADO"/>
    <s v="MATHEUS"/>
    <x v="2"/>
    <x v="2"/>
    <x v="0"/>
  </r>
  <r>
    <n v="62471"/>
    <x v="9"/>
    <s v="MME"/>
    <x v="0"/>
    <n v="50038517"/>
    <s v="LIXADEIRA BOSCH 5"/>
    <n v="1"/>
    <s v="REALIZADO"/>
    <s v="BRUNO"/>
    <x v="2"/>
    <x v="2"/>
    <x v="0"/>
  </r>
  <r>
    <n v="61264"/>
    <x v="10"/>
    <s v="MMG"/>
    <x v="0"/>
    <n v="50038956"/>
    <s v="LIXADEIRA BOSCH 1"/>
    <n v="1"/>
    <s v="REALIZADO"/>
    <s v="BRUNO"/>
    <x v="2"/>
    <x v="2"/>
    <x v="0"/>
  </r>
  <r>
    <n v="79495"/>
    <x v="11"/>
    <s v="MMG"/>
    <x v="2"/>
    <n v="50039718"/>
    <s v="ESCALA DE ACO 1000MM VONDER "/>
    <n v="1"/>
    <s v="REALIZADO"/>
    <s v="BRUNO"/>
    <x v="2"/>
    <x v="0"/>
    <x v="0"/>
  </r>
  <r>
    <n v="79495"/>
    <x v="11"/>
    <s v="MMG"/>
    <x v="2"/>
    <n v="50032781"/>
    <s v="SERRA TICO TICO 650W DEWALT "/>
    <n v="1"/>
    <s v="REALIZADO"/>
    <s v="BRUNO"/>
    <x v="2"/>
    <x v="0"/>
    <x v="0"/>
  </r>
  <r>
    <n v="78675"/>
    <x v="12"/>
    <s v="MME"/>
    <x v="2"/>
    <n v="50032775"/>
    <s v="SACA POLIA 150MM 3 GARRAS - GEDORE"/>
    <n v="1"/>
    <s v="REALIZADO"/>
    <s v="BRUNO"/>
    <x v="2"/>
    <x v="2"/>
    <x v="0"/>
  </r>
  <r>
    <n v="70052"/>
    <x v="6"/>
    <s v="MEE"/>
    <x v="0"/>
    <n v="50038549"/>
    <s v="JOGO SOQUETE ESTRIADOS 1/2 22PEÇ"/>
    <n v="1"/>
    <s v="REALIZADO"/>
    <s v="BRUNO"/>
    <x v="2"/>
    <x v="2"/>
    <x v="0"/>
  </r>
  <r>
    <n v="70052"/>
    <x v="6"/>
    <s v="MEE"/>
    <x v="0"/>
    <n v="50036255"/>
    <s v="CHAVE DE IMPACTO 1/2&quot; 20V"/>
    <n v="1"/>
    <s v="REALIZADO"/>
    <s v="BRUNO"/>
    <x v="2"/>
    <x v="2"/>
    <x v="0"/>
  </r>
  <r>
    <n v="68708"/>
    <x v="13"/>
    <s v="MMG"/>
    <x v="0"/>
    <n v="50037902"/>
    <s v="LIXADEIRA BOSCH 3"/>
    <n v="1"/>
    <s v="REALIZADO"/>
    <s v="BRUNO"/>
    <x v="2"/>
    <x v="2"/>
    <x v="0"/>
  </r>
  <r>
    <n v="71850"/>
    <x v="14"/>
    <s v="MMG"/>
    <x v="0"/>
    <n v="50041095"/>
    <s v="TALHA MANUAL 1000KG"/>
    <n v="1"/>
    <s v="REALIZADO"/>
    <s v="BRUNO"/>
    <x v="2"/>
    <x v="2"/>
    <x v="0"/>
  </r>
  <r>
    <n v="68760"/>
    <x v="15"/>
    <s v="MMG"/>
    <x v="0"/>
    <n v="50036293"/>
    <s v="CHAVE GANCHO 68 A 75MM"/>
    <n v="1"/>
    <s v="REALIZADO"/>
    <s v="BRUNO"/>
    <x v="2"/>
    <x v="2"/>
    <x v="0"/>
  </r>
  <r>
    <n v="64253"/>
    <x v="16"/>
    <s v="MMG"/>
    <x v="0"/>
    <n v="50037902"/>
    <s v="LIXADEIRA BOSCH 3"/>
    <n v="1"/>
    <s v="REALIZADO"/>
    <s v="BRUNO"/>
    <x v="2"/>
    <x v="0"/>
    <x v="0"/>
  </r>
  <r>
    <n v="79495"/>
    <x v="11"/>
    <s v="MMG"/>
    <x v="2"/>
    <n v="50032781"/>
    <s v="SERRA TICO TICO 650W DEWALT "/>
    <n v="1"/>
    <s v="REALIZADO"/>
    <s v="BRUNO"/>
    <x v="2"/>
    <x v="2"/>
    <x v="0"/>
  </r>
  <r>
    <n v="79495"/>
    <x v="11"/>
    <s v="MMG"/>
    <x v="2"/>
    <n v="50039718"/>
    <s v="ESCALA DE ACO 1000MM VONDER "/>
    <n v="1"/>
    <s v="REALIZADO"/>
    <s v="BRUNO"/>
    <x v="2"/>
    <x v="2"/>
    <x v="0"/>
  </r>
  <r>
    <n v="64253"/>
    <x v="16"/>
    <s v="MMG"/>
    <x v="0"/>
    <n v="50037902"/>
    <s v="LIXADEIRA BOSCH 3"/>
    <n v="1"/>
    <s v="REALIZADO"/>
    <s v="BRUNO"/>
    <x v="2"/>
    <x v="2"/>
    <x v="0"/>
  </r>
  <r>
    <n v="66830"/>
    <x v="3"/>
    <s v="MPR"/>
    <x v="0"/>
    <n v="50036086"/>
    <s v="CHAVE GRIFO 18"/>
    <n v="1"/>
    <s v="REALIZADO"/>
    <s v="BRUNO"/>
    <x v="2"/>
    <x v="2"/>
    <x v="0"/>
  </r>
  <r>
    <n v="66830"/>
    <x v="3"/>
    <s v="MPR"/>
    <x v="0"/>
    <n v="50037892"/>
    <s v="LIXADEIRA BOSCH 2"/>
    <n v="1"/>
    <s v="REALIZADO"/>
    <s v="BRUNO"/>
    <x v="2"/>
    <x v="2"/>
    <x v="0"/>
  </r>
  <r>
    <n v="77313"/>
    <x v="17"/>
    <s v="MPR"/>
    <x v="0"/>
    <n v="50030486"/>
    <s v="FURADEIRA BOSCH 3"/>
    <n v="1"/>
    <s v="REALIZADO"/>
    <s v="BRUNO"/>
    <x v="2"/>
    <x v="2"/>
    <x v="0"/>
  </r>
  <r>
    <n v="79495"/>
    <x v="11"/>
    <s v="MMG"/>
    <x v="2"/>
    <n v="50022878"/>
    <s v="KIT MONTAGEM ROLAMENTO SKF"/>
    <n v="1"/>
    <s v="REALIZADO"/>
    <s v="BRUNO"/>
    <x v="2"/>
    <x v="0"/>
    <x v="0"/>
  </r>
  <r>
    <n v="79495"/>
    <x v="11"/>
    <s v="MMG"/>
    <x v="2"/>
    <n v="50022878"/>
    <s v="KIT MONTAGEM ROLAMENTO SKF"/>
    <n v="1"/>
    <s v="REALIZADO"/>
    <s v="BRUNO"/>
    <x v="2"/>
    <x v="2"/>
    <x v="0"/>
  </r>
  <r>
    <n v="77521"/>
    <x v="5"/>
    <s v="MME"/>
    <x v="0"/>
    <n v="50043471"/>
    <s v="FURADEIRA BOSCH 7"/>
    <n v="1"/>
    <s v="REALIZADO"/>
    <s v="BRUNO"/>
    <x v="2"/>
    <x v="2"/>
    <x v="0"/>
  </r>
  <r>
    <n v="62180"/>
    <x v="18"/>
    <s v="MMG"/>
    <x v="0"/>
    <n v="50038956"/>
    <s v="LIXADEIRA BOSCH 1"/>
    <n v="1"/>
    <s v="REALIZADO"/>
    <s v="BRUNO"/>
    <x v="3"/>
    <x v="0"/>
    <x v="0"/>
  </r>
  <r>
    <n v="76239"/>
    <x v="19"/>
    <s v="REFRIG"/>
    <x v="0"/>
    <n v="50043316"/>
    <s v="JOGO DE LIMA AGULHA COM 12PCS"/>
    <n v="1"/>
    <s v="REALIZADO"/>
    <s v="BRUNO"/>
    <x v="3"/>
    <x v="0"/>
    <x v="0"/>
  </r>
  <r>
    <n v="73878"/>
    <x v="20"/>
    <s v="MMG"/>
    <x v="3"/>
    <n v="50010031"/>
    <s v=" LIXADEIRA BOSCH 6"/>
    <n v="1"/>
    <s v="REALIZADO"/>
    <s v="BRUNO"/>
    <x v="3"/>
    <x v="0"/>
    <x v="0"/>
  </r>
  <r>
    <n v="62050"/>
    <x v="21"/>
    <s v="MME"/>
    <x v="3"/>
    <n v="50041195"/>
    <s v="PARAFUSADEIRA FUR DE IMPACTO BRUSHLESS"/>
    <n v="1"/>
    <s v="REALIZADO"/>
    <s v="KELLY"/>
    <x v="3"/>
    <x v="0"/>
    <x v="0"/>
  </r>
  <r>
    <n v="62033"/>
    <x v="22"/>
    <s v="MME"/>
    <x v="3"/>
    <n v="50037892"/>
    <s v="LIXADEIRA BOSCH 2"/>
    <n v="1"/>
    <s v="REALIZADO"/>
    <s v="KELLY"/>
    <x v="3"/>
    <x v="0"/>
    <x v="0"/>
  </r>
  <r>
    <n v="62033"/>
    <x v="22"/>
    <s v="MME"/>
    <x v="3"/>
    <n v="50039065"/>
    <s v="MAQUINA SOLDA TIG"/>
    <n v="1"/>
    <s v="REALIZADO"/>
    <s v="KELLY"/>
    <x v="3"/>
    <x v="0"/>
    <x v="0"/>
  </r>
  <r>
    <n v="77594"/>
    <x v="23"/>
    <s v="MME"/>
    <x v="0"/>
    <n v="50036294"/>
    <s v="CHAVE GANCHO 80 A 90MM"/>
    <n v="1"/>
    <s v="REALIZADO"/>
    <s v="GEOVANE"/>
    <x v="3"/>
    <x v="0"/>
    <x v="0"/>
  </r>
  <r>
    <n v="77594"/>
    <x v="23"/>
    <s v="MME"/>
    <x v="0"/>
    <n v="50036293"/>
    <s v="CHAVE GANCHO 68 A 75MM"/>
    <n v="1"/>
    <s v="REALIZADO"/>
    <s v="GEOVANE"/>
    <x v="3"/>
    <x v="0"/>
    <x v="0"/>
  </r>
  <r>
    <n v="62050"/>
    <x v="21"/>
    <s v="MME"/>
    <x v="3"/>
    <n v="50041195"/>
    <s v="PARAFUSADEIRA FUR DE IMPACTO BRUSHLESS"/>
    <n v="1"/>
    <s v="REALIZADO"/>
    <s v="GEOVANE"/>
    <x v="3"/>
    <x v="2"/>
    <x v="0"/>
  </r>
  <r>
    <n v="68708"/>
    <x v="13"/>
    <s v="MMG"/>
    <x v="0"/>
    <n v="50038549"/>
    <s v="JOGO SOQUETE ESTRIADOS 1/2 22PEÇ"/>
    <n v="1"/>
    <s v="REALIZADO"/>
    <s v="GEOVANE"/>
    <x v="3"/>
    <x v="0"/>
    <x v="0"/>
  </r>
  <r>
    <n v="68708"/>
    <x v="13"/>
    <s v="MMG"/>
    <x v="0"/>
    <n v="50038517"/>
    <s v="LIXADEIRA BOSCH 5"/>
    <n v="1"/>
    <s v="REALIZADO"/>
    <s v="GEOVANE"/>
    <x v="3"/>
    <x v="0"/>
    <x v="0"/>
  </r>
  <r>
    <n v="62033"/>
    <x v="22"/>
    <s v="MME"/>
    <x v="3"/>
    <n v="50037892"/>
    <s v="LIXADEIRA BOSCH 2"/>
    <n v="1"/>
    <s v="REALIZADO"/>
    <s v="GEOVANE"/>
    <x v="3"/>
    <x v="2"/>
    <x v="0"/>
  </r>
  <r>
    <n v="74611"/>
    <x v="2"/>
    <s v="MPR"/>
    <x v="0"/>
    <n v="50003297"/>
    <s v="FURADEIRA DE IMPACTO MAKITA 02"/>
    <n v="1"/>
    <s v="REALIZADO"/>
    <s v="GEOVANE"/>
    <x v="3"/>
    <x v="0"/>
    <x v="0"/>
  </r>
  <r>
    <n v="74611"/>
    <x v="2"/>
    <s v="MPR"/>
    <x v="0"/>
    <n v="50026357"/>
    <s v="MARTELETE VONDER"/>
    <n v="1"/>
    <s v="REALIZADO"/>
    <s v="GEOVANE"/>
    <x v="3"/>
    <x v="0"/>
    <x v="0"/>
  </r>
  <r>
    <n v="74611"/>
    <x v="2"/>
    <s v="MPR"/>
    <x v="0"/>
    <n v="50037892"/>
    <s v="LIXADEIRA BOSCH 2"/>
    <n v="1"/>
    <s v="REALIZADO"/>
    <s v="GEOVANE"/>
    <x v="3"/>
    <x v="0"/>
    <x v="0"/>
  </r>
  <r>
    <n v="62164"/>
    <x v="24"/>
    <s v="MEE"/>
    <x v="3"/>
    <n v="50043150"/>
    <s v="TACOMETRO"/>
    <n v="1"/>
    <s v="REALIZADO"/>
    <s v="GEOVANE"/>
    <x v="3"/>
    <x v="0"/>
    <x v="0"/>
  </r>
  <r>
    <n v="73878"/>
    <x v="20"/>
    <s v="MMG"/>
    <x v="3"/>
    <n v="50010031"/>
    <s v=" LIXADEIRA BOSCH 6"/>
    <n v="1"/>
    <s v="REALIZADO"/>
    <s v="GEOVANE"/>
    <x v="3"/>
    <x v="2"/>
    <x v="0"/>
  </r>
  <r>
    <n v="70105"/>
    <x v="25"/>
    <s v="MMG"/>
    <x v="0"/>
    <n v="50010031"/>
    <s v=" LIXADEIRA BOSCH 6"/>
    <n v="1"/>
    <s v="REALIZADO"/>
    <s v="GEOVANE"/>
    <x v="3"/>
    <x v="0"/>
    <x v="0"/>
  </r>
  <r>
    <n v="70105"/>
    <x v="25"/>
    <s v="MMG"/>
    <x v="0"/>
    <n v="50010031"/>
    <s v=" LIXADEIRA BOSCH 6"/>
    <n v="1"/>
    <s v="REALIZADO"/>
    <s v="GEOVANE"/>
    <x v="3"/>
    <x v="2"/>
    <x v="0"/>
  </r>
  <r>
    <n v="62033"/>
    <x v="22"/>
    <s v="MME"/>
    <x v="3"/>
    <n v="50039065"/>
    <s v="MAQUINA SOLDA TIG"/>
    <n v="1"/>
    <s v="REALIZADO"/>
    <s v="GEOVANE"/>
    <x v="3"/>
    <x v="2"/>
    <x v="0"/>
  </r>
  <r>
    <n v="68708"/>
    <x v="13"/>
    <s v="MMG"/>
    <x v="0"/>
    <n v="50038517"/>
    <s v="LIXADEIRA BOSCH 5"/>
    <n v="1"/>
    <s v="REALIZADO"/>
    <s v="GEOVANE"/>
    <x v="3"/>
    <x v="2"/>
    <x v="0"/>
  </r>
  <r>
    <n v="72715"/>
    <x v="26"/>
    <s v="MPR"/>
    <x v="0"/>
    <n v="50010031"/>
    <s v=" LIXADEIRA BOSCH 6"/>
    <n v="1"/>
    <s v="REALIZADO"/>
    <s v="GEOVANE"/>
    <x v="3"/>
    <x v="0"/>
    <x v="0"/>
  </r>
  <r>
    <n v="72715"/>
    <x v="26"/>
    <s v="MPR"/>
    <x v="0"/>
    <n v="50043471"/>
    <s v="FURADEIRA BOSCH 7"/>
    <n v="1"/>
    <s v="REALIZADO"/>
    <s v="GEOVANE"/>
    <x v="3"/>
    <x v="0"/>
    <x v="0"/>
  </r>
  <r>
    <n v="62164"/>
    <x v="24"/>
    <s v="MEE"/>
    <x v="3"/>
    <n v="50043150"/>
    <s v="TACOMETRO"/>
    <n v="1"/>
    <s v="REALIZADO"/>
    <s v="GEOVANE"/>
    <x v="3"/>
    <x v="2"/>
    <x v="0"/>
  </r>
  <r>
    <n v="63684"/>
    <x v="27"/>
    <s v="MME"/>
    <x v="2"/>
    <n v="50041195"/>
    <s v="PARAFUSADEIRA FUR DE IMPACTO BRUSHLESS"/>
    <n v="1"/>
    <s v="REALIZADO"/>
    <s v="MARCIA"/>
    <x v="3"/>
    <x v="0"/>
    <x v="0"/>
  </r>
  <r>
    <n v="72715"/>
    <x v="26"/>
    <s v="MPR"/>
    <x v="0"/>
    <n v="50010031"/>
    <s v=" LIXADEIRA BOSCH 6"/>
    <n v="1"/>
    <s v="REALIZADO"/>
    <s v="MARCIA"/>
    <x v="3"/>
    <x v="2"/>
    <x v="0"/>
  </r>
  <r>
    <n v="72715"/>
    <x v="26"/>
    <s v="MPR"/>
    <x v="0"/>
    <n v="50010031"/>
    <s v=" LIXADEIRA BOSCH 6"/>
    <n v="1"/>
    <s v="REALIZADO"/>
    <s v="BRUNO"/>
    <x v="3"/>
    <x v="0"/>
    <x v="0"/>
  </r>
  <r>
    <n v="72715"/>
    <x v="26"/>
    <s v="MPR"/>
    <x v="0"/>
    <n v="50043471"/>
    <s v="FURADEIRA BOSCH 7"/>
    <n v="1"/>
    <s v="REALIZADO"/>
    <s v="BRUNO"/>
    <x v="3"/>
    <x v="2"/>
    <x v="0"/>
  </r>
  <r>
    <n v="76239"/>
    <x v="19"/>
    <s v="REFRIG"/>
    <x v="0"/>
    <n v="50043316"/>
    <s v="JOGO DE LIMA AGULHA COM 12PCS"/>
    <n v="1"/>
    <s v="REALIZADO"/>
    <s v="BRUNO"/>
    <x v="3"/>
    <x v="2"/>
    <x v="0"/>
  </r>
  <r>
    <n v="68708"/>
    <x v="13"/>
    <s v="MMG"/>
    <x v="0"/>
    <n v="50038549"/>
    <s v="JOGO SOQUETE ESTRIADOS 1/2 22PEÇ"/>
    <n v="1"/>
    <s v="REALIZADO"/>
    <s v="BRUNO"/>
    <x v="3"/>
    <x v="2"/>
    <x v="0"/>
  </r>
  <r>
    <n v="66830"/>
    <x v="3"/>
    <s v="MPR"/>
    <x v="0"/>
    <n v="50036086"/>
    <s v="CHAVE GRIFO 18"/>
    <n v="1"/>
    <s v="REALIZADO"/>
    <s v="BRUNO"/>
    <x v="3"/>
    <x v="0"/>
    <x v="0"/>
  </r>
  <r>
    <n v="77594"/>
    <x v="23"/>
    <s v="MME"/>
    <x v="0"/>
    <n v="50036294"/>
    <s v="CHAVE GANCHO 80 A 90MM"/>
    <n v="1"/>
    <s v="REALIZADO"/>
    <s v="BRUNO"/>
    <x v="3"/>
    <x v="2"/>
    <x v="0"/>
  </r>
  <r>
    <n v="77594"/>
    <x v="23"/>
    <s v="MME"/>
    <x v="0"/>
    <n v="50036293"/>
    <s v="CHAVE GANCHO 68 A 75MM"/>
    <n v="1"/>
    <s v="REALIZADO"/>
    <s v="BRUNO"/>
    <x v="3"/>
    <x v="2"/>
    <x v="0"/>
  </r>
  <r>
    <n v="77594"/>
    <x v="23"/>
    <s v="MME"/>
    <x v="0"/>
    <n v="50036295"/>
    <s v="CHAVE GANCHO 95 A 100MM"/>
    <n v="1"/>
    <s v="REALIZADO"/>
    <s v="BRUNO"/>
    <x v="3"/>
    <x v="0"/>
    <x v="0"/>
  </r>
  <r>
    <n v="77521"/>
    <x v="5"/>
    <s v="MME"/>
    <x v="0"/>
    <n v="50043471"/>
    <s v="FURADEIRA BOSCH 7"/>
    <n v="1"/>
    <s v="REALIZADO"/>
    <s v="BRUNO"/>
    <x v="3"/>
    <x v="0"/>
    <x v="0"/>
  </r>
  <r>
    <n v="77521"/>
    <x v="5"/>
    <s v="MME"/>
    <x v="0"/>
    <n v="50036299"/>
    <s v="JOGO DE SERRAS COPOS BIMETALICAS 16 PEÇAS"/>
    <n v="1"/>
    <s v="REALIZADO"/>
    <s v="BRUNO"/>
    <x v="3"/>
    <x v="0"/>
    <x v="0"/>
  </r>
  <r>
    <n v="66830"/>
    <x v="3"/>
    <s v="MPR"/>
    <x v="0"/>
    <n v="50036086"/>
    <s v="CHAVE GRIFO 18"/>
    <n v="1"/>
    <s v="REALIZADO"/>
    <s v="BRUNO"/>
    <x v="3"/>
    <x v="2"/>
    <x v="0"/>
  </r>
  <r>
    <n v="72715"/>
    <x v="26"/>
    <s v="MPR"/>
    <x v="0"/>
    <n v="50010031"/>
    <s v=" LIXADEIRA BOSCH 6"/>
    <n v="1"/>
    <s v="REALIZADO"/>
    <s v="BRUNO"/>
    <x v="3"/>
    <x v="2"/>
    <x v="0"/>
  </r>
  <r>
    <n v="79177"/>
    <x v="28"/>
    <s v="MMG"/>
    <x v="0"/>
    <n v="50010031"/>
    <s v=" LIXADEIRA BOSCH 6"/>
    <n v="1"/>
    <s v="REALIZADO"/>
    <s v="BRUNO"/>
    <x v="3"/>
    <x v="0"/>
    <x v="0"/>
  </r>
  <r>
    <n v="79177"/>
    <x v="28"/>
    <s v="MMG"/>
    <x v="0"/>
    <n v="50039065"/>
    <s v="MAQUINA SOLDA TIG"/>
    <n v="1"/>
    <s v="REALIZADO"/>
    <s v="BRUNO"/>
    <x v="3"/>
    <x v="0"/>
    <x v="0"/>
  </r>
  <r>
    <n v="74611"/>
    <x v="2"/>
    <s v="MPR"/>
    <x v="0"/>
    <n v="50003297"/>
    <s v="FURADEIRA DE IMPACTO MAKITA 02"/>
    <n v="1"/>
    <s v="REALIZADO"/>
    <s v="BRUNO"/>
    <x v="3"/>
    <x v="2"/>
    <x v="0"/>
  </r>
  <r>
    <n v="74611"/>
    <x v="2"/>
    <s v="MPR"/>
    <x v="0"/>
    <n v="50026357"/>
    <s v="MARTELETE VONDER"/>
    <n v="1"/>
    <s v="REALIZADO"/>
    <s v="BRUNO"/>
    <x v="3"/>
    <x v="2"/>
    <x v="0"/>
  </r>
  <r>
    <n v="74611"/>
    <x v="2"/>
    <s v="MPR"/>
    <x v="0"/>
    <n v="50037892"/>
    <s v="LIXADEIRA BOSCH 2"/>
    <n v="1"/>
    <s v="REALIZADO"/>
    <s v="BRUNO"/>
    <x v="3"/>
    <x v="2"/>
    <x v="0"/>
  </r>
  <r>
    <n v="77594"/>
    <x v="23"/>
    <s v="MME"/>
    <x v="0"/>
    <n v="50036295"/>
    <s v="CHAVE GANCHO 95 A 100MM"/>
    <n v="1"/>
    <s v="REALIZADO"/>
    <s v="BRUNO"/>
    <x v="3"/>
    <x v="2"/>
    <x v="0"/>
  </r>
  <r>
    <n v="77521"/>
    <x v="5"/>
    <s v="MME"/>
    <x v="0"/>
    <n v="50036299"/>
    <s v="JOGO DE SERRAS COPOS BIMETALICAS 16 PEÇAS"/>
    <n v="1"/>
    <s v="REALIZADO"/>
    <s v="BRUNO"/>
    <x v="3"/>
    <x v="2"/>
    <x v="0"/>
  </r>
  <r>
    <n v="77521"/>
    <x v="5"/>
    <s v="MME"/>
    <x v="0"/>
    <n v="50043471"/>
    <s v="FURADEIRA BOSCH 7"/>
    <n v="1"/>
    <s v="REALIZADO"/>
    <s v="BRUNO"/>
    <x v="3"/>
    <x v="2"/>
    <x v="0"/>
  </r>
  <r>
    <n v="79177"/>
    <x v="28"/>
    <s v="MMG"/>
    <x v="0"/>
    <n v="50010031"/>
    <s v=" LIXADEIRA BOSCH 6"/>
    <n v="1"/>
    <s v="REALIZADO"/>
    <s v="BRUNO"/>
    <x v="3"/>
    <x v="2"/>
    <x v="0"/>
  </r>
  <r>
    <n v="79177"/>
    <x v="28"/>
    <s v="MMG"/>
    <x v="0"/>
    <n v="50039065"/>
    <s v="MAQUINA SOLDA TIG"/>
    <n v="1"/>
    <s v="REALIZADO"/>
    <s v="BRUNO"/>
    <x v="3"/>
    <x v="2"/>
    <x v="0"/>
  </r>
  <r>
    <n v="62180"/>
    <x v="18"/>
    <s v="MMG"/>
    <x v="0"/>
    <n v="50038956"/>
    <s v="LIXADEIRA BOSCH 1"/>
    <n v="1"/>
    <s v="REALIZADO"/>
    <s v="BRUNO"/>
    <x v="3"/>
    <x v="2"/>
    <x v="2"/>
  </r>
  <r>
    <n v="62033"/>
    <x v="22"/>
    <s v="MME"/>
    <x v="3"/>
    <n v="50039065"/>
    <s v="MAQUINA SOLDA TIG"/>
    <n v="1"/>
    <s v="REALIZADO"/>
    <s v="KELLY"/>
    <x v="4"/>
    <x v="0"/>
    <x v="0"/>
  </r>
  <r>
    <n v="73336"/>
    <x v="29"/>
    <s v="MMG"/>
    <x v="3"/>
    <n v="50037902"/>
    <s v="LIXADEIRA BOSCH 3"/>
    <n v="1"/>
    <s v="REALIZADO"/>
    <s v="KELLY"/>
    <x v="4"/>
    <x v="0"/>
    <x v="0"/>
  </r>
  <r>
    <n v="65482"/>
    <x v="30"/>
    <s v="MMG"/>
    <x v="0"/>
    <n v="50038854"/>
    <s v="ARCO DE SERRA"/>
    <n v="1"/>
    <s v="REALIZADO"/>
    <s v="KELLY"/>
    <x v="4"/>
    <x v="0"/>
    <x v="0"/>
  </r>
  <r>
    <n v="68708"/>
    <x v="13"/>
    <s v="MMG"/>
    <x v="0"/>
    <n v="50038549"/>
    <s v="JOGO SOQUETE ESTRIADOS 1/2 22PEÇ"/>
    <n v="1"/>
    <s v="REALIZADO"/>
    <s v="JOÃO FRANCISCO"/>
    <x v="4"/>
    <x v="0"/>
    <x v="0"/>
  </r>
  <r>
    <n v="77521"/>
    <x v="5"/>
    <s v="MME"/>
    <x v="0"/>
    <n v="50038517"/>
    <s v="LIXADEIRA BOSCH 5"/>
    <n v="1"/>
    <s v="REALIZADO"/>
    <s v="AGATHA"/>
    <x v="4"/>
    <x v="0"/>
    <x v="0"/>
  </r>
  <r>
    <n v="73336"/>
    <x v="29"/>
    <s v="MMG"/>
    <x v="3"/>
    <n v="50043471"/>
    <s v="FURADEIRA BOSCH 7"/>
    <n v="1"/>
    <s v="REALIZADO"/>
    <s v="JOÃO FRANCISCO"/>
    <x v="4"/>
    <x v="0"/>
    <x v="0"/>
  </r>
  <r>
    <n v="58068"/>
    <x v="31"/>
    <s v="MME"/>
    <x v="0"/>
    <n v="50036279"/>
    <s v="CHAVE GRIFO 36"/>
    <n v="1"/>
    <s v="REALIZADO"/>
    <s v="AGATHA"/>
    <x v="4"/>
    <x v="0"/>
    <x v="0"/>
  </r>
  <r>
    <n v="66830"/>
    <x v="3"/>
    <s v="MPR"/>
    <x v="0"/>
    <n v="50010031"/>
    <s v=" LIXADEIRA BOSCH 6"/>
    <n v="1"/>
    <s v="REALIZADO"/>
    <s v="AGATHA"/>
    <x v="4"/>
    <x v="0"/>
    <x v="0"/>
  </r>
  <r>
    <n v="63399"/>
    <x v="32"/>
    <s v="MPR"/>
    <x v="0"/>
    <n v="50041195"/>
    <s v="PARAFUSADEIRA FUR DE IMPACTO BRUSHLESS"/>
    <n v="1"/>
    <s v="REALIZADO"/>
    <s v="AGATHA"/>
    <x v="4"/>
    <x v="0"/>
    <x v="0"/>
  </r>
  <r>
    <n v="72715"/>
    <x v="26"/>
    <s v="MPR"/>
    <x v="0"/>
    <n v="50038956"/>
    <s v="LIXADEIRA BOSCH 1"/>
    <n v="1"/>
    <s v="REALIZADO"/>
    <s v="GEOVANE"/>
    <x v="4"/>
    <x v="0"/>
    <x v="0"/>
  </r>
  <r>
    <n v="62033"/>
    <x v="22"/>
    <s v="MME"/>
    <x v="3"/>
    <n v="50039065"/>
    <s v="MAQUINA SOLDA TIG"/>
    <n v="1"/>
    <s v="REALIZADO"/>
    <s v="AGATHA"/>
    <x v="4"/>
    <x v="2"/>
    <x v="0"/>
  </r>
  <r>
    <n v="72715"/>
    <x v="26"/>
    <s v="MPR"/>
    <x v="0"/>
    <n v="50038956"/>
    <s v="LIXADEIRA BOSCH 1"/>
    <n v="1"/>
    <s v="REALIZADO"/>
    <s v="GEOVANE"/>
    <x v="4"/>
    <x v="2"/>
    <x v="0"/>
  </r>
  <r>
    <n v="74611"/>
    <x v="2"/>
    <s v="MPR"/>
    <x v="0"/>
    <n v="50038956"/>
    <s v="LIXADEIRA BOSCH 1"/>
    <n v="1"/>
    <s v="REALIZADO"/>
    <s v="AGATHA"/>
    <x v="4"/>
    <x v="0"/>
    <x v="0"/>
  </r>
  <r>
    <n v="65482"/>
    <x v="30"/>
    <s v="MMG"/>
    <x v="0"/>
    <n v="50038854"/>
    <s v="ARCO DE SERRA"/>
    <n v="1"/>
    <s v="REALIZADO"/>
    <s v="AGATHA"/>
    <x v="4"/>
    <x v="2"/>
    <x v="0"/>
  </r>
  <r>
    <n v="65482"/>
    <x v="30"/>
    <s v="MMG"/>
    <x v="0"/>
    <n v="50003173"/>
    <s v="CHAVE GRIFO 24"/>
    <n v="1"/>
    <s v="REALIZADO"/>
    <s v="GEOVANE"/>
    <x v="4"/>
    <x v="2"/>
    <x v="0"/>
  </r>
  <r>
    <n v="58068"/>
    <x v="31"/>
    <s v="MME"/>
    <x v="0"/>
    <n v="50036279"/>
    <s v="CHAVE GRIFO 36"/>
    <n v="1"/>
    <s v="REALIZADO"/>
    <s v="AGATHA"/>
    <x v="4"/>
    <x v="2"/>
    <x v="0"/>
  </r>
  <r>
    <n v="61264"/>
    <x v="10"/>
    <s v="MMG"/>
    <x v="0"/>
    <n v="50012902"/>
    <s v="SACA POLIA 03 GARRAS 250 MM GEDORE"/>
    <n v="1"/>
    <s v="REALIZADO"/>
    <s v="AGATHA"/>
    <x v="4"/>
    <x v="0"/>
    <x v="0"/>
  </r>
  <r>
    <n v="73336"/>
    <x v="29"/>
    <s v="MMG"/>
    <x v="3"/>
    <n v="50037902"/>
    <s v="LIXADEIRA BOSCH 3"/>
    <n v="1"/>
    <s v="REALIZADO"/>
    <s v="GEOVANE"/>
    <x v="4"/>
    <x v="2"/>
    <x v="0"/>
  </r>
  <r>
    <n v="73336"/>
    <x v="29"/>
    <s v="MMG"/>
    <x v="3"/>
    <n v="50043471"/>
    <s v="FURADEIRA BOSCH 7"/>
    <n v="1"/>
    <s v="REALIZADO"/>
    <s v="GEOVANE"/>
    <x v="4"/>
    <x v="2"/>
    <x v="0"/>
  </r>
  <r>
    <n v="61264"/>
    <x v="10"/>
    <s v="MMG"/>
    <x v="0"/>
    <n v="50012903"/>
    <s v="SACA POLIA 02 GARRAS 250MM GEDORE"/>
    <n v="1"/>
    <s v="REALIZADO"/>
    <s v="BRUNO"/>
    <x v="4"/>
    <x v="0"/>
    <x v="0"/>
  </r>
  <r>
    <n v="71850"/>
    <x v="14"/>
    <s v="MMG"/>
    <x v="0"/>
    <n v="50043471"/>
    <s v="FURADEIRA BOSCH 7"/>
    <n v="1"/>
    <s v="REALIZADO"/>
    <s v="BRUNO"/>
    <x v="4"/>
    <x v="0"/>
    <x v="0"/>
  </r>
  <r>
    <n v="71850"/>
    <x v="14"/>
    <s v="MMG"/>
    <x v="0"/>
    <n v="50037892"/>
    <s v="LIXADEIRA BOSCH 2"/>
    <n v="1"/>
    <s v="REALIZADO"/>
    <s v="BRUNO"/>
    <x v="4"/>
    <x v="0"/>
    <x v="0"/>
  </r>
  <r>
    <n v="61264"/>
    <x v="10"/>
    <s v="MMG"/>
    <x v="0"/>
    <n v="50012903"/>
    <s v="SACA POLIA 02 GARRAS 250MM GEDORE"/>
    <n v="1"/>
    <s v="REALIZADO"/>
    <s v="BRUNO"/>
    <x v="4"/>
    <x v="0"/>
    <x v="0"/>
  </r>
  <r>
    <n v="65482"/>
    <x v="30"/>
    <s v="MMG"/>
    <x v="0"/>
    <n v="50037902"/>
    <s v="LIXADEIRA BOSCH 3"/>
    <n v="1"/>
    <s v="REALIZADO"/>
    <s v="BRUNO"/>
    <x v="4"/>
    <x v="0"/>
    <x v="0"/>
  </r>
  <r>
    <n v="61264"/>
    <x v="10"/>
    <s v="MMG"/>
    <x v="0"/>
    <n v="50012903"/>
    <s v="SACA POLIA 02 GARRAS 250MM GEDORE"/>
    <n v="1"/>
    <s v="REALIZADO"/>
    <s v="BRUNO"/>
    <x v="4"/>
    <x v="2"/>
    <x v="0"/>
  </r>
  <r>
    <n v="68708"/>
    <x v="13"/>
    <s v="MMG"/>
    <x v="0"/>
    <n v="50038549"/>
    <s v="JOGO SOQUETE ESTRIADOS 1/2 22PEÇ"/>
    <n v="1"/>
    <s v="REALIZADO"/>
    <s v="BRUNO"/>
    <x v="4"/>
    <x v="2"/>
    <x v="0"/>
  </r>
  <r>
    <n v="61264"/>
    <x v="10"/>
    <s v="MMG"/>
    <x v="0"/>
    <n v="50012902"/>
    <s v="SACA POLIA 03 GARRAS 250 MM GEDORE"/>
    <n v="1"/>
    <s v="REALIZADO"/>
    <s v="BRUNO"/>
    <x v="4"/>
    <x v="2"/>
    <x v="0"/>
  </r>
  <r>
    <n v="66830"/>
    <x v="3"/>
    <s v="MPR"/>
    <x v="0"/>
    <n v="50010031"/>
    <s v=" LIXADEIRA BOSCH 6"/>
    <n v="1"/>
    <s v="REALIZADO"/>
    <s v="BRUNO"/>
    <x v="4"/>
    <x v="2"/>
    <x v="0"/>
  </r>
  <r>
    <n v="62896"/>
    <x v="33"/>
    <s v="MEE"/>
    <x v="0"/>
    <n v="50010031"/>
    <s v=" LIXADEIRA BOSCH 6"/>
    <n v="1"/>
    <s v="REALIZADO"/>
    <s v="BRUNO"/>
    <x v="5"/>
    <x v="0"/>
    <x v="0"/>
  </r>
  <r>
    <n v="65482"/>
    <x v="30"/>
    <s v="MMG"/>
    <x v="0"/>
    <n v="50037902"/>
    <s v="LIXADEIRA BOSCH 3"/>
    <n v="1"/>
    <s v="REALIZADO"/>
    <s v="BRUNO"/>
    <x v="4"/>
    <x v="2"/>
    <x v="0"/>
  </r>
  <r>
    <n v="77521"/>
    <x v="5"/>
    <s v="MME"/>
    <x v="0"/>
    <n v="50038517"/>
    <s v="LIXADEIRA BOSCH 5"/>
    <n v="1"/>
    <s v="REALIZADO"/>
    <s v="BRUNO"/>
    <x v="4"/>
    <x v="2"/>
    <x v="0"/>
  </r>
  <r>
    <n v="62033"/>
    <x v="22"/>
    <s v="MME"/>
    <x v="3"/>
    <n v="50040566"/>
    <s v="PISTOLA PNEUMATICA DE PINTURA"/>
    <n v="1"/>
    <s v="REALIZADO"/>
    <s v="BRUNO"/>
    <x v="5"/>
    <x v="0"/>
    <x v="0"/>
  </r>
  <r>
    <n v="70105"/>
    <x v="25"/>
    <s v="MMG"/>
    <x v="0"/>
    <n v="50030486"/>
    <s v="FURADEIRA BOSCH 3"/>
    <n v="1"/>
    <s v="REALIZADO"/>
    <s v="BRUNO"/>
    <x v="5"/>
    <x v="0"/>
    <x v="0"/>
  </r>
  <r>
    <n v="74611"/>
    <x v="2"/>
    <s v="MPR"/>
    <x v="0"/>
    <n v="50038956"/>
    <s v="LIXADEIRA BOSCH 1"/>
    <n v="1"/>
    <s v="REALIZADO"/>
    <s v="BRUNO"/>
    <x v="4"/>
    <x v="2"/>
    <x v="0"/>
  </r>
  <r>
    <n v="63399"/>
    <x v="32"/>
    <s v="MPR"/>
    <x v="0"/>
    <n v="50041195"/>
    <s v="PARAFUSADEIRA FUR DE IMPACTO BRUSHLESS"/>
    <n v="1"/>
    <s v="REALIZADO"/>
    <s v="BRUNO"/>
    <x v="4"/>
    <x v="2"/>
    <x v="0"/>
  </r>
  <r>
    <n v="71850"/>
    <x v="14"/>
    <s v="MMG"/>
    <x v="0"/>
    <n v="50043471"/>
    <s v="FURADEIRA BOSCH 7"/>
    <n v="1"/>
    <s v="REALIZADO"/>
    <s v="BRUNO"/>
    <x v="4"/>
    <x v="2"/>
    <x v="0"/>
  </r>
  <r>
    <n v="71850"/>
    <x v="14"/>
    <s v="MMG"/>
    <x v="0"/>
    <n v="50037892"/>
    <s v="LIXADEIRA BOSCH 2"/>
    <n v="1"/>
    <s v="REALIZADO"/>
    <s v="BRUNO"/>
    <x v="4"/>
    <x v="2"/>
    <x v="0"/>
  </r>
  <r>
    <n v="60115"/>
    <x v="34"/>
    <s v="MME"/>
    <x v="3"/>
    <n v="50028220"/>
    <s v="SOPRADOR TERMICO VONDER 1500W 220V"/>
    <n v="1"/>
    <s v="REALIZADO"/>
    <s v="BRUNO"/>
    <x v="5"/>
    <x v="0"/>
    <x v="3"/>
  </r>
  <r>
    <n v="62033"/>
    <x v="22"/>
    <s v="MME"/>
    <x v="3"/>
    <n v="50040566"/>
    <s v="PISTOLA PNEUMATICA DE PINTURA"/>
    <n v="1"/>
    <s v="REALIZADO"/>
    <s v="AGATHA"/>
    <x v="5"/>
    <x v="2"/>
    <x v="0"/>
  </r>
  <r>
    <n v="74611"/>
    <x v="2"/>
    <s v="MPR"/>
    <x v="0"/>
    <n v="50038841"/>
    <s v="LIXADEIRA BOSCH 4"/>
    <n v="1"/>
    <s v="REALIZADO"/>
    <s v="MARCIA"/>
    <x v="5"/>
    <x v="0"/>
    <x v="0"/>
  </r>
  <r>
    <n v="74611"/>
    <x v="2"/>
    <s v="MPR"/>
    <x v="0"/>
    <n v="50038517"/>
    <s v="LIXADEIRA BOSCH 5"/>
    <n v="1"/>
    <s v="REALIZADO"/>
    <s v="AGATHA"/>
    <x v="5"/>
    <x v="0"/>
    <x v="0"/>
  </r>
  <r>
    <n v="62180"/>
    <x v="18"/>
    <s v="MMG"/>
    <x v="0"/>
    <n v="50003173"/>
    <s v="CHAVE GRIFO 24"/>
    <n v="1"/>
    <s v="REALIZADO"/>
    <s v="GEOVANE"/>
    <x v="5"/>
    <x v="0"/>
    <x v="0"/>
  </r>
  <r>
    <n v="77471"/>
    <x v="35"/>
    <s v="MEE"/>
    <x v="0"/>
    <n v="50041195"/>
    <s v="PARAFUSADEIRA FUR DE IMPACTO BRUSHLESS"/>
    <n v="1"/>
    <s v="REALIZADO"/>
    <s v="GEOVANE"/>
    <x v="5"/>
    <x v="0"/>
    <x v="0"/>
  </r>
  <r>
    <n v="63770"/>
    <x v="36"/>
    <s v="MMG"/>
    <x v="0"/>
    <n v="50029865"/>
    <s v="JOGO DE BROCAS ACO RAPIDO"/>
    <n v="1"/>
    <s v="REALIZADO"/>
    <s v="GEOVANE"/>
    <x v="5"/>
    <x v="0"/>
    <x v="0"/>
  </r>
  <r>
    <n v="77526"/>
    <x v="37"/>
    <s v="MME"/>
    <x v="0"/>
    <n v="50037902"/>
    <s v="LIXADEIRA BOSCH 3"/>
    <n v="1"/>
    <s v="REALIZADO"/>
    <s v="AGATHA"/>
    <x v="5"/>
    <x v="0"/>
    <x v="0"/>
  </r>
  <r>
    <n v="60115"/>
    <x v="34"/>
    <s v="MME"/>
    <x v="3"/>
    <n v="50028220"/>
    <s v="SOPRADOR TERMICO VONDER 1500W 220V"/>
    <n v="1"/>
    <s v="REALIZADO"/>
    <s v="AGATHA"/>
    <x v="5"/>
    <x v="2"/>
    <x v="0"/>
  </r>
  <r>
    <n v="63770"/>
    <x v="36"/>
    <s v="MMG"/>
    <x v="0"/>
    <n v="50029865"/>
    <s v="JOGO DE BROCAS ACO RAPIDO"/>
    <n v="1"/>
    <s v="REALIZADO"/>
    <s v="GEOVANE"/>
    <x v="5"/>
    <x v="2"/>
    <x v="0"/>
  </r>
  <r>
    <n v="77471"/>
    <x v="35"/>
    <s v="MEE"/>
    <x v="0"/>
    <n v="50041195"/>
    <s v="PARAFUSADEIRA FUR DE IMPACTO BRUSHLESS"/>
    <n v="1"/>
    <s v="REALIZADO"/>
    <s v="GEOVANE"/>
    <x v="5"/>
    <x v="2"/>
    <x v="0"/>
  </r>
  <r>
    <n v="76994"/>
    <x v="8"/>
    <s v="MEE"/>
    <x v="0"/>
    <n v="50043320"/>
    <s v="JOGO SERRA COPO 8PÇS"/>
    <n v="1"/>
    <s v="REALIZADO"/>
    <s v="AGATHA"/>
    <x v="5"/>
    <x v="0"/>
    <x v="0"/>
  </r>
  <r>
    <n v="76994"/>
    <x v="8"/>
    <s v="MEE"/>
    <x v="0"/>
    <n v="50041195"/>
    <s v="PARAFUSADEIRA FUR DE IMPACTO BRUSHLESS"/>
    <n v="1"/>
    <s v="REALIZADO"/>
    <s v="AGATHA"/>
    <x v="5"/>
    <x v="0"/>
    <x v="0"/>
  </r>
  <r>
    <n v="68708"/>
    <x v="13"/>
    <s v="MMG"/>
    <x v="0"/>
    <n v="50003297"/>
    <s v="FURADEIRA DE IMPACTO MAKITA 02"/>
    <n v="1"/>
    <s v="REALIZADO"/>
    <s v="AGATHA"/>
    <x v="5"/>
    <x v="0"/>
    <x v="0"/>
  </r>
  <r>
    <n v="63770"/>
    <x v="36"/>
    <s v="MMG"/>
    <x v="0"/>
    <n v="50038549"/>
    <s v="JOGO SOQUETE ESTRIADOS 1/2 22PEÇ"/>
    <n v="1"/>
    <s v="REALIZADO"/>
    <s v="AGATHA"/>
    <x v="5"/>
    <x v="0"/>
    <x v="0"/>
  </r>
  <r>
    <n v="73336"/>
    <x v="29"/>
    <s v="MMG"/>
    <x v="3"/>
    <n v="50022878"/>
    <s v="KIT MONTAGEM ROLAMENTO SKF"/>
    <n v="1"/>
    <s v="REALIZADO"/>
    <s v="AGATHA"/>
    <x v="5"/>
    <x v="0"/>
    <x v="0"/>
  </r>
  <r>
    <n v="73336"/>
    <x v="29"/>
    <s v="MMG"/>
    <x v="3"/>
    <n v="50022878"/>
    <s v="KIT MONTAGEM ROLAMENTO SKF"/>
    <n v="1"/>
    <s v="REALIZADO"/>
    <s v="AGATHA"/>
    <x v="5"/>
    <x v="2"/>
    <x v="0"/>
  </r>
  <r>
    <n v="77526"/>
    <x v="37"/>
    <s v="MME"/>
    <x v="0"/>
    <n v="50037902"/>
    <s v="LIXADEIRA BOSCH 3"/>
    <n v="1"/>
    <s v="REALIZADO"/>
    <s v="AGATHA"/>
    <x v="5"/>
    <x v="2"/>
    <x v="0"/>
  </r>
  <r>
    <n v="77521"/>
    <x v="5"/>
    <s v="MME"/>
    <x v="0"/>
    <n v="50037892"/>
    <s v="LIXADEIRA BOSCH 2"/>
    <n v="1"/>
    <s v="REALIZADO"/>
    <s v="GEOVANE"/>
    <x v="5"/>
    <x v="0"/>
    <x v="0"/>
  </r>
  <r>
    <n v="69510"/>
    <x v="7"/>
    <s v="MEE"/>
    <x v="0"/>
    <n v="50026357"/>
    <s v="MARTELETE VONDER"/>
    <n v="1"/>
    <s v="REALIZADO"/>
    <s v="MARCIA"/>
    <x v="5"/>
    <x v="0"/>
    <x v="0"/>
  </r>
  <r>
    <n v="71850"/>
    <x v="14"/>
    <s v="MMG"/>
    <x v="0"/>
    <n v="50030486"/>
    <s v="FURADEIRA BOSCH 3"/>
    <n v="1"/>
    <s v="REALIZADO"/>
    <s v="MATHEUS"/>
    <x v="5"/>
    <x v="0"/>
    <x v="0"/>
  </r>
  <r>
    <n v="62180"/>
    <x v="18"/>
    <s v="MMG"/>
    <x v="0"/>
    <n v="50003173"/>
    <s v="CHAVE GRIFO 24"/>
    <n v="1"/>
    <s v="REALIZADO"/>
    <s v="MATHEUS"/>
    <x v="5"/>
    <x v="2"/>
    <x v="0"/>
  </r>
  <r>
    <n v="71850"/>
    <x v="14"/>
    <s v="MMG"/>
    <x v="0"/>
    <n v="50030486"/>
    <s v="FURADEIRA BOSCH 3"/>
    <n v="1"/>
    <s v="REALIZADO"/>
    <s v="MATHEUS"/>
    <x v="5"/>
    <x v="2"/>
    <x v="0"/>
  </r>
  <r>
    <n v="76994"/>
    <x v="8"/>
    <s v="MEE"/>
    <x v="0"/>
    <n v="50043320"/>
    <s v="JOGO SERRA COPO 8PÇS"/>
    <n v="1"/>
    <s v="REALIZADO"/>
    <s v="MATHEUS"/>
    <x v="5"/>
    <x v="2"/>
    <x v="0"/>
  </r>
  <r>
    <n v="70105"/>
    <x v="25"/>
    <s v="MMG"/>
    <x v="3"/>
    <n v="50030486"/>
    <s v="FURADEIRA BOSCH 3"/>
    <n v="1"/>
    <s v="REALIZADO"/>
    <s v="MATHEUS"/>
    <x v="5"/>
    <x v="2"/>
    <x v="4"/>
  </r>
  <r>
    <n v="74611"/>
    <x v="2"/>
    <s v="MPR"/>
    <x v="0"/>
    <n v="50038517"/>
    <s v="LIXADEIRA BOSCH 5"/>
    <n v="1"/>
    <s v="REALIZADO"/>
    <s v="MATHEUS"/>
    <x v="5"/>
    <x v="2"/>
    <x v="0"/>
  </r>
  <r>
    <n v="63770"/>
    <x v="36"/>
    <s v="MMG"/>
    <x v="0"/>
    <n v="50038549"/>
    <s v="JOGO SOQUETE ESTRIADOS 1/2 22PEÇ"/>
    <n v="1"/>
    <s v="REALIZADO"/>
    <s v="MATHEUS"/>
    <x v="5"/>
    <x v="0"/>
    <x v="0"/>
  </r>
  <r>
    <n v="74611"/>
    <x v="2"/>
    <s v="MPR"/>
    <x v="0"/>
    <n v="50038841"/>
    <s v="LIXADEIRA BOSCH 4"/>
    <n v="1"/>
    <s v="REALIZADO"/>
    <s v="MATHEUS"/>
    <x v="5"/>
    <x v="2"/>
    <x v="0"/>
  </r>
  <r>
    <n v="62896"/>
    <x v="33"/>
    <s v="MEE"/>
    <x v="0"/>
    <n v="50010031"/>
    <s v=" LIXADEIRA BOSCH 6"/>
    <n v="1"/>
    <s v="REALIZADO"/>
    <s v="MATHEUS"/>
    <x v="5"/>
    <x v="2"/>
    <x v="0"/>
  </r>
  <r>
    <n v="62180"/>
    <x v="18"/>
    <s v="MMG"/>
    <x v="0"/>
    <n v="50003173"/>
    <s v="CHAVE GRIFO 24"/>
    <n v="1"/>
    <s v="REALIZADO"/>
    <s v="MATHEUS"/>
    <x v="5"/>
    <x v="2"/>
    <x v="0"/>
  </r>
  <r>
    <n v="68708"/>
    <x v="13"/>
    <s v="MMG"/>
    <x v="0"/>
    <n v="50003297"/>
    <s v="FURADEIRA DE IMPACTO MAKITA 02"/>
    <n v="1"/>
    <s v="REALIZADO"/>
    <s v="MATHEUS"/>
    <x v="5"/>
    <x v="2"/>
    <x v="0"/>
  </r>
  <r>
    <n v="76994"/>
    <x v="8"/>
    <s v="MEE"/>
    <x v="0"/>
    <n v="50041195"/>
    <s v="PARAFUSADEIRA FUR DE IMPACTO BRUSHLESS"/>
    <n v="1"/>
    <s v="REALIZADO"/>
    <s v="MATHEUS"/>
    <x v="5"/>
    <x v="0"/>
    <x v="0"/>
  </r>
  <r>
    <n v="65223"/>
    <x v="38"/>
    <s v="MEE"/>
    <x v="3"/>
    <n v="50029865"/>
    <s v="JOGO DE BROCAS ACO RAPIDO"/>
    <n v="1"/>
    <s v="REALIZADO"/>
    <s v="AGATHA"/>
    <x v="6"/>
    <x v="0"/>
    <x v="0"/>
  </r>
  <r>
    <n v="68708"/>
    <x v="13"/>
    <s v="MMG"/>
    <x v="0"/>
    <n v="50003297"/>
    <s v="FURADEIRA DE IMPACTO MAKITA 02"/>
    <n v="1"/>
    <s v="REALIZADO"/>
    <s v="AGATHA"/>
    <x v="6"/>
    <x v="0"/>
    <x v="0"/>
  </r>
  <r>
    <n v="68708"/>
    <x v="13"/>
    <s v="MMG"/>
    <x v="0"/>
    <n v="50038549"/>
    <s v="JOGO SOQUETE ESTRIADOS 1/2 22PEÇ"/>
    <n v="1"/>
    <s v="REALIZADO"/>
    <s v="AGATHA"/>
    <x v="6"/>
    <x v="0"/>
    <x v="0"/>
  </r>
  <r>
    <n v="75424"/>
    <x v="39"/>
    <s v="MME"/>
    <x v="0"/>
    <n v="50043471"/>
    <s v="FURADEIRA BOSCH 7"/>
    <n v="1"/>
    <s v="REALIZADO"/>
    <s v="AGATHA"/>
    <x v="6"/>
    <x v="0"/>
    <x v="0"/>
  </r>
  <r>
    <n v="77521"/>
    <x v="5"/>
    <s v="MME"/>
    <x v="0"/>
    <n v="50037892"/>
    <s v="LIXADEIRA BOSCH 2"/>
    <n v="1"/>
    <s v="REALIZADO"/>
    <s v="AGATHA"/>
    <x v="6"/>
    <x v="0"/>
    <x v="0"/>
  </r>
  <r>
    <n v="62896"/>
    <x v="33"/>
    <s v="MEE"/>
    <x v="0"/>
    <n v="50030486"/>
    <s v="FURADEIRA BOSCH 3"/>
    <n v="1"/>
    <s v="REALIZADO"/>
    <s v="AGATHA"/>
    <x v="6"/>
    <x v="0"/>
    <x v="0"/>
  </r>
  <r>
    <n v="62896"/>
    <x v="33"/>
    <s v="MEE"/>
    <x v="0"/>
    <n v="50010031"/>
    <s v=" LIXADEIRA BOSCH 6"/>
    <n v="1"/>
    <s v="REALIZADO"/>
    <s v="AGATHA"/>
    <x v="6"/>
    <x v="0"/>
    <x v="0"/>
  </r>
  <r>
    <n v="62896"/>
    <x v="33"/>
    <s v="MEE"/>
    <x v="0"/>
    <n v="50043320"/>
    <s v="JOGO SERRA COPO 8PÇS"/>
    <n v="1"/>
    <s v="REALIZADO"/>
    <s v="AGATHA"/>
    <x v="6"/>
    <x v="0"/>
    <x v="0"/>
  </r>
  <r>
    <n v="63399"/>
    <x v="32"/>
    <s v="MPR"/>
    <x v="0"/>
    <n v="50041195"/>
    <s v="PARAFUSADEIRA FUR DE IMPACTO BRUSHLESS"/>
    <n v="1"/>
    <s v="REALIZADO"/>
    <s v="AGATHA"/>
    <x v="6"/>
    <x v="2"/>
    <x v="0"/>
  </r>
  <r>
    <n v="77521"/>
    <x v="5"/>
    <s v="MME"/>
    <x v="0"/>
    <n v="50037892"/>
    <s v="LIXADEIRA BOSCH 2"/>
    <n v="1"/>
    <s v="REALIZADO"/>
    <s v="AGATHA"/>
    <x v="6"/>
    <x v="2"/>
    <x v="0"/>
  </r>
  <r>
    <n v="68708"/>
    <x v="13"/>
    <s v="MMG"/>
    <x v="0"/>
    <n v="50003297"/>
    <s v="FURADEIRA DE IMPACTO MAKITA 02"/>
    <n v="1"/>
    <s v="REALIZADO"/>
    <s v="AGATHA"/>
    <x v="6"/>
    <x v="0"/>
    <x v="0"/>
  </r>
  <r>
    <n v="62033"/>
    <x v="22"/>
    <s v="MME"/>
    <x v="3"/>
    <n v="50040566"/>
    <s v="PISTOLA PNEUMATICA DE PINTURA"/>
    <n v="1"/>
    <s v="REALIZADO"/>
    <s v="AGATHA"/>
    <x v="6"/>
    <x v="0"/>
    <x v="0"/>
  </r>
  <r>
    <n v="77521"/>
    <x v="5"/>
    <s v="MME"/>
    <x v="0"/>
    <n v="50032781"/>
    <s v="SERRA TICO TICO 650W DEWALT "/>
    <n v="1"/>
    <s v="REALIZADO"/>
    <s v="AGATHA"/>
    <x v="6"/>
    <x v="0"/>
    <x v="0"/>
  </r>
  <r>
    <n v="66830"/>
    <x v="3"/>
    <s v="MPR"/>
    <x v="0"/>
    <n v="50028220"/>
    <s v="SOPRADOR TERMICO VONDER 1500W 220V"/>
    <n v="1"/>
    <s v="REALIZADO"/>
    <s v="AGATHA"/>
    <x v="6"/>
    <x v="2"/>
    <x v="0"/>
  </r>
  <r>
    <n v="62033"/>
    <x v="22"/>
    <s v="MME"/>
    <x v="3"/>
    <n v="50040566"/>
    <s v="PISTOLA PNEUMATICA DE PINTURA"/>
    <n v="1"/>
    <s v="REALIZADO"/>
    <s v="AGATHA"/>
    <x v="6"/>
    <x v="2"/>
    <x v="0"/>
  </r>
  <r>
    <n v="77521"/>
    <x v="5"/>
    <s v="MME"/>
    <x v="0"/>
    <n v="50032781"/>
    <s v="SERRA TICO TICO 650W DEWALT "/>
    <n v="1"/>
    <s v="REALIZADO"/>
    <s v="AGATHA"/>
    <x v="6"/>
    <x v="2"/>
    <x v="0"/>
  </r>
  <r>
    <n v="62896"/>
    <x v="33"/>
    <s v="MEE"/>
    <x v="0"/>
    <n v="50043320"/>
    <s v="JOGO SERRA COPO 8PÇS"/>
    <n v="1"/>
    <s v="REALIZADO"/>
    <s v="AGATHA"/>
    <x v="6"/>
    <x v="2"/>
    <x v="0"/>
  </r>
  <r>
    <n v="62896"/>
    <x v="33"/>
    <s v="MEE"/>
    <x v="0"/>
    <n v="50030486"/>
    <s v="FURADEIRA BOSCH 3"/>
    <n v="1"/>
    <s v="REALIZADO"/>
    <s v="AGATHA"/>
    <x v="6"/>
    <x v="0"/>
    <x v="0"/>
  </r>
  <r>
    <n v="67863"/>
    <x v="40"/>
    <s v="MME"/>
    <x v="2"/>
    <n v="50037892"/>
    <s v="LIXADEIRA BOSCH 2"/>
    <n v="1"/>
    <s v="REALIZADO"/>
    <s v="AGATHA"/>
    <x v="6"/>
    <x v="2"/>
    <x v="0"/>
  </r>
  <r>
    <n v="67863"/>
    <x v="40"/>
    <s v="MME"/>
    <x v="2"/>
    <n v="50037892"/>
    <s v="LIXADEIRA BOSCH 2"/>
    <n v="1"/>
    <s v="REALIZADO"/>
    <s v="AGATHA"/>
    <x v="6"/>
    <x v="0"/>
    <x v="0"/>
  </r>
  <r>
    <n v="77521"/>
    <x v="5"/>
    <s v="MME"/>
    <x v="0"/>
    <n v="50037892"/>
    <s v="LIXADEIRA BOSCH 2"/>
    <n v="1"/>
    <s v="REALIZADO"/>
    <s v="AGATHA"/>
    <x v="6"/>
    <x v="2"/>
    <x v="0"/>
  </r>
  <r>
    <n v="77521"/>
    <x v="5"/>
    <s v="MME"/>
    <x v="0"/>
    <n v="50037892"/>
    <s v="LIXADEIRA BOSCH 2"/>
    <n v="1"/>
    <s v="REALIZADO"/>
    <s v="MARCIA"/>
    <x v="6"/>
    <x v="0"/>
    <x v="0"/>
  </r>
  <r>
    <n v="62180"/>
    <x v="18"/>
    <s v="MMG"/>
    <x v="0"/>
    <n v="50022878"/>
    <s v="KIT MONTAGEM ROLAMENTO SKF"/>
    <n v="1"/>
    <s v="REALIZADO"/>
    <s v="BRUNO"/>
    <x v="6"/>
    <x v="0"/>
    <x v="0"/>
  </r>
  <r>
    <n v="63770"/>
    <x v="36"/>
    <s v="MMG"/>
    <x v="0"/>
    <n v="50037902"/>
    <s v="LIXADEIRA BOSCH 3"/>
    <n v="1"/>
    <s v="REALIZADO"/>
    <s v="BRUNO"/>
    <x v="6"/>
    <x v="2"/>
    <x v="0"/>
  </r>
  <r>
    <n v="62896"/>
    <x v="33"/>
    <s v="MEE"/>
    <x v="0"/>
    <n v="50010031"/>
    <s v=" LIXADEIRA BOSCH 6"/>
    <n v="1"/>
    <s v="REALIZADO"/>
    <s v="BRUNO"/>
    <x v="6"/>
    <x v="2"/>
    <x v="0"/>
  </r>
  <r>
    <n v="75424"/>
    <x v="39"/>
    <s v="MME"/>
    <x v="0"/>
    <n v="50043471"/>
    <s v="FURADEIRA BOSCH 7"/>
    <n v="1"/>
    <s v="REALIZADO"/>
    <s v="BRUNO"/>
    <x v="6"/>
    <x v="2"/>
    <x v="0"/>
  </r>
  <r>
    <n v="77471"/>
    <x v="35"/>
    <s v="MEE"/>
    <x v="0"/>
    <n v="50038956"/>
    <s v="LIXADEIRA BOSCH 1"/>
    <n v="1"/>
    <s v="REALIZADO"/>
    <s v="BRUNO"/>
    <x v="6"/>
    <x v="2"/>
    <x v="0"/>
  </r>
  <r>
    <n v="63399"/>
    <x v="32"/>
    <s v="MPR"/>
    <x v="0"/>
    <n v="50041195"/>
    <s v="PARAFUSADEIRA FUR DE IMPACTO BRUSHLESS"/>
    <n v="1"/>
    <s v="REALIZADO"/>
    <s v="BRUNO"/>
    <x v="6"/>
    <x v="0"/>
    <x v="0"/>
  </r>
  <r>
    <n v="66830"/>
    <x v="3"/>
    <s v="MPR"/>
    <x v="0"/>
    <n v="50041195"/>
    <s v="PARAFUSADEIRA FUR DE IMPACTO BRUSHLESS"/>
    <n v="1"/>
    <s v="REALIZADO"/>
    <s v="BRUNO"/>
    <x v="6"/>
    <x v="2"/>
    <x v="0"/>
  </r>
  <r>
    <n v="66830"/>
    <x v="3"/>
    <s v="MPR"/>
    <x v="0"/>
    <n v="50028220"/>
    <s v="SOPRADOR TERMICO VONDER 1500W 220V"/>
    <n v="1"/>
    <s v="REALIZADO"/>
    <s v="BRUNO"/>
    <x v="6"/>
    <x v="2"/>
    <x v="0"/>
  </r>
  <r>
    <n v="68708"/>
    <x v="13"/>
    <s v="MMG"/>
    <x v="0"/>
    <n v="50038549"/>
    <s v="JOGO SOQUETE ESTRIADOS 1/2 22PEÇ"/>
    <n v="1"/>
    <s v="REALIZADO"/>
    <s v="BRUNO"/>
    <x v="6"/>
    <x v="2"/>
    <x v="0"/>
  </r>
  <r>
    <n v="65223"/>
    <x v="38"/>
    <s v="MEE"/>
    <x v="3"/>
    <n v="50029865"/>
    <s v="JOGO DE BROCAS ACO RAPIDO"/>
    <n v="1"/>
    <s v="REALIZADO"/>
    <s v="BRUNO"/>
    <x v="6"/>
    <x v="2"/>
    <x v="0"/>
  </r>
  <r>
    <n v="64253"/>
    <x v="16"/>
    <s v="MMG"/>
    <x v="0"/>
    <n v="50037961"/>
    <s v="CHAVE CATRACA (2) Nº24-41V"/>
    <n v="1"/>
    <s v="REALIZADO"/>
    <s v="BRUNO"/>
    <x v="6"/>
    <x v="2"/>
    <x v="0"/>
  </r>
  <r>
    <n v="64253"/>
    <x v="16"/>
    <s v="MMG"/>
    <x v="0"/>
    <n v="50037960"/>
    <s v="CHAVE CATRACA (1) Nº24-41V"/>
    <n v="1"/>
    <s v="REALIZADO"/>
    <s v="BRUNO"/>
    <x v="6"/>
    <x v="2"/>
    <x v="0"/>
  </r>
  <r>
    <n v="63770"/>
    <x v="36"/>
    <s v="MMG"/>
    <x v="0"/>
    <n v="50037902"/>
    <s v="LIXADEIRA BOSCH 3"/>
    <n v="1"/>
    <s v="REALIZADO"/>
    <s v="BRUNO"/>
    <x v="6"/>
    <x v="2"/>
    <x v="0"/>
  </r>
  <r>
    <n v="62180"/>
    <x v="18"/>
    <s v="MMG"/>
    <x v="0"/>
    <n v="50022878"/>
    <s v="KIT MONTAGEM ROLAMENTO SKF"/>
    <n v="1"/>
    <s v="REALIZADO"/>
    <s v="BRUNO"/>
    <x v="6"/>
    <x v="0"/>
    <x v="0"/>
  </r>
  <r>
    <n v="74611"/>
    <x v="2"/>
    <s v="MPR"/>
    <x v="0"/>
    <n v="50037892"/>
    <s v="LIXADEIRA BOSCH 2"/>
    <n v="1"/>
    <s v="REALIZADO"/>
    <s v="AGATHA"/>
    <x v="7"/>
    <x v="0"/>
    <x v="0"/>
  </r>
  <r>
    <n v="74611"/>
    <x v="2"/>
    <s v="MPR"/>
    <x v="0"/>
    <n v="50026357"/>
    <s v="MARTELETE VONDER"/>
    <n v="1"/>
    <s v="REALIZADO"/>
    <s v="BRUNO"/>
    <x v="7"/>
    <x v="0"/>
    <x v="0"/>
  </r>
  <r>
    <n v="74611"/>
    <x v="2"/>
    <s v="MPR"/>
    <x v="0"/>
    <n v="50043471"/>
    <s v="FURADEIRA BOSCH 7"/>
    <n v="1"/>
    <s v="REALIZADO"/>
    <s v="BRUNO"/>
    <x v="7"/>
    <x v="0"/>
    <x v="0"/>
  </r>
  <r>
    <n v="68708"/>
    <x v="13"/>
    <s v="MMG"/>
    <x v="0"/>
    <n v="50038841"/>
    <s v="LIXADEIRA BOSCH 4"/>
    <n v="1"/>
    <s v="REALIZADO"/>
    <s v="AGATHA"/>
    <x v="7"/>
    <x v="2"/>
    <x v="0"/>
  </r>
  <r>
    <n v="65131"/>
    <x v="41"/>
    <s v="MMG"/>
    <x v="3"/>
    <n v="50039065"/>
    <s v="MAQUINA SOLDA TIG"/>
    <n v="1"/>
    <s v="REALIZADO"/>
    <s v="AGATHA"/>
    <x v="7"/>
    <x v="2"/>
    <x v="0"/>
  </r>
  <r>
    <n v="64128"/>
    <x v="42"/>
    <s v="UTI"/>
    <x v="3"/>
    <n v="50042002"/>
    <s v="VACUOMETRO DIGITAL"/>
    <n v="1"/>
    <s v="REALIZADO"/>
    <s v="AGATHA"/>
    <x v="7"/>
    <x v="0"/>
    <x v="0"/>
  </r>
  <r>
    <n v="68760"/>
    <x v="15"/>
    <s v="MMG"/>
    <x v="0"/>
    <n v="50038854"/>
    <s v="ARCO DE SERRA"/>
    <n v="1"/>
    <s v="REALIZADO"/>
    <s v="AGATHA"/>
    <x v="7"/>
    <x v="0"/>
    <x v="0"/>
  </r>
  <r>
    <n v="63770"/>
    <x v="36"/>
    <s v="MMG"/>
    <x v="0"/>
    <n v="50038517"/>
    <s v="LIXADEIRA BOSCH 5"/>
    <n v="1"/>
    <s v="REALIZADO"/>
    <s v="AGATHA"/>
    <x v="7"/>
    <x v="2"/>
    <x v="0"/>
  </r>
  <r>
    <n v="63770"/>
    <x v="36"/>
    <s v="MMG"/>
    <x v="0"/>
    <n v="50038517"/>
    <s v="LIXADEIRA BOSCH 5"/>
    <n v="1"/>
    <s v="REALIZADO"/>
    <s v="AGATHA"/>
    <x v="7"/>
    <x v="2"/>
    <x v="0"/>
  </r>
  <r>
    <n v="68760"/>
    <x v="15"/>
    <s v="MMG"/>
    <x v="0"/>
    <n v="50038854"/>
    <s v="ARCO DE SERRA"/>
    <n v="1"/>
    <s v="REALIZADO"/>
    <s v="AGATHA"/>
    <x v="7"/>
    <x v="2"/>
    <x v="0"/>
  </r>
  <r>
    <n v="68708"/>
    <x v="13"/>
    <s v="MMG"/>
    <x v="0"/>
    <n v="50038841"/>
    <s v="LIXADEIRA BOSCH 4"/>
    <n v="1"/>
    <s v="REALIZADO"/>
    <s v="AGATHA"/>
    <x v="7"/>
    <x v="0"/>
    <x v="0"/>
  </r>
  <r>
    <n v="63770"/>
    <x v="36"/>
    <s v="MMG"/>
    <x v="0"/>
    <n v="50036279"/>
    <s v="CHAVE GRIFO 36"/>
    <n v="1"/>
    <s v="REALIZADO"/>
    <s v="AGATHA"/>
    <x v="7"/>
    <x v="2"/>
    <x v="0"/>
  </r>
  <r>
    <n v="74611"/>
    <x v="2"/>
    <s v="MPR"/>
    <x v="0"/>
    <n v="50037892"/>
    <s v="LIXADEIRA BOSCH 2"/>
    <n v="1"/>
    <s v="REALIZADO"/>
    <s v="AGATHA"/>
    <x v="7"/>
    <x v="0"/>
    <x v="0"/>
  </r>
  <r>
    <n v="77526"/>
    <x v="37"/>
    <s v="MME"/>
    <x v="0"/>
    <n v="50038841"/>
    <s v="LIXADEIRA BOSCH 4"/>
    <n v="1"/>
    <s v="REALIZADO"/>
    <s v="MARCIA"/>
    <x v="7"/>
    <x v="0"/>
    <x v="0"/>
  </r>
  <r>
    <n v="62137"/>
    <x v="43"/>
    <s v="MME"/>
    <x v="2"/>
    <n v="50003297"/>
    <s v="FURADEIRA DE IMPACTO MAKITA 02"/>
    <n v="1"/>
    <s v="REALIZADO"/>
    <s v="MATHEUS"/>
    <x v="7"/>
    <x v="2"/>
    <x v="0"/>
  </r>
  <r>
    <n v="77471"/>
    <x v="35"/>
    <s v="MEE"/>
    <x v="0"/>
    <n v="50038956"/>
    <s v="LIXADEIRA BOSCH 1"/>
    <n v="1"/>
    <s v="REALIZADO"/>
    <s v="MATHEUS"/>
    <x v="7"/>
    <x v="0"/>
    <x v="0"/>
  </r>
  <r>
    <n v="68708"/>
    <x v="13"/>
    <s v="MMG"/>
    <x v="0"/>
    <n v="50039718"/>
    <s v="ESCALA DE ACO 1000MM VONDER "/>
    <n v="1"/>
    <s v="REALIZADO"/>
    <s v="MATHEUS"/>
    <x v="7"/>
    <x v="2"/>
    <x v="0"/>
  </r>
  <r>
    <n v="62137"/>
    <x v="43"/>
    <s v="MME"/>
    <x v="2"/>
    <n v="50003297"/>
    <s v="FURADEIRA DE IMPACTO MAKITA 02"/>
    <n v="1"/>
    <s v="REALIZADO"/>
    <s v="MATHEUS"/>
    <x v="7"/>
    <x v="2"/>
    <x v="0"/>
  </r>
  <r>
    <n v="68708"/>
    <x v="13"/>
    <s v="MMG"/>
    <x v="0"/>
    <n v="50039718"/>
    <s v="ESCALA DE ACO 1000MM VONDER "/>
    <n v="1"/>
    <s v="REALIZADO"/>
    <s v="MATHEUS"/>
    <x v="7"/>
    <x v="0"/>
    <x v="0"/>
  </r>
  <r>
    <n v="76239"/>
    <x v="19"/>
    <s v="REFRIG"/>
    <x v="0"/>
    <n v="50018168"/>
    <s v="TERMOMETRO PENTA -50 +150 C"/>
    <n v="1"/>
    <s v="REALIZADO"/>
    <s v="BRUNO"/>
    <x v="7"/>
    <x v="0"/>
    <x v="0"/>
  </r>
  <r>
    <n v="68708"/>
    <x v="13"/>
    <s v="MMG"/>
    <x v="0"/>
    <n v="50012902"/>
    <s v="SACA POLIA 03 GARRAS 250 MM GEDORE"/>
    <n v="1"/>
    <s v="REALIZADO"/>
    <s v="BRUNO"/>
    <x v="7"/>
    <x v="0"/>
    <x v="0"/>
  </r>
  <r>
    <n v="68708"/>
    <x v="13"/>
    <s v="MMG"/>
    <x v="0"/>
    <n v="50010031"/>
    <s v=" LIXADEIRA BOSCH 6"/>
    <n v="1"/>
    <s v="REALIZADO"/>
    <s v="BRUNO"/>
    <x v="7"/>
    <x v="2"/>
    <x v="0"/>
  </r>
  <r>
    <n v="63770"/>
    <x v="36"/>
    <s v="MMG"/>
    <x v="0"/>
    <n v="50036279"/>
    <s v="CHAVE GRIFO 36"/>
    <n v="1"/>
    <s v="REALIZADO"/>
    <s v="BRUNO"/>
    <x v="7"/>
    <x v="2"/>
    <x v="0"/>
  </r>
  <r>
    <n v="68708"/>
    <x v="13"/>
    <s v="MMG"/>
    <x v="0"/>
    <n v="50010031"/>
    <s v=" LIXADEIRA BOSCH 6"/>
    <n v="1"/>
    <s v="REALIZADO"/>
    <s v="BRUNO"/>
    <x v="7"/>
    <x v="2"/>
    <x v="0"/>
  </r>
  <r>
    <n v="74611"/>
    <x v="2"/>
    <s v="MPR"/>
    <x v="0"/>
    <n v="50026357"/>
    <s v="MARTELETE VONDER"/>
    <n v="1"/>
    <s v="REALIZADO"/>
    <s v="BRUNO"/>
    <x v="7"/>
    <x v="2"/>
    <x v="0"/>
  </r>
  <r>
    <n v="74611"/>
    <x v="2"/>
    <s v="MPR"/>
    <x v="0"/>
    <n v="50043471"/>
    <s v="FURADEIRA BOSCH 7"/>
    <n v="1"/>
    <s v="REALIZADO"/>
    <s v="BRUNO"/>
    <x v="7"/>
    <x v="0"/>
    <x v="0"/>
  </r>
  <r>
    <n v="77521"/>
    <x v="5"/>
    <s v="MME"/>
    <x v="0"/>
    <n v="50004486"/>
    <s v="RETIFICA "/>
    <n v="1"/>
    <s v="REALIZADO"/>
    <s v="BRUNO"/>
    <x v="7"/>
    <x v="2"/>
    <x v="0"/>
  </r>
  <r>
    <n v="68708"/>
    <x v="13"/>
    <s v="MMG"/>
    <x v="0"/>
    <n v="50012902"/>
    <s v="SACA POLIA 03 GARRAS 250 MM GEDORE"/>
    <n v="1"/>
    <s v="REALIZADO"/>
    <s v="BRUNO"/>
    <x v="7"/>
    <x v="0"/>
    <x v="0"/>
  </r>
  <r>
    <n v="68708"/>
    <x v="13"/>
    <s v="MMG"/>
    <x v="0"/>
    <n v="50012903"/>
    <s v="SACA POLIA 02 GARRAS 250MM GEDORE"/>
    <n v="1"/>
    <s v="REALIZADO"/>
    <s v="BRUNO"/>
    <x v="7"/>
    <x v="2"/>
    <x v="0"/>
  </r>
  <r>
    <n v="68708"/>
    <x v="13"/>
    <s v="MMG"/>
    <x v="0"/>
    <n v="50012903"/>
    <s v="SACA POLIA 02 GARRAS 250MM GEDORE"/>
    <n v="1"/>
    <s v="REALIZADO"/>
    <s v="BRUNO"/>
    <x v="7"/>
    <x v="2"/>
    <x v="0"/>
  </r>
  <r>
    <n v="66830"/>
    <x v="3"/>
    <s v="MPR"/>
    <x v="0"/>
    <n v="50041195"/>
    <s v="PARAFUSADEIRA FUR DE IMPACTO BRUSHLESS"/>
    <n v="1"/>
    <s v="REALIZADO"/>
    <s v="BRUNO"/>
    <x v="7"/>
    <x v="2"/>
    <x v="0"/>
  </r>
  <r>
    <n v="77521"/>
    <x v="5"/>
    <s v="MME"/>
    <x v="0"/>
    <n v="50004486"/>
    <s v="RETIFICA "/>
    <n v="1"/>
    <s v="REALIZADO"/>
    <s v="BRUNO"/>
    <x v="7"/>
    <x v="2"/>
    <x v="0"/>
  </r>
  <r>
    <n v="76239"/>
    <x v="19"/>
    <s v="REFRIG"/>
    <x v="0"/>
    <n v="50018168"/>
    <s v="TERMOMETRO PENTA -50 +150 C"/>
    <n v="1"/>
    <s v="REALIZADO"/>
    <s v="BRUNO"/>
    <x v="7"/>
    <x v="2"/>
    <x v="0"/>
  </r>
  <r>
    <n v="77526"/>
    <x v="37"/>
    <s v="MME"/>
    <x v="0"/>
    <n v="50038841"/>
    <s v="LIXADEIRA BOSCH 4"/>
    <n v="1"/>
    <s v="REALIZADO"/>
    <s v="BRUNO"/>
    <x v="7"/>
    <x v="0"/>
    <x v="0"/>
  </r>
  <r>
    <n v="77526"/>
    <x v="37"/>
    <s v="MME"/>
    <x v="0"/>
    <n v="50038841"/>
    <s v="LIXADEIRA BOSCH 4"/>
    <n v="1"/>
    <s v="REALIZADO"/>
    <s v="GEOVANE"/>
    <x v="8"/>
    <x v="0"/>
    <x v="0"/>
  </r>
  <r>
    <n v="62640"/>
    <x v="44"/>
    <s v="MPR"/>
    <x v="0"/>
    <n v="50037892"/>
    <s v="LIXADEIRA BOSCH 2"/>
    <n v="1"/>
    <s v="REALIZADO"/>
    <s v="GEOVANE"/>
    <x v="8"/>
    <x v="0"/>
    <x v="0"/>
  </r>
  <r>
    <n v="62640"/>
    <x v="44"/>
    <s v="MPR"/>
    <x v="0"/>
    <n v="50043471"/>
    <s v="FURADEIRA BOSCH 7"/>
    <n v="1"/>
    <s v="REALIZADO"/>
    <s v="GEOVANE"/>
    <x v="8"/>
    <x v="0"/>
    <x v="0"/>
  </r>
  <r>
    <n v="33880"/>
    <x v="45"/>
    <s v="MME"/>
    <x v="4"/>
    <n v="50041195"/>
    <s v="PARAFUSADEIRA FUR DE IMPACTO BRUSHLESS"/>
    <n v="1"/>
    <s v="REALIZADO"/>
    <s v="GEOVANE"/>
    <x v="8"/>
    <x v="0"/>
    <x v="0"/>
  </r>
  <r>
    <n v="74611"/>
    <x v="2"/>
    <s v="MPR"/>
    <x v="0"/>
    <n v="50026357"/>
    <s v="MARTELETE VONDER"/>
    <n v="1"/>
    <s v="REALIZADO"/>
    <s v="GEOVANE"/>
    <x v="8"/>
    <x v="0"/>
    <x v="0"/>
  </r>
  <r>
    <n v="77521"/>
    <x v="5"/>
    <s v="MME"/>
    <x v="0"/>
    <n v="50032781"/>
    <s v="SERRA TICO TICO 650W DEWALT "/>
    <n v="1"/>
    <s v="REALIZADO"/>
    <s v="GEOVANE"/>
    <x v="8"/>
    <x v="0"/>
    <x v="0"/>
  </r>
  <r>
    <n v="74611"/>
    <x v="2"/>
    <s v="MPR"/>
    <x v="0"/>
    <n v="50030486"/>
    <s v="FURADEIRA BOSCH 3"/>
    <n v="1"/>
    <s v="REALIZADO"/>
    <s v="GEOVANE"/>
    <x v="8"/>
    <x v="0"/>
    <x v="0"/>
  </r>
  <r>
    <n v="77526"/>
    <x v="37"/>
    <s v="MME"/>
    <x v="0"/>
    <n v="50003297"/>
    <s v="FURADEIRA DE IMPACTO MAKITA 02"/>
    <n v="1"/>
    <s v="REALIZADO"/>
    <s v="GEOVANE"/>
    <x v="8"/>
    <x v="0"/>
    <x v="0"/>
  </r>
  <r>
    <n v="62640"/>
    <x v="44"/>
    <s v="MPR"/>
    <x v="0"/>
    <n v="50037892"/>
    <s v="LIXADEIRA BOSCH 2"/>
    <n v="1"/>
    <s v="REALIZADO"/>
    <s v="GEOVANE"/>
    <x v="8"/>
    <x v="0"/>
    <x v="0"/>
  </r>
  <r>
    <n v="62640"/>
    <x v="44"/>
    <s v="MPR"/>
    <x v="0"/>
    <n v="50043471"/>
    <s v="FURADEIRA BOSCH 7"/>
    <n v="1"/>
    <s v="REALIZADO"/>
    <s v="GEOVANE"/>
    <x v="8"/>
    <x v="2"/>
    <x v="0"/>
  </r>
  <r>
    <n v="62640"/>
    <x v="44"/>
    <s v="MPR"/>
    <x v="0"/>
    <n v="50037892"/>
    <s v="LIXADEIRA BOSCH 2"/>
    <n v="1"/>
    <s v="REALIZADO"/>
    <s v="GEOVANE"/>
    <x v="8"/>
    <x v="2"/>
    <x v="0"/>
  </r>
  <r>
    <n v="62640"/>
    <x v="44"/>
    <s v="MPR"/>
    <x v="0"/>
    <n v="50043471"/>
    <s v="FURADEIRA BOSCH 7"/>
    <n v="1"/>
    <s v="REALIZADO"/>
    <s v="GEOVANE"/>
    <x v="8"/>
    <x v="0"/>
    <x v="0"/>
  </r>
  <r>
    <n v="77471"/>
    <x v="35"/>
    <s v="MEE"/>
    <x v="0"/>
    <n v="50037892"/>
    <s v="LIXADEIRA BOSCH 2"/>
    <n v="1"/>
    <s v="REALIZADO"/>
    <s v="GEOVANE"/>
    <x v="8"/>
    <x v="0"/>
    <x v="0"/>
  </r>
  <r>
    <n v="96464"/>
    <x v="46"/>
    <s v="MEE"/>
    <x v="2"/>
    <n v="50043471"/>
    <s v="FURADEIRA BOSCH 7"/>
    <n v="1"/>
    <s v="REALIZADO"/>
    <s v="GEOVANE"/>
    <x v="8"/>
    <x v="2"/>
    <x v="0"/>
  </r>
  <r>
    <n v="73878"/>
    <x v="20"/>
    <s v="MMG"/>
    <x v="0"/>
    <n v="50039065"/>
    <s v="MAQUINA SOLDA TIG"/>
    <n v="1"/>
    <s v="REALIZADO"/>
    <s v="GEOVANE"/>
    <x v="8"/>
    <x v="2"/>
    <x v="0"/>
  </r>
  <r>
    <n v="73878"/>
    <x v="20"/>
    <s v="MMG"/>
    <x v="0"/>
    <n v="50038517"/>
    <s v="LIXADEIRA BOSCH 5"/>
    <n v="1"/>
    <s v="REALIZADO"/>
    <s v="GEOVANE"/>
    <x v="8"/>
    <x v="2"/>
    <x v="0"/>
  </r>
  <r>
    <n v="77471"/>
    <x v="35"/>
    <s v="MEE"/>
    <x v="0"/>
    <n v="50037892"/>
    <s v="LIXADEIRA BOSCH 2"/>
    <n v="1"/>
    <s v="REALIZADO"/>
    <s v="GEOVANE"/>
    <x v="8"/>
    <x v="2"/>
    <x v="0"/>
  </r>
  <r>
    <n v="64253"/>
    <x v="16"/>
    <s v="MMG"/>
    <x v="0"/>
    <n v="50037900"/>
    <s v="SOLDADOR POLYCODE"/>
    <n v="1"/>
    <s v="REALIZADO"/>
    <s v="GEOVANE"/>
    <x v="8"/>
    <x v="0"/>
    <x v="0"/>
  </r>
  <r>
    <n v="77471"/>
    <x v="35"/>
    <s v="MEE"/>
    <x v="0"/>
    <n v="50020623"/>
    <s v="REBITADOR MANUAL"/>
    <n v="1"/>
    <s v="REALIZADO"/>
    <s v="BRUNO"/>
    <x v="8"/>
    <x v="0"/>
    <x v="0"/>
  </r>
  <r>
    <n v="79495"/>
    <x v="11"/>
    <s v="MMG"/>
    <x v="2"/>
    <n v="50038549"/>
    <s v="JOGO SOQUETE ESTRIADOS 1/2 22PEÇ"/>
    <n v="1"/>
    <s v="REALIZADO"/>
    <s v="BRUNO"/>
    <x v="8"/>
    <x v="0"/>
    <x v="0"/>
  </r>
  <r>
    <n v="79495"/>
    <x v="11"/>
    <s v="MMG"/>
    <x v="2"/>
    <n v="50038854"/>
    <s v="ARCO DE SERRA"/>
    <n v="1"/>
    <s v="REALIZADO"/>
    <s v="BRUNO"/>
    <x v="8"/>
    <x v="0"/>
    <x v="0"/>
  </r>
  <r>
    <n v="68708"/>
    <x v="13"/>
    <s v="MMG"/>
    <x v="0"/>
    <n v="50038517"/>
    <s v="LIXADEIRA BOSCH 5"/>
    <n v="1"/>
    <s v="REALIZADO"/>
    <s v="MATHEUS"/>
    <x v="8"/>
    <x v="2"/>
    <x v="0"/>
  </r>
  <r>
    <n v="68708"/>
    <x v="13"/>
    <s v="MMG"/>
    <x v="0"/>
    <n v="50038517"/>
    <s v="LIXADEIRA BOSCH 5"/>
    <n v="1"/>
    <s v="REALIZADO"/>
    <s v="BRUNO"/>
    <x v="8"/>
    <x v="0"/>
    <x v="0"/>
  </r>
  <r>
    <n v="58068"/>
    <x v="31"/>
    <s v="MME"/>
    <x v="0"/>
    <n v="50038517"/>
    <s v="LIXADEIRA BOSCH 5"/>
    <n v="1"/>
    <s v="REALIZADO"/>
    <s v="BRUNO"/>
    <x v="8"/>
    <x v="2"/>
    <x v="0"/>
  </r>
  <r>
    <n v="79495"/>
    <x v="11"/>
    <s v="MMG"/>
    <x v="2"/>
    <n v="50038854"/>
    <s v="ARCO DE SERRA"/>
    <n v="1"/>
    <s v="REALIZADO"/>
    <s v="BRUNO"/>
    <x v="8"/>
    <x v="2"/>
    <x v="0"/>
  </r>
  <r>
    <n v="33880"/>
    <x v="45"/>
    <s v="MME"/>
    <x v="4"/>
    <n v="50041195"/>
    <s v="PARAFUSADEIRA FUR DE IMPACTO BRUSHLESS"/>
    <n v="1"/>
    <s v="REALIZADO"/>
    <s v="BRUNO"/>
    <x v="8"/>
    <x v="2"/>
    <x v="0"/>
  </r>
  <r>
    <n v="69510"/>
    <x v="7"/>
    <s v="MEE"/>
    <x v="0"/>
    <n v="50029865"/>
    <s v="JOGO DE BROCAS ACO RAPIDO"/>
    <n v="1"/>
    <s v="REALIZADO"/>
    <s v="BRUNO"/>
    <x v="8"/>
    <x v="2"/>
    <x v="0"/>
  </r>
  <r>
    <n v="74611"/>
    <x v="2"/>
    <s v="MPR"/>
    <x v="0"/>
    <n v="50026357"/>
    <s v="MARTELETE VONDER"/>
    <n v="1"/>
    <s v="REALIZADO"/>
    <s v="BRUNO"/>
    <x v="8"/>
    <x v="2"/>
    <x v="0"/>
  </r>
  <r>
    <n v="79495"/>
    <x v="11"/>
    <s v="MMG"/>
    <x v="2"/>
    <n v="50038549"/>
    <s v="JOGO SOQUETE ESTRIADOS 1/2 22PEÇ"/>
    <n v="1"/>
    <s v="REALIZADO"/>
    <s v="BRUNO"/>
    <x v="8"/>
    <x v="0"/>
    <x v="0"/>
  </r>
  <r>
    <n v="68708"/>
    <x v="13"/>
    <s v="MMG"/>
    <x v="0"/>
    <n v="50038517"/>
    <s v="LIXADEIRA BOSCH 5"/>
    <n v="1"/>
    <s v="REALIZADO"/>
    <s v="BRUNO"/>
    <x v="8"/>
    <x v="2"/>
    <x v="0"/>
  </r>
  <r>
    <n v="58068"/>
    <x v="31"/>
    <s v="MME"/>
    <x v="0"/>
    <n v="50038517"/>
    <s v="LIXADEIRA BOSCH 5"/>
    <n v="1"/>
    <s v="REALIZADO"/>
    <s v="BRUNO"/>
    <x v="8"/>
    <x v="2"/>
    <x v="0"/>
  </r>
  <r>
    <n v="77521"/>
    <x v="5"/>
    <s v="MME"/>
    <x v="0"/>
    <n v="50032781"/>
    <s v="SERRA TICO TICO 650W DEWALT "/>
    <n v="1"/>
    <s v="REALIZADO"/>
    <s v="BRUNO"/>
    <x v="8"/>
    <x v="2"/>
    <x v="0"/>
  </r>
  <r>
    <n v="74611"/>
    <x v="2"/>
    <s v="MPR"/>
    <x v="0"/>
    <n v="50030486"/>
    <s v="FURADEIRA BOSCH 3"/>
    <n v="1"/>
    <s v="REALIZADO"/>
    <s v="BRUNO"/>
    <x v="8"/>
    <x v="2"/>
    <x v="0"/>
  </r>
  <r>
    <n v="74611"/>
    <x v="2"/>
    <s v="MPR"/>
    <x v="0"/>
    <n v="50010031"/>
    <s v=" LIXADEIRA BOSCH 6"/>
    <n v="1"/>
    <s v="REALIZADO"/>
    <s v="BRUNO"/>
    <x v="8"/>
    <x v="2"/>
    <x v="0"/>
  </r>
  <r>
    <n v="96464"/>
    <x v="46"/>
    <s v="MEE"/>
    <x v="2"/>
    <n v="50043471"/>
    <s v="FURADEIRA BOSCH 7"/>
    <n v="1"/>
    <s v="REALIZADO"/>
    <s v="BRUNO"/>
    <x v="8"/>
    <x v="2"/>
    <x v="0"/>
  </r>
  <r>
    <n v="77471"/>
    <x v="35"/>
    <s v="MEE"/>
    <x v="0"/>
    <n v="50020623"/>
    <s v="REBITADOR MANUAL"/>
    <n v="1"/>
    <s v="REALIZADO"/>
    <s v="BRUNO"/>
    <x v="8"/>
    <x v="0"/>
    <x v="0"/>
  </r>
  <r>
    <n v="61753"/>
    <x v="47"/>
    <s v="MEE"/>
    <x v="2"/>
    <n v="50043471"/>
    <s v="FURADEIRA BOSCH 7"/>
    <n v="1"/>
    <s v="REALIZADO"/>
    <s v="BRUNO"/>
    <x v="8"/>
    <x v="0"/>
    <x v="0"/>
  </r>
  <r>
    <n v="61753"/>
    <x v="47"/>
    <s v="MEE"/>
    <x v="2"/>
    <n v="50037892"/>
    <s v="LIXADEIRA BOSCH 2"/>
    <n v="1"/>
    <s v="REALIZADO"/>
    <s v="BRUNO"/>
    <x v="8"/>
    <x v="2"/>
    <x v="0"/>
  </r>
  <r>
    <n v="77526"/>
    <x v="37"/>
    <s v="MME"/>
    <x v="0"/>
    <n v="50003297"/>
    <s v="FURADEIRA DE IMPACTO MAKITA 02"/>
    <n v="1"/>
    <s v="REALIZADO"/>
    <s v="BRUNO"/>
    <x v="8"/>
    <x v="2"/>
    <x v="0"/>
  </r>
  <r>
    <n v="77526"/>
    <x v="37"/>
    <s v="MME"/>
    <x v="0"/>
    <n v="50038841"/>
    <s v="LIXADEIRA BOSCH 4"/>
    <n v="1"/>
    <s v="REALIZADO"/>
    <s v="BRUNO"/>
    <x v="8"/>
    <x v="2"/>
    <x v="0"/>
  </r>
  <r>
    <n v="68708"/>
    <x v="13"/>
    <s v="MMG"/>
    <x v="0"/>
    <n v="50038517"/>
    <s v="LIXADEIRA BOSCH 5"/>
    <n v="1"/>
    <s v="REALIZADO"/>
    <s v="BRUNO"/>
    <x v="8"/>
    <x v="2"/>
    <x v="0"/>
  </r>
  <r>
    <n v="61753"/>
    <x v="47"/>
    <s v="MEE"/>
    <x v="2"/>
    <n v="50037892"/>
    <s v="LIXADEIRA BOSCH 2"/>
    <n v="1"/>
    <s v="REALIZADO"/>
    <s v="BRUNO"/>
    <x v="8"/>
    <x v="2"/>
    <x v="0"/>
  </r>
  <r>
    <n v="61753"/>
    <x v="47"/>
    <s v="MEE"/>
    <x v="2"/>
    <n v="50043471"/>
    <s v="FURADEIRA BOSCH 7"/>
    <n v="1"/>
    <s v="REALIZADO"/>
    <s v="BRUNO"/>
    <x v="8"/>
    <x v="0"/>
    <x v="0"/>
  </r>
  <r>
    <n v="73878"/>
    <x v="20"/>
    <s v="MMG"/>
    <x v="0"/>
    <n v="50039065"/>
    <s v="MAQUINA SOLDA TIG"/>
    <n v="1"/>
    <s v="REALIZADO"/>
    <s v="KELLY"/>
    <x v="9"/>
    <x v="0"/>
    <x v="0"/>
  </r>
  <r>
    <n v="73878"/>
    <x v="20"/>
    <s v="MMG"/>
    <x v="0"/>
    <n v="50038517"/>
    <s v="LIXADEIRA BOSCH 5"/>
    <n v="1"/>
    <s v="REALIZADO"/>
    <s v="KELLY"/>
    <x v="9"/>
    <x v="2"/>
    <x v="1"/>
  </r>
  <r>
    <n v="65472"/>
    <x v="48"/>
    <s v="MMG"/>
    <x v="0"/>
    <n v="50041095"/>
    <s v="TALHA MANUAL 1000KG"/>
    <n v="1"/>
    <s v="REALIZADO"/>
    <s v="KELLY"/>
    <x v="9"/>
    <x v="0"/>
    <x v="0"/>
  </r>
  <r>
    <n v="61264"/>
    <x v="10"/>
    <s v="MMG"/>
    <x v="0"/>
    <n v="50037933"/>
    <s v="TERMOMETRO"/>
    <n v="1"/>
    <s v="REALIZADO"/>
    <s v="KELLY"/>
    <x v="9"/>
    <x v="0"/>
    <x v="0"/>
  </r>
  <r>
    <n v="76995"/>
    <x v="49"/>
    <s v="MEE"/>
    <x v="0"/>
    <n v="50029865"/>
    <s v="JOGO DE BROCAS ACO RAPIDO"/>
    <n v="1"/>
    <s v="REALIZADO"/>
    <s v="KELLY"/>
    <x v="9"/>
    <x v="0"/>
    <x v="0"/>
  </r>
  <r>
    <n v="76995"/>
    <x v="49"/>
    <s v="MEE"/>
    <x v="0"/>
    <n v="50003297"/>
    <s v="FURADEIRA DE IMPACTO MAKITA 02"/>
    <n v="1"/>
    <s v="REALIZADO"/>
    <s v="KELLY"/>
    <x v="9"/>
    <x v="0"/>
    <x v="0"/>
  </r>
  <r>
    <n v="68760"/>
    <x v="15"/>
    <s v="MMG"/>
    <x v="0"/>
    <n v="50043471"/>
    <s v="FURADEIRA BOSCH 7"/>
    <n v="1"/>
    <s v="REALIZADO"/>
    <s v="KELLY"/>
    <x v="9"/>
    <x v="0"/>
    <x v="0"/>
  </r>
  <r>
    <n v="74611"/>
    <x v="2"/>
    <s v="MPR"/>
    <x v="0"/>
    <n v="50037892"/>
    <s v="LIXADEIRA BOSCH 2"/>
    <n v="1"/>
    <s v="REALIZADO"/>
    <s v="KELLY"/>
    <x v="9"/>
    <x v="0"/>
    <x v="0"/>
  </r>
  <r>
    <n v="64253"/>
    <x v="16"/>
    <s v="MMG"/>
    <x v="0"/>
    <n v="50037900"/>
    <s v="SOLDADOR POLYCODE"/>
    <n v="1"/>
    <s v="REALIZADO"/>
    <s v="KELLY"/>
    <x v="9"/>
    <x v="0"/>
    <x v="0"/>
  </r>
  <r>
    <n v="79177"/>
    <x v="28"/>
    <s v="MMG"/>
    <x v="0"/>
    <n v="50039718"/>
    <s v="ESCALA DE ACO 1000MM VONDER "/>
    <n v="1"/>
    <s v="REALIZADO"/>
    <s v="AGATHA"/>
    <x v="9"/>
    <x v="0"/>
    <x v="0"/>
  </r>
  <r>
    <n v="64128"/>
    <x v="42"/>
    <s v="UTI"/>
    <x v="3"/>
    <n v="50030486"/>
    <s v="FURADEIRA BOSCH 3"/>
    <n v="1"/>
    <s v="REALIZADO"/>
    <s v="AGATHA"/>
    <x v="9"/>
    <x v="0"/>
    <x v="0"/>
  </r>
  <r>
    <n v="77526"/>
    <x v="37"/>
    <s v="MME"/>
    <x v="0"/>
    <n v="50038841"/>
    <s v="LIXADEIRA BOSCH 4"/>
    <n v="1"/>
    <s v="REALIZADO"/>
    <s v="AGATHA"/>
    <x v="9"/>
    <x v="2"/>
    <x v="0"/>
  </r>
  <r>
    <n v="79177"/>
    <x v="28"/>
    <s v="MMG"/>
    <x v="0"/>
    <n v="50039718"/>
    <s v="ESCALA DE ACO 1000MM VONDER "/>
    <n v="1"/>
    <s v="REALIZADO"/>
    <s v="AGATHA"/>
    <x v="9"/>
    <x v="2"/>
    <x v="0"/>
  </r>
  <r>
    <n v="73878"/>
    <x v="20"/>
    <s v="MMG"/>
    <x v="0"/>
    <n v="50039065"/>
    <s v="MAQUINA SOLDA TIG"/>
    <n v="1"/>
    <s v="REALIZADO"/>
    <s v="JOÃO FRANCISCO"/>
    <x v="9"/>
    <x v="2"/>
    <x v="0"/>
  </r>
  <r>
    <n v="73878"/>
    <x v="20"/>
    <s v="MMG"/>
    <x v="0"/>
    <n v="50038517"/>
    <s v="LIXADEIRA BOSCH 5"/>
    <n v="1"/>
    <s v="REALIZADO"/>
    <s v="JOÃO FRANCISCO"/>
    <x v="9"/>
    <x v="2"/>
    <x v="0"/>
  </r>
  <r>
    <n v="64128"/>
    <x v="42"/>
    <s v="UTI"/>
    <x v="3"/>
    <n v="50030486"/>
    <s v="FURADEIRA BOSCH 3"/>
    <n v="1"/>
    <s v="REALIZADO"/>
    <s v="AGATHA"/>
    <x v="9"/>
    <x v="2"/>
    <x v="0"/>
  </r>
  <r>
    <n v="77526"/>
    <x v="37"/>
    <s v="MME"/>
    <x v="0"/>
    <n v="50038841"/>
    <s v="LIXADEIRA BOSCH 4"/>
    <n v="1"/>
    <s v="REALIZADO"/>
    <s v="MARCIA"/>
    <x v="9"/>
    <x v="2"/>
    <x v="0"/>
  </r>
  <r>
    <n v="61264"/>
    <x v="10"/>
    <s v="MMG"/>
    <x v="0"/>
    <n v="50037933"/>
    <s v="TERMOMETRO"/>
    <n v="1"/>
    <s v="REALIZADO"/>
    <s v="MARCIA"/>
    <x v="9"/>
    <x v="0"/>
    <x v="0"/>
  </r>
  <r>
    <n v="68701"/>
    <x v="50"/>
    <s v="MEE"/>
    <x v="2"/>
    <n v="50037933"/>
    <s v="TERMOMETRO"/>
    <n v="1"/>
    <s v="REALIZADO"/>
    <s v="MARCIA"/>
    <x v="9"/>
    <x v="0"/>
    <x v="0"/>
  </r>
  <r>
    <n v="68708"/>
    <x v="13"/>
    <s v="MMG"/>
    <x v="0"/>
    <n v="50038517"/>
    <s v="LIXADEIRA BOSCH 5"/>
    <n v="1"/>
    <s v="REALIZADO"/>
    <s v="MARCIA"/>
    <x v="9"/>
    <x v="2"/>
    <x v="0"/>
  </r>
  <r>
    <n v="68708"/>
    <x v="13"/>
    <s v="MMG"/>
    <x v="0"/>
    <n v="50038517"/>
    <s v="LIXADEIRA BOSCH 5"/>
    <n v="1"/>
    <s v="REALIZADO"/>
    <s v="MARCIA"/>
    <x v="9"/>
    <x v="0"/>
    <x v="0"/>
  </r>
  <r>
    <n v="77521"/>
    <x v="5"/>
    <s v="MME"/>
    <x v="0"/>
    <n v="50041195"/>
    <s v="PARAFUSADEIRA FUR DE IMPACTO BRUSHLESS"/>
    <n v="1"/>
    <s v="REALIZADO"/>
    <s v="BRUNO"/>
    <x v="9"/>
    <x v="2"/>
    <x v="0"/>
  </r>
  <r>
    <n v="74611"/>
    <x v="2"/>
    <s v="MPR"/>
    <x v="0"/>
    <n v="50001995"/>
    <s v="MAQUINA DE SOLDA"/>
    <n v="1"/>
    <s v="REALIZADO"/>
    <s v="BRUNO"/>
    <x v="9"/>
    <x v="2"/>
    <x v="0"/>
  </r>
  <r>
    <n v="76995"/>
    <x v="49"/>
    <s v="MEE"/>
    <x v="0"/>
    <n v="50029865"/>
    <s v="JOGO DE BROCAS ACO RAPIDO"/>
    <n v="1"/>
    <s v="REALIZADO"/>
    <s v="BRUNO"/>
    <x v="9"/>
    <x v="2"/>
    <x v="0"/>
  </r>
  <r>
    <n v="76995"/>
    <x v="49"/>
    <s v="MEE"/>
    <x v="0"/>
    <n v="50003297"/>
    <s v="FURADEIRA DE IMPACTO MAKITA 02"/>
    <n v="1"/>
    <s v="REALIZADO"/>
    <s v="BRUNO"/>
    <x v="9"/>
    <x v="2"/>
    <x v="0"/>
  </r>
  <r>
    <n v="68760"/>
    <x v="15"/>
    <s v="MMG"/>
    <x v="0"/>
    <n v="50043471"/>
    <s v="FURADEIRA BOSCH 7"/>
    <n v="1"/>
    <s v="REALIZADO"/>
    <s v="BRUNO"/>
    <x v="9"/>
    <x v="0"/>
    <x v="0"/>
  </r>
  <r>
    <n v="68760"/>
    <x v="15"/>
    <s v="MMG"/>
    <x v="0"/>
    <n v="50037902"/>
    <s v="LIXADEIRA BOSCH 3"/>
    <n v="1"/>
    <s v="REALIZADO"/>
    <s v="BRUNO"/>
    <x v="9"/>
    <x v="0"/>
    <x v="0"/>
  </r>
  <r>
    <n v="71850"/>
    <x v="14"/>
    <s v="MMG"/>
    <x v="0"/>
    <n v="50038841"/>
    <s v="LIXADEIRA BOSCH 4"/>
    <n v="1"/>
    <s v="REALIZADO"/>
    <s v="BRUNO"/>
    <x v="9"/>
    <x v="2"/>
    <x v="0"/>
  </r>
  <r>
    <n v="78886"/>
    <x v="51"/>
    <s v="MME"/>
    <x v="0"/>
    <n v="50038956"/>
    <s v="LIXADEIRA BOSCH 1"/>
    <n v="1"/>
    <s v="REALIZADO"/>
    <s v="BRUNO"/>
    <x v="9"/>
    <x v="0"/>
    <x v="0"/>
  </r>
  <r>
    <n v="78675"/>
    <x v="12"/>
    <s v="MME"/>
    <x v="2"/>
    <n v="50003297"/>
    <s v="FURADEIRA DE IMPACTO MAKITA 02"/>
    <n v="1"/>
    <s v="REALIZADO"/>
    <s v="BRUNO"/>
    <x v="9"/>
    <x v="2"/>
    <x v="0"/>
  </r>
  <r>
    <n v="74611"/>
    <x v="2"/>
    <s v="MPR"/>
    <x v="0"/>
    <n v="50037892"/>
    <s v="LIXADEIRA BOSCH 2"/>
    <n v="1"/>
    <s v="REALIZADO"/>
    <s v="BRUNO"/>
    <x v="9"/>
    <x v="2"/>
    <x v="0"/>
  </r>
  <r>
    <n v="71850"/>
    <x v="14"/>
    <s v="MMG"/>
    <x v="0"/>
    <n v="50038841"/>
    <s v="LIXADEIRA BOSCH 4"/>
    <n v="1"/>
    <s v="REALIZADO"/>
    <s v="BRUNO"/>
    <x v="9"/>
    <x v="0"/>
    <x v="0"/>
  </r>
  <r>
    <n v="79177"/>
    <x v="28"/>
    <s v="MMG"/>
    <x v="0"/>
    <n v="50038956"/>
    <s v="LIXADEIRA BOSCH 1"/>
    <n v="1"/>
    <s v="REALIZADO"/>
    <s v="BRUNO"/>
    <x v="9"/>
    <x v="0"/>
    <x v="0"/>
  </r>
  <r>
    <n v="77521"/>
    <x v="5"/>
    <s v="MME"/>
    <x v="0"/>
    <n v="50043471"/>
    <s v="FURADEIRA BOSCH 7"/>
    <n v="1"/>
    <s v="REALIZADO"/>
    <s v="BRUNO"/>
    <x v="9"/>
    <x v="2"/>
    <x v="0"/>
  </r>
  <r>
    <n v="79177"/>
    <x v="28"/>
    <s v="MMG"/>
    <x v="0"/>
    <n v="50038956"/>
    <s v="LIXADEIRA BOSCH 1"/>
    <n v="1"/>
    <s v="REALIZADO"/>
    <s v="BRUNO"/>
    <x v="9"/>
    <x v="0"/>
    <x v="0"/>
  </r>
  <r>
    <n v="79177"/>
    <x v="28"/>
    <s v="MMG"/>
    <x v="0"/>
    <n v="50032781"/>
    <s v="SERRA TICO TICO 650W DEWALT "/>
    <n v="1"/>
    <s v="REALIZADO"/>
    <s v="BRUNO"/>
    <x v="9"/>
    <x v="2"/>
    <x v="0"/>
  </r>
  <r>
    <n v="78675"/>
    <x v="12"/>
    <s v="MME"/>
    <x v="2"/>
    <n v="50003297"/>
    <s v="FURADEIRA DE IMPACTO MAKITA 02"/>
    <n v="1"/>
    <s v="REALIZADO"/>
    <s v="BRUNO"/>
    <x v="9"/>
    <x v="0"/>
    <x v="0"/>
  </r>
  <r>
    <n v="78675"/>
    <x v="12"/>
    <s v="MME"/>
    <x v="2"/>
    <n v="50038956"/>
    <s v="LIXADEIRA BOSCH 1"/>
    <n v="1"/>
    <s v="REALIZADO"/>
    <s v="BRUNO"/>
    <x v="9"/>
    <x v="2"/>
    <x v="0"/>
  </r>
  <r>
    <n v="79177"/>
    <x v="28"/>
    <s v="MMG"/>
    <x v="0"/>
    <n v="50032781"/>
    <s v="SERRA TICO TICO 650W DEWALT "/>
    <n v="1"/>
    <s v="REALIZADO"/>
    <s v="BRUNO"/>
    <x v="9"/>
    <x v="2"/>
    <x v="0"/>
  </r>
  <r>
    <n v="78675"/>
    <x v="12"/>
    <s v="MME"/>
    <x v="2"/>
    <n v="50038956"/>
    <s v="LIXADEIRA BOSCH 1"/>
    <n v="1"/>
    <s v="REALIZADO"/>
    <s v="BRUNO"/>
    <x v="9"/>
    <x v="0"/>
    <x v="0"/>
  </r>
  <r>
    <n v="78675"/>
    <x v="12"/>
    <s v="MME"/>
    <x v="2"/>
    <n v="50037944"/>
    <s v="SARGENTO 2"/>
    <n v="1"/>
    <s v="REALIZADO"/>
    <s v="BRUNO"/>
    <x v="9"/>
    <x v="2"/>
    <x v="0"/>
  </r>
  <r>
    <n v="77521"/>
    <x v="5"/>
    <s v="MME"/>
    <x v="0"/>
    <n v="50043471"/>
    <s v="FURADEIRA BOSCH 7"/>
    <n v="1"/>
    <s v="REALIZADO"/>
    <s v="BRUNO"/>
    <x v="9"/>
    <x v="2"/>
    <x v="0"/>
  </r>
  <r>
    <n v="78675"/>
    <x v="12"/>
    <s v="MME"/>
    <x v="2"/>
    <n v="50037944"/>
    <s v="SARGENTO 2"/>
    <n v="1"/>
    <s v="REALIZADO"/>
    <s v="BRUNO"/>
    <x v="9"/>
    <x v="2"/>
    <x v="0"/>
  </r>
  <r>
    <n v="68760"/>
    <x v="15"/>
    <s v="MMG"/>
    <x v="0"/>
    <n v="50037902"/>
    <s v="LIXADEIRA BOSCH 3"/>
    <n v="1"/>
    <s v="REALIZADO"/>
    <s v="BRUNO"/>
    <x v="9"/>
    <x v="2"/>
    <x v="0"/>
  </r>
  <r>
    <n v="77521"/>
    <x v="5"/>
    <s v="MME"/>
    <x v="0"/>
    <n v="50041195"/>
    <s v="PARAFUSADEIRA FUR DE IMPACTO BRUSHLESS"/>
    <n v="1"/>
    <s v="REALIZADO"/>
    <s v="BRUNO"/>
    <x v="9"/>
    <x v="2"/>
    <x v="0"/>
  </r>
  <r>
    <n v="64253"/>
    <x v="16"/>
    <s v="MMG"/>
    <x v="0"/>
    <n v="50037900"/>
    <s v="SOLDADOR POLYCODE"/>
    <n v="1"/>
    <s v="REALIZADO"/>
    <s v="BRUNO"/>
    <x v="9"/>
    <x v="2"/>
    <x v="0"/>
  </r>
  <r>
    <n v="68701"/>
    <x v="50"/>
    <s v="MEE"/>
    <x v="2"/>
    <n v="50037933"/>
    <s v="TERMOMETRO"/>
    <n v="1"/>
    <s v="REALIZADO"/>
    <s v="BRUNO"/>
    <x v="9"/>
    <x v="0"/>
    <x v="0"/>
  </r>
  <r>
    <n v="73878"/>
    <x v="20"/>
    <s v="MMG"/>
    <x v="0"/>
    <n v="50038517"/>
    <s v="LIXADEIRA BOSCH 5"/>
    <n v="1"/>
    <s v="REALIZADO"/>
    <s v="KELLY"/>
    <x v="10"/>
    <x v="0"/>
    <x v="0"/>
  </r>
  <r>
    <n v="78886"/>
    <x v="51"/>
    <s v="MME"/>
    <x v="0"/>
    <n v="50037892"/>
    <s v="LIXADEIRA BOSCH 2"/>
    <n v="1"/>
    <s v="REALIZADO"/>
    <s v="KELLY"/>
    <x v="10"/>
    <x v="0"/>
    <x v="0"/>
  </r>
  <r>
    <n v="70105"/>
    <x v="25"/>
    <s v="MMG"/>
    <x v="3"/>
    <n v="50038549"/>
    <s v="JOGO SOQUETE ESTRIADOS 1/2 22PEÇ"/>
    <n v="1"/>
    <s v="REALIZADO"/>
    <s v="AGATHA"/>
    <x v="10"/>
    <x v="0"/>
    <x v="0"/>
  </r>
  <r>
    <n v="68708"/>
    <x v="13"/>
    <s v="MMG"/>
    <x v="0"/>
    <n v="50036296"/>
    <s v="CHAVE AJUSTÁVEL 45MM"/>
    <n v="1"/>
    <s v="REALIZADO"/>
    <s v="AGATHA"/>
    <x v="10"/>
    <x v="0"/>
    <x v="0"/>
  </r>
  <r>
    <n v="70105"/>
    <x v="25"/>
    <s v="MMG"/>
    <x v="3"/>
    <n v="50039718"/>
    <s v="ESCALA DE ACO 1000MM VONDER "/>
    <n v="1"/>
    <s v="REALIZADO"/>
    <s v="AGATHA"/>
    <x v="10"/>
    <x v="0"/>
    <x v="0"/>
  </r>
  <r>
    <n v="62640"/>
    <x v="44"/>
    <s v="MPR"/>
    <x v="0"/>
    <n v="50020623"/>
    <s v="REBITADOR MANUAL"/>
    <n v="1"/>
    <s v="REALIZADO"/>
    <s v="AGATHA"/>
    <x v="10"/>
    <x v="0"/>
    <x v="0"/>
  </r>
  <r>
    <n v="62640"/>
    <x v="44"/>
    <s v="MPR"/>
    <x v="0"/>
    <n v="50041195"/>
    <s v="PARAFUSADEIRA FUR DE IMPACTO BRUSHLESS"/>
    <n v="1"/>
    <s v="REALIZADO"/>
    <s v="AGATHA"/>
    <x v="10"/>
    <x v="0"/>
    <x v="0"/>
  </r>
  <r>
    <n v="62640"/>
    <x v="44"/>
    <s v="MPR"/>
    <x v="0"/>
    <n v="50037902"/>
    <s v="LIXADEIRA BOSCH 3"/>
    <n v="1"/>
    <s v="REALIZADO"/>
    <s v="AGATHA"/>
    <x v="10"/>
    <x v="0"/>
    <x v="0"/>
  </r>
  <r>
    <n v="75424"/>
    <x v="39"/>
    <s v="MME"/>
    <x v="0"/>
    <n v="50003297"/>
    <s v="FURADEIRA DE IMPACTO MAKITA 02"/>
    <n v="1"/>
    <s v="REALIZADO"/>
    <s v="JOÃO FRANCISCO"/>
    <x v="10"/>
    <x v="2"/>
    <x v="0"/>
  </r>
  <r>
    <n v="73878"/>
    <x v="20"/>
    <s v="MMG"/>
    <x v="0"/>
    <n v="50038517"/>
    <s v="LIXADEIRA BOSCH 5"/>
    <n v="1"/>
    <s v="REALIZADO"/>
    <s v="AGATHA"/>
    <x v="10"/>
    <x v="2"/>
    <x v="0"/>
  </r>
  <r>
    <n v="75424"/>
    <x v="39"/>
    <s v="MME"/>
    <x v="0"/>
    <n v="50003297"/>
    <s v="FURADEIRA DE IMPACTO MAKITA 02"/>
    <n v="1"/>
    <s v="REALIZADO"/>
    <s v="JOÃO FRANCISCO"/>
    <x v="10"/>
    <x v="2"/>
    <x v="0"/>
  </r>
  <r>
    <n v="62640"/>
    <x v="44"/>
    <s v="MPR"/>
    <x v="0"/>
    <n v="50020623"/>
    <s v="REBITADOR MANUAL"/>
    <n v="1"/>
    <s v="REALIZADO"/>
    <s v="JOÃO FRANCISCO"/>
    <x v="10"/>
    <x v="0"/>
    <x v="0"/>
  </r>
  <r>
    <n v="68760"/>
    <x v="15"/>
    <s v="MMG"/>
    <x v="0"/>
    <n v="50038517"/>
    <s v="LIXADEIRA BOSCH 5"/>
    <n v="1"/>
    <s v="REALIZADO"/>
    <s v="AGATHA"/>
    <x v="10"/>
    <x v="2"/>
    <x v="0"/>
  </r>
  <r>
    <n v="70105"/>
    <x v="25"/>
    <s v="MMG"/>
    <x v="3"/>
    <n v="50039718"/>
    <s v="ESCALA DE ACO 1000MM VONDER "/>
    <n v="1"/>
    <s v="REALIZADO"/>
    <s v="AGATHA"/>
    <x v="10"/>
    <x v="0"/>
    <x v="0"/>
  </r>
  <r>
    <n v="68760"/>
    <x v="15"/>
    <s v="MMG"/>
    <x v="0"/>
    <n v="50003297"/>
    <s v="FURADEIRA DE IMPACTO MAKITA 02"/>
    <n v="1"/>
    <s v="REALIZADO"/>
    <s v="AGATHA"/>
    <x v="10"/>
    <x v="2"/>
    <x v="0"/>
  </r>
  <r>
    <n v="68760"/>
    <x v="15"/>
    <s v="MMG"/>
    <x v="0"/>
    <n v="50038517"/>
    <s v="LIXADEIRA BOSCH 5"/>
    <n v="1"/>
    <s v="REALIZADO"/>
    <s v="AGATHA"/>
    <x v="10"/>
    <x v="2"/>
    <x v="0"/>
  </r>
  <r>
    <n v="78886"/>
    <x v="51"/>
    <s v="MME"/>
    <x v="0"/>
    <n v="50037892"/>
    <s v="LIXADEIRA BOSCH 2"/>
    <n v="1"/>
    <s v="REALIZADO"/>
    <s v="GEOVANE"/>
    <x v="10"/>
    <x v="2"/>
    <x v="0"/>
  </r>
  <r>
    <n v="68760"/>
    <x v="15"/>
    <s v="MMG"/>
    <x v="0"/>
    <n v="50003297"/>
    <s v="FURADEIRA DE IMPACTO MAKITA 02"/>
    <n v="1"/>
    <s v="REALIZADO"/>
    <s v="AGATHA"/>
    <x v="10"/>
    <x v="2"/>
    <x v="0"/>
  </r>
  <r>
    <n v="62640"/>
    <x v="44"/>
    <s v="MPR"/>
    <x v="0"/>
    <n v="50037902"/>
    <s v="LIXADEIRA BOSCH 3"/>
    <n v="1"/>
    <s v="NÃO REALIZADO"/>
    <s v="MARCIA"/>
    <x v="10"/>
    <x v="2"/>
    <x v="0"/>
  </r>
  <r>
    <n v="62640"/>
    <x v="44"/>
    <s v="MPR"/>
    <x v="0"/>
    <n v="50041195"/>
    <s v="PARAFUSADEIRA FUR DE IMPACTO BRUSHLESS"/>
    <n v="1"/>
    <s v="REALIZADO"/>
    <s v="MARCIA"/>
    <x v="10"/>
    <x v="0"/>
    <x v="0"/>
  </r>
  <r>
    <n v="68708"/>
    <x v="13"/>
    <s v="MMG"/>
    <x v="0"/>
    <n v="50042283"/>
    <s v="TALHA 2000KG x 5M"/>
    <n v="1"/>
    <s v="REALIZADO"/>
    <s v="MARCIA"/>
    <x v="10"/>
    <x v="0"/>
    <x v="0"/>
  </r>
  <r>
    <n v="68708"/>
    <x v="13"/>
    <s v="MMG"/>
    <x v="0"/>
    <n v="50037902"/>
    <s v="LIXADEIRA BOSCH 3"/>
    <n v="1"/>
    <s v="REALIZADO"/>
    <s v="MARCIA"/>
    <x v="10"/>
    <x v="0"/>
    <x v="0"/>
  </r>
  <r>
    <n v="77594"/>
    <x v="23"/>
    <s v="MME"/>
    <x v="0"/>
    <n v="50010031"/>
    <s v=" LIXADEIRA BOSCH 6"/>
    <n v="1"/>
    <s v="REALIZADO"/>
    <s v="MATHEUS"/>
    <x v="10"/>
    <x v="2"/>
    <x v="0"/>
  </r>
  <r>
    <n v="68708"/>
    <x v="13"/>
    <s v="MMG"/>
    <x v="0"/>
    <n v="50037902"/>
    <s v="LIXADEIRA BOSCH 3"/>
    <n v="1"/>
    <s v="REALIZADO"/>
    <s v="MATHEUS"/>
    <x v="10"/>
    <x v="0"/>
    <x v="0"/>
  </r>
  <r>
    <n v="77526"/>
    <x v="37"/>
    <s v="MME"/>
    <x v="0"/>
    <n v="50038841"/>
    <s v="LIXADEIRA BOSCH 4"/>
    <n v="1"/>
    <s v="REALIZADO"/>
    <s v="MATHEUS"/>
    <x v="10"/>
    <x v="2"/>
    <x v="0"/>
  </r>
  <r>
    <n v="77594"/>
    <x v="23"/>
    <s v="MME"/>
    <x v="0"/>
    <n v="50010031"/>
    <s v=" LIXADEIRA BOSCH 6"/>
    <n v="1"/>
    <s v="REALIZADO"/>
    <s v="MATHEUS"/>
    <x v="10"/>
    <x v="2"/>
    <x v="0"/>
  </r>
  <r>
    <n v="68708"/>
    <x v="13"/>
    <s v="MMG"/>
    <x v="0"/>
    <n v="50042283"/>
    <s v="TALHA 2000KG x 5M"/>
    <n v="1"/>
    <s v="REALIZADO"/>
    <s v="MATHEUS"/>
    <x v="10"/>
    <x v="2"/>
    <x v="0"/>
  </r>
  <r>
    <n v="70105"/>
    <x v="25"/>
    <s v="MMG"/>
    <x v="3"/>
    <n v="50038549"/>
    <s v="JOGO SOQUETE ESTRIADOS 1/2 22PEÇ"/>
    <n v="1"/>
    <s v="REALIZADO"/>
    <s v="MATHEUS"/>
    <x v="10"/>
    <x v="2"/>
    <x v="0"/>
  </r>
  <r>
    <n v="68708"/>
    <x v="13"/>
    <s v="MMG"/>
    <x v="0"/>
    <n v="50036296"/>
    <s v="CHAVE AJUSTÁVEL 45MM"/>
    <n v="1"/>
    <s v="REALIZADO"/>
    <s v="MATHEUS"/>
    <x v="10"/>
    <x v="2"/>
    <x v="0"/>
  </r>
  <r>
    <n v="77526"/>
    <x v="37"/>
    <s v="MME"/>
    <x v="0"/>
    <n v="50038841"/>
    <s v="LIXADEIRA BOSCH 4"/>
    <n v="1"/>
    <s v="REALIZADO"/>
    <s v="MATHEUS"/>
    <x v="10"/>
    <x v="0"/>
    <x v="0"/>
  </r>
  <r>
    <n v="73336"/>
    <x v="29"/>
    <s v="MMG"/>
    <x v="3"/>
    <n v="50041195"/>
    <s v="PARAFUSADEIRA FUR DE IMPACTO BRUSHLESS"/>
    <n v="1"/>
    <s v="REALIZADO"/>
    <s v="KELLY"/>
    <x v="11"/>
    <x v="0"/>
    <x v="0"/>
  </r>
  <r>
    <n v="73336"/>
    <x v="29"/>
    <s v="MMG"/>
    <x v="3"/>
    <n v="50037892"/>
    <s v="LIXADEIRA BOSCH 2"/>
    <n v="1"/>
    <s v="REALIZADO"/>
    <s v="KELLY"/>
    <x v="11"/>
    <x v="0"/>
    <x v="0"/>
  </r>
  <r>
    <n v="67915"/>
    <x v="52"/>
    <s v="MMG"/>
    <x v="2"/>
    <n v="50003297"/>
    <s v="FURADEIRA DE IMPACTO MAKITA 02"/>
    <n v="1"/>
    <s v="REALIZADO"/>
    <s v="KELLY"/>
    <x v="11"/>
    <x v="0"/>
    <x v="0"/>
  </r>
  <r>
    <n v="78886"/>
    <x v="51"/>
    <s v="MME"/>
    <x v="0"/>
    <n v="50038517"/>
    <s v="LIXADEIRA BOSCH 5"/>
    <n v="1"/>
    <s v="REALIZADO"/>
    <s v="KELLY"/>
    <x v="11"/>
    <x v="0"/>
    <x v="0"/>
  </r>
  <r>
    <n v="61264"/>
    <x v="10"/>
    <s v="MMG"/>
    <x v="0"/>
    <n v="50036255"/>
    <s v="CHAVE DE IMPACTO 1/2&quot; 20V"/>
    <n v="1"/>
    <s v="REALIZADO"/>
    <s v="KELLY"/>
    <x v="11"/>
    <x v="0"/>
    <x v="0"/>
  </r>
  <r>
    <n v="77521"/>
    <x v="5"/>
    <s v="MME"/>
    <x v="0"/>
    <n v="50043471"/>
    <s v="FURADEIRA BOSCH 7"/>
    <n v="1"/>
    <s v="REALIZADO"/>
    <s v="KELLY"/>
    <x v="11"/>
    <x v="0"/>
    <x v="0"/>
  </r>
  <r>
    <n v="61264"/>
    <x v="10"/>
    <s v="MMG"/>
    <x v="0"/>
    <n v="50041089"/>
    <s v="TORQUIMETRO GEDORE "/>
    <n v="1"/>
    <s v="REALIZADO"/>
    <s v="KELLY"/>
    <x v="11"/>
    <x v="0"/>
    <x v="0"/>
  </r>
  <r>
    <n v="65921"/>
    <x v="53"/>
    <s v="MME"/>
    <x v="3"/>
    <n v="50037905"/>
    <s v="ESTETOSCÓPIO SKF"/>
    <n v="1"/>
    <s v="REALIZADO"/>
    <s v="KELLY"/>
    <x v="11"/>
    <x v="2"/>
    <x v="0"/>
  </r>
  <r>
    <n v="73336"/>
    <x v="29"/>
    <s v="MMG"/>
    <x v="3"/>
    <n v="50041195"/>
    <s v="PARAFUSADEIRA FUR DE IMPACTO BRUSHLESS"/>
    <n v="1"/>
    <s v="REALIZADO"/>
    <s v="KELLY"/>
    <x v="11"/>
    <x v="2"/>
    <x v="0"/>
  </r>
  <r>
    <n v="78886"/>
    <x v="51"/>
    <s v="MME"/>
    <x v="0"/>
    <n v="50038517"/>
    <s v="LIXADEIRA BOSCH 5"/>
    <n v="1"/>
    <s v="REALIZADO"/>
    <s v="KELLY"/>
    <x v="11"/>
    <x v="2"/>
    <x v="0"/>
  </r>
  <r>
    <n v="73336"/>
    <x v="29"/>
    <s v="MMG"/>
    <x v="3"/>
    <n v="50037892"/>
    <s v="LIXADEIRA BOSCH 2"/>
    <n v="1"/>
    <s v="REALIZADO"/>
    <s v="KELLY"/>
    <x v="11"/>
    <x v="2"/>
    <x v="0"/>
  </r>
  <r>
    <n v="61264"/>
    <x v="10"/>
    <s v="MMG"/>
    <x v="0"/>
    <n v="50036255"/>
    <s v="CHAVE DE IMPACTO 1/2&quot; 20V"/>
    <n v="1"/>
    <s v="REALIZADO"/>
    <s v="KELLY"/>
    <x v="11"/>
    <x v="2"/>
    <x v="0"/>
  </r>
  <r>
    <n v="65921"/>
    <x v="53"/>
    <s v="MME"/>
    <x v="3"/>
    <n v="50037905"/>
    <s v="ESTETOSCÓPIO SKF"/>
    <n v="1"/>
    <s v="REALIZADO"/>
    <s v="KELLY"/>
    <x v="11"/>
    <x v="0"/>
    <x v="0"/>
  </r>
  <r>
    <n v="78886"/>
    <x v="51"/>
    <s v="MME"/>
    <x v="0"/>
    <n v="50037902"/>
    <s v="LIXADEIRA BOSCH 3"/>
    <n v="1"/>
    <s v="REALIZADO"/>
    <s v="KELLY"/>
    <x v="11"/>
    <x v="0"/>
    <x v="0"/>
  </r>
  <r>
    <n v="65844"/>
    <x v="54"/>
    <s v="MMG"/>
    <x v="2"/>
    <n v="50041653"/>
    <s v="MICROMETRO INTERNO - EXTRUSORA"/>
    <n v="1"/>
    <s v="REALIZADO"/>
    <s v="KELLY"/>
    <x v="11"/>
    <x v="0"/>
    <x v="0"/>
  </r>
  <r>
    <n v="62180"/>
    <x v="18"/>
    <s v="MMG"/>
    <x v="0"/>
    <n v="50037892"/>
    <s v="LIXADEIRA BOSCH 2"/>
    <n v="1"/>
    <s v="REALIZADO"/>
    <s v="KELLY"/>
    <x v="11"/>
    <x v="2"/>
    <x v="0"/>
  </r>
  <r>
    <n v="77521"/>
    <x v="5"/>
    <s v="MME"/>
    <x v="0"/>
    <n v="50043471"/>
    <s v="FURADEIRA BOSCH 7"/>
    <n v="1"/>
    <s v="REALIZADO"/>
    <s v="KELLY"/>
    <x v="11"/>
    <x v="0"/>
    <x v="0"/>
  </r>
  <r>
    <n v="61955"/>
    <x v="55"/>
    <s v="MME"/>
    <x v="2"/>
    <n v="50043471"/>
    <s v="FURADEIRA BOSCH 7"/>
    <n v="1"/>
    <s v="REALIZADO"/>
    <s v="KELLY"/>
    <x v="11"/>
    <x v="2"/>
    <x v="0"/>
  </r>
  <r>
    <n v="67915"/>
    <x v="52"/>
    <s v="MMG"/>
    <x v="2"/>
    <n v="50003297"/>
    <s v="FURADEIRA DE IMPACTO MAKITA 02"/>
    <n v="1"/>
    <s v="REALIZADO"/>
    <s v="KELLY"/>
    <x v="11"/>
    <x v="0"/>
    <x v="0"/>
  </r>
  <r>
    <n v="62896"/>
    <x v="33"/>
    <s v="MEE"/>
    <x v="0"/>
    <n v="50038517"/>
    <s v="LIXADEIRA BOSCH 5"/>
    <n v="1"/>
    <s v="REALIZADO"/>
    <s v="KELLY"/>
    <x v="11"/>
    <x v="2"/>
    <x v="0"/>
  </r>
  <r>
    <n v="62896"/>
    <x v="33"/>
    <s v="MEE"/>
    <x v="0"/>
    <n v="50038517"/>
    <s v="LIXADEIRA BOSCH 5"/>
    <n v="1"/>
    <s v="REALIZADO"/>
    <s v="KELLY"/>
    <x v="11"/>
    <x v="2"/>
    <x v="0"/>
  </r>
  <r>
    <n v="78886"/>
    <x v="51"/>
    <s v="MME"/>
    <x v="0"/>
    <n v="50037902"/>
    <s v="LIXADEIRA BOSCH 3"/>
    <n v="1"/>
    <s v="REALIZADO"/>
    <s v="KELLY"/>
    <x v="11"/>
    <x v="2"/>
    <x v="0"/>
  </r>
  <r>
    <n v="65844"/>
    <x v="54"/>
    <s v="MMG"/>
    <x v="2"/>
    <n v="50041653"/>
    <s v="MICROMETRO INTERNO - EXTRUSORA"/>
    <n v="1"/>
    <s v="REALIZADO"/>
    <s v="KELLY"/>
    <x v="11"/>
    <x v="0"/>
    <x v="0"/>
  </r>
  <r>
    <n v="79177"/>
    <x v="28"/>
    <s v="MMG"/>
    <x v="0"/>
    <n v="50039065"/>
    <s v="MAQUINA SOLDA TIG"/>
    <n v="1"/>
    <s v="REALIZADO"/>
    <s v="KELLY"/>
    <x v="11"/>
    <x v="2"/>
    <x v="0"/>
  </r>
  <r>
    <n v="62180"/>
    <x v="18"/>
    <s v="MMG"/>
    <x v="0"/>
    <n v="50037892"/>
    <s v="LIXADEIRA BOSCH 2"/>
    <n v="1"/>
    <s v="REALIZADO"/>
    <s v="KELLY"/>
    <x v="11"/>
    <x v="0"/>
    <x v="0"/>
  </r>
  <r>
    <n v="64253"/>
    <x v="16"/>
    <s v="MMG"/>
    <x v="0"/>
    <n v="50001740"/>
    <s v="PAQUIMETRO UNIVERSAL 300MM"/>
    <n v="1"/>
    <s v="REALIZADO"/>
    <s v="KELLY"/>
    <x v="11"/>
    <x v="2"/>
    <x v="0"/>
  </r>
  <r>
    <n v="79177"/>
    <x v="28"/>
    <s v="MMG"/>
    <x v="0"/>
    <n v="50039065"/>
    <s v="MAQUINA SOLDA TIG"/>
    <n v="1"/>
    <s v="REALIZADO"/>
    <s v="KELLY"/>
    <x v="11"/>
    <x v="2"/>
    <x v="0"/>
  </r>
  <r>
    <n v="64253"/>
    <x v="16"/>
    <s v="MMG"/>
    <x v="0"/>
    <n v="50001740"/>
    <s v="PAQUIMETRO UNIVERSAL 300MM"/>
    <n v="1"/>
    <s v="REALIZADO"/>
    <s v="KELLY"/>
    <x v="11"/>
    <x v="2"/>
    <x v="0"/>
  </r>
  <r>
    <n v="61264"/>
    <x v="10"/>
    <s v="MMG"/>
    <x v="0"/>
    <n v="50041089"/>
    <s v="TORQUIMETRO GEDORE "/>
    <n v="1"/>
    <s v="REALIZADO"/>
    <s v="KELLY"/>
    <x v="11"/>
    <x v="0"/>
    <x v="0"/>
  </r>
  <r>
    <n v="79177"/>
    <x v="28"/>
    <s v="MMG"/>
    <x v="0"/>
    <n v="50022878"/>
    <s v="KIT MONTAGEM ROLAMENTO SKF"/>
    <n v="1"/>
    <s v="REALIZADO"/>
    <s v="KELLY"/>
    <x v="11"/>
    <x v="2"/>
    <x v="0"/>
  </r>
  <r>
    <n v="79177"/>
    <x v="28"/>
    <s v="MMG"/>
    <x v="0"/>
    <n v="50022878"/>
    <s v="KIT MONTAGEM ROLAMENTO SKF"/>
    <n v="1"/>
    <s v="REALIZADO"/>
    <s v="KELLY"/>
    <x v="11"/>
    <x v="2"/>
    <x v="0"/>
  </r>
  <r>
    <n v="61955"/>
    <x v="55"/>
    <s v="MME"/>
    <x v="2"/>
    <n v="50043471"/>
    <s v="FURADEIRA BOSCH 7"/>
    <n v="1"/>
    <s v="REALIZADO"/>
    <s v="KELLY"/>
    <x v="11"/>
    <x v="0"/>
    <x v="0"/>
  </r>
  <r>
    <n v="65131"/>
    <x v="41"/>
    <s v="MMG"/>
    <x v="3"/>
    <n v="50038549"/>
    <s v="JOGO SOQUETE ESTRIADOS 1/2 22PEÇ"/>
    <n v="1"/>
    <s v="REALIZADO"/>
    <s v="KELLY"/>
    <x v="12"/>
    <x v="0"/>
    <x v="0"/>
  </r>
  <r>
    <n v="65131"/>
    <x v="41"/>
    <s v="MMG"/>
    <x v="3"/>
    <n v="50041095"/>
    <s v="TALHA MANUAL 1000KG"/>
    <n v="1"/>
    <s v="REALIZADO"/>
    <s v="KELLY"/>
    <x v="12"/>
    <x v="0"/>
    <x v="0"/>
  </r>
  <r>
    <n v="65131"/>
    <x v="41"/>
    <s v="MMG"/>
    <x v="3"/>
    <n v="50037892"/>
    <s v="LIXADEIRA BOSCH 2"/>
    <n v="1"/>
    <s v="REALIZADO"/>
    <s v="KELLY"/>
    <x v="12"/>
    <x v="2"/>
    <x v="0"/>
  </r>
  <r>
    <n v="65131"/>
    <x v="41"/>
    <s v="MMG"/>
    <x v="3"/>
    <n v="50037892"/>
    <s v="LIXADEIRA BOSCH 2"/>
    <n v="1"/>
    <s v="REALIZADO"/>
    <s v="KELLY"/>
    <x v="12"/>
    <x v="2"/>
    <x v="0"/>
  </r>
  <r>
    <n v="65131"/>
    <x v="41"/>
    <s v="MMG"/>
    <x v="3"/>
    <n v="50041095"/>
    <s v="TALHA MANUAL 1000KG"/>
    <n v="1"/>
    <s v="REALIZADO"/>
    <s v="KELLY"/>
    <x v="12"/>
    <x v="2"/>
    <x v="0"/>
  </r>
  <r>
    <n v="65131"/>
    <x v="41"/>
    <s v="MMG"/>
    <x v="3"/>
    <n v="50038549"/>
    <s v="JOGO SOQUETE ESTRIADOS 1/2 22PEÇ"/>
    <n v="1"/>
    <s v="REALIZADO"/>
    <s v="KELLY"/>
    <x v="12"/>
    <x v="0"/>
    <x v="0"/>
  </r>
  <r>
    <n v="65472"/>
    <x v="48"/>
    <s v="MMG"/>
    <x v="0"/>
    <n v="50037905"/>
    <s v="ESTETOSCÓPIO SKF"/>
    <n v="1"/>
    <s v="NÃO REALIZADO"/>
    <s v="KELLY"/>
    <x v="12"/>
    <x v="0"/>
    <x v="0"/>
  </r>
  <r>
    <n v="73878"/>
    <x v="20"/>
    <s v="MMG"/>
    <x v="0"/>
    <n v="50037926"/>
    <s v="MACACO HIDRAULICO AZUL"/>
    <n v="1"/>
    <s v="REALIZADO"/>
    <s v="KELLY"/>
    <x v="13"/>
    <x v="0"/>
    <x v="0"/>
  </r>
  <r>
    <n v="65472"/>
    <x v="48"/>
    <s v="MMG"/>
    <x v="0"/>
    <n v="50039718"/>
    <s v="ESCALA DE ACO 1000MM VONDER "/>
    <n v="1"/>
    <s v="REALIZADO"/>
    <s v="KELLY"/>
    <x v="13"/>
    <x v="0"/>
    <x v="0"/>
  </r>
  <r>
    <n v="78678"/>
    <x v="0"/>
    <s v="MME"/>
    <x v="0"/>
    <n v="50037892"/>
    <s v="LIXADEIRA BOSCH 2"/>
    <n v="1"/>
    <s v="REALIZADO"/>
    <s v="KELLY"/>
    <x v="13"/>
    <x v="2"/>
    <x v="0"/>
  </r>
  <r>
    <n v="65472"/>
    <x v="48"/>
    <s v="MMG"/>
    <x v="0"/>
    <n v="50037905"/>
    <s v="ESTETOSCÓPIO SKF"/>
    <n v="1"/>
    <s v="NÃO REALIZADO"/>
    <s v="KELLY"/>
    <x v="13"/>
    <x v="2"/>
    <x v="0"/>
  </r>
  <r>
    <n v="65472"/>
    <x v="48"/>
    <s v="MMG"/>
    <x v="0"/>
    <n v="50039718"/>
    <s v="ESCALA DE ACO 1000MM VONDER "/>
    <n v="1"/>
    <s v="REALIZADO"/>
    <s v="KELLY"/>
    <x v="13"/>
    <x v="2"/>
    <x v="0"/>
  </r>
  <r>
    <n v="73878"/>
    <x v="20"/>
    <s v="MMG"/>
    <x v="0"/>
    <n v="50037926"/>
    <s v="MACACO HIDRAULICO AZUL"/>
    <n v="1"/>
    <s v="REALIZADO"/>
    <s v="KELLY"/>
    <x v="13"/>
    <x v="2"/>
    <x v="0"/>
  </r>
  <r>
    <n v="78678"/>
    <x v="0"/>
    <s v="MME"/>
    <x v="0"/>
    <n v="50037892"/>
    <s v="LIXADEIRA BOSCH 2"/>
    <n v="1"/>
    <s v="REALIZADO"/>
    <s v="KELLY"/>
    <x v="13"/>
    <x v="0"/>
    <x v="0"/>
  </r>
  <r>
    <n v="77514"/>
    <x v="56"/>
    <s v="MEE"/>
    <x v="3"/>
    <n v="50038991"/>
    <s v="CAMERA TERMOGRAFICA"/>
    <n v="1"/>
    <s v="REALIZADO"/>
    <s v="KELLY"/>
    <x v="14"/>
    <x v="0"/>
    <x v="0"/>
  </r>
  <r>
    <n v="73878"/>
    <x v="20"/>
    <s v="MMG"/>
    <x v="0"/>
    <n v="50038841"/>
    <s v="LIXADEIRA BOSCH 4"/>
    <n v="1"/>
    <s v="REALIZADO"/>
    <s v="KELLY"/>
    <x v="14"/>
    <x v="2"/>
    <x v="0"/>
  </r>
  <r>
    <n v="77514"/>
    <x v="56"/>
    <s v="MEE"/>
    <x v="3"/>
    <n v="50038991"/>
    <s v="CAMERA TERMOGRAFICA"/>
    <n v="1"/>
    <s v="REALIZADO"/>
    <s v="KELLY"/>
    <x v="14"/>
    <x v="2"/>
    <x v="0"/>
  </r>
  <r>
    <n v="73878"/>
    <x v="20"/>
    <s v="MMG"/>
    <x v="0"/>
    <n v="50038841"/>
    <s v="LIXADEIRA BOSCH 4"/>
    <n v="1"/>
    <s v="REALIZADO"/>
    <s v="KELLY"/>
    <x v="14"/>
    <x v="0"/>
    <x v="0"/>
  </r>
  <r>
    <n v="73878"/>
    <x v="20"/>
    <s v="MMG"/>
    <x v="0"/>
    <n v="50037892"/>
    <s v="LIXADEIRA BOSCH 2"/>
    <n v="1"/>
    <s v="REALIZADO"/>
    <s v="KELLY"/>
    <x v="14"/>
    <x v="0"/>
    <x v="0"/>
  </r>
  <r>
    <n v="65131"/>
    <x v="41"/>
    <s v="MMG"/>
    <x v="3"/>
    <n v="50039065"/>
    <s v="MAQUINA SOLDA TIG"/>
    <n v="1"/>
    <s v="REALIZADO"/>
    <s v="KELLY"/>
    <x v="14"/>
    <x v="0"/>
    <x v="0"/>
  </r>
  <r>
    <n v="68760"/>
    <x v="15"/>
    <s v="MMG"/>
    <x v="0"/>
    <n v="50030486"/>
    <s v="FURADEIRA BOSCH 3"/>
    <n v="1"/>
    <s v="REALIZADO"/>
    <s v="GEOVANE"/>
    <x v="14"/>
    <x v="0"/>
    <x v="0"/>
  </r>
  <r>
    <n v="68760"/>
    <x v="15"/>
    <s v="MMG"/>
    <x v="0"/>
    <n v="50026357"/>
    <s v="MARTELETE VONDER"/>
    <n v="1"/>
    <s v="REALIZADO"/>
    <s v="GEOVANE"/>
    <x v="14"/>
    <x v="0"/>
    <x v="0"/>
  </r>
  <r>
    <n v="79177"/>
    <x v="28"/>
    <s v="MMG"/>
    <x v="0"/>
    <n v="50038195"/>
    <s v="SERRA TICO TICO BOSCH S/MALETA"/>
    <n v="1"/>
    <s v="REALIZADO"/>
    <s v="GEOVANE"/>
    <x v="14"/>
    <x v="0"/>
    <x v="0"/>
  </r>
  <r>
    <n v="76239"/>
    <x v="19"/>
    <s v="REFRIG"/>
    <x v="0"/>
    <n v="50038549"/>
    <s v="JOGO SOQUETE ESTRIADOS 1/2 22PEÇ"/>
    <n v="1"/>
    <s v="REALIZADO"/>
    <s v="GEOVANE"/>
    <x v="14"/>
    <x v="2"/>
    <x v="0"/>
  </r>
  <r>
    <n v="79177"/>
    <x v="28"/>
    <s v="MMG"/>
    <x v="0"/>
    <n v="50038195"/>
    <s v="SERRA TICO TICO BOSCH S/MALETA"/>
    <n v="1"/>
    <s v="REALIZADO"/>
    <s v="GEOVANE"/>
    <x v="14"/>
    <x v="2"/>
    <x v="0"/>
  </r>
  <r>
    <n v="73878"/>
    <x v="20"/>
    <s v="MMG"/>
    <x v="0"/>
    <n v="50037892"/>
    <s v="LIXADEIRA BOSCH 2"/>
    <n v="1"/>
    <s v="REALIZADO"/>
    <s v="MARCIA"/>
    <x v="14"/>
    <x v="0"/>
    <x v="0"/>
  </r>
  <r>
    <n v="77471"/>
    <x v="35"/>
    <s v="MEE"/>
    <x v="0"/>
    <n v="50003297"/>
    <s v="FURADEIRA DE IMPACTO MAKITA 02"/>
    <n v="1"/>
    <s v="REALIZADO"/>
    <s v="GEOVANE"/>
    <x v="14"/>
    <x v="0"/>
    <x v="0"/>
  </r>
  <r>
    <n v="72715"/>
    <x v="26"/>
    <s v="MPR"/>
    <x v="0"/>
    <n v="50041195"/>
    <s v="PARAFUSADEIRA FUR DE IMPACTO BRUSHLESS"/>
    <n v="1"/>
    <s v="REALIZADO"/>
    <s v="GEOVANE"/>
    <x v="14"/>
    <x v="0"/>
    <x v="0"/>
  </r>
  <r>
    <n v="64253"/>
    <x v="16"/>
    <s v="MMG"/>
    <x v="0"/>
    <n v="50037900"/>
    <s v="SOLDADOR POLYCODE"/>
    <n v="1"/>
    <s v="REALIZADO"/>
    <s v="GEOVANE"/>
    <x v="14"/>
    <x v="2"/>
    <x v="0"/>
  </r>
  <r>
    <n v="72715"/>
    <x v="26"/>
    <s v="MPR"/>
    <x v="0"/>
    <n v="50041195"/>
    <s v="PARAFUSADEIRA FUR DE IMPACTO BRUSHLESS"/>
    <n v="1"/>
    <s v="REALIZADO"/>
    <s v="GEOVANE"/>
    <x v="14"/>
    <x v="0"/>
    <x v="0"/>
  </r>
  <r>
    <n v="78886"/>
    <x v="51"/>
    <s v="MME"/>
    <x v="0"/>
    <n v="50041195"/>
    <s v="PARAFUSADEIRA FUR DE IMPACTO BRUSHLESS"/>
    <n v="1"/>
    <s v="REALIZADO"/>
    <s v="GEOVANE"/>
    <x v="14"/>
    <x v="0"/>
    <x v="0"/>
  </r>
  <r>
    <n v="72715"/>
    <x v="26"/>
    <s v="MPR"/>
    <x v="0"/>
    <n v="50038517"/>
    <s v="LIXADEIRA BOSCH 5"/>
    <n v="1"/>
    <s v="REALIZADO"/>
    <s v="GEOVANE"/>
    <x v="14"/>
    <x v="0"/>
    <x v="0"/>
  </r>
  <r>
    <n v="63770"/>
    <x v="36"/>
    <s v="MMG"/>
    <x v="0"/>
    <n v="50038195"/>
    <s v="SERRA TICO TICO BOSCH S/MALETA"/>
    <n v="1"/>
    <s v="REALIZADO"/>
    <s v="GEOVANE"/>
    <x v="14"/>
    <x v="2"/>
    <x v="0"/>
  </r>
  <r>
    <n v="78886"/>
    <x v="51"/>
    <s v="MME"/>
    <x v="0"/>
    <n v="50041195"/>
    <s v="PARAFUSADEIRA FUR DE IMPACTO BRUSHLESS"/>
    <n v="1"/>
    <s v="REALIZADO"/>
    <s v="GEOVANE"/>
    <x v="14"/>
    <x v="0"/>
    <x v="0"/>
  </r>
  <r>
    <n v="62137"/>
    <x v="43"/>
    <s v="MME"/>
    <x v="2"/>
    <n v="50038841"/>
    <s v="LIXADEIRA BOSCH 4"/>
    <n v="1"/>
    <s v="REALIZADO"/>
    <s v="GEOVANE"/>
    <x v="14"/>
    <x v="2"/>
    <x v="0"/>
  </r>
  <r>
    <n v="65131"/>
    <x v="41"/>
    <s v="MMG"/>
    <x v="3"/>
    <n v="50039065"/>
    <s v="MAQUINA SOLDA TIG"/>
    <n v="1"/>
    <s v="REALIZADO"/>
    <s v="AGATHA"/>
    <x v="14"/>
    <x v="2"/>
    <x v="0"/>
  </r>
  <r>
    <n v="72715"/>
    <x v="26"/>
    <s v="MPR"/>
    <x v="0"/>
    <n v="50038517"/>
    <s v="LIXADEIRA BOSCH 5"/>
    <n v="1"/>
    <s v="REALIZADO"/>
    <s v="AGATHA"/>
    <x v="14"/>
    <x v="0"/>
    <x v="0"/>
  </r>
  <r>
    <n v="77313"/>
    <x v="17"/>
    <s v="MPR"/>
    <x v="0"/>
    <n v="50010031"/>
    <s v=" LIXADEIRA BOSCH 6"/>
    <n v="1"/>
    <s v="REALIZADO"/>
    <s v="MATHEUS"/>
    <x v="14"/>
    <x v="0"/>
    <x v="0"/>
  </r>
  <r>
    <n v="69510"/>
    <x v="7"/>
    <s v="MEE"/>
    <x v="0"/>
    <n v="50029865"/>
    <s v="JOGO DE BROCAS ACO RAPIDO"/>
    <n v="1"/>
    <s v="REALIZADO"/>
    <s v="MATHEUS"/>
    <x v="14"/>
    <x v="0"/>
    <x v="0"/>
  </r>
  <r>
    <n v="69510"/>
    <x v="7"/>
    <s v="MEE"/>
    <x v="0"/>
    <n v="50041195"/>
    <s v="PARAFUSADEIRA FUR DE IMPACTO BRUSHLESS"/>
    <n v="1"/>
    <s v="REALIZADO"/>
    <s v="MATHEUS"/>
    <x v="14"/>
    <x v="2"/>
    <x v="0"/>
  </r>
  <r>
    <n v="77313"/>
    <x v="17"/>
    <s v="MPR"/>
    <x v="0"/>
    <n v="50010031"/>
    <s v=" LIXADEIRA BOSCH 6"/>
    <n v="1"/>
    <s v="REALIZADO"/>
    <s v="MATHEUS"/>
    <x v="14"/>
    <x v="0"/>
    <x v="0"/>
  </r>
  <r>
    <n v="64253"/>
    <x v="16"/>
    <s v="MMG"/>
    <x v="0"/>
    <n v="50037892"/>
    <s v="LIXADEIRA BOSCH 2"/>
    <n v="1"/>
    <s v="REALIZADO"/>
    <s v="MATHEUS"/>
    <x v="14"/>
    <x v="2"/>
    <x v="0"/>
  </r>
  <r>
    <n v="68760"/>
    <x v="15"/>
    <s v="MMG"/>
    <x v="0"/>
    <n v="50030486"/>
    <s v="FURADEIRA BOSCH 3"/>
    <n v="1"/>
    <s v="REALIZADO"/>
    <s v="MATHEUS"/>
    <x v="14"/>
    <x v="2"/>
    <x v="0"/>
  </r>
  <r>
    <n v="62137"/>
    <x v="43"/>
    <s v="MME"/>
    <x v="2"/>
    <n v="50038841"/>
    <s v="LIXADEIRA BOSCH 4"/>
    <n v="1"/>
    <s v="REALIZADO"/>
    <s v="MATHEUS"/>
    <x v="14"/>
    <x v="2"/>
    <x v="0"/>
  </r>
  <r>
    <n v="68760"/>
    <x v="15"/>
    <s v="MMG"/>
    <x v="0"/>
    <n v="50026357"/>
    <s v="MARTELETE VONDER"/>
    <n v="1"/>
    <s v="REALIZADO"/>
    <s v="MATHEUS"/>
    <x v="14"/>
    <x v="2"/>
    <x v="0"/>
  </r>
  <r>
    <n v="69510"/>
    <x v="7"/>
    <s v="MEE"/>
    <x v="0"/>
    <n v="50029865"/>
    <s v="JOGO DE BROCAS ACO RAPIDO"/>
    <n v="1"/>
    <s v="REALIZADO"/>
    <s v="MATHEUS"/>
    <x v="14"/>
    <x v="2"/>
    <x v="0"/>
  </r>
  <r>
    <n v="77471"/>
    <x v="35"/>
    <s v="MEE"/>
    <x v="0"/>
    <n v="50003297"/>
    <s v="FURADEIRA DE IMPACTO MAKITA 02"/>
    <n v="1"/>
    <s v="REALIZADO"/>
    <s v="MATHEUS"/>
    <x v="14"/>
    <x v="2"/>
    <x v="0"/>
  </r>
  <r>
    <n v="69510"/>
    <x v="7"/>
    <s v="MEE"/>
    <x v="0"/>
    <n v="50041195"/>
    <s v="PARAFUSADEIRA FUR DE IMPACTO BRUSHLESS"/>
    <n v="1"/>
    <s v="REALIZADO"/>
    <s v="MATHEUS"/>
    <x v="14"/>
    <x v="0"/>
    <x v="0"/>
  </r>
  <r>
    <n v="62896"/>
    <x v="33"/>
    <s v="MEE"/>
    <x v="0"/>
    <n v="50029865"/>
    <s v="JOGO DE BROCAS ACO RAPIDO"/>
    <n v="1"/>
    <s v="REALIZADO"/>
    <s v="MATHEUS"/>
    <x v="14"/>
    <x v="0"/>
    <x v="0"/>
  </r>
  <r>
    <n v="62896"/>
    <x v="33"/>
    <s v="MEE"/>
    <x v="0"/>
    <n v="50041195"/>
    <s v="PARAFUSADEIRA FUR DE IMPACTO BRUSHLESS"/>
    <n v="1"/>
    <s v="REALIZADO"/>
    <s v="MATHEUS"/>
    <x v="14"/>
    <x v="0"/>
    <x v="0"/>
  </r>
  <r>
    <n v="76239"/>
    <x v="19"/>
    <s v="REFRIG"/>
    <x v="0"/>
    <n v="50038841"/>
    <s v="LIXADEIRA BOSCH 4"/>
    <n v="1"/>
    <s v="REALIZADO"/>
    <s v="MATHEUS"/>
    <x v="14"/>
    <x v="0"/>
    <x v="0"/>
  </r>
  <r>
    <n v="76239"/>
    <x v="19"/>
    <s v="REFRIG"/>
    <x v="0"/>
    <n v="50003297"/>
    <s v="FURADEIRA DE IMPACTO MAKITA 02"/>
    <n v="1"/>
    <s v="REALIZADO"/>
    <s v="MATHEUS"/>
    <x v="14"/>
    <x v="2"/>
    <x v="0"/>
  </r>
  <r>
    <n v="78886"/>
    <x v="51"/>
    <s v="MME"/>
    <x v="0"/>
    <n v="50039065"/>
    <s v="MAQUINA SOLDA TIG"/>
    <n v="1"/>
    <s v="REALIZADO"/>
    <s v="MATHEUS"/>
    <x v="14"/>
    <x v="2"/>
    <x v="0"/>
  </r>
  <r>
    <n v="64253"/>
    <x v="16"/>
    <s v="MMG"/>
    <x v="0"/>
    <n v="50037892"/>
    <s v="LIXADEIRA BOSCH 2"/>
    <n v="1"/>
    <s v="REALIZADO"/>
    <s v="BRUNO"/>
    <x v="14"/>
    <x v="2"/>
    <x v="0"/>
  </r>
  <r>
    <n v="76239"/>
    <x v="19"/>
    <s v="REFRIG"/>
    <x v="0"/>
    <n v="50038841"/>
    <s v="LIXADEIRA BOSCH 4"/>
    <n v="1"/>
    <s v="REALIZADO"/>
    <s v="BRUNO"/>
    <x v="14"/>
    <x v="2"/>
    <x v="0"/>
  </r>
  <r>
    <n v="76239"/>
    <x v="19"/>
    <s v="REFRIG"/>
    <x v="0"/>
    <n v="50003297"/>
    <s v="FURADEIRA DE IMPACTO MAKITA 02"/>
    <n v="1"/>
    <s v="REALIZADO"/>
    <s v="BRUNO"/>
    <x v="14"/>
    <x v="2"/>
    <x v="0"/>
  </r>
  <r>
    <n v="62896"/>
    <x v="33"/>
    <s v="MEE"/>
    <x v="0"/>
    <n v="50029865"/>
    <s v="JOGO DE BROCAS ACO RAPIDO"/>
    <n v="1"/>
    <s v="REALIZADO"/>
    <s v="BRUNO"/>
    <x v="14"/>
    <x v="2"/>
    <x v="0"/>
  </r>
  <r>
    <n v="62896"/>
    <x v="33"/>
    <s v="MEE"/>
    <x v="0"/>
    <n v="50041195"/>
    <s v="PARAFUSADEIRA FUR DE IMPACTO BRUSHLESS"/>
    <n v="1"/>
    <s v="REALIZADO"/>
    <s v="BRUNO"/>
    <x v="14"/>
    <x v="0"/>
    <x v="0"/>
  </r>
  <r>
    <n v="68760"/>
    <x v="15"/>
    <s v="MMG"/>
    <x v="0"/>
    <n v="50038549"/>
    <s v="JOGO SOQUETE ESTRIADOS 1/2 22PEÇ"/>
    <n v="1"/>
    <s v="REALIZADO"/>
    <s v="BRUNO"/>
    <x v="0"/>
    <x v="0"/>
    <x v="0"/>
  </r>
  <r>
    <n v="78886"/>
    <x v="51"/>
    <s v="MME"/>
    <x v="0"/>
    <n v="50037892"/>
    <s v="LIXADEIRA BOSCH 2"/>
    <n v="1"/>
    <s v="REALIZADO"/>
    <s v="BRUNO"/>
    <x v="0"/>
    <x v="0"/>
    <x v="0"/>
  </r>
  <r>
    <n v="78886"/>
    <x v="51"/>
    <s v="MME"/>
    <x v="0"/>
    <n v="50043471"/>
    <s v="FURADEIRA BOSCH 7"/>
    <n v="1"/>
    <s v="REALIZADO"/>
    <s v="BRUNO"/>
    <x v="0"/>
    <x v="0"/>
    <x v="0"/>
  </r>
  <r>
    <n v="75424"/>
    <x v="39"/>
    <s v="MME"/>
    <x v="0"/>
    <n v="50003297"/>
    <s v="FURADEIRA DE IMPACTO MAKITA 02"/>
    <n v="1"/>
    <s v="REALIZADO"/>
    <s v="BRUNO"/>
    <x v="0"/>
    <x v="0"/>
    <x v="0"/>
  </r>
  <r>
    <n v="63399"/>
    <x v="32"/>
    <s v="MPR"/>
    <x v="0"/>
    <n v="50010031"/>
    <s v=" LIXADEIRA BOSCH 6"/>
    <n v="1"/>
    <s v="REALIZADO"/>
    <s v="BRUNO"/>
    <x v="0"/>
    <x v="0"/>
    <x v="0"/>
  </r>
  <r>
    <n v="69510"/>
    <x v="7"/>
    <s v="MEE"/>
    <x v="0"/>
    <n v="50041195"/>
    <s v="PARAFUSADEIRA FUR DE IMPACTO BRUSHLESS"/>
    <n v="1"/>
    <s v="REALIZADO"/>
    <s v="BRUNO"/>
    <x v="0"/>
    <x v="2"/>
    <x v="0"/>
  </r>
  <r>
    <n v="61264"/>
    <x v="10"/>
    <s v="MMG"/>
    <x v="0"/>
    <n v="50041089"/>
    <s v="TORQUIMETRO GEDORE "/>
    <n v="1"/>
    <s v="REALIZADO"/>
    <s v="BRUNO"/>
    <x v="14"/>
    <x v="0"/>
    <x v="0"/>
  </r>
  <r>
    <n v="70105"/>
    <x v="25"/>
    <s v="MMG"/>
    <x v="3"/>
    <n v="50030486"/>
    <s v="FURADEIRA BOSCH 3"/>
    <n v="1"/>
    <s v="REALIZADO"/>
    <s v="BRUNO"/>
    <x v="0"/>
    <x v="0"/>
    <x v="0"/>
  </r>
  <r>
    <n v="73336"/>
    <x v="29"/>
    <s v="MMG"/>
    <x v="3"/>
    <n v="50037902"/>
    <s v="LIXADEIRA BOSCH 3"/>
    <n v="1"/>
    <s v="REALIZADO"/>
    <s v="BRUNO"/>
    <x v="0"/>
    <x v="0"/>
    <x v="0"/>
  </r>
  <r>
    <n v="78678"/>
    <x v="0"/>
    <s v="MME"/>
    <x v="0"/>
    <n v="50038517"/>
    <s v="LIXADEIRA BOSCH 5"/>
    <n v="1"/>
    <s v="REALIZADO"/>
    <s v="BRUNO"/>
    <x v="0"/>
    <x v="0"/>
    <x v="0"/>
  </r>
  <r>
    <n v="78678"/>
    <x v="0"/>
    <s v="MME"/>
    <x v="0"/>
    <n v="50038841"/>
    <s v="LIXADEIRA BOSCH 4"/>
    <n v="1"/>
    <s v="REALIZADO"/>
    <s v="BRUNO"/>
    <x v="0"/>
    <x v="0"/>
    <x v="0"/>
  </r>
  <r>
    <n v="79177"/>
    <x v="28"/>
    <s v="MMG"/>
    <x v="0"/>
    <n v="50038854"/>
    <s v="ARCO DE SERRA"/>
    <n v="1"/>
    <s v="REALIZADO"/>
    <s v="BRUNO"/>
    <x v="14"/>
    <x v="2"/>
    <x v="0"/>
  </r>
  <r>
    <n v="64253"/>
    <x v="16"/>
    <s v="MMG"/>
    <x v="0"/>
    <n v="50037900"/>
    <s v="SOLDADOR POLYCODE"/>
    <n v="1"/>
    <s v="REALIZADO"/>
    <s v="BRUNO"/>
    <x v="14"/>
    <x v="2"/>
    <x v="0"/>
  </r>
  <r>
    <n v="76239"/>
    <x v="19"/>
    <s v="REFRIG"/>
    <x v="0"/>
    <n v="50038549"/>
    <s v="JOGO SOQUETE ESTRIADOS 1/2 22PEÇ"/>
    <n v="1"/>
    <s v="REALIZADO"/>
    <s v="BRUNO"/>
    <x v="14"/>
    <x v="0"/>
    <x v="0"/>
  </r>
  <r>
    <n v="68760"/>
    <x v="15"/>
    <s v="MMG"/>
    <x v="0"/>
    <n v="50038549"/>
    <s v="JOGO SOQUETE ESTRIADOS 1/2 22PEÇ"/>
    <n v="1"/>
    <s v="REALIZADO"/>
    <s v="BRUNO"/>
    <x v="0"/>
    <x v="0"/>
    <x v="0"/>
  </r>
  <r>
    <n v="70105"/>
    <x v="25"/>
    <s v="MMG"/>
    <x v="3"/>
    <n v="50030486"/>
    <s v="FURADEIRA BOSCH 3"/>
    <n v="1"/>
    <s v="REALIZADO"/>
    <s v="GEOVANE"/>
    <x v="0"/>
    <x v="0"/>
    <x v="0"/>
  </r>
  <r>
    <n v="78678"/>
    <x v="0"/>
    <s v="MME"/>
    <x v="0"/>
    <n v="50038517"/>
    <s v="LIXADEIRA BOSCH 5"/>
    <n v="1"/>
    <s v="REALIZADO"/>
    <s v="GEOVANE"/>
    <x v="0"/>
    <x v="0"/>
    <x v="0"/>
  </r>
  <r>
    <n v="68708"/>
    <x v="13"/>
    <s v="MMG"/>
    <x v="0"/>
    <n v="50038854"/>
    <s v="ARCO DE SERRA"/>
    <n v="1"/>
    <s v="REALIZADO"/>
    <s v="GEOVANE"/>
    <x v="0"/>
    <x v="2"/>
    <x v="0"/>
  </r>
  <r>
    <n v="68708"/>
    <x v="13"/>
    <s v="MMG"/>
    <x v="0"/>
    <n v="50038854"/>
    <s v="ARCO DE SERRA"/>
    <n v="1"/>
    <s v="REALIZADO"/>
    <s v="GEOVANE"/>
    <x v="0"/>
    <x v="2"/>
    <x v="0"/>
  </r>
  <r>
    <n v="78678"/>
    <x v="0"/>
    <s v="MME"/>
    <x v="0"/>
    <n v="50038841"/>
    <s v="LIXADEIRA BOSCH 4"/>
    <n v="1"/>
    <s v="REALIZADO"/>
    <s v="MARCIA"/>
    <x v="0"/>
    <x v="2"/>
    <x v="0"/>
  </r>
  <r>
    <n v="78678"/>
    <x v="0"/>
    <s v="MME"/>
    <x v="0"/>
    <n v="50038517"/>
    <s v="LIXADEIRA BOSCH 5"/>
    <n v="1"/>
    <s v="REALIZADO"/>
    <s v="MARCIA"/>
    <x v="0"/>
    <x v="0"/>
    <x v="0"/>
  </r>
  <r>
    <n v="70105"/>
    <x v="25"/>
    <s v="MMG"/>
    <x v="3"/>
    <n v="50032781"/>
    <s v="SERRA TICO TICO 650W DEWALT "/>
    <n v="1"/>
    <s v="REALIZADO"/>
    <s v="MARCIA"/>
    <x v="0"/>
    <x v="2"/>
    <x v="0"/>
  </r>
  <r>
    <n v="73336"/>
    <x v="29"/>
    <s v="MMG"/>
    <x v="0"/>
    <n v="50037902"/>
    <s v="LIXADEIRA BOSCH 3"/>
    <n v="1"/>
    <s v="REALIZADO"/>
    <s v="MARCIA"/>
    <x v="0"/>
    <x v="2"/>
    <x v="0"/>
  </r>
  <r>
    <n v="79177"/>
    <x v="28"/>
    <s v="MMG"/>
    <x v="0"/>
    <n v="50038854"/>
    <s v="ARCO DE SERRA"/>
    <n v="1"/>
    <s v="REALIZADO"/>
    <s v="MARCIA"/>
    <x v="14"/>
    <x v="2"/>
    <x v="0"/>
  </r>
  <r>
    <n v="70105"/>
    <x v="25"/>
    <s v="MMG"/>
    <x v="3"/>
    <n v="50030486"/>
    <s v="FURADEIRA BOSCH 3"/>
    <n v="1"/>
    <s v="REALIZADO"/>
    <s v="MARCIA"/>
    <x v="0"/>
    <x v="2"/>
    <x v="0"/>
  </r>
  <r>
    <n v="70105"/>
    <x v="25"/>
    <s v="MMG"/>
    <x v="3"/>
    <n v="50032781"/>
    <s v="SERRA TICO TICO 650W DEWALT "/>
    <n v="1"/>
    <s v="REALIZADO"/>
    <s v="MARCIA"/>
    <x v="0"/>
    <x v="2"/>
    <x v="0"/>
  </r>
  <r>
    <n v="65844"/>
    <x v="54"/>
    <s v="MMG"/>
    <x v="2"/>
    <n v="50042283"/>
    <s v="TALHA 2000KG x 5M"/>
    <n v="1"/>
    <s v="REALIZADO"/>
    <s v="BRUNO"/>
    <x v="0"/>
    <x v="0"/>
    <x v="0"/>
  </r>
  <r>
    <n v="60763"/>
    <x v="57"/>
    <s v="MMG"/>
    <x v="2"/>
    <n v="50022878"/>
    <s v="KIT MONTAGEM ROLAMENTO SKF"/>
    <n v="1"/>
    <s v="REALIZADO"/>
    <s v="BRUNO"/>
    <x v="0"/>
    <x v="0"/>
    <x v="0"/>
  </r>
  <r>
    <n v="77526"/>
    <x v="37"/>
    <s v="MME"/>
    <x v="0"/>
    <n v="50038517"/>
    <s v="LIXADEIRA BOSCH 5"/>
    <n v="1"/>
    <s v="REALIZADO"/>
    <s v="BRUNO"/>
    <x v="0"/>
    <x v="0"/>
    <x v="0"/>
  </r>
  <r>
    <n v="77521"/>
    <x v="5"/>
    <s v="MME"/>
    <x v="0"/>
    <n v="50036291"/>
    <s v="CHAVE GANCHO 52 A 55MM"/>
    <n v="1"/>
    <s v="REALIZADO"/>
    <s v="BRUNO"/>
    <x v="0"/>
    <x v="0"/>
    <x v="0"/>
  </r>
  <r>
    <n v="79177"/>
    <x v="28"/>
    <s v="MMG"/>
    <x v="0"/>
    <n v="50038956"/>
    <s v="LIXADEIRA BOSCH 1"/>
    <n v="1"/>
    <s v="REALIZADO"/>
    <s v="BRUNO"/>
    <x v="0"/>
    <x v="0"/>
    <x v="0"/>
  </r>
  <r>
    <n v="79177"/>
    <x v="28"/>
    <s v="MMG"/>
    <x v="0"/>
    <n v="50039065"/>
    <s v="MAQUINA SOLDA TIG"/>
    <n v="1"/>
    <s v="REALIZADO"/>
    <s v="BRUNO"/>
    <x v="0"/>
    <x v="2"/>
    <x v="0"/>
  </r>
  <r>
    <n v="60763"/>
    <x v="57"/>
    <s v="MMG"/>
    <x v="2"/>
    <n v="50022878"/>
    <s v="KIT MONTAGEM ROLAMENTO SKF"/>
    <n v="1"/>
    <s v="REALIZADO"/>
    <s v="BRUNO"/>
    <x v="0"/>
    <x v="2"/>
    <x v="0"/>
  </r>
  <r>
    <n v="69510"/>
    <x v="7"/>
    <s v="MEE"/>
    <x v="0"/>
    <n v="50041195"/>
    <s v="PARAFUSADEIRA FUR DE IMPACTO BRUSHLESS"/>
    <n v="1"/>
    <s v="REALIZADO"/>
    <s v="BRUNO"/>
    <x v="0"/>
    <x v="0"/>
    <x v="0"/>
  </r>
  <r>
    <n v="65482"/>
    <x v="30"/>
    <s v="MMG"/>
    <x v="0"/>
    <n v="50037933"/>
    <s v="TERMOMETRO"/>
    <n v="1"/>
    <s v="REALIZADO"/>
    <s v="BRUNO"/>
    <x v="0"/>
    <x v="2"/>
    <x v="0"/>
  </r>
  <r>
    <n v="79177"/>
    <x v="28"/>
    <s v="MMG"/>
    <x v="0"/>
    <n v="50039065"/>
    <s v="MAQUINA SOLDA TIG"/>
    <n v="1"/>
    <s v="REALIZADO"/>
    <s v="BRUNO"/>
    <x v="0"/>
    <x v="2"/>
    <x v="0"/>
  </r>
  <r>
    <n v="79177"/>
    <x v="28"/>
    <s v="MMG"/>
    <x v="0"/>
    <n v="50038956"/>
    <s v="LIXADEIRA BOSCH 1"/>
    <n v="1"/>
    <s v="REALIZADO"/>
    <s v="BRUNO"/>
    <x v="0"/>
    <x v="2"/>
    <x v="0"/>
  </r>
  <r>
    <n v="77526"/>
    <x v="37"/>
    <s v="MME"/>
    <x v="0"/>
    <n v="50038517"/>
    <s v="LIXADEIRA BOSCH 5"/>
    <n v="1"/>
    <s v="REALIZADO"/>
    <s v="BRUNO"/>
    <x v="0"/>
    <x v="2"/>
    <x v="0"/>
  </r>
  <r>
    <n v="63399"/>
    <x v="32"/>
    <s v="MPR"/>
    <x v="0"/>
    <n v="50010031"/>
    <s v=" LIXADEIRA BOSCH 6"/>
    <n v="1"/>
    <s v="REALIZADO"/>
    <s v="BRUNO"/>
    <x v="0"/>
    <x v="0"/>
    <x v="0"/>
  </r>
  <r>
    <n v="72728"/>
    <x v="58"/>
    <s v="UTI"/>
    <x v="3"/>
    <n v="50037952"/>
    <s v="SUPORTE DE PAQUIMETRO - CALIBRAÇÃO MOLDADORA"/>
    <n v="1"/>
    <s v="REALIZADO"/>
    <s v="BRUNO"/>
    <x v="0"/>
    <x v="0"/>
    <x v="0"/>
  </r>
  <r>
    <n v="72728"/>
    <x v="58"/>
    <s v="UTI"/>
    <x v="3"/>
    <n v="50041195"/>
    <s v="PARAFUSADEIRA FUR DE IMPACTO BRUSHLESS"/>
    <n v="1"/>
    <s v="REALIZADO"/>
    <s v="BRUNO"/>
    <x v="0"/>
    <x v="2"/>
    <x v="0"/>
  </r>
  <r>
    <n v="75424"/>
    <x v="39"/>
    <s v="MME"/>
    <x v="0"/>
    <n v="50003297"/>
    <s v="FURADEIRA DE IMPACTO MAKITA 02"/>
    <n v="1"/>
    <s v="REALIZADO"/>
    <s v="BRUNO"/>
    <x v="0"/>
    <x v="2"/>
    <x v="0"/>
  </r>
  <r>
    <n v="65482"/>
    <x v="30"/>
    <s v="MMG"/>
    <x v="0"/>
    <n v="50037933"/>
    <s v="TERMOMETRO"/>
    <n v="1"/>
    <s v="REALIZADO"/>
    <s v="BRUNO"/>
    <x v="0"/>
    <x v="2"/>
    <x v="0"/>
  </r>
  <r>
    <n v="78886"/>
    <x v="51"/>
    <s v="MME"/>
    <x v="0"/>
    <n v="50043471"/>
    <s v="FURADEIRA BOSCH 7"/>
    <n v="1"/>
    <s v="REALIZADO"/>
    <s v="BRUNO"/>
    <x v="0"/>
    <x v="2"/>
    <x v="0"/>
  </r>
  <r>
    <n v="78886"/>
    <x v="51"/>
    <s v="MME"/>
    <x v="0"/>
    <n v="50037892"/>
    <s v="LIXADEIRA BOSCH 2"/>
    <n v="1"/>
    <s v="REALIZADO"/>
    <s v="BRUNO"/>
    <x v="0"/>
    <x v="2"/>
    <x v="0"/>
  </r>
  <r>
    <n v="68760"/>
    <x v="15"/>
    <s v="MMG"/>
    <x v="0"/>
    <n v="50038549"/>
    <s v="JOGO SOQUETE ESTRIADOS 1/2 22PEÇ"/>
    <n v="1"/>
    <s v="REALIZADO"/>
    <s v="BRUNO"/>
    <x v="0"/>
    <x v="2"/>
    <x v="0"/>
  </r>
  <r>
    <n v="72728"/>
    <x v="58"/>
    <s v="UTI"/>
    <x v="3"/>
    <n v="50041195"/>
    <s v="PARAFUSADEIRA FUR DE IMPACTO BRUSHLESS"/>
    <n v="1"/>
    <s v="REALIZADO"/>
    <s v="BRUNO"/>
    <x v="0"/>
    <x v="2"/>
    <x v="0"/>
  </r>
  <r>
    <n v="72728"/>
    <x v="58"/>
    <s v="UTI"/>
    <x v="3"/>
    <n v="50037952"/>
    <s v="SUPORTE DE PAQUIMETRO - CALIBRAÇÃO MOLDADORA"/>
    <n v="1"/>
    <s v="REALIZADO"/>
    <s v="BRUNO"/>
    <x v="0"/>
    <x v="0"/>
    <x v="0"/>
  </r>
  <r>
    <n v="72715"/>
    <x v="26"/>
    <s v="MPR"/>
    <x v="0"/>
    <n v="50028220"/>
    <s v="SOPRADOR TERMICO VONDER 1500W 220V"/>
    <n v="1"/>
    <s v="REALIZADO"/>
    <s v="GEOVANE"/>
    <x v="15"/>
    <x v="0"/>
    <x v="0"/>
  </r>
  <r>
    <n v="77521"/>
    <x v="5"/>
    <s v="MME"/>
    <x v="0"/>
    <n v="50003297"/>
    <s v="FURADEIRA DE IMPACTO MAKITA 02"/>
    <n v="1"/>
    <s v="REALIZADO"/>
    <s v="AGATHA"/>
    <x v="15"/>
    <x v="0"/>
    <x v="0"/>
  </r>
  <r>
    <n v="65131"/>
    <x v="41"/>
    <s v="MMG"/>
    <x v="3"/>
    <n v="50038549"/>
    <s v="JOGO SOQUETE ESTRIADOS 1/2 22PEÇ"/>
    <n v="1"/>
    <s v="REALIZADO"/>
    <s v="AGATHA"/>
    <x v="15"/>
    <x v="0"/>
    <x v="0"/>
  </r>
  <r>
    <n v="62180"/>
    <x v="18"/>
    <s v="MMG"/>
    <x v="0"/>
    <n v="50039718"/>
    <s v="ESCALA DE ACO 1000MM VONDER "/>
    <n v="1"/>
    <s v="REALIZADO"/>
    <s v="AGATHA"/>
    <x v="15"/>
    <x v="0"/>
    <x v="0"/>
  </r>
  <r>
    <n v="75424"/>
    <x v="39"/>
    <s v="MME"/>
    <x v="2"/>
    <n v="50038518"/>
    <s v="LIXADEIRA BOSCH 7"/>
    <n v="1"/>
    <s v="REALIZADO"/>
    <s v="AGATHA"/>
    <x v="15"/>
    <x v="0"/>
    <x v="0"/>
  </r>
  <r>
    <n v="79177"/>
    <x v="28"/>
    <s v="MMG"/>
    <x v="0"/>
    <n v="50037892"/>
    <s v="LIXADEIRA BOSCH 2"/>
    <n v="1"/>
    <s v="REALIZADO"/>
    <s v="AGATHA"/>
    <x v="15"/>
    <x v="0"/>
    <x v="0"/>
  </r>
  <r>
    <n v="78886"/>
    <x v="51"/>
    <s v="MME"/>
    <x v="0"/>
    <n v="50038956"/>
    <s v="LIXADEIRA BOSCH 1"/>
    <n v="1"/>
    <s v="REALIZADO"/>
    <s v="AGATHA"/>
    <x v="15"/>
    <x v="0"/>
    <x v="0"/>
  </r>
  <r>
    <n v="78886"/>
    <x v="51"/>
    <s v="MME"/>
    <x v="0"/>
    <n v="50038517"/>
    <s v="LIXADEIRA BOSCH 5"/>
    <n v="1"/>
    <s v="REALIZADO"/>
    <s v="AGATHA"/>
    <x v="15"/>
    <x v="0"/>
    <x v="0"/>
  </r>
  <r>
    <n v="79177"/>
    <x v="28"/>
    <s v="MMG"/>
    <x v="0"/>
    <n v="50039065"/>
    <s v="MAQUINA SOLDA TIG"/>
    <n v="1"/>
    <s v="REALIZADO"/>
    <s v="AGATHA"/>
    <x v="15"/>
    <x v="0"/>
    <x v="0"/>
  </r>
  <r>
    <n v="79177"/>
    <x v="28"/>
    <s v="MMG"/>
    <x v="0"/>
    <n v="50037943"/>
    <s v="SARGENTO 1 "/>
    <n v="1"/>
    <s v="REALIZADO"/>
    <s v="AGATHA"/>
    <x v="15"/>
    <x v="2"/>
    <x v="0"/>
  </r>
  <r>
    <n v="65131"/>
    <x v="41"/>
    <s v="MMG"/>
    <x v="3"/>
    <n v="50038549"/>
    <s v="JOGO SOQUETE ESTRIADOS 1/2 22PEÇ"/>
    <n v="1"/>
    <s v="REALIZADO"/>
    <s v="AGATHA"/>
    <x v="15"/>
    <x v="2"/>
    <x v="0"/>
  </r>
  <r>
    <n v="75424"/>
    <x v="39"/>
    <s v="MME"/>
    <x v="2"/>
    <n v="50038518"/>
    <s v="LIXADEIRA BOSCH 7"/>
    <n v="1"/>
    <s v="REALIZADO"/>
    <s v="AGATHA"/>
    <x v="15"/>
    <x v="0"/>
    <x v="0"/>
  </r>
  <r>
    <n v="72715"/>
    <x v="26"/>
    <s v="MPR"/>
    <x v="0"/>
    <n v="50038662"/>
    <s v="MARTELO ROMPEDOR SDS MAX 220V 1100W"/>
    <n v="1"/>
    <s v="REALIZADO"/>
    <s v="AGATHA"/>
    <x v="15"/>
    <x v="0"/>
    <x v="0"/>
  </r>
  <r>
    <n v="62640"/>
    <x v="44"/>
    <s v="MPR"/>
    <x v="0"/>
    <n v="50038854"/>
    <s v="ARCO DE SERRA"/>
    <n v="1"/>
    <s v="REALIZADO"/>
    <s v="AGATHA"/>
    <x v="15"/>
    <x v="2"/>
    <x v="0"/>
  </r>
  <r>
    <n v="62640"/>
    <x v="44"/>
    <s v="MPR"/>
    <x v="0"/>
    <n v="50038854"/>
    <s v="ARCO DE SERRA"/>
    <n v="1"/>
    <s v="REALIZADO"/>
    <s v="AGATHA"/>
    <x v="15"/>
    <x v="0"/>
    <x v="0"/>
  </r>
  <r>
    <n v="62471"/>
    <x v="9"/>
    <s v="MME"/>
    <x v="0"/>
    <n v="50043471"/>
    <s v="FURADEIRA BOSCH 7"/>
    <n v="1"/>
    <s v="REALIZADO"/>
    <s v="AGATHA"/>
    <x v="15"/>
    <x v="2"/>
    <x v="0"/>
  </r>
  <r>
    <n v="72715"/>
    <x v="26"/>
    <s v="MPR"/>
    <x v="0"/>
    <n v="50038662"/>
    <s v="MARTELO ROMPEDOR SDS MAX 220V 1100W"/>
    <n v="1"/>
    <s v="REALIZADO"/>
    <s v="GEOVANE"/>
    <x v="15"/>
    <x v="2"/>
    <x v="0"/>
  </r>
  <r>
    <n v="73336"/>
    <x v="29"/>
    <s v="MMG"/>
    <x v="0"/>
    <n v="50041195"/>
    <s v="PARAFUSADEIRA FUR DE IMPACTO BRUSHLESS"/>
    <n v="1"/>
    <s v="REALIZADO"/>
    <s v="GEOVANE"/>
    <x v="15"/>
    <x v="0"/>
    <x v="0"/>
  </r>
  <r>
    <n v="96464"/>
    <x v="46"/>
    <s v="MEE"/>
    <x v="2"/>
    <n v="50010031"/>
    <s v=" LIXADEIRA BOSCH 6"/>
    <n v="1"/>
    <s v="REALIZADO"/>
    <s v="AGATHA"/>
    <x v="15"/>
    <x v="2"/>
    <x v="0"/>
  </r>
  <r>
    <n v="72715"/>
    <x v="26"/>
    <s v="MPR"/>
    <x v="0"/>
    <n v="50028220"/>
    <s v="SOPRADOR TERMICO VONDER 1500W 220V"/>
    <n v="1"/>
    <s v="REALIZADO"/>
    <s v="GEOVANE"/>
    <x v="15"/>
    <x v="2"/>
    <x v="0"/>
  </r>
  <r>
    <n v="73336"/>
    <x v="29"/>
    <s v="MMG"/>
    <x v="0"/>
    <n v="50038841"/>
    <s v="LIXADEIRA BOSCH 4"/>
    <n v="1"/>
    <s v="REALIZADO"/>
    <s v="AGATHA"/>
    <x v="15"/>
    <x v="0"/>
    <x v="0"/>
  </r>
  <r>
    <n v="77594"/>
    <x v="23"/>
    <s v="MME"/>
    <x v="0"/>
    <n v="50038517"/>
    <s v="LIXADEIRA BOSCH 5"/>
    <n v="1"/>
    <s v="REALIZADO"/>
    <s v="AGATHA"/>
    <x v="15"/>
    <x v="0"/>
    <x v="0"/>
  </r>
  <r>
    <n v="62137"/>
    <x v="43"/>
    <s v="MME"/>
    <x v="2"/>
    <n v="50038841"/>
    <s v="LIXADEIRA BOSCH 4"/>
    <n v="1"/>
    <s v="REALIZADO"/>
    <s v="JOÃO FRANCISCO"/>
    <x v="15"/>
    <x v="2"/>
    <x v="0"/>
  </r>
  <r>
    <n v="79177"/>
    <x v="28"/>
    <s v="MMG"/>
    <x v="0"/>
    <n v="50037943"/>
    <s v="SARGENTO 1 "/>
    <n v="1"/>
    <s v="REALIZADO"/>
    <s v="BRUNO"/>
    <x v="15"/>
    <x v="0"/>
    <x v="0"/>
  </r>
  <r>
    <n v="62180"/>
    <x v="18"/>
    <s v="MMG"/>
    <x v="0"/>
    <n v="50037926"/>
    <s v="MACACO HIDRAULICO AZUL"/>
    <n v="1"/>
    <s v="REALIZADO"/>
    <s v="BRUNO"/>
    <x v="15"/>
    <x v="2"/>
    <x v="0"/>
  </r>
  <r>
    <n v="62471"/>
    <x v="9"/>
    <s v="MME"/>
    <x v="0"/>
    <n v="50043471"/>
    <s v="FURADEIRA BOSCH 7"/>
    <n v="1"/>
    <s v="REALIZADO"/>
    <s v="BRUNO"/>
    <x v="15"/>
    <x v="0"/>
    <x v="0"/>
  </r>
  <r>
    <n v="69510"/>
    <x v="7"/>
    <s v="MEE"/>
    <x v="0"/>
    <n v="50029865"/>
    <s v="JOGO DE BROCAS ACO RAPIDO"/>
    <n v="1"/>
    <s v="REALIZADO"/>
    <s v="BRUNO"/>
    <x v="15"/>
    <x v="0"/>
    <x v="0"/>
  </r>
  <r>
    <n v="69510"/>
    <x v="7"/>
    <s v="MEE"/>
    <x v="0"/>
    <n v="50043471"/>
    <s v="FURADEIRA BOSCH 7"/>
    <n v="1"/>
    <s v="REALIZADO"/>
    <s v="BRUNO"/>
    <x v="15"/>
    <x v="2"/>
    <x v="0"/>
  </r>
  <r>
    <n v="62180"/>
    <x v="18"/>
    <s v="MMG"/>
    <x v="0"/>
    <n v="50037926"/>
    <s v="MACACO HIDRAULICO AZUL"/>
    <n v="1"/>
    <s v="REALIZADO"/>
    <s v="BRUNO"/>
    <x v="15"/>
    <x v="0"/>
    <x v="0"/>
  </r>
  <r>
    <n v="68760"/>
    <x v="15"/>
    <s v="MMG"/>
    <x v="0"/>
    <n v="50037902"/>
    <s v="LIXADEIRA BOSCH 3"/>
    <n v="1"/>
    <s v="REALIZADO"/>
    <s v="BRUNO"/>
    <x v="15"/>
    <x v="2"/>
    <x v="0"/>
  </r>
  <r>
    <n v="96464"/>
    <x v="46"/>
    <s v="MEE"/>
    <x v="2"/>
    <n v="50010031"/>
    <s v=" LIXADEIRA BOSCH 6"/>
    <n v="1"/>
    <s v="REALIZADO"/>
    <s v="BRUNO"/>
    <x v="15"/>
    <x v="0"/>
    <x v="0"/>
  </r>
  <r>
    <n v="72707"/>
    <x v="59"/>
    <s v="MPR"/>
    <x v="0"/>
    <n v="50010031"/>
    <s v=" LIXADEIRA BOSCH 6"/>
    <n v="1"/>
    <s v="REALIZADO"/>
    <s v="BRUNO"/>
    <x v="15"/>
    <x v="2"/>
    <x v="0"/>
  </r>
  <r>
    <n v="77594"/>
    <x v="23"/>
    <s v="MME"/>
    <x v="0"/>
    <n v="50038517"/>
    <s v="LIXADEIRA BOSCH 5"/>
    <n v="1"/>
    <s v="REALIZADO"/>
    <s v="BRUNO"/>
    <x v="15"/>
    <x v="2"/>
    <x v="0"/>
  </r>
  <r>
    <n v="78886"/>
    <x v="51"/>
    <s v="MME"/>
    <x v="0"/>
    <n v="50038956"/>
    <s v="LIXADEIRA BOSCH 1"/>
    <n v="1"/>
    <s v="REALIZADO"/>
    <s v="BRUNO"/>
    <x v="15"/>
    <x v="2"/>
    <x v="0"/>
  </r>
  <r>
    <n v="72707"/>
    <x v="59"/>
    <s v="MPR"/>
    <x v="0"/>
    <n v="50010031"/>
    <s v=" LIXADEIRA BOSCH 6"/>
    <n v="1"/>
    <s v="REALIZADO"/>
    <s v="BRUNO"/>
    <x v="15"/>
    <x v="0"/>
    <x v="0"/>
  </r>
  <r>
    <n v="72707"/>
    <x v="59"/>
    <s v="MPR"/>
    <x v="0"/>
    <n v="50026357"/>
    <s v="MARTELETE VONDER"/>
    <n v="1"/>
    <s v="REALIZADO"/>
    <s v="BRUNO"/>
    <x v="15"/>
    <x v="0"/>
    <x v="0"/>
  </r>
  <r>
    <n v="76239"/>
    <x v="19"/>
    <s v="REFRIG"/>
    <x v="0"/>
    <n v="50037907"/>
    <s v="REBITADEIRA MANUAL KJ29 - MALETA 2"/>
    <n v="1"/>
    <s v="REALIZADO"/>
    <s v="BRUNO"/>
    <x v="15"/>
    <x v="0"/>
    <x v="0"/>
  </r>
  <r>
    <n v="76239"/>
    <x v="19"/>
    <s v="REFRIG"/>
    <x v="0"/>
    <n v="50041195"/>
    <s v="PARAFUSADEIRA FUR DE IMPACTO BRUSHLESS"/>
    <n v="1"/>
    <s v="REALIZADO"/>
    <s v="BRUNO"/>
    <x v="15"/>
    <x v="2"/>
    <x v="0"/>
  </r>
  <r>
    <n v="72707"/>
    <x v="59"/>
    <s v="MPR"/>
    <x v="0"/>
    <n v="50026357"/>
    <s v="MARTELETE VONDER"/>
    <n v="1"/>
    <s v="REALIZADO"/>
    <s v="BRUNO"/>
    <x v="15"/>
    <x v="2"/>
    <x v="0"/>
  </r>
  <r>
    <n v="61264"/>
    <x v="10"/>
    <s v="MMG"/>
    <x v="0"/>
    <n v="50036255"/>
    <s v="CHAVE DE IMPACTO 1/2&quot; 20V"/>
    <n v="1"/>
    <s v="REALIZADO"/>
    <s v="BRUNO"/>
    <x v="15"/>
    <x v="2"/>
    <x v="0"/>
  </r>
  <r>
    <n v="62137"/>
    <x v="43"/>
    <s v="MME"/>
    <x v="2"/>
    <n v="50038841"/>
    <s v="LIXADEIRA BOSCH 4"/>
    <n v="1"/>
    <s v="REALIZADO"/>
    <s v="BRUNO"/>
    <x v="15"/>
    <x v="2"/>
    <x v="0"/>
  </r>
  <r>
    <n v="79177"/>
    <x v="28"/>
    <s v="MMG"/>
    <x v="0"/>
    <n v="50037892"/>
    <s v="LIXADEIRA BOSCH 2"/>
    <n v="1"/>
    <s v="REALIZADO"/>
    <s v="BRUNO"/>
    <x v="15"/>
    <x v="2"/>
    <x v="0"/>
  </r>
  <r>
    <n v="79177"/>
    <x v="28"/>
    <s v="MMG"/>
    <x v="0"/>
    <n v="50039065"/>
    <s v="MAQUINA SOLDA TIG"/>
    <n v="1"/>
    <s v="REALIZADO"/>
    <s v="BRUNO"/>
    <x v="15"/>
    <x v="2"/>
    <x v="0"/>
  </r>
  <r>
    <n v="77521"/>
    <x v="5"/>
    <s v="MME"/>
    <x v="0"/>
    <n v="50003297"/>
    <s v="FURADEIRA DE IMPACTO MAKITA 02"/>
    <n v="1"/>
    <s v="REALIZADO"/>
    <s v="BRUNO"/>
    <x v="15"/>
    <x v="2"/>
    <x v="0"/>
  </r>
  <r>
    <n v="69510"/>
    <x v="7"/>
    <s v="MEE"/>
    <x v="0"/>
    <n v="50029865"/>
    <s v="JOGO DE BROCAS ACO RAPIDO"/>
    <n v="1"/>
    <s v="REALIZADO"/>
    <s v="BRUNO"/>
    <x v="15"/>
    <x v="2"/>
    <x v="0"/>
  </r>
  <r>
    <n v="69510"/>
    <x v="7"/>
    <s v="MEE"/>
    <x v="0"/>
    <n v="50043471"/>
    <s v="FURADEIRA BOSCH 7"/>
    <n v="1"/>
    <s v="REALIZADO"/>
    <s v="BRUNO"/>
    <x v="15"/>
    <x v="0"/>
    <x v="0"/>
  </r>
  <r>
    <n v="75424"/>
    <x v="39"/>
    <s v="MME"/>
    <x v="2"/>
    <n v="50038841"/>
    <s v="LIXADEIRA BOSCH 4"/>
    <n v="1"/>
    <s v="REALIZADO"/>
    <s v="BRUNO"/>
    <x v="15"/>
    <x v="0"/>
    <x v="0"/>
  </r>
  <r>
    <n v="78675"/>
    <x v="12"/>
    <s v="MME"/>
    <x v="2"/>
    <n v="50010031"/>
    <s v=" LIXADEIRA BOSCH 6"/>
    <n v="1"/>
    <s v="REALIZADO"/>
    <s v="BRUNO"/>
    <x v="15"/>
    <x v="2"/>
    <x v="0"/>
  </r>
  <r>
    <n v="75424"/>
    <x v="39"/>
    <s v="MME"/>
    <x v="2"/>
    <n v="50038841"/>
    <s v="LIXADEIRA BOSCH 4"/>
    <n v="1"/>
    <s v="REALIZADO"/>
    <s v="BRUNO"/>
    <x v="15"/>
    <x v="2"/>
    <x v="0"/>
  </r>
  <r>
    <n v="68760"/>
    <x v="15"/>
    <s v="MMG"/>
    <x v="0"/>
    <n v="50037902"/>
    <s v="LIXADEIRA BOSCH 3"/>
    <n v="1"/>
    <s v="REALIZADO"/>
    <s v="BRUNO"/>
    <x v="15"/>
    <x v="2"/>
    <x v="0"/>
  </r>
  <r>
    <n v="78675"/>
    <x v="12"/>
    <s v="MME"/>
    <x v="2"/>
    <n v="50010031"/>
    <s v=" LIXADEIRA BOSCH 6"/>
    <n v="1"/>
    <s v="REALIZADO"/>
    <s v="BRUNO"/>
    <x v="15"/>
    <x v="2"/>
    <x v="0"/>
  </r>
  <r>
    <n v="77521"/>
    <x v="5"/>
    <s v="MME"/>
    <x v="0"/>
    <n v="50036291"/>
    <s v="CHAVE GANCHO 52 A 55MM"/>
    <n v="1"/>
    <s v="REALIZADO"/>
    <s v="BRUNO"/>
    <x v="15"/>
    <x v="2"/>
    <x v="0"/>
  </r>
  <r>
    <n v="76239"/>
    <x v="19"/>
    <s v="REFRIG"/>
    <x v="0"/>
    <n v="50037907"/>
    <s v="REBITADEIRA MANUAL KJ29 - MALETA 2"/>
    <n v="1"/>
    <s v="REALIZADO"/>
    <s v="BRUNO"/>
    <x v="15"/>
    <x v="2"/>
    <x v="0"/>
  </r>
  <r>
    <n v="76239"/>
    <x v="19"/>
    <s v="REFRIG"/>
    <x v="0"/>
    <n v="50041195"/>
    <s v="PARAFUSADEIRA FUR DE IMPACTO BRUSHLESS"/>
    <n v="1"/>
    <s v="REALIZADO"/>
    <s v="BRUNO"/>
    <x v="15"/>
    <x v="2"/>
    <x v="0"/>
  </r>
  <r>
    <n v="62180"/>
    <x v="18"/>
    <s v="MMG"/>
    <x v="0"/>
    <n v="50039718"/>
    <s v="ESCALA DE ACO 1000MM VONDER "/>
    <n v="1"/>
    <s v="REALIZADO"/>
    <s v="BRUNO"/>
    <x v="15"/>
    <x v="0"/>
    <x v="0"/>
  </r>
  <r>
    <n v="77521"/>
    <x v="5"/>
    <s v="MME"/>
    <x v="0"/>
    <n v="50010031"/>
    <s v=" LIXADEIRA BOSCH 6"/>
    <n v="1"/>
    <s v="NÃO REALIZADO"/>
    <s v="KELLY"/>
    <x v="16"/>
    <x v="0"/>
    <x v="0"/>
  </r>
  <r>
    <n v="66790"/>
    <x v="60"/>
    <s v="MMG"/>
    <x v="3"/>
    <n v="50041195"/>
    <s v="PARAFUSADEIRA FUR DE IMPACTO BRUSHLESS"/>
    <n v="1"/>
    <s v="REALIZADO"/>
    <s v="KELLY"/>
    <x v="16"/>
    <x v="0"/>
    <x v="0"/>
  </r>
  <r>
    <n v="73336"/>
    <x v="29"/>
    <s v="MMG"/>
    <x v="0"/>
    <n v="50037933"/>
    <s v="TERMOMETRO"/>
    <n v="1"/>
    <s v="REALIZADO"/>
    <s v="KELLY"/>
    <x v="16"/>
    <x v="2"/>
    <x v="0"/>
  </r>
  <r>
    <n v="66790"/>
    <x v="60"/>
    <s v="MMG"/>
    <x v="3"/>
    <n v="50041195"/>
    <s v="PARAFUSADEIRA FUR DE IMPACTO BRUSHLESS"/>
    <n v="1"/>
    <s v="REALIZADO"/>
    <s v="KELLY"/>
    <x v="16"/>
    <x v="0"/>
    <x v="0"/>
  </r>
  <r>
    <n v="68430"/>
    <x v="61"/>
    <s v="MEE"/>
    <x v="2"/>
    <n v="50003297"/>
    <s v="FURADEIRA DE IMPACTO MAKITA 02"/>
    <n v="1"/>
    <s v="REALIZADO"/>
    <s v="KELLY"/>
    <x v="16"/>
    <x v="0"/>
    <x v="0"/>
  </r>
  <r>
    <n v="66790"/>
    <x v="60"/>
    <s v="MMG"/>
    <x v="3"/>
    <n v="50037922"/>
    <s v="CHAVE DE BOCA MANUAL"/>
    <n v="1"/>
    <s v="REALIZADO"/>
    <s v="KELLY"/>
    <x v="16"/>
    <x v="0"/>
    <x v="0"/>
  </r>
  <r>
    <n v="73336"/>
    <x v="29"/>
    <s v="MMG"/>
    <x v="0"/>
    <n v="50037905"/>
    <s v="ESTETOSCÓPIO SKF"/>
    <n v="1"/>
    <s v="REALIZADO"/>
    <s v="KELLY"/>
    <x v="16"/>
    <x v="0"/>
    <x v="0"/>
  </r>
  <r>
    <n v="73878"/>
    <x v="20"/>
    <s v="MMG"/>
    <x v="0"/>
    <n v="50038841"/>
    <s v="LIXADEIRA BOSCH 4"/>
    <n v="1"/>
    <s v="REALIZADO"/>
    <s v="KELLY"/>
    <x v="16"/>
    <x v="0"/>
    <x v="0"/>
  </r>
  <r>
    <n v="73878"/>
    <x v="20"/>
    <s v="MMG"/>
    <x v="0"/>
    <n v="50039065"/>
    <s v="MAQUINA SOLDA TIG"/>
    <n v="1"/>
    <s v="REALIZADO"/>
    <s v="KELLY"/>
    <x v="16"/>
    <x v="0"/>
    <x v="0"/>
  </r>
  <r>
    <n v="76633"/>
    <x v="62"/>
    <s v="MMG"/>
    <x v="2"/>
    <n v="50039065"/>
    <s v="MAQUINA SOLDA TIG"/>
    <n v="1"/>
    <s v="REALIZADO"/>
    <s v="KELLY"/>
    <x v="16"/>
    <x v="0"/>
    <x v="0"/>
  </r>
  <r>
    <n v="77521"/>
    <x v="5"/>
    <s v="MME"/>
    <x v="0"/>
    <n v="50036293"/>
    <s v="CHAVE GANCHO 68 A 75MM"/>
    <n v="1"/>
    <s v="REALIZADO"/>
    <s v="KELLY"/>
    <x v="16"/>
    <x v="0"/>
    <x v="0"/>
  </r>
  <r>
    <n v="78675"/>
    <x v="12"/>
    <s v="MME"/>
    <x v="2"/>
    <n v="50030486"/>
    <s v="FURADEIRA BOSCH 3"/>
    <n v="1"/>
    <s v="REALIZADO"/>
    <s v="KELLY"/>
    <x v="16"/>
    <x v="0"/>
    <x v="0"/>
  </r>
  <r>
    <n v="68708"/>
    <x v="13"/>
    <s v="MMG"/>
    <x v="0"/>
    <n v="50038549"/>
    <s v="JOGO SOQUETE ESTRIADOS 1/2 22PEÇ"/>
    <n v="1"/>
    <s v="REALIZADO"/>
    <s v="KELLY"/>
    <x v="16"/>
    <x v="0"/>
    <x v="0"/>
  </r>
  <r>
    <n v="77521"/>
    <x v="5"/>
    <s v="MME"/>
    <x v="0"/>
    <n v="50003297"/>
    <s v="FURADEIRA DE IMPACTO MAKITA 02"/>
    <n v="1"/>
    <s v="REALIZADO"/>
    <s v="KELLY"/>
    <x v="16"/>
    <x v="0"/>
    <x v="0"/>
  </r>
  <r>
    <n v="68430"/>
    <x v="61"/>
    <s v="MEE"/>
    <x v="2"/>
    <n v="50043320"/>
    <s v="JOGO SERRA COPO 8PÇS"/>
    <n v="1"/>
    <s v="REALIZADO"/>
    <s v="GEOVANE"/>
    <x v="16"/>
    <x v="0"/>
    <x v="0"/>
  </r>
  <r>
    <n v="72715"/>
    <x v="26"/>
    <s v="MPR"/>
    <x v="0"/>
    <n v="50038844"/>
    <s v="NIVEL A LASER BOSCH GLL-2-12"/>
    <n v="1"/>
    <s v="REALIZADO"/>
    <s v="AGATHA"/>
    <x v="16"/>
    <x v="0"/>
    <x v="0"/>
  </r>
  <r>
    <n v="68710"/>
    <x v="63"/>
    <s v="MMG"/>
    <x v="0"/>
    <n v="50038956"/>
    <s v="LIXADEIRA BOSCH 1"/>
    <n v="1"/>
    <s v="REALIZADO"/>
    <s v="AGATHA"/>
    <x v="16"/>
    <x v="0"/>
    <x v="0"/>
  </r>
  <r>
    <n v="77526"/>
    <x v="37"/>
    <s v="MME"/>
    <x v="0"/>
    <n v="50037902"/>
    <s v="LIXADEIRA BOSCH 3"/>
    <n v="1"/>
    <s v="REALIZADO"/>
    <s v="AGATHA"/>
    <x v="16"/>
    <x v="0"/>
    <x v="0"/>
  </r>
  <r>
    <n v="76994"/>
    <x v="8"/>
    <s v="MEE"/>
    <x v="0"/>
    <n v="50041195"/>
    <s v="PARAFUSADEIRA FUR DE IMPACTO BRUSHLESS"/>
    <n v="1"/>
    <s v="REALIZADO"/>
    <s v="GEOVANE"/>
    <x v="16"/>
    <x v="2"/>
    <x v="0"/>
  </r>
  <r>
    <n v="76994"/>
    <x v="8"/>
    <s v="MEE"/>
    <x v="0"/>
    <n v="50041195"/>
    <s v="PARAFUSADEIRA FUR DE IMPACTO BRUSHLESS"/>
    <n v="1"/>
    <s v="REALIZADO"/>
    <s v="GEOVANE"/>
    <x v="16"/>
    <x v="2"/>
    <x v="0"/>
  </r>
  <r>
    <n v="73336"/>
    <x v="29"/>
    <s v="MMG"/>
    <x v="0"/>
    <n v="50037905"/>
    <s v="ESTETOSCÓPIO SKF"/>
    <n v="1"/>
    <s v="REALIZADO"/>
    <s v="GEOVANE"/>
    <x v="16"/>
    <x v="2"/>
    <x v="0"/>
  </r>
  <r>
    <n v="73336"/>
    <x v="29"/>
    <s v="MMG"/>
    <x v="0"/>
    <n v="50037933"/>
    <s v="TERMOMETRO"/>
    <n v="1"/>
    <s v="REALIZADO"/>
    <s v="GEOVANE"/>
    <x v="16"/>
    <x v="2"/>
    <x v="0"/>
  </r>
  <r>
    <n v="73878"/>
    <x v="20"/>
    <s v="MMG"/>
    <x v="0"/>
    <n v="50038841"/>
    <s v="LIXADEIRA BOSCH 4"/>
    <n v="1"/>
    <s v="REALIZADO"/>
    <s v="GEOVANE"/>
    <x v="16"/>
    <x v="2"/>
    <x v="0"/>
  </r>
  <r>
    <n v="73878"/>
    <x v="20"/>
    <s v="MMG"/>
    <x v="0"/>
    <n v="50039065"/>
    <s v="MAQUINA SOLDA TIG"/>
    <n v="1"/>
    <s v="REALIZADO"/>
    <s v="GEOVANE"/>
    <x v="16"/>
    <x v="2"/>
    <x v="0"/>
  </r>
  <r>
    <n v="66790"/>
    <x v="60"/>
    <s v="MMG"/>
    <x v="3"/>
    <n v="50037922"/>
    <s v="CHAVE DE BOCA MANUAL"/>
    <n v="1"/>
    <s v="REALIZADO"/>
    <s v="JOÃO FRANCISCO"/>
    <x v="16"/>
    <x v="0"/>
    <x v="0"/>
  </r>
  <r>
    <n v="78886"/>
    <x v="51"/>
    <s v="MME"/>
    <x v="0"/>
    <n v="50043471"/>
    <s v="FURADEIRA BOSCH 7"/>
    <n v="1"/>
    <s v="REALIZADO"/>
    <s v="AGATHA"/>
    <x v="16"/>
    <x v="0"/>
    <x v="0"/>
  </r>
  <r>
    <n v="78886"/>
    <x v="51"/>
    <s v="MME"/>
    <x v="0"/>
    <n v="50037892"/>
    <s v="LIXADEIRA BOSCH 2"/>
    <n v="1"/>
    <s v="REALIZADO"/>
    <s v="AGATHA"/>
    <x v="16"/>
    <x v="0"/>
    <x v="0"/>
  </r>
  <r>
    <n v="78886"/>
    <x v="51"/>
    <s v="MME"/>
    <x v="0"/>
    <n v="50041195"/>
    <s v="PARAFUSADEIRA FUR DE IMPACTO BRUSHLESS"/>
    <n v="1"/>
    <s v="REALIZADO"/>
    <s v="AGATHA"/>
    <x v="16"/>
    <x v="2"/>
    <x v="0"/>
  </r>
  <r>
    <n v="77521"/>
    <x v="5"/>
    <s v="MME"/>
    <x v="0"/>
    <n v="50036293"/>
    <s v="CHAVE GANCHO 68 A 75MM"/>
    <n v="1"/>
    <s v="REALIZADO"/>
    <s v="AGATHA"/>
    <x v="16"/>
    <x v="2"/>
    <x v="0"/>
  </r>
  <r>
    <n v="68710"/>
    <x v="63"/>
    <s v="MMG"/>
    <x v="0"/>
    <n v="50038956"/>
    <s v="LIXADEIRA BOSCH 1"/>
    <n v="1"/>
    <s v="REALIZADO"/>
    <s v="AGATHA"/>
    <x v="16"/>
    <x v="2"/>
    <x v="0"/>
  </r>
  <r>
    <n v="77526"/>
    <x v="37"/>
    <s v="MME"/>
    <x v="0"/>
    <n v="50037902"/>
    <s v="LIXADEIRA BOSCH 3"/>
    <n v="1"/>
    <s v="REALIZADO"/>
    <s v="MATHEUS"/>
    <x v="16"/>
    <x v="0"/>
    <x v="0"/>
  </r>
  <r>
    <n v="76633"/>
    <x v="62"/>
    <s v="MMG"/>
    <x v="2"/>
    <n v="50038517"/>
    <s v="LIXADEIRA BOSCH 5"/>
    <n v="1"/>
    <s v="REALIZADO"/>
    <s v="MATHEUS"/>
    <x v="16"/>
    <x v="2"/>
    <x v="0"/>
  </r>
  <r>
    <n v="76633"/>
    <x v="62"/>
    <s v="MMG"/>
    <x v="2"/>
    <n v="50038517"/>
    <s v="LIXADEIRA BOSCH 5"/>
    <n v="1"/>
    <s v="REALIZADO"/>
    <s v="MATHEUS"/>
    <x v="16"/>
    <x v="2"/>
    <x v="0"/>
  </r>
  <r>
    <n v="77521"/>
    <x v="5"/>
    <s v="MME"/>
    <x v="0"/>
    <n v="50010031"/>
    <s v=" LIXADEIRA BOSCH 6"/>
    <n v="1"/>
    <s v="REALIZADO"/>
    <s v="MATHEUS"/>
    <x v="16"/>
    <x v="2"/>
    <x v="0"/>
  </r>
  <r>
    <n v="76633"/>
    <x v="62"/>
    <s v="MMG"/>
    <x v="2"/>
    <n v="50039065"/>
    <s v="MAQUINA SOLDA TIG"/>
    <n v="1"/>
    <s v="REALIZADO"/>
    <s v="MATHEUS"/>
    <x v="16"/>
    <x v="2"/>
    <x v="0"/>
  </r>
  <r>
    <n v="72715"/>
    <x v="26"/>
    <s v="MPR"/>
    <x v="0"/>
    <n v="50038844"/>
    <s v="NIVEL A LASER BOSCH GLL-2-12"/>
    <n v="1"/>
    <s v="REALIZADO"/>
    <s v="MATHEUS"/>
    <x v="16"/>
    <x v="2"/>
    <x v="0"/>
  </r>
  <r>
    <n v="68430"/>
    <x v="61"/>
    <s v="MEE"/>
    <x v="2"/>
    <n v="50003297"/>
    <s v="FURADEIRA DE IMPACTO MAKITA 02"/>
    <n v="1"/>
    <s v="REALIZADO"/>
    <s v="MATHEUS"/>
    <x v="16"/>
    <x v="2"/>
    <x v="0"/>
  </r>
  <r>
    <n v="68430"/>
    <x v="61"/>
    <s v="MEE"/>
    <x v="2"/>
    <n v="50043320"/>
    <s v="JOGO SERRA COPO 8PÇS"/>
    <n v="1"/>
    <s v="REALIZADO"/>
    <s v="MATHEUS"/>
    <x v="16"/>
    <x v="2"/>
    <x v="0"/>
  </r>
  <r>
    <n v="68708"/>
    <x v="13"/>
    <s v="MMG"/>
    <x v="0"/>
    <n v="50038549"/>
    <s v="JOGO SOQUETE ESTRIADOS 1/2 22PEÇ"/>
    <n v="1"/>
    <s v="REALIZADO"/>
    <s v="MATHEUS"/>
    <x v="16"/>
    <x v="2"/>
    <x v="0"/>
  </r>
  <r>
    <n v="78675"/>
    <x v="12"/>
    <s v="MME"/>
    <x v="2"/>
    <n v="50030486"/>
    <s v="FURADEIRA BOSCH 3"/>
    <n v="1"/>
    <s v="REALIZADO"/>
    <s v="MATHEUS"/>
    <x v="16"/>
    <x v="2"/>
    <x v="0"/>
  </r>
  <r>
    <n v="78886"/>
    <x v="51"/>
    <s v="MME"/>
    <x v="0"/>
    <n v="50043471"/>
    <s v="FURADEIRA BOSCH 7"/>
    <n v="1"/>
    <s v="REALIZADO"/>
    <s v="MATHEUS"/>
    <x v="16"/>
    <x v="2"/>
    <x v="0"/>
  </r>
  <r>
    <n v="78886"/>
    <x v="51"/>
    <s v="MME"/>
    <x v="0"/>
    <n v="50037892"/>
    <s v="LIXADEIRA BOSCH 2"/>
    <n v="1"/>
    <s v="REALIZADO"/>
    <s v="MATHEUS"/>
    <x v="16"/>
    <x v="2"/>
    <x v="0"/>
  </r>
  <r>
    <n v="78886"/>
    <x v="51"/>
    <s v="MME"/>
    <x v="0"/>
    <n v="50041195"/>
    <s v="PARAFUSADEIRA FUR DE IMPACTO BRUSHLESS"/>
    <n v="1"/>
    <s v="REALIZADO"/>
    <s v="MATHEUS"/>
    <x v="16"/>
    <x v="0"/>
    <x v="0"/>
  </r>
  <r>
    <n v="78886"/>
    <x v="51"/>
    <s v="MME"/>
    <x v="0"/>
    <n v="50043471"/>
    <s v="FURADEIRA BOSCH 7"/>
    <n v="1"/>
    <s v="REALIZADO"/>
    <s v="AGATHA"/>
    <x v="17"/>
    <x v="0"/>
    <x v="0"/>
  </r>
  <r>
    <n v="62033"/>
    <x v="22"/>
    <s v="MME"/>
    <x v="3"/>
    <n v="50038841"/>
    <s v="LIXADEIRA BOSCH 4"/>
    <n v="1"/>
    <s v="REALIZADO"/>
    <s v="AGATHA"/>
    <x v="17"/>
    <x v="0"/>
    <x v="0"/>
  </r>
  <r>
    <n v="62033"/>
    <x v="22"/>
    <s v="MME"/>
    <x v="3"/>
    <n v="50038517"/>
    <s v="LIXADEIRA BOSCH 5"/>
    <n v="1"/>
    <s v="REALIZADO"/>
    <s v="AGATHA"/>
    <x v="17"/>
    <x v="0"/>
    <x v="0"/>
  </r>
  <r>
    <n v="78886"/>
    <x v="51"/>
    <s v="MME"/>
    <x v="0"/>
    <n v="50041195"/>
    <s v="PARAFUSADEIRA FUR DE IMPACTO BRUSHLESS"/>
    <n v="1"/>
    <s v="REALIZADO"/>
    <s v="AGATHA"/>
    <x v="17"/>
    <x v="0"/>
    <x v="0"/>
  </r>
  <r>
    <n v="77526"/>
    <x v="37"/>
    <s v="MME"/>
    <x v="0"/>
    <n v="50038195"/>
    <s v="SERRA TICO TICO BOSCH S/MALETA"/>
    <n v="1"/>
    <s v="REALIZADO"/>
    <s v="AGATHA"/>
    <x v="17"/>
    <x v="0"/>
    <x v="0"/>
  </r>
  <r>
    <n v="77526"/>
    <x v="37"/>
    <s v="MME"/>
    <x v="0"/>
    <n v="50037892"/>
    <s v="LIXADEIRA BOSCH 2"/>
    <n v="1"/>
    <s v="REALIZADO"/>
    <s v="AGATHA"/>
    <x v="17"/>
    <x v="0"/>
    <x v="0"/>
  </r>
  <r>
    <n v="65223"/>
    <x v="38"/>
    <s v="MEE"/>
    <x v="3"/>
    <n v="50044003"/>
    <s v="CÂMERA TERMOGRAFICA FLIR"/>
    <n v="1"/>
    <s v="REALIZADO"/>
    <s v="AGATHA"/>
    <x v="17"/>
    <x v="0"/>
    <x v="0"/>
  </r>
  <r>
    <n v="77594"/>
    <x v="23"/>
    <s v="MME"/>
    <x v="0"/>
    <n v="50032781"/>
    <s v="SERRA TICO TICO 650W DEWALT "/>
    <n v="1"/>
    <s v="REALIZADO"/>
    <s v="AGATHA"/>
    <x v="17"/>
    <x v="0"/>
    <x v="0"/>
  </r>
  <r>
    <n v="68708"/>
    <x v="13"/>
    <s v="MMG"/>
    <x v="0"/>
    <n v="50022878"/>
    <s v="KIT MONTAGEM ROLAMENTO SKF"/>
    <n v="1"/>
    <s v="REALIZADO"/>
    <s v="AGATHA"/>
    <x v="17"/>
    <x v="2"/>
    <x v="0"/>
  </r>
  <r>
    <n v="68708"/>
    <x v="13"/>
    <s v="MMG"/>
    <x v="0"/>
    <n v="50022878"/>
    <s v="KIT MONTAGEM ROLAMENTO SKF"/>
    <n v="1"/>
    <s v="REALIZADO"/>
    <s v="AGATHA"/>
    <x v="17"/>
    <x v="2"/>
    <x v="0"/>
  </r>
  <r>
    <n v="77594"/>
    <x v="23"/>
    <s v="MME"/>
    <x v="0"/>
    <n v="50032781"/>
    <s v="SERRA TICO TICO 650W DEWALT "/>
    <n v="1"/>
    <s v="REALIZADO"/>
    <s v="AGATHA"/>
    <x v="17"/>
    <x v="2"/>
    <x v="0"/>
  </r>
  <r>
    <n v="76995"/>
    <x v="49"/>
    <s v="MEE"/>
    <x v="0"/>
    <n v="50036280"/>
    <s v="FURADEIRA BOSCH 2"/>
    <n v="1"/>
    <s v="REALIZADO"/>
    <s v="AGATHA"/>
    <x v="17"/>
    <x v="2"/>
    <x v="0"/>
  </r>
  <r>
    <n v="78886"/>
    <x v="51"/>
    <s v="MME"/>
    <x v="0"/>
    <n v="50043471"/>
    <s v="FURADEIRA BOSCH 7"/>
    <n v="1"/>
    <s v="REALIZADO"/>
    <s v="AGATHA"/>
    <x v="17"/>
    <x v="2"/>
    <x v="0"/>
  </r>
  <r>
    <n v="78886"/>
    <x v="51"/>
    <s v="MME"/>
    <x v="0"/>
    <n v="50041195"/>
    <s v="PARAFUSADEIRA FUR DE IMPACTO BRUSHLESS"/>
    <n v="1"/>
    <s v="REALIZADO"/>
    <s v="AGATHA"/>
    <x v="17"/>
    <x v="2"/>
    <x v="0"/>
  </r>
  <r>
    <n v="62033"/>
    <x v="22"/>
    <s v="MME"/>
    <x v="3"/>
    <n v="50038841"/>
    <s v="LIXADEIRA BOSCH 4"/>
    <n v="1"/>
    <s v="REALIZADO"/>
    <s v="JOÃO FRANCISCO"/>
    <x v="17"/>
    <x v="2"/>
    <x v="0"/>
  </r>
  <r>
    <n v="62033"/>
    <x v="22"/>
    <s v="MME"/>
    <x v="3"/>
    <n v="50038517"/>
    <s v="LIXADEIRA BOSCH 5"/>
    <n v="1"/>
    <s v="REALIZADO"/>
    <s v="JOÃO FRANCISCO"/>
    <x v="17"/>
    <x v="2"/>
    <x v="0"/>
  </r>
  <r>
    <n v="77526"/>
    <x v="37"/>
    <s v="MME"/>
    <x v="0"/>
    <n v="50038195"/>
    <s v="SERRA TICO TICO BOSCH S/MALETA"/>
    <n v="1"/>
    <s v="REALIZADO"/>
    <s v="JOÃO FRANCISCO"/>
    <x v="17"/>
    <x v="0"/>
    <x v="0"/>
  </r>
  <r>
    <n v="77521"/>
    <x v="5"/>
    <s v="MME"/>
    <x v="0"/>
    <n v="50038517"/>
    <s v="LIXADEIRA BOSCH 5"/>
    <n v="1"/>
    <s v="REALIZADO"/>
    <s v="AGATHA"/>
    <x v="17"/>
    <x v="0"/>
    <x v="0"/>
  </r>
  <r>
    <n v="76239"/>
    <x v="19"/>
    <s v="REFRIG"/>
    <x v="0"/>
    <n v="50037906"/>
    <s v="REBITADEIRA MANUAL KJ29 - MALETA 1"/>
    <n v="1"/>
    <s v="REALIZADO"/>
    <s v="AGATHA"/>
    <x v="17"/>
    <x v="0"/>
    <x v="0"/>
  </r>
  <r>
    <n v="76239"/>
    <x v="19"/>
    <s v="REFRIG"/>
    <x v="0"/>
    <n v="50041195"/>
    <s v="PARAFUSADEIRA FUR DE IMPACTO BRUSHLESS"/>
    <n v="1"/>
    <s v="REALIZADO"/>
    <s v="AGATHA"/>
    <x v="17"/>
    <x v="2"/>
    <x v="0"/>
  </r>
  <r>
    <n v="77526"/>
    <x v="37"/>
    <s v="MME"/>
    <x v="0"/>
    <n v="50037892"/>
    <s v="LIXADEIRA BOSCH 2"/>
    <n v="1"/>
    <s v="REALIZADO"/>
    <s v="BRUNO"/>
    <x v="17"/>
    <x v="0"/>
    <x v="0"/>
  </r>
  <r>
    <n v="71850"/>
    <x v="14"/>
    <s v="MMG"/>
    <x v="0"/>
    <n v="50022878"/>
    <s v="KIT MONTAGEM ROLAMENTO SKF"/>
    <n v="1"/>
    <s v="REALIZADO"/>
    <s v="BRUNO"/>
    <x v="17"/>
    <x v="2"/>
    <x v="0"/>
  </r>
  <r>
    <n v="65223"/>
    <x v="38"/>
    <s v="MEE"/>
    <x v="3"/>
    <n v="50044003"/>
    <s v="CÂMERA TERMOGRAFICA FLIR"/>
    <n v="1"/>
    <s v="REALIZADO"/>
    <s v="BRUNO"/>
    <x v="17"/>
    <x v="0"/>
    <x v="0"/>
  </r>
  <r>
    <n v="68701"/>
    <x v="50"/>
    <s v="MEE"/>
    <x v="2"/>
    <n v="50044003"/>
    <s v="CÂMERA TERMOGRAFICA FLIR"/>
    <n v="1"/>
    <s v="REALIZADO"/>
    <s v="BRUNO"/>
    <x v="17"/>
    <x v="2"/>
    <x v="0"/>
  </r>
  <r>
    <n v="71850"/>
    <x v="14"/>
    <s v="MMG"/>
    <x v="0"/>
    <n v="50022878"/>
    <s v="KIT MONTAGEM ROLAMENTO SKF"/>
    <n v="1"/>
    <s v="REALIZADO"/>
    <s v="BRUNO"/>
    <x v="17"/>
    <x v="2"/>
    <x v="0"/>
  </r>
  <r>
    <n v="76239"/>
    <x v="19"/>
    <s v="REFRIG"/>
    <x v="0"/>
    <n v="50037906"/>
    <s v="REBITADEIRA MANUAL KJ29 - MALETA 1"/>
    <n v="1"/>
    <s v="REALIZADO"/>
    <s v="BRUNO"/>
    <x v="17"/>
    <x v="2"/>
    <x v="0"/>
  </r>
  <r>
    <n v="76239"/>
    <x v="19"/>
    <s v="REFRIG"/>
    <x v="0"/>
    <n v="50041195"/>
    <s v="PARAFUSADEIRA FUR DE IMPACTO BRUSHLESS"/>
    <n v="1"/>
    <s v="REALIZADO"/>
    <s v="BRUNO"/>
    <x v="17"/>
    <x v="2"/>
    <x v="0"/>
  </r>
  <r>
    <n v="77521"/>
    <x v="5"/>
    <s v="MME"/>
    <x v="0"/>
    <n v="50038517"/>
    <s v="LIXADEIRA BOSCH 5"/>
    <n v="1"/>
    <s v="REALIZADO"/>
    <s v="BRUNO"/>
    <x v="17"/>
    <x v="2"/>
    <x v="0"/>
  </r>
  <r>
    <n v="68701"/>
    <x v="50"/>
    <s v="MEE"/>
    <x v="2"/>
    <n v="50044003"/>
    <s v="CÂMERA TERMOGRAFICA FLIR"/>
    <n v="1"/>
    <s v="REALIZADO"/>
    <s v="BRUNO"/>
    <x v="17"/>
    <x v="0"/>
    <x v="0"/>
  </r>
  <r>
    <n v="65131"/>
    <x v="41"/>
    <s v="MMG"/>
    <x v="3"/>
    <n v="50036279"/>
    <s v="CHAVE GRIFO 36"/>
    <n v="1"/>
    <s v="REALIZADO"/>
    <s v="BRUNO"/>
    <x v="17"/>
    <x v="0"/>
    <x v="5"/>
  </r>
  <r>
    <n v="65472"/>
    <x v="48"/>
    <s v="MMG"/>
    <x v="0"/>
    <n v="50041653"/>
    <s v="MICROMETRO INTERNO - EXTRUSORA"/>
    <n v="1"/>
    <s v="REALIZADO"/>
    <s v="KELLY"/>
    <x v="18"/>
    <x v="2"/>
    <x v="0"/>
  </r>
  <r>
    <n v="65131"/>
    <x v="41"/>
    <s v="MMG"/>
    <x v="3"/>
    <n v="50036279"/>
    <s v="CHAVE GRIFO 36"/>
    <n v="1"/>
    <s v="REALIZADO"/>
    <s v="KELLY"/>
    <x v="18"/>
    <x v="2"/>
    <x v="0"/>
  </r>
  <r>
    <n v="65472"/>
    <x v="48"/>
    <s v="MMG"/>
    <x v="0"/>
    <n v="50041653"/>
    <s v="MICROMETRO INTERNO - EXTRUSORA"/>
    <n v="1"/>
    <s v="REALIZADO"/>
    <s v="KELLY"/>
    <x v="18"/>
    <x v="0"/>
    <x v="0"/>
  </r>
  <r>
    <n v="65472"/>
    <x v="48"/>
    <s v="MMG"/>
    <x v="0"/>
    <n v="50037905"/>
    <s v="ESTETOSCÓPIO SKF"/>
    <n v="1"/>
    <s v="REALIZADO"/>
    <s v="KELLY"/>
    <x v="18"/>
    <x v="0"/>
    <x v="0"/>
  </r>
  <r>
    <n v="78678"/>
    <x v="0"/>
    <s v="MME"/>
    <x v="0"/>
    <n v="50038956"/>
    <s v="LIXADEIRA BOSCH 1"/>
    <n v="1"/>
    <s v="REALIZADO"/>
    <s v="KELLY"/>
    <x v="19"/>
    <x v="0"/>
    <x v="0"/>
  </r>
  <r>
    <n v="60115"/>
    <x v="34"/>
    <s v="MME"/>
    <x v="3"/>
    <n v="50038841"/>
    <s v="LIXADEIRA BOSCH 4"/>
    <n v="1"/>
    <s v="REALIZADO"/>
    <s v="KELLY"/>
    <x v="19"/>
    <x v="2"/>
    <x v="0"/>
  </r>
  <r>
    <n v="65472"/>
    <x v="48"/>
    <s v="MMG"/>
    <x v="0"/>
    <n v="50037905"/>
    <s v="ESTETOSCÓPIO SKF"/>
    <n v="1"/>
    <s v="REALIZADO"/>
    <s v="KELLY"/>
    <x v="19"/>
    <x v="2"/>
    <x v="0"/>
  </r>
  <r>
    <n v="78678"/>
    <x v="0"/>
    <s v="MME"/>
    <x v="0"/>
    <n v="50038956"/>
    <s v="LIXADEIRA BOSCH 1"/>
    <n v="1"/>
    <s v="REALIZADO"/>
    <s v="KELLY"/>
    <x v="19"/>
    <x v="2"/>
    <x v="0"/>
  </r>
  <r>
    <n v="60115"/>
    <x v="34"/>
    <s v="MME"/>
    <x v="3"/>
    <n v="50038841"/>
    <s v="LIXADEIRA BOSCH 4"/>
    <n v="1"/>
    <s v="REALIZADO"/>
    <s v="KELLY"/>
    <x v="19"/>
    <x v="2"/>
    <x v="0"/>
  </r>
  <r>
    <n v="63399"/>
    <x v="32"/>
    <s v="MPR"/>
    <x v="0"/>
    <n v="50043917"/>
    <s v="PARAFUSADEIRA FURADEIRA BOSCH"/>
    <n v="1"/>
    <s v="REALIZADO"/>
    <s v="KELLY"/>
    <x v="20"/>
    <x v="0"/>
    <x v="0"/>
  </r>
  <r>
    <n v="65472"/>
    <x v="48"/>
    <s v="MMG"/>
    <x v="0"/>
    <n v="50037905"/>
    <s v="ESTETOSCÓPIO SKF"/>
    <n v="1"/>
    <s v="REALIZADO"/>
    <s v="KELLY"/>
    <x v="20"/>
    <x v="2"/>
    <x v="0"/>
  </r>
  <r>
    <n v="65472"/>
    <x v="48"/>
    <s v="MMG"/>
    <x v="0"/>
    <n v="50037905"/>
    <s v="ESTETOSCÓPIO SKF"/>
    <n v="1"/>
    <s v="REALIZADO"/>
    <s v="KELLY"/>
    <x v="20"/>
    <x v="0"/>
    <x v="0"/>
  </r>
  <r>
    <n v="77594"/>
    <x v="23"/>
    <s v="MME"/>
    <x v="0"/>
    <n v="50038956"/>
    <s v="LIXADEIRA BOSCH 1"/>
    <n v="1"/>
    <s v="REALIZADO"/>
    <s v="KELLY"/>
    <x v="20"/>
    <x v="0"/>
    <x v="0"/>
  </r>
  <r>
    <n v="61096"/>
    <x v="64"/>
    <s v="MME"/>
    <x v="0"/>
    <n v="50030486"/>
    <s v="FURADEIRA BOSCH 3"/>
    <n v="1"/>
    <s v="REALIZADO"/>
    <s v="KELLY"/>
    <x v="20"/>
    <x v="0"/>
    <x v="0"/>
  </r>
  <r>
    <n v="73878"/>
    <x v="20"/>
    <s v="MMG"/>
    <x v="0"/>
    <n v="50037905"/>
    <s v="ESTETOSCÓPIO SKF"/>
    <n v="1"/>
    <s v="REALIZADO"/>
    <s v="KELLY"/>
    <x v="20"/>
    <x v="0"/>
    <x v="0"/>
  </r>
  <r>
    <n v="63770"/>
    <x v="36"/>
    <s v="MMG"/>
    <x v="0"/>
    <n v="50043471"/>
    <s v="FURADEIRA BOSCH 7"/>
    <n v="1"/>
    <s v="REALIZADO"/>
    <s v="GEOVANE"/>
    <x v="20"/>
    <x v="0"/>
    <x v="0"/>
  </r>
  <r>
    <n v="77526"/>
    <x v="37"/>
    <s v="MME"/>
    <x v="0"/>
    <n v="50037892"/>
    <s v="LIXADEIRA BOSCH 2"/>
    <n v="1"/>
    <s v="REALIZADO"/>
    <s v="GEOVANE"/>
    <x v="20"/>
    <x v="0"/>
    <x v="0"/>
  </r>
  <r>
    <n v="70105"/>
    <x v="25"/>
    <s v="MMG"/>
    <x v="3"/>
    <n v="50037902"/>
    <s v="LIXADEIRA BOSCH 3"/>
    <n v="1"/>
    <s v="REALIZADO"/>
    <s v="GEOVANE"/>
    <x v="20"/>
    <x v="0"/>
    <x v="0"/>
  </r>
  <r>
    <n v="77521"/>
    <x v="5"/>
    <s v="MME"/>
    <x v="0"/>
    <n v="50036296"/>
    <s v="CHAVE AJUSTÁVEL 45MM"/>
    <n v="1"/>
    <s v="REALIZADO"/>
    <s v="GEOVANE"/>
    <x v="20"/>
    <x v="0"/>
    <x v="0"/>
  </r>
  <r>
    <n v="77521"/>
    <x v="5"/>
    <s v="MME"/>
    <x v="0"/>
    <n v="50036290"/>
    <s v="CHAVE GANCHO 45 A 50MM"/>
    <n v="1"/>
    <s v="REALIZADO"/>
    <s v="GEOVANE"/>
    <x v="20"/>
    <x v="0"/>
    <x v="0"/>
  </r>
  <r>
    <n v="77521"/>
    <x v="5"/>
    <s v="MME"/>
    <x v="0"/>
    <n v="50036293"/>
    <s v="CHAVE GANCHO 68 A 75MM"/>
    <n v="1"/>
    <s v="REALIZADO"/>
    <s v="GEOVANE"/>
    <x v="20"/>
    <x v="2"/>
    <x v="0"/>
  </r>
  <r>
    <n v="73878"/>
    <x v="20"/>
    <s v="MMG"/>
    <x v="0"/>
    <n v="50037905"/>
    <s v="ESTETOSCÓPIO SKF"/>
    <n v="1"/>
    <s v="REALIZADO"/>
    <s v="GEOVANE"/>
    <x v="20"/>
    <x v="2"/>
    <x v="0"/>
  </r>
  <r>
    <n v="70105"/>
    <x v="25"/>
    <s v="MMG"/>
    <x v="3"/>
    <n v="50037902"/>
    <s v="LIXADEIRA BOSCH 3"/>
    <n v="1"/>
    <s v="REALIZADO"/>
    <s v="GEOVANE"/>
    <x v="20"/>
    <x v="2"/>
    <x v="0"/>
  </r>
  <r>
    <n v="77526"/>
    <x v="37"/>
    <s v="MME"/>
    <x v="0"/>
    <n v="50037892"/>
    <s v="LIXADEIRA BOSCH 2"/>
    <n v="1"/>
    <s v="REALIZADO"/>
    <s v="GEOVANE"/>
    <x v="20"/>
    <x v="0"/>
    <x v="0"/>
  </r>
  <r>
    <n v="72707"/>
    <x v="59"/>
    <s v="MPR"/>
    <x v="0"/>
    <n v="50020623"/>
    <s v="REBITADOR MANUAL"/>
    <n v="1"/>
    <s v="REALIZADO"/>
    <s v="AGATHA"/>
    <x v="20"/>
    <x v="0"/>
    <x v="0"/>
  </r>
  <r>
    <n v="77594"/>
    <x v="23"/>
    <s v="MME"/>
    <x v="0"/>
    <n v="50041195"/>
    <s v="PARAFUSADEIRA FUR DE IMPACTO BRUSHLESS"/>
    <n v="1"/>
    <s v="REALIZADO"/>
    <s v="AGATHA"/>
    <x v="20"/>
    <x v="0"/>
    <x v="0"/>
  </r>
  <r>
    <n v="64253"/>
    <x v="16"/>
    <s v="MMG"/>
    <x v="0"/>
    <n v="50037892"/>
    <s v="LIXADEIRA BOSCH 2"/>
    <n v="1"/>
    <s v="REALIZADO"/>
    <s v="KELLY"/>
    <x v="20"/>
    <x v="2"/>
    <x v="0"/>
  </r>
  <r>
    <n v="64253"/>
    <x v="16"/>
    <s v="MMG"/>
    <x v="0"/>
    <n v="50037892"/>
    <s v="LIXADEIRA BOSCH 2"/>
    <n v="1"/>
    <s v="REALIZADO"/>
    <s v="KELLY"/>
    <x v="20"/>
    <x v="2"/>
    <x v="0"/>
  </r>
  <r>
    <n v="61096"/>
    <x v="64"/>
    <s v="MME"/>
    <x v="0"/>
    <n v="50030486"/>
    <s v="FURADEIRA BOSCH 3"/>
    <n v="1"/>
    <s v="REALIZADO"/>
    <s v="KELLY"/>
    <x v="20"/>
    <x v="2"/>
    <x v="0"/>
  </r>
  <r>
    <n v="77594"/>
    <x v="23"/>
    <s v="MME"/>
    <x v="0"/>
    <n v="50038956"/>
    <s v="LIXADEIRA BOSCH 1"/>
    <n v="1"/>
    <s v="REALIZADO"/>
    <s v="MATHEUS"/>
    <x v="20"/>
    <x v="0"/>
    <x v="0"/>
  </r>
  <r>
    <n v="65844"/>
    <x v="54"/>
    <s v="MMG"/>
    <x v="2"/>
    <n v="50037900"/>
    <s v="SOLDADOR POLYCODE"/>
    <n v="1"/>
    <s v="REALIZADO"/>
    <s v="MATHEUS"/>
    <x v="20"/>
    <x v="2"/>
    <x v="0"/>
  </r>
  <r>
    <n v="77521"/>
    <x v="5"/>
    <s v="MME"/>
    <x v="0"/>
    <n v="50036296"/>
    <s v="CHAVE AJUSTÁVEL 45MM"/>
    <n v="1"/>
    <s v="REALIZADO"/>
    <s v="MATHEUS"/>
    <x v="20"/>
    <x v="0"/>
    <x v="0"/>
  </r>
  <r>
    <n v="77594"/>
    <x v="23"/>
    <s v="MME"/>
    <x v="0"/>
    <n v="50032781"/>
    <s v="SERRA TICO TICO 650W DEWALT "/>
    <n v="1"/>
    <s v="REALIZADO"/>
    <s v="BRUNO"/>
    <x v="20"/>
    <x v="0"/>
    <x v="0"/>
  </r>
  <r>
    <n v="77594"/>
    <x v="23"/>
    <s v="MME"/>
    <x v="0"/>
    <n v="50038841"/>
    <s v="LIXADEIRA BOSCH 4"/>
    <n v="1"/>
    <s v="REALIZADO"/>
    <s v="BRUNO"/>
    <x v="20"/>
    <x v="2"/>
    <x v="0"/>
  </r>
  <r>
    <n v="77594"/>
    <x v="23"/>
    <s v="MME"/>
    <x v="0"/>
    <n v="50041195"/>
    <s v="PARAFUSADEIRA FUR DE IMPACTO BRUSHLESS"/>
    <n v="1"/>
    <s v="REALIZADO"/>
    <s v="BRUNO"/>
    <x v="20"/>
    <x v="0"/>
    <x v="0"/>
  </r>
  <r>
    <n v="96464"/>
    <x v="46"/>
    <s v="MEE"/>
    <x v="2"/>
    <n v="50029865"/>
    <s v="JOGO DE BROCAS ACO RAPIDO"/>
    <n v="1"/>
    <s v="REALIZADO"/>
    <s v="BRUNO"/>
    <x v="20"/>
    <x v="0"/>
    <x v="0"/>
  </r>
  <r>
    <n v="96464"/>
    <x v="46"/>
    <s v="MEE"/>
    <x v="2"/>
    <n v="50041195"/>
    <s v="PARAFUSADEIRA FUR DE IMPACTO BRUSHLESS"/>
    <n v="1"/>
    <s v="REALIZADO"/>
    <s v="BRUNO"/>
    <x v="20"/>
    <x v="0"/>
    <x v="0"/>
  </r>
  <r>
    <n v="76633"/>
    <x v="62"/>
    <s v="MMG"/>
    <x v="2"/>
    <n v="50003173"/>
    <s v="CHAVE GRIFO 24"/>
    <n v="1"/>
    <s v="REALIZADO"/>
    <s v="BRUNO"/>
    <x v="20"/>
    <x v="2"/>
    <x v="0"/>
  </r>
  <r>
    <n v="77594"/>
    <x v="23"/>
    <s v="MME"/>
    <x v="0"/>
    <n v="50038841"/>
    <s v="LIXADEIRA BOSCH 4"/>
    <n v="1"/>
    <s v="REALIZADO"/>
    <s v="BRUNO"/>
    <x v="20"/>
    <x v="2"/>
    <x v="0"/>
  </r>
  <r>
    <n v="77594"/>
    <x v="23"/>
    <s v="MME"/>
    <x v="0"/>
    <n v="50032781"/>
    <s v="SERRA TICO TICO 650W DEWALT "/>
    <n v="1"/>
    <s v="REALIZADO"/>
    <s v="BRUNO"/>
    <x v="20"/>
    <x v="2"/>
    <x v="0"/>
  </r>
  <r>
    <n v="72707"/>
    <x v="59"/>
    <s v="MPR"/>
    <x v="0"/>
    <n v="50020623"/>
    <s v="REBITADOR MANUAL"/>
    <n v="1"/>
    <s v="REALIZADO"/>
    <s v="BRUNO"/>
    <x v="20"/>
    <x v="2"/>
    <x v="0"/>
  </r>
  <r>
    <n v="72707"/>
    <x v="59"/>
    <s v="MPR"/>
    <x v="0"/>
    <n v="50043917"/>
    <s v="PARAFUSADEIRA FURADEIRA BOSCH"/>
    <n v="1"/>
    <s v="REALIZADO"/>
    <s v="BRUNO"/>
    <x v="20"/>
    <x v="2"/>
    <x v="0"/>
  </r>
  <r>
    <n v="96464"/>
    <x v="46"/>
    <s v="MEE"/>
    <x v="2"/>
    <n v="50029865"/>
    <s v="JOGO DE BROCAS ACO RAPIDO"/>
    <n v="1"/>
    <s v="REALIZADO"/>
    <s v="BRUNO"/>
    <x v="20"/>
    <x v="2"/>
    <x v="0"/>
  </r>
  <r>
    <n v="96464"/>
    <x v="46"/>
    <s v="MEE"/>
    <x v="2"/>
    <n v="50041195"/>
    <s v="PARAFUSADEIRA FUR DE IMPACTO BRUSHLESS"/>
    <n v="1"/>
    <s v="REALIZADO"/>
    <s v="BRUNO"/>
    <x v="20"/>
    <x v="2"/>
    <x v="0"/>
  </r>
  <r>
    <n v="65844"/>
    <x v="54"/>
    <s v="MMG"/>
    <x v="2"/>
    <n v="50037900"/>
    <s v="SOLDADOR POLYCODE"/>
    <n v="1"/>
    <s v="REALIZADO"/>
    <s v="BRUNO"/>
    <x v="20"/>
    <x v="2"/>
    <x v="0"/>
  </r>
  <r>
    <n v="76633"/>
    <x v="62"/>
    <s v="MMG"/>
    <x v="2"/>
    <n v="50003173"/>
    <s v="CHAVE GRIFO 24"/>
    <n v="1"/>
    <s v="REALIZADO"/>
    <s v="BRUNO"/>
    <x v="20"/>
    <x v="2"/>
    <x v="0"/>
  </r>
  <r>
    <n v="63770"/>
    <x v="36"/>
    <s v="MMG"/>
    <x v="0"/>
    <n v="50043471"/>
    <s v="FURADEIRA BOSCH 7"/>
    <n v="1"/>
    <s v="REALIZADO"/>
    <s v="BRUNO"/>
    <x v="20"/>
    <x v="2"/>
    <x v="0"/>
  </r>
  <r>
    <n v="77521"/>
    <x v="5"/>
    <s v="MME"/>
    <x v="0"/>
    <n v="50036290"/>
    <s v="CHAVE GANCHO 45 A 50MM"/>
    <n v="1"/>
    <s v="REALIZADO"/>
    <s v="BRUNO"/>
    <x v="20"/>
    <x v="2"/>
    <x v="0"/>
  </r>
  <r>
    <n v="77521"/>
    <x v="5"/>
    <s v="MME"/>
    <x v="0"/>
    <n v="50036293"/>
    <s v="CHAVE GANCHO 68 A 75MM"/>
    <n v="1"/>
    <s v="REALIZADO"/>
    <s v="BRUNO"/>
    <x v="20"/>
    <x v="0"/>
    <x v="0"/>
  </r>
  <r>
    <n v="73878"/>
    <x v="20"/>
    <s v="MMG"/>
    <x v="0"/>
    <n v="50003297"/>
    <s v="FURADEIRA DE IMPACTO MAKITA 02"/>
    <n v="1"/>
    <s v="REALIZADO"/>
    <s v="BRUNO"/>
    <x v="20"/>
    <x v="2"/>
    <x v="0"/>
  </r>
  <r>
    <n v="73878"/>
    <x v="20"/>
    <s v="MMG"/>
    <x v="0"/>
    <n v="50003297"/>
    <s v="FURADEIRA DE IMPACTO MAKITA 02"/>
    <n v="1"/>
    <s v="REALIZADO"/>
    <s v="KELLY"/>
    <x v="21"/>
    <x v="0"/>
    <x v="0"/>
  </r>
  <r>
    <n v="72707"/>
    <x v="59"/>
    <s v="MPR"/>
    <x v="0"/>
    <n v="50041195"/>
    <s v="PARAFUSADEIRA FUR DE IMPACTO BRUSHLESS"/>
    <n v="1"/>
    <s v="REALIZADO"/>
    <s v="KELLY"/>
    <x v="21"/>
    <x v="0"/>
    <x v="0"/>
  </r>
  <r>
    <n v="60115"/>
    <x v="34"/>
    <s v="MME"/>
    <x v="3"/>
    <n v="50043917"/>
    <s v="PARAFUSADEIRA FURADEIRA BOSCH"/>
    <n v="1"/>
    <s v="REALIZADO"/>
    <s v="KELLY"/>
    <x v="21"/>
    <x v="0"/>
    <x v="0"/>
  </r>
  <r>
    <n v="77521"/>
    <x v="5"/>
    <s v="MME"/>
    <x v="0"/>
    <n v="50036293"/>
    <s v="CHAVE GANCHO 68 A 75MM"/>
    <n v="1"/>
    <s v="REALIZADO"/>
    <s v="KELLY"/>
    <x v="21"/>
    <x v="0"/>
    <x v="0"/>
  </r>
  <r>
    <n v="65131"/>
    <x v="41"/>
    <s v="MMG"/>
    <x v="3"/>
    <n v="50038195"/>
    <s v="SERRA TICO TICO BOSCH S/MALETA"/>
    <n v="1"/>
    <s v="REALIZADO"/>
    <s v="GEOVANE"/>
    <x v="21"/>
    <x v="0"/>
    <x v="0"/>
  </r>
  <r>
    <n v="77594"/>
    <x v="23"/>
    <s v="MME"/>
    <x v="0"/>
    <n v="50038517"/>
    <s v="LIXADEIRA BOSCH 5"/>
    <n v="1"/>
    <s v="REALIZADO"/>
    <s v="GEOVANE"/>
    <x v="21"/>
    <x v="0"/>
    <x v="0"/>
  </r>
  <r>
    <n v="65131"/>
    <x v="41"/>
    <s v="MMG"/>
    <x v="3"/>
    <n v="50037892"/>
    <s v="LIXADEIRA BOSCH 2"/>
    <n v="1"/>
    <s v="REALIZADO"/>
    <s v="GEOVANE"/>
    <x v="21"/>
    <x v="0"/>
    <x v="0"/>
  </r>
  <r>
    <n v="78886"/>
    <x v="51"/>
    <s v="MME"/>
    <x v="0"/>
    <n v="50003173"/>
    <s v="CHAVE GRIFO 24"/>
    <n v="1"/>
    <s v="REALIZADO"/>
    <s v="AGATHA"/>
    <x v="21"/>
    <x v="0"/>
    <x v="0"/>
  </r>
  <r>
    <n v="66830"/>
    <x v="3"/>
    <s v="MPR"/>
    <x v="0"/>
    <n v="50036086"/>
    <s v="CHAVE GRIFO 18"/>
    <n v="1"/>
    <s v="REALIZADO"/>
    <s v="AGATHA"/>
    <x v="21"/>
    <x v="0"/>
    <x v="0"/>
  </r>
  <r>
    <n v="62471"/>
    <x v="9"/>
    <s v="MME"/>
    <x v="0"/>
    <n v="50039065"/>
    <s v="MAQUINA SOLDA TIG"/>
    <n v="1"/>
    <s v="REALIZADO"/>
    <s v="AGATHA"/>
    <x v="21"/>
    <x v="2"/>
    <x v="0"/>
  </r>
  <r>
    <n v="60115"/>
    <x v="34"/>
    <s v="MME"/>
    <x v="3"/>
    <n v="50043917"/>
    <s v="PARAFUSADEIRA FURADEIRA BOSCH"/>
    <n v="1"/>
    <s v="REALIZADO"/>
    <s v="AGATHA"/>
    <x v="21"/>
    <x v="0"/>
    <x v="0"/>
  </r>
  <r>
    <n v="77471"/>
    <x v="35"/>
    <s v="MEE"/>
    <x v="0"/>
    <n v="50038840"/>
    <s v="SERRA CIRCULAR MAKITA 4100NH2"/>
    <n v="1"/>
    <s v="REALIZADO"/>
    <s v="AGATHA"/>
    <x v="21"/>
    <x v="0"/>
    <x v="0"/>
  </r>
  <r>
    <n v="61096"/>
    <x v="64"/>
    <s v="MME"/>
    <x v="0"/>
    <n v="50043471"/>
    <s v="FURADEIRA BOSCH 7"/>
    <n v="1"/>
    <s v="REALIZADO"/>
    <s v="AGATHA"/>
    <x v="21"/>
    <x v="0"/>
    <x v="0"/>
  </r>
  <r>
    <n v="63399"/>
    <x v="32"/>
    <s v="MPR"/>
    <x v="0"/>
    <n v="50043917"/>
    <s v="PARAFUSADEIRA FURADEIRA BOSCH"/>
    <n v="1"/>
    <s v="REALIZADO"/>
    <s v="AGATHA"/>
    <x v="21"/>
    <x v="0"/>
    <x v="0"/>
  </r>
  <r>
    <n v="77594"/>
    <x v="23"/>
    <s v="MME"/>
    <x v="0"/>
    <n v="50038841"/>
    <s v="LIXADEIRA BOSCH 4"/>
    <n v="1"/>
    <s v="REALIZADO"/>
    <s v="AGATHA"/>
    <x v="21"/>
    <x v="2"/>
    <x v="0"/>
  </r>
  <r>
    <n v="65131"/>
    <x v="41"/>
    <s v="MMG"/>
    <x v="3"/>
    <n v="50037892"/>
    <s v="LIXADEIRA BOSCH 2"/>
    <n v="1"/>
    <s v="REALIZADO"/>
    <s v="GEOVANE"/>
    <x v="21"/>
    <x v="2"/>
    <x v="0"/>
  </r>
  <r>
    <n v="65131"/>
    <x v="41"/>
    <s v="MMG"/>
    <x v="3"/>
    <n v="50038195"/>
    <s v="SERRA TICO TICO BOSCH S/MALETA"/>
    <n v="1"/>
    <s v="REALIZADO"/>
    <s v="GEOVANE"/>
    <x v="21"/>
    <x v="0"/>
    <x v="0"/>
  </r>
  <r>
    <n v="66301"/>
    <x v="65"/>
    <s v="MEE"/>
    <x v="0"/>
    <n v="50037933"/>
    <s v="TERMOMETRO"/>
    <n v="1"/>
    <s v="REALIZADO"/>
    <s v="GEOVANE"/>
    <x v="21"/>
    <x v="2"/>
    <x v="0"/>
  </r>
  <r>
    <n v="77471"/>
    <x v="35"/>
    <s v="MEE"/>
    <x v="0"/>
    <n v="50038840"/>
    <s v="SERRA CIRCULAR MAKITA 4100NH2"/>
    <n v="1"/>
    <s v="REALIZADO"/>
    <s v="GEOVANE"/>
    <x v="21"/>
    <x v="2"/>
    <x v="0"/>
  </r>
  <r>
    <n v="61096"/>
    <x v="64"/>
    <s v="MME"/>
    <x v="0"/>
    <n v="50043471"/>
    <s v="FURADEIRA BOSCH 7"/>
    <n v="1"/>
    <s v="REALIZADO"/>
    <s v="GEOVANE"/>
    <x v="21"/>
    <x v="2"/>
    <x v="0"/>
  </r>
  <r>
    <n v="66301"/>
    <x v="65"/>
    <s v="MEE"/>
    <x v="0"/>
    <n v="50037933"/>
    <s v="TERMOMETRO"/>
    <n v="1"/>
    <s v="REALIZADO"/>
    <s v="GEOVANE"/>
    <x v="21"/>
    <x v="2"/>
    <x v="0"/>
  </r>
  <r>
    <n v="62471"/>
    <x v="9"/>
    <s v="MME"/>
    <x v="0"/>
    <n v="50039065"/>
    <s v="MAQUINA SOLDA TIG"/>
    <n v="1"/>
    <s v="REALIZADO"/>
    <s v="AGATHA"/>
    <x v="21"/>
    <x v="2"/>
    <x v="0"/>
  </r>
  <r>
    <n v="72707"/>
    <x v="59"/>
    <s v="MPR"/>
    <x v="0"/>
    <n v="50041195"/>
    <s v="PARAFUSADEIRA FUR DE IMPACTO BRUSHLESS"/>
    <n v="1"/>
    <s v="REALIZADO"/>
    <s v="KELLY"/>
    <x v="21"/>
    <x v="0"/>
    <x v="0"/>
  </r>
  <r>
    <n v="62896"/>
    <x v="33"/>
    <s v="MEE"/>
    <x v="0"/>
    <n v="50041195"/>
    <s v="PARAFUSADEIRA FUR DE IMPACTO BRUSHLESS"/>
    <n v="1"/>
    <s v="REALIZADO"/>
    <s v="KELLY"/>
    <x v="21"/>
    <x v="0"/>
    <x v="0"/>
  </r>
  <r>
    <n v="77594"/>
    <x v="23"/>
    <s v="MME"/>
    <x v="0"/>
    <n v="50043471"/>
    <s v="FURADEIRA BOSCH 7"/>
    <n v="1"/>
    <s v="REALIZADO"/>
    <s v="KELLY"/>
    <x v="21"/>
    <x v="2"/>
    <x v="0"/>
  </r>
  <r>
    <n v="77594"/>
    <x v="23"/>
    <s v="MME"/>
    <x v="0"/>
    <n v="50043471"/>
    <s v="FURADEIRA BOSCH 7"/>
    <n v="1"/>
    <s v="REALIZADO"/>
    <s v="BRUNO"/>
    <x v="21"/>
    <x v="0"/>
    <x v="0"/>
  </r>
  <r>
    <n v="68430"/>
    <x v="61"/>
    <s v="MEE"/>
    <x v="2"/>
    <n v="50043320"/>
    <s v="JOGO SERRA COPO 8PÇS"/>
    <n v="1"/>
    <s v="REALIZADO"/>
    <s v="BRUNO"/>
    <x v="21"/>
    <x v="2"/>
    <x v="0"/>
  </r>
  <r>
    <n v="63399"/>
    <x v="32"/>
    <s v="MPR"/>
    <x v="0"/>
    <n v="50043917"/>
    <s v="PARAFUSADEIRA FURADEIRA BOSCH"/>
    <n v="1"/>
    <s v="REALIZADO"/>
    <s v="BRUNO"/>
    <x v="21"/>
    <x v="0"/>
    <x v="0"/>
  </r>
  <r>
    <n v="69510"/>
    <x v="7"/>
    <s v="MEE"/>
    <x v="0"/>
    <n v="50038956"/>
    <s v="LIXADEIRA BOSCH 1"/>
    <n v="1"/>
    <s v="REALIZADO"/>
    <s v="BRUNO"/>
    <x v="21"/>
    <x v="2"/>
    <x v="0"/>
  </r>
  <r>
    <n v="68430"/>
    <x v="61"/>
    <s v="MEE"/>
    <x v="2"/>
    <n v="50043320"/>
    <s v="JOGO SERRA COPO 8PÇS"/>
    <n v="1"/>
    <s v="REALIZADO"/>
    <s v="BRUNO"/>
    <x v="21"/>
    <x v="2"/>
    <x v="0"/>
  </r>
  <r>
    <n v="78886"/>
    <x v="51"/>
    <s v="MME"/>
    <x v="0"/>
    <n v="50003173"/>
    <s v="CHAVE GRIFO 24"/>
    <n v="1"/>
    <s v="REALIZADO"/>
    <s v="BRUNO"/>
    <x v="21"/>
    <x v="2"/>
    <x v="0"/>
  </r>
  <r>
    <n v="77521"/>
    <x v="5"/>
    <s v="MME"/>
    <x v="0"/>
    <n v="50036293"/>
    <s v="CHAVE GANCHO 68 A 75MM"/>
    <n v="1"/>
    <s v="REALIZADO"/>
    <s v="BRUNO"/>
    <x v="21"/>
    <x v="2"/>
    <x v="0"/>
  </r>
  <r>
    <n v="69510"/>
    <x v="7"/>
    <s v="MEE"/>
    <x v="0"/>
    <n v="50038956"/>
    <s v="LIXADEIRA BOSCH 1"/>
    <n v="1"/>
    <s v="REALIZADO"/>
    <s v="BRUNO"/>
    <x v="21"/>
    <x v="0"/>
    <x v="0"/>
  </r>
  <r>
    <n v="76633"/>
    <x v="62"/>
    <s v="MMG"/>
    <x v="2"/>
    <n v="50037922"/>
    <s v="CHAVE DE BOCA MANUAL"/>
    <n v="1"/>
    <s v="REALIZADO"/>
    <s v="BRUNO"/>
    <x v="21"/>
    <x v="2"/>
    <x v="0"/>
  </r>
  <r>
    <n v="62896"/>
    <x v="33"/>
    <s v="MEE"/>
    <x v="0"/>
    <n v="50041195"/>
    <s v="PARAFUSADEIRA FUR DE IMPACTO BRUSHLESS"/>
    <n v="1"/>
    <s v="REALIZADO"/>
    <s v="BRUNO"/>
    <x v="21"/>
    <x v="2"/>
    <x v="0"/>
  </r>
  <r>
    <n v="66830"/>
    <x v="3"/>
    <s v="MPR"/>
    <x v="0"/>
    <n v="50036086"/>
    <s v="CHAVE GRIFO 18"/>
    <n v="1"/>
    <s v="REALIZADO"/>
    <s v="BRUNO"/>
    <x v="21"/>
    <x v="0"/>
    <x v="0"/>
  </r>
  <r>
    <n v="76633"/>
    <x v="62"/>
    <s v="MMG"/>
    <x v="2"/>
    <n v="50038956"/>
    <s v="LIXADEIRA BOSCH 1"/>
    <n v="1"/>
    <s v="REALIZADO"/>
    <s v="BRUNO"/>
    <x v="21"/>
    <x v="2"/>
    <x v="0"/>
  </r>
  <r>
    <n v="77594"/>
    <x v="23"/>
    <s v="MME"/>
    <x v="0"/>
    <n v="50038517"/>
    <s v="LIXADEIRA BOSCH 5"/>
    <n v="1"/>
    <s v="REALIZADO"/>
    <s v="BRUNO"/>
    <x v="21"/>
    <x v="2"/>
    <x v="0"/>
  </r>
  <r>
    <n v="77594"/>
    <x v="23"/>
    <s v="MME"/>
    <x v="0"/>
    <n v="50038841"/>
    <s v="LIXADEIRA BOSCH 4"/>
    <n v="1"/>
    <s v="REALIZADO"/>
    <s v="BRUNO"/>
    <x v="21"/>
    <x v="2"/>
    <x v="0"/>
  </r>
  <r>
    <n v="76633"/>
    <x v="62"/>
    <s v="MMG"/>
    <x v="2"/>
    <n v="50038956"/>
    <s v="LIXADEIRA BOSCH 1"/>
    <n v="1"/>
    <s v="REALIZADO"/>
    <s v="BRUNO"/>
    <x v="21"/>
    <x v="2"/>
    <x v="0"/>
  </r>
  <r>
    <n v="76633"/>
    <x v="62"/>
    <s v="MMG"/>
    <x v="2"/>
    <n v="50037922"/>
    <s v="CHAVE DE BOCA MANUAL"/>
    <n v="1"/>
    <s v="REALIZADO"/>
    <s v="BRUNO"/>
    <x v="21"/>
    <x v="0"/>
    <x v="0"/>
  </r>
  <r>
    <n v="72707"/>
    <x v="59"/>
    <s v="MPR"/>
    <x v="0"/>
    <n v="50041195"/>
    <s v="PARAFUSADEIRA FUR DE IMPACTO BRUSHLESS"/>
    <n v="1"/>
    <s v="REALIZADO"/>
    <s v="GEOVANE"/>
    <x v="22"/>
    <x v="0"/>
    <x v="0"/>
  </r>
  <r>
    <n v="62471"/>
    <x v="9"/>
    <s v="MME"/>
    <x v="0"/>
    <n v="50030486"/>
    <s v="FURADEIRA BOSCH 3"/>
    <n v="1"/>
    <s v="REALIZADO"/>
    <s v="GEOVANE"/>
    <x v="22"/>
    <x v="0"/>
    <x v="0"/>
  </r>
  <r>
    <n v="61761"/>
    <x v="66"/>
    <s v="MEE"/>
    <x v="3"/>
    <n v="50029865"/>
    <s v="JOGO DE BROCAS ACO RAPIDO"/>
    <n v="1"/>
    <s v="REALIZADO"/>
    <s v="GEOVANE"/>
    <x v="22"/>
    <x v="0"/>
    <x v="0"/>
  </r>
  <r>
    <n v="61761"/>
    <x v="66"/>
    <s v="MEE"/>
    <x v="3"/>
    <n v="50036280"/>
    <s v="FURADEIRA BOSCH 2"/>
    <n v="1"/>
    <s v="REALIZADO"/>
    <s v="GEOVANE"/>
    <x v="22"/>
    <x v="0"/>
    <x v="0"/>
  </r>
  <r>
    <n v="66830"/>
    <x v="3"/>
    <s v="MPR"/>
    <x v="0"/>
    <n v="50038956"/>
    <s v="LIXADEIRA BOSCH 1"/>
    <n v="1"/>
    <s v="REALIZADO"/>
    <s v="GEOVANE"/>
    <x v="22"/>
    <x v="0"/>
    <x v="0"/>
  </r>
  <r>
    <n v="77471"/>
    <x v="35"/>
    <s v="MEE"/>
    <x v="0"/>
    <n v="50036298"/>
    <s v="ASPIRADOR PARA SOLIDOS SEM FIO 20V"/>
    <n v="1"/>
    <s v="REALIZADO"/>
    <s v="GEOVANE"/>
    <x v="22"/>
    <x v="0"/>
    <x v="0"/>
  </r>
  <r>
    <n v="62640"/>
    <x v="44"/>
    <s v="MPR"/>
    <x v="0"/>
    <n v="50043917"/>
    <s v="PARAFUSADEIRA FURADEIRA BOSCH"/>
    <n v="1"/>
    <s v="REALIZADO"/>
    <s v="GEOVANE"/>
    <x v="22"/>
    <x v="0"/>
    <x v="0"/>
  </r>
  <r>
    <n v="72715"/>
    <x v="26"/>
    <s v="MPR"/>
    <x v="0"/>
    <n v="50036086"/>
    <s v="CHAVE GRIFO 18"/>
    <n v="1"/>
    <s v="REALIZADO"/>
    <s v="GEOVANE"/>
    <x v="22"/>
    <x v="0"/>
    <x v="0"/>
  </r>
  <r>
    <n v="68708"/>
    <x v="13"/>
    <s v="MMG"/>
    <x v="0"/>
    <n v="50043471"/>
    <s v="FURADEIRA BOSCH 7"/>
    <n v="1"/>
    <s v="REALIZADO"/>
    <s v="GEOVANE"/>
    <x v="22"/>
    <x v="0"/>
    <x v="0"/>
  </r>
  <r>
    <n v="77526"/>
    <x v="37"/>
    <s v="MME"/>
    <x v="0"/>
    <n v="50038518"/>
    <s v="LIXADEIRA BOSCH 7"/>
    <n v="1"/>
    <s v="REALIZADO"/>
    <s v="GEOVANE"/>
    <x v="22"/>
    <x v="0"/>
    <x v="0"/>
  </r>
  <r>
    <n v="77526"/>
    <x v="37"/>
    <s v="MME"/>
    <x v="0"/>
    <n v="50038841"/>
    <s v="LIXADEIRA BOSCH 4"/>
    <n v="1"/>
    <s v="REALIZADO"/>
    <s v="GEOVANE"/>
    <x v="22"/>
    <x v="0"/>
    <x v="0"/>
  </r>
  <r>
    <n v="77526"/>
    <x v="37"/>
    <s v="MME"/>
    <x v="0"/>
    <n v="50010031"/>
    <s v=" LIXADEIRA BOSCH 6"/>
    <n v="1"/>
    <s v="REALIZADO"/>
    <s v="GEOVANE"/>
    <x v="22"/>
    <x v="0"/>
    <x v="0"/>
  </r>
  <r>
    <n v="62471"/>
    <x v="9"/>
    <s v="MME"/>
    <x v="0"/>
    <n v="50037902"/>
    <s v="LIXADEIRA BOSCH 3"/>
    <n v="1"/>
    <s v="REALIZADO"/>
    <s v="GEOVANE"/>
    <x v="22"/>
    <x v="0"/>
    <x v="0"/>
  </r>
  <r>
    <n v="70105"/>
    <x v="25"/>
    <s v="MMG"/>
    <x v="3"/>
    <n v="50038517"/>
    <s v="LIXADEIRA BOSCH 5"/>
    <n v="1"/>
    <s v="REALIZADO"/>
    <s v="GEOVANE"/>
    <x v="22"/>
    <x v="0"/>
    <x v="0"/>
  </r>
  <r>
    <n v="62640"/>
    <x v="44"/>
    <s v="MPR"/>
    <x v="0"/>
    <n v="50020623"/>
    <s v="REBITADOR MANUAL"/>
    <n v="1"/>
    <s v="REALIZADO"/>
    <s v="GEOVANE"/>
    <x v="22"/>
    <x v="2"/>
    <x v="0"/>
  </r>
  <r>
    <n v="66790"/>
    <x v="60"/>
    <s v="MMG"/>
    <x v="3"/>
    <n v="50037905"/>
    <s v="ESTETOSCÓPIO SKF"/>
    <n v="1"/>
    <s v="REALIZADO"/>
    <s v="GEOVANE"/>
    <x v="22"/>
    <x v="0"/>
    <x v="0"/>
  </r>
  <r>
    <n v="63684"/>
    <x v="27"/>
    <s v="MME"/>
    <x v="2"/>
    <n v="50044003"/>
    <s v="CÂMERA TERMOGRAFICA FLIR"/>
    <n v="1"/>
    <s v="REALIZADO"/>
    <s v="GEOVANE"/>
    <x v="22"/>
    <x v="2"/>
    <x v="0"/>
  </r>
  <r>
    <n v="61761"/>
    <x v="66"/>
    <s v="MEE"/>
    <x v="3"/>
    <n v="50029865"/>
    <s v="JOGO DE BROCAS ACO RAPIDO"/>
    <n v="1"/>
    <s v="REALIZADO"/>
    <s v="GEOVANE"/>
    <x v="22"/>
    <x v="2"/>
    <x v="0"/>
  </r>
  <r>
    <n v="61761"/>
    <x v="66"/>
    <s v="MEE"/>
    <x v="3"/>
    <n v="50036280"/>
    <s v="FURADEIRA BOSCH 2"/>
    <n v="1"/>
    <s v="REALIZADO"/>
    <s v="GEOVANE"/>
    <x v="22"/>
    <x v="0"/>
    <x v="0"/>
  </r>
  <r>
    <n v="62137"/>
    <x v="43"/>
    <s v="MME"/>
    <x v="2"/>
    <n v="50037892"/>
    <s v="LIXADEIRA BOSCH 2"/>
    <n v="1"/>
    <s v="REALIZADO"/>
    <s v="GEOVANE"/>
    <x v="22"/>
    <x v="0"/>
    <x v="0"/>
  </r>
  <r>
    <n v="62471"/>
    <x v="9"/>
    <s v="MME"/>
    <x v="0"/>
    <n v="50032781"/>
    <s v="SERRA TICO TICO 650W DEWALT "/>
    <n v="1"/>
    <s v="REALIZADO"/>
    <s v="GEOVANE"/>
    <x v="22"/>
    <x v="2"/>
    <x v="0"/>
  </r>
  <r>
    <n v="70105"/>
    <x v="25"/>
    <s v="MMG"/>
    <x v="3"/>
    <n v="50038517"/>
    <s v="LIXADEIRA BOSCH 5"/>
    <n v="1"/>
    <s v="REALIZADO"/>
    <s v="AGATHA"/>
    <x v="22"/>
    <x v="2"/>
    <x v="0"/>
  </r>
  <r>
    <n v="62471"/>
    <x v="9"/>
    <s v="MME"/>
    <x v="0"/>
    <n v="50030486"/>
    <s v="FURADEIRA BOSCH 3"/>
    <n v="1"/>
    <s v="REALIZADO"/>
    <s v="AGATHA"/>
    <x v="22"/>
    <x v="2"/>
    <x v="0"/>
  </r>
  <r>
    <n v="72715"/>
    <x v="26"/>
    <s v="MPR"/>
    <x v="0"/>
    <n v="50036086"/>
    <s v="CHAVE GRIFO 18"/>
    <n v="1"/>
    <s v="REALIZADO"/>
    <s v="AGATHA"/>
    <x v="22"/>
    <x v="2"/>
    <x v="0"/>
  </r>
  <r>
    <n v="62471"/>
    <x v="9"/>
    <s v="MME"/>
    <x v="0"/>
    <n v="50032781"/>
    <s v="SERRA TICO TICO 650W DEWALT "/>
    <n v="1"/>
    <s v="REALIZADO"/>
    <s v="BRUNO"/>
    <x v="22"/>
    <x v="0"/>
    <x v="0"/>
  </r>
  <r>
    <n v="68708"/>
    <x v="13"/>
    <s v="MMG"/>
    <x v="0"/>
    <n v="50004486"/>
    <s v="RETIFICA "/>
    <n v="1"/>
    <s v="REALIZADO"/>
    <s v="BRUNO"/>
    <x v="22"/>
    <x v="0"/>
    <x v="0"/>
  </r>
  <r>
    <n v="68708"/>
    <x v="13"/>
    <s v="MMG"/>
    <x v="0"/>
    <n v="50043320"/>
    <s v="JOGO SERRA COPO 8PÇS"/>
    <n v="1"/>
    <s v="REALIZADO"/>
    <s v="BRUNO"/>
    <x v="22"/>
    <x v="2"/>
    <x v="0"/>
  </r>
  <r>
    <n v="77471"/>
    <x v="35"/>
    <s v="MEE"/>
    <x v="0"/>
    <n v="50036298"/>
    <s v="ASPIRADOR PARA SOLIDOS SEM FIO 20V"/>
    <n v="1"/>
    <s v="REALIZADO"/>
    <s v="BRUNO"/>
    <x v="22"/>
    <x v="2"/>
    <x v="0"/>
  </r>
  <r>
    <n v="68708"/>
    <x v="13"/>
    <s v="MMG"/>
    <x v="0"/>
    <n v="50004486"/>
    <s v="RETIFICA "/>
    <n v="1"/>
    <s v="REALIZADO"/>
    <s v="BRUNO"/>
    <x v="22"/>
    <x v="2"/>
    <x v="0"/>
  </r>
  <r>
    <n v="77526"/>
    <x v="37"/>
    <s v="MME"/>
    <x v="0"/>
    <n v="50038518"/>
    <s v="LIXADEIRA BOSCH 7"/>
    <n v="1"/>
    <s v="REALIZADO"/>
    <s v="BRUNO"/>
    <x v="22"/>
    <x v="2"/>
    <x v="0"/>
  </r>
  <r>
    <n v="68708"/>
    <x v="13"/>
    <s v="MMG"/>
    <x v="0"/>
    <n v="50043471"/>
    <s v="FURADEIRA BOSCH 7"/>
    <n v="1"/>
    <s v="REALIZADO"/>
    <s v="BRUNO"/>
    <x v="22"/>
    <x v="2"/>
    <x v="0"/>
  </r>
  <r>
    <n v="68708"/>
    <x v="13"/>
    <s v="MMG"/>
    <x v="0"/>
    <n v="50043320"/>
    <s v="JOGO SERRA COPO 8PÇS"/>
    <n v="1"/>
    <s v="REALIZADO"/>
    <s v="BRUNO"/>
    <x v="22"/>
    <x v="2"/>
    <x v="0"/>
  </r>
  <r>
    <n v="72707"/>
    <x v="59"/>
    <s v="MPR"/>
    <x v="0"/>
    <n v="50041195"/>
    <s v="PARAFUSADEIRA FUR DE IMPACTO BRUSHLESS"/>
    <n v="1"/>
    <s v="REALIZADO"/>
    <s v="BRUNO"/>
    <x v="22"/>
    <x v="2"/>
    <x v="0"/>
  </r>
  <r>
    <n v="62640"/>
    <x v="44"/>
    <s v="MPR"/>
    <x v="0"/>
    <n v="50020623"/>
    <s v="REBITADOR MANUAL"/>
    <n v="1"/>
    <s v="REALIZADO"/>
    <s v="BRUNO"/>
    <x v="22"/>
    <x v="2"/>
    <x v="0"/>
  </r>
  <r>
    <n v="62640"/>
    <x v="44"/>
    <s v="MPR"/>
    <x v="0"/>
    <n v="50043917"/>
    <s v="PARAFUSADEIRA FURADEIRA BOSCH"/>
    <n v="1"/>
    <s v="REALIZADO"/>
    <s v="BRUNO"/>
    <x v="22"/>
    <x v="2"/>
    <x v="0"/>
  </r>
  <r>
    <n v="77526"/>
    <x v="37"/>
    <s v="MME"/>
    <x v="0"/>
    <n v="50038841"/>
    <s v="LIXADEIRA BOSCH 4"/>
    <n v="1"/>
    <s v="REALIZADO"/>
    <s v="BRUNO"/>
    <x v="22"/>
    <x v="2"/>
    <x v="0"/>
  </r>
  <r>
    <n v="77526"/>
    <x v="37"/>
    <s v="MME"/>
    <x v="0"/>
    <n v="50010031"/>
    <s v=" LIXADEIRA BOSCH 6"/>
    <n v="1"/>
    <s v="REALIZADO"/>
    <s v="BRUNO"/>
    <x v="22"/>
    <x v="0"/>
    <x v="0"/>
  </r>
  <r>
    <n v="61955"/>
    <x v="55"/>
    <s v="MME"/>
    <x v="2"/>
    <n v="50043917"/>
    <s v="PARAFUSADEIRA FURADEIRA BOSCH"/>
    <n v="1"/>
    <s v="REALIZADO"/>
    <s v="BRUNO"/>
    <x v="22"/>
    <x v="2"/>
    <x v="0"/>
  </r>
  <r>
    <n v="62471"/>
    <x v="9"/>
    <s v="MME"/>
    <x v="0"/>
    <n v="50037902"/>
    <s v="LIXADEIRA BOSCH 3"/>
    <n v="1"/>
    <s v="REALIZADO"/>
    <s v="BRUNO"/>
    <x v="22"/>
    <x v="0"/>
    <x v="0"/>
  </r>
  <r>
    <n v="62180"/>
    <x v="18"/>
    <s v="MMG"/>
    <x v="0"/>
    <n v="50041195"/>
    <s v="PARAFUSADEIRA FUR DE IMPACTO BRUSHLESS"/>
    <n v="1"/>
    <s v="REALIZADO"/>
    <s v="BRUNO"/>
    <x v="22"/>
    <x v="2"/>
    <x v="0"/>
  </r>
  <r>
    <n v="62180"/>
    <x v="18"/>
    <s v="MMG"/>
    <x v="0"/>
    <n v="50041195"/>
    <s v="PARAFUSADEIRA FUR DE IMPACTO BRUSHLESS"/>
    <n v="1"/>
    <s v="REALIZADO"/>
    <s v="BRUNO"/>
    <x v="22"/>
    <x v="2"/>
    <x v="0"/>
  </r>
  <r>
    <n v="61955"/>
    <x v="55"/>
    <s v="MME"/>
    <x v="2"/>
    <n v="50043917"/>
    <s v="PARAFUSADEIRA FURADEIRA BOSCH"/>
    <n v="1"/>
    <s v="REALIZADO"/>
    <s v="BRUNO"/>
    <x v="22"/>
    <x v="2"/>
    <x v="0"/>
  </r>
  <r>
    <n v="66830"/>
    <x v="3"/>
    <s v="MPR"/>
    <x v="0"/>
    <n v="50038956"/>
    <s v="LIXADEIRA BOSCH 1"/>
    <n v="1"/>
    <s v="REALIZADO"/>
    <s v="BRUNO"/>
    <x v="22"/>
    <x v="2"/>
    <x v="0"/>
  </r>
  <r>
    <n v="70105"/>
    <x v="25"/>
    <s v="MMG"/>
    <x v="3"/>
    <n v="50038517"/>
    <s v="LIXADEIRA BOSCH 5"/>
    <n v="1"/>
    <s v="REALIZADO"/>
    <s v="BRUNO"/>
    <x v="22"/>
    <x v="0"/>
    <x v="0"/>
  </r>
  <r>
    <n v="62180"/>
    <x v="18"/>
    <s v="MMG"/>
    <x v="0"/>
    <n v="50032781"/>
    <s v="SERRA TICO TICO 650W DEWALT "/>
    <n v="1"/>
    <s v="REALIZADO"/>
    <s v="BRUNO"/>
    <x v="22"/>
    <x v="2"/>
    <x v="0"/>
  </r>
  <r>
    <n v="63684"/>
    <x v="27"/>
    <s v="MME"/>
    <x v="2"/>
    <n v="50044003"/>
    <s v="CÂMERA TERMOGRAFICA FLIR"/>
    <n v="1"/>
    <s v="REALIZADO"/>
    <s v="BRUNO"/>
    <x v="22"/>
    <x v="0"/>
    <x v="0"/>
  </r>
  <r>
    <n v="73878"/>
    <x v="20"/>
    <s v="MMG"/>
    <x v="0"/>
    <n v="50039718"/>
    <s v="ESCALA DE ACO 1000MM VONDER "/>
    <n v="1"/>
    <s v="REALIZADO"/>
    <s v="BRUNO"/>
    <x v="22"/>
    <x v="0"/>
    <x v="0"/>
  </r>
  <r>
    <n v="62180"/>
    <x v="18"/>
    <s v="MMG"/>
    <x v="0"/>
    <n v="50039718"/>
    <s v="ESCALA DE ACO 1000MM VONDER "/>
    <n v="1"/>
    <s v="REALIZADO"/>
    <s v="BRUNO"/>
    <x v="22"/>
    <x v="2"/>
    <x v="0"/>
  </r>
  <r>
    <n v="62137"/>
    <x v="43"/>
    <s v="MME"/>
    <x v="2"/>
    <n v="50037892"/>
    <s v="LIXADEIRA BOSCH 2"/>
    <n v="1"/>
    <s v="REALIZADO"/>
    <s v="BRUNO"/>
    <x v="22"/>
    <x v="2"/>
    <x v="0"/>
  </r>
  <r>
    <n v="62180"/>
    <x v="18"/>
    <s v="MMG"/>
    <x v="0"/>
    <n v="50032781"/>
    <s v="SERRA TICO TICO 650W DEWALT "/>
    <n v="1"/>
    <s v="REALIZADO"/>
    <s v="BRUNO"/>
    <x v="22"/>
    <x v="2"/>
    <x v="0"/>
  </r>
  <r>
    <n v="62180"/>
    <x v="18"/>
    <s v="MMG"/>
    <x v="0"/>
    <n v="50039718"/>
    <s v="ESCALA DE ACO 1000MM VONDER "/>
    <n v="1"/>
    <s v="REALIZADO"/>
    <s v="BRUNO"/>
    <x v="22"/>
    <x v="0"/>
    <x v="0"/>
  </r>
  <r>
    <n v="78886"/>
    <x v="51"/>
    <s v="MME"/>
    <x v="0"/>
    <n v="50038841"/>
    <s v="LIXADEIRA BOSCH 4"/>
    <n v="1"/>
    <s v="REALIZADO"/>
    <s v="AGATHA"/>
    <x v="23"/>
    <x v="0"/>
    <x v="0"/>
  </r>
  <r>
    <n v="77594"/>
    <x v="23"/>
    <s v="MME"/>
    <x v="0"/>
    <n v="50003297"/>
    <s v="FURADEIRA DE IMPACTO MAKITA 02"/>
    <n v="1"/>
    <s v="REALIZADO"/>
    <s v="AGATHA"/>
    <x v="23"/>
    <x v="0"/>
    <x v="0"/>
  </r>
  <r>
    <n v="66830"/>
    <x v="3"/>
    <s v="MPR"/>
    <x v="0"/>
    <n v="50037916"/>
    <s v="JOGO DE TARRACHAS "/>
    <n v="1"/>
    <s v="REALIZADO"/>
    <s v="AGATHA"/>
    <x v="23"/>
    <x v="0"/>
    <x v="0"/>
  </r>
  <r>
    <n v="72707"/>
    <x v="59"/>
    <s v="MPR"/>
    <x v="0"/>
    <n v="50043917"/>
    <s v="PARAFUSADEIRA FURADEIRA BOSCH"/>
    <n v="1"/>
    <s v="REALIZADO"/>
    <s v="AGATHA"/>
    <x v="23"/>
    <x v="0"/>
    <x v="0"/>
  </r>
  <r>
    <n v="58068"/>
    <x v="31"/>
    <s v="MME"/>
    <x v="0"/>
    <n v="50043471"/>
    <s v="FURADEIRA BOSCH 7"/>
    <n v="1"/>
    <s v="REALIZADO"/>
    <s v="AGATHA"/>
    <x v="23"/>
    <x v="0"/>
    <x v="0"/>
  </r>
  <r>
    <n v="72715"/>
    <x v="26"/>
    <s v="MPR"/>
    <x v="0"/>
    <n v="50038854"/>
    <s v="ARCO DE SERRA"/>
    <n v="1"/>
    <s v="REALIZADO"/>
    <s v="AGATHA"/>
    <x v="23"/>
    <x v="0"/>
    <x v="0"/>
  </r>
  <r>
    <n v="77471"/>
    <x v="35"/>
    <s v="MEE"/>
    <x v="0"/>
    <n v="50041195"/>
    <s v="PARAFUSADEIRA FUR DE IMPACTO BRUSHLESS"/>
    <n v="1"/>
    <s v="REALIZADO"/>
    <s v="AGATHA"/>
    <x v="23"/>
    <x v="0"/>
    <x v="0"/>
  </r>
  <r>
    <n v="61761"/>
    <x v="66"/>
    <s v="MEE"/>
    <x v="3"/>
    <n v="50029865"/>
    <s v="JOGO DE BROCAS ACO RAPIDO"/>
    <n v="1"/>
    <s v="REALIZADO"/>
    <s v="AGATHA"/>
    <x v="23"/>
    <x v="2"/>
    <x v="0"/>
  </r>
  <r>
    <n v="72715"/>
    <x v="26"/>
    <s v="MPR"/>
    <x v="0"/>
    <n v="50038854"/>
    <s v="ARCO DE SERRA"/>
    <n v="1"/>
    <s v="REALIZADO"/>
    <s v="AGATHA"/>
    <x v="23"/>
    <x v="2"/>
    <x v="0"/>
  </r>
  <r>
    <n v="58068"/>
    <x v="31"/>
    <s v="MME"/>
    <x v="0"/>
    <n v="50043471"/>
    <s v="FURADEIRA BOSCH 7"/>
    <n v="1"/>
    <s v="REALIZADO"/>
    <s v="AGATHA"/>
    <x v="23"/>
    <x v="2"/>
    <x v="0"/>
  </r>
  <r>
    <n v="61761"/>
    <x v="66"/>
    <s v="MEE"/>
    <x v="3"/>
    <n v="50029865"/>
    <s v="JOGO DE BROCAS ACO RAPIDO"/>
    <n v="1"/>
    <s v="REALIZADO"/>
    <s v="AGATHA"/>
    <x v="23"/>
    <x v="0"/>
    <x v="0"/>
  </r>
  <r>
    <n v="62640"/>
    <x v="44"/>
    <s v="MPR"/>
    <x v="0"/>
    <n v="50038956"/>
    <s v="LIXADEIRA BOSCH 1"/>
    <n v="1"/>
    <s v="REALIZADO"/>
    <s v="AGATHA"/>
    <x v="23"/>
    <x v="0"/>
    <x v="0"/>
  </r>
  <r>
    <n v="62640"/>
    <x v="44"/>
    <s v="MPR"/>
    <x v="0"/>
    <n v="50038854"/>
    <s v="ARCO DE SERRA"/>
    <n v="1"/>
    <s v="REALIZADO"/>
    <s v="AGATHA"/>
    <x v="23"/>
    <x v="0"/>
    <x v="0"/>
  </r>
  <r>
    <n v="79177"/>
    <x v="28"/>
    <s v="MMG"/>
    <x v="0"/>
    <n v="50039065"/>
    <s v="MAQUINA SOLDA TIG"/>
    <n v="1"/>
    <s v="REALIZADO"/>
    <s v="AGATHA"/>
    <x v="23"/>
    <x v="0"/>
    <x v="0"/>
  </r>
  <r>
    <n v="79177"/>
    <x v="28"/>
    <s v="MMG"/>
    <x v="0"/>
    <n v="50037949"/>
    <s v="SARGENTO 7"/>
    <n v="1"/>
    <s v="REALIZADO"/>
    <s v="AGATHA"/>
    <x v="23"/>
    <x v="0"/>
    <x v="0"/>
  </r>
  <r>
    <n v="79177"/>
    <x v="28"/>
    <s v="MMG"/>
    <x v="0"/>
    <n v="50038517"/>
    <s v="LIXADEIRA BOSCH 5"/>
    <n v="1"/>
    <s v="REALIZADO"/>
    <s v="AGATHA"/>
    <x v="23"/>
    <x v="2"/>
    <x v="0"/>
  </r>
  <r>
    <n v="73878"/>
    <x v="20"/>
    <s v="MMG"/>
    <x v="0"/>
    <n v="50039718"/>
    <s v="ESCALA DE ACO 1000MM VONDER "/>
    <n v="1"/>
    <s v="REALIZADO"/>
    <s v="AGATHA"/>
    <x v="23"/>
    <x v="2"/>
    <x v="0"/>
  </r>
  <r>
    <n v="62033"/>
    <x v="22"/>
    <s v="MME"/>
    <x v="3"/>
    <n v="50040566"/>
    <s v="PISTOLA PNEUMATICA DE PINTURA"/>
    <n v="1"/>
    <s v="REALIZADO"/>
    <s v="AGATHA"/>
    <x v="23"/>
    <x v="2"/>
    <x v="0"/>
  </r>
  <r>
    <n v="77594"/>
    <x v="23"/>
    <s v="MME"/>
    <x v="0"/>
    <n v="50003297"/>
    <s v="FURADEIRA DE IMPACTO MAKITA 02"/>
    <n v="1"/>
    <s v="REALIZADO"/>
    <s v="AGATHA"/>
    <x v="23"/>
    <x v="2"/>
    <x v="0"/>
  </r>
  <r>
    <n v="79177"/>
    <x v="28"/>
    <s v="MMG"/>
    <x v="0"/>
    <n v="50037949"/>
    <s v="SARGENTO 7"/>
    <n v="1"/>
    <s v="REALIZADO"/>
    <s v="AGATHA"/>
    <x v="23"/>
    <x v="0"/>
    <x v="0"/>
  </r>
  <r>
    <n v="62137"/>
    <x v="43"/>
    <s v="MME"/>
    <x v="2"/>
    <n v="50043471"/>
    <s v="FURADEIRA BOSCH 7"/>
    <n v="1"/>
    <s v="REALIZADO"/>
    <s v="AGATHA"/>
    <x v="23"/>
    <x v="2"/>
    <x v="0"/>
  </r>
  <r>
    <n v="79177"/>
    <x v="28"/>
    <s v="MMG"/>
    <x v="0"/>
    <n v="50038517"/>
    <s v="LIXADEIRA BOSCH 5"/>
    <n v="1"/>
    <s v="REALIZADO"/>
    <s v="AGATHA"/>
    <x v="23"/>
    <x v="2"/>
    <x v="0"/>
  </r>
  <r>
    <n v="77471"/>
    <x v="35"/>
    <s v="MEE"/>
    <x v="0"/>
    <n v="50041195"/>
    <s v="PARAFUSADEIRA FUR DE IMPACTO BRUSHLESS"/>
    <n v="1"/>
    <s v="REALIZADO"/>
    <s v="AGATHA"/>
    <x v="23"/>
    <x v="2"/>
    <x v="0"/>
  </r>
  <r>
    <n v="79177"/>
    <x v="28"/>
    <s v="MMG"/>
    <x v="0"/>
    <n v="50039065"/>
    <s v="MAQUINA SOLDA TIG"/>
    <n v="1"/>
    <s v="REALIZADO"/>
    <s v="AGATHA"/>
    <x v="23"/>
    <x v="0"/>
    <x v="0"/>
  </r>
  <r>
    <n v="63713"/>
    <x v="67"/>
    <s v="MME"/>
    <x v="0"/>
    <n v="50003297"/>
    <s v="FURADEIRA DE IMPACTO MAKITA 02"/>
    <n v="1"/>
    <s v="REALIZADO"/>
    <s v="AGATHA"/>
    <x v="23"/>
    <x v="0"/>
    <x v="0"/>
  </r>
  <r>
    <n v="72713"/>
    <x v="68"/>
    <s v="MPR"/>
    <x v="0"/>
    <n v="50041195"/>
    <s v="PARAFUSADEIRA FUR DE IMPACTO BRUSHLESS"/>
    <n v="1"/>
    <s v="REALIZADO"/>
    <s v="AGATHA"/>
    <x v="23"/>
    <x v="2"/>
    <x v="0"/>
  </r>
  <r>
    <n v="62640"/>
    <x v="44"/>
    <s v="MPR"/>
    <x v="0"/>
    <n v="50038854"/>
    <s v="ARCO DE SERRA"/>
    <n v="1"/>
    <s v="REALIZADO"/>
    <s v="MARCIA"/>
    <x v="23"/>
    <x v="2"/>
    <x v="0"/>
  </r>
  <r>
    <n v="62640"/>
    <x v="44"/>
    <s v="MPR"/>
    <x v="0"/>
    <n v="50038956"/>
    <s v="LIXADEIRA BOSCH 1"/>
    <n v="1"/>
    <s v="REALIZADO"/>
    <s v="MARCIA"/>
    <x v="23"/>
    <x v="2"/>
    <x v="0"/>
  </r>
  <r>
    <n v="66830"/>
    <x v="3"/>
    <s v="MPR"/>
    <x v="0"/>
    <n v="50037916"/>
    <s v="JOGO DE TARRACHAS "/>
    <n v="1"/>
    <s v="REALIZADO"/>
    <s v="MARCIA"/>
    <x v="23"/>
    <x v="2"/>
    <x v="0"/>
  </r>
  <r>
    <n v="63713"/>
    <x v="67"/>
    <s v="MME"/>
    <x v="0"/>
    <n v="50003297"/>
    <s v="FURADEIRA DE IMPACTO MAKITA 02"/>
    <n v="1"/>
    <s v="REALIZADO"/>
    <s v="MARCIA"/>
    <x v="23"/>
    <x v="0"/>
    <x v="0"/>
  </r>
  <r>
    <n v="79177"/>
    <x v="28"/>
    <s v="MMG"/>
    <x v="0"/>
    <n v="50037892"/>
    <s v="LIXADEIRA BOSCH 2"/>
    <n v="1"/>
    <s v="REALIZADO"/>
    <s v="MATHEUS"/>
    <x v="23"/>
    <x v="0"/>
    <x v="0"/>
  </r>
  <r>
    <n v="79177"/>
    <x v="28"/>
    <s v="MMG"/>
    <x v="0"/>
    <n v="50039065"/>
    <s v="MAQUINA SOLDA TIG"/>
    <n v="1"/>
    <s v="REALIZADO"/>
    <s v="MATHEUS"/>
    <x v="23"/>
    <x v="2"/>
    <x v="0"/>
  </r>
  <r>
    <n v="62137"/>
    <x v="43"/>
    <s v="MME"/>
    <x v="2"/>
    <n v="50043471"/>
    <s v="FURADEIRA BOSCH 7"/>
    <n v="1"/>
    <s v="REALIZADO"/>
    <s v="MATHEUS"/>
    <x v="23"/>
    <x v="0"/>
    <x v="0"/>
  </r>
  <r>
    <n v="77708"/>
    <x v="69"/>
    <s v="MPR"/>
    <x v="0"/>
    <n v="50020623"/>
    <s v="REBITADOR MANUAL"/>
    <n v="1"/>
    <s v="REALIZADO"/>
    <s v="MATHEUS"/>
    <x v="23"/>
    <x v="2"/>
    <x v="0"/>
  </r>
  <r>
    <n v="78886"/>
    <x v="51"/>
    <s v="MME"/>
    <x v="0"/>
    <n v="50038841"/>
    <s v="LIXADEIRA BOSCH 4"/>
    <n v="1"/>
    <s v="REALIZADO"/>
    <s v="MATHEUS"/>
    <x v="23"/>
    <x v="0"/>
    <x v="0"/>
  </r>
  <r>
    <n v="77313"/>
    <x v="17"/>
    <s v="MPR"/>
    <x v="0"/>
    <n v="50038841"/>
    <s v="LIXADEIRA BOSCH 4"/>
    <n v="1"/>
    <s v="REALIZADO"/>
    <s v="MATHEUS"/>
    <x v="23"/>
    <x v="2"/>
    <x v="0"/>
  </r>
  <r>
    <n v="72707"/>
    <x v="59"/>
    <s v="MPR"/>
    <x v="0"/>
    <n v="50043917"/>
    <s v="PARAFUSADEIRA FURADEIRA BOSCH"/>
    <n v="1"/>
    <s v="REALIZADO"/>
    <s v="MATHEUS"/>
    <x v="23"/>
    <x v="2"/>
    <x v="0"/>
  </r>
  <r>
    <n v="77313"/>
    <x v="17"/>
    <s v="MPR"/>
    <x v="0"/>
    <n v="50038841"/>
    <s v="LIXADEIRA BOSCH 4"/>
    <n v="1"/>
    <s v="REALIZADO"/>
    <s v="MATHEUS"/>
    <x v="23"/>
    <x v="2"/>
    <x v="0"/>
  </r>
  <r>
    <n v="79177"/>
    <x v="28"/>
    <s v="MMG"/>
    <x v="0"/>
    <n v="50039065"/>
    <s v="MAQUINA SOLDA TIG"/>
    <n v="1"/>
    <s v="REALIZADO"/>
    <s v="MATHEUS"/>
    <x v="23"/>
    <x v="2"/>
    <x v="0"/>
  </r>
  <r>
    <n v="72713"/>
    <x v="68"/>
    <s v="MPR"/>
    <x v="0"/>
    <n v="50041195"/>
    <s v="PARAFUSADEIRA FUR DE IMPACTO BRUSHLESS"/>
    <n v="1"/>
    <s v="REALIZADO"/>
    <s v="MATHEUS"/>
    <x v="23"/>
    <x v="2"/>
    <x v="0"/>
  </r>
  <r>
    <n v="79177"/>
    <x v="28"/>
    <s v="MMG"/>
    <x v="0"/>
    <n v="50037892"/>
    <s v="LIXADEIRA BOSCH 2"/>
    <n v="1"/>
    <s v="REALIZADO"/>
    <s v="MATHEUS"/>
    <x v="23"/>
    <x v="0"/>
    <x v="0"/>
  </r>
  <r>
    <n v="73878"/>
    <x v="20"/>
    <s v="MMG"/>
    <x v="0"/>
    <n v="50038956"/>
    <s v="LIXADEIRA BOSCH 1"/>
    <n v="1"/>
    <s v="REALIZADO"/>
    <s v="KELLY"/>
    <x v="24"/>
    <x v="0"/>
    <x v="0"/>
  </r>
  <r>
    <n v="62033"/>
    <x v="22"/>
    <s v="MME"/>
    <x v="3"/>
    <n v="50040566"/>
    <s v="PISTOLA PNEUMATICA DE PINTURA"/>
    <n v="1"/>
    <s v="REALIZADO"/>
    <s v="KELLY"/>
    <x v="24"/>
    <x v="2"/>
    <x v="0"/>
  </r>
  <r>
    <n v="65472"/>
    <x v="48"/>
    <s v="MMG"/>
    <x v="0"/>
    <n v="50038626"/>
    <s v="MARRETA 8KG"/>
    <n v="1"/>
    <s v="REALIZADO"/>
    <s v="KELLY"/>
    <x v="24"/>
    <x v="0"/>
    <x v="0"/>
  </r>
  <r>
    <n v="79177"/>
    <x v="28"/>
    <s v="MMG"/>
    <x v="0"/>
    <n v="50039718"/>
    <s v="ESCALA DE ACO 1000MM VONDER "/>
    <n v="1"/>
    <s v="REALIZADO"/>
    <s v="AGATHA"/>
    <x v="24"/>
    <x v="2"/>
    <x v="0"/>
  </r>
  <r>
    <n v="62033"/>
    <x v="22"/>
    <s v="MME"/>
    <x v="3"/>
    <n v="50040566"/>
    <s v="PISTOLA PNEUMATICA DE PINTURA"/>
    <n v="1"/>
    <s v="REALIZADO"/>
    <s v="AGATHA"/>
    <x v="24"/>
    <x v="0"/>
    <x v="0"/>
  </r>
  <r>
    <n v="70105"/>
    <x v="25"/>
    <s v="MMG"/>
    <x v="3"/>
    <n v="50012902"/>
    <s v="SACA POLIA 03 GARRAS 250 MM GEDORE"/>
    <n v="1"/>
    <s v="REALIZADO"/>
    <s v="AGATHA"/>
    <x v="24"/>
    <x v="0"/>
    <x v="0"/>
  </r>
  <r>
    <n v="72715"/>
    <x v="26"/>
    <s v="MPR"/>
    <x v="0"/>
    <n v="50036086"/>
    <s v="CHAVE GRIFO 18"/>
    <n v="1"/>
    <s v="REALIZADO"/>
    <s v="AGATHA"/>
    <x v="24"/>
    <x v="2"/>
    <x v="0"/>
  </r>
  <r>
    <n v="66790"/>
    <x v="60"/>
    <s v="MMG"/>
    <x v="3"/>
    <n v="50042283"/>
    <s v="TALHA 2000KG x 5M"/>
    <n v="1"/>
    <s v="REALIZADO"/>
    <s v="AGATHA"/>
    <x v="24"/>
    <x v="2"/>
    <x v="0"/>
  </r>
  <r>
    <n v="66790"/>
    <x v="60"/>
    <s v="MMG"/>
    <x v="3"/>
    <n v="50041095"/>
    <s v="TALHA MANUAL 1000KG"/>
    <n v="1"/>
    <s v="REALIZADO"/>
    <s v="AGATHA"/>
    <x v="24"/>
    <x v="0"/>
    <x v="0"/>
  </r>
  <r>
    <n v="77471"/>
    <x v="35"/>
    <s v="MEE"/>
    <x v="0"/>
    <n v="50041195"/>
    <s v="PARAFUSADEIRA FUR DE IMPACTO BRUSHLESS"/>
    <n v="1"/>
    <s v="REALIZADO"/>
    <s v="AGATHA"/>
    <x v="24"/>
    <x v="0"/>
    <x v="0"/>
  </r>
  <r>
    <n v="78886"/>
    <x v="51"/>
    <s v="MME"/>
    <x v="0"/>
    <n v="50038517"/>
    <s v="LIXADEIRA BOSCH 5"/>
    <n v="1"/>
    <s v="REALIZADO"/>
    <s v="AGATHA"/>
    <x v="24"/>
    <x v="2"/>
    <x v="0"/>
  </r>
  <r>
    <n v="79177"/>
    <x v="28"/>
    <s v="MMG"/>
    <x v="0"/>
    <n v="50039718"/>
    <s v="ESCALA DE ACO 1000MM VONDER "/>
    <n v="1"/>
    <s v="REALIZADO"/>
    <s v="AGATHA"/>
    <x v="24"/>
    <x v="2"/>
    <x v="0"/>
  </r>
  <r>
    <n v="72715"/>
    <x v="26"/>
    <s v="MPR"/>
    <x v="0"/>
    <n v="50036086"/>
    <s v="CHAVE GRIFO 18"/>
    <n v="1"/>
    <s v="REALIZADO"/>
    <s v="AGATHA"/>
    <x v="24"/>
    <x v="2"/>
    <x v="0"/>
  </r>
  <r>
    <n v="73878"/>
    <x v="20"/>
    <s v="MMG"/>
    <x v="0"/>
    <n v="50038956"/>
    <s v="LIXADEIRA BOSCH 1"/>
    <n v="1"/>
    <s v="REALIZADO"/>
    <s v="AGATHA"/>
    <x v="24"/>
    <x v="2"/>
    <x v="0"/>
  </r>
  <r>
    <n v="70105"/>
    <x v="25"/>
    <s v="MMG"/>
    <x v="3"/>
    <n v="50012902"/>
    <s v="SACA POLIA 03 GARRAS 250 MM GEDORE"/>
    <n v="1"/>
    <s v="REALIZADO"/>
    <s v="AGATHA"/>
    <x v="24"/>
    <x v="0"/>
    <x v="0"/>
  </r>
  <r>
    <n v="79177"/>
    <x v="28"/>
    <s v="MMG"/>
    <x v="0"/>
    <n v="50038854"/>
    <s v="ARCO DE SERRA"/>
    <n v="1"/>
    <s v="REALIZADO"/>
    <s v="AGATHA"/>
    <x v="24"/>
    <x v="0"/>
    <x v="0"/>
  </r>
  <r>
    <n v="77708"/>
    <x v="69"/>
    <s v="MPR"/>
    <x v="0"/>
    <n v="50020623"/>
    <s v="REBITADOR MANUAL"/>
    <n v="1"/>
    <s v="REALIZADO"/>
    <s v="AGATHA"/>
    <x v="24"/>
    <x v="0"/>
    <x v="0"/>
  </r>
  <r>
    <n v="77708"/>
    <x v="69"/>
    <s v="MPR"/>
    <x v="0"/>
    <n v="50043917"/>
    <s v="PARAFUSADEIRA FURADEIRA BOSCH"/>
    <n v="1"/>
    <s v="REALIZADO"/>
    <s v="AGATHA"/>
    <x v="24"/>
    <x v="2"/>
    <x v="0"/>
  </r>
  <r>
    <n v="79177"/>
    <x v="28"/>
    <s v="MMG"/>
    <x v="0"/>
    <n v="50038854"/>
    <s v="ARCO DE SERRA"/>
    <n v="1"/>
    <s v="REALIZADO"/>
    <s v="MARCIA"/>
    <x v="24"/>
    <x v="2"/>
    <x v="0"/>
  </r>
  <r>
    <n v="77708"/>
    <x v="69"/>
    <s v="MPR"/>
    <x v="0"/>
    <n v="50020623"/>
    <s v="REBITADOR MANUAL"/>
    <n v="1"/>
    <s v="REALIZADO"/>
    <s v="MARCIA"/>
    <x v="24"/>
    <x v="2"/>
    <x v="0"/>
  </r>
  <r>
    <n v="77708"/>
    <x v="69"/>
    <s v="MPR"/>
    <x v="0"/>
    <n v="50043917"/>
    <s v="PARAFUSADEIRA FURADEIRA BOSCH"/>
    <n v="1"/>
    <s v="REALIZADO"/>
    <s v="MARCIA"/>
    <x v="24"/>
    <x v="0"/>
    <x v="0"/>
  </r>
  <r>
    <n v="77594"/>
    <x v="23"/>
    <s v="MME"/>
    <x v="0"/>
    <n v="50043917"/>
    <s v="PARAFUSADEIRA FURADEIRA BOSCH"/>
    <n v="1"/>
    <s v="REALIZADO"/>
    <s v="BRUNO"/>
    <x v="24"/>
    <x v="0"/>
    <x v="0"/>
  </r>
  <r>
    <n v="62896"/>
    <x v="33"/>
    <s v="MEE"/>
    <x v="0"/>
    <n v="50038841"/>
    <s v="LIXADEIRA BOSCH 4"/>
    <n v="1"/>
    <s v="REALIZADO"/>
    <s v="BRUNO"/>
    <x v="24"/>
    <x v="0"/>
    <x v="0"/>
  </r>
  <r>
    <n v="74950"/>
    <x v="70"/>
    <s v="MTC"/>
    <x v="0"/>
    <n v="50039065"/>
    <s v="MAQUINA SOLDA TIG"/>
    <n v="1"/>
    <s v="REALIZADO"/>
    <s v="MATHEUS"/>
    <x v="24"/>
    <x v="2"/>
    <x v="0"/>
  </r>
  <r>
    <n v="78886"/>
    <x v="51"/>
    <s v="MME"/>
    <x v="0"/>
    <n v="50038517"/>
    <s v="LIXADEIRA BOSCH 5"/>
    <n v="1"/>
    <s v="REALIZADO"/>
    <s v="BRUNO"/>
    <x v="24"/>
    <x v="2"/>
    <x v="0"/>
  </r>
  <r>
    <n v="62896"/>
    <x v="33"/>
    <s v="MEE"/>
    <x v="0"/>
    <n v="50038841"/>
    <s v="LIXADEIRA BOSCH 4"/>
    <n v="1"/>
    <s v="REALIZADO"/>
    <s v="BRUNO"/>
    <x v="24"/>
    <x v="0"/>
    <x v="0"/>
  </r>
  <r>
    <n v="63713"/>
    <x v="67"/>
    <s v="MME"/>
    <x v="0"/>
    <n v="50038841"/>
    <s v="LIXADEIRA BOSCH 4"/>
    <n v="1"/>
    <s v="REALIZADO"/>
    <s v="BRUNO"/>
    <x v="24"/>
    <x v="2"/>
    <x v="0"/>
  </r>
  <r>
    <n v="63713"/>
    <x v="67"/>
    <s v="MME"/>
    <x v="0"/>
    <n v="50038841"/>
    <s v="LIXADEIRA BOSCH 4"/>
    <n v="1"/>
    <s v="REALIZADO"/>
    <s v="BRUNO"/>
    <x v="24"/>
    <x v="0"/>
    <x v="0"/>
  </r>
  <r>
    <n v="77594"/>
    <x v="23"/>
    <s v="MME"/>
    <x v="0"/>
    <n v="50037892"/>
    <s v="LIXADEIRA BOSCH 2"/>
    <n v="1"/>
    <s v="REALIZADO"/>
    <s v="BRUNO"/>
    <x v="24"/>
    <x v="2"/>
    <x v="0"/>
  </r>
  <r>
    <n v="74950"/>
    <x v="70"/>
    <s v="MTC"/>
    <x v="0"/>
    <n v="50039065"/>
    <s v="MAQUINA SOLDA TIG"/>
    <n v="1"/>
    <s v="REALIZADO"/>
    <s v="BRUNO"/>
    <x v="24"/>
    <x v="2"/>
    <x v="0"/>
  </r>
  <r>
    <n v="77594"/>
    <x v="23"/>
    <s v="MME"/>
    <x v="0"/>
    <n v="50037892"/>
    <s v="LIXADEIRA BOSCH 2"/>
    <n v="1"/>
    <s v="REALIZADO"/>
    <s v="BRUNO"/>
    <x v="24"/>
    <x v="0"/>
    <x v="0"/>
  </r>
  <r>
    <n v="61955"/>
    <x v="55"/>
    <s v="MME"/>
    <x v="2"/>
    <n v="50038517"/>
    <s v="LIXADEIRA BOSCH 5"/>
    <n v="1"/>
    <s v="REALIZADO"/>
    <s v="BRUNO"/>
    <x v="24"/>
    <x v="0"/>
    <x v="0"/>
  </r>
  <r>
    <n v="61955"/>
    <x v="55"/>
    <s v="MME"/>
    <x v="2"/>
    <n v="50039065"/>
    <s v="MAQUINA SOLDA TIG"/>
    <n v="1"/>
    <s v="REALIZADO"/>
    <s v="BRUNO"/>
    <x v="24"/>
    <x v="0"/>
    <x v="0"/>
  </r>
  <r>
    <n v="78886"/>
    <x v="51"/>
    <s v="MME"/>
    <x v="0"/>
    <n v="50038956"/>
    <s v="LIXADEIRA BOSCH 1"/>
    <n v="1"/>
    <s v="REALIZADO"/>
    <s v="BRUNO"/>
    <x v="24"/>
    <x v="2"/>
    <x v="0"/>
  </r>
  <r>
    <n v="77594"/>
    <x v="23"/>
    <s v="MME"/>
    <x v="0"/>
    <n v="50043917"/>
    <s v="PARAFUSADEIRA FURADEIRA BOSCH"/>
    <n v="1"/>
    <s v="REALIZADO"/>
    <s v="BRUNO"/>
    <x v="24"/>
    <x v="2"/>
    <x v="0"/>
  </r>
  <r>
    <n v="61955"/>
    <x v="55"/>
    <s v="MME"/>
    <x v="2"/>
    <n v="50039065"/>
    <s v="MAQUINA SOLDA TIG"/>
    <n v="1"/>
    <s v="REALIZADO"/>
    <s v="BRUNO"/>
    <x v="24"/>
    <x v="2"/>
    <x v="0"/>
  </r>
  <r>
    <n v="70105"/>
    <x v="25"/>
    <s v="MMG"/>
    <x v="3"/>
    <n v="50037958"/>
    <s v="CHAVE CATRACA 2 Nº24"/>
    <n v="1"/>
    <s v="REALIZADO"/>
    <s v="BRUNO"/>
    <x v="24"/>
    <x v="2"/>
    <x v="0"/>
  </r>
  <r>
    <n v="70105"/>
    <x v="25"/>
    <s v="MMG"/>
    <x v="3"/>
    <n v="50037957"/>
    <s v="CHAVE CATRACA 1 Nº24"/>
    <n v="1"/>
    <s v="REALIZADO"/>
    <s v="BRUNO"/>
    <x v="24"/>
    <x v="2"/>
    <x v="0"/>
  </r>
  <r>
    <n v="61955"/>
    <x v="55"/>
    <s v="MME"/>
    <x v="2"/>
    <n v="50038517"/>
    <s v="LIXADEIRA BOSCH 5"/>
    <n v="1"/>
    <s v="REALIZADO"/>
    <s v="BRUNO"/>
    <x v="24"/>
    <x v="0"/>
    <x v="0"/>
  </r>
  <r>
    <n v="76239"/>
    <x v="19"/>
    <s v="REFRIG"/>
    <x v="0"/>
    <n v="50003297"/>
    <s v="FURADEIRA DE IMPACTO MAKITA 02"/>
    <n v="1"/>
    <s v="REALIZADO"/>
    <s v="BRUNO"/>
    <x v="24"/>
    <x v="2"/>
    <x v="0"/>
  </r>
  <r>
    <n v="78886"/>
    <x v="51"/>
    <s v="MME"/>
    <x v="0"/>
    <n v="50038956"/>
    <s v="LIXADEIRA BOSCH 1"/>
    <n v="1"/>
    <s v="REALIZADO"/>
    <s v="BRUNO"/>
    <x v="24"/>
    <x v="0"/>
    <x v="0"/>
  </r>
  <r>
    <n v="70105"/>
    <x v="25"/>
    <s v="MMG"/>
    <x v="3"/>
    <n v="50038841"/>
    <s v="LIXADEIRA BOSCH 4"/>
    <n v="1"/>
    <s v="REALIZADO"/>
    <s v="BRUNO"/>
    <x v="24"/>
    <x v="2"/>
    <x v="0"/>
  </r>
  <r>
    <n v="70105"/>
    <x v="25"/>
    <s v="MMG"/>
    <x v="3"/>
    <n v="50038841"/>
    <s v="LIXADEIRA BOSCH 4"/>
    <n v="1"/>
    <s v="REALIZADO"/>
    <s v="BRUNO"/>
    <x v="24"/>
    <x v="0"/>
    <x v="0"/>
  </r>
  <r>
    <n v="60953"/>
    <x v="71"/>
    <s v="MMG"/>
    <x v="2"/>
    <n v="50043917"/>
    <s v="PARAFUSADEIRA FURADEIRA BOSCH"/>
    <n v="1"/>
    <s v="REALIZADO"/>
    <s v="BRUNO"/>
    <x v="24"/>
    <x v="2"/>
    <x v="0"/>
  </r>
  <r>
    <n v="76239"/>
    <x v="19"/>
    <s v="REFRIG"/>
    <x v="0"/>
    <n v="50003297"/>
    <s v="FURADEIRA DE IMPACTO MAKITA 02"/>
    <n v="1"/>
    <s v="REALIZADO"/>
    <s v="BRUNO"/>
    <x v="24"/>
    <x v="2"/>
    <x v="0"/>
  </r>
  <r>
    <n v="60953"/>
    <x v="71"/>
    <s v="MMG"/>
    <x v="2"/>
    <n v="50043917"/>
    <s v="PARAFUSADEIRA FURADEIRA BOSCH"/>
    <n v="1"/>
    <s v="REALIZADO"/>
    <s v="BRUNO"/>
    <x v="24"/>
    <x v="2"/>
    <x v="0"/>
  </r>
  <r>
    <n v="77471"/>
    <x v="35"/>
    <s v="MEE"/>
    <x v="0"/>
    <n v="50041195"/>
    <s v="PARAFUSADEIRA FUR DE IMPACTO BRUSHLESS"/>
    <n v="1"/>
    <s v="REALIZADO"/>
    <s v="BRUNO"/>
    <x v="24"/>
    <x v="0"/>
    <x v="0"/>
  </r>
  <r>
    <n v="62161"/>
    <x v="72"/>
    <s v="MME"/>
    <x v="3"/>
    <n v="50041195"/>
    <s v="PARAFUSADEIRA FUR DE IMPACTO BRUSHLESS"/>
    <n v="1"/>
    <s v="REALIZADO"/>
    <s v="KELLY"/>
    <x v="25"/>
    <x v="0"/>
    <x v="0"/>
  </r>
  <r>
    <n v="65131"/>
    <x v="41"/>
    <s v="MMG"/>
    <x v="3"/>
    <n v="50038549"/>
    <s v="JOGO SOQUETE ESTRIADOS 1/2 22PEÇ"/>
    <n v="1"/>
    <s v="REALIZADO"/>
    <s v="KELLY"/>
    <x v="25"/>
    <x v="0"/>
    <x v="0"/>
  </r>
  <r>
    <n v="65472"/>
    <x v="48"/>
    <s v="MMG"/>
    <x v="0"/>
    <n v="50037905"/>
    <s v="ESTETOSCÓPIO SKF"/>
    <n v="1"/>
    <s v="REALIZADO"/>
    <s v="KELLY"/>
    <x v="25"/>
    <x v="2"/>
    <x v="0"/>
  </r>
  <r>
    <n v="62161"/>
    <x v="72"/>
    <s v="MME"/>
    <x v="3"/>
    <n v="50041195"/>
    <s v="PARAFUSADEIRA FUR DE IMPACTO BRUSHLESS"/>
    <n v="1"/>
    <s v="REALIZADO"/>
    <s v="KELLY"/>
    <x v="25"/>
    <x v="2"/>
    <x v="0"/>
  </r>
  <r>
    <n v="65131"/>
    <x v="41"/>
    <s v="MMG"/>
    <x v="3"/>
    <n v="50038549"/>
    <s v="JOGO SOQUETE ESTRIADOS 1/2 22PEÇ"/>
    <n v="1"/>
    <s v="REALIZADO"/>
    <s v="KELLY"/>
    <x v="25"/>
    <x v="2"/>
    <x v="0"/>
  </r>
  <r>
    <n v="65472"/>
    <x v="48"/>
    <s v="MMG"/>
    <x v="0"/>
    <n v="50037905"/>
    <s v="ESTETOSCÓPIO SKF"/>
    <n v="1"/>
    <s v="REALIZADO"/>
    <s v="KELLY"/>
    <x v="25"/>
    <x v="0"/>
    <x v="0"/>
  </r>
  <r>
    <n v="65472"/>
    <x v="48"/>
    <s v="MMG"/>
    <x v="0"/>
    <n v="50037905"/>
    <s v="ESTETOSCÓPIO SKF"/>
    <n v="1"/>
    <s v="REALIZADO"/>
    <s v="KELLY"/>
    <x v="26"/>
    <x v="0"/>
    <x v="0"/>
  </r>
  <r>
    <n v="65900"/>
    <x v="73"/>
    <s v="MME"/>
    <x v="3"/>
    <n v="50003297"/>
    <s v="FURADEIRA DE IMPACTO MAKITA 02"/>
    <n v="1"/>
    <s v="REALIZADO"/>
    <s v="KELLY"/>
    <x v="26"/>
    <x v="0"/>
    <x v="0"/>
  </r>
  <r>
    <n v="62161"/>
    <x v="72"/>
    <s v="MME"/>
    <x v="3"/>
    <n v="50041195"/>
    <s v="PARAFUSADEIRA FUR DE IMPACTO BRUSHLESS"/>
    <n v="1"/>
    <s v="REALIZADO"/>
    <s v="KELLY"/>
    <x v="26"/>
    <x v="0"/>
    <x v="0"/>
  </r>
  <r>
    <n v="62161"/>
    <x v="72"/>
    <s v="MME"/>
    <x v="3"/>
    <n v="50037892"/>
    <s v="LIXADEIRA BOSCH 2"/>
    <n v="1"/>
    <s v="REALIZADO"/>
    <s v="KELLY"/>
    <x v="26"/>
    <x v="0"/>
    <x v="0"/>
  </r>
  <r>
    <n v="62033"/>
    <x v="22"/>
    <s v="MME"/>
    <x v="3"/>
    <n v="50040566"/>
    <s v="PISTOLA PNEUMATICA DE PINTURA"/>
    <n v="1"/>
    <s v="REALIZADO"/>
    <s v="KELLY"/>
    <x v="26"/>
    <x v="2"/>
    <x v="0"/>
  </r>
  <r>
    <n v="62033"/>
    <x v="22"/>
    <s v="MME"/>
    <x v="3"/>
    <n v="50040566"/>
    <s v="PISTOLA PNEUMATICA DE PINTURA"/>
    <n v="1"/>
    <s v="REALIZADO"/>
    <s v="KELLY"/>
    <x v="26"/>
    <x v="2"/>
    <x v="0"/>
  </r>
  <r>
    <n v="65472"/>
    <x v="48"/>
    <s v="MMG"/>
    <x v="0"/>
    <n v="50037905"/>
    <s v="ESTETOSCÓPIO SKF"/>
    <n v="1"/>
    <s v="REALIZADO"/>
    <s v="KELLY"/>
    <x v="26"/>
    <x v="2"/>
    <x v="0"/>
  </r>
  <r>
    <n v="65900"/>
    <x v="73"/>
    <s v="MME"/>
    <x v="3"/>
    <n v="50003297"/>
    <s v="FURADEIRA DE IMPACTO MAKITA 02"/>
    <n v="1"/>
    <s v="REALIZADO"/>
    <s v="KELLY"/>
    <x v="26"/>
    <x v="2"/>
    <x v="0"/>
  </r>
  <r>
    <n v="62161"/>
    <x v="72"/>
    <s v="MME"/>
    <x v="3"/>
    <n v="50041195"/>
    <s v="PARAFUSADEIRA FUR DE IMPACTO BRUSHLESS"/>
    <n v="1"/>
    <s v="REALIZADO"/>
    <s v="KELLY"/>
    <x v="26"/>
    <x v="2"/>
    <x v="0"/>
  </r>
  <r>
    <n v="62161"/>
    <x v="72"/>
    <s v="MME"/>
    <x v="3"/>
    <n v="50037892"/>
    <s v="LIXADEIRA BOSCH 2"/>
    <n v="1"/>
    <s v="REALIZADO"/>
    <s v="KELLY"/>
    <x v="26"/>
    <x v="0"/>
    <x v="0"/>
  </r>
  <r>
    <n v="65131"/>
    <x v="41"/>
    <s v="MMG"/>
    <x v="3"/>
    <n v="50038549"/>
    <s v="JOGO SOQUETE ESTRIADOS 1/2 22PEÇ"/>
    <n v="1"/>
    <s v="REALIZADO"/>
    <s v="KELLY"/>
    <x v="26"/>
    <x v="2"/>
    <x v="0"/>
  </r>
  <r>
    <n v="65131"/>
    <x v="41"/>
    <s v="MMG"/>
    <x v="3"/>
    <n v="50038549"/>
    <s v="JOGO SOQUETE ESTRIADOS 1/2 22PEÇ"/>
    <n v="1"/>
    <s v="REALIZADO"/>
    <s v="KELLY"/>
    <x v="26"/>
    <x v="0"/>
    <x v="0"/>
  </r>
  <r>
    <n v="62471"/>
    <x v="9"/>
    <s v="MME"/>
    <x v="0"/>
    <n v="50038841"/>
    <s v="LIXADEIRA BOSCH 4"/>
    <n v="1"/>
    <s v="REALIZADO"/>
    <s v="GEOVANE"/>
    <x v="26"/>
    <x v="0"/>
    <x v="0"/>
  </r>
  <r>
    <n v="63713"/>
    <x v="67"/>
    <s v="MME"/>
    <x v="0"/>
    <n v="50043917"/>
    <s v="PARAFUSADEIRA FURADEIRA BOSCH"/>
    <n v="1"/>
    <s v="REALIZADO"/>
    <s v="GEOVANE"/>
    <x v="26"/>
    <x v="0"/>
    <x v="0"/>
  </r>
  <r>
    <n v="68760"/>
    <x v="15"/>
    <s v="MMG"/>
    <x v="0"/>
    <n v="50039718"/>
    <s v="ESCALA DE ACO 1000MM VONDER "/>
    <n v="1"/>
    <s v="REALIZADO"/>
    <s v="AGATHA"/>
    <x v="26"/>
    <x v="2"/>
    <x v="0"/>
  </r>
  <r>
    <n v="68760"/>
    <x v="15"/>
    <s v="MMG"/>
    <x v="0"/>
    <n v="50039718"/>
    <s v="ESCALA DE ACO 1000MM VONDER "/>
    <n v="1"/>
    <s v="REALIZADO"/>
    <s v="AGATHA"/>
    <x v="26"/>
    <x v="0"/>
    <x v="0"/>
  </r>
  <r>
    <n v="72715"/>
    <x v="26"/>
    <s v="MPR"/>
    <x v="0"/>
    <n v="50037892"/>
    <s v="LIXADEIRA BOSCH 2"/>
    <n v="1"/>
    <s v="REALIZADO"/>
    <s v="GEOVANE"/>
    <x v="26"/>
    <x v="2"/>
    <x v="0"/>
  </r>
  <r>
    <n v="72715"/>
    <x v="26"/>
    <s v="MPR"/>
    <x v="0"/>
    <n v="50037892"/>
    <s v="LIXADEIRA BOSCH 2"/>
    <n v="1"/>
    <s v="REALIZADO"/>
    <s v="GEOVANE"/>
    <x v="26"/>
    <x v="0"/>
    <x v="0"/>
  </r>
  <r>
    <n v="65472"/>
    <x v="48"/>
    <s v="MMG"/>
    <x v="0"/>
    <n v="50043471"/>
    <s v="FURADEIRA BOSCH 7"/>
    <n v="1"/>
    <s v="REALIZADO"/>
    <s v="GEOVANE"/>
    <x v="26"/>
    <x v="2"/>
    <x v="0"/>
  </r>
  <r>
    <n v="65472"/>
    <x v="48"/>
    <s v="MMG"/>
    <x v="0"/>
    <n v="50043471"/>
    <s v="FURADEIRA BOSCH 7"/>
    <n v="1"/>
    <s v="REALIZADO"/>
    <s v="GEOVANE"/>
    <x v="26"/>
    <x v="0"/>
    <x v="0"/>
  </r>
  <r>
    <n v="62180"/>
    <x v="18"/>
    <s v="MMG"/>
    <x v="0"/>
    <n v="50043471"/>
    <s v="FURADEIRA BOSCH 7"/>
    <n v="1"/>
    <s v="REALIZADO"/>
    <s v="AGATHA"/>
    <x v="26"/>
    <x v="2"/>
    <x v="0"/>
  </r>
  <r>
    <n v="62180"/>
    <x v="18"/>
    <s v="MMG"/>
    <x v="0"/>
    <n v="50043471"/>
    <s v="FURADEIRA BOSCH 7"/>
    <n v="1"/>
    <s v="REALIZADO"/>
    <s v="AGATHA"/>
    <x v="26"/>
    <x v="0"/>
    <x v="0"/>
  </r>
  <r>
    <n v="62471"/>
    <x v="9"/>
    <s v="MME"/>
    <x v="0"/>
    <n v="50003297"/>
    <s v="FURADEIRA DE IMPACTO MAKITA 02"/>
    <n v="1"/>
    <s v="REALIZADO"/>
    <s v="AGATHA"/>
    <x v="26"/>
    <x v="0"/>
    <x v="0"/>
  </r>
  <r>
    <n v="62137"/>
    <x v="43"/>
    <s v="MME"/>
    <x v="2"/>
    <n v="50037892"/>
    <s v="LIXADEIRA BOSCH 2"/>
    <n v="1"/>
    <s v="REALIZADO"/>
    <s v="AGATHA"/>
    <x v="26"/>
    <x v="0"/>
    <x v="0"/>
  </r>
  <r>
    <n v="72707"/>
    <x v="59"/>
    <s v="MPR"/>
    <x v="0"/>
    <n v="50041195"/>
    <s v="PARAFUSADEIRA FUR DE IMPACTO BRUSHLESS"/>
    <n v="1"/>
    <s v="REALIZADO"/>
    <s v="AGATHA"/>
    <x v="26"/>
    <x v="0"/>
    <x v="0"/>
  </r>
  <r>
    <n v="72728"/>
    <x v="58"/>
    <s v="UTI"/>
    <x v="3"/>
    <n v="50032775"/>
    <s v="SACA POLIA 150MM 3 GARRAS - GEDORE"/>
    <n v="1"/>
    <s v="REALIZADO"/>
    <s v="GEOVANE"/>
    <x v="26"/>
    <x v="0"/>
    <x v="0"/>
  </r>
  <r>
    <n v="68430"/>
    <x v="61"/>
    <s v="MEE"/>
    <x v="2"/>
    <n v="50036296"/>
    <s v="CHAVE AJUSTÁVEL 45MM"/>
    <n v="1"/>
    <s v="REALIZADO"/>
    <s v="GEOVANE"/>
    <x v="26"/>
    <x v="0"/>
    <x v="0"/>
  </r>
  <r>
    <n v="72713"/>
    <x v="68"/>
    <s v="MPR"/>
    <x v="0"/>
    <n v="50030486"/>
    <s v="FURADEIRA BOSCH 3"/>
    <n v="1"/>
    <s v="REALIZADO"/>
    <s v="MATHEUS"/>
    <x v="26"/>
    <x v="2"/>
    <x v="0"/>
  </r>
  <r>
    <n v="72713"/>
    <x v="68"/>
    <s v="MPR"/>
    <x v="0"/>
    <n v="50030486"/>
    <s v="FURADEIRA BOSCH 3"/>
    <n v="1"/>
    <s v="REALIZADO"/>
    <s v="MATHEUS"/>
    <x v="26"/>
    <x v="0"/>
    <x v="0"/>
  </r>
  <r>
    <n v="78886"/>
    <x v="51"/>
    <s v="MME"/>
    <x v="0"/>
    <n v="50043471"/>
    <s v="FURADEIRA BOSCH 7"/>
    <n v="1"/>
    <s v="REALIZADO"/>
    <s v="MATHEUS"/>
    <x v="26"/>
    <x v="2"/>
    <x v="0"/>
  </r>
  <r>
    <n v="78886"/>
    <x v="51"/>
    <s v="MME"/>
    <x v="0"/>
    <n v="50043471"/>
    <s v="FURADEIRA BOSCH 7"/>
    <n v="1"/>
    <s v="REALIZADO"/>
    <s v="MATHEUS"/>
    <x v="26"/>
    <x v="2"/>
    <x v="0"/>
  </r>
  <r>
    <n v="62471"/>
    <x v="9"/>
    <s v="MME"/>
    <x v="0"/>
    <n v="50003297"/>
    <s v="FURADEIRA DE IMPACTO MAKITA 02"/>
    <n v="1"/>
    <s v="REALIZADO"/>
    <s v="MATHEUS"/>
    <x v="26"/>
    <x v="0"/>
    <x v="0"/>
  </r>
  <r>
    <n v="77526"/>
    <x v="37"/>
    <s v="MME"/>
    <x v="0"/>
    <n v="50038956"/>
    <s v="LIXADEIRA BOSCH 1"/>
    <n v="1"/>
    <s v="REALIZADO"/>
    <s v="MARCIA"/>
    <x v="26"/>
    <x v="2"/>
    <x v="0"/>
  </r>
  <r>
    <n v="77526"/>
    <x v="37"/>
    <s v="MME"/>
    <x v="0"/>
    <n v="50038956"/>
    <s v="LIXADEIRA BOSCH 1"/>
    <n v="1"/>
    <s v="REALIZADO"/>
    <s v="MATHEUS"/>
    <x v="26"/>
    <x v="2"/>
    <x v="0"/>
  </r>
  <r>
    <n v="62137"/>
    <x v="43"/>
    <s v="MME"/>
    <x v="2"/>
    <n v="50037892"/>
    <s v="LIXADEIRA BOSCH 2"/>
    <n v="1"/>
    <s v="REALIZADO"/>
    <s v="MATHEUS"/>
    <x v="26"/>
    <x v="2"/>
    <x v="0"/>
  </r>
  <r>
    <n v="62471"/>
    <x v="9"/>
    <s v="MME"/>
    <x v="0"/>
    <n v="50038841"/>
    <s v="LIXADEIRA BOSCH 4"/>
    <n v="1"/>
    <s v="REALIZADO"/>
    <s v="MATHEUS"/>
    <x v="26"/>
    <x v="0"/>
    <x v="0"/>
  </r>
  <r>
    <n v="77594"/>
    <x v="23"/>
    <s v="MME"/>
    <x v="0"/>
    <n v="50039065"/>
    <s v="MAQUINA DE SOLDA"/>
    <n v="1"/>
    <s v="REALIZADO"/>
    <s v="MATHEUS"/>
    <x v="26"/>
    <x v="2"/>
    <x v="0"/>
  </r>
  <r>
    <n v="77594"/>
    <x v="23"/>
    <s v="MME"/>
    <x v="0"/>
    <n v="50039065"/>
    <s v="MAQUINA DE SOLDA"/>
    <n v="1"/>
    <s v="REALIZADO"/>
    <s v="MATHEUS"/>
    <x v="26"/>
    <x v="2"/>
    <x v="0"/>
  </r>
  <r>
    <n v="72707"/>
    <x v="59"/>
    <s v="MPR"/>
    <x v="0"/>
    <n v="50041195"/>
    <s v="PARAFUSADEIRA FUR DE IMPACTO BRUSHLESS"/>
    <n v="1"/>
    <s v="REALIZADO"/>
    <s v="MATHEUS"/>
    <x v="26"/>
    <x v="2"/>
    <x v="0"/>
  </r>
  <r>
    <n v="63713"/>
    <x v="67"/>
    <s v="MME"/>
    <x v="0"/>
    <n v="50043917"/>
    <s v="PARAFUSADEIRA FURADEIRA BOSCH"/>
    <n v="1"/>
    <s v="REALIZADO"/>
    <s v="MARCIA"/>
    <x v="26"/>
    <x v="2"/>
    <x v="6"/>
  </r>
  <r>
    <n v="72728"/>
    <x v="58"/>
    <s v="UTI"/>
    <x v="3"/>
    <n v="50032775"/>
    <s v="SACA POLIA 150MM 3 GARRAS - GEDORE"/>
    <n v="1"/>
    <s v="REALIZADO"/>
    <s v="MATHEUS"/>
    <x v="26"/>
    <x v="0"/>
    <x v="0"/>
  </r>
  <r>
    <n v="65844"/>
    <x v="54"/>
    <s v="MMG"/>
    <x v="2"/>
    <n v="50037952"/>
    <s v="SUPORTE DE PAQUIMETRO - CALIBRAÇÃO MOLDADORA"/>
    <n v="1"/>
    <s v="REALIZADO"/>
    <s v="MATHEUS"/>
    <x v="26"/>
    <x v="2"/>
    <x v="0"/>
  </r>
  <r>
    <n v="65844"/>
    <x v="54"/>
    <s v="MMG"/>
    <x v="2"/>
    <n v="50037952"/>
    <s v="SUPORTE DE PAQUIMETRO - CALIBRAÇÃO MOLDADORA"/>
    <n v="1"/>
    <s v="REALIZADO"/>
    <s v="MATHEUS"/>
    <x v="26"/>
    <x v="0"/>
    <x v="0"/>
  </r>
  <r>
    <n v="65472"/>
    <x v="48"/>
    <s v="MMG"/>
    <x v="0"/>
    <n v="50037905"/>
    <s v="ESTETOSCÓPIO SKF"/>
    <n v="1"/>
    <s v="REALIZADO"/>
    <s v="KELLY"/>
    <x v="27"/>
    <x v="2"/>
    <x v="0"/>
  </r>
  <r>
    <n v="65472"/>
    <x v="48"/>
    <s v="MMG"/>
    <x v="0"/>
    <n v="50037905"/>
    <s v="ESTETOSCÓPIO SKF"/>
    <n v="1"/>
    <s v="REALIZADO"/>
    <s v="KELLY"/>
    <x v="27"/>
    <x v="0"/>
    <x v="0"/>
  </r>
  <r>
    <n v="62640"/>
    <x v="44"/>
    <s v="MPR"/>
    <x v="0"/>
    <n v="50043471"/>
    <s v="FURADEIRA BOSCH 7"/>
    <n v="1"/>
    <s v="REALIZADO"/>
    <s v="MARCIA"/>
    <x v="27"/>
    <x v="2"/>
    <x v="0"/>
  </r>
  <r>
    <n v="62640"/>
    <x v="44"/>
    <s v="MPR"/>
    <x v="0"/>
    <n v="50043471"/>
    <s v="FURADEIRA BOSCH 7"/>
    <n v="1"/>
    <s v="REALIZADO"/>
    <s v="MARCIA"/>
    <x v="27"/>
    <x v="0"/>
    <x v="0"/>
  </r>
  <r>
    <n v="63713"/>
    <x v="67"/>
    <s v="MME"/>
    <x v="0"/>
    <n v="50003297"/>
    <s v="FURADEIRA DE IMPACTO MAKITA 02"/>
    <n v="1"/>
    <s v="REALIZADO"/>
    <s v="KELLY"/>
    <x v="27"/>
    <x v="2"/>
    <x v="0"/>
  </r>
  <r>
    <n v="63713"/>
    <x v="67"/>
    <s v="MME"/>
    <x v="0"/>
    <n v="50003297"/>
    <s v="FURADEIRA DE IMPACTO MAKITA 02"/>
    <n v="1"/>
    <s v="REALIZADO"/>
    <s v="MARCIA"/>
    <x v="27"/>
    <x v="0"/>
    <x v="0"/>
  </r>
  <r>
    <n v="79177"/>
    <x v="28"/>
    <s v="MMG"/>
    <x v="0"/>
    <n v="50003297"/>
    <s v="FURADEIRA DE IMPACTO MAKITA 02"/>
    <n v="1"/>
    <s v="REALIZADO"/>
    <s v="MARCIA"/>
    <x v="27"/>
    <x v="2"/>
    <x v="0"/>
  </r>
  <r>
    <n v="79177"/>
    <x v="28"/>
    <s v="MMG"/>
    <x v="0"/>
    <n v="50003297"/>
    <s v="FURADEIRA DE IMPACTO MAKITA 02"/>
    <n v="1"/>
    <s v="REALIZADO"/>
    <s v="MARCIA"/>
    <x v="27"/>
    <x v="0"/>
    <x v="0"/>
  </r>
  <r>
    <n v="76995"/>
    <x v="49"/>
    <s v="MEE"/>
    <x v="0"/>
    <n v="50043320"/>
    <s v="JOGO SERRA COPO 8PÇS"/>
    <n v="1"/>
    <s v="REALIZADO"/>
    <s v="MARCIA"/>
    <x v="27"/>
    <x v="2"/>
    <x v="0"/>
  </r>
  <r>
    <n v="76995"/>
    <x v="49"/>
    <s v="MEE"/>
    <x v="0"/>
    <n v="50043320"/>
    <s v="JOGO SERRA COPO 8PÇS"/>
    <n v="1"/>
    <s v="REALIZADO"/>
    <s v="MARCIA"/>
    <x v="27"/>
    <x v="0"/>
    <x v="0"/>
  </r>
  <r>
    <n v="73878"/>
    <x v="20"/>
    <s v="MMG"/>
    <x v="0"/>
    <n v="50038956"/>
    <s v="LIXADEIRA BOSCH 1"/>
    <n v="1"/>
    <s v="REALIZADO"/>
    <s v="KELLY"/>
    <x v="27"/>
    <x v="2"/>
    <x v="0"/>
  </r>
  <r>
    <n v="73878"/>
    <x v="20"/>
    <s v="MMG"/>
    <x v="0"/>
    <n v="50038956"/>
    <s v="LIXADEIRA BOSCH 1"/>
    <n v="1"/>
    <s v="REALIZADO"/>
    <s v="KELLY"/>
    <x v="27"/>
    <x v="0"/>
    <x v="0"/>
  </r>
  <r>
    <n v="73878"/>
    <x v="20"/>
    <s v="MMG"/>
    <x v="0"/>
    <n v="50038956"/>
    <s v="LIXADEIRA BOSCH 1"/>
    <n v="1"/>
    <s v="REALIZADO"/>
    <s v="MARCIA"/>
    <x v="27"/>
    <x v="2"/>
    <x v="0"/>
  </r>
  <r>
    <n v="73878"/>
    <x v="20"/>
    <s v="MMG"/>
    <x v="0"/>
    <n v="50038956"/>
    <s v="LIXADEIRA BOSCH 1"/>
    <n v="1"/>
    <s v="REALIZADO"/>
    <s v="MARCIA"/>
    <x v="27"/>
    <x v="0"/>
    <x v="0"/>
  </r>
  <r>
    <n v="63713"/>
    <x v="67"/>
    <s v="MME"/>
    <x v="0"/>
    <n v="50037892"/>
    <s v="LIXADEIRA BOSCH 2"/>
    <n v="1"/>
    <s v="REALIZADO"/>
    <s v="KELLY"/>
    <x v="27"/>
    <x v="2"/>
    <x v="0"/>
  </r>
  <r>
    <n v="63713"/>
    <x v="67"/>
    <s v="MME"/>
    <x v="0"/>
    <n v="50037892"/>
    <s v="LIXADEIRA BOSCH 2"/>
    <n v="1"/>
    <s v="REALIZADO"/>
    <s v="MARCIA"/>
    <x v="27"/>
    <x v="0"/>
    <x v="0"/>
  </r>
  <r>
    <n v="77526"/>
    <x v="37"/>
    <s v="MME"/>
    <x v="0"/>
    <n v="50037902"/>
    <s v="LIXADEIRA BOSCH 3"/>
    <n v="1"/>
    <s v="REALIZADO"/>
    <s v="MARCIA"/>
    <x v="27"/>
    <x v="2"/>
    <x v="0"/>
  </r>
  <r>
    <n v="77526"/>
    <x v="37"/>
    <s v="MME"/>
    <x v="0"/>
    <n v="50037902"/>
    <s v="LIXADEIRA BOSCH 3"/>
    <n v="1"/>
    <s v="REALIZADO"/>
    <s v="MARCIA"/>
    <x v="27"/>
    <x v="0"/>
    <x v="0"/>
  </r>
  <r>
    <n v="62640"/>
    <x v="44"/>
    <s v="MPR"/>
    <x v="0"/>
    <n v="50037902"/>
    <s v="LIXADEIRA BOSCH 3"/>
    <n v="1"/>
    <s v="REALIZADO"/>
    <s v="MARCIA"/>
    <x v="27"/>
    <x v="2"/>
    <x v="0"/>
  </r>
  <r>
    <n v="62640"/>
    <x v="44"/>
    <s v="MPR"/>
    <x v="0"/>
    <n v="50037902"/>
    <s v="LIXADEIRA BOSCH 3"/>
    <n v="1"/>
    <s v="REALIZADO"/>
    <s v="MARCIA"/>
    <x v="27"/>
    <x v="0"/>
    <x v="0"/>
  </r>
  <r>
    <n v="69778"/>
    <x v="4"/>
    <s v="MEE"/>
    <x v="2"/>
    <n v="50038517"/>
    <s v="LIXADEIRA BOSCH 5"/>
    <n v="1"/>
    <s v="REALIZADO"/>
    <s v="MARCIA"/>
    <x v="27"/>
    <x v="2"/>
    <x v="0"/>
  </r>
  <r>
    <n v="69778"/>
    <x v="4"/>
    <s v="MEE"/>
    <x v="2"/>
    <n v="50038517"/>
    <s v="LIXADEIRA BOSCH 5"/>
    <n v="1"/>
    <s v="REALIZADO"/>
    <s v="MARCIA"/>
    <x v="27"/>
    <x v="2"/>
    <x v="0"/>
  </r>
  <r>
    <n v="73878"/>
    <x v="20"/>
    <s v="MMG"/>
    <x v="0"/>
    <n v="50039065"/>
    <s v="MAQUINA SOLDA TIG"/>
    <n v="1"/>
    <s v="REALIZADO"/>
    <s v="KELLY"/>
    <x v="27"/>
    <x v="0"/>
    <x v="0"/>
  </r>
  <r>
    <n v="76995"/>
    <x v="49"/>
    <s v="MEE"/>
    <x v="0"/>
    <n v="50041195"/>
    <s v="PARAFUSADEIRA FUR DE IMPACTO BRUSHLESS"/>
    <n v="1"/>
    <s v="REALIZADO"/>
    <s v="MARCIA"/>
    <x v="27"/>
    <x v="2"/>
    <x v="0"/>
  </r>
  <r>
    <n v="76995"/>
    <x v="49"/>
    <s v="MEE"/>
    <x v="0"/>
    <n v="50041195"/>
    <s v="PARAFUSADEIRA FUR DE IMPACTO BRUSHLESS"/>
    <n v="1"/>
    <s v="REALIZADO"/>
    <s v="MARCIA"/>
    <x v="27"/>
    <x v="0"/>
    <x v="0"/>
  </r>
  <r>
    <n v="69778"/>
    <x v="4"/>
    <s v="MEE"/>
    <x v="2"/>
    <n v="50043917"/>
    <s v="PARAFUSADEIRA FURADEIRA BOSCH"/>
    <n v="1"/>
    <s v="REALIZADO"/>
    <s v="MARCIA"/>
    <x v="27"/>
    <x v="2"/>
    <x v="0"/>
  </r>
  <r>
    <n v="69778"/>
    <x v="4"/>
    <s v="MEE"/>
    <x v="2"/>
    <n v="50043917"/>
    <s v="PARAFUSADEIRA FURADEIRA BOSCH"/>
    <n v="1"/>
    <s v="REALIZADO"/>
    <s v="MARCIA"/>
    <x v="27"/>
    <x v="2"/>
    <x v="0"/>
  </r>
  <r>
    <n v="77526"/>
    <x v="37"/>
    <s v="MME"/>
    <x v="0"/>
    <n v="50007151"/>
    <s v="SACA POLIA 02 GARRAS 150MM"/>
    <n v="1"/>
    <s v="REALIZADO"/>
    <s v="MARCIA"/>
    <x v="27"/>
    <x v="0"/>
    <x v="0"/>
  </r>
  <r>
    <n v="62640"/>
    <x v="44"/>
    <s v="MPR"/>
    <x v="0"/>
    <n v="50032781"/>
    <s v="SERRA TICO TICO 650W DEWALT "/>
    <n v="1"/>
    <s v="REALIZADO"/>
    <s v="MARCIA"/>
    <x v="27"/>
    <x v="2"/>
    <x v="0"/>
  </r>
  <r>
    <n v="62640"/>
    <x v="44"/>
    <s v="MPR"/>
    <x v="0"/>
    <n v="50032781"/>
    <s v="SERRA TICO TICO 650W DEWALT "/>
    <n v="1"/>
    <s v="REALIZADO"/>
    <s v="MARCIA"/>
    <x v="27"/>
    <x v="0"/>
    <x v="0"/>
  </r>
  <r>
    <n v="65844"/>
    <x v="54"/>
    <s v="MMG"/>
    <x v="2"/>
    <n v="50037900"/>
    <s v="SOLDADOR POLYCODE"/>
    <n v="1"/>
    <s v="REALIZADO"/>
    <s v="MARCIA"/>
    <x v="27"/>
    <x v="2"/>
    <x v="0"/>
  </r>
  <r>
    <n v="65844"/>
    <x v="54"/>
    <s v="MMG"/>
    <x v="2"/>
    <n v="50037900"/>
    <s v="SOLDADOR POLYCODE"/>
    <n v="1"/>
    <s v="REALIZADO"/>
    <s v="MARCIA"/>
    <x v="27"/>
    <x v="0"/>
    <x v="0"/>
  </r>
  <r>
    <n v="68760"/>
    <x v="15"/>
    <s v="MMG"/>
    <x v="0"/>
    <n v="50030486"/>
    <s v="FURADEIRA BOSCH 3"/>
    <n v="1"/>
    <s v="REALIZADO"/>
    <s v="GEOVANE"/>
    <x v="28"/>
    <x v="2"/>
    <x v="0"/>
  </r>
  <r>
    <n v="68760"/>
    <x v="15"/>
    <s v="MMG"/>
    <x v="0"/>
    <n v="50030486"/>
    <s v="FURADEIRA BOSCH 3"/>
    <n v="1"/>
    <s v="REALIZADO"/>
    <s v="GEOVANE"/>
    <x v="28"/>
    <x v="0"/>
    <x v="0"/>
  </r>
  <r>
    <n v="63713"/>
    <x v="67"/>
    <s v="MME"/>
    <x v="0"/>
    <n v="50043471"/>
    <s v="FURADEIRA BOSCH 7"/>
    <n v="1"/>
    <s v="REALIZADO"/>
    <s v="GEOVANE"/>
    <x v="28"/>
    <x v="2"/>
    <x v="0"/>
  </r>
  <r>
    <n v="63713"/>
    <x v="67"/>
    <s v="MME"/>
    <x v="0"/>
    <n v="50043471"/>
    <s v="FURADEIRA BOSCH 7"/>
    <n v="1"/>
    <s v="REALIZADO"/>
    <s v="MATHEUS"/>
    <x v="28"/>
    <x v="0"/>
    <x v="0"/>
  </r>
  <r>
    <n v="65131"/>
    <x v="41"/>
    <s v="MMG"/>
    <x v="3"/>
    <n v="50003297"/>
    <s v="FURADEIRA DE IMPACTO MAKITA 02"/>
    <n v="1"/>
    <s v="REALIZADO"/>
    <s v="KELLY"/>
    <x v="28"/>
    <x v="2"/>
    <x v="0"/>
  </r>
  <r>
    <n v="65131"/>
    <x v="41"/>
    <s v="MMG"/>
    <x v="3"/>
    <n v="50003297"/>
    <s v="FURADEIRA DE IMPACTO MAKITA 02"/>
    <n v="1"/>
    <s v="REALIZADO"/>
    <s v="AGATHA"/>
    <x v="28"/>
    <x v="2"/>
    <x v="0"/>
  </r>
  <r>
    <n v="78678"/>
    <x v="0"/>
    <s v="MME"/>
    <x v="0"/>
    <n v="50003297"/>
    <s v="FURADEIRA DE IMPACTO MAKITA 02"/>
    <n v="1"/>
    <s v="REALIZADO"/>
    <s v="GEOVANE"/>
    <x v="28"/>
    <x v="0"/>
    <x v="0"/>
  </r>
  <r>
    <n v="78886"/>
    <x v="51"/>
    <s v="MME"/>
    <x v="0"/>
    <n v="50003297"/>
    <s v="FURADEIRA DE IMPACTO MAKITA 02"/>
    <n v="1"/>
    <s v="REALIZADO"/>
    <s v="MATHEUS"/>
    <x v="28"/>
    <x v="0"/>
    <x v="0"/>
  </r>
  <r>
    <n v="70105"/>
    <x v="25"/>
    <s v="MMG"/>
    <x v="3"/>
    <n v="50038549"/>
    <s v="JOGO SOQUETE ESTRIADOS 1/2 22PEÇ"/>
    <n v="1"/>
    <s v="REALIZADO"/>
    <s v="GEOVANE"/>
    <x v="28"/>
    <x v="2"/>
    <x v="0"/>
  </r>
  <r>
    <n v="70105"/>
    <x v="25"/>
    <s v="MMG"/>
    <x v="3"/>
    <n v="50038549"/>
    <s v="JOGO SOQUETE ESTRIADOS 1/2 22PEÇ"/>
    <n v="1"/>
    <s v="REALIZADO"/>
    <s v="MATHEUS"/>
    <x v="28"/>
    <x v="2"/>
    <x v="0"/>
  </r>
  <r>
    <n v="68760"/>
    <x v="15"/>
    <s v="MMG"/>
    <x v="0"/>
    <n v="50037910"/>
    <s v="KIT FLANGEADOR DE TUBO DE COBRE"/>
    <n v="1"/>
    <s v="REALIZADO"/>
    <s v="MATHEUS"/>
    <x v="28"/>
    <x v="0"/>
    <x v="0"/>
  </r>
  <r>
    <n v="77526"/>
    <x v="37"/>
    <s v="MME"/>
    <x v="0"/>
    <n v="50038956"/>
    <s v="LIXADEIRA BOSCH 1"/>
    <n v="1"/>
    <s v="REALIZADO"/>
    <s v="MATHEUS"/>
    <x v="28"/>
    <x v="2"/>
    <x v="0"/>
  </r>
  <r>
    <n v="77526"/>
    <x v="37"/>
    <s v="MME"/>
    <x v="0"/>
    <n v="50038956"/>
    <s v="LIXADEIRA BOSCH 1"/>
    <n v="1"/>
    <s v="REALIZADO"/>
    <s v="MATHEUS"/>
    <x v="28"/>
    <x v="0"/>
    <x v="0"/>
  </r>
  <r>
    <n v="77471"/>
    <x v="35"/>
    <s v="MEE"/>
    <x v="0"/>
    <n v="50038841"/>
    <s v="LIXADEIRA BOSCH 4"/>
    <n v="1"/>
    <s v="REALIZADO"/>
    <s v="KELLY"/>
    <x v="28"/>
    <x v="2"/>
    <x v="0"/>
  </r>
  <r>
    <n v="77471"/>
    <x v="35"/>
    <s v="MEE"/>
    <x v="0"/>
    <n v="50038841"/>
    <s v="LIXADEIRA BOSCH 4"/>
    <n v="1"/>
    <s v="REALIZADO"/>
    <s v="AGATHA"/>
    <x v="28"/>
    <x v="0"/>
    <x v="0"/>
  </r>
  <r>
    <n v="68708"/>
    <x v="13"/>
    <s v="MMG"/>
    <x v="0"/>
    <n v="50038841"/>
    <s v="LIXADEIRA BOSCH 4"/>
    <n v="1"/>
    <s v="REALIZADO"/>
    <s v="GEOVANE"/>
    <x v="28"/>
    <x v="2"/>
    <x v="0"/>
  </r>
  <r>
    <n v="68708"/>
    <x v="13"/>
    <s v="MMG"/>
    <x v="0"/>
    <n v="50038841"/>
    <s v="LIXADEIRA BOSCH 4"/>
    <n v="1"/>
    <s v="REALIZADO"/>
    <s v="MATHEUS"/>
    <x v="28"/>
    <x v="0"/>
    <x v="0"/>
  </r>
  <r>
    <n v="65131"/>
    <x v="41"/>
    <s v="MMG"/>
    <x v="3"/>
    <n v="50038517"/>
    <s v="LIXADEIRA BOSCH 5"/>
    <n v="1"/>
    <s v="REALIZADO"/>
    <s v="KELLY"/>
    <x v="28"/>
    <x v="2"/>
    <x v="0"/>
  </r>
  <r>
    <n v="65131"/>
    <x v="41"/>
    <s v="MMG"/>
    <x v="3"/>
    <n v="50038517"/>
    <s v="LIXADEIRA BOSCH 5"/>
    <n v="1"/>
    <s v="REALIZADO"/>
    <s v="AGATHA"/>
    <x v="28"/>
    <x v="0"/>
    <x v="0"/>
  </r>
  <r>
    <n v="63713"/>
    <x v="67"/>
    <s v="MME"/>
    <x v="0"/>
    <n v="50001995"/>
    <s v="MAQUINA DE SOLDA"/>
    <n v="1"/>
    <s v="REALIZADO"/>
    <s v="AGATHA"/>
    <x v="28"/>
    <x v="2"/>
    <x v="0"/>
  </r>
  <r>
    <n v="63713"/>
    <x v="67"/>
    <s v="MME"/>
    <x v="0"/>
    <n v="50001995"/>
    <s v="MAQUINA DE SOLDA"/>
    <n v="1"/>
    <s v="REALIZADO"/>
    <s v="MARCIA"/>
    <x v="28"/>
    <x v="0"/>
    <x v="0"/>
  </r>
  <r>
    <n v="61096"/>
    <x v="64"/>
    <s v="MME"/>
    <x v="0"/>
    <n v="50039065"/>
    <s v="MAQUINA SOLDA TIG"/>
    <n v="1"/>
    <s v="REALIZADO"/>
    <s v="MATHEUS"/>
    <x v="28"/>
    <x v="2"/>
    <x v="0"/>
  </r>
  <r>
    <n v="61096"/>
    <x v="64"/>
    <s v="MME"/>
    <x v="0"/>
    <n v="50039065"/>
    <s v="MAQUINA SOLDA TIG"/>
    <n v="1"/>
    <s v="REALIZADO"/>
    <s v="MATHEUS"/>
    <x v="28"/>
    <x v="0"/>
    <x v="0"/>
  </r>
  <r>
    <n v="65131"/>
    <x v="41"/>
    <s v="MMG"/>
    <x v="3"/>
    <n v="50038626"/>
    <s v="MARRETA 8KG"/>
    <n v="1"/>
    <s v="REALIZADO"/>
    <s v="KELLY"/>
    <x v="28"/>
    <x v="2"/>
    <x v="0"/>
  </r>
  <r>
    <n v="65131"/>
    <x v="41"/>
    <s v="MMG"/>
    <x v="3"/>
    <n v="50038626"/>
    <s v="MARRETA 8KG"/>
    <n v="1"/>
    <s v="REALIZADO"/>
    <s v="AGATHA"/>
    <x v="28"/>
    <x v="0"/>
    <x v="0"/>
  </r>
  <r>
    <n v="72713"/>
    <x v="68"/>
    <s v="MPR"/>
    <x v="0"/>
    <n v="50041195"/>
    <s v="PARAFUSADEIRA FUR DE IMPACTO BRUSHLESS"/>
    <n v="1"/>
    <s v="REALIZADO"/>
    <s v="KELLY"/>
    <x v="28"/>
    <x v="2"/>
    <x v="0"/>
  </r>
  <r>
    <n v="72713"/>
    <x v="68"/>
    <s v="MPR"/>
    <x v="0"/>
    <n v="50041195"/>
    <s v="PARAFUSADEIRA FUR DE IMPACTO BRUSHLESS"/>
    <n v="1"/>
    <s v="REALIZADO"/>
    <s v="MATHEUS"/>
    <x v="28"/>
    <x v="0"/>
    <x v="0"/>
  </r>
  <r>
    <n v="72715"/>
    <x v="26"/>
    <s v="MPR"/>
    <x v="0"/>
    <n v="50041195"/>
    <s v="PARAFUSADEIRA FUR DE IMPACTO BRUSHLESS"/>
    <n v="1"/>
    <s v="REALIZADO"/>
    <s v="MATHEUS"/>
    <x v="28"/>
    <x v="0"/>
    <x v="0"/>
  </r>
  <r>
    <n v="72715"/>
    <x v="26"/>
    <s v="MPR"/>
    <x v="0"/>
    <n v="50043917"/>
    <s v="PARAFUSADEIRA FURADEIRA BOSCH"/>
    <n v="1"/>
    <s v="REALIZADO"/>
    <s v="KELLY"/>
    <x v="28"/>
    <x v="2"/>
    <x v="0"/>
  </r>
  <r>
    <n v="72713"/>
    <x v="68"/>
    <s v="MPR"/>
    <x v="0"/>
    <n v="50043917"/>
    <s v="PARAFUSADEIRA FURADEIRA BOSCH"/>
    <n v="1"/>
    <s v="REALIZADO"/>
    <s v="MATHEUS"/>
    <x v="28"/>
    <x v="0"/>
    <x v="0"/>
  </r>
  <r>
    <n v="64253"/>
    <x v="16"/>
    <s v="MMG"/>
    <x v="0"/>
    <n v="50012902"/>
    <s v="SACA POLIA 03 GARRAS 250 MM GEDORE"/>
    <n v="1"/>
    <s v="REALIZADO"/>
    <s v="KELLY"/>
    <x v="28"/>
    <x v="2"/>
    <x v="0"/>
  </r>
  <r>
    <n v="64253"/>
    <x v="16"/>
    <s v="MMG"/>
    <x v="0"/>
    <n v="50012902"/>
    <s v="SACA POLIA 03 GARRAS 250 MM GEDORE"/>
    <n v="1"/>
    <s v="REALIZADO"/>
    <s v="MATHEUS"/>
    <x v="28"/>
    <x v="0"/>
    <x v="0"/>
  </r>
  <r>
    <n v="65844"/>
    <x v="54"/>
    <s v="MMG"/>
    <x v="2"/>
    <n v="50041095"/>
    <s v="TALHA MANUAL 1000KG"/>
    <n v="1"/>
    <s v="REALIZADO"/>
    <s v="MATHEUS"/>
    <x v="28"/>
    <x v="2"/>
    <x v="0"/>
  </r>
  <r>
    <n v="65844"/>
    <x v="54"/>
    <s v="MMG"/>
    <x v="2"/>
    <n v="50041095"/>
    <s v="TALHA MANUAL 1000KG"/>
    <n v="1"/>
    <s v="REALIZADO"/>
    <s v="MATHEUS"/>
    <x v="28"/>
    <x v="0"/>
    <x v="0"/>
  </r>
  <r>
    <n v="62640"/>
    <x v="44"/>
    <s v="MPR"/>
    <x v="0"/>
    <n v="50038854"/>
    <s v="ARCO DE SERRA"/>
    <n v="1"/>
    <s v="REALIZADO"/>
    <s v="MATHEUS"/>
    <x v="29"/>
    <x v="2"/>
    <x v="0"/>
  </r>
  <r>
    <n v="62640"/>
    <x v="44"/>
    <s v="MPR"/>
    <x v="0"/>
    <n v="50038854"/>
    <s v="ARCO DE SERRA"/>
    <n v="1"/>
    <s v="REALIZADO"/>
    <s v="MATHEUS"/>
    <x v="29"/>
    <x v="0"/>
    <x v="0"/>
  </r>
  <r>
    <n v="64253"/>
    <x v="16"/>
    <s v="MMG"/>
    <x v="0"/>
    <n v="50036086"/>
    <s v="CHAVE GRIFO 18"/>
    <n v="2"/>
    <s v="REALIZADO"/>
    <s v="GEOVANE"/>
    <x v="29"/>
    <x v="2"/>
    <x v="0"/>
  </r>
  <r>
    <n v="64253"/>
    <x v="16"/>
    <s v="MMG"/>
    <x v="0"/>
    <n v="50036086"/>
    <s v="CHAVE GRIFO 18"/>
    <n v="2"/>
    <s v="REALIZADO"/>
    <s v="MATHEUS"/>
    <x v="29"/>
    <x v="0"/>
    <x v="0"/>
  </r>
  <r>
    <n v="64253"/>
    <x v="16"/>
    <s v="MMG"/>
    <x v="0"/>
    <n v="50003173"/>
    <s v="CHAVE GRIFO 24"/>
    <n v="1"/>
    <s v="REALIZADO"/>
    <s v="AGATHA"/>
    <x v="29"/>
    <x v="2"/>
    <x v="0"/>
  </r>
  <r>
    <n v="64253"/>
    <x v="16"/>
    <s v="MMG"/>
    <x v="0"/>
    <n v="50003173"/>
    <s v="CHAVE GRIFO 24"/>
    <n v="1"/>
    <s v="REALIZADO"/>
    <s v="AGATHA"/>
    <x v="29"/>
    <x v="0"/>
    <x v="0"/>
  </r>
  <r>
    <n v="68760"/>
    <x v="15"/>
    <s v="MMG"/>
    <x v="0"/>
    <n v="50030486"/>
    <s v="FURADEIRA BOSCH 3"/>
    <n v="1"/>
    <s v="REALIZADO"/>
    <s v="GEOVANE"/>
    <x v="29"/>
    <x v="2"/>
    <x v="0"/>
  </r>
  <r>
    <n v="68760"/>
    <x v="15"/>
    <s v="MMG"/>
    <x v="0"/>
    <n v="50030486"/>
    <s v="FURADEIRA BOSCH 3"/>
    <n v="1"/>
    <s v="REALIZADO"/>
    <s v="GEOVANE"/>
    <x v="29"/>
    <x v="2"/>
    <x v="0"/>
  </r>
  <r>
    <n v="78886"/>
    <x v="51"/>
    <s v="MME"/>
    <x v="0"/>
    <n v="50003297"/>
    <s v="FURADEIRA DE IMPACTO MAKITA 02"/>
    <n v="1"/>
    <s v="REALIZADO"/>
    <s v="MATHEUS"/>
    <x v="29"/>
    <x v="0"/>
    <x v="0"/>
  </r>
  <r>
    <n v="64253"/>
    <x v="16"/>
    <s v="MMG"/>
    <x v="0"/>
    <n v="50037916"/>
    <s v="JOGO DE TARRACHAS "/>
    <n v="1"/>
    <s v="REALIZADO"/>
    <s v="AGATHA"/>
    <x v="29"/>
    <x v="2"/>
    <x v="0"/>
  </r>
  <r>
    <n v="64253"/>
    <x v="16"/>
    <s v="MMG"/>
    <x v="0"/>
    <n v="50037916"/>
    <s v="JOGO DE TARRACHAS "/>
    <n v="1"/>
    <s v="REALIZADO"/>
    <s v="AGATHA"/>
    <x v="29"/>
    <x v="0"/>
    <x v="0"/>
  </r>
  <r>
    <n v="63770"/>
    <x v="36"/>
    <s v="MMG"/>
    <x v="0"/>
    <n v="50038549"/>
    <s v="JOGO SOQUETE ESTRIADOS 1/2 22PEÇ"/>
    <n v="1"/>
    <s v="REALIZADO"/>
    <s v="GEOVANE"/>
    <x v="29"/>
    <x v="0"/>
    <x v="0"/>
  </r>
  <r>
    <n v="76239"/>
    <x v="19"/>
    <s v="REFRIG"/>
    <x v="0"/>
    <n v="50038549"/>
    <s v="JOGO SOQUETE ESTRIADOS 1/2 22PEÇ"/>
    <n v="1"/>
    <s v="REALIZADO"/>
    <s v="GEOVANE"/>
    <x v="29"/>
    <x v="2"/>
    <x v="0"/>
  </r>
  <r>
    <n v="76239"/>
    <x v="19"/>
    <s v="REFRIG"/>
    <x v="0"/>
    <n v="50038549"/>
    <s v="JOGO SOQUETE ESTRIADOS 1/2 22PEÇ"/>
    <n v="1"/>
    <s v="REALIZADO"/>
    <s v="MATHEUS"/>
    <x v="29"/>
    <x v="2"/>
    <x v="0"/>
  </r>
  <r>
    <n v="63770"/>
    <x v="36"/>
    <s v="MMG"/>
    <x v="0"/>
    <n v="50038549"/>
    <s v="JOGO SOQUETE ESTRIADOS 1/2 22PEÇ"/>
    <n v="1"/>
    <s v="REALIZADO"/>
    <s v="MATHEUS"/>
    <x v="29"/>
    <x v="0"/>
    <x v="0"/>
  </r>
  <r>
    <n v="77526"/>
    <x v="37"/>
    <s v="MME"/>
    <x v="0"/>
    <n v="50038956"/>
    <s v="LIXADEIRA BOSCH 1"/>
    <n v="1"/>
    <s v="REALIZADO"/>
    <s v="MATHEUS"/>
    <x v="29"/>
    <x v="2"/>
    <x v="0"/>
  </r>
  <r>
    <n v="77526"/>
    <x v="37"/>
    <s v="MME"/>
    <x v="0"/>
    <n v="50038956"/>
    <s v="LIXADEIRA BOSCH 1"/>
    <n v="1"/>
    <s v="REALIZADO"/>
    <s v="MATHEUS"/>
    <x v="29"/>
    <x v="0"/>
    <x v="0"/>
  </r>
  <r>
    <n v="62640"/>
    <x v="44"/>
    <s v="MPR"/>
    <x v="0"/>
    <n v="50037902"/>
    <s v="LIXADEIRA BOSCH 3"/>
    <n v="1"/>
    <s v="REALIZADO"/>
    <s v="MATHEUS"/>
    <x v="29"/>
    <x v="2"/>
    <x v="0"/>
  </r>
  <r>
    <n v="62640"/>
    <x v="44"/>
    <s v="MPR"/>
    <x v="0"/>
    <n v="50037902"/>
    <s v="LIXADEIRA BOSCH 3"/>
    <n v="1"/>
    <s v="REALIZADO"/>
    <s v="MATHEUS"/>
    <x v="29"/>
    <x v="0"/>
    <x v="0"/>
  </r>
  <r>
    <n v="65844"/>
    <x v="54"/>
    <s v="MMG"/>
    <x v="2"/>
    <n v="50038841"/>
    <s v="LIXADEIRA BOSCH 4"/>
    <n v="1"/>
    <s v="REALIZADO"/>
    <s v="GEOVANE"/>
    <x v="29"/>
    <x v="0"/>
    <x v="1"/>
  </r>
  <r>
    <n v="64253"/>
    <x v="16"/>
    <s v="MMG"/>
    <x v="0"/>
    <n v="50038841"/>
    <s v="LIXADEIRA BOSCH 4"/>
    <n v="1"/>
    <s v="REALIZADO"/>
    <s v="GEOVANE"/>
    <x v="29"/>
    <x v="2"/>
    <x v="0"/>
  </r>
  <r>
    <n v="65844"/>
    <x v="54"/>
    <s v="MMG"/>
    <x v="2"/>
    <n v="50038841"/>
    <s v="LIXADEIRA BOSCH 4"/>
    <n v="1"/>
    <s v="REALIZADO"/>
    <s v="MARCIA"/>
    <x v="29"/>
    <x v="2"/>
    <x v="0"/>
  </r>
  <r>
    <n v="78886"/>
    <x v="51"/>
    <s v="MME"/>
    <x v="0"/>
    <n v="50038517"/>
    <s v="LIXADEIRA BOSCH 5"/>
    <n v="1"/>
    <s v="REALIZADO"/>
    <s v="MATHEUS"/>
    <x v="29"/>
    <x v="0"/>
    <x v="0"/>
  </r>
  <r>
    <n v="77526"/>
    <x v="37"/>
    <s v="MME"/>
    <x v="0"/>
    <n v="50039065"/>
    <s v="MAQUINA SOLDA TIG"/>
    <n v="1"/>
    <s v="REALIZADO"/>
    <s v="MATHEUS"/>
    <x v="29"/>
    <x v="2"/>
    <x v="0"/>
  </r>
  <r>
    <n v="77526"/>
    <x v="37"/>
    <s v="MME"/>
    <x v="0"/>
    <n v="50039065"/>
    <s v="MAQUINA SOLDA TIG"/>
    <n v="1"/>
    <s v="REALIZADO"/>
    <s v="MATHEUS"/>
    <x v="29"/>
    <x v="0"/>
    <x v="0"/>
  </r>
  <r>
    <n v="72713"/>
    <x v="68"/>
    <s v="MPR"/>
    <x v="0"/>
    <n v="50041124"/>
    <s v="MISTURADOR DE ARGAMASSA"/>
    <n v="1"/>
    <s v="REALIZADO"/>
    <s v="GEOVANE"/>
    <x v="29"/>
    <x v="2"/>
    <x v="0"/>
  </r>
  <r>
    <n v="72713"/>
    <x v="68"/>
    <s v="MPR"/>
    <x v="0"/>
    <n v="50041124"/>
    <s v="MISTURADOR DE ARGAMASSA"/>
    <n v="1"/>
    <s v="REALIZADO"/>
    <s v="MATHEUS"/>
    <x v="29"/>
    <x v="2"/>
    <x v="0"/>
  </r>
  <r>
    <n v="72715"/>
    <x v="26"/>
    <s v="MPR"/>
    <x v="0"/>
    <n v="50041195"/>
    <s v="PARAFUSADEIRA FUR DE IMPACTO BRUSHLESS"/>
    <n v="1"/>
    <s v="REALIZADO"/>
    <s v="AGATHA"/>
    <x v="29"/>
    <x v="2"/>
    <x v="0"/>
  </r>
  <r>
    <n v="65482"/>
    <x v="30"/>
    <s v="MMG"/>
    <x v="0"/>
    <n v="50043917"/>
    <s v="PARAFUSADEIRA FURADEIRA BOSCH"/>
    <n v="1"/>
    <s v="REALIZADO"/>
    <s v="GEOVANE"/>
    <x v="29"/>
    <x v="0"/>
    <x v="1"/>
  </r>
  <r>
    <n v="63770"/>
    <x v="36"/>
    <s v="MMG"/>
    <x v="0"/>
    <n v="50043917"/>
    <s v="PARAFUSADEIRA FURADEIRA BOSCH"/>
    <n v="1"/>
    <s v="REALIZADO"/>
    <s v="GEOVANE"/>
    <x v="29"/>
    <x v="2"/>
    <x v="0"/>
  </r>
  <r>
    <n v="63770"/>
    <x v="36"/>
    <s v="MMG"/>
    <x v="0"/>
    <n v="50043917"/>
    <s v="PARAFUSADEIRA FURADEIRA BOSCH"/>
    <n v="1"/>
    <s v="REALIZADO"/>
    <s v="MATHEUS"/>
    <x v="29"/>
    <x v="0"/>
    <x v="0"/>
  </r>
  <r>
    <n v="77526"/>
    <x v="37"/>
    <s v="MME"/>
    <x v="0"/>
    <n v="50032781"/>
    <s v="SERRA TICO TICO 650W DEWALT "/>
    <n v="1"/>
    <s v="REALIZADO"/>
    <s v="GEOVANE"/>
    <x v="29"/>
    <x v="0"/>
    <x v="0"/>
  </r>
  <r>
    <n v="75424"/>
    <x v="39"/>
    <s v="MME"/>
    <x v="2"/>
    <n v="50032781"/>
    <s v="SERRA TICO TICO 650W DEWALT "/>
    <n v="1"/>
    <s v="REALIZADO"/>
    <s v="GEOVANE"/>
    <x v="29"/>
    <x v="2"/>
    <x v="0"/>
  </r>
  <r>
    <n v="77526"/>
    <x v="37"/>
    <s v="MME"/>
    <x v="0"/>
    <n v="50032781"/>
    <s v="SERRA TICO TICO 650W DEWALT "/>
    <n v="1"/>
    <s v="REALIZADO"/>
    <s v="JOÃO FRANCISCO"/>
    <x v="29"/>
    <x v="2"/>
    <x v="0"/>
  </r>
  <r>
    <n v="75424"/>
    <x v="39"/>
    <s v="MME"/>
    <x v="2"/>
    <n v="50032781"/>
    <s v="SERRA TICO TICO 650W DEWALT "/>
    <n v="1"/>
    <s v="REALIZADO"/>
    <s v="MATHEUS"/>
    <x v="29"/>
    <x v="0"/>
    <x v="0"/>
  </r>
  <r>
    <n v="77313"/>
    <x v="17"/>
    <s v="MPR"/>
    <x v="0"/>
    <n v="50028220"/>
    <s v="SOPRADOR TERMICO VONDER 1500W 220V"/>
    <n v="1"/>
    <s v="REALIZADO"/>
    <s v="MATHEUS"/>
    <x v="29"/>
    <x v="2"/>
    <x v="0"/>
  </r>
  <r>
    <n v="77313"/>
    <x v="17"/>
    <s v="MPR"/>
    <x v="0"/>
    <n v="50028220"/>
    <s v="SOPRADOR TERMICO VONDER 1500W 220V"/>
    <n v="1"/>
    <s v="REALIZADO"/>
    <s v="MATHEUS"/>
    <x v="29"/>
    <x v="0"/>
    <x v="0"/>
  </r>
  <r>
    <n v="77708"/>
    <x v="69"/>
    <s v="MPR"/>
    <x v="0"/>
    <n v="50040133"/>
    <s v="ALICATE DE CORTE 18"/>
    <n v="1"/>
    <s v="REALIZADO"/>
    <s v="BRUNO"/>
    <x v="30"/>
    <x v="2"/>
    <x v="0"/>
  </r>
  <r>
    <n v="77708"/>
    <x v="69"/>
    <s v="MPR"/>
    <x v="0"/>
    <n v="50040133"/>
    <s v="ALICATE DE CORTE 18"/>
    <n v="1"/>
    <s v="REALIZADO"/>
    <s v="BRUNO"/>
    <x v="30"/>
    <x v="2"/>
    <x v="0"/>
  </r>
  <r>
    <n v="68430"/>
    <x v="61"/>
    <s v="MEE"/>
    <x v="2"/>
    <n v="50036298"/>
    <s v="ASPIRADOR PARA SOLIDOS SEM FIO 20V"/>
    <n v="1"/>
    <s v="REALIZADO"/>
    <s v="BRUNO"/>
    <x v="30"/>
    <x v="0"/>
    <x v="0"/>
  </r>
  <r>
    <n v="77594"/>
    <x v="23"/>
    <s v="MME"/>
    <x v="0"/>
    <n v="50036280"/>
    <s v="FURADEIRA BOSCH 2"/>
    <n v="1"/>
    <s v="REALIZADO"/>
    <s v="JOÃO FRANCISCO"/>
    <x v="30"/>
    <x v="2"/>
    <x v="0"/>
  </r>
  <r>
    <n v="77594"/>
    <x v="23"/>
    <s v="MME"/>
    <x v="0"/>
    <n v="50036280"/>
    <s v="FURADEIRA BOSCH 2"/>
    <n v="1"/>
    <s v="REALIZADO"/>
    <s v="JOÃO FRANCISCO"/>
    <x v="30"/>
    <x v="0"/>
    <x v="0"/>
  </r>
  <r>
    <n v="77594"/>
    <x v="23"/>
    <s v="MME"/>
    <x v="0"/>
    <n v="50036280"/>
    <s v="FURADEIRA BOSCH 2"/>
    <n v="1"/>
    <s v="REALIZADO"/>
    <s v="JOÃO FRANCISCO"/>
    <x v="30"/>
    <x v="2"/>
    <x v="0"/>
  </r>
  <r>
    <n v="77594"/>
    <x v="23"/>
    <s v="MME"/>
    <x v="0"/>
    <n v="50036280"/>
    <s v="FURADEIRA BOSCH 2"/>
    <n v="1"/>
    <s v="REALIZADO"/>
    <s v="JOÃO FRANCISCO"/>
    <x v="30"/>
    <x v="0"/>
    <x v="0"/>
  </r>
  <r>
    <n v="77526"/>
    <x v="37"/>
    <s v="MME"/>
    <x v="0"/>
    <n v="50030486"/>
    <s v="FURADEIRA BOSCH 3"/>
    <n v="1"/>
    <s v="REALIZADO"/>
    <s v="BRUNO"/>
    <x v="30"/>
    <x v="0"/>
    <x v="0"/>
  </r>
  <r>
    <n v="68760"/>
    <x v="15"/>
    <s v="MMG"/>
    <x v="0"/>
    <n v="50043471"/>
    <s v="FURADEIRA BOSCH 7"/>
    <n v="1"/>
    <s v="REALIZADO"/>
    <s v="JOÃO FRANCISCO"/>
    <x v="30"/>
    <x v="2"/>
    <x v="0"/>
  </r>
  <r>
    <n v="68760"/>
    <x v="15"/>
    <s v="MMG"/>
    <x v="0"/>
    <n v="50043471"/>
    <s v="FURADEIRA BOSCH 7"/>
    <n v="1"/>
    <s v="REALIZADO"/>
    <s v="BRUNO"/>
    <x v="30"/>
    <x v="2"/>
    <x v="0"/>
  </r>
  <r>
    <n v="70052"/>
    <x v="6"/>
    <s v="MEE"/>
    <x v="0"/>
    <n v="50044839"/>
    <s v="HEADSET H390 LOGITECH"/>
    <n v="1"/>
    <s v="REALIZADO"/>
    <s v="BRUNO"/>
    <x v="30"/>
    <x v="0"/>
    <x v="0"/>
  </r>
  <r>
    <n v="63770"/>
    <x v="36"/>
    <s v="MMG"/>
    <x v="0"/>
    <n v="50022878"/>
    <s v="KIT MONTAGEM ROLAMENTO SKF"/>
    <n v="1"/>
    <s v="REALIZADO"/>
    <s v="JOÃO FRANCISCO"/>
    <x v="30"/>
    <x v="2"/>
    <x v="0"/>
  </r>
  <r>
    <n v="63770"/>
    <x v="36"/>
    <s v="MMG"/>
    <x v="0"/>
    <n v="50022878"/>
    <s v="KIT MONTAGEM ROLAMENTO SKF"/>
    <n v="1"/>
    <s v="REALIZADO"/>
    <s v="JOÃO FRANCISCO"/>
    <x v="30"/>
    <x v="0"/>
    <x v="0"/>
  </r>
  <r>
    <n v="77594"/>
    <x v="23"/>
    <s v="MME"/>
    <x v="0"/>
    <n v="50038841"/>
    <s v="LIXADEIRA BOSCH 4"/>
    <n v="1"/>
    <s v="REALIZADO"/>
    <s v="JOÃO FRANCISCO"/>
    <x v="30"/>
    <x v="2"/>
    <x v="0"/>
  </r>
  <r>
    <n v="77594"/>
    <x v="23"/>
    <s v="MME"/>
    <x v="0"/>
    <n v="50038841"/>
    <s v="LIXADEIRA BOSCH 4"/>
    <n v="1"/>
    <s v="REALIZADO"/>
    <s v="BRUNO"/>
    <x v="30"/>
    <x v="2"/>
    <x v="0"/>
  </r>
  <r>
    <n v="77526"/>
    <x v="37"/>
    <s v="MME"/>
    <x v="0"/>
    <n v="50038517"/>
    <s v="LIXADEIRA BOSCH 5"/>
    <n v="1"/>
    <s v="NÃO REALIZADO"/>
    <s v="MARCIA"/>
    <x v="30"/>
    <x v="0"/>
    <x v="0"/>
  </r>
  <r>
    <n v="77526"/>
    <x v="37"/>
    <s v="MME"/>
    <x v="0"/>
    <n v="50038517"/>
    <s v="LIXADEIRA BOSCH 5"/>
    <n v="1"/>
    <s v="REALIZADO"/>
    <s v="BRUNO"/>
    <x v="30"/>
    <x v="2"/>
    <x v="0"/>
  </r>
  <r>
    <n v="77526"/>
    <x v="37"/>
    <s v="MME"/>
    <x v="0"/>
    <n v="50038517"/>
    <s v="LIXADEIRA BOSCH 5"/>
    <n v="1"/>
    <s v="REALIZADO"/>
    <s v="BRUNO"/>
    <x v="30"/>
    <x v="0"/>
    <x v="0"/>
  </r>
  <r>
    <n v="77594"/>
    <x v="23"/>
    <s v="MME"/>
    <x v="0"/>
    <n v="50039065"/>
    <s v="MAQUINA SOLDA TIG"/>
    <n v="1"/>
    <s v="NÃO REALIZADO"/>
    <s v="JOÃO FRANCISCO"/>
    <x v="30"/>
    <x v="2"/>
    <x v="0"/>
  </r>
  <r>
    <n v="77594"/>
    <x v="23"/>
    <s v="MME"/>
    <x v="0"/>
    <n v="50039065"/>
    <s v="MAQUINA SOLDA TIG"/>
    <n v="1"/>
    <s v="REALIZADO"/>
    <s v="BRUNO"/>
    <x v="30"/>
    <x v="0"/>
    <x v="0"/>
  </r>
  <r>
    <n v="62640"/>
    <x v="44"/>
    <s v="MPR"/>
    <x v="0"/>
    <n v="50043917"/>
    <s v="PARAFUSADEIRA FURADEIRA BOSCH"/>
    <n v="1"/>
    <s v="REALIZADO"/>
    <s v="JOÃO FRANCISCO"/>
    <x v="30"/>
    <x v="2"/>
    <x v="0"/>
  </r>
  <r>
    <n v="63399"/>
    <x v="32"/>
    <s v="MPR"/>
    <x v="0"/>
    <n v="50043917"/>
    <s v="PARAFUSADEIRA FURADEIRA BOSCH"/>
    <n v="1"/>
    <s v="REALIZADO"/>
    <s v="BRUNO"/>
    <x v="30"/>
    <x v="0"/>
    <x v="0"/>
  </r>
  <r>
    <n v="71850"/>
    <x v="14"/>
    <s v="MMG"/>
    <x v="0"/>
    <n v="50032775"/>
    <s v="SACA POLIA 150MM 3 GARRAS - GEDORE"/>
    <n v="1"/>
    <s v="REALIZADO"/>
    <s v="JOÃO FRANCISCO"/>
    <x v="30"/>
    <x v="2"/>
    <x v="0"/>
  </r>
  <r>
    <n v="71850"/>
    <x v="14"/>
    <s v="MMG"/>
    <x v="0"/>
    <n v="50032775"/>
    <s v="SACA POLIA 150MM 3 GARRAS - GEDORE"/>
    <n v="1"/>
    <s v="REALIZADO"/>
    <s v="BRUNO"/>
    <x v="30"/>
    <x v="0"/>
    <x v="0"/>
  </r>
  <r>
    <n v="72713"/>
    <x v="68"/>
    <s v="MPR"/>
    <x v="0"/>
    <n v="50041194"/>
    <s v="TALHADEIRA MANUAL SEXTAVADA 300 X 25 MM"/>
    <n v="1"/>
    <s v="REALIZADO"/>
    <s v="BRUNO"/>
    <x v="30"/>
    <x v="2"/>
    <x v="0"/>
  </r>
  <r>
    <n v="72713"/>
    <x v="68"/>
    <s v="MPR"/>
    <x v="0"/>
    <n v="50041194"/>
    <s v="TALHADEIRA MANUAL SEXTAVADA 300 X 25 MM"/>
    <n v="1"/>
    <s v="REALIZADO"/>
    <s v="BRUNO"/>
    <x v="30"/>
    <x v="0"/>
    <x v="0"/>
  </r>
  <r>
    <n v="62471"/>
    <x v="9"/>
    <s v="MME"/>
    <x v="0"/>
    <n v="50010031"/>
    <s v=" LIXADEIRA BOSCH 6"/>
    <n v="1"/>
    <s v="REALIZADO"/>
    <s v="BRUNO"/>
    <x v="31"/>
    <x v="0"/>
    <x v="0"/>
  </r>
  <r>
    <n v="77521"/>
    <x v="5"/>
    <s v="MME"/>
    <x v="0"/>
    <n v="50036296"/>
    <s v="CHAVE AJUSTÁVEL 45MM"/>
    <n v="1"/>
    <s v="REALIZADO"/>
    <s v="BRUNO"/>
    <x v="31"/>
    <x v="2"/>
    <x v="0"/>
  </r>
  <r>
    <n v="77521"/>
    <x v="5"/>
    <s v="MME"/>
    <x v="0"/>
    <n v="50036296"/>
    <s v="CHAVE AJUSTÁVEL 45MM"/>
    <n v="1"/>
    <s v="REALIZADO"/>
    <s v="BRUNO"/>
    <x v="31"/>
    <x v="0"/>
    <x v="0"/>
  </r>
  <r>
    <n v="60546"/>
    <x v="74"/>
    <s v="MMG"/>
    <x v="4"/>
    <n v="50036255"/>
    <s v="CHAVE DE IMPACTO 1/2&quot; 20V"/>
    <n v="1"/>
    <s v="REALIZADO"/>
    <s v="MATHEUS"/>
    <x v="31"/>
    <x v="2"/>
    <x v="0"/>
  </r>
  <r>
    <n v="60546"/>
    <x v="74"/>
    <s v="MMG"/>
    <x v="4"/>
    <n v="50036255"/>
    <s v="CHAVE DE IMPACTO 1/2&quot; 20V"/>
    <n v="1"/>
    <s v="REALIZADO"/>
    <s v="MATHEUS"/>
    <x v="31"/>
    <x v="2"/>
    <x v="0"/>
  </r>
  <r>
    <n v="66830"/>
    <x v="3"/>
    <s v="MPR"/>
    <x v="0"/>
    <n v="50036086"/>
    <s v="CHAVE GRIFO 18"/>
    <n v="1"/>
    <s v="REALIZADO"/>
    <s v="MATHEUS"/>
    <x v="31"/>
    <x v="2"/>
    <x v="0"/>
  </r>
  <r>
    <n v="65131"/>
    <x v="41"/>
    <s v="MMG"/>
    <x v="3"/>
    <n v="50039718"/>
    <s v="ESCALA DE ACO 1000MM VONDER "/>
    <n v="1"/>
    <s v="REALIZADO"/>
    <s v="BRUNO"/>
    <x v="31"/>
    <x v="2"/>
    <x v="0"/>
  </r>
  <r>
    <n v="73336"/>
    <x v="29"/>
    <s v="MMG"/>
    <x v="0"/>
    <n v="50037905"/>
    <s v="ESTETOSCÓPIO SKF"/>
    <n v="1"/>
    <s v="REALIZADO"/>
    <s v="BRUNO"/>
    <x v="31"/>
    <x v="2"/>
    <x v="0"/>
  </r>
  <r>
    <n v="77526"/>
    <x v="37"/>
    <s v="MME"/>
    <x v="0"/>
    <n v="50030486"/>
    <s v="FURADEIRA BOSCH 3"/>
    <n v="1"/>
    <s v="REALIZADO"/>
    <s v="BRUNO"/>
    <x v="31"/>
    <x v="0"/>
    <x v="0"/>
  </r>
  <r>
    <n v="77521"/>
    <x v="5"/>
    <s v="MME"/>
    <x v="0"/>
    <n v="50043471"/>
    <s v="FURADEIRA BOSCH 7"/>
    <n v="1"/>
    <s v="REALIZADO"/>
    <s v="BRUNO"/>
    <x v="31"/>
    <x v="2"/>
    <x v="0"/>
  </r>
  <r>
    <n v="77521"/>
    <x v="5"/>
    <s v="MME"/>
    <x v="0"/>
    <n v="50043471"/>
    <s v="FURADEIRA BOSCH 7"/>
    <n v="1"/>
    <s v="REALIZADO"/>
    <s v="BRUNO"/>
    <x v="31"/>
    <x v="0"/>
    <x v="0"/>
  </r>
  <r>
    <n v="77594"/>
    <x v="23"/>
    <s v="MME"/>
    <x v="0"/>
    <n v="50043471"/>
    <s v="FURADEIRA BOSCH 7"/>
    <n v="1"/>
    <s v="REALIZADO"/>
    <s v="BRUNO"/>
    <x v="31"/>
    <x v="2"/>
    <x v="0"/>
  </r>
  <r>
    <n v="77594"/>
    <x v="23"/>
    <s v="MME"/>
    <x v="0"/>
    <n v="50043471"/>
    <s v="FURADEIRA BOSCH 7"/>
    <n v="1"/>
    <s v="REALIZADO"/>
    <s v="BRUNO"/>
    <x v="31"/>
    <x v="0"/>
    <x v="0"/>
  </r>
  <r>
    <n v="75424"/>
    <x v="39"/>
    <s v="MME"/>
    <x v="2"/>
    <n v="50043471"/>
    <s v="FURADEIRA BOSCH 7"/>
    <n v="1"/>
    <s v="REALIZADO"/>
    <s v="MATHEUS"/>
    <x v="31"/>
    <x v="2"/>
    <x v="0"/>
  </r>
  <r>
    <n v="75424"/>
    <x v="39"/>
    <s v="MME"/>
    <x v="2"/>
    <n v="50043471"/>
    <s v="FURADEIRA BOSCH 7"/>
    <n v="1"/>
    <s v="REALIZADO"/>
    <s v="MATHEUS"/>
    <x v="31"/>
    <x v="0"/>
    <x v="0"/>
  </r>
  <r>
    <n v="62164"/>
    <x v="24"/>
    <s v="MEE"/>
    <x v="3"/>
    <n v="50043320"/>
    <s v="JOGO SERRA COPO 8PÇS"/>
    <n v="1"/>
    <s v="REALIZADO"/>
    <s v="BRUNO"/>
    <x v="31"/>
    <x v="2"/>
    <x v="0"/>
  </r>
  <r>
    <n v="62164"/>
    <x v="24"/>
    <s v="MEE"/>
    <x v="3"/>
    <n v="50043320"/>
    <s v="JOGO SERRA COPO 8PÇS"/>
    <n v="1"/>
    <s v="REALIZADO"/>
    <s v="MATHEUS"/>
    <x v="31"/>
    <x v="0"/>
    <x v="0"/>
  </r>
  <r>
    <n v="70052"/>
    <x v="6"/>
    <s v="MEE"/>
    <x v="0"/>
    <n v="50043320"/>
    <s v="JOGO SERRA COPO 8PÇS"/>
    <n v="1"/>
    <s v="REALIZADO"/>
    <s v="MATHEUS"/>
    <x v="31"/>
    <x v="2"/>
    <x v="0"/>
  </r>
  <r>
    <n v="70052"/>
    <x v="6"/>
    <s v="MEE"/>
    <x v="0"/>
    <n v="50043320"/>
    <s v="JOGO SERRA COPO 8PÇS"/>
    <n v="1"/>
    <s v="REALIZADO"/>
    <s v="MATHEUS"/>
    <x v="31"/>
    <x v="0"/>
    <x v="0"/>
  </r>
  <r>
    <n v="63770"/>
    <x v="36"/>
    <s v="MMG"/>
    <x v="0"/>
    <n v="50038549"/>
    <s v="JOGO SOQUETE ESTRIADOS 1/2 22PEÇ"/>
    <n v="1"/>
    <s v="REALIZADO"/>
    <s v="MATHEUS"/>
    <x v="31"/>
    <x v="2"/>
    <x v="0"/>
  </r>
  <r>
    <n v="63770"/>
    <x v="36"/>
    <s v="MMG"/>
    <x v="0"/>
    <n v="50038549"/>
    <s v="JOGO SOQUETE ESTRIADOS 1/2 22PEÇ"/>
    <n v="1"/>
    <s v="REALIZADO"/>
    <s v="MATHEUS"/>
    <x v="31"/>
    <x v="0"/>
    <x v="0"/>
  </r>
  <r>
    <n v="63770"/>
    <x v="36"/>
    <s v="MMG"/>
    <x v="0"/>
    <n v="50022878"/>
    <s v="KIT MONTAGEM ROLAMENTO SKF"/>
    <n v="1"/>
    <s v="REALIZADO"/>
    <s v="MATHEUS"/>
    <x v="31"/>
    <x v="2"/>
    <x v="0"/>
  </r>
  <r>
    <n v="63770"/>
    <x v="36"/>
    <s v="MMG"/>
    <x v="0"/>
    <n v="50022878"/>
    <s v="KIT MONTAGEM ROLAMENTO SKF"/>
    <n v="1"/>
    <s v="REALIZADO"/>
    <s v="MATHEUS"/>
    <x v="31"/>
    <x v="0"/>
    <x v="0"/>
  </r>
  <r>
    <n v="77594"/>
    <x v="23"/>
    <s v="MME"/>
    <x v="0"/>
    <n v="50038956"/>
    <s v="LIXADEIRA BOSCH 1"/>
    <n v="1"/>
    <s v="REALIZADO"/>
    <s v="BRUNO"/>
    <x v="31"/>
    <x v="2"/>
    <x v="0"/>
  </r>
  <r>
    <n v="77594"/>
    <x v="23"/>
    <s v="MME"/>
    <x v="0"/>
    <n v="50038956"/>
    <s v="LIXADEIRA BOSCH 1"/>
    <n v="1"/>
    <s v="REALIZADO"/>
    <s v="BRUNO"/>
    <x v="31"/>
    <x v="0"/>
    <x v="0"/>
  </r>
  <r>
    <n v="70105"/>
    <x v="25"/>
    <s v="MMG"/>
    <x v="3"/>
    <n v="50037892"/>
    <s v="LIXADEIRA BOSCH 2"/>
    <n v="1"/>
    <s v="REALIZADO"/>
    <s v="BRUNO"/>
    <x v="31"/>
    <x v="2"/>
    <x v="0"/>
  </r>
  <r>
    <n v="70105"/>
    <x v="25"/>
    <s v="MMG"/>
    <x v="3"/>
    <n v="50037892"/>
    <s v="LIXADEIRA BOSCH 2"/>
    <n v="1"/>
    <s v="REALIZADO"/>
    <s v="MATHEUS"/>
    <x v="31"/>
    <x v="0"/>
    <x v="0"/>
  </r>
  <r>
    <n v="77526"/>
    <x v="37"/>
    <s v="MME"/>
    <x v="0"/>
    <n v="50037902"/>
    <s v="LIXADEIRA BOSCH 3"/>
    <n v="1"/>
    <s v="REALIZADO"/>
    <s v="BRUNO"/>
    <x v="31"/>
    <x v="2"/>
    <x v="0"/>
  </r>
  <r>
    <n v="77526"/>
    <x v="37"/>
    <s v="MME"/>
    <x v="0"/>
    <n v="50037902"/>
    <s v="LIXADEIRA BOSCH 3"/>
    <n v="1"/>
    <s v="REALIZADO"/>
    <s v="MATHEUS"/>
    <x v="31"/>
    <x v="0"/>
    <x v="0"/>
  </r>
  <r>
    <n v="78675"/>
    <x v="12"/>
    <s v="MME"/>
    <x v="2"/>
    <n v="50038841"/>
    <s v="LIXADEIRA BOSCH 4"/>
    <n v="1"/>
    <s v="REALIZADO"/>
    <s v="BRUNO"/>
    <x v="31"/>
    <x v="2"/>
    <x v="0"/>
  </r>
  <r>
    <n v="78675"/>
    <x v="12"/>
    <s v="MME"/>
    <x v="2"/>
    <n v="50038841"/>
    <s v="LIXADEIRA BOSCH 4"/>
    <n v="1"/>
    <s v="REALIZADO"/>
    <s v="MATHEUS"/>
    <x v="31"/>
    <x v="0"/>
    <x v="0"/>
  </r>
  <r>
    <n v="77471"/>
    <x v="35"/>
    <s v="MEE"/>
    <x v="0"/>
    <n v="50041195"/>
    <s v="PARAFUSADEIRA FUR DE IMPACTO BRUSHLESS"/>
    <n v="1"/>
    <s v="REALIZADO"/>
    <s v="BRUNO"/>
    <x v="31"/>
    <x v="2"/>
    <x v="0"/>
  </r>
  <r>
    <n v="77471"/>
    <x v="35"/>
    <s v="MEE"/>
    <x v="0"/>
    <n v="50041195"/>
    <s v="PARAFUSADEIRA FUR DE IMPACTO BRUSHLESS"/>
    <n v="1"/>
    <s v="REALIZADO"/>
    <s v="BRUNO"/>
    <x v="31"/>
    <x v="0"/>
    <x v="0"/>
  </r>
  <r>
    <n v="62033"/>
    <x v="22"/>
    <s v="MME"/>
    <x v="3"/>
    <n v="50041195"/>
    <s v="PARAFUSADEIRA FUR DE IMPACTO BRUSHLESS"/>
    <n v="1"/>
    <s v="REALIZADO"/>
    <s v="BRUNO"/>
    <x v="31"/>
    <x v="2"/>
    <x v="0"/>
  </r>
  <r>
    <n v="62033"/>
    <x v="22"/>
    <s v="MME"/>
    <x v="3"/>
    <n v="50041195"/>
    <s v="PARAFUSADEIRA FUR DE IMPACTO BRUSHLESS"/>
    <n v="1"/>
    <s v="REALIZADO"/>
    <s v="BRUNO"/>
    <x v="31"/>
    <x v="0"/>
    <x v="0"/>
  </r>
  <r>
    <n v="64074"/>
    <x v="75"/>
    <s v="MPR"/>
    <x v="0"/>
    <n v="50041195"/>
    <s v="PARAFUSADEIRA FUR DE IMPACTO BRUSHLESS"/>
    <n v="1"/>
    <s v="REALIZADO"/>
    <s v="BRUNO"/>
    <x v="31"/>
    <x v="2"/>
    <x v="0"/>
  </r>
  <r>
    <n v="64074"/>
    <x v="75"/>
    <s v="MPR"/>
    <x v="0"/>
    <n v="50041195"/>
    <s v="PARAFUSADEIRA FUR DE IMPACTO BRUSHLESS"/>
    <n v="1"/>
    <s v="REALIZADO"/>
    <s v="BRUNO"/>
    <x v="31"/>
    <x v="0"/>
    <x v="0"/>
  </r>
  <r>
    <n v="70052"/>
    <x v="6"/>
    <s v="MEE"/>
    <x v="0"/>
    <n v="50041195"/>
    <s v="PARAFUSADEIRA FUR DE IMPACTO BRUSHLESS"/>
    <n v="1"/>
    <s v="REALIZADO"/>
    <s v="MATHEUS"/>
    <x v="31"/>
    <x v="2"/>
    <x v="0"/>
  </r>
  <r>
    <n v="70052"/>
    <x v="6"/>
    <s v="MEE"/>
    <x v="0"/>
    <n v="50041195"/>
    <s v="PARAFUSADEIRA FUR DE IMPACTO BRUSHLESS"/>
    <n v="1"/>
    <s v="REALIZADO"/>
    <s v="MATHEUS"/>
    <x v="31"/>
    <x v="0"/>
    <x v="0"/>
  </r>
  <r>
    <n v="70105"/>
    <x v="25"/>
    <s v="MMG"/>
    <x v="3"/>
    <n v="50043917"/>
    <s v="PARAFUSADEIRA FURADEIRA BOSCH"/>
    <n v="1"/>
    <s v="REALIZADO"/>
    <s v="BRUNO"/>
    <x v="31"/>
    <x v="2"/>
    <x v="0"/>
  </r>
  <r>
    <n v="70105"/>
    <x v="25"/>
    <s v="MMG"/>
    <x v="3"/>
    <n v="50043917"/>
    <s v="PARAFUSADEIRA FURADEIRA BOSCH"/>
    <n v="1"/>
    <s v="REALIZADO"/>
    <s v="MATHEUS"/>
    <x v="31"/>
    <x v="0"/>
    <x v="0"/>
  </r>
  <r>
    <n v="63758"/>
    <x v="76"/>
    <s v="MME"/>
    <x v="4"/>
    <n v="50043917"/>
    <s v="PARAFUSADEIRA FURADEIRA BOSCH"/>
    <n v="1"/>
    <s v="REALIZADO"/>
    <s v="MATHEUS"/>
    <x v="31"/>
    <x v="2"/>
    <x v="0"/>
  </r>
  <r>
    <n v="63758"/>
    <x v="76"/>
    <s v="MME"/>
    <x v="4"/>
    <n v="50043917"/>
    <s v="PARAFUSADEIRA FURADEIRA BOSCH"/>
    <n v="1"/>
    <s v="REALIZADO"/>
    <s v="MATHEUS"/>
    <x v="31"/>
    <x v="0"/>
    <x v="0"/>
  </r>
  <r>
    <n v="64074"/>
    <x v="75"/>
    <s v="MPR"/>
    <x v="0"/>
    <n v="50020624"/>
    <s v="REBITADOR MANUAL"/>
    <n v="1"/>
    <s v="REALIZADO"/>
    <s v="BRUNO"/>
    <x v="31"/>
    <x v="2"/>
    <x v="0"/>
  </r>
  <r>
    <n v="64074"/>
    <x v="75"/>
    <s v="MPR"/>
    <x v="0"/>
    <n v="50020624"/>
    <s v="REBITADOR MANUAL"/>
    <n v="1"/>
    <s v="REALIZADO"/>
    <s v="BRUNO"/>
    <x v="31"/>
    <x v="2"/>
    <x v="0"/>
  </r>
  <r>
    <n v="77594"/>
    <x v="23"/>
    <s v="MME"/>
    <x v="0"/>
    <n v="50012903"/>
    <s v="SACA POLIA 02 GARRAS 250MM GEDORE"/>
    <n v="1"/>
    <s v="REALIZADO"/>
    <s v="MATHEUS"/>
    <x v="31"/>
    <x v="0"/>
    <x v="0"/>
  </r>
  <r>
    <n v="68708"/>
    <x v="13"/>
    <s v="MMG"/>
    <x v="0"/>
    <n v="50037948"/>
    <s v="SARGENTO 6"/>
    <n v="1"/>
    <s v="REALIZADO"/>
    <s v="MATHEUS"/>
    <x v="31"/>
    <x v="2"/>
    <x v="0"/>
  </r>
  <r>
    <n v="68708"/>
    <x v="13"/>
    <s v="MMG"/>
    <x v="0"/>
    <n v="50037948"/>
    <s v="SARGENTO 6"/>
    <n v="1"/>
    <s v="REALIZADO"/>
    <s v="MATHEUS"/>
    <x v="31"/>
    <x v="2"/>
    <x v="0"/>
  </r>
  <r>
    <n v="73336"/>
    <x v="29"/>
    <s v="MMG"/>
    <x v="0"/>
    <n v="50037933"/>
    <s v="TERMOMETRO"/>
    <n v="1"/>
    <s v="REALIZADO"/>
    <s v="BRUNO"/>
    <x v="31"/>
    <x v="0"/>
    <x v="0"/>
  </r>
  <r>
    <n v="77526"/>
    <x v="37"/>
    <s v="MME"/>
    <x v="0"/>
    <n v="50010031"/>
    <s v=" LIXADEIRA BOSCH 6"/>
    <n v="1"/>
    <s v="REALIZADO"/>
    <s v="BRUNO"/>
    <x v="32"/>
    <x v="2"/>
    <x v="0"/>
  </r>
  <r>
    <n v="77526"/>
    <x v="37"/>
    <s v="MME"/>
    <x v="0"/>
    <n v="50010031"/>
    <s v=" LIXADEIRA BOSCH 6"/>
    <n v="1"/>
    <s v="REALIZADO"/>
    <s v="BRUNO"/>
    <x v="32"/>
    <x v="2"/>
    <x v="0"/>
  </r>
  <r>
    <n v="65131"/>
    <x v="41"/>
    <s v="MMG"/>
    <x v="3"/>
    <n v="50037905"/>
    <s v="ESTETOSCÓPIO SKF"/>
    <n v="1"/>
    <s v="REALIZADO"/>
    <s v="BRUNO"/>
    <x v="32"/>
    <x v="0"/>
    <x v="0"/>
  </r>
  <r>
    <n v="62180"/>
    <x v="18"/>
    <s v="MMG"/>
    <x v="0"/>
    <n v="50037905"/>
    <s v="ESTETOSCÓPIO SKF"/>
    <n v="1"/>
    <s v="REALIZADO"/>
    <s v="BRUNO"/>
    <x v="32"/>
    <x v="2"/>
    <x v="0"/>
  </r>
  <r>
    <n v="62180"/>
    <x v="18"/>
    <s v="MMG"/>
    <x v="0"/>
    <n v="50037905"/>
    <s v="ESTETOSCÓPIO SKF"/>
    <n v="1"/>
    <s v="REALIZADO"/>
    <s v="MATHEUS"/>
    <x v="32"/>
    <x v="0"/>
    <x v="0"/>
  </r>
  <r>
    <n v="69510"/>
    <x v="7"/>
    <s v="MEE"/>
    <x v="0"/>
    <n v="50030486"/>
    <s v="FURADEIRA BOSCH 3"/>
    <n v="1"/>
    <s v="REALIZADO"/>
    <s v="BRUNO"/>
    <x v="32"/>
    <x v="2"/>
    <x v="0"/>
  </r>
  <r>
    <n v="69510"/>
    <x v="7"/>
    <s v="MEE"/>
    <x v="0"/>
    <n v="50030486"/>
    <s v="FURADEIRA BOSCH 3"/>
    <n v="1"/>
    <s v="REALIZADO"/>
    <s v="MATHEUS"/>
    <x v="32"/>
    <x v="0"/>
    <x v="0"/>
  </r>
  <r>
    <n v="77594"/>
    <x v="23"/>
    <s v="MME"/>
    <x v="0"/>
    <n v="50030486"/>
    <s v="FURADEIRA BOSCH 3"/>
    <n v="1"/>
    <s v="REALIZADO"/>
    <s v="MATHEUS"/>
    <x v="32"/>
    <x v="2"/>
    <x v="0"/>
  </r>
  <r>
    <n v="77594"/>
    <x v="23"/>
    <s v="MME"/>
    <x v="0"/>
    <n v="50030486"/>
    <s v="FURADEIRA BOSCH 3"/>
    <n v="1"/>
    <s v="REALIZADO"/>
    <s v="MATHEUS"/>
    <x v="32"/>
    <x v="0"/>
    <x v="0"/>
  </r>
  <r>
    <n v="62471"/>
    <x v="9"/>
    <s v="MME"/>
    <x v="0"/>
    <n v="50043471"/>
    <s v="FURADEIRA BOSCH 7"/>
    <n v="1"/>
    <s v="REALIZADO"/>
    <s v="BRUNO"/>
    <x v="32"/>
    <x v="2"/>
    <x v="0"/>
  </r>
  <r>
    <n v="76994"/>
    <x v="8"/>
    <s v="MEE"/>
    <x v="0"/>
    <n v="50003297"/>
    <s v="FURADEIRA DE IMPACTO MAKITA 02"/>
    <n v="1"/>
    <s v="REALIZADO"/>
    <s v="MATHEUS"/>
    <x v="32"/>
    <x v="0"/>
    <x v="0"/>
  </r>
  <r>
    <n v="69510"/>
    <x v="7"/>
    <s v="MEE"/>
    <x v="0"/>
    <n v="50029865"/>
    <s v="JOGO DE BROCAS ACO RAPIDO"/>
    <n v="1"/>
    <s v="REALIZADO"/>
    <s v="BRUNO"/>
    <x v="32"/>
    <x v="2"/>
    <x v="0"/>
  </r>
  <r>
    <n v="69510"/>
    <x v="7"/>
    <s v="MEE"/>
    <x v="0"/>
    <n v="50029865"/>
    <s v="JOGO DE BROCAS ACO RAPIDO"/>
    <n v="1"/>
    <s v="REALIZADO"/>
    <s v="MATHEUS"/>
    <x v="32"/>
    <x v="0"/>
    <x v="0"/>
  </r>
  <r>
    <n v="73336"/>
    <x v="29"/>
    <s v="MMG"/>
    <x v="0"/>
    <n v="50022878"/>
    <s v="KIT MONTAGEM ROLAMENTO SKF"/>
    <n v="1"/>
    <s v="REALIZADO"/>
    <s v="BRUNO"/>
    <x v="32"/>
    <x v="2"/>
    <x v="0"/>
  </r>
  <r>
    <n v="73336"/>
    <x v="29"/>
    <s v="MMG"/>
    <x v="0"/>
    <n v="50022878"/>
    <s v="KIT MONTAGEM ROLAMENTO SKF"/>
    <n v="1"/>
    <s v="REALIZADO"/>
    <s v="BRUNO"/>
    <x v="32"/>
    <x v="0"/>
    <x v="0"/>
  </r>
  <r>
    <n v="76994"/>
    <x v="8"/>
    <s v="MEE"/>
    <x v="0"/>
    <n v="50038956"/>
    <s v="LIXADEIRA BOSCH 1"/>
    <n v="1"/>
    <s v="REALIZADO"/>
    <s v="BRUNO"/>
    <x v="32"/>
    <x v="2"/>
    <x v="0"/>
  </r>
  <r>
    <n v="76994"/>
    <x v="8"/>
    <s v="MEE"/>
    <x v="0"/>
    <n v="50038956"/>
    <s v="LIXADEIRA BOSCH 1"/>
    <n v="1"/>
    <s v="REALIZADO"/>
    <s v="MATHEUS"/>
    <x v="32"/>
    <x v="0"/>
    <x v="0"/>
  </r>
  <r>
    <n v="62471"/>
    <x v="9"/>
    <s v="MME"/>
    <x v="0"/>
    <n v="50037892"/>
    <s v="LIXADEIRA BOSCH 2"/>
    <n v="1"/>
    <s v="REALIZADO"/>
    <s v="BRUNO"/>
    <x v="32"/>
    <x v="0"/>
    <x v="0"/>
  </r>
  <r>
    <n v="68708"/>
    <x v="13"/>
    <s v="MMG"/>
    <x v="0"/>
    <n v="50037902"/>
    <s v="LIXADEIRA BOSCH 3"/>
    <n v="1"/>
    <s v="REALIZADO"/>
    <s v="BRUNO"/>
    <x v="32"/>
    <x v="0"/>
    <x v="0"/>
  </r>
  <r>
    <n v="77526"/>
    <x v="37"/>
    <s v="MME"/>
    <x v="0"/>
    <n v="50038517"/>
    <s v="LIXADEIRA BOSCH 5"/>
    <n v="1"/>
    <s v="REALIZADO"/>
    <s v="BRUNO"/>
    <x v="32"/>
    <x v="2"/>
    <x v="0"/>
  </r>
  <r>
    <n v="77526"/>
    <x v="37"/>
    <s v="MME"/>
    <x v="0"/>
    <n v="50038517"/>
    <s v="LIXADEIRA BOSCH 5"/>
    <n v="1"/>
    <s v="REALIZADO"/>
    <s v="MATHEUS"/>
    <x v="32"/>
    <x v="0"/>
    <x v="0"/>
  </r>
  <r>
    <n v="62896"/>
    <x v="33"/>
    <s v="MEE"/>
    <x v="0"/>
    <n v="50038518"/>
    <s v="LIXADEIRA BOSCH 7"/>
    <n v="1"/>
    <s v="REALIZADO"/>
    <s v="BRUNO"/>
    <x v="32"/>
    <x v="2"/>
    <x v="0"/>
  </r>
  <r>
    <n v="62896"/>
    <x v="33"/>
    <s v="MEE"/>
    <x v="0"/>
    <n v="50038518"/>
    <s v="LIXADEIRA BOSCH 7"/>
    <n v="1"/>
    <s v="REALIZADO"/>
    <s v="MATHEUS"/>
    <x v="32"/>
    <x v="0"/>
    <x v="0"/>
  </r>
  <r>
    <n v="64253"/>
    <x v="16"/>
    <s v="MMG"/>
    <x v="0"/>
    <n v="50041195"/>
    <s v="PARAFUSADEIRA FUR DE IMPACTO BRUSHLESS"/>
    <n v="1"/>
    <s v="REALIZADO"/>
    <s v="BRUNO"/>
    <x v="32"/>
    <x v="2"/>
    <x v="0"/>
  </r>
  <r>
    <n v="64253"/>
    <x v="16"/>
    <s v="MMG"/>
    <x v="0"/>
    <n v="50041195"/>
    <s v="PARAFUSADEIRA FUR DE IMPACTO BRUSHLESS"/>
    <n v="1"/>
    <s v="REALIZADO"/>
    <s v="MATHEUS"/>
    <x v="32"/>
    <x v="2"/>
    <x v="0"/>
  </r>
  <r>
    <n v="65900"/>
    <x v="73"/>
    <s v="MME"/>
    <x v="3"/>
    <n v="50043917"/>
    <s v="PARAFUSADEIRA FURADEIRA BOSCH"/>
    <n v="1"/>
    <s v="REALIZADO"/>
    <s v="BRUNO"/>
    <x v="32"/>
    <x v="0"/>
    <x v="0"/>
  </r>
  <r>
    <n v="73878"/>
    <x v="20"/>
    <s v="MMG"/>
    <x v="0"/>
    <n v="50010031"/>
    <s v=" LIXADEIRA BOSCH 6"/>
    <n v="1"/>
    <s v="REALIZADO"/>
    <s v="BRUNO"/>
    <x v="33"/>
    <x v="2"/>
    <x v="0"/>
  </r>
  <r>
    <n v="73878"/>
    <x v="20"/>
    <s v="MMG"/>
    <x v="0"/>
    <n v="50010031"/>
    <s v=" LIXADEIRA BOSCH 6"/>
    <n v="1"/>
    <s v="REALIZADO"/>
    <s v="BRUNO"/>
    <x v="33"/>
    <x v="0"/>
    <x v="0"/>
  </r>
  <r>
    <n v="60763"/>
    <x v="57"/>
    <s v="MMG"/>
    <x v="2"/>
    <n v="50037905"/>
    <s v="ESTETOSCÓPIO SKF"/>
    <n v="1"/>
    <s v="REALIZADO"/>
    <s v="BRUNO"/>
    <x v="33"/>
    <x v="2"/>
    <x v="0"/>
  </r>
  <r>
    <n v="60763"/>
    <x v="57"/>
    <s v="MMG"/>
    <x v="2"/>
    <n v="50037905"/>
    <s v="ESTETOSCÓPIO SKF"/>
    <n v="1"/>
    <s v="REALIZADO"/>
    <s v="BRUNO"/>
    <x v="33"/>
    <x v="0"/>
    <x v="0"/>
  </r>
  <r>
    <n v="76633"/>
    <x v="62"/>
    <s v="MMG"/>
    <x v="2"/>
    <n v="50030486"/>
    <s v="FURADEIRA BOSCH 3"/>
    <n v="1"/>
    <s v="REALIZADO"/>
    <s v="BRUNO"/>
    <x v="33"/>
    <x v="2"/>
    <x v="0"/>
  </r>
  <r>
    <n v="76633"/>
    <x v="62"/>
    <s v="MMG"/>
    <x v="2"/>
    <n v="50030486"/>
    <s v="FURADEIRA BOSCH 3"/>
    <n v="1"/>
    <s v="REALIZADO"/>
    <s v="MATHEUS"/>
    <x v="33"/>
    <x v="2"/>
    <x v="0"/>
  </r>
  <r>
    <n v="62471"/>
    <x v="9"/>
    <s v="MME"/>
    <x v="0"/>
    <n v="50043471"/>
    <s v="FURADEIRA BOSCH 7"/>
    <n v="1"/>
    <s v="REALIZADO"/>
    <s v="BRUNO"/>
    <x v="33"/>
    <x v="0"/>
    <x v="0"/>
  </r>
  <r>
    <n v="62896"/>
    <x v="33"/>
    <s v="MEE"/>
    <x v="0"/>
    <n v="50003297"/>
    <s v="FURADEIRA DE IMPACTO MAKITA 02"/>
    <n v="1"/>
    <s v="REALIZADO"/>
    <s v="BRUNO"/>
    <x v="33"/>
    <x v="2"/>
    <x v="0"/>
  </r>
  <r>
    <n v="62896"/>
    <x v="33"/>
    <s v="MEE"/>
    <x v="0"/>
    <n v="50003297"/>
    <s v="FURADEIRA DE IMPACTO MAKITA 02"/>
    <n v="1"/>
    <s v="REALIZADO"/>
    <s v="BRUNO"/>
    <x v="33"/>
    <x v="0"/>
    <x v="0"/>
  </r>
  <r>
    <n v="77594"/>
    <x v="23"/>
    <s v="MME"/>
    <x v="0"/>
    <n v="50003297"/>
    <s v="FURADEIRA DE IMPACTO MAKITA 02"/>
    <n v="1"/>
    <s v="REALIZADO"/>
    <s v="BRUNO"/>
    <x v="33"/>
    <x v="2"/>
    <x v="0"/>
  </r>
  <r>
    <n v="77594"/>
    <x v="23"/>
    <s v="MME"/>
    <x v="0"/>
    <n v="50003297"/>
    <s v="FURADEIRA DE IMPACTO MAKITA 02"/>
    <n v="1"/>
    <s v="REALIZADO"/>
    <s v="BRUNO"/>
    <x v="33"/>
    <x v="0"/>
    <x v="0"/>
  </r>
  <r>
    <n v="62896"/>
    <x v="33"/>
    <s v="MEE"/>
    <x v="0"/>
    <n v="50043320"/>
    <s v="JOGO SERRA COPO 8PÇS"/>
    <n v="1"/>
    <s v="REALIZADO"/>
    <s v="BRUNO"/>
    <x v="33"/>
    <x v="2"/>
    <x v="0"/>
  </r>
  <r>
    <n v="62896"/>
    <x v="33"/>
    <s v="MEE"/>
    <x v="0"/>
    <n v="50043320"/>
    <s v="JOGO SERRA COPO 8PÇS"/>
    <n v="1"/>
    <s v="REALIZADO"/>
    <s v="MATHEUS"/>
    <x v="33"/>
    <x v="0"/>
    <x v="0"/>
  </r>
  <r>
    <n v="68708"/>
    <x v="13"/>
    <s v="MMG"/>
    <x v="0"/>
    <n v="50038549"/>
    <s v="JOGO SOQUETE ESTRIADOS 1/2 22PEÇ"/>
    <n v="1"/>
    <s v="REALIZADO"/>
    <s v="BRUNO"/>
    <x v="33"/>
    <x v="2"/>
    <x v="0"/>
  </r>
  <r>
    <n v="68708"/>
    <x v="13"/>
    <s v="MMG"/>
    <x v="0"/>
    <n v="50038549"/>
    <s v="JOGO SOQUETE ESTRIADOS 1/2 22PEÇ"/>
    <n v="1"/>
    <s v="REALIZADO"/>
    <s v="MATHEUS"/>
    <x v="33"/>
    <x v="0"/>
    <x v="0"/>
  </r>
  <r>
    <n v="79177"/>
    <x v="28"/>
    <s v="MMG"/>
    <x v="0"/>
    <n v="50022878"/>
    <s v="KIT MONTAGEM ROLAMENTO SKF"/>
    <n v="1"/>
    <s v="REALIZADO"/>
    <s v="MATHEUS"/>
    <x v="33"/>
    <x v="2"/>
    <x v="0"/>
  </r>
  <r>
    <n v="79177"/>
    <x v="28"/>
    <s v="MMG"/>
    <x v="0"/>
    <n v="50022878"/>
    <s v="KIT MONTAGEM ROLAMENTO SKF"/>
    <n v="1"/>
    <s v="REALIZADO"/>
    <s v="MATHEUS"/>
    <x v="33"/>
    <x v="0"/>
    <x v="0"/>
  </r>
  <r>
    <n v="70105"/>
    <x v="25"/>
    <s v="MMG"/>
    <x v="3"/>
    <n v="50038956"/>
    <s v="LIXADEIRA BOSCH 1"/>
    <n v="1"/>
    <s v="REALIZADO"/>
    <s v="BRUNO"/>
    <x v="33"/>
    <x v="2"/>
    <x v="0"/>
  </r>
  <r>
    <n v="70105"/>
    <x v="25"/>
    <s v="MMG"/>
    <x v="3"/>
    <n v="50038956"/>
    <s v="LIXADEIRA BOSCH 1"/>
    <n v="1"/>
    <s v="REALIZADO"/>
    <s v="MATHEUS"/>
    <x v="33"/>
    <x v="2"/>
    <x v="0"/>
  </r>
  <r>
    <n v="62471"/>
    <x v="9"/>
    <s v="MME"/>
    <x v="0"/>
    <n v="50037892"/>
    <s v="LIXADEIRA BOSCH 2"/>
    <n v="1"/>
    <s v="REALIZADO"/>
    <s v="BRUNO"/>
    <x v="33"/>
    <x v="0"/>
    <x v="0"/>
  </r>
  <r>
    <n v="70105"/>
    <x v="25"/>
    <s v="MMG"/>
    <x v="3"/>
    <n v="50037892"/>
    <s v="LIXADEIRA BOSCH 2"/>
    <n v="1"/>
    <s v="REALIZADO"/>
    <s v="BRUNO"/>
    <x v="33"/>
    <x v="2"/>
    <x v="0"/>
  </r>
  <r>
    <n v="70105"/>
    <x v="25"/>
    <s v="MMG"/>
    <x v="3"/>
    <n v="50037892"/>
    <s v="LIXADEIRA BOSCH 2"/>
    <n v="1"/>
    <s v="REALIZADO"/>
    <s v="MATHEUS"/>
    <x v="33"/>
    <x v="0"/>
    <x v="0"/>
  </r>
  <r>
    <n v="62471"/>
    <x v="9"/>
    <s v="MME"/>
    <x v="0"/>
    <n v="50038841"/>
    <s v="LIXADEIRA BOSCH 4"/>
    <n v="1"/>
    <s v="REALIZADO"/>
    <s v="BRUNO"/>
    <x v="33"/>
    <x v="2"/>
    <x v="0"/>
  </r>
  <r>
    <n v="62471"/>
    <x v="9"/>
    <s v="MME"/>
    <x v="0"/>
    <n v="50038841"/>
    <s v="LIXADEIRA BOSCH 4"/>
    <n v="1"/>
    <s v="REALIZADO"/>
    <s v="BRUNO"/>
    <x v="33"/>
    <x v="0"/>
    <x v="0"/>
  </r>
  <r>
    <n v="68708"/>
    <x v="13"/>
    <s v="MMG"/>
    <x v="0"/>
    <n v="50038841"/>
    <s v="LIXADEIRA BOSCH 4"/>
    <n v="1"/>
    <s v="REALIZADO"/>
    <s v="BRUNO"/>
    <x v="33"/>
    <x v="0"/>
    <x v="0"/>
  </r>
  <r>
    <n v="62896"/>
    <x v="33"/>
    <s v="MEE"/>
    <x v="0"/>
    <n v="50038841"/>
    <s v="LIXADEIRA BOSCH 4"/>
    <n v="1"/>
    <s v="REALIZADO"/>
    <s v="BRUNO"/>
    <x v="33"/>
    <x v="2"/>
    <x v="0"/>
  </r>
  <r>
    <n v="62896"/>
    <x v="33"/>
    <s v="MEE"/>
    <x v="0"/>
    <n v="50038841"/>
    <s v="LIXADEIRA BOSCH 4"/>
    <n v="1"/>
    <s v="REALIZADO"/>
    <s v="BRUNO"/>
    <x v="33"/>
    <x v="0"/>
    <x v="0"/>
  </r>
  <r>
    <n v="79177"/>
    <x v="28"/>
    <s v="MMG"/>
    <x v="0"/>
    <n v="50038841"/>
    <s v="LIXADEIRA BOSCH 4"/>
    <n v="1"/>
    <s v="REALIZADO"/>
    <s v="MATHEUS"/>
    <x v="33"/>
    <x v="2"/>
    <x v="0"/>
  </r>
  <r>
    <n v="79177"/>
    <x v="28"/>
    <s v="MMG"/>
    <x v="0"/>
    <n v="50038841"/>
    <s v="LIXADEIRA BOSCH 4"/>
    <n v="1"/>
    <s v="REALIZADO"/>
    <s v="MATHEUS"/>
    <x v="33"/>
    <x v="0"/>
    <x v="0"/>
  </r>
  <r>
    <n v="77594"/>
    <x v="23"/>
    <s v="MME"/>
    <x v="0"/>
    <n v="50038517"/>
    <s v="LIXADEIRA BOSCH 5"/>
    <n v="1"/>
    <s v="REALIZADO"/>
    <s v="BRUNO"/>
    <x v="33"/>
    <x v="2"/>
    <x v="0"/>
  </r>
  <r>
    <n v="77594"/>
    <x v="23"/>
    <s v="MME"/>
    <x v="0"/>
    <n v="50038517"/>
    <s v="LIXADEIRA BOSCH 5"/>
    <n v="1"/>
    <s v="REALIZADO"/>
    <s v="BRUNO"/>
    <x v="33"/>
    <x v="0"/>
    <x v="0"/>
  </r>
  <r>
    <n v="65844"/>
    <x v="54"/>
    <s v="MMG"/>
    <x v="2"/>
    <n v="50039065"/>
    <s v="MAQUINA SOLDA TIG"/>
    <n v="1"/>
    <s v="REALIZADO"/>
    <s v="AGATHA"/>
    <x v="33"/>
    <x v="2"/>
    <x v="0"/>
  </r>
  <r>
    <n v="65844"/>
    <x v="54"/>
    <s v="MMG"/>
    <x v="2"/>
    <n v="50039065"/>
    <s v="MAQUINA SOLDA TIG"/>
    <n v="1"/>
    <s v="REALIZADO"/>
    <s v="BRUNO"/>
    <x v="33"/>
    <x v="0"/>
    <x v="0"/>
  </r>
  <r>
    <n v="68708"/>
    <x v="13"/>
    <s v="MMG"/>
    <x v="0"/>
    <n v="50036332"/>
    <s v="MARRETA 3KG GEDORE"/>
    <n v="1"/>
    <s v="REALIZADO"/>
    <s v="MATHEUS"/>
    <x v="33"/>
    <x v="2"/>
    <x v="0"/>
  </r>
  <r>
    <n v="68708"/>
    <x v="13"/>
    <s v="MMG"/>
    <x v="0"/>
    <n v="50036332"/>
    <s v="MARRETA 3KG GEDORE"/>
    <n v="1"/>
    <s v="REALIZADO"/>
    <s v="MATHEUS"/>
    <x v="33"/>
    <x v="0"/>
    <x v="0"/>
  </r>
  <r>
    <n v="62471"/>
    <x v="9"/>
    <s v="MME"/>
    <x v="0"/>
    <n v="50038626"/>
    <s v="MARRETA 8KG"/>
    <n v="1"/>
    <s v="REALIZADO"/>
    <s v="MATHEUS"/>
    <x v="33"/>
    <x v="0"/>
    <x v="0"/>
  </r>
  <r>
    <n v="62896"/>
    <x v="33"/>
    <s v="MEE"/>
    <x v="0"/>
    <n v="50026357"/>
    <s v="MARTELETE VONDER"/>
    <n v="1"/>
    <s v="REALIZADO"/>
    <s v="BRUNO"/>
    <x v="33"/>
    <x v="2"/>
    <x v="0"/>
  </r>
  <r>
    <n v="62896"/>
    <x v="33"/>
    <s v="MEE"/>
    <x v="0"/>
    <n v="50026357"/>
    <s v="MARTELETE VONDER"/>
    <n v="1"/>
    <s v="REALIZADO"/>
    <s v="MATHEUS"/>
    <x v="33"/>
    <x v="0"/>
    <x v="0"/>
  </r>
  <r>
    <n v="72713"/>
    <x v="68"/>
    <s v="MPR"/>
    <x v="0"/>
    <n v="50041195"/>
    <s v="PARAFUSADEIRA FUR DE IMPACTO BRUSHLESS"/>
    <n v="1"/>
    <s v="REALIZADO"/>
    <s v="BRUNO"/>
    <x v="33"/>
    <x v="2"/>
    <x v="0"/>
  </r>
  <r>
    <n v="72713"/>
    <x v="68"/>
    <s v="MPR"/>
    <x v="0"/>
    <n v="50041195"/>
    <s v="PARAFUSADEIRA FUR DE IMPACTO BRUSHLESS"/>
    <n v="1"/>
    <s v="REALIZADO"/>
    <s v="MATHEUS"/>
    <x v="33"/>
    <x v="0"/>
    <x v="0"/>
  </r>
  <r>
    <n v="77471"/>
    <x v="35"/>
    <s v="MEE"/>
    <x v="0"/>
    <n v="50043917"/>
    <s v="PARAFUSADEIRA FURADEIRA BOSCH"/>
    <n v="1"/>
    <s v="REALIZADO"/>
    <s v="BRUNO"/>
    <x v="33"/>
    <x v="2"/>
    <x v="0"/>
  </r>
  <r>
    <n v="77471"/>
    <x v="35"/>
    <s v="MEE"/>
    <x v="0"/>
    <n v="50043917"/>
    <s v="PARAFUSADEIRA FURADEIRA BOSCH"/>
    <n v="1"/>
    <s v="REALIZADO"/>
    <s v="MATHEUS"/>
    <x v="33"/>
    <x v="0"/>
    <x v="0"/>
  </r>
  <r>
    <n v="76633"/>
    <x v="62"/>
    <s v="MMG"/>
    <x v="2"/>
    <n v="50020623"/>
    <s v="REBITADOR MANUAL"/>
    <n v="1"/>
    <s v="REALIZADO"/>
    <s v="BRUNO"/>
    <x v="33"/>
    <x v="2"/>
    <x v="0"/>
  </r>
  <r>
    <n v="76633"/>
    <x v="62"/>
    <s v="MMG"/>
    <x v="2"/>
    <n v="50020623"/>
    <s v="REBITADOR MANUAL"/>
    <n v="1"/>
    <s v="REALIZADO"/>
    <s v="MATHEUS"/>
    <x v="33"/>
    <x v="0"/>
    <x v="0"/>
  </r>
  <r>
    <n v="68708"/>
    <x v="13"/>
    <s v="MMG"/>
    <x v="0"/>
    <n v="50012902"/>
    <s v="SACA POLIA 03 GARRAS 250 MM GEDORE"/>
    <n v="1"/>
    <s v="REALIZADO"/>
    <s v="MATHEUS"/>
    <x v="33"/>
    <x v="2"/>
    <x v="0"/>
  </r>
  <r>
    <n v="68708"/>
    <x v="13"/>
    <s v="MMG"/>
    <x v="0"/>
    <n v="50012902"/>
    <s v="SACA POLIA 03 GARRAS 250 MM GEDORE"/>
    <n v="1"/>
    <s v="REALIZADO"/>
    <s v="MATHEUS"/>
    <x v="33"/>
    <x v="2"/>
    <x v="0"/>
  </r>
  <r>
    <n v="61096"/>
    <x v="64"/>
    <s v="MME"/>
    <x v="0"/>
    <n v="50032781"/>
    <s v="SERRA TICO TICO 650W DEWALT "/>
    <n v="1"/>
    <s v="REALIZADO"/>
    <s v="MATHEUS"/>
    <x v="33"/>
    <x v="0"/>
    <x v="0"/>
  </r>
  <r>
    <n v="64074"/>
    <x v="75"/>
    <s v="MPR"/>
    <x v="0"/>
    <n v="50028220"/>
    <s v="SOPRADOR TERMICO VONDER 1500W 220V"/>
    <n v="1"/>
    <s v="REALIZADO"/>
    <s v="BRUNO"/>
    <x v="33"/>
    <x v="2"/>
    <x v="0"/>
  </r>
  <r>
    <n v="64074"/>
    <x v="75"/>
    <s v="MPR"/>
    <x v="0"/>
    <n v="50028220"/>
    <s v="SOPRADOR TERMICO VONDER 1500W 220V"/>
    <n v="1"/>
    <s v="REALIZADO"/>
    <s v="BRUNO"/>
    <x v="33"/>
    <x v="0"/>
    <x v="0"/>
  </r>
  <r>
    <n v="68708"/>
    <x v="13"/>
    <s v="MMG"/>
    <x v="0"/>
    <n v="50042283"/>
    <s v="TALHA 2000KG x 5M"/>
    <n v="1"/>
    <s v="REALIZADO"/>
    <s v="BRUNO"/>
    <x v="33"/>
    <x v="2"/>
    <x v="0"/>
  </r>
  <r>
    <n v="68708"/>
    <x v="13"/>
    <s v="MMG"/>
    <x v="0"/>
    <n v="50042283"/>
    <s v="TALHA 2000KG x 5M"/>
    <n v="1"/>
    <s v="REALIZADO"/>
    <s v="BRUNO"/>
    <x v="33"/>
    <x v="0"/>
    <x v="0"/>
  </r>
  <r>
    <n v="68708"/>
    <x v="13"/>
    <s v="MMG"/>
    <x v="0"/>
    <n v="50042283"/>
    <s v="TALHA 2000KG x 5M"/>
    <n v="1"/>
    <s v="REALIZADO"/>
    <s v="MATHEUS"/>
    <x v="33"/>
    <x v="2"/>
    <x v="0"/>
  </r>
  <r>
    <n v="68708"/>
    <x v="13"/>
    <s v="MMG"/>
    <x v="0"/>
    <n v="50042283"/>
    <s v="TALHA 2000KG x 5M"/>
    <n v="1"/>
    <s v="REALIZADO"/>
    <s v="MATHEUS"/>
    <x v="33"/>
    <x v="0"/>
    <x v="0"/>
  </r>
  <r>
    <n v="69510"/>
    <x v="7"/>
    <s v="MEE"/>
    <x v="0"/>
    <n v="50002644"/>
    <s v="ALICATE CRIMPADOR"/>
    <n v="1"/>
    <s v="REALIZADO"/>
    <s v="GEOVANE"/>
    <x v="34"/>
    <x v="2"/>
    <x v="0"/>
  </r>
  <r>
    <n v="69510"/>
    <x v="7"/>
    <s v="MEE"/>
    <x v="0"/>
    <n v="50002644"/>
    <s v="ALICATE CRIMPADOR"/>
    <n v="1"/>
    <s v="REALIZADO"/>
    <s v="AGATHA"/>
    <x v="34"/>
    <x v="0"/>
    <x v="0"/>
  </r>
  <r>
    <n v="75365"/>
    <x v="77"/>
    <s v="MEE"/>
    <x v="0"/>
    <n v="50036298"/>
    <s v="ASPIRADOR PARA SOLIDOS SEM FIO 20V"/>
    <n v="1"/>
    <s v="REALIZADO"/>
    <s v="AGATHA"/>
    <x v="34"/>
    <x v="2"/>
    <x v="0"/>
  </r>
  <r>
    <n v="75365"/>
    <x v="77"/>
    <s v="MEE"/>
    <x v="0"/>
    <n v="50036298"/>
    <s v="ASPIRADOR PARA SOLIDOS SEM FIO 20V"/>
    <n v="1"/>
    <s v="REALIZADO"/>
    <s v="AGATHA"/>
    <x v="34"/>
    <x v="0"/>
    <x v="1"/>
  </r>
  <r>
    <n v="61264"/>
    <x v="10"/>
    <s v="MMG"/>
    <x v="0"/>
    <n v="50036255"/>
    <s v="CHAVE DE IMPACTO 1/2&quot; 20V"/>
    <n v="1"/>
    <s v="REALIZADO"/>
    <s v="MARCIA"/>
    <x v="34"/>
    <x v="2"/>
    <x v="0"/>
  </r>
  <r>
    <n v="61264"/>
    <x v="10"/>
    <s v="MMG"/>
    <x v="0"/>
    <n v="50036255"/>
    <s v="CHAVE DE IMPACTO 1/2&quot; 20V"/>
    <n v="1"/>
    <s v="REALIZADO"/>
    <s v="MATHEUS"/>
    <x v="34"/>
    <x v="0"/>
    <x v="0"/>
  </r>
  <r>
    <n v="64128"/>
    <x v="42"/>
    <s v="UTI"/>
    <x v="3"/>
    <n v="50038842"/>
    <s v="CHAVE GRIFO 36"/>
    <n v="1"/>
    <s v="REALIZADO"/>
    <s v="AGATHA"/>
    <x v="34"/>
    <x v="2"/>
    <x v="0"/>
  </r>
  <r>
    <n v="64128"/>
    <x v="42"/>
    <s v="UTI"/>
    <x v="3"/>
    <n v="50038842"/>
    <s v="CHAVE GRIFO 36"/>
    <n v="1"/>
    <s v="REALIZADO"/>
    <s v="AGATHA"/>
    <x v="34"/>
    <x v="0"/>
    <x v="0"/>
  </r>
  <r>
    <n v="69510"/>
    <x v="7"/>
    <s v="MEE"/>
    <x v="0"/>
    <n v="50039236"/>
    <s v="FURADEIRA BOSCH 4"/>
    <n v="1"/>
    <s v="REALIZADO"/>
    <s v="MATHEUS"/>
    <x v="34"/>
    <x v="0"/>
    <x v="0"/>
  </r>
  <r>
    <n v="69510"/>
    <x v="7"/>
    <s v="MEE"/>
    <x v="0"/>
    <n v="50029865"/>
    <s v="JOGO DE BROCAS ACO RAPIDO"/>
    <n v="1"/>
    <s v="REALIZADO"/>
    <s v="MATHEUS"/>
    <x v="34"/>
    <x v="0"/>
    <x v="0"/>
  </r>
  <r>
    <n v="70105"/>
    <x v="25"/>
    <s v="MMG"/>
    <x v="3"/>
    <n v="50038956"/>
    <s v="LIXADEIRA BOSCH 1"/>
    <n v="1"/>
    <s v="REALIZADO"/>
    <s v="GEOVANE"/>
    <x v="34"/>
    <x v="2"/>
    <x v="0"/>
  </r>
  <r>
    <n v="70105"/>
    <x v="25"/>
    <s v="MMG"/>
    <x v="3"/>
    <n v="50038956"/>
    <s v="LIXADEIRA BOSCH 1"/>
    <n v="1"/>
    <s v="REALIZADO"/>
    <s v="GEOVANE"/>
    <x v="34"/>
    <x v="0"/>
    <x v="0"/>
  </r>
  <r>
    <n v="69510"/>
    <x v="7"/>
    <s v="MEE"/>
    <x v="0"/>
    <n v="50038956"/>
    <s v="LIXADEIRA BOSCH 1"/>
    <n v="1"/>
    <s v="REALIZADO"/>
    <s v="MATHEUS"/>
    <x v="34"/>
    <x v="0"/>
    <x v="0"/>
  </r>
  <r>
    <n v="72715"/>
    <x v="26"/>
    <s v="MPR"/>
    <x v="0"/>
    <n v="50037892"/>
    <s v="LIXADEIRA BOSCH 2"/>
    <n v="1"/>
    <s v="REALIZADO"/>
    <s v="AGATHA"/>
    <x v="34"/>
    <x v="2"/>
    <x v="0"/>
  </r>
  <r>
    <n v="72715"/>
    <x v="26"/>
    <s v="MPR"/>
    <x v="0"/>
    <n v="50037892"/>
    <s v="LIXADEIRA BOSCH 2"/>
    <n v="1"/>
    <s v="REALIZADO"/>
    <s v="MATHEUS"/>
    <x v="34"/>
    <x v="2"/>
    <x v="0"/>
  </r>
  <r>
    <n v="77594"/>
    <x v="23"/>
    <s v="MME"/>
    <x v="0"/>
    <n v="50037902"/>
    <s v="LIXADEIRA BOSCH 3"/>
    <n v="1"/>
    <s v="REALIZADO"/>
    <s v="MATHEUS"/>
    <x v="34"/>
    <x v="0"/>
    <x v="0"/>
  </r>
  <r>
    <n v="76239"/>
    <x v="19"/>
    <s v="REFRIG"/>
    <x v="0"/>
    <n v="50038841"/>
    <s v="LIXADEIRA BOSCH 4"/>
    <n v="1"/>
    <s v="REALIZADO"/>
    <s v="MATHEUS"/>
    <x v="34"/>
    <x v="2"/>
    <x v="0"/>
  </r>
  <r>
    <n v="76239"/>
    <x v="19"/>
    <s v="REFRIG"/>
    <x v="0"/>
    <n v="50038841"/>
    <s v="LIXADEIRA BOSCH 4"/>
    <n v="1"/>
    <s v="REALIZADO"/>
    <s v="MATHEUS"/>
    <x v="34"/>
    <x v="0"/>
    <x v="0"/>
  </r>
  <r>
    <n v="79177"/>
    <x v="28"/>
    <s v="MMG"/>
    <x v="0"/>
    <n v="50038517"/>
    <s v="LIXADEIRA BOSCH 5"/>
    <n v="1"/>
    <s v="REALIZADO"/>
    <s v="GEOVANE"/>
    <x v="34"/>
    <x v="2"/>
    <x v="0"/>
  </r>
  <r>
    <n v="79177"/>
    <x v="28"/>
    <s v="MMG"/>
    <x v="0"/>
    <n v="50038517"/>
    <s v="LIXADEIRA BOSCH 5"/>
    <n v="1"/>
    <s v="REALIZADO"/>
    <s v="GEOVANE"/>
    <x v="34"/>
    <x v="2"/>
    <x v="0"/>
  </r>
  <r>
    <n v="66789"/>
    <x v="78"/>
    <s v="MME"/>
    <x v="2"/>
    <n v="50038517"/>
    <s v="LIXADEIRA BOSCH 5"/>
    <n v="1"/>
    <s v="REALIZADO"/>
    <s v="MATHEUS"/>
    <x v="34"/>
    <x v="0"/>
    <x v="0"/>
  </r>
  <r>
    <n v="76633"/>
    <x v="62"/>
    <s v="MMG"/>
    <x v="2"/>
    <n v="50039065"/>
    <s v="MAQUINA SOLDA TIG"/>
    <n v="1"/>
    <s v="REALIZADO"/>
    <s v="AGATHA"/>
    <x v="34"/>
    <x v="2"/>
    <x v="0"/>
  </r>
  <r>
    <n v="76633"/>
    <x v="62"/>
    <s v="MMG"/>
    <x v="2"/>
    <n v="50039065"/>
    <s v="MAQUINA SOLDA TIG"/>
    <n v="1"/>
    <s v="REALIZADO"/>
    <s v="MATHEUS"/>
    <x v="34"/>
    <x v="2"/>
    <x v="0"/>
  </r>
  <r>
    <n v="66790"/>
    <x v="60"/>
    <s v="MMG"/>
    <x v="3"/>
    <n v="50038626"/>
    <s v="MARRETA 8KG"/>
    <n v="1"/>
    <s v="REALIZADO"/>
    <s v="GEOVANE"/>
    <x v="34"/>
    <x v="0"/>
    <x v="0"/>
  </r>
  <r>
    <n v="72715"/>
    <x v="26"/>
    <s v="MPR"/>
    <x v="0"/>
    <n v="50026357"/>
    <s v="MARTELETE VONDER"/>
    <n v="1"/>
    <s v="REALIZADO"/>
    <s v="GEOVANE"/>
    <x v="34"/>
    <x v="2"/>
    <x v="0"/>
  </r>
  <r>
    <n v="72715"/>
    <x v="26"/>
    <s v="MPR"/>
    <x v="0"/>
    <n v="50026357"/>
    <s v="MARTELETE VONDER"/>
    <n v="1"/>
    <s v="REALIZADO"/>
    <s v="GEOVANE"/>
    <x v="34"/>
    <x v="0"/>
    <x v="0"/>
  </r>
  <r>
    <n v="62640"/>
    <x v="44"/>
    <s v="MPR"/>
    <x v="0"/>
    <n v="50041195"/>
    <s v="PARAFUSADEIRA FUR DE IMPACTO BRUSHLESS"/>
    <n v="1"/>
    <s v="REALIZADO"/>
    <s v="AGATHA"/>
    <x v="34"/>
    <x v="2"/>
    <x v="0"/>
  </r>
  <r>
    <n v="62640"/>
    <x v="44"/>
    <s v="MPR"/>
    <x v="0"/>
    <n v="50041195"/>
    <s v="PARAFUSADEIRA FUR DE IMPACTO BRUSHLESS"/>
    <n v="1"/>
    <s v="REALIZADO"/>
    <s v="MATHEUS"/>
    <x v="34"/>
    <x v="0"/>
    <x v="0"/>
  </r>
  <r>
    <n v="71850"/>
    <x v="14"/>
    <s v="MMG"/>
    <x v="0"/>
    <n v="50043917"/>
    <s v="PARAFUSADEIRA FURADEIRA BOSCH"/>
    <n v="1"/>
    <s v="REALIZADO"/>
    <s v="AGATHA"/>
    <x v="34"/>
    <x v="2"/>
    <x v="0"/>
  </r>
  <r>
    <n v="71850"/>
    <x v="14"/>
    <s v="MMG"/>
    <x v="0"/>
    <n v="50043917"/>
    <s v="PARAFUSADEIRA FURADEIRA BOSCH"/>
    <n v="1"/>
    <s v="REALIZADO"/>
    <s v="MATHEUS"/>
    <x v="34"/>
    <x v="0"/>
    <x v="0"/>
  </r>
  <r>
    <n v="61264"/>
    <x v="10"/>
    <s v="MMG"/>
    <x v="0"/>
    <n v="50032775"/>
    <s v="SACA POLIA 150MM 3 GARRAS - GEDORE"/>
    <n v="1"/>
    <s v="REALIZADO"/>
    <s v="AGATHA"/>
    <x v="34"/>
    <x v="2"/>
    <x v="0"/>
  </r>
  <r>
    <n v="61264"/>
    <x v="10"/>
    <s v="MMG"/>
    <x v="0"/>
    <n v="50032775"/>
    <s v="SACA POLIA 150MM 3 GARRAS - GEDORE"/>
    <n v="1"/>
    <s v="REALIZADO"/>
    <s v="MATHEUS"/>
    <x v="34"/>
    <x v="0"/>
    <x v="0"/>
  </r>
  <r>
    <n v="66830"/>
    <x v="3"/>
    <s v="MPR"/>
    <x v="0"/>
    <n v="50028220"/>
    <s v="SOPRADOR TERMICO VONDER 1500W 220V"/>
    <n v="1"/>
    <s v="REALIZADO"/>
    <s v="MATHEUS"/>
    <x v="34"/>
    <x v="2"/>
    <x v="0"/>
  </r>
  <r>
    <n v="66830"/>
    <x v="3"/>
    <s v="MPR"/>
    <x v="0"/>
    <n v="50028220"/>
    <s v="SOPRADOR TERMICO VONDER 1500W 220V"/>
    <n v="1"/>
    <s v="REALIZADO"/>
    <s v="MATHEUS"/>
    <x v="34"/>
    <x v="2"/>
    <x v="0"/>
  </r>
  <r>
    <n v="76239"/>
    <x v="19"/>
    <s v="REFRIG"/>
    <x v="0"/>
    <n v="50042002"/>
    <s v="VACUOMETRO DIGITAL"/>
    <n v="1"/>
    <s v="REALIZADO"/>
    <s v="MATHEUS"/>
    <x v="34"/>
    <x v="0"/>
    <x v="0"/>
  </r>
  <r>
    <n v="77471"/>
    <x v="35"/>
    <s v="MEE"/>
    <x v="0"/>
    <n v="50010031"/>
    <s v=" LIXADEIRA BOSCH 6"/>
    <n v="1"/>
    <s v="REALIZADO"/>
    <s v="AGATHA"/>
    <x v="35"/>
    <x v="2"/>
    <x v="0"/>
  </r>
  <r>
    <n v="77471"/>
    <x v="35"/>
    <s v="MEE"/>
    <x v="0"/>
    <n v="50010031"/>
    <s v=" LIXADEIRA BOSCH 6"/>
    <n v="1"/>
    <s v="REALIZADO"/>
    <s v="AGATHA"/>
    <x v="35"/>
    <x v="0"/>
    <x v="0"/>
  </r>
  <r>
    <n v="64074"/>
    <x v="75"/>
    <s v="MPR"/>
    <x v="0"/>
    <n v="50010031"/>
    <s v=" LIXADEIRA BOSCH 6"/>
    <n v="1"/>
    <s v="REALIZADO"/>
    <s v="BRUNO"/>
    <x v="35"/>
    <x v="2"/>
    <x v="0"/>
  </r>
  <r>
    <n v="64074"/>
    <x v="75"/>
    <s v="MPR"/>
    <x v="0"/>
    <n v="50010031"/>
    <s v=" LIXADEIRA BOSCH 6"/>
    <n v="1"/>
    <s v="REALIZADO"/>
    <s v="BRUNO"/>
    <x v="35"/>
    <x v="0"/>
    <x v="0"/>
  </r>
  <r>
    <n v="72715"/>
    <x v="26"/>
    <s v="MPR"/>
    <x v="0"/>
    <n v="50038854"/>
    <s v="ARCO DE SERRA"/>
    <n v="1"/>
    <s v="REALIZADO"/>
    <s v="AGATHA"/>
    <x v="35"/>
    <x v="2"/>
    <x v="0"/>
  </r>
  <r>
    <n v="72715"/>
    <x v="26"/>
    <s v="MPR"/>
    <x v="0"/>
    <n v="50038854"/>
    <s v="ARCO DE SERRA"/>
    <n v="1"/>
    <s v="REALIZADO"/>
    <s v="AGATHA"/>
    <x v="35"/>
    <x v="0"/>
    <x v="0"/>
  </r>
  <r>
    <n v="61761"/>
    <x v="66"/>
    <s v="MEE"/>
    <x v="3"/>
    <n v="50036298"/>
    <s v="ASPIRADOR PARA SOLIDOS SEM FIO 20V"/>
    <n v="1"/>
    <s v="REALIZADO"/>
    <s v="AGATHA"/>
    <x v="35"/>
    <x v="2"/>
    <x v="0"/>
  </r>
  <r>
    <n v="61761"/>
    <x v="66"/>
    <s v="MEE"/>
    <x v="3"/>
    <n v="50036298"/>
    <s v="ASPIRADOR PARA SOLIDOS SEM FIO 20V"/>
    <n v="1"/>
    <s v="REALIZADO"/>
    <s v="AGATHA"/>
    <x v="35"/>
    <x v="0"/>
    <x v="0"/>
  </r>
  <r>
    <n v="68708"/>
    <x v="13"/>
    <s v="MMG"/>
    <x v="0"/>
    <n v="50003173"/>
    <s v="CHAVE GRIFO 24"/>
    <n v="1"/>
    <s v="REALIZADO"/>
    <s v="AGATHA"/>
    <x v="35"/>
    <x v="2"/>
    <x v="0"/>
  </r>
  <r>
    <n v="68708"/>
    <x v="13"/>
    <s v="MMG"/>
    <x v="0"/>
    <n v="50003173"/>
    <s v="CHAVE GRIFO 24"/>
    <n v="1"/>
    <s v="REALIZADO"/>
    <s v="AGATHA"/>
    <x v="35"/>
    <x v="2"/>
    <x v="0"/>
  </r>
  <r>
    <n v="68708"/>
    <x v="13"/>
    <s v="MMG"/>
    <x v="0"/>
    <n v="50003173"/>
    <s v="CHAVE GRIFO 24"/>
    <n v="1"/>
    <s v="REALIZADO"/>
    <s v="MARCIA"/>
    <x v="35"/>
    <x v="0"/>
    <x v="0"/>
  </r>
  <r>
    <n v="65482"/>
    <x v="30"/>
    <s v="MMG"/>
    <x v="0"/>
    <n v="50039718"/>
    <s v="ESCALA DE ACO 1000MM VONDER "/>
    <n v="1"/>
    <s v="REALIZADO"/>
    <s v="AGATHA"/>
    <x v="35"/>
    <x v="2"/>
    <x v="0"/>
  </r>
  <r>
    <n v="65482"/>
    <x v="30"/>
    <s v="MMG"/>
    <x v="0"/>
    <n v="50039718"/>
    <s v="ESCALA DE ACO 1000MM VONDER "/>
    <n v="1"/>
    <s v="REALIZADO"/>
    <s v="AGATHA"/>
    <x v="35"/>
    <x v="0"/>
    <x v="0"/>
  </r>
  <r>
    <n v="62896"/>
    <x v="33"/>
    <s v="MEE"/>
    <x v="0"/>
    <n v="50030486"/>
    <s v="FURADEIRA BOSCH 3"/>
    <n v="1"/>
    <s v="REALIZADO"/>
    <s v="AGATHA"/>
    <x v="35"/>
    <x v="2"/>
    <x v="0"/>
  </r>
  <r>
    <n v="62896"/>
    <x v="33"/>
    <s v="MEE"/>
    <x v="0"/>
    <n v="50030486"/>
    <s v="FURADEIRA BOSCH 3"/>
    <n v="1"/>
    <s v="REALIZADO"/>
    <s v="BRUNO"/>
    <x v="35"/>
    <x v="2"/>
    <x v="0"/>
  </r>
  <r>
    <n v="69510"/>
    <x v="7"/>
    <s v="MEE"/>
    <x v="0"/>
    <n v="50039236"/>
    <s v="FURADEIRA BOSCH 4"/>
    <n v="1"/>
    <s v="REALIZADO"/>
    <s v="AGATHA"/>
    <x v="35"/>
    <x v="0"/>
    <x v="0"/>
  </r>
  <r>
    <n v="65482"/>
    <x v="30"/>
    <s v="MMG"/>
    <x v="0"/>
    <n v="50043471"/>
    <s v="FURADEIRA BOSCH 7"/>
    <n v="1"/>
    <s v="REALIZADO"/>
    <s v="AGATHA"/>
    <x v="35"/>
    <x v="2"/>
    <x v="0"/>
  </r>
  <r>
    <n v="65482"/>
    <x v="30"/>
    <s v="MMG"/>
    <x v="0"/>
    <n v="50043471"/>
    <s v="FURADEIRA BOSCH 7"/>
    <n v="1"/>
    <s v="REALIZADO"/>
    <s v="AGATHA"/>
    <x v="35"/>
    <x v="0"/>
    <x v="0"/>
  </r>
  <r>
    <n v="76239"/>
    <x v="19"/>
    <s v="REFRIG"/>
    <x v="0"/>
    <n v="50043471"/>
    <s v="FURADEIRA BOSCH 7"/>
    <n v="1"/>
    <s v="REALIZADO"/>
    <s v="AGATHA"/>
    <x v="35"/>
    <x v="2"/>
    <x v="0"/>
  </r>
  <r>
    <n v="76239"/>
    <x v="19"/>
    <s v="REFRIG"/>
    <x v="0"/>
    <n v="50043471"/>
    <s v="FURADEIRA BOSCH 7"/>
    <n v="1"/>
    <s v="REALIZADO"/>
    <s v="BRUNA"/>
    <x v="35"/>
    <x v="0"/>
    <x v="0"/>
  </r>
  <r>
    <n v="73336"/>
    <x v="29"/>
    <s v="MMG"/>
    <x v="0"/>
    <n v="50003297"/>
    <s v="FURADEIRA DE IMPACTO MAKITA 02"/>
    <n v="1"/>
    <s v="REALIZADO"/>
    <s v="AGATHA"/>
    <x v="35"/>
    <x v="2"/>
    <x v="0"/>
  </r>
  <r>
    <n v="73336"/>
    <x v="29"/>
    <s v="MMG"/>
    <x v="0"/>
    <n v="50003297"/>
    <s v="FURADEIRA DE IMPACTO MAKITA 02"/>
    <n v="1"/>
    <s v="REALIZADO"/>
    <s v="AGATHA"/>
    <x v="35"/>
    <x v="0"/>
    <x v="0"/>
  </r>
  <r>
    <n v="62471"/>
    <x v="9"/>
    <s v="MME"/>
    <x v="0"/>
    <n v="50003297"/>
    <s v="FURADEIRA DE IMPACTO MAKITA 02"/>
    <n v="1"/>
    <s v="REALIZADO"/>
    <s v="BRUNO"/>
    <x v="35"/>
    <x v="2"/>
    <x v="0"/>
  </r>
  <r>
    <n v="62471"/>
    <x v="9"/>
    <s v="MME"/>
    <x v="0"/>
    <n v="50003297"/>
    <s v="FURADEIRA DE IMPACTO MAKITA 02"/>
    <n v="1"/>
    <s v="REALIZADO"/>
    <s v="BRUNO"/>
    <x v="35"/>
    <x v="2"/>
    <x v="0"/>
  </r>
  <r>
    <n v="69510"/>
    <x v="7"/>
    <s v="MEE"/>
    <x v="0"/>
    <n v="50029865"/>
    <s v="JOGO DE BROCAS ACO RAPIDO"/>
    <n v="1"/>
    <s v="REALIZADO"/>
    <s v="AGATHA"/>
    <x v="35"/>
    <x v="2"/>
    <x v="0"/>
  </r>
  <r>
    <n v="68708"/>
    <x v="13"/>
    <s v="MMG"/>
    <x v="0"/>
    <n v="50038549"/>
    <s v="JOGO SOQUETE ESTRIADOS 1/2 22PEÇ"/>
    <n v="1"/>
    <s v="REALIZADO"/>
    <s v="BRUNO"/>
    <x v="35"/>
    <x v="0"/>
    <x v="0"/>
  </r>
  <r>
    <n v="79177"/>
    <x v="28"/>
    <s v="MMG"/>
    <x v="0"/>
    <n v="50022878"/>
    <s v="KIT MONTAGEM ROLAMENTO SKF"/>
    <n v="1"/>
    <s v="REALIZADO"/>
    <s v="AGATHA"/>
    <x v="35"/>
    <x v="2"/>
    <x v="0"/>
  </r>
  <r>
    <n v="79177"/>
    <x v="28"/>
    <s v="MMG"/>
    <x v="0"/>
    <n v="50022878"/>
    <s v="KIT MONTAGEM ROLAMENTO SKF"/>
    <n v="1"/>
    <s v="REALIZADO"/>
    <s v="AGATHA"/>
    <x v="35"/>
    <x v="2"/>
    <x v="0"/>
  </r>
  <r>
    <n v="69510"/>
    <x v="7"/>
    <s v="MEE"/>
    <x v="0"/>
    <n v="50038956"/>
    <s v="LIXADEIRA BOSCH 1"/>
    <n v="1"/>
    <s v="REALIZADO"/>
    <s v="AGATHA"/>
    <x v="35"/>
    <x v="0"/>
    <x v="0"/>
  </r>
  <r>
    <n v="63684"/>
    <x v="27"/>
    <s v="MME"/>
    <x v="2"/>
    <n v="50038956"/>
    <s v="LIXADEIRA BOSCH 1"/>
    <n v="1"/>
    <s v="REALIZADO"/>
    <s v="MARCIA"/>
    <x v="35"/>
    <x v="2"/>
    <x v="0"/>
  </r>
  <r>
    <n v="63684"/>
    <x v="27"/>
    <s v="MME"/>
    <x v="2"/>
    <n v="50038956"/>
    <s v="LIXADEIRA BOSCH 1"/>
    <n v="1"/>
    <s v="REALIZADO"/>
    <s v="BRUNO"/>
    <x v="35"/>
    <x v="0"/>
    <x v="0"/>
  </r>
  <r>
    <n v="63713"/>
    <x v="67"/>
    <s v="MME"/>
    <x v="0"/>
    <n v="50037892"/>
    <s v="LIXADEIRA BOSCH 2"/>
    <n v="1"/>
    <s v="REALIZADO"/>
    <s v="AGATHA"/>
    <x v="35"/>
    <x v="2"/>
    <x v="0"/>
  </r>
  <r>
    <n v="63713"/>
    <x v="67"/>
    <s v="MME"/>
    <x v="0"/>
    <n v="50037892"/>
    <s v="LIXADEIRA BOSCH 2"/>
    <n v="1"/>
    <s v="REALIZADO"/>
    <s v="AGATHA"/>
    <x v="35"/>
    <x v="0"/>
    <x v="0"/>
  </r>
  <r>
    <n v="72715"/>
    <x v="26"/>
    <s v="MPR"/>
    <x v="0"/>
    <n v="50037892"/>
    <s v="LIXADEIRA BOSCH 2"/>
    <n v="1"/>
    <s v="REALIZADO"/>
    <s v="BRUNO"/>
    <x v="35"/>
    <x v="2"/>
    <x v="0"/>
  </r>
  <r>
    <n v="72715"/>
    <x v="26"/>
    <s v="MPR"/>
    <x v="0"/>
    <n v="50037892"/>
    <s v="LIXADEIRA BOSCH 2"/>
    <n v="1"/>
    <s v="REALIZADO"/>
    <s v="BRUNO"/>
    <x v="35"/>
    <x v="0"/>
    <x v="0"/>
  </r>
  <r>
    <n v="77594"/>
    <x v="23"/>
    <s v="MME"/>
    <x v="0"/>
    <n v="50037902"/>
    <s v="LIXADEIRA BOSCH 3"/>
    <n v="1"/>
    <s v="REALIZADO"/>
    <s v="AGATHA"/>
    <x v="35"/>
    <x v="0"/>
    <x v="0"/>
  </r>
  <r>
    <n v="73336"/>
    <x v="29"/>
    <s v="MMG"/>
    <x v="0"/>
    <n v="50038841"/>
    <s v="LIXADEIRA BOSCH 4"/>
    <n v="1"/>
    <s v="REALIZADO"/>
    <s v="AGATHA"/>
    <x v="35"/>
    <x v="2"/>
    <x v="0"/>
  </r>
  <r>
    <n v="73336"/>
    <x v="29"/>
    <s v="MMG"/>
    <x v="0"/>
    <n v="50038841"/>
    <s v="LIXADEIRA BOSCH 4"/>
    <n v="1"/>
    <s v="REALIZADO"/>
    <s v="AGATHA"/>
    <x v="35"/>
    <x v="0"/>
    <x v="0"/>
  </r>
  <r>
    <n v="76239"/>
    <x v="19"/>
    <s v="REFRIG"/>
    <x v="0"/>
    <n v="50038841"/>
    <s v="LIXADEIRA BOSCH 4"/>
    <n v="1"/>
    <s v="REALIZADO"/>
    <s v="AGATHA"/>
    <x v="35"/>
    <x v="2"/>
    <x v="0"/>
  </r>
  <r>
    <n v="76239"/>
    <x v="19"/>
    <s v="REFRIG"/>
    <x v="0"/>
    <n v="50038841"/>
    <s v="LIXADEIRA BOSCH 4"/>
    <n v="1"/>
    <s v="REALIZADO"/>
    <s v="BRUNA"/>
    <x v="35"/>
    <x v="0"/>
    <x v="0"/>
  </r>
  <r>
    <n v="64074"/>
    <x v="75"/>
    <s v="MPR"/>
    <x v="0"/>
    <n v="50038517"/>
    <s v="LIXADEIRA BOSCH 5"/>
    <n v="1"/>
    <s v="REALIZADO"/>
    <s v="AGATHA"/>
    <x v="35"/>
    <x v="2"/>
    <x v="0"/>
  </r>
  <r>
    <n v="64074"/>
    <x v="75"/>
    <s v="MPR"/>
    <x v="0"/>
    <n v="50038517"/>
    <s v="LIXADEIRA BOSCH 5"/>
    <n v="1"/>
    <s v="REALIZADO"/>
    <s v="BRUNO"/>
    <x v="35"/>
    <x v="2"/>
    <x v="0"/>
  </r>
  <r>
    <n v="77526"/>
    <x v="37"/>
    <s v="MME"/>
    <x v="0"/>
    <n v="50041195"/>
    <s v="PARAFUSADEIRA FUR DE IMPACTO BRUSHLESS"/>
    <n v="1"/>
    <s v="REALIZADO"/>
    <s v="AGATHA"/>
    <x v="35"/>
    <x v="0"/>
    <x v="0"/>
  </r>
  <r>
    <n v="66830"/>
    <x v="3"/>
    <s v="MPR"/>
    <x v="0"/>
    <n v="50041195"/>
    <s v="PARAFUSADEIRA FUR DE IMPACTO BRUSHLESS"/>
    <n v="1"/>
    <s v="REALIZADO"/>
    <s v="AGATHA"/>
    <x v="35"/>
    <x v="2"/>
    <x v="0"/>
  </r>
  <r>
    <n v="66830"/>
    <x v="3"/>
    <s v="MPR"/>
    <x v="0"/>
    <n v="50041195"/>
    <s v="PARAFUSADEIRA FUR DE IMPACTO BRUSHLESS"/>
    <n v="1"/>
    <s v="REALIZADO"/>
    <s v="BRUNA"/>
    <x v="35"/>
    <x v="0"/>
    <x v="0"/>
  </r>
  <r>
    <n v="66830"/>
    <x v="3"/>
    <s v="MPR"/>
    <x v="0"/>
    <n v="50043917"/>
    <s v="PARAFUSADEIRA FURADEIRA BOSCH"/>
    <n v="1"/>
    <s v="REALIZADO"/>
    <s v="AGATHA"/>
    <x v="35"/>
    <x v="2"/>
    <x v="0"/>
  </r>
  <r>
    <n v="64074"/>
    <x v="75"/>
    <s v="MPR"/>
    <x v="0"/>
    <n v="50043917"/>
    <s v="PARAFUSADEIRA FURADEIRA BOSCH"/>
    <n v="1"/>
    <s v="REALIZADO"/>
    <s v="BRUNO"/>
    <x v="35"/>
    <x v="0"/>
    <x v="0"/>
  </r>
  <r>
    <n v="72808"/>
    <x v="79"/>
    <s v="MME"/>
    <x v="3"/>
    <n v="50020622"/>
    <s v="REBITADOR MANUAL"/>
    <n v="1"/>
    <s v="REALIZADO"/>
    <s v="AGATHA"/>
    <x v="35"/>
    <x v="2"/>
    <x v="0"/>
  </r>
  <r>
    <n v="72808"/>
    <x v="79"/>
    <s v="MME"/>
    <x v="3"/>
    <n v="50020622"/>
    <s v="REBITADOR MANUAL"/>
    <n v="1"/>
    <s v="REALIZADO"/>
    <s v="AGATHA"/>
    <x v="35"/>
    <x v="0"/>
    <x v="0"/>
  </r>
  <r>
    <n v="63713"/>
    <x v="67"/>
    <s v="MME"/>
    <x v="0"/>
    <n v="50004486"/>
    <s v="RETIFICA "/>
    <n v="1"/>
    <s v="REALIZADO"/>
    <s v="AGATHA"/>
    <x v="35"/>
    <x v="2"/>
    <x v="0"/>
  </r>
  <r>
    <n v="63713"/>
    <x v="67"/>
    <s v="MME"/>
    <x v="0"/>
    <n v="50004486"/>
    <s v="RETIFICA "/>
    <n v="1"/>
    <s v="REALIZADO"/>
    <s v="AGATHA"/>
    <x v="35"/>
    <x v="0"/>
    <x v="0"/>
  </r>
  <r>
    <n v="77526"/>
    <x v="37"/>
    <s v="MME"/>
    <x v="0"/>
    <n v="50032781"/>
    <s v="SERRA TICO TICO 650W DEWALT "/>
    <n v="1"/>
    <s v="REALIZADO"/>
    <s v="AGATHA"/>
    <x v="35"/>
    <x v="2"/>
    <x v="0"/>
  </r>
  <r>
    <n v="77526"/>
    <x v="37"/>
    <s v="MME"/>
    <x v="0"/>
    <n v="50032781"/>
    <s v="SERRA TICO TICO 650W DEWALT "/>
    <n v="1"/>
    <s v="REALIZADO"/>
    <s v="AGATHA"/>
    <x v="35"/>
    <x v="0"/>
    <x v="0"/>
  </r>
  <r>
    <n v="62033"/>
    <x v="22"/>
    <s v="MME"/>
    <x v="3"/>
    <n v="50032781"/>
    <s v="SERRA TICO TICO 650W DEWALT "/>
    <n v="1"/>
    <s v="REALIZADO"/>
    <s v="AGATHA"/>
    <x v="35"/>
    <x v="2"/>
    <x v="0"/>
  </r>
  <r>
    <n v="62033"/>
    <x v="22"/>
    <s v="MME"/>
    <x v="3"/>
    <n v="50032781"/>
    <s v="SERRA TICO TICO 650W DEWALT "/>
    <n v="1"/>
    <s v="REALIZADO"/>
    <s v="AGATHA"/>
    <x v="35"/>
    <x v="0"/>
    <x v="0"/>
  </r>
  <r>
    <n v="61096"/>
    <x v="64"/>
    <s v="MME"/>
    <x v="0"/>
    <n v="50037902"/>
    <s v="LIXADEIRA BOSCH 3"/>
    <n v="1"/>
    <s v="REALIZADO"/>
    <s v="MARCIA"/>
    <x v="36"/>
    <x v="2"/>
    <x v="0"/>
  </r>
  <r>
    <n v="61096"/>
    <x v="64"/>
    <s v="MME"/>
    <x v="0"/>
    <n v="50037902"/>
    <s v="LIXADEIRA BOSCH 3"/>
    <n v="1"/>
    <s v="REALIZADO"/>
    <s v="MARCIA"/>
    <x v="36"/>
    <x v="0"/>
    <x v="0"/>
  </r>
  <r>
    <n v="74611"/>
    <x v="2"/>
    <s v="MPR"/>
    <x v="0"/>
    <n v="50010031"/>
    <s v=" LIXADEIRA BOSCH 6"/>
    <n v="1"/>
    <s v="REALIZADO"/>
    <s v="AGATHA"/>
    <x v="37"/>
    <x v="2"/>
    <x v="0"/>
  </r>
  <r>
    <n v="74611"/>
    <x v="2"/>
    <s v="MPR"/>
    <x v="0"/>
    <n v="50010031"/>
    <s v=" LIXADEIRA BOSCH 6"/>
    <n v="1"/>
    <s v="REALIZADO"/>
    <s v="MATHEUS"/>
    <x v="37"/>
    <x v="0"/>
    <x v="0"/>
  </r>
  <r>
    <n v="74749"/>
    <x v="80"/>
    <s v="MME"/>
    <x v="2"/>
    <n v="50010031"/>
    <s v=" LIXADEIRA BOSCH 6"/>
    <n v="1"/>
    <s v="REALIZADO"/>
    <s v="MATHEUS"/>
    <x v="37"/>
    <x v="2"/>
    <x v="0"/>
  </r>
  <r>
    <n v="74749"/>
    <x v="80"/>
    <s v="MME"/>
    <x v="2"/>
    <n v="50010031"/>
    <s v=" LIXADEIRA BOSCH 6"/>
    <n v="1"/>
    <s v="REALIZADO"/>
    <s v="BRUNA"/>
    <x v="37"/>
    <x v="0"/>
    <x v="0"/>
  </r>
  <r>
    <n v="74611"/>
    <x v="2"/>
    <s v="MPR"/>
    <x v="0"/>
    <n v="50038854"/>
    <s v="ARCO DE SERRA"/>
    <n v="1"/>
    <s v="REALIZADO"/>
    <s v="AGATHA"/>
    <x v="37"/>
    <x v="2"/>
    <x v="0"/>
  </r>
  <r>
    <n v="74611"/>
    <x v="2"/>
    <s v="MPR"/>
    <x v="0"/>
    <n v="50038854"/>
    <s v="ARCO DE SERRA"/>
    <n v="1"/>
    <s v="REALIZADO"/>
    <s v="GEOVANE"/>
    <x v="37"/>
    <x v="2"/>
    <x v="0"/>
  </r>
  <r>
    <n v="60763"/>
    <x v="57"/>
    <s v="MMG"/>
    <x v="2"/>
    <n v="50037922"/>
    <s v="CHAVE DE BOCA MANUAL"/>
    <n v="1"/>
    <s v="REALIZADO"/>
    <s v="MATHEUS"/>
    <x v="37"/>
    <x v="0"/>
    <x v="0"/>
  </r>
  <r>
    <n v="66830"/>
    <x v="3"/>
    <s v="MPR"/>
    <x v="0"/>
    <n v="50036086"/>
    <s v="CHAVE GRIFO 18"/>
    <n v="1"/>
    <s v="REALIZADO"/>
    <s v="AGATHA"/>
    <x v="37"/>
    <x v="2"/>
    <x v="0"/>
  </r>
  <r>
    <n v="66830"/>
    <x v="3"/>
    <s v="MPR"/>
    <x v="0"/>
    <n v="50036086"/>
    <s v="CHAVE GRIFO 18"/>
    <n v="1"/>
    <s v="REALIZADO"/>
    <s v="MATHEUS"/>
    <x v="37"/>
    <x v="0"/>
    <x v="0"/>
  </r>
  <r>
    <n v="62180"/>
    <x v="18"/>
    <s v="MMG"/>
    <x v="0"/>
    <n v="50037905"/>
    <s v="ESTETOSCÓPIO SKF"/>
    <n v="1"/>
    <s v="REALIZADO"/>
    <s v="MATHEUS"/>
    <x v="37"/>
    <x v="2"/>
    <x v="0"/>
  </r>
  <r>
    <n v="62180"/>
    <x v="18"/>
    <s v="MMG"/>
    <x v="0"/>
    <n v="50037905"/>
    <s v="ESTETOSCÓPIO SKF"/>
    <n v="1"/>
    <s v="REALIZADO"/>
    <s v="MATHEUS"/>
    <x v="37"/>
    <x v="2"/>
    <x v="0"/>
  </r>
  <r>
    <n v="77526"/>
    <x v="37"/>
    <s v="MME"/>
    <x v="0"/>
    <n v="50036280"/>
    <s v="FURADEIRA BOSCH 2"/>
    <n v="1"/>
    <s v="REALIZADO"/>
    <s v="GEOVANE"/>
    <x v="37"/>
    <x v="0"/>
    <x v="0"/>
  </r>
  <r>
    <n v="63713"/>
    <x v="67"/>
    <s v="MME"/>
    <x v="0"/>
    <n v="50030486"/>
    <s v="FURADEIRA BOSCH 3"/>
    <n v="1"/>
    <s v="REALIZADO"/>
    <s v="AGATHA"/>
    <x v="37"/>
    <x v="2"/>
    <x v="0"/>
  </r>
  <r>
    <n v="63713"/>
    <x v="67"/>
    <s v="MME"/>
    <x v="0"/>
    <n v="50030486"/>
    <s v="FURADEIRA BOSCH 3"/>
    <n v="1"/>
    <s v="REALIZADO"/>
    <s v="AGATHA"/>
    <x v="37"/>
    <x v="0"/>
    <x v="0"/>
  </r>
  <r>
    <n v="65482"/>
    <x v="30"/>
    <s v="MMG"/>
    <x v="0"/>
    <n v="50030486"/>
    <s v="FURADEIRA BOSCH 3"/>
    <n v="1"/>
    <s v="REALIZADO"/>
    <s v="GEOVANE"/>
    <x v="37"/>
    <x v="2"/>
    <x v="0"/>
  </r>
  <r>
    <n v="65482"/>
    <x v="30"/>
    <s v="MMG"/>
    <x v="0"/>
    <n v="50030486"/>
    <s v="FURADEIRA BOSCH 3"/>
    <n v="1"/>
    <s v="REALIZADO"/>
    <s v="GEOVANE"/>
    <x v="37"/>
    <x v="0"/>
    <x v="0"/>
  </r>
  <r>
    <n v="77526"/>
    <x v="37"/>
    <s v="MME"/>
    <x v="0"/>
    <n v="50030486"/>
    <s v="FURADEIRA BOSCH 3"/>
    <n v="1"/>
    <s v="REALIZADO"/>
    <s v="BRUNA"/>
    <x v="37"/>
    <x v="2"/>
    <x v="0"/>
  </r>
  <r>
    <n v="77526"/>
    <x v="37"/>
    <s v="MME"/>
    <x v="0"/>
    <n v="50030486"/>
    <s v="FURADEIRA BOSCH 3"/>
    <n v="1"/>
    <s v="REALIZADO"/>
    <s v="MATHEUS"/>
    <x v="37"/>
    <x v="2"/>
    <x v="0"/>
  </r>
  <r>
    <n v="61761"/>
    <x v="66"/>
    <s v="MEE"/>
    <x v="3"/>
    <n v="50039236"/>
    <s v="FURADEIRA BOSCH 4"/>
    <n v="1"/>
    <s v="REALIZADO"/>
    <s v="AGATHA"/>
    <x v="37"/>
    <x v="0"/>
    <x v="0"/>
  </r>
  <r>
    <n v="69510"/>
    <x v="7"/>
    <s v="MEE"/>
    <x v="0"/>
    <n v="50039236"/>
    <s v="FURADEIRA BOSCH 4"/>
    <n v="1"/>
    <s v="REALIZADO"/>
    <s v="AGATHA"/>
    <x v="37"/>
    <x v="2"/>
    <x v="0"/>
  </r>
  <r>
    <n v="69510"/>
    <x v="7"/>
    <s v="MEE"/>
    <x v="0"/>
    <n v="50039236"/>
    <s v="FURADEIRA BOSCH 4"/>
    <n v="1"/>
    <s v="REALIZADO"/>
    <s v="GEOVANE"/>
    <x v="37"/>
    <x v="0"/>
    <x v="0"/>
  </r>
  <r>
    <n v="77708"/>
    <x v="69"/>
    <s v="MPR"/>
    <x v="0"/>
    <n v="50039236"/>
    <s v="FURADEIRA BOSCH 4"/>
    <n v="1"/>
    <s v="REALIZADO"/>
    <s v="AGATHA"/>
    <x v="37"/>
    <x v="2"/>
    <x v="0"/>
  </r>
  <r>
    <n v="77708"/>
    <x v="69"/>
    <s v="MPR"/>
    <x v="0"/>
    <n v="50039236"/>
    <s v="FURADEIRA BOSCH 4"/>
    <n v="1"/>
    <s v="REALIZADO"/>
    <s v="GEOVANE"/>
    <x v="37"/>
    <x v="0"/>
    <x v="0"/>
  </r>
  <r>
    <n v="79177"/>
    <x v="28"/>
    <s v="MMG"/>
    <x v="0"/>
    <n v="50039236"/>
    <s v="FURADEIRA BOSCH 4"/>
    <n v="1"/>
    <s v="REALIZADO"/>
    <s v="GEOVANE"/>
    <x v="37"/>
    <x v="2"/>
    <x v="0"/>
  </r>
  <r>
    <n v="79177"/>
    <x v="28"/>
    <s v="MMG"/>
    <x v="0"/>
    <n v="50039236"/>
    <s v="FURADEIRA BOSCH 4"/>
    <n v="1"/>
    <s v="REALIZADO"/>
    <s v="MATHEUS"/>
    <x v="37"/>
    <x v="0"/>
    <x v="0"/>
  </r>
  <r>
    <n v="77521"/>
    <x v="5"/>
    <s v="MME"/>
    <x v="0"/>
    <n v="50043471"/>
    <s v="FURADEIRA BOSCH 7"/>
    <n v="1"/>
    <s v="REALIZADO"/>
    <s v="AGATHA"/>
    <x v="37"/>
    <x v="2"/>
    <x v="0"/>
  </r>
  <r>
    <n v="77521"/>
    <x v="5"/>
    <s v="MME"/>
    <x v="0"/>
    <n v="50043471"/>
    <s v="FURADEIRA BOSCH 7"/>
    <n v="1"/>
    <s v="REALIZADO"/>
    <s v="BRUNA"/>
    <x v="37"/>
    <x v="0"/>
    <x v="0"/>
  </r>
  <r>
    <n v="62896"/>
    <x v="33"/>
    <s v="MEE"/>
    <x v="0"/>
    <n v="50003297"/>
    <s v="FURADEIRA DE IMPACTO MAKITA 02"/>
    <n v="1"/>
    <s v="REALIZADO"/>
    <s v="BRUNA"/>
    <x v="37"/>
    <x v="2"/>
    <x v="0"/>
  </r>
  <r>
    <n v="62896"/>
    <x v="33"/>
    <s v="MEE"/>
    <x v="0"/>
    <n v="50003297"/>
    <s v="FURADEIRA DE IMPACTO MAKITA 02"/>
    <n v="1"/>
    <s v="REALIZADO"/>
    <s v="MATHEUS"/>
    <x v="37"/>
    <x v="0"/>
    <x v="0"/>
  </r>
  <r>
    <n v="70052"/>
    <x v="6"/>
    <s v="MEE"/>
    <x v="0"/>
    <n v="50029865"/>
    <s v="JOGO DE BROCAS ACO RAPIDO"/>
    <n v="1"/>
    <s v="REALIZADO"/>
    <s v="AGATHA"/>
    <x v="37"/>
    <x v="2"/>
    <x v="0"/>
  </r>
  <r>
    <n v="61761"/>
    <x v="66"/>
    <s v="MEE"/>
    <x v="3"/>
    <n v="50029865"/>
    <s v="JOGO DE BROCAS ACO RAPIDO"/>
    <n v="1"/>
    <s v="REALIZADO"/>
    <s v="AGATHA"/>
    <x v="37"/>
    <x v="2"/>
    <x v="0"/>
  </r>
  <r>
    <n v="70052"/>
    <x v="6"/>
    <s v="MEE"/>
    <x v="0"/>
    <n v="50029865"/>
    <s v="JOGO DE BROCAS ACO RAPIDO"/>
    <n v="1"/>
    <s v="REALIZADO"/>
    <s v="MATHEUS"/>
    <x v="37"/>
    <x v="0"/>
    <x v="0"/>
  </r>
  <r>
    <n v="68430"/>
    <x v="61"/>
    <s v="MEE"/>
    <x v="2"/>
    <n v="50043320"/>
    <s v="JOGO SERRA COPO 8PÇS"/>
    <n v="1"/>
    <s v="REALIZADO"/>
    <s v="MATHEUS"/>
    <x v="37"/>
    <x v="2"/>
    <x v="0"/>
  </r>
  <r>
    <n v="68430"/>
    <x v="61"/>
    <s v="MEE"/>
    <x v="2"/>
    <n v="50043320"/>
    <s v="JOGO SERRA COPO 8PÇS"/>
    <n v="1"/>
    <s v="REALIZADO"/>
    <s v="MATHEUS"/>
    <x v="37"/>
    <x v="0"/>
    <x v="0"/>
  </r>
  <r>
    <n v="76633"/>
    <x v="62"/>
    <s v="MMG"/>
    <x v="2"/>
    <n v="50038549"/>
    <s v="JOGO SOQUETE ESTRIADOS 1/2 22PEÇ"/>
    <n v="1"/>
    <s v="REALIZADO"/>
    <s v="BRUNA"/>
    <x v="37"/>
    <x v="2"/>
    <x v="0"/>
  </r>
  <r>
    <n v="76633"/>
    <x v="62"/>
    <s v="MMG"/>
    <x v="2"/>
    <n v="50038549"/>
    <s v="JOGO SOQUETE ESTRIADOS 1/2 22PEÇ"/>
    <n v="1"/>
    <s v="REALIZADO"/>
    <s v="MATHEUS"/>
    <x v="37"/>
    <x v="0"/>
    <x v="0"/>
  </r>
  <r>
    <n v="66830"/>
    <x v="3"/>
    <s v="MPR"/>
    <x v="0"/>
    <n v="50037921"/>
    <s v="JOGO TARRAXA MANUAL"/>
    <n v="1"/>
    <s v="REALIZADO"/>
    <s v="GEOVANE"/>
    <x v="37"/>
    <x v="2"/>
    <x v="0"/>
  </r>
  <r>
    <n v="66830"/>
    <x v="3"/>
    <s v="MPR"/>
    <x v="0"/>
    <n v="50037921"/>
    <s v="JOGO TARRAXA MANUAL"/>
    <n v="1"/>
    <s v="REALIZADO"/>
    <s v="GEOVANE"/>
    <x v="37"/>
    <x v="0"/>
    <x v="0"/>
  </r>
  <r>
    <n v="79177"/>
    <x v="28"/>
    <s v="MMG"/>
    <x v="0"/>
    <n v="50022878"/>
    <s v="KIT MONTAGEM ROLAMENTO SKF"/>
    <n v="1"/>
    <s v="REALIZADO"/>
    <s v="MATHEUS"/>
    <x v="37"/>
    <x v="2"/>
    <x v="0"/>
  </r>
  <r>
    <n v="79177"/>
    <x v="28"/>
    <s v="MMG"/>
    <x v="0"/>
    <n v="50022878"/>
    <s v="KIT MONTAGEM ROLAMENTO SKF"/>
    <n v="1"/>
    <s v="REALIZADO"/>
    <s v="MATHEUS"/>
    <x v="37"/>
    <x v="0"/>
    <x v="0"/>
  </r>
  <r>
    <n v="68708"/>
    <x v="13"/>
    <s v="MMG"/>
    <x v="0"/>
    <n v="50038956"/>
    <s v="LIXADEIRA BOSCH 1"/>
    <n v="1"/>
    <s v="REALIZADO"/>
    <s v="AGATHA"/>
    <x v="37"/>
    <x v="2"/>
    <x v="0"/>
  </r>
  <r>
    <n v="68708"/>
    <x v="13"/>
    <s v="MMG"/>
    <x v="0"/>
    <n v="50038956"/>
    <s v="LIXADEIRA BOSCH 1"/>
    <n v="1"/>
    <s v="REALIZADO"/>
    <s v="BRUNA"/>
    <x v="37"/>
    <x v="0"/>
    <x v="0"/>
  </r>
  <r>
    <n v="77526"/>
    <x v="37"/>
    <s v="MME"/>
    <x v="0"/>
    <n v="50037892"/>
    <s v="LIXADEIRA BOSCH 2"/>
    <n v="1"/>
    <s v="REALIZADO"/>
    <s v="AGATHA"/>
    <x v="37"/>
    <x v="0"/>
    <x v="0"/>
  </r>
  <r>
    <n v="77526"/>
    <x v="37"/>
    <s v="MME"/>
    <x v="0"/>
    <n v="50037892"/>
    <s v="LIXADEIRA BOSCH 2"/>
    <n v="1"/>
    <s v="REALIZADO"/>
    <s v="AGATHA"/>
    <x v="37"/>
    <x v="2"/>
    <x v="0"/>
  </r>
  <r>
    <n v="77526"/>
    <x v="37"/>
    <s v="MME"/>
    <x v="0"/>
    <n v="50037892"/>
    <s v="LIXADEIRA BOSCH 2"/>
    <n v="1"/>
    <s v="REALIZADO"/>
    <s v="AGATHA"/>
    <x v="37"/>
    <x v="0"/>
    <x v="0"/>
  </r>
  <r>
    <n v="49751"/>
    <x v="81"/>
    <s v="MEE"/>
    <x v="4"/>
    <n v="50037892"/>
    <s v="LIXADEIRA BOSCH 2"/>
    <n v="1"/>
    <s v="REALIZADO"/>
    <s v="AGATHA"/>
    <x v="37"/>
    <x v="2"/>
    <x v="0"/>
  </r>
  <r>
    <n v="49751"/>
    <x v="81"/>
    <s v="MEE"/>
    <x v="4"/>
    <n v="50037892"/>
    <s v="LIXADEIRA BOSCH 2"/>
    <n v="1"/>
    <s v="REALIZADO"/>
    <s v="AGATHA"/>
    <x v="37"/>
    <x v="0"/>
    <x v="0"/>
  </r>
  <r>
    <n v="68708"/>
    <x v="13"/>
    <s v="MMG"/>
    <x v="0"/>
    <n v="50037892"/>
    <s v="LIXADEIRA BOSCH 2"/>
    <n v="1"/>
    <s v="REALIZADO"/>
    <s v="AGATHA"/>
    <x v="37"/>
    <x v="2"/>
    <x v="0"/>
  </r>
  <r>
    <n v="68708"/>
    <x v="13"/>
    <s v="MMG"/>
    <x v="0"/>
    <n v="50037892"/>
    <s v="LIXADEIRA BOSCH 2"/>
    <n v="1"/>
    <s v="REALIZADO"/>
    <s v="GEOVANE"/>
    <x v="37"/>
    <x v="0"/>
    <x v="0"/>
  </r>
  <r>
    <n v="72713"/>
    <x v="68"/>
    <s v="MPR"/>
    <x v="0"/>
    <n v="50037902"/>
    <s v="LIXADEIRA BOSCH 3"/>
    <n v="1"/>
    <s v="REALIZADO"/>
    <s v="AGATHA"/>
    <x v="37"/>
    <x v="2"/>
    <x v="0"/>
  </r>
  <r>
    <n v="72713"/>
    <x v="68"/>
    <s v="MPR"/>
    <x v="0"/>
    <n v="50037902"/>
    <s v="LIXADEIRA BOSCH 3"/>
    <n v="1"/>
    <s v="REALIZADO"/>
    <s v="GEOVANE"/>
    <x v="37"/>
    <x v="0"/>
    <x v="0"/>
  </r>
  <r>
    <n v="63770"/>
    <x v="36"/>
    <s v="MMG"/>
    <x v="0"/>
    <n v="50037902"/>
    <s v="LIXADEIRA BOSCH 3"/>
    <n v="1"/>
    <s v="REALIZADO"/>
    <s v="GEOVANE"/>
    <x v="37"/>
    <x v="2"/>
    <x v="0"/>
  </r>
  <r>
    <n v="63770"/>
    <x v="36"/>
    <s v="MMG"/>
    <x v="0"/>
    <n v="50037902"/>
    <s v="LIXADEIRA BOSCH 3"/>
    <n v="1"/>
    <s v="REALIZADO"/>
    <s v="GEOVANE"/>
    <x v="37"/>
    <x v="0"/>
    <x v="0"/>
  </r>
  <r>
    <n v="79177"/>
    <x v="28"/>
    <s v="MMG"/>
    <x v="0"/>
    <n v="50037902"/>
    <s v="LIXADEIRA BOSCH 3"/>
    <n v="1"/>
    <s v="REALIZADO"/>
    <s v="BRUNA"/>
    <x v="37"/>
    <x v="2"/>
    <x v="0"/>
  </r>
  <r>
    <n v="79177"/>
    <x v="28"/>
    <s v="MMG"/>
    <x v="0"/>
    <n v="50037902"/>
    <s v="LIXADEIRA BOSCH 3"/>
    <n v="1"/>
    <s v="REALIZADO"/>
    <s v="BRUNA"/>
    <x v="37"/>
    <x v="0"/>
    <x v="0"/>
  </r>
  <r>
    <n v="79177"/>
    <x v="28"/>
    <s v="MMG"/>
    <x v="0"/>
    <n v="50038841"/>
    <s v="LIXADEIRA BOSCH 4"/>
    <n v="1"/>
    <s v="REALIZADO"/>
    <s v="AGATHA"/>
    <x v="37"/>
    <x v="2"/>
    <x v="0"/>
  </r>
  <r>
    <n v="79177"/>
    <x v="28"/>
    <s v="MMG"/>
    <x v="0"/>
    <n v="50038841"/>
    <s v="LIXADEIRA BOSCH 4"/>
    <n v="1"/>
    <s v="REALIZADO"/>
    <s v="AGATHA"/>
    <x v="37"/>
    <x v="0"/>
    <x v="0"/>
  </r>
  <r>
    <n v="69510"/>
    <x v="7"/>
    <s v="MEE"/>
    <x v="0"/>
    <n v="50038841"/>
    <s v="LIXADEIRA BOSCH 4"/>
    <n v="1"/>
    <s v="REALIZADO"/>
    <s v="BRUNA"/>
    <x v="37"/>
    <x v="2"/>
    <x v="0"/>
  </r>
  <r>
    <n v="69510"/>
    <x v="7"/>
    <s v="MEE"/>
    <x v="0"/>
    <n v="50038841"/>
    <s v="LIXADEIRA BOSCH 4"/>
    <n v="1"/>
    <s v="REALIZADO"/>
    <s v="MATHEUS"/>
    <x v="37"/>
    <x v="0"/>
    <x v="0"/>
  </r>
  <r>
    <n v="49751"/>
    <x v="81"/>
    <s v="MEE"/>
    <x v="4"/>
    <n v="50038841"/>
    <s v="LIXADEIRA BOSCH 4"/>
    <n v="1"/>
    <s v="REALIZADO"/>
    <s v="MATHEUS"/>
    <x v="37"/>
    <x v="2"/>
    <x v="0"/>
  </r>
  <r>
    <n v="49751"/>
    <x v="81"/>
    <s v="MEE"/>
    <x v="4"/>
    <n v="50038841"/>
    <s v="LIXADEIRA BOSCH 4"/>
    <n v="1"/>
    <s v="REALIZADO"/>
    <s v="MATHEUS"/>
    <x v="37"/>
    <x v="0"/>
    <x v="0"/>
  </r>
  <r>
    <n v="77594"/>
    <x v="23"/>
    <s v="MME"/>
    <x v="0"/>
    <n v="50038517"/>
    <s v="LIXADEIRA BOSCH 5"/>
    <n v="1"/>
    <s v="REALIZADO"/>
    <s v="AGATHA"/>
    <x v="37"/>
    <x v="2"/>
    <x v="0"/>
  </r>
  <r>
    <n v="77594"/>
    <x v="23"/>
    <s v="MME"/>
    <x v="0"/>
    <n v="50038517"/>
    <s v="LIXADEIRA BOSCH 5"/>
    <n v="1"/>
    <s v="REALIZADO"/>
    <s v="MATHEUS"/>
    <x v="37"/>
    <x v="0"/>
    <x v="0"/>
  </r>
  <r>
    <n v="77526"/>
    <x v="37"/>
    <s v="MME"/>
    <x v="0"/>
    <n v="50038518"/>
    <s v="LIXADEIRA BOSCH 7"/>
    <n v="1"/>
    <s v="REALIZADO"/>
    <s v="MATHEUS"/>
    <x v="37"/>
    <x v="2"/>
    <x v="0"/>
  </r>
  <r>
    <n v="77526"/>
    <x v="37"/>
    <s v="MME"/>
    <x v="0"/>
    <n v="50038518"/>
    <s v="LIXADEIRA BOSCH 7"/>
    <n v="1"/>
    <s v="REALIZADO"/>
    <s v="MATHEUS"/>
    <x v="37"/>
    <x v="0"/>
    <x v="0"/>
  </r>
  <r>
    <n v="79177"/>
    <x v="28"/>
    <s v="MMG"/>
    <x v="0"/>
    <n v="50039065"/>
    <s v="MAQUINA SOLDA TIG"/>
    <n v="1"/>
    <s v="REALIZADO"/>
    <s v="AGATHA"/>
    <x v="37"/>
    <x v="2"/>
    <x v="0"/>
  </r>
  <r>
    <n v="79177"/>
    <x v="28"/>
    <s v="MMG"/>
    <x v="0"/>
    <n v="50039065"/>
    <s v="MAQUINA SOLDA TIG"/>
    <n v="1"/>
    <s v="REALIZADO"/>
    <s v="AGATHA"/>
    <x v="37"/>
    <x v="0"/>
    <x v="0"/>
  </r>
  <r>
    <n v="74611"/>
    <x v="2"/>
    <s v="MPR"/>
    <x v="0"/>
    <n v="50026357"/>
    <s v="MARTELETE VONDER"/>
    <n v="1"/>
    <s v="REALIZADO"/>
    <s v="AGATHA"/>
    <x v="37"/>
    <x v="2"/>
    <x v="0"/>
  </r>
  <r>
    <n v="74611"/>
    <x v="2"/>
    <s v="MPR"/>
    <x v="0"/>
    <n v="50026357"/>
    <s v="MARTELETE VONDER"/>
    <n v="1"/>
    <s v="REALIZADO"/>
    <s v="MATHEUS"/>
    <x v="37"/>
    <x v="0"/>
    <x v="0"/>
  </r>
  <r>
    <n v="70052"/>
    <x v="6"/>
    <s v="MEE"/>
    <x v="0"/>
    <n v="50041195"/>
    <s v="PARAFUSADEIRA FUR DE IMPACTO BRUSHLESS"/>
    <n v="1"/>
    <s v="REALIZADO"/>
    <s v="AGATHA"/>
    <x v="37"/>
    <x v="2"/>
    <x v="0"/>
  </r>
  <r>
    <n v="70052"/>
    <x v="6"/>
    <s v="MEE"/>
    <x v="0"/>
    <n v="50041195"/>
    <s v="PARAFUSADEIRA FUR DE IMPACTO BRUSHLESS"/>
    <n v="1"/>
    <s v="REALIZADO"/>
    <s v="MATHEUS"/>
    <x v="37"/>
    <x v="0"/>
    <x v="0"/>
  </r>
  <r>
    <n v="64074"/>
    <x v="75"/>
    <s v="MPR"/>
    <x v="0"/>
    <n v="50043917"/>
    <s v="PARAFUSADEIRA FURADEIRA BOSCH"/>
    <n v="1"/>
    <s v="REALIZADO"/>
    <s v="AGATHA"/>
    <x v="37"/>
    <x v="2"/>
    <x v="0"/>
  </r>
  <r>
    <n v="64074"/>
    <x v="75"/>
    <s v="MPR"/>
    <x v="0"/>
    <n v="50043917"/>
    <s v="PARAFUSADEIRA FURADEIRA BOSCH"/>
    <n v="1"/>
    <s v="REALIZADO"/>
    <s v="MATHEUS"/>
    <x v="37"/>
    <x v="0"/>
    <x v="0"/>
  </r>
  <r>
    <n v="77708"/>
    <x v="69"/>
    <s v="MPR"/>
    <x v="0"/>
    <n v="50020623"/>
    <s v="REBITADOR MANUAL"/>
    <n v="1"/>
    <s v="REALIZADO"/>
    <s v="AGATHA"/>
    <x v="37"/>
    <x v="2"/>
    <x v="0"/>
  </r>
  <r>
    <n v="77708"/>
    <x v="69"/>
    <s v="MPR"/>
    <x v="0"/>
    <n v="50020623"/>
    <s v="REBITADOR MANUAL"/>
    <n v="1"/>
    <s v="REALIZADO"/>
    <s v="GEOVANE"/>
    <x v="37"/>
    <x v="0"/>
    <x v="0"/>
  </r>
  <r>
    <n v="62896"/>
    <x v="33"/>
    <s v="MEE"/>
    <x v="0"/>
    <n v="50020623"/>
    <s v="REBITADOR MANUAL"/>
    <n v="1"/>
    <s v="REALIZADO"/>
    <s v="MATHEUS"/>
    <x v="37"/>
    <x v="2"/>
    <x v="0"/>
  </r>
  <r>
    <n v="62896"/>
    <x v="33"/>
    <s v="MEE"/>
    <x v="0"/>
    <n v="50020623"/>
    <s v="REBITADOR MANUAL"/>
    <n v="1"/>
    <s v="REALIZADO"/>
    <s v="MATHEUS"/>
    <x v="37"/>
    <x v="0"/>
    <x v="0"/>
  </r>
  <r>
    <n v="65482"/>
    <x v="30"/>
    <s v="MMG"/>
    <x v="0"/>
    <n v="50038195"/>
    <s v="SERRA TICO TICO BOSCH S/MALETA"/>
    <n v="1"/>
    <s v="REALIZADO"/>
    <s v="GEOVANE"/>
    <x v="37"/>
    <x v="2"/>
    <x v="0"/>
  </r>
  <r>
    <n v="65482"/>
    <x v="30"/>
    <s v="MMG"/>
    <x v="0"/>
    <n v="50038195"/>
    <s v="SERRA TICO TICO BOSCH S/MALETA"/>
    <n v="1"/>
    <s v="REALIZADO"/>
    <s v="GEOVANE"/>
    <x v="37"/>
    <x v="0"/>
    <x v="0"/>
  </r>
  <r>
    <n v="64074"/>
    <x v="75"/>
    <s v="MPR"/>
    <x v="0"/>
    <n v="50028220"/>
    <s v="SOPRADOR TERMICO VONDER 1500W 220V"/>
    <n v="1"/>
    <s v="REALIZADO"/>
    <s v="AGATHA"/>
    <x v="37"/>
    <x v="2"/>
    <x v="0"/>
  </r>
  <r>
    <n v="64074"/>
    <x v="75"/>
    <s v="MPR"/>
    <x v="0"/>
    <n v="50028220"/>
    <s v="SOPRADOR TERMICO VONDER 1500W 220V"/>
    <n v="1"/>
    <s v="REALIZADO"/>
    <s v="MATHEUS"/>
    <x v="37"/>
    <x v="0"/>
    <x v="0"/>
  </r>
  <r>
    <n v="64253"/>
    <x v="16"/>
    <s v="MMG"/>
    <x v="0"/>
    <n v="50043151"/>
    <s v="VAZADOR 12 PÇS"/>
    <n v="1"/>
    <s v="REALIZADO"/>
    <s v="BRUNA"/>
    <x v="37"/>
    <x v="2"/>
    <x v="0"/>
  </r>
  <r>
    <n v="64253"/>
    <x v="16"/>
    <s v="MMG"/>
    <x v="0"/>
    <n v="50043151"/>
    <s v="VAZADOR 12 PÇS"/>
    <n v="1"/>
    <s v="REALIZADO"/>
    <s v="BRUNA"/>
    <x v="37"/>
    <x v="0"/>
    <x v="0"/>
  </r>
  <r>
    <n v="74611"/>
    <x v="2"/>
    <s v="MPR"/>
    <x v="0"/>
    <n v="50010031"/>
    <s v=" LIXADEIRA BOSCH 6"/>
    <n v="1"/>
    <s v="REALIZADO"/>
    <s v="MATHEUS"/>
    <x v="38"/>
    <x v="2"/>
    <x v="0"/>
  </r>
  <r>
    <n v="74611"/>
    <x v="2"/>
    <s v="MPR"/>
    <x v="0"/>
    <n v="50010031"/>
    <s v=" LIXADEIRA BOSCH 6"/>
    <n v="1"/>
    <s v="REALIZADO"/>
    <s v="MATHEUS"/>
    <x v="38"/>
    <x v="0"/>
    <x v="0"/>
  </r>
  <r>
    <n v="74201"/>
    <x v="82"/>
    <s v="MEE"/>
    <x v="0"/>
    <n v="50038991"/>
    <s v="CAMERA TERMOGRAFICA"/>
    <n v="1"/>
    <s v="REALIZADO"/>
    <s v="GEOVANE"/>
    <x v="38"/>
    <x v="2"/>
    <x v="0"/>
  </r>
  <r>
    <n v="74201"/>
    <x v="82"/>
    <s v="MEE"/>
    <x v="0"/>
    <n v="50038991"/>
    <s v="CAMERA TERMOGRAFICA"/>
    <n v="1"/>
    <s v="REALIZADO"/>
    <s v="MATHEUS"/>
    <x v="38"/>
    <x v="0"/>
    <x v="0"/>
  </r>
  <r>
    <n v="68760"/>
    <x v="15"/>
    <s v="MMG"/>
    <x v="0"/>
    <n v="50036296"/>
    <s v="CHAVE AJUSTÁVEL 45MM"/>
    <n v="1"/>
    <s v="REALIZADO"/>
    <s v="GEOVANE"/>
    <x v="38"/>
    <x v="2"/>
    <x v="0"/>
  </r>
  <r>
    <n v="68760"/>
    <x v="15"/>
    <s v="MMG"/>
    <x v="0"/>
    <n v="50036296"/>
    <s v="CHAVE AJUSTÁVEL 45MM"/>
    <n v="1"/>
    <s v="REALIZADO"/>
    <s v="GEOVANE"/>
    <x v="38"/>
    <x v="0"/>
    <x v="0"/>
  </r>
  <r>
    <n v="79177"/>
    <x v="28"/>
    <s v="MMG"/>
    <x v="0"/>
    <n v="50036086"/>
    <s v="CHAVE GRIFO 18"/>
    <n v="1"/>
    <s v="REALIZADO"/>
    <s v="GEOVANE"/>
    <x v="38"/>
    <x v="0"/>
    <x v="0"/>
  </r>
  <r>
    <n v="79177"/>
    <x v="28"/>
    <s v="MMG"/>
    <x v="0"/>
    <n v="50003173"/>
    <s v="CHAVE GRIFO 24"/>
    <n v="1"/>
    <s v="REALIZADO"/>
    <s v="GEOVANE"/>
    <x v="38"/>
    <x v="0"/>
    <x v="0"/>
  </r>
  <r>
    <n v="79177"/>
    <x v="28"/>
    <s v="MMG"/>
    <x v="0"/>
    <n v="50039718"/>
    <s v="ESCALA DE ACO 1000MM VONDER "/>
    <n v="1"/>
    <s v="REALIZADO"/>
    <s v="GEOVANE"/>
    <x v="38"/>
    <x v="2"/>
    <x v="0"/>
  </r>
  <r>
    <n v="79177"/>
    <x v="28"/>
    <s v="MMG"/>
    <x v="0"/>
    <n v="50039718"/>
    <s v="ESCALA DE ACO 1000MM VONDER "/>
    <n v="1"/>
    <s v="REALIZADO"/>
    <s v="BRUNA"/>
    <x v="38"/>
    <x v="0"/>
    <x v="0"/>
  </r>
  <r>
    <n v="76994"/>
    <x v="8"/>
    <s v="MEE"/>
    <x v="0"/>
    <n v="50030486"/>
    <s v="FURADEIRA BOSCH 3"/>
    <n v="1"/>
    <s v="REALIZADO"/>
    <s v="GEOVANE"/>
    <x v="38"/>
    <x v="0"/>
    <x v="0"/>
  </r>
  <r>
    <n v="76994"/>
    <x v="8"/>
    <s v="MEE"/>
    <x v="0"/>
    <n v="50030486"/>
    <s v="FURADEIRA BOSCH 3"/>
    <n v="1"/>
    <s v="REALIZADO"/>
    <s v="GEOVANE"/>
    <x v="38"/>
    <x v="2"/>
    <x v="0"/>
  </r>
  <r>
    <n v="76994"/>
    <x v="8"/>
    <s v="MEE"/>
    <x v="0"/>
    <n v="50030486"/>
    <s v="FURADEIRA BOSCH 3"/>
    <n v="1"/>
    <s v="REALIZADO"/>
    <s v="MATHEUS"/>
    <x v="38"/>
    <x v="0"/>
    <x v="0"/>
  </r>
  <r>
    <n v="61096"/>
    <x v="64"/>
    <s v="MME"/>
    <x v="0"/>
    <n v="50039236"/>
    <s v="FURADEIRA BOSCH 4"/>
    <n v="1"/>
    <s v="REALIZADO"/>
    <s v="GEOVANE"/>
    <x v="38"/>
    <x v="2"/>
    <x v="0"/>
  </r>
  <r>
    <n v="61096"/>
    <x v="64"/>
    <s v="MME"/>
    <x v="0"/>
    <n v="50039236"/>
    <s v="FURADEIRA BOSCH 4"/>
    <n v="1"/>
    <s v="REALIZADO"/>
    <s v="GEOVANE"/>
    <x v="38"/>
    <x v="0"/>
    <x v="0"/>
  </r>
  <r>
    <n v="67915"/>
    <x v="52"/>
    <s v="MMG"/>
    <x v="2"/>
    <n v="50039236"/>
    <s v="FURADEIRA BOSCH 4"/>
    <n v="1"/>
    <s v="REALIZADO"/>
    <s v="GEOVANE"/>
    <x v="38"/>
    <x v="2"/>
    <x v="0"/>
  </r>
  <r>
    <n v="67915"/>
    <x v="52"/>
    <s v="MMG"/>
    <x v="2"/>
    <n v="50039236"/>
    <s v="FURADEIRA BOSCH 4"/>
    <n v="1"/>
    <s v="REALIZADO"/>
    <s v="BRUNA"/>
    <x v="38"/>
    <x v="0"/>
    <x v="0"/>
  </r>
  <r>
    <n v="77521"/>
    <x v="5"/>
    <s v="MME"/>
    <x v="0"/>
    <n v="50043471"/>
    <s v="FURADEIRA BOSCH 7"/>
    <n v="1"/>
    <s v="REALIZADO"/>
    <s v="MATHEUS"/>
    <x v="38"/>
    <x v="2"/>
    <x v="0"/>
  </r>
  <r>
    <n v="77521"/>
    <x v="5"/>
    <s v="MME"/>
    <x v="0"/>
    <n v="50043471"/>
    <s v="FURADEIRA BOSCH 7"/>
    <n v="1"/>
    <s v="REALIZADO"/>
    <s v="MATHEUS"/>
    <x v="38"/>
    <x v="0"/>
    <x v="0"/>
  </r>
  <r>
    <n v="77521"/>
    <x v="5"/>
    <s v="MME"/>
    <x v="0"/>
    <n v="50043471"/>
    <s v="FURADEIRA BOSCH 7"/>
    <n v="1"/>
    <s v="REALIZADO"/>
    <s v="MATHEUS"/>
    <x v="38"/>
    <x v="2"/>
    <x v="0"/>
  </r>
  <r>
    <n v="77521"/>
    <x v="5"/>
    <s v="MME"/>
    <x v="0"/>
    <n v="50043471"/>
    <s v="FURADEIRA BOSCH 7"/>
    <n v="1"/>
    <s v="REALIZADO"/>
    <s v="BRUNA"/>
    <x v="38"/>
    <x v="0"/>
    <x v="0"/>
  </r>
  <r>
    <n v="74611"/>
    <x v="2"/>
    <s v="MPR"/>
    <x v="0"/>
    <n v="50003297"/>
    <s v="FURADEIRA DE IMPACTO MAKITA 02"/>
    <n v="1"/>
    <s v="REALIZADO"/>
    <s v="GEOVANE"/>
    <x v="38"/>
    <x v="2"/>
    <x v="0"/>
  </r>
  <r>
    <n v="74611"/>
    <x v="2"/>
    <s v="MPR"/>
    <x v="0"/>
    <n v="50003297"/>
    <s v="FURADEIRA DE IMPACTO MAKITA 02"/>
    <n v="1"/>
    <s v="REALIZADO"/>
    <s v="MATHEUS"/>
    <x v="38"/>
    <x v="0"/>
    <x v="0"/>
  </r>
  <r>
    <n v="70052"/>
    <x v="6"/>
    <s v="MEE"/>
    <x v="0"/>
    <n v="50043320"/>
    <s v="JOGO SERRA COPO 8PÇS"/>
    <n v="1"/>
    <s v="REALIZADO"/>
    <s v="GEOVANE"/>
    <x v="38"/>
    <x v="2"/>
    <x v="0"/>
  </r>
  <r>
    <n v="70052"/>
    <x v="6"/>
    <s v="MEE"/>
    <x v="0"/>
    <n v="50043320"/>
    <s v="JOGO SERRA COPO 8PÇS"/>
    <n v="1"/>
    <s v="REALIZADO"/>
    <s v="GEOVANE"/>
    <x v="38"/>
    <x v="0"/>
    <x v="0"/>
  </r>
  <r>
    <n v="68708"/>
    <x v="13"/>
    <s v="MMG"/>
    <x v="0"/>
    <n v="50022878"/>
    <s v="KIT MONTAGEM ROLAMENTO SKF"/>
    <n v="1"/>
    <s v="REALIZADO"/>
    <s v="BRUNA"/>
    <x v="38"/>
    <x v="2"/>
    <x v="0"/>
  </r>
  <r>
    <n v="68708"/>
    <x v="13"/>
    <s v="MMG"/>
    <x v="0"/>
    <n v="50022878"/>
    <s v="KIT MONTAGEM ROLAMENTO SKF"/>
    <n v="1"/>
    <s v="REALIZADO"/>
    <s v="MATHEUS"/>
    <x v="38"/>
    <x v="0"/>
    <x v="0"/>
  </r>
  <r>
    <n v="49751"/>
    <x v="81"/>
    <s v="MEE"/>
    <x v="4"/>
    <n v="50038956"/>
    <s v="LIXADEIRA BOSCH 1"/>
    <n v="1"/>
    <s v="REALIZADO"/>
    <s v="BRUNA"/>
    <x v="38"/>
    <x v="2"/>
    <x v="0"/>
  </r>
  <r>
    <n v="49751"/>
    <x v="81"/>
    <s v="MEE"/>
    <x v="4"/>
    <n v="50038956"/>
    <s v="LIXADEIRA BOSCH 1"/>
    <n v="1"/>
    <s v="REALIZADO"/>
    <s v="BRUNA"/>
    <x v="38"/>
    <x v="0"/>
    <x v="0"/>
  </r>
  <r>
    <n v="68708"/>
    <x v="13"/>
    <s v="MMG"/>
    <x v="0"/>
    <n v="50037892"/>
    <s v="LIXADEIRA BOSCH 2"/>
    <n v="1"/>
    <s v="REALIZADO"/>
    <s v="GEOVANE"/>
    <x v="38"/>
    <x v="2"/>
    <x v="0"/>
  </r>
  <r>
    <n v="68708"/>
    <x v="13"/>
    <s v="MMG"/>
    <x v="0"/>
    <n v="50037892"/>
    <s v="LIXADEIRA BOSCH 2"/>
    <n v="1"/>
    <s v="REALIZADO"/>
    <s v="GEOVANE"/>
    <x v="38"/>
    <x v="0"/>
    <x v="0"/>
  </r>
  <r>
    <n v="77526"/>
    <x v="37"/>
    <s v="MME"/>
    <x v="0"/>
    <n v="50037892"/>
    <s v="LIXADEIRA BOSCH 2"/>
    <n v="1"/>
    <s v="REALIZADO"/>
    <s v="GEOVANE"/>
    <x v="38"/>
    <x v="2"/>
    <x v="0"/>
  </r>
  <r>
    <n v="77526"/>
    <x v="37"/>
    <s v="MME"/>
    <x v="0"/>
    <n v="50037892"/>
    <s v="LIXADEIRA BOSCH 2"/>
    <n v="1"/>
    <s v="REALIZADO"/>
    <s v="GEOVANE"/>
    <x v="38"/>
    <x v="0"/>
    <x v="0"/>
  </r>
  <r>
    <n v="79177"/>
    <x v="28"/>
    <s v="MMG"/>
    <x v="0"/>
    <n v="50037892"/>
    <s v="LIXADEIRA BOSCH 2"/>
    <n v="1"/>
    <s v="REALIZADO"/>
    <s v="BRUNA"/>
    <x v="38"/>
    <x v="2"/>
    <x v="0"/>
  </r>
  <r>
    <n v="79177"/>
    <x v="28"/>
    <s v="MMG"/>
    <x v="0"/>
    <n v="50037892"/>
    <s v="LIXADEIRA BOSCH 2"/>
    <n v="1"/>
    <s v="REALIZADO"/>
    <s v="BRUNA"/>
    <x v="38"/>
    <x v="0"/>
    <x v="0"/>
  </r>
  <r>
    <n v="77526"/>
    <x v="37"/>
    <s v="MME"/>
    <x v="0"/>
    <n v="50037892"/>
    <s v="LIXADEIRA BOSCH 2"/>
    <n v="1"/>
    <s v="REALIZADO"/>
    <s v="BRUNA"/>
    <x v="38"/>
    <x v="2"/>
    <x v="0"/>
  </r>
  <r>
    <n v="77526"/>
    <x v="37"/>
    <s v="MME"/>
    <x v="0"/>
    <n v="50037892"/>
    <s v="LIXADEIRA BOSCH 2"/>
    <n v="1"/>
    <s v="REALIZADO"/>
    <s v="BRUNA"/>
    <x v="38"/>
    <x v="0"/>
    <x v="0"/>
  </r>
  <r>
    <n v="75424"/>
    <x v="39"/>
    <s v="MME"/>
    <x v="2"/>
    <n v="50037892"/>
    <s v="LIXADEIRA BOSCH 2"/>
    <n v="1"/>
    <s v="REALIZADO"/>
    <s v="MATHEUS"/>
    <x v="38"/>
    <x v="2"/>
    <x v="0"/>
  </r>
  <r>
    <n v="75424"/>
    <x v="39"/>
    <s v="MME"/>
    <x v="2"/>
    <n v="50037892"/>
    <s v="LIXADEIRA BOSCH 2"/>
    <n v="1"/>
    <s v="REALIZADO"/>
    <s v="BRUNA"/>
    <x v="38"/>
    <x v="0"/>
    <x v="0"/>
  </r>
  <r>
    <n v="76994"/>
    <x v="8"/>
    <s v="MEE"/>
    <x v="0"/>
    <n v="50037902"/>
    <s v="LIXADEIRA BOSCH 3"/>
    <n v="1"/>
    <s v="REALIZADO"/>
    <s v="MATHEUS"/>
    <x v="38"/>
    <x v="2"/>
    <x v="0"/>
  </r>
  <r>
    <n v="76994"/>
    <x v="8"/>
    <s v="MEE"/>
    <x v="0"/>
    <n v="50037902"/>
    <s v="LIXADEIRA BOSCH 3"/>
    <n v="1"/>
    <s v="REALIZADO"/>
    <s v="MATHEUS"/>
    <x v="38"/>
    <x v="0"/>
    <x v="0"/>
  </r>
  <r>
    <n v="63713"/>
    <x v="67"/>
    <s v="MME"/>
    <x v="0"/>
    <n v="50038841"/>
    <s v="LIXADEIRA BOSCH 4"/>
    <n v="1"/>
    <s v="REALIZADO"/>
    <s v="BRUNA"/>
    <x v="38"/>
    <x v="2"/>
    <x v="0"/>
  </r>
  <r>
    <n v="63713"/>
    <x v="67"/>
    <s v="MME"/>
    <x v="0"/>
    <n v="50038841"/>
    <s v="LIXADEIRA BOSCH 4"/>
    <n v="1"/>
    <s v="REALIZADO"/>
    <s v="MATHEUS"/>
    <x v="38"/>
    <x v="0"/>
    <x v="0"/>
  </r>
  <r>
    <n v="68708"/>
    <x v="13"/>
    <s v="MMG"/>
    <x v="0"/>
    <n v="50038517"/>
    <s v="LIXADEIRA BOSCH 5"/>
    <n v="1"/>
    <s v="REALIZADO"/>
    <s v="BRUNA"/>
    <x v="38"/>
    <x v="2"/>
    <x v="0"/>
  </r>
  <r>
    <n v="68708"/>
    <x v="13"/>
    <s v="MMG"/>
    <x v="0"/>
    <n v="50038517"/>
    <s v="LIXADEIRA BOSCH 5"/>
    <n v="1"/>
    <s v="REALIZADO"/>
    <s v="BRUNA"/>
    <x v="38"/>
    <x v="0"/>
    <x v="0"/>
  </r>
  <r>
    <n v="77526"/>
    <x v="37"/>
    <s v="MME"/>
    <x v="0"/>
    <n v="50038517"/>
    <s v="LIXADEIRA BOSCH 5"/>
    <n v="1"/>
    <s v="REALIZADO"/>
    <s v="MATHEUS"/>
    <x v="38"/>
    <x v="2"/>
    <x v="0"/>
  </r>
  <r>
    <n v="77526"/>
    <x v="37"/>
    <s v="MME"/>
    <x v="0"/>
    <n v="50038517"/>
    <s v="LIXADEIRA BOSCH 5"/>
    <n v="1"/>
    <s v="REALIZADO"/>
    <s v="MATHEUS"/>
    <x v="38"/>
    <x v="0"/>
    <x v="0"/>
  </r>
  <r>
    <n v="65482"/>
    <x v="30"/>
    <s v="MMG"/>
    <x v="0"/>
    <n v="50038518"/>
    <s v="LIXADEIRA BOSCH 7"/>
    <n v="1"/>
    <s v="REALIZADO"/>
    <s v="GEOVANE"/>
    <x v="38"/>
    <x v="2"/>
    <x v="0"/>
  </r>
  <r>
    <n v="65482"/>
    <x v="30"/>
    <s v="MMG"/>
    <x v="0"/>
    <n v="50038518"/>
    <s v="LIXADEIRA BOSCH 7"/>
    <n v="1"/>
    <s v="REALIZADO"/>
    <s v="BRUNA"/>
    <x v="38"/>
    <x v="0"/>
    <x v="0"/>
  </r>
  <r>
    <n v="61955"/>
    <x v="55"/>
    <s v="MME"/>
    <x v="2"/>
    <n v="50039065"/>
    <s v="MAQUINA SOLDA TIG"/>
    <n v="1"/>
    <s v="REALIZADO"/>
    <s v="MATHEUS"/>
    <x v="38"/>
    <x v="2"/>
    <x v="0"/>
  </r>
  <r>
    <n v="61955"/>
    <x v="55"/>
    <s v="MME"/>
    <x v="2"/>
    <n v="50039065"/>
    <s v="MAQUINA SOLDA TIG"/>
    <n v="1"/>
    <s v="REALIZADO"/>
    <s v="MATHEUS"/>
    <x v="38"/>
    <x v="0"/>
    <x v="0"/>
  </r>
  <r>
    <n v="62640"/>
    <x v="44"/>
    <s v="MPR"/>
    <x v="0"/>
    <n v="50026357"/>
    <s v="MARTELETE VONDER"/>
    <n v="1"/>
    <s v="REALIZADO"/>
    <s v="MATHEUS"/>
    <x v="38"/>
    <x v="2"/>
    <x v="0"/>
  </r>
  <r>
    <n v="62640"/>
    <x v="44"/>
    <s v="MPR"/>
    <x v="0"/>
    <n v="50026357"/>
    <s v="MARTELETE VONDER"/>
    <n v="1"/>
    <s v="REALIZADO"/>
    <s v="MATHEUS"/>
    <x v="38"/>
    <x v="0"/>
    <x v="0"/>
  </r>
  <r>
    <n v="62640"/>
    <x v="44"/>
    <s v="MPR"/>
    <x v="0"/>
    <n v="50038662"/>
    <s v="MARTELO ROMPEDOR SDS MAX 220V 1100W"/>
    <n v="1"/>
    <s v="REALIZADO"/>
    <s v="MATHEUS"/>
    <x v="38"/>
    <x v="2"/>
    <x v="0"/>
  </r>
  <r>
    <n v="62640"/>
    <x v="44"/>
    <s v="MPR"/>
    <x v="0"/>
    <n v="50038662"/>
    <s v="MARTELO ROMPEDOR SDS MAX 220V 1100W"/>
    <n v="1"/>
    <s v="REALIZADO"/>
    <s v="MATHEUS"/>
    <x v="38"/>
    <x v="0"/>
    <x v="0"/>
  </r>
  <r>
    <n v="77526"/>
    <x v="37"/>
    <s v="MME"/>
    <x v="0"/>
    <n v="50041195"/>
    <s v="PARAFUSADEIRA FUR DE IMPACTO BRUSHLESS"/>
    <n v="1"/>
    <s v="REALIZADO"/>
    <s v="GEOVANE"/>
    <x v="38"/>
    <x v="2"/>
    <x v="0"/>
  </r>
  <r>
    <n v="77526"/>
    <x v="37"/>
    <s v="MME"/>
    <x v="0"/>
    <n v="50041195"/>
    <s v="PARAFUSADEIRA FUR DE IMPACTO BRUSHLESS"/>
    <n v="1"/>
    <s v="REALIZADO"/>
    <s v="BRUNA"/>
    <x v="38"/>
    <x v="0"/>
    <x v="0"/>
  </r>
  <r>
    <n v="64074"/>
    <x v="75"/>
    <s v="MPR"/>
    <x v="0"/>
    <n v="50043917"/>
    <s v="PARAFUSADEIRA FURADEIRA BOSCH"/>
    <n v="1"/>
    <s v="REALIZADO"/>
    <s v="GEOVANE"/>
    <x v="38"/>
    <x v="2"/>
    <x v="0"/>
  </r>
  <r>
    <n v="64074"/>
    <x v="75"/>
    <s v="MPR"/>
    <x v="0"/>
    <n v="50043917"/>
    <s v="PARAFUSADEIRA FURADEIRA BOSCH"/>
    <n v="1"/>
    <s v="REALIZADO"/>
    <s v="MATHEUS"/>
    <x v="38"/>
    <x v="0"/>
    <x v="0"/>
  </r>
  <r>
    <n v="70105"/>
    <x v="25"/>
    <s v="MMG"/>
    <x v="3"/>
    <n v="50032775"/>
    <s v="SACA POLIA 150MM 3 GARRAS - GEDORE"/>
    <n v="1"/>
    <s v="REALIZADO"/>
    <s v="GEOVANE"/>
    <x v="38"/>
    <x v="2"/>
    <x v="0"/>
  </r>
  <r>
    <n v="70105"/>
    <x v="25"/>
    <s v="MMG"/>
    <x v="3"/>
    <n v="50032775"/>
    <s v="SACA POLIA 150MM 3 GARRAS - GEDORE"/>
    <n v="1"/>
    <s v="REALIZADO"/>
    <s v="MATHEUS"/>
    <x v="38"/>
    <x v="0"/>
    <x v="0"/>
  </r>
  <r>
    <n v="62640"/>
    <x v="44"/>
    <s v="MPR"/>
    <x v="0"/>
    <n v="50038840"/>
    <s v="SERRA CIRCULAR MAKITA 4100NH2"/>
    <n v="1"/>
    <s v="REALIZADO"/>
    <s v="MATHEUS"/>
    <x v="38"/>
    <x v="2"/>
    <x v="0"/>
  </r>
  <r>
    <n v="62640"/>
    <x v="44"/>
    <s v="MPR"/>
    <x v="0"/>
    <n v="50038840"/>
    <s v="SERRA CIRCULAR MAKITA 4100NH2"/>
    <n v="1"/>
    <s v="REALIZADO"/>
    <s v="MATHEUS"/>
    <x v="38"/>
    <x v="0"/>
    <x v="0"/>
  </r>
  <r>
    <n v="61096"/>
    <x v="64"/>
    <s v="MME"/>
    <x v="0"/>
    <n v="50038194"/>
    <s v="SERRA TICO TICO BOSCH C/MALETA"/>
    <n v="1"/>
    <s v="REALIZADO"/>
    <s v="GEOVANE"/>
    <x v="38"/>
    <x v="2"/>
    <x v="0"/>
  </r>
  <r>
    <n v="61096"/>
    <x v="64"/>
    <s v="MME"/>
    <x v="0"/>
    <n v="50038194"/>
    <s v="SERRA TICO TICO BOSCH C/MALETA"/>
    <n v="1"/>
    <s v="REALIZADO"/>
    <s v="GEOVANE"/>
    <x v="38"/>
    <x v="2"/>
    <x v="0"/>
  </r>
  <r>
    <n v="64074"/>
    <x v="75"/>
    <s v="MPR"/>
    <x v="0"/>
    <n v="50038618"/>
    <s v="SOPRADOR "/>
    <n v="1"/>
    <s v="REALIZADO"/>
    <s v="MATHEUS"/>
    <x v="38"/>
    <x v="0"/>
    <x v="0"/>
  </r>
  <r>
    <n v="64074"/>
    <x v="75"/>
    <s v="MPR"/>
    <x v="0"/>
    <n v="50028220"/>
    <s v="SOPRADOR TERMICO VONDER 1500W 220V"/>
    <n v="1"/>
    <s v="REALIZADO"/>
    <s v="GEOVANE"/>
    <x v="38"/>
    <x v="0"/>
    <x v="0"/>
  </r>
  <r>
    <n v="61096"/>
    <x v="64"/>
    <s v="MME"/>
    <x v="0"/>
    <n v="50028220"/>
    <s v="SOPRADOR TERMICO VONDER 1500W 220V"/>
    <n v="1"/>
    <s v="REALIZADO"/>
    <s v="GEOVANE"/>
    <x v="38"/>
    <x v="2"/>
    <x v="0"/>
  </r>
  <r>
    <n v="61096"/>
    <x v="64"/>
    <s v="MME"/>
    <x v="0"/>
    <n v="50028220"/>
    <s v="SOPRADOR TERMICO VONDER 1500W 220V"/>
    <n v="1"/>
    <s v="REALIZADO"/>
    <s v="GEOVANE"/>
    <x v="38"/>
    <x v="0"/>
    <x v="0"/>
  </r>
  <r>
    <n v="62640"/>
    <x v="44"/>
    <s v="MPR"/>
    <x v="0"/>
    <n v="50041095"/>
    <s v="TALHA MANUAL 1000KG"/>
    <n v="1"/>
    <s v="REALIZADO"/>
    <s v="GEOVANE"/>
    <x v="38"/>
    <x v="2"/>
    <x v="0"/>
  </r>
  <r>
    <n v="62640"/>
    <x v="44"/>
    <s v="MPR"/>
    <x v="0"/>
    <n v="50041095"/>
    <s v="TALHA MANUAL 1000KG"/>
    <n v="1"/>
    <s v="REALIZADO"/>
    <s v="BRUNA"/>
    <x v="38"/>
    <x v="0"/>
    <x v="0"/>
  </r>
  <r>
    <n v="77471"/>
    <x v="35"/>
    <s v="MEE"/>
    <x v="0"/>
    <n v="50036298"/>
    <s v="ASPIRADOR PARA SOLIDOS SEM FIO 20V"/>
    <n v="1"/>
    <s v="REALIZADO"/>
    <s v="AGATHA"/>
    <x v="39"/>
    <x v="2"/>
    <x v="0"/>
  </r>
  <r>
    <n v="77471"/>
    <x v="35"/>
    <s v="MEE"/>
    <x v="0"/>
    <n v="50036298"/>
    <s v="ASPIRADOR PARA SOLIDOS SEM FIO 20V"/>
    <n v="1"/>
    <s v="REALIZADO"/>
    <s v="AGATHA"/>
    <x v="39"/>
    <x v="0"/>
    <x v="0"/>
  </r>
  <r>
    <n v="65084"/>
    <x v="83"/>
    <s v="MMG"/>
    <x v="4"/>
    <n v="50036255"/>
    <s v="CHAVE DE IMPACTO 1/2&quot; 20V"/>
    <n v="1"/>
    <s v="REALIZADO"/>
    <s v="MATHEUS"/>
    <x v="39"/>
    <x v="2"/>
    <x v="0"/>
  </r>
  <r>
    <n v="65084"/>
    <x v="83"/>
    <s v="MMG"/>
    <x v="4"/>
    <n v="50036255"/>
    <s v="CHAVE DE IMPACTO 1/2&quot; 20V"/>
    <n v="1"/>
    <s v="REALIZADO"/>
    <s v="MATHEUS"/>
    <x v="39"/>
    <x v="0"/>
    <x v="0"/>
  </r>
  <r>
    <n v="62180"/>
    <x v="18"/>
    <s v="MMG"/>
    <x v="0"/>
    <n v="50003173"/>
    <s v="CHAVE GRIFO 24"/>
    <n v="2"/>
    <s v="REALIZADO"/>
    <s v="MATHEUS"/>
    <x v="39"/>
    <x v="2"/>
    <x v="0"/>
  </r>
  <r>
    <n v="62180"/>
    <x v="18"/>
    <s v="MMG"/>
    <x v="0"/>
    <n v="50003173"/>
    <s v="CHAVE GRIFO 24"/>
    <n v="1"/>
    <s v="REALIZADO"/>
    <s v="MATHEUS"/>
    <x v="39"/>
    <x v="2"/>
    <x v="0"/>
  </r>
  <r>
    <n v="65482"/>
    <x v="30"/>
    <s v="MMG"/>
    <x v="0"/>
    <n v="50003173"/>
    <s v="CHAVE GRIFO 24"/>
    <n v="2"/>
    <s v="REALIZADO"/>
    <s v="MATHEUS"/>
    <x v="39"/>
    <x v="0"/>
    <x v="0"/>
  </r>
  <r>
    <n v="78675"/>
    <x v="12"/>
    <s v="MME"/>
    <x v="2"/>
    <n v="50041939"/>
    <s v="CHAVE PARA TODAS AS BITOLAS"/>
    <n v="1"/>
    <s v="REALIZADO"/>
    <s v="BRUNA"/>
    <x v="39"/>
    <x v="2"/>
    <x v="0"/>
  </r>
  <r>
    <n v="78675"/>
    <x v="12"/>
    <s v="MME"/>
    <x v="2"/>
    <n v="50041939"/>
    <s v="CHAVE PARA TODAS AS BITOLAS"/>
    <n v="1"/>
    <s v="REALIZADO"/>
    <s v="MATHEUS"/>
    <x v="39"/>
    <x v="0"/>
    <x v="0"/>
  </r>
  <r>
    <n v="68760"/>
    <x v="15"/>
    <s v="MMG"/>
    <x v="0"/>
    <n v="50039718"/>
    <s v="ESCALA DE ACO 1000MM VONDER "/>
    <n v="1"/>
    <s v="REALIZADO"/>
    <s v="MARCIA"/>
    <x v="39"/>
    <x v="2"/>
    <x v="0"/>
  </r>
  <r>
    <n v="68760"/>
    <x v="15"/>
    <s v="MMG"/>
    <x v="0"/>
    <n v="50039718"/>
    <s v="ESCALA DE ACO 1000MM VONDER "/>
    <n v="1"/>
    <s v="REALIZADO"/>
    <s v="MATHEUS"/>
    <x v="39"/>
    <x v="0"/>
    <x v="0"/>
  </r>
  <r>
    <n v="65472"/>
    <x v="48"/>
    <s v="MMG"/>
    <x v="0"/>
    <n v="50037905"/>
    <s v="ESTETOSCÓPIO SKF"/>
    <n v="1"/>
    <s v="REALIZADO"/>
    <s v="MARCIA"/>
    <x v="39"/>
    <x v="2"/>
    <x v="0"/>
  </r>
  <r>
    <n v="65472"/>
    <x v="48"/>
    <s v="MMG"/>
    <x v="0"/>
    <n v="50037905"/>
    <s v="ESTETOSCÓPIO SKF"/>
    <n v="1"/>
    <s v="REALIZADO"/>
    <s v="AGATHA"/>
    <x v="39"/>
    <x v="0"/>
    <x v="0"/>
  </r>
  <r>
    <n v="62471"/>
    <x v="9"/>
    <s v="MME"/>
    <x v="0"/>
    <n v="50030486"/>
    <s v="FURADEIRA BOSCH 3"/>
    <n v="1"/>
    <s v="REALIZADO"/>
    <s v="AGATHA"/>
    <x v="39"/>
    <x v="2"/>
    <x v="0"/>
  </r>
  <r>
    <n v="62471"/>
    <x v="9"/>
    <s v="MME"/>
    <x v="0"/>
    <n v="50030486"/>
    <s v="FURADEIRA BOSCH 3"/>
    <n v="1"/>
    <s v="REALIZADO"/>
    <s v="BRUNA"/>
    <x v="39"/>
    <x v="0"/>
    <x v="0"/>
  </r>
  <r>
    <n v="77526"/>
    <x v="37"/>
    <s v="MME"/>
    <x v="0"/>
    <n v="50030486"/>
    <s v="FURADEIRA BOSCH 3"/>
    <n v="1"/>
    <s v="REALIZADO"/>
    <s v="BRUNA"/>
    <x v="39"/>
    <x v="2"/>
    <x v="0"/>
  </r>
  <r>
    <n v="77526"/>
    <x v="37"/>
    <s v="MME"/>
    <x v="0"/>
    <n v="50030486"/>
    <s v="FURADEIRA BOSCH 3"/>
    <n v="1"/>
    <s v="REALIZADO"/>
    <s v="MATHEUS"/>
    <x v="39"/>
    <x v="0"/>
    <x v="0"/>
  </r>
  <r>
    <n v="77526"/>
    <x v="37"/>
    <s v="MME"/>
    <x v="0"/>
    <n v="50039236"/>
    <s v="FURADEIRA BOSCH 4"/>
    <n v="1"/>
    <s v="REALIZADO"/>
    <s v="AGATHA"/>
    <x v="39"/>
    <x v="2"/>
    <x v="0"/>
  </r>
  <r>
    <n v="77526"/>
    <x v="37"/>
    <s v="MME"/>
    <x v="0"/>
    <n v="50039236"/>
    <s v="FURADEIRA BOSCH 4"/>
    <n v="1"/>
    <s v="REALIZADO"/>
    <s v="AGATHA"/>
    <x v="39"/>
    <x v="0"/>
    <x v="0"/>
  </r>
  <r>
    <n v="77594"/>
    <x v="23"/>
    <s v="MME"/>
    <x v="0"/>
    <n v="50039236"/>
    <s v="FURADEIRA BOSCH 4"/>
    <n v="1"/>
    <s v="REALIZADO"/>
    <s v="AGATHA"/>
    <x v="39"/>
    <x v="2"/>
    <x v="0"/>
  </r>
  <r>
    <n v="77594"/>
    <x v="23"/>
    <s v="MME"/>
    <x v="0"/>
    <n v="50039236"/>
    <s v="FURADEIRA BOSCH 4"/>
    <n v="1"/>
    <s v="REALIZADO"/>
    <s v="MATHEUS"/>
    <x v="39"/>
    <x v="0"/>
    <x v="0"/>
  </r>
  <r>
    <n v="96464"/>
    <x v="46"/>
    <s v="MEE"/>
    <x v="2"/>
    <n v="50043471"/>
    <s v="FURADEIRA BOSCH 7"/>
    <n v="1"/>
    <s v="REALIZADO"/>
    <s v="MATHEUS"/>
    <x v="39"/>
    <x v="2"/>
    <x v="0"/>
  </r>
  <r>
    <n v="96464"/>
    <x v="46"/>
    <s v="MEE"/>
    <x v="2"/>
    <n v="50043471"/>
    <s v="FURADEIRA BOSCH 7"/>
    <n v="1"/>
    <s v="REALIZADO"/>
    <s v="MATHEUS"/>
    <x v="39"/>
    <x v="0"/>
    <x v="0"/>
  </r>
  <r>
    <n v="77521"/>
    <x v="5"/>
    <s v="MME"/>
    <x v="0"/>
    <n v="50003297"/>
    <s v="FURADEIRA DE IMPACTO MAKITA 02"/>
    <n v="1"/>
    <s v="REALIZADO"/>
    <s v="GEOVANE"/>
    <x v="39"/>
    <x v="2"/>
    <x v="0"/>
  </r>
  <r>
    <n v="77521"/>
    <x v="5"/>
    <s v="MME"/>
    <x v="0"/>
    <n v="50003297"/>
    <s v="FURADEIRA DE IMPACTO MAKITA 02"/>
    <n v="1"/>
    <s v="REALIZADO"/>
    <s v="MATHEUS"/>
    <x v="39"/>
    <x v="0"/>
    <x v="0"/>
  </r>
  <r>
    <n v="70052"/>
    <x v="6"/>
    <s v="MEE"/>
    <x v="0"/>
    <n v="50044839"/>
    <s v="HEADSET H390 LOGITECH"/>
    <n v="1"/>
    <s v="REALIZADO"/>
    <s v="BRUNA"/>
    <x v="39"/>
    <x v="2"/>
    <x v="0"/>
  </r>
  <r>
    <n v="70052"/>
    <x v="6"/>
    <s v="MEE"/>
    <x v="0"/>
    <n v="50044839"/>
    <s v="HEADSET H390 LOGITECH"/>
    <n v="1"/>
    <s v="REALIZADO"/>
    <s v="MATHEUS"/>
    <x v="39"/>
    <x v="0"/>
    <x v="7"/>
  </r>
  <r>
    <n v="65084"/>
    <x v="83"/>
    <s v="MMG"/>
    <x v="4"/>
    <n v="50038549"/>
    <s v="JOGO SOQUETE ESTRIADOS 1/2 22PEÇ"/>
    <n v="1"/>
    <s v="REALIZADO"/>
    <s v="MATHEUS"/>
    <x v="39"/>
    <x v="2"/>
    <x v="0"/>
  </r>
  <r>
    <n v="65084"/>
    <x v="83"/>
    <s v="MMG"/>
    <x v="4"/>
    <n v="50038549"/>
    <s v="JOGO SOQUETE ESTRIADOS 1/2 22PEÇ"/>
    <n v="1"/>
    <s v="REALIZADO"/>
    <s v="MATHEUS"/>
    <x v="39"/>
    <x v="0"/>
    <x v="0"/>
  </r>
  <r>
    <n v="62896"/>
    <x v="33"/>
    <s v="MEE"/>
    <x v="0"/>
    <n v="50022878"/>
    <s v="KIT MONTAGEM ROLAMENTO SKF"/>
    <n v="1"/>
    <s v="REALIZADO"/>
    <s v="MATHEUS"/>
    <x v="39"/>
    <x v="2"/>
    <x v="7"/>
  </r>
  <r>
    <n v="62896"/>
    <x v="33"/>
    <s v="MEE"/>
    <x v="0"/>
    <n v="50022878"/>
    <s v="KIT MONTAGEM ROLAMENTO SKF"/>
    <n v="1"/>
    <s v="REALIZADO"/>
    <s v="MATHEUS"/>
    <x v="39"/>
    <x v="0"/>
    <x v="0"/>
  </r>
  <r>
    <n v="62896"/>
    <x v="33"/>
    <s v="MEE"/>
    <x v="0"/>
    <n v="50038956"/>
    <s v="LIXADEIRA BOSCH 1"/>
    <n v="1"/>
    <s v="REALIZADO"/>
    <s v="MARCIA"/>
    <x v="39"/>
    <x v="2"/>
    <x v="0"/>
  </r>
  <r>
    <n v="62896"/>
    <x v="33"/>
    <s v="MEE"/>
    <x v="0"/>
    <n v="50038956"/>
    <s v="LIXADEIRA BOSCH 1"/>
    <n v="1"/>
    <s v="REALIZADO"/>
    <s v="MARCIA"/>
    <x v="39"/>
    <x v="0"/>
    <x v="0"/>
  </r>
  <r>
    <n v="62896"/>
    <x v="33"/>
    <s v="MEE"/>
    <x v="0"/>
    <n v="50038956"/>
    <s v="LIXADEIRA BOSCH 1"/>
    <n v="1"/>
    <s v="REALIZADO"/>
    <s v="AGATHA"/>
    <x v="39"/>
    <x v="2"/>
    <x v="0"/>
  </r>
  <r>
    <n v="60115"/>
    <x v="34"/>
    <s v="MME"/>
    <x v="3"/>
    <n v="50037892"/>
    <s v="LIXADEIRA BOSCH 2"/>
    <n v="1"/>
    <s v="REALIZADO"/>
    <s v="MARCIA"/>
    <x v="39"/>
    <x v="0"/>
    <x v="0"/>
  </r>
  <r>
    <n v="64074"/>
    <x v="75"/>
    <s v="MPR"/>
    <x v="0"/>
    <n v="50037892"/>
    <s v="LIXADEIRA BOSCH 2"/>
    <n v="1"/>
    <s v="REALIZADO"/>
    <s v="AGATHA"/>
    <x v="39"/>
    <x v="2"/>
    <x v="0"/>
  </r>
  <r>
    <n v="64074"/>
    <x v="75"/>
    <s v="MPR"/>
    <x v="0"/>
    <n v="50037892"/>
    <s v="LIXADEIRA BOSCH 2"/>
    <n v="1"/>
    <s v="REALIZADO"/>
    <s v="MATHEUS"/>
    <x v="39"/>
    <x v="0"/>
    <x v="0"/>
  </r>
  <r>
    <n v="68708"/>
    <x v="13"/>
    <s v="MMG"/>
    <x v="0"/>
    <n v="50037902"/>
    <s v="LIXADEIRA BOSCH 3"/>
    <n v="1"/>
    <s v="REALIZADO"/>
    <s v="AGATHA"/>
    <x v="39"/>
    <x v="2"/>
    <x v="0"/>
  </r>
  <r>
    <n v="68708"/>
    <x v="13"/>
    <s v="MMG"/>
    <x v="0"/>
    <n v="50037902"/>
    <s v="LIXADEIRA BOSCH 3"/>
    <n v="1"/>
    <s v="REALIZADO"/>
    <s v="BRUNA"/>
    <x v="39"/>
    <x v="0"/>
    <x v="0"/>
  </r>
  <r>
    <n v="78886"/>
    <x v="51"/>
    <s v="MME"/>
    <x v="0"/>
    <n v="50037902"/>
    <s v="LIXADEIRA BOSCH 3"/>
    <n v="1"/>
    <s v="REALIZADO"/>
    <s v="MATHEUS"/>
    <x v="39"/>
    <x v="2"/>
    <x v="0"/>
  </r>
  <r>
    <n v="78886"/>
    <x v="51"/>
    <s v="MME"/>
    <x v="0"/>
    <n v="50037902"/>
    <s v="LIXADEIRA BOSCH 3"/>
    <n v="1"/>
    <s v="REALIZADO"/>
    <s v="MATHEUS"/>
    <x v="39"/>
    <x v="0"/>
    <x v="0"/>
  </r>
  <r>
    <n v="77471"/>
    <x v="35"/>
    <s v="MEE"/>
    <x v="0"/>
    <n v="50038841"/>
    <s v="LIXADEIRA BOSCH 4"/>
    <n v="1"/>
    <s v="REALIZADO"/>
    <s v="AGATHA"/>
    <x v="39"/>
    <x v="2"/>
    <x v="4"/>
  </r>
  <r>
    <n v="77471"/>
    <x v="35"/>
    <s v="MEE"/>
    <x v="0"/>
    <n v="50038841"/>
    <s v="LIXADEIRA BOSCH 4"/>
    <n v="1"/>
    <s v="REALIZADO"/>
    <s v="MATHEUS"/>
    <x v="39"/>
    <x v="0"/>
    <x v="0"/>
  </r>
  <r>
    <n v="63713"/>
    <x v="67"/>
    <s v="MME"/>
    <x v="0"/>
    <n v="50038517"/>
    <s v="LIXADEIRA BOSCH 5"/>
    <n v="1"/>
    <s v="REALIZADO"/>
    <s v="AGATHA"/>
    <x v="39"/>
    <x v="2"/>
    <x v="0"/>
  </r>
  <r>
    <n v="63713"/>
    <x v="67"/>
    <s v="MME"/>
    <x v="0"/>
    <n v="50038517"/>
    <s v="LIXADEIRA BOSCH 5"/>
    <n v="1"/>
    <s v="REALIZADO"/>
    <s v="AGATHA"/>
    <x v="39"/>
    <x v="0"/>
    <x v="0"/>
  </r>
  <r>
    <n v="76994"/>
    <x v="8"/>
    <s v="MEE"/>
    <x v="0"/>
    <n v="50038518"/>
    <s v="LIXADEIRA BOSCH 7"/>
    <n v="1"/>
    <s v="REALIZADO"/>
    <s v="MATHEUS"/>
    <x v="39"/>
    <x v="2"/>
    <x v="0"/>
  </r>
  <r>
    <n v="76994"/>
    <x v="8"/>
    <s v="MEE"/>
    <x v="0"/>
    <n v="50038518"/>
    <s v="LIXADEIRA BOSCH 7"/>
    <n v="1"/>
    <s v="REALIZADO"/>
    <s v="MATHEUS"/>
    <x v="39"/>
    <x v="0"/>
    <x v="0"/>
  </r>
  <r>
    <n v="60953"/>
    <x v="71"/>
    <s v="MMG"/>
    <x v="2"/>
    <n v="50041653"/>
    <s v="MICROMETRO INTERNO - EXTRUSORA"/>
    <n v="1"/>
    <s v="REALIZADO"/>
    <s v="BRUNA"/>
    <x v="39"/>
    <x v="2"/>
    <x v="0"/>
  </r>
  <r>
    <n v="60953"/>
    <x v="71"/>
    <s v="MMG"/>
    <x v="2"/>
    <n v="50041653"/>
    <s v="MICROMETRO INTERNO - EXTRUSORA"/>
    <n v="1"/>
    <s v="REALIZADO"/>
    <s v="MATHEUS"/>
    <x v="39"/>
    <x v="0"/>
    <x v="0"/>
  </r>
  <r>
    <n v="65482"/>
    <x v="30"/>
    <s v="MMG"/>
    <x v="0"/>
    <n v="50041195"/>
    <s v="PARAFUSADEIRA FUR DE IMPACTO BRUSHLESS"/>
    <n v="1"/>
    <s v="REALIZADO"/>
    <s v="MATHEUS"/>
    <x v="39"/>
    <x v="2"/>
    <x v="0"/>
  </r>
  <r>
    <n v="65482"/>
    <x v="30"/>
    <s v="MMG"/>
    <x v="0"/>
    <n v="50041195"/>
    <s v="PARAFUSADEIRA FUR DE IMPACTO BRUSHLESS"/>
    <n v="1"/>
    <s v="REALIZADO"/>
    <s v="MATHEUS"/>
    <x v="39"/>
    <x v="0"/>
    <x v="0"/>
  </r>
  <r>
    <n v="64074"/>
    <x v="75"/>
    <s v="MPR"/>
    <x v="0"/>
    <n v="50043917"/>
    <s v="PARAFUSADEIRA FURADEIRA BOSCH"/>
    <n v="1"/>
    <s v="REALIZADO"/>
    <s v="AGATHA"/>
    <x v="39"/>
    <x v="2"/>
    <x v="0"/>
  </r>
  <r>
    <n v="64074"/>
    <x v="75"/>
    <s v="MPR"/>
    <x v="0"/>
    <n v="50043917"/>
    <s v="PARAFUSADEIRA FURADEIRA BOSCH"/>
    <n v="1"/>
    <s v="REALIZADO"/>
    <s v="MATHEUS"/>
    <x v="39"/>
    <x v="0"/>
    <x v="0"/>
  </r>
  <r>
    <n v="70105"/>
    <x v="25"/>
    <s v="MMG"/>
    <x v="3"/>
    <n v="50012902"/>
    <s v="SACA POLIA 03 GARRAS 250 MM GEDORE"/>
    <n v="1"/>
    <s v="REALIZADO"/>
    <s v="GEOVANE"/>
    <x v="39"/>
    <x v="2"/>
    <x v="0"/>
  </r>
  <r>
    <n v="70105"/>
    <x v="25"/>
    <s v="MMG"/>
    <x v="3"/>
    <n v="50012902"/>
    <s v="SACA POLIA 03 GARRAS 250 MM GEDORE"/>
    <n v="1"/>
    <s v="REALIZADO"/>
    <s v="BRUNA"/>
    <x v="39"/>
    <x v="0"/>
    <x v="0"/>
  </r>
  <r>
    <n v="60953"/>
    <x v="71"/>
    <s v="MMG"/>
    <x v="2"/>
    <n v="50037924"/>
    <s v="TORQUIMETRO GEDORE GRANDE"/>
    <n v="1"/>
    <s v="REALIZADO"/>
    <s v="BRUNA"/>
    <x v="39"/>
    <x v="2"/>
    <x v="0"/>
  </r>
  <r>
    <n v="60953"/>
    <x v="71"/>
    <s v="MMG"/>
    <x v="2"/>
    <n v="50037924"/>
    <s v="TORQUIMETRO GEDORE GRANDE"/>
    <n v="1"/>
    <s v="REALIZADO"/>
    <s v="MATHEUS"/>
    <x v="39"/>
    <x v="0"/>
    <x v="0"/>
  </r>
  <r>
    <n v="77313"/>
    <x v="17"/>
    <s v="MPR"/>
    <x v="0"/>
    <n v="50010031"/>
    <s v=" LIXADEIRA BOSCH 6"/>
    <n v="1"/>
    <s v="REALIZADO"/>
    <s v="BRUNA"/>
    <x v="40"/>
    <x v="2"/>
    <x v="0"/>
  </r>
  <r>
    <n v="77313"/>
    <x v="17"/>
    <s v="MPR"/>
    <x v="0"/>
    <n v="50010031"/>
    <s v=" LIXADEIRA BOSCH 6"/>
    <n v="1"/>
    <s v="REALIZADO"/>
    <s v="BRUNA"/>
    <x v="40"/>
    <x v="0"/>
    <x v="0"/>
  </r>
  <r>
    <n v="62896"/>
    <x v="33"/>
    <s v="MEE"/>
    <x v="0"/>
    <n v="50038854"/>
    <s v="ARCO DE SERRA"/>
    <n v="1"/>
    <s v="REALIZADO"/>
    <s v="AGATHA"/>
    <x v="40"/>
    <x v="2"/>
    <x v="0"/>
  </r>
  <r>
    <n v="62896"/>
    <x v="33"/>
    <s v="MEE"/>
    <x v="0"/>
    <n v="50038854"/>
    <s v="ARCO DE SERRA"/>
    <n v="1"/>
    <s v="REALIZADO"/>
    <s v="AGATHA"/>
    <x v="40"/>
    <x v="0"/>
    <x v="0"/>
  </r>
  <r>
    <n v="63713"/>
    <x v="67"/>
    <s v="MME"/>
    <x v="0"/>
    <n v="50043471"/>
    <s v="FURADEIRA BOSCH 7"/>
    <n v="1"/>
    <s v="REALIZADO"/>
    <s v="AGATHA"/>
    <x v="40"/>
    <x v="2"/>
    <x v="0"/>
  </r>
  <r>
    <n v="63713"/>
    <x v="67"/>
    <s v="MME"/>
    <x v="0"/>
    <n v="50043471"/>
    <s v="FURADEIRA BOSCH 7"/>
    <n v="1"/>
    <s v="REALIZADO"/>
    <s v="AGATHA"/>
    <x v="40"/>
    <x v="0"/>
    <x v="0"/>
  </r>
  <r>
    <n v="77313"/>
    <x v="17"/>
    <s v="MPR"/>
    <x v="0"/>
    <n v="50043471"/>
    <s v="FURADEIRA BOSCH 7"/>
    <n v="1"/>
    <s v="REALIZADO"/>
    <s v="BRUNA"/>
    <x v="40"/>
    <x v="2"/>
    <x v="0"/>
  </r>
  <r>
    <n v="77313"/>
    <x v="17"/>
    <s v="MPR"/>
    <x v="0"/>
    <n v="50043471"/>
    <s v="FURADEIRA BOSCH 7"/>
    <n v="1"/>
    <s v="REALIZADO"/>
    <s v="BRUNA"/>
    <x v="40"/>
    <x v="0"/>
    <x v="0"/>
  </r>
  <r>
    <n v="62640"/>
    <x v="44"/>
    <s v="MPR"/>
    <x v="0"/>
    <n v="50029865"/>
    <s v="JOGO DE BROCAS ACO RAPIDO"/>
    <n v="1"/>
    <s v="REALIZADO"/>
    <s v="AGATHA"/>
    <x v="40"/>
    <x v="2"/>
    <x v="0"/>
  </r>
  <r>
    <n v="62640"/>
    <x v="44"/>
    <s v="MPR"/>
    <x v="0"/>
    <n v="50029865"/>
    <s v="JOGO DE BROCAS ACO RAPIDO"/>
    <n v="1"/>
    <s v="REALIZADO"/>
    <s v="MATHEUS"/>
    <x v="40"/>
    <x v="0"/>
    <x v="0"/>
  </r>
  <r>
    <n v="63713"/>
    <x v="67"/>
    <s v="MME"/>
    <x v="0"/>
    <n v="50043320"/>
    <s v="JOGO SERRA COPO 8PÇS"/>
    <n v="1"/>
    <s v="REALIZADO"/>
    <s v="AGATHA"/>
    <x v="40"/>
    <x v="2"/>
    <x v="0"/>
  </r>
  <r>
    <n v="63713"/>
    <x v="67"/>
    <s v="MME"/>
    <x v="0"/>
    <n v="50043320"/>
    <s v="JOGO SERRA COPO 8PÇS"/>
    <n v="1"/>
    <s v="REALIZADO"/>
    <s v="AGATHA"/>
    <x v="40"/>
    <x v="0"/>
    <x v="0"/>
  </r>
  <r>
    <n v="73878"/>
    <x v="20"/>
    <s v="MMG"/>
    <x v="0"/>
    <n v="50038956"/>
    <s v="LIXADEIRA BOSCH 1"/>
    <n v="1"/>
    <s v="REALIZADO"/>
    <s v="MARCIA"/>
    <x v="40"/>
    <x v="2"/>
    <x v="0"/>
  </r>
  <r>
    <n v="73878"/>
    <x v="20"/>
    <s v="MMG"/>
    <x v="0"/>
    <n v="50038956"/>
    <s v="LIXADEIRA BOSCH 1"/>
    <n v="1"/>
    <s v="REALIZADO"/>
    <s v="AGATHA"/>
    <x v="40"/>
    <x v="0"/>
    <x v="0"/>
  </r>
  <r>
    <n v="64253"/>
    <x v="16"/>
    <s v="MMG"/>
    <x v="0"/>
    <n v="50038956"/>
    <s v="LIXADEIRA BOSCH 1"/>
    <n v="1"/>
    <s v="REALIZADO"/>
    <s v="AGATHA"/>
    <x v="40"/>
    <x v="2"/>
    <x v="0"/>
  </r>
  <r>
    <n v="64253"/>
    <x v="16"/>
    <s v="MMG"/>
    <x v="0"/>
    <n v="50038956"/>
    <s v="LIXADEIRA BOSCH 1"/>
    <n v="1"/>
    <s v="REALIZADO"/>
    <s v="AGATHA"/>
    <x v="40"/>
    <x v="0"/>
    <x v="0"/>
  </r>
  <r>
    <n v="62896"/>
    <x v="33"/>
    <s v="MEE"/>
    <x v="0"/>
    <n v="50038517"/>
    <s v="LIXADEIRA BOSCH 5"/>
    <n v="1"/>
    <s v="REALIZADO"/>
    <s v="AGATHA"/>
    <x v="40"/>
    <x v="2"/>
    <x v="0"/>
  </r>
  <r>
    <n v="62896"/>
    <x v="33"/>
    <s v="MEE"/>
    <x v="0"/>
    <n v="50038517"/>
    <s v="LIXADEIRA BOSCH 5"/>
    <n v="1"/>
    <s v="REALIZADO"/>
    <s v="AGATHA"/>
    <x v="40"/>
    <x v="0"/>
    <x v="0"/>
  </r>
  <r>
    <n v="77594"/>
    <x v="23"/>
    <s v="MME"/>
    <x v="0"/>
    <n v="50026357"/>
    <s v="MARTELETE VONDER"/>
    <n v="1"/>
    <s v="REALIZADO"/>
    <s v="AGATHA"/>
    <x v="40"/>
    <x v="2"/>
    <x v="0"/>
  </r>
  <r>
    <n v="77594"/>
    <x v="23"/>
    <s v="MME"/>
    <x v="0"/>
    <n v="50026357"/>
    <s v="MARTELETE VONDER"/>
    <n v="1"/>
    <s v="REALIZADO"/>
    <s v="MATHEUS"/>
    <x v="40"/>
    <x v="0"/>
    <x v="0"/>
  </r>
  <r>
    <n v="62640"/>
    <x v="44"/>
    <s v="MPR"/>
    <x v="0"/>
    <n v="50041195"/>
    <s v="PARAFUSADEIRA FUR DE IMPACTO BRUSHLESS"/>
    <n v="1"/>
    <s v="REALIZADO"/>
    <s v="AGATHA"/>
    <x v="40"/>
    <x v="2"/>
    <x v="0"/>
  </r>
  <r>
    <n v="62640"/>
    <x v="44"/>
    <s v="MPR"/>
    <x v="0"/>
    <n v="50041195"/>
    <s v="PARAFUSADEIRA FUR DE IMPACTO BRUSHLESS"/>
    <n v="1"/>
    <s v="REALIZADO"/>
    <s v="MATHEUS"/>
    <x v="40"/>
    <x v="0"/>
    <x v="0"/>
  </r>
  <r>
    <n v="70052"/>
    <x v="6"/>
    <s v="MEE"/>
    <x v="0"/>
    <n v="50043917"/>
    <s v="PARAFUSADEIRA FURADEIRA BOSCH"/>
    <n v="1"/>
    <s v="REALIZADO"/>
    <s v="MATHEUS"/>
    <x v="40"/>
    <x v="2"/>
    <x v="0"/>
  </r>
  <r>
    <n v="70052"/>
    <x v="6"/>
    <s v="MEE"/>
    <x v="0"/>
    <n v="50043917"/>
    <s v="PARAFUSADEIRA FURADEIRA BOSCH"/>
    <n v="1"/>
    <s v="REALIZADO"/>
    <s v="MATHEUS"/>
    <x v="40"/>
    <x v="0"/>
    <x v="0"/>
  </r>
  <r>
    <n v="63713"/>
    <x v="67"/>
    <s v="MME"/>
    <x v="0"/>
    <n v="50004486"/>
    <s v="RETIFICA "/>
    <n v="1"/>
    <s v="REALIZADO"/>
    <s v="AGATHA"/>
    <x v="40"/>
    <x v="2"/>
    <x v="0"/>
  </r>
  <r>
    <n v="63713"/>
    <x v="67"/>
    <s v="MME"/>
    <x v="0"/>
    <n v="50004486"/>
    <s v="RETIFICA "/>
    <n v="1"/>
    <s v="REALIZADO"/>
    <s v="AGATHA"/>
    <x v="40"/>
    <x v="0"/>
    <x v="0"/>
  </r>
  <r>
    <n v="68708"/>
    <x v="13"/>
    <s v="MMG"/>
    <x v="0"/>
    <n v="50042283"/>
    <s v="TALHA 2000KG x 5M"/>
    <n v="1"/>
    <s v="REALIZADO"/>
    <s v="MARCIA"/>
    <x v="40"/>
    <x v="2"/>
    <x v="0"/>
  </r>
  <r>
    <n v="68708"/>
    <x v="13"/>
    <s v="MMG"/>
    <x v="0"/>
    <n v="50042283"/>
    <s v="TALHA 2000KG x 5M"/>
    <n v="1"/>
    <s v="REALIZADO"/>
    <s v="MATHEUS"/>
    <x v="40"/>
    <x v="0"/>
    <x v="0"/>
  </r>
  <r>
    <n v="77471"/>
    <x v="35"/>
    <s v="MEE"/>
    <x v="0"/>
    <n v="50010031"/>
    <s v=" LIXADEIRA BOSCH 6"/>
    <n v="1"/>
    <s v="REALIZADO"/>
    <s v="AGATHA"/>
    <x v="41"/>
    <x v="2"/>
    <x v="0"/>
  </r>
  <r>
    <n v="77471"/>
    <x v="35"/>
    <s v="MEE"/>
    <x v="0"/>
    <n v="50010031"/>
    <s v=" LIXADEIRA BOSCH 6"/>
    <n v="1"/>
    <s v="REALIZADO"/>
    <s v="BRUNO"/>
    <x v="41"/>
    <x v="0"/>
    <x v="0"/>
  </r>
  <r>
    <n v="76239"/>
    <x v="19"/>
    <s v="REFRIG"/>
    <x v="0"/>
    <n v="50036086"/>
    <s v="CHAVE GRIFO 18"/>
    <n v="1"/>
    <s v="REALIZADO"/>
    <s v="BRUNA"/>
    <x v="41"/>
    <x v="2"/>
    <x v="0"/>
  </r>
  <r>
    <n v="76239"/>
    <x v="19"/>
    <s v="REFRIG"/>
    <x v="0"/>
    <n v="50036086"/>
    <s v="CHAVE GRIFO 18"/>
    <n v="1"/>
    <s v="REALIZADO"/>
    <s v="BRUNO"/>
    <x v="41"/>
    <x v="2"/>
    <x v="0"/>
  </r>
  <r>
    <n v="60352"/>
    <x v="84"/>
    <s v="MME"/>
    <x v="2"/>
    <n v="50003173"/>
    <s v="CHAVE GRIFO 24"/>
    <n v="1"/>
    <s v="REALIZADO"/>
    <s v="BRUNO"/>
    <x v="41"/>
    <x v="2"/>
    <x v="0"/>
  </r>
  <r>
    <n v="72713"/>
    <x v="68"/>
    <s v="MPR"/>
    <x v="0"/>
    <n v="50030486"/>
    <s v="FURADEIRA BOSCH 3"/>
    <n v="1"/>
    <s v="REALIZADO"/>
    <s v="AGATHA"/>
    <x v="41"/>
    <x v="0"/>
    <x v="0"/>
  </r>
  <r>
    <n v="63713"/>
    <x v="67"/>
    <s v="MME"/>
    <x v="0"/>
    <n v="50030486"/>
    <s v="FURADEIRA BOSCH 3"/>
    <n v="1"/>
    <s v="REALIZADO"/>
    <s v="AGATHA"/>
    <x v="41"/>
    <x v="2"/>
    <x v="0"/>
  </r>
  <r>
    <n v="63713"/>
    <x v="67"/>
    <s v="MME"/>
    <x v="0"/>
    <n v="50030486"/>
    <s v="FURADEIRA BOSCH 3"/>
    <n v="1"/>
    <s v="REALIZADO"/>
    <s v="AGATHA"/>
    <x v="41"/>
    <x v="0"/>
    <x v="0"/>
  </r>
  <r>
    <n v="64253"/>
    <x v="16"/>
    <s v="MMG"/>
    <x v="0"/>
    <n v="50030486"/>
    <s v="FURADEIRA BOSCH 3"/>
    <n v="1"/>
    <s v="REALIZADO"/>
    <s v="BRUNA"/>
    <x v="41"/>
    <x v="2"/>
    <x v="0"/>
  </r>
  <r>
    <n v="64253"/>
    <x v="16"/>
    <s v="MMG"/>
    <x v="0"/>
    <n v="50030486"/>
    <s v="FURADEIRA BOSCH 3"/>
    <n v="1"/>
    <s v="REALIZADO"/>
    <s v="BRUNO"/>
    <x v="41"/>
    <x v="0"/>
    <x v="0"/>
  </r>
  <r>
    <n v="63713"/>
    <x v="67"/>
    <s v="MME"/>
    <x v="0"/>
    <n v="50039236"/>
    <s v="FURADEIRA BOSCH 4"/>
    <n v="1"/>
    <s v="REALIZADO"/>
    <s v="AGATHA"/>
    <x v="41"/>
    <x v="2"/>
    <x v="0"/>
  </r>
  <r>
    <n v="63713"/>
    <x v="67"/>
    <s v="MME"/>
    <x v="0"/>
    <n v="50039236"/>
    <s v="FURADEIRA BOSCH 4"/>
    <n v="1"/>
    <s v="REALIZADO"/>
    <s v="AGATHA"/>
    <x v="41"/>
    <x v="0"/>
    <x v="0"/>
  </r>
  <r>
    <n v="77521"/>
    <x v="5"/>
    <s v="MME"/>
    <x v="0"/>
    <n v="50043471"/>
    <s v="FURADEIRA BOSCH 7"/>
    <n v="1"/>
    <s v="REALIZADO"/>
    <s v="MARCIA"/>
    <x v="41"/>
    <x v="2"/>
    <x v="0"/>
  </r>
  <r>
    <n v="77521"/>
    <x v="5"/>
    <s v="MME"/>
    <x v="0"/>
    <n v="50043471"/>
    <s v="FURADEIRA BOSCH 7"/>
    <n v="1"/>
    <s v="REALIZADO"/>
    <s v="BRUNO"/>
    <x v="41"/>
    <x v="0"/>
    <x v="0"/>
  </r>
  <r>
    <n v="77526"/>
    <x v="37"/>
    <s v="MME"/>
    <x v="0"/>
    <n v="50003297"/>
    <s v="FURADEIRA DE IMPACTO MAKITA 02"/>
    <n v="1"/>
    <s v="REALIZADO"/>
    <s v="MARCIA"/>
    <x v="41"/>
    <x v="2"/>
    <x v="0"/>
  </r>
  <r>
    <n v="77526"/>
    <x v="37"/>
    <s v="MME"/>
    <x v="0"/>
    <n v="50003297"/>
    <s v="FURADEIRA DE IMPACTO MAKITA 02"/>
    <n v="1"/>
    <s v="REALIZADO"/>
    <s v="BRUNO"/>
    <x v="41"/>
    <x v="0"/>
    <x v="0"/>
  </r>
  <r>
    <n v="68708"/>
    <x v="13"/>
    <s v="MMG"/>
    <x v="0"/>
    <n v="50038956"/>
    <s v="LIXADEIRA BOSCH 1"/>
    <n v="1"/>
    <s v="REALIZADO"/>
    <s v="AGATHA"/>
    <x v="41"/>
    <x v="2"/>
    <x v="0"/>
  </r>
  <r>
    <n v="68708"/>
    <x v="13"/>
    <s v="MMG"/>
    <x v="0"/>
    <n v="50038956"/>
    <s v="LIXADEIRA BOSCH 1"/>
    <n v="1"/>
    <s v="REALIZADO"/>
    <s v="BRUNA"/>
    <x v="41"/>
    <x v="0"/>
    <x v="0"/>
  </r>
  <r>
    <n v="74749"/>
    <x v="80"/>
    <s v="MME"/>
    <x v="2"/>
    <n v="50038956"/>
    <s v="LIXADEIRA BOSCH 1"/>
    <n v="1"/>
    <s v="REALIZADO"/>
    <s v="BRUNO"/>
    <x v="41"/>
    <x v="2"/>
    <x v="0"/>
  </r>
  <r>
    <n v="74749"/>
    <x v="80"/>
    <s v="MME"/>
    <x v="2"/>
    <n v="50038956"/>
    <s v="LIXADEIRA BOSCH 1"/>
    <n v="1"/>
    <s v="REALIZADO"/>
    <s v="BRUNO"/>
    <x v="41"/>
    <x v="0"/>
    <x v="0"/>
  </r>
  <r>
    <n v="58734"/>
    <x v="85"/>
    <s v="MME"/>
    <x v="3"/>
    <n v="50037892"/>
    <s v="LIXADEIRA BOSCH 2"/>
    <n v="1"/>
    <s v="REALIZADO"/>
    <s v="MARCIA"/>
    <x v="41"/>
    <x v="2"/>
    <x v="0"/>
  </r>
  <r>
    <n v="58734"/>
    <x v="85"/>
    <s v="MME"/>
    <x v="3"/>
    <n v="50037892"/>
    <s v="LIXADEIRA BOSCH 2"/>
    <n v="1"/>
    <s v="REALIZADO"/>
    <s v="MARCIA"/>
    <x v="41"/>
    <x v="0"/>
    <x v="0"/>
  </r>
  <r>
    <n v="79177"/>
    <x v="28"/>
    <s v="MMG"/>
    <x v="0"/>
    <n v="50037892"/>
    <s v="LIXADEIRA BOSCH 2"/>
    <n v="1"/>
    <s v="REALIZADO"/>
    <s v="BRUNO"/>
    <x v="41"/>
    <x v="2"/>
    <x v="0"/>
  </r>
  <r>
    <n v="79177"/>
    <x v="28"/>
    <s v="MMG"/>
    <x v="0"/>
    <n v="50037892"/>
    <s v="LIXADEIRA BOSCH 2"/>
    <n v="1"/>
    <s v="REALIZADO"/>
    <s v="BRUNO"/>
    <x v="41"/>
    <x v="0"/>
    <x v="0"/>
  </r>
  <r>
    <n v="77526"/>
    <x v="37"/>
    <s v="MME"/>
    <x v="0"/>
    <n v="50037902"/>
    <s v="LIXADEIRA BOSCH 3"/>
    <n v="1"/>
    <s v="REALIZADO"/>
    <s v="MARCIA"/>
    <x v="41"/>
    <x v="2"/>
    <x v="0"/>
  </r>
  <r>
    <n v="77526"/>
    <x v="37"/>
    <s v="MME"/>
    <x v="0"/>
    <n v="50037902"/>
    <s v="LIXADEIRA BOSCH 3"/>
    <n v="1"/>
    <s v="REALIZADO"/>
    <s v="AGATHA"/>
    <x v="41"/>
    <x v="0"/>
    <x v="0"/>
  </r>
  <r>
    <n v="62161"/>
    <x v="72"/>
    <s v="MME"/>
    <x v="3"/>
    <n v="50037902"/>
    <s v="LIXADEIRA BOSCH 3"/>
    <n v="1"/>
    <s v="REALIZADO"/>
    <s v="AGATHA"/>
    <x v="41"/>
    <x v="2"/>
    <x v="0"/>
  </r>
  <r>
    <n v="62161"/>
    <x v="72"/>
    <s v="MME"/>
    <x v="3"/>
    <n v="50037902"/>
    <s v="LIXADEIRA BOSCH 3"/>
    <n v="1"/>
    <s v="REALIZADO"/>
    <s v="AGATHA"/>
    <x v="41"/>
    <x v="0"/>
    <x v="0"/>
  </r>
  <r>
    <n v="63713"/>
    <x v="67"/>
    <s v="MME"/>
    <x v="0"/>
    <n v="50037902"/>
    <s v="LIXADEIRA BOSCH 3"/>
    <n v="1"/>
    <s v="REALIZADO"/>
    <s v="AGATHA"/>
    <x v="41"/>
    <x v="2"/>
    <x v="0"/>
  </r>
  <r>
    <n v="63713"/>
    <x v="67"/>
    <s v="MME"/>
    <x v="0"/>
    <n v="50037902"/>
    <s v="LIXADEIRA BOSCH 3"/>
    <n v="1"/>
    <s v="REALIZADO"/>
    <s v="BRUNO"/>
    <x v="41"/>
    <x v="0"/>
    <x v="0"/>
  </r>
  <r>
    <n v="77521"/>
    <x v="5"/>
    <s v="MME"/>
    <x v="0"/>
    <n v="50038841"/>
    <s v="LIXADEIRA BOSCH 4"/>
    <n v="1"/>
    <s v="REALIZADO"/>
    <s v="MARCIA"/>
    <x v="41"/>
    <x v="2"/>
    <x v="0"/>
  </r>
  <r>
    <n v="77521"/>
    <x v="5"/>
    <s v="MME"/>
    <x v="0"/>
    <n v="50038841"/>
    <s v="LIXADEIRA BOSCH 4"/>
    <n v="1"/>
    <s v="REALIZADO"/>
    <s v="BRUNO"/>
    <x v="41"/>
    <x v="0"/>
    <x v="0"/>
  </r>
  <r>
    <n v="63713"/>
    <x v="67"/>
    <s v="MME"/>
    <x v="0"/>
    <n v="50039065"/>
    <s v="MAQUINA SOLDA TIG"/>
    <n v="1"/>
    <s v="REALIZADO"/>
    <s v="AGATHA"/>
    <x v="41"/>
    <x v="2"/>
    <x v="0"/>
  </r>
  <r>
    <n v="63713"/>
    <x v="67"/>
    <s v="MME"/>
    <x v="0"/>
    <n v="50039065"/>
    <s v="MAQUINA SOLDA TIG"/>
    <n v="1"/>
    <s v="REALIZADO"/>
    <s v="BRUNO"/>
    <x v="41"/>
    <x v="0"/>
    <x v="0"/>
  </r>
  <r>
    <n v="76633"/>
    <x v="62"/>
    <s v="MMG"/>
    <x v="2"/>
    <n v="50039065"/>
    <s v="MAQUINA SOLDA TIG"/>
    <n v="1"/>
    <s v="REALIZADO"/>
    <s v="BRUNO"/>
    <x v="41"/>
    <x v="2"/>
    <x v="0"/>
  </r>
  <r>
    <n v="76633"/>
    <x v="62"/>
    <s v="MMG"/>
    <x v="2"/>
    <n v="50039065"/>
    <s v="MAQUINA SOLDA TIG"/>
    <n v="1"/>
    <s v="REALIZADO"/>
    <s v="BRUNO"/>
    <x v="41"/>
    <x v="0"/>
    <x v="0"/>
  </r>
  <r>
    <n v="68708"/>
    <x v="13"/>
    <s v="MMG"/>
    <x v="0"/>
    <n v="50038626"/>
    <s v="MARRETA 8KG"/>
    <n v="1"/>
    <s v="REALIZADO"/>
    <s v="AGATHA"/>
    <x v="41"/>
    <x v="2"/>
    <x v="0"/>
  </r>
  <r>
    <n v="68708"/>
    <x v="13"/>
    <s v="MMG"/>
    <x v="0"/>
    <n v="50038626"/>
    <s v="MARRETA 8KG"/>
    <n v="1"/>
    <s v="REALIZADO"/>
    <s v="BRUNO"/>
    <x v="41"/>
    <x v="0"/>
    <x v="0"/>
  </r>
  <r>
    <n v="63399"/>
    <x v="32"/>
    <s v="MPR"/>
    <x v="0"/>
    <n v="50041195"/>
    <s v="PARAFUSADEIRA FUR DE IMPACTO BRUSHLESS"/>
    <n v="1"/>
    <s v="REALIZADO"/>
    <s v="JOÃO FRANCISCO"/>
    <x v="41"/>
    <x v="2"/>
    <x v="0"/>
  </r>
  <r>
    <n v="64074"/>
    <x v="75"/>
    <s v="MPR"/>
    <x v="0"/>
    <n v="50041195"/>
    <s v="PARAFUSADEIRA FUR DE IMPACTO BRUSHLESS"/>
    <n v="1"/>
    <s v="REALIZADO"/>
    <s v="BRUNO"/>
    <x v="41"/>
    <x v="0"/>
    <x v="0"/>
  </r>
  <r>
    <n v="77471"/>
    <x v="35"/>
    <s v="MEE"/>
    <x v="0"/>
    <n v="50043917"/>
    <s v="PARAFUSADEIRA FURADEIRA BOSCH"/>
    <n v="1"/>
    <s v="REALIZADO"/>
    <s v="MARCIA"/>
    <x v="41"/>
    <x v="2"/>
    <x v="0"/>
  </r>
  <r>
    <n v="77471"/>
    <x v="35"/>
    <s v="MEE"/>
    <x v="0"/>
    <n v="50043917"/>
    <s v="PARAFUSADEIRA FURADEIRA BOSCH"/>
    <n v="1"/>
    <s v="REALIZADO"/>
    <s v="BRUNO"/>
    <x v="41"/>
    <x v="0"/>
    <x v="0"/>
  </r>
  <r>
    <n v="70105"/>
    <x v="25"/>
    <s v="MMG"/>
    <x v="3"/>
    <n v="50012903"/>
    <s v="SACA POLIA 02 GARRAS 250MM GEDORE"/>
    <n v="1"/>
    <s v="REALIZADO"/>
    <s v="AGATHA"/>
    <x v="41"/>
    <x v="2"/>
    <x v="0"/>
  </r>
  <r>
    <n v="70105"/>
    <x v="25"/>
    <s v="MMG"/>
    <x v="3"/>
    <n v="50012903"/>
    <s v="SACA POLIA 02 GARRAS 250MM GEDORE"/>
    <n v="1"/>
    <s v="REALIZADO"/>
    <s v="BRUNO"/>
    <x v="41"/>
    <x v="0"/>
    <x v="0"/>
  </r>
  <r>
    <n v="70105"/>
    <x v="25"/>
    <s v="MMG"/>
    <x v="3"/>
    <n v="50012902"/>
    <s v="SACA POLIA 03 GARRAS 250 MM GEDORE"/>
    <n v="1"/>
    <s v="REALIZADO"/>
    <s v="AGATHA"/>
    <x v="41"/>
    <x v="2"/>
    <x v="0"/>
  </r>
  <r>
    <n v="70105"/>
    <x v="25"/>
    <s v="MMG"/>
    <x v="3"/>
    <n v="50012902"/>
    <s v="SACA POLIA 03 GARRAS 250 MM GEDORE"/>
    <n v="1"/>
    <s v="REALIZADO"/>
    <s v="BRUNO"/>
    <x v="41"/>
    <x v="2"/>
    <x v="0"/>
  </r>
  <r>
    <n v="65900"/>
    <x v="73"/>
    <s v="MME"/>
    <x v="3"/>
    <n v="50032781"/>
    <s v="SERRA TICO TICO 650W DEWALT "/>
    <n v="1"/>
    <s v="REALIZADO"/>
    <s v="MARCIA"/>
    <x v="41"/>
    <x v="2"/>
    <x v="0"/>
  </r>
  <r>
    <n v="65900"/>
    <x v="73"/>
    <s v="MME"/>
    <x v="3"/>
    <n v="50032781"/>
    <s v="SERRA TICO TICO 650W DEWALT "/>
    <n v="1"/>
    <s v="NÃO REALIZADO"/>
    <s v="MARCIA"/>
    <x v="41"/>
    <x v="0"/>
    <x v="0"/>
  </r>
  <r>
    <n v="63713"/>
    <x v="67"/>
    <s v="MME"/>
    <x v="0"/>
    <n v="50032781"/>
    <s v="SERRA TICO TICO 650W DEWALT "/>
    <n v="1"/>
    <s v="REALIZADO"/>
    <s v="AGATHA"/>
    <x v="41"/>
    <x v="2"/>
    <x v="0"/>
  </r>
  <r>
    <n v="63713"/>
    <x v="67"/>
    <s v="MME"/>
    <x v="0"/>
    <n v="50032781"/>
    <s v="SERRA TICO TICO 650W DEWALT "/>
    <n v="1"/>
    <s v="REALIZADO"/>
    <s v="AGATHA"/>
    <x v="41"/>
    <x v="0"/>
    <x v="0"/>
  </r>
  <r>
    <n v="65223"/>
    <x v="38"/>
    <s v="MEE"/>
    <x v="3"/>
    <n v="50043150"/>
    <s v="TACOMETRO"/>
    <n v="1"/>
    <s v="REALIZADO"/>
    <s v="AGATHA"/>
    <x v="41"/>
    <x v="2"/>
    <x v="0"/>
  </r>
  <r>
    <n v="65223"/>
    <x v="38"/>
    <s v="MEE"/>
    <x v="3"/>
    <n v="50043150"/>
    <s v="TACOMETRO"/>
    <n v="1"/>
    <s v="REALIZADO"/>
    <s v="BRUNA"/>
    <x v="41"/>
    <x v="2"/>
    <x v="0"/>
  </r>
  <r>
    <n v="70105"/>
    <x v="25"/>
    <s v="MMG"/>
    <x v="3"/>
    <n v="50010031"/>
    <s v=" LIXADEIRA BOSCH 6"/>
    <n v="1"/>
    <s v="NÃO REALIZADO"/>
    <s v="BRUNA"/>
    <x v="42"/>
    <x v="0"/>
    <x v="0"/>
  </r>
  <r>
    <n v="72713"/>
    <x v="68"/>
    <s v="MPR"/>
    <x v="0"/>
    <n v="50010031"/>
    <s v=" LIXADEIRA BOSCH 6"/>
    <n v="1"/>
    <s v="NÃO REALIZADO"/>
    <s v="BRUNA"/>
    <x v="42"/>
    <x v="2"/>
    <x v="0"/>
  </r>
  <r>
    <n v="72713"/>
    <x v="68"/>
    <s v="MPR"/>
    <x v="0"/>
    <n v="50010031"/>
    <s v=" LIXADEIRA BOSCH 6"/>
    <n v="1"/>
    <s v="NÃO REALIZADO"/>
    <s v="BRUNA"/>
    <x v="42"/>
    <x v="2"/>
    <x v="0"/>
  </r>
  <r>
    <n v="75365"/>
    <x v="77"/>
    <s v="MEE"/>
    <x v="0"/>
    <n v="50002644"/>
    <s v="ALICATE CRIMPADOR"/>
    <n v="1"/>
    <s v="REALIZADO"/>
    <s v="BRUNA"/>
    <x v="42"/>
    <x v="0"/>
    <x v="0"/>
  </r>
  <r>
    <n v="75424"/>
    <x v="39"/>
    <s v="MME"/>
    <x v="2"/>
    <n v="50030486"/>
    <s v="FURADEIRA BOSCH 3"/>
    <n v="1"/>
    <s v="REALIZADO"/>
    <s v="BRUNA"/>
    <x v="42"/>
    <x v="2"/>
    <x v="0"/>
  </r>
  <r>
    <n v="75424"/>
    <x v="39"/>
    <s v="MME"/>
    <x v="2"/>
    <n v="50030486"/>
    <s v="FURADEIRA BOSCH 3"/>
    <n v="1"/>
    <s v="REALIZADO"/>
    <s v="BRUNA"/>
    <x v="42"/>
    <x v="2"/>
    <x v="0"/>
  </r>
  <r>
    <n v="74611"/>
    <x v="2"/>
    <s v="MPR"/>
    <x v="0"/>
    <n v="50043471"/>
    <s v="FURADEIRA BOSCH 7"/>
    <n v="1"/>
    <s v="REALIZADO"/>
    <s v="BRUNA"/>
    <x v="42"/>
    <x v="0"/>
    <x v="0"/>
  </r>
  <r>
    <n v="68708"/>
    <x v="13"/>
    <s v="MMG"/>
    <x v="0"/>
    <n v="50043471"/>
    <s v="FURADEIRA BOSCH 7"/>
    <n v="1"/>
    <s v="REALIZADO"/>
    <s v="BRUNA"/>
    <x v="42"/>
    <x v="2"/>
    <x v="0"/>
  </r>
  <r>
    <n v="68708"/>
    <x v="13"/>
    <s v="MMG"/>
    <x v="0"/>
    <n v="50043471"/>
    <s v="FURADEIRA BOSCH 7"/>
    <n v="1"/>
    <s v="REALIZADO"/>
    <s v="BRUNA"/>
    <x v="42"/>
    <x v="0"/>
    <x v="0"/>
  </r>
  <r>
    <n v="64253"/>
    <x v="16"/>
    <s v="MMG"/>
    <x v="0"/>
    <n v="50038549"/>
    <s v="JOGO SOQUETE ESTRIADOS 1/2 22PEÇ"/>
    <n v="1"/>
    <s v="REALIZADO"/>
    <s v="BRUNA"/>
    <x v="42"/>
    <x v="2"/>
    <x v="0"/>
  </r>
  <r>
    <n v="64253"/>
    <x v="16"/>
    <s v="MMG"/>
    <x v="0"/>
    <n v="50038549"/>
    <s v="JOGO SOQUETE ESTRIADOS 1/2 22PEÇ"/>
    <n v="1"/>
    <s v="REALIZADO"/>
    <s v="BRUNA"/>
    <x v="42"/>
    <x v="2"/>
    <x v="0"/>
  </r>
  <r>
    <n v="70105"/>
    <x v="25"/>
    <s v="MMG"/>
    <x v="3"/>
    <n v="50022878"/>
    <s v="KIT MONTAGEM ROLAMENTO SKF"/>
    <n v="1"/>
    <s v="REALIZADO"/>
    <s v="BRUNA"/>
    <x v="42"/>
    <x v="0"/>
    <x v="0"/>
  </r>
  <r>
    <n v="64074"/>
    <x v="75"/>
    <s v="MPR"/>
    <x v="0"/>
    <n v="50038956"/>
    <s v="LIXADEIRA BOSCH 1"/>
    <n v="1"/>
    <s v="NÃO REALIZADO"/>
    <s v="BRUNA"/>
    <x v="42"/>
    <x v="2"/>
    <x v="0"/>
  </r>
  <r>
    <n v="78675"/>
    <x v="12"/>
    <s v="MME"/>
    <x v="2"/>
    <n v="50038956"/>
    <s v="LIXADEIRA BOSCH 1"/>
    <n v="1"/>
    <s v="REALIZADO"/>
    <s v="BRUNA"/>
    <x v="42"/>
    <x v="0"/>
    <x v="0"/>
  </r>
  <r>
    <n v="64253"/>
    <x v="16"/>
    <s v="MMG"/>
    <x v="0"/>
    <n v="50037892"/>
    <s v="LIXADEIRA BOSCH 2"/>
    <n v="1"/>
    <s v="REALIZADO"/>
    <s v="BRUNA"/>
    <x v="42"/>
    <x v="2"/>
    <x v="0"/>
  </r>
  <r>
    <n v="62471"/>
    <x v="9"/>
    <s v="MME"/>
    <x v="0"/>
    <n v="50037892"/>
    <s v="LIXADEIRA BOSCH 2"/>
    <n v="1"/>
    <s v="REALIZADO"/>
    <s v="BRUNA"/>
    <x v="42"/>
    <x v="0"/>
    <x v="0"/>
  </r>
  <r>
    <n v="63770"/>
    <x v="36"/>
    <s v="MMG"/>
    <x v="0"/>
    <n v="50037902"/>
    <s v="LIXADEIRA BOSCH 3"/>
    <n v="1"/>
    <s v="REALIZADO"/>
    <s v="BRUNA"/>
    <x v="42"/>
    <x v="2"/>
    <x v="0"/>
  </r>
  <r>
    <n v="63770"/>
    <x v="36"/>
    <s v="MMG"/>
    <x v="0"/>
    <n v="50037902"/>
    <s v="LIXADEIRA BOSCH 3"/>
    <n v="1"/>
    <s v="REALIZADO"/>
    <s v="BRUNA"/>
    <x v="42"/>
    <x v="2"/>
    <x v="0"/>
  </r>
  <r>
    <n v="64253"/>
    <x v="16"/>
    <s v="MMG"/>
    <x v="0"/>
    <n v="50038841"/>
    <s v="LIXADEIRA BOSCH 4"/>
    <n v="1"/>
    <s v="REALIZADO"/>
    <s v="BRUNA"/>
    <x v="42"/>
    <x v="2"/>
    <x v="0"/>
  </r>
  <r>
    <n v="72713"/>
    <x v="68"/>
    <s v="MPR"/>
    <x v="0"/>
    <n v="50037903"/>
    <s v="LIXADEIRA GRANDE MAKITA"/>
    <n v="1"/>
    <s v="REALIZADO"/>
    <s v="BRUNA"/>
    <x v="42"/>
    <x v="0"/>
    <x v="0"/>
  </r>
  <r>
    <n v="64074"/>
    <x v="75"/>
    <s v="MPR"/>
    <x v="0"/>
    <n v="50026357"/>
    <s v="MARTELETE VONDER"/>
    <n v="1"/>
    <s v="NÃO REALIZADO"/>
    <s v="BRUNA"/>
    <x v="42"/>
    <x v="2"/>
    <x v="0"/>
  </r>
  <r>
    <n v="64074"/>
    <x v="75"/>
    <s v="MPR"/>
    <x v="0"/>
    <n v="50026357"/>
    <s v="MARTELETE VONDER"/>
    <n v="1"/>
    <s v="REALIZADO"/>
    <s v="BRUNA"/>
    <x v="42"/>
    <x v="0"/>
    <x v="0"/>
  </r>
  <r>
    <n v="72713"/>
    <x v="68"/>
    <s v="MPR"/>
    <x v="0"/>
    <n v="50041124"/>
    <s v="MISTURADOR DE ARGAMASSA"/>
    <n v="1"/>
    <s v="NÃO REALIZADO"/>
    <s v="BRUNA"/>
    <x v="42"/>
    <x v="2"/>
    <x v="0"/>
  </r>
  <r>
    <n v="72713"/>
    <x v="68"/>
    <s v="MPR"/>
    <x v="0"/>
    <n v="50041124"/>
    <s v="MISTURADOR DE ARGAMASSA"/>
    <n v="1"/>
    <s v="NÃO REALIZADO"/>
    <s v="BRUNA"/>
    <x v="42"/>
    <x v="2"/>
    <x v="0"/>
  </r>
  <r>
    <n v="66301"/>
    <x v="65"/>
    <s v="MEE"/>
    <x v="0"/>
    <n v="50043917"/>
    <s v="PARAFUSADEIRA FURADEIRA BOSCH"/>
    <n v="1"/>
    <s v="REALIZADO"/>
    <s v="BRUNA"/>
    <x v="42"/>
    <x v="0"/>
    <x v="0"/>
  </r>
  <r>
    <n v="69778"/>
    <x v="4"/>
    <s v="MEE"/>
    <x v="2"/>
    <n v="50043917"/>
    <s v="PARAFUSADEIRA FURADEIRA BOSCH"/>
    <n v="1"/>
    <s v="REALIZADO"/>
    <s v="BRUNA"/>
    <x v="42"/>
    <x v="2"/>
    <x v="0"/>
  </r>
  <r>
    <n v="69778"/>
    <x v="4"/>
    <s v="MEE"/>
    <x v="2"/>
    <n v="50043917"/>
    <s v="PARAFUSADEIRA FURADEIRA BOSCH"/>
    <n v="1"/>
    <s v="REALIZADO"/>
    <s v="BRUNA"/>
    <x v="42"/>
    <x v="2"/>
    <x v="1"/>
  </r>
  <r>
    <n v="66301"/>
    <x v="65"/>
    <s v="MEE"/>
    <x v="0"/>
    <n v="50020622"/>
    <s v="REBITADOR MANUAL"/>
    <n v="1"/>
    <s v="REALIZADO"/>
    <s v="BRUNA"/>
    <x v="42"/>
    <x v="2"/>
    <x v="0"/>
  </r>
  <r>
    <n v="70105"/>
    <x v="25"/>
    <s v="MMG"/>
    <x v="3"/>
    <n v="50012902"/>
    <s v="SACA POLIA 03 GARRAS 250 MM GEDORE"/>
    <n v="1"/>
    <s v="REALIZADO"/>
    <s v="BRUNA"/>
    <x v="42"/>
    <x v="0"/>
    <x v="0"/>
  </r>
  <r>
    <n v="74611"/>
    <x v="2"/>
    <s v="MPR"/>
    <x v="0"/>
    <n v="50038840"/>
    <s v="SERRA CIRCULAR MAKITA 4100NH2"/>
    <n v="1"/>
    <s v="NÃO REALIZADO"/>
    <s v="BRUNA"/>
    <x v="42"/>
    <x v="2"/>
    <x v="0"/>
  </r>
  <r>
    <n v="74611"/>
    <x v="2"/>
    <s v="MPR"/>
    <x v="0"/>
    <n v="50038840"/>
    <s v="SERRA CIRCULAR MAKITA 4100NH2"/>
    <n v="1"/>
    <s v="REALIZADO"/>
    <s v="BRUNA"/>
    <x v="42"/>
    <x v="0"/>
    <x v="0"/>
  </r>
  <r>
    <n v="74611"/>
    <x v="2"/>
    <s v="MPR"/>
    <x v="0"/>
    <n v="50038618"/>
    <s v="SOPRADOR "/>
    <n v="1"/>
    <s v="NÃO REALIZADO"/>
    <s v="BRUNA"/>
    <x v="42"/>
    <x v="2"/>
    <x v="0"/>
  </r>
  <r>
    <n v="74611"/>
    <x v="2"/>
    <s v="MPR"/>
    <x v="0"/>
    <n v="50038618"/>
    <s v="SOPRADOR "/>
    <n v="1"/>
    <s v="REALIZADO"/>
    <s v="BRUNA"/>
    <x v="42"/>
    <x v="2"/>
    <x v="0"/>
  </r>
  <r>
    <n v="60953"/>
    <x v="71"/>
    <s v="MMG"/>
    <x v="2"/>
    <n v="50037952"/>
    <s v="SUPORTE DE PAQUIMETRO - CALIBRAÇÃO MOLDADORA"/>
    <n v="1"/>
    <s v="REALIZADO"/>
    <s v="BRUNA"/>
    <x v="42"/>
    <x v="0"/>
    <x v="0"/>
  </r>
  <r>
    <n v="68701"/>
    <x v="50"/>
    <s v="MEE"/>
    <x v="2"/>
    <n v="50037933"/>
    <s v="TERMOMETRO"/>
    <n v="1"/>
    <s v="REALIZADO"/>
    <s v="BRUNA"/>
    <x v="42"/>
    <x v="2"/>
    <x v="0"/>
  </r>
  <r>
    <n v="68701"/>
    <x v="50"/>
    <s v="MEE"/>
    <x v="2"/>
    <n v="50037933"/>
    <s v="TERMOMETRO"/>
    <n v="1"/>
    <s v="REALIZADO"/>
    <s v="BRUNA"/>
    <x v="42"/>
    <x v="2"/>
    <x v="0"/>
  </r>
  <r>
    <n v="62640"/>
    <x v="44"/>
    <s v="MPR"/>
    <x v="0"/>
    <n v="50029865"/>
    <s v="JOGO DE BROCAS ACO RAPIDO"/>
    <n v="1"/>
    <s v="REALIZADO"/>
    <s v="MARCIA"/>
    <x v="43"/>
    <x v="2"/>
    <x v="0"/>
  </r>
  <r>
    <n v="62640"/>
    <x v="44"/>
    <s v="MPR"/>
    <x v="0"/>
    <n v="50037902"/>
    <s v="LIXADEIRA BOSCH 3"/>
    <m/>
    <s v="REALIZADO"/>
    <s v="MARCIA"/>
    <x v="43"/>
    <x v="2"/>
    <x v="0"/>
  </r>
  <r>
    <n v="62640"/>
    <x v="44"/>
    <s v="MPR"/>
    <x v="0"/>
    <n v="50041195"/>
    <s v="PARAFUSADEIRA FUR DE IMPACTO BRUSHLESS"/>
    <n v="1"/>
    <s v="REALIZADO"/>
    <s v="MARCIA"/>
    <x v="43"/>
    <x v="0"/>
    <x v="0"/>
  </r>
  <r>
    <n v="74611"/>
    <x v="2"/>
    <s v="MPR"/>
    <x v="0"/>
    <n v="50010031"/>
    <s v=" LIXADEIRA BOSCH 6"/>
    <n v="1"/>
    <s v="REALIZADO"/>
    <s v="AGATHA"/>
    <x v="44"/>
    <x v="2"/>
    <x v="0"/>
  </r>
  <r>
    <n v="74611"/>
    <x v="2"/>
    <s v="MPR"/>
    <x v="0"/>
    <n v="50010031"/>
    <s v=" LIXADEIRA BOSCH 6"/>
    <n v="1"/>
    <s v="REALIZADO"/>
    <s v="MATHEUS"/>
    <x v="44"/>
    <x v="0"/>
    <x v="0"/>
  </r>
  <r>
    <n v="72715"/>
    <x v="26"/>
    <s v="MPR"/>
    <x v="0"/>
    <n v="50038854"/>
    <s v="ARCO DE SERRA"/>
    <n v="1"/>
    <s v="REALIZADO"/>
    <s v="AGATHA"/>
    <x v="44"/>
    <x v="2"/>
    <x v="0"/>
  </r>
  <r>
    <n v="72715"/>
    <x v="26"/>
    <s v="MPR"/>
    <x v="0"/>
    <n v="50038854"/>
    <s v="ARCO DE SERRA"/>
    <n v="1"/>
    <s v="REALIZADO"/>
    <s v="AGATHA"/>
    <x v="44"/>
    <x v="2"/>
    <x v="0"/>
  </r>
  <r>
    <n v="66830"/>
    <x v="3"/>
    <s v="MPR"/>
    <x v="0"/>
    <n v="50036086"/>
    <s v="CHAVE GRIFO 18"/>
    <n v="1"/>
    <s v="REALIZADO"/>
    <s v="MATHEUS"/>
    <x v="44"/>
    <x v="2"/>
    <x v="0"/>
  </r>
  <r>
    <n v="73336"/>
    <x v="29"/>
    <s v="MMG"/>
    <x v="0"/>
    <n v="50038842"/>
    <s v="CHAVE GRIFO 36"/>
    <n v="1"/>
    <s v="REALIZADO"/>
    <s v="AGATHA"/>
    <x v="44"/>
    <x v="0"/>
    <x v="0"/>
  </r>
  <r>
    <n v="66790"/>
    <x v="60"/>
    <s v="MMG"/>
    <x v="3"/>
    <n v="50037905"/>
    <s v="ESTETOSCÓPIO SKF"/>
    <n v="1"/>
    <s v="REALIZADO"/>
    <s v="AGATHA"/>
    <x v="44"/>
    <x v="2"/>
    <x v="0"/>
  </r>
  <r>
    <n v="66790"/>
    <x v="60"/>
    <s v="MMG"/>
    <x v="3"/>
    <n v="50037905"/>
    <s v="ESTETOSCÓPIO SKF"/>
    <n v="1"/>
    <s v="REALIZADO"/>
    <s v="AGATHA"/>
    <x v="44"/>
    <x v="0"/>
    <x v="0"/>
  </r>
  <r>
    <n v="63770"/>
    <x v="36"/>
    <s v="MMG"/>
    <x v="0"/>
    <n v="50037905"/>
    <s v="ESTETOSCÓPIO SKF"/>
    <n v="1"/>
    <s v="REALIZADO"/>
    <s v="AGATHA"/>
    <x v="44"/>
    <x v="2"/>
    <x v="0"/>
  </r>
  <r>
    <n v="63770"/>
    <x v="36"/>
    <s v="MMG"/>
    <x v="0"/>
    <n v="50037905"/>
    <s v="ESTETOSCÓPIO SKF"/>
    <n v="1"/>
    <s v="REALIZADO"/>
    <s v="BRUNA"/>
    <x v="44"/>
    <x v="0"/>
    <x v="0"/>
  </r>
  <r>
    <n v="65472"/>
    <x v="48"/>
    <s v="MMG"/>
    <x v="0"/>
    <n v="50037905"/>
    <s v="ESTETOSCÓPIO SKF"/>
    <n v="1"/>
    <s v="REALIZADO"/>
    <s v="MATHEUS"/>
    <x v="44"/>
    <x v="0"/>
    <x v="0"/>
  </r>
  <r>
    <n v="75424"/>
    <x v="39"/>
    <s v="MME"/>
    <x v="2"/>
    <n v="50030486"/>
    <s v="FURADEIRA BOSCH 3"/>
    <n v="1"/>
    <s v="REALIZADO"/>
    <s v="AGATHA"/>
    <x v="44"/>
    <x v="2"/>
    <x v="0"/>
  </r>
  <r>
    <n v="75424"/>
    <x v="39"/>
    <s v="MME"/>
    <x v="2"/>
    <n v="50030486"/>
    <s v="FURADEIRA BOSCH 3"/>
    <n v="1"/>
    <s v="REALIZADO"/>
    <s v="MATHEUS"/>
    <x v="44"/>
    <x v="0"/>
    <x v="0"/>
  </r>
  <r>
    <n v="77594"/>
    <x v="23"/>
    <s v="MME"/>
    <x v="0"/>
    <n v="50030486"/>
    <s v="FURADEIRA BOSCH 3"/>
    <n v="1"/>
    <s v="REALIZADO"/>
    <s v="MATHEUS"/>
    <x v="44"/>
    <x v="0"/>
    <x v="0"/>
  </r>
  <r>
    <n v="77594"/>
    <x v="23"/>
    <s v="MME"/>
    <x v="0"/>
    <n v="50039236"/>
    <s v="FURADEIRA BOSCH 4"/>
    <n v="1"/>
    <s v="REALIZADO"/>
    <s v="MATHEUS"/>
    <x v="44"/>
    <x v="0"/>
    <x v="0"/>
  </r>
  <r>
    <n v="77471"/>
    <x v="35"/>
    <s v="MEE"/>
    <x v="0"/>
    <n v="50043471"/>
    <s v="FURADEIRA BOSCH 7"/>
    <n v="1"/>
    <s v="REALIZADO"/>
    <s v="AGATHA"/>
    <x v="44"/>
    <x v="2"/>
    <x v="0"/>
  </r>
  <r>
    <n v="77471"/>
    <x v="35"/>
    <s v="MEE"/>
    <x v="0"/>
    <n v="50043471"/>
    <s v="FURADEIRA BOSCH 7"/>
    <n v="1"/>
    <s v="REALIZADO"/>
    <s v="BRUNA"/>
    <x v="44"/>
    <x v="0"/>
    <x v="0"/>
  </r>
  <r>
    <n v="74611"/>
    <x v="2"/>
    <s v="MPR"/>
    <x v="0"/>
    <n v="50043471"/>
    <s v="FURADEIRA BOSCH 7"/>
    <n v="1"/>
    <s v="REALIZADO"/>
    <s v="MATHEUS"/>
    <x v="44"/>
    <x v="0"/>
    <x v="0"/>
  </r>
  <r>
    <n v="77521"/>
    <x v="5"/>
    <s v="MME"/>
    <x v="0"/>
    <n v="50003297"/>
    <s v="FURADEIRA DE IMPACTO MAKITA 02"/>
    <n v="1"/>
    <s v="REALIZADO"/>
    <s v="BRUNA"/>
    <x v="44"/>
    <x v="2"/>
    <x v="0"/>
  </r>
  <r>
    <n v="77521"/>
    <x v="5"/>
    <s v="MME"/>
    <x v="0"/>
    <n v="50003297"/>
    <s v="FURADEIRA DE IMPACTO MAKITA 02"/>
    <n v="1"/>
    <s v="REALIZADO"/>
    <s v="MATHEUS"/>
    <x v="44"/>
    <x v="0"/>
    <x v="0"/>
  </r>
  <r>
    <n v="71850"/>
    <x v="14"/>
    <s v="MMG"/>
    <x v="0"/>
    <n v="50038549"/>
    <s v="JOGO SOQUETE ESTRIADOS 1/2 22PEÇ"/>
    <n v="1"/>
    <s v="REALIZADO"/>
    <s v="AGATHA"/>
    <x v="44"/>
    <x v="2"/>
    <x v="0"/>
  </r>
  <r>
    <n v="71850"/>
    <x v="14"/>
    <s v="MMG"/>
    <x v="0"/>
    <n v="50038549"/>
    <s v="JOGO SOQUETE ESTRIADOS 1/2 22PEÇ"/>
    <n v="1"/>
    <s v="REALIZADO"/>
    <s v="GEOVANE"/>
    <x v="44"/>
    <x v="0"/>
    <x v="0"/>
  </r>
  <r>
    <n v="66830"/>
    <x v="3"/>
    <s v="MPR"/>
    <x v="0"/>
    <n v="50038956"/>
    <s v="LIXADEIRA BOSCH 1"/>
    <n v="1"/>
    <s v="REALIZADO"/>
    <s v="MATHEUS"/>
    <x v="44"/>
    <x v="2"/>
    <x v="0"/>
  </r>
  <r>
    <n v="63713"/>
    <x v="67"/>
    <s v="MME"/>
    <x v="0"/>
    <n v="50037902"/>
    <s v="LIXADEIRA BOSCH 3"/>
    <n v="1"/>
    <s v="REALIZADO"/>
    <s v="AGATHA"/>
    <x v="44"/>
    <x v="0"/>
    <x v="0"/>
  </r>
  <r>
    <n v="77521"/>
    <x v="5"/>
    <s v="MME"/>
    <x v="0"/>
    <n v="50037902"/>
    <s v="LIXADEIRA BOSCH 3"/>
    <n v="1"/>
    <s v="REALIZADO"/>
    <s v="BRUNA"/>
    <x v="44"/>
    <x v="2"/>
    <x v="0"/>
  </r>
  <r>
    <n v="77521"/>
    <x v="5"/>
    <s v="MME"/>
    <x v="0"/>
    <n v="50037902"/>
    <s v="LIXADEIRA BOSCH 3"/>
    <n v="1"/>
    <s v="REALIZADO"/>
    <s v="MATHEUS"/>
    <x v="44"/>
    <x v="0"/>
    <x v="0"/>
  </r>
  <r>
    <n v="76633"/>
    <x v="62"/>
    <s v="MMG"/>
    <x v="2"/>
    <n v="50037902"/>
    <s v="LIXADEIRA BOSCH 3"/>
    <n v="1"/>
    <s v="REALIZADO"/>
    <s v="BRUNA"/>
    <x v="44"/>
    <x v="2"/>
    <x v="0"/>
  </r>
  <r>
    <n v="76633"/>
    <x v="62"/>
    <s v="MMG"/>
    <x v="2"/>
    <n v="50037902"/>
    <s v="LIXADEIRA BOSCH 3"/>
    <n v="1"/>
    <s v="REALIZADO"/>
    <s v="BRUNA"/>
    <x v="44"/>
    <x v="2"/>
    <x v="0"/>
  </r>
  <r>
    <n v="77471"/>
    <x v="35"/>
    <s v="MEE"/>
    <x v="0"/>
    <n v="50038841"/>
    <s v="LIXADEIRA BOSCH 4"/>
    <n v="1"/>
    <s v="REALIZADO"/>
    <s v="AGATHA"/>
    <x v="44"/>
    <x v="0"/>
    <x v="0"/>
  </r>
  <r>
    <n v="67863"/>
    <x v="40"/>
    <s v="MME"/>
    <x v="2"/>
    <n v="50038841"/>
    <s v="LIXADEIRA BOSCH 4"/>
    <n v="1"/>
    <s v="REALIZADO"/>
    <s v="AGATHA"/>
    <x v="44"/>
    <x v="2"/>
    <x v="0"/>
  </r>
  <r>
    <n v="67863"/>
    <x v="40"/>
    <s v="MME"/>
    <x v="2"/>
    <n v="50038841"/>
    <s v="LIXADEIRA BOSCH 4"/>
    <n v="1"/>
    <s v="REALIZADO"/>
    <s v="BRUNA"/>
    <x v="44"/>
    <x v="0"/>
    <x v="0"/>
  </r>
  <r>
    <n v="49751"/>
    <x v="81"/>
    <s v="MEE"/>
    <x v="4"/>
    <n v="50038517"/>
    <s v="LIXADEIRA BOSCH 5"/>
    <n v="1"/>
    <s v="REALIZADO"/>
    <s v="AGATHA"/>
    <x v="44"/>
    <x v="0"/>
    <x v="0"/>
  </r>
  <r>
    <n v="64074"/>
    <x v="75"/>
    <s v="MPR"/>
    <x v="0"/>
    <n v="50038517"/>
    <s v="LIXADEIRA BOSCH 5"/>
    <n v="1"/>
    <s v="REALIZADO"/>
    <s v="AGATHA"/>
    <x v="44"/>
    <x v="2"/>
    <x v="0"/>
  </r>
  <r>
    <n v="64074"/>
    <x v="75"/>
    <s v="MPR"/>
    <x v="0"/>
    <n v="50038517"/>
    <s v="LIXADEIRA BOSCH 5"/>
    <n v="1"/>
    <s v="REALIZADO"/>
    <s v="BRUNA"/>
    <x v="44"/>
    <x v="0"/>
    <x v="0"/>
  </r>
  <r>
    <n v="49751"/>
    <x v="81"/>
    <s v="MEE"/>
    <x v="4"/>
    <n v="50038517"/>
    <s v="LIXADEIRA BOSCH 5"/>
    <n v="1"/>
    <s v="REALIZADO"/>
    <s v="MATHEUS"/>
    <x v="44"/>
    <x v="2"/>
    <x v="0"/>
  </r>
  <r>
    <n v="76633"/>
    <x v="62"/>
    <s v="MMG"/>
    <x v="2"/>
    <n v="50039065"/>
    <s v="MAQUINA SOLDA TIG"/>
    <n v="1"/>
    <s v="REALIZADO"/>
    <s v="MATHEUS"/>
    <x v="44"/>
    <x v="0"/>
    <x v="0"/>
  </r>
  <r>
    <n v="76633"/>
    <x v="62"/>
    <s v="MMG"/>
    <x v="2"/>
    <n v="50039065"/>
    <s v="MAQUINA SOLDA TIG"/>
    <n v="1"/>
    <s v="REALIZADO"/>
    <s v="BRUNA"/>
    <x v="44"/>
    <x v="2"/>
    <x v="0"/>
  </r>
  <r>
    <n v="76633"/>
    <x v="62"/>
    <s v="MMG"/>
    <x v="2"/>
    <n v="50039065"/>
    <s v="MAQUINA SOLDA TIG"/>
    <n v="1"/>
    <s v="REALIZADO"/>
    <s v="BRUNA"/>
    <x v="44"/>
    <x v="0"/>
    <x v="0"/>
  </r>
  <r>
    <n v="66830"/>
    <x v="3"/>
    <s v="MPR"/>
    <x v="0"/>
    <n v="50026357"/>
    <s v="MARTELETE VONDER"/>
    <n v="1"/>
    <s v="REALIZADO"/>
    <s v="MATHEUS"/>
    <x v="44"/>
    <x v="0"/>
    <x v="0"/>
  </r>
  <r>
    <n v="63399"/>
    <x v="32"/>
    <s v="MPR"/>
    <x v="0"/>
    <n v="50041195"/>
    <s v="PARAFUSADEIRA FUR DE IMPACTO BRUSHLESS"/>
    <n v="1"/>
    <s v="REALIZADO"/>
    <s v="AGATHA"/>
    <x v="44"/>
    <x v="0"/>
    <x v="0"/>
  </r>
  <r>
    <n v="74611"/>
    <x v="2"/>
    <s v="MPR"/>
    <x v="0"/>
    <n v="50043917"/>
    <s v="PARAFUSADEIRA FURADEIRA BOSCH"/>
    <n v="1"/>
    <s v="REALIZADO"/>
    <s v="AGATHA"/>
    <x v="44"/>
    <x v="2"/>
    <x v="0"/>
  </r>
  <r>
    <n v="74611"/>
    <x v="2"/>
    <s v="MPR"/>
    <x v="0"/>
    <n v="50043917"/>
    <s v="PARAFUSADEIRA FURADEIRA BOSCH"/>
    <n v="1"/>
    <s v="REALIZADO"/>
    <s v="BRUNA"/>
    <x v="44"/>
    <x v="0"/>
    <x v="0"/>
  </r>
  <r>
    <n v="76633"/>
    <x v="62"/>
    <s v="MMG"/>
    <x v="2"/>
    <n v="50012902"/>
    <s v="SACA POLIA 03 GARRAS 250 MM GEDORE"/>
    <n v="1"/>
    <s v="REALIZADO"/>
    <s v="BRUNA"/>
    <x v="44"/>
    <x v="2"/>
    <x v="0"/>
  </r>
  <r>
    <n v="76633"/>
    <x v="62"/>
    <s v="MMG"/>
    <x v="2"/>
    <n v="50012902"/>
    <s v="SACA POLIA 03 GARRAS 250 MM GEDORE"/>
    <n v="1"/>
    <s v="REALIZADO"/>
    <s v="BRUNA"/>
    <x v="44"/>
    <x v="2"/>
    <x v="0"/>
  </r>
  <r>
    <n v="66790"/>
    <x v="60"/>
    <s v="MMG"/>
    <x v="3"/>
    <n v="50032775"/>
    <s v="SACA POLIA 150MM 3 GARRAS - GEDORE"/>
    <n v="1"/>
    <s v="REALIZADO"/>
    <s v="AGATHA"/>
    <x v="44"/>
    <x v="2"/>
    <x v="0"/>
  </r>
  <r>
    <n v="74611"/>
    <x v="2"/>
    <s v="MPR"/>
    <x v="0"/>
    <n v="50038840"/>
    <s v="SERRA CIRCULAR MAKITA 4100NH2"/>
    <n v="1"/>
    <s v="REALIZADO"/>
    <s v="MATHEUS"/>
    <x v="44"/>
    <x v="2"/>
    <x v="0"/>
  </r>
  <r>
    <n v="66790"/>
    <x v="60"/>
    <s v="MMG"/>
    <x v="3"/>
    <n v="50037933"/>
    <s v="TERMOMETRO"/>
    <n v="1"/>
    <s v="REALIZADO"/>
    <s v="AGATHA"/>
    <x v="44"/>
    <x v="0"/>
    <x v="0"/>
  </r>
  <r>
    <n v="75361"/>
    <x v="86"/>
    <s v="MEE"/>
    <x v="0"/>
    <n v="50040691"/>
    <s v="TESTADOR DE CABOS REDE E CABOS COAXIAL"/>
    <n v="1"/>
    <s v="REALIZADO"/>
    <s v="MATHEUS"/>
    <x v="44"/>
    <x v="0"/>
    <x v="0"/>
  </r>
  <r>
    <n v="77594"/>
    <x v="23"/>
    <s v="MME"/>
    <x v="0"/>
    <n v="50010031"/>
    <s v=" LIXADEIRA BOSCH 6"/>
    <n v="1"/>
    <s v="REALIZADO"/>
    <s v="GEOVANE"/>
    <x v="45"/>
    <x v="2"/>
    <x v="0"/>
  </r>
  <r>
    <n v="77594"/>
    <x v="23"/>
    <s v="MME"/>
    <x v="0"/>
    <n v="50010031"/>
    <s v=" LIXADEIRA BOSCH 6"/>
    <n v="1"/>
    <s v="REALIZADO"/>
    <s v="GEOVANE"/>
    <x v="45"/>
    <x v="0"/>
    <x v="0"/>
  </r>
  <r>
    <n v="79177"/>
    <x v="28"/>
    <s v="MMG"/>
    <x v="0"/>
    <n v="50039718"/>
    <s v="ESCALA DE ACO 1000MM VONDER "/>
    <n v="1"/>
    <s v="REALIZADO"/>
    <s v="GEOVANE"/>
    <x v="45"/>
    <x v="2"/>
    <x v="0"/>
  </r>
  <r>
    <n v="79177"/>
    <x v="28"/>
    <s v="MMG"/>
    <x v="0"/>
    <n v="50039718"/>
    <s v="ESCALA DE ACO 1000MM VONDER "/>
    <n v="1"/>
    <s v="REALIZADO"/>
    <s v="GEOVANE"/>
    <x v="45"/>
    <x v="0"/>
    <x v="0"/>
  </r>
  <r>
    <n v="65472"/>
    <x v="48"/>
    <s v="MMG"/>
    <x v="0"/>
    <n v="50037905"/>
    <s v="ESTETOSCÓPIO SKF"/>
    <n v="1"/>
    <s v="REALIZADO"/>
    <s v="GEOVANE"/>
    <x v="45"/>
    <x v="2"/>
    <x v="0"/>
  </r>
  <r>
    <n v="65472"/>
    <x v="48"/>
    <s v="MMG"/>
    <x v="0"/>
    <n v="50037905"/>
    <s v="ESTETOSCÓPIO SKF"/>
    <n v="1"/>
    <s v="REALIZADO"/>
    <s v="GEOVANE"/>
    <x v="45"/>
    <x v="2"/>
    <x v="0"/>
  </r>
  <r>
    <n v="77594"/>
    <x v="23"/>
    <s v="MME"/>
    <x v="0"/>
    <n v="50030486"/>
    <s v="FURADEIRA BOSCH 3"/>
    <n v="1"/>
    <s v="REALIZADO"/>
    <s v="GEOVANE"/>
    <x v="45"/>
    <x v="0"/>
    <x v="0"/>
  </r>
  <r>
    <n v="77594"/>
    <x v="23"/>
    <s v="MME"/>
    <x v="0"/>
    <n v="50039236"/>
    <s v="FURADEIRA BOSCH 4"/>
    <n v="1"/>
    <s v="REALIZADO"/>
    <s v="GEOVANE"/>
    <x v="45"/>
    <x v="2"/>
    <x v="0"/>
  </r>
  <r>
    <n v="77594"/>
    <x v="23"/>
    <s v="MME"/>
    <x v="0"/>
    <n v="50039236"/>
    <s v="FURADEIRA BOSCH 4"/>
    <n v="1"/>
    <s v="REALIZADO"/>
    <s v="GEOVANE"/>
    <x v="45"/>
    <x v="0"/>
    <x v="0"/>
  </r>
  <r>
    <n v="72715"/>
    <x v="26"/>
    <s v="MPR"/>
    <x v="0"/>
    <n v="50039236"/>
    <s v="FURADEIRA BOSCH 4"/>
    <n v="1"/>
    <s v="REALIZADO"/>
    <s v="MATHEUS"/>
    <x v="45"/>
    <x v="2"/>
    <x v="0"/>
  </r>
  <r>
    <n v="72715"/>
    <x v="26"/>
    <s v="MPR"/>
    <x v="0"/>
    <n v="50039236"/>
    <s v="FURADEIRA BOSCH 4"/>
    <n v="1"/>
    <s v="REALIZADO"/>
    <s v="BRUNA"/>
    <x v="45"/>
    <x v="2"/>
    <x v="0"/>
  </r>
  <r>
    <n v="74611"/>
    <x v="2"/>
    <s v="MPR"/>
    <x v="0"/>
    <n v="50043471"/>
    <s v="FURADEIRA BOSCH 7"/>
    <n v="1"/>
    <s v="REALIZADO"/>
    <s v="GEOVANE"/>
    <x v="45"/>
    <x v="2"/>
    <x v="0"/>
  </r>
  <r>
    <n v="72713"/>
    <x v="68"/>
    <s v="MPR"/>
    <x v="0"/>
    <n v="50043471"/>
    <s v="FURADEIRA BOSCH 7"/>
    <n v="1"/>
    <s v="REALIZADO"/>
    <s v="BRUNA"/>
    <x v="45"/>
    <x v="0"/>
    <x v="0"/>
  </r>
  <r>
    <n v="72713"/>
    <x v="68"/>
    <s v="MPR"/>
    <x v="0"/>
    <n v="50043471"/>
    <s v="FURADEIRA BOSCH 7"/>
    <n v="1"/>
    <s v="REALIZADO"/>
    <s v="MATHEUS"/>
    <x v="45"/>
    <x v="2"/>
    <x v="0"/>
  </r>
  <r>
    <n v="72713"/>
    <x v="68"/>
    <s v="MPR"/>
    <x v="0"/>
    <n v="50043471"/>
    <s v="FURADEIRA BOSCH 7"/>
    <n v="1"/>
    <s v="NÃO REALIZADO"/>
    <s v="MATHEUS"/>
    <x v="45"/>
    <x v="2"/>
    <x v="0"/>
  </r>
  <r>
    <n v="78886"/>
    <x v="51"/>
    <s v="MME"/>
    <x v="0"/>
    <n v="50003297"/>
    <s v="FURADEIRA DE IMPACTO MAKITA 02"/>
    <n v="1"/>
    <s v="REALIZADO"/>
    <s v="MATHEUS"/>
    <x v="45"/>
    <x v="2"/>
    <x v="0"/>
  </r>
  <r>
    <n v="70052"/>
    <x v="6"/>
    <s v="MEE"/>
    <x v="0"/>
    <n v="50044839"/>
    <s v="HEADSET H390 LOGITECH"/>
    <n v="1"/>
    <s v="REALIZADO"/>
    <s v="GEOVANE"/>
    <x v="45"/>
    <x v="2"/>
    <x v="0"/>
  </r>
  <r>
    <n v="77594"/>
    <x v="23"/>
    <s v="MME"/>
    <x v="0"/>
    <n v="50022878"/>
    <s v="KIT MONTAGEM ROLAMENTO SKF"/>
    <n v="1"/>
    <s v="REALIZADO"/>
    <s v="MATHEUS"/>
    <x v="45"/>
    <x v="2"/>
    <x v="0"/>
  </r>
  <r>
    <n v="77594"/>
    <x v="23"/>
    <s v="MME"/>
    <x v="0"/>
    <n v="50022878"/>
    <s v="KIT MONTAGEM ROLAMENTO SKF"/>
    <n v="1"/>
    <s v="REALIZADO"/>
    <s v="BRUNA"/>
    <x v="45"/>
    <x v="0"/>
    <x v="0"/>
  </r>
  <r>
    <n v="66830"/>
    <x v="3"/>
    <s v="MPR"/>
    <x v="0"/>
    <n v="50038956"/>
    <s v="LIXADEIRA BOSCH 1"/>
    <n v="1"/>
    <s v="REALIZADO"/>
    <s v="GEOVANE"/>
    <x v="45"/>
    <x v="2"/>
    <x v="0"/>
  </r>
  <r>
    <n v="66830"/>
    <x v="3"/>
    <s v="MPR"/>
    <x v="0"/>
    <n v="50038956"/>
    <s v="LIXADEIRA BOSCH 1"/>
    <n v="1"/>
    <s v="REALIZADO"/>
    <s v="GEOVANE"/>
    <x v="45"/>
    <x v="2"/>
    <x v="0"/>
  </r>
  <r>
    <n v="63713"/>
    <x v="67"/>
    <s v="MME"/>
    <x v="0"/>
    <n v="50037902"/>
    <s v="LIXADEIRA BOSCH 3"/>
    <n v="1"/>
    <s v="REALIZADO"/>
    <s v="MATHEUS"/>
    <x v="45"/>
    <x v="2"/>
    <x v="0"/>
  </r>
  <r>
    <n v="74611"/>
    <x v="2"/>
    <s v="MPR"/>
    <x v="0"/>
    <n v="50038841"/>
    <s v="LIXADEIRA BOSCH 4"/>
    <n v="1"/>
    <s v="REALIZADO"/>
    <s v="MATHEUS"/>
    <x v="45"/>
    <x v="0"/>
    <x v="0"/>
  </r>
  <r>
    <n v="76633"/>
    <x v="62"/>
    <s v="MMG"/>
    <x v="2"/>
    <n v="50038841"/>
    <s v="LIXADEIRA BOSCH 4"/>
    <n v="1"/>
    <s v="REALIZADO"/>
    <s v="BRUNA"/>
    <x v="45"/>
    <x v="2"/>
    <x v="0"/>
  </r>
  <r>
    <n v="76633"/>
    <x v="62"/>
    <s v="MMG"/>
    <x v="2"/>
    <n v="50038841"/>
    <s v="LIXADEIRA BOSCH 4"/>
    <n v="1"/>
    <s v="REALIZADO"/>
    <s v="BRUNA"/>
    <x v="45"/>
    <x v="2"/>
    <x v="0"/>
  </r>
  <r>
    <n v="49751"/>
    <x v="81"/>
    <s v="MEE"/>
    <x v="4"/>
    <n v="50038517"/>
    <s v="LIXADEIRA BOSCH 5"/>
    <n v="1"/>
    <s v="REALIZADO"/>
    <s v="GEOVANE"/>
    <x v="45"/>
    <x v="0"/>
    <x v="0"/>
  </r>
  <r>
    <n v="72715"/>
    <x v="26"/>
    <s v="MPR"/>
    <x v="0"/>
    <n v="50038517"/>
    <s v="LIXADEIRA BOSCH 5"/>
    <n v="1"/>
    <s v="REALIZADO"/>
    <s v="MATHEUS"/>
    <x v="45"/>
    <x v="2"/>
    <x v="0"/>
  </r>
  <r>
    <n v="72715"/>
    <x v="26"/>
    <s v="MPR"/>
    <x v="0"/>
    <n v="50038517"/>
    <s v="LIXADEIRA BOSCH 5"/>
    <n v="1"/>
    <s v="REALIZADO"/>
    <s v="BRUNA"/>
    <x v="45"/>
    <x v="2"/>
    <x v="0"/>
  </r>
  <r>
    <n v="63713"/>
    <x v="67"/>
    <s v="MME"/>
    <x v="0"/>
    <n v="50039065"/>
    <s v="MAQUINA SOLDA TIG"/>
    <n v="1"/>
    <s v="REALIZADO"/>
    <s v="MATHEUS"/>
    <x v="45"/>
    <x v="0"/>
    <x v="0"/>
  </r>
  <r>
    <n v="66830"/>
    <x v="3"/>
    <s v="MPR"/>
    <x v="0"/>
    <n v="50026357"/>
    <s v="MARTELETE VONDER"/>
    <n v="1"/>
    <s v="REALIZADO"/>
    <s v="GEOVANE"/>
    <x v="45"/>
    <x v="2"/>
    <x v="0"/>
  </r>
  <r>
    <n v="66830"/>
    <x v="3"/>
    <s v="MPR"/>
    <x v="0"/>
    <n v="50026357"/>
    <s v="MARTELETE VONDER"/>
    <n v="1"/>
    <s v="REALIZADO"/>
    <s v="GEOVANE"/>
    <x v="45"/>
    <x v="2"/>
    <x v="0"/>
  </r>
  <r>
    <n v="72707"/>
    <x v="59"/>
    <s v="MPR"/>
    <x v="0"/>
    <n v="50041195"/>
    <s v="PARAFUSADEIRA FUR DE IMPACTO BRUSHLESS"/>
    <n v="1"/>
    <s v="REALIZADO"/>
    <s v="MATHEUS"/>
    <x v="45"/>
    <x v="2"/>
    <x v="0"/>
  </r>
  <r>
    <n v="77471"/>
    <x v="35"/>
    <s v="MEE"/>
    <x v="0"/>
    <n v="50043917"/>
    <s v="PARAFUSADEIRA FURADEIRA BOSCH"/>
    <n v="1"/>
    <s v="REALIZADO"/>
    <s v="BRUNA"/>
    <x v="45"/>
    <x v="0"/>
    <x v="0"/>
  </r>
  <r>
    <n v="77313"/>
    <x v="17"/>
    <s v="MPR"/>
    <x v="0"/>
    <n v="50020622"/>
    <s v="REBITADOR MANUAL"/>
    <n v="1"/>
    <s v="REALIZADO"/>
    <s v="BRUNA"/>
    <x v="45"/>
    <x v="2"/>
    <x v="0"/>
  </r>
  <r>
    <n v="77313"/>
    <x v="17"/>
    <s v="MPR"/>
    <x v="0"/>
    <n v="50020622"/>
    <s v="REBITADOR MANUAL"/>
    <n v="1"/>
    <s v="REALIZADO"/>
    <s v="BRUNA"/>
    <x v="45"/>
    <x v="0"/>
    <x v="0"/>
  </r>
  <r>
    <n v="61264"/>
    <x v="10"/>
    <s v="MMG"/>
    <x v="0"/>
    <n v="50043150"/>
    <s v="TACOMETRO"/>
    <n v="1"/>
    <s v="REALIZADO"/>
    <s v="GEOVANE"/>
    <x v="45"/>
    <x v="2"/>
    <x v="0"/>
  </r>
  <r>
    <n v="61264"/>
    <x v="10"/>
    <s v="MMG"/>
    <x v="0"/>
    <n v="50043150"/>
    <s v="TACOMETRO"/>
    <n v="1"/>
    <s v="REALIZADO"/>
    <s v="GEOVANE"/>
    <x v="45"/>
    <x v="2"/>
    <x v="0"/>
  </r>
  <r>
    <n v="75361"/>
    <x v="86"/>
    <s v="MEE"/>
    <x v="0"/>
    <n v="50040691"/>
    <s v="TESTADOR DE CABOS REDE E CABOS COAXIAL"/>
    <n v="1"/>
    <s v="REALIZADO"/>
    <s v="BRUNA"/>
    <x v="45"/>
    <x v="0"/>
    <x v="0"/>
  </r>
  <r>
    <n v="70105"/>
    <x v="25"/>
    <s v="MMG"/>
    <x v="3"/>
    <n v="50043151"/>
    <s v="VAZADOR 12 PÇS"/>
    <n v="1"/>
    <s v="REALIZADO"/>
    <s v="BRUNA"/>
    <x v="45"/>
    <x v="2"/>
    <x v="0"/>
  </r>
  <r>
    <n v="70105"/>
    <x v="25"/>
    <s v="MMG"/>
    <x v="3"/>
    <n v="50043151"/>
    <s v="VAZADOR 12 PÇS"/>
    <n v="1"/>
    <s v="REALIZADO"/>
    <s v="MATHEUS"/>
    <x v="45"/>
    <x v="0"/>
    <x v="0"/>
  </r>
  <r>
    <n v="61096"/>
    <x v="64"/>
    <s v="MME"/>
    <x v="0"/>
    <n v="50010031"/>
    <s v=" LIXADEIRA BOSCH 6"/>
    <n v="1"/>
    <s v="REALIZADO"/>
    <s v="AGATHA"/>
    <x v="46"/>
    <x v="2"/>
    <x v="0"/>
  </r>
  <r>
    <n v="61096"/>
    <x v="64"/>
    <s v="MME"/>
    <x v="0"/>
    <n v="50010031"/>
    <s v=" LIXADEIRA BOSCH 6"/>
    <n v="1"/>
    <s v="REALIZADO"/>
    <s v="MATHEUS"/>
    <x v="46"/>
    <x v="2"/>
    <x v="0"/>
  </r>
  <r>
    <n v="72713"/>
    <x v="68"/>
    <s v="MPR"/>
    <x v="0"/>
    <n v="50038854"/>
    <s v="ARCO DE SERRA"/>
    <n v="1"/>
    <s v="REALIZADO"/>
    <s v="AGATHA"/>
    <x v="46"/>
    <x v="0"/>
    <x v="0"/>
  </r>
  <r>
    <n v="78675"/>
    <x v="12"/>
    <s v="MME"/>
    <x v="2"/>
    <n v="50041939"/>
    <s v="CHAVE PARA TODAS AS BITOLAS"/>
    <n v="1"/>
    <s v="REALIZADO"/>
    <s v="MATHEUS"/>
    <x v="46"/>
    <x v="2"/>
    <x v="0"/>
  </r>
  <r>
    <n v="78675"/>
    <x v="12"/>
    <s v="MME"/>
    <x v="2"/>
    <n v="50041939"/>
    <s v="CHAVE PARA TODAS AS BITOLAS"/>
    <n v="1"/>
    <s v="REALIZADO"/>
    <s v="MATHEUS"/>
    <x v="46"/>
    <x v="2"/>
    <x v="0"/>
  </r>
  <r>
    <n v="65472"/>
    <x v="48"/>
    <s v="MMG"/>
    <x v="0"/>
    <n v="50037905"/>
    <s v="ESTETOSCÓPIO SKF"/>
    <n v="1"/>
    <s v="REALIZADO"/>
    <s v="AGATHA"/>
    <x v="46"/>
    <x v="0"/>
    <x v="0"/>
  </r>
  <r>
    <n v="60763"/>
    <x v="57"/>
    <s v="MMG"/>
    <x v="2"/>
    <n v="50037905"/>
    <s v="ESTETOSCÓPIO SKF"/>
    <n v="1"/>
    <s v="REALIZADO"/>
    <s v="BRUNA"/>
    <x v="46"/>
    <x v="2"/>
    <x v="0"/>
  </r>
  <r>
    <n v="60763"/>
    <x v="57"/>
    <s v="MMG"/>
    <x v="2"/>
    <n v="50037905"/>
    <s v="ESTETOSCÓPIO SKF"/>
    <n v="1"/>
    <s v="REALIZADO"/>
    <s v="BRUNA"/>
    <x v="46"/>
    <x v="0"/>
    <x v="0"/>
  </r>
  <r>
    <n v="77521"/>
    <x v="5"/>
    <s v="MME"/>
    <x v="0"/>
    <n v="50039236"/>
    <s v="FURADEIRA BOSCH 4"/>
    <n v="1"/>
    <s v="REALIZADO"/>
    <s v="MARCIA"/>
    <x v="46"/>
    <x v="2"/>
    <x v="0"/>
  </r>
  <r>
    <n v="77521"/>
    <x v="5"/>
    <s v="MME"/>
    <x v="0"/>
    <n v="50039236"/>
    <s v="FURADEIRA BOSCH 4"/>
    <n v="1"/>
    <s v="REALIZADO"/>
    <s v="MARCIA"/>
    <x v="46"/>
    <x v="0"/>
    <x v="0"/>
  </r>
  <r>
    <n v="77594"/>
    <x v="23"/>
    <s v="MME"/>
    <x v="0"/>
    <n v="50003297"/>
    <s v="FURADEIRA DE IMPACTO MAKITA 02"/>
    <n v="1"/>
    <s v="REALIZADO"/>
    <s v="MARCIA"/>
    <x v="46"/>
    <x v="2"/>
    <x v="0"/>
  </r>
  <r>
    <n v="77594"/>
    <x v="23"/>
    <s v="MME"/>
    <x v="0"/>
    <n v="50003297"/>
    <s v="FURADEIRA DE IMPACTO MAKITA 02"/>
    <n v="1"/>
    <s v="REALIZADO"/>
    <s v="AGATHA"/>
    <x v="46"/>
    <x v="0"/>
    <x v="0"/>
  </r>
  <r>
    <n v="77594"/>
    <x v="23"/>
    <s v="MME"/>
    <x v="0"/>
    <n v="50003297"/>
    <s v="FURADEIRA DE IMPACTO MAKITA 02"/>
    <n v="1"/>
    <s v="REALIZADO"/>
    <s v="AGATHA"/>
    <x v="46"/>
    <x v="2"/>
    <x v="0"/>
  </r>
  <r>
    <n v="77594"/>
    <x v="23"/>
    <s v="MME"/>
    <x v="0"/>
    <n v="50003297"/>
    <s v="FURADEIRA DE IMPACTO MAKITA 02"/>
    <n v="1"/>
    <s v="REALIZADO"/>
    <s v="GEOVANE"/>
    <x v="46"/>
    <x v="0"/>
    <x v="0"/>
  </r>
  <r>
    <n v="65472"/>
    <x v="48"/>
    <s v="MMG"/>
    <x v="0"/>
    <n v="50038956"/>
    <s v="LIXADEIRA BOSCH 1"/>
    <n v="1"/>
    <s v="REALIZADO"/>
    <s v="MARCIA"/>
    <x v="46"/>
    <x v="2"/>
    <x v="0"/>
  </r>
  <r>
    <n v="65472"/>
    <x v="48"/>
    <s v="MMG"/>
    <x v="0"/>
    <n v="50038956"/>
    <s v="LIXADEIRA BOSCH 1"/>
    <n v="1"/>
    <s v="REALIZADO"/>
    <s v="MARCIA"/>
    <x v="46"/>
    <x v="0"/>
    <x v="0"/>
  </r>
  <r>
    <n v="77521"/>
    <x v="5"/>
    <s v="MME"/>
    <x v="0"/>
    <n v="50038956"/>
    <s v="LIXADEIRA BOSCH 1"/>
    <n v="1"/>
    <s v="REALIZADO"/>
    <s v="MARCIA"/>
    <x v="46"/>
    <x v="2"/>
    <x v="0"/>
  </r>
  <r>
    <n v="77521"/>
    <x v="5"/>
    <s v="MME"/>
    <x v="0"/>
    <n v="50038956"/>
    <s v="LIXADEIRA BOSCH 1"/>
    <n v="1"/>
    <s v="REALIZADO"/>
    <s v="MARCIA"/>
    <x v="46"/>
    <x v="2"/>
    <x v="0"/>
  </r>
  <r>
    <n v="63713"/>
    <x v="67"/>
    <s v="MME"/>
    <x v="0"/>
    <n v="50038956"/>
    <s v="LIXADEIRA BOSCH 1"/>
    <n v="1"/>
    <s v="REALIZADO"/>
    <s v="AGATHA"/>
    <x v="46"/>
    <x v="2"/>
    <x v="0"/>
  </r>
  <r>
    <n v="63713"/>
    <x v="67"/>
    <s v="MME"/>
    <x v="0"/>
    <n v="50038956"/>
    <s v="LIXADEIRA BOSCH 1"/>
    <n v="1"/>
    <s v="REALIZADO"/>
    <s v="AGATHA"/>
    <x v="46"/>
    <x v="0"/>
    <x v="0"/>
  </r>
  <r>
    <n v="69510"/>
    <x v="7"/>
    <s v="MEE"/>
    <x v="0"/>
    <n v="50037902"/>
    <s v="LIXADEIRA BOSCH 3"/>
    <n v="1"/>
    <s v="REALIZADO"/>
    <s v="MARCIA"/>
    <x v="46"/>
    <x v="2"/>
    <x v="0"/>
  </r>
  <r>
    <n v="69510"/>
    <x v="7"/>
    <s v="MEE"/>
    <x v="0"/>
    <n v="50037902"/>
    <s v="LIXADEIRA BOSCH 3"/>
    <n v="1"/>
    <s v="REALIZADO"/>
    <s v="BRUNA"/>
    <x v="46"/>
    <x v="0"/>
    <x v="0"/>
  </r>
  <r>
    <n v="63713"/>
    <x v="67"/>
    <s v="MME"/>
    <x v="0"/>
    <n v="50037902"/>
    <s v="LIXADEIRA BOSCH 3"/>
    <n v="1"/>
    <s v="REALIZADO"/>
    <s v="BRUNA"/>
    <x v="46"/>
    <x v="2"/>
    <x v="0"/>
  </r>
  <r>
    <n v="62471"/>
    <x v="9"/>
    <s v="MME"/>
    <x v="0"/>
    <n v="50038841"/>
    <s v="LIXADEIRA BOSCH 4"/>
    <n v="1"/>
    <s v="REALIZADO"/>
    <s v="BRUNA"/>
    <x v="46"/>
    <x v="2"/>
    <x v="0"/>
  </r>
  <r>
    <n v="66789"/>
    <x v="78"/>
    <s v="MME"/>
    <x v="2"/>
    <n v="50038517"/>
    <s v="LIXADEIRA BOSCH 5"/>
    <n v="1"/>
    <s v="REALIZADO"/>
    <s v="BRUNA"/>
    <x v="46"/>
    <x v="0"/>
    <x v="0"/>
  </r>
  <r>
    <n v="65472"/>
    <x v="48"/>
    <s v="MMG"/>
    <x v="0"/>
    <n v="50039065"/>
    <s v="MAQUINA SOLDA TIG"/>
    <m/>
    <s v="REALIZADO"/>
    <s v="MARCIA"/>
    <x v="46"/>
    <x v="2"/>
    <x v="0"/>
  </r>
  <r>
    <n v="65472"/>
    <x v="48"/>
    <s v="MMG"/>
    <x v="0"/>
    <n v="50039065"/>
    <s v="MAQUINA SOLDA TIG"/>
    <m/>
    <s v="REALIZADO"/>
    <s v="MARCIA"/>
    <x v="46"/>
    <x v="2"/>
    <x v="0"/>
  </r>
  <r>
    <n v="73336"/>
    <x v="29"/>
    <s v="MMG"/>
    <x v="0"/>
    <n v="50039065"/>
    <s v="MAQUINA SOLDA TIG"/>
    <n v="1"/>
    <s v="REALIZADO"/>
    <s v="MARCIA"/>
    <x v="46"/>
    <x v="0"/>
    <x v="0"/>
  </r>
  <r>
    <n v="73336"/>
    <x v="29"/>
    <s v="MMG"/>
    <x v="0"/>
    <n v="50039065"/>
    <s v="MAQUINA SOLDA TIG"/>
    <n v="1"/>
    <s v="REALIZADO"/>
    <s v="MARCIA"/>
    <x v="46"/>
    <x v="2"/>
    <x v="0"/>
  </r>
  <r>
    <n v="61096"/>
    <x v="64"/>
    <s v="MME"/>
    <x v="0"/>
    <n v="50039065"/>
    <s v="MAQUINA SOLDA TIG"/>
    <n v="1"/>
    <s v="REALIZADO"/>
    <s v="MATHEUS"/>
    <x v="46"/>
    <x v="2"/>
    <x v="0"/>
  </r>
  <r>
    <n v="64074"/>
    <x v="75"/>
    <s v="MPR"/>
    <x v="0"/>
    <n v="50026357"/>
    <s v="MARTELETE VONDER"/>
    <n v="1"/>
    <s v="REALIZADO"/>
    <s v="BRUNA"/>
    <x v="46"/>
    <x v="0"/>
    <x v="0"/>
  </r>
  <r>
    <n v="72707"/>
    <x v="59"/>
    <s v="MPR"/>
    <x v="0"/>
    <n v="50041195"/>
    <s v="PARAFUSADEIRA FUR DE IMPACTO BRUSHLESS"/>
    <n v="1"/>
    <s v="REALIZADO"/>
    <s v="MATHEUS"/>
    <x v="46"/>
    <x v="2"/>
    <x v="0"/>
  </r>
  <r>
    <n v="72707"/>
    <x v="59"/>
    <s v="MPR"/>
    <x v="0"/>
    <n v="50041195"/>
    <s v="PARAFUSADEIRA FUR DE IMPACTO BRUSHLESS"/>
    <n v="1"/>
    <s v="REALIZADO"/>
    <s v="MATHEUS"/>
    <x v="46"/>
    <x v="2"/>
    <x v="0"/>
  </r>
  <r>
    <n v="77708"/>
    <x v="69"/>
    <s v="MPR"/>
    <x v="0"/>
    <n v="50043917"/>
    <s v="PARAFUSADEIRA FURADEIRA BOSCH"/>
    <n v="1"/>
    <s v="REALIZADO"/>
    <s v="AGATHA"/>
    <x v="46"/>
    <x v="0"/>
    <x v="0"/>
  </r>
  <r>
    <n v="69510"/>
    <x v="7"/>
    <s v="MEE"/>
    <x v="0"/>
    <n v="50043917"/>
    <s v="PARAFUSADEIRA FURADEIRA BOSCH"/>
    <n v="1"/>
    <s v="REALIZADO"/>
    <s v="BRUNA"/>
    <x v="46"/>
    <x v="2"/>
    <x v="0"/>
  </r>
  <r>
    <n v="69510"/>
    <x v="7"/>
    <s v="MEE"/>
    <x v="0"/>
    <n v="50043917"/>
    <s v="PARAFUSADEIRA FURADEIRA BOSCH"/>
    <n v="1"/>
    <s v="REALIZADO"/>
    <s v="MATHEUS"/>
    <x v="46"/>
    <x v="0"/>
    <x v="0"/>
  </r>
  <r>
    <n v="69510"/>
    <x v="7"/>
    <s v="MEE"/>
    <x v="0"/>
    <n v="50020622"/>
    <s v="REBITADOR MANUAL"/>
    <n v="1"/>
    <s v="REALIZADO"/>
    <s v="MARCIA"/>
    <x v="46"/>
    <x v="2"/>
    <x v="0"/>
  </r>
  <r>
    <n v="69510"/>
    <x v="7"/>
    <s v="MEE"/>
    <x v="0"/>
    <n v="50020622"/>
    <s v="REBITADOR MANUAL"/>
    <n v="1"/>
    <s v="REALIZADO"/>
    <s v="AGATHA"/>
    <x v="46"/>
    <x v="0"/>
    <x v="0"/>
  </r>
  <r>
    <n v="68760"/>
    <x v="15"/>
    <s v="MMG"/>
    <x v="0"/>
    <n v="50037933"/>
    <s v="TERMOMETRO"/>
    <n v="1"/>
    <s v="REALIZADO"/>
    <s v="AGATHA"/>
    <x v="46"/>
    <x v="2"/>
    <x v="0"/>
  </r>
  <r>
    <n v="68760"/>
    <x v="15"/>
    <s v="MMG"/>
    <x v="0"/>
    <n v="50037933"/>
    <s v="TERMOMETRO"/>
    <n v="1"/>
    <s v="REALIZADO"/>
    <s v="GEOVANE"/>
    <x v="46"/>
    <x v="2"/>
    <x v="0"/>
  </r>
  <r>
    <n v="77594"/>
    <x v="23"/>
    <s v="MME"/>
    <x v="0"/>
    <n v="50010031"/>
    <s v=" LIXADEIRA BOSCH 6"/>
    <n v="1"/>
    <s v="REALIZADO"/>
    <s v="MATHEUS"/>
    <x v="47"/>
    <x v="2"/>
    <x v="0"/>
  </r>
  <r>
    <n v="79177"/>
    <x v="28"/>
    <s v="MMG"/>
    <x v="0"/>
    <n v="50038854"/>
    <s v="ARCO DE SERRA"/>
    <n v="1"/>
    <s v="REALIZADO"/>
    <s v="BRUNA"/>
    <x v="47"/>
    <x v="0"/>
    <x v="0"/>
  </r>
  <r>
    <n v="64074"/>
    <x v="75"/>
    <s v="MPR"/>
    <x v="0"/>
    <n v="50036086"/>
    <s v="CHAVE GRIFO 18"/>
    <n v="1"/>
    <s v="REALIZADO"/>
    <s v="AGATHA"/>
    <x v="47"/>
    <x v="2"/>
    <x v="0"/>
  </r>
  <r>
    <n v="64074"/>
    <x v="75"/>
    <s v="MPR"/>
    <x v="0"/>
    <n v="50036086"/>
    <s v="CHAVE GRIFO 18"/>
    <n v="1"/>
    <s v="REALIZADO"/>
    <s v="MATHEUS"/>
    <x v="47"/>
    <x v="0"/>
    <x v="0"/>
  </r>
  <r>
    <n v="63713"/>
    <x v="67"/>
    <s v="MME"/>
    <x v="0"/>
    <n v="50003173"/>
    <s v="CHAVE GRIFO 24"/>
    <n v="1"/>
    <s v="REALIZADO"/>
    <s v="AGATHA"/>
    <x v="47"/>
    <x v="2"/>
    <x v="0"/>
  </r>
  <r>
    <n v="63713"/>
    <x v="67"/>
    <s v="MME"/>
    <x v="0"/>
    <n v="50003173"/>
    <s v="CHAVE GRIFO 24"/>
    <n v="1"/>
    <s v="REALIZADO"/>
    <s v="AGATHA"/>
    <x v="47"/>
    <x v="0"/>
    <x v="0"/>
  </r>
  <r>
    <n v="79177"/>
    <x v="28"/>
    <s v="MMG"/>
    <x v="0"/>
    <n v="50039718"/>
    <s v="ESCALA DE ACO 1000MM VONDER "/>
    <n v="1"/>
    <s v="REALIZADO"/>
    <s v="AGATHA"/>
    <x v="47"/>
    <x v="2"/>
    <x v="0"/>
  </r>
  <r>
    <n v="79177"/>
    <x v="28"/>
    <s v="MMG"/>
    <x v="0"/>
    <n v="50039718"/>
    <s v="ESCALA DE ACO 1000MM VONDER "/>
    <n v="1"/>
    <s v="REALIZADO"/>
    <s v="BRUNA"/>
    <x v="47"/>
    <x v="0"/>
    <x v="0"/>
  </r>
  <r>
    <n v="65472"/>
    <x v="48"/>
    <s v="MMG"/>
    <x v="0"/>
    <n v="50037905"/>
    <s v="ESTETOSCÓPIO SKF"/>
    <n v="1"/>
    <s v="REALIZADO"/>
    <s v="MARCIA"/>
    <x v="47"/>
    <x v="2"/>
    <x v="0"/>
  </r>
  <r>
    <n v="65472"/>
    <x v="48"/>
    <s v="MMG"/>
    <x v="0"/>
    <n v="50037905"/>
    <s v="ESTETOSCÓPIO SKF"/>
    <n v="1"/>
    <s v="REALIZADO"/>
    <s v="MARCIA"/>
    <x v="47"/>
    <x v="0"/>
    <x v="0"/>
  </r>
  <r>
    <n v="77526"/>
    <x v="37"/>
    <s v="MME"/>
    <x v="0"/>
    <n v="50039236"/>
    <s v="FURADEIRA BOSCH 4"/>
    <n v="1"/>
    <s v="REALIZADO"/>
    <s v="AGATHA"/>
    <x v="47"/>
    <x v="2"/>
    <x v="0"/>
  </r>
  <r>
    <n v="77526"/>
    <x v="37"/>
    <s v="MME"/>
    <x v="0"/>
    <n v="50039236"/>
    <s v="FURADEIRA BOSCH 4"/>
    <n v="1"/>
    <s v="REALIZADO"/>
    <s v="AGATHA"/>
    <x v="47"/>
    <x v="0"/>
    <x v="0"/>
  </r>
  <r>
    <n v="79177"/>
    <x v="28"/>
    <s v="MMG"/>
    <x v="0"/>
    <n v="50043471"/>
    <s v="FURADEIRA BOSCH 7"/>
    <n v="1"/>
    <s v="REALIZADO"/>
    <s v="AGATHA"/>
    <x v="47"/>
    <x v="2"/>
    <x v="0"/>
  </r>
  <r>
    <n v="79177"/>
    <x v="28"/>
    <s v="MMG"/>
    <x v="0"/>
    <n v="50043471"/>
    <s v="FURADEIRA BOSCH 7"/>
    <n v="1"/>
    <s v="REALIZADO"/>
    <s v="MATHEUS"/>
    <x v="47"/>
    <x v="0"/>
    <x v="0"/>
  </r>
  <r>
    <n v="66790"/>
    <x v="60"/>
    <s v="MMG"/>
    <x v="3"/>
    <n v="50003297"/>
    <s v="FURADEIRA DE IMPACTO MAKITA 02"/>
    <n v="1"/>
    <s v="REALIZADO"/>
    <s v="MARCIA"/>
    <x v="47"/>
    <x v="2"/>
    <x v="0"/>
  </r>
  <r>
    <n v="66790"/>
    <x v="60"/>
    <s v="MMG"/>
    <x v="3"/>
    <n v="50003297"/>
    <s v="FURADEIRA DE IMPACTO MAKITA 02"/>
    <n v="1"/>
    <s v="REALIZADO"/>
    <s v="AGATHA"/>
    <x v="47"/>
    <x v="2"/>
    <x v="0"/>
  </r>
  <r>
    <n v="61761"/>
    <x v="66"/>
    <s v="MEE"/>
    <x v="3"/>
    <n v="50003297"/>
    <s v="FURADEIRA DE IMPACTO MAKITA 02"/>
    <n v="1"/>
    <s v="REALIZADO"/>
    <s v="AGATHA"/>
    <x v="47"/>
    <x v="0"/>
    <x v="0"/>
  </r>
  <r>
    <n v="77526"/>
    <x v="37"/>
    <s v="MME"/>
    <x v="0"/>
    <n v="50029865"/>
    <s v="JOGO DE BROCAS ACO RAPIDO"/>
    <n v="1"/>
    <s v="REALIZADO"/>
    <s v="AGATHA"/>
    <x v="47"/>
    <x v="2"/>
    <x v="0"/>
  </r>
  <r>
    <n v="61761"/>
    <x v="66"/>
    <s v="MEE"/>
    <x v="3"/>
    <n v="50029865"/>
    <s v="JOGO DE BROCAS ACO RAPIDO"/>
    <n v="1"/>
    <s v="REALIZADO"/>
    <s v="AGATHA"/>
    <x v="47"/>
    <x v="2"/>
    <x v="0"/>
  </r>
  <r>
    <n v="77526"/>
    <x v="37"/>
    <s v="MME"/>
    <x v="0"/>
    <n v="50029865"/>
    <s v="JOGO DE BROCAS ACO RAPIDO"/>
    <n v="1"/>
    <s v="REALIZADO"/>
    <s v="AGATHA"/>
    <x v="47"/>
    <x v="0"/>
    <x v="0"/>
  </r>
  <r>
    <n v="77526"/>
    <x v="37"/>
    <s v="MME"/>
    <x v="0"/>
    <n v="50043320"/>
    <s v="JOGO SERRA COPO 8PÇS"/>
    <n v="1"/>
    <s v="REALIZADO"/>
    <s v="AGATHA"/>
    <x v="47"/>
    <x v="2"/>
    <x v="0"/>
  </r>
  <r>
    <n v="77526"/>
    <x v="37"/>
    <s v="MME"/>
    <x v="0"/>
    <n v="50043320"/>
    <s v="JOGO SERRA COPO 8PÇS"/>
    <n v="1"/>
    <s v="REALIZADO"/>
    <s v="AGATHA"/>
    <x v="47"/>
    <x v="0"/>
    <x v="0"/>
  </r>
  <r>
    <n v="63713"/>
    <x v="67"/>
    <s v="MME"/>
    <x v="0"/>
    <n v="50022878"/>
    <s v="KIT MONTAGEM ROLAMENTO SKF"/>
    <n v="1"/>
    <s v="REALIZADO"/>
    <s v="AGATHA"/>
    <x v="47"/>
    <x v="2"/>
    <x v="0"/>
  </r>
  <r>
    <n v="63713"/>
    <x v="67"/>
    <s v="MME"/>
    <x v="0"/>
    <n v="50022878"/>
    <s v="KIT MONTAGEM ROLAMENTO SKF"/>
    <n v="1"/>
    <s v="REALIZADO"/>
    <s v="BRUNA"/>
    <x v="47"/>
    <x v="0"/>
    <x v="0"/>
  </r>
  <r>
    <n v="77526"/>
    <x v="37"/>
    <s v="MME"/>
    <x v="0"/>
    <n v="50037892"/>
    <s v="LIXADEIRA BOSCH 2"/>
    <n v="1"/>
    <s v="REALIZADO"/>
    <s v="AGATHA"/>
    <x v="47"/>
    <x v="2"/>
    <x v="0"/>
  </r>
  <r>
    <n v="77526"/>
    <x v="37"/>
    <s v="MME"/>
    <x v="0"/>
    <n v="50037892"/>
    <s v="LIXADEIRA BOSCH 2"/>
    <n v="1"/>
    <s v="REALIZADO"/>
    <s v="AGATHA"/>
    <x v="47"/>
    <x v="2"/>
    <x v="0"/>
  </r>
  <r>
    <n v="79177"/>
    <x v="28"/>
    <s v="MMG"/>
    <x v="0"/>
    <n v="50037892"/>
    <s v="LIXADEIRA BOSCH 2"/>
    <n v="1"/>
    <s v="REALIZADO"/>
    <s v="MATHEUS"/>
    <x v="47"/>
    <x v="2"/>
    <x v="0"/>
  </r>
  <r>
    <n v="63713"/>
    <x v="67"/>
    <s v="MME"/>
    <x v="0"/>
    <n v="50037902"/>
    <s v="LIXADEIRA BOSCH 3"/>
    <n v="1"/>
    <s v="REALIZADO"/>
    <s v="MATHEUS"/>
    <x v="47"/>
    <x v="2"/>
    <x v="0"/>
  </r>
  <r>
    <n v="62033"/>
    <x v="22"/>
    <s v="MME"/>
    <x v="3"/>
    <n v="50038517"/>
    <s v="LIXADEIRA BOSCH 5"/>
    <n v="1"/>
    <s v="REALIZADO"/>
    <s v="AGATHA"/>
    <x v="47"/>
    <x v="0"/>
    <x v="0"/>
  </r>
  <r>
    <n v="77594"/>
    <x v="23"/>
    <s v="MME"/>
    <x v="0"/>
    <n v="50039065"/>
    <s v="MAQUINA SOLDA TIG"/>
    <n v="1"/>
    <s v="REALIZADO"/>
    <s v="AGATHA"/>
    <x v="47"/>
    <x v="2"/>
    <x v="0"/>
  </r>
  <r>
    <n v="77594"/>
    <x v="23"/>
    <s v="MME"/>
    <x v="0"/>
    <n v="50039065"/>
    <s v="MAQUINA SOLDA TIG"/>
    <n v="1"/>
    <s v="REALIZADO"/>
    <s v="GEOVANE"/>
    <x v="47"/>
    <x v="0"/>
    <x v="0"/>
  </r>
  <r>
    <n v="66830"/>
    <x v="3"/>
    <s v="MPR"/>
    <x v="0"/>
    <n v="50026357"/>
    <s v="MARTELETE VONDER"/>
    <n v="1"/>
    <s v="REALIZADO"/>
    <s v="MARCIA"/>
    <x v="47"/>
    <x v="2"/>
    <x v="0"/>
  </r>
  <r>
    <n v="66830"/>
    <x v="3"/>
    <s v="MPR"/>
    <x v="0"/>
    <n v="50026357"/>
    <s v="MARTELETE VONDER"/>
    <n v="1"/>
    <s v="REALIZADO"/>
    <s v="MARCIA"/>
    <x v="47"/>
    <x v="0"/>
    <x v="0"/>
  </r>
  <r>
    <n v="66830"/>
    <x v="3"/>
    <s v="MPR"/>
    <x v="0"/>
    <n v="50026357"/>
    <s v="MARTELETE VONDER"/>
    <n v="1"/>
    <s v="REALIZADO"/>
    <s v="AGATHA"/>
    <x v="47"/>
    <x v="2"/>
    <x v="0"/>
  </r>
  <r>
    <n v="66830"/>
    <x v="3"/>
    <s v="MPR"/>
    <x v="0"/>
    <n v="50026357"/>
    <s v="MARTELETE VONDER"/>
    <n v="1"/>
    <s v="REALIZADO"/>
    <s v="BRUNA"/>
    <x v="47"/>
    <x v="2"/>
    <x v="0"/>
  </r>
  <r>
    <n v="65482"/>
    <x v="30"/>
    <s v="MMG"/>
    <x v="0"/>
    <n v="50041131"/>
    <s v="MEDIDOR DE ESPESSURA"/>
    <n v="1"/>
    <s v="REALIZADO"/>
    <s v="MATHEUS"/>
    <x v="47"/>
    <x v="2"/>
    <x v="0"/>
  </r>
  <r>
    <n v="65482"/>
    <x v="30"/>
    <s v="MMG"/>
    <x v="0"/>
    <n v="50041131"/>
    <s v="MEDIDOR DE ESPESSURA"/>
    <n v="1"/>
    <s v="REALIZADO"/>
    <s v="MATHEUS"/>
    <x v="47"/>
    <x v="2"/>
    <x v="0"/>
  </r>
  <r>
    <n v="72715"/>
    <x v="26"/>
    <s v="MPR"/>
    <x v="0"/>
    <n v="50041195"/>
    <s v="PARAFUSADEIRA FUR DE IMPACTO BRUSHLESS"/>
    <n v="1"/>
    <s v="REALIZADO"/>
    <s v="BRUNA"/>
    <x v="47"/>
    <x v="2"/>
    <x v="0"/>
  </r>
  <r>
    <n v="74611"/>
    <x v="2"/>
    <s v="MPR"/>
    <x v="0"/>
    <n v="50043917"/>
    <s v="PARAFUSADEIRA FURADEIRA BOSCH"/>
    <n v="1"/>
    <s v="REALIZADO"/>
    <s v="MATHEUS"/>
    <x v="47"/>
    <x v="0"/>
    <x v="0"/>
  </r>
  <r>
    <n v="74611"/>
    <x v="2"/>
    <s v="MPR"/>
    <x v="0"/>
    <n v="50020622"/>
    <s v="REBITADOR MANUAL"/>
    <n v="1"/>
    <s v="REALIZADO"/>
    <s v="AGATHA"/>
    <x v="47"/>
    <x v="2"/>
    <x v="0"/>
  </r>
  <r>
    <n v="74611"/>
    <x v="2"/>
    <s v="MPR"/>
    <x v="0"/>
    <n v="50020622"/>
    <s v="REBITADOR MANUAL"/>
    <n v="1"/>
    <s v="REALIZADO"/>
    <s v="MATHEUS"/>
    <x v="47"/>
    <x v="2"/>
    <x v="0"/>
  </r>
  <r>
    <n v="61096"/>
    <x v="64"/>
    <s v="MME"/>
    <x v="0"/>
    <n v="50032781"/>
    <s v="SERRA TICO TICO 650W DEWALT "/>
    <n v="1"/>
    <s v="REALIZADO"/>
    <s v="AGATHA"/>
    <x v="47"/>
    <x v="0"/>
    <x v="0"/>
  </r>
  <r>
    <n v="76633"/>
    <x v="62"/>
    <s v="MMG"/>
    <x v="2"/>
    <n v="50010031"/>
    <s v=" LIXADEIRA BOSCH 6"/>
    <n v="1"/>
    <s v="REALIZADO"/>
    <s v="AGATHA"/>
    <x v="48"/>
    <x v="2"/>
    <x v="0"/>
  </r>
  <r>
    <n v="76633"/>
    <x v="62"/>
    <s v="MMG"/>
    <x v="2"/>
    <n v="50010031"/>
    <s v=" LIXADEIRA BOSCH 6"/>
    <n v="1"/>
    <s v="REALIZADO"/>
    <s v="BRUNA"/>
    <x v="48"/>
    <x v="2"/>
    <x v="0"/>
  </r>
  <r>
    <n v="65084"/>
    <x v="83"/>
    <s v="MMG"/>
    <x v="4"/>
    <n v="50036296"/>
    <s v="CHAVE AJUSTÁVEL 45MM"/>
    <n v="1"/>
    <s v="REALIZADO"/>
    <s v="MARINA"/>
    <x v="48"/>
    <x v="0"/>
    <x v="0"/>
  </r>
  <r>
    <n v="65084"/>
    <x v="83"/>
    <s v="MMG"/>
    <x v="4"/>
    <n v="50036296"/>
    <s v="CHAVE AJUSTÁVEL 45MM"/>
    <n v="1"/>
    <s v="REALIZADO"/>
    <s v="MARINA"/>
    <x v="48"/>
    <x v="2"/>
    <x v="0"/>
  </r>
  <r>
    <n v="65084"/>
    <x v="83"/>
    <s v="MMG"/>
    <x v="4"/>
    <n v="50036086"/>
    <s v="CHAVE GRIFO 18"/>
    <n v="1"/>
    <s v="REALIZADO"/>
    <s v="MARINA"/>
    <x v="48"/>
    <x v="0"/>
    <x v="0"/>
  </r>
  <r>
    <n v="65084"/>
    <x v="83"/>
    <s v="MMG"/>
    <x v="4"/>
    <n v="50036806"/>
    <s v="CHAVE GRIFO 18"/>
    <n v="1"/>
    <s v="REALIZADO"/>
    <s v="MARINA"/>
    <x v="48"/>
    <x v="0"/>
    <x v="0"/>
  </r>
  <r>
    <n v="68760"/>
    <x v="15"/>
    <s v="MMG"/>
    <x v="0"/>
    <n v="50037941"/>
    <s v="DUROMETRO"/>
    <n v="1"/>
    <s v="REALIZADO"/>
    <s v="BRUNO"/>
    <x v="48"/>
    <x v="2"/>
    <x v="0"/>
  </r>
  <r>
    <n v="68760"/>
    <x v="15"/>
    <s v="MMG"/>
    <x v="0"/>
    <n v="50037941"/>
    <s v="DUROMETRO"/>
    <n v="1"/>
    <s v="REALIZADO"/>
    <s v="BRUNO"/>
    <x v="48"/>
    <x v="0"/>
    <x v="0"/>
  </r>
  <r>
    <n v="65482"/>
    <x v="30"/>
    <s v="MMG"/>
    <x v="0"/>
    <n v="50043471"/>
    <s v="FURADEIRA BOSCH 7"/>
    <n v="1"/>
    <s v="REALIZADO"/>
    <s v="BRUNA"/>
    <x v="48"/>
    <x v="2"/>
    <x v="0"/>
  </r>
  <r>
    <n v="65482"/>
    <x v="30"/>
    <s v="MMG"/>
    <x v="0"/>
    <n v="50043471"/>
    <s v="FURADEIRA BOSCH 7"/>
    <n v="1"/>
    <s v="REALIZADO"/>
    <s v="BRUNO"/>
    <x v="48"/>
    <x v="0"/>
    <x v="0"/>
  </r>
  <r>
    <n v="79177"/>
    <x v="28"/>
    <s v="MMG"/>
    <x v="0"/>
    <n v="50022878"/>
    <s v="KIT MONTAGEM ROLAMENTO SKF"/>
    <n v="1"/>
    <s v="REALIZADO"/>
    <s v="AGATHA"/>
    <x v="48"/>
    <x v="2"/>
    <x v="0"/>
  </r>
  <r>
    <n v="79177"/>
    <x v="28"/>
    <s v="MMG"/>
    <x v="0"/>
    <n v="50022878"/>
    <s v="KIT MONTAGEM ROLAMENTO SKF"/>
    <n v="1"/>
    <s v="REALIZADO"/>
    <s v="AGATHA"/>
    <x v="48"/>
    <x v="0"/>
    <x v="0"/>
  </r>
  <r>
    <n v="79177"/>
    <x v="28"/>
    <s v="MMG"/>
    <x v="0"/>
    <n v="50022878"/>
    <s v="KIT MONTAGEM ROLAMENTO SKF"/>
    <n v="1"/>
    <s v="REALIZADO"/>
    <s v="BRUNO"/>
    <x v="48"/>
    <x v="2"/>
    <x v="0"/>
  </r>
  <r>
    <n v="79177"/>
    <x v="28"/>
    <s v="MMG"/>
    <x v="0"/>
    <n v="50022878"/>
    <s v="KIT MONTAGEM ROLAMENTO SKF"/>
    <n v="1"/>
    <s v="REALIZADO"/>
    <s v="BRUNO"/>
    <x v="48"/>
    <x v="2"/>
    <x v="0"/>
  </r>
  <r>
    <n v="73878"/>
    <x v="20"/>
    <s v="MMG"/>
    <x v="0"/>
    <n v="50038956"/>
    <s v="LIXADEIRA BOSCH 1"/>
    <n v="1"/>
    <s v="REALIZADO"/>
    <s v="AGATHA"/>
    <x v="48"/>
    <x v="0"/>
    <x v="0"/>
  </r>
  <r>
    <n v="77594"/>
    <x v="23"/>
    <s v="MME"/>
    <x v="0"/>
    <n v="50038956"/>
    <s v="LIXADEIRA BOSCH 1"/>
    <n v="1"/>
    <s v="REALIZADO"/>
    <s v="BRUNA"/>
    <x v="48"/>
    <x v="2"/>
    <x v="0"/>
  </r>
  <r>
    <n v="77594"/>
    <x v="23"/>
    <s v="MME"/>
    <x v="0"/>
    <n v="50038956"/>
    <s v="LIXADEIRA BOSCH 1"/>
    <n v="1"/>
    <s v="REALIZADO"/>
    <s v="BRUNA"/>
    <x v="48"/>
    <x v="2"/>
    <x v="0"/>
  </r>
  <r>
    <n v="63713"/>
    <x v="67"/>
    <s v="MME"/>
    <x v="0"/>
    <n v="50037892"/>
    <s v="LIXADEIRA BOSCH 2"/>
    <n v="1"/>
    <s v="REALIZADO"/>
    <s v="AGATHA"/>
    <x v="48"/>
    <x v="0"/>
    <x v="0"/>
  </r>
  <r>
    <n v="78678"/>
    <x v="0"/>
    <s v="MME"/>
    <x v="0"/>
    <n v="50037902"/>
    <s v="LIXADEIRA BOSCH 3"/>
    <n v="1"/>
    <s v="REALIZADO"/>
    <s v="AGATHA"/>
    <x v="48"/>
    <x v="2"/>
    <x v="0"/>
  </r>
  <r>
    <n v="78678"/>
    <x v="0"/>
    <s v="MME"/>
    <x v="0"/>
    <n v="50037902"/>
    <s v="LIXADEIRA BOSCH 3"/>
    <n v="1"/>
    <s v="REALIZADO"/>
    <s v="BRUNA"/>
    <x v="48"/>
    <x v="0"/>
    <x v="0"/>
  </r>
  <r>
    <n v="77526"/>
    <x v="37"/>
    <s v="MME"/>
    <x v="0"/>
    <n v="50038841"/>
    <s v="LIXADEIRA BOSCH 4"/>
    <n v="1"/>
    <s v="REALIZADO"/>
    <s v="BRUNO"/>
    <x v="48"/>
    <x v="2"/>
    <x v="0"/>
  </r>
  <r>
    <n v="77526"/>
    <x v="37"/>
    <s v="MME"/>
    <x v="0"/>
    <n v="50038841"/>
    <s v="LIXADEIRA BOSCH 4"/>
    <n v="1"/>
    <s v="REALIZADO"/>
    <s v="BRUNO"/>
    <x v="48"/>
    <x v="0"/>
    <x v="0"/>
  </r>
  <r>
    <n v="75424"/>
    <x v="39"/>
    <s v="MME"/>
    <x v="2"/>
    <n v="50038841"/>
    <s v="LIXADEIRA BOSCH 4"/>
    <n v="1"/>
    <s v="REALIZADO"/>
    <s v="BRUNO"/>
    <x v="48"/>
    <x v="2"/>
    <x v="1"/>
  </r>
  <r>
    <n v="75424"/>
    <x v="39"/>
    <s v="MME"/>
    <x v="2"/>
    <n v="50038841"/>
    <s v="LIXADEIRA BOSCH 4"/>
    <n v="1"/>
    <s v="REALIZADO"/>
    <s v="BRUNO"/>
    <x v="48"/>
    <x v="2"/>
    <x v="1"/>
  </r>
  <r>
    <n v="79177"/>
    <x v="28"/>
    <s v="MMG"/>
    <x v="0"/>
    <n v="50038517"/>
    <s v="LIXADEIRA BOSCH 5"/>
    <n v="1"/>
    <s v="REALIZADO"/>
    <s v="AGATHA"/>
    <x v="48"/>
    <x v="0"/>
    <x v="0"/>
  </r>
  <r>
    <n v="62896"/>
    <x v="33"/>
    <s v="MEE"/>
    <x v="0"/>
    <n v="50038517"/>
    <s v="LIXADEIRA BOSCH 5"/>
    <n v="1"/>
    <s v="REALIZADO"/>
    <s v="BRUNO"/>
    <x v="48"/>
    <x v="2"/>
    <x v="0"/>
  </r>
  <r>
    <n v="62896"/>
    <x v="33"/>
    <s v="MEE"/>
    <x v="0"/>
    <n v="50038517"/>
    <s v="LIXADEIRA BOSCH 5"/>
    <n v="1"/>
    <s v="REALIZADO"/>
    <s v="BRUNO"/>
    <x v="48"/>
    <x v="2"/>
    <x v="0"/>
  </r>
  <r>
    <n v="65084"/>
    <x v="83"/>
    <s v="MMG"/>
    <x v="4"/>
    <n v="50038517"/>
    <s v="LIXADEIRA BOSCH 5"/>
    <n v="1"/>
    <s v="REALIZADO"/>
    <s v="MARINA"/>
    <x v="48"/>
    <x v="0"/>
    <x v="1"/>
  </r>
  <r>
    <n v="65084"/>
    <x v="83"/>
    <s v="MMG"/>
    <x v="4"/>
    <n v="50038517"/>
    <s v="LIXADEIRA BOSCH 5"/>
    <n v="1"/>
    <s v="REALIZADO"/>
    <s v="MARINA"/>
    <x v="48"/>
    <x v="2"/>
    <x v="0"/>
  </r>
  <r>
    <n v="65131"/>
    <x v="41"/>
    <s v="MMG"/>
    <x v="3"/>
    <n v="50037926"/>
    <s v="MACACO HIDRAULICO AZUL"/>
    <n v="1"/>
    <s v="REALIZADO"/>
    <s v="AGATHA"/>
    <x v="48"/>
    <x v="2"/>
    <x v="0"/>
  </r>
  <r>
    <n v="77313"/>
    <x v="17"/>
    <s v="MPR"/>
    <x v="0"/>
    <n v="50026357"/>
    <s v="MARTELETE VONDER"/>
    <n v="1"/>
    <s v="REALIZADO"/>
    <s v="BRUNO"/>
    <x v="48"/>
    <x v="2"/>
    <x v="0"/>
  </r>
  <r>
    <n v="77471"/>
    <x v="35"/>
    <s v="MEE"/>
    <x v="0"/>
    <n v="50041195"/>
    <s v="PARAFUSADEIRA FUR DE IMPACTO BRUSHLESS"/>
    <n v="1"/>
    <s v="REALIZADO"/>
    <s v="BRUNO"/>
    <x v="48"/>
    <x v="2"/>
    <x v="0"/>
  </r>
  <r>
    <n v="65084"/>
    <x v="83"/>
    <s v="MMG"/>
    <x v="4"/>
    <n v="50041195"/>
    <s v="PARAFUSADEIRA FUR DE IMPACTO BRUSHLESS"/>
    <n v="1"/>
    <s v="REALIZADO"/>
    <s v="FABIANO"/>
    <x v="48"/>
    <x v="0"/>
    <x v="0"/>
  </r>
  <r>
    <n v="65084"/>
    <x v="83"/>
    <s v="MMG"/>
    <x v="4"/>
    <n v="50041195"/>
    <s v="PARAFUSADEIRA FUR DE IMPACTO BRUSHLESS"/>
    <n v="1"/>
    <s v="REALIZADO"/>
    <s v="FABIANO"/>
    <x v="48"/>
    <x v="0"/>
    <x v="0"/>
  </r>
  <r>
    <n v="77526"/>
    <x v="37"/>
    <s v="MME"/>
    <x v="0"/>
    <n v="50043917"/>
    <s v="PARAFUSADEIRA FURADEIRA BOSCH"/>
    <n v="1"/>
    <s v="REALIZADO"/>
    <s v="AGATHA"/>
    <x v="48"/>
    <x v="2"/>
    <x v="0"/>
  </r>
  <r>
    <n v="77526"/>
    <x v="37"/>
    <s v="MME"/>
    <x v="0"/>
    <n v="50043917"/>
    <s v="PARAFUSADEIRA FURADEIRA BOSCH"/>
    <n v="1"/>
    <s v="REALIZADO"/>
    <s v="BRUNO"/>
    <x v="48"/>
    <x v="0"/>
    <x v="0"/>
  </r>
  <r>
    <n v="62896"/>
    <x v="33"/>
    <s v="MEE"/>
    <x v="0"/>
    <n v="50043917"/>
    <s v="PARAFUSADEIRA FURADEIRA BOSCH"/>
    <n v="1"/>
    <s v="REALIZADO"/>
    <s v="BRUNO"/>
    <x v="48"/>
    <x v="2"/>
    <x v="0"/>
  </r>
  <r>
    <n v="62896"/>
    <x v="33"/>
    <s v="MEE"/>
    <x v="0"/>
    <n v="50043917"/>
    <s v="PARAFUSADEIRA FURADEIRA BOSCH"/>
    <n v="1"/>
    <s v="REALIZADO"/>
    <s v="BRUNO"/>
    <x v="48"/>
    <x v="0"/>
    <x v="0"/>
  </r>
  <r>
    <n v="62896"/>
    <x v="33"/>
    <s v="MEE"/>
    <x v="0"/>
    <n v="50020622"/>
    <s v="REBITADOR MANUAL"/>
    <n v="1"/>
    <s v="REALIZADO"/>
    <s v="BRUNO"/>
    <x v="48"/>
    <x v="2"/>
    <x v="0"/>
  </r>
  <r>
    <n v="62896"/>
    <x v="33"/>
    <s v="MEE"/>
    <x v="0"/>
    <n v="50020622"/>
    <s v="REBITADOR MANUAL"/>
    <n v="1"/>
    <s v="REALIZADO"/>
    <s v="BRUNO"/>
    <x v="48"/>
    <x v="0"/>
    <x v="0"/>
  </r>
  <r>
    <n v="65482"/>
    <x v="30"/>
    <s v="MMG"/>
    <x v="0"/>
    <n v="50032781"/>
    <s v="SERRA TICO TICO 650W DEWALT "/>
    <n v="1"/>
    <s v="REALIZADO"/>
    <s v="BRUNA"/>
    <x v="48"/>
    <x v="2"/>
    <x v="0"/>
  </r>
  <r>
    <n v="65482"/>
    <x v="30"/>
    <s v="MMG"/>
    <x v="0"/>
    <n v="50032781"/>
    <s v="SERRA TICO TICO 650W DEWALT "/>
    <n v="1"/>
    <s v="REALIZADO"/>
    <s v="BRUNO"/>
    <x v="48"/>
    <x v="0"/>
    <x v="0"/>
  </r>
  <r>
    <n v="77526"/>
    <x v="37"/>
    <s v="MME"/>
    <x v="0"/>
    <n v="50038194"/>
    <s v="SERRA TICO TICO BOSCH C/MALETA"/>
    <n v="1"/>
    <s v="REALIZADO"/>
    <s v="BRUNO"/>
    <x v="48"/>
    <x v="2"/>
    <x v="0"/>
  </r>
  <r>
    <n v="77526"/>
    <x v="37"/>
    <s v="MME"/>
    <x v="0"/>
    <n v="50038194"/>
    <s v="SERRA TICO TICO BOSCH C/MALETA"/>
    <n v="1"/>
    <s v="REALIZADO"/>
    <s v="BRUNO"/>
    <x v="48"/>
    <x v="2"/>
    <x v="0"/>
  </r>
  <r>
    <n v="67915"/>
    <x v="52"/>
    <s v="MMG"/>
    <x v="2"/>
    <n v="50039718"/>
    <s v="ESCALA DE ACO 1000MM VONDER "/>
    <n v="1"/>
    <s v="REALIZADO"/>
    <s v="KAYKY"/>
    <x v="49"/>
    <x v="0"/>
    <x v="0"/>
  </r>
  <r>
    <n v="67915"/>
    <x v="52"/>
    <s v="MMG"/>
    <x v="2"/>
    <n v="50039718"/>
    <s v="ESCALA DE ACO 1000MM VONDER "/>
    <n v="1"/>
    <s v="REALIZADO"/>
    <s v="KAYKY"/>
    <x v="49"/>
    <x v="2"/>
    <x v="0"/>
  </r>
  <r>
    <n v="65482"/>
    <x v="30"/>
    <s v="MMG"/>
    <x v="0"/>
    <n v="50029865"/>
    <s v="JOGO DE BROCAS ACO RAPIDO"/>
    <n v="1"/>
    <s v="REALIZADO"/>
    <s v="MARINA"/>
    <x v="49"/>
    <x v="0"/>
    <x v="0"/>
  </r>
  <r>
    <n v="65482"/>
    <x v="30"/>
    <s v="MMG"/>
    <x v="0"/>
    <n v="50029865"/>
    <s v="JOGO DE BROCAS ACO RAPIDO"/>
    <n v="1"/>
    <s v="REALIZADO"/>
    <s v="MARINA"/>
    <x v="49"/>
    <x v="2"/>
    <x v="0"/>
  </r>
  <r>
    <n v="62137"/>
    <x v="43"/>
    <s v="MME"/>
    <x v="2"/>
    <n v="50038956"/>
    <s v="LIXADEIRA BOSCH 1"/>
    <n v="1"/>
    <s v="REALIZADO"/>
    <s v="KAYKY"/>
    <x v="49"/>
    <x v="0"/>
    <x v="0"/>
  </r>
  <r>
    <n v="62137"/>
    <x v="43"/>
    <s v="MME"/>
    <x v="2"/>
    <n v="50038956"/>
    <s v="LIXADEIRA BOSCH 1"/>
    <n v="1"/>
    <s v="REALIZADO"/>
    <s v="KAYKY"/>
    <x v="49"/>
    <x v="2"/>
    <x v="0"/>
  </r>
  <r>
    <n v="76633"/>
    <x v="62"/>
    <s v="MMG"/>
    <x v="2"/>
    <n v="50037892"/>
    <s v="LIXADEIRA BOSCH 2"/>
    <n v="1"/>
    <s v="REALIZADO"/>
    <s v="KAYKY"/>
    <x v="49"/>
    <x v="0"/>
    <x v="0"/>
  </r>
  <r>
    <n v="76633"/>
    <x v="62"/>
    <s v="MMG"/>
    <x v="2"/>
    <n v="50037892"/>
    <s v="LIXADEIRA BOSCH 2"/>
    <n v="1"/>
    <s v="REALIZADO"/>
    <s v="KAYKY"/>
    <x v="49"/>
    <x v="2"/>
    <x v="0"/>
  </r>
  <r>
    <n v="61264"/>
    <x v="10"/>
    <s v="MMG"/>
    <x v="0"/>
    <n v="50037902"/>
    <s v="LIXADEIRA BOSCH 3"/>
    <n v="1"/>
    <s v="REALIZADO"/>
    <s v="MARINA"/>
    <x v="49"/>
    <x v="0"/>
    <x v="0"/>
  </r>
  <r>
    <n v="61264"/>
    <x v="10"/>
    <s v="MMG"/>
    <x v="0"/>
    <n v="50037902"/>
    <s v="LIXADEIRA BOSCH 3"/>
    <n v="1"/>
    <s v="REALIZADO"/>
    <s v="MARINA"/>
    <x v="49"/>
    <x v="2"/>
    <x v="0"/>
  </r>
  <r>
    <n v="65482"/>
    <x v="30"/>
    <s v="MMG"/>
    <x v="0"/>
    <n v="50041195"/>
    <s v="PARAFUSADEIRA FUR DE IMPACTO BRUSHLESS"/>
    <n v="1"/>
    <s v="REALIZADO"/>
    <s v="MARINA"/>
    <x v="49"/>
    <x v="0"/>
    <x v="0"/>
  </r>
  <r>
    <n v="65482"/>
    <x v="30"/>
    <s v="MMG"/>
    <x v="0"/>
    <n v="50041195"/>
    <s v="PARAFUSADEIRA FUR DE IMPACTO BRUSHLESS"/>
    <n v="1"/>
    <s v="REALIZADO"/>
    <s v="MARINA"/>
    <x v="49"/>
    <x v="2"/>
    <x v="0"/>
  </r>
  <r>
    <n v="67915"/>
    <x v="52"/>
    <s v="MMG"/>
    <x v="2"/>
    <n v="50043917"/>
    <s v="PARAFUSADEIRA FURADEIRA BOSCH"/>
    <n v="1"/>
    <s v="REALIZADO"/>
    <s v="KAYKY"/>
    <x v="49"/>
    <x v="0"/>
    <x v="0"/>
  </r>
  <r>
    <n v="67915"/>
    <x v="52"/>
    <s v="MMG"/>
    <x v="2"/>
    <n v="50043917"/>
    <s v="PARAFUSADEIRA FURADEIRA BOSCH"/>
    <n v="1"/>
    <s v="REALIZADO"/>
    <s v="KAYKY"/>
    <x v="49"/>
    <x v="2"/>
    <x v="0"/>
  </r>
  <r>
    <n v="65482"/>
    <x v="30"/>
    <s v="MMG"/>
    <x v="0"/>
    <n v="50032781"/>
    <s v="SERRA TICO TICO 650W DEWALT "/>
    <n v="1"/>
    <s v="REALIZADO"/>
    <s v="MARINA"/>
    <x v="49"/>
    <x v="0"/>
    <x v="0"/>
  </r>
  <r>
    <n v="65482"/>
    <x v="30"/>
    <s v="MMG"/>
    <x v="0"/>
    <n v="50032781"/>
    <s v="SERRA TICO TICO 650W DEWALT "/>
    <n v="1"/>
    <s v="REALIZADO"/>
    <s v="MARINA"/>
    <x v="49"/>
    <x v="0"/>
    <x v="0"/>
  </r>
  <r>
    <n v="62137"/>
    <x v="43"/>
    <s v="MME"/>
    <x v="2"/>
    <n v="50010031"/>
    <s v=" LIXADEIRA BOSCH 6"/>
    <n v="1"/>
    <s v="REALIZADO"/>
    <s v="BRUNA"/>
    <x v="50"/>
    <x v="2"/>
    <x v="0"/>
  </r>
  <r>
    <n v="62137"/>
    <x v="43"/>
    <s v="MME"/>
    <x v="2"/>
    <n v="50010031"/>
    <s v=" LIXADEIRA BOSCH 6"/>
    <n v="1"/>
    <s v="REALIZADO"/>
    <s v="BRUNA"/>
    <x v="50"/>
    <x v="0"/>
    <x v="0"/>
  </r>
  <r>
    <n v="60510"/>
    <x v="87"/>
    <s v="MME"/>
    <x v="2"/>
    <n v="50010031"/>
    <s v=" LIXADEIRA BOSCH 6"/>
    <n v="1"/>
    <s v="REALIZADO"/>
    <s v="BRUNA"/>
    <x v="50"/>
    <x v="2"/>
    <x v="0"/>
  </r>
  <r>
    <n v="60510"/>
    <x v="87"/>
    <s v="MME"/>
    <x v="2"/>
    <n v="50010031"/>
    <s v=" LIXADEIRA BOSCH 6"/>
    <n v="1"/>
    <s v="REALIZADO"/>
    <s v="BRUNA"/>
    <x v="50"/>
    <x v="0"/>
    <x v="0"/>
  </r>
  <r>
    <n v="72715"/>
    <x v="26"/>
    <s v="MPR"/>
    <x v="0"/>
    <n v="50029865"/>
    <s v="JOGO DE BROCAS ACO RAPIDO"/>
    <n v="1"/>
    <s v="REALIZADO"/>
    <s v="BRUNA"/>
    <x v="50"/>
    <x v="2"/>
    <x v="0"/>
  </r>
  <r>
    <n v="72715"/>
    <x v="26"/>
    <s v="MPR"/>
    <x v="0"/>
    <n v="50029865"/>
    <s v="JOGO DE BROCAS ACO RAPIDO"/>
    <n v="1"/>
    <s v="REALIZADO"/>
    <s v="BRUNA"/>
    <x v="50"/>
    <x v="0"/>
    <x v="0"/>
  </r>
  <r>
    <n v="63684"/>
    <x v="27"/>
    <s v="MME"/>
    <x v="2"/>
    <n v="50037902"/>
    <s v="LIXADEIRA BOSCH 3"/>
    <n v="1"/>
    <s v="REALIZADO"/>
    <s v="BRUNA"/>
    <x v="50"/>
    <x v="2"/>
    <x v="0"/>
  </r>
  <r>
    <n v="63684"/>
    <x v="27"/>
    <s v="MME"/>
    <x v="2"/>
    <n v="50037902"/>
    <s v="LIXADEIRA BOSCH 3"/>
    <n v="1"/>
    <s v="REALIZADO"/>
    <s v="BRUNA"/>
    <x v="50"/>
    <x v="2"/>
    <x v="0"/>
  </r>
  <r>
    <n v="62640"/>
    <x v="44"/>
    <s v="MPR"/>
    <x v="0"/>
    <n v="50038517"/>
    <s v="LIXADEIRA BOSCH 5"/>
    <n v="1"/>
    <s v="REALIZADO"/>
    <s v="BRUNA"/>
    <x v="50"/>
    <x v="2"/>
    <x v="0"/>
  </r>
  <r>
    <n v="67559"/>
    <x v="88"/>
    <s v="MME"/>
    <x v="3"/>
    <n v="50038517"/>
    <s v="LIXADEIRA BOSCH 5"/>
    <n v="1"/>
    <s v="REALIZADO"/>
    <s v="MARIO"/>
    <x v="50"/>
    <x v="0"/>
    <x v="0"/>
  </r>
  <r>
    <n v="67559"/>
    <x v="88"/>
    <s v="MME"/>
    <x v="3"/>
    <n v="50038517"/>
    <s v="LIXADEIRA BOSCH 5"/>
    <n v="1"/>
    <s v="REALIZADO"/>
    <s v="MARIO"/>
    <x v="50"/>
    <x v="0"/>
    <x v="0"/>
  </r>
  <r>
    <n v="78675"/>
    <x v="12"/>
    <s v="MME"/>
    <x v="2"/>
    <n v="50041195"/>
    <s v="PARAFUSADEIRA FUR DE IMPACTO BRUSHLESS"/>
    <n v="1"/>
    <s v="REALIZADO"/>
    <s v="BRUNA"/>
    <x v="50"/>
    <x v="2"/>
    <x v="0"/>
  </r>
  <r>
    <n v="78675"/>
    <x v="12"/>
    <s v="MME"/>
    <x v="2"/>
    <n v="50041195"/>
    <s v="PARAFUSADEIRA FUR DE IMPACTO BRUSHLESS"/>
    <n v="1"/>
    <s v="REALIZADO"/>
    <s v="BRUNA"/>
    <x v="50"/>
    <x v="0"/>
    <x v="0"/>
  </r>
  <r>
    <n v="72715"/>
    <x v="26"/>
    <s v="MPR"/>
    <x v="0"/>
    <n v="50041195"/>
    <s v="PARAFUSADEIRA FUR DE IMPACTO BRUSHLESS"/>
    <n v="1"/>
    <s v="REALIZADO"/>
    <s v="BRUNA"/>
    <x v="50"/>
    <x v="2"/>
    <x v="0"/>
  </r>
  <r>
    <n v="72715"/>
    <x v="26"/>
    <s v="MPR"/>
    <x v="0"/>
    <n v="50041195"/>
    <s v="PARAFUSADEIRA FUR DE IMPACTO BRUSHLESS"/>
    <n v="1"/>
    <s v="REALIZADO"/>
    <s v="BRUNA"/>
    <x v="50"/>
    <x v="0"/>
    <x v="0"/>
  </r>
  <r>
    <n v="63684"/>
    <x v="27"/>
    <s v="MME"/>
    <x v="2"/>
    <n v="50043917"/>
    <s v="PARAFUSADEIRA FURADEIRA BOSCH"/>
    <n v="1"/>
    <s v="REALIZADO"/>
    <s v="BRUNA"/>
    <x v="50"/>
    <x v="2"/>
    <x v="0"/>
  </r>
  <r>
    <n v="63684"/>
    <x v="27"/>
    <s v="MME"/>
    <x v="2"/>
    <n v="50043917"/>
    <s v="PARAFUSADEIRA FURADEIRA BOSCH"/>
    <n v="1"/>
    <s v="REALIZADO"/>
    <s v="BRUNA"/>
    <x v="50"/>
    <x v="2"/>
    <x v="0"/>
  </r>
  <r>
    <n v="72808"/>
    <x v="79"/>
    <s v="MME"/>
    <x v="3"/>
    <n v="50004486"/>
    <s v="RETIFICA"/>
    <n v="1"/>
    <s v="REALIZADO"/>
    <s v="MARINA"/>
    <x v="50"/>
    <x v="0"/>
    <x v="0"/>
  </r>
  <r>
    <n v="72808"/>
    <x v="79"/>
    <s v="MME"/>
    <x v="3"/>
    <n v="50004486"/>
    <s v="RETIFICA"/>
    <n v="1"/>
    <s v="REALIZADO"/>
    <s v="MARINA"/>
    <x v="50"/>
    <x v="0"/>
    <x v="0"/>
  </r>
  <r>
    <n v="64128"/>
    <x v="42"/>
    <s v="UTI"/>
    <x v="3"/>
    <n v="50012576"/>
    <s v="DETECTOR DE VAZAMENTO DE GÁS"/>
    <n v="1"/>
    <s v="REALIZADO"/>
    <s v="KELLY"/>
    <x v="51"/>
    <x v="2"/>
    <x v="0"/>
  </r>
  <r>
    <n v="64128"/>
    <x v="42"/>
    <s v="UTI"/>
    <x v="3"/>
    <n v="50012576"/>
    <s v="DETECTOR DE VAZAMENTO DE GÁS"/>
    <n v="1"/>
    <s v="REALIZADO"/>
    <s v="KELLY"/>
    <x v="51"/>
    <x v="0"/>
    <x v="0"/>
  </r>
  <r>
    <n v="77313"/>
    <x v="17"/>
    <s v="MPR"/>
    <x v="0"/>
    <n v="50043520"/>
    <s v="ESCADA "/>
    <n v="1"/>
    <s v="REALIZADO"/>
    <s v="AGATHA"/>
    <x v="51"/>
    <x v="2"/>
    <x v="0"/>
  </r>
  <r>
    <n v="77313"/>
    <x v="17"/>
    <s v="MPR"/>
    <x v="0"/>
    <n v="50043520"/>
    <s v="ESCADA "/>
    <n v="1"/>
    <s v="REALIZADO"/>
    <s v="AGATHA"/>
    <x v="51"/>
    <x v="2"/>
    <x v="0"/>
  </r>
  <r>
    <n v="72715"/>
    <x v="26"/>
    <s v="MPR"/>
    <x v="0"/>
    <n v="50030486"/>
    <s v="FURADEIRA BOSCH 3"/>
    <n v="1"/>
    <s v="REALIZADO"/>
    <s v="BRUNA"/>
    <x v="51"/>
    <x v="0"/>
    <x v="0"/>
  </r>
  <r>
    <n v="68708"/>
    <x v="13"/>
    <s v="MMG"/>
    <x v="0"/>
    <n v="50003297"/>
    <s v="FURADEIRA DE IMPACTO MAKITA 02"/>
    <n v="1"/>
    <s v="REALIZADO"/>
    <s v="KELLY"/>
    <x v="51"/>
    <x v="2"/>
    <x v="0"/>
  </r>
  <r>
    <n v="78886"/>
    <x v="51"/>
    <s v="MME"/>
    <x v="0"/>
    <n v="50003297"/>
    <s v="FURADEIRA DE IMPACTO MAKITA 02"/>
    <n v="1"/>
    <s v="REALIZADO"/>
    <s v="GEOVANE"/>
    <x v="51"/>
    <x v="0"/>
    <x v="0"/>
  </r>
  <r>
    <n v="66830"/>
    <x v="3"/>
    <s v="MPR"/>
    <x v="0"/>
    <n v="50003297"/>
    <s v="FURADEIRA DE IMPACTO MAKITA 02"/>
    <n v="1"/>
    <s v="REALIZADO"/>
    <s v="BRUNA"/>
    <x v="51"/>
    <x v="2"/>
    <x v="0"/>
  </r>
  <r>
    <n v="66830"/>
    <x v="3"/>
    <s v="MPR"/>
    <x v="0"/>
    <n v="50003297"/>
    <s v="FURADEIRA DE IMPACTO MAKITA 02"/>
    <n v="1"/>
    <s v="REALIZADO"/>
    <s v="MATHEUS"/>
    <x v="51"/>
    <x v="0"/>
    <x v="0"/>
  </r>
  <r>
    <n v="62033"/>
    <x v="22"/>
    <s v="MME"/>
    <x v="3"/>
    <n v="50038956"/>
    <s v="LIXADEIRA BOSCH 1"/>
    <n v="1"/>
    <s v="REALIZADO"/>
    <s v="KELLY"/>
    <x v="51"/>
    <x v="2"/>
    <x v="0"/>
  </r>
  <r>
    <n v="62033"/>
    <x v="22"/>
    <s v="MME"/>
    <x v="3"/>
    <n v="50038956"/>
    <s v="LIXADEIRA BOSCH 1"/>
    <n v="1"/>
    <s v="REALIZADO"/>
    <s v="KELLY"/>
    <x v="51"/>
    <x v="2"/>
    <x v="0"/>
  </r>
  <r>
    <n v="60510"/>
    <x v="87"/>
    <s v="MME"/>
    <x v="2"/>
    <n v="50037892"/>
    <s v="LIXADEIRA BOSCH 2"/>
    <n v="1"/>
    <s v="REALIZADO"/>
    <s v="MATHEUS"/>
    <x v="51"/>
    <x v="2"/>
    <x v="0"/>
  </r>
  <r>
    <n v="78886"/>
    <x v="51"/>
    <s v="MME"/>
    <x v="0"/>
    <n v="50038841"/>
    <s v="LIXADEIRA BOSCH 4"/>
    <n v="1"/>
    <s v="REALIZADO"/>
    <s v="MATHEUS"/>
    <x v="51"/>
    <x v="0"/>
    <x v="0"/>
  </r>
  <r>
    <n v="63713"/>
    <x v="67"/>
    <s v="MME"/>
    <x v="0"/>
    <n v="50041195"/>
    <s v="PARAFUSADEIRA FUR DE IMPACTO BRUSHLESS"/>
    <n v="1"/>
    <s v="REALIZADO"/>
    <s v="AGATHA"/>
    <x v="51"/>
    <x v="2"/>
    <x v="0"/>
  </r>
  <r>
    <n v="63713"/>
    <x v="67"/>
    <s v="MME"/>
    <x v="0"/>
    <n v="50041195"/>
    <s v="PARAFUSADEIRA FUR DE IMPACTO BRUSHLESS"/>
    <n v="1"/>
    <s v="REALIZADO"/>
    <s v="BRUNA"/>
    <x v="51"/>
    <x v="0"/>
    <x v="0"/>
  </r>
  <r>
    <n v="66790"/>
    <x v="60"/>
    <s v="MMG"/>
    <x v="3"/>
    <n v="50043151"/>
    <s v="VAZADOR 12 PÇS"/>
    <n v="1"/>
    <s v="REALIZADO"/>
    <s v="KELLY"/>
    <x v="51"/>
    <x v="2"/>
    <x v="0"/>
  </r>
  <r>
    <n v="66790"/>
    <x v="60"/>
    <s v="MMG"/>
    <x v="3"/>
    <n v="50043151"/>
    <s v="VAZADOR 12 PÇS"/>
    <n v="1"/>
    <s v="REALIZADO"/>
    <s v="KELLY"/>
    <x v="51"/>
    <x v="0"/>
    <x v="0"/>
  </r>
  <r>
    <n v="63770"/>
    <x v="36"/>
    <s v="MMG"/>
    <x v="0"/>
    <n v="50043151"/>
    <s v="VAZADOR 12 PÇS"/>
    <n v="1"/>
    <s v="REALIZADO"/>
    <s v="KELLY"/>
    <x v="51"/>
    <x v="2"/>
    <x v="0"/>
  </r>
  <r>
    <n v="63770"/>
    <x v="36"/>
    <s v="MMG"/>
    <x v="0"/>
    <n v="50043151"/>
    <s v="VAZADOR 12 PÇS"/>
    <n v="1"/>
    <s v="REALIZADO"/>
    <s v="AGATHA"/>
    <x v="51"/>
    <x v="0"/>
    <x v="0"/>
  </r>
  <r>
    <n v="74611"/>
    <x v="2"/>
    <s v="MPR"/>
    <x v="0"/>
    <n v="50010031"/>
    <s v=" LIXADEIRA BOSCH 6"/>
    <n v="1"/>
    <s v="REALIZADO"/>
    <s v="GEOVANE"/>
    <x v="52"/>
    <x v="2"/>
    <x v="0"/>
  </r>
  <r>
    <n v="74611"/>
    <x v="2"/>
    <s v="MPR"/>
    <x v="0"/>
    <n v="50010031"/>
    <s v=" LIXADEIRA BOSCH 6"/>
    <n v="1"/>
    <s v="REALIZADO"/>
    <s v="BRUNO"/>
    <x v="52"/>
    <x v="2"/>
    <x v="0"/>
  </r>
  <r>
    <n v="65482"/>
    <x v="30"/>
    <s v="MMG"/>
    <x v="0"/>
    <n v="50036086"/>
    <s v="CHAVE GRIFO 18"/>
    <n v="1"/>
    <s v="REALIZADO"/>
    <s v="MATHEUS"/>
    <x v="52"/>
    <x v="0"/>
    <x v="0"/>
  </r>
  <r>
    <n v="66830"/>
    <x v="3"/>
    <s v="MPR"/>
    <x v="0"/>
    <n v="50003173"/>
    <s v="CHAVE GRIFO 24"/>
    <n v="1"/>
    <s v="REALIZADO"/>
    <s v="GEOVANE"/>
    <x v="52"/>
    <x v="2"/>
    <x v="0"/>
  </r>
  <r>
    <n v="66830"/>
    <x v="3"/>
    <s v="MPR"/>
    <x v="0"/>
    <n v="50003173"/>
    <s v="CHAVE GRIFO 24"/>
    <n v="1"/>
    <s v="REALIZADO"/>
    <s v="MATHEUS"/>
    <x v="52"/>
    <x v="2"/>
    <x v="0"/>
  </r>
  <r>
    <n v="68760"/>
    <x v="15"/>
    <s v="MMG"/>
    <x v="0"/>
    <n v="50039718"/>
    <s v="ESCALA DE ACO 1000MM VONDER "/>
    <n v="1"/>
    <s v="REALIZADO"/>
    <s v="MATHEUS"/>
    <x v="52"/>
    <x v="2"/>
    <x v="0"/>
  </r>
  <r>
    <n v="74611"/>
    <x v="2"/>
    <s v="MPR"/>
    <x v="0"/>
    <n v="50030486"/>
    <s v="FURADEIRA BOSCH 3"/>
    <n v="1"/>
    <s v="REALIZADO"/>
    <s v="GEOVANE"/>
    <x v="52"/>
    <x v="2"/>
    <x v="0"/>
  </r>
  <r>
    <n v="72715"/>
    <x v="26"/>
    <s v="MPR"/>
    <x v="0"/>
    <n v="50039236"/>
    <s v="FURADEIRA BOSCH 4"/>
    <n v="1"/>
    <s v="REALIZADO"/>
    <s v="GEOVANE"/>
    <x v="52"/>
    <x v="0"/>
    <x v="0"/>
  </r>
  <r>
    <n v="63713"/>
    <x v="67"/>
    <s v="MME"/>
    <x v="0"/>
    <n v="50043471"/>
    <s v="FURADEIRA BOSCH 7"/>
    <n v="1"/>
    <s v="REALIZADO"/>
    <s v="KELLY"/>
    <x v="52"/>
    <x v="2"/>
    <x v="0"/>
  </r>
  <r>
    <n v="63713"/>
    <x v="67"/>
    <s v="MME"/>
    <x v="0"/>
    <n v="50043471"/>
    <s v="FURADEIRA BOSCH 7"/>
    <n v="1"/>
    <s v="REALIZADO"/>
    <s v="BRUNO"/>
    <x v="52"/>
    <x v="0"/>
    <x v="0"/>
  </r>
  <r>
    <n v="63713"/>
    <x v="67"/>
    <s v="MME"/>
    <x v="0"/>
    <n v="50003297"/>
    <s v="FURADEIRA DE IMPACTO MAKITA 02"/>
    <n v="1"/>
    <s v="REALIZADO"/>
    <s v="KELLY"/>
    <x v="52"/>
    <x v="2"/>
    <x v="0"/>
  </r>
  <r>
    <n v="63713"/>
    <x v="67"/>
    <s v="MME"/>
    <x v="0"/>
    <n v="50003297"/>
    <s v="FURADEIRA DE IMPACTO MAKITA 02"/>
    <n v="1"/>
    <s v="REALIZADO"/>
    <s v="KELLY"/>
    <x v="52"/>
    <x v="0"/>
    <x v="0"/>
  </r>
  <r>
    <n v="68708"/>
    <x v="13"/>
    <s v="MMG"/>
    <x v="0"/>
    <n v="50038549"/>
    <s v="JOGO SOQUETE ESTRIADOS 1/2 22PEÇ"/>
    <n v="1"/>
    <s v="REALIZADO"/>
    <s v="GEOVANE"/>
    <x v="52"/>
    <x v="2"/>
    <x v="0"/>
  </r>
  <r>
    <n v="68708"/>
    <x v="13"/>
    <s v="MMG"/>
    <x v="0"/>
    <n v="50038549"/>
    <s v="JOGO SOQUETE ESTRIADOS 1/2 22PEÇ"/>
    <n v="1"/>
    <s v="REALIZADO"/>
    <s v="MATHEUS"/>
    <x v="52"/>
    <x v="2"/>
    <x v="0"/>
  </r>
  <r>
    <n v="73336"/>
    <x v="29"/>
    <s v="MMG"/>
    <x v="0"/>
    <n v="50022878"/>
    <s v="KIT MONTAGEM ROLAMENTO SKF"/>
    <n v="1"/>
    <s v="REALIZADO"/>
    <s v="GEOVANE"/>
    <x v="52"/>
    <x v="0"/>
    <x v="0"/>
  </r>
  <r>
    <n v="77521"/>
    <x v="5"/>
    <s v="MME"/>
    <x v="0"/>
    <n v="50037892"/>
    <s v="LIXADEIRA BOSCH 2"/>
    <n v="1"/>
    <s v="REALIZADO"/>
    <s v="GEOVANE"/>
    <x v="52"/>
    <x v="2"/>
    <x v="0"/>
  </r>
  <r>
    <n v="77521"/>
    <x v="5"/>
    <s v="MME"/>
    <x v="0"/>
    <n v="50037892"/>
    <s v="LIXADEIRA BOSCH 2"/>
    <n v="1"/>
    <s v="REALIZADO"/>
    <s v="BRUNO"/>
    <x v="52"/>
    <x v="0"/>
    <x v="0"/>
  </r>
  <r>
    <n v="76633"/>
    <x v="62"/>
    <s v="MMG"/>
    <x v="2"/>
    <n v="50037902"/>
    <s v="LIXADEIRA BOSCH 3"/>
    <n v="1"/>
    <s v="REALIZADO"/>
    <s v="BRUNO"/>
    <x v="52"/>
    <x v="2"/>
    <x v="0"/>
  </r>
  <r>
    <n v="76633"/>
    <x v="62"/>
    <s v="MMG"/>
    <x v="2"/>
    <n v="50037902"/>
    <s v="LIXADEIRA BOSCH 3"/>
    <n v="1"/>
    <s v="REALIZADO"/>
    <s v="BRUNO"/>
    <x v="52"/>
    <x v="0"/>
    <x v="0"/>
  </r>
  <r>
    <n v="49751"/>
    <x v="81"/>
    <s v="MEE"/>
    <x v="4"/>
    <n v="50038841"/>
    <s v="LIXADEIRA BOSCH 4"/>
    <n v="1"/>
    <s v="REALIZADO"/>
    <s v="GEOVANE"/>
    <x v="52"/>
    <x v="2"/>
    <x v="0"/>
  </r>
  <r>
    <n v="49751"/>
    <x v="81"/>
    <s v="MEE"/>
    <x v="4"/>
    <n v="50038841"/>
    <s v="LIXADEIRA BOSCH 4"/>
    <n v="1"/>
    <s v="REALIZADO"/>
    <s v="MATHEUS"/>
    <x v="52"/>
    <x v="0"/>
    <x v="0"/>
  </r>
  <r>
    <n v="79177"/>
    <x v="28"/>
    <s v="MMG"/>
    <x v="0"/>
    <n v="50039065"/>
    <s v="MAQUINA SOLDA TIG"/>
    <n v="1"/>
    <s v="REALIZADO"/>
    <s v="BRUNA"/>
    <x v="52"/>
    <x v="2"/>
    <x v="0"/>
  </r>
  <r>
    <n v="79177"/>
    <x v="28"/>
    <s v="MMG"/>
    <x v="0"/>
    <n v="50039065"/>
    <s v="MAQUINA SOLDA TIG"/>
    <n v="1"/>
    <s v="REALIZADO"/>
    <s v="BRUNA"/>
    <x v="52"/>
    <x v="0"/>
    <x v="0"/>
  </r>
  <r>
    <n v="76633"/>
    <x v="62"/>
    <s v="MMG"/>
    <x v="2"/>
    <n v="50039065"/>
    <s v="MAQUINA SOLDA TIG"/>
    <n v="1"/>
    <s v="REALIZADO"/>
    <s v="BRUNO"/>
    <x v="52"/>
    <x v="2"/>
    <x v="0"/>
  </r>
  <r>
    <n v="76633"/>
    <x v="62"/>
    <s v="MMG"/>
    <x v="2"/>
    <n v="50039065"/>
    <s v="MAQUINA SOLDA TIG"/>
    <n v="1"/>
    <s v="REALIZADO"/>
    <s v="BRUNO"/>
    <x v="52"/>
    <x v="0"/>
    <x v="0"/>
  </r>
  <r>
    <n v="77594"/>
    <x v="23"/>
    <s v="MME"/>
    <x v="0"/>
    <n v="50026357"/>
    <s v="MARTELETE VONDER"/>
    <n v="1"/>
    <s v="REALIZADO"/>
    <s v="GEOVANE"/>
    <x v="52"/>
    <x v="2"/>
    <x v="0"/>
  </r>
  <r>
    <n v="77594"/>
    <x v="23"/>
    <s v="MME"/>
    <x v="0"/>
    <n v="50026357"/>
    <s v="MARTELETE VONDER"/>
    <n v="1"/>
    <s v="REALIZADO"/>
    <s v="GEOVANE"/>
    <x v="52"/>
    <x v="0"/>
    <x v="0"/>
  </r>
  <r>
    <n v="78886"/>
    <x v="51"/>
    <s v="MME"/>
    <x v="0"/>
    <n v="50041195"/>
    <s v="PARAFUSADEIRA FUR DE IMPACTO BRUSHLESS"/>
    <n v="1"/>
    <s v="REALIZADO"/>
    <s v="KELLY"/>
    <x v="52"/>
    <x v="2"/>
    <x v="0"/>
  </r>
  <r>
    <n v="78886"/>
    <x v="51"/>
    <s v="MME"/>
    <x v="0"/>
    <n v="50041195"/>
    <s v="PARAFUSADEIRA FUR DE IMPACTO BRUSHLESS"/>
    <n v="1"/>
    <s v="REALIZADO"/>
    <s v="GEOVANE"/>
    <x v="52"/>
    <x v="2"/>
    <x v="0"/>
  </r>
  <r>
    <n v="64074"/>
    <x v="75"/>
    <s v="MPR"/>
    <x v="0"/>
    <n v="50041195"/>
    <s v="PARAFUSADEIRA FUR DE IMPACTO BRUSHLESS"/>
    <n v="1"/>
    <s v="REALIZADO"/>
    <s v="MATHEUS"/>
    <x v="52"/>
    <x v="0"/>
    <x v="0"/>
  </r>
  <r>
    <n v="63713"/>
    <x v="67"/>
    <s v="MME"/>
    <x v="0"/>
    <n v="50043917"/>
    <s v="PARAFUSADEIRA FURADEIRA BOSCH"/>
    <n v="1"/>
    <s v="REALIZADO"/>
    <s v="KELLY"/>
    <x v="52"/>
    <x v="2"/>
    <x v="0"/>
  </r>
  <r>
    <n v="63713"/>
    <x v="67"/>
    <s v="MME"/>
    <x v="0"/>
    <n v="50043917"/>
    <s v="PARAFUSADEIRA FURADEIRA BOSCH"/>
    <n v="1"/>
    <s v="REALIZADO"/>
    <s v="BRUNO"/>
    <x v="52"/>
    <x v="0"/>
    <x v="0"/>
  </r>
  <r>
    <n v="62896"/>
    <x v="33"/>
    <s v="MEE"/>
    <x v="0"/>
    <n v="50043917"/>
    <s v="PARAFUSADEIRA FURADEIRA BOSCH"/>
    <n v="1"/>
    <s v="REALIZADO"/>
    <s v="BRUNO"/>
    <x v="52"/>
    <x v="2"/>
    <x v="0"/>
  </r>
  <r>
    <n v="62896"/>
    <x v="33"/>
    <s v="MEE"/>
    <x v="0"/>
    <n v="50043917"/>
    <s v="PARAFUSADEIRA FURADEIRA BOSCH"/>
    <n v="1"/>
    <s v="REALIZADO"/>
    <s v="MATHEUS"/>
    <x v="52"/>
    <x v="0"/>
    <x v="0"/>
  </r>
  <r>
    <n v="73336"/>
    <x v="29"/>
    <s v="MMG"/>
    <x v="0"/>
    <n v="50012902"/>
    <s v="SACA POLIA 03 GARRAS 250 MM GEDORE"/>
    <n v="1"/>
    <s v="REALIZADO"/>
    <s v="BRUNO"/>
    <x v="52"/>
    <x v="2"/>
    <x v="0"/>
  </r>
  <r>
    <n v="73336"/>
    <x v="29"/>
    <s v="MMG"/>
    <x v="0"/>
    <n v="50012902"/>
    <s v="SACA POLIA 03 GARRAS 250 MM GEDORE"/>
    <n v="1"/>
    <s v="REALIZADO"/>
    <s v="BRUNO"/>
    <x v="52"/>
    <x v="0"/>
    <x v="0"/>
  </r>
  <r>
    <n v="73336"/>
    <x v="29"/>
    <s v="MMG"/>
    <x v="0"/>
    <n v="50032775"/>
    <s v="SACA POLIA 150MM 3 GARRAS - GEDORE"/>
    <n v="1"/>
    <s v="REALIZADO"/>
    <s v="BRUNO"/>
    <x v="52"/>
    <x v="2"/>
    <x v="0"/>
  </r>
  <r>
    <n v="73336"/>
    <x v="29"/>
    <s v="MMG"/>
    <x v="0"/>
    <n v="50032775"/>
    <s v="SACA POLIA 150MM 3 GARRAS - GEDORE"/>
    <n v="1"/>
    <s v="REALIZADO"/>
    <s v="BRUNO"/>
    <x v="52"/>
    <x v="2"/>
    <x v="0"/>
  </r>
  <r>
    <n v="68708"/>
    <x v="13"/>
    <s v="MMG"/>
    <x v="0"/>
    <n v="50042283"/>
    <s v="TALHA 2000KG x 5M"/>
    <n v="1"/>
    <s v="REALIZADO"/>
    <s v="MATHEUS"/>
    <x v="52"/>
    <x v="0"/>
    <x v="0"/>
  </r>
  <r>
    <n v="63713"/>
    <x v="67"/>
    <s v="MME"/>
    <x v="0"/>
    <n v="50010031"/>
    <s v=" LIXADEIRA BOSCH 6"/>
    <n v="1"/>
    <s v="REALIZADO"/>
    <s v="KELLY"/>
    <x v="53"/>
    <x v="2"/>
    <x v="0"/>
  </r>
  <r>
    <n v="63713"/>
    <x v="67"/>
    <s v="MME"/>
    <x v="0"/>
    <n v="50010031"/>
    <s v=" LIXADEIRA BOSCH 6"/>
    <n v="1"/>
    <s v="REALIZADO"/>
    <s v="BRUNA"/>
    <x v="53"/>
    <x v="2"/>
    <x v="0"/>
  </r>
  <r>
    <n v="65900"/>
    <x v="73"/>
    <s v="MME"/>
    <x v="3"/>
    <n v="50036296"/>
    <s v="CHAVE AJUSTÁVEL 45MM"/>
    <n v="1"/>
    <s v="REALIZADO"/>
    <s v="AGATHA"/>
    <x v="53"/>
    <x v="2"/>
    <x v="0"/>
  </r>
  <r>
    <n v="66830"/>
    <x v="3"/>
    <s v="MPR"/>
    <x v="0"/>
    <n v="50036086"/>
    <s v="CHAVE GRIFO 18"/>
    <n v="1"/>
    <s v="REALIZADO"/>
    <s v="BRUNA"/>
    <x v="53"/>
    <x v="2"/>
    <x v="0"/>
  </r>
  <r>
    <n v="73878"/>
    <x v="20"/>
    <s v="MMG"/>
    <x v="0"/>
    <n v="50039718"/>
    <s v="ESCALA DE ACO 1000MM VONDER "/>
    <n v="1"/>
    <s v="REALIZADO"/>
    <s v="KELLY"/>
    <x v="53"/>
    <x v="2"/>
    <x v="0"/>
  </r>
  <r>
    <n v="79177"/>
    <x v="28"/>
    <s v="MMG"/>
    <x v="0"/>
    <n v="50039718"/>
    <s v="ESCALA DE ACO 1000MM VONDER "/>
    <n v="1"/>
    <s v="REALIZADO"/>
    <s v="GEOVANE"/>
    <x v="53"/>
    <x v="0"/>
    <x v="0"/>
  </r>
  <r>
    <n v="60763"/>
    <x v="57"/>
    <s v="MMG"/>
    <x v="2"/>
    <n v="50030486"/>
    <s v="FURADEIRA BOSCH 3"/>
    <n v="1"/>
    <s v="REALIZADO"/>
    <s v="BRUNA"/>
    <x v="53"/>
    <x v="2"/>
    <x v="0"/>
  </r>
  <r>
    <n v="60763"/>
    <x v="57"/>
    <s v="MMG"/>
    <x v="2"/>
    <n v="50030486"/>
    <s v="FURADEIRA BOSCH 3"/>
    <n v="1"/>
    <s v="REALIZADO"/>
    <s v="BRUNA"/>
    <x v="53"/>
    <x v="2"/>
    <x v="0"/>
  </r>
  <r>
    <n v="77521"/>
    <x v="5"/>
    <s v="MME"/>
    <x v="0"/>
    <n v="50043471"/>
    <s v="FURADEIRA BOSCH 7"/>
    <n v="1"/>
    <s v="REALIZADO"/>
    <s v="BRUNA"/>
    <x v="53"/>
    <x v="0"/>
    <x v="0"/>
  </r>
  <r>
    <n v="63713"/>
    <x v="67"/>
    <s v="MME"/>
    <x v="0"/>
    <n v="50003297"/>
    <s v="FURADEIRA DE IMPACTO MAKITA 02"/>
    <n v="1"/>
    <s v="REALIZADO"/>
    <s v="AGATHA"/>
    <x v="53"/>
    <x v="2"/>
    <x v="0"/>
  </r>
  <r>
    <n v="63713"/>
    <x v="67"/>
    <s v="MME"/>
    <x v="0"/>
    <n v="50003297"/>
    <s v="FURADEIRA DE IMPACTO MAKITA 02"/>
    <n v="1"/>
    <s v="REALIZADO"/>
    <s v="BRUNA"/>
    <x v="53"/>
    <x v="0"/>
    <x v="0"/>
  </r>
  <r>
    <n v="63713"/>
    <x v="67"/>
    <s v="MME"/>
    <x v="0"/>
    <n v="50043320"/>
    <s v="JOGO SERRA COPO 8PÇS"/>
    <n v="1"/>
    <s v="REALIZADO"/>
    <s v="AGATHA"/>
    <x v="53"/>
    <x v="2"/>
    <x v="0"/>
  </r>
  <r>
    <n v="63713"/>
    <x v="67"/>
    <s v="MME"/>
    <x v="0"/>
    <n v="50043320"/>
    <s v="JOGO SERRA COPO 8PÇS"/>
    <n v="1"/>
    <s v="REALIZADO"/>
    <s v="BRUNA"/>
    <x v="53"/>
    <x v="0"/>
    <x v="0"/>
  </r>
  <r>
    <n v="66830"/>
    <x v="3"/>
    <s v="MPR"/>
    <x v="0"/>
    <n v="50038549"/>
    <s v="JOGO SOQUETE ESTRIADOS 1/2 22PEÇ"/>
    <n v="1"/>
    <s v="REALIZADO"/>
    <s v="AGATHA"/>
    <x v="53"/>
    <x v="2"/>
    <x v="0"/>
  </r>
  <r>
    <n v="66830"/>
    <x v="3"/>
    <s v="MPR"/>
    <x v="0"/>
    <n v="50038549"/>
    <s v="JOGO SOQUETE ESTRIADOS 1/2 22PEÇ"/>
    <n v="1"/>
    <s v="REALIZADO"/>
    <s v="AGATHA"/>
    <x v="53"/>
    <x v="2"/>
    <x v="0"/>
  </r>
  <r>
    <n v="61264"/>
    <x v="10"/>
    <s v="MMG"/>
    <x v="0"/>
    <n v="50038549"/>
    <s v="JOGO SOQUETE ESTRIADOS 1/2 22PEÇ"/>
    <n v="1"/>
    <s v="REALIZADO"/>
    <s v="BRUNA"/>
    <x v="53"/>
    <x v="2"/>
    <x v="0"/>
  </r>
  <r>
    <n v="73336"/>
    <x v="29"/>
    <s v="MMG"/>
    <x v="0"/>
    <n v="50022878"/>
    <s v="KIT MONTAGEM ROLAMENTO SKF"/>
    <n v="1"/>
    <s v="REALIZADO"/>
    <s v="AGATHA"/>
    <x v="53"/>
    <x v="0"/>
    <x v="0"/>
  </r>
  <r>
    <n v="72715"/>
    <x v="26"/>
    <s v="MPR"/>
    <x v="0"/>
    <n v="50038956"/>
    <s v="LIXADEIRA BOSCH 1"/>
    <n v="1"/>
    <s v="REALIZADO"/>
    <s v="AGATHA"/>
    <x v="53"/>
    <x v="2"/>
    <x v="0"/>
  </r>
  <r>
    <n v="72715"/>
    <x v="26"/>
    <s v="MPR"/>
    <x v="0"/>
    <n v="50038956"/>
    <s v="LIXADEIRA BOSCH 1"/>
    <n v="1"/>
    <s v="REALIZADO"/>
    <s v="BRUNA"/>
    <x v="53"/>
    <x v="0"/>
    <x v="0"/>
  </r>
  <r>
    <n v="62471"/>
    <x v="9"/>
    <s v="MME"/>
    <x v="0"/>
    <n v="50037892"/>
    <s v="LIXADEIRA BOSCH 2"/>
    <n v="1"/>
    <s v="REALIZADO"/>
    <s v="KELLY"/>
    <x v="53"/>
    <x v="2"/>
    <x v="0"/>
  </r>
  <r>
    <n v="62471"/>
    <x v="9"/>
    <s v="MME"/>
    <x v="0"/>
    <n v="50037892"/>
    <s v="LIXADEIRA BOSCH 2"/>
    <n v="1"/>
    <s v="REALIZADO"/>
    <s v="BRUNA"/>
    <x v="53"/>
    <x v="0"/>
    <x v="0"/>
  </r>
  <r>
    <n v="66789"/>
    <x v="78"/>
    <s v="MME"/>
    <x v="2"/>
    <n v="50037902"/>
    <s v="LIXADEIRA BOSCH 3"/>
    <n v="1"/>
    <s v="REALIZADO"/>
    <s v="KELLY"/>
    <x v="53"/>
    <x v="2"/>
    <x v="0"/>
  </r>
  <r>
    <n v="66789"/>
    <x v="78"/>
    <s v="MME"/>
    <x v="2"/>
    <n v="50037902"/>
    <s v="LIXADEIRA BOSCH 3"/>
    <n v="1"/>
    <s v="REALIZADO"/>
    <s v="BRUNA"/>
    <x v="53"/>
    <x v="0"/>
    <x v="0"/>
  </r>
  <r>
    <n v="68708"/>
    <x v="13"/>
    <s v="MMG"/>
    <x v="0"/>
    <n v="50038841"/>
    <s v="LIXADEIRA BOSCH 4"/>
    <n v="1"/>
    <s v="REALIZADO"/>
    <s v="AGATHA"/>
    <x v="53"/>
    <x v="2"/>
    <x v="0"/>
  </r>
  <r>
    <n v="68708"/>
    <x v="13"/>
    <s v="MMG"/>
    <x v="0"/>
    <n v="50038841"/>
    <s v="LIXADEIRA BOSCH 4"/>
    <n v="1"/>
    <s v="REALIZADO"/>
    <s v="BRUNA"/>
    <x v="53"/>
    <x v="0"/>
    <x v="0"/>
  </r>
  <r>
    <n v="64253"/>
    <x v="16"/>
    <s v="MMG"/>
    <x v="0"/>
    <n v="50038517"/>
    <s v="LIXADEIRA BOSCH 5"/>
    <n v="1"/>
    <s v="REALIZADO"/>
    <s v="AGATHA"/>
    <x v="53"/>
    <x v="2"/>
    <x v="0"/>
  </r>
  <r>
    <n v="64253"/>
    <x v="16"/>
    <s v="MMG"/>
    <x v="0"/>
    <n v="50038517"/>
    <s v="LIXADEIRA BOSCH 5"/>
    <n v="1"/>
    <s v="REALIZADO"/>
    <s v="BRUNA"/>
    <x v="53"/>
    <x v="2"/>
    <x v="0"/>
  </r>
  <r>
    <n v="73878"/>
    <x v="20"/>
    <s v="MMG"/>
    <x v="0"/>
    <n v="50037926"/>
    <s v="MACACO HIDRAULICO AZUL"/>
    <n v="1"/>
    <s v="REALIZADO"/>
    <s v="KELLY"/>
    <x v="53"/>
    <x v="0"/>
    <x v="0"/>
  </r>
  <r>
    <n v="66830"/>
    <x v="3"/>
    <s v="MPR"/>
    <x v="0"/>
    <n v="50026357"/>
    <s v="MARTELETE VONDER"/>
    <n v="1"/>
    <s v="REALIZADO"/>
    <s v="AGATHA"/>
    <x v="53"/>
    <x v="2"/>
    <x v="0"/>
  </r>
  <r>
    <n v="66830"/>
    <x v="3"/>
    <s v="MPR"/>
    <x v="0"/>
    <n v="50026357"/>
    <s v="MARTELETE VONDER"/>
    <n v="1"/>
    <s v="REALIZADO"/>
    <s v="AGATHA"/>
    <x v="53"/>
    <x v="0"/>
    <x v="0"/>
  </r>
  <r>
    <n v="75361"/>
    <x v="86"/>
    <s v="MEE"/>
    <x v="0"/>
    <n v="50026357"/>
    <s v="MARTELETE VONDER"/>
    <n v="1"/>
    <s v="REALIZADO"/>
    <s v="AGATHA"/>
    <x v="53"/>
    <x v="2"/>
    <x v="0"/>
  </r>
  <r>
    <n v="75361"/>
    <x v="86"/>
    <s v="MEE"/>
    <x v="0"/>
    <n v="50026357"/>
    <s v="MARTELETE VONDER"/>
    <n v="1"/>
    <s v="REALIZADO"/>
    <s v="AGATHA"/>
    <x v="53"/>
    <x v="2"/>
    <x v="0"/>
  </r>
  <r>
    <n v="69510"/>
    <x v="7"/>
    <s v="MEE"/>
    <x v="0"/>
    <n v="50038662"/>
    <s v="MARTELO ROMPEDOR SDS MAX 220V 1100W"/>
    <n v="1"/>
    <s v="REALIZADO"/>
    <s v="AGATHA"/>
    <x v="53"/>
    <x v="2"/>
    <x v="0"/>
  </r>
  <r>
    <n v="64074"/>
    <x v="75"/>
    <s v="MPR"/>
    <x v="0"/>
    <n v="50041195"/>
    <s v="PARAFUSADEIRA FUR DE IMPACTO BRUSHLESS"/>
    <n v="1"/>
    <s v="REALIZADO"/>
    <s v="BRUNA"/>
    <x v="53"/>
    <x v="0"/>
    <x v="0"/>
  </r>
  <r>
    <n v="63713"/>
    <x v="67"/>
    <s v="MME"/>
    <x v="0"/>
    <n v="50043917"/>
    <s v="PARAFUSADEIRA FURADEIRA BOSCH"/>
    <n v="1"/>
    <s v="REALIZADO"/>
    <s v="AGATHA"/>
    <x v="53"/>
    <x v="2"/>
    <x v="0"/>
  </r>
  <r>
    <n v="63713"/>
    <x v="67"/>
    <s v="MME"/>
    <x v="0"/>
    <n v="50043917"/>
    <s v="PARAFUSADEIRA FURADEIRA BOSCH"/>
    <n v="1"/>
    <s v="REALIZADO"/>
    <s v="BRUNA"/>
    <x v="53"/>
    <x v="2"/>
    <x v="0"/>
  </r>
  <r>
    <n v="62444"/>
    <x v="89"/>
    <s v="MMG"/>
    <x v="4"/>
    <n v="50043917"/>
    <s v="PARAFUSADEIRA FURADEIRA BOSCH"/>
    <n v="1"/>
    <s v="REALIZADO"/>
    <s v="MARINA"/>
    <x v="53"/>
    <x v="0"/>
    <x v="0"/>
  </r>
  <r>
    <n v="62444"/>
    <x v="89"/>
    <s v="MMG"/>
    <x v="4"/>
    <n v="50043917"/>
    <s v="PARAFUSADEIRA FURADEIRA BOSCH"/>
    <n v="1"/>
    <s v="REALIZADO"/>
    <s v="MARINA"/>
    <x v="53"/>
    <x v="0"/>
    <x v="0"/>
  </r>
  <r>
    <n v="61264"/>
    <x v="10"/>
    <s v="MMG"/>
    <x v="0"/>
    <n v="50044453"/>
    <s v="SACA POLIA COM 2 GARRAS 70MM"/>
    <n v="1"/>
    <s v="REALIZADO"/>
    <s v="AGATHA"/>
    <x v="53"/>
    <x v="2"/>
    <x v="0"/>
  </r>
  <r>
    <n v="61264"/>
    <x v="10"/>
    <s v="MMG"/>
    <x v="0"/>
    <n v="50044453"/>
    <s v="SACA POLIA COM 2 GARRAS 70MM"/>
    <n v="1"/>
    <s v="REALIZADO"/>
    <s v="AGATHA"/>
    <x v="53"/>
    <x v="0"/>
    <x v="0"/>
  </r>
  <r>
    <n v="77526"/>
    <x v="37"/>
    <s v="MME"/>
    <x v="0"/>
    <n v="50032781"/>
    <s v="SERRA TICO TICO 650W DEWALT "/>
    <n v="1"/>
    <s v="REALIZADO"/>
    <s v="AGATHA"/>
    <x v="53"/>
    <x v="2"/>
    <x v="0"/>
  </r>
  <r>
    <n v="77526"/>
    <x v="37"/>
    <s v="MME"/>
    <x v="0"/>
    <n v="50032781"/>
    <s v="SERRA TICO TICO 650W DEWALT "/>
    <n v="1"/>
    <s v="REALIZADO"/>
    <s v="AGATHA"/>
    <x v="53"/>
    <x v="0"/>
    <x v="0"/>
  </r>
  <r>
    <n v="77526"/>
    <x v="37"/>
    <s v="MME"/>
    <x v="0"/>
    <n v="50038618"/>
    <s v="SOPRADOR "/>
    <n v="1"/>
    <s v="REALIZADO"/>
    <s v="AGATHA"/>
    <x v="53"/>
    <x v="2"/>
    <x v="0"/>
  </r>
  <r>
    <n v="77526"/>
    <x v="37"/>
    <s v="MME"/>
    <x v="0"/>
    <n v="50038618"/>
    <s v="SOPRADOR "/>
    <n v="1"/>
    <s v="REALIZADO"/>
    <s v="AGATHA"/>
    <x v="53"/>
    <x v="0"/>
    <x v="0"/>
  </r>
  <r>
    <n v="77526"/>
    <x v="37"/>
    <s v="MME"/>
    <x v="0"/>
    <n v="50028220"/>
    <s v="SOPRADOR TERMICO VONDER 1500W 220V"/>
    <n v="1"/>
    <s v="REALIZADO"/>
    <s v="AGATHA"/>
    <x v="53"/>
    <x v="2"/>
    <x v="0"/>
  </r>
  <r>
    <n v="77526"/>
    <x v="37"/>
    <s v="MME"/>
    <x v="0"/>
    <n v="50028220"/>
    <s v="SOPRADOR TERMICO VONDER 1500W 220V"/>
    <n v="1"/>
    <s v="REALIZADO"/>
    <s v="AGATHA"/>
    <x v="53"/>
    <x v="0"/>
    <x v="0"/>
  </r>
  <r>
    <n v="63713"/>
    <x v="67"/>
    <s v="MME"/>
    <x v="0"/>
    <n v="50010031"/>
    <s v=" LIXADEIRA BOSCH 6"/>
    <n v="1"/>
    <s v="REALIZADO"/>
    <s v="AGATHA"/>
    <x v="54"/>
    <x v="2"/>
    <x v="0"/>
  </r>
  <r>
    <n v="63713"/>
    <x v="67"/>
    <s v="MME"/>
    <x v="0"/>
    <n v="50010031"/>
    <s v=" LIXADEIRA BOSCH 6"/>
    <n v="1"/>
    <s v="REALIZADO"/>
    <s v="AGATHA"/>
    <x v="54"/>
    <x v="0"/>
    <x v="0"/>
  </r>
  <r>
    <n v="65084"/>
    <x v="83"/>
    <s v="MMG"/>
    <x v="4"/>
    <n v="50036255"/>
    <s v="CHAVE DE IMPACTO 1/2&quot; 20V"/>
    <n v="1"/>
    <s v="REALIZADO"/>
    <s v="MATHEUS"/>
    <x v="54"/>
    <x v="2"/>
    <x v="0"/>
  </r>
  <r>
    <n v="65084"/>
    <x v="83"/>
    <s v="MMG"/>
    <x v="4"/>
    <n v="50036255"/>
    <s v="CHAVE DE IMPACTO 1/2&quot; 20V"/>
    <n v="1"/>
    <s v="REALIZADO"/>
    <s v="MATHEUS"/>
    <x v="54"/>
    <x v="0"/>
    <x v="0"/>
  </r>
  <r>
    <n v="77521"/>
    <x v="5"/>
    <s v="MME"/>
    <x v="0"/>
    <n v="50030486"/>
    <s v="FURADEIRA BOSCH 3"/>
    <n v="1"/>
    <s v="REALIZADO"/>
    <s v="AGATHA"/>
    <x v="54"/>
    <x v="2"/>
    <x v="0"/>
  </r>
  <r>
    <n v="77521"/>
    <x v="5"/>
    <s v="MME"/>
    <x v="0"/>
    <n v="50030486"/>
    <s v="FURADEIRA BOSCH 3"/>
    <n v="1"/>
    <s v="REALIZADO"/>
    <s v="GEOVANE"/>
    <x v="54"/>
    <x v="2"/>
    <x v="0"/>
  </r>
  <r>
    <n v="76633"/>
    <x v="62"/>
    <s v="MMG"/>
    <x v="2"/>
    <n v="50039236"/>
    <s v="FURADEIRA BOSCH 4"/>
    <n v="1"/>
    <s v="REALIZADO"/>
    <s v="MATHEUS"/>
    <x v="54"/>
    <x v="0"/>
    <x v="0"/>
  </r>
  <r>
    <n v="75424"/>
    <x v="39"/>
    <s v="MME"/>
    <x v="2"/>
    <n v="50039236"/>
    <s v="FURADEIRA BOSCH 4"/>
    <n v="1"/>
    <s v="REALIZADO"/>
    <s v="MATHEUS"/>
    <x v="54"/>
    <x v="2"/>
    <x v="0"/>
  </r>
  <r>
    <n v="75424"/>
    <x v="39"/>
    <s v="MME"/>
    <x v="2"/>
    <n v="50039236"/>
    <s v="FURADEIRA BOSCH 4"/>
    <n v="1"/>
    <s v="REALIZADO"/>
    <s v="MATHEUS"/>
    <x v="54"/>
    <x v="0"/>
    <x v="0"/>
  </r>
  <r>
    <n v="33880"/>
    <x v="45"/>
    <s v="MME"/>
    <x v="4"/>
    <n v="50043471"/>
    <s v="FURADEIRA BOSCH 7"/>
    <n v="1"/>
    <s v="REALIZADO"/>
    <s v="AGATHA"/>
    <x v="54"/>
    <x v="2"/>
    <x v="0"/>
  </r>
  <r>
    <n v="33880"/>
    <x v="45"/>
    <s v="MME"/>
    <x v="4"/>
    <n v="50043471"/>
    <s v="FURADEIRA BOSCH 7"/>
    <n v="1"/>
    <s v="REALIZADO"/>
    <s v="AGATHA"/>
    <x v="54"/>
    <x v="2"/>
    <x v="0"/>
  </r>
  <r>
    <n v="76994"/>
    <x v="8"/>
    <s v="MEE"/>
    <x v="0"/>
    <n v="50003297"/>
    <s v="FURADEIRA DE IMPACTO MAKITA 02"/>
    <n v="1"/>
    <s v="REALIZADO"/>
    <s v="MATHEUS"/>
    <x v="54"/>
    <x v="0"/>
    <x v="0"/>
  </r>
  <r>
    <n v="65084"/>
    <x v="83"/>
    <s v="MMG"/>
    <x v="4"/>
    <n v="50038549"/>
    <s v="JOGO SOQUETE ESTRIADOS 1/2 22PEÇ"/>
    <n v="1"/>
    <s v="REALIZADO"/>
    <s v="MATHEUS"/>
    <x v="54"/>
    <x v="2"/>
    <x v="0"/>
  </r>
  <r>
    <n v="65084"/>
    <x v="83"/>
    <s v="MMG"/>
    <x v="4"/>
    <n v="50038549"/>
    <s v="JOGO SOQUETE ESTRIADOS 1/2 22PEÇ"/>
    <n v="1"/>
    <s v="REALIZADO"/>
    <s v="MATHEUS"/>
    <x v="54"/>
    <x v="2"/>
    <x v="0"/>
  </r>
  <r>
    <n v="68708"/>
    <x v="13"/>
    <s v="MMG"/>
    <x v="0"/>
    <n v="50022878"/>
    <s v="KIT MONTAGEM ROLAMENTO SKF"/>
    <n v="1"/>
    <s v="REALIZADO"/>
    <s v="MATHEUS"/>
    <x v="54"/>
    <x v="0"/>
    <x v="0"/>
  </r>
  <r>
    <n v="75424"/>
    <x v="39"/>
    <s v="MME"/>
    <x v="2"/>
    <n v="50037892"/>
    <s v="LIXADEIRA BOSCH 2"/>
    <n v="1"/>
    <s v="REALIZADO"/>
    <s v="MATHEUS"/>
    <x v="54"/>
    <x v="2"/>
    <x v="0"/>
  </r>
  <r>
    <n v="75424"/>
    <x v="39"/>
    <s v="MME"/>
    <x v="2"/>
    <n v="50037892"/>
    <s v="LIXADEIRA BOSCH 2"/>
    <n v="1"/>
    <s v="REALIZADO"/>
    <s v="MATHEUS"/>
    <x v="54"/>
    <x v="0"/>
    <x v="0"/>
  </r>
  <r>
    <n v="77521"/>
    <x v="5"/>
    <s v="MME"/>
    <x v="0"/>
    <n v="50038517"/>
    <s v="LIXADEIRA BOSCH 5"/>
    <n v="1"/>
    <s v="REALIZADO"/>
    <s v="AGATHA"/>
    <x v="54"/>
    <x v="2"/>
    <x v="0"/>
  </r>
  <r>
    <n v="77521"/>
    <x v="5"/>
    <s v="MME"/>
    <x v="0"/>
    <n v="50038517"/>
    <s v="LIXADEIRA BOSCH 5"/>
    <n v="1"/>
    <s v="REALIZADO"/>
    <s v="AGATHA"/>
    <x v="54"/>
    <x v="0"/>
    <x v="0"/>
  </r>
  <r>
    <n v="61264"/>
    <x v="10"/>
    <s v="MMG"/>
    <x v="0"/>
    <n v="50038517"/>
    <s v="LIXADEIRA BOSCH 5"/>
    <n v="1"/>
    <s v="REALIZADO"/>
    <s v="MARCIA"/>
    <x v="54"/>
    <x v="2"/>
    <x v="0"/>
  </r>
  <r>
    <n v="61264"/>
    <x v="10"/>
    <s v="MMG"/>
    <x v="0"/>
    <n v="50038517"/>
    <s v="LIXADEIRA BOSCH 5"/>
    <n v="1"/>
    <s v="REALIZADO"/>
    <s v="MARCIA"/>
    <x v="54"/>
    <x v="2"/>
    <x v="0"/>
  </r>
  <r>
    <n v="78886"/>
    <x v="51"/>
    <s v="MME"/>
    <x v="0"/>
    <n v="50038517"/>
    <s v="LIXADEIRA BOSCH 5"/>
    <n v="1"/>
    <s v="REALIZADO"/>
    <s v="MATHEUS"/>
    <x v="54"/>
    <x v="0"/>
    <x v="0"/>
  </r>
  <r>
    <n v="68708"/>
    <x v="13"/>
    <s v="MMG"/>
    <x v="0"/>
    <n v="50038517"/>
    <s v="LIXADEIRA BOSCH 5"/>
    <n v="1"/>
    <s v="REALIZADO"/>
    <s v="MATHEUS"/>
    <x v="54"/>
    <x v="2"/>
    <x v="0"/>
  </r>
  <r>
    <n v="68708"/>
    <x v="13"/>
    <s v="MMG"/>
    <x v="0"/>
    <n v="50038517"/>
    <s v="LIXADEIRA BOSCH 5"/>
    <n v="1"/>
    <s v="REALIZADO"/>
    <s v="MATHEUS"/>
    <x v="54"/>
    <x v="0"/>
    <x v="0"/>
  </r>
  <r>
    <n v="75424"/>
    <x v="39"/>
    <s v="MME"/>
    <x v="2"/>
    <n v="50039065"/>
    <s v="MAQUINA SOLDA TIG"/>
    <n v="1"/>
    <s v="REALIZADO"/>
    <s v="AGATHA"/>
    <x v="54"/>
    <x v="2"/>
    <x v="0"/>
  </r>
  <r>
    <n v="75424"/>
    <x v="39"/>
    <s v="MME"/>
    <x v="2"/>
    <n v="50039065"/>
    <s v="MAQUINA SOLDA TIG"/>
    <n v="1"/>
    <s v="REALIZADO"/>
    <s v="MATHEUS"/>
    <x v="54"/>
    <x v="2"/>
    <x v="0"/>
  </r>
  <r>
    <n v="79177"/>
    <x v="28"/>
    <s v="MMG"/>
    <x v="0"/>
    <n v="50039065"/>
    <s v="MAQUINA SOLDA TIG"/>
    <n v="1"/>
    <s v="REALIZADO"/>
    <s v="BRUNA"/>
    <x v="54"/>
    <x v="0"/>
    <x v="0"/>
  </r>
  <r>
    <n v="77521"/>
    <x v="5"/>
    <s v="MME"/>
    <x v="0"/>
    <n v="50026357"/>
    <s v="MARTELETE VONDER"/>
    <n v="1"/>
    <s v="REALIZADO"/>
    <s v="AGATHA"/>
    <x v="54"/>
    <x v="2"/>
    <x v="0"/>
  </r>
  <r>
    <n v="77521"/>
    <x v="5"/>
    <s v="MME"/>
    <x v="0"/>
    <n v="50026357"/>
    <s v="MARTELETE VONDER"/>
    <n v="1"/>
    <s v="REALIZADO"/>
    <s v="GEOVANE"/>
    <x v="54"/>
    <x v="2"/>
    <x v="0"/>
  </r>
  <r>
    <n v="65900"/>
    <x v="73"/>
    <s v="MME"/>
    <x v="3"/>
    <n v="50041195"/>
    <s v="PARAFUSADEIRA FUR DE IMPACTO BRUSHLESS"/>
    <n v="1"/>
    <s v="REALIZADO"/>
    <s v="AGATHA"/>
    <x v="54"/>
    <x v="0"/>
    <x v="0"/>
  </r>
  <r>
    <n v="77526"/>
    <x v="37"/>
    <s v="MME"/>
    <x v="0"/>
    <n v="50041195"/>
    <s v="PARAFUSADEIRA FUR DE IMPACTO BRUSHLESS"/>
    <n v="1"/>
    <s v="REALIZADO"/>
    <s v="MATHEUS"/>
    <x v="54"/>
    <x v="2"/>
    <x v="0"/>
  </r>
  <r>
    <n v="77526"/>
    <x v="37"/>
    <s v="MME"/>
    <x v="0"/>
    <n v="50041195"/>
    <s v="PARAFUSADEIRA FUR DE IMPACTO BRUSHLESS"/>
    <n v="1"/>
    <s v="REALIZADO"/>
    <s v="MATHEUS"/>
    <x v="54"/>
    <x v="0"/>
    <x v="0"/>
  </r>
  <r>
    <n v="77471"/>
    <x v="35"/>
    <s v="MEE"/>
    <x v="0"/>
    <n v="50043917"/>
    <s v="PARAFUSADEIRA FURADEIRA BOSCH"/>
    <n v="1"/>
    <s v="REALIZADO"/>
    <s v="AGATHA"/>
    <x v="54"/>
    <x v="2"/>
    <x v="0"/>
  </r>
  <r>
    <n v="77471"/>
    <x v="35"/>
    <s v="MEE"/>
    <x v="0"/>
    <n v="50043917"/>
    <s v="PARAFUSADEIRA FURADEIRA BOSCH"/>
    <n v="1"/>
    <s v="REALIZADO"/>
    <s v="AGATHA"/>
    <x v="54"/>
    <x v="0"/>
    <x v="0"/>
  </r>
  <r>
    <n v="79177"/>
    <x v="28"/>
    <s v="MMG"/>
    <x v="0"/>
    <n v="50004486"/>
    <s v="RETIFICA "/>
    <n v="1"/>
    <s v="REALIZADO"/>
    <s v="MATHEUS"/>
    <x v="54"/>
    <x v="2"/>
    <x v="0"/>
  </r>
  <r>
    <n v="79177"/>
    <x v="28"/>
    <s v="MMG"/>
    <x v="0"/>
    <n v="50004486"/>
    <s v="RETIFICA "/>
    <n v="1"/>
    <s v="REALIZADO"/>
    <s v="BRUNA"/>
    <x v="54"/>
    <x v="2"/>
    <x v="0"/>
  </r>
  <r>
    <n v="77526"/>
    <x v="37"/>
    <s v="MME"/>
    <x v="0"/>
    <n v="50032781"/>
    <s v="SERRA TICO TICO 650W DEWALT "/>
    <n v="1"/>
    <s v="REALIZADO"/>
    <s v="KELLY"/>
    <x v="54"/>
    <x v="2"/>
    <x v="0"/>
  </r>
  <r>
    <n v="78886"/>
    <x v="51"/>
    <s v="MME"/>
    <x v="0"/>
    <n v="50032781"/>
    <s v="SERRA TICO TICO 650W DEWALT "/>
    <n v="1"/>
    <s v="REALIZADO"/>
    <s v="MARCIA"/>
    <x v="54"/>
    <x v="0"/>
    <x v="0"/>
  </r>
  <r>
    <n v="63713"/>
    <x v="67"/>
    <s v="MME"/>
    <x v="0"/>
    <n v="50010031"/>
    <s v=" LIXADEIRA BOSCH 6"/>
    <n v="1"/>
    <s v="REALIZADO"/>
    <s v="BRUNA"/>
    <x v="55"/>
    <x v="2"/>
    <x v="0"/>
  </r>
  <r>
    <n v="63713"/>
    <x v="67"/>
    <s v="MME"/>
    <x v="0"/>
    <n v="50010031"/>
    <s v=" LIXADEIRA BOSCH 6"/>
    <n v="1"/>
    <s v="REALIZADO"/>
    <s v="BRUNO"/>
    <x v="55"/>
    <x v="2"/>
    <x v="0"/>
  </r>
  <r>
    <n v="62137"/>
    <x v="43"/>
    <s v="MME"/>
    <x v="2"/>
    <n v="50036086"/>
    <s v="CHAVE GRIFO 18"/>
    <n v="1"/>
    <s v="REALIZADO"/>
    <s v="BRUNO"/>
    <x v="55"/>
    <x v="0"/>
    <x v="0"/>
  </r>
  <r>
    <n v="78675"/>
    <x v="12"/>
    <s v="MME"/>
    <x v="2"/>
    <n v="50043471"/>
    <s v="FURADEIRA BOSCH 7"/>
    <n v="1"/>
    <s v="REALIZADO"/>
    <s v="BRUNA"/>
    <x v="55"/>
    <x v="2"/>
    <x v="0"/>
  </r>
  <r>
    <n v="78675"/>
    <x v="12"/>
    <s v="MME"/>
    <x v="2"/>
    <n v="50043471"/>
    <s v="FURADEIRA BOSCH 7"/>
    <n v="1"/>
    <s v="REALIZADO"/>
    <s v="BRUNO"/>
    <x v="55"/>
    <x v="0"/>
    <x v="0"/>
  </r>
  <r>
    <n v="60115"/>
    <x v="34"/>
    <s v="MME"/>
    <x v="3"/>
    <n v="50037892"/>
    <s v="LIXADEIRA BOSCH 2"/>
    <n v="1"/>
    <s v="REALIZADO"/>
    <s v="KELLY"/>
    <x v="55"/>
    <x v="2"/>
    <x v="0"/>
  </r>
  <r>
    <n v="60115"/>
    <x v="34"/>
    <s v="MME"/>
    <x v="3"/>
    <n v="50037892"/>
    <s v="LIXADEIRA BOSCH 2"/>
    <n v="1"/>
    <s v="REALIZADO"/>
    <s v="KELLY"/>
    <x v="55"/>
    <x v="0"/>
    <x v="0"/>
  </r>
  <r>
    <n v="63713"/>
    <x v="67"/>
    <s v="MME"/>
    <x v="0"/>
    <n v="50037892"/>
    <s v="LIXADEIRA BOSCH 2"/>
    <n v="1"/>
    <s v="REALIZADO"/>
    <s v="KELLY"/>
    <x v="55"/>
    <x v="2"/>
    <x v="0"/>
  </r>
  <r>
    <n v="63713"/>
    <x v="67"/>
    <s v="MME"/>
    <x v="0"/>
    <n v="50037892"/>
    <s v="LIXADEIRA BOSCH 2"/>
    <n v="1"/>
    <s v="REALIZADO"/>
    <s v="AGATHA"/>
    <x v="55"/>
    <x v="0"/>
    <x v="0"/>
  </r>
  <r>
    <n v="63713"/>
    <x v="67"/>
    <s v="MME"/>
    <x v="0"/>
    <n v="50037892"/>
    <s v="LIXADEIRA BOSCH 2"/>
    <n v="1"/>
    <s v="REALIZADO"/>
    <s v="BRUNA"/>
    <x v="55"/>
    <x v="2"/>
    <x v="0"/>
  </r>
  <r>
    <n v="63713"/>
    <x v="67"/>
    <s v="MME"/>
    <x v="0"/>
    <n v="50037892"/>
    <s v="LIXADEIRA BOSCH 2"/>
    <n v="1"/>
    <s v="REALIZADO"/>
    <s v="BRUNO"/>
    <x v="55"/>
    <x v="0"/>
    <x v="0"/>
  </r>
  <r>
    <n v="76994"/>
    <x v="8"/>
    <s v="MEE"/>
    <x v="0"/>
    <n v="50038841"/>
    <s v="LIXADEIRA BOSCH 4"/>
    <n v="1"/>
    <s v="REALIZADO"/>
    <s v="AGATHA"/>
    <x v="55"/>
    <x v="2"/>
    <x v="0"/>
  </r>
  <r>
    <n v="76994"/>
    <x v="8"/>
    <s v="MEE"/>
    <x v="0"/>
    <n v="50038841"/>
    <s v="LIXADEIRA BOSCH 4"/>
    <n v="1"/>
    <s v="REALIZADO"/>
    <s v="AGATHA"/>
    <x v="55"/>
    <x v="2"/>
    <x v="0"/>
  </r>
  <r>
    <n v="62896"/>
    <x v="33"/>
    <s v="MEE"/>
    <x v="0"/>
    <n v="50038841"/>
    <s v="LIXADEIRA BOSCH 4"/>
    <n v="1"/>
    <s v="REALIZADO"/>
    <s v="BRUNO"/>
    <x v="55"/>
    <x v="0"/>
    <x v="0"/>
  </r>
  <r>
    <n v="77526"/>
    <x v="37"/>
    <s v="MME"/>
    <x v="0"/>
    <n v="50038517"/>
    <s v="LIXADEIRA BOSCH 5"/>
    <n v="1"/>
    <s v="REALIZADO"/>
    <s v="AGATHA"/>
    <x v="55"/>
    <x v="0"/>
    <x v="0"/>
  </r>
  <r>
    <n v="78678"/>
    <x v="0"/>
    <s v="MME"/>
    <x v="0"/>
    <n v="50038517"/>
    <s v="LIXADEIRA BOSCH 5"/>
    <n v="1"/>
    <s v="REALIZADO"/>
    <s v="AGATHA"/>
    <x v="55"/>
    <x v="2"/>
    <x v="0"/>
  </r>
  <r>
    <n v="78678"/>
    <x v="0"/>
    <s v="MME"/>
    <x v="0"/>
    <n v="50038517"/>
    <s v="LIXADEIRA BOSCH 5"/>
    <n v="1"/>
    <s v="REALIZADO"/>
    <s v="BRUNO"/>
    <x v="55"/>
    <x v="0"/>
    <x v="0"/>
  </r>
  <r>
    <n v="73336"/>
    <x v="29"/>
    <s v="MMG"/>
    <x v="0"/>
    <n v="50001995"/>
    <s v="MAQUINA DE SOLDA"/>
    <n v="1"/>
    <s v="REALIZADO"/>
    <s v="AGATHA"/>
    <x v="55"/>
    <x v="2"/>
    <x v="0"/>
  </r>
  <r>
    <n v="73336"/>
    <x v="29"/>
    <s v="MMG"/>
    <x v="0"/>
    <n v="50001995"/>
    <s v="MAQUINA DE SOLDA"/>
    <n v="1"/>
    <s v="REALIZADO"/>
    <s v="AGATHA"/>
    <x v="55"/>
    <x v="2"/>
    <x v="0"/>
  </r>
  <r>
    <n v="65084"/>
    <x v="83"/>
    <s v="MMG"/>
    <x v="4"/>
    <n v="50001995"/>
    <s v="MAQUINA DE SOLDA"/>
    <n v="1"/>
    <s v="REALIZADO"/>
    <s v="FABIANO"/>
    <x v="55"/>
    <x v="0"/>
    <x v="0"/>
  </r>
  <r>
    <n v="65084"/>
    <x v="83"/>
    <s v="MMG"/>
    <x v="4"/>
    <n v="50001995"/>
    <s v="MAQUINA DE SOLDA"/>
    <n v="1"/>
    <s v="REALIZADO"/>
    <s v="FABIANO"/>
    <x v="55"/>
    <x v="0"/>
    <x v="0"/>
  </r>
  <r>
    <n v="65472"/>
    <x v="48"/>
    <s v="MMG"/>
    <x v="0"/>
    <n v="50039065"/>
    <s v="MAQUINA SOLDA TIG"/>
    <n v="1"/>
    <s v="NÃO REALIZADO"/>
    <s v="KELLY"/>
    <x v="55"/>
    <x v="2"/>
    <x v="0"/>
  </r>
  <r>
    <n v="63713"/>
    <x v="67"/>
    <s v="MME"/>
    <x v="0"/>
    <n v="50039065"/>
    <s v="MAQUINA SOLDA TIG"/>
    <n v="1"/>
    <s v="REALIZADO"/>
    <s v="BRUNO"/>
    <x v="55"/>
    <x v="0"/>
    <x v="0"/>
  </r>
  <r>
    <n v="69510"/>
    <x v="7"/>
    <s v="MEE"/>
    <x v="0"/>
    <n v="50026357"/>
    <s v="MARTELETE VONDER"/>
    <n v="1"/>
    <s v="REALIZADO"/>
    <s v="AGATHA"/>
    <x v="55"/>
    <x v="2"/>
    <x v="0"/>
  </r>
  <r>
    <n v="69510"/>
    <x v="7"/>
    <s v="MEE"/>
    <x v="0"/>
    <n v="50026357"/>
    <s v="MARTELETE VONDER"/>
    <n v="1"/>
    <s v="REALIZADO"/>
    <s v="BRUNO"/>
    <x v="55"/>
    <x v="0"/>
    <x v="0"/>
  </r>
  <r>
    <n v="64074"/>
    <x v="75"/>
    <s v="MPR"/>
    <x v="0"/>
    <n v="50041195"/>
    <s v="PARAFUSADEIRA FUR DE IMPACTO BRUSHLESS"/>
    <n v="1"/>
    <s v="REALIZADO"/>
    <s v="AGATHA"/>
    <x v="55"/>
    <x v="2"/>
    <x v="0"/>
  </r>
  <r>
    <n v="64074"/>
    <x v="75"/>
    <s v="MPR"/>
    <x v="0"/>
    <n v="50041195"/>
    <s v="PARAFUSADEIRA FUR DE IMPACTO BRUSHLESS"/>
    <n v="1"/>
    <s v="REALIZADO"/>
    <s v="BRUNO"/>
    <x v="55"/>
    <x v="2"/>
    <x v="0"/>
  </r>
  <r>
    <n v="65084"/>
    <x v="83"/>
    <s v="MMG"/>
    <x v="4"/>
    <n v="50041195"/>
    <s v="PARAFUSADEIRA FUR DE IMPACTO BRUSHLESS"/>
    <n v="1"/>
    <s v="REALIZADO"/>
    <s v="FABIANO"/>
    <x v="55"/>
    <x v="0"/>
    <x v="0"/>
  </r>
  <r>
    <n v="65084"/>
    <x v="83"/>
    <s v="MMG"/>
    <x v="4"/>
    <n v="50041195"/>
    <s v="PARAFUSADEIRA FUR DE IMPACTO BRUSHLESS"/>
    <n v="1"/>
    <s v="REALIZADO"/>
    <s v="FABIANO"/>
    <x v="55"/>
    <x v="0"/>
    <x v="0"/>
  </r>
  <r>
    <n v="69510"/>
    <x v="7"/>
    <s v="MEE"/>
    <x v="0"/>
    <n v="50043917"/>
    <s v="PARAFUSADEIRA FURADEIRA BOSCH"/>
    <n v="1"/>
    <s v="REALIZADO"/>
    <s v="AGATHA"/>
    <x v="55"/>
    <x v="2"/>
    <x v="0"/>
  </r>
  <r>
    <n v="69510"/>
    <x v="7"/>
    <s v="MEE"/>
    <x v="0"/>
    <n v="50043917"/>
    <s v="PARAFUSADEIRA FURADEIRA BOSCH"/>
    <n v="1"/>
    <s v="REALIZADO"/>
    <s v="BRUNO"/>
    <x v="55"/>
    <x v="2"/>
    <x v="0"/>
  </r>
  <r>
    <n v="77526"/>
    <x v="37"/>
    <s v="MME"/>
    <x v="0"/>
    <n v="50032781"/>
    <s v="SERRA TICO TICO 650W DEWALT "/>
    <n v="1"/>
    <s v="REALIZADO"/>
    <s v="AGATHA"/>
    <x v="55"/>
    <x v="0"/>
    <x v="0"/>
  </r>
  <r>
    <n v="77526"/>
    <x v="37"/>
    <s v="MME"/>
    <x v="0"/>
    <n v="50038618"/>
    <s v="SOPRADOR "/>
    <n v="1"/>
    <s v="REALIZADO"/>
    <s v="AGATHA"/>
    <x v="55"/>
    <x v="2"/>
    <x v="0"/>
  </r>
  <r>
    <n v="77526"/>
    <x v="37"/>
    <s v="MME"/>
    <x v="0"/>
    <n v="50038618"/>
    <s v="SOPRADOR "/>
    <n v="1"/>
    <s v="REALIZADO"/>
    <s v="AGATHA"/>
    <x v="55"/>
    <x v="2"/>
    <x v="0"/>
  </r>
  <r>
    <n v="74874"/>
    <x v="90"/>
    <s v="MMG"/>
    <x v="0"/>
    <n v="50037892"/>
    <s v="LIXADEIRA BOSCH 2"/>
    <n v="1"/>
    <s v="REALIZADO"/>
    <s v="MARINA"/>
    <x v="56"/>
    <x v="0"/>
    <x v="0"/>
  </r>
  <r>
    <n v="74874"/>
    <x v="90"/>
    <s v="MMG"/>
    <x v="0"/>
    <n v="50037892"/>
    <s v="LIXADEIRA BOSCH 2"/>
    <n v="1"/>
    <s v="REALIZADO"/>
    <s v="MARINA"/>
    <x v="56"/>
    <x v="2"/>
    <x v="0"/>
  </r>
  <r>
    <n v="62444"/>
    <x v="89"/>
    <s v="MMG"/>
    <x v="4"/>
    <n v="50043917"/>
    <s v="PARAFUSADEIRA FURADEIRA BOSCH"/>
    <n v="1"/>
    <s v="REALIZADO"/>
    <s v="FABIANO"/>
    <x v="56"/>
    <x v="0"/>
    <x v="0"/>
  </r>
  <r>
    <n v="62444"/>
    <x v="89"/>
    <s v="MMG"/>
    <x v="4"/>
    <n v="50043917"/>
    <s v="PARAFUSADEIRA FURADEIRA BOSCH"/>
    <n v="1"/>
    <s v="REALIZADO"/>
    <s v="FABIANO"/>
    <x v="56"/>
    <x v="0"/>
    <x v="0"/>
  </r>
  <r>
    <n v="75361"/>
    <x v="86"/>
    <s v="MEE"/>
    <x v="0"/>
    <n v="50039236"/>
    <s v="FURADEIRA BOSCH 4"/>
    <n v="1"/>
    <s v="REALIZADO"/>
    <s v="MARCIA"/>
    <x v="57"/>
    <x v="2"/>
    <x v="0"/>
  </r>
  <r>
    <n v="75361"/>
    <x v="86"/>
    <s v="MEE"/>
    <x v="0"/>
    <n v="50039236"/>
    <s v="FURADEIRA BOSCH 4"/>
    <n v="1"/>
    <s v="REALIZADO"/>
    <s v="MARCIA"/>
    <x v="57"/>
    <x v="0"/>
    <x v="0"/>
  </r>
  <r>
    <n v="75361"/>
    <x v="86"/>
    <s v="MEE"/>
    <x v="0"/>
    <n v="50043320"/>
    <s v="JOGO SERRA COPO 8PÇS"/>
    <n v="1"/>
    <s v="REALIZADO"/>
    <s v="MARCIA"/>
    <x v="57"/>
    <x v="2"/>
    <x v="0"/>
  </r>
  <r>
    <n v="75361"/>
    <x v="86"/>
    <s v="MEE"/>
    <x v="0"/>
    <n v="50043320"/>
    <s v="JOGO SERRA COPO 8PÇS"/>
    <n v="1"/>
    <s v="REALIZADO"/>
    <s v="MARCIA"/>
    <x v="57"/>
    <x v="2"/>
    <x v="0"/>
  </r>
  <r>
    <n v="64053"/>
    <x v="91"/>
    <s v="MMG"/>
    <x v="4"/>
    <n v="50038841"/>
    <s v="LIXADEIRA BOSCH 4"/>
    <n v="1"/>
    <s v="REALIZADO"/>
    <s v="MARINA"/>
    <x v="57"/>
    <x v="0"/>
    <x v="0"/>
  </r>
  <r>
    <n v="64053"/>
    <x v="91"/>
    <s v="MMG"/>
    <x v="4"/>
    <n v="50038841"/>
    <s v="LIXADEIRA BOSCH 4"/>
    <n v="1"/>
    <s v="REALIZADO"/>
    <s v="MARINA"/>
    <x v="57"/>
    <x v="2"/>
    <x v="0"/>
  </r>
  <r>
    <n v="58734"/>
    <x v="85"/>
    <s v="MME"/>
    <x v="3"/>
    <n v="50001995"/>
    <s v="MAQUINA DE SOLDA"/>
    <n v="1"/>
    <s v="REALIZADO"/>
    <s v="FELIPE"/>
    <x v="57"/>
    <x v="0"/>
    <x v="0"/>
  </r>
  <r>
    <n v="58734"/>
    <x v="85"/>
    <s v="MME"/>
    <x v="3"/>
    <n v="50001995"/>
    <s v="MAQUINA DE SOLDA"/>
    <n v="1"/>
    <s v="REALIZADO"/>
    <s v="FELIPE"/>
    <x v="57"/>
    <x v="2"/>
    <x v="0"/>
  </r>
  <r>
    <n v="74874"/>
    <x v="90"/>
    <s v="MMG"/>
    <x v="0"/>
    <n v="50038626"/>
    <s v="MARRETA 8KG"/>
    <n v="1"/>
    <s v="REALIZADO"/>
    <s v="MARCIA"/>
    <x v="57"/>
    <x v="2"/>
    <x v="0"/>
  </r>
  <r>
    <n v="75361"/>
    <x v="86"/>
    <s v="MEE"/>
    <x v="0"/>
    <n v="50041195"/>
    <s v="PARAFUSADEIRA FUR DE IMPACTO BRUSHLESS"/>
    <n v="1"/>
    <s v="REALIZADO"/>
    <s v="MARINA"/>
    <x v="57"/>
    <x v="0"/>
    <x v="0"/>
  </r>
  <r>
    <n v="75361"/>
    <x v="86"/>
    <s v="MEE"/>
    <x v="0"/>
    <n v="50041195"/>
    <s v="PARAFUSADEIRA FUR DE IMPACTO BRUSHLESS"/>
    <n v="1"/>
    <s v="REALIZADO"/>
    <s v="MARINA"/>
    <x v="57"/>
    <x v="0"/>
    <x v="0"/>
  </r>
  <r>
    <n v="63684"/>
    <x v="27"/>
    <s v="MME"/>
    <x v="2"/>
    <n v="50043917"/>
    <s v="PARAFUSADEIRA FURADEIRA BOSCH"/>
    <n v="1"/>
    <s v="REALIZADO"/>
    <s v="MARCIA"/>
    <x v="57"/>
    <x v="2"/>
    <x v="0"/>
  </r>
  <r>
    <n v="63684"/>
    <x v="27"/>
    <s v="MME"/>
    <x v="2"/>
    <n v="50043917"/>
    <s v="PARAFUSADEIRA FURADEIRA BOSCH"/>
    <n v="1"/>
    <s v="REALIZADO"/>
    <s v="MARCIA"/>
    <x v="57"/>
    <x v="0"/>
    <x v="0"/>
  </r>
  <r>
    <n v="68430"/>
    <x v="61"/>
    <s v="MEE"/>
    <x v="2"/>
    <n v="50036296"/>
    <s v="CHAVE AJUSTÁVEL 45MM"/>
    <n v="1"/>
    <s v="REALIZADO"/>
    <s v="AGATHA"/>
    <x v="58"/>
    <x v="2"/>
    <x v="0"/>
  </r>
  <r>
    <n v="68430"/>
    <x v="61"/>
    <s v="MEE"/>
    <x v="2"/>
    <n v="50036296"/>
    <s v="CHAVE AJUSTÁVEL 45MM"/>
    <n v="1"/>
    <s v="REALIZADO"/>
    <s v="MATHEUS"/>
    <x v="58"/>
    <x v="0"/>
    <x v="0"/>
  </r>
  <r>
    <n v="63770"/>
    <x v="36"/>
    <s v="MMG"/>
    <x v="0"/>
    <n v="50012576"/>
    <s v="DETECTOR DE VAZAMENTO DE GÁS"/>
    <n v="1"/>
    <s v="REALIZADO"/>
    <s v="AGATHA"/>
    <x v="58"/>
    <x v="2"/>
    <x v="0"/>
  </r>
  <r>
    <n v="63770"/>
    <x v="36"/>
    <s v="MMG"/>
    <x v="0"/>
    <n v="50012576"/>
    <s v="DETECTOR DE VAZAMENTO DE GÁS"/>
    <n v="1"/>
    <s v="REALIZADO"/>
    <s v="AGATHA"/>
    <x v="58"/>
    <x v="2"/>
    <x v="0"/>
  </r>
  <r>
    <n v="61096"/>
    <x v="64"/>
    <s v="MME"/>
    <x v="0"/>
    <n v="50030486"/>
    <s v="FURADEIRA BOSCH 3"/>
    <n v="1"/>
    <s v="REALIZADO"/>
    <s v="BRUNO"/>
    <x v="58"/>
    <x v="0"/>
    <x v="0"/>
  </r>
  <r>
    <n v="64128"/>
    <x v="42"/>
    <s v="UTI"/>
    <x v="3"/>
    <n v="50039236"/>
    <s v="FURADEIRA BOSCH 4"/>
    <n v="1"/>
    <s v="REALIZADO"/>
    <s v="KELLY"/>
    <x v="58"/>
    <x v="2"/>
    <x v="0"/>
  </r>
  <r>
    <n v="64128"/>
    <x v="42"/>
    <s v="UTI"/>
    <x v="3"/>
    <n v="50039236"/>
    <s v="FURADEIRA BOSCH 4"/>
    <n v="1"/>
    <s v="REALIZADO"/>
    <s v="GEOVANE"/>
    <x v="58"/>
    <x v="0"/>
    <x v="0"/>
  </r>
  <r>
    <n v="77526"/>
    <x v="37"/>
    <s v="MME"/>
    <x v="0"/>
    <n v="50043471"/>
    <s v="FURADEIRA BOSCH 7"/>
    <n v="1"/>
    <s v="REALIZADO"/>
    <s v="AGATHA"/>
    <x v="58"/>
    <x v="2"/>
    <x v="0"/>
  </r>
  <r>
    <n v="62471"/>
    <x v="9"/>
    <s v="MME"/>
    <x v="0"/>
    <n v="50043471"/>
    <s v="FURADEIRA BOSCH 7"/>
    <n v="1"/>
    <s v="REALIZADO"/>
    <s v="BRUNO"/>
    <x v="58"/>
    <x v="0"/>
    <x v="0"/>
  </r>
  <r>
    <n v="77521"/>
    <x v="5"/>
    <s v="MME"/>
    <x v="0"/>
    <n v="50003297"/>
    <s v="FURADEIRA DE IMPACTO MAKITA 02"/>
    <n v="1"/>
    <s v="REALIZADO"/>
    <s v="KELLY"/>
    <x v="58"/>
    <x v="2"/>
    <x v="0"/>
  </r>
  <r>
    <n v="77521"/>
    <x v="5"/>
    <s v="MME"/>
    <x v="0"/>
    <n v="50003297"/>
    <s v="FURADEIRA DE IMPACTO MAKITA 02"/>
    <n v="1"/>
    <s v="REALIZADO"/>
    <s v="AGATHA"/>
    <x v="58"/>
    <x v="0"/>
    <x v="0"/>
  </r>
  <r>
    <n v="64128"/>
    <x v="42"/>
    <s v="UTI"/>
    <x v="3"/>
    <n v="50038956"/>
    <s v="LIXADEIRA BOSCH 1"/>
    <n v="1"/>
    <s v="REALIZADO"/>
    <s v="KELLY"/>
    <x v="58"/>
    <x v="2"/>
    <x v="0"/>
  </r>
  <r>
    <n v="64128"/>
    <x v="42"/>
    <s v="UTI"/>
    <x v="3"/>
    <n v="50038956"/>
    <s v="LIXADEIRA BOSCH 1"/>
    <n v="1"/>
    <s v="REALIZADO"/>
    <s v="AGATHA"/>
    <x v="58"/>
    <x v="2"/>
    <x v="0"/>
  </r>
  <r>
    <n v="64074"/>
    <x v="75"/>
    <s v="MPR"/>
    <x v="0"/>
    <n v="50037892"/>
    <s v="LIXADEIRA BOSCH 2"/>
    <n v="1"/>
    <s v="REALIZADO"/>
    <s v="BRUNO"/>
    <x v="58"/>
    <x v="2"/>
    <x v="0"/>
  </r>
  <r>
    <n v="68708"/>
    <x v="13"/>
    <s v="MMG"/>
    <x v="0"/>
    <n v="50037902"/>
    <s v="LIXADEIRA BOSCH 3"/>
    <n v="1"/>
    <s v="REALIZADO"/>
    <s v="BRUNO"/>
    <x v="58"/>
    <x v="2"/>
    <x v="0"/>
  </r>
  <r>
    <n v="60546"/>
    <x v="74"/>
    <s v="MMG"/>
    <x v="4"/>
    <n v="50037902"/>
    <s v="LIXADEIRA BOSCH 3"/>
    <n v="1"/>
    <s v="REALIZADO"/>
    <s v="FABIANO"/>
    <x v="58"/>
    <x v="0"/>
    <x v="0"/>
  </r>
  <r>
    <n v="60546"/>
    <x v="74"/>
    <s v="MMG"/>
    <x v="4"/>
    <n v="50037902"/>
    <s v="LIXADEIRA BOSCH 3"/>
    <n v="1"/>
    <s v="REALIZADO"/>
    <s v="FABIANO"/>
    <x v="58"/>
    <x v="0"/>
    <x v="0"/>
  </r>
  <r>
    <n v="77526"/>
    <x v="37"/>
    <s v="MME"/>
    <x v="0"/>
    <n v="50038841"/>
    <s v="LIXADEIRA BOSCH 4"/>
    <n v="1"/>
    <s v="REALIZADO"/>
    <s v="AGATHA"/>
    <x v="58"/>
    <x v="2"/>
    <x v="0"/>
  </r>
  <r>
    <n v="77526"/>
    <x v="37"/>
    <s v="MME"/>
    <x v="0"/>
    <n v="50038841"/>
    <s v="LIXADEIRA BOSCH 4"/>
    <n v="1"/>
    <s v="REALIZADO"/>
    <s v="BRUNO"/>
    <x v="58"/>
    <x v="0"/>
    <x v="0"/>
  </r>
  <r>
    <n v="63713"/>
    <x v="67"/>
    <s v="MME"/>
    <x v="0"/>
    <n v="50038517"/>
    <s v="LIXADEIRA BOSCH 5"/>
    <n v="1"/>
    <s v="REALIZADO"/>
    <s v="AGATHA"/>
    <x v="58"/>
    <x v="2"/>
    <x v="0"/>
  </r>
  <r>
    <n v="63713"/>
    <x v="67"/>
    <s v="MME"/>
    <x v="0"/>
    <n v="50038517"/>
    <s v="LIXADEIRA BOSCH 5"/>
    <n v="1"/>
    <s v="REALIZADO"/>
    <s v="BRUNO"/>
    <x v="58"/>
    <x v="0"/>
    <x v="0"/>
  </r>
  <r>
    <n v="63713"/>
    <x v="67"/>
    <s v="MME"/>
    <x v="0"/>
    <n v="50039065"/>
    <s v="MAQUINA SOLDA TIG"/>
    <n v="1"/>
    <s v="REALIZADO"/>
    <s v="AGATHA"/>
    <x v="58"/>
    <x v="2"/>
    <x v="0"/>
  </r>
  <r>
    <n v="63713"/>
    <x v="67"/>
    <s v="MME"/>
    <x v="0"/>
    <n v="50039065"/>
    <s v="MAQUINA SOLDA TIG"/>
    <n v="1"/>
    <s v="REALIZADO"/>
    <s v="BRUNO"/>
    <x v="58"/>
    <x v="0"/>
    <x v="0"/>
  </r>
  <r>
    <n v="66830"/>
    <x v="3"/>
    <s v="MPR"/>
    <x v="0"/>
    <n v="50026357"/>
    <s v="MARTELETE VONDER"/>
    <n v="1"/>
    <s v="REALIZADO"/>
    <s v="AGATHA"/>
    <x v="58"/>
    <x v="2"/>
    <x v="0"/>
  </r>
  <r>
    <n v="66830"/>
    <x v="3"/>
    <s v="MPR"/>
    <x v="0"/>
    <n v="50026357"/>
    <s v="MARTELETE VONDER"/>
    <n v="1"/>
    <s v="REALIZADO"/>
    <s v="GEOVANE"/>
    <x v="58"/>
    <x v="0"/>
    <x v="0"/>
  </r>
  <r>
    <n v="63684"/>
    <x v="27"/>
    <s v="MME"/>
    <x v="2"/>
    <n v="50043917"/>
    <s v="PARAFUSADEIRA FURADEIRA BOSCH"/>
    <n v="1"/>
    <s v="REALIZADO"/>
    <s v="KELLY"/>
    <x v="58"/>
    <x v="0"/>
    <x v="0"/>
  </r>
  <r>
    <n v="63684"/>
    <x v="27"/>
    <s v="MME"/>
    <x v="2"/>
    <n v="50043917"/>
    <s v="PARAFUSADEIRA FURADEIRA BOSCH"/>
    <n v="1"/>
    <s v="REALIZADO"/>
    <s v="AGATHA"/>
    <x v="58"/>
    <x v="2"/>
    <x v="0"/>
  </r>
  <r>
    <n v="63684"/>
    <x v="27"/>
    <s v="MME"/>
    <x v="2"/>
    <n v="50043917"/>
    <s v="PARAFUSADEIRA FURADEIRA BOSCH"/>
    <n v="1"/>
    <s v="REALIZADO"/>
    <s v="MATHEUS"/>
    <x v="58"/>
    <x v="0"/>
    <x v="0"/>
  </r>
  <r>
    <n v="65910"/>
    <x v="7"/>
    <s v="MEE"/>
    <x v="0"/>
    <n v="50020622"/>
    <s v="REBITADOR MANUAL"/>
    <n v="1"/>
    <s v="REALIZADO"/>
    <s v="AGATHA"/>
    <x v="58"/>
    <x v="2"/>
    <x v="0"/>
  </r>
  <r>
    <n v="65910"/>
    <x v="7"/>
    <s v="MEE"/>
    <x v="0"/>
    <n v="50020622"/>
    <s v="REBITADOR MANUAL"/>
    <n v="1"/>
    <s v="REALIZADO"/>
    <s v="AGATHA"/>
    <x v="58"/>
    <x v="2"/>
    <x v="0"/>
  </r>
  <r>
    <n v="65844"/>
    <x v="54"/>
    <s v="MMG"/>
    <x v="2"/>
    <n v="50012902"/>
    <s v="SACA POLIA 03 GARRAS 250 MM GEDORE"/>
    <n v="1"/>
    <s v="REALIZADO"/>
    <s v="BRUNO"/>
    <x v="58"/>
    <x v="0"/>
    <x v="0"/>
  </r>
  <r>
    <n v="60115"/>
    <x v="34"/>
    <s v="MME"/>
    <x v="3"/>
    <n v="50032781"/>
    <s v="SERRA TICO TICO 650W DEWALT "/>
    <n v="1"/>
    <s v="REALIZADO"/>
    <s v="AGATHA"/>
    <x v="58"/>
    <x v="2"/>
    <x v="0"/>
  </r>
  <r>
    <n v="60115"/>
    <x v="34"/>
    <s v="MME"/>
    <x v="3"/>
    <n v="50032781"/>
    <s v="SERRA TICO TICO 650W DEWALT "/>
    <n v="1"/>
    <s v="REALIZADO"/>
    <s v="AGATHA"/>
    <x v="58"/>
    <x v="0"/>
    <x v="0"/>
  </r>
  <r>
    <n v="64074"/>
    <x v="75"/>
    <s v="MPR"/>
    <x v="0"/>
    <n v="50028220"/>
    <s v="SOPRADOR TERMICO VONDER 1500W 220V"/>
    <n v="1"/>
    <s v="REALIZADO"/>
    <s v="AGATHA"/>
    <x v="58"/>
    <x v="2"/>
    <x v="0"/>
  </r>
  <r>
    <n v="64074"/>
    <x v="75"/>
    <s v="MPR"/>
    <x v="0"/>
    <n v="50028220"/>
    <s v="SOPRADOR TERMICO VONDER 1500W 220V"/>
    <n v="1"/>
    <s v="REALIZADO"/>
    <s v="GEOVANE"/>
    <x v="58"/>
    <x v="2"/>
    <x v="0"/>
  </r>
  <r>
    <n v="78886"/>
    <x v="51"/>
    <s v="MME"/>
    <x v="0"/>
    <n v="50010031"/>
    <s v=" LIXADEIRA BOSCH 6"/>
    <n v="1"/>
    <s v="REALIZADO"/>
    <s v="BRUNO"/>
    <x v="59"/>
    <x v="2"/>
    <x v="0"/>
  </r>
  <r>
    <n v="66830"/>
    <x v="3"/>
    <s v="MPR"/>
    <x v="0"/>
    <n v="50036086"/>
    <s v="CHAVE GRIFO 18"/>
    <n v="1"/>
    <s v="REALIZADO"/>
    <s v="BRUNO"/>
    <x v="59"/>
    <x v="2"/>
    <x v="0"/>
  </r>
  <r>
    <n v="63713"/>
    <x v="67"/>
    <s v="MME"/>
    <x v="0"/>
    <n v="50003173"/>
    <s v="CHAVE GRIFO 24"/>
    <n v="1"/>
    <s v="REALIZADO"/>
    <s v="BRUNO"/>
    <x v="59"/>
    <x v="2"/>
    <x v="0"/>
  </r>
  <r>
    <n v="75361"/>
    <x v="86"/>
    <s v="MEE"/>
    <x v="0"/>
    <n v="50030486"/>
    <s v="FURADEIRA BOSCH 3"/>
    <n v="1"/>
    <s v="REALIZADO"/>
    <s v="BRUNO"/>
    <x v="59"/>
    <x v="2"/>
    <x v="0"/>
  </r>
  <r>
    <n v="78678"/>
    <x v="0"/>
    <s v="MME"/>
    <x v="0"/>
    <n v="50039236"/>
    <s v="FURADEIRA BOSCH 4"/>
    <n v="1"/>
    <s v="REALIZADO"/>
    <s v="GEOVANE"/>
    <x v="59"/>
    <x v="0"/>
    <x v="0"/>
  </r>
  <r>
    <n v="77521"/>
    <x v="5"/>
    <s v="MME"/>
    <x v="0"/>
    <n v="50043471"/>
    <s v="FURADEIRA BOSCH 7"/>
    <n v="1"/>
    <s v="REALIZADO"/>
    <s v="GEOVANE"/>
    <x v="59"/>
    <x v="2"/>
    <x v="0"/>
  </r>
  <r>
    <n v="77521"/>
    <x v="5"/>
    <s v="MME"/>
    <x v="0"/>
    <n v="50043471"/>
    <s v="FURADEIRA BOSCH 7"/>
    <n v="1"/>
    <s v="REALIZADO"/>
    <s v="BRUNO"/>
    <x v="59"/>
    <x v="0"/>
    <x v="0"/>
  </r>
  <r>
    <n v="75361"/>
    <x v="86"/>
    <s v="MEE"/>
    <x v="0"/>
    <n v="50043320"/>
    <s v="JOGO SERRA COPO 8PÇS"/>
    <n v="1"/>
    <s v="REALIZADO"/>
    <s v="GEOVANE"/>
    <x v="59"/>
    <x v="2"/>
    <x v="0"/>
  </r>
  <r>
    <n v="75361"/>
    <x v="86"/>
    <s v="MEE"/>
    <x v="0"/>
    <n v="50043320"/>
    <s v="JOGO SERRA COPO 8PÇS"/>
    <n v="1"/>
    <s v="REALIZADO"/>
    <s v="BRUNO"/>
    <x v="59"/>
    <x v="0"/>
    <x v="0"/>
  </r>
  <r>
    <n v="70052"/>
    <x v="6"/>
    <s v="MEE"/>
    <x v="0"/>
    <n v="50038549"/>
    <s v="JOGO SOQUETE ESTRIADOS 1/2 22PEÇ"/>
    <n v="1"/>
    <s v="REALIZADO"/>
    <s v="BRUNA"/>
    <x v="59"/>
    <x v="0"/>
    <x v="0"/>
  </r>
  <r>
    <n v="79177"/>
    <x v="28"/>
    <s v="MMG"/>
    <x v="0"/>
    <n v="50022878"/>
    <s v="KIT MONTAGEM ROLAMENTO SKF"/>
    <n v="1"/>
    <s v="REALIZADO"/>
    <s v="GEOVANE"/>
    <x v="59"/>
    <x v="2"/>
    <x v="0"/>
  </r>
  <r>
    <n v="79177"/>
    <x v="28"/>
    <s v="MMG"/>
    <x v="0"/>
    <n v="50022878"/>
    <s v="KIT MONTAGEM ROLAMENTO SKF"/>
    <n v="1"/>
    <s v="REALIZADO"/>
    <s v="BRUNO"/>
    <x v="59"/>
    <x v="0"/>
    <x v="0"/>
  </r>
  <r>
    <n v="78675"/>
    <x v="12"/>
    <s v="MME"/>
    <x v="2"/>
    <n v="50038956"/>
    <s v="LIXADEIRA BOSCH 1"/>
    <n v="1"/>
    <s v="REALIZADO"/>
    <s v="GEOVANE"/>
    <x v="59"/>
    <x v="2"/>
    <x v="0"/>
  </r>
  <r>
    <n v="78675"/>
    <x v="12"/>
    <s v="MME"/>
    <x v="2"/>
    <n v="50038956"/>
    <s v="LIXADEIRA BOSCH 1"/>
    <n v="1"/>
    <s v="REALIZADO"/>
    <s v="BRUNO"/>
    <x v="59"/>
    <x v="2"/>
    <x v="0"/>
  </r>
  <r>
    <n v="75361"/>
    <x v="86"/>
    <s v="MEE"/>
    <x v="0"/>
    <n v="50037892"/>
    <s v="LIXADEIRA BOSCH 2"/>
    <n v="1"/>
    <s v="REALIZADO"/>
    <s v="BRUNO"/>
    <x v="59"/>
    <x v="2"/>
    <x v="0"/>
  </r>
  <r>
    <n v="63684"/>
    <x v="27"/>
    <s v="MME"/>
    <x v="2"/>
    <n v="50037902"/>
    <s v="LIXADEIRA BOSCH 3"/>
    <n v="1"/>
    <s v="REALIZADO"/>
    <s v="BRUNA"/>
    <x v="59"/>
    <x v="0"/>
    <x v="0"/>
  </r>
  <r>
    <n v="73336"/>
    <x v="29"/>
    <s v="MMG"/>
    <x v="0"/>
    <n v="50038841"/>
    <s v="LIXADEIRA BOSCH 4"/>
    <n v="1"/>
    <s v="REALIZADO"/>
    <s v="KELLY"/>
    <x v="59"/>
    <x v="2"/>
    <x v="0"/>
  </r>
  <r>
    <n v="73336"/>
    <x v="29"/>
    <s v="MMG"/>
    <x v="0"/>
    <n v="50038841"/>
    <s v="LIXADEIRA BOSCH 4"/>
    <n v="1"/>
    <s v="REALIZADO"/>
    <s v="GEOVANE"/>
    <x v="59"/>
    <x v="0"/>
    <x v="0"/>
  </r>
  <r>
    <n v="77521"/>
    <x v="5"/>
    <s v="MME"/>
    <x v="0"/>
    <n v="50038841"/>
    <s v="LIXADEIRA BOSCH 4"/>
    <n v="1"/>
    <s v="REALIZADO"/>
    <s v="BRUNA"/>
    <x v="59"/>
    <x v="2"/>
    <x v="0"/>
  </r>
  <r>
    <n v="77521"/>
    <x v="5"/>
    <s v="MME"/>
    <x v="0"/>
    <n v="50038841"/>
    <s v="LIXADEIRA BOSCH 4"/>
    <n v="1"/>
    <s v="REALIZADO"/>
    <s v="BRUNO"/>
    <x v="59"/>
    <x v="2"/>
    <x v="0"/>
  </r>
  <r>
    <n v="64074"/>
    <x v="75"/>
    <s v="MPR"/>
    <x v="0"/>
    <n v="50038517"/>
    <s v="LIXADEIRA BOSCH 5"/>
    <n v="1"/>
    <s v="REALIZADO"/>
    <s v="BRUNO"/>
    <x v="59"/>
    <x v="2"/>
    <x v="0"/>
  </r>
  <r>
    <n v="64074"/>
    <x v="75"/>
    <s v="MPR"/>
    <x v="0"/>
    <n v="50037903"/>
    <s v="LIXADEIRA GRANDE MAKITA"/>
    <n v="1"/>
    <s v="REALIZADO"/>
    <s v="BRUNO"/>
    <x v="59"/>
    <x v="2"/>
    <x v="0"/>
  </r>
  <r>
    <n v="66790"/>
    <x v="60"/>
    <s v="MMG"/>
    <x v="3"/>
    <n v="50001995"/>
    <s v="MAQUINA DE SOLDA"/>
    <n v="1"/>
    <s v="REALIZADO"/>
    <s v="GEOVANE"/>
    <x v="59"/>
    <x v="0"/>
    <x v="0"/>
  </r>
  <r>
    <n v="63684"/>
    <x v="27"/>
    <s v="MME"/>
    <x v="2"/>
    <n v="50039065"/>
    <s v="MAQUINA SOLDA TIG"/>
    <n v="1"/>
    <s v="REALIZADO"/>
    <s v="GEOVANE"/>
    <x v="59"/>
    <x v="2"/>
    <x v="0"/>
  </r>
  <r>
    <n v="63684"/>
    <x v="27"/>
    <s v="MME"/>
    <x v="2"/>
    <n v="50039065"/>
    <s v="MAQUINA SOLDA TIG"/>
    <n v="1"/>
    <s v="REALIZADO"/>
    <s v="BRUNA"/>
    <x v="59"/>
    <x v="0"/>
    <x v="0"/>
  </r>
  <r>
    <n v="77521"/>
    <x v="5"/>
    <s v="MME"/>
    <x v="0"/>
    <n v="50041195"/>
    <s v="PARAFUSADEIRA FUR DE IMPACTO BRUSHLESS"/>
    <n v="1"/>
    <s v="REALIZADO"/>
    <s v="KELLY"/>
    <x v="59"/>
    <x v="2"/>
    <x v="0"/>
  </r>
  <r>
    <n v="77521"/>
    <x v="5"/>
    <s v="MME"/>
    <x v="0"/>
    <n v="50041195"/>
    <s v="PARAFUSADEIRA FUR DE IMPACTO BRUSHLESS"/>
    <n v="1"/>
    <s v="REALIZADO"/>
    <s v="GEOVANE"/>
    <x v="59"/>
    <x v="0"/>
    <x v="0"/>
  </r>
  <r>
    <n v="75361"/>
    <x v="86"/>
    <s v="MEE"/>
    <x v="0"/>
    <n v="50041195"/>
    <s v="PARAFUSADEIRA FUR DE IMPACTO BRUSHLESS"/>
    <n v="1"/>
    <s v="REALIZADO"/>
    <s v="GEOVANE"/>
    <x v="59"/>
    <x v="2"/>
    <x v="0"/>
  </r>
  <r>
    <n v="75361"/>
    <x v="86"/>
    <s v="MEE"/>
    <x v="0"/>
    <n v="50041195"/>
    <s v="PARAFUSADEIRA FUR DE IMPACTO BRUSHLESS"/>
    <n v="1"/>
    <s v="REALIZADO"/>
    <s v="BRUNO"/>
    <x v="59"/>
    <x v="0"/>
    <x v="0"/>
  </r>
  <r>
    <n v="77521"/>
    <x v="5"/>
    <s v="MME"/>
    <x v="0"/>
    <n v="50043917"/>
    <s v="PARAFUSADEIRA FURADEIRA BOSCH"/>
    <n v="1"/>
    <s v="REALIZADO"/>
    <s v="GEOVANE"/>
    <x v="59"/>
    <x v="2"/>
    <x v="0"/>
  </r>
  <r>
    <n v="77521"/>
    <x v="5"/>
    <s v="MME"/>
    <x v="0"/>
    <n v="50043917"/>
    <s v="PARAFUSADEIRA FURADEIRA BOSCH"/>
    <n v="1"/>
    <s v="REALIZADO"/>
    <s v="BRUNA"/>
    <x v="59"/>
    <x v="0"/>
    <x v="0"/>
  </r>
  <r>
    <n v="61096"/>
    <x v="64"/>
    <s v="MME"/>
    <x v="0"/>
    <n v="50012902"/>
    <s v="SACA POLIA 03 GARRAS 250 MM GEDORE"/>
    <n v="1"/>
    <s v="REALIZADO"/>
    <s v="KELLY"/>
    <x v="59"/>
    <x v="2"/>
    <x v="0"/>
  </r>
  <r>
    <n v="61096"/>
    <x v="64"/>
    <s v="MME"/>
    <x v="0"/>
    <n v="50012902"/>
    <s v="SACA POLIA 03 GARRAS 250 MM GEDORE"/>
    <n v="1"/>
    <s v="REALIZADO"/>
    <s v="BRUNO"/>
    <x v="59"/>
    <x v="0"/>
    <x v="0"/>
  </r>
  <r>
    <n v="65844"/>
    <x v="54"/>
    <s v="MMG"/>
    <x v="2"/>
    <n v="50044453"/>
    <s v="SACA POLIA COM 2 GARRAS 70MM"/>
    <n v="1"/>
    <s v="REALIZADO"/>
    <s v="BRUNO"/>
    <x v="59"/>
    <x v="2"/>
    <x v="0"/>
  </r>
  <r>
    <n v="65844"/>
    <x v="54"/>
    <s v="MMG"/>
    <x v="2"/>
    <n v="50044453"/>
    <s v="SACA POLIA COM 2 GARRAS 70MM"/>
    <n v="1"/>
    <s v="REALIZADO"/>
    <s v="BRUNO"/>
    <x v="59"/>
    <x v="0"/>
    <x v="0"/>
  </r>
  <r>
    <n v="75361"/>
    <x v="86"/>
    <s v="MEE"/>
    <x v="0"/>
    <n v="50032781"/>
    <s v="SERRA TICO TICO 650W DEWALT "/>
    <n v="1"/>
    <s v="REALIZADO"/>
    <s v="GEOVANE"/>
    <x v="59"/>
    <x v="2"/>
    <x v="0"/>
  </r>
  <r>
    <n v="75361"/>
    <x v="86"/>
    <s v="MEE"/>
    <x v="0"/>
    <n v="50032781"/>
    <s v="SERRA TICO TICO 650W DEWALT "/>
    <n v="1"/>
    <s v="REALIZADO"/>
    <s v="BRUNA"/>
    <x v="59"/>
    <x v="0"/>
    <x v="0"/>
  </r>
  <r>
    <n v="75361"/>
    <x v="86"/>
    <s v="MEE"/>
    <x v="0"/>
    <n v="50028220"/>
    <s v="SOPRADOR TERMICO VONDER 1500W 220V"/>
    <n v="1"/>
    <s v="REALIZADO"/>
    <s v="GEOVANE"/>
    <x v="59"/>
    <x v="2"/>
    <x v="0"/>
  </r>
  <r>
    <n v="75361"/>
    <x v="86"/>
    <s v="MEE"/>
    <x v="0"/>
    <n v="50028220"/>
    <s v="SOPRADOR TERMICO VONDER 1500W 220V"/>
    <n v="1"/>
    <s v="REALIZADO"/>
    <s v="BRUNA"/>
    <x v="59"/>
    <x v="0"/>
    <x v="0"/>
  </r>
  <r>
    <n v="63713"/>
    <x v="67"/>
    <s v="MME"/>
    <x v="0"/>
    <n v="50010031"/>
    <s v=" LIXADEIRA BOSCH 6"/>
    <n v="1"/>
    <s v="REALIZADO"/>
    <s v="GEOVANE"/>
    <x v="60"/>
    <x v="2"/>
    <x v="0"/>
  </r>
  <r>
    <n v="63713"/>
    <x v="67"/>
    <s v="MME"/>
    <x v="0"/>
    <n v="50010031"/>
    <s v=" LIXADEIRA BOSCH 6"/>
    <n v="1"/>
    <s v="REALIZADO"/>
    <s v="AGATHA"/>
    <x v="60"/>
    <x v="0"/>
    <x v="0"/>
  </r>
  <r>
    <n v="76633"/>
    <x v="62"/>
    <s v="MMG"/>
    <x v="2"/>
    <n v="50036086"/>
    <s v="CHAVE GRIFO 18"/>
    <n v="1"/>
    <s v="REALIZADO"/>
    <s v="BRUNA"/>
    <x v="60"/>
    <x v="2"/>
    <x v="0"/>
  </r>
  <r>
    <n v="76633"/>
    <x v="62"/>
    <s v="MMG"/>
    <x v="2"/>
    <n v="50036086"/>
    <s v="CHAVE GRIFO 18"/>
    <n v="1"/>
    <s v="REALIZADO"/>
    <s v="BRUNO"/>
    <x v="60"/>
    <x v="0"/>
    <x v="0"/>
  </r>
  <r>
    <n v="74874"/>
    <x v="90"/>
    <s v="MMG"/>
    <x v="0"/>
    <n v="50037905"/>
    <s v="ESTETOSCÓPIO SKF"/>
    <n v="1"/>
    <s v="REALIZADO"/>
    <s v="BRUNO"/>
    <x v="60"/>
    <x v="2"/>
    <x v="0"/>
  </r>
  <r>
    <n v="74874"/>
    <x v="90"/>
    <s v="MMG"/>
    <x v="0"/>
    <n v="50037905"/>
    <s v="ESTETOSCÓPIO SKF"/>
    <n v="1"/>
    <s v="REALIZADO"/>
    <s v="BRUNO"/>
    <x v="60"/>
    <x v="2"/>
    <x v="0"/>
  </r>
  <r>
    <n v="65472"/>
    <x v="48"/>
    <s v="MMG"/>
    <x v="0"/>
    <n v="50030486"/>
    <s v="FURADEIRA BOSCH 3"/>
    <n v="1"/>
    <s v="REALIZADO"/>
    <s v="AGATHA"/>
    <x v="60"/>
    <x v="0"/>
    <x v="0"/>
  </r>
  <r>
    <n v="74611"/>
    <x v="2"/>
    <s v="MPR"/>
    <x v="0"/>
    <n v="50039236"/>
    <s v="FURADEIRA BOSCH 4"/>
    <n v="1"/>
    <s v="REALIZADO"/>
    <s v="GEOVANE"/>
    <x v="60"/>
    <x v="2"/>
    <x v="0"/>
  </r>
  <r>
    <n v="74611"/>
    <x v="2"/>
    <s v="MPR"/>
    <x v="0"/>
    <n v="50039236"/>
    <s v="FURADEIRA BOSCH 4"/>
    <n v="1"/>
    <s v="REALIZADO"/>
    <s v="BRUNA"/>
    <x v="60"/>
    <x v="2"/>
    <x v="0"/>
  </r>
  <r>
    <n v="65472"/>
    <x v="48"/>
    <s v="MMG"/>
    <x v="0"/>
    <n v="50043471"/>
    <s v="FURADEIRA BOSCH 7"/>
    <n v="1"/>
    <s v="REALIZADO"/>
    <s v="GEOVANE"/>
    <x v="60"/>
    <x v="0"/>
    <x v="0"/>
  </r>
  <r>
    <n v="72728"/>
    <x v="58"/>
    <s v="UTI"/>
    <x v="3"/>
    <n v="50043471"/>
    <s v="FURADEIRA BOSCH 7"/>
    <n v="1"/>
    <s v="REALIZADO"/>
    <s v="BRUNO"/>
    <x v="60"/>
    <x v="2"/>
    <x v="0"/>
  </r>
  <r>
    <n v="72728"/>
    <x v="58"/>
    <s v="UTI"/>
    <x v="3"/>
    <n v="50043471"/>
    <s v="FURADEIRA BOSCH 7"/>
    <n v="1"/>
    <s v="REALIZADO"/>
    <s v="BRUNO"/>
    <x v="60"/>
    <x v="2"/>
    <x v="0"/>
  </r>
  <r>
    <n v="62419"/>
    <x v="92"/>
    <s v="MEE"/>
    <x v="4"/>
    <n v="50043471"/>
    <s v="FURADEIRA BOSCH 7"/>
    <n v="1"/>
    <s v="REALIZADO"/>
    <s v="MARINA"/>
    <x v="60"/>
    <x v="0"/>
    <x v="0"/>
  </r>
  <r>
    <n v="62419"/>
    <x v="92"/>
    <s v="MEE"/>
    <x v="4"/>
    <n v="50043471"/>
    <s v="FURADEIRA BOSCH 7"/>
    <n v="1"/>
    <s v="REALIZADO"/>
    <s v="MARINA"/>
    <x v="60"/>
    <x v="2"/>
    <x v="0"/>
  </r>
  <r>
    <n v="62896"/>
    <x v="33"/>
    <s v="MEE"/>
    <x v="0"/>
    <n v="50043320"/>
    <s v="JOGO SERRA COPO 8PÇS"/>
    <n v="1"/>
    <s v="REALIZADO"/>
    <s v="BRUNO"/>
    <x v="60"/>
    <x v="2"/>
    <x v="0"/>
  </r>
  <r>
    <n v="70052"/>
    <x v="6"/>
    <s v="MEE"/>
    <x v="0"/>
    <n v="50038549"/>
    <s v="JOGO SOQUETE ESTRIADOS 1/2 22PEÇ"/>
    <n v="1"/>
    <s v="REALIZADO"/>
    <s v="AGATHA"/>
    <x v="60"/>
    <x v="0"/>
    <x v="0"/>
  </r>
  <r>
    <n v="65482"/>
    <x v="30"/>
    <s v="MMG"/>
    <x v="0"/>
    <n v="50037909"/>
    <s v="KIT FLANGEADOR "/>
    <n v="1"/>
    <s v="REALIZADO"/>
    <s v="BRUNO"/>
    <x v="60"/>
    <x v="2"/>
    <x v="0"/>
  </r>
  <r>
    <n v="65482"/>
    <x v="30"/>
    <s v="MMG"/>
    <x v="0"/>
    <n v="50037909"/>
    <s v="KIT FLANGEADOR "/>
    <n v="1"/>
    <s v="REALIZADO"/>
    <s v="BRUNO"/>
    <x v="60"/>
    <x v="0"/>
    <x v="0"/>
  </r>
  <r>
    <n v="61264"/>
    <x v="10"/>
    <s v="MMG"/>
    <x v="0"/>
    <n v="50022878"/>
    <s v="KIT MONTAGEM ROLAMENTO SKF"/>
    <n v="1"/>
    <s v="REALIZADO"/>
    <s v="BRUNA"/>
    <x v="60"/>
    <x v="2"/>
    <x v="4"/>
  </r>
  <r>
    <n v="61264"/>
    <x v="10"/>
    <s v="MMG"/>
    <x v="0"/>
    <n v="50022878"/>
    <s v="KIT MONTAGEM ROLAMENTO SKF"/>
    <n v="1"/>
    <s v="REALIZADO"/>
    <s v="BRUNA"/>
    <x v="60"/>
    <x v="0"/>
    <x v="0"/>
  </r>
  <r>
    <n v="74611"/>
    <x v="2"/>
    <s v="MPR"/>
    <x v="0"/>
    <n v="50038956"/>
    <s v="LIXADEIRA BOSCH 1"/>
    <n v="1"/>
    <s v="REALIZADO"/>
    <s v="GEOVANE"/>
    <x v="60"/>
    <x v="2"/>
    <x v="0"/>
  </r>
  <r>
    <n v="74611"/>
    <x v="2"/>
    <s v="MPR"/>
    <x v="0"/>
    <n v="50038956"/>
    <s v="LIXADEIRA BOSCH 1"/>
    <n v="1"/>
    <s v="REALIZADO"/>
    <s v="BRUNA"/>
    <x v="60"/>
    <x v="0"/>
    <x v="0"/>
  </r>
  <r>
    <n v="58068"/>
    <x v="31"/>
    <s v="MME"/>
    <x v="0"/>
    <n v="50037892"/>
    <s v="LIXADEIRA BOSCH 2"/>
    <n v="1"/>
    <s v="REALIZADO"/>
    <s v="BRUNO"/>
    <x v="60"/>
    <x v="2"/>
    <x v="0"/>
  </r>
  <r>
    <n v="62896"/>
    <x v="33"/>
    <s v="MEE"/>
    <x v="0"/>
    <n v="50037892"/>
    <s v="LIXADEIRA BOSCH 2"/>
    <n v="1"/>
    <s v="REALIZADO"/>
    <s v="BRUNO"/>
    <x v="60"/>
    <x v="2"/>
    <x v="0"/>
  </r>
  <r>
    <n v="58068"/>
    <x v="31"/>
    <s v="MME"/>
    <x v="0"/>
    <n v="50037892"/>
    <s v="LIXADEIRA BOSCH 2"/>
    <n v="1"/>
    <s v="REALIZADO"/>
    <s v="BRUNO"/>
    <x v="60"/>
    <x v="2"/>
    <x v="0"/>
  </r>
  <r>
    <n v="77526"/>
    <x v="37"/>
    <s v="MME"/>
    <x v="0"/>
    <n v="50037902"/>
    <s v="LIXADEIRA BOSCH 3"/>
    <n v="1"/>
    <s v="REALIZADO"/>
    <s v="BRUNO"/>
    <x v="60"/>
    <x v="0"/>
    <x v="0"/>
  </r>
  <r>
    <n v="73878"/>
    <x v="20"/>
    <s v="MMG"/>
    <x v="0"/>
    <n v="50038841"/>
    <s v="LIXADEIRA BOSCH 4"/>
    <n v="1"/>
    <s v="REALIZADO"/>
    <s v="KELLY"/>
    <x v="60"/>
    <x v="2"/>
    <x v="0"/>
  </r>
  <r>
    <n v="73878"/>
    <x v="20"/>
    <s v="MMG"/>
    <x v="0"/>
    <n v="50038841"/>
    <s v="LIXADEIRA BOSCH 4"/>
    <n v="1"/>
    <s v="REALIZADO"/>
    <s v="AGATHA"/>
    <x v="60"/>
    <x v="0"/>
    <x v="0"/>
  </r>
  <r>
    <n v="72728"/>
    <x v="58"/>
    <s v="UTI"/>
    <x v="3"/>
    <n v="50038841"/>
    <s v="LIXADEIRA BOSCH 4"/>
    <n v="1"/>
    <s v="REALIZADO"/>
    <s v="BRUNO"/>
    <x v="60"/>
    <x v="2"/>
    <x v="0"/>
  </r>
  <r>
    <n v="72728"/>
    <x v="58"/>
    <s v="UTI"/>
    <x v="3"/>
    <n v="50038841"/>
    <s v="LIXADEIRA BOSCH 4"/>
    <n v="1"/>
    <s v="REALIZADO"/>
    <s v="BRUNO"/>
    <x v="60"/>
    <x v="0"/>
    <x v="0"/>
  </r>
  <r>
    <n v="76994"/>
    <x v="8"/>
    <s v="MEE"/>
    <x v="0"/>
    <n v="50038517"/>
    <s v="LIXADEIRA BOSCH 5"/>
    <n v="1"/>
    <s v="REALIZADO"/>
    <s v="AGATHA"/>
    <x v="60"/>
    <x v="2"/>
    <x v="0"/>
  </r>
  <r>
    <n v="76994"/>
    <x v="8"/>
    <s v="MEE"/>
    <x v="0"/>
    <n v="50038517"/>
    <s v="LIXADEIRA BOSCH 5"/>
    <n v="1"/>
    <s v="REALIZADO"/>
    <s v="BRUNO"/>
    <x v="60"/>
    <x v="0"/>
    <x v="0"/>
  </r>
  <r>
    <n v="64053"/>
    <x v="91"/>
    <s v="MMG"/>
    <x v="4"/>
    <n v="50001995"/>
    <s v="MAQUINA DE SOLDA"/>
    <n v="1"/>
    <s v="REALIZADO"/>
    <s v="FABIANO"/>
    <x v="60"/>
    <x v="0"/>
    <x v="0"/>
  </r>
  <r>
    <n v="63713"/>
    <x v="67"/>
    <s v="MME"/>
    <x v="0"/>
    <n v="50039065"/>
    <s v="MAQUINA SOLDA TIG"/>
    <n v="1"/>
    <s v="REALIZADO"/>
    <s v="GEOVANE"/>
    <x v="60"/>
    <x v="2"/>
    <x v="0"/>
  </r>
  <r>
    <n v="63713"/>
    <x v="67"/>
    <s v="MME"/>
    <x v="0"/>
    <n v="50039065"/>
    <s v="MAQUINA SOLDA TIG"/>
    <n v="1"/>
    <s v="REALIZADO"/>
    <s v="AGATHA"/>
    <x v="60"/>
    <x v="0"/>
    <x v="0"/>
  </r>
  <r>
    <n v="60546"/>
    <x v="74"/>
    <s v="MMG"/>
    <x v="0"/>
    <n v="50039065"/>
    <s v="MAQUINA SOLDA TIG"/>
    <n v="1"/>
    <s v="REALIZADO"/>
    <s v="MARINA"/>
    <x v="60"/>
    <x v="0"/>
    <x v="0"/>
  </r>
  <r>
    <n v="61264"/>
    <x v="10"/>
    <s v="MMG"/>
    <x v="0"/>
    <n v="50036297"/>
    <s v="MARRETA 4KG"/>
    <n v="1"/>
    <s v="REALIZADO"/>
    <s v="BRUNA"/>
    <x v="60"/>
    <x v="2"/>
    <x v="0"/>
  </r>
  <r>
    <n v="61264"/>
    <x v="10"/>
    <s v="MMG"/>
    <x v="0"/>
    <n v="50036297"/>
    <s v="MARRETA 4KG"/>
    <n v="1"/>
    <s v="REALIZADO"/>
    <s v="BRUNO"/>
    <x v="60"/>
    <x v="0"/>
    <x v="0"/>
  </r>
  <r>
    <n v="66830"/>
    <x v="3"/>
    <s v="MPR"/>
    <x v="0"/>
    <n v="50026357"/>
    <s v="MARTELETE VONDER"/>
    <n v="1"/>
    <s v="REALIZADO"/>
    <s v="JOÃO FRANCISCO"/>
    <x v="60"/>
    <x v="2"/>
    <x v="0"/>
  </r>
  <r>
    <n v="66830"/>
    <x v="3"/>
    <s v="MPR"/>
    <x v="0"/>
    <n v="50026357"/>
    <s v="MARTELETE VONDER"/>
    <n v="1"/>
    <s v="REALIZADO"/>
    <s v="BRUNO"/>
    <x v="60"/>
    <x v="2"/>
    <x v="0"/>
  </r>
  <r>
    <n v="77471"/>
    <x v="35"/>
    <s v="MEE"/>
    <x v="0"/>
    <n v="50041195"/>
    <s v="PARAFUSADEIRA FUR DE IMPACTO BRUSHLESS"/>
    <n v="1"/>
    <s v="REALIZADO"/>
    <s v="AGATHA"/>
    <x v="60"/>
    <x v="2"/>
    <x v="0"/>
  </r>
  <r>
    <n v="62896"/>
    <x v="33"/>
    <s v="MEE"/>
    <x v="0"/>
    <n v="50041195"/>
    <s v="PARAFUSADEIRA FUR DE IMPACTO BRUSHLESS"/>
    <n v="1"/>
    <s v="REALIZADO"/>
    <s v="BRUNO"/>
    <x v="60"/>
    <x v="2"/>
    <x v="0"/>
  </r>
  <r>
    <n v="77521"/>
    <x v="5"/>
    <s v="MME"/>
    <x v="0"/>
    <n v="50012903"/>
    <s v="SACA POLIA 02 GARRAS 250MM GEDORE"/>
    <n v="1"/>
    <s v="REALIZADO"/>
    <s v="BRUNO"/>
    <x v="60"/>
    <x v="0"/>
    <x v="0"/>
  </r>
  <r>
    <n v="72728"/>
    <x v="58"/>
    <s v="UTI"/>
    <x v="3"/>
    <n v="50032775"/>
    <s v="SACA POLIA 150MM 3 GARRAS - GEDORE"/>
    <n v="1"/>
    <s v="REALIZADO"/>
    <s v="BRUNO"/>
    <x v="60"/>
    <x v="2"/>
    <x v="0"/>
  </r>
  <r>
    <n v="72728"/>
    <x v="58"/>
    <s v="UTI"/>
    <x v="3"/>
    <n v="50032775"/>
    <s v="SACA POLIA 150MM 3 GARRAS - GEDORE"/>
    <n v="1"/>
    <s v="REALIZADO"/>
    <s v="BRUNO"/>
    <x v="60"/>
    <x v="0"/>
    <x v="0"/>
  </r>
  <r>
    <n v="72728"/>
    <x v="58"/>
    <s v="UTI"/>
    <x v="3"/>
    <n v="50044453"/>
    <s v="SACA POLIA COM 2 GARRAS 70MM"/>
    <n v="1"/>
    <s v="REALIZADO"/>
    <s v="BRUNO"/>
    <x v="60"/>
    <x v="2"/>
    <x v="0"/>
  </r>
  <r>
    <n v="72728"/>
    <x v="58"/>
    <s v="UTI"/>
    <x v="3"/>
    <n v="50044453"/>
    <s v="SACA POLIA COM 2 GARRAS 70MM"/>
    <n v="1"/>
    <s v="REALIZADO"/>
    <s v="BRUNO"/>
    <x v="60"/>
    <x v="0"/>
    <x v="0"/>
  </r>
  <r>
    <n v="64253"/>
    <x v="16"/>
    <s v="MMG"/>
    <x v="0"/>
    <n v="50037952"/>
    <s v="SUPORTE DE PAQUIMETRO - CALIBRAÇÃO MOLDADORA"/>
    <n v="1"/>
    <s v="REALIZADO"/>
    <s v="KELLY"/>
    <x v="60"/>
    <x v="2"/>
    <x v="0"/>
  </r>
  <r>
    <n v="60953"/>
    <x v="71"/>
    <s v="MMG"/>
    <x v="2"/>
    <n v="50037952"/>
    <s v="SUPORTE DE PAQUIMETRO - CALIBRAÇÃO MOLDADORA"/>
    <n v="1"/>
    <s v="REALIZADO"/>
    <s v="AGATHA"/>
    <x v="60"/>
    <x v="0"/>
    <x v="0"/>
  </r>
  <r>
    <n v="65844"/>
    <x v="54"/>
    <s v="MMG"/>
    <x v="2"/>
    <n v="50037952"/>
    <s v="SUPORTE DE PAQUIMETRO - CALIBRAÇÃO MOLDADORA"/>
    <n v="1"/>
    <s v="REALIZADO"/>
    <s v="BRUNA"/>
    <x v="60"/>
    <x v="2"/>
    <x v="0"/>
  </r>
  <r>
    <n v="65844"/>
    <x v="54"/>
    <s v="MMG"/>
    <x v="2"/>
    <n v="50037952"/>
    <s v="SUPORTE DE PAQUIMETRO - CALIBRAÇÃO MOLDADORA"/>
    <n v="1"/>
    <s v="REALIZADO"/>
    <s v="BRUNA"/>
    <x v="60"/>
    <x v="0"/>
    <x v="0"/>
  </r>
  <r>
    <n v="78886"/>
    <x v="51"/>
    <s v="MME"/>
    <x v="0"/>
    <n v="50010031"/>
    <s v=" LIXADEIRA BOSCH 6"/>
    <n v="1"/>
    <s v="REALIZADO"/>
    <s v="GEOVANE"/>
    <x v="61"/>
    <x v="2"/>
    <x v="0"/>
  </r>
  <r>
    <n v="78886"/>
    <x v="51"/>
    <s v="MME"/>
    <x v="0"/>
    <n v="50010031"/>
    <s v=" LIXADEIRA BOSCH 6"/>
    <n v="1"/>
    <s v="REALIZADO"/>
    <s v="AGATHA"/>
    <x v="61"/>
    <x v="0"/>
    <x v="0"/>
  </r>
  <r>
    <n v="62471"/>
    <x v="9"/>
    <s v="MME"/>
    <x v="0"/>
    <n v="50010031"/>
    <s v=" LIXADEIRA BOSCH 6"/>
    <n v="1"/>
    <s v="REALIZADO"/>
    <s v="GEOVANE"/>
    <x v="61"/>
    <x v="2"/>
    <x v="0"/>
  </r>
  <r>
    <n v="62471"/>
    <x v="9"/>
    <s v="MME"/>
    <x v="0"/>
    <n v="50010031"/>
    <s v=" LIXADEIRA BOSCH 6"/>
    <n v="1"/>
    <s v="REALIZADO"/>
    <s v="MARCIA"/>
    <x v="61"/>
    <x v="0"/>
    <x v="0"/>
  </r>
  <r>
    <n v="62471"/>
    <x v="9"/>
    <s v="MME"/>
    <x v="0"/>
    <n v="50010031"/>
    <s v=" LIXADEIRA BOSCH 6"/>
    <n v="1"/>
    <s v="REALIZADO"/>
    <s v="MARCIA"/>
    <x v="61"/>
    <x v="2"/>
    <x v="0"/>
  </r>
  <r>
    <n v="62471"/>
    <x v="9"/>
    <s v="MME"/>
    <x v="0"/>
    <n v="50010031"/>
    <s v=" LIXADEIRA BOSCH 6"/>
    <n v="1"/>
    <s v="REALIZADO"/>
    <s v="MATHEUS"/>
    <x v="61"/>
    <x v="0"/>
    <x v="0"/>
  </r>
  <r>
    <n v="61264"/>
    <x v="10"/>
    <s v="MMG"/>
    <x v="0"/>
    <n v="50036086"/>
    <s v="CHAVE GRIFO 18"/>
    <n v="1"/>
    <s v="REALIZADO"/>
    <s v="AGATHA"/>
    <x v="61"/>
    <x v="2"/>
    <x v="0"/>
  </r>
  <r>
    <n v="61264"/>
    <x v="10"/>
    <s v="MMG"/>
    <x v="0"/>
    <n v="50036086"/>
    <s v="CHAVE GRIFO 18"/>
    <n v="1"/>
    <s v="REALIZADO"/>
    <s v="GEOVANE"/>
    <x v="61"/>
    <x v="2"/>
    <x v="0"/>
  </r>
  <r>
    <n v="77526"/>
    <x v="37"/>
    <s v="MME"/>
    <x v="0"/>
    <n v="50039236"/>
    <s v="FURADEIRA BOSCH 4"/>
    <n v="1"/>
    <s v="REALIZADO"/>
    <s v="BRUNA"/>
    <x v="61"/>
    <x v="2"/>
    <x v="0"/>
  </r>
  <r>
    <n v="68708"/>
    <x v="13"/>
    <s v="MMG"/>
    <x v="0"/>
    <n v="50043471"/>
    <s v="FURADEIRA BOSCH 7"/>
    <n v="1"/>
    <s v="REALIZADO"/>
    <s v="MATHEUS"/>
    <x v="61"/>
    <x v="0"/>
    <x v="0"/>
  </r>
  <r>
    <n v="78886"/>
    <x v="51"/>
    <s v="MME"/>
    <x v="0"/>
    <n v="50003297"/>
    <s v="FURADEIRA DE IMPACTO MAKITA 02"/>
    <n v="1"/>
    <s v="REALIZADO"/>
    <s v="MATHEUS"/>
    <x v="61"/>
    <x v="0"/>
    <x v="0"/>
  </r>
  <r>
    <n v="76995"/>
    <x v="49"/>
    <s v="MEE"/>
    <x v="0"/>
    <n v="50029865"/>
    <s v="JOGO DE BROCAS ACO RAPIDO"/>
    <n v="1"/>
    <s v="REALIZADO"/>
    <s v="AGATHA"/>
    <x v="61"/>
    <x v="2"/>
    <x v="0"/>
  </r>
  <r>
    <n v="76995"/>
    <x v="49"/>
    <s v="MEE"/>
    <x v="0"/>
    <n v="50029865"/>
    <s v="JOGO DE BROCAS ACO RAPIDO"/>
    <n v="1"/>
    <s v="REALIZADO"/>
    <s v="MATHEUS"/>
    <x v="61"/>
    <x v="0"/>
    <x v="0"/>
  </r>
  <r>
    <n v="63770"/>
    <x v="36"/>
    <s v="MMG"/>
    <x v="0"/>
    <n v="50038549"/>
    <s v="JOGO SOQUETE ESTRIADOS 1/2 22PEÇ"/>
    <n v="1"/>
    <s v="REALIZADO"/>
    <s v="AGATHA"/>
    <x v="61"/>
    <x v="2"/>
    <x v="0"/>
  </r>
  <r>
    <n v="63770"/>
    <x v="36"/>
    <s v="MMG"/>
    <x v="0"/>
    <n v="50038549"/>
    <s v="JOGO SOQUETE ESTRIADOS 1/2 22PEÇ"/>
    <n v="1"/>
    <s v="REALIZADO"/>
    <s v="BRUNA"/>
    <x v="61"/>
    <x v="2"/>
    <x v="0"/>
  </r>
  <r>
    <n v="79177"/>
    <x v="28"/>
    <s v="MMG"/>
    <x v="0"/>
    <n v="50022878"/>
    <s v="KIT MONTAGEM ROLAMENTO SKF"/>
    <n v="1"/>
    <s v="REALIZADO"/>
    <s v="MARCIA"/>
    <x v="61"/>
    <x v="0"/>
    <x v="0"/>
  </r>
  <r>
    <n v="76995"/>
    <x v="49"/>
    <s v="MEE"/>
    <x v="0"/>
    <n v="50038956"/>
    <s v="LIXADEIRA BOSCH 1"/>
    <n v="1"/>
    <s v="REALIZADO"/>
    <s v="AGATHA"/>
    <x v="61"/>
    <x v="2"/>
    <x v="0"/>
  </r>
  <r>
    <n v="76995"/>
    <x v="49"/>
    <s v="MEE"/>
    <x v="0"/>
    <n v="50038956"/>
    <s v="LIXADEIRA BOSCH 1"/>
    <n v="1"/>
    <s v="REALIZADO"/>
    <s v="MATHEUS"/>
    <x v="61"/>
    <x v="0"/>
    <x v="0"/>
  </r>
  <r>
    <n v="61264"/>
    <x v="10"/>
    <s v="MMG"/>
    <x v="0"/>
    <n v="50037902"/>
    <s v="LIXADEIRA BOSCH 3"/>
    <n v="1"/>
    <s v="REALIZADO"/>
    <s v="AGATHA"/>
    <x v="61"/>
    <x v="2"/>
    <x v="0"/>
  </r>
  <r>
    <n v="61264"/>
    <x v="10"/>
    <s v="MMG"/>
    <x v="0"/>
    <n v="50037902"/>
    <s v="LIXADEIRA BOSCH 3"/>
    <n v="1"/>
    <s v="REALIZADO"/>
    <s v="MARCIA"/>
    <x v="61"/>
    <x v="0"/>
    <x v="0"/>
  </r>
  <r>
    <n v="77594"/>
    <x v="23"/>
    <s v="MME"/>
    <x v="0"/>
    <n v="50037902"/>
    <s v="LIXADEIRA BOSCH 3"/>
    <n v="1"/>
    <s v="REALIZADO"/>
    <s v="MATHEUS"/>
    <x v="61"/>
    <x v="2"/>
    <x v="0"/>
  </r>
  <r>
    <n v="77594"/>
    <x v="23"/>
    <s v="MME"/>
    <x v="0"/>
    <n v="50037902"/>
    <s v="LIXADEIRA BOSCH 3"/>
    <n v="1"/>
    <s v="REALIZADO"/>
    <s v="MATHEUS"/>
    <x v="61"/>
    <x v="0"/>
    <x v="0"/>
  </r>
  <r>
    <n v="75424"/>
    <x v="39"/>
    <s v="MME"/>
    <x v="2"/>
    <n v="50037902"/>
    <s v="LIXADEIRA BOSCH 3"/>
    <n v="1"/>
    <s v="REALIZADO"/>
    <s v="MATHEUS"/>
    <x v="61"/>
    <x v="2"/>
    <x v="0"/>
  </r>
  <r>
    <n v="75424"/>
    <x v="39"/>
    <s v="MME"/>
    <x v="2"/>
    <n v="50037902"/>
    <s v="LIXADEIRA BOSCH 3"/>
    <n v="1"/>
    <s v="REALIZADO"/>
    <s v="MATHEUS"/>
    <x v="61"/>
    <x v="2"/>
    <x v="0"/>
  </r>
  <r>
    <n v="77526"/>
    <x v="37"/>
    <s v="MME"/>
    <x v="0"/>
    <n v="50038841"/>
    <s v="LIXADEIRA BOSCH 4"/>
    <n v="1"/>
    <s v="REALIZADO"/>
    <s v="BRUNA"/>
    <x v="61"/>
    <x v="2"/>
    <x v="0"/>
  </r>
  <r>
    <n v="64053"/>
    <x v="91"/>
    <s v="MMG"/>
    <x v="4"/>
    <n v="50001995"/>
    <s v="MAQUINA DE SOLDA"/>
    <n v="1"/>
    <s v="REALIZADO"/>
    <s v="FABIANO"/>
    <x v="61"/>
    <x v="0"/>
    <x v="0"/>
  </r>
  <r>
    <n v="62471"/>
    <x v="9"/>
    <s v="MME"/>
    <x v="0"/>
    <n v="50039065"/>
    <s v="MAQUINA SOLDA TIG"/>
    <n v="1"/>
    <s v="REALIZADO"/>
    <s v="GEOVANE"/>
    <x v="61"/>
    <x v="2"/>
    <x v="0"/>
  </r>
  <r>
    <n v="62471"/>
    <x v="9"/>
    <s v="MME"/>
    <x v="0"/>
    <n v="50039065"/>
    <s v="MAQUINA SOLDA TIG"/>
    <n v="1"/>
    <s v="REALIZADO"/>
    <s v="MARCIA"/>
    <x v="61"/>
    <x v="0"/>
    <x v="0"/>
  </r>
  <r>
    <n v="62471"/>
    <x v="9"/>
    <s v="MME"/>
    <x v="0"/>
    <n v="50039065"/>
    <s v="MAQUINA SOLDA TIG"/>
    <n v="1"/>
    <s v="REALIZADO"/>
    <s v="MATHEUS"/>
    <x v="61"/>
    <x v="2"/>
    <x v="0"/>
  </r>
  <r>
    <n v="62471"/>
    <x v="9"/>
    <s v="MME"/>
    <x v="0"/>
    <n v="50039065"/>
    <s v="MAQUINA SOLDA TIG"/>
    <n v="1"/>
    <s v="REALIZADO"/>
    <s v="MATHEUS"/>
    <x v="61"/>
    <x v="2"/>
    <x v="0"/>
  </r>
  <r>
    <n v="60546"/>
    <x v="74"/>
    <s v="MMG"/>
    <x v="0"/>
    <n v="50039065"/>
    <s v="MAQUINA SOLDA TIG"/>
    <n v="1"/>
    <s v="REALIZADO"/>
    <s v="MARINA"/>
    <x v="61"/>
    <x v="0"/>
    <x v="0"/>
  </r>
  <r>
    <n v="66830"/>
    <x v="3"/>
    <s v="MPR"/>
    <x v="0"/>
    <n v="50026357"/>
    <s v="MARTELETE VONDER"/>
    <n v="1"/>
    <s v="REALIZADO"/>
    <s v="AGATHA"/>
    <x v="61"/>
    <x v="2"/>
    <x v="0"/>
  </r>
  <r>
    <n v="66830"/>
    <x v="3"/>
    <s v="MPR"/>
    <x v="0"/>
    <n v="50026357"/>
    <s v="MARTELETE VONDER"/>
    <n v="1"/>
    <s v="REALIZADO"/>
    <s v="GEOVANE"/>
    <x v="61"/>
    <x v="0"/>
    <x v="0"/>
  </r>
  <r>
    <n v="75424"/>
    <x v="39"/>
    <s v="MME"/>
    <x v="2"/>
    <n v="50026357"/>
    <s v="MARTELETE VONDER"/>
    <n v="1"/>
    <s v="REALIZADO"/>
    <s v="MARCIA"/>
    <x v="61"/>
    <x v="2"/>
    <x v="0"/>
  </r>
  <r>
    <n v="75424"/>
    <x v="39"/>
    <s v="MME"/>
    <x v="2"/>
    <n v="50026357"/>
    <s v="MARTELETE VONDER"/>
    <n v="1"/>
    <s v="REALIZADO"/>
    <s v="BRUNA"/>
    <x v="61"/>
    <x v="0"/>
    <x v="0"/>
  </r>
  <r>
    <n v="77594"/>
    <x v="23"/>
    <s v="MME"/>
    <x v="0"/>
    <n v="50041195"/>
    <s v="PARAFUSADEIRA FUR DE IMPACTO BRUSHLESS"/>
    <n v="1"/>
    <s v="REALIZADO"/>
    <s v="KELLY"/>
    <x v="61"/>
    <x v="2"/>
    <x v="0"/>
  </r>
  <r>
    <n v="77594"/>
    <x v="23"/>
    <s v="MME"/>
    <x v="0"/>
    <n v="50041195"/>
    <s v="PARAFUSADEIRA FUR DE IMPACTO BRUSHLESS"/>
    <n v="1"/>
    <s v="REALIZADO"/>
    <s v="KELLY"/>
    <x v="61"/>
    <x v="0"/>
    <x v="0"/>
  </r>
  <r>
    <n v="76995"/>
    <x v="49"/>
    <s v="MEE"/>
    <x v="0"/>
    <n v="50041195"/>
    <s v="PARAFUSADEIRA FUR DE IMPACTO BRUSHLESS"/>
    <n v="1"/>
    <s v="REALIZADO"/>
    <s v="AGATHA"/>
    <x v="61"/>
    <x v="2"/>
    <x v="0"/>
  </r>
  <r>
    <n v="76995"/>
    <x v="49"/>
    <s v="MEE"/>
    <x v="0"/>
    <n v="50041195"/>
    <s v="PARAFUSADEIRA FUR DE IMPACTO BRUSHLESS"/>
    <n v="1"/>
    <s v="REALIZADO"/>
    <s v="MATHEUS"/>
    <x v="61"/>
    <x v="0"/>
    <x v="0"/>
  </r>
  <r>
    <n v="33880"/>
    <x v="45"/>
    <s v="MME"/>
    <x v="4"/>
    <n v="50043917"/>
    <s v="PARAFUSADEIRA FURADEIRA BOSCH"/>
    <n v="1"/>
    <s v="REALIZADO"/>
    <s v="MARCIA"/>
    <x v="61"/>
    <x v="2"/>
    <x v="0"/>
  </r>
  <r>
    <n v="33880"/>
    <x v="45"/>
    <s v="MME"/>
    <x v="4"/>
    <n v="50043917"/>
    <s v="PARAFUSADEIRA FURADEIRA BOSCH"/>
    <n v="1"/>
    <s v="REALIZADO"/>
    <s v="MATHEUS"/>
    <x v="61"/>
    <x v="0"/>
    <x v="0"/>
  </r>
  <r>
    <n v="62896"/>
    <x v="33"/>
    <s v="MEE"/>
    <x v="0"/>
    <n v="50043917"/>
    <s v="PARAFUSADEIRA FURADEIRA BOSCH"/>
    <n v="1"/>
    <s v="REALIZADO"/>
    <s v="MATHEUS"/>
    <x v="61"/>
    <x v="2"/>
    <x v="0"/>
  </r>
  <r>
    <n v="62896"/>
    <x v="33"/>
    <s v="MEE"/>
    <x v="0"/>
    <n v="50043917"/>
    <s v="PARAFUSADEIRA FURADEIRA BOSCH"/>
    <n v="1"/>
    <s v="REALIZADO"/>
    <s v="MATHEUS"/>
    <x v="61"/>
    <x v="0"/>
    <x v="0"/>
  </r>
  <r>
    <n v="75424"/>
    <x v="39"/>
    <s v="MME"/>
    <x v="2"/>
    <n v="50012903"/>
    <s v="SACA POLIA 02 GARRAS 250MM GEDORE"/>
    <n v="1"/>
    <s v="REALIZADO"/>
    <s v="MATHEUS"/>
    <x v="61"/>
    <x v="2"/>
    <x v="0"/>
  </r>
  <r>
    <n v="75424"/>
    <x v="39"/>
    <s v="MME"/>
    <x v="2"/>
    <n v="50012903"/>
    <s v="SACA POLIA 02 GARRAS 250MM GEDORE"/>
    <n v="1"/>
    <s v="REALIZADO"/>
    <s v="MATHEUS"/>
    <x v="61"/>
    <x v="0"/>
    <x v="0"/>
  </r>
  <r>
    <n v="74627"/>
    <x v="93"/>
    <s v="MEE"/>
    <x v="2"/>
    <n v="50037933"/>
    <s v="TERMOMETRO"/>
    <n v="1"/>
    <s v="REALIZADO"/>
    <s v="MATHEUS"/>
    <x v="61"/>
    <x v="2"/>
    <x v="0"/>
  </r>
  <r>
    <n v="74627"/>
    <x v="93"/>
    <s v="MEE"/>
    <x v="2"/>
    <n v="50037933"/>
    <s v="TERMOMETRO"/>
    <n v="1"/>
    <s v="REALIZADO"/>
    <s v="MATHEUS"/>
    <x v="61"/>
    <x v="2"/>
    <x v="0"/>
  </r>
  <r>
    <n v="68701"/>
    <x v="50"/>
    <s v="MEE"/>
    <x v="2"/>
    <n v="50037933"/>
    <s v="TERMOMETRO"/>
    <n v="1"/>
    <s v="REALIZADO"/>
    <s v="BRUNA"/>
    <x v="61"/>
    <x v="0"/>
    <x v="0"/>
  </r>
  <r>
    <n v="78886"/>
    <x v="51"/>
    <s v="MME"/>
    <x v="0"/>
    <n v="50010031"/>
    <s v=" LIXADEIRA BOSCH 6"/>
    <n v="1"/>
    <s v="REALIZADO"/>
    <s v="BRUNA"/>
    <x v="62"/>
    <x v="2"/>
    <x v="0"/>
  </r>
  <r>
    <n v="78886"/>
    <x v="51"/>
    <s v="MME"/>
    <x v="0"/>
    <n v="50010031"/>
    <s v=" LIXADEIRA BOSCH 6"/>
    <n v="1"/>
    <s v="REALIZADO"/>
    <s v="BRUNO"/>
    <x v="62"/>
    <x v="0"/>
    <x v="0"/>
  </r>
  <r>
    <n v="78886"/>
    <x v="51"/>
    <s v="MME"/>
    <x v="0"/>
    <n v="50010031"/>
    <s v=" LIXADEIRA BOSCH 6"/>
    <n v="1"/>
    <s v="REALIZADO"/>
    <s v="BRUNO"/>
    <x v="62"/>
    <x v="2"/>
    <x v="0"/>
  </r>
  <r>
    <n v="78886"/>
    <x v="51"/>
    <s v="MME"/>
    <x v="0"/>
    <n v="50010031"/>
    <s v=" LIXADEIRA BOSCH 6"/>
    <n v="1"/>
    <s v="REALIZADO"/>
    <s v="BRUNO"/>
    <x v="62"/>
    <x v="2"/>
    <x v="0"/>
  </r>
  <r>
    <n v="61264"/>
    <x v="10"/>
    <s v="MMG"/>
    <x v="0"/>
    <n v="50041129"/>
    <s v="BOTOEIRA MANUTENÇÃO FORNO 09"/>
    <n v="1"/>
    <s v="REALIZADO"/>
    <s v="BRUNO"/>
    <x v="62"/>
    <x v="2"/>
    <x v="0"/>
  </r>
  <r>
    <n v="70052"/>
    <x v="6"/>
    <s v="MEE"/>
    <x v="0"/>
    <n v="50044003"/>
    <s v="CÂMERA TERMOGRAFICA FLIR"/>
    <n v="1"/>
    <s v="REALIZADO"/>
    <s v="BRUNO"/>
    <x v="62"/>
    <x v="0"/>
    <x v="0"/>
  </r>
  <r>
    <n v="61264"/>
    <x v="10"/>
    <s v="MMG"/>
    <x v="0"/>
    <n v="50036255"/>
    <s v="CHAVE DE IMPACTO 1/2&quot; 20V"/>
    <n v="1"/>
    <s v="REALIZADO"/>
    <s v="AGATHA"/>
    <x v="62"/>
    <x v="2"/>
    <x v="0"/>
  </r>
  <r>
    <n v="61264"/>
    <x v="10"/>
    <s v="MMG"/>
    <x v="0"/>
    <n v="50036255"/>
    <s v="CHAVE DE IMPACTO 1/2&quot; 20V"/>
    <n v="1"/>
    <s v="REALIZADO"/>
    <s v="BRUNO"/>
    <x v="62"/>
    <x v="0"/>
    <x v="0"/>
  </r>
  <r>
    <n v="65084"/>
    <x v="83"/>
    <s v="MMG"/>
    <x v="4"/>
    <n v="50036255"/>
    <s v="CHAVE DE IMPACTO 1/2&quot; 20V"/>
    <n v="1"/>
    <s v="REALIZADO"/>
    <s v="BRUNA"/>
    <x v="62"/>
    <x v="2"/>
    <x v="0"/>
  </r>
  <r>
    <n v="65084"/>
    <x v="83"/>
    <s v="MMG"/>
    <x v="4"/>
    <n v="50036255"/>
    <s v="CHAVE DE IMPACTO 1/2&quot; 20V"/>
    <n v="1"/>
    <s v="REALIZADO"/>
    <s v="BRUNA"/>
    <x v="62"/>
    <x v="0"/>
    <x v="0"/>
  </r>
  <r>
    <n v="64253"/>
    <x v="16"/>
    <s v="MMG"/>
    <x v="0"/>
    <n v="50003173"/>
    <s v="CHAVE GRIFO 24"/>
    <n v="1"/>
    <s v="REALIZADO"/>
    <s v="AGATHA"/>
    <x v="62"/>
    <x v="2"/>
    <x v="0"/>
  </r>
  <r>
    <n v="64253"/>
    <x v="16"/>
    <s v="MMG"/>
    <x v="0"/>
    <n v="50003173"/>
    <s v="CHAVE GRIFO 24"/>
    <n v="1"/>
    <s v="REALIZADO"/>
    <s v="BRUNO"/>
    <x v="62"/>
    <x v="2"/>
    <x v="0"/>
  </r>
  <r>
    <n v="78886"/>
    <x v="51"/>
    <s v="MME"/>
    <x v="0"/>
    <n v="50043471"/>
    <s v="FURADEIRA BOSCH 7"/>
    <n v="1"/>
    <s v="REALIZADO"/>
    <s v="BRUNO"/>
    <x v="62"/>
    <x v="2"/>
    <x v="0"/>
  </r>
  <r>
    <n v="77526"/>
    <x v="37"/>
    <s v="MME"/>
    <x v="0"/>
    <n v="50003297"/>
    <s v="FURADEIRA DE IMPACTO MAKITA 02"/>
    <n v="1"/>
    <s v="REALIZADO"/>
    <s v="BRUNO"/>
    <x v="62"/>
    <x v="0"/>
    <x v="0"/>
  </r>
  <r>
    <n v="68760"/>
    <x v="15"/>
    <s v="MMG"/>
    <x v="0"/>
    <n v="50038549"/>
    <s v="JOGO SOQUETE ESTRIADOS 1/2 22PEÇ"/>
    <n v="1"/>
    <s v="REALIZADO"/>
    <s v="AGATHA"/>
    <x v="62"/>
    <x v="0"/>
    <x v="8"/>
  </r>
  <r>
    <n v="63770"/>
    <x v="36"/>
    <s v="MMG"/>
    <x v="0"/>
    <n v="50038549"/>
    <s v="JOGO SOQUETE ESTRIADOS 1/2 22PEÇ"/>
    <n v="1"/>
    <s v="REALIZADO"/>
    <s v="AGATHA"/>
    <x v="62"/>
    <x v="2"/>
    <x v="0"/>
  </r>
  <r>
    <n v="68760"/>
    <x v="15"/>
    <s v="MMG"/>
    <x v="0"/>
    <n v="50038549"/>
    <s v="JOGO SOQUETE ESTRIADOS 1/2 22PEÇ"/>
    <n v="1"/>
    <s v="REALIZADO"/>
    <s v="AGATHA"/>
    <x v="62"/>
    <x v="2"/>
    <x v="0"/>
  </r>
  <r>
    <n v="63770"/>
    <x v="36"/>
    <s v="MMG"/>
    <x v="0"/>
    <n v="50038549"/>
    <s v="JOGO SOQUETE ESTRIADOS 1/2 22PEÇ"/>
    <n v="1"/>
    <s v="REALIZADO"/>
    <s v="AGATHA"/>
    <x v="62"/>
    <x v="0"/>
    <x v="0"/>
  </r>
  <r>
    <n v="65084"/>
    <x v="83"/>
    <s v="MMG"/>
    <x v="4"/>
    <n v="50038549"/>
    <s v="JOGO SOQUETE ESTRIADOS 1/2 22PEÇ"/>
    <n v="1"/>
    <s v="REALIZADO"/>
    <s v="BRUNA"/>
    <x v="62"/>
    <x v="2"/>
    <x v="0"/>
  </r>
  <r>
    <n v="65084"/>
    <x v="83"/>
    <s v="MMG"/>
    <x v="4"/>
    <n v="50038549"/>
    <s v="JOGO SOQUETE ESTRIADOS 1/2 22PEÇ"/>
    <n v="1"/>
    <s v="REALIZADO"/>
    <s v="BRUNA"/>
    <x v="62"/>
    <x v="0"/>
    <x v="0"/>
  </r>
  <r>
    <n v="64253"/>
    <x v="16"/>
    <s v="MMG"/>
    <x v="0"/>
    <n v="50022878"/>
    <s v="KIT MONTAGEM ROLAMENTO SKF"/>
    <n v="1"/>
    <s v="REALIZADO"/>
    <s v="AGATHA"/>
    <x v="62"/>
    <x v="2"/>
    <x v="0"/>
  </r>
  <r>
    <n v="64253"/>
    <x v="16"/>
    <s v="MMG"/>
    <x v="0"/>
    <n v="50022878"/>
    <s v="KIT MONTAGEM ROLAMENTO SKF"/>
    <n v="1"/>
    <s v="REALIZADO"/>
    <s v="AGATHA"/>
    <x v="62"/>
    <x v="0"/>
    <x v="0"/>
  </r>
  <r>
    <n v="74611"/>
    <x v="2"/>
    <s v="MPR"/>
    <x v="0"/>
    <n v="50038956"/>
    <s v="LIXADEIRA BOSCH 1"/>
    <n v="1"/>
    <s v="REALIZADO"/>
    <s v="BRUNO"/>
    <x v="62"/>
    <x v="2"/>
    <x v="0"/>
  </r>
  <r>
    <n v="74611"/>
    <x v="2"/>
    <s v="MPR"/>
    <x v="0"/>
    <n v="50038956"/>
    <s v="LIXADEIRA BOSCH 1"/>
    <n v="1"/>
    <s v="REALIZADO"/>
    <s v="BRUNO"/>
    <x v="62"/>
    <x v="2"/>
    <x v="0"/>
  </r>
  <r>
    <n v="61096"/>
    <x v="64"/>
    <s v="MME"/>
    <x v="0"/>
    <n v="50037892"/>
    <s v="LIXADEIRA BOSCH 2"/>
    <n v="1"/>
    <s v="REALIZADO"/>
    <s v="BRUNA"/>
    <x v="62"/>
    <x v="2"/>
    <x v="0"/>
  </r>
  <r>
    <n v="77526"/>
    <x v="37"/>
    <s v="MME"/>
    <x v="0"/>
    <n v="50038841"/>
    <s v="LIXADEIRA BOSCH 4"/>
    <n v="1"/>
    <s v="REALIZADO"/>
    <s v="BRUNO"/>
    <x v="62"/>
    <x v="0"/>
    <x v="0"/>
  </r>
  <r>
    <n v="74611"/>
    <x v="2"/>
    <s v="MPR"/>
    <x v="0"/>
    <n v="50038517"/>
    <s v="LIXADEIRA BOSCH 5"/>
    <n v="1"/>
    <s v="REALIZADO"/>
    <s v="AGATHA"/>
    <x v="62"/>
    <x v="2"/>
    <x v="0"/>
  </r>
  <r>
    <n v="74611"/>
    <x v="2"/>
    <s v="MPR"/>
    <x v="0"/>
    <n v="50038517"/>
    <s v="LIXADEIRA BOSCH 5"/>
    <n v="1"/>
    <s v="REALIZADO"/>
    <s v="AGATHA"/>
    <x v="62"/>
    <x v="0"/>
    <x v="0"/>
  </r>
  <r>
    <n v="65844"/>
    <x v="54"/>
    <s v="MMG"/>
    <x v="2"/>
    <n v="50038517"/>
    <s v="LIXADEIRA BOSCH 5"/>
    <n v="1"/>
    <s v="REALIZADO"/>
    <s v="AGATHA"/>
    <x v="62"/>
    <x v="2"/>
    <x v="0"/>
  </r>
  <r>
    <n v="65844"/>
    <x v="54"/>
    <s v="MMG"/>
    <x v="2"/>
    <n v="50038517"/>
    <s v="LIXADEIRA BOSCH 5"/>
    <n v="1"/>
    <s v="REALIZADO"/>
    <s v="AGATHA"/>
    <x v="62"/>
    <x v="0"/>
    <x v="0"/>
  </r>
  <r>
    <n v="79177"/>
    <x v="28"/>
    <s v="MMG"/>
    <x v="0"/>
    <n v="50038517"/>
    <s v="LIXADEIRA BOSCH 5"/>
    <n v="1"/>
    <s v="REALIZADO"/>
    <s v="BRUNA"/>
    <x v="62"/>
    <x v="2"/>
    <x v="0"/>
  </r>
  <r>
    <n v="79177"/>
    <x v="28"/>
    <s v="MMG"/>
    <x v="0"/>
    <n v="50038517"/>
    <s v="LIXADEIRA BOSCH 5"/>
    <n v="1"/>
    <s v="REALIZADO"/>
    <s v="BRUNA"/>
    <x v="62"/>
    <x v="0"/>
    <x v="0"/>
  </r>
  <r>
    <n v="78675"/>
    <x v="12"/>
    <s v="MME"/>
    <x v="2"/>
    <n v="50038517"/>
    <s v="LIXADEIRA BOSCH 5"/>
    <n v="1"/>
    <s v="REALIZADO"/>
    <s v="BRUNO"/>
    <x v="62"/>
    <x v="2"/>
    <x v="0"/>
  </r>
  <r>
    <n v="78675"/>
    <x v="12"/>
    <s v="MME"/>
    <x v="2"/>
    <n v="50038517"/>
    <s v="LIXADEIRA BOSCH 5"/>
    <n v="1"/>
    <s v="REALIZADO"/>
    <s v="BRUNA"/>
    <x v="62"/>
    <x v="0"/>
    <x v="0"/>
  </r>
  <r>
    <n v="62471"/>
    <x v="9"/>
    <s v="MME"/>
    <x v="0"/>
    <n v="50039065"/>
    <s v="MAQUINA SOLDA TIG"/>
    <n v="1"/>
    <s v="REALIZADO"/>
    <s v="AGATHA"/>
    <x v="62"/>
    <x v="2"/>
    <x v="0"/>
  </r>
  <r>
    <n v="62471"/>
    <x v="9"/>
    <s v="MME"/>
    <x v="0"/>
    <n v="50039065"/>
    <s v="MAQUINA SOLDA TIG"/>
    <n v="1"/>
    <s v="REALIZADO"/>
    <s v="AGATHA"/>
    <x v="62"/>
    <x v="0"/>
    <x v="0"/>
  </r>
  <r>
    <n v="79177"/>
    <x v="28"/>
    <s v="MMG"/>
    <x v="0"/>
    <n v="50039065"/>
    <s v="MAQUINA SOLDA TIG"/>
    <n v="1"/>
    <s v="REALIZADO"/>
    <s v="BRUNA"/>
    <x v="62"/>
    <x v="2"/>
    <x v="0"/>
  </r>
  <r>
    <n v="79177"/>
    <x v="28"/>
    <s v="MMG"/>
    <x v="0"/>
    <n v="50039065"/>
    <s v="MAQUINA SOLDA TIG"/>
    <n v="1"/>
    <s v="REALIZADO"/>
    <s v="BRUNA"/>
    <x v="62"/>
    <x v="0"/>
    <x v="0"/>
  </r>
  <r>
    <n v="77313"/>
    <x v="17"/>
    <s v="MPR"/>
    <x v="0"/>
    <n v="50026357"/>
    <s v="MARTELETE VONDER"/>
    <n v="1"/>
    <s v="REALIZADO"/>
    <s v="AGATHA"/>
    <x v="62"/>
    <x v="2"/>
    <x v="0"/>
  </r>
  <r>
    <n v="77313"/>
    <x v="17"/>
    <s v="MPR"/>
    <x v="0"/>
    <n v="50026357"/>
    <s v="MARTELETE VONDER"/>
    <n v="1"/>
    <s v="REALIZADO"/>
    <s v="AGATHA"/>
    <x v="62"/>
    <x v="0"/>
    <x v="0"/>
  </r>
  <r>
    <n v="63697"/>
    <x v="94"/>
    <s v="MME"/>
    <x v="0"/>
    <n v="50001740"/>
    <s v="PAQUIMETRO UNIVERSAL 300MM"/>
    <n v="1"/>
    <s v="REALIZADO"/>
    <s v="BRUNO"/>
    <x v="62"/>
    <x v="2"/>
    <x v="0"/>
  </r>
  <r>
    <n v="63697"/>
    <x v="94"/>
    <s v="MME"/>
    <x v="0"/>
    <n v="50001740"/>
    <s v="PAQUIMETRO UNIVERSAL 300MM"/>
    <n v="1"/>
    <s v="REALIZADO"/>
    <s v="BRUNO"/>
    <x v="62"/>
    <x v="0"/>
    <x v="0"/>
  </r>
  <r>
    <n v="74611"/>
    <x v="2"/>
    <s v="MPR"/>
    <x v="0"/>
    <n v="50041195"/>
    <s v="PARAFUSADEIRA FUR DE IMPACTO BRUSHLESS"/>
    <n v="1"/>
    <s v="REALIZADO"/>
    <s v="AGATHA"/>
    <x v="62"/>
    <x v="2"/>
    <x v="0"/>
  </r>
  <r>
    <n v="74611"/>
    <x v="2"/>
    <s v="MPR"/>
    <x v="0"/>
    <n v="50041195"/>
    <s v="PARAFUSADEIRA FUR DE IMPACTO BRUSHLESS"/>
    <n v="1"/>
    <s v="REALIZADO"/>
    <s v="AGATHA"/>
    <x v="62"/>
    <x v="0"/>
    <x v="0"/>
  </r>
  <r>
    <n v="63770"/>
    <x v="36"/>
    <s v="MMG"/>
    <x v="0"/>
    <n v="50041195"/>
    <s v="PARAFUSADEIRA FUR DE IMPACTO BRUSHLESS"/>
    <n v="1"/>
    <s v="REALIZADO"/>
    <s v="BRUNO"/>
    <x v="62"/>
    <x v="2"/>
    <x v="0"/>
  </r>
  <r>
    <n v="63770"/>
    <x v="36"/>
    <s v="MMG"/>
    <x v="0"/>
    <n v="50041195"/>
    <s v="PARAFUSADEIRA FUR DE IMPACTO BRUSHLESS"/>
    <n v="1"/>
    <s v="REALIZADO"/>
    <s v="BRUNO"/>
    <x v="62"/>
    <x v="0"/>
    <x v="0"/>
  </r>
  <r>
    <n v="61761"/>
    <x v="66"/>
    <s v="MEE"/>
    <x v="3"/>
    <n v="50043917"/>
    <s v="PARAFUSADEIRA FURADEIRA BOSCH"/>
    <n v="1"/>
    <s v="REALIZADO"/>
    <s v="AGATHA"/>
    <x v="62"/>
    <x v="2"/>
    <x v="0"/>
  </r>
  <r>
    <n v="61761"/>
    <x v="66"/>
    <s v="MEE"/>
    <x v="3"/>
    <n v="50043917"/>
    <s v="PARAFUSADEIRA FURADEIRA BOSCH"/>
    <n v="1"/>
    <s v="REALIZADO"/>
    <s v="AGATHA"/>
    <x v="62"/>
    <x v="0"/>
    <x v="0"/>
  </r>
  <r>
    <n v="72715"/>
    <x v="26"/>
    <s v="MPR"/>
    <x v="0"/>
    <n v="50043917"/>
    <s v="PARAFUSADEIRA FURADEIRA BOSCH"/>
    <n v="1"/>
    <s v="REALIZADO"/>
    <s v="AGATHA"/>
    <x v="62"/>
    <x v="2"/>
    <x v="0"/>
  </r>
  <r>
    <n v="72715"/>
    <x v="26"/>
    <s v="MPR"/>
    <x v="0"/>
    <n v="50043917"/>
    <s v="PARAFUSADEIRA FURADEIRA BOSCH"/>
    <n v="1"/>
    <s v="REALIZADO"/>
    <s v="AGATHA"/>
    <x v="62"/>
    <x v="0"/>
    <x v="0"/>
  </r>
  <r>
    <n v="68701"/>
    <x v="50"/>
    <s v="MEE"/>
    <x v="2"/>
    <n v="50043917"/>
    <s v="PARAFUSADEIRA FURADEIRA BOSCH"/>
    <n v="1"/>
    <s v="REALIZADO"/>
    <s v="BRUNA"/>
    <x v="62"/>
    <x v="2"/>
    <x v="0"/>
  </r>
  <r>
    <n v="68701"/>
    <x v="50"/>
    <s v="MEE"/>
    <x v="2"/>
    <n v="50043917"/>
    <s v="PARAFUSADEIRA FURADEIRA BOSCH"/>
    <n v="1"/>
    <s v="REALIZADO"/>
    <s v="BRUNO"/>
    <x v="62"/>
    <x v="0"/>
    <x v="0"/>
  </r>
  <r>
    <n v="74611"/>
    <x v="2"/>
    <s v="MPR"/>
    <x v="0"/>
    <n v="50020622"/>
    <s v="REBITADOR MANUAL"/>
    <n v="1"/>
    <s v="REALIZADO"/>
    <s v="AGATHA"/>
    <x v="62"/>
    <x v="2"/>
    <x v="0"/>
  </r>
  <r>
    <n v="74611"/>
    <x v="2"/>
    <s v="MPR"/>
    <x v="0"/>
    <n v="50020622"/>
    <s v="REBITADOR MANUAL"/>
    <n v="1"/>
    <s v="REALIZADO"/>
    <s v="AGATHA"/>
    <x v="62"/>
    <x v="0"/>
    <x v="0"/>
  </r>
  <r>
    <n v="61096"/>
    <x v="64"/>
    <s v="MME"/>
    <x v="0"/>
    <n v="50032775"/>
    <s v="SACA POLIA 150MM 3 GARRAS - GEDORE"/>
    <n v="1"/>
    <s v="REALIZADO"/>
    <s v="AGATHA"/>
    <x v="62"/>
    <x v="2"/>
    <x v="0"/>
  </r>
  <r>
    <n v="61096"/>
    <x v="64"/>
    <s v="MME"/>
    <x v="0"/>
    <n v="50032775"/>
    <s v="SACA POLIA 150MM 3 GARRAS - GEDORE"/>
    <n v="1"/>
    <s v="REALIZADO"/>
    <s v="BRUNO"/>
    <x v="62"/>
    <x v="0"/>
    <x v="0"/>
  </r>
  <r>
    <n v="68708"/>
    <x v="13"/>
    <s v="MMG"/>
    <x v="0"/>
    <n v="50044453"/>
    <s v="SACA POLIA COM 2 GARRAS 70MM"/>
    <n v="1"/>
    <s v="REALIZADO"/>
    <s v="AGATHA"/>
    <x v="62"/>
    <x v="2"/>
    <x v="0"/>
  </r>
  <r>
    <n v="68708"/>
    <x v="13"/>
    <s v="MMG"/>
    <x v="0"/>
    <n v="50044453"/>
    <s v="SACA POLIA COM 2 GARRAS 70MM"/>
    <n v="1"/>
    <s v="REALIZADO"/>
    <s v="AGATHA"/>
    <x v="62"/>
    <x v="0"/>
    <x v="0"/>
  </r>
  <r>
    <n v="60953"/>
    <x v="71"/>
    <s v="MMG"/>
    <x v="2"/>
    <n v="50044453"/>
    <s v="SACA POLIA COM 2 GARRAS 70MM"/>
    <n v="1"/>
    <s v="REALIZADO"/>
    <s v="AGATHA"/>
    <x v="62"/>
    <x v="2"/>
    <x v="0"/>
  </r>
  <r>
    <n v="60953"/>
    <x v="71"/>
    <s v="MMG"/>
    <x v="2"/>
    <n v="50044453"/>
    <s v="SACA POLIA COM 2 GARRAS 70MM"/>
    <n v="1"/>
    <s v="REALIZADO"/>
    <s v="AGATHA"/>
    <x v="62"/>
    <x v="0"/>
    <x v="0"/>
  </r>
  <r>
    <n v="72715"/>
    <x v="26"/>
    <s v="MPR"/>
    <x v="0"/>
    <n v="50038840"/>
    <s v="SERRA CIRCULAR MAKITA 4100NH2"/>
    <n v="1"/>
    <s v="REALIZADO"/>
    <s v="AGATHA"/>
    <x v="62"/>
    <x v="2"/>
    <x v="0"/>
  </r>
  <r>
    <n v="72715"/>
    <x v="26"/>
    <s v="MPR"/>
    <x v="0"/>
    <n v="50038840"/>
    <s v="SERRA CIRCULAR MAKITA 4100NH2"/>
    <n v="1"/>
    <s v="REALIZADO"/>
    <s v="AGATHA"/>
    <x v="62"/>
    <x v="0"/>
    <x v="0"/>
  </r>
  <r>
    <n v="61264"/>
    <x v="10"/>
    <s v="MMG"/>
    <x v="0"/>
    <n v="50037933"/>
    <s v="TERMOMETRO"/>
    <n v="1"/>
    <s v="REALIZADO"/>
    <s v="AGATHA"/>
    <x v="62"/>
    <x v="2"/>
    <x v="0"/>
  </r>
  <r>
    <n v="61264"/>
    <x v="10"/>
    <s v="MMG"/>
    <x v="0"/>
    <n v="50037933"/>
    <s v="TERMOMETRO"/>
    <n v="1"/>
    <s v="REALIZADO"/>
    <s v="AGATHA"/>
    <x v="62"/>
    <x v="0"/>
    <x v="0"/>
  </r>
  <r>
    <n v="63770"/>
    <x v="36"/>
    <s v="MMG"/>
    <x v="0"/>
    <n v="50010031"/>
    <s v=" LIXADEIRA BOSCH 6"/>
    <n v="1"/>
    <s v="REALIZADO"/>
    <s v="MARCIA"/>
    <x v="63"/>
    <x v="2"/>
    <x v="0"/>
  </r>
  <r>
    <n v="63770"/>
    <x v="36"/>
    <s v="MMG"/>
    <x v="0"/>
    <n v="50010031"/>
    <s v=" LIXADEIRA BOSCH 6"/>
    <n v="1"/>
    <s v="REALIZADO"/>
    <s v="MARCIA"/>
    <x v="63"/>
    <x v="2"/>
    <x v="0"/>
  </r>
  <r>
    <n v="65472"/>
    <x v="48"/>
    <s v="MMG"/>
    <x v="0"/>
    <n v="50003298"/>
    <s v="ALINHADOR DE POLIA A LASER"/>
    <n v="1"/>
    <s v="REALIZADO"/>
    <s v="MARCIA"/>
    <x v="63"/>
    <x v="0"/>
    <x v="0"/>
  </r>
  <r>
    <n v="62640"/>
    <x v="44"/>
    <s v="MPR"/>
    <x v="0"/>
    <n v="50038854"/>
    <s v="ARCO DE SERRA"/>
    <n v="1"/>
    <s v="REALIZADO"/>
    <s v="MARCIA"/>
    <x v="63"/>
    <x v="2"/>
    <x v="0"/>
  </r>
  <r>
    <n v="62640"/>
    <x v="44"/>
    <s v="MPR"/>
    <x v="0"/>
    <n v="50038854"/>
    <s v="ARCO DE SERRA"/>
    <n v="1"/>
    <s v="REALIZADO"/>
    <s v="MARCIA"/>
    <x v="63"/>
    <x v="0"/>
    <x v="0"/>
  </r>
  <r>
    <n v="75365"/>
    <x v="77"/>
    <s v="MEE"/>
    <x v="0"/>
    <n v="50036298"/>
    <s v="ASPIRADOR PARA SOLIDOS SEM FIO 20V"/>
    <n v="1"/>
    <s v="REALIZADO"/>
    <s v="KELLY"/>
    <x v="63"/>
    <x v="2"/>
    <x v="0"/>
  </r>
  <r>
    <n v="75365"/>
    <x v="77"/>
    <s v="MEE"/>
    <x v="0"/>
    <n v="50036298"/>
    <s v="ASPIRADOR PARA SOLIDOS SEM FIO 20V"/>
    <n v="1"/>
    <s v="REALIZADO"/>
    <s v="MARCIA"/>
    <x v="63"/>
    <x v="0"/>
    <x v="0"/>
  </r>
  <r>
    <n v="65472"/>
    <x v="48"/>
    <s v="MMG"/>
    <x v="0"/>
    <n v="50039718"/>
    <s v="ESCALA DE ACO 1000MM VONDER "/>
    <n v="1"/>
    <s v="REALIZADO"/>
    <s v="KELLY"/>
    <x v="63"/>
    <x v="0"/>
    <x v="0"/>
  </r>
  <r>
    <n v="67100"/>
    <x v="95"/>
    <s v="MMG"/>
    <x v="3"/>
    <n v="50039718"/>
    <s v="ESCALA DE ACO 1000MM VONDER "/>
    <n v="1"/>
    <s v="REALIZADO"/>
    <s v="KELLY"/>
    <x v="63"/>
    <x v="2"/>
    <x v="0"/>
  </r>
  <r>
    <n v="67100"/>
    <x v="95"/>
    <s v="MMG"/>
    <x v="3"/>
    <n v="50039718"/>
    <s v="ESCALA DE ACO 1000MM VONDER "/>
    <n v="1"/>
    <s v="REALIZADO"/>
    <s v="MARCIA"/>
    <x v="63"/>
    <x v="2"/>
    <x v="0"/>
  </r>
  <r>
    <n v="65472"/>
    <x v="48"/>
    <s v="MMG"/>
    <x v="0"/>
    <n v="50039718"/>
    <s v="ESCALA DE ACO 1000MM VONDER "/>
    <n v="1"/>
    <s v="REALIZADO"/>
    <s v="MARCIA"/>
    <x v="63"/>
    <x v="0"/>
    <x v="0"/>
  </r>
  <r>
    <n v="67915"/>
    <x v="52"/>
    <s v="MMG"/>
    <x v="2"/>
    <n v="50003297"/>
    <s v="FURADEIRA DE IMPACTO MAKITA 02"/>
    <n v="1"/>
    <s v="REALIZADO"/>
    <s v="MARCIA"/>
    <x v="63"/>
    <x v="0"/>
    <x v="0"/>
  </r>
  <r>
    <n v="62164"/>
    <x v="24"/>
    <s v="MEE"/>
    <x v="3"/>
    <n v="50043320"/>
    <s v="JOGO SERRA COPO 8PÇS"/>
    <n v="1"/>
    <s v="REALIZADO"/>
    <s v="MARCIA"/>
    <x v="63"/>
    <x v="2"/>
    <x v="0"/>
  </r>
  <r>
    <n v="62164"/>
    <x v="24"/>
    <s v="MEE"/>
    <x v="3"/>
    <n v="50043320"/>
    <s v="JOGO SERRA COPO 8PÇS"/>
    <n v="1"/>
    <s v="REALIZADO"/>
    <s v="MARCIA"/>
    <x v="63"/>
    <x v="0"/>
    <x v="0"/>
  </r>
  <r>
    <n v="68760"/>
    <x v="15"/>
    <s v="MMG"/>
    <x v="0"/>
    <n v="50022878"/>
    <s v="KIT MONTAGEM ROLAMENTO SKF"/>
    <n v="1"/>
    <s v="REALIZADO"/>
    <s v="KELLY"/>
    <x v="63"/>
    <x v="2"/>
    <x v="0"/>
  </r>
  <r>
    <n v="68760"/>
    <x v="15"/>
    <s v="MMG"/>
    <x v="0"/>
    <n v="50022878"/>
    <s v="KIT MONTAGEM ROLAMENTO SKF"/>
    <n v="1"/>
    <s v="REALIZADO"/>
    <s v="MARCIA"/>
    <x v="63"/>
    <x v="0"/>
    <x v="0"/>
  </r>
  <r>
    <n v="70146"/>
    <x v="96"/>
    <s v="UTI"/>
    <x v="2"/>
    <n v="50022878"/>
    <s v="KIT MONTAGEM ROLAMENTO SKF"/>
    <n v="1"/>
    <s v="REALIZADO"/>
    <s v="MARCIA"/>
    <x v="63"/>
    <x v="2"/>
    <x v="0"/>
  </r>
  <r>
    <n v="70146"/>
    <x v="96"/>
    <s v="UTI"/>
    <x v="2"/>
    <n v="50022878"/>
    <s v="KIT MONTAGEM ROLAMENTO SKF"/>
    <m/>
    <s v="REALIZADO"/>
    <s v="MARCIA"/>
    <x v="63"/>
    <x v="0"/>
    <x v="0"/>
  </r>
  <r>
    <n v="74611"/>
    <x v="2"/>
    <s v="MPR"/>
    <x v="0"/>
    <n v="50038956"/>
    <s v="LIXADEIRA BOSCH 1"/>
    <n v="1"/>
    <s v="REALIZADO"/>
    <s v="MARCIA"/>
    <x v="63"/>
    <x v="2"/>
    <x v="0"/>
  </r>
  <r>
    <n v="74611"/>
    <x v="2"/>
    <s v="MPR"/>
    <x v="0"/>
    <n v="50038956"/>
    <s v="LIXADEIRA BOSCH 1"/>
    <n v="1"/>
    <s v="REALIZADO"/>
    <s v="MARCIA"/>
    <x v="63"/>
    <x v="0"/>
    <x v="0"/>
  </r>
  <r>
    <n v="67915"/>
    <x v="52"/>
    <s v="MMG"/>
    <x v="2"/>
    <n v="50037892"/>
    <s v="LIXADEIRA BOSCH 2"/>
    <n v="1"/>
    <s v="REALIZADO"/>
    <s v="KELLY"/>
    <x v="63"/>
    <x v="2"/>
    <x v="0"/>
  </r>
  <r>
    <n v="67915"/>
    <x v="52"/>
    <s v="MMG"/>
    <x v="2"/>
    <n v="50037892"/>
    <s v="LIXADEIRA BOSCH 2"/>
    <n v="1"/>
    <s v="REALIZADO"/>
    <s v="MARCIA"/>
    <x v="63"/>
    <x v="0"/>
    <x v="0"/>
  </r>
  <r>
    <n v="67863"/>
    <x v="40"/>
    <s v="MME"/>
    <x v="2"/>
    <n v="50038841"/>
    <s v="LIXADEIRA BOSCH 4"/>
    <n v="1"/>
    <s v="REALIZADO"/>
    <s v="MARCIA"/>
    <x v="63"/>
    <x v="2"/>
    <x v="0"/>
  </r>
  <r>
    <n v="67863"/>
    <x v="40"/>
    <s v="MME"/>
    <x v="2"/>
    <n v="50038841"/>
    <s v="LIXADEIRA BOSCH 4"/>
    <n v="1"/>
    <s v="REALIZADO"/>
    <s v="MARCIA"/>
    <x v="63"/>
    <x v="0"/>
    <x v="0"/>
  </r>
  <r>
    <n v="62164"/>
    <x v="24"/>
    <s v="MEE"/>
    <x v="3"/>
    <n v="50038517"/>
    <s v="LIXADEIRA BOSCH 5"/>
    <n v="1"/>
    <s v="REALIZADO"/>
    <s v="MARCIA"/>
    <x v="63"/>
    <x v="2"/>
    <x v="0"/>
  </r>
  <r>
    <n v="62164"/>
    <x v="24"/>
    <s v="MEE"/>
    <x v="3"/>
    <n v="50038517"/>
    <s v="LIXADEIRA BOSCH 5"/>
    <n v="1"/>
    <s v="REALIZADO"/>
    <s v="MARCIA"/>
    <x v="63"/>
    <x v="0"/>
    <x v="0"/>
  </r>
  <r>
    <n v="68708"/>
    <x v="13"/>
    <s v="MMG"/>
    <x v="0"/>
    <n v="50001995"/>
    <s v="MAQUINA DE SOLDA"/>
    <n v="1"/>
    <s v="REALIZADO"/>
    <s v="MARCIA"/>
    <x v="63"/>
    <x v="2"/>
    <x v="0"/>
  </r>
  <r>
    <n v="68708"/>
    <x v="13"/>
    <s v="MMG"/>
    <x v="0"/>
    <n v="50001995"/>
    <s v="MAQUINA DE SOLDA"/>
    <n v="1"/>
    <s v="REALIZADO"/>
    <s v="MARCIA"/>
    <x v="63"/>
    <x v="0"/>
    <x v="0"/>
  </r>
  <r>
    <n v="68708"/>
    <x v="13"/>
    <s v="MPR"/>
    <x v="0"/>
    <n v="50038626"/>
    <s v="MARRETA 8KG"/>
    <n v="1"/>
    <s v="REALIZADO"/>
    <s v="MARCIA"/>
    <x v="63"/>
    <x v="2"/>
    <x v="0"/>
  </r>
  <r>
    <n v="74611"/>
    <x v="2"/>
    <s v="MPR"/>
    <x v="0"/>
    <n v="50038626"/>
    <s v="MARRETA 8KG"/>
    <n v="1"/>
    <s v="REALIZADO"/>
    <s v="MARCIA"/>
    <x v="63"/>
    <x v="0"/>
    <x v="0"/>
  </r>
  <r>
    <n v="77313"/>
    <x v="17"/>
    <s v="MPR"/>
    <x v="0"/>
    <n v="50026357"/>
    <s v="MARTELETE VONDER"/>
    <n v="1"/>
    <s v="REALIZADO"/>
    <s v="KELLY"/>
    <x v="63"/>
    <x v="2"/>
    <x v="0"/>
  </r>
  <r>
    <n v="77313"/>
    <x v="17"/>
    <s v="MPR"/>
    <x v="0"/>
    <n v="50026357"/>
    <s v="MARTELETE VONDER"/>
    <n v="1"/>
    <s v="REALIZADO"/>
    <s v="MARCIA"/>
    <x v="63"/>
    <x v="0"/>
    <x v="0"/>
  </r>
  <r>
    <n v="64074"/>
    <x v="75"/>
    <s v="MPR"/>
    <x v="0"/>
    <n v="50041124"/>
    <s v="MISTURADOR DE ARGAMASSA"/>
    <n v="1"/>
    <s v="REALIZADO"/>
    <s v="KELLY"/>
    <x v="63"/>
    <x v="2"/>
    <x v="0"/>
  </r>
  <r>
    <n v="72713"/>
    <x v="68"/>
    <s v="MPR"/>
    <x v="0"/>
    <n v="50041124"/>
    <s v="MISTURADOR DE ARGAMASSA"/>
    <n v="1"/>
    <s v="REALIZADO"/>
    <s v="MARCIA"/>
    <x v="63"/>
    <x v="0"/>
    <x v="0"/>
  </r>
  <r>
    <n v="62896"/>
    <x v="33"/>
    <s v="MEE"/>
    <x v="0"/>
    <n v="50020622"/>
    <s v="REBITADOR MANUAL"/>
    <n v="1"/>
    <s v="REALIZADO"/>
    <s v="MARCIA"/>
    <x v="63"/>
    <x v="2"/>
    <x v="0"/>
  </r>
  <r>
    <n v="62896"/>
    <x v="33"/>
    <s v="MEE"/>
    <x v="0"/>
    <n v="50020622"/>
    <s v="REBITADOR MANUAL"/>
    <n v="1"/>
    <s v="REALIZADO"/>
    <s v="MARCIA"/>
    <x v="63"/>
    <x v="0"/>
    <x v="0"/>
  </r>
  <r>
    <n v="60953"/>
    <x v="71"/>
    <s v="MMG"/>
    <x v="2"/>
    <n v="50004486"/>
    <s v="RETIFICA "/>
    <n v="1"/>
    <s v="REALIZADO"/>
    <s v="MARCIA"/>
    <x v="63"/>
    <x v="2"/>
    <x v="0"/>
  </r>
  <r>
    <n v="60953"/>
    <x v="71"/>
    <s v="MMG"/>
    <x v="2"/>
    <n v="50004486"/>
    <s v="RETIFICA "/>
    <n v="1"/>
    <s v="REALIZADO"/>
    <s v="MARCIA"/>
    <x v="63"/>
    <x v="0"/>
    <x v="0"/>
  </r>
  <r>
    <n v="64074"/>
    <x v="75"/>
    <s v="MPR"/>
    <x v="0"/>
    <n v="50038840"/>
    <s v="SERRA CIRCULAR MAKITA 4100NH2"/>
    <n v="1"/>
    <s v="REALIZADO"/>
    <s v="KELLY"/>
    <x v="63"/>
    <x v="2"/>
    <x v="0"/>
  </r>
  <r>
    <n v="64074"/>
    <x v="75"/>
    <s v="MPR"/>
    <x v="0"/>
    <n v="50038840"/>
    <s v="SERRA CIRCULAR MAKITA 4100NH2"/>
    <n v="1"/>
    <s v="REALIZADO"/>
    <s v="MARCIA"/>
    <x v="63"/>
    <x v="2"/>
    <x v="0"/>
  </r>
  <r>
    <n v="72713"/>
    <x v="68"/>
    <s v="MPR"/>
    <x v="0"/>
    <n v="50038618"/>
    <s v="SOPRADOR "/>
    <n v="1"/>
    <s v="REALIZADO"/>
    <s v="MARCIA"/>
    <x v="63"/>
    <x v="2"/>
    <x v="0"/>
  </r>
  <r>
    <n v="72713"/>
    <x v="68"/>
    <s v="MPR"/>
    <x v="0"/>
    <n v="50041194"/>
    <s v="TALHADEIRA MANUAL SEXTAVADA 300 X 25 MM"/>
    <n v="1"/>
    <s v="REALIZADO"/>
    <s v="MARCIA"/>
    <x v="63"/>
    <x v="0"/>
    <x v="0"/>
  </r>
  <r>
    <n v="74874"/>
    <x v="90"/>
    <s v="MMG"/>
    <x v="0"/>
    <n v="50037905"/>
    <s v="ESTETOSCÓPIO SKF"/>
    <n v="1"/>
    <s v="REALIZADO"/>
    <s v="BRUNA"/>
    <x v="64"/>
    <x v="2"/>
    <x v="0"/>
  </r>
  <r>
    <n v="74874"/>
    <x v="90"/>
    <s v="MMG"/>
    <x v="0"/>
    <n v="50037905"/>
    <s v="ESTETOSCÓPIO SKF"/>
    <n v="1"/>
    <s v="REALIZADO"/>
    <s v="BRUNA"/>
    <x v="64"/>
    <x v="0"/>
    <x v="0"/>
  </r>
  <r>
    <n v="67915"/>
    <x v="52"/>
    <s v="MMG"/>
    <x v="2"/>
    <n v="50043471"/>
    <s v="FURADEIRA BOSCH 7"/>
    <n v="1"/>
    <s v="REALIZADO"/>
    <s v="BRUNA"/>
    <x v="64"/>
    <x v="0"/>
    <x v="0"/>
  </r>
  <r>
    <n v="74874"/>
    <x v="90"/>
    <s v="MMG"/>
    <x v="0"/>
    <n v="50038841"/>
    <s v="LIXADEIRA BOSCH 4"/>
    <n v="1"/>
    <s v="REALIZADO"/>
    <s v="BRUNA"/>
    <x v="64"/>
    <x v="2"/>
    <x v="0"/>
  </r>
  <r>
    <n v="74874"/>
    <x v="90"/>
    <s v="MMG"/>
    <x v="0"/>
    <n v="50038841"/>
    <s v="LIXADEIRA BOSCH 4"/>
    <n v="1"/>
    <s v="REALIZADO"/>
    <s v="BRUNA"/>
    <x v="64"/>
    <x v="0"/>
    <x v="0"/>
  </r>
  <r>
    <n v="62896"/>
    <x v="33"/>
    <s v="MEE"/>
    <x v="0"/>
    <n v="50036298"/>
    <s v="ASPIRADOR PARA SOLIDOS SEM FIO 20V"/>
    <n v="1"/>
    <s v="REALIZADO"/>
    <s v="GEOVANE"/>
    <x v="65"/>
    <x v="2"/>
    <x v="0"/>
  </r>
  <r>
    <n v="62896"/>
    <x v="33"/>
    <s v="MEE"/>
    <x v="0"/>
    <n v="50036298"/>
    <s v="ASPIRADOR PARA SOLIDOS SEM FIO 20V"/>
    <n v="1"/>
    <s v="REALIZADO"/>
    <s v="MATHEUS"/>
    <x v="65"/>
    <x v="0"/>
    <x v="0"/>
  </r>
  <r>
    <n v="74611"/>
    <x v="2"/>
    <s v="MPR"/>
    <x v="0"/>
    <n v="50036086"/>
    <s v="CHAVE GRIFO 18"/>
    <n v="1"/>
    <s v="REALIZADO"/>
    <s v="AGATHA"/>
    <x v="65"/>
    <x v="2"/>
    <x v="0"/>
  </r>
  <r>
    <n v="74611"/>
    <x v="2"/>
    <s v="MPR"/>
    <x v="0"/>
    <n v="50036086"/>
    <s v="CHAVE GRIFO 18"/>
    <n v="1"/>
    <s v="REALIZADO"/>
    <s v="GEOVANE"/>
    <x v="65"/>
    <x v="0"/>
    <x v="0"/>
  </r>
  <r>
    <n v="76994"/>
    <x v="8"/>
    <s v="MEE"/>
    <x v="0"/>
    <n v="50039236"/>
    <s v="FURADEIRA BOSCH 4"/>
    <n v="1"/>
    <s v="REALIZADO"/>
    <s v="MATHEUS"/>
    <x v="65"/>
    <x v="2"/>
    <x v="0"/>
  </r>
  <r>
    <n v="62471"/>
    <x v="9"/>
    <s v="MME"/>
    <x v="0"/>
    <n v="50043471"/>
    <s v="FURADEIRA BOSCH 7"/>
    <n v="1"/>
    <s v="REALIZADO"/>
    <s v="GEOVANE"/>
    <x v="65"/>
    <x v="2"/>
    <x v="0"/>
  </r>
  <r>
    <n v="66789"/>
    <x v="78"/>
    <s v="MME"/>
    <x v="2"/>
    <n v="50003297"/>
    <s v="FURADEIRA DE IMPACTO MAKITA 02"/>
    <n v="1"/>
    <s v="REALIZADO"/>
    <s v="MATHEUS"/>
    <x v="65"/>
    <x v="0"/>
    <x v="0"/>
  </r>
  <r>
    <n v="65472"/>
    <x v="48"/>
    <s v="MMG"/>
    <x v="0"/>
    <n v="50003297"/>
    <s v="FURADEIRA DE IMPACTO MAKITA 02"/>
    <n v="1"/>
    <s v="REALIZADO"/>
    <s v="BRUNO"/>
    <x v="65"/>
    <x v="0"/>
    <x v="0"/>
  </r>
  <r>
    <n v="61264"/>
    <x v="10"/>
    <s v="MMG"/>
    <x v="0"/>
    <n v="50029865"/>
    <s v="JOGO DE BROCAS ACO RAPIDO"/>
    <n v="1"/>
    <s v="REALIZADO"/>
    <s v="AGATHA"/>
    <x v="65"/>
    <x v="2"/>
    <x v="0"/>
  </r>
  <r>
    <n v="61264"/>
    <x v="10"/>
    <s v="MMG"/>
    <x v="0"/>
    <n v="50029865"/>
    <s v="JOGO DE BROCAS ACO RAPIDO"/>
    <n v="1"/>
    <s v="REALIZADO"/>
    <s v="BRUNO"/>
    <x v="65"/>
    <x v="0"/>
    <x v="0"/>
  </r>
  <r>
    <n v="64253"/>
    <x v="16"/>
    <s v="MMG"/>
    <x v="0"/>
    <n v="50038956"/>
    <s v="LIXADEIRA BOSCH 1"/>
    <n v="1"/>
    <s v="REALIZADO"/>
    <s v="GEOVANE"/>
    <x v="65"/>
    <x v="2"/>
    <x v="0"/>
  </r>
  <r>
    <n v="64253"/>
    <x v="16"/>
    <s v="MMG"/>
    <x v="0"/>
    <n v="50038956"/>
    <s v="LIXADEIRA BOSCH 1"/>
    <n v="1"/>
    <s v="REALIZADO"/>
    <s v="GEOVANE"/>
    <x v="65"/>
    <x v="0"/>
    <x v="0"/>
  </r>
  <r>
    <n v="77526"/>
    <x v="37"/>
    <s v="MME"/>
    <x v="0"/>
    <n v="50038956"/>
    <s v="LIXADEIRA BOSCH 1"/>
    <n v="1"/>
    <s v="REALIZADO"/>
    <s v="MATHEUS"/>
    <x v="65"/>
    <x v="2"/>
    <x v="0"/>
  </r>
  <r>
    <n v="77526"/>
    <x v="37"/>
    <s v="MME"/>
    <x v="0"/>
    <n v="50038956"/>
    <s v="LIXADEIRA BOSCH 1"/>
    <n v="1"/>
    <s v="REALIZADO"/>
    <s v="MATHEUS"/>
    <x v="65"/>
    <x v="0"/>
    <x v="0"/>
  </r>
  <r>
    <n v="73878"/>
    <x v="20"/>
    <s v="MMG"/>
    <x v="0"/>
    <n v="50037892"/>
    <s v="LIXADEIRA BOSCH 2"/>
    <n v="1"/>
    <s v="NÃO REALIZADO"/>
    <s v="MARCIA"/>
    <x v="65"/>
    <x v="2"/>
    <x v="0"/>
  </r>
  <r>
    <n v="73878"/>
    <x v="20"/>
    <s v="MMG"/>
    <x v="0"/>
    <n v="50037892"/>
    <s v="LIXADEIRA BOSCH 2"/>
    <n v="1"/>
    <s v="NÃO REALIZADO"/>
    <s v="MARCIA"/>
    <x v="65"/>
    <x v="2"/>
    <x v="0"/>
  </r>
  <r>
    <n v="65474"/>
    <x v="97"/>
    <s v="MMG"/>
    <x v="2"/>
    <n v="50037892"/>
    <s v="LIXADEIRA BOSCH 2"/>
    <n v="1"/>
    <s v="REALIZADO"/>
    <s v="MARINA"/>
    <x v="65"/>
    <x v="0"/>
    <x v="0"/>
  </r>
  <r>
    <n v="65474"/>
    <x v="97"/>
    <s v="MMG"/>
    <x v="2"/>
    <n v="50037892"/>
    <s v="LIXADEIRA BOSCH 2"/>
    <n v="1"/>
    <s v="REALIZADO"/>
    <s v="MARINA"/>
    <x v="65"/>
    <x v="0"/>
    <x v="0"/>
  </r>
  <r>
    <n v="62896"/>
    <x v="33"/>
    <s v="MEE"/>
    <x v="0"/>
    <n v="50038841"/>
    <s v="LIXADEIRA BOSCH 4"/>
    <n v="1"/>
    <s v="REALIZADO"/>
    <s v="MATHEUS"/>
    <x v="65"/>
    <x v="2"/>
    <x v="0"/>
  </r>
  <r>
    <n v="62896"/>
    <x v="33"/>
    <s v="MEE"/>
    <x v="0"/>
    <n v="50038841"/>
    <s v="LIXADEIRA BOSCH 4"/>
    <n v="1"/>
    <s v="REALIZADO"/>
    <s v="BRUNO"/>
    <x v="65"/>
    <x v="0"/>
    <x v="0"/>
  </r>
  <r>
    <n v="74611"/>
    <x v="2"/>
    <s v="MPR"/>
    <x v="0"/>
    <n v="50038517"/>
    <s v="LIXADEIRA BOSCH 5"/>
    <n v="1"/>
    <s v="REALIZADO"/>
    <s v="AGATHA"/>
    <x v="65"/>
    <x v="2"/>
    <x v="0"/>
  </r>
  <r>
    <n v="74611"/>
    <x v="2"/>
    <s v="MPR"/>
    <x v="0"/>
    <n v="50038517"/>
    <s v="LIXADEIRA BOSCH 5"/>
    <n v="1"/>
    <s v="REALIZADO"/>
    <s v="BRUNO"/>
    <x v="65"/>
    <x v="0"/>
    <x v="0"/>
  </r>
  <r>
    <n v="68708"/>
    <x v="13"/>
    <s v="MMG"/>
    <x v="0"/>
    <n v="50042003"/>
    <s v="MACACO HIDRAULICO CINZA"/>
    <n v="1"/>
    <s v="REALIZADO"/>
    <s v="GEOVANE"/>
    <x v="65"/>
    <x v="2"/>
    <x v="0"/>
  </r>
  <r>
    <n v="68708"/>
    <x v="13"/>
    <s v="MMG"/>
    <x v="0"/>
    <n v="50042003"/>
    <s v="MACACO HIDRAULICO CINZA"/>
    <n v="1"/>
    <s v="REALIZADO"/>
    <s v="BRUNO"/>
    <x v="65"/>
    <x v="0"/>
    <x v="0"/>
  </r>
  <r>
    <n v="65474"/>
    <x v="97"/>
    <s v="MMG"/>
    <x v="2"/>
    <n v="50001995"/>
    <s v="MAQUINA DE SOLDA"/>
    <n v="1"/>
    <s v="REALIZADO"/>
    <s v="MARINA"/>
    <x v="65"/>
    <x v="0"/>
    <x v="0"/>
  </r>
  <r>
    <n v="68760"/>
    <x v="15"/>
    <s v="MMG"/>
    <x v="0"/>
    <n v="50039065"/>
    <s v="MAQUINA SOLDA TIG"/>
    <n v="1"/>
    <s v="REALIZADO"/>
    <s v="BRUNO"/>
    <x v="65"/>
    <x v="2"/>
    <x v="0"/>
  </r>
  <r>
    <n v="68760"/>
    <x v="15"/>
    <s v="MMG"/>
    <x v="0"/>
    <n v="50039065"/>
    <s v="MAQUINA SOLDA TIG"/>
    <n v="1"/>
    <s v="REALIZADO"/>
    <s v="BRUNO"/>
    <x v="65"/>
    <x v="0"/>
    <x v="0"/>
  </r>
  <r>
    <n v="61264"/>
    <x v="10"/>
    <s v="MMG"/>
    <x v="0"/>
    <n v="50041195"/>
    <s v="PARAFUSADEIRA FUR DE IMPACTO BRUSHLESS"/>
    <n v="1"/>
    <s v="REALIZADO"/>
    <s v="AGATHA"/>
    <x v="65"/>
    <x v="2"/>
    <x v="0"/>
  </r>
  <r>
    <n v="61264"/>
    <x v="10"/>
    <s v="MMG"/>
    <x v="0"/>
    <n v="50041195"/>
    <s v="PARAFUSADEIRA FUR DE IMPACTO BRUSHLESS"/>
    <n v="1"/>
    <s v="REALIZADO"/>
    <s v="BRUNO"/>
    <x v="65"/>
    <x v="0"/>
    <x v="0"/>
  </r>
  <r>
    <n v="62896"/>
    <x v="33"/>
    <s v="MEE"/>
    <x v="0"/>
    <n v="50043917"/>
    <s v="PARAFUSADEIRA FURADEIRA BOSCH"/>
    <n v="1"/>
    <s v="REALIZADO"/>
    <s v="MATHEUS"/>
    <x v="65"/>
    <x v="2"/>
    <x v="0"/>
  </r>
  <r>
    <n v="62896"/>
    <x v="33"/>
    <s v="MEE"/>
    <x v="0"/>
    <n v="50043917"/>
    <s v="PARAFUSADEIRA FURADEIRA BOSCH"/>
    <n v="1"/>
    <s v="REALIZADO"/>
    <s v="BRUNO"/>
    <x v="65"/>
    <x v="0"/>
    <x v="0"/>
  </r>
  <r>
    <n v="78886"/>
    <x v="51"/>
    <s v="MME"/>
    <x v="0"/>
    <n v="50043917"/>
    <s v="PARAFUSADEIRA FURADEIRA BOSCH"/>
    <n v="1"/>
    <s v="REALIZADO"/>
    <s v="BRUNO"/>
    <x v="65"/>
    <x v="2"/>
    <x v="0"/>
  </r>
  <r>
    <n v="78886"/>
    <x v="51"/>
    <s v="MME"/>
    <x v="0"/>
    <n v="50043917"/>
    <s v="PARAFUSADEIRA FURADEIRA BOSCH"/>
    <n v="1"/>
    <s v="REALIZADO"/>
    <s v="BRUNO"/>
    <x v="65"/>
    <x v="2"/>
    <x v="0"/>
  </r>
  <r>
    <n v="65474"/>
    <x v="97"/>
    <s v="MMG"/>
    <x v="2"/>
    <n v="50043917"/>
    <s v="PARAFUSADEIRA FURADEIRA BOSCH"/>
    <n v="1"/>
    <s v="REALIZADO"/>
    <s v="MARINA"/>
    <x v="65"/>
    <x v="0"/>
    <x v="0"/>
  </r>
  <r>
    <n v="65474"/>
    <x v="97"/>
    <s v="MMG"/>
    <x v="2"/>
    <n v="50043917"/>
    <s v="PARAFUSADEIRA FURADEIRA BOSCH"/>
    <n v="1"/>
    <s v="REALIZADO"/>
    <s v="MARINA"/>
    <x v="65"/>
    <x v="0"/>
    <x v="0"/>
  </r>
  <r>
    <n v="61096"/>
    <x v="64"/>
    <s v="MME"/>
    <x v="0"/>
    <n v="50032775"/>
    <s v="SACA POLIA 150MM 3 GARRAS - GEDORE"/>
    <n v="1"/>
    <s v="REALIZADO"/>
    <s v="BRUNA"/>
    <x v="65"/>
    <x v="2"/>
    <x v="0"/>
  </r>
  <r>
    <n v="61096"/>
    <x v="64"/>
    <s v="MME"/>
    <x v="0"/>
    <n v="50032775"/>
    <s v="SACA POLIA 150MM 3 GARRAS - GEDORE"/>
    <n v="1"/>
    <s v="REALIZADO"/>
    <s v="BRUNO"/>
    <x v="65"/>
    <x v="0"/>
    <x v="0"/>
  </r>
  <r>
    <n v="68708"/>
    <x v="13"/>
    <s v="MMG"/>
    <x v="0"/>
    <n v="50042283"/>
    <s v="TALHA 2000KG x 5M"/>
    <n v="1"/>
    <s v="REALIZADO"/>
    <s v="AGATHA"/>
    <x v="65"/>
    <x v="0"/>
    <x v="0"/>
  </r>
  <r>
    <n v="77594"/>
    <x v="23"/>
    <s v="MME"/>
    <x v="0"/>
    <n v="50010031"/>
    <s v=" LIXADEIRA BOSCH 6"/>
    <n v="1"/>
    <s v="REALIZADO"/>
    <s v="BRUNO"/>
    <x v="66"/>
    <x v="2"/>
    <x v="0"/>
  </r>
  <r>
    <n v="77594"/>
    <x v="23"/>
    <s v="MME"/>
    <x v="0"/>
    <n v="50010031"/>
    <s v=" LIXADEIRA BOSCH 6"/>
    <n v="1"/>
    <s v="REALIZADO"/>
    <s v="BRUNO"/>
    <x v="66"/>
    <x v="0"/>
    <x v="0"/>
  </r>
  <r>
    <n v="74874"/>
    <x v="90"/>
    <s v="MMG"/>
    <x v="0"/>
    <n v="50010031"/>
    <s v=" LIXADEIRA BOSCH 6"/>
    <n v="1"/>
    <s v="REALIZADO"/>
    <s v="BRUNA"/>
    <x v="66"/>
    <x v="2"/>
    <x v="0"/>
  </r>
  <r>
    <n v="74874"/>
    <x v="90"/>
    <s v="MMG"/>
    <x v="0"/>
    <n v="50010031"/>
    <s v=" LIXADEIRA BOSCH 6"/>
    <n v="1"/>
    <s v="REALIZADO"/>
    <s v="BRUNA"/>
    <x v="66"/>
    <x v="2"/>
    <x v="0"/>
  </r>
  <r>
    <n v="68708"/>
    <x v="13"/>
    <s v="MMG"/>
    <x v="0"/>
    <n v="50036296"/>
    <s v="CHAVE AJUSTÁVEL 45MM"/>
    <n v="1"/>
    <s v="REALIZADO"/>
    <s v="BRUNO"/>
    <x v="66"/>
    <x v="0"/>
    <x v="0"/>
  </r>
  <r>
    <n v="77526"/>
    <x v="37"/>
    <s v="MME"/>
    <x v="0"/>
    <n v="50030486"/>
    <s v="FURADEIRA BOSCH 3"/>
    <n v="1"/>
    <s v="REALIZADO"/>
    <s v="BRUNA"/>
    <x v="66"/>
    <x v="2"/>
    <x v="0"/>
  </r>
  <r>
    <n v="77526"/>
    <x v="37"/>
    <s v="MME"/>
    <x v="0"/>
    <n v="50030486"/>
    <s v="FURADEIRA BOSCH 3"/>
    <n v="1"/>
    <s v="REALIZADO"/>
    <s v="BRUNO"/>
    <x v="66"/>
    <x v="2"/>
    <x v="0"/>
  </r>
  <r>
    <n v="76994"/>
    <x v="8"/>
    <s v="MEE"/>
    <x v="0"/>
    <n v="50039236"/>
    <s v="FURADEIRA BOSCH 4"/>
    <n v="1"/>
    <s v="REALIZADO"/>
    <s v="BRUNO"/>
    <x v="66"/>
    <x v="0"/>
    <x v="0"/>
  </r>
  <r>
    <n v="77526"/>
    <x v="37"/>
    <s v="MME"/>
    <x v="0"/>
    <n v="50043471"/>
    <s v="FURADEIRA BOSCH 7"/>
    <n v="1"/>
    <s v="REALIZADO"/>
    <s v="GEOVANE"/>
    <x v="66"/>
    <x v="0"/>
    <x v="0"/>
  </r>
  <r>
    <n v="77526"/>
    <x v="37"/>
    <s v="MME"/>
    <x v="0"/>
    <n v="50043471"/>
    <s v="FURADEIRA BOSCH 7"/>
    <n v="1"/>
    <s v="REALIZADO"/>
    <s v="GEOVANE"/>
    <x v="66"/>
    <x v="2"/>
    <x v="0"/>
  </r>
  <r>
    <n v="77526"/>
    <x v="37"/>
    <s v="MME"/>
    <x v="0"/>
    <n v="50043471"/>
    <s v="FURADEIRA BOSCH 7"/>
    <n v="1"/>
    <s v="REALIZADO"/>
    <s v="GEOVANE"/>
    <x v="66"/>
    <x v="0"/>
    <x v="0"/>
  </r>
  <r>
    <n v="78675"/>
    <x v="12"/>
    <s v="MME"/>
    <x v="2"/>
    <n v="50043471"/>
    <s v="FURADEIRA BOSCH 7"/>
    <n v="1"/>
    <s v="REALIZADO"/>
    <s v="BRUNA"/>
    <x v="66"/>
    <x v="2"/>
    <x v="0"/>
  </r>
  <r>
    <n v="78675"/>
    <x v="12"/>
    <s v="MME"/>
    <x v="2"/>
    <n v="50043471"/>
    <s v="FURADEIRA BOSCH 7"/>
    <n v="1"/>
    <s v="REALIZADO"/>
    <s v="BRUNO"/>
    <x v="66"/>
    <x v="0"/>
    <x v="0"/>
  </r>
  <r>
    <n v="77526"/>
    <x v="37"/>
    <s v="MME"/>
    <x v="0"/>
    <n v="50043471"/>
    <s v="FURADEIRA BOSCH 7"/>
    <n v="1"/>
    <s v="REALIZADO"/>
    <s v="BRUNO"/>
    <x v="66"/>
    <x v="2"/>
    <x v="0"/>
  </r>
  <r>
    <n v="77526"/>
    <x v="37"/>
    <s v="MME"/>
    <x v="0"/>
    <n v="50043471"/>
    <s v="FURADEIRA BOSCH 7"/>
    <n v="1"/>
    <s v="REALIZADO"/>
    <s v="BRUNO"/>
    <x v="66"/>
    <x v="2"/>
    <x v="0"/>
  </r>
  <r>
    <n v="65472"/>
    <x v="48"/>
    <s v="MMG"/>
    <x v="0"/>
    <n v="50003297"/>
    <s v="FURADEIRA DE IMPACTO MAKITA 02"/>
    <n v="1"/>
    <s v="REALIZADO"/>
    <s v="BRUNO"/>
    <x v="66"/>
    <x v="0"/>
    <x v="0"/>
  </r>
  <r>
    <n v="77521"/>
    <x v="5"/>
    <s v="MME"/>
    <x v="0"/>
    <n v="50038956"/>
    <s v="LIXADEIRA BOSCH 1"/>
    <n v="1"/>
    <s v="REALIZADO"/>
    <s v="GEOVANE"/>
    <x v="66"/>
    <x v="2"/>
    <x v="0"/>
  </r>
  <r>
    <n v="77521"/>
    <x v="5"/>
    <s v="MME"/>
    <x v="0"/>
    <n v="50038956"/>
    <s v="LIXADEIRA BOSCH 1"/>
    <n v="1"/>
    <s v="REALIZADO"/>
    <s v="GEOVANE"/>
    <x v="66"/>
    <x v="0"/>
    <x v="0"/>
  </r>
  <r>
    <n v="67559"/>
    <x v="88"/>
    <s v="MME"/>
    <x v="3"/>
    <n v="50038956"/>
    <s v="LIXADEIRA BOSCH 1"/>
    <n v="1"/>
    <s v="REALIZADO"/>
    <s v="GEOVANE"/>
    <x v="66"/>
    <x v="2"/>
    <x v="0"/>
  </r>
  <r>
    <n v="67559"/>
    <x v="88"/>
    <s v="MME"/>
    <x v="3"/>
    <n v="50038956"/>
    <s v="LIXADEIRA BOSCH 1"/>
    <n v="1"/>
    <s v="REALIZADO"/>
    <s v="GEOVANE"/>
    <x v="66"/>
    <x v="0"/>
    <x v="0"/>
  </r>
  <r>
    <n v="74874"/>
    <x v="90"/>
    <s v="MMG"/>
    <x v="0"/>
    <n v="50038956"/>
    <s v="LIXADEIRA BOSCH 1"/>
    <n v="1"/>
    <s v="REALIZADO"/>
    <s v="BRUNO"/>
    <x v="66"/>
    <x v="2"/>
    <x v="0"/>
  </r>
  <r>
    <n v="74874"/>
    <x v="90"/>
    <s v="MMG"/>
    <x v="0"/>
    <n v="50038956"/>
    <s v="LIXADEIRA BOSCH 1"/>
    <n v="1"/>
    <s v="REALIZADO"/>
    <s v="BRUNO"/>
    <x v="66"/>
    <x v="2"/>
    <x v="0"/>
  </r>
  <r>
    <n v="64074"/>
    <x v="75"/>
    <s v="MPR"/>
    <x v="0"/>
    <n v="50037902"/>
    <s v="LIXADEIRA BOSCH 3"/>
    <n v="1"/>
    <s v="REALIZADO"/>
    <s v="BRUNO"/>
    <x v="66"/>
    <x v="0"/>
    <x v="0"/>
  </r>
  <r>
    <n v="62137"/>
    <x v="43"/>
    <s v="MME"/>
    <x v="2"/>
    <n v="50038517"/>
    <s v="LIXADEIRA BOSCH 5"/>
    <n v="1"/>
    <s v="REALIZADO"/>
    <s v="BRUNA"/>
    <x v="66"/>
    <x v="2"/>
    <x v="0"/>
  </r>
  <r>
    <n v="62137"/>
    <x v="43"/>
    <s v="MME"/>
    <x v="2"/>
    <n v="50038517"/>
    <s v="LIXADEIRA BOSCH 5"/>
    <n v="1"/>
    <s v="REALIZADO"/>
    <s v="BRUNA"/>
    <x v="66"/>
    <x v="2"/>
    <x v="0"/>
  </r>
  <r>
    <n v="65084"/>
    <x v="83"/>
    <s v="MMG"/>
    <x v="4"/>
    <n v="50038517"/>
    <s v="LIXADEIRA BOSCH 5"/>
    <n v="1"/>
    <s v="REALIZADO"/>
    <s v="FABIANO"/>
    <x v="66"/>
    <x v="0"/>
    <x v="0"/>
  </r>
  <r>
    <n v="65084"/>
    <x v="83"/>
    <s v="MMG"/>
    <x v="4"/>
    <n v="50038517"/>
    <s v="LIXADEIRA BOSCH 5"/>
    <n v="1"/>
    <s v="REALIZADO"/>
    <s v="FABIANO"/>
    <x v="66"/>
    <x v="2"/>
    <x v="0"/>
  </r>
  <r>
    <n v="64074"/>
    <x v="75"/>
    <s v="MPR"/>
    <x v="0"/>
    <n v="50037903"/>
    <s v="LIXADEIRA GRANDE MAKITA"/>
    <n v="1"/>
    <s v="REALIZADO"/>
    <s v="BRUNO"/>
    <x v="66"/>
    <x v="2"/>
    <x v="0"/>
  </r>
  <r>
    <n v="68708"/>
    <x v="13"/>
    <s v="MMG"/>
    <x v="0"/>
    <n v="50001995"/>
    <s v="MAQUINA DE SOLDA"/>
    <n v="1"/>
    <s v="REALIZADO"/>
    <s v="BRUNO"/>
    <x v="66"/>
    <x v="2"/>
    <x v="0"/>
  </r>
  <r>
    <n v="65474"/>
    <x v="97"/>
    <s v="MMG"/>
    <x v="2"/>
    <n v="50001995"/>
    <s v="MAQUINA DE SOLDA"/>
    <n v="1"/>
    <s v="REALIZADO"/>
    <s v="MARINA"/>
    <x v="66"/>
    <x v="2"/>
    <x v="0"/>
  </r>
  <r>
    <n v="64074"/>
    <x v="75"/>
    <s v="MPR"/>
    <x v="0"/>
    <n v="50038662"/>
    <s v="MARTELO ROMPEDOR SDS MAX 220V 1100W"/>
    <n v="1"/>
    <s v="REALIZADO"/>
    <s v="BRUNO"/>
    <x v="66"/>
    <x v="0"/>
    <x v="0"/>
  </r>
  <r>
    <n v="72707"/>
    <x v="59"/>
    <s v="MPR"/>
    <x v="0"/>
    <n v="50041195"/>
    <s v="PARAFUSADEIRA FUR DE IMPACTO BRUSHLESS"/>
    <n v="1"/>
    <s v="REALIZADO"/>
    <s v="BRUNO"/>
    <x v="66"/>
    <x v="2"/>
    <x v="0"/>
  </r>
  <r>
    <n v="72707"/>
    <x v="59"/>
    <s v="MPR"/>
    <x v="0"/>
    <n v="50041195"/>
    <s v="PARAFUSADEIRA FUR DE IMPACTO BRUSHLESS"/>
    <n v="1"/>
    <s v="REALIZADO"/>
    <s v="BRUNO"/>
    <x v="66"/>
    <x v="0"/>
    <x v="0"/>
  </r>
  <r>
    <n v="77526"/>
    <x v="37"/>
    <s v="MME"/>
    <x v="0"/>
    <n v="50041195"/>
    <s v="PARAFUSADEIRA FUR DE IMPACTO BRUSHLESS"/>
    <n v="1"/>
    <s v="REALIZADO"/>
    <s v="BRUNO"/>
    <x v="66"/>
    <x v="2"/>
    <x v="0"/>
  </r>
  <r>
    <n v="77526"/>
    <x v="37"/>
    <s v="MME"/>
    <x v="0"/>
    <n v="50041195"/>
    <s v="PARAFUSADEIRA FUR DE IMPACTO BRUSHLESS"/>
    <n v="1"/>
    <s v="REALIZADO"/>
    <s v="BRUNO"/>
    <x v="66"/>
    <x v="0"/>
    <x v="0"/>
  </r>
  <r>
    <n v="77521"/>
    <x v="5"/>
    <s v="MME"/>
    <x v="0"/>
    <n v="50043917"/>
    <s v="PARAFUSADEIRA FURADEIRA BOSCH"/>
    <n v="1"/>
    <s v="REALIZADO"/>
    <s v="GEOVANE"/>
    <x v="66"/>
    <x v="2"/>
    <x v="0"/>
  </r>
  <r>
    <n v="77521"/>
    <x v="5"/>
    <s v="MME"/>
    <x v="0"/>
    <n v="50043917"/>
    <s v="PARAFUSADEIRA FURADEIRA BOSCH"/>
    <n v="1"/>
    <s v="REALIZADO"/>
    <s v="GEOVANE"/>
    <x v="66"/>
    <x v="0"/>
    <x v="0"/>
  </r>
  <r>
    <n v="67915"/>
    <x v="52"/>
    <s v="MMG"/>
    <x v="2"/>
    <n v="50043917"/>
    <s v="PARAFUSADEIRA FURADEIRA BOSCH"/>
    <n v="1"/>
    <s v="REALIZADO"/>
    <s v="BRUNO"/>
    <x v="66"/>
    <x v="2"/>
    <x v="0"/>
  </r>
  <r>
    <n v="67915"/>
    <x v="52"/>
    <s v="MMG"/>
    <x v="2"/>
    <n v="50043917"/>
    <s v="PARAFUSADEIRA FURADEIRA BOSCH"/>
    <n v="1"/>
    <s v="REALIZADO"/>
    <s v="BRUNO"/>
    <x v="66"/>
    <x v="0"/>
    <x v="0"/>
  </r>
  <r>
    <n v="62471"/>
    <x v="9"/>
    <s v="MME"/>
    <x v="0"/>
    <n v="50043917"/>
    <s v="PARAFUSADEIRA FURADEIRA BOSCH"/>
    <n v="1"/>
    <s v="REALIZADO"/>
    <s v="BRUNO"/>
    <x v="66"/>
    <x v="2"/>
    <x v="0"/>
  </r>
  <r>
    <n v="62471"/>
    <x v="9"/>
    <s v="MME"/>
    <x v="0"/>
    <n v="50043917"/>
    <s v="PARAFUSADEIRA FURADEIRA BOSCH"/>
    <n v="1"/>
    <s v="REALIZADO"/>
    <s v="BRUNO"/>
    <x v="66"/>
    <x v="0"/>
    <x v="0"/>
  </r>
  <r>
    <n v="74874"/>
    <x v="90"/>
    <s v="MMG"/>
    <x v="0"/>
    <n v="50004486"/>
    <s v="RETIFICA "/>
    <n v="1"/>
    <s v="REALIZADO"/>
    <s v="BRUNO"/>
    <x v="66"/>
    <x v="2"/>
    <x v="0"/>
  </r>
  <r>
    <n v="74874"/>
    <x v="90"/>
    <s v="MMG"/>
    <x v="0"/>
    <n v="50004486"/>
    <s v="RETIFICA "/>
    <n v="1"/>
    <s v="REALIZADO"/>
    <s v="BRUNO"/>
    <x v="66"/>
    <x v="2"/>
    <x v="0"/>
  </r>
  <r>
    <n v="64253"/>
    <x v="16"/>
    <s v="MMG"/>
    <x v="0"/>
    <n v="50032775"/>
    <s v="SACA POLIA 150MM 3 GARRAS - GEDORE"/>
    <n v="1"/>
    <s v="REALIZADO"/>
    <s v="BRUNO"/>
    <x v="66"/>
    <x v="0"/>
    <x v="0"/>
  </r>
  <r>
    <n v="77521"/>
    <x v="5"/>
    <s v="MME"/>
    <x v="0"/>
    <n v="50038195"/>
    <s v="SERRA TICO TICO BOSCH S/MALETA"/>
    <n v="1"/>
    <s v="REALIZADO"/>
    <s v="GEOVANE"/>
    <x v="66"/>
    <x v="2"/>
    <x v="0"/>
  </r>
  <r>
    <n v="77521"/>
    <x v="5"/>
    <s v="MME"/>
    <x v="0"/>
    <n v="50038195"/>
    <s v="SERRA TICO TICO BOSCH S/MALETA"/>
    <n v="1"/>
    <s v="REALIZADO"/>
    <s v="GEOVANE"/>
    <x v="66"/>
    <x v="2"/>
    <x v="0"/>
  </r>
  <r>
    <n v="74611"/>
    <x v="2"/>
    <s v="MPR"/>
    <x v="0"/>
    <n v="50028220"/>
    <s v="SOPRADOR TERMICO VONDER 1500W 220V"/>
    <n v="1"/>
    <s v="REALIZADO"/>
    <s v="BRUNO"/>
    <x v="66"/>
    <x v="0"/>
    <x v="0"/>
  </r>
  <r>
    <n v="68430"/>
    <x v="61"/>
    <s v="MEE"/>
    <x v="2"/>
    <n v="50038991"/>
    <s v="CAMERA TERMOGRAFICA"/>
    <n v="1"/>
    <s v="REALIZADO"/>
    <s v="AGATHA"/>
    <x v="67"/>
    <x v="2"/>
    <x v="0"/>
  </r>
  <r>
    <n v="68430"/>
    <x v="61"/>
    <s v="MEE"/>
    <x v="2"/>
    <n v="50038991"/>
    <s v="CAMERA TERMOGRAFICA"/>
    <n v="1"/>
    <s v="REALIZADO"/>
    <s v="AGATHA"/>
    <x v="67"/>
    <x v="0"/>
    <x v="0"/>
  </r>
  <r>
    <n v="77313"/>
    <x v="17"/>
    <s v="MPR"/>
    <x v="0"/>
    <n v="50003173"/>
    <s v="CHAVE GRIFO 24"/>
    <n v="1"/>
    <s v="REALIZADO"/>
    <s v="BRUNA"/>
    <x v="67"/>
    <x v="2"/>
    <x v="0"/>
  </r>
  <r>
    <n v="77313"/>
    <x v="17"/>
    <s v="MPR"/>
    <x v="0"/>
    <n v="50003173"/>
    <s v="CHAVE GRIFO 24"/>
    <n v="1"/>
    <s v="REALIZADO"/>
    <s v="BRUNO"/>
    <x v="67"/>
    <x v="0"/>
    <x v="0"/>
  </r>
  <r>
    <n v="77594"/>
    <x v="23"/>
    <s v="MME"/>
    <x v="0"/>
    <n v="50039236"/>
    <s v="FURADEIRA BOSCH 4"/>
    <n v="1"/>
    <s v="REALIZADO"/>
    <s v="AGATHA"/>
    <x v="67"/>
    <x v="2"/>
    <x v="0"/>
  </r>
  <r>
    <n v="77594"/>
    <x v="23"/>
    <s v="MME"/>
    <x v="0"/>
    <n v="50039236"/>
    <s v="FURADEIRA BOSCH 4"/>
    <n v="1"/>
    <s v="REALIZADO"/>
    <s v="AGATHA"/>
    <x v="67"/>
    <x v="0"/>
    <x v="0"/>
  </r>
  <r>
    <n v="62471"/>
    <x v="9"/>
    <s v="MME"/>
    <x v="0"/>
    <n v="50039236"/>
    <s v="FURADEIRA BOSCH 4"/>
    <n v="1"/>
    <s v="REALIZADO"/>
    <s v="AGATHA"/>
    <x v="67"/>
    <x v="2"/>
    <x v="0"/>
  </r>
  <r>
    <n v="62471"/>
    <x v="9"/>
    <s v="MME"/>
    <x v="0"/>
    <n v="50039236"/>
    <s v="FURADEIRA BOSCH 4"/>
    <n v="1"/>
    <s v="REALIZADO"/>
    <s v="GEOVANE"/>
    <x v="67"/>
    <x v="0"/>
    <x v="0"/>
  </r>
  <r>
    <n v="61472"/>
    <x v="98"/>
    <s v="UTI"/>
    <x v="3"/>
    <n v="50043471"/>
    <s v="FURADEIRA BOSCH 7"/>
    <n v="1"/>
    <s v="REALIZADO"/>
    <s v="MARCIA"/>
    <x v="67"/>
    <x v="0"/>
    <x v="0"/>
  </r>
  <r>
    <n v="61472"/>
    <x v="98"/>
    <s v="UTI"/>
    <x v="3"/>
    <n v="50043471"/>
    <s v="FURADEIRA BOSCH 7"/>
    <n v="1"/>
    <s v="REALIZADO"/>
    <s v="AGATHA"/>
    <x v="67"/>
    <x v="2"/>
    <x v="0"/>
  </r>
  <r>
    <n v="61472"/>
    <x v="98"/>
    <s v="UTI"/>
    <x v="3"/>
    <n v="50043471"/>
    <s v="FURADEIRA BOSCH 7"/>
    <n v="1"/>
    <s v="REALIZADO"/>
    <s v="AGATHA"/>
    <x v="67"/>
    <x v="0"/>
    <x v="0"/>
  </r>
  <r>
    <n v="76994"/>
    <x v="8"/>
    <s v="MEE"/>
    <x v="0"/>
    <n v="50043471"/>
    <s v="FURADEIRA BOSCH 7"/>
    <n v="1"/>
    <s v="REALIZADO"/>
    <s v="GEOVANE"/>
    <x v="67"/>
    <x v="2"/>
    <x v="0"/>
  </r>
  <r>
    <n v="76994"/>
    <x v="8"/>
    <s v="MEE"/>
    <x v="0"/>
    <n v="50043471"/>
    <s v="FURADEIRA BOSCH 7"/>
    <n v="1"/>
    <s v="REALIZADO"/>
    <s v="BRUNO"/>
    <x v="67"/>
    <x v="0"/>
    <x v="0"/>
  </r>
  <r>
    <n v="68708"/>
    <x v="13"/>
    <s v="MMG"/>
    <x v="0"/>
    <n v="50003297"/>
    <s v="FURADEIRA DE IMPACTO MAKITA 02"/>
    <n v="1"/>
    <s v="REALIZADO"/>
    <s v="AGATHA"/>
    <x v="67"/>
    <x v="2"/>
    <x v="0"/>
  </r>
  <r>
    <n v="68708"/>
    <x v="13"/>
    <s v="MMG"/>
    <x v="0"/>
    <n v="50003297"/>
    <s v="FURADEIRA DE IMPACTO MAKITA 02"/>
    <n v="1"/>
    <s v="REALIZADO"/>
    <s v="AGATHA"/>
    <x v="67"/>
    <x v="2"/>
    <x v="0"/>
  </r>
  <r>
    <n v="76995"/>
    <x v="49"/>
    <s v="MEE"/>
    <x v="0"/>
    <n v="50043320"/>
    <s v="JOGO SERRA COPO 8PÇS"/>
    <n v="1"/>
    <s v="REALIZADO"/>
    <s v="BRUNA"/>
    <x v="67"/>
    <x v="0"/>
    <x v="0"/>
  </r>
  <r>
    <n v="64253"/>
    <x v="16"/>
    <s v="MMG"/>
    <x v="0"/>
    <n v="50038549"/>
    <s v="JOGO SOQUETE ESTRIADOS 1/2 22PEÇ"/>
    <n v="1"/>
    <s v="REALIZADO"/>
    <s v="AGATHA"/>
    <x v="67"/>
    <x v="2"/>
    <x v="0"/>
  </r>
  <r>
    <n v="64253"/>
    <x v="16"/>
    <s v="MMG"/>
    <x v="0"/>
    <n v="50038549"/>
    <s v="JOGO SOQUETE ESTRIADOS 1/2 22PEÇ"/>
    <n v="1"/>
    <s v="REALIZADO"/>
    <s v="AGATHA"/>
    <x v="67"/>
    <x v="2"/>
    <x v="0"/>
  </r>
  <r>
    <n v="61264"/>
    <x v="10"/>
    <s v="MMG"/>
    <x v="0"/>
    <n v="50022878"/>
    <s v="KIT MONTAGEM ROLAMENTO SKF"/>
    <n v="1"/>
    <s v="REALIZADO"/>
    <s v="GEOVANE"/>
    <x v="67"/>
    <x v="0"/>
    <x v="0"/>
  </r>
  <r>
    <n v="77594"/>
    <x v="23"/>
    <s v="MME"/>
    <x v="0"/>
    <n v="50038956"/>
    <s v="LIXADEIRA BOSCH 1"/>
    <n v="1"/>
    <s v="REALIZADO"/>
    <s v="AGATHA"/>
    <x v="67"/>
    <x v="2"/>
    <x v="0"/>
  </r>
  <r>
    <n v="77594"/>
    <x v="23"/>
    <s v="MME"/>
    <x v="0"/>
    <n v="50038956"/>
    <s v="LIXADEIRA BOSCH 1"/>
    <n v="1"/>
    <s v="REALIZADO"/>
    <s v="AGATHA"/>
    <x v="67"/>
    <x v="0"/>
    <x v="0"/>
  </r>
  <r>
    <n v="74874"/>
    <x v="90"/>
    <s v="MMG"/>
    <x v="0"/>
    <n v="50038956"/>
    <s v="LIXADEIRA BOSCH 1"/>
    <n v="1"/>
    <s v="REALIZADO"/>
    <s v="GEOVANE"/>
    <x v="67"/>
    <x v="2"/>
    <x v="0"/>
  </r>
  <r>
    <n v="74874"/>
    <x v="90"/>
    <s v="MMG"/>
    <x v="0"/>
    <n v="50038956"/>
    <s v="LIXADEIRA BOSCH 1"/>
    <n v="1"/>
    <s v="REALIZADO"/>
    <s v="GEOVANE"/>
    <x v="67"/>
    <x v="0"/>
    <x v="0"/>
  </r>
  <r>
    <n v="78886"/>
    <x v="51"/>
    <s v="MME"/>
    <x v="0"/>
    <n v="50038956"/>
    <s v="LIXADEIRA BOSCH 1"/>
    <n v="1"/>
    <s v="REALIZADO"/>
    <s v="BRUNO"/>
    <x v="67"/>
    <x v="2"/>
    <x v="0"/>
  </r>
  <r>
    <n v="78886"/>
    <x v="51"/>
    <s v="MME"/>
    <x v="0"/>
    <n v="50038956"/>
    <s v="LIXADEIRA BOSCH 1"/>
    <n v="1"/>
    <s v="REALIZADO"/>
    <s v="BRUNO"/>
    <x v="67"/>
    <x v="0"/>
    <x v="0"/>
  </r>
  <r>
    <n v="77526"/>
    <x v="37"/>
    <s v="MME"/>
    <x v="0"/>
    <n v="50037892"/>
    <s v="LIXADEIRA BOSCH 2"/>
    <n v="1"/>
    <s v="REALIZADO"/>
    <s v="BRUNA"/>
    <x v="67"/>
    <x v="2"/>
    <x v="0"/>
  </r>
  <r>
    <n v="77526"/>
    <x v="37"/>
    <s v="MME"/>
    <x v="0"/>
    <n v="50037892"/>
    <s v="LIXADEIRA BOSCH 2"/>
    <n v="1"/>
    <s v="REALIZADO"/>
    <s v="BRUNO"/>
    <x v="67"/>
    <x v="0"/>
    <x v="0"/>
  </r>
  <r>
    <n v="77526"/>
    <x v="37"/>
    <s v="MME"/>
    <x v="0"/>
    <n v="50037892"/>
    <s v="LIXADEIRA BOSCH 2"/>
    <n v="1"/>
    <s v="REALIZADO"/>
    <s v="BRUNO"/>
    <x v="67"/>
    <x v="2"/>
    <x v="0"/>
  </r>
  <r>
    <n v="77526"/>
    <x v="37"/>
    <s v="MME"/>
    <x v="0"/>
    <n v="50037892"/>
    <s v="LIXADEIRA BOSCH 2"/>
    <n v="1"/>
    <s v="REALIZADO"/>
    <s v="BRUNO"/>
    <x v="67"/>
    <x v="0"/>
    <x v="0"/>
  </r>
  <r>
    <n v="78675"/>
    <x v="12"/>
    <s v="MME"/>
    <x v="2"/>
    <n v="50038841"/>
    <s v="LIXADEIRA BOSCH 4"/>
    <n v="1"/>
    <s v="REALIZADO"/>
    <s v="BRUNO"/>
    <x v="67"/>
    <x v="2"/>
    <x v="0"/>
  </r>
  <r>
    <n v="78675"/>
    <x v="12"/>
    <s v="MME"/>
    <x v="2"/>
    <n v="50038841"/>
    <s v="LIXADEIRA BOSCH 4"/>
    <n v="1"/>
    <s v="REALIZADO"/>
    <s v="BRUNO"/>
    <x v="67"/>
    <x v="0"/>
    <x v="0"/>
  </r>
  <r>
    <n v="68708"/>
    <x v="13"/>
    <s v="MMG"/>
    <x v="0"/>
    <n v="50038517"/>
    <s v="LIXADEIRA BOSCH 5"/>
    <n v="1"/>
    <s v="REALIZADO"/>
    <s v="BRUNA"/>
    <x v="67"/>
    <x v="2"/>
    <x v="0"/>
  </r>
  <r>
    <n v="68708"/>
    <x v="13"/>
    <s v="MMG"/>
    <x v="0"/>
    <n v="50038517"/>
    <s v="LIXADEIRA BOSCH 5"/>
    <n v="1"/>
    <s v="REALIZADO"/>
    <s v="BRUNA"/>
    <x v="67"/>
    <x v="0"/>
    <x v="0"/>
  </r>
  <r>
    <n v="96464"/>
    <x v="46"/>
    <s v="MEE"/>
    <x v="2"/>
    <n v="50038517"/>
    <s v="LIXADEIRA BOSCH 5"/>
    <n v="1"/>
    <s v="REALIZADO"/>
    <s v="BRUNO"/>
    <x v="67"/>
    <x v="2"/>
    <x v="0"/>
  </r>
  <r>
    <n v="96464"/>
    <x v="46"/>
    <s v="MEE"/>
    <x v="2"/>
    <n v="50038517"/>
    <s v="LIXADEIRA BOSCH 5"/>
    <n v="1"/>
    <s v="REALIZADO"/>
    <s v="BRUNO"/>
    <x v="67"/>
    <x v="0"/>
    <x v="0"/>
  </r>
  <r>
    <n v="61096"/>
    <x v="64"/>
    <s v="MME"/>
    <x v="0"/>
    <n v="50038517"/>
    <s v="LIXADEIRA BOSCH 5"/>
    <n v="1"/>
    <s v="REALIZADO"/>
    <s v="BRUNO"/>
    <x v="67"/>
    <x v="2"/>
    <x v="0"/>
  </r>
  <r>
    <n v="61096"/>
    <x v="64"/>
    <s v="MME"/>
    <x v="0"/>
    <n v="50038517"/>
    <s v="LIXADEIRA BOSCH 5"/>
    <n v="1"/>
    <s v="REALIZADO"/>
    <s v="BRUNO"/>
    <x v="67"/>
    <x v="0"/>
    <x v="0"/>
  </r>
  <r>
    <n v="74611"/>
    <x v="2"/>
    <s v="MPR"/>
    <x v="0"/>
    <n v="50037903"/>
    <s v="LIXADEIRA GRANDE MAKITA"/>
    <n v="1"/>
    <s v="REALIZADO"/>
    <s v="AGATHA"/>
    <x v="67"/>
    <x v="2"/>
    <x v="0"/>
  </r>
  <r>
    <n v="74611"/>
    <x v="2"/>
    <s v="MPR"/>
    <x v="0"/>
    <n v="50037903"/>
    <s v="LIXADEIRA GRANDE MAKITA"/>
    <n v="1"/>
    <s v="REALIZADO"/>
    <s v="BRUNO"/>
    <x v="67"/>
    <x v="2"/>
    <x v="0"/>
  </r>
  <r>
    <n v="68708"/>
    <x v="13"/>
    <s v="MMG"/>
    <x v="0"/>
    <n v="50001995"/>
    <s v="MAQUINA DE SOLDA"/>
    <n v="1"/>
    <s v="REALIZADO"/>
    <s v="BRUNO"/>
    <x v="67"/>
    <x v="0"/>
    <x v="0"/>
  </r>
  <r>
    <n v="77526"/>
    <x v="37"/>
    <s v="MME"/>
    <x v="0"/>
    <n v="50039065"/>
    <s v="MAQUINA SOLDA TIG"/>
    <n v="1"/>
    <s v="REALIZADO"/>
    <s v="BRUNA"/>
    <x v="67"/>
    <x v="2"/>
    <x v="0"/>
  </r>
  <r>
    <n v="77526"/>
    <x v="37"/>
    <s v="MME"/>
    <x v="0"/>
    <n v="50039065"/>
    <s v="MAQUINA SOLDA TIG"/>
    <n v="1"/>
    <s v="REALIZADO"/>
    <s v="BRUNO"/>
    <x v="67"/>
    <x v="0"/>
    <x v="0"/>
  </r>
  <r>
    <n v="74874"/>
    <x v="90"/>
    <s v="MMG"/>
    <x v="0"/>
    <n v="50036297"/>
    <s v="MARRETA 4KG"/>
    <n v="1"/>
    <s v="REALIZADO"/>
    <s v="BRUNO"/>
    <x v="67"/>
    <x v="2"/>
    <x v="0"/>
  </r>
  <r>
    <n v="74874"/>
    <x v="90"/>
    <s v="MMG"/>
    <x v="0"/>
    <n v="50036297"/>
    <s v="MARRETA 4KG"/>
    <n v="1"/>
    <s v="REALIZADO"/>
    <s v="BRUNO"/>
    <x v="67"/>
    <x v="0"/>
    <x v="0"/>
  </r>
  <r>
    <n v="68708"/>
    <x v="13"/>
    <s v="MMG"/>
    <x v="0"/>
    <n v="50038626"/>
    <s v="MARRETA 8KG"/>
    <n v="1"/>
    <s v="REALIZADO"/>
    <s v="AGATHA"/>
    <x v="67"/>
    <x v="2"/>
    <x v="0"/>
  </r>
  <r>
    <n v="68708"/>
    <x v="13"/>
    <s v="MMG"/>
    <x v="0"/>
    <n v="50038626"/>
    <s v="MARRETA 8KG"/>
    <n v="1"/>
    <s v="REALIZADO"/>
    <s v="BRUNA"/>
    <x v="67"/>
    <x v="0"/>
    <x v="0"/>
  </r>
  <r>
    <n v="77313"/>
    <x v="17"/>
    <s v="MPR"/>
    <x v="0"/>
    <n v="50026357"/>
    <s v="MARTELETE VONDER"/>
    <n v="1"/>
    <s v="REALIZADO"/>
    <s v="BRUNA"/>
    <x v="67"/>
    <x v="2"/>
    <x v="0"/>
  </r>
  <r>
    <n v="77313"/>
    <x v="17"/>
    <s v="MPR"/>
    <x v="0"/>
    <n v="50026357"/>
    <s v="MARTELETE VONDER"/>
    <n v="1"/>
    <s v="REALIZADO"/>
    <s v="BRUNO"/>
    <x v="67"/>
    <x v="0"/>
    <x v="0"/>
  </r>
  <r>
    <n v="74611"/>
    <x v="2"/>
    <s v="MPR"/>
    <x v="0"/>
    <n v="50038662"/>
    <s v="MARTELO ROMPEDOR SDS MAX 220V 1100W"/>
    <n v="1"/>
    <s v="REALIZADO"/>
    <s v="AGATHA"/>
    <x v="67"/>
    <x v="2"/>
    <x v="0"/>
  </r>
  <r>
    <n v="74611"/>
    <x v="2"/>
    <s v="MPR"/>
    <x v="0"/>
    <n v="50038662"/>
    <s v="MARTELO ROMPEDOR SDS MAX 220V 1100W"/>
    <n v="1"/>
    <s v="REALIZADO"/>
    <s v="BRUNO"/>
    <x v="67"/>
    <x v="0"/>
    <x v="0"/>
  </r>
  <r>
    <n v="72715"/>
    <x v="26"/>
    <s v="MPR"/>
    <x v="0"/>
    <n v="50041195"/>
    <s v="PARAFUSADEIRA FUR DE IMPACTO BRUSHLESS"/>
    <n v="1"/>
    <s v="REALIZADO"/>
    <s v="AGATHA"/>
    <x v="67"/>
    <x v="2"/>
    <x v="0"/>
  </r>
  <r>
    <n v="72715"/>
    <x v="26"/>
    <s v="MPR"/>
    <x v="0"/>
    <n v="50041195"/>
    <s v="PARAFUSADEIRA FUR DE IMPACTO BRUSHLESS"/>
    <n v="1"/>
    <s v="REALIZADO"/>
    <s v="BRUNO"/>
    <x v="67"/>
    <x v="2"/>
    <x v="0"/>
  </r>
  <r>
    <n v="76995"/>
    <x v="49"/>
    <s v="MEE"/>
    <x v="0"/>
    <n v="50043917"/>
    <s v="PARAFUSADEIRA FURADEIRA BOSCH"/>
    <n v="1"/>
    <s v="REALIZADO"/>
    <s v="BRUNA"/>
    <x v="67"/>
    <x v="0"/>
    <x v="0"/>
  </r>
  <r>
    <n v="68708"/>
    <x v="13"/>
    <s v="MMG"/>
    <x v="0"/>
    <n v="50004486"/>
    <s v="RETIFICA "/>
    <n v="1"/>
    <s v="REALIZADO"/>
    <s v="AGATHA"/>
    <x v="67"/>
    <x v="2"/>
    <x v="0"/>
  </r>
  <r>
    <n v="68708"/>
    <x v="13"/>
    <s v="MMG"/>
    <x v="0"/>
    <n v="50004486"/>
    <s v="RETIFICA "/>
    <n v="1"/>
    <s v="REALIZADO"/>
    <s v="AGATHA"/>
    <x v="67"/>
    <x v="2"/>
    <x v="0"/>
  </r>
  <r>
    <n v="64074"/>
    <x v="75"/>
    <s v="MPR"/>
    <x v="0"/>
    <n v="50038618"/>
    <s v="SOPRADOR "/>
    <n v="1"/>
    <s v="REALIZADO"/>
    <s v="BRUNO"/>
    <x v="67"/>
    <x v="0"/>
    <x v="0"/>
  </r>
  <r>
    <n v="77313"/>
    <x v="17"/>
    <s v="MPR"/>
    <x v="0"/>
    <n v="50028220"/>
    <s v="SOPRADOR TERMICO VONDER 1500W 220V"/>
    <n v="1"/>
    <s v="REALIZADO"/>
    <s v="BRUNO"/>
    <x v="67"/>
    <x v="2"/>
    <x v="0"/>
  </r>
  <r>
    <n v="77313"/>
    <x v="17"/>
    <s v="MPR"/>
    <x v="0"/>
    <n v="50028220"/>
    <s v="SOPRADOR TERMICO VONDER 1500W 220V"/>
    <n v="1"/>
    <s v="REALIZADO"/>
    <s v="BRUNO"/>
    <x v="67"/>
    <x v="2"/>
    <x v="0"/>
  </r>
  <r>
    <n v="68708"/>
    <x v="13"/>
    <s v="MMG"/>
    <x v="0"/>
    <n v="50042283"/>
    <s v="TALHA 2000KG x 5M"/>
    <n v="1"/>
    <s v="REALIZADO"/>
    <s v="BRUNO"/>
    <x v="67"/>
    <x v="0"/>
    <x v="0"/>
  </r>
  <r>
    <n v="68792"/>
    <x v="99"/>
    <s v="MEE"/>
    <x v="3"/>
    <n v="50037933"/>
    <s v="TERMOMETRO"/>
    <n v="1"/>
    <s v="REALIZADO"/>
    <s v="GEOVANE"/>
    <x v="67"/>
    <x v="0"/>
    <x v="0"/>
  </r>
  <r>
    <n v="60953"/>
    <x v="71"/>
    <s v="MMG"/>
    <x v="2"/>
    <n v="50037924"/>
    <s v="TORQUIMETRO GEDORE GRANDE"/>
    <n v="1"/>
    <s v="REALIZADO"/>
    <s v="AGATHA"/>
    <x v="67"/>
    <x v="2"/>
    <x v="0"/>
  </r>
  <r>
    <n v="60953"/>
    <x v="71"/>
    <s v="MMG"/>
    <x v="2"/>
    <n v="50037924"/>
    <s v="TORQUIMETRO GEDORE GRANDE"/>
    <n v="1"/>
    <s v="REALIZADO"/>
    <s v="BRUNA"/>
    <x v="67"/>
    <x v="0"/>
    <x v="0"/>
  </r>
  <r>
    <n v="68708"/>
    <x v="13"/>
    <s v="MMG"/>
    <x v="0"/>
    <n v="50010031"/>
    <s v=" LIXADEIRA BOSCH 6"/>
    <n v="1"/>
    <s v="REALIZADO"/>
    <s v="MARCIA"/>
    <x v="68"/>
    <x v="2"/>
    <x v="0"/>
  </r>
  <r>
    <n v="68708"/>
    <x v="13"/>
    <s v="MMG"/>
    <x v="0"/>
    <n v="50010031"/>
    <s v=" LIXADEIRA BOSCH 6"/>
    <n v="1"/>
    <s v="REALIZADO"/>
    <s v="AGATHA"/>
    <x v="68"/>
    <x v="0"/>
    <x v="0"/>
  </r>
  <r>
    <n v="77313"/>
    <x v="17"/>
    <s v="MPR"/>
    <x v="0"/>
    <n v="50036086"/>
    <s v="CHAVE GRIFO 18"/>
    <n v="1"/>
    <s v="REALIZADO"/>
    <s v="JOÃO FRANCISCO"/>
    <x v="68"/>
    <x v="2"/>
    <x v="0"/>
  </r>
  <r>
    <n v="72715"/>
    <x v="26"/>
    <s v="MPR"/>
    <x v="0"/>
    <n v="50036086"/>
    <s v="CHAVE GRIFO 18"/>
    <n v="1"/>
    <s v="REALIZADO"/>
    <s v="AGATHA"/>
    <x v="68"/>
    <x v="0"/>
    <x v="0"/>
  </r>
  <r>
    <n v="77313"/>
    <x v="17"/>
    <s v="MPR"/>
    <x v="0"/>
    <n v="50003173"/>
    <s v="CHAVE GRIFO 24"/>
    <n v="1"/>
    <s v="REALIZADO"/>
    <s v="JOÃO FRANCISCO"/>
    <x v="68"/>
    <x v="2"/>
    <x v="0"/>
  </r>
  <r>
    <n v="77313"/>
    <x v="17"/>
    <s v="MPR"/>
    <x v="0"/>
    <n v="50003173"/>
    <s v="CHAVE GRIFO 24"/>
    <n v="1"/>
    <s v="REALIZADO"/>
    <s v="AGATHA"/>
    <x v="68"/>
    <x v="0"/>
    <x v="0"/>
  </r>
  <r>
    <n v="76994"/>
    <x v="8"/>
    <s v="MEE"/>
    <x v="0"/>
    <n v="50030486"/>
    <s v="FURADEIRA BOSCH 3"/>
    <n v="1"/>
    <s v="REALIZADO"/>
    <s v="AGATHA"/>
    <x v="68"/>
    <x v="2"/>
    <x v="0"/>
  </r>
  <r>
    <n v="76994"/>
    <x v="8"/>
    <s v="MEE"/>
    <x v="0"/>
    <n v="50030486"/>
    <s v="FURADEIRA BOSCH 3"/>
    <n v="1"/>
    <s v="REALIZADO"/>
    <s v="MATHEUS"/>
    <x v="68"/>
    <x v="0"/>
    <x v="0"/>
  </r>
  <r>
    <n v="77526"/>
    <x v="37"/>
    <s v="MME"/>
    <x v="0"/>
    <n v="50043471"/>
    <s v="FURADEIRA BOSCH 7"/>
    <n v="1"/>
    <s v="REALIZADO"/>
    <s v="GEOVANE"/>
    <x v="68"/>
    <x v="2"/>
    <x v="0"/>
  </r>
  <r>
    <n v="77526"/>
    <x v="37"/>
    <s v="MME"/>
    <x v="0"/>
    <n v="50043471"/>
    <s v="FURADEIRA BOSCH 7"/>
    <n v="1"/>
    <s v="REALIZADO"/>
    <s v="AGATHA"/>
    <x v="68"/>
    <x v="0"/>
    <x v="0"/>
  </r>
  <r>
    <n v="78675"/>
    <x v="12"/>
    <s v="MME"/>
    <x v="2"/>
    <n v="50043471"/>
    <s v="FURADEIRA BOSCH 7"/>
    <n v="1"/>
    <s v="REALIZADO"/>
    <s v="BRUNA"/>
    <x v="68"/>
    <x v="2"/>
    <x v="0"/>
  </r>
  <r>
    <n v="78675"/>
    <x v="12"/>
    <s v="MME"/>
    <x v="2"/>
    <n v="50043471"/>
    <s v="FURADEIRA BOSCH 7"/>
    <n v="1"/>
    <s v="REALIZADO"/>
    <s v="BRUNA"/>
    <x v="68"/>
    <x v="0"/>
    <x v="0"/>
  </r>
  <r>
    <n v="66789"/>
    <x v="78"/>
    <s v="MME"/>
    <x v="2"/>
    <n v="50003297"/>
    <s v="FURADEIRA DE IMPACTO MAKITA 02"/>
    <n v="1"/>
    <s v="REALIZADO"/>
    <s v="BRUNA"/>
    <x v="68"/>
    <x v="2"/>
    <x v="0"/>
  </r>
  <r>
    <n v="66789"/>
    <x v="78"/>
    <s v="MME"/>
    <x v="2"/>
    <n v="50003297"/>
    <s v="FURADEIRA DE IMPACTO MAKITA 02"/>
    <n v="1"/>
    <s v="REALIZADO"/>
    <s v="BRUNA"/>
    <x v="68"/>
    <x v="0"/>
    <x v="0"/>
  </r>
  <r>
    <n v="68708"/>
    <x v="13"/>
    <s v="MMG"/>
    <x v="0"/>
    <n v="50038549"/>
    <s v="JOGO SOQUETE ESTRIADOS 1/2 22PEÇ"/>
    <n v="1"/>
    <s v="REALIZADO"/>
    <s v="MARCIA"/>
    <x v="68"/>
    <x v="2"/>
    <x v="0"/>
  </r>
  <r>
    <n v="68708"/>
    <x v="13"/>
    <s v="MMG"/>
    <x v="0"/>
    <n v="50038549"/>
    <s v="JOGO SOQUETE ESTRIADOS 1/2 22PEÇ"/>
    <n v="1"/>
    <s v="REALIZADO"/>
    <s v="BRUNA"/>
    <x v="68"/>
    <x v="0"/>
    <x v="0"/>
  </r>
  <r>
    <n v="76994"/>
    <x v="8"/>
    <s v="MEE"/>
    <x v="0"/>
    <n v="50038956"/>
    <s v="LIXADEIRA BOSCH 1"/>
    <n v="1"/>
    <s v="REALIZADO"/>
    <s v="AGATHA"/>
    <x v="68"/>
    <x v="2"/>
    <x v="0"/>
  </r>
  <r>
    <n v="76994"/>
    <x v="8"/>
    <s v="MEE"/>
    <x v="0"/>
    <n v="50038956"/>
    <s v="LIXADEIRA BOSCH 1"/>
    <n v="1"/>
    <s v="REALIZADO"/>
    <s v="MATHEUS"/>
    <x v="68"/>
    <x v="0"/>
    <x v="0"/>
  </r>
  <r>
    <n v="72715"/>
    <x v="26"/>
    <s v="MPR"/>
    <x v="0"/>
    <n v="50037892"/>
    <s v="LIXADEIRA BOSCH 2"/>
    <n v="1"/>
    <s v="REALIZADO"/>
    <s v="BRUNA"/>
    <x v="68"/>
    <x v="2"/>
    <x v="0"/>
  </r>
  <r>
    <n v="72715"/>
    <x v="26"/>
    <s v="MPR"/>
    <x v="0"/>
    <n v="50037892"/>
    <s v="LIXADEIRA BOSCH 2"/>
    <n v="1"/>
    <s v="REALIZADO"/>
    <s v="MATHEUS"/>
    <x v="68"/>
    <x v="0"/>
    <x v="0"/>
  </r>
  <r>
    <n v="77526"/>
    <x v="37"/>
    <s v="MME"/>
    <x v="0"/>
    <n v="50037902"/>
    <s v="LIXADEIRA BOSCH 3"/>
    <n v="1"/>
    <s v="REALIZADO"/>
    <s v="AGATHA"/>
    <x v="68"/>
    <x v="2"/>
    <x v="0"/>
  </r>
  <r>
    <n v="77526"/>
    <x v="37"/>
    <s v="MME"/>
    <x v="0"/>
    <n v="50037902"/>
    <s v="LIXADEIRA BOSCH 3"/>
    <n v="1"/>
    <s v="REALIZADO"/>
    <s v="GEOVANE"/>
    <x v="68"/>
    <x v="0"/>
    <x v="0"/>
  </r>
  <r>
    <n v="74611"/>
    <x v="2"/>
    <s v="MPR"/>
    <x v="0"/>
    <n v="50037902"/>
    <s v="LIXADEIRA BOSCH 3"/>
    <n v="1"/>
    <s v="REALIZADO"/>
    <s v="GEOVANE"/>
    <x v="68"/>
    <x v="2"/>
    <x v="0"/>
  </r>
  <r>
    <n v="74611"/>
    <x v="2"/>
    <s v="MPR"/>
    <x v="0"/>
    <n v="50037902"/>
    <s v="LIXADEIRA BOSCH 3"/>
    <n v="1"/>
    <s v="REALIZADO"/>
    <s v="GEOVANE"/>
    <x v="68"/>
    <x v="0"/>
    <x v="0"/>
  </r>
  <r>
    <n v="74611"/>
    <x v="2"/>
    <s v="MPR"/>
    <x v="0"/>
    <n v="50038841"/>
    <s v="LIXADEIRA BOSCH 4"/>
    <n v="1"/>
    <s v="REALIZADO"/>
    <s v="AGATHA"/>
    <x v="68"/>
    <x v="2"/>
    <x v="0"/>
  </r>
  <r>
    <n v="74611"/>
    <x v="2"/>
    <s v="MPR"/>
    <x v="0"/>
    <n v="50038841"/>
    <s v="LIXADEIRA BOSCH 4"/>
    <n v="1"/>
    <s v="REALIZADO"/>
    <s v="BRUNA"/>
    <x v="68"/>
    <x v="0"/>
    <x v="0"/>
  </r>
  <r>
    <n v="77526"/>
    <x v="37"/>
    <s v="MME"/>
    <x v="0"/>
    <n v="50038517"/>
    <s v="LIXADEIRA BOSCH 5"/>
    <n v="1"/>
    <s v="REALIZADO"/>
    <s v="AGATHA"/>
    <x v="68"/>
    <x v="2"/>
    <x v="0"/>
  </r>
  <r>
    <n v="77526"/>
    <x v="37"/>
    <s v="MME"/>
    <x v="0"/>
    <n v="50038517"/>
    <s v="LIXADEIRA BOSCH 5"/>
    <n v="1"/>
    <s v="REALIZADO"/>
    <s v="BRUNA"/>
    <x v="68"/>
    <x v="0"/>
    <x v="0"/>
  </r>
  <r>
    <n v="63713"/>
    <x v="67"/>
    <s v="MME"/>
    <x v="0"/>
    <n v="50039065"/>
    <s v="MAQUINA SOLDA TIG"/>
    <n v="1"/>
    <s v="REALIZADO"/>
    <s v="AGATHA"/>
    <x v="68"/>
    <x v="2"/>
    <x v="0"/>
  </r>
  <r>
    <n v="63713"/>
    <x v="67"/>
    <s v="MME"/>
    <x v="0"/>
    <n v="50039065"/>
    <s v="MAQUINA SOLDA TIG"/>
    <n v="1"/>
    <s v="REALIZADO"/>
    <s v="BRUNA"/>
    <x v="68"/>
    <x v="0"/>
    <x v="0"/>
  </r>
  <r>
    <n v="78675"/>
    <x v="12"/>
    <s v="MME"/>
    <x v="2"/>
    <n v="50036297"/>
    <s v="MARRETA 4KG"/>
    <n v="1"/>
    <s v="REALIZADO"/>
    <s v="BRUNA"/>
    <x v="68"/>
    <x v="2"/>
    <x v="0"/>
  </r>
  <r>
    <n v="78675"/>
    <x v="12"/>
    <s v="MME"/>
    <x v="2"/>
    <n v="50036297"/>
    <s v="MARRETA 4KG"/>
    <n v="1"/>
    <s v="REALIZADO"/>
    <s v="BRUNA"/>
    <x v="68"/>
    <x v="0"/>
    <x v="0"/>
  </r>
  <r>
    <n v="77313"/>
    <x v="17"/>
    <s v="MPR"/>
    <x v="0"/>
    <n v="50026357"/>
    <s v="MARTELETE VONDER"/>
    <n v="1"/>
    <s v="REALIZADO"/>
    <s v="JOÃO FRANCISCO"/>
    <x v="68"/>
    <x v="2"/>
    <x v="0"/>
  </r>
  <r>
    <n v="77313"/>
    <x v="17"/>
    <s v="MPR"/>
    <x v="0"/>
    <n v="50026357"/>
    <s v="MARTELETE VONDER"/>
    <n v="1"/>
    <s v="REALIZADO"/>
    <s v="AGATHA"/>
    <x v="68"/>
    <x v="0"/>
    <x v="0"/>
  </r>
  <r>
    <n v="60953"/>
    <x v="71"/>
    <s v="MMG"/>
    <x v="2"/>
    <n v="50041653"/>
    <s v="MICROMETRO INTERNO - EXTRUSORA"/>
    <n v="1"/>
    <s v="REALIZADO"/>
    <s v="AGATHA"/>
    <x v="68"/>
    <x v="2"/>
    <x v="0"/>
  </r>
  <r>
    <n v="60953"/>
    <x v="71"/>
    <s v="MMG"/>
    <x v="2"/>
    <n v="50041653"/>
    <s v="MICROMETRO INTERNO - EXTRUSORA"/>
    <n v="1"/>
    <s v="REALIZADO"/>
    <s v="BRUNA"/>
    <x v="68"/>
    <x v="0"/>
    <x v="0"/>
  </r>
  <r>
    <n v="77708"/>
    <x v="69"/>
    <s v="MPR"/>
    <x v="0"/>
    <n v="50041195"/>
    <s v="PARAFUSADEIRA FUR DE IMPACTO BRUSHLESS"/>
    <n v="1"/>
    <s v="REALIZADO"/>
    <s v="AGATHA"/>
    <x v="68"/>
    <x v="0"/>
    <x v="0"/>
  </r>
  <r>
    <n v="72707"/>
    <x v="59"/>
    <s v="MPR"/>
    <x v="0"/>
    <n v="50043917"/>
    <s v="PARAFUSADEIRA FURADEIRA BOSCH"/>
    <n v="1"/>
    <s v="REALIZADO"/>
    <s v="AGATHA"/>
    <x v="68"/>
    <x v="2"/>
    <x v="0"/>
  </r>
  <r>
    <n v="72707"/>
    <x v="59"/>
    <s v="MPR"/>
    <x v="0"/>
    <n v="50043917"/>
    <s v="PARAFUSADEIRA FURADEIRA BOSCH"/>
    <n v="1"/>
    <s v="REALIZADO"/>
    <s v="BRUNA"/>
    <x v="68"/>
    <x v="2"/>
    <x v="0"/>
  </r>
  <r>
    <n v="49743"/>
    <x v="100"/>
    <s v="MME"/>
    <x v="4"/>
    <n v="50043917"/>
    <s v="PARAFUSADEIRA FURADEIRA BOSCH"/>
    <n v="1"/>
    <s v="REALIZADO"/>
    <s v="MARINA"/>
    <x v="68"/>
    <x v="0"/>
    <x v="0"/>
  </r>
  <r>
    <n v="49743"/>
    <x v="100"/>
    <s v="MME"/>
    <x v="4"/>
    <n v="50043917"/>
    <s v="PARAFUSADEIRA FURADEIRA BOSCH"/>
    <n v="1"/>
    <s v="REALIZADO"/>
    <s v="MARINA"/>
    <x v="68"/>
    <x v="0"/>
    <x v="0"/>
  </r>
  <r>
    <n v="72707"/>
    <x v="59"/>
    <s v="MPR"/>
    <x v="0"/>
    <n v="50020622"/>
    <s v="REBITADOR MANUAL"/>
    <n v="1"/>
    <s v="REALIZADO"/>
    <s v="AGATHA"/>
    <x v="68"/>
    <x v="2"/>
    <x v="0"/>
  </r>
  <r>
    <n v="72707"/>
    <x v="59"/>
    <s v="MPR"/>
    <x v="0"/>
    <n v="50020622"/>
    <s v="REBITADOR MANUAL"/>
    <n v="1"/>
    <s v="REALIZADO"/>
    <s v="BRUNA"/>
    <x v="68"/>
    <x v="0"/>
    <x v="0"/>
  </r>
  <r>
    <n v="63770"/>
    <x v="36"/>
    <s v="MMG"/>
    <x v="0"/>
    <n v="50012903"/>
    <s v="SACA POLIA 02 GARRAS 250MM GEDORE"/>
    <n v="1"/>
    <s v="REALIZADO"/>
    <s v="JOÃO FRANCISCO"/>
    <x v="68"/>
    <x v="2"/>
    <x v="0"/>
  </r>
  <r>
    <n v="63770"/>
    <x v="36"/>
    <s v="MMG"/>
    <x v="0"/>
    <n v="50012903"/>
    <s v="SACA POLIA 02 GARRAS 250MM GEDORE"/>
    <n v="1"/>
    <s v="REALIZADO"/>
    <s v="JOÃO FRANCISCO"/>
    <x v="68"/>
    <x v="2"/>
    <x v="0"/>
  </r>
  <r>
    <n v="63698"/>
    <x v="101"/>
    <s v="MME"/>
    <x v="4"/>
    <n v="50038195"/>
    <s v="SERRA TICO TICO BOSCH S/MALETA"/>
    <n v="1"/>
    <s v="REALIZADO"/>
    <s v="MARINA"/>
    <x v="68"/>
    <x v="0"/>
    <x v="0"/>
  </r>
  <r>
    <n v="63698"/>
    <x v="101"/>
    <s v="MME"/>
    <x v="4"/>
    <n v="50038195"/>
    <s v="SERRA TICO TICO BOSCH S/MALETA"/>
    <n v="1"/>
    <s v="REALIZADO"/>
    <s v="MARINA"/>
    <x v="68"/>
    <x v="0"/>
    <x v="0"/>
  </r>
  <r>
    <n v="77313"/>
    <x v="17"/>
    <s v="MPR"/>
    <x v="0"/>
    <n v="50028220"/>
    <s v="SOPRADOR TERMICO VONDER 1500W 220V"/>
    <n v="1"/>
    <s v="REALIZADO"/>
    <s v="JOÃO FRANCISCO"/>
    <x v="68"/>
    <x v="2"/>
    <x v="0"/>
  </r>
  <r>
    <n v="62640"/>
    <x v="44"/>
    <s v="MPR"/>
    <x v="0"/>
    <n v="50028220"/>
    <s v="SOPRADOR TERMICO VONDER 1500W 220V"/>
    <n v="1"/>
    <s v="REALIZADO"/>
    <s v="AGATHA"/>
    <x v="68"/>
    <x v="2"/>
    <x v="0"/>
  </r>
  <r>
    <n v="68792"/>
    <x v="99"/>
    <s v="MEE"/>
    <x v="3"/>
    <n v="50037933"/>
    <s v="TERMOMETRO"/>
    <n v="1"/>
    <s v="REALIZADO"/>
    <s v="MARCIA"/>
    <x v="68"/>
    <x v="0"/>
    <x v="0"/>
  </r>
  <r>
    <n v="60953"/>
    <x v="71"/>
    <s v="MMG"/>
    <x v="2"/>
    <n v="50037924"/>
    <s v="TORQUIMETRO GEDORE GRANDE"/>
    <n v="1"/>
    <s v="REALIZADO"/>
    <s v="AGATHA"/>
    <x v="68"/>
    <x v="2"/>
    <x v="0"/>
  </r>
  <r>
    <n v="60953"/>
    <x v="71"/>
    <s v="MMG"/>
    <x v="2"/>
    <n v="50037924"/>
    <s v="TORQUIMETRO GEDORE GRANDE"/>
    <n v="1"/>
    <s v="REALIZADO"/>
    <s v="BRUNA"/>
    <x v="68"/>
    <x v="2"/>
    <x v="0"/>
  </r>
  <r>
    <n v="65472"/>
    <x v="48"/>
    <s v="MMG"/>
    <x v="0"/>
    <n v="50010031"/>
    <s v=" LIXADEIRA BOSCH 6"/>
    <n v="1"/>
    <s v="REALIZADO"/>
    <s v="BRUNO"/>
    <x v="69"/>
    <x v="0"/>
    <x v="0"/>
  </r>
  <r>
    <n v="74874"/>
    <x v="90"/>
    <s v="MMG"/>
    <x v="0"/>
    <n v="50010031"/>
    <s v=" LIXADEIRA BOSCH 6"/>
    <n v="1"/>
    <s v="REALIZADO"/>
    <s v="BRUNA"/>
    <x v="69"/>
    <x v="2"/>
    <x v="0"/>
  </r>
  <r>
    <n v="74874"/>
    <x v="90"/>
    <s v="MMG"/>
    <x v="0"/>
    <n v="50010031"/>
    <s v=" LIXADEIRA BOSCH 6"/>
    <n v="1"/>
    <s v="REALIZADO"/>
    <s v="BRUNA"/>
    <x v="69"/>
    <x v="0"/>
    <x v="0"/>
  </r>
  <r>
    <n v="77594"/>
    <x v="23"/>
    <s v="MME"/>
    <x v="0"/>
    <n v="50036291"/>
    <s v="CHAVE GANCHO 52 A 55MM"/>
    <n v="1"/>
    <s v="REALIZADO"/>
    <s v="BRUNO"/>
    <x v="69"/>
    <x v="2"/>
    <x v="0"/>
  </r>
  <r>
    <n v="77594"/>
    <x v="23"/>
    <s v="MME"/>
    <x v="0"/>
    <n v="50036291"/>
    <s v="CHAVE GANCHO 52 A 55MM"/>
    <n v="1"/>
    <s v="REALIZADO"/>
    <s v="BRUNO"/>
    <x v="69"/>
    <x v="2"/>
    <x v="0"/>
  </r>
  <r>
    <n v="77594"/>
    <x v="23"/>
    <s v="MME"/>
    <x v="0"/>
    <n v="50036292"/>
    <s v="CHAVE GANCHO 58 A 62MM"/>
    <n v="1"/>
    <s v="REALIZADO"/>
    <s v="BRUNO"/>
    <x v="69"/>
    <x v="0"/>
    <x v="0"/>
  </r>
  <r>
    <n v="77594"/>
    <x v="23"/>
    <s v="MME"/>
    <x v="0"/>
    <n v="50036293"/>
    <s v="CHAVE GANCHO 68 A 75MM"/>
    <n v="1"/>
    <s v="REALIZADO"/>
    <s v="BRUNO"/>
    <x v="69"/>
    <x v="2"/>
    <x v="0"/>
  </r>
  <r>
    <n v="77594"/>
    <x v="23"/>
    <s v="MME"/>
    <x v="0"/>
    <n v="50036293"/>
    <s v="CHAVE GANCHO 68 A 75MM"/>
    <n v="1"/>
    <s v="REALIZADO"/>
    <s v="BRUNO"/>
    <x v="69"/>
    <x v="0"/>
    <x v="0"/>
  </r>
  <r>
    <n v="77594"/>
    <x v="23"/>
    <s v="MME"/>
    <x v="0"/>
    <n v="50036295"/>
    <s v="CHAVE GANCHO 95 A 100MM"/>
    <n v="1"/>
    <s v="REALIZADO"/>
    <s v="BRUNO"/>
    <x v="69"/>
    <x v="2"/>
    <x v="0"/>
  </r>
  <r>
    <n v="77594"/>
    <x v="23"/>
    <s v="MME"/>
    <x v="0"/>
    <n v="50036295"/>
    <s v="CHAVE GANCHO 95 A 100MM"/>
    <n v="1"/>
    <s v="REALIZADO"/>
    <s v="BRUNO"/>
    <x v="69"/>
    <x v="0"/>
    <x v="0"/>
  </r>
  <r>
    <n v="77594"/>
    <x v="23"/>
    <s v="MME"/>
    <x v="0"/>
    <n v="50036086"/>
    <s v="CHAVE GRIFO 18"/>
    <n v="1"/>
    <s v="REALIZADO"/>
    <s v="BRUNO"/>
    <x v="69"/>
    <x v="2"/>
    <x v="0"/>
  </r>
  <r>
    <n v="77594"/>
    <x v="23"/>
    <s v="MME"/>
    <x v="0"/>
    <n v="50036086"/>
    <s v="CHAVE GRIFO 18"/>
    <n v="1"/>
    <s v="REALIZADO"/>
    <s v="BRUNO"/>
    <x v="69"/>
    <x v="0"/>
    <x v="0"/>
  </r>
  <r>
    <n v="77594"/>
    <x v="23"/>
    <s v="MME"/>
    <x v="0"/>
    <n v="50038842"/>
    <s v="CHAVE GRIFO 36"/>
    <n v="1"/>
    <s v="REALIZADO"/>
    <s v="BRUNO"/>
    <x v="69"/>
    <x v="2"/>
    <x v="0"/>
  </r>
  <r>
    <n v="77594"/>
    <x v="23"/>
    <s v="MME"/>
    <x v="0"/>
    <n v="50038842"/>
    <s v="CHAVE GRIFO 36"/>
    <n v="1"/>
    <s v="REALIZADO"/>
    <s v="BRUNO"/>
    <x v="69"/>
    <x v="2"/>
    <x v="0"/>
  </r>
  <r>
    <n v="77594"/>
    <x v="23"/>
    <s v="MME"/>
    <x v="0"/>
    <n v="50038842"/>
    <s v="CHAVE GRIFO 36"/>
    <n v="1"/>
    <s v="REALIZADO"/>
    <s v="BRUNO"/>
    <x v="69"/>
    <x v="2"/>
    <x v="0"/>
  </r>
  <r>
    <n v="77526"/>
    <x v="37"/>
    <s v="MME"/>
    <x v="0"/>
    <n v="50043471"/>
    <s v="FURADEIRA BOSCH 7"/>
    <n v="1"/>
    <s v="REALIZADO"/>
    <s v="BRUNA"/>
    <x v="69"/>
    <x v="2"/>
    <x v="0"/>
  </r>
  <r>
    <n v="60546"/>
    <x v="74"/>
    <s v="MMG"/>
    <x v="4"/>
    <n v="50003296"/>
    <s v="FURADEIRA DE IMPACTO MAKITA 01"/>
    <n v="1"/>
    <s v="REALIZADO"/>
    <s v="MARINA"/>
    <x v="69"/>
    <x v="0"/>
    <x v="0"/>
  </r>
  <r>
    <n v="60546"/>
    <x v="74"/>
    <s v="MMG"/>
    <x v="4"/>
    <n v="50003296"/>
    <s v="FURADEIRA DE IMPACTO MAKITA 01"/>
    <n v="1"/>
    <s v="REALIZADO"/>
    <s v="MARINA"/>
    <x v="69"/>
    <x v="2"/>
    <x v="0"/>
  </r>
  <r>
    <n v="79195"/>
    <x v="102"/>
    <s v="MTC"/>
    <x v="5"/>
    <n v="50043320"/>
    <s v="JOGO SERRA COPO 8PÇS"/>
    <n v="1"/>
    <s v="REALIZADO"/>
    <s v="BRUNA"/>
    <x v="69"/>
    <x v="0"/>
    <x v="0"/>
  </r>
  <r>
    <n v="68708"/>
    <x v="13"/>
    <s v="MMG"/>
    <x v="0"/>
    <n v="50038549"/>
    <s v="JOGO SOQUETE ESTRIADOS 1/2 22PEÇ"/>
    <n v="1"/>
    <s v="REALIZADO"/>
    <s v="AGATHA"/>
    <x v="69"/>
    <x v="2"/>
    <x v="0"/>
  </r>
  <r>
    <n v="68708"/>
    <x v="13"/>
    <s v="MMG"/>
    <x v="0"/>
    <n v="50038549"/>
    <s v="JOGO SOQUETE ESTRIADOS 1/2 22PEÇ"/>
    <n v="1"/>
    <s v="REALIZADO"/>
    <s v="BRUNO"/>
    <x v="69"/>
    <x v="0"/>
    <x v="0"/>
  </r>
  <r>
    <n v="74611"/>
    <x v="2"/>
    <s v="MPR"/>
    <x v="0"/>
    <n v="50038956"/>
    <s v="LIXADEIRA BOSCH 1"/>
    <n v="1"/>
    <s v="REALIZADO"/>
    <s v="AGATHA"/>
    <x v="69"/>
    <x v="2"/>
    <x v="0"/>
  </r>
  <r>
    <n v="74611"/>
    <x v="2"/>
    <s v="MPR"/>
    <x v="0"/>
    <n v="50038956"/>
    <s v="LIXADEIRA BOSCH 1"/>
    <n v="1"/>
    <s v="REALIZADO"/>
    <s v="BRUNO"/>
    <x v="69"/>
    <x v="0"/>
    <x v="0"/>
  </r>
  <r>
    <n v="77594"/>
    <x v="23"/>
    <s v="MME"/>
    <x v="0"/>
    <n v="50037892"/>
    <s v="LIXADEIRA BOSCH 2"/>
    <n v="1"/>
    <s v="REALIZADO"/>
    <s v="BRUNO"/>
    <x v="69"/>
    <x v="2"/>
    <x v="0"/>
  </r>
  <r>
    <n v="77594"/>
    <x v="23"/>
    <s v="MME"/>
    <x v="0"/>
    <n v="50037892"/>
    <s v="LIXADEIRA BOSCH 2"/>
    <n v="1"/>
    <s v="REALIZADO"/>
    <s v="BRUNO"/>
    <x v="69"/>
    <x v="2"/>
    <x v="0"/>
  </r>
  <r>
    <n v="77526"/>
    <x v="37"/>
    <s v="MME"/>
    <x v="0"/>
    <n v="50037902"/>
    <s v="LIXADEIRA BOSCH 3"/>
    <n v="1"/>
    <s v="REALIZADO"/>
    <s v="BRUNO"/>
    <x v="69"/>
    <x v="0"/>
    <x v="0"/>
  </r>
  <r>
    <n v="64074"/>
    <x v="75"/>
    <s v="MPR"/>
    <x v="0"/>
    <n v="50038841"/>
    <s v="LIXADEIRA BOSCH 4"/>
    <n v="1"/>
    <s v="REALIZADO"/>
    <s v="AGATHA"/>
    <x v="69"/>
    <x v="2"/>
    <x v="0"/>
  </r>
  <r>
    <n v="64074"/>
    <x v="75"/>
    <s v="MPR"/>
    <x v="0"/>
    <n v="50038841"/>
    <s v="LIXADEIRA BOSCH 4"/>
    <n v="1"/>
    <s v="REALIZADO"/>
    <s v="AGATHA"/>
    <x v="69"/>
    <x v="0"/>
    <x v="0"/>
  </r>
  <r>
    <n v="65482"/>
    <x v="30"/>
    <s v="MMG"/>
    <x v="0"/>
    <n v="50038841"/>
    <s v="LIXADEIRA BOSCH 4"/>
    <n v="1"/>
    <s v="REALIZADO"/>
    <s v="AGATHA"/>
    <x v="69"/>
    <x v="2"/>
    <x v="0"/>
  </r>
  <r>
    <n v="65482"/>
    <x v="30"/>
    <s v="MMG"/>
    <x v="0"/>
    <n v="50038841"/>
    <s v="LIXADEIRA BOSCH 4"/>
    <n v="1"/>
    <s v="REALIZADO"/>
    <s v="AGATHA"/>
    <x v="69"/>
    <x v="0"/>
    <x v="0"/>
  </r>
  <r>
    <n v="76633"/>
    <x v="62"/>
    <s v="MMG"/>
    <x v="2"/>
    <n v="50038841"/>
    <s v="LIXADEIRA BOSCH 4"/>
    <n v="1"/>
    <s v="REALIZADO"/>
    <s v="BRUNA"/>
    <x v="69"/>
    <x v="2"/>
    <x v="0"/>
  </r>
  <r>
    <n v="76633"/>
    <x v="62"/>
    <s v="MMG"/>
    <x v="2"/>
    <n v="50038841"/>
    <s v="LIXADEIRA BOSCH 4"/>
    <n v="1"/>
    <s v="REALIZADO"/>
    <s v="BRUNA"/>
    <x v="69"/>
    <x v="0"/>
    <x v="0"/>
  </r>
  <r>
    <n v="65482"/>
    <x v="30"/>
    <s v="MMG"/>
    <x v="0"/>
    <n v="50038841"/>
    <s v="LIXADEIRA BOSCH 4"/>
    <n v="1"/>
    <s v="REALIZADO"/>
    <s v="BRUNO"/>
    <x v="69"/>
    <x v="2"/>
    <x v="0"/>
  </r>
  <r>
    <n v="65482"/>
    <x v="30"/>
    <s v="MMG"/>
    <x v="0"/>
    <n v="50038841"/>
    <s v="LIXADEIRA BOSCH 4"/>
    <n v="1"/>
    <s v="REALIZADO"/>
    <s v="BRUNO"/>
    <x v="69"/>
    <x v="0"/>
    <x v="0"/>
  </r>
  <r>
    <n v="76633"/>
    <x v="62"/>
    <s v="MMG"/>
    <x v="2"/>
    <n v="50038841"/>
    <s v="LIXADEIRA BOSCH 4"/>
    <n v="1"/>
    <s v="REALIZADO"/>
    <s v="BRUNO"/>
    <x v="69"/>
    <x v="2"/>
    <x v="0"/>
  </r>
  <r>
    <n v="76633"/>
    <x v="62"/>
    <s v="MMG"/>
    <x v="2"/>
    <n v="50038841"/>
    <s v="LIXADEIRA BOSCH 4"/>
    <n v="1"/>
    <s v="REALIZADO"/>
    <s v="BRUNO"/>
    <x v="69"/>
    <x v="0"/>
    <x v="0"/>
  </r>
  <r>
    <n v="76994"/>
    <x v="8"/>
    <s v="MEE"/>
    <x v="0"/>
    <n v="50038517"/>
    <s v="LIXADEIRA BOSCH 5"/>
    <n v="1"/>
    <s v="REALIZADO"/>
    <s v="AGATHA"/>
    <x v="69"/>
    <x v="2"/>
    <x v="0"/>
  </r>
  <r>
    <n v="76994"/>
    <x v="8"/>
    <s v="MEE"/>
    <x v="0"/>
    <n v="50038517"/>
    <s v="LIXADEIRA BOSCH 5"/>
    <n v="1"/>
    <s v="REALIZADO"/>
    <s v="BRUNO"/>
    <x v="69"/>
    <x v="2"/>
    <x v="0"/>
  </r>
  <r>
    <n v="64074"/>
    <x v="75"/>
    <s v="MPR"/>
    <x v="0"/>
    <n v="50001995"/>
    <s v="MAQUINA DE SOLDA"/>
    <n v="1"/>
    <s v="REALIZADO"/>
    <s v="BRUNO"/>
    <x v="69"/>
    <x v="0"/>
    <x v="0"/>
  </r>
  <r>
    <n v="74611"/>
    <x v="2"/>
    <s v="MPR"/>
    <x v="0"/>
    <n v="50039065"/>
    <s v="MAQUINA SOLDA TIG"/>
    <n v="1"/>
    <s v="REALIZADO"/>
    <s v="AGATHA"/>
    <x v="69"/>
    <x v="2"/>
    <x v="0"/>
  </r>
  <r>
    <n v="74611"/>
    <x v="2"/>
    <s v="MPR"/>
    <x v="0"/>
    <n v="50039065"/>
    <s v="MAQUINA SOLDA TIG"/>
    <n v="1"/>
    <s v="REALIZADO"/>
    <s v="AGATHA"/>
    <x v="69"/>
    <x v="0"/>
    <x v="0"/>
  </r>
  <r>
    <n v="65472"/>
    <x v="48"/>
    <s v="MMG"/>
    <x v="0"/>
    <n v="50039065"/>
    <s v="MAQUINA SOLDA TIG"/>
    <n v="1"/>
    <s v="REALIZADO"/>
    <s v="BRUNO"/>
    <x v="69"/>
    <x v="2"/>
    <x v="0"/>
  </r>
  <r>
    <n v="65472"/>
    <x v="48"/>
    <s v="MMG"/>
    <x v="0"/>
    <n v="50039065"/>
    <s v="MAQUINA SOLDA TIG"/>
    <n v="1"/>
    <s v="REALIZADO"/>
    <s v="BRUNO"/>
    <x v="69"/>
    <x v="2"/>
    <x v="0"/>
  </r>
  <r>
    <n v="60546"/>
    <x v="74"/>
    <s v="MMG"/>
    <x v="4"/>
    <n v="50039065"/>
    <s v="MAQUINA SOLDA TIG"/>
    <n v="1"/>
    <s v="REALIZADO"/>
    <s v="MARINA"/>
    <x v="69"/>
    <x v="0"/>
    <x v="0"/>
  </r>
  <r>
    <n v="60546"/>
    <x v="74"/>
    <s v="MMG"/>
    <x v="4"/>
    <n v="50039065"/>
    <s v="MAQUINA SOLDA TIG"/>
    <n v="1"/>
    <s v="REALIZADO"/>
    <s v="MARINA"/>
    <x v="69"/>
    <x v="0"/>
    <x v="0"/>
  </r>
  <r>
    <n v="77313"/>
    <x v="17"/>
    <s v="MPR"/>
    <x v="0"/>
    <n v="50026357"/>
    <s v="MARTELETE VONDER"/>
    <n v="1"/>
    <s v="REALIZADO"/>
    <s v="AGATHA"/>
    <x v="69"/>
    <x v="2"/>
    <x v="0"/>
  </r>
  <r>
    <n v="77313"/>
    <x v="17"/>
    <s v="MPR"/>
    <x v="0"/>
    <n v="50026357"/>
    <s v="MARTELETE VONDER"/>
    <n v="1"/>
    <s v="REALIZADO"/>
    <s v="AGATHA"/>
    <x v="69"/>
    <x v="0"/>
    <x v="0"/>
  </r>
  <r>
    <n v="77313"/>
    <x v="17"/>
    <s v="MPR"/>
    <x v="0"/>
    <n v="50026357"/>
    <s v="MARTELETE VONDER"/>
    <n v="1"/>
    <s v="REALIZADO"/>
    <s v="BRUNO"/>
    <x v="69"/>
    <x v="2"/>
    <x v="0"/>
  </r>
  <r>
    <n v="77313"/>
    <x v="17"/>
    <s v="MPR"/>
    <x v="0"/>
    <n v="50026357"/>
    <s v="MARTELETE VONDER"/>
    <n v="1"/>
    <s v="REALIZADO"/>
    <s v="BRUNO"/>
    <x v="69"/>
    <x v="2"/>
    <x v="0"/>
  </r>
  <r>
    <n v="77708"/>
    <x v="69"/>
    <s v="MPR"/>
    <x v="0"/>
    <n v="50041195"/>
    <s v="PARAFUSADEIRA FUR DE IMPACTO BRUSHLESS"/>
    <n v="1"/>
    <s v="REALIZADO"/>
    <s v="AGATHA"/>
    <x v="69"/>
    <x v="0"/>
    <x v="0"/>
  </r>
  <r>
    <n v="62896"/>
    <x v="33"/>
    <s v="MEE"/>
    <x v="0"/>
    <n v="50041195"/>
    <s v="PARAFUSADEIRA FUR DE IMPACTO BRUSHLESS"/>
    <n v="1"/>
    <s v="REALIZADO"/>
    <s v="BRUNA"/>
    <x v="69"/>
    <x v="2"/>
    <x v="0"/>
  </r>
  <r>
    <n v="62896"/>
    <x v="33"/>
    <s v="MEE"/>
    <x v="0"/>
    <n v="50041195"/>
    <s v="PARAFUSADEIRA FUR DE IMPACTO BRUSHLESS"/>
    <n v="1"/>
    <s v="REALIZADO"/>
    <s v="BRUNO"/>
    <x v="69"/>
    <x v="2"/>
    <x v="0"/>
  </r>
  <r>
    <n v="79195"/>
    <x v="102"/>
    <n v="0"/>
    <x v="5"/>
    <n v="50043917"/>
    <s v="PARAFUSADEIRA FURADEIRA BOSCH"/>
    <n v="1"/>
    <s v="REALIZADO"/>
    <s v="BRUNA"/>
    <x v="69"/>
    <x v="2"/>
    <x v="0"/>
  </r>
  <r>
    <n v="65472"/>
    <x v="48"/>
    <s v="MMG"/>
    <x v="0"/>
    <n v="50037906"/>
    <s v="REBITADEIRA MANUAL KJ29 - MALETA 1"/>
    <n v="1"/>
    <s v="REALIZADO"/>
    <s v="AGATHA"/>
    <x v="69"/>
    <x v="0"/>
    <x v="0"/>
  </r>
  <r>
    <n v="65482"/>
    <x v="30"/>
    <s v="MMG"/>
    <x v="0"/>
    <n v="50012903"/>
    <s v="SACA POLIA 02 GARRAS 250MM GEDORE"/>
    <n v="1"/>
    <s v="REALIZADO"/>
    <s v="BRUNO"/>
    <x v="69"/>
    <x v="2"/>
    <x v="0"/>
  </r>
  <r>
    <n v="65482"/>
    <x v="30"/>
    <s v="MMG"/>
    <x v="0"/>
    <n v="50012903"/>
    <s v="SACA POLIA 02 GARRAS 250MM GEDORE"/>
    <n v="1"/>
    <s v="REALIZADO"/>
    <s v="BRUNA"/>
    <x v="69"/>
    <x v="2"/>
    <x v="0"/>
  </r>
  <r>
    <n v="68708"/>
    <x v="13"/>
    <s v="MMG"/>
    <x v="0"/>
    <n v="50012902"/>
    <s v="SACA POLIA 03 GARRAS 250 MM GEDORE"/>
    <n v="1"/>
    <s v="REALIZADO"/>
    <s v="BRUNO"/>
    <x v="69"/>
    <x v="0"/>
    <x v="0"/>
  </r>
  <r>
    <n v="72728"/>
    <x v="58"/>
    <s v="UTI"/>
    <x v="3"/>
    <n v="50044453"/>
    <s v="SACA POLIA COM 2 GARRAS 70MM"/>
    <n v="1"/>
    <s v="REALIZADO"/>
    <s v="AGATHA"/>
    <x v="69"/>
    <x v="2"/>
    <x v="0"/>
  </r>
  <r>
    <n v="72728"/>
    <x v="58"/>
    <s v="UTI"/>
    <x v="3"/>
    <n v="50044453"/>
    <s v="SACA POLIA COM 2 GARRAS 70MM"/>
    <n v="1"/>
    <s v="REALIZADO"/>
    <s v="BRUNO"/>
    <x v="69"/>
    <x v="0"/>
    <x v="0"/>
  </r>
  <r>
    <n v="63684"/>
    <x v="27"/>
    <s v="MME"/>
    <x v="2"/>
    <n v="50037933"/>
    <s v="TERMOMETRO"/>
    <n v="1"/>
    <s v="REALIZADO"/>
    <s v="BRUNA"/>
    <x v="69"/>
    <x v="2"/>
    <x v="0"/>
  </r>
  <r>
    <n v="63684"/>
    <x v="27"/>
    <s v="MME"/>
    <x v="2"/>
    <n v="50037933"/>
    <s v="TERMOMETRO"/>
    <n v="1"/>
    <s v="REALIZADO"/>
    <s v="BRUNO"/>
    <x v="69"/>
    <x v="2"/>
    <x v="0"/>
  </r>
  <r>
    <n v="76633"/>
    <x v="62"/>
    <s v="MMG"/>
    <x v="2"/>
    <n v="50039236"/>
    <s v="FURADEIRA BOSCH 4"/>
    <n v="1"/>
    <s v="REALIZADO"/>
    <s v="MARINA"/>
    <x v="70"/>
    <x v="0"/>
    <x v="0"/>
  </r>
  <r>
    <n v="76633"/>
    <x v="62"/>
    <s v="MMG"/>
    <x v="2"/>
    <n v="50039236"/>
    <s v="FURADEIRA BOSCH 4"/>
    <n v="1"/>
    <s v="REALIZADO"/>
    <s v="MARINA"/>
    <x v="70"/>
    <x v="2"/>
    <x v="0"/>
  </r>
  <r>
    <n v="76633"/>
    <x v="62"/>
    <s v="MMG"/>
    <x v="2"/>
    <n v="50037892"/>
    <s v="LIXADEIRA BOSCH 2"/>
    <n v="1"/>
    <s v="REALIZADO"/>
    <s v="MARINA"/>
    <x v="70"/>
    <x v="0"/>
    <x v="0"/>
  </r>
  <r>
    <n v="76633"/>
    <x v="62"/>
    <s v="MMG"/>
    <x v="2"/>
    <n v="50037892"/>
    <s v="LIXADEIRA BOSCH 2"/>
    <n v="1"/>
    <s v="REALIZADO"/>
    <s v="MARINA"/>
    <x v="70"/>
    <x v="2"/>
    <x v="0"/>
  </r>
  <r>
    <n v="66014"/>
    <x v="103"/>
    <s v="MME"/>
    <x v="2"/>
    <n v="50038517"/>
    <s v="LIXADEIRA BOSCH 5"/>
    <n v="1"/>
    <s v="REALIZADO"/>
    <s v="MARINA"/>
    <x v="70"/>
    <x v="0"/>
    <x v="0"/>
  </r>
  <r>
    <n v="66014"/>
    <x v="103"/>
    <s v="MME"/>
    <x v="2"/>
    <n v="50038517"/>
    <s v="LIXADEIRA BOSCH 5"/>
    <n v="1"/>
    <s v="REALIZADO"/>
    <s v="MARINA"/>
    <x v="70"/>
    <x v="2"/>
    <x v="0"/>
  </r>
  <r>
    <n v="77471"/>
    <x v="35"/>
    <s v="MEE"/>
    <x v="0"/>
    <n v="50041195"/>
    <s v="PARAFUSADEIRA FUR DE IMPACTO BRUSHLESS"/>
    <n v="1"/>
    <s v="REALIZADO"/>
    <s v="MARINA"/>
    <x v="70"/>
    <x v="0"/>
    <x v="0"/>
  </r>
  <r>
    <n v="77471"/>
    <x v="35"/>
    <s v="MEE"/>
    <x v="0"/>
    <n v="50041195"/>
    <s v="PARAFUSADEIRA FUR DE IMPACTO BRUSHLESS"/>
    <n v="1"/>
    <s v="REALIZADO"/>
    <s v="MARINA"/>
    <x v="70"/>
    <x v="0"/>
    <x v="0"/>
  </r>
  <r>
    <n v="65844"/>
    <x v="54"/>
    <s v="MMG"/>
    <x v="2"/>
    <n v="50037922"/>
    <s v="CHAVE DE BOCA MANUAL"/>
    <n v="1"/>
    <s v="REALIZADO"/>
    <s v="KELLY"/>
    <x v="71"/>
    <x v="2"/>
    <x v="0"/>
  </r>
  <r>
    <n v="65844"/>
    <x v="54"/>
    <s v="MMG"/>
    <x v="2"/>
    <n v="50037922"/>
    <s v="CHAVE DE BOCA MANUAL"/>
    <n v="1"/>
    <s v="REALIZADO"/>
    <s v="KELLY"/>
    <x v="71"/>
    <x v="0"/>
    <x v="0"/>
  </r>
  <r>
    <n v="58734"/>
    <x v="85"/>
    <s v="MME"/>
    <x v="3"/>
    <n v="50037905"/>
    <s v="ESTETOSCÓPIO SKF"/>
    <n v="1"/>
    <s v="REALIZADO"/>
    <s v="KELLY"/>
    <x v="71"/>
    <x v="2"/>
    <x v="0"/>
  </r>
  <r>
    <n v="60546"/>
    <x v="74"/>
    <s v="MMG"/>
    <x v="4"/>
    <n v="50044522"/>
    <s v="FLANGEADOR"/>
    <n v="1"/>
    <s v="REALIZADO"/>
    <s v="FABIANO"/>
    <x v="71"/>
    <x v="0"/>
    <x v="0"/>
  </r>
  <r>
    <n v="60546"/>
    <x v="74"/>
    <s v="MMG"/>
    <x v="4"/>
    <n v="50044522"/>
    <s v="FLANGEADOR"/>
    <n v="1"/>
    <s v="REALIZADO"/>
    <s v="FABIANO"/>
    <x v="71"/>
    <x v="0"/>
    <x v="0"/>
  </r>
  <r>
    <n v="76239"/>
    <x v="19"/>
    <s v="REFRIG"/>
    <x v="0"/>
    <n v="50043471"/>
    <s v="FURADEIRA BOSCH 7"/>
    <n v="1"/>
    <s v="REALIZADO"/>
    <s v="KELLY"/>
    <x v="71"/>
    <x v="2"/>
    <x v="0"/>
  </r>
  <r>
    <n v="76633"/>
    <x v="62"/>
    <s v="MMG"/>
    <x v="2"/>
    <n v="50037902"/>
    <s v="LIXADEIRA BOSCH 3"/>
    <n v="1"/>
    <s v="REALIZADO"/>
    <s v="KELLY"/>
    <x v="71"/>
    <x v="0"/>
    <x v="0"/>
  </r>
  <r>
    <n v="76239"/>
    <x v="19"/>
    <s v="REFRIG"/>
    <x v="0"/>
    <n v="50037902"/>
    <s v="LIXADEIRA BOSCH 3"/>
    <n v="1"/>
    <s v="REALIZADO"/>
    <s v="KELLY"/>
    <x v="71"/>
    <x v="0"/>
    <x v="0"/>
  </r>
  <r>
    <n v="76633"/>
    <x v="62"/>
    <s v="MMG"/>
    <x v="2"/>
    <n v="50037902"/>
    <s v="LIXADEIRA BOSCH 3"/>
    <n v="1"/>
    <s v="REALIZADO"/>
    <s v="KELLY"/>
    <x v="71"/>
    <x v="0"/>
    <x v="0"/>
  </r>
  <r>
    <n v="74611"/>
    <x v="2"/>
    <s v="MPR"/>
    <x v="0"/>
    <n v="50038517"/>
    <s v="LIXADEIRA BOSCH 5"/>
    <n v="1"/>
    <s v="REALIZADO"/>
    <s v="KELLY"/>
    <x v="71"/>
    <x v="2"/>
    <x v="0"/>
  </r>
  <r>
    <n v="74611"/>
    <x v="2"/>
    <s v="MPR"/>
    <x v="0"/>
    <n v="50038517"/>
    <s v="LIXADEIRA BOSCH 5"/>
    <n v="1"/>
    <s v="REALIZADO"/>
    <s v="KELLY"/>
    <x v="71"/>
    <x v="2"/>
    <x v="0"/>
  </r>
  <r>
    <n v="74611"/>
    <x v="2"/>
    <s v="MPR"/>
    <x v="0"/>
    <n v="50001995"/>
    <s v="MAQUINA DE SOLDA"/>
    <n v="1"/>
    <s v="REALIZADO"/>
    <s v="KELLY"/>
    <x v="71"/>
    <x v="2"/>
    <x v="0"/>
  </r>
  <r>
    <n v="65131"/>
    <x v="41"/>
    <s v="MMG"/>
    <x v="3"/>
    <n v="50039065"/>
    <s v="MAQUINA SOLDA TIG"/>
    <n v="1"/>
    <s v="REALIZADO"/>
    <s v="MARINA"/>
    <x v="71"/>
    <x v="0"/>
    <x v="0"/>
  </r>
  <r>
    <n v="65131"/>
    <x v="41"/>
    <s v="MMG"/>
    <x v="3"/>
    <n v="50039065"/>
    <s v="MAQUINA SOLDA TIG"/>
    <n v="1"/>
    <s v="REALIZADO"/>
    <s v="MARINA"/>
    <x v="71"/>
    <x v="0"/>
    <x v="0"/>
  </r>
  <r>
    <n v="74611"/>
    <x v="2"/>
    <s v="MPR"/>
    <x v="0"/>
    <n v="50026357"/>
    <s v="MARTELETE VONDER"/>
    <n v="1"/>
    <s v="REALIZADO"/>
    <s v="KELLY"/>
    <x v="71"/>
    <x v="2"/>
    <x v="0"/>
  </r>
  <r>
    <n v="74611"/>
    <x v="2"/>
    <s v="MPR"/>
    <x v="0"/>
    <n v="50026357"/>
    <s v="MARTELETE VONDER"/>
    <n v="1"/>
    <s v="REALIZADO"/>
    <s v="KELLY"/>
    <x v="71"/>
    <x v="2"/>
    <x v="0"/>
  </r>
  <r>
    <n v="62050"/>
    <x v="21"/>
    <s v="MME"/>
    <x v="3"/>
    <n v="50041195"/>
    <s v="PARAFUSADEIRA FUR DE IMPACTO BRUSHLESS"/>
    <n v="1"/>
    <s v="REALIZADO"/>
    <s v="KELLY"/>
    <x v="71"/>
    <x v="0"/>
    <x v="0"/>
  </r>
  <r>
    <n v="74611"/>
    <x v="2"/>
    <s v="MPR"/>
    <x v="0"/>
    <n v="50010031"/>
    <s v=" LIXADEIRA BOSCH 6"/>
    <n v="1"/>
    <s v="REALIZADO"/>
    <s v="GEOVANE"/>
    <x v="72"/>
    <x v="2"/>
    <x v="0"/>
  </r>
  <r>
    <n v="74611"/>
    <x v="2"/>
    <s v="MPR"/>
    <x v="0"/>
    <n v="50010031"/>
    <s v=" LIXADEIRA BOSCH 6"/>
    <n v="1"/>
    <s v="REALIZADO"/>
    <s v="MATHEUS"/>
    <x v="72"/>
    <x v="0"/>
    <x v="0"/>
  </r>
  <r>
    <n v="65910"/>
    <x v="7"/>
    <s v="MEE"/>
    <x v="0"/>
    <n v="50040694"/>
    <s v="ALICATE HIDRAULICO PRENSA CRIMPA"/>
    <n v="1"/>
    <s v="REALIZADO"/>
    <s v="AGATHA"/>
    <x v="72"/>
    <x v="2"/>
    <x v="0"/>
  </r>
  <r>
    <n v="65910"/>
    <x v="7"/>
    <s v="MEE"/>
    <x v="0"/>
    <n v="50040694"/>
    <s v="ALICATE HIDRAULICO PRENSA CRIMPA"/>
    <n v="1"/>
    <s v="REALIZADO"/>
    <s v="MATHEUS"/>
    <x v="72"/>
    <x v="0"/>
    <x v="0"/>
  </r>
  <r>
    <n v="76994"/>
    <x v="8"/>
    <s v="MEE"/>
    <x v="0"/>
    <n v="50044003"/>
    <s v="CÂMERA TERMOGRAFICA FLIR"/>
    <n v="1"/>
    <s v="REALIZADO"/>
    <s v="KELLY"/>
    <x v="72"/>
    <x v="2"/>
    <x v="0"/>
  </r>
  <r>
    <n v="76994"/>
    <x v="8"/>
    <s v="MEE"/>
    <x v="0"/>
    <n v="50044003"/>
    <s v="CÂMERA TERMOGRAFICA FLIR"/>
    <n v="1"/>
    <s v="REALIZADO"/>
    <s v="MATHEUS"/>
    <x v="72"/>
    <x v="2"/>
    <x v="0"/>
  </r>
  <r>
    <n v="58734"/>
    <x v="85"/>
    <s v="MME"/>
    <x v="3"/>
    <n v="50037905"/>
    <s v="ESTETOSCÓPIO SKF"/>
    <n v="1"/>
    <s v="REALIZADO"/>
    <s v="KELLY"/>
    <x v="72"/>
    <x v="2"/>
    <x v="0"/>
  </r>
  <r>
    <n v="76239"/>
    <x v="19"/>
    <s v="REFRIG"/>
    <x v="0"/>
    <n v="50043471"/>
    <s v="FURADEIRA BOSCH 7"/>
    <n v="1"/>
    <s v="REALIZADO"/>
    <s v="KELLY"/>
    <x v="72"/>
    <x v="0"/>
    <x v="0"/>
  </r>
  <r>
    <n v="62640"/>
    <x v="44"/>
    <s v="MPR"/>
    <x v="0"/>
    <n v="50043471"/>
    <s v="FURADEIRA BOSCH 7"/>
    <n v="1"/>
    <s v="REALIZADO"/>
    <s v="GEOVANE"/>
    <x v="72"/>
    <x v="2"/>
    <x v="0"/>
  </r>
  <r>
    <n v="62640"/>
    <x v="44"/>
    <s v="MPR"/>
    <x v="0"/>
    <n v="50043471"/>
    <s v="FURADEIRA BOSCH 7"/>
    <n v="1"/>
    <s v="REALIZADO"/>
    <s v="AGATHA"/>
    <x v="72"/>
    <x v="0"/>
    <x v="0"/>
  </r>
  <r>
    <n v="74611"/>
    <x v="2"/>
    <s v="MPR"/>
    <x v="0"/>
    <n v="50029865"/>
    <s v="JOGO DE BROCAS ACO RAPIDO"/>
    <n v="1"/>
    <s v="REALIZADO"/>
    <s v="GEOVANE"/>
    <x v="72"/>
    <x v="2"/>
    <x v="0"/>
  </r>
  <r>
    <n v="74611"/>
    <x v="2"/>
    <s v="MPR"/>
    <x v="0"/>
    <n v="50029865"/>
    <s v="JOGO DE BROCAS ACO RAPIDO"/>
    <n v="1"/>
    <s v="REALIZADO"/>
    <s v="MATHEUS"/>
    <x v="72"/>
    <x v="0"/>
    <x v="0"/>
  </r>
  <r>
    <n v="62896"/>
    <x v="33"/>
    <s v="MEE"/>
    <x v="0"/>
    <n v="50043320"/>
    <s v="JOGO SERRA COPO 8PÇS"/>
    <n v="1"/>
    <s v="REALIZADO"/>
    <s v="KELLY"/>
    <x v="72"/>
    <x v="2"/>
    <x v="0"/>
  </r>
  <r>
    <n v="62896"/>
    <x v="33"/>
    <s v="MEE"/>
    <x v="0"/>
    <n v="50043320"/>
    <s v="JOGO SERRA COPO 8PÇS"/>
    <n v="1"/>
    <s v="REALIZADO"/>
    <s v="MATHEUS"/>
    <x v="72"/>
    <x v="0"/>
    <x v="0"/>
  </r>
  <r>
    <n v="64253"/>
    <x v="16"/>
    <s v="MMG"/>
    <x v="0"/>
    <n v="50038549"/>
    <s v="JOGO SOQUETE ESTRIADOS 1/2 22PEÇ"/>
    <n v="1"/>
    <s v="REALIZADO"/>
    <s v="KELLY"/>
    <x v="72"/>
    <x v="2"/>
    <x v="0"/>
  </r>
  <r>
    <n v="64253"/>
    <x v="16"/>
    <s v="MMG"/>
    <x v="0"/>
    <n v="50038549"/>
    <s v="JOGO SOQUETE ESTRIADOS 1/2 22PEÇ"/>
    <n v="1"/>
    <s v="REALIZADO"/>
    <s v="KELLY"/>
    <x v="72"/>
    <x v="0"/>
    <x v="0"/>
  </r>
  <r>
    <n v="68760"/>
    <x v="15"/>
    <s v="MMG"/>
    <x v="0"/>
    <n v="50022878"/>
    <s v="KIT MONTAGEM ROLAMENTO SKF"/>
    <n v="1"/>
    <s v="REALIZADO"/>
    <s v="GEOVANE"/>
    <x v="72"/>
    <x v="2"/>
    <x v="0"/>
  </r>
  <r>
    <n v="68760"/>
    <x v="15"/>
    <s v="MMG"/>
    <x v="0"/>
    <n v="50022878"/>
    <s v="KIT MONTAGEM ROLAMENTO SKF"/>
    <n v="1"/>
    <s v="REALIZADO"/>
    <s v="MATHEUS"/>
    <x v="72"/>
    <x v="0"/>
    <x v="0"/>
  </r>
  <r>
    <n v="70105"/>
    <x v="25"/>
    <s v="MMG"/>
    <x v="3"/>
    <n v="50038956"/>
    <s v="LIXADEIRA BOSCH 1"/>
    <n v="1"/>
    <s v="REALIZADO"/>
    <s v="KELLY"/>
    <x v="72"/>
    <x v="2"/>
    <x v="0"/>
  </r>
  <r>
    <n v="70105"/>
    <x v="25"/>
    <s v="MMG"/>
    <x v="3"/>
    <n v="50038956"/>
    <s v="LIXADEIRA BOSCH 1"/>
    <n v="1"/>
    <s v="REALIZADO"/>
    <s v="GEOVANE"/>
    <x v="72"/>
    <x v="0"/>
    <x v="0"/>
  </r>
  <r>
    <n v="77526"/>
    <x v="37"/>
    <s v="MME"/>
    <x v="0"/>
    <n v="50038956"/>
    <s v="LIXADEIRA BOSCH 1"/>
    <n v="1"/>
    <s v="REALIZADO"/>
    <s v="MATHEUS"/>
    <x v="72"/>
    <x v="2"/>
    <x v="0"/>
  </r>
  <r>
    <n v="77526"/>
    <x v="37"/>
    <s v="MME"/>
    <x v="0"/>
    <n v="50038956"/>
    <s v="LIXADEIRA BOSCH 1"/>
    <n v="1"/>
    <s v="REALIZADO"/>
    <s v="MATHEUS"/>
    <x v="72"/>
    <x v="0"/>
    <x v="0"/>
  </r>
  <r>
    <n v="76633"/>
    <x v="62"/>
    <s v="MMG"/>
    <x v="2"/>
    <n v="50038956"/>
    <s v="LIXADEIRA BOSCH 1"/>
    <n v="1"/>
    <s v="REALIZADO"/>
    <s v="MATHEUS"/>
    <x v="72"/>
    <x v="2"/>
    <x v="0"/>
  </r>
  <r>
    <n v="76633"/>
    <x v="62"/>
    <s v="MMG"/>
    <x v="2"/>
    <n v="50038956"/>
    <s v="LIXADEIRA BOSCH 1"/>
    <n v="1"/>
    <s v="REALIZADO"/>
    <s v="MATHEUS"/>
    <x v="72"/>
    <x v="0"/>
    <x v="0"/>
  </r>
  <r>
    <n v="77313"/>
    <x v="17"/>
    <s v="MPR"/>
    <x v="0"/>
    <n v="50037892"/>
    <s v="LIXADEIRA BOSCH 2"/>
    <n v="1"/>
    <s v="REALIZADO"/>
    <s v="GEOVANE"/>
    <x v="72"/>
    <x v="2"/>
    <x v="0"/>
  </r>
  <r>
    <n v="77313"/>
    <x v="17"/>
    <s v="MPR"/>
    <x v="0"/>
    <n v="50037892"/>
    <s v="LIXADEIRA BOSCH 2"/>
    <n v="1"/>
    <s v="REALIZADO"/>
    <s v="MATHEUS"/>
    <x v="72"/>
    <x v="2"/>
    <x v="0"/>
  </r>
  <r>
    <n v="76239"/>
    <x v="19"/>
    <s v="REFRIG"/>
    <x v="0"/>
    <n v="50037902"/>
    <s v="LIXADEIRA BOSCH 3"/>
    <n v="1"/>
    <s v="REALIZADO"/>
    <s v="KELLY"/>
    <x v="72"/>
    <x v="0"/>
    <x v="0"/>
  </r>
  <r>
    <n v="62161"/>
    <x v="72"/>
    <s v="MME"/>
    <x v="3"/>
    <n v="50037902"/>
    <s v="LIXADEIRA BOSCH 3"/>
    <n v="1"/>
    <s v="REALIZADO"/>
    <s v="KELLY"/>
    <x v="72"/>
    <x v="2"/>
    <x v="0"/>
  </r>
  <r>
    <n v="62161"/>
    <x v="72"/>
    <s v="MME"/>
    <x v="3"/>
    <n v="50037902"/>
    <s v="LIXADEIRA BOSCH 3"/>
    <n v="1"/>
    <s v="REALIZADO"/>
    <s v="KELLY"/>
    <x v="72"/>
    <x v="0"/>
    <x v="0"/>
  </r>
  <r>
    <n v="78886"/>
    <x v="51"/>
    <s v="MME"/>
    <x v="0"/>
    <n v="50037902"/>
    <s v="LIXADEIRA BOSCH 3"/>
    <n v="1"/>
    <s v="REALIZADO"/>
    <s v="KELLY"/>
    <x v="72"/>
    <x v="2"/>
    <x v="0"/>
  </r>
  <r>
    <n v="78886"/>
    <x v="51"/>
    <s v="MME"/>
    <x v="0"/>
    <n v="50037902"/>
    <s v="LIXADEIRA BOSCH 3"/>
    <n v="1"/>
    <s v="REALIZADO"/>
    <s v="MATHEUS"/>
    <x v="72"/>
    <x v="0"/>
    <x v="0"/>
  </r>
  <r>
    <n v="67915"/>
    <x v="52"/>
    <s v="MMG"/>
    <x v="2"/>
    <n v="50038841"/>
    <s v="LIXADEIRA BOSCH 4"/>
    <n v="1"/>
    <s v="REALIZADO"/>
    <s v="BRUNO"/>
    <x v="72"/>
    <x v="2"/>
    <x v="0"/>
  </r>
  <r>
    <n v="67915"/>
    <x v="52"/>
    <s v="MMG"/>
    <x v="2"/>
    <n v="50038841"/>
    <s v="LIXADEIRA BOSCH 4"/>
    <n v="1"/>
    <s v="REALIZADO"/>
    <s v="BRUNO"/>
    <x v="72"/>
    <x v="0"/>
    <x v="0"/>
  </r>
  <r>
    <n v="78678"/>
    <x v="0"/>
    <s v="MME"/>
    <x v="0"/>
    <n v="50038517"/>
    <s v="LIXADEIRA BOSCH 5"/>
    <n v="1"/>
    <s v="REALIZADO"/>
    <s v="KELLY"/>
    <x v="72"/>
    <x v="2"/>
    <x v="0"/>
  </r>
  <r>
    <n v="63713"/>
    <x v="67"/>
    <s v="MME"/>
    <x v="0"/>
    <n v="50038517"/>
    <s v="LIXADEIRA BOSCH 5"/>
    <n v="1"/>
    <s v="REALIZADO"/>
    <s v="MATHEUS"/>
    <x v="72"/>
    <x v="0"/>
    <x v="0"/>
  </r>
  <r>
    <n v="67505"/>
    <x v="104"/>
    <s v="MEE"/>
    <x v="0"/>
    <n v="50038517"/>
    <s v="LIXADEIRA BOSCH 5"/>
    <n v="1"/>
    <s v="REALIZADO"/>
    <s v="MARINA"/>
    <x v="72"/>
    <x v="0"/>
    <x v="0"/>
  </r>
  <r>
    <n v="64074"/>
    <x v="75"/>
    <s v="MPR"/>
    <x v="0"/>
    <n v="50001995"/>
    <s v="MAQUINA DE SOLDA"/>
    <n v="1"/>
    <s v="REALIZADO"/>
    <s v="KELLY"/>
    <x v="72"/>
    <x v="2"/>
    <x v="0"/>
  </r>
  <r>
    <n v="64074"/>
    <x v="75"/>
    <s v="MPR"/>
    <x v="0"/>
    <n v="50001995"/>
    <s v="MAQUINA DE SOLDA"/>
    <n v="1"/>
    <s v="REALIZADO"/>
    <s v="MATHEUS"/>
    <x v="72"/>
    <x v="2"/>
    <x v="0"/>
  </r>
  <r>
    <n v="73878"/>
    <x v="20"/>
    <s v="MMG"/>
    <x v="0"/>
    <n v="50039065"/>
    <s v="MAQUINA SOLDA TIG"/>
    <n v="1"/>
    <s v="REALIZADO"/>
    <s v="KELLY"/>
    <x v="72"/>
    <x v="0"/>
    <x v="0"/>
  </r>
  <r>
    <n v="63713"/>
    <x v="67"/>
    <s v="MME"/>
    <x v="0"/>
    <n v="50039065"/>
    <s v="MAQUINA SOLDA TIG"/>
    <n v="1"/>
    <s v="REALIZADO"/>
    <s v="KELLY"/>
    <x v="72"/>
    <x v="2"/>
    <x v="0"/>
  </r>
  <r>
    <n v="63713"/>
    <x v="67"/>
    <s v="MME"/>
    <x v="0"/>
    <n v="50039065"/>
    <s v="MAQUINA SOLDA TIG"/>
    <n v="1"/>
    <s v="REALIZADO"/>
    <s v="BRUNO"/>
    <x v="72"/>
    <x v="0"/>
    <x v="0"/>
  </r>
  <r>
    <n v="72707"/>
    <x v="59"/>
    <s v="MPR"/>
    <x v="0"/>
    <n v="50026357"/>
    <s v="MARTELETE VONDER"/>
    <n v="1"/>
    <s v="REALIZADO"/>
    <s v="KELLY"/>
    <x v="72"/>
    <x v="2"/>
    <x v="0"/>
  </r>
  <r>
    <n v="72707"/>
    <x v="59"/>
    <s v="MPR"/>
    <x v="0"/>
    <n v="50026357"/>
    <s v="MARTELETE VONDER"/>
    <n v="1"/>
    <s v="REALIZADO"/>
    <s v="MATHEUS"/>
    <x v="72"/>
    <x v="0"/>
    <x v="0"/>
  </r>
  <r>
    <n v="74611"/>
    <x v="2"/>
    <s v="MPR"/>
    <x v="0"/>
    <n v="50041195"/>
    <s v="PARAFUSADEIRA FUR DE IMPACTO BRUSHLESS"/>
    <n v="1"/>
    <s v="REALIZADO"/>
    <s v="GEOVANE"/>
    <x v="72"/>
    <x v="2"/>
    <x v="0"/>
  </r>
  <r>
    <n v="74611"/>
    <x v="2"/>
    <s v="MPR"/>
    <x v="0"/>
    <n v="50041195"/>
    <s v="PARAFUSADEIRA FUR DE IMPACTO BRUSHLESS"/>
    <n v="1"/>
    <s v="REALIZADO"/>
    <s v="MATHEUS"/>
    <x v="72"/>
    <x v="0"/>
    <x v="0"/>
  </r>
  <r>
    <n v="67505"/>
    <x v="104"/>
    <s v="MEE"/>
    <x v="0"/>
    <n v="50041195"/>
    <s v="PARAFUSADEIRA FUR DE IMPACTO BRUSHLESS"/>
    <n v="1"/>
    <s v="REALIZADO"/>
    <s v="MARINA"/>
    <x v="72"/>
    <x v="0"/>
    <x v="0"/>
  </r>
  <r>
    <n v="62896"/>
    <x v="33"/>
    <s v="MEE"/>
    <x v="0"/>
    <n v="50043917"/>
    <s v="PARAFUSADEIRA FURADEIRA BOSCH"/>
    <n v="1"/>
    <s v="REALIZADO"/>
    <s v="KELLY"/>
    <x v="72"/>
    <x v="2"/>
    <x v="0"/>
  </r>
  <r>
    <n v="62896"/>
    <x v="33"/>
    <s v="MEE"/>
    <x v="0"/>
    <n v="50043917"/>
    <s v="PARAFUSADEIRA FURADEIRA BOSCH"/>
    <n v="1"/>
    <s v="REALIZADO"/>
    <s v="MATHEUS"/>
    <x v="72"/>
    <x v="0"/>
    <x v="0"/>
  </r>
  <r>
    <n v="68708"/>
    <x v="13"/>
    <s v="MMG"/>
    <x v="0"/>
    <n v="50012903"/>
    <s v="SACA POLIA 02 GARRAS 250MM GEDORE"/>
    <n v="1"/>
    <s v="REALIZADO"/>
    <s v="KELLY"/>
    <x v="72"/>
    <x v="2"/>
    <x v="0"/>
  </r>
  <r>
    <n v="68708"/>
    <x v="13"/>
    <s v="MMG"/>
    <x v="0"/>
    <n v="50012903"/>
    <s v="SACA POLIA 02 GARRAS 250MM GEDORE"/>
    <n v="1"/>
    <s v="REALIZADO"/>
    <s v="MATHEUS"/>
    <x v="72"/>
    <x v="0"/>
    <x v="0"/>
  </r>
  <r>
    <n v="64253"/>
    <x v="16"/>
    <s v="MMG"/>
    <x v="0"/>
    <n v="50032775"/>
    <s v="SACA POLIA 150MM 3 GARRAS - GEDORE"/>
    <n v="1"/>
    <s v="REALIZADO"/>
    <s v="KELLY"/>
    <x v="72"/>
    <x v="2"/>
    <x v="0"/>
  </r>
  <r>
    <n v="64253"/>
    <x v="16"/>
    <s v="MMG"/>
    <x v="0"/>
    <n v="50032775"/>
    <s v="SACA POLIA 150MM 3 GARRAS - GEDORE"/>
    <n v="1"/>
    <s v="REALIZADO"/>
    <s v="MATHEUS"/>
    <x v="72"/>
    <x v="0"/>
    <x v="0"/>
  </r>
  <r>
    <n v="64074"/>
    <x v="75"/>
    <s v="MPR"/>
    <x v="0"/>
    <n v="50038840"/>
    <s v="SERRA CIRCULAR MAKITA 4100NH2"/>
    <n v="1"/>
    <s v="REALIZADO"/>
    <s v="KELLY"/>
    <x v="72"/>
    <x v="2"/>
    <x v="0"/>
  </r>
  <r>
    <n v="64074"/>
    <x v="75"/>
    <s v="MPR"/>
    <x v="0"/>
    <n v="50038840"/>
    <s v="SERRA CIRCULAR MAKITA 4100NH2"/>
    <n v="1"/>
    <s v="REALIZADO"/>
    <s v="KELLY"/>
    <x v="72"/>
    <x v="0"/>
    <x v="0"/>
  </r>
  <r>
    <n v="77708"/>
    <x v="69"/>
    <s v="MPR"/>
    <x v="0"/>
    <n v="50041194"/>
    <s v="TALHADEIRA MANUAL SEXTAVADA 300 X 25 MM"/>
    <n v="1"/>
    <s v="REALIZADO"/>
    <s v="KELLY"/>
    <x v="72"/>
    <x v="0"/>
    <x v="0"/>
  </r>
  <r>
    <n v="77471"/>
    <x v="35"/>
    <s v="MEE"/>
    <x v="0"/>
    <n v="50037933"/>
    <s v="TERMOMETRO"/>
    <n v="1"/>
    <s v="REALIZADO"/>
    <s v="KELLY"/>
    <x v="72"/>
    <x v="2"/>
    <x v="0"/>
  </r>
  <r>
    <n v="78886"/>
    <x v="51"/>
    <s v="MME"/>
    <x v="0"/>
    <n v="50010031"/>
    <s v=" LIXADEIRA BOSCH 6"/>
    <n v="1"/>
    <s v="REALIZADO"/>
    <s v="BRUNO"/>
    <x v="73"/>
    <x v="0"/>
    <x v="0"/>
  </r>
  <r>
    <n v="66830"/>
    <x v="3"/>
    <s v="MPR"/>
    <x v="0"/>
    <n v="50036086"/>
    <s v="CHAVE GRIFO 18"/>
    <n v="1"/>
    <s v="REALIZADO"/>
    <s v="BRUNO"/>
    <x v="73"/>
    <x v="2"/>
    <x v="0"/>
  </r>
  <r>
    <n v="66830"/>
    <x v="3"/>
    <s v="MPR"/>
    <x v="0"/>
    <n v="50036086"/>
    <s v="CHAVE GRIFO 18"/>
    <n v="1"/>
    <s v="REALIZADO"/>
    <s v="BRUNO"/>
    <x v="73"/>
    <x v="0"/>
    <x v="0"/>
  </r>
  <r>
    <n v="74874"/>
    <x v="90"/>
    <s v="MMG"/>
    <x v="0"/>
    <n v="50003173"/>
    <s v="CHAVE GRIFO 24"/>
    <n v="1"/>
    <s v="REALIZADO"/>
    <s v="MARCIA"/>
    <x v="73"/>
    <x v="2"/>
    <x v="0"/>
  </r>
  <r>
    <n v="74874"/>
    <x v="90"/>
    <s v="MMG"/>
    <x v="0"/>
    <n v="50003173"/>
    <s v="CHAVE GRIFO 24"/>
    <n v="1"/>
    <s v="REALIZADO"/>
    <s v="BRUNO"/>
    <x v="73"/>
    <x v="0"/>
    <x v="0"/>
  </r>
  <r>
    <n v="74611"/>
    <x v="2"/>
    <s v="MPR"/>
    <x v="0"/>
    <n v="50030486"/>
    <s v="FURADEIRA BOSCH 3"/>
    <n v="1"/>
    <s v="REALIZADO"/>
    <s v="KELLY"/>
    <x v="73"/>
    <x v="2"/>
    <x v="0"/>
  </r>
  <r>
    <n v="74611"/>
    <x v="2"/>
    <s v="MPR"/>
    <x v="0"/>
    <n v="50030486"/>
    <s v="FURADEIRA BOSCH 3"/>
    <n v="1"/>
    <s v="REALIZADO"/>
    <s v="GEOVANE"/>
    <x v="73"/>
    <x v="0"/>
    <x v="9"/>
  </r>
  <r>
    <n v="77594"/>
    <x v="23"/>
    <s v="MME"/>
    <x v="0"/>
    <n v="50043471"/>
    <s v="FURADEIRA BOSCH 7"/>
    <n v="1"/>
    <s v="REALIZADO"/>
    <s v="KELLY"/>
    <x v="73"/>
    <x v="2"/>
    <x v="0"/>
  </r>
  <r>
    <n v="77594"/>
    <x v="23"/>
    <s v="MME"/>
    <x v="0"/>
    <n v="50043471"/>
    <s v="FURADEIRA BOSCH 7"/>
    <n v="1"/>
    <s v="REALIZADO"/>
    <s v="BRUNO"/>
    <x v="73"/>
    <x v="0"/>
    <x v="0"/>
  </r>
  <r>
    <n v="70052"/>
    <x v="6"/>
    <s v="MEE"/>
    <x v="0"/>
    <n v="50003297"/>
    <s v="FURADEIRA DE IMPACTO MAKITA 02"/>
    <n v="1"/>
    <s v="REALIZADO"/>
    <s v="GEOVANE"/>
    <x v="73"/>
    <x v="2"/>
    <x v="0"/>
  </r>
  <r>
    <n v="70052"/>
    <x v="6"/>
    <s v="MEE"/>
    <x v="0"/>
    <n v="50003297"/>
    <s v="FURADEIRA DE IMPACTO MAKITA 02"/>
    <n v="1"/>
    <s v="REALIZADO"/>
    <s v="GEOVANE"/>
    <x v="73"/>
    <x v="2"/>
    <x v="0"/>
  </r>
  <r>
    <n v="70052"/>
    <x v="6"/>
    <s v="MEE"/>
    <x v="0"/>
    <n v="50044839"/>
    <s v="HEADSET H390 LOGITECH"/>
    <n v="1"/>
    <s v="REALIZADO"/>
    <s v="BRUNO"/>
    <x v="73"/>
    <x v="0"/>
    <x v="0"/>
  </r>
  <r>
    <n v="68708"/>
    <x v="13"/>
    <s v="MMG"/>
    <x v="0"/>
    <n v="50022878"/>
    <s v="KIT MONTAGEM ROLAMENTO SKF"/>
    <n v="1"/>
    <s v="REALIZADO"/>
    <s v="BRUNO"/>
    <x v="73"/>
    <x v="2"/>
    <x v="0"/>
  </r>
  <r>
    <n v="68708"/>
    <x v="13"/>
    <s v="MMG"/>
    <x v="0"/>
    <n v="50022878"/>
    <s v="KIT MONTAGEM ROLAMENTO SKF"/>
    <n v="1"/>
    <s v="REALIZADO"/>
    <s v="BRUNO"/>
    <x v="73"/>
    <x v="0"/>
    <x v="0"/>
  </r>
  <r>
    <n v="72707"/>
    <x v="59"/>
    <s v="MPR"/>
    <x v="0"/>
    <n v="50038956"/>
    <s v="LIXADEIRA BOSCH 1"/>
    <n v="1"/>
    <s v="REALIZADO"/>
    <s v="KELLY"/>
    <x v="73"/>
    <x v="2"/>
    <x v="0"/>
  </r>
  <r>
    <n v="72707"/>
    <x v="59"/>
    <s v="MPR"/>
    <x v="0"/>
    <n v="50038956"/>
    <s v="LIXADEIRA BOSCH 1"/>
    <n v="1"/>
    <s v="REALIZADO"/>
    <s v="BRUNO"/>
    <x v="73"/>
    <x v="0"/>
    <x v="0"/>
  </r>
  <r>
    <n v="70105"/>
    <x v="25"/>
    <s v="MMG"/>
    <x v="3"/>
    <n v="50037892"/>
    <s v="LIXADEIRA BOSCH 2"/>
    <n v="1"/>
    <s v="REALIZADO"/>
    <s v="MARCIA"/>
    <x v="73"/>
    <x v="2"/>
    <x v="0"/>
  </r>
  <r>
    <n v="70105"/>
    <x v="25"/>
    <s v="MMG"/>
    <x v="3"/>
    <n v="50037892"/>
    <s v="LIXADEIRA BOSCH 2"/>
    <n v="1"/>
    <s v="REALIZADO"/>
    <s v="MARCIA"/>
    <x v="73"/>
    <x v="0"/>
    <x v="0"/>
  </r>
  <r>
    <n v="70105"/>
    <x v="25"/>
    <s v="MMG"/>
    <x v="3"/>
    <n v="50037892"/>
    <s v="LIXADEIRA BOSCH 2"/>
    <n v="1"/>
    <s v="REALIZADO"/>
    <s v="MARCIA"/>
    <x v="73"/>
    <x v="2"/>
    <x v="0"/>
  </r>
  <r>
    <n v="70105"/>
    <x v="25"/>
    <s v="MMG"/>
    <x v="3"/>
    <n v="50037892"/>
    <s v="LIXADEIRA BOSCH 2"/>
    <n v="1"/>
    <s v="REALIZADO"/>
    <s v="MARCIA"/>
    <x v="73"/>
    <x v="0"/>
    <x v="0"/>
  </r>
  <r>
    <n v="77526"/>
    <x v="37"/>
    <s v="MME"/>
    <x v="0"/>
    <n v="50037892"/>
    <s v="LIXADEIRA BOSCH 2"/>
    <n v="1"/>
    <s v="REALIZADO"/>
    <s v="BRUNO"/>
    <x v="73"/>
    <x v="2"/>
    <x v="0"/>
  </r>
  <r>
    <n v="77526"/>
    <x v="37"/>
    <s v="MME"/>
    <x v="0"/>
    <n v="50037892"/>
    <s v="LIXADEIRA BOSCH 2"/>
    <n v="1"/>
    <s v="REALIZADO"/>
    <s v="BRUNO"/>
    <x v="73"/>
    <x v="0"/>
    <x v="0"/>
  </r>
  <r>
    <n v="68708"/>
    <x v="13"/>
    <s v="MMG"/>
    <x v="0"/>
    <n v="50037902"/>
    <s v="LIXADEIRA BOSCH 3"/>
    <n v="1"/>
    <s v="REALIZADO"/>
    <s v="GEOVANE"/>
    <x v="73"/>
    <x v="2"/>
    <x v="0"/>
  </r>
  <r>
    <n v="68708"/>
    <x v="13"/>
    <s v="MMG"/>
    <x v="0"/>
    <n v="50037902"/>
    <s v="LIXADEIRA BOSCH 3"/>
    <n v="1"/>
    <s v="REALIZADO"/>
    <s v="GEOVANE"/>
    <x v="73"/>
    <x v="0"/>
    <x v="0"/>
  </r>
  <r>
    <n v="62161"/>
    <x v="72"/>
    <s v="MME"/>
    <x v="3"/>
    <n v="50038841"/>
    <s v="LIXADEIRA BOSCH 4"/>
    <n v="1"/>
    <s v="REALIZADO"/>
    <s v="KELLY"/>
    <x v="73"/>
    <x v="2"/>
    <x v="0"/>
  </r>
  <r>
    <n v="62161"/>
    <x v="72"/>
    <s v="MME"/>
    <x v="3"/>
    <n v="50038841"/>
    <s v="LIXADEIRA BOSCH 4"/>
    <n v="1"/>
    <s v="REALIZADO"/>
    <s v="KELLY"/>
    <x v="73"/>
    <x v="0"/>
    <x v="0"/>
  </r>
  <r>
    <n v="77594"/>
    <x v="23"/>
    <s v="MME"/>
    <x v="0"/>
    <n v="50038841"/>
    <s v="LIXADEIRA BOSCH 4"/>
    <n v="1"/>
    <s v="REALIZADO"/>
    <s v="KELLY"/>
    <x v="73"/>
    <x v="2"/>
    <x v="0"/>
  </r>
  <r>
    <n v="77594"/>
    <x v="23"/>
    <s v="MME"/>
    <x v="0"/>
    <n v="50038841"/>
    <s v="LIXADEIRA BOSCH 4"/>
    <n v="1"/>
    <s v="REALIZADO"/>
    <s v="BRUNO"/>
    <x v="73"/>
    <x v="0"/>
    <x v="0"/>
  </r>
  <r>
    <n v="75424"/>
    <x v="39"/>
    <s v="MME"/>
    <x v="2"/>
    <n v="50038517"/>
    <s v="LIXADEIRA BOSCH 5"/>
    <n v="1"/>
    <s v="REALIZADO"/>
    <s v="KELLY"/>
    <x v="73"/>
    <x v="2"/>
    <x v="0"/>
  </r>
  <r>
    <n v="75424"/>
    <x v="39"/>
    <s v="MME"/>
    <x v="2"/>
    <n v="50038517"/>
    <s v="LIXADEIRA BOSCH 5"/>
    <n v="1"/>
    <s v="REALIZADO"/>
    <s v="BRUNO"/>
    <x v="73"/>
    <x v="0"/>
    <x v="0"/>
  </r>
  <r>
    <n v="61290"/>
    <x v="105"/>
    <s v="UTI"/>
    <x v="2"/>
    <n v="50038517"/>
    <s v="LIXADEIRA BOSCH 5"/>
    <n v="1"/>
    <s v="REALIZADO"/>
    <s v="BRUNO"/>
    <x v="73"/>
    <x v="2"/>
    <x v="0"/>
  </r>
  <r>
    <n v="61290"/>
    <x v="105"/>
    <s v="UTI"/>
    <x v="2"/>
    <n v="50038517"/>
    <s v="LIXADEIRA BOSCH 5"/>
    <n v="1"/>
    <s v="REALIZADO"/>
    <s v="BRUNO"/>
    <x v="73"/>
    <x v="0"/>
    <x v="0"/>
  </r>
  <r>
    <n v="78886"/>
    <x v="51"/>
    <s v="MME"/>
    <x v="0"/>
    <n v="50038517"/>
    <s v="LIXADEIRA BOSCH 5"/>
    <n v="1"/>
    <s v="REALIZADO"/>
    <s v="BRUNO"/>
    <x v="73"/>
    <x v="2"/>
    <x v="0"/>
  </r>
  <r>
    <n v="78886"/>
    <x v="51"/>
    <s v="MME"/>
    <x v="0"/>
    <n v="50038517"/>
    <s v="LIXADEIRA BOSCH 5"/>
    <n v="1"/>
    <s v="REALIZADO"/>
    <s v="BRUNO"/>
    <x v="73"/>
    <x v="2"/>
    <x v="0"/>
  </r>
  <r>
    <n v="67505"/>
    <x v="104"/>
    <s v="MEE"/>
    <x v="0"/>
    <n v="50038517"/>
    <s v="LIXADEIRA BOSCH 5"/>
    <n v="1"/>
    <s v="REALIZADO"/>
    <s v="MARINA"/>
    <x v="73"/>
    <x v="0"/>
    <x v="0"/>
  </r>
  <r>
    <n v="74611"/>
    <x v="2"/>
    <s v="MPR"/>
    <x v="0"/>
    <n v="50001995"/>
    <s v="MAQUINA DE SOLDA"/>
    <n v="1"/>
    <s v="REALIZADO"/>
    <s v="GEOVANE"/>
    <x v="73"/>
    <x v="2"/>
    <x v="0"/>
  </r>
  <r>
    <n v="74611"/>
    <x v="2"/>
    <s v="MPR"/>
    <x v="0"/>
    <n v="50001995"/>
    <s v="MAQUINA DE SOLDA"/>
    <n v="1"/>
    <s v="REALIZADO"/>
    <s v="MARCIA"/>
    <x v="73"/>
    <x v="0"/>
    <x v="0"/>
  </r>
  <r>
    <n v="77526"/>
    <x v="37"/>
    <s v="MME"/>
    <x v="0"/>
    <n v="50039065"/>
    <s v="MAQUINA SOLDA TIG"/>
    <n v="1"/>
    <s v="REALIZADO"/>
    <s v="KELLY"/>
    <x v="73"/>
    <x v="0"/>
    <x v="0"/>
  </r>
  <r>
    <n v="68708"/>
    <x v="13"/>
    <s v="MMG"/>
    <x v="0"/>
    <n v="50039065"/>
    <s v="MAQUINA SOLDA TIG"/>
    <n v="1"/>
    <s v="REALIZADO"/>
    <s v="GEOVANE"/>
    <x v="73"/>
    <x v="2"/>
    <x v="0"/>
  </r>
  <r>
    <n v="68708"/>
    <x v="13"/>
    <s v="MMG"/>
    <x v="0"/>
    <n v="50039065"/>
    <s v="MAQUINA SOLDA TIG"/>
    <n v="1"/>
    <s v="REALIZADO"/>
    <s v="GEOVANE"/>
    <x v="73"/>
    <x v="0"/>
    <x v="0"/>
  </r>
  <r>
    <n v="68708"/>
    <x v="13"/>
    <s v="MMG"/>
    <x v="0"/>
    <n v="50041195"/>
    <s v="PARAFUSADEIRA FUR DE IMPACTO BRUSHLESS"/>
    <n v="1"/>
    <s v="REALIZADO"/>
    <s v="KELLY"/>
    <x v="73"/>
    <x v="2"/>
    <x v="0"/>
  </r>
  <r>
    <n v="68708"/>
    <x v="13"/>
    <s v="MMG"/>
    <x v="0"/>
    <n v="50041195"/>
    <s v="PARAFUSADEIRA FUR DE IMPACTO BRUSHLESS"/>
    <n v="1"/>
    <s v="REALIZADO"/>
    <s v="GEOVANE"/>
    <x v="73"/>
    <x v="0"/>
    <x v="0"/>
  </r>
  <r>
    <n v="77526"/>
    <x v="37"/>
    <s v="MME"/>
    <x v="0"/>
    <n v="50041195"/>
    <s v="PARAFUSADEIRA FUR DE IMPACTO BRUSHLESS"/>
    <n v="1"/>
    <s v="REALIZADO"/>
    <s v="MARCIA"/>
    <x v="73"/>
    <x v="2"/>
    <x v="0"/>
  </r>
  <r>
    <n v="77526"/>
    <x v="37"/>
    <s v="MME"/>
    <x v="0"/>
    <n v="50041195"/>
    <s v="PARAFUSADEIRA FUR DE IMPACTO BRUSHLESS"/>
    <n v="1"/>
    <s v="REALIZADO"/>
    <s v="BRUNO"/>
    <x v="73"/>
    <x v="2"/>
    <x v="0"/>
  </r>
  <r>
    <n v="67505"/>
    <x v="104"/>
    <s v="MEE"/>
    <x v="0"/>
    <n v="50041195"/>
    <s v="PARAFUSADEIRA FUR DE IMPACTO BRUSHLESS"/>
    <n v="1"/>
    <s v="REALIZADO"/>
    <s v="MARINA"/>
    <x v="73"/>
    <x v="0"/>
    <x v="0"/>
  </r>
  <r>
    <n v="78886"/>
    <x v="51"/>
    <s v="MME"/>
    <x v="0"/>
    <n v="50043917"/>
    <s v="PARAFUSADEIRA FURADEIRA BOSCH"/>
    <n v="1"/>
    <s v="REALIZADO"/>
    <s v="BRUNO"/>
    <x v="73"/>
    <x v="2"/>
    <x v="0"/>
  </r>
  <r>
    <n v="78886"/>
    <x v="51"/>
    <s v="MME"/>
    <x v="0"/>
    <n v="50043917"/>
    <s v="PARAFUSADEIRA FURADEIRA BOSCH"/>
    <n v="1"/>
    <s v="REALIZADO"/>
    <s v="BRUNO"/>
    <x v="73"/>
    <x v="0"/>
    <x v="0"/>
  </r>
  <r>
    <n v="77526"/>
    <x v="37"/>
    <s v="MME"/>
    <x v="0"/>
    <n v="50032781"/>
    <s v="SERRA TICO TICO 650W DEWALT "/>
    <n v="1"/>
    <s v="REALIZADO"/>
    <s v="BRUNO"/>
    <x v="73"/>
    <x v="2"/>
    <x v="0"/>
  </r>
  <r>
    <n v="77526"/>
    <x v="37"/>
    <s v="MME"/>
    <x v="0"/>
    <n v="50032781"/>
    <s v="SERRA TICO TICO 650W DEWALT "/>
    <n v="1"/>
    <s v="REALIZADO"/>
    <s v="BRUNO"/>
    <x v="73"/>
    <x v="2"/>
    <x v="0"/>
  </r>
  <r>
    <n v="77708"/>
    <x v="69"/>
    <s v="MPR"/>
    <x v="0"/>
    <n v="50041194"/>
    <s v="TALHADEIRA MANUAL SEXTAVADA 300 X 25 MM"/>
    <n v="1"/>
    <s v="REALIZADO"/>
    <s v="BRUNO"/>
    <x v="73"/>
    <x v="2"/>
    <x v="0"/>
  </r>
  <r>
    <n v="77471"/>
    <x v="35"/>
    <s v="MEE"/>
    <x v="0"/>
    <n v="50037933"/>
    <s v="TERMOMETRO"/>
    <n v="1"/>
    <s v="REALIZADO"/>
    <s v="GEOVANE"/>
    <x v="73"/>
    <x v="2"/>
    <x v="0"/>
  </r>
  <r>
    <n v="79195"/>
    <x v="102"/>
    <n v="0"/>
    <x v="5"/>
    <n v="50036298"/>
    <s v="ASPIRADOR PARA SOLIDOS SEM FIO 20V"/>
    <n v="1"/>
    <s v="REALIZADO"/>
    <s v="GEOVANE"/>
    <x v="74"/>
    <x v="0"/>
    <x v="0"/>
  </r>
  <r>
    <n v="79195"/>
    <x v="102"/>
    <s v="MTC"/>
    <x v="2"/>
    <n v="50036298"/>
    <s v="ASPIRADOR PARA SOLIDOS SEM FIO 20V"/>
    <n v="1"/>
    <s v="REALIZADO"/>
    <s v="MARCIA"/>
    <x v="74"/>
    <x v="2"/>
    <x v="0"/>
  </r>
  <r>
    <n v="79195"/>
    <x v="102"/>
    <s v="MTC"/>
    <x v="2"/>
    <n v="50036298"/>
    <s v="ASPIRADOR PARA SOLIDOS SEM FIO 20V"/>
    <n v="1"/>
    <s v="REALIZADO"/>
    <s v="MARCIA"/>
    <x v="74"/>
    <x v="0"/>
    <x v="0"/>
  </r>
  <r>
    <n v="77526"/>
    <x v="37"/>
    <s v="MME"/>
    <x v="0"/>
    <n v="50039718"/>
    <s v="ESCALA DE ACO 1000MM VONDER "/>
    <n v="1"/>
    <s v="REALIZADO"/>
    <s v="MATHEUS"/>
    <x v="74"/>
    <x v="2"/>
    <x v="0"/>
  </r>
  <r>
    <n v="77526"/>
    <x v="37"/>
    <s v="MME"/>
    <x v="0"/>
    <n v="50039718"/>
    <s v="ESCALA DE ACO 1000MM VONDER "/>
    <n v="1"/>
    <s v="REALIZADO"/>
    <s v="MATHEUS"/>
    <x v="74"/>
    <x v="0"/>
    <x v="0"/>
  </r>
  <r>
    <n v="62471"/>
    <x v="9"/>
    <s v="MME"/>
    <x v="0"/>
    <n v="50030486"/>
    <s v="FURADEIRA BOSCH 3"/>
    <n v="1"/>
    <s v="REALIZADO"/>
    <s v="KELLY"/>
    <x v="74"/>
    <x v="2"/>
    <x v="0"/>
  </r>
  <r>
    <n v="62471"/>
    <x v="9"/>
    <s v="MME"/>
    <x v="0"/>
    <n v="50030486"/>
    <s v="FURADEIRA BOSCH 3"/>
    <n v="1"/>
    <s v="REALIZADO"/>
    <s v="MATHEUS"/>
    <x v="74"/>
    <x v="0"/>
    <x v="9"/>
  </r>
  <r>
    <n v="65910"/>
    <x v="7"/>
    <s v="MEE"/>
    <x v="0"/>
    <n v="50043471"/>
    <s v="FURADEIRA BOSCH 7"/>
    <n v="1"/>
    <s v="REALIZADO"/>
    <s v="GEOVANE"/>
    <x v="74"/>
    <x v="2"/>
    <x v="0"/>
  </r>
  <r>
    <n v="65910"/>
    <x v="7"/>
    <s v="MEE"/>
    <x v="0"/>
    <n v="50043471"/>
    <s v="FURADEIRA BOSCH 7"/>
    <n v="1"/>
    <s v="REALIZADO"/>
    <s v="MATHEUS"/>
    <x v="74"/>
    <x v="2"/>
    <x v="0"/>
  </r>
  <r>
    <n v="64053"/>
    <x v="91"/>
    <s v="MMG"/>
    <x v="4"/>
    <n v="50043471"/>
    <s v="FURADEIRA BOSCH 7"/>
    <n v="1"/>
    <s v="REALIZADO"/>
    <s v="FABRICIO"/>
    <x v="74"/>
    <x v="0"/>
    <x v="0"/>
  </r>
  <r>
    <n v="64053"/>
    <x v="91"/>
    <s v="MMG"/>
    <x v="4"/>
    <n v="50043471"/>
    <s v="FURADEIRA BOSCH 7"/>
    <n v="1"/>
    <s v="REALIZADO"/>
    <s v="FABRICIO"/>
    <x v="74"/>
    <x v="0"/>
    <x v="0"/>
  </r>
  <r>
    <n v="65131"/>
    <x v="41"/>
    <s v="MMG"/>
    <x v="3"/>
    <n v="50038549"/>
    <s v="JOGO SOQUETE ESTRIADOS 1/2 22PEÇ"/>
    <n v="1"/>
    <s v="REALIZADO"/>
    <s v="KELLY"/>
    <x v="74"/>
    <x v="0"/>
    <x v="0"/>
  </r>
  <r>
    <n v="66790"/>
    <x v="60"/>
    <s v="MMG"/>
    <x v="3"/>
    <n v="50038549"/>
    <s v="JOGO SOQUETE ESTRIADOS 1/2 22PEÇ"/>
    <n v="1"/>
    <s v="REALIZADO"/>
    <s v="KELLY"/>
    <x v="74"/>
    <x v="2"/>
    <x v="0"/>
  </r>
  <r>
    <n v="66790"/>
    <x v="60"/>
    <s v="MMG"/>
    <x v="3"/>
    <n v="50038549"/>
    <s v="JOGO SOQUETE ESTRIADOS 1/2 22PEÇ"/>
    <n v="1"/>
    <s v="REALIZADO"/>
    <s v="KELLY"/>
    <x v="74"/>
    <x v="2"/>
    <x v="0"/>
  </r>
  <r>
    <n v="65131"/>
    <x v="41"/>
    <s v="MMG"/>
    <x v="3"/>
    <n v="50038549"/>
    <s v="JOGO SOQUETE ESTRIADOS 1/2 22PEÇ"/>
    <n v="1"/>
    <s v="REALIZADO"/>
    <s v="KELLY"/>
    <x v="74"/>
    <x v="0"/>
    <x v="0"/>
  </r>
  <r>
    <n v="65910"/>
    <x v="7"/>
    <s v="MEE"/>
    <x v="0"/>
    <n v="50038956"/>
    <s v="LIXADEIRA BOSCH 1"/>
    <n v="1"/>
    <s v="REALIZADO"/>
    <s v="AGATHA"/>
    <x v="74"/>
    <x v="0"/>
    <x v="0"/>
  </r>
  <r>
    <n v="77471"/>
    <x v="35"/>
    <s v="MEE"/>
    <x v="0"/>
    <n v="50037892"/>
    <s v="LIXADEIRA BOSCH 2"/>
    <n v="1"/>
    <s v="REALIZADO"/>
    <s v="AGATHA"/>
    <x v="74"/>
    <x v="2"/>
    <x v="0"/>
  </r>
  <r>
    <n v="77471"/>
    <x v="35"/>
    <s v="MEE"/>
    <x v="0"/>
    <n v="50037892"/>
    <s v="LIXADEIRA BOSCH 2"/>
    <n v="1"/>
    <s v="REALIZADO"/>
    <s v="MATHEUS"/>
    <x v="74"/>
    <x v="2"/>
    <x v="0"/>
  </r>
  <r>
    <m/>
    <x v="106"/>
    <m/>
    <x v="1"/>
    <n v="50037892"/>
    <s v="LIXADEIRA BOSCH 2"/>
    <n v="1"/>
    <s v="REALIZADO"/>
    <s v="FABRICIO"/>
    <x v="74"/>
    <x v="0"/>
    <x v="0"/>
  </r>
  <r>
    <m/>
    <x v="106"/>
    <m/>
    <x v="1"/>
    <n v="50037892"/>
    <s v="LIXADEIRA BOSCH 2"/>
    <n v="1"/>
    <s v="REALIZADO"/>
    <s v="FABRICIO"/>
    <x v="74"/>
    <x v="0"/>
    <x v="0"/>
  </r>
  <r>
    <n v="62471"/>
    <x v="9"/>
    <s v="MME"/>
    <x v="0"/>
    <n v="50037902"/>
    <s v="LIXADEIRA BOSCH 3"/>
    <n v="1"/>
    <s v="REALIZADO"/>
    <s v="KELLY"/>
    <x v="74"/>
    <x v="2"/>
    <x v="0"/>
  </r>
  <r>
    <n v="62471"/>
    <x v="9"/>
    <s v="MME"/>
    <x v="0"/>
    <n v="50037902"/>
    <s v="LIXADEIRA BOSCH 3"/>
    <n v="1"/>
    <s v="REALIZADO"/>
    <s v="MATHEUS"/>
    <x v="74"/>
    <x v="0"/>
    <x v="0"/>
  </r>
  <r>
    <n v="74611"/>
    <x v="2"/>
    <s v="MPR"/>
    <x v="0"/>
    <n v="50038841"/>
    <s v="LIXADEIRA BOSCH 4"/>
    <n v="1"/>
    <s v="REALIZADO"/>
    <s v="KELLY"/>
    <x v="74"/>
    <x v="2"/>
    <x v="0"/>
  </r>
  <r>
    <n v="74611"/>
    <x v="2"/>
    <s v="MPR"/>
    <x v="0"/>
    <n v="50038841"/>
    <s v="LIXADEIRA BOSCH 4"/>
    <n v="1"/>
    <s v="REALIZADO"/>
    <s v="MATHEUS"/>
    <x v="74"/>
    <x v="0"/>
    <x v="0"/>
  </r>
  <r>
    <n v="77708"/>
    <x v="69"/>
    <s v="MPR"/>
    <x v="0"/>
    <n v="50038517"/>
    <s v="LIXADEIRA BOSCH 5"/>
    <n v="1"/>
    <s v="REALIZADO"/>
    <s v="GEOVANE"/>
    <x v="74"/>
    <x v="2"/>
    <x v="0"/>
  </r>
  <r>
    <n v="77708"/>
    <x v="69"/>
    <s v="MPR"/>
    <x v="0"/>
    <n v="50038517"/>
    <s v="LIXADEIRA BOSCH 5"/>
    <n v="1"/>
    <s v="REALIZADO"/>
    <s v="AGATHA"/>
    <x v="74"/>
    <x v="0"/>
    <x v="0"/>
  </r>
  <r>
    <n v="68708"/>
    <x v="13"/>
    <s v="MMG"/>
    <x v="0"/>
    <n v="50038517"/>
    <s v="LIXADEIRA BOSCH 5"/>
    <n v="1"/>
    <s v="REALIZADO"/>
    <s v="GEOVANE"/>
    <x v="74"/>
    <x v="2"/>
    <x v="0"/>
  </r>
  <r>
    <n v="68708"/>
    <x v="13"/>
    <s v="MMG"/>
    <x v="0"/>
    <n v="50038517"/>
    <s v="LIXADEIRA BOSCH 5"/>
    <n v="1"/>
    <s v="REALIZADO"/>
    <s v="GEOVANE"/>
    <x v="74"/>
    <x v="0"/>
    <x v="0"/>
  </r>
  <r>
    <n v="67915"/>
    <x v="52"/>
    <s v="MMG"/>
    <x v="2"/>
    <n v="50038517"/>
    <s v="LIXADEIRA BOSCH 5"/>
    <n v="1"/>
    <s v="REALIZADO"/>
    <s v="AGATHA"/>
    <x v="74"/>
    <x v="2"/>
    <x v="0"/>
  </r>
  <r>
    <n v="67915"/>
    <x v="52"/>
    <s v="MMG"/>
    <x v="2"/>
    <n v="50038517"/>
    <s v="LIXADEIRA BOSCH 5"/>
    <n v="1"/>
    <s v="REALIZADO"/>
    <s v="MATHEUS"/>
    <x v="74"/>
    <x v="0"/>
    <x v="0"/>
  </r>
  <r>
    <n v="65131"/>
    <x v="41"/>
    <s v="MMG"/>
    <x v="3"/>
    <n v="50037926"/>
    <s v="MACACO HIDRAULICO AZUL"/>
    <n v="1"/>
    <s v="REALIZADO"/>
    <s v="KELLY"/>
    <x v="74"/>
    <x v="2"/>
    <x v="0"/>
  </r>
  <r>
    <n v="65131"/>
    <x v="41"/>
    <s v="MMG"/>
    <x v="3"/>
    <n v="50037926"/>
    <s v="MACACO HIDRAULICO AZUL"/>
    <n v="1"/>
    <s v="REALIZADO"/>
    <s v="KELLY"/>
    <x v="74"/>
    <x v="0"/>
    <x v="0"/>
  </r>
  <r>
    <n v="63684"/>
    <x v="27"/>
    <s v="MME"/>
    <x v="2"/>
    <n v="50036297"/>
    <s v="MARRETA 4KG"/>
    <n v="1"/>
    <s v="REALIZADO"/>
    <s v="AGATHA"/>
    <x v="74"/>
    <x v="2"/>
    <x v="0"/>
  </r>
  <r>
    <n v="63684"/>
    <x v="27"/>
    <s v="MME"/>
    <x v="2"/>
    <n v="50036297"/>
    <s v="MARRETA 4KG"/>
    <n v="1"/>
    <s v="REALIZADO"/>
    <s v="MATHEUS"/>
    <x v="74"/>
    <x v="2"/>
    <x v="0"/>
  </r>
  <r>
    <n v="62471"/>
    <x v="9"/>
    <s v="MME"/>
    <x v="0"/>
    <n v="50038626"/>
    <s v="MARRETA 8KG"/>
    <n v="1"/>
    <s v="REALIZADO"/>
    <s v="MATHEUS"/>
    <x v="74"/>
    <x v="0"/>
    <x v="0"/>
  </r>
  <r>
    <n v="77526"/>
    <x v="37"/>
    <s v="MME"/>
    <x v="0"/>
    <n v="50041195"/>
    <s v="PARAFUSADEIRA FUR DE IMPACTO BRUSHLESS"/>
    <n v="1"/>
    <s v="REALIZADO"/>
    <s v="KELLY"/>
    <x v="74"/>
    <x v="2"/>
    <x v="0"/>
  </r>
  <r>
    <n v="77526"/>
    <x v="37"/>
    <s v="MME"/>
    <x v="0"/>
    <n v="50041195"/>
    <s v="PARAFUSADEIRA FUR DE IMPACTO BRUSHLESS"/>
    <n v="1"/>
    <s v="REALIZADO"/>
    <s v="MATHEUS"/>
    <x v="74"/>
    <x v="2"/>
    <x v="0"/>
  </r>
  <r>
    <n v="64074"/>
    <x v="75"/>
    <s v="MPR"/>
    <x v="0"/>
    <n v="50043917"/>
    <s v="PARAFUSADEIRA FURADEIRA BOSCH"/>
    <n v="1"/>
    <s v="REALIZADO"/>
    <s v="MATHEUS"/>
    <x v="74"/>
    <x v="0"/>
    <x v="0"/>
  </r>
  <r>
    <n v="62640"/>
    <x v="44"/>
    <s v="MPR"/>
    <x v="0"/>
    <n v="50038840"/>
    <s v="SERRA CIRCULAR MAKITA 4100NH2"/>
    <n v="1"/>
    <s v="REALIZADO"/>
    <s v="AGATHA"/>
    <x v="74"/>
    <x v="2"/>
    <x v="0"/>
  </r>
  <r>
    <n v="62640"/>
    <x v="44"/>
    <s v="MPR"/>
    <x v="0"/>
    <n v="50038840"/>
    <s v="SERRA CIRCULAR MAKITA 4100NH2"/>
    <n v="1"/>
    <s v="REALIZADO"/>
    <s v="MARCIA"/>
    <x v="74"/>
    <x v="0"/>
    <x v="0"/>
  </r>
  <r>
    <n v="64253"/>
    <x v="16"/>
    <s v="MMG"/>
    <x v="0"/>
    <n v="50037952"/>
    <s v="SUPORTE DE PAQUIMETRO - CALIBRAÇÃO MOLDADORA"/>
    <n v="1"/>
    <s v="REALIZADO"/>
    <s v="MATHEUS"/>
    <x v="74"/>
    <x v="2"/>
    <x v="0"/>
  </r>
  <r>
    <n v="64253"/>
    <x v="16"/>
    <s v="MMG"/>
    <x v="0"/>
    <n v="50037952"/>
    <s v="SUPORTE DE PAQUIMETRO - CALIBRAÇÃO MOLDADORA"/>
    <n v="1"/>
    <s v="REALIZADO"/>
    <s v="MATHEUS"/>
    <x v="74"/>
    <x v="0"/>
    <x v="0"/>
  </r>
  <r>
    <n v="65921"/>
    <x v="53"/>
    <s v="MME"/>
    <x v="3"/>
    <n v="50010031"/>
    <s v=" LIXADEIRA BOSCH 6"/>
    <n v="1"/>
    <s v="REALIZADO"/>
    <s v="KELLY"/>
    <x v="75"/>
    <x v="2"/>
    <x v="0"/>
  </r>
  <r>
    <n v="65921"/>
    <x v="53"/>
    <s v="MME"/>
    <x v="3"/>
    <n v="50010031"/>
    <s v=" LIXADEIRA BOSCH 6"/>
    <n v="1"/>
    <s v="REALIZADO"/>
    <s v="KELLY"/>
    <x v="75"/>
    <x v="0"/>
    <x v="0"/>
  </r>
  <r>
    <n v="96464"/>
    <x v="46"/>
    <s v="MEE"/>
    <x v="2"/>
    <n v="50038991"/>
    <s v="CAMERA TERMOGRAFICA"/>
    <n v="1"/>
    <s v="REALIZADO"/>
    <s v="GEOVANE"/>
    <x v="75"/>
    <x v="2"/>
    <x v="0"/>
  </r>
  <r>
    <n v="96464"/>
    <x v="46"/>
    <s v="MEE"/>
    <x v="2"/>
    <n v="50038991"/>
    <s v="CAMERA TERMOGRAFICA"/>
    <n v="1"/>
    <s v="REALIZADO"/>
    <s v="MATHEUS"/>
    <x v="75"/>
    <x v="0"/>
    <x v="0"/>
  </r>
  <r>
    <n v="64253"/>
    <x v="16"/>
    <s v="MMG"/>
    <x v="0"/>
    <n v="50036279"/>
    <s v="CHAVE GRIFO 36"/>
    <n v="1"/>
    <s v="REALIZADO"/>
    <s v="MARCIA"/>
    <x v="75"/>
    <x v="2"/>
    <x v="0"/>
  </r>
  <r>
    <n v="64253"/>
    <x v="16"/>
    <s v="MMG"/>
    <x v="0"/>
    <n v="50036279"/>
    <s v="CHAVE GRIFO 36"/>
    <n v="1"/>
    <s v="REALIZADO"/>
    <s v="BRUNA"/>
    <x v="75"/>
    <x v="0"/>
    <x v="0"/>
  </r>
  <r>
    <n v="78678"/>
    <x v="0"/>
    <s v="MME"/>
    <x v="0"/>
    <n v="50043471"/>
    <s v="FURADEIRA BOSCH 7"/>
    <n v="1"/>
    <s v="REALIZADO"/>
    <s v="MARCIA"/>
    <x v="75"/>
    <x v="2"/>
    <x v="0"/>
  </r>
  <r>
    <n v="78678"/>
    <x v="0"/>
    <s v="MME"/>
    <x v="0"/>
    <n v="50043471"/>
    <s v="FURADEIRA BOSCH 7"/>
    <n v="1"/>
    <s v="REALIZADO"/>
    <s v="MATHEUS"/>
    <x v="75"/>
    <x v="2"/>
    <x v="0"/>
  </r>
  <r>
    <n v="62896"/>
    <x v="33"/>
    <s v="MEE"/>
    <x v="0"/>
    <n v="50043320"/>
    <s v="JOGO SERRA COPO 8PÇS"/>
    <n v="1"/>
    <s v="REALIZADO"/>
    <s v="MATHEUS"/>
    <x v="75"/>
    <x v="2"/>
    <x v="0"/>
  </r>
  <r>
    <n v="62896"/>
    <x v="33"/>
    <s v="MEE"/>
    <x v="0"/>
    <n v="50041195"/>
    <s v="PARAFUSADEIRA FUR DE IMPACTO BRUSHLESS"/>
    <n v="1"/>
    <s v="REALIZADO"/>
    <s v="MATHEUS"/>
    <x v="75"/>
    <x v="2"/>
    <x v="0"/>
  </r>
  <r>
    <n v="62180"/>
    <x v="18"/>
    <s v="MMG"/>
    <x v="0"/>
    <n v="50041195"/>
    <s v="PARAFUSADEIRA FUR DE IMPACTO BRUSHLESS"/>
    <n v="1"/>
    <s v="REALIZADO"/>
    <s v="MATHEUS"/>
    <x v="75"/>
    <x v="2"/>
    <x v="0"/>
  </r>
  <r>
    <n v="72707"/>
    <x v="59"/>
    <s v="MPR"/>
    <x v="0"/>
    <n v="50043917"/>
    <s v="PARAFUSADEIRA FURADEIRA BOSCH"/>
    <n v="1"/>
    <s v="REALIZADO"/>
    <s v="GEOVANE"/>
    <x v="75"/>
    <x v="0"/>
    <x v="0"/>
  </r>
  <r>
    <n v="60763"/>
    <x v="57"/>
    <s v="MMG"/>
    <x v="2"/>
    <n v="50020622"/>
    <s v="REBITADOR MANUAL"/>
    <n v="1"/>
    <s v="REALIZADO"/>
    <s v="MARCIA"/>
    <x v="75"/>
    <x v="2"/>
    <x v="0"/>
  </r>
  <r>
    <n v="60763"/>
    <x v="57"/>
    <s v="MMG"/>
    <x v="2"/>
    <n v="50020622"/>
    <s v="REBITADOR MANUAL"/>
    <n v="1"/>
    <s v="REALIZADO"/>
    <s v="MATHEUS"/>
    <x v="75"/>
    <x v="0"/>
    <x v="0"/>
  </r>
  <r>
    <n v="62471"/>
    <x v="9"/>
    <s v="MME"/>
    <x v="0"/>
    <n v="50012902"/>
    <s v="SACA POLIA 03 GARRAS 250 MM GEDORE"/>
    <n v="1"/>
    <s v="REALIZADO"/>
    <s v="GEOVANE"/>
    <x v="75"/>
    <x v="2"/>
    <x v="0"/>
  </r>
  <r>
    <n v="62471"/>
    <x v="9"/>
    <s v="MME"/>
    <x v="0"/>
    <n v="50012902"/>
    <s v="SACA POLIA 03 GARRAS 250 MM GEDORE"/>
    <n v="1"/>
    <s v="REALIZADO"/>
    <s v="AGATHA"/>
    <x v="75"/>
    <x v="0"/>
    <x v="0"/>
  </r>
  <r>
    <n v="77313"/>
    <x v="17"/>
    <s v="MPR"/>
    <x v="0"/>
    <n v="50010031"/>
    <s v=" LIXADEIRA BOSCH 6"/>
    <n v="1"/>
    <s v="REALIZADO"/>
    <s v="BRUNO"/>
    <x v="76"/>
    <x v="2"/>
    <x v="9"/>
  </r>
  <r>
    <n v="77313"/>
    <x v="17"/>
    <s v="MPR"/>
    <x v="0"/>
    <n v="50010031"/>
    <s v=" LIXADEIRA BOSCH 6"/>
    <n v="1"/>
    <s v="REALIZADO"/>
    <s v="BRUNO"/>
    <x v="76"/>
    <x v="0"/>
    <x v="0"/>
  </r>
  <r>
    <n v="64253"/>
    <x v="16"/>
    <s v="MMG"/>
    <x v="0"/>
    <n v="50036086"/>
    <s v="CHAVE GRIFO 18"/>
    <n v="1"/>
    <s v="REALIZADO"/>
    <s v="BRUNO"/>
    <x v="76"/>
    <x v="2"/>
    <x v="0"/>
  </r>
  <r>
    <n v="64253"/>
    <x v="16"/>
    <s v="MMG"/>
    <x v="0"/>
    <n v="50036086"/>
    <s v="CHAVE GRIFO 18"/>
    <n v="1"/>
    <s v="REALIZADO"/>
    <s v="BRUNO"/>
    <x v="76"/>
    <x v="0"/>
    <x v="0"/>
  </r>
  <r>
    <n v="62180"/>
    <x v="18"/>
    <s v="MMG"/>
    <x v="0"/>
    <n v="50037905"/>
    <s v="ESTETOSCÓPIO SKF"/>
    <n v="1"/>
    <s v="REALIZADO"/>
    <s v="BRUNO"/>
    <x v="76"/>
    <x v="2"/>
    <x v="0"/>
  </r>
  <r>
    <n v="62180"/>
    <x v="18"/>
    <s v="MMG"/>
    <x v="0"/>
    <n v="50037905"/>
    <s v="ESTETOSCÓPIO SKF"/>
    <n v="1"/>
    <s v="REALIZADO"/>
    <s v="BRUNO"/>
    <x v="76"/>
    <x v="0"/>
    <x v="0"/>
  </r>
  <r>
    <n v="77313"/>
    <x v="17"/>
    <s v="MPR"/>
    <x v="0"/>
    <n v="50003297"/>
    <s v="FURADEIRA DE IMPACTO MAKITA 02"/>
    <n v="1"/>
    <s v="REALIZADO"/>
    <s v="BRUNO"/>
    <x v="76"/>
    <x v="2"/>
    <x v="0"/>
  </r>
  <r>
    <n v="77313"/>
    <x v="17"/>
    <s v="MPR"/>
    <x v="0"/>
    <n v="50003297"/>
    <s v="FURADEIRA DE IMPACTO MAKITA 02"/>
    <n v="1"/>
    <s v="REALIZADO"/>
    <s v="BRUNO"/>
    <x v="76"/>
    <x v="0"/>
    <x v="0"/>
  </r>
  <r>
    <n v="74611"/>
    <x v="2"/>
    <s v="MPR"/>
    <x v="0"/>
    <n v="50029865"/>
    <s v="JOGO DE BROCAS ACO RAPIDO"/>
    <n v="1"/>
    <s v="REALIZADO"/>
    <s v="AGATHA"/>
    <x v="76"/>
    <x v="2"/>
    <x v="0"/>
  </r>
  <r>
    <n v="74611"/>
    <x v="2"/>
    <s v="MPR"/>
    <x v="0"/>
    <n v="50029865"/>
    <s v="JOGO DE BROCAS ACO RAPIDO"/>
    <n v="1"/>
    <s v="REALIZADO"/>
    <s v="AGATHA"/>
    <x v="76"/>
    <x v="0"/>
    <x v="0"/>
  </r>
  <r>
    <n v="62896"/>
    <x v="33"/>
    <s v="MEE"/>
    <x v="0"/>
    <n v="50043320"/>
    <s v="JOGO SERRA COPO 8PÇS"/>
    <n v="1"/>
    <s v="REALIZADO"/>
    <s v="BRUNO"/>
    <x v="76"/>
    <x v="2"/>
    <x v="0"/>
  </r>
  <r>
    <n v="62896"/>
    <x v="33"/>
    <s v="MEE"/>
    <x v="0"/>
    <n v="50043320"/>
    <s v="JOGO SERRA COPO 8PÇS"/>
    <n v="1"/>
    <s v="REALIZADO"/>
    <s v="BRUNO"/>
    <x v="76"/>
    <x v="0"/>
    <x v="0"/>
  </r>
  <r>
    <n v="70105"/>
    <x v="25"/>
    <s v="MMG"/>
    <x v="3"/>
    <n v="50022878"/>
    <s v="KIT MONTAGEM ROLAMENTO SKF"/>
    <n v="1"/>
    <s v="REALIZADO"/>
    <s v="MARCIA"/>
    <x v="76"/>
    <x v="2"/>
    <x v="0"/>
  </r>
  <r>
    <n v="70105"/>
    <x v="25"/>
    <s v="MMG"/>
    <x v="3"/>
    <n v="50022878"/>
    <s v="KIT MONTAGEM ROLAMENTO SKF"/>
    <n v="1"/>
    <s v="REALIZADO"/>
    <s v="BRUNO"/>
    <x v="76"/>
    <x v="0"/>
    <x v="0"/>
  </r>
  <r>
    <n v="64253"/>
    <x v="16"/>
    <s v="MMG"/>
    <x v="0"/>
    <n v="50038956"/>
    <s v="LIXADEIRA BOSCH 1"/>
    <n v="1"/>
    <s v="REALIZADO"/>
    <s v="AGATHA"/>
    <x v="76"/>
    <x v="2"/>
    <x v="0"/>
  </r>
  <r>
    <n v="64253"/>
    <x v="16"/>
    <s v="MMG"/>
    <x v="0"/>
    <n v="50038956"/>
    <s v="LIXADEIRA BOSCH 1"/>
    <n v="1"/>
    <s v="REALIZADO"/>
    <s v="AGATHA"/>
    <x v="76"/>
    <x v="2"/>
    <x v="0"/>
  </r>
  <r>
    <n v="77526"/>
    <x v="37"/>
    <s v="MME"/>
    <x v="0"/>
    <n v="50038956"/>
    <s v="LIXADEIRA BOSCH 1"/>
    <n v="1"/>
    <s v="REALIZADO"/>
    <s v="BRUNO"/>
    <x v="76"/>
    <x v="0"/>
    <x v="0"/>
  </r>
  <r>
    <n v="78675"/>
    <x v="12"/>
    <s v="MME"/>
    <x v="2"/>
    <n v="50038956"/>
    <s v="LIXADEIRA BOSCH 1"/>
    <n v="1"/>
    <s v="REALIZADO"/>
    <s v="BRUNO"/>
    <x v="76"/>
    <x v="2"/>
    <x v="0"/>
  </r>
  <r>
    <n v="78675"/>
    <x v="12"/>
    <s v="MME"/>
    <x v="2"/>
    <n v="50038956"/>
    <s v="LIXADEIRA BOSCH 1"/>
    <n v="1"/>
    <s v="REALIZADO"/>
    <s v="BRUNO"/>
    <x v="76"/>
    <x v="0"/>
    <x v="10"/>
  </r>
  <r>
    <n v="63713"/>
    <x v="67"/>
    <s v="MME"/>
    <x v="0"/>
    <n v="50038841"/>
    <s v="LIXADEIRA BOSCH 4"/>
    <n v="1"/>
    <s v="REALIZADO"/>
    <s v="AGATHA"/>
    <x v="76"/>
    <x v="2"/>
    <x v="0"/>
  </r>
  <r>
    <n v="63713"/>
    <x v="67"/>
    <s v="MME"/>
    <x v="0"/>
    <n v="50038841"/>
    <s v="LIXADEIRA BOSCH 4"/>
    <n v="1"/>
    <s v="REALIZADO"/>
    <s v="MARCIA"/>
    <x v="76"/>
    <x v="0"/>
    <x v="0"/>
  </r>
  <r>
    <n v="76633"/>
    <x v="62"/>
    <s v="MMG"/>
    <x v="2"/>
    <n v="50038841"/>
    <s v="LIXADEIRA BOSCH 4"/>
    <n v="1"/>
    <s v="REALIZADO"/>
    <s v="BRUNO"/>
    <x v="76"/>
    <x v="2"/>
    <x v="0"/>
  </r>
  <r>
    <n v="76633"/>
    <x v="62"/>
    <s v="MMG"/>
    <x v="2"/>
    <n v="50038841"/>
    <s v="LIXADEIRA BOSCH 4"/>
    <n v="1"/>
    <s v="REALIZADO"/>
    <s v="BRUNO"/>
    <x v="76"/>
    <x v="0"/>
    <x v="0"/>
  </r>
  <r>
    <n v="64074"/>
    <x v="75"/>
    <s v="MPR"/>
    <x v="0"/>
    <n v="50038841"/>
    <s v="LIXADEIRA BOSCH 4"/>
    <n v="1"/>
    <s v="REALIZADO"/>
    <s v="BRUNO"/>
    <x v="76"/>
    <x v="2"/>
    <x v="0"/>
  </r>
  <r>
    <n v="64074"/>
    <x v="75"/>
    <s v="MPR"/>
    <x v="0"/>
    <n v="50038841"/>
    <s v="LIXADEIRA BOSCH 4"/>
    <n v="1"/>
    <s v="REALIZADO"/>
    <s v="BRUNO"/>
    <x v="76"/>
    <x v="0"/>
    <x v="0"/>
  </r>
  <r>
    <n v="63770"/>
    <x v="36"/>
    <s v="MMG"/>
    <x v="0"/>
    <n v="50038517"/>
    <s v="LIXADEIRA BOSCH 5"/>
    <n v="1"/>
    <s v="REALIZADO"/>
    <s v="AGATHA"/>
    <x v="76"/>
    <x v="2"/>
    <x v="0"/>
  </r>
  <r>
    <n v="63770"/>
    <x v="36"/>
    <s v="MMG"/>
    <x v="0"/>
    <n v="50038517"/>
    <s v="LIXADEIRA BOSCH 5"/>
    <n v="1"/>
    <s v="REALIZADO"/>
    <s v="BRUNO"/>
    <x v="76"/>
    <x v="0"/>
    <x v="0"/>
  </r>
  <r>
    <n v="78675"/>
    <x v="12"/>
    <s v="MME"/>
    <x v="2"/>
    <n v="50039065"/>
    <s v="MAQUINA SOLDA TIG"/>
    <n v="1"/>
    <s v="REALIZADO"/>
    <s v="BRUNO"/>
    <x v="76"/>
    <x v="2"/>
    <x v="0"/>
  </r>
  <r>
    <n v="78675"/>
    <x v="12"/>
    <s v="MME"/>
    <x v="2"/>
    <n v="50039065"/>
    <s v="MAQUINA SOLDA TIG"/>
    <n v="1"/>
    <s v="REALIZADO"/>
    <s v="BRUNO"/>
    <x v="76"/>
    <x v="0"/>
    <x v="0"/>
  </r>
  <r>
    <n v="76633"/>
    <x v="62"/>
    <s v="MMG"/>
    <x v="2"/>
    <n v="50039065"/>
    <s v="MAQUINA SOLDA TIG"/>
    <n v="1"/>
    <s v="REALIZADO"/>
    <s v="BRUNO"/>
    <x v="76"/>
    <x v="2"/>
    <x v="0"/>
  </r>
  <r>
    <n v="76633"/>
    <x v="62"/>
    <s v="MMG"/>
    <x v="2"/>
    <n v="50039065"/>
    <s v="MAQUINA SOLDA TIG"/>
    <n v="1"/>
    <s v="REALIZADO"/>
    <s v="BRUNO"/>
    <x v="76"/>
    <x v="0"/>
    <x v="0"/>
  </r>
  <r>
    <n v="64074"/>
    <x v="75"/>
    <s v="MPR"/>
    <x v="0"/>
    <n v="50041195"/>
    <s v="PARAFUSADEIRA FUR DE IMPACTO BRUSHLESS"/>
    <n v="1"/>
    <s v="REALIZADO"/>
    <s v="AGATHA"/>
    <x v="76"/>
    <x v="2"/>
    <x v="0"/>
  </r>
  <r>
    <n v="64074"/>
    <x v="75"/>
    <s v="MPR"/>
    <x v="0"/>
    <n v="50041195"/>
    <s v="PARAFUSADEIRA FUR DE IMPACTO BRUSHLESS"/>
    <n v="1"/>
    <s v="REALIZADO"/>
    <s v="BRUNO"/>
    <x v="76"/>
    <x v="0"/>
    <x v="0"/>
  </r>
  <r>
    <n v="74611"/>
    <x v="2"/>
    <s v="MPR"/>
    <x v="0"/>
    <n v="50043917"/>
    <s v="PARAFUSADEIRA FURADEIRA BOSCH"/>
    <n v="1"/>
    <s v="REALIZADO"/>
    <s v="AGATHA"/>
    <x v="76"/>
    <x v="2"/>
    <x v="0"/>
  </r>
  <r>
    <n v="74611"/>
    <x v="2"/>
    <s v="MPR"/>
    <x v="0"/>
    <n v="50043917"/>
    <s v="PARAFUSADEIRA FURADEIRA BOSCH"/>
    <n v="1"/>
    <s v="REALIZADO"/>
    <s v="AGATHA"/>
    <x v="76"/>
    <x v="0"/>
    <x v="0"/>
  </r>
  <r>
    <n v="62896"/>
    <x v="33"/>
    <s v="MEE"/>
    <x v="0"/>
    <n v="50043917"/>
    <s v="PARAFUSADEIRA FURADEIRA BOSCH"/>
    <n v="1"/>
    <s v="REALIZADO"/>
    <s v="BRUNO"/>
    <x v="76"/>
    <x v="2"/>
    <x v="0"/>
  </r>
  <r>
    <n v="62896"/>
    <x v="33"/>
    <s v="MEE"/>
    <x v="0"/>
    <n v="50043917"/>
    <s v="PARAFUSADEIRA FURADEIRA BOSCH"/>
    <n v="1"/>
    <s v="REALIZADO"/>
    <s v="BRUNO"/>
    <x v="76"/>
    <x v="0"/>
    <x v="0"/>
  </r>
  <r>
    <n v="77313"/>
    <x v="17"/>
    <s v="MPR"/>
    <x v="0"/>
    <n v="50020622"/>
    <s v="REBITADOR MANUAL"/>
    <n v="1"/>
    <s v="REALIZADO"/>
    <s v="BRUNO"/>
    <x v="76"/>
    <x v="0"/>
    <x v="0"/>
  </r>
  <r>
    <n v="64074"/>
    <x v="75"/>
    <s v="MPR"/>
    <x v="0"/>
    <n v="50020622"/>
    <s v="REBITADOR MANUAL"/>
    <n v="1"/>
    <s v="REALIZADO"/>
    <s v="BRUNO"/>
    <x v="76"/>
    <x v="2"/>
    <x v="0"/>
  </r>
  <r>
    <n v="64074"/>
    <x v="75"/>
    <s v="MPR"/>
    <x v="0"/>
    <n v="50020622"/>
    <s v="REBITADOR MANUAL"/>
    <n v="1"/>
    <s v="REALIZADO"/>
    <s v="BRUNO"/>
    <x v="76"/>
    <x v="0"/>
    <x v="0"/>
  </r>
  <r>
    <n v="65910"/>
    <x v="7"/>
    <s v="MEE"/>
    <x v="0"/>
    <n v="50012903"/>
    <s v="SACA POLIA 02 GARRAS 250MM GEDORE"/>
    <n v="1"/>
    <s v="REALIZADO"/>
    <s v="BRUNO"/>
    <x v="76"/>
    <x v="2"/>
    <x v="0"/>
  </r>
  <r>
    <n v="65910"/>
    <x v="7"/>
    <s v="MEE"/>
    <x v="0"/>
    <n v="50012903"/>
    <s v="SACA POLIA 02 GARRAS 250MM GEDORE"/>
    <n v="1"/>
    <s v="REALIZADO"/>
    <s v="BRUNO"/>
    <x v="76"/>
    <x v="0"/>
    <x v="0"/>
  </r>
  <r>
    <n v="65910"/>
    <x v="7"/>
    <s v="MEE"/>
    <x v="0"/>
    <n v="50012902"/>
    <s v="SACA POLIA 03 GARRAS 250 MM GEDORE"/>
    <n v="1"/>
    <s v="REALIZADO"/>
    <s v="BRUNO"/>
    <x v="76"/>
    <x v="2"/>
    <x v="0"/>
  </r>
  <r>
    <n v="65910"/>
    <x v="7"/>
    <s v="MEE"/>
    <x v="0"/>
    <n v="50012902"/>
    <s v="SACA POLIA 03 GARRAS 250 MM GEDORE"/>
    <n v="1"/>
    <s v="REALIZADO"/>
    <s v="BRUNO"/>
    <x v="76"/>
    <x v="0"/>
    <x v="0"/>
  </r>
  <r>
    <n v="74611"/>
    <x v="2"/>
    <s v="MPR"/>
    <x v="0"/>
    <n v="50038845"/>
    <s v="SERRA CIRCULAR "/>
    <n v="1"/>
    <s v="REALIZADO"/>
    <s v="AGATHA"/>
    <x v="76"/>
    <x v="2"/>
    <x v="0"/>
  </r>
  <r>
    <n v="74611"/>
    <x v="2"/>
    <s v="MPR"/>
    <x v="0"/>
    <n v="50038845"/>
    <s v="SERRA CIRCULAR "/>
    <n v="1"/>
    <s v="REALIZADO"/>
    <s v="AGATHA"/>
    <x v="76"/>
    <x v="0"/>
    <x v="0"/>
  </r>
  <r>
    <n v="74611"/>
    <x v="2"/>
    <s v="MPR"/>
    <x v="0"/>
    <n v="50038840"/>
    <s v="SERRA CIRCULAR MAKITA 4100NH2"/>
    <n v="1"/>
    <s v="REALIZADO"/>
    <s v="BRUNO"/>
    <x v="76"/>
    <x v="2"/>
    <x v="0"/>
  </r>
  <r>
    <n v="74611"/>
    <x v="2"/>
    <s v="MPR"/>
    <x v="0"/>
    <n v="50038840"/>
    <s v="SERRA CIRCULAR MAKITA 4100NH2"/>
    <n v="1"/>
    <s v="REALIZADO"/>
    <s v="BRUNO"/>
    <x v="76"/>
    <x v="0"/>
    <x v="0"/>
  </r>
  <r>
    <n v="62640"/>
    <x v="44"/>
    <s v="MPR"/>
    <x v="0"/>
    <n v="50032781"/>
    <s v="SERRA TICO TICO 650W DEWALT "/>
    <n v="1"/>
    <s v="REALIZADO"/>
    <s v="BRUNO"/>
    <x v="76"/>
    <x v="2"/>
    <x v="0"/>
  </r>
  <r>
    <n v="62640"/>
    <x v="44"/>
    <s v="MPR"/>
    <x v="0"/>
    <n v="50032781"/>
    <s v="SERRA TICO TICO 650W DEWALT "/>
    <n v="1"/>
    <s v="REALIZADO"/>
    <s v="BRUNO"/>
    <x v="76"/>
    <x v="0"/>
    <x v="0"/>
  </r>
  <r>
    <n v="60953"/>
    <x v="71"/>
    <s v="MMG"/>
    <x v="2"/>
    <n v="50037933"/>
    <s v="TERMOMETRO"/>
    <n v="1"/>
    <s v="REALIZADO"/>
    <s v="MARCIA"/>
    <x v="76"/>
    <x v="2"/>
    <x v="0"/>
  </r>
  <r>
    <n v="60953"/>
    <x v="71"/>
    <s v="MMG"/>
    <x v="2"/>
    <n v="50037933"/>
    <s v="TERMOMETRO"/>
    <n v="1"/>
    <s v="REALIZADO"/>
    <s v="MARCIA"/>
    <x v="76"/>
    <x v="0"/>
    <x v="0"/>
  </r>
  <r>
    <n v="62640"/>
    <x v="44"/>
    <s v="MPR"/>
    <x v="0"/>
    <n v="50029865"/>
    <s v="JOGO DE BROCAS ACO RAPIDO"/>
    <n v="1"/>
    <s v="REALIZADO"/>
    <s v="AGATHA"/>
    <x v="77"/>
    <x v="2"/>
    <x v="0"/>
  </r>
  <r>
    <n v="62640"/>
    <x v="44"/>
    <s v="MPR"/>
    <x v="0"/>
    <n v="50029865"/>
    <s v="JOGO DE BROCAS ACO RAPIDO"/>
    <n v="1"/>
    <s v="REALIZADO"/>
    <s v="BRUNO"/>
    <x v="77"/>
    <x v="0"/>
    <x v="0"/>
  </r>
  <r>
    <n v="66790"/>
    <x v="60"/>
    <s v="MMG"/>
    <x v="3"/>
    <n v="50038549"/>
    <s v="JOGO SOQUETE ESTRIADOS 1/2 22PEÇ"/>
    <n v="1"/>
    <s v="REALIZADO"/>
    <s v="KELLY"/>
    <x v="77"/>
    <x v="2"/>
    <x v="0"/>
  </r>
  <r>
    <n v="66790"/>
    <x v="60"/>
    <s v="MMG"/>
    <x v="3"/>
    <n v="50038549"/>
    <s v="JOGO SOQUETE ESTRIADOS 1/2 22PEÇ"/>
    <n v="1"/>
    <s v="REALIZADO"/>
    <s v="KELLY"/>
    <x v="77"/>
    <x v="0"/>
    <x v="0"/>
  </r>
  <r>
    <n v="63770"/>
    <x v="36"/>
    <s v="MMG"/>
    <x v="0"/>
    <n v="50038549"/>
    <s v="JOGO SOQUETE ESTRIADOS 1/2 22PEÇ"/>
    <n v="1"/>
    <s v="REALIZADO"/>
    <s v="AGATHA"/>
    <x v="77"/>
    <x v="2"/>
    <x v="0"/>
  </r>
  <r>
    <n v="63770"/>
    <x v="36"/>
    <s v="MMG"/>
    <x v="0"/>
    <n v="50038549"/>
    <s v="JOGO SOQUETE ESTRIADOS 1/2 22PEÇ"/>
    <n v="1"/>
    <s v="REALIZADO"/>
    <s v="BRUNO"/>
    <x v="77"/>
    <x v="0"/>
    <x v="0"/>
  </r>
  <r>
    <n v="49751"/>
    <x v="81"/>
    <s v="MEE"/>
    <x v="4"/>
    <n v="50038549"/>
    <s v="JOGO SOQUETE ESTRIADOS 1/2 22PEÇ"/>
    <n v="1"/>
    <s v="REALIZADO"/>
    <s v="BRUNO"/>
    <x v="77"/>
    <x v="2"/>
    <x v="0"/>
  </r>
  <r>
    <n v="49751"/>
    <x v="81"/>
    <s v="MEE"/>
    <x v="4"/>
    <n v="50038549"/>
    <s v="JOGO SOQUETE ESTRIADOS 1/2 22PEÇ"/>
    <n v="1"/>
    <s v="REALIZADO"/>
    <s v="BRUNO"/>
    <x v="77"/>
    <x v="0"/>
    <x v="0"/>
  </r>
  <r>
    <n v="78886"/>
    <x v="51"/>
    <s v="MME"/>
    <x v="0"/>
    <n v="50038956"/>
    <s v="LIXADEIRA BOSCH 1"/>
    <n v="1"/>
    <s v="REALIZADO"/>
    <s v="KELLY"/>
    <x v="77"/>
    <x v="2"/>
    <x v="0"/>
  </r>
  <r>
    <n v="78886"/>
    <x v="51"/>
    <s v="MME"/>
    <x v="0"/>
    <n v="50038956"/>
    <s v="LIXADEIRA BOSCH 1"/>
    <n v="1"/>
    <s v="REALIZADO"/>
    <s v="GEOVANE"/>
    <x v="77"/>
    <x v="0"/>
    <x v="0"/>
  </r>
  <r>
    <n v="76994"/>
    <x v="8"/>
    <s v="MEE"/>
    <x v="0"/>
    <n v="50037892"/>
    <s v="LIXADEIRA BOSCH 2"/>
    <n v="1"/>
    <s v="REALIZADO"/>
    <s v="KELLY"/>
    <x v="77"/>
    <x v="2"/>
    <x v="0"/>
  </r>
  <r>
    <n v="76994"/>
    <x v="8"/>
    <s v="MEE"/>
    <x v="0"/>
    <n v="50037892"/>
    <s v="LIXADEIRA BOSCH 2"/>
    <n v="1"/>
    <s v="REALIZADO"/>
    <s v="BRUNO"/>
    <x v="77"/>
    <x v="0"/>
    <x v="0"/>
  </r>
  <r>
    <n v="63770"/>
    <x v="36"/>
    <s v="MMG"/>
    <x v="0"/>
    <n v="50037902"/>
    <s v="LIXADEIRA BOSCH 3"/>
    <n v="1"/>
    <s v="REALIZADO"/>
    <s v="AGATHA"/>
    <x v="77"/>
    <x v="2"/>
    <x v="0"/>
  </r>
  <r>
    <n v="63770"/>
    <x v="36"/>
    <s v="MMG"/>
    <x v="0"/>
    <n v="50037902"/>
    <s v="LIXADEIRA BOSCH 3"/>
    <n v="1"/>
    <s v="REALIZADO"/>
    <s v="BRUNO"/>
    <x v="77"/>
    <x v="0"/>
    <x v="9"/>
  </r>
  <r>
    <n v="67915"/>
    <x v="52"/>
    <s v="MMG"/>
    <x v="2"/>
    <n v="50038841"/>
    <s v="LIXADEIRA BOSCH 4"/>
    <n v="1"/>
    <s v="REALIZADO"/>
    <s v="BRUNO"/>
    <x v="77"/>
    <x v="2"/>
    <x v="0"/>
  </r>
  <r>
    <n v="67915"/>
    <x v="52"/>
    <s v="MMG"/>
    <x v="2"/>
    <n v="50038841"/>
    <s v="LIXADEIRA BOSCH 4"/>
    <n v="1"/>
    <s v="REALIZADO"/>
    <s v="BRUNO"/>
    <x v="77"/>
    <x v="0"/>
    <x v="0"/>
  </r>
  <r>
    <n v="60953"/>
    <x v="71"/>
    <s v="MMG"/>
    <x v="2"/>
    <n v="50041653"/>
    <s v="MICROMETRO INTERNO - EXTRUSORA"/>
    <n v="1"/>
    <s v="REALIZADO"/>
    <s v="AGATHA"/>
    <x v="77"/>
    <x v="2"/>
    <x v="0"/>
  </r>
  <r>
    <n v="60953"/>
    <x v="71"/>
    <s v="MMG"/>
    <x v="2"/>
    <n v="50041653"/>
    <s v="MICROMETRO INTERNO - EXTRUSORA"/>
    <n v="1"/>
    <s v="REALIZADO"/>
    <s v="BRUNO"/>
    <x v="77"/>
    <x v="0"/>
    <x v="0"/>
  </r>
  <r>
    <n v="67100"/>
    <x v="95"/>
    <s v="MMG"/>
    <x v="3"/>
    <n v="50041195"/>
    <s v="PARAFUSADEIRA FUR DE IMPACTO BRUSHLESS"/>
    <n v="1"/>
    <s v="REALIZADO"/>
    <s v="KELLY"/>
    <x v="77"/>
    <x v="2"/>
    <x v="0"/>
  </r>
  <r>
    <n v="67100"/>
    <x v="95"/>
    <s v="MMG"/>
    <x v="3"/>
    <n v="50041195"/>
    <s v="PARAFUSADEIRA FUR DE IMPACTO BRUSHLESS"/>
    <n v="1"/>
    <s v="REALIZADO"/>
    <s v="KELLY"/>
    <x v="77"/>
    <x v="0"/>
    <x v="0"/>
  </r>
  <r>
    <n v="72707"/>
    <x v="59"/>
    <s v="MPR"/>
    <x v="0"/>
    <n v="50041195"/>
    <s v="PARAFUSADEIRA FUR DE IMPACTO BRUSHLESS"/>
    <n v="1"/>
    <s v="REALIZADO"/>
    <s v="GEOVANE"/>
    <x v="77"/>
    <x v="2"/>
    <x v="0"/>
  </r>
  <r>
    <n v="72707"/>
    <x v="59"/>
    <s v="MPR"/>
    <x v="0"/>
    <n v="50041195"/>
    <s v="PARAFUSADEIRA FUR DE IMPACTO BRUSHLESS"/>
    <n v="1"/>
    <s v="REALIZADO"/>
    <s v="GEOVANE"/>
    <x v="77"/>
    <x v="0"/>
    <x v="0"/>
  </r>
  <r>
    <n v="62640"/>
    <x v="44"/>
    <s v="MPR"/>
    <x v="0"/>
    <n v="50041195"/>
    <s v="PARAFUSADEIRA FUR DE IMPACTO BRUSHLESS"/>
    <n v="1"/>
    <s v="REALIZADO"/>
    <s v="AGATHA"/>
    <x v="77"/>
    <x v="2"/>
    <x v="0"/>
  </r>
  <r>
    <n v="62640"/>
    <x v="44"/>
    <s v="MPR"/>
    <x v="0"/>
    <n v="50041195"/>
    <s v="PARAFUSADEIRA FUR DE IMPACTO BRUSHLESS"/>
    <n v="1"/>
    <s v="REALIZADO"/>
    <s v="BRUNO"/>
    <x v="77"/>
    <x v="0"/>
    <x v="0"/>
  </r>
  <r>
    <n v="62180"/>
    <x v="18"/>
    <s v="MMG"/>
    <x v="0"/>
    <n v="50041195"/>
    <s v="PARAFUSADEIRA FUR DE IMPACTO BRUSHLESS"/>
    <n v="1"/>
    <s v="REALIZADO"/>
    <s v="BRUNO"/>
    <x v="77"/>
    <x v="2"/>
    <x v="0"/>
  </r>
  <r>
    <n v="62180"/>
    <x v="18"/>
    <s v="MMG"/>
    <x v="0"/>
    <n v="50041195"/>
    <s v="PARAFUSADEIRA FUR DE IMPACTO BRUSHLESS"/>
    <n v="1"/>
    <s v="REALIZADO"/>
    <s v="BRUNO"/>
    <x v="77"/>
    <x v="0"/>
    <x v="0"/>
  </r>
  <r>
    <n v="67100"/>
    <x v="95"/>
    <s v="MMG"/>
    <x v="3"/>
    <n v="50043917"/>
    <s v="PARAFUSADEIRA FURADEIRA BOSCH"/>
    <n v="1"/>
    <s v="REALIZADO"/>
    <s v="KELLY"/>
    <x v="77"/>
    <x v="2"/>
    <x v="0"/>
  </r>
  <r>
    <n v="67100"/>
    <x v="95"/>
    <s v="MMG"/>
    <x v="3"/>
    <n v="50043917"/>
    <s v="PARAFUSADEIRA FURADEIRA BOSCH"/>
    <n v="1"/>
    <s v="REALIZADO"/>
    <s v="KELLY"/>
    <x v="77"/>
    <x v="2"/>
    <x v="0"/>
  </r>
  <r>
    <n v="62640"/>
    <x v="44"/>
    <s v="MPR"/>
    <x v="0"/>
    <n v="50043917"/>
    <s v="PARAFUSADEIRA FURADEIRA BOSCH"/>
    <n v="1"/>
    <s v="REALIZADO"/>
    <s v="BRUNO"/>
    <x v="77"/>
    <x v="2"/>
    <x v="0"/>
  </r>
  <r>
    <n v="60953"/>
    <x v="71"/>
    <s v="MMG"/>
    <x v="2"/>
    <n v="50037924"/>
    <s v="TORQUIMETRO GEDORE GRANDE"/>
    <n v="1"/>
    <s v="REALIZADO"/>
    <s v="BRUNO"/>
    <x v="77"/>
    <x v="0"/>
    <x v="0"/>
  </r>
  <r>
    <n v="66830"/>
    <x v="3"/>
    <s v="MPR"/>
    <x v="0"/>
    <n v="50036086"/>
    <s v="CHAVE GRIFO 18"/>
    <n v="1"/>
    <s v="REALIZADO"/>
    <s v="BRUNO"/>
    <x v="78"/>
    <x v="2"/>
    <x v="0"/>
  </r>
  <r>
    <n v="65474"/>
    <x v="97"/>
    <s v="MMG"/>
    <x v="2"/>
    <n v="50036086"/>
    <s v="CHAVE GRIFO 18"/>
    <n v="1"/>
    <s v="REALIZADO"/>
    <s v="FABIANO"/>
    <x v="78"/>
    <x v="0"/>
    <x v="0"/>
  </r>
  <r>
    <n v="65474"/>
    <x v="97"/>
    <s v="MMG"/>
    <x v="2"/>
    <n v="50036086"/>
    <s v="CHAVE GRIFO 18"/>
    <n v="1"/>
    <s v="REALIZADO"/>
    <s v="FABIANO"/>
    <x v="78"/>
    <x v="0"/>
    <x v="0"/>
  </r>
  <r>
    <n v="77565"/>
    <x v="107"/>
    <n v="0"/>
    <x v="2"/>
    <n v="50037905"/>
    <s v="ESTETOSCÓPIO SKF"/>
    <n v="1"/>
    <s v="REALIZADO"/>
    <s v="MARCIA"/>
    <x v="78"/>
    <x v="2"/>
    <x v="0"/>
  </r>
  <r>
    <n v="77565"/>
    <x v="107"/>
    <n v="0"/>
    <x v="2"/>
    <n v="50037905"/>
    <s v="ESTETOSCÓPIO SKF"/>
    <n v="1"/>
    <s v="REALIZADO"/>
    <s v="BRUNO"/>
    <x v="78"/>
    <x v="0"/>
    <x v="0"/>
  </r>
  <r>
    <n v="63713"/>
    <x v="67"/>
    <s v="MME"/>
    <x v="0"/>
    <n v="50039236"/>
    <s v="FURADEIRA BOSCH 4"/>
    <n v="1"/>
    <s v="REALIZADO"/>
    <s v="KELLY"/>
    <x v="78"/>
    <x v="2"/>
    <x v="0"/>
  </r>
  <r>
    <n v="63713"/>
    <x v="67"/>
    <s v="MME"/>
    <x v="0"/>
    <n v="50039236"/>
    <s v="FURADEIRA BOSCH 4"/>
    <n v="1"/>
    <s v="REALIZADO"/>
    <s v="GEOVANE"/>
    <x v="78"/>
    <x v="2"/>
    <x v="0"/>
  </r>
  <r>
    <n v="63770"/>
    <x v="36"/>
    <s v="MMG"/>
    <x v="0"/>
    <n v="50038549"/>
    <s v="JOGO SOQUETE ESTRIADOS 1/2 22PEÇ"/>
    <n v="1"/>
    <s v="REALIZADO"/>
    <s v="MARCIA"/>
    <x v="78"/>
    <x v="0"/>
    <x v="0"/>
  </r>
  <r>
    <n v="67559"/>
    <x v="88"/>
    <s v="MME"/>
    <x v="3"/>
    <n v="50038956"/>
    <s v="LIXADEIRA BOSCH 1"/>
    <n v="1"/>
    <s v="REALIZADO"/>
    <s v="KELLY"/>
    <x v="78"/>
    <x v="2"/>
    <x v="0"/>
  </r>
  <r>
    <n v="60115"/>
    <x v="34"/>
    <s v="MME"/>
    <x v="3"/>
    <n v="50038956"/>
    <s v="LIXADEIRA BOSCH 1"/>
    <n v="1"/>
    <s v="REALIZADO"/>
    <s v="KELLY"/>
    <x v="78"/>
    <x v="0"/>
    <x v="0"/>
  </r>
  <r>
    <n v="76239"/>
    <x v="19"/>
    <s v="REFRIG"/>
    <x v="0"/>
    <n v="50037892"/>
    <s v="LIXADEIRA BOSCH 2"/>
    <n v="1"/>
    <s v="REALIZADO"/>
    <s v="KELLY"/>
    <x v="78"/>
    <x v="2"/>
    <x v="0"/>
  </r>
  <r>
    <n v="74874"/>
    <x v="90"/>
    <s v="MMG"/>
    <x v="0"/>
    <n v="50037892"/>
    <s v="LIXADEIRA BOSCH 2"/>
    <n v="1"/>
    <s v="REALIZADO"/>
    <s v="BRUNO"/>
    <x v="78"/>
    <x v="0"/>
    <x v="0"/>
  </r>
  <r>
    <n v="68708"/>
    <x v="13"/>
    <s v="MMG"/>
    <x v="0"/>
    <n v="50038841"/>
    <s v="LIXADEIRA BOSCH 4"/>
    <n v="1"/>
    <s v="REALIZADO"/>
    <s v="GEOVANE"/>
    <x v="78"/>
    <x v="2"/>
    <x v="0"/>
  </r>
  <r>
    <n v="68708"/>
    <x v="13"/>
    <s v="MMG"/>
    <x v="0"/>
    <n v="50038841"/>
    <s v="LIXADEIRA BOSCH 4"/>
    <n v="1"/>
    <s v="REALIZADO"/>
    <s v="MARCIA"/>
    <x v="78"/>
    <x v="0"/>
    <x v="0"/>
  </r>
  <r>
    <n v="77594"/>
    <x v="23"/>
    <s v="MME"/>
    <x v="0"/>
    <n v="50038841"/>
    <s v="LIXADEIRA BOSCH 4"/>
    <n v="1"/>
    <s v="REALIZADO"/>
    <s v="MARCIA"/>
    <x v="78"/>
    <x v="2"/>
    <x v="0"/>
  </r>
  <r>
    <n v="77594"/>
    <x v="23"/>
    <s v="MME"/>
    <x v="0"/>
    <n v="50038841"/>
    <s v="LIXADEIRA BOSCH 4"/>
    <n v="1"/>
    <s v="REALIZADO"/>
    <s v="BRUNO"/>
    <x v="78"/>
    <x v="0"/>
    <x v="0"/>
  </r>
  <r>
    <n v="63713"/>
    <x v="67"/>
    <s v="MME"/>
    <x v="0"/>
    <n v="50038517"/>
    <s v="LIXADEIRA BOSCH 5"/>
    <n v="1"/>
    <s v="REALIZADO"/>
    <s v="KELLY"/>
    <x v="78"/>
    <x v="2"/>
    <x v="0"/>
  </r>
  <r>
    <n v="63713"/>
    <x v="67"/>
    <s v="MME"/>
    <x v="0"/>
    <n v="50038517"/>
    <s v="LIXADEIRA BOSCH 5"/>
    <n v="1"/>
    <s v="REALIZADO"/>
    <s v="BRUNO"/>
    <x v="78"/>
    <x v="0"/>
    <x v="0"/>
  </r>
  <r>
    <n v="65131"/>
    <x v="41"/>
    <s v="MMG"/>
    <x v="3"/>
    <n v="50039065"/>
    <s v="MAQUINA SOLDA TIG"/>
    <n v="1"/>
    <s v="REALIZADO"/>
    <s v="KELLY"/>
    <x v="78"/>
    <x v="2"/>
    <x v="0"/>
  </r>
  <r>
    <n v="63713"/>
    <x v="67"/>
    <s v="MME"/>
    <x v="0"/>
    <n v="50039065"/>
    <s v="MAQUINA SOLDA TIG"/>
    <n v="1"/>
    <s v="REALIZADO"/>
    <s v="BRUNO"/>
    <x v="78"/>
    <x v="0"/>
    <x v="0"/>
  </r>
  <r>
    <n v="66830"/>
    <x v="3"/>
    <s v="MPR"/>
    <x v="0"/>
    <n v="50026357"/>
    <s v="MARTELETE VONDER"/>
    <n v="1"/>
    <s v="REALIZADO"/>
    <s v="KELLY"/>
    <x v="78"/>
    <x v="2"/>
    <x v="0"/>
  </r>
  <r>
    <n v="66830"/>
    <x v="3"/>
    <s v="MPR"/>
    <x v="0"/>
    <n v="50026357"/>
    <s v="MARTELETE VONDER"/>
    <n v="1"/>
    <s v="REALIZADO"/>
    <s v="BRUNO"/>
    <x v="78"/>
    <x v="0"/>
    <x v="0"/>
  </r>
  <r>
    <n v="77708"/>
    <x v="69"/>
    <s v="MPR"/>
    <x v="0"/>
    <n v="50038662"/>
    <s v="MARTELO ROMPEDOR SDS MAX 220V 1100W"/>
    <n v="1"/>
    <s v="REALIZADO"/>
    <s v="GEOVANE"/>
    <x v="78"/>
    <x v="2"/>
    <x v="0"/>
  </r>
  <r>
    <n v="77708"/>
    <x v="69"/>
    <s v="MPR"/>
    <x v="0"/>
    <n v="50038662"/>
    <s v="MARTELO ROMPEDOR SDS MAX 220V 1100W"/>
    <n v="1"/>
    <s v="REALIZADO"/>
    <s v="BRUNO"/>
    <x v="78"/>
    <x v="0"/>
    <x v="0"/>
  </r>
  <r>
    <n v="62896"/>
    <x v="33"/>
    <s v="MEE"/>
    <x v="0"/>
    <n v="50041195"/>
    <s v="PARAFUSADEIRA FUR DE IMPACTO BRUSHLESS"/>
    <n v="1"/>
    <s v="REALIZADO"/>
    <s v="BRUNO"/>
    <x v="78"/>
    <x v="2"/>
    <x v="0"/>
  </r>
  <r>
    <n v="72707"/>
    <x v="59"/>
    <s v="MPR"/>
    <x v="0"/>
    <n v="50041195"/>
    <s v="PARAFUSADEIRA FUR DE IMPACTO BRUSHLESS"/>
    <n v="1"/>
    <s v="REALIZADO"/>
    <s v="BRUNO"/>
    <x v="78"/>
    <x v="0"/>
    <x v="0"/>
  </r>
  <r>
    <n v="67559"/>
    <x v="88"/>
    <s v="MME"/>
    <x v="3"/>
    <n v="50043917"/>
    <s v="PARAFUSADEIRA FURADEIRA BOSCH"/>
    <n v="1"/>
    <s v="REALIZADO"/>
    <s v="KELLY"/>
    <x v="78"/>
    <x v="2"/>
    <x v="0"/>
  </r>
  <r>
    <n v="67559"/>
    <x v="88"/>
    <s v="MME"/>
    <x v="3"/>
    <n v="50043917"/>
    <s v="PARAFUSADEIRA FURADEIRA BOSCH"/>
    <n v="1"/>
    <s v="REALIZADO"/>
    <s v="KELLY"/>
    <x v="78"/>
    <x v="0"/>
    <x v="0"/>
  </r>
  <r>
    <n v="64074"/>
    <x v="75"/>
    <s v="MPR"/>
    <x v="0"/>
    <n v="50043917"/>
    <s v="PARAFUSADEIRA FURADEIRA BOSCH"/>
    <n v="1"/>
    <s v="REALIZADO"/>
    <s v="KELLY"/>
    <x v="78"/>
    <x v="2"/>
    <x v="0"/>
  </r>
  <r>
    <n v="64074"/>
    <x v="75"/>
    <s v="MPR"/>
    <x v="0"/>
    <n v="50043917"/>
    <s v="PARAFUSADEIRA FURADEIRA BOSCH"/>
    <n v="1"/>
    <s v="REALIZADO"/>
    <s v="BRUNO"/>
    <x v="78"/>
    <x v="0"/>
    <x v="0"/>
  </r>
  <r>
    <n v="64074"/>
    <x v="75"/>
    <s v="MPR"/>
    <x v="0"/>
    <n v="50020622"/>
    <s v="REBITADOR MANUAL"/>
    <n v="1"/>
    <s v="REALIZADO"/>
    <s v="BRUNO"/>
    <x v="78"/>
    <x v="2"/>
    <x v="0"/>
  </r>
  <r>
    <n v="64074"/>
    <x v="75"/>
    <s v="MPR"/>
    <x v="0"/>
    <n v="50020622"/>
    <s v="REBITADOR MANUAL"/>
    <n v="1"/>
    <s v="REALIZADO"/>
    <s v="BRUNO"/>
    <x v="78"/>
    <x v="0"/>
    <x v="0"/>
  </r>
  <r>
    <n v="77594"/>
    <x v="23"/>
    <s v="MME"/>
    <x v="0"/>
    <n v="50032781"/>
    <s v="SERRA TICO TICO 650W DEWALT "/>
    <n v="1"/>
    <s v="REALIZADO"/>
    <s v="MARCIA"/>
    <x v="78"/>
    <x v="2"/>
    <x v="0"/>
  </r>
  <r>
    <n v="77594"/>
    <x v="23"/>
    <s v="MME"/>
    <x v="0"/>
    <n v="50032781"/>
    <s v="SERRA TICO TICO 650W DEWALT "/>
    <n v="1"/>
    <s v="REALIZADO"/>
    <s v="BRUNO"/>
    <x v="78"/>
    <x v="0"/>
    <x v="0"/>
  </r>
  <r>
    <n v="74611"/>
    <x v="2"/>
    <s v="MPR"/>
    <x v="0"/>
    <n v="50028220"/>
    <s v="SOPRADOR TERMICO VONDER 1500W 220V"/>
    <n v="1"/>
    <s v="REALIZADO"/>
    <s v="BRUNO"/>
    <x v="78"/>
    <x v="2"/>
    <x v="0"/>
  </r>
  <r>
    <n v="74611"/>
    <x v="2"/>
    <s v="MPR"/>
    <x v="0"/>
    <n v="50028220"/>
    <s v="SOPRADOR TERMICO VONDER 1500W 220V"/>
    <n v="1"/>
    <s v="REALIZADO"/>
    <s v="BRUNO"/>
    <x v="78"/>
    <x v="0"/>
    <x v="4"/>
  </r>
  <r>
    <n v="65627"/>
    <x v="108"/>
    <s v="MME"/>
    <x v="0"/>
    <n v="50043150"/>
    <s v="TACOMETRO"/>
    <n v="1"/>
    <s v="REALIZADO"/>
    <s v="BRUNO"/>
    <x v="78"/>
    <x v="2"/>
    <x v="4"/>
  </r>
  <r>
    <n v="65627"/>
    <x v="108"/>
    <s v="MME"/>
    <x v="0"/>
    <n v="50043150"/>
    <s v="TACOMETRO"/>
    <n v="1"/>
    <s v="REALIZADO"/>
    <s v="BRUNO"/>
    <x v="78"/>
    <x v="0"/>
    <x v="0"/>
  </r>
  <r>
    <n v="68430"/>
    <x v="61"/>
    <s v="MEE"/>
    <x v="2"/>
    <n v="50010031"/>
    <s v=" LIXADEIRA BOSCH 6"/>
    <n v="1"/>
    <s v="REALIZADO"/>
    <s v="JOÃO FRANCISCO"/>
    <x v="79"/>
    <x v="2"/>
    <x v="0"/>
  </r>
  <r>
    <n v="68430"/>
    <x v="61"/>
    <s v="MEE"/>
    <x v="2"/>
    <n v="50010031"/>
    <s v=" LIXADEIRA BOSCH 6"/>
    <n v="1"/>
    <s v="REALIZADO"/>
    <s v="AGATHA"/>
    <x v="79"/>
    <x v="0"/>
    <x v="0"/>
  </r>
  <r>
    <n v="74874"/>
    <x v="90"/>
    <s v="MMG"/>
    <x v="0"/>
    <n v="50010031"/>
    <s v=" LIXADEIRA BOSCH 6"/>
    <n v="1"/>
    <s v="REALIZADO"/>
    <s v="MARCIA"/>
    <x v="79"/>
    <x v="2"/>
    <x v="0"/>
  </r>
  <r>
    <n v="74874"/>
    <x v="90"/>
    <s v="MMG"/>
    <x v="0"/>
    <n v="50010031"/>
    <s v=" LIXADEIRA BOSCH 6"/>
    <n v="1"/>
    <s v="REALIZADO"/>
    <s v="MARCIA"/>
    <x v="79"/>
    <x v="0"/>
    <x v="0"/>
  </r>
  <r>
    <n v="76994"/>
    <x v="8"/>
    <s v="MEE"/>
    <x v="0"/>
    <n v="50044003"/>
    <s v="CÂMERA TERMOGRAFICA FLIR"/>
    <n v="1"/>
    <s v="REALIZADO"/>
    <s v="AGATHA"/>
    <x v="79"/>
    <x v="2"/>
    <x v="0"/>
  </r>
  <r>
    <n v="76994"/>
    <x v="8"/>
    <s v="MEE"/>
    <x v="0"/>
    <n v="50044003"/>
    <s v="CÂMERA TERMOGRAFICA FLIR"/>
    <n v="1"/>
    <s v="REALIZADO"/>
    <s v="BRUNO"/>
    <x v="79"/>
    <x v="2"/>
    <x v="0"/>
  </r>
  <r>
    <n v="68760"/>
    <x v="15"/>
    <s v="MMG"/>
    <x v="0"/>
    <n v="50037960"/>
    <s v="CHAVE CATRACA (1) Nº24-41V"/>
    <n v="1"/>
    <s v="REALIZADO"/>
    <s v="MARCIA"/>
    <x v="79"/>
    <x v="2"/>
    <x v="0"/>
  </r>
  <r>
    <n v="68760"/>
    <x v="15"/>
    <s v="MMG"/>
    <x v="0"/>
    <n v="50037961"/>
    <s v="CHAVE CATRACA (2) Nº24-41V"/>
    <n v="1"/>
    <s v="REALIZADO"/>
    <s v="MARCIA"/>
    <x v="79"/>
    <x v="0"/>
    <x v="0"/>
  </r>
  <r>
    <n v="61264"/>
    <x v="10"/>
    <s v="MMG"/>
    <x v="0"/>
    <n v="50036255"/>
    <s v="CHAVE DE IMPACTO 1/2&quot; 20V"/>
    <n v="1"/>
    <s v="REALIZADO"/>
    <s v="GEOVANE"/>
    <x v="79"/>
    <x v="2"/>
    <x v="0"/>
  </r>
  <r>
    <n v="61264"/>
    <x v="10"/>
    <s v="MMG"/>
    <x v="0"/>
    <n v="50036255"/>
    <s v="CHAVE DE IMPACTO 1/2&quot; 20V"/>
    <n v="1"/>
    <s v="REALIZADO"/>
    <s v="BRUNO"/>
    <x v="79"/>
    <x v="2"/>
    <x v="0"/>
  </r>
  <r>
    <n v="66830"/>
    <x v="3"/>
    <s v="MPR"/>
    <x v="0"/>
    <n v="50036086"/>
    <s v="CHAVE GRIFO 18"/>
    <n v="1"/>
    <s v="REALIZADO"/>
    <s v="AGATHA"/>
    <x v="79"/>
    <x v="0"/>
    <x v="0"/>
  </r>
  <r>
    <n v="70105"/>
    <x v="25"/>
    <s v="MMG"/>
    <x v="3"/>
    <n v="50039718"/>
    <s v="ESCALA DE ACO 1000MM VONDER "/>
    <n v="1"/>
    <s v="REALIZADO"/>
    <s v="MARCIA"/>
    <x v="79"/>
    <x v="2"/>
    <x v="0"/>
  </r>
  <r>
    <n v="70105"/>
    <x v="25"/>
    <s v="MMG"/>
    <x v="3"/>
    <n v="50039718"/>
    <s v="ESCALA DE ACO 1000MM VONDER "/>
    <n v="1"/>
    <s v="REALIZADO"/>
    <s v="BRUNO"/>
    <x v="79"/>
    <x v="0"/>
    <x v="0"/>
  </r>
  <r>
    <n v="68760"/>
    <x v="15"/>
    <s v="MMG"/>
    <x v="0"/>
    <n v="50039236"/>
    <s v="FURADEIRA BOSCH 4"/>
    <n v="1"/>
    <s v="REALIZADO"/>
    <s v="KELLY"/>
    <x v="79"/>
    <x v="2"/>
    <x v="0"/>
  </r>
  <r>
    <n v="68760"/>
    <x v="15"/>
    <s v="MMG"/>
    <x v="0"/>
    <n v="50039236"/>
    <s v="FURADEIRA BOSCH 4"/>
    <n v="1"/>
    <s v="REALIZADO"/>
    <s v="BRUNO"/>
    <x v="79"/>
    <x v="0"/>
    <x v="0"/>
  </r>
  <r>
    <n v="64074"/>
    <x v="75"/>
    <s v="MPR"/>
    <x v="0"/>
    <n v="50043471"/>
    <s v="FURADEIRA BOSCH 7"/>
    <n v="1"/>
    <s v="REALIZADO"/>
    <s v="GEOVANE"/>
    <x v="79"/>
    <x v="2"/>
    <x v="0"/>
  </r>
  <r>
    <n v="64074"/>
    <x v="75"/>
    <s v="MPR"/>
    <x v="0"/>
    <n v="50043471"/>
    <s v="FURADEIRA BOSCH 7"/>
    <n v="1"/>
    <s v="REALIZADO"/>
    <s v="JOÃO FRANCISCO"/>
    <x v="79"/>
    <x v="0"/>
    <x v="0"/>
  </r>
  <r>
    <n v="68760"/>
    <x v="15"/>
    <s v="MMG"/>
    <x v="0"/>
    <n v="50038549"/>
    <s v="JOGO SOQUETE ESTRIADOS 1/2 22PEÇ"/>
    <n v="1"/>
    <s v="REALIZADO"/>
    <s v="KELLY"/>
    <x v="79"/>
    <x v="0"/>
    <x v="0"/>
  </r>
  <r>
    <n v="68708"/>
    <x v="13"/>
    <s v="MMG"/>
    <x v="0"/>
    <n v="50038549"/>
    <s v="JOGO SOQUETE ESTRIADOS 1/2 22PEÇ"/>
    <n v="1"/>
    <s v="REALIZADO"/>
    <s v="GEOVANE"/>
    <x v="79"/>
    <x v="2"/>
    <x v="0"/>
  </r>
  <r>
    <n v="68708"/>
    <x v="13"/>
    <s v="MMG"/>
    <x v="0"/>
    <n v="50038549"/>
    <s v="JOGO SOQUETE ESTRIADOS 1/2 22PEÇ"/>
    <n v="1"/>
    <s v="REALIZADO"/>
    <s v="BRUNO"/>
    <x v="79"/>
    <x v="2"/>
    <x v="0"/>
  </r>
  <r>
    <n v="68760"/>
    <x v="15"/>
    <s v="MMG"/>
    <x v="0"/>
    <n v="50038549"/>
    <s v="JOGO SOQUETE ESTRIADOS 1/2 22PEÇ"/>
    <n v="1"/>
    <s v="REALIZADO"/>
    <s v="BRUNO"/>
    <x v="79"/>
    <x v="0"/>
    <x v="0"/>
  </r>
  <r>
    <n v="58068"/>
    <x v="31"/>
    <s v="MME"/>
    <x v="0"/>
    <n v="50038956"/>
    <s v="LIXADEIRA BOSCH 1"/>
    <n v="1"/>
    <s v="REALIZADO"/>
    <s v="KELLY"/>
    <x v="79"/>
    <x v="0"/>
    <x v="0"/>
  </r>
  <r>
    <n v="77471"/>
    <x v="35"/>
    <s v="MEE"/>
    <x v="0"/>
    <n v="50037892"/>
    <s v="LIXADEIRA BOSCH 2"/>
    <n v="1"/>
    <s v="REALIZADO"/>
    <s v="KELLY"/>
    <x v="79"/>
    <x v="2"/>
    <x v="0"/>
  </r>
  <r>
    <n v="77471"/>
    <x v="35"/>
    <s v="MEE"/>
    <x v="0"/>
    <n v="50037892"/>
    <s v="LIXADEIRA BOSCH 2"/>
    <n v="1"/>
    <s v="REALIZADO"/>
    <s v="BRUNO"/>
    <x v="79"/>
    <x v="0"/>
    <x v="0"/>
  </r>
  <r>
    <n v="67915"/>
    <x v="52"/>
    <s v="MMG"/>
    <x v="2"/>
    <n v="50037892"/>
    <s v="LIXADEIRA BOSCH 2"/>
    <n v="1"/>
    <s v="REALIZADO"/>
    <s v="BRUNO"/>
    <x v="79"/>
    <x v="2"/>
    <x v="0"/>
  </r>
  <r>
    <n v="67915"/>
    <x v="52"/>
    <s v="MMG"/>
    <x v="2"/>
    <n v="50037892"/>
    <s v="LIXADEIRA BOSCH 2"/>
    <n v="1"/>
    <s v="REALIZADO"/>
    <s v="BRUNO"/>
    <x v="79"/>
    <x v="0"/>
    <x v="0"/>
  </r>
  <r>
    <n v="74611"/>
    <x v="2"/>
    <s v="MPR"/>
    <x v="0"/>
    <n v="50037902"/>
    <s v="LIXADEIRA BOSCH 3"/>
    <n v="1"/>
    <s v="REALIZADO"/>
    <s v="GEOVANE"/>
    <x v="79"/>
    <x v="2"/>
    <x v="0"/>
  </r>
  <r>
    <n v="74611"/>
    <x v="2"/>
    <s v="MPR"/>
    <x v="0"/>
    <n v="50037902"/>
    <s v="LIXADEIRA BOSCH 3"/>
    <n v="1"/>
    <s v="REALIZADO"/>
    <s v="BRUNO"/>
    <x v="79"/>
    <x v="0"/>
    <x v="0"/>
  </r>
  <r>
    <n v="77526"/>
    <x v="37"/>
    <s v="MME"/>
    <x v="0"/>
    <n v="50038841"/>
    <s v="LIXADEIRA BOSCH 4"/>
    <n v="1"/>
    <s v="REALIZADO"/>
    <s v="KELLY"/>
    <x v="79"/>
    <x v="2"/>
    <x v="0"/>
  </r>
  <r>
    <n v="77526"/>
    <x v="37"/>
    <s v="MME"/>
    <x v="0"/>
    <n v="50038841"/>
    <s v="LIXADEIRA BOSCH 4"/>
    <n v="1"/>
    <s v="REALIZADO"/>
    <s v="BRUNO"/>
    <x v="79"/>
    <x v="0"/>
    <x v="0"/>
  </r>
  <r>
    <n v="58068"/>
    <x v="31"/>
    <s v="MME"/>
    <x v="0"/>
    <n v="50038517"/>
    <s v="LIXADEIRA BOSCH 5"/>
    <n v="1"/>
    <s v="REALIZADO"/>
    <s v="KELLY"/>
    <x v="79"/>
    <x v="2"/>
    <x v="0"/>
  </r>
  <r>
    <n v="78678"/>
    <x v="0"/>
    <s v="MME"/>
    <x v="0"/>
    <n v="50038517"/>
    <s v="LIXADEIRA BOSCH 5"/>
    <n v="1"/>
    <s v="REALIZADO"/>
    <s v="BRUNO"/>
    <x v="79"/>
    <x v="0"/>
    <x v="0"/>
  </r>
  <r>
    <n v="65844"/>
    <x v="54"/>
    <s v="MMG"/>
    <x v="2"/>
    <n v="50038517"/>
    <s v="LIXADEIRA BOSCH 5"/>
    <n v="1"/>
    <s v="REALIZADO"/>
    <s v="BRUNO"/>
    <x v="79"/>
    <x v="2"/>
    <x v="0"/>
  </r>
  <r>
    <n v="65844"/>
    <x v="54"/>
    <s v="MMG"/>
    <x v="2"/>
    <n v="50038517"/>
    <s v="LIXADEIRA BOSCH 5"/>
    <n v="1"/>
    <s v="REALIZADO"/>
    <s v="BRUNO"/>
    <x v="79"/>
    <x v="0"/>
    <x v="0"/>
  </r>
  <r>
    <n v="60510"/>
    <x v="87"/>
    <s v="MME"/>
    <x v="2"/>
    <n v="50038517"/>
    <s v="LIXADEIRA BOSCH 5"/>
    <n v="1"/>
    <s v="REALIZADO"/>
    <s v="BRUNO"/>
    <x v="79"/>
    <x v="2"/>
    <x v="0"/>
  </r>
  <r>
    <n v="60510"/>
    <x v="87"/>
    <s v="MME"/>
    <x v="2"/>
    <n v="50038517"/>
    <s v="LIXADEIRA BOSCH 5"/>
    <n v="1"/>
    <s v="REALIZADO"/>
    <s v="BRUNO"/>
    <x v="79"/>
    <x v="0"/>
    <x v="0"/>
  </r>
  <r>
    <n v="65472"/>
    <x v="48"/>
    <s v="MMG"/>
    <x v="0"/>
    <n v="50001995"/>
    <s v="MAQUINA DE SOLDA"/>
    <n v="1"/>
    <s v="REALIZADO"/>
    <s v="AGATHA"/>
    <x v="79"/>
    <x v="2"/>
    <x v="0"/>
  </r>
  <r>
    <n v="65472"/>
    <x v="48"/>
    <s v="MMG"/>
    <x v="0"/>
    <n v="50001995"/>
    <s v="MAQUINA DE SOLDA"/>
    <n v="1"/>
    <s v="REALIZADO"/>
    <s v="GEOVANE"/>
    <x v="79"/>
    <x v="0"/>
    <x v="0"/>
  </r>
  <r>
    <n v="77526"/>
    <x v="37"/>
    <s v="MME"/>
    <x v="0"/>
    <n v="50039065"/>
    <s v="MAQUINA SOLDA TIG"/>
    <n v="1"/>
    <s v="REALIZADO"/>
    <s v="KELLY"/>
    <x v="79"/>
    <x v="2"/>
    <x v="0"/>
  </r>
  <r>
    <n v="77526"/>
    <x v="37"/>
    <s v="MME"/>
    <x v="0"/>
    <n v="50039065"/>
    <s v="MAQUINA SOLDA TIG"/>
    <n v="1"/>
    <s v="REALIZADO"/>
    <s v="BRUNO"/>
    <x v="79"/>
    <x v="0"/>
    <x v="0"/>
  </r>
  <r>
    <n v="61096"/>
    <x v="64"/>
    <s v="MME"/>
    <x v="0"/>
    <n v="50039065"/>
    <s v="MAQUINA SOLDA TIG"/>
    <n v="1"/>
    <s v="REALIZADO"/>
    <s v="BRUNO"/>
    <x v="79"/>
    <x v="2"/>
    <x v="0"/>
  </r>
  <r>
    <n v="61096"/>
    <x v="64"/>
    <s v="MME"/>
    <x v="0"/>
    <n v="50039065"/>
    <s v="MAQUINA SOLDA TIG"/>
    <n v="1"/>
    <s v="REALIZADO"/>
    <s v="BRUNO"/>
    <x v="79"/>
    <x v="0"/>
    <x v="0"/>
  </r>
  <r>
    <n v="66830"/>
    <x v="3"/>
    <s v="MPR"/>
    <x v="0"/>
    <n v="50026357"/>
    <s v="MARTELETE VONDER"/>
    <n v="1"/>
    <s v="REALIZADO"/>
    <s v="GEOVANE"/>
    <x v="79"/>
    <x v="2"/>
    <x v="0"/>
  </r>
  <r>
    <n v="66830"/>
    <x v="3"/>
    <s v="MPR"/>
    <x v="0"/>
    <n v="50026357"/>
    <s v="MARTELETE VONDER"/>
    <n v="1"/>
    <s v="REALIZADO"/>
    <s v="AGATHA"/>
    <x v="79"/>
    <x v="0"/>
    <x v="0"/>
  </r>
  <r>
    <n v="77471"/>
    <x v="35"/>
    <s v="MEE"/>
    <x v="0"/>
    <n v="50041195"/>
    <s v="PARAFUSADEIRA FUR DE IMPACTO BRUSHLESS"/>
    <n v="1"/>
    <s v="REALIZADO"/>
    <s v="KELLY"/>
    <x v="79"/>
    <x v="2"/>
    <x v="0"/>
  </r>
  <r>
    <n v="77471"/>
    <x v="35"/>
    <s v="MEE"/>
    <x v="0"/>
    <n v="50041195"/>
    <s v="PARAFUSADEIRA FUR DE IMPACTO BRUSHLESS"/>
    <n v="1"/>
    <s v="REALIZADO"/>
    <s v="BRUNO"/>
    <x v="79"/>
    <x v="0"/>
    <x v="0"/>
  </r>
  <r>
    <n v="63399"/>
    <x v="32"/>
    <s v="MPR"/>
    <x v="0"/>
    <n v="50043917"/>
    <s v="PARAFUSADEIRA FURADEIRA BOSCH"/>
    <n v="1"/>
    <s v="REALIZADO"/>
    <s v="AGATHA"/>
    <x v="79"/>
    <x v="2"/>
    <x v="0"/>
  </r>
  <r>
    <n v="63399"/>
    <x v="32"/>
    <s v="MPR"/>
    <x v="0"/>
    <n v="50043917"/>
    <s v="PARAFUSADEIRA FURADEIRA BOSCH"/>
    <n v="1"/>
    <s v="REALIZADO"/>
    <s v="BRUNO"/>
    <x v="79"/>
    <x v="2"/>
    <x v="0"/>
  </r>
  <r>
    <n v="64074"/>
    <x v="75"/>
    <s v="MPR"/>
    <x v="0"/>
    <n v="50020622"/>
    <s v="REBITADOR MANUAL"/>
    <n v="1"/>
    <s v="REALIZADO"/>
    <s v="JOÃO FRANCISCO"/>
    <x v="79"/>
    <x v="0"/>
    <x v="0"/>
  </r>
  <r>
    <n v="63713"/>
    <x v="67"/>
    <s v="MME"/>
    <x v="0"/>
    <n v="50010031"/>
    <s v=" LIXADEIRA BOSCH 6"/>
    <n v="1"/>
    <s v="REALIZADO"/>
    <s v="KELLY"/>
    <x v="80"/>
    <x v="2"/>
    <x v="0"/>
  </r>
  <r>
    <n v="63713"/>
    <x v="67"/>
    <s v="MME"/>
    <x v="0"/>
    <n v="50010031"/>
    <s v=" LIXADEIRA BOSCH 6"/>
    <n v="1"/>
    <s v="REALIZADO"/>
    <s v="MATHEUS"/>
    <x v="80"/>
    <x v="0"/>
    <x v="0"/>
  </r>
  <r>
    <n v="68792"/>
    <x v="99"/>
    <s v="MEE"/>
    <x v="3"/>
    <n v="50038991"/>
    <s v="CAMERA TERMOGRAFICA"/>
    <n v="1"/>
    <s v="REALIZADO"/>
    <s v="GEOVANE"/>
    <x v="80"/>
    <x v="0"/>
    <x v="0"/>
  </r>
  <r>
    <n v="74874"/>
    <x v="90"/>
    <s v="MMG"/>
    <x v="0"/>
    <n v="50039718"/>
    <s v="ESCALA DE ACO 1000MM VONDER "/>
    <n v="1"/>
    <s v="REALIZADO"/>
    <s v="MATHEUS"/>
    <x v="80"/>
    <x v="2"/>
    <x v="0"/>
  </r>
  <r>
    <n v="74874"/>
    <x v="90"/>
    <s v="MMG"/>
    <x v="0"/>
    <n v="50039718"/>
    <s v="ESCALA DE ACO 1000MM VONDER "/>
    <n v="1"/>
    <s v="REALIZADO"/>
    <s v="MATHEUS"/>
    <x v="80"/>
    <x v="0"/>
    <x v="0"/>
  </r>
  <r>
    <n v="77313"/>
    <x v="17"/>
    <s v="MPR"/>
    <x v="0"/>
    <n v="50039236"/>
    <s v="FURADEIRA BOSCH 4"/>
    <n v="1"/>
    <s v="REALIZADO"/>
    <s v="MATHEUS"/>
    <x v="80"/>
    <x v="2"/>
    <x v="0"/>
  </r>
  <r>
    <n v="77313"/>
    <x v="17"/>
    <s v="MPR"/>
    <x v="0"/>
    <n v="50039236"/>
    <s v="FURADEIRA BOSCH 4"/>
    <n v="1"/>
    <s v="REALIZADO"/>
    <s v="MATHEUS"/>
    <x v="80"/>
    <x v="2"/>
    <x v="0"/>
  </r>
  <r>
    <n v="78886"/>
    <x v="51"/>
    <s v="MME"/>
    <x v="0"/>
    <n v="50038956"/>
    <s v="LIXADEIRA BOSCH 1"/>
    <n v="1"/>
    <s v="REALIZADO"/>
    <s v="MATHEUS"/>
    <x v="80"/>
    <x v="0"/>
    <x v="0"/>
  </r>
  <r>
    <n v="78675"/>
    <x v="12"/>
    <s v="MME"/>
    <x v="2"/>
    <n v="50037892"/>
    <s v="LIXADEIRA BOSCH 2"/>
    <n v="1"/>
    <s v="REALIZADO"/>
    <s v="MATHEUS"/>
    <x v="80"/>
    <x v="2"/>
    <x v="0"/>
  </r>
  <r>
    <n v="78675"/>
    <x v="12"/>
    <s v="MME"/>
    <x v="2"/>
    <n v="50037892"/>
    <s v="LIXADEIRA BOSCH 2"/>
    <n v="1"/>
    <s v="REALIZADO"/>
    <s v="MARCIA"/>
    <x v="80"/>
    <x v="0"/>
    <x v="0"/>
  </r>
  <r>
    <n v="60115"/>
    <x v="34"/>
    <s v="MME"/>
    <x v="3"/>
    <n v="50037902"/>
    <s v="LIXADEIRA BOSCH 3"/>
    <n v="1"/>
    <s v="REALIZADO"/>
    <s v="KELLY"/>
    <x v="80"/>
    <x v="2"/>
    <x v="0"/>
  </r>
  <r>
    <n v="60115"/>
    <x v="34"/>
    <s v="MME"/>
    <x v="3"/>
    <n v="50037902"/>
    <s v="LIXADEIRA BOSCH 3"/>
    <n v="1"/>
    <s v="REALIZADO"/>
    <s v="KELLY"/>
    <x v="80"/>
    <x v="0"/>
    <x v="0"/>
  </r>
  <r>
    <n v="65910"/>
    <x v="7"/>
    <s v="MEE"/>
    <x v="0"/>
    <n v="50038841"/>
    <s v="LIXADEIRA BOSCH 4"/>
    <n v="1"/>
    <s v="REALIZADO"/>
    <s v="KELLY"/>
    <x v="80"/>
    <x v="2"/>
    <x v="0"/>
  </r>
  <r>
    <n v="65910"/>
    <x v="7"/>
    <s v="MEE"/>
    <x v="0"/>
    <n v="50038841"/>
    <s v="LIXADEIRA BOSCH 4"/>
    <n v="1"/>
    <s v="REALIZADO"/>
    <s v="JOÃO FRANCISCO"/>
    <x v="80"/>
    <x v="0"/>
    <x v="0"/>
  </r>
  <r>
    <n v="77526"/>
    <x v="37"/>
    <s v="MME"/>
    <x v="0"/>
    <n v="50038841"/>
    <s v="LIXADEIRA BOSCH 4"/>
    <n v="1"/>
    <s v="REALIZADO"/>
    <s v="MATHEUS"/>
    <x v="80"/>
    <x v="2"/>
    <x v="0"/>
  </r>
  <r>
    <n v="77526"/>
    <x v="37"/>
    <s v="MME"/>
    <x v="0"/>
    <n v="50038841"/>
    <s v="LIXADEIRA BOSCH 4"/>
    <n v="1"/>
    <s v="REALIZADO"/>
    <s v="MATHEUS"/>
    <x v="80"/>
    <x v="0"/>
    <x v="0"/>
  </r>
  <r>
    <n v="74874"/>
    <x v="90"/>
    <s v="MMG"/>
    <x v="0"/>
    <n v="50001995"/>
    <s v="MAQUINA DE SOLDA"/>
    <n v="1"/>
    <s v="REALIZADO"/>
    <s v="FELIPE"/>
    <x v="80"/>
    <x v="2"/>
    <x v="0"/>
  </r>
  <r>
    <n v="74874"/>
    <x v="90"/>
    <s v="MMG"/>
    <x v="0"/>
    <n v="50001995"/>
    <s v="MAQUINA DE SOLDA"/>
    <n v="1"/>
    <s v="REALIZADO"/>
    <s v="FELIPE"/>
    <x v="80"/>
    <x v="2"/>
    <x v="0"/>
  </r>
  <r>
    <n v="62471"/>
    <x v="9"/>
    <s v="MME"/>
    <x v="0"/>
    <n v="50038626"/>
    <s v="MARRETA 8KG"/>
    <n v="1"/>
    <s v="REALIZADO"/>
    <s v="MATHEUS"/>
    <x v="80"/>
    <x v="0"/>
    <x v="0"/>
  </r>
  <r>
    <n v="66830"/>
    <x v="3"/>
    <s v="MPR"/>
    <x v="0"/>
    <n v="50026357"/>
    <s v="MARTELETE VONDER"/>
    <n v="1"/>
    <s v="REALIZADO"/>
    <s v="AGATHA"/>
    <x v="80"/>
    <x v="2"/>
    <x v="0"/>
  </r>
  <r>
    <n v="66830"/>
    <x v="3"/>
    <s v="MPR"/>
    <x v="0"/>
    <n v="50026357"/>
    <s v="MARTELETE VONDER"/>
    <n v="1"/>
    <s v="REALIZADO"/>
    <s v="MATHEUS"/>
    <x v="80"/>
    <x v="0"/>
    <x v="0"/>
  </r>
  <r>
    <n v="74611"/>
    <x v="2"/>
    <s v="MPR"/>
    <x v="0"/>
    <n v="50038662"/>
    <s v="MARTELO ROMPEDOR SDS MAX 220V 1100W"/>
    <n v="1"/>
    <s v="REALIZADO"/>
    <s v="GEOVANE"/>
    <x v="80"/>
    <x v="2"/>
    <x v="0"/>
  </r>
  <r>
    <n v="72713"/>
    <x v="68"/>
    <s v="MPR"/>
    <x v="0"/>
    <n v="50038662"/>
    <s v="MARTELO ROMPEDOR SDS MAX 220V 1100W"/>
    <n v="1"/>
    <s v="REALIZADO"/>
    <s v="MATHEUS"/>
    <x v="80"/>
    <x v="0"/>
    <x v="0"/>
  </r>
  <r>
    <n v="65474"/>
    <x v="97"/>
    <s v="MMG"/>
    <x v="2"/>
    <n v="50037929"/>
    <s v="MICROMETRO 25-50 DIAMETRO EXTERNO"/>
    <n v="1"/>
    <s v="REALIZADO"/>
    <s v="FABIANO"/>
    <x v="80"/>
    <x v="0"/>
    <x v="0"/>
  </r>
  <r>
    <n v="62640"/>
    <x v="44"/>
    <s v="MPR"/>
    <x v="0"/>
    <n v="50041195"/>
    <s v="PARAFUSADEIRA FUR DE IMPACTO BRUSHLESS"/>
    <n v="1"/>
    <s v="REALIZADO"/>
    <s v="AGATHA"/>
    <x v="80"/>
    <x v="2"/>
    <x v="0"/>
  </r>
  <r>
    <n v="62640"/>
    <x v="44"/>
    <s v="MPR"/>
    <x v="0"/>
    <n v="50041195"/>
    <s v="PARAFUSADEIRA FUR DE IMPACTO BRUSHLESS"/>
    <n v="1"/>
    <s v="REALIZADO"/>
    <s v="MATHEUS"/>
    <x v="80"/>
    <x v="0"/>
    <x v="0"/>
  </r>
  <r>
    <n v="62640"/>
    <x v="44"/>
    <s v="MPR"/>
    <x v="0"/>
    <n v="50043917"/>
    <s v="PARAFUSADEIRA FURADEIRA BOSCH"/>
    <n v="1"/>
    <s v="REALIZADO"/>
    <s v="AGATHA"/>
    <x v="80"/>
    <x v="2"/>
    <x v="0"/>
  </r>
  <r>
    <n v="62640"/>
    <x v="44"/>
    <s v="MPR"/>
    <x v="0"/>
    <n v="50043917"/>
    <s v="PARAFUSADEIRA FURADEIRA BOSCH"/>
    <n v="1"/>
    <s v="REALIZADO"/>
    <s v="MATHEUS"/>
    <x v="80"/>
    <x v="0"/>
    <x v="0"/>
  </r>
  <r>
    <n v="77521"/>
    <x v="5"/>
    <s v="MME"/>
    <x v="0"/>
    <n v="50004486"/>
    <s v="RETIFICA "/>
    <n v="1"/>
    <s v="REALIZADO"/>
    <s v="GEOVANE"/>
    <x v="80"/>
    <x v="2"/>
    <x v="0"/>
  </r>
  <r>
    <n v="77521"/>
    <x v="5"/>
    <s v="MME"/>
    <x v="0"/>
    <n v="50004486"/>
    <s v="RETIFICA "/>
    <n v="1"/>
    <s v="REALIZADO"/>
    <s v="MATHEUS"/>
    <x v="80"/>
    <x v="0"/>
    <x v="0"/>
  </r>
  <r>
    <n v="58734"/>
    <x v="85"/>
    <s v="MME"/>
    <x v="3"/>
    <n v="50032775"/>
    <s v="SACA POLIA 150MM 3 GARRAS - GEDORE"/>
    <n v="1"/>
    <s v="REALIZADO"/>
    <s v="KELLY"/>
    <x v="80"/>
    <x v="2"/>
    <x v="0"/>
  </r>
  <r>
    <n v="72808"/>
    <x v="79"/>
    <s v="MME"/>
    <x v="3"/>
    <n v="50032775"/>
    <s v="SACA POLIA 150MM 3 GARRAS - GEDORE"/>
    <n v="1"/>
    <s v="REALIZADO"/>
    <s v="KELLY"/>
    <x v="80"/>
    <x v="0"/>
    <x v="0"/>
  </r>
  <r>
    <n v="74611"/>
    <x v="2"/>
    <s v="MPR"/>
    <x v="0"/>
    <n v="50038840"/>
    <s v="SERRA CIRCULAR MAKITA 4100NH2"/>
    <n v="1"/>
    <s v="REALIZADO"/>
    <s v="GEOVANE"/>
    <x v="80"/>
    <x v="2"/>
    <x v="0"/>
  </r>
  <r>
    <n v="72713"/>
    <x v="68"/>
    <s v="MPR"/>
    <x v="0"/>
    <n v="50038840"/>
    <s v="SERRA CIRCULAR MAKITA 4100NH2"/>
    <n v="1"/>
    <s v="REALIZADO"/>
    <s v="MATHEUS"/>
    <x v="80"/>
    <x v="0"/>
    <x v="0"/>
  </r>
  <r>
    <n v="61264"/>
    <x v="10"/>
    <s v="MMG"/>
    <x v="0"/>
    <n v="50037933"/>
    <s v="TERMOMETRO"/>
    <n v="1"/>
    <s v="REALIZADO"/>
    <s v="AGATHA"/>
    <x v="80"/>
    <x v="2"/>
    <x v="0"/>
  </r>
  <r>
    <n v="69778"/>
    <x v="4"/>
    <s v="MEE"/>
    <x v="2"/>
    <n v="50037933"/>
    <s v="TERMOMETRO"/>
    <n v="1"/>
    <s v="REALIZADO"/>
    <s v="MATHEUS"/>
    <x v="80"/>
    <x v="0"/>
    <x v="0"/>
  </r>
  <r>
    <n v="72713"/>
    <x v="68"/>
    <s v="MPR"/>
    <x v="0"/>
    <n v="50038854"/>
    <s v="ARCO DE SERRA"/>
    <n v="1"/>
    <s v="REALIZADO"/>
    <s v="MARCIA"/>
    <x v="81"/>
    <x v="2"/>
    <x v="0"/>
  </r>
  <r>
    <n v="72713"/>
    <x v="68"/>
    <s v="MPR"/>
    <x v="0"/>
    <n v="50038854"/>
    <s v="ARCO DE SERRA"/>
    <n v="1"/>
    <s v="REALIZADO"/>
    <s v="MARCIA"/>
    <x v="81"/>
    <x v="2"/>
    <x v="0"/>
  </r>
  <r>
    <n v="68792"/>
    <x v="99"/>
    <s v="MEE"/>
    <x v="3"/>
    <n v="50038991"/>
    <s v="CAMERA TERMOGRAFICA"/>
    <n v="1"/>
    <s v="REALIZADO"/>
    <s v="KELLY"/>
    <x v="81"/>
    <x v="0"/>
    <x v="0"/>
  </r>
  <r>
    <n v="73878"/>
    <x v="20"/>
    <s v="MMG"/>
    <x v="0"/>
    <n v="50037905"/>
    <s v="ESTETOSCÓPIO SKF"/>
    <n v="1"/>
    <s v="REALIZADO"/>
    <s v="KELLY"/>
    <x v="81"/>
    <x v="2"/>
    <x v="0"/>
  </r>
  <r>
    <n v="73878"/>
    <x v="20"/>
    <s v="MMG"/>
    <x v="0"/>
    <n v="50037905"/>
    <s v="ESTETOSCÓPIO SKF"/>
    <n v="1"/>
    <s v="REALIZADO"/>
    <s v="AGATHA"/>
    <x v="81"/>
    <x v="0"/>
    <x v="0"/>
  </r>
  <r>
    <n v="66830"/>
    <x v="3"/>
    <s v="MPR"/>
    <x v="0"/>
    <n v="50037916"/>
    <s v="JOGO DE TARRACHAS "/>
    <n v="1"/>
    <s v="REALIZADO"/>
    <s v="AGATHA"/>
    <x v="81"/>
    <x v="2"/>
    <x v="0"/>
  </r>
  <r>
    <n v="66830"/>
    <x v="3"/>
    <s v="MPR"/>
    <x v="0"/>
    <n v="50037916"/>
    <s v="JOGO DE TARRACHAS "/>
    <n v="1"/>
    <s v="REALIZADO"/>
    <s v="AGATHA"/>
    <x v="81"/>
    <x v="2"/>
    <x v="0"/>
  </r>
  <r>
    <n v="67915"/>
    <x v="52"/>
    <s v="MMG"/>
    <x v="2"/>
    <n v="50038956"/>
    <s v="LIXADEIRA BOSCH 1"/>
    <n v="1"/>
    <s v="REALIZADO"/>
    <s v="MARCIA"/>
    <x v="81"/>
    <x v="0"/>
    <x v="0"/>
  </r>
  <r>
    <n v="65472"/>
    <x v="48"/>
    <s v="MMG"/>
    <x v="0"/>
    <n v="50037892"/>
    <s v="LIXADEIRA BOSCH 2"/>
    <n v="1"/>
    <s v="REALIZADO"/>
    <s v="AGATHA"/>
    <x v="81"/>
    <x v="2"/>
    <x v="0"/>
  </r>
  <r>
    <n v="65472"/>
    <x v="48"/>
    <s v="MMG"/>
    <x v="0"/>
    <n v="50037892"/>
    <s v="LIXADEIRA BOSCH 2"/>
    <n v="1"/>
    <s v="REALIZADO"/>
    <s v="AGATHA"/>
    <x v="81"/>
    <x v="0"/>
    <x v="0"/>
  </r>
  <r>
    <n v="74611"/>
    <x v="2"/>
    <s v="MPR"/>
    <x v="0"/>
    <n v="50037892"/>
    <s v="LIXADEIRA BOSCH 2"/>
    <n v="1"/>
    <s v="REALIZADO"/>
    <s v="AGATHA"/>
    <x v="81"/>
    <x v="2"/>
    <x v="0"/>
  </r>
  <r>
    <n v="74611"/>
    <x v="2"/>
    <s v="MPR"/>
    <x v="0"/>
    <n v="50037892"/>
    <s v="LIXADEIRA BOSCH 2"/>
    <n v="1"/>
    <s v="REALIZADO"/>
    <s v="MARCIA"/>
    <x v="81"/>
    <x v="0"/>
    <x v="0"/>
  </r>
  <r>
    <n v="73878"/>
    <x v="20"/>
    <s v="MMG"/>
    <x v="0"/>
    <n v="50037902"/>
    <s v="LIXADEIRA BOSCH 3"/>
    <n v="1"/>
    <s v="REALIZADO"/>
    <s v="KELLY"/>
    <x v="81"/>
    <x v="0"/>
    <x v="0"/>
  </r>
  <r>
    <n v="78886"/>
    <x v="51"/>
    <s v="MME"/>
    <x v="0"/>
    <n v="50038841"/>
    <s v="LIXADEIRA BOSCH 4"/>
    <n v="1"/>
    <s v="REALIZADO"/>
    <s v="AGATHA"/>
    <x v="81"/>
    <x v="2"/>
    <x v="0"/>
  </r>
  <r>
    <n v="78886"/>
    <x v="51"/>
    <s v="MME"/>
    <x v="0"/>
    <n v="50038841"/>
    <s v="LIXADEIRA BOSCH 4"/>
    <n v="1"/>
    <s v="REALIZADO"/>
    <s v="AGATHA"/>
    <x v="81"/>
    <x v="0"/>
    <x v="0"/>
  </r>
  <r>
    <n v="65131"/>
    <x v="41"/>
    <s v="MMG"/>
    <x v="3"/>
    <n v="50039065"/>
    <s v="MAQUINA SOLDA TIG"/>
    <n v="1"/>
    <s v="REALIZADO"/>
    <s v="KELLY"/>
    <x v="81"/>
    <x v="2"/>
    <x v="0"/>
  </r>
  <r>
    <n v="65131"/>
    <x v="41"/>
    <s v="MMG"/>
    <x v="3"/>
    <n v="50039065"/>
    <s v="MAQUINA SOLDA TIG"/>
    <n v="1"/>
    <s v="REALIZADO"/>
    <s v="KELLY"/>
    <x v="81"/>
    <x v="0"/>
    <x v="0"/>
  </r>
  <r>
    <n v="63713"/>
    <x v="67"/>
    <s v="MME"/>
    <x v="0"/>
    <n v="50039065"/>
    <s v="MAQUINA SOLDA TIG"/>
    <n v="1"/>
    <s v="REALIZADO"/>
    <s v="AGATHA"/>
    <x v="81"/>
    <x v="2"/>
    <x v="0"/>
  </r>
  <r>
    <n v="63713"/>
    <x v="67"/>
    <s v="MME"/>
    <x v="0"/>
    <n v="50039065"/>
    <s v="MAQUINA SOLDA TIG"/>
    <n v="1"/>
    <s v="REALIZADO"/>
    <s v="AGATHA"/>
    <x v="81"/>
    <x v="0"/>
    <x v="0"/>
  </r>
  <r>
    <n v="65084"/>
    <x v="83"/>
    <s v="MMG"/>
    <x v="4"/>
    <n v="50038626"/>
    <s v="MARRETA 8KG"/>
    <n v="1"/>
    <s v="REALIZADO"/>
    <s v="FABIANO"/>
    <x v="81"/>
    <x v="0"/>
    <x v="0"/>
  </r>
  <r>
    <n v="66830"/>
    <x v="3"/>
    <s v="MPR"/>
    <x v="0"/>
    <n v="50026357"/>
    <s v="MARTELETE VONDER"/>
    <n v="1"/>
    <s v="REALIZADO"/>
    <s v="AGATHA"/>
    <x v="81"/>
    <x v="2"/>
    <x v="0"/>
  </r>
  <r>
    <n v="66830"/>
    <x v="3"/>
    <s v="MPR"/>
    <x v="0"/>
    <n v="50026357"/>
    <s v="MARTELETE VONDER"/>
    <n v="1"/>
    <s v="REALIZADO"/>
    <s v="AGATHA"/>
    <x v="81"/>
    <x v="2"/>
    <x v="0"/>
  </r>
  <r>
    <n v="65474"/>
    <x v="97"/>
    <s v="MMG"/>
    <x v="2"/>
    <n v="50037929"/>
    <s v="MICROMETRO 25-50 DIAMETRO EXTERNO"/>
    <n v="1"/>
    <s v="REALIZADO"/>
    <s v="FABIANO"/>
    <x v="81"/>
    <x v="0"/>
    <x v="0"/>
  </r>
  <r>
    <n v="62640"/>
    <x v="44"/>
    <s v="MPR"/>
    <x v="0"/>
    <n v="50041195"/>
    <s v="PARAFUSADEIRA FUR DE IMPACTO BRUSHLESS"/>
    <n v="1"/>
    <s v="REALIZADO"/>
    <s v="KELLY"/>
    <x v="81"/>
    <x v="2"/>
    <x v="0"/>
  </r>
  <r>
    <n v="62640"/>
    <x v="44"/>
    <s v="MPR"/>
    <x v="0"/>
    <n v="50041195"/>
    <s v="PARAFUSADEIRA FUR DE IMPACTO BRUSHLESS"/>
    <n v="1"/>
    <s v="REALIZADO"/>
    <s v="MARCIA"/>
    <x v="81"/>
    <x v="0"/>
    <x v="0"/>
  </r>
  <r>
    <n v="77526"/>
    <x v="37"/>
    <s v="MME"/>
    <x v="0"/>
    <n v="50043917"/>
    <s v="PARAFUSADEIRA FURADEIRA BOSCH"/>
    <n v="1"/>
    <s v="REALIZADO"/>
    <s v="AGATHA"/>
    <x v="81"/>
    <x v="2"/>
    <x v="0"/>
  </r>
  <r>
    <n v="77526"/>
    <x v="37"/>
    <s v="MME"/>
    <x v="0"/>
    <n v="50043917"/>
    <s v="PARAFUSADEIRA FURADEIRA BOSCH"/>
    <n v="1"/>
    <s v="REALIZADO"/>
    <s v="AGATHA"/>
    <x v="81"/>
    <x v="2"/>
    <x v="0"/>
  </r>
  <r>
    <n v="68792"/>
    <x v="99"/>
    <s v="MEE"/>
    <x v="3"/>
    <n v="50037933"/>
    <s v="TERMOMETRO"/>
    <n v="1"/>
    <s v="REALIZADO"/>
    <s v="KELLY"/>
    <x v="81"/>
    <x v="0"/>
    <x v="0"/>
  </r>
  <r>
    <n v="68792"/>
    <x v="99"/>
    <s v="MEE"/>
    <x v="3"/>
    <n v="50037933"/>
    <s v="TERMOMETRO"/>
    <n v="1"/>
    <s v="REALIZADO"/>
    <s v="KELLY"/>
    <x v="81"/>
    <x v="2"/>
    <x v="0"/>
  </r>
  <r>
    <n v="61761"/>
    <x v="66"/>
    <s v="MEE"/>
    <x v="3"/>
    <n v="50037933"/>
    <s v="TERMOMETRO"/>
    <n v="1"/>
    <s v="REALIZADO"/>
    <s v="AGATHA"/>
    <x v="81"/>
    <x v="0"/>
    <x v="0"/>
  </r>
  <r>
    <n v="62180"/>
    <x v="18"/>
    <s v="MMG"/>
    <x v="0"/>
    <n v="50037905"/>
    <s v="ESTETOSCÓPIO SKF"/>
    <n v="1"/>
    <s v="REALIZADO"/>
    <s v="FELIPE"/>
    <x v="82"/>
    <x v="2"/>
    <x v="0"/>
  </r>
  <r>
    <n v="62180"/>
    <x v="18"/>
    <s v="MMG"/>
    <x v="0"/>
    <n v="50037905"/>
    <s v="ESTETOSCÓPIO SKF"/>
    <n v="1"/>
    <s v="REALIZADO"/>
    <s v="FELIPE"/>
    <x v="82"/>
    <x v="2"/>
    <x v="0"/>
  </r>
  <r>
    <n v="66789"/>
    <x v="78"/>
    <s v="MME"/>
    <x v="2"/>
    <n v="50038517"/>
    <s v="LIXADEIRA BOSCH 5"/>
    <n v="1"/>
    <s v="REALIZADO"/>
    <s v="MARINA"/>
    <x v="82"/>
    <x v="0"/>
    <x v="0"/>
  </r>
  <r>
    <n v="66789"/>
    <x v="78"/>
    <s v="MME"/>
    <x v="2"/>
    <n v="50038517"/>
    <s v="LIXADEIRA BOSCH 5"/>
    <n v="1"/>
    <s v="REALIZADO"/>
    <s v="MARINA"/>
    <x v="82"/>
    <x v="2"/>
    <x v="0"/>
  </r>
  <r>
    <n v="67863"/>
    <x v="40"/>
    <s v="MME"/>
    <x v="2"/>
    <n v="50038626"/>
    <s v="MARRETA 8KG"/>
    <n v="1"/>
    <s v="REALIZADO"/>
    <s v="MARINA"/>
    <x v="82"/>
    <x v="0"/>
    <x v="0"/>
  </r>
  <r>
    <n v="67863"/>
    <x v="40"/>
    <s v="MME"/>
    <x v="2"/>
    <n v="50038626"/>
    <s v="MARRETA 8KG"/>
    <n v="1"/>
    <s v="REALIZADO"/>
    <s v="MARINA"/>
    <x v="82"/>
    <x v="2"/>
    <x v="0"/>
  </r>
  <r>
    <n v="65084"/>
    <x v="83"/>
    <s v="MMG"/>
    <x v="4"/>
    <n v="50038626"/>
    <s v="MARRETA 8KG"/>
    <n v="1"/>
    <s v="REALIZADO"/>
    <s v="FABIANO"/>
    <x v="82"/>
    <x v="0"/>
    <x v="0"/>
  </r>
  <r>
    <n v="62419"/>
    <x v="92"/>
    <s v="MEE"/>
    <x v="4"/>
    <n v="50037933"/>
    <s v="TERMOMETRO"/>
    <n v="1"/>
    <s v="REALIZADO"/>
    <s v="EDMAR"/>
    <x v="82"/>
    <x v="0"/>
    <x v="0"/>
  </r>
  <r>
    <n v="74874"/>
    <x v="90"/>
    <s v="MMG"/>
    <x v="0"/>
    <n v="50037905"/>
    <s v="ESTETOSCÓPIO SKF"/>
    <n v="1"/>
    <s v="REALIZADO"/>
    <s v="KELLY"/>
    <x v="83"/>
    <x v="2"/>
    <x v="0"/>
  </r>
  <r>
    <n v="74874"/>
    <x v="90"/>
    <s v="MMG"/>
    <x v="0"/>
    <n v="50037905"/>
    <s v="ESTETOSCÓPIO SKF"/>
    <n v="1"/>
    <s v="REALIZADO"/>
    <s v="KELLY"/>
    <x v="83"/>
    <x v="0"/>
    <x v="0"/>
  </r>
  <r>
    <n v="67863"/>
    <x v="40"/>
    <s v="MME"/>
    <x v="2"/>
    <n v="50003297"/>
    <s v="FURADEIRA DE IMPACTO MAKITA 02"/>
    <n v="1"/>
    <s v="REALIZADO"/>
    <s v="KELLY"/>
    <x v="83"/>
    <x v="2"/>
    <x v="0"/>
  </r>
  <r>
    <n v="67863"/>
    <x v="40"/>
    <s v="MME"/>
    <x v="2"/>
    <n v="50003297"/>
    <s v="FURADEIRA DE IMPACTO MAKITA 02"/>
    <n v="1"/>
    <s v="REALIZADO"/>
    <s v="KELLY"/>
    <x v="83"/>
    <x v="0"/>
    <x v="0"/>
  </r>
  <r>
    <n v="66790"/>
    <x v="60"/>
    <s v="MMG"/>
    <x v="3"/>
    <n v="50038549"/>
    <s v="JOGO SOQUETE ESTRIADOS 1/2 22PEÇ"/>
    <n v="1"/>
    <s v="REALIZADO"/>
    <s v="KELLY"/>
    <x v="83"/>
    <x v="2"/>
    <x v="0"/>
  </r>
  <r>
    <n v="73878"/>
    <x v="20"/>
    <s v="MMG"/>
    <x v="0"/>
    <n v="50037902"/>
    <s v="LIXADEIRA BOSCH 3"/>
    <n v="1"/>
    <s v="REALIZADO"/>
    <s v="KELLY"/>
    <x v="83"/>
    <x v="0"/>
    <x v="0"/>
  </r>
  <r>
    <n v="66789"/>
    <x v="78"/>
    <s v="MME"/>
    <x v="2"/>
    <n v="50037902"/>
    <s v="LIXADEIRA BOSCH 3"/>
    <n v="1"/>
    <s v="REALIZADO"/>
    <s v="KELLY"/>
    <x v="83"/>
    <x v="2"/>
    <x v="0"/>
  </r>
  <r>
    <n v="66789"/>
    <x v="78"/>
    <s v="MME"/>
    <x v="2"/>
    <n v="50037902"/>
    <s v="LIXADEIRA BOSCH 3"/>
    <n v="1"/>
    <s v="REALIZADO"/>
    <s v="KELLY"/>
    <x v="83"/>
    <x v="0"/>
    <x v="0"/>
  </r>
  <r>
    <n v="64253"/>
    <x v="16"/>
    <s v="MMG"/>
    <x v="0"/>
    <n v="50037902"/>
    <s v="LIXADEIRA BOSCH 3"/>
    <n v="1"/>
    <s v="REALIZADO"/>
    <s v="KELLY"/>
    <x v="83"/>
    <x v="2"/>
    <x v="0"/>
  </r>
  <r>
    <n v="66789"/>
    <x v="78"/>
    <s v="MME"/>
    <x v="2"/>
    <n v="50036297"/>
    <s v="MARRETA 4KG"/>
    <n v="1"/>
    <s v="REALIZADO"/>
    <s v="KELLY"/>
    <x v="83"/>
    <x v="0"/>
    <x v="0"/>
  </r>
  <r>
    <n v="60546"/>
    <x v="74"/>
    <s v="MMG"/>
    <x v="4"/>
    <n v="50041195"/>
    <s v="PARAFUSADEIRA FUR DE IMPACTO BRUSHLESS"/>
    <n v="1"/>
    <s v="REALIZADO"/>
    <s v="GLAUBER"/>
    <x v="83"/>
    <x v="2"/>
    <x v="0"/>
  </r>
  <r>
    <n v="62419"/>
    <x v="92"/>
    <s v="MEE"/>
    <x v="4"/>
    <n v="50037933"/>
    <s v="TERMOMETRO"/>
    <n v="1"/>
    <s v="REALIZADO"/>
    <s v="EDMAR"/>
    <x v="83"/>
    <x v="2"/>
    <x v="0"/>
  </r>
  <r>
    <n v="68760"/>
    <x v="15"/>
    <s v="MMG"/>
    <x v="0"/>
    <n v="50037960"/>
    <s v="CHAVE CATRACA (1) Nº24-41V"/>
    <n v="1"/>
    <s v="REALIZADO"/>
    <s v="BRUNO"/>
    <x v="84"/>
    <x v="2"/>
    <x v="0"/>
  </r>
  <r>
    <n v="68760"/>
    <x v="15"/>
    <s v="MMG"/>
    <x v="0"/>
    <n v="50037961"/>
    <s v="CHAVE CATRACA (2) Nº24-41V"/>
    <n v="1"/>
    <s v="REALIZADO"/>
    <s v="BRUNO"/>
    <x v="84"/>
    <x v="0"/>
    <x v="0"/>
  </r>
  <r>
    <n v="77521"/>
    <x v="5"/>
    <s v="MME"/>
    <x v="0"/>
    <n v="50043471"/>
    <s v="FURADEIRA BOSCH 7"/>
    <n v="1"/>
    <s v="REALIZADO"/>
    <s v="AGATHA"/>
    <x v="84"/>
    <x v="2"/>
    <x v="0"/>
  </r>
  <r>
    <n v="77521"/>
    <x v="5"/>
    <s v="MME"/>
    <x v="0"/>
    <n v="50043471"/>
    <s v="FURADEIRA BOSCH 7"/>
    <n v="1"/>
    <s v="REALIZADO"/>
    <s v="GEOVANE"/>
    <x v="84"/>
    <x v="0"/>
    <x v="0"/>
  </r>
  <r>
    <n v="77313"/>
    <x v="17"/>
    <s v="MPR"/>
    <x v="0"/>
    <n v="50043471"/>
    <s v="FURADEIRA BOSCH 7"/>
    <n v="1"/>
    <s v="REALIZADO"/>
    <s v="MATHEUS"/>
    <x v="84"/>
    <x v="2"/>
    <x v="0"/>
  </r>
  <r>
    <n v="77313"/>
    <x v="17"/>
    <s v="MPR"/>
    <x v="0"/>
    <n v="50043471"/>
    <s v="FURADEIRA BOSCH 7"/>
    <n v="1"/>
    <s v="REALIZADO"/>
    <s v="BRUNO"/>
    <x v="84"/>
    <x v="2"/>
    <x v="0"/>
  </r>
  <r>
    <n v="66790"/>
    <x v="60"/>
    <s v="MMG"/>
    <x v="3"/>
    <n v="50038549"/>
    <s v="JOGO SOQUETE ESTRIADOS 1/2 22PEÇ"/>
    <n v="1"/>
    <s v="REALIZADO"/>
    <s v="AGATHA"/>
    <x v="84"/>
    <x v="2"/>
    <x v="0"/>
  </r>
  <r>
    <n v="62444"/>
    <x v="89"/>
    <s v="MMG"/>
    <x v="4"/>
    <n v="50038549"/>
    <s v="JOGO SOQUETE ESTRIADOS 1/2 22PEÇ"/>
    <n v="1"/>
    <s v="REALIZADO"/>
    <s v="FABIANO"/>
    <x v="84"/>
    <x v="0"/>
    <x v="0"/>
  </r>
  <r>
    <n v="62444"/>
    <x v="89"/>
    <s v="MMG"/>
    <x v="4"/>
    <n v="50038549"/>
    <s v="JOGO SOQUETE ESTRIADOS 1/2 22PEÇ"/>
    <n v="1"/>
    <s v="REALIZADO"/>
    <s v="FABIANO"/>
    <x v="84"/>
    <x v="0"/>
    <x v="0"/>
  </r>
  <r>
    <n v="65472"/>
    <x v="48"/>
    <s v="MMG"/>
    <x v="0"/>
    <n v="50038956"/>
    <s v="LIXADEIRA BOSCH 1"/>
    <n v="1"/>
    <s v="REALIZADO"/>
    <s v="MATHEUS"/>
    <x v="84"/>
    <x v="0"/>
    <x v="0"/>
  </r>
  <r>
    <n v="65472"/>
    <x v="48"/>
    <s v="MMG"/>
    <x v="0"/>
    <n v="50038956"/>
    <s v="LIXADEIRA BOSCH 1"/>
    <n v="1"/>
    <s v="REALIZADO"/>
    <s v="BRUNO"/>
    <x v="84"/>
    <x v="2"/>
    <x v="0"/>
  </r>
  <r>
    <n v="65472"/>
    <x v="48"/>
    <s v="MMG"/>
    <x v="0"/>
    <n v="50038956"/>
    <s v="LIXADEIRA BOSCH 1"/>
    <n v="1"/>
    <s v="REALIZADO"/>
    <s v="BRUNO"/>
    <x v="84"/>
    <x v="0"/>
    <x v="0"/>
  </r>
  <r>
    <n v="72707"/>
    <x v="59"/>
    <s v="MPR"/>
    <x v="0"/>
    <n v="50037892"/>
    <s v="LIXADEIRA BOSCH 2"/>
    <n v="1"/>
    <s v="REALIZADO"/>
    <s v="GEOVANE"/>
    <x v="84"/>
    <x v="2"/>
    <x v="0"/>
  </r>
  <r>
    <n v="72707"/>
    <x v="59"/>
    <s v="MPR"/>
    <x v="0"/>
    <n v="50037892"/>
    <s v="LIXADEIRA BOSCH 2"/>
    <n v="1"/>
    <s v="REALIZADO"/>
    <s v="BRUNO"/>
    <x v="84"/>
    <x v="2"/>
    <x v="0"/>
  </r>
  <r>
    <n v="64253"/>
    <x v="16"/>
    <s v="MMG"/>
    <x v="0"/>
    <n v="50037902"/>
    <s v="LIXADEIRA BOSCH 3"/>
    <n v="1"/>
    <s v="REALIZADO"/>
    <s v="AGATHA"/>
    <x v="84"/>
    <x v="0"/>
    <x v="0"/>
  </r>
  <r>
    <n v="60135"/>
    <x v="109"/>
    <s v="MME"/>
    <x v="2"/>
    <n v="50038841"/>
    <s v="LIXADEIRA BOSCH 4"/>
    <n v="1"/>
    <s v="REALIZADO"/>
    <s v="AGATHA"/>
    <x v="84"/>
    <x v="2"/>
    <x v="0"/>
  </r>
  <r>
    <n v="60135"/>
    <x v="109"/>
    <s v="MME"/>
    <x v="2"/>
    <n v="50038841"/>
    <s v="LIXADEIRA BOSCH 4"/>
    <n v="1"/>
    <s v="REALIZADO"/>
    <s v="BRUNO"/>
    <x v="84"/>
    <x v="0"/>
    <x v="0"/>
  </r>
  <r>
    <n v="77594"/>
    <x v="23"/>
    <s v="MME"/>
    <x v="0"/>
    <n v="50041195"/>
    <s v="PARAFUSADEIRA FUR DE IMPACTO BRUSHLESS"/>
    <n v="1"/>
    <s v="REALIZADO"/>
    <s v="AGATHA"/>
    <x v="84"/>
    <x v="2"/>
    <x v="0"/>
  </r>
  <r>
    <n v="77594"/>
    <x v="23"/>
    <s v="MME"/>
    <x v="0"/>
    <n v="50041195"/>
    <s v="PARAFUSADEIRA FUR DE IMPACTO BRUSHLESS"/>
    <n v="1"/>
    <s v="REALIZADO"/>
    <s v="AGATHA"/>
    <x v="84"/>
    <x v="0"/>
    <x v="0"/>
  </r>
  <r>
    <n v="77521"/>
    <x v="5"/>
    <s v="MME"/>
    <x v="0"/>
    <n v="50041195"/>
    <s v="PARAFUSADEIRA FUR DE IMPACTO BRUSHLESS"/>
    <n v="1"/>
    <s v="REALIZADO"/>
    <s v="GEOVANE"/>
    <x v="84"/>
    <x v="2"/>
    <x v="0"/>
  </r>
  <r>
    <n v="77521"/>
    <x v="5"/>
    <s v="MME"/>
    <x v="0"/>
    <n v="50041195"/>
    <s v="PARAFUSADEIRA FUR DE IMPACTO BRUSHLESS"/>
    <n v="1"/>
    <s v="REALIZADO"/>
    <s v="BRUNO"/>
    <x v="84"/>
    <x v="2"/>
    <x v="0"/>
  </r>
  <r>
    <n v="60546"/>
    <x v="74"/>
    <s v="MMG"/>
    <x v="4"/>
    <n v="50041195"/>
    <s v="PARAFUSADEIRA FUR DE IMPACTO BRUSHLESS"/>
    <n v="1"/>
    <s v="REALIZADO"/>
    <s v="GLAUBER"/>
    <x v="84"/>
    <x v="2"/>
    <x v="0"/>
  </r>
  <r>
    <n v="63770"/>
    <x v="36"/>
    <s v="MMG"/>
    <x v="0"/>
    <n v="50043917"/>
    <s v="PARAFUSADEIRA FURADEIRA BOSCH"/>
    <n v="1"/>
    <s v="REALIZADO"/>
    <s v="GEOVANE"/>
    <x v="84"/>
    <x v="0"/>
    <x v="0"/>
  </r>
  <r>
    <n v="63770"/>
    <x v="36"/>
    <s v="MMG"/>
    <x v="0"/>
    <n v="50037920"/>
    <s v="SOQUETE SEXTAVADO 41"/>
    <n v="1"/>
    <s v="REALIZADO"/>
    <s v="BRUNO"/>
    <x v="84"/>
    <x v="2"/>
    <x v="0"/>
  </r>
  <r>
    <n v="63770"/>
    <x v="36"/>
    <s v="MMG"/>
    <x v="0"/>
    <n v="50037920"/>
    <s v="SOQUETE SEXTAVADO 41"/>
    <n v="1"/>
    <s v="REALIZADO"/>
    <s v="BRUNO"/>
    <x v="84"/>
    <x v="0"/>
    <x v="0"/>
  </r>
  <r>
    <n v="65844"/>
    <x v="54"/>
    <s v="MMG"/>
    <x v="2"/>
    <n v="50043150"/>
    <s v="TACOMETRO"/>
    <n v="1"/>
    <s v="REALIZADO"/>
    <s v="GEOVANE"/>
    <x v="84"/>
    <x v="2"/>
    <x v="0"/>
  </r>
  <r>
    <n v="65844"/>
    <x v="54"/>
    <s v="MMG"/>
    <x v="2"/>
    <n v="50043150"/>
    <s v="TACOMETRO"/>
    <n v="1"/>
    <s v="REALIZADO"/>
    <s v="BRUNO"/>
    <x v="84"/>
    <x v="0"/>
    <x v="0"/>
  </r>
  <r>
    <n v="72713"/>
    <x v="68"/>
    <s v="MPR"/>
    <x v="0"/>
    <n v="50041194"/>
    <s v="TALHADEIRA MANUAL SEXTAVADA 300 X 25 MM"/>
    <n v="1"/>
    <s v="REALIZADO"/>
    <s v="GEOVANE"/>
    <x v="84"/>
    <x v="2"/>
    <x v="0"/>
  </r>
  <r>
    <n v="72713"/>
    <x v="68"/>
    <s v="MPR"/>
    <x v="0"/>
    <n v="50041194"/>
    <s v="TALHADEIRA MANUAL SEXTAVADA 300 X 25 MM"/>
    <n v="1"/>
    <s v="REALIZADO"/>
    <s v="GEOVANE"/>
    <x v="84"/>
    <x v="0"/>
    <x v="0"/>
  </r>
  <r>
    <n v="74611"/>
    <x v="2"/>
    <s v="MPR"/>
    <x v="0"/>
    <n v="50010031"/>
    <s v=" LIXADEIRA BOSCH 6"/>
    <n v="1"/>
    <s v="REALIZADO"/>
    <s v="GEOVANE"/>
    <x v="85"/>
    <x v="2"/>
    <x v="0"/>
  </r>
  <r>
    <n v="74611"/>
    <x v="2"/>
    <s v="MPR"/>
    <x v="0"/>
    <n v="50010031"/>
    <s v=" LIXADEIRA BOSCH 6"/>
    <n v="1"/>
    <s v="REALIZADO"/>
    <s v="BRUNO"/>
    <x v="85"/>
    <x v="0"/>
    <x v="0"/>
  </r>
  <r>
    <n v="77514"/>
    <x v="56"/>
    <s v="MEE"/>
    <x v="3"/>
    <n v="50038991"/>
    <s v="CAMERA TERMOGRAFICA"/>
    <n v="1"/>
    <s v="REALIZADO"/>
    <s v="KELLY"/>
    <x v="85"/>
    <x v="2"/>
    <x v="0"/>
  </r>
  <r>
    <n v="77514"/>
    <x v="56"/>
    <s v="MEE"/>
    <x v="3"/>
    <n v="50038991"/>
    <s v="CAMERA TERMOGRAFICA"/>
    <n v="1"/>
    <s v="REALIZADO"/>
    <s v="KELLY"/>
    <x v="85"/>
    <x v="0"/>
    <x v="0"/>
  </r>
  <r>
    <n v="76994"/>
    <x v="8"/>
    <s v="MEE"/>
    <x v="0"/>
    <n v="50044003"/>
    <s v="CÂMERA TERMOGRAFICA FLIR"/>
    <n v="1"/>
    <s v="REALIZADO"/>
    <s v="BRUNO"/>
    <x v="85"/>
    <x v="2"/>
    <x v="0"/>
  </r>
  <r>
    <n v="76994"/>
    <x v="8"/>
    <s v="MEE"/>
    <x v="0"/>
    <n v="50044003"/>
    <s v="CÂMERA TERMOGRAFICA FLIR"/>
    <n v="1"/>
    <s v="REALIZADO"/>
    <s v="GEOVANE"/>
    <x v="85"/>
    <x v="0"/>
    <x v="0"/>
  </r>
  <r>
    <n v="61264"/>
    <x v="10"/>
    <s v="MMG"/>
    <x v="0"/>
    <n v="50036255"/>
    <s v="CHAVE DE IMPACTO 1/2&quot; 20V"/>
    <n v="1"/>
    <s v="REALIZADO"/>
    <s v="GEOVANE"/>
    <x v="85"/>
    <x v="2"/>
    <x v="0"/>
  </r>
  <r>
    <n v="61264"/>
    <x v="10"/>
    <s v="MMG"/>
    <x v="0"/>
    <n v="50036255"/>
    <s v="CHAVE DE IMPACTO 1/2&quot; 20V"/>
    <n v="1"/>
    <s v="REALIZADO"/>
    <s v="GEOVANE"/>
    <x v="85"/>
    <x v="0"/>
    <x v="0"/>
  </r>
  <r>
    <n v="61264"/>
    <x v="10"/>
    <s v="MMG"/>
    <x v="0"/>
    <n v="50036279"/>
    <s v="CHAVE GRIFO 36"/>
    <n v="1"/>
    <s v="REALIZADO"/>
    <s v="BRUNO"/>
    <x v="85"/>
    <x v="2"/>
    <x v="0"/>
  </r>
  <r>
    <n v="61264"/>
    <x v="10"/>
    <s v="MMG"/>
    <x v="0"/>
    <n v="50036279"/>
    <s v="CHAVE GRIFO 36"/>
    <n v="1"/>
    <s v="REALIZADO"/>
    <s v="BRUNO"/>
    <x v="85"/>
    <x v="0"/>
    <x v="0"/>
  </r>
  <r>
    <n v="65084"/>
    <x v="83"/>
    <s v="MMG"/>
    <x v="4"/>
    <n v="50039718"/>
    <s v="ESCALA DE ACO 1000MM VONDER "/>
    <n v="1"/>
    <s v="REALIZADO"/>
    <s v="FABIANO"/>
    <x v="85"/>
    <x v="0"/>
    <x v="0"/>
  </r>
  <r>
    <n v="77594"/>
    <x v="23"/>
    <s v="MME"/>
    <x v="0"/>
    <n v="50030486"/>
    <s v="FURADEIRA BOSCH 3"/>
    <n v="1"/>
    <s v="REALIZADO"/>
    <s v="BRUNO"/>
    <x v="85"/>
    <x v="2"/>
    <x v="0"/>
  </r>
  <r>
    <n v="77594"/>
    <x v="23"/>
    <s v="MME"/>
    <x v="0"/>
    <n v="50030486"/>
    <s v="FURADEIRA BOSCH 3"/>
    <n v="1"/>
    <s v="REALIZADO"/>
    <s v="BRUNO"/>
    <x v="85"/>
    <x v="0"/>
    <x v="0"/>
  </r>
  <r>
    <n v="77313"/>
    <x v="17"/>
    <s v="MPR"/>
    <x v="0"/>
    <n v="50039236"/>
    <s v="FURADEIRA BOSCH 4"/>
    <n v="1"/>
    <s v="REALIZADO"/>
    <s v="GEOVANE"/>
    <x v="85"/>
    <x v="2"/>
    <x v="0"/>
  </r>
  <r>
    <n v="77313"/>
    <x v="17"/>
    <s v="MPR"/>
    <x v="0"/>
    <n v="50039236"/>
    <s v="FURADEIRA BOSCH 4"/>
    <n v="1"/>
    <s v="REALIZADO"/>
    <s v="BRUNO"/>
    <x v="85"/>
    <x v="0"/>
    <x v="0"/>
  </r>
  <r>
    <n v="66790"/>
    <x v="60"/>
    <s v="MMG"/>
    <x v="3"/>
    <n v="50003296"/>
    <s v="FURADEIRA DE IMPACTO MAKITA 01"/>
    <n v="1"/>
    <s v="NÃO REALIZADO"/>
    <s v="KELLY"/>
    <x v="85"/>
    <x v="2"/>
    <x v="0"/>
  </r>
  <r>
    <n v="66790"/>
    <x v="60"/>
    <s v="MMG"/>
    <x v="3"/>
    <n v="50003296"/>
    <s v="FURADEIRA DE IMPACTO MAKITA 01"/>
    <n v="1"/>
    <s v="REALIZADO"/>
    <s v="KELLY"/>
    <x v="85"/>
    <x v="0"/>
    <x v="0"/>
  </r>
  <r>
    <n v="70105"/>
    <x v="25"/>
    <s v="MMG"/>
    <x v="3"/>
    <n v="50003297"/>
    <s v="FURADEIRA DE IMPACTO MAKITA 02"/>
    <n v="1"/>
    <s v="REALIZADO"/>
    <s v="BRUNO"/>
    <x v="85"/>
    <x v="2"/>
    <x v="0"/>
  </r>
  <r>
    <n v="70105"/>
    <x v="25"/>
    <s v="MMG"/>
    <x v="3"/>
    <n v="50003297"/>
    <s v="FURADEIRA DE IMPACTO MAKITA 02"/>
    <n v="1"/>
    <s v="REALIZADO"/>
    <s v="BRUNO"/>
    <x v="85"/>
    <x v="0"/>
    <x v="0"/>
  </r>
  <r>
    <n v="62161"/>
    <x v="72"/>
    <s v="MME"/>
    <x v="3"/>
    <n v="50037902"/>
    <s v="LIXADEIRA BOSCH 3"/>
    <n v="1"/>
    <s v="REALIZADO"/>
    <s v="KELLY"/>
    <x v="85"/>
    <x v="2"/>
    <x v="0"/>
  </r>
  <r>
    <n v="62161"/>
    <x v="72"/>
    <s v="MME"/>
    <x v="3"/>
    <n v="50037902"/>
    <s v="LIXADEIRA BOSCH 3"/>
    <n v="1"/>
    <s v="REALIZADO"/>
    <s v="GEOVANE"/>
    <x v="85"/>
    <x v="0"/>
    <x v="0"/>
  </r>
  <r>
    <n v="77594"/>
    <x v="23"/>
    <s v="MME"/>
    <x v="0"/>
    <n v="50038841"/>
    <s v="LIXADEIRA BOSCH 4"/>
    <n v="1"/>
    <s v="REALIZADO"/>
    <s v="BRUNO"/>
    <x v="85"/>
    <x v="2"/>
    <x v="0"/>
  </r>
  <r>
    <n v="77594"/>
    <x v="23"/>
    <s v="MME"/>
    <x v="0"/>
    <n v="50038841"/>
    <s v="LIXADEIRA BOSCH 4"/>
    <n v="1"/>
    <s v="REALIZADO"/>
    <s v="BRUNO"/>
    <x v="85"/>
    <x v="0"/>
    <x v="0"/>
  </r>
  <r>
    <n v="63713"/>
    <x v="67"/>
    <s v="MME"/>
    <x v="0"/>
    <n v="50038841"/>
    <s v="LIXADEIRA BOSCH 4"/>
    <n v="1"/>
    <s v="REALIZADO"/>
    <s v="BRUNO"/>
    <x v="85"/>
    <x v="2"/>
    <x v="0"/>
  </r>
  <r>
    <n v="63713"/>
    <x v="67"/>
    <s v="MME"/>
    <x v="0"/>
    <n v="50038841"/>
    <s v="LIXADEIRA BOSCH 4"/>
    <n v="1"/>
    <s v="REALIZADO"/>
    <s v="BRUNO"/>
    <x v="85"/>
    <x v="0"/>
    <x v="0"/>
  </r>
  <r>
    <n v="70105"/>
    <x v="25"/>
    <s v="MMG"/>
    <x v="3"/>
    <n v="50038517"/>
    <s v="LIXADEIRA BOSCH 5"/>
    <n v="1"/>
    <s v="REALIZADO"/>
    <s v="BRUNO"/>
    <x v="85"/>
    <x v="2"/>
    <x v="0"/>
  </r>
  <r>
    <n v="70105"/>
    <x v="25"/>
    <s v="MMG"/>
    <x v="3"/>
    <n v="50038517"/>
    <s v="LIXADEIRA BOSCH 5"/>
    <n v="1"/>
    <s v="REALIZADO"/>
    <s v="BRUNO"/>
    <x v="85"/>
    <x v="0"/>
    <x v="0"/>
  </r>
  <r>
    <n v="62444"/>
    <x v="89"/>
    <s v="MMG"/>
    <x v="4"/>
    <n v="50001995"/>
    <s v="MAQUINA DE SOLDA"/>
    <n v="1"/>
    <s v="REALIZADO"/>
    <s v="FABIANO"/>
    <x v="85"/>
    <x v="0"/>
    <x v="0"/>
  </r>
  <r>
    <n v="72713"/>
    <x v="68"/>
    <s v="MPR"/>
    <x v="0"/>
    <n v="50038662"/>
    <s v="MARTELO ROMPEDOR SDS MAX 220V 1100W"/>
    <n v="1"/>
    <s v="REALIZADO"/>
    <s v="BRUNO"/>
    <x v="85"/>
    <x v="0"/>
    <x v="0"/>
  </r>
  <r>
    <n v="62161"/>
    <x v="72"/>
    <s v="MME"/>
    <x v="3"/>
    <n v="50041195"/>
    <s v="PARAFUSADEIRA FUR DE IMPACTO BRUSHLESS"/>
    <n v="1"/>
    <s v="REALIZADO"/>
    <s v="KELLY"/>
    <x v="85"/>
    <x v="2"/>
    <x v="0"/>
  </r>
  <r>
    <n v="62161"/>
    <x v="72"/>
    <s v="MME"/>
    <x v="3"/>
    <n v="50041195"/>
    <s v="PARAFUSADEIRA FUR DE IMPACTO BRUSHLESS"/>
    <n v="1"/>
    <s v="REALIZADO"/>
    <s v="KELLY"/>
    <x v="85"/>
    <x v="0"/>
    <x v="0"/>
  </r>
  <r>
    <n v="70105"/>
    <x v="25"/>
    <s v="MMG"/>
    <x v="3"/>
    <n v="50043917"/>
    <s v="PARAFUSADEIRA FURADEIRA BOSCH"/>
    <n v="1"/>
    <s v="REALIZADO"/>
    <s v="BRUNO"/>
    <x v="85"/>
    <x v="2"/>
    <x v="0"/>
  </r>
  <r>
    <n v="70105"/>
    <x v="25"/>
    <s v="MMG"/>
    <x v="3"/>
    <n v="50043917"/>
    <s v="PARAFUSADEIRA FURADEIRA BOSCH"/>
    <n v="1"/>
    <s v="REALIZADO"/>
    <s v="BRUNO"/>
    <x v="85"/>
    <x v="0"/>
    <x v="0"/>
  </r>
  <r>
    <n v="77313"/>
    <x v="17"/>
    <s v="MPR"/>
    <x v="0"/>
    <n v="50020622"/>
    <s v="REBITADOR MANUAL"/>
    <n v="1"/>
    <s v="REALIZADO"/>
    <s v="GEOVANE"/>
    <x v="85"/>
    <x v="2"/>
    <x v="0"/>
  </r>
  <r>
    <n v="77313"/>
    <x v="17"/>
    <s v="MPR"/>
    <x v="0"/>
    <n v="50020622"/>
    <s v="REBITADOR MANUAL"/>
    <n v="1"/>
    <s v="REALIZADO"/>
    <s v="BRUNO"/>
    <x v="85"/>
    <x v="0"/>
    <x v="0"/>
  </r>
  <r>
    <n v="61264"/>
    <x v="10"/>
    <s v="MMG"/>
    <x v="0"/>
    <n v="50032775"/>
    <s v="SACA POLIA 150MM 3 GARRAS - GEDORE"/>
    <n v="1"/>
    <s v="REALIZADO"/>
    <s v="GEOVANE"/>
    <x v="85"/>
    <x v="2"/>
    <x v="0"/>
  </r>
  <r>
    <n v="61264"/>
    <x v="10"/>
    <s v="MMG"/>
    <x v="0"/>
    <n v="50032775"/>
    <s v="SACA POLIA 150MM 3 GARRAS - GEDORE"/>
    <n v="1"/>
    <s v="REALIZADO"/>
    <s v="GEOVANE"/>
    <x v="85"/>
    <x v="0"/>
    <x v="0"/>
  </r>
  <r>
    <n v="74611"/>
    <x v="2"/>
    <s v="MPR"/>
    <x v="0"/>
    <n v="50028220"/>
    <s v="SOPRADOR TERMICO VONDER 1500W 220V"/>
    <n v="1"/>
    <s v="REALIZADO"/>
    <s v="GEOVANE"/>
    <x v="85"/>
    <x v="2"/>
    <x v="0"/>
  </r>
  <r>
    <n v="74611"/>
    <x v="2"/>
    <s v="MPR"/>
    <x v="0"/>
    <n v="50028220"/>
    <s v="SOPRADOR TERMICO VONDER 1500W 220V"/>
    <n v="1"/>
    <s v="REALIZADO"/>
    <s v="GEOVANE"/>
    <x v="85"/>
    <x v="0"/>
    <x v="0"/>
  </r>
  <r>
    <n v="72728"/>
    <x v="58"/>
    <s v="UTI"/>
    <x v="3"/>
    <n v="50028220"/>
    <s v="SOPRADOR TERMICO VONDER 1500W 220V"/>
    <n v="1"/>
    <s v="REALIZADO"/>
    <s v="BRUNO"/>
    <x v="85"/>
    <x v="2"/>
    <x v="0"/>
  </r>
  <r>
    <n v="72728"/>
    <x v="58"/>
    <s v="UTI"/>
    <x v="3"/>
    <n v="50028220"/>
    <s v="SOPRADOR TERMICO VONDER 1500W 220V"/>
    <n v="1"/>
    <s v="REALIZADO"/>
    <s v="BRUNO"/>
    <x v="85"/>
    <x v="0"/>
    <x v="0"/>
  </r>
  <r>
    <n v="72713"/>
    <x v="68"/>
    <s v="MPR"/>
    <x v="0"/>
    <n v="50041194"/>
    <s v="TALHADEIRA MANUAL SEXTAVADA 300 X 25 MM"/>
    <n v="1"/>
    <s v="REALIZADO"/>
    <s v="BRUNO"/>
    <x v="85"/>
    <x v="2"/>
    <x v="0"/>
  </r>
  <r>
    <n v="65084"/>
    <x v="83"/>
    <s v="MMG"/>
    <x v="4"/>
    <n v="50039718"/>
    <s v="ESCALA DE ACO 1000MM VONDER "/>
    <n v="1"/>
    <s v="REALIZADO"/>
    <s v="FABIANO"/>
    <x v="86"/>
    <x v="0"/>
    <x v="0"/>
  </r>
  <r>
    <n v="77521"/>
    <x v="5"/>
    <s v="MME"/>
    <x v="0"/>
    <n v="50030486"/>
    <s v="FURADEIRA BOSCH 3"/>
    <n v="1"/>
    <s v="REALIZADO"/>
    <s v="AGATHA"/>
    <x v="86"/>
    <x v="2"/>
    <x v="0"/>
  </r>
  <r>
    <n v="77521"/>
    <x v="5"/>
    <s v="MME"/>
    <x v="0"/>
    <n v="50030486"/>
    <s v="FURADEIRA BOSCH 3"/>
    <n v="1"/>
    <s v="REALIZADO"/>
    <s v="GEOVANE"/>
    <x v="86"/>
    <x v="0"/>
    <x v="0"/>
  </r>
  <r>
    <n v="77521"/>
    <x v="5"/>
    <s v="MME"/>
    <x v="0"/>
    <n v="50039236"/>
    <s v="FURADEIRA BOSCH 4"/>
    <n v="1"/>
    <s v="REALIZADO"/>
    <s v="BRUNO"/>
    <x v="86"/>
    <x v="2"/>
    <x v="0"/>
  </r>
  <r>
    <n v="77521"/>
    <x v="5"/>
    <s v="MME"/>
    <x v="0"/>
    <n v="50039236"/>
    <s v="FURADEIRA BOSCH 4"/>
    <n v="1"/>
    <s v="REALIZADO"/>
    <s v="BRUNO"/>
    <x v="86"/>
    <x v="0"/>
    <x v="0"/>
  </r>
  <r>
    <n v="68708"/>
    <x v="13"/>
    <s v="MMG"/>
    <x v="0"/>
    <n v="50043471"/>
    <s v="FURADEIRA BOSCH 7"/>
    <n v="1"/>
    <s v="REALIZADO"/>
    <s v="GEOVANE"/>
    <x v="86"/>
    <x v="2"/>
    <x v="0"/>
  </r>
  <r>
    <n v="68708"/>
    <x v="13"/>
    <s v="MMG"/>
    <x v="0"/>
    <n v="50043471"/>
    <s v="FURADEIRA BOSCH 7"/>
    <n v="1"/>
    <s v="REALIZADO"/>
    <s v="BRUNO"/>
    <x v="86"/>
    <x v="0"/>
    <x v="0"/>
  </r>
  <r>
    <n v="77521"/>
    <x v="5"/>
    <s v="MME"/>
    <x v="0"/>
    <n v="50003296"/>
    <s v="FURADEIRA DE IMPACTO MAKITA 01"/>
    <n v="1"/>
    <s v="REALIZADO"/>
    <s v="AGATHA"/>
    <x v="86"/>
    <x v="2"/>
    <x v="0"/>
  </r>
  <r>
    <n v="77521"/>
    <x v="5"/>
    <s v="MME"/>
    <x v="0"/>
    <n v="50003296"/>
    <s v="FURADEIRA DE IMPACTO MAKITA 01"/>
    <n v="1"/>
    <s v="REALIZADO"/>
    <s v="AGATHA"/>
    <x v="86"/>
    <x v="0"/>
    <x v="0"/>
  </r>
  <r>
    <n v="68708"/>
    <x v="13"/>
    <s v="MMG"/>
    <x v="0"/>
    <n v="50038549"/>
    <s v="JOGO SOQUETE ESTRIADOS 1/2 22PEÇ"/>
    <n v="1"/>
    <s v="REALIZADO"/>
    <s v="AGATHA"/>
    <x v="86"/>
    <x v="2"/>
    <x v="0"/>
  </r>
  <r>
    <n v="67100"/>
    <x v="95"/>
    <s v="MMG"/>
    <x v="3"/>
    <n v="50038549"/>
    <s v="JOGO SOQUETE ESTRIADOS 1/2 22PEÇ"/>
    <n v="1"/>
    <s v="REALIZADO"/>
    <s v="AGATHA"/>
    <x v="86"/>
    <x v="2"/>
    <x v="0"/>
  </r>
  <r>
    <n v="68708"/>
    <x v="13"/>
    <s v="MMG"/>
    <x v="0"/>
    <n v="50038549"/>
    <s v="JOGO SOQUETE ESTRIADOS 1/2 22PEÇ"/>
    <n v="1"/>
    <s v="REALIZADO"/>
    <s v="BRUNO"/>
    <x v="86"/>
    <x v="0"/>
    <x v="0"/>
  </r>
  <r>
    <n v="61355"/>
    <x v="110"/>
    <s v="MEE"/>
    <x v="4"/>
    <n v="50038549"/>
    <s v="JOGO SOQUETE ESTRIADOS 1/2 22PEÇ"/>
    <n v="1"/>
    <s v="REALIZADO"/>
    <s v="BRUNO"/>
    <x v="86"/>
    <x v="2"/>
    <x v="0"/>
  </r>
  <r>
    <n v="61355"/>
    <x v="110"/>
    <s v="MEE"/>
    <x v="4"/>
    <n v="50038549"/>
    <s v="JOGO SOQUETE ESTRIADOS 1/2 22PEÇ"/>
    <n v="1"/>
    <s v="REALIZADO"/>
    <s v="BRUNO"/>
    <x v="86"/>
    <x v="0"/>
    <x v="0"/>
  </r>
  <r>
    <n v="63770"/>
    <x v="36"/>
    <s v="MMG"/>
    <x v="0"/>
    <n v="50022878"/>
    <s v="KIT MONTAGEM ROLAMENTO SKF"/>
    <n v="1"/>
    <s v="REALIZADO"/>
    <s v="BRUNO"/>
    <x v="86"/>
    <x v="2"/>
    <x v="0"/>
  </r>
  <r>
    <n v="63770"/>
    <x v="36"/>
    <s v="MMG"/>
    <x v="0"/>
    <n v="50022878"/>
    <s v="KIT MONTAGEM ROLAMENTO SKF"/>
    <n v="1"/>
    <s v="REALIZADO"/>
    <s v="BRUNO"/>
    <x v="86"/>
    <x v="0"/>
    <x v="0"/>
  </r>
  <r>
    <n v="77521"/>
    <x v="5"/>
    <s v="MME"/>
    <x v="0"/>
    <n v="50038956"/>
    <s v="LIXADEIRA BOSCH 1"/>
    <n v="1"/>
    <s v="REALIZADO"/>
    <s v="AGATHA"/>
    <x v="86"/>
    <x v="2"/>
    <x v="0"/>
  </r>
  <r>
    <n v="62137"/>
    <x v="67"/>
    <s v="MME"/>
    <x v="2"/>
    <n v="50038956"/>
    <s v="LIXADEIRA BOSCH 1"/>
    <n v="1"/>
    <s v="REALIZADO"/>
    <s v="BRUNO"/>
    <x v="86"/>
    <x v="0"/>
    <x v="0"/>
  </r>
  <r>
    <n v="78678"/>
    <x v="0"/>
    <s v="MME"/>
    <x v="0"/>
    <n v="50037902"/>
    <s v="LIXADEIRA BOSCH 3"/>
    <n v="1"/>
    <s v="REALIZADO"/>
    <s v="GEOVANE"/>
    <x v="86"/>
    <x v="2"/>
    <x v="0"/>
  </r>
  <r>
    <n v="78678"/>
    <x v="0"/>
    <s v="MME"/>
    <x v="0"/>
    <n v="50037902"/>
    <s v="LIXADEIRA BOSCH 3"/>
    <n v="1"/>
    <s v="REALIZADO"/>
    <s v="GEOVANE"/>
    <x v="86"/>
    <x v="0"/>
    <x v="0"/>
  </r>
  <r>
    <n v="66830"/>
    <x v="3"/>
    <s v="MPR"/>
    <x v="0"/>
    <n v="50037902"/>
    <s v="LIXADEIRA BOSCH 3"/>
    <n v="1"/>
    <s v="REALIZADO"/>
    <s v="BRUNO"/>
    <x v="86"/>
    <x v="0"/>
    <x v="0"/>
  </r>
  <r>
    <n v="65814"/>
    <x v="111"/>
    <s v="MME"/>
    <x v="3"/>
    <n v="50038841"/>
    <s v="LIXADEIRA BOSCH 4"/>
    <n v="1"/>
    <s v="NÃO REALIZADO"/>
    <s v="KELLY"/>
    <x v="86"/>
    <x v="2"/>
    <x v="0"/>
  </r>
  <r>
    <n v="65814"/>
    <x v="111"/>
    <s v="MME"/>
    <x v="3"/>
    <n v="50038841"/>
    <s v="LIXADEIRA BOSCH 4"/>
    <n v="1"/>
    <s v="REALIZADO"/>
    <s v="KELLY"/>
    <x v="86"/>
    <x v="2"/>
    <x v="0"/>
  </r>
  <r>
    <n v="62444"/>
    <x v="89"/>
    <s v="MMG"/>
    <x v="4"/>
    <n v="50001995"/>
    <s v="MAQUINA DE SOLDA"/>
    <n v="1"/>
    <s v="REALIZADO"/>
    <s v="FABIANO"/>
    <x v="86"/>
    <x v="0"/>
    <x v="0"/>
  </r>
  <r>
    <n v="67100"/>
    <x v="95"/>
    <s v="MMG"/>
    <x v="3"/>
    <n v="50038626"/>
    <s v="MARRETA 8KG"/>
    <n v="1"/>
    <s v="REALIZADO"/>
    <s v="KELLY"/>
    <x v="86"/>
    <x v="2"/>
    <x v="0"/>
  </r>
  <r>
    <n v="67100"/>
    <x v="95"/>
    <s v="MMG"/>
    <x v="3"/>
    <n v="50038626"/>
    <s v="MARRETA 8KG"/>
    <n v="1"/>
    <s v="REALIZADO"/>
    <s v="KELLY"/>
    <x v="86"/>
    <x v="0"/>
    <x v="0"/>
  </r>
  <r>
    <n v="62640"/>
    <x v="44"/>
    <s v="MPR"/>
    <x v="0"/>
    <n v="50026357"/>
    <s v="MARTELETE VONDER"/>
    <n v="1"/>
    <s v="REALIZADO"/>
    <s v="AGATHA"/>
    <x v="86"/>
    <x v="2"/>
    <x v="0"/>
  </r>
  <r>
    <n v="62640"/>
    <x v="44"/>
    <s v="MPR"/>
    <x v="0"/>
    <n v="50026357"/>
    <s v="MARTELETE VONDER"/>
    <n v="1"/>
    <s v="REALIZADO"/>
    <s v="BRUNO"/>
    <x v="86"/>
    <x v="2"/>
    <x v="0"/>
  </r>
  <r>
    <n v="72713"/>
    <x v="68"/>
    <s v="MPR"/>
    <x v="0"/>
    <n v="50038662"/>
    <s v="MARTELO ROMPEDOR SDS MAX 220V 1100W"/>
    <n v="1"/>
    <s v="REALIZADO"/>
    <s v="BRUNO"/>
    <x v="86"/>
    <x v="0"/>
    <x v="0"/>
  </r>
  <r>
    <n v="72808"/>
    <x v="79"/>
    <s v="MME"/>
    <x v="3"/>
    <n v="50043917"/>
    <s v="PARAFUSADEIRA FURADEIRA BOSCH"/>
    <n v="1"/>
    <s v="REALIZADO"/>
    <s v="KELLY"/>
    <x v="86"/>
    <x v="0"/>
    <x v="0"/>
  </r>
  <r>
    <n v="72808"/>
    <x v="79"/>
    <s v="MME"/>
    <x v="3"/>
    <n v="50043917"/>
    <s v="PARAFUSADEIRA FURADEIRA BOSCH"/>
    <n v="1"/>
    <s v="REALIZADO"/>
    <s v="KELLY"/>
    <x v="86"/>
    <x v="0"/>
    <x v="0"/>
  </r>
  <r>
    <n v="62640"/>
    <x v="44"/>
    <s v="MPR"/>
    <x v="0"/>
    <n v="50043917"/>
    <s v="PARAFUSADEIRA FURADEIRA BOSCH"/>
    <n v="1"/>
    <s v="REALIZADO"/>
    <s v="AGATHA"/>
    <x v="86"/>
    <x v="2"/>
    <x v="0"/>
  </r>
  <r>
    <n v="62640"/>
    <x v="44"/>
    <s v="MPR"/>
    <x v="0"/>
    <n v="50043917"/>
    <s v="PARAFUSADEIRA FURADEIRA BOSCH"/>
    <n v="1"/>
    <s v="REALIZADO"/>
    <s v="GEOVANE"/>
    <x v="86"/>
    <x v="0"/>
    <x v="0"/>
  </r>
  <r>
    <n v="77521"/>
    <x v="5"/>
    <s v="MME"/>
    <x v="0"/>
    <n v="50012902"/>
    <s v="SACA POLIA 03 GARRAS 250 MM GEDORE"/>
    <n v="1"/>
    <s v="REALIZADO"/>
    <s v="AGATHA"/>
    <x v="86"/>
    <x v="2"/>
    <x v="0"/>
  </r>
  <r>
    <n v="77521"/>
    <x v="5"/>
    <s v="MME"/>
    <x v="0"/>
    <n v="50012902"/>
    <s v="SACA POLIA 03 GARRAS 250 MM GEDORE"/>
    <n v="1"/>
    <s v="REALIZADO"/>
    <s v="BRUNO"/>
    <x v="86"/>
    <x v="0"/>
    <x v="0"/>
  </r>
  <r>
    <n v="74611"/>
    <x v="2"/>
    <s v="MPR"/>
    <x v="0"/>
    <n v="50038840"/>
    <s v="SERRA CIRCULAR MAKITA 4100NH2"/>
    <n v="1"/>
    <s v="REALIZADO"/>
    <s v="AGATHA"/>
    <x v="86"/>
    <x v="2"/>
    <x v="0"/>
  </r>
  <r>
    <n v="74611"/>
    <x v="2"/>
    <s v="MPR"/>
    <x v="0"/>
    <n v="50038840"/>
    <s v="SERRA CIRCULAR MAKITA 4100NH2"/>
    <n v="1"/>
    <s v="REALIZADO"/>
    <s v="BRUNO"/>
    <x v="86"/>
    <x v="2"/>
    <x v="0"/>
  </r>
  <r>
    <n v="72713"/>
    <x v="68"/>
    <s v="MPR"/>
    <x v="0"/>
    <n v="50041194"/>
    <s v="TALHADEIRA MANUAL SEXTAVADA 300 X 25 MM"/>
    <n v="1"/>
    <s v="REALIZADO"/>
    <s v="BRUNO"/>
    <x v="86"/>
    <x v="0"/>
    <x v="0"/>
  </r>
  <r>
    <n v="66830"/>
    <x v="3"/>
    <s v="MPR"/>
    <x v="0"/>
    <n v="50036086"/>
    <s v="CHAVE GRIFO 18"/>
    <n v="1"/>
    <s v="REALIZADO"/>
    <s v="GEOVANE"/>
    <x v="87"/>
    <x v="2"/>
    <x v="0"/>
  </r>
  <r>
    <n v="66830"/>
    <x v="3"/>
    <s v="MPR"/>
    <x v="0"/>
    <n v="50036086"/>
    <s v="CHAVE GRIFO 18"/>
    <n v="1"/>
    <s v="REALIZADO"/>
    <s v="MATHEUS"/>
    <x v="87"/>
    <x v="0"/>
    <x v="0"/>
  </r>
  <r>
    <n v="65474"/>
    <x v="97"/>
    <s v="MMG"/>
    <x v="2"/>
    <n v="50036086"/>
    <s v="CHAVE GRIFO 18"/>
    <n v="1"/>
    <s v="REALIZADO"/>
    <s v="FABIANO"/>
    <x v="87"/>
    <x v="2"/>
    <x v="0"/>
  </r>
  <r>
    <n v="65474"/>
    <x v="97"/>
    <s v="MMG"/>
    <x v="2"/>
    <n v="50036086"/>
    <s v="CHAVE GRIFO 18"/>
    <n v="1"/>
    <s v="REALIZADO"/>
    <s v="FABIANO"/>
    <x v="87"/>
    <x v="0"/>
    <x v="0"/>
  </r>
  <r>
    <n v="65472"/>
    <x v="48"/>
    <s v="MMG"/>
    <x v="0"/>
    <n v="50036279"/>
    <s v="CHAVE GRIFO 36"/>
    <n v="2"/>
    <s v="REALIZADO"/>
    <s v="MARCIA"/>
    <x v="87"/>
    <x v="2"/>
    <x v="0"/>
  </r>
  <r>
    <n v="65472"/>
    <x v="48"/>
    <s v="MMG"/>
    <x v="0"/>
    <n v="50036279"/>
    <s v="CHAVE GRIFO 36"/>
    <n v="2"/>
    <s v="REALIZADO"/>
    <s v="MATHEUS"/>
    <x v="87"/>
    <x v="0"/>
    <x v="0"/>
  </r>
  <r>
    <n v="67100"/>
    <x v="95"/>
    <s v="MMG"/>
    <x v="3"/>
    <n v="50039718"/>
    <s v="ESCALA DE ACO 1000MM VONDER "/>
    <n v="1"/>
    <s v="REALIZADO"/>
    <s v="KELLY"/>
    <x v="87"/>
    <x v="2"/>
    <x v="0"/>
  </r>
  <r>
    <n v="74874"/>
    <x v="90"/>
    <s v="MMG"/>
    <x v="0"/>
    <n v="50039718"/>
    <s v="ESCALA DE ACO 1000MM VONDER "/>
    <n v="1"/>
    <s v="REALIZADO"/>
    <s v="GEOVANE"/>
    <x v="87"/>
    <x v="0"/>
    <x v="0"/>
  </r>
  <r>
    <n v="74874"/>
    <x v="90"/>
    <s v="MMG"/>
    <x v="0"/>
    <n v="50037905"/>
    <s v="ESTETOSCÓPIO SKF"/>
    <n v="1"/>
    <s v="REALIZADO"/>
    <s v="MARCIA"/>
    <x v="87"/>
    <x v="2"/>
    <x v="0"/>
  </r>
  <r>
    <n v="74874"/>
    <x v="90"/>
    <s v="MMG"/>
    <x v="0"/>
    <n v="50037905"/>
    <s v="ESTETOSCÓPIO SKF"/>
    <n v="1"/>
    <s v="REALIZADO"/>
    <s v="MARCIA"/>
    <x v="87"/>
    <x v="0"/>
    <x v="0"/>
  </r>
  <r>
    <n v="74611"/>
    <x v="2"/>
    <s v="MPR"/>
    <x v="0"/>
    <n v="50030486"/>
    <s v="FURADEIRA BOSCH 3"/>
    <n v="1"/>
    <s v="REALIZADO"/>
    <s v="GEOVANE"/>
    <x v="87"/>
    <x v="2"/>
    <x v="0"/>
  </r>
  <r>
    <n v="74611"/>
    <x v="2"/>
    <s v="MPR"/>
    <x v="0"/>
    <n v="50030486"/>
    <s v="FURADEIRA BOSCH 3"/>
    <n v="1"/>
    <s v="REALIZADO"/>
    <s v="MATHEUS"/>
    <x v="87"/>
    <x v="0"/>
    <x v="0"/>
  </r>
  <r>
    <n v="73878"/>
    <x v="20"/>
    <s v="MMG"/>
    <x v="0"/>
    <n v="50039236"/>
    <s v="FURADEIRA BOSCH 4"/>
    <n v="1"/>
    <s v="REALIZADO"/>
    <s v="KELLY"/>
    <x v="87"/>
    <x v="2"/>
    <x v="0"/>
  </r>
  <r>
    <n v="73878"/>
    <x v="20"/>
    <s v="MMG"/>
    <x v="0"/>
    <n v="50039236"/>
    <s v="FURADEIRA BOSCH 4"/>
    <n v="1"/>
    <s v="REALIZADO"/>
    <s v="GEOVANE"/>
    <x v="87"/>
    <x v="0"/>
    <x v="0"/>
  </r>
  <r>
    <n v="62896"/>
    <x v="33"/>
    <s v="MEE"/>
    <x v="0"/>
    <n v="50043471"/>
    <s v="FURADEIRA BOSCH 7"/>
    <n v="1"/>
    <s v="REALIZADO"/>
    <s v="MATHEUS"/>
    <x v="87"/>
    <x v="2"/>
    <x v="0"/>
  </r>
  <r>
    <n v="62896"/>
    <x v="33"/>
    <s v="MEE"/>
    <x v="0"/>
    <n v="50043471"/>
    <s v="FURADEIRA BOSCH 7"/>
    <n v="1"/>
    <s v="REALIZADO"/>
    <s v="MATHEUS"/>
    <x v="87"/>
    <x v="0"/>
    <x v="0"/>
  </r>
  <r>
    <n v="74611"/>
    <x v="2"/>
    <s v="MPR"/>
    <x v="0"/>
    <n v="50029865"/>
    <s v="JOGO DE BROCAS ACO RAPIDO"/>
    <n v="1"/>
    <s v="REALIZADO"/>
    <s v="GEOVANE"/>
    <x v="87"/>
    <x v="2"/>
    <x v="0"/>
  </r>
  <r>
    <n v="74611"/>
    <x v="2"/>
    <s v="MPR"/>
    <x v="0"/>
    <n v="50029865"/>
    <s v="JOGO DE BROCAS ACO RAPIDO"/>
    <n v="1"/>
    <s v="REALIZADO"/>
    <s v="MATHEUS"/>
    <x v="87"/>
    <x v="0"/>
    <x v="0"/>
  </r>
  <r>
    <n v="67100"/>
    <x v="95"/>
    <s v="MMG"/>
    <x v="3"/>
    <n v="50038549"/>
    <s v="JOGO SOQUETE ESTRIADOS 1/2 22PEÇ"/>
    <n v="1"/>
    <s v="REALIZADO"/>
    <s v="KELLY"/>
    <x v="87"/>
    <x v="2"/>
    <x v="0"/>
  </r>
  <r>
    <n v="77471"/>
    <x v="35"/>
    <s v="MEE"/>
    <x v="0"/>
    <n v="50038549"/>
    <s v="JOGO SOQUETE ESTRIADOS 1/2 22PEÇ"/>
    <n v="1"/>
    <s v="REALIZADO"/>
    <s v="GEOVANE"/>
    <x v="87"/>
    <x v="2"/>
    <x v="0"/>
  </r>
  <r>
    <n v="68708"/>
    <x v="13"/>
    <s v="MMG"/>
    <x v="0"/>
    <n v="50038549"/>
    <s v="JOGO SOQUETE ESTRIADOS 1/2 22PEÇ"/>
    <n v="1"/>
    <s v="REALIZADO"/>
    <s v="MATHEUS"/>
    <x v="87"/>
    <x v="2"/>
    <x v="0"/>
  </r>
  <r>
    <n v="62444"/>
    <x v="89"/>
    <s v="MMG"/>
    <x v="4"/>
    <n v="50038549"/>
    <s v="JOGO SOQUETE ESTRIADOS 1/2 22PEÇ"/>
    <n v="1"/>
    <s v="REALIZADO"/>
    <s v="FABIANO"/>
    <x v="87"/>
    <x v="0"/>
    <x v="0"/>
  </r>
  <r>
    <n v="62444"/>
    <x v="89"/>
    <s v="MMG"/>
    <x v="4"/>
    <n v="50038549"/>
    <s v="JOGO SOQUETE ESTRIADOS 1/2 22PEÇ"/>
    <n v="1"/>
    <s v="REALIZADO"/>
    <s v="FABIANO"/>
    <x v="87"/>
    <x v="2"/>
    <x v="0"/>
  </r>
  <r>
    <n v="66830"/>
    <x v="3"/>
    <s v="MPR"/>
    <x v="0"/>
    <n v="50037902"/>
    <s v="LIXADEIRA BOSCH 3"/>
    <n v="1"/>
    <s v="REALIZADO"/>
    <s v="MATHEUS"/>
    <x v="87"/>
    <x v="0"/>
    <x v="0"/>
  </r>
  <r>
    <n v="61096"/>
    <x v="64"/>
    <s v="MME"/>
    <x v="0"/>
    <n v="50038841"/>
    <s v="LIXADEIRA BOSCH 4"/>
    <n v="1"/>
    <s v="REALIZADO"/>
    <s v="MARCIA"/>
    <x v="87"/>
    <x v="2"/>
    <x v="0"/>
  </r>
  <r>
    <n v="61096"/>
    <x v="64"/>
    <s v="MME"/>
    <x v="0"/>
    <n v="50038841"/>
    <s v="LIXADEIRA BOSCH 4"/>
    <n v="1"/>
    <s v="REALIZADO"/>
    <s v="MATHEUS"/>
    <x v="87"/>
    <x v="2"/>
    <x v="0"/>
  </r>
  <r>
    <n v="65474"/>
    <x v="97"/>
    <s v="MMG"/>
    <x v="2"/>
    <n v="50038517"/>
    <s v="LIXADEIRA BOSCH 5"/>
    <n v="1"/>
    <s v="REALIZADO"/>
    <s v="FABIANO"/>
    <x v="87"/>
    <x v="0"/>
    <x v="0"/>
  </r>
  <r>
    <n v="65474"/>
    <x v="97"/>
    <s v="MMG"/>
    <x v="2"/>
    <n v="50038517"/>
    <s v="LIXADEIRA BOSCH 5"/>
    <n v="1"/>
    <s v="REALIZADO"/>
    <s v="FABIANO"/>
    <x v="87"/>
    <x v="0"/>
    <x v="0"/>
  </r>
  <r>
    <n v="74611"/>
    <x v="2"/>
    <s v="MPR"/>
    <x v="0"/>
    <n v="50043917"/>
    <s v="PARAFUSADEIRA FURADEIRA BOSCH"/>
    <n v="1"/>
    <s v="REALIZADO"/>
    <s v="GEOVANE"/>
    <x v="87"/>
    <x v="2"/>
    <x v="0"/>
  </r>
  <r>
    <n v="74611"/>
    <x v="2"/>
    <s v="MPR"/>
    <x v="0"/>
    <n v="50043917"/>
    <s v="PARAFUSADEIRA FURADEIRA BOSCH"/>
    <n v="1"/>
    <s v="REALIZADO"/>
    <s v="MATHEUS"/>
    <x v="87"/>
    <x v="0"/>
    <x v="0"/>
  </r>
  <r>
    <n v="65474"/>
    <x v="97"/>
    <s v="MMG"/>
    <x v="2"/>
    <n v="50041089"/>
    <s v="TORQUIMETRO GEDORE "/>
    <n v="1"/>
    <s v="REALIZADO"/>
    <s v="FABIANO"/>
    <x v="87"/>
    <x v="2"/>
    <x v="0"/>
  </r>
  <r>
    <n v="65474"/>
    <x v="97"/>
    <s v="MMG"/>
    <x v="2"/>
    <n v="50041089"/>
    <s v="TORQUIMETRO GEDORE "/>
    <n v="1"/>
    <s v="REALIZADO"/>
    <s v="FABIANO"/>
    <x v="87"/>
    <x v="0"/>
    <x v="0"/>
  </r>
  <r>
    <n v="63713"/>
    <x v="67"/>
    <s v="MME"/>
    <x v="0"/>
    <n v="50010031"/>
    <s v=" LIXADEIRA BOSCH 6"/>
    <n v="1"/>
    <s v="REALIZADO"/>
    <s v="KELLY"/>
    <x v="88"/>
    <x v="2"/>
    <x v="0"/>
  </r>
  <r>
    <n v="63713"/>
    <x v="67"/>
    <s v="MME"/>
    <x v="0"/>
    <n v="50010031"/>
    <s v=" LIXADEIRA BOSCH 6"/>
    <n v="1"/>
    <s v="REALIZADO"/>
    <s v="AGATHA"/>
    <x v="88"/>
    <x v="0"/>
    <x v="0"/>
  </r>
  <r>
    <n v="67107"/>
    <x v="112"/>
    <s v="PCM"/>
    <x v="0"/>
    <n v="50044003"/>
    <s v="CÂMERA TERMOGRAFICA FLIR"/>
    <n v="1"/>
    <s v="REALIZADO"/>
    <s v="AGATHA"/>
    <x v="88"/>
    <x v="2"/>
    <x v="0"/>
  </r>
  <r>
    <n v="67107"/>
    <x v="112"/>
    <s v="PCM"/>
    <x v="0"/>
    <n v="50044003"/>
    <s v="CÂMERA TERMOGRAFICA FLIR"/>
    <n v="1"/>
    <s v="REALIZADO"/>
    <s v="BRUNO"/>
    <x v="88"/>
    <x v="0"/>
    <x v="0"/>
  </r>
  <r>
    <n v="65472"/>
    <x v="48"/>
    <s v="MMG"/>
    <x v="0"/>
    <n v="50036296"/>
    <s v="CHAVE AJUSTÁVEL 45MM"/>
    <n v="1"/>
    <s v="REALIZADO"/>
    <s v="KELLY"/>
    <x v="88"/>
    <x v="2"/>
    <x v="0"/>
  </r>
  <r>
    <n v="68708"/>
    <x v="13"/>
    <s v="MMG"/>
    <x v="0"/>
    <n v="50036296"/>
    <s v="CHAVE AJUSTÁVEL 45MM"/>
    <n v="1"/>
    <s v="REALIZADO"/>
    <s v="BRUNO"/>
    <x v="88"/>
    <x v="0"/>
    <x v="0"/>
  </r>
  <r>
    <n v="66790"/>
    <x v="60"/>
    <s v="MMG"/>
    <x v="3"/>
    <n v="50036086"/>
    <s v="CHAVE GRIFO 18"/>
    <n v="1"/>
    <s v="REALIZADO"/>
    <s v="KELLY"/>
    <x v="88"/>
    <x v="2"/>
    <x v="0"/>
  </r>
  <r>
    <n v="66790"/>
    <x v="60"/>
    <s v="MMG"/>
    <x v="3"/>
    <n v="50036086"/>
    <s v="CHAVE GRIFO 18"/>
    <n v="1"/>
    <s v="REALIZADO"/>
    <s v="AGATHA"/>
    <x v="88"/>
    <x v="0"/>
    <x v="0"/>
  </r>
  <r>
    <n v="66830"/>
    <x v="3"/>
    <s v="MPR"/>
    <x v="0"/>
    <n v="50036086"/>
    <s v="CHAVE GRIFO 18"/>
    <n v="1"/>
    <s v="REALIZADO"/>
    <s v="AGATHA"/>
    <x v="88"/>
    <x v="2"/>
    <x v="0"/>
  </r>
  <r>
    <n v="66830"/>
    <x v="3"/>
    <s v="MPR"/>
    <x v="0"/>
    <n v="50036086"/>
    <s v="CHAVE GRIFO 18"/>
    <n v="1"/>
    <s v="REALIZADO"/>
    <s v="AGATHA"/>
    <x v="88"/>
    <x v="0"/>
    <x v="0"/>
  </r>
  <r>
    <n v="74874"/>
    <x v="90"/>
    <s v="MMG"/>
    <x v="0"/>
    <n v="50037905"/>
    <s v="ESTETOSCÓPIO SKF"/>
    <n v="1"/>
    <s v="REALIZADO"/>
    <s v="BRUNO"/>
    <x v="88"/>
    <x v="2"/>
    <x v="0"/>
  </r>
  <r>
    <n v="74874"/>
    <x v="90"/>
    <s v="MMG"/>
    <x v="0"/>
    <n v="50037905"/>
    <s v="ESTETOSCÓPIO SKF"/>
    <n v="1"/>
    <s v="REALIZADO"/>
    <s v="BRUNO"/>
    <x v="88"/>
    <x v="0"/>
    <x v="0"/>
  </r>
  <r>
    <n v="62180"/>
    <x v="18"/>
    <s v="MMG"/>
    <x v="0"/>
    <n v="50043471"/>
    <s v="FURADEIRA BOSCH 7"/>
    <n v="1"/>
    <s v="REALIZADO"/>
    <s v="AGATHA"/>
    <x v="88"/>
    <x v="2"/>
    <x v="0"/>
  </r>
  <r>
    <n v="62180"/>
    <x v="18"/>
    <s v="MMG"/>
    <x v="0"/>
    <n v="50043471"/>
    <s v="FURADEIRA BOSCH 7"/>
    <n v="1"/>
    <s v="REALIZADO"/>
    <s v="BRUNO"/>
    <x v="88"/>
    <x v="2"/>
    <x v="0"/>
  </r>
  <r>
    <n v="65844"/>
    <x v="54"/>
    <s v="MMG"/>
    <x v="2"/>
    <n v="50043471"/>
    <s v="FURADEIRA BOSCH 7"/>
    <n v="1"/>
    <s v="REALIZADO"/>
    <s v="FELIPE"/>
    <x v="88"/>
    <x v="0"/>
    <x v="0"/>
  </r>
  <r>
    <n v="65844"/>
    <x v="54"/>
    <s v="MMG"/>
    <x v="2"/>
    <n v="50043471"/>
    <s v="FURADEIRA BOSCH 7"/>
    <n v="1"/>
    <s v="REALIZADO"/>
    <s v="FELIPE"/>
    <x v="88"/>
    <x v="0"/>
    <x v="0"/>
  </r>
  <r>
    <n v="74611"/>
    <x v="2"/>
    <s v="MPR"/>
    <x v="0"/>
    <n v="50003297"/>
    <s v="FURADEIRA DE IMPACTO MAKITA 02"/>
    <n v="1"/>
    <s v="REALIZADO"/>
    <s v="AGATHA"/>
    <x v="88"/>
    <x v="2"/>
    <x v="0"/>
  </r>
  <r>
    <n v="74611"/>
    <x v="2"/>
    <s v="MPR"/>
    <x v="0"/>
    <n v="50003297"/>
    <s v="FURADEIRA DE IMPACTO MAKITA 02"/>
    <n v="1"/>
    <s v="REALIZADO"/>
    <s v="AGATHA"/>
    <x v="88"/>
    <x v="0"/>
    <x v="0"/>
  </r>
  <r>
    <n v="66790"/>
    <x v="60"/>
    <s v="MMG"/>
    <x v="3"/>
    <n v="50038549"/>
    <s v="JOGO SOQUETE ESTRIADOS 1/2 22PEÇ"/>
    <n v="1"/>
    <s v="REALIZADO"/>
    <s v="KELLY"/>
    <x v="88"/>
    <x v="2"/>
    <x v="0"/>
  </r>
  <r>
    <n v="66790"/>
    <x v="60"/>
    <s v="MMG"/>
    <x v="3"/>
    <n v="50038549"/>
    <s v="JOGO SOQUETE ESTRIADOS 1/2 22PEÇ"/>
    <n v="1"/>
    <s v="REALIZADO"/>
    <s v="AGATHA"/>
    <x v="88"/>
    <x v="0"/>
    <x v="0"/>
  </r>
  <r>
    <n v="64253"/>
    <x v="16"/>
    <s v="MMG"/>
    <x v="0"/>
    <n v="50022878"/>
    <s v="KIT MONTAGEM ROLAMENTO SKF"/>
    <n v="1"/>
    <s v="REALIZADO"/>
    <s v="AGATHA"/>
    <x v="88"/>
    <x v="2"/>
    <x v="0"/>
  </r>
  <r>
    <n v="64253"/>
    <x v="16"/>
    <s v="MMG"/>
    <x v="0"/>
    <n v="50022878"/>
    <s v="KIT MONTAGEM ROLAMENTO SKF"/>
    <n v="1"/>
    <s v="REALIZADO"/>
    <s v="MARCIA"/>
    <x v="88"/>
    <x v="0"/>
    <x v="0"/>
  </r>
  <r>
    <n v="74611"/>
    <x v="2"/>
    <s v="MPR"/>
    <x v="0"/>
    <n v="50038956"/>
    <s v="LIXADEIRA BOSCH 1"/>
    <n v="1"/>
    <s v="REALIZADO"/>
    <s v="AGATHA"/>
    <x v="88"/>
    <x v="2"/>
    <x v="0"/>
  </r>
  <r>
    <n v="74611"/>
    <x v="2"/>
    <s v="MPR"/>
    <x v="0"/>
    <n v="50038956"/>
    <s v="LIXADEIRA BOSCH 1"/>
    <n v="1"/>
    <s v="REALIZADO"/>
    <s v="AGATHA"/>
    <x v="88"/>
    <x v="2"/>
    <x v="0"/>
  </r>
  <r>
    <n v="67193"/>
    <x v="113"/>
    <s v="MME"/>
    <x v="4"/>
    <n v="50037892"/>
    <s v="LIXADEIRA BOSCH 2"/>
    <n v="1"/>
    <s v="REALIZADO"/>
    <s v="GLAUBER"/>
    <x v="88"/>
    <x v="0"/>
    <x v="0"/>
  </r>
  <r>
    <n v="67193"/>
    <x v="113"/>
    <s v="MME"/>
    <x v="4"/>
    <n v="50037892"/>
    <s v="LIXADEIRA BOSCH 2"/>
    <n v="1"/>
    <s v="REALIZADO"/>
    <s v="GLAUBER"/>
    <x v="88"/>
    <x v="0"/>
    <x v="0"/>
  </r>
  <r>
    <n v="65472"/>
    <x v="48"/>
    <s v="MMG"/>
    <x v="0"/>
    <n v="50038841"/>
    <s v="LIXADEIRA BOSCH 4"/>
    <n v="1"/>
    <s v="REALIZADO"/>
    <s v="KELLY"/>
    <x v="88"/>
    <x v="2"/>
    <x v="0"/>
  </r>
  <r>
    <n v="68708"/>
    <x v="13"/>
    <s v="MMG"/>
    <x v="0"/>
    <n v="50038841"/>
    <s v="LIXADEIRA BOSCH 4"/>
    <n v="1"/>
    <s v="REALIZADO"/>
    <s v="AGATHA"/>
    <x v="88"/>
    <x v="0"/>
    <x v="0"/>
  </r>
  <r>
    <n v="77521"/>
    <x v="5"/>
    <s v="MME"/>
    <x v="0"/>
    <n v="50038841"/>
    <s v="LIXADEIRA BOSCH 4"/>
    <n v="1"/>
    <s v="REALIZADO"/>
    <s v="AGATHA"/>
    <x v="88"/>
    <x v="2"/>
    <x v="0"/>
  </r>
  <r>
    <n v="77521"/>
    <x v="5"/>
    <s v="MME"/>
    <x v="0"/>
    <n v="50038841"/>
    <s v="LIXADEIRA BOSCH 4"/>
    <n v="1"/>
    <s v="REALIZADO"/>
    <s v="AGATHA"/>
    <x v="88"/>
    <x v="0"/>
    <x v="0"/>
  </r>
  <r>
    <n v="62180"/>
    <x v="18"/>
    <s v="MMG"/>
    <x v="0"/>
    <n v="50038841"/>
    <s v="LIXADEIRA BOSCH 4"/>
    <n v="1"/>
    <s v="REALIZADO"/>
    <s v="BRUNO"/>
    <x v="88"/>
    <x v="2"/>
    <x v="0"/>
  </r>
  <r>
    <n v="62180"/>
    <x v="18"/>
    <s v="MMG"/>
    <x v="0"/>
    <n v="50038841"/>
    <s v="LIXADEIRA BOSCH 4"/>
    <n v="1"/>
    <s v="REALIZADO"/>
    <s v="BRUNO"/>
    <x v="88"/>
    <x v="0"/>
    <x v="0"/>
  </r>
  <r>
    <n v="65482"/>
    <x v="30"/>
    <s v="MMG"/>
    <x v="0"/>
    <n v="50038517"/>
    <s v="LIXADEIRA BOSCH 5"/>
    <n v="1"/>
    <s v="REALIZADO"/>
    <s v="KELLY"/>
    <x v="88"/>
    <x v="2"/>
    <x v="0"/>
  </r>
  <r>
    <n v="65482"/>
    <x v="30"/>
    <s v="MMG"/>
    <x v="0"/>
    <n v="50038517"/>
    <s v="LIXADEIRA BOSCH 5"/>
    <n v="1"/>
    <s v="REALIZADO"/>
    <s v="MARCIA"/>
    <x v="88"/>
    <x v="0"/>
    <x v="0"/>
  </r>
  <r>
    <n v="65472"/>
    <x v="48"/>
    <s v="MMG"/>
    <x v="0"/>
    <n v="50037903"/>
    <s v="LIXADEIRA GRANDE MAKITA"/>
    <n v="1"/>
    <s v="REALIZADO"/>
    <s v="KELLY"/>
    <x v="88"/>
    <x v="2"/>
    <x v="0"/>
  </r>
  <r>
    <n v="68708"/>
    <x v="13"/>
    <s v="MMG"/>
    <x v="0"/>
    <n v="50037903"/>
    <s v="LIXADEIRA GRANDE MAKITA"/>
    <n v="1"/>
    <s v="REALIZADO"/>
    <s v="BRUNO"/>
    <x v="88"/>
    <x v="2"/>
    <x v="0"/>
  </r>
  <r>
    <n v="68708"/>
    <x v="13"/>
    <s v="MMG"/>
    <x v="0"/>
    <n v="50035332"/>
    <s v="MARRETA 3KG GEDORE"/>
    <n v="1"/>
    <s v="REALIZADO"/>
    <s v="BRUNO"/>
    <x v="88"/>
    <x v="2"/>
    <x v="0"/>
  </r>
  <r>
    <n v="61264"/>
    <x v="10"/>
    <s v="MMG"/>
    <x v="0"/>
    <n v="50036297"/>
    <s v="MARRETA 4KG"/>
    <n v="1"/>
    <s v="REALIZADO"/>
    <s v="BRUNO"/>
    <x v="88"/>
    <x v="0"/>
    <x v="0"/>
  </r>
  <r>
    <n v="66830"/>
    <x v="3"/>
    <s v="MPR"/>
    <x v="0"/>
    <n v="50026357"/>
    <s v="MARTELETE VONDER"/>
    <n v="1"/>
    <s v="REALIZADO"/>
    <s v="AGATHA"/>
    <x v="88"/>
    <x v="2"/>
    <x v="0"/>
  </r>
  <r>
    <n v="66830"/>
    <x v="3"/>
    <s v="MPR"/>
    <x v="0"/>
    <n v="50026357"/>
    <s v="MARTELETE VONDER"/>
    <n v="1"/>
    <s v="REALIZADO"/>
    <s v="MARCIA"/>
    <x v="88"/>
    <x v="0"/>
    <x v="0"/>
  </r>
  <r>
    <n v="72707"/>
    <x v="59"/>
    <s v="MPR"/>
    <x v="0"/>
    <n v="50041195"/>
    <s v="PARAFUSADEIRA FUR DE IMPACTO BRUSHLESS"/>
    <n v="1"/>
    <s v="REALIZADO"/>
    <s v="AGATHA"/>
    <x v="88"/>
    <x v="2"/>
    <x v="0"/>
  </r>
  <r>
    <n v="72707"/>
    <x v="59"/>
    <s v="MPR"/>
    <x v="0"/>
    <n v="50041195"/>
    <s v="PARAFUSADEIRA FUR DE IMPACTO BRUSHLESS"/>
    <n v="1"/>
    <s v="REALIZADO"/>
    <s v="AGATHA"/>
    <x v="88"/>
    <x v="0"/>
    <x v="0"/>
  </r>
  <r>
    <n v="72707"/>
    <x v="59"/>
    <s v="MPR"/>
    <x v="0"/>
    <n v="50041195"/>
    <s v="PARAFUSADEIRA FUR DE IMPACTO BRUSHLESS"/>
    <n v="1"/>
    <s v="REALIZADO"/>
    <s v="BRUNO"/>
    <x v="88"/>
    <x v="2"/>
    <x v="0"/>
  </r>
  <r>
    <n v="72707"/>
    <x v="59"/>
    <s v="MPR"/>
    <x v="0"/>
    <n v="50041195"/>
    <s v="PARAFUSADEIRA FUR DE IMPACTO BRUSHLESS"/>
    <n v="1"/>
    <s v="REALIZADO"/>
    <s v="BRUNO"/>
    <x v="88"/>
    <x v="0"/>
    <x v="0"/>
  </r>
  <r>
    <n v="64074"/>
    <x v="75"/>
    <s v="MPR"/>
    <x v="0"/>
    <n v="50043917"/>
    <s v="PARAFUSADEIRA FURADEIRA BOSCH"/>
    <n v="1"/>
    <s v="REALIZADO"/>
    <s v="AGATHA"/>
    <x v="88"/>
    <x v="2"/>
    <x v="0"/>
  </r>
  <r>
    <n v="64074"/>
    <x v="75"/>
    <s v="MPR"/>
    <x v="0"/>
    <n v="50043917"/>
    <s v="PARAFUSADEIRA FURADEIRA BOSCH"/>
    <n v="1"/>
    <s v="REALIZADO"/>
    <s v="MARCIA"/>
    <x v="88"/>
    <x v="2"/>
    <x v="0"/>
  </r>
  <r>
    <n v="65921"/>
    <x v="53"/>
    <s v="MME"/>
    <x v="3"/>
    <n v="50012903"/>
    <s v="SACA POLIA 02 GARRAS 250MM GEDORE"/>
    <n v="1"/>
    <s v="REALIZADO"/>
    <s v="KELLY"/>
    <x v="88"/>
    <x v="0"/>
    <x v="0"/>
  </r>
  <r>
    <n v="61096"/>
    <x v="64"/>
    <s v="MME"/>
    <x v="0"/>
    <n v="50012903"/>
    <s v="SACA POLIA 02 GARRAS 250MM GEDORE"/>
    <n v="1"/>
    <s v="REALIZADO"/>
    <s v="AGATHA"/>
    <x v="88"/>
    <x v="2"/>
    <x v="0"/>
  </r>
  <r>
    <n v="61096"/>
    <x v="64"/>
    <s v="MME"/>
    <x v="0"/>
    <n v="50012903"/>
    <s v="SACA POLIA 02 GARRAS 250MM GEDORE"/>
    <n v="1"/>
    <s v="REALIZADO"/>
    <s v="BRUNO"/>
    <x v="88"/>
    <x v="0"/>
    <x v="0"/>
  </r>
  <r>
    <n v="65921"/>
    <x v="53"/>
    <s v="MME"/>
    <x v="3"/>
    <n v="50032775"/>
    <s v="SACA POLIA 150MM 3 GARRAS - GEDORE"/>
    <n v="1"/>
    <s v="REALIZADO"/>
    <s v="KELLY"/>
    <x v="88"/>
    <x v="2"/>
    <x v="0"/>
  </r>
  <r>
    <n v="65921"/>
    <x v="53"/>
    <s v="MME"/>
    <x v="3"/>
    <n v="50032775"/>
    <s v="SACA POLIA 150MM 3 GARRAS - GEDORE"/>
    <n v="1"/>
    <s v="REALIZADO"/>
    <s v="AGATHA"/>
    <x v="88"/>
    <x v="0"/>
    <x v="0"/>
  </r>
  <r>
    <n v="65472"/>
    <x v="48"/>
    <s v="MMG"/>
    <x v="0"/>
    <n v="50037949"/>
    <s v="SARGENTO 7"/>
    <n v="1"/>
    <s v="REALIZADO"/>
    <s v="KELLY"/>
    <x v="88"/>
    <x v="2"/>
    <x v="0"/>
  </r>
  <r>
    <n v="68708"/>
    <x v="13"/>
    <s v="MMG"/>
    <x v="0"/>
    <n v="50037949"/>
    <s v="SARGENTO 7"/>
    <n v="1"/>
    <s v="REALIZADO"/>
    <s v="AGATHA"/>
    <x v="88"/>
    <x v="0"/>
    <x v="0"/>
  </r>
  <r>
    <n v="65472"/>
    <x v="48"/>
    <s v="MMG"/>
    <x v="0"/>
    <n v="50042283"/>
    <s v="TALHA 2000KG x 5M"/>
    <n v="1"/>
    <s v="REALIZADO"/>
    <s v="KELLY"/>
    <x v="88"/>
    <x v="2"/>
    <x v="0"/>
  </r>
  <r>
    <n v="68708"/>
    <x v="13"/>
    <s v="MMG"/>
    <x v="0"/>
    <n v="50042283"/>
    <s v="TALHA 2000KG x 5M"/>
    <n v="1"/>
    <s v="REALIZADO"/>
    <s v="BRUNO"/>
    <x v="88"/>
    <x v="0"/>
    <x v="0"/>
  </r>
  <r>
    <n v="66790"/>
    <x v="60"/>
    <s v="MMG"/>
    <x v="3"/>
    <n v="50037905"/>
    <s v="ESTETOSCÓPIO SKF"/>
    <n v="1"/>
    <s v="REALIZADO"/>
    <s v="JOÃO CARLOS"/>
    <x v="89"/>
    <x v="2"/>
    <x v="0"/>
  </r>
  <r>
    <n v="66790"/>
    <x v="60"/>
    <s v="MMG"/>
    <x v="3"/>
    <n v="50037905"/>
    <s v="ESTETOSCÓPIO SKF"/>
    <n v="1"/>
    <s v="REALIZADO"/>
    <s v="JOÃO CARLOS"/>
    <x v="89"/>
    <x v="0"/>
    <x v="0"/>
  </r>
  <r>
    <n v="73878"/>
    <x v="20"/>
    <s v="MMG"/>
    <x v="3"/>
    <n v="50003297"/>
    <s v="FURADEIRA DE IMPACTO MAKITA 02"/>
    <n v="1"/>
    <s v="REALIZADO"/>
    <s v="JOÃO CARLOS"/>
    <x v="89"/>
    <x v="2"/>
    <x v="0"/>
  </r>
  <r>
    <n v="73878"/>
    <x v="20"/>
    <s v="MMG"/>
    <x v="3"/>
    <n v="50003297"/>
    <s v="FURADEIRA DE IMPACTO MAKITA 02"/>
    <n v="1"/>
    <s v="REALIZADO"/>
    <s v="JOÃO CARLOS"/>
    <x v="89"/>
    <x v="2"/>
    <x v="0"/>
  </r>
  <r>
    <n v="62137"/>
    <x v="43"/>
    <s v="MME"/>
    <x v="2"/>
    <n v="50037892"/>
    <s v="LIXADEIRA BOSCH 2"/>
    <n v="1"/>
    <s v="REALIZADO"/>
    <s v="FELIPE"/>
    <x v="89"/>
    <x v="0"/>
    <x v="0"/>
  </r>
  <r>
    <n v="62137"/>
    <x v="43"/>
    <s v="MME"/>
    <x v="2"/>
    <n v="50037892"/>
    <s v="LIXADEIRA BOSCH 2"/>
    <n v="1"/>
    <s v="REALIZADO"/>
    <s v="FELIPE"/>
    <x v="89"/>
    <x v="2"/>
    <x v="0"/>
  </r>
  <r>
    <n v="73878"/>
    <x v="20"/>
    <s v="MMG"/>
    <x v="3"/>
    <n v="50038517"/>
    <s v="LIXADEIRA BOSCH 5"/>
    <n v="1"/>
    <s v="REALIZADO"/>
    <s v="JOÃO CARLOS"/>
    <x v="89"/>
    <x v="0"/>
    <x v="0"/>
  </r>
  <r>
    <n v="73878"/>
    <x v="20"/>
    <s v="MMG"/>
    <x v="3"/>
    <n v="50038517"/>
    <s v="LIXADEIRA BOSCH 5"/>
    <n v="1"/>
    <s v="REALIZADO"/>
    <s v="JOÃO CARLOS"/>
    <x v="89"/>
    <x v="0"/>
    <x v="0"/>
  </r>
  <r>
    <n v="74874"/>
    <x v="90"/>
    <s v="MMG"/>
    <x v="0"/>
    <n v="50001995"/>
    <s v="MAQUINA DE SOLDA"/>
    <n v="1"/>
    <s v="REALIZADO"/>
    <s v="FELIPE"/>
    <x v="89"/>
    <x v="2"/>
    <x v="0"/>
  </r>
  <r>
    <n v="74874"/>
    <x v="90"/>
    <s v="MMG"/>
    <x v="0"/>
    <n v="50001995"/>
    <s v="MAQUINA DE SOLDA"/>
    <n v="1"/>
    <s v="REALIZADO"/>
    <s v="FELIPE"/>
    <x v="89"/>
    <x v="0"/>
    <x v="0"/>
  </r>
  <r>
    <n v="73878"/>
    <x v="20"/>
    <s v="MMG"/>
    <x v="3"/>
    <n v="50001995"/>
    <s v="MAQUINA DE SOLDA"/>
    <n v="1"/>
    <s v="REALIZADO"/>
    <s v="JOÃO CARLOS"/>
    <x v="89"/>
    <x v="2"/>
    <x v="0"/>
  </r>
  <r>
    <n v="73878"/>
    <x v="20"/>
    <s v="MMG"/>
    <x v="3"/>
    <n v="50001995"/>
    <s v="MAQUINA DE SOLDA"/>
    <n v="1"/>
    <s v="REALIZADO"/>
    <s v="JOÃO CARLOS"/>
    <x v="89"/>
    <x v="0"/>
    <x v="0"/>
  </r>
  <r>
    <n v="74749"/>
    <x v="80"/>
    <s v="MME"/>
    <x v="2"/>
    <n v="50038194"/>
    <s v="SERRA TICO TICO BOSCH C/MALETA"/>
    <n v="1"/>
    <s v="REALIZADO"/>
    <s v="FELIPE"/>
    <x v="89"/>
    <x v="2"/>
    <x v="0"/>
  </r>
  <r>
    <n v="74749"/>
    <x v="80"/>
    <s v="MME"/>
    <x v="2"/>
    <n v="50038194"/>
    <s v="SERRA TICO TICO BOSCH C/MALETA"/>
    <n v="1"/>
    <s v="REALIZADO"/>
    <s v="FELIPE"/>
    <x v="89"/>
    <x v="0"/>
    <x v="0"/>
  </r>
  <r>
    <n v="74749"/>
    <x v="80"/>
    <s v="MME"/>
    <x v="2"/>
    <n v="50028220"/>
    <s v="SOPRADOR TERMICO VONDER 1500W 220V"/>
    <n v="1"/>
    <s v="REALIZADO"/>
    <s v="FELIPE"/>
    <x v="89"/>
    <x v="2"/>
    <x v="0"/>
  </r>
  <r>
    <n v="74749"/>
    <x v="80"/>
    <s v="MME"/>
    <x v="2"/>
    <n v="50028220"/>
    <s v="SOPRADOR TERMICO VONDER 1500W 220V"/>
    <n v="1"/>
    <s v="REALIZADO"/>
    <s v="FELIPE"/>
    <x v="89"/>
    <x v="0"/>
    <x v="0"/>
  </r>
  <r>
    <n v="74874"/>
    <x v="90"/>
    <s v="MMG"/>
    <x v="0"/>
    <n v="50037905"/>
    <s v="ESTETOSCÓPIO SKF"/>
    <n v="1"/>
    <s v="REALIZADO"/>
    <s v="BRUNA"/>
    <x v="90"/>
    <x v="2"/>
    <x v="0"/>
  </r>
  <r>
    <n v="74874"/>
    <x v="90"/>
    <s v="MMG"/>
    <x v="0"/>
    <n v="50037905"/>
    <s v="ESTETOSCÓPIO SKF"/>
    <n v="1"/>
    <s v="REALIZADO"/>
    <s v="BRUNA"/>
    <x v="90"/>
    <x v="0"/>
    <x v="0"/>
  </r>
  <r>
    <n v="60135"/>
    <x v="109"/>
    <s v="MME"/>
    <x v="2"/>
    <n v="50043471"/>
    <s v="FURADEIRA BOSCH 7"/>
    <n v="1"/>
    <s v="REALIZADO"/>
    <s v="BRUNA"/>
    <x v="90"/>
    <x v="2"/>
    <x v="0"/>
  </r>
  <r>
    <n v="60135"/>
    <x v="109"/>
    <s v="MME"/>
    <x v="2"/>
    <n v="50043471"/>
    <s v="FURADEIRA BOSCH 7"/>
    <n v="1"/>
    <s v="REALIZADO"/>
    <s v="BRUNA"/>
    <x v="90"/>
    <x v="0"/>
    <x v="0"/>
  </r>
  <r>
    <n v="69778"/>
    <x v="4"/>
    <s v="MEE"/>
    <x v="2"/>
    <n v="50003296"/>
    <s v="FURADEIRA DE IMPACTO MAKITA 01"/>
    <n v="1"/>
    <s v="REALIZADO"/>
    <s v="BRUNA"/>
    <x v="90"/>
    <x v="2"/>
    <x v="0"/>
  </r>
  <r>
    <n v="69778"/>
    <x v="4"/>
    <s v="MEE"/>
    <x v="2"/>
    <n v="50003296"/>
    <s v="FURADEIRA DE IMPACTO MAKITA 01"/>
    <n v="1"/>
    <s v="REALIZADO"/>
    <s v="BRUNA"/>
    <x v="90"/>
    <x v="0"/>
    <x v="0"/>
  </r>
  <r>
    <n v="66790"/>
    <x v="60"/>
    <s v="MMG"/>
    <x v="3"/>
    <n v="50003297"/>
    <s v="FURADEIRA DE IMPACTO MAKITA 02"/>
    <n v="1"/>
    <s v="REALIZADO"/>
    <s v="JOÃO CARLOS"/>
    <x v="90"/>
    <x v="2"/>
    <x v="0"/>
  </r>
  <r>
    <n v="66790"/>
    <x v="60"/>
    <s v="MMG"/>
    <x v="3"/>
    <n v="50003297"/>
    <s v="FURADEIRA DE IMPACTO MAKITA 02"/>
    <n v="1"/>
    <s v="REALIZADO"/>
    <s v="JOÃO CARLOS"/>
    <x v="90"/>
    <x v="0"/>
    <x v="0"/>
  </r>
  <r>
    <n v="49751"/>
    <x v="81"/>
    <s v="MEE"/>
    <x v="4"/>
    <n v="50038549"/>
    <s v="JOGO SOQUETE ESTRIADOS 1/2 22PEÇ"/>
    <n v="1"/>
    <s v="REALIZADO"/>
    <s v="BRUNA"/>
    <x v="90"/>
    <x v="2"/>
    <x v="0"/>
  </r>
  <r>
    <n v="49751"/>
    <x v="81"/>
    <s v="MEE"/>
    <x v="4"/>
    <n v="50038549"/>
    <s v="JOGO SOQUETE ESTRIADOS 1/2 22PEÇ"/>
    <n v="1"/>
    <s v="REALIZADO"/>
    <s v="BRUNA"/>
    <x v="90"/>
    <x v="2"/>
    <x v="0"/>
  </r>
  <r>
    <n v="66790"/>
    <x v="60"/>
    <s v="MMG"/>
    <x v="3"/>
    <n v="50038549"/>
    <s v="JOGO SOQUETE ESTRIADOS 1/2 22PEÇ"/>
    <n v="1"/>
    <s v="REALIZADO"/>
    <s v="JOÃO CARLOS"/>
    <x v="90"/>
    <x v="0"/>
    <x v="0"/>
  </r>
  <r>
    <n v="66790"/>
    <x v="60"/>
    <s v="MMG"/>
    <x v="3"/>
    <n v="50038549"/>
    <s v="JOGO SOQUETE ESTRIADOS 1/2 22PEÇ"/>
    <n v="1"/>
    <s v="REALIZADO"/>
    <s v="JOÃO CARLOS"/>
    <x v="90"/>
    <x v="0"/>
    <x v="0"/>
  </r>
  <r>
    <n v="78675"/>
    <x v="12"/>
    <s v="MME"/>
    <x v="2"/>
    <n v="50038956"/>
    <s v="LIXADEIRA BOSCH 1"/>
    <n v="1"/>
    <s v="REALIZADO"/>
    <s v="BRUNA"/>
    <x v="90"/>
    <x v="2"/>
    <x v="0"/>
  </r>
  <r>
    <n v="78675"/>
    <x v="12"/>
    <s v="MME"/>
    <x v="2"/>
    <n v="50038956"/>
    <s v="LIXADEIRA BOSCH 1"/>
    <n v="1"/>
    <s v="REALIZADO"/>
    <s v="BRUNA"/>
    <x v="90"/>
    <x v="2"/>
    <x v="0"/>
  </r>
  <r>
    <n v="66790"/>
    <x v="60"/>
    <s v="MMG"/>
    <x v="3"/>
    <n v="50037892"/>
    <s v="LIXADEIRA BOSCH 2"/>
    <n v="1"/>
    <s v="REALIZADO"/>
    <s v="JOÃO CARLOS"/>
    <x v="90"/>
    <x v="0"/>
    <x v="0"/>
  </r>
  <r>
    <n v="66790"/>
    <x v="60"/>
    <s v="MMG"/>
    <x v="3"/>
    <n v="50037892"/>
    <s v="LIXADEIRA BOSCH 2"/>
    <n v="1"/>
    <s v="REALIZADO"/>
    <s v="JOÃO CARLOS"/>
    <x v="90"/>
    <x v="0"/>
    <x v="0"/>
  </r>
  <r>
    <n v="66790"/>
    <x v="60"/>
    <s v="MMG"/>
    <x v="3"/>
    <n v="50001995"/>
    <s v="MAQUINA DE SOLDA"/>
    <n v="1"/>
    <s v="REALIZADO"/>
    <s v="JOÃO CARLOS"/>
    <x v="90"/>
    <x v="2"/>
    <x v="0"/>
  </r>
  <r>
    <n v="66790"/>
    <x v="60"/>
    <s v="MMG"/>
    <x v="3"/>
    <n v="50001995"/>
    <s v="MAQUINA DE SOLDA"/>
    <n v="1"/>
    <s v="REALIZADO"/>
    <s v="JOÃO CARLOS"/>
    <x v="90"/>
    <x v="0"/>
    <x v="0"/>
  </r>
  <r>
    <n v="62180"/>
    <x v="18"/>
    <s v="MMG"/>
    <x v="0"/>
    <n v="50043917"/>
    <s v="PARAFUSADEIRA FURADEIRA BOSCH"/>
    <n v="1"/>
    <s v="REALIZADO"/>
    <s v="BRUNA"/>
    <x v="90"/>
    <x v="2"/>
    <x v="0"/>
  </r>
  <r>
    <n v="62180"/>
    <x v="18"/>
    <s v="MMG"/>
    <x v="0"/>
    <n v="50043917"/>
    <s v="PARAFUSADEIRA FURADEIRA BOSCH"/>
    <n v="1"/>
    <s v="REALIZADO"/>
    <s v="BRUNA"/>
    <x v="90"/>
    <x v="0"/>
    <x v="0"/>
  </r>
  <r>
    <n v="62180"/>
    <x v="18"/>
    <s v="MMG"/>
    <x v="0"/>
    <n v="50020622"/>
    <s v="REBITADOR MANUAL"/>
    <n v="1"/>
    <s v="REALIZADO"/>
    <s v="BRUNA"/>
    <x v="90"/>
    <x v="2"/>
    <x v="0"/>
  </r>
  <r>
    <n v="62180"/>
    <x v="18"/>
    <s v="MMG"/>
    <x v="0"/>
    <n v="50020622"/>
    <s v="REBITADOR MANUAL"/>
    <n v="1"/>
    <s v="REALIZADO"/>
    <s v="BRUNA"/>
    <x v="90"/>
    <x v="0"/>
    <x v="0"/>
  </r>
  <r>
    <n v="61264"/>
    <x v="10"/>
    <s v="MMG"/>
    <x v="0"/>
    <n v="50038854"/>
    <s v="ARCO DE SERRA"/>
    <n v="1"/>
    <s v="REALIZADO"/>
    <s v="BRUNO"/>
    <x v="91"/>
    <x v="2"/>
    <x v="0"/>
  </r>
  <r>
    <n v="61264"/>
    <x v="10"/>
    <s v="MMG"/>
    <x v="0"/>
    <n v="50038854"/>
    <s v="ARCO DE SERRA"/>
    <n v="1"/>
    <s v="REALIZADO"/>
    <s v="BRUNO"/>
    <x v="91"/>
    <x v="0"/>
    <x v="0"/>
  </r>
  <r>
    <n v="61096"/>
    <x v="64"/>
    <s v="MME"/>
    <x v="0"/>
    <n v="50036288"/>
    <s v="CHAVE GANCHO 34 A 36MM"/>
    <n v="1"/>
    <s v="REALIZADO"/>
    <s v="BRUNO"/>
    <x v="91"/>
    <x v="0"/>
    <x v="0"/>
  </r>
  <r>
    <n v="77313"/>
    <x v="17"/>
    <s v="MPR"/>
    <x v="0"/>
    <n v="50043471"/>
    <s v="FURADEIRA BOSCH 7"/>
    <n v="1"/>
    <s v="REALIZADO"/>
    <s v="AGATHA"/>
    <x v="91"/>
    <x v="2"/>
    <x v="0"/>
  </r>
  <r>
    <n v="77313"/>
    <x v="17"/>
    <s v="MPR"/>
    <x v="0"/>
    <n v="50043471"/>
    <s v="FURADEIRA BOSCH 7"/>
    <n v="1"/>
    <s v="REALIZADO"/>
    <s v="AGATHA"/>
    <x v="91"/>
    <x v="0"/>
    <x v="0"/>
  </r>
  <r>
    <n v="63684"/>
    <x v="27"/>
    <s v="MME"/>
    <x v="2"/>
    <n v="50043471"/>
    <s v="FURADEIRA BOSCH 7"/>
    <n v="1"/>
    <s v="REALIZADO"/>
    <s v="AGATHA"/>
    <x v="91"/>
    <x v="2"/>
    <x v="0"/>
  </r>
  <r>
    <n v="63684"/>
    <x v="27"/>
    <s v="MME"/>
    <x v="2"/>
    <n v="50043471"/>
    <s v="FURADEIRA BOSCH 7"/>
    <n v="1"/>
    <s v="REALIZADO"/>
    <s v="BRUNA"/>
    <x v="91"/>
    <x v="0"/>
    <x v="0"/>
  </r>
  <r>
    <n v="74611"/>
    <x v="2"/>
    <s v="MPR"/>
    <x v="0"/>
    <n v="50003297"/>
    <s v="FURADEIRA DE IMPACTO MAKITA 02"/>
    <n v="1"/>
    <s v="REALIZADO"/>
    <s v="GEOVANE"/>
    <x v="91"/>
    <x v="2"/>
    <x v="0"/>
  </r>
  <r>
    <n v="74611"/>
    <x v="2"/>
    <s v="MPR"/>
    <x v="0"/>
    <n v="50003297"/>
    <s v="FURADEIRA DE IMPACTO MAKITA 02"/>
    <n v="1"/>
    <s v="REALIZADO"/>
    <s v="GEOVANE"/>
    <x v="91"/>
    <x v="0"/>
    <x v="0"/>
  </r>
  <r>
    <n v="62180"/>
    <x v="18"/>
    <s v="MMG"/>
    <x v="0"/>
    <n v="50038549"/>
    <s v="JOGO SOQUETE ESTRIADOS 1/2 22PEÇ"/>
    <n v="1"/>
    <s v="REALIZADO"/>
    <s v="AGATHA"/>
    <x v="91"/>
    <x v="2"/>
    <x v="0"/>
  </r>
  <r>
    <n v="62180"/>
    <x v="18"/>
    <s v="MMG"/>
    <x v="0"/>
    <n v="50038549"/>
    <s v="JOGO SOQUETE ESTRIADOS 1/2 22PEÇ"/>
    <n v="1"/>
    <s v="REALIZADO"/>
    <s v="BRUNO"/>
    <x v="91"/>
    <x v="0"/>
    <x v="0"/>
  </r>
  <r>
    <n v="73878"/>
    <x v="20"/>
    <s v="MMG"/>
    <x v="0"/>
    <n v="50038956"/>
    <s v="LIXADEIRA BOSCH 1"/>
    <n v="1"/>
    <s v="REALIZADO"/>
    <s v="KELLY"/>
    <x v="91"/>
    <x v="2"/>
    <x v="0"/>
  </r>
  <r>
    <n v="73878"/>
    <x v="20"/>
    <s v="MMG"/>
    <x v="0"/>
    <n v="50038956"/>
    <s v="LIXADEIRA BOSCH 1"/>
    <n v="1"/>
    <s v="REALIZADO"/>
    <s v="KELLY"/>
    <x v="91"/>
    <x v="0"/>
    <x v="0"/>
  </r>
  <r>
    <n v="76994"/>
    <x v="8"/>
    <s v="MEE"/>
    <x v="0"/>
    <n v="50038956"/>
    <s v="LIXADEIRA BOSCH 1"/>
    <n v="1"/>
    <s v="REALIZADO"/>
    <s v="KELLY"/>
    <x v="91"/>
    <x v="2"/>
    <x v="0"/>
  </r>
  <r>
    <n v="76994"/>
    <x v="8"/>
    <s v="MEE"/>
    <x v="0"/>
    <n v="50038956"/>
    <s v="LIXADEIRA BOSCH 1"/>
    <n v="1"/>
    <s v="REALIZADO"/>
    <s v="BRUNO"/>
    <x v="91"/>
    <x v="0"/>
    <x v="0"/>
  </r>
  <r>
    <n v="61096"/>
    <x v="64"/>
    <s v="MME"/>
    <x v="0"/>
    <n v="50038841"/>
    <s v="LIXADEIRA BOSCH 4"/>
    <n v="1"/>
    <s v="REALIZADO"/>
    <s v="BRUNO"/>
    <x v="91"/>
    <x v="2"/>
    <x v="0"/>
  </r>
  <r>
    <n v="61096"/>
    <x v="64"/>
    <s v="MME"/>
    <x v="0"/>
    <n v="50038841"/>
    <s v="LIXADEIRA BOSCH 4"/>
    <n v="1"/>
    <s v="REALIZADO"/>
    <s v="BRUNO"/>
    <x v="91"/>
    <x v="0"/>
    <x v="0"/>
  </r>
  <r>
    <n v="61096"/>
    <x v="64"/>
    <s v="MME"/>
    <x v="0"/>
    <n v="50038517"/>
    <s v="LIXADEIRA BOSCH 5"/>
    <n v="1"/>
    <s v="REALIZADO"/>
    <s v="MATHEUS"/>
    <x v="91"/>
    <x v="2"/>
    <x v="0"/>
  </r>
  <r>
    <n v="61096"/>
    <x v="64"/>
    <s v="MME"/>
    <x v="0"/>
    <n v="50038517"/>
    <s v="LIXADEIRA BOSCH 5"/>
    <n v="1"/>
    <s v="REALIZADO"/>
    <s v="MATHEUS"/>
    <x v="91"/>
    <x v="0"/>
    <x v="0"/>
  </r>
  <r>
    <n v="74611"/>
    <x v="2"/>
    <s v="MPR"/>
    <x v="0"/>
    <n v="50037903"/>
    <s v="LIXADEIRA GRANDE MAKITA"/>
    <n v="1"/>
    <s v="REALIZADO"/>
    <s v="BRUNO"/>
    <x v="91"/>
    <x v="2"/>
    <x v="0"/>
  </r>
  <r>
    <n v="74611"/>
    <x v="2"/>
    <s v="MPR"/>
    <x v="0"/>
    <n v="50037903"/>
    <s v="LIXADEIRA GRANDE MAKITA"/>
    <n v="1"/>
    <s v="REALIZADO"/>
    <s v="BRUNO"/>
    <x v="91"/>
    <x v="0"/>
    <x v="0"/>
  </r>
  <r>
    <n v="73878"/>
    <x v="20"/>
    <s v="MMG"/>
    <x v="0"/>
    <n v="50039065"/>
    <s v="MAQUINA SOLDA TIG"/>
    <n v="1"/>
    <s v="REALIZADO"/>
    <s v="KELLY"/>
    <x v="91"/>
    <x v="2"/>
    <x v="0"/>
  </r>
  <r>
    <n v="73878"/>
    <x v="20"/>
    <s v="MMG"/>
    <x v="0"/>
    <n v="50039065"/>
    <s v="MAQUINA SOLDA TIG"/>
    <n v="1"/>
    <s v="REALIZADO"/>
    <s v="KELLY"/>
    <x v="91"/>
    <x v="0"/>
    <x v="0"/>
  </r>
  <r>
    <n v="61096"/>
    <x v="64"/>
    <s v="MME"/>
    <x v="0"/>
    <n v="50039065"/>
    <s v="MAQUINA SOLDA TIG"/>
    <n v="1"/>
    <s v="REALIZADO"/>
    <s v="BRUNO"/>
    <x v="91"/>
    <x v="2"/>
    <x v="0"/>
  </r>
  <r>
    <n v="61096"/>
    <x v="64"/>
    <s v="MME"/>
    <x v="0"/>
    <n v="50039065"/>
    <s v="MAQUINA SOLDA TIG"/>
    <n v="1"/>
    <s v="REALIZADO"/>
    <s v="BRUNO"/>
    <x v="91"/>
    <x v="0"/>
    <x v="0"/>
  </r>
  <r>
    <n v="74611"/>
    <x v="2"/>
    <s v="MPR"/>
    <x v="0"/>
    <n v="50038662"/>
    <s v="MARTELO ROMPEDOR SDS MAX 220V 1100W"/>
    <n v="1"/>
    <s v="REALIZADO"/>
    <s v="GEOVANE"/>
    <x v="91"/>
    <x v="2"/>
    <x v="0"/>
  </r>
  <r>
    <n v="74611"/>
    <x v="2"/>
    <s v="MPR"/>
    <x v="0"/>
    <n v="50038662"/>
    <s v="MARTELO ROMPEDOR SDS MAX 220V 1100W"/>
    <n v="1"/>
    <s v="REALIZADO"/>
    <s v="BRUNO"/>
    <x v="91"/>
    <x v="0"/>
    <x v="0"/>
  </r>
  <r>
    <n v="65472"/>
    <x v="48"/>
    <s v="MMG"/>
    <x v="0"/>
    <n v="50043917"/>
    <s v="PARAFUSADEIRA FURADEIRA BOSCH"/>
    <n v="1"/>
    <s v="REALIZADO"/>
    <s v="AGATHA"/>
    <x v="91"/>
    <x v="2"/>
    <x v="0"/>
  </r>
  <r>
    <n v="65472"/>
    <x v="48"/>
    <s v="MMG"/>
    <x v="0"/>
    <n v="50043917"/>
    <s v="PARAFUSADEIRA FURADEIRA BOSCH"/>
    <n v="1"/>
    <s v="REALIZADO"/>
    <s v="GEOVANE"/>
    <x v="91"/>
    <x v="0"/>
    <x v="0"/>
  </r>
  <r>
    <n v="64074"/>
    <x v="75"/>
    <s v="MPR"/>
    <x v="0"/>
    <n v="50020622"/>
    <s v="REBITADOR MANUAL"/>
    <n v="1"/>
    <s v="REALIZADO"/>
    <s v="AGATHA"/>
    <x v="91"/>
    <x v="0"/>
    <x v="0"/>
  </r>
  <r>
    <n v="74611"/>
    <x v="2"/>
    <s v="MPR"/>
    <x v="0"/>
    <n v="50038840"/>
    <s v="SERRA CIRCULAR MAKITA 4100NH2"/>
    <n v="1"/>
    <s v="REALIZADO"/>
    <s v="GEOVANE"/>
    <x v="91"/>
    <x v="2"/>
    <x v="0"/>
  </r>
  <r>
    <n v="74611"/>
    <x v="2"/>
    <s v="MPR"/>
    <x v="0"/>
    <n v="50038840"/>
    <s v="SERRA CIRCULAR MAKITA 4100NH2"/>
    <n v="1"/>
    <s v="REALIZADO"/>
    <s v="BRUNO"/>
    <x v="91"/>
    <x v="0"/>
    <x v="0"/>
  </r>
  <r>
    <n v="64253"/>
    <x v="16"/>
    <s v="MMG"/>
    <x v="0"/>
    <n v="50037952"/>
    <s v="SUPORTE DE PAQUIMETRO - CALIBRAÇÃO MOLDADORA"/>
    <n v="1"/>
    <s v="REALIZADO"/>
    <s v="GEOVANE"/>
    <x v="91"/>
    <x v="2"/>
    <x v="0"/>
  </r>
  <r>
    <n v="64253"/>
    <x v="16"/>
    <s v="MMG"/>
    <x v="0"/>
    <n v="50037952"/>
    <s v="SUPORTE DE PAQUIMETRO - CALIBRAÇÃO MOLDADORA"/>
    <n v="1"/>
    <s v="REALIZADO"/>
    <s v="BRUNO"/>
    <x v="91"/>
    <x v="0"/>
    <x v="0"/>
  </r>
  <r>
    <n v="73336"/>
    <x v="29"/>
    <s v="MMG"/>
    <x v="0"/>
    <n v="50036296"/>
    <s v="CHAVE AJUSTÁVEL 45MM"/>
    <n v="1"/>
    <s v="REALIZADO"/>
    <s v="GEOVANE"/>
    <x v="92"/>
    <x v="2"/>
    <x v="0"/>
  </r>
  <r>
    <n v="73336"/>
    <x v="29"/>
    <s v="MMG"/>
    <x v="0"/>
    <n v="50036296"/>
    <s v="CHAVE AJUSTÁVEL 45MM"/>
    <n v="1"/>
    <s v="REALIZADO"/>
    <s v="BRUNO"/>
    <x v="92"/>
    <x v="0"/>
    <x v="0"/>
  </r>
  <r>
    <n v="65472"/>
    <x v="48"/>
    <s v="MMG"/>
    <x v="0"/>
    <n v="50039718"/>
    <s v="ESCALA DE ACO 1000MM VONDER "/>
    <n v="1"/>
    <s v="REALIZADO"/>
    <s v="KELLY"/>
    <x v="92"/>
    <x v="2"/>
    <x v="0"/>
  </r>
  <r>
    <n v="65472"/>
    <x v="48"/>
    <s v="MMG"/>
    <x v="0"/>
    <n v="50039718"/>
    <s v="ESCALA DE ACO 1000MM VONDER "/>
    <n v="1"/>
    <s v="REALIZADO"/>
    <s v="GEOVANE"/>
    <x v="92"/>
    <x v="0"/>
    <x v="0"/>
  </r>
  <r>
    <n v="67100"/>
    <x v="95"/>
    <s v="MMG"/>
    <x v="3"/>
    <n v="50037905"/>
    <s v="ESTETOSCÓPIO SKF"/>
    <n v="1"/>
    <s v="REALIZADO"/>
    <s v="KELLY"/>
    <x v="92"/>
    <x v="2"/>
    <x v="0"/>
  </r>
  <r>
    <n v="67100"/>
    <x v="95"/>
    <s v="MMG"/>
    <x v="3"/>
    <n v="50037905"/>
    <s v="ESTETOSCÓPIO SKF"/>
    <n v="1"/>
    <s v="NÃO REALIZADO"/>
    <s v="GEOVANE"/>
    <x v="92"/>
    <x v="0"/>
    <x v="0"/>
  </r>
  <r>
    <n v="62180"/>
    <x v="18"/>
    <s v="MMG"/>
    <x v="0"/>
    <n v="50037905"/>
    <s v="ESTETOSCÓPIO SKF"/>
    <n v="1"/>
    <s v="NÃO REALIZADO"/>
    <s v="GEOVANE"/>
    <x v="92"/>
    <x v="2"/>
    <x v="0"/>
  </r>
  <r>
    <n v="62180"/>
    <x v="18"/>
    <s v="MMG"/>
    <x v="0"/>
    <n v="50037905"/>
    <s v="ESTETOSCÓPIO SKF"/>
    <n v="1"/>
    <s v="NÃO REALIZADO"/>
    <s v="MARCIA"/>
    <x v="92"/>
    <x v="0"/>
    <x v="0"/>
  </r>
  <r>
    <n v="63713"/>
    <x v="67"/>
    <s v="MME"/>
    <x v="0"/>
    <n v="50030486"/>
    <s v="FURADEIRA BOSCH 3"/>
    <n v="1"/>
    <s v="REALIZADO"/>
    <s v="KELLY"/>
    <x v="92"/>
    <x v="2"/>
    <x v="0"/>
  </r>
  <r>
    <n v="63713"/>
    <x v="67"/>
    <s v="MME"/>
    <x v="0"/>
    <n v="50030486"/>
    <s v="FURADEIRA BOSCH 3"/>
    <n v="1"/>
    <s v="REALIZADO"/>
    <s v="MATHEUS"/>
    <x v="92"/>
    <x v="0"/>
    <x v="0"/>
  </r>
  <r>
    <n v="78678"/>
    <x v="0"/>
    <s v="MME"/>
    <x v="0"/>
    <n v="50043471"/>
    <s v="FURADEIRA BOSCH 7"/>
    <n v="1"/>
    <s v="REALIZADO"/>
    <s v="KELLY"/>
    <x v="92"/>
    <x v="2"/>
    <x v="0"/>
  </r>
  <r>
    <n v="62471"/>
    <x v="9"/>
    <s v="MME"/>
    <x v="0"/>
    <n v="50043471"/>
    <s v="FURADEIRA BOSCH 7"/>
    <n v="1"/>
    <s v="REALIZADO"/>
    <s v="BRUNA"/>
    <x v="92"/>
    <x v="0"/>
    <x v="0"/>
  </r>
  <r>
    <n v="61761"/>
    <x v="66"/>
    <s v="MEE"/>
    <x v="3"/>
    <n v="50003297"/>
    <s v="FURADEIRA DE IMPACTO MAKITA 02"/>
    <n v="1"/>
    <s v="REALIZADO"/>
    <s v="KELLY"/>
    <x v="92"/>
    <x v="2"/>
    <x v="0"/>
  </r>
  <r>
    <n v="61761"/>
    <x v="66"/>
    <s v="MEE"/>
    <x v="3"/>
    <n v="50003297"/>
    <s v="FURADEIRA DE IMPACTO MAKITA 02"/>
    <n v="1"/>
    <s v="REALIZADO"/>
    <s v="KELLY"/>
    <x v="92"/>
    <x v="0"/>
    <x v="0"/>
  </r>
  <r>
    <n v="61761"/>
    <x v="66"/>
    <s v="MEE"/>
    <x v="3"/>
    <n v="50036299"/>
    <s v="JOGO DE SERRAS COPOS BIMETALICAS 16 PEÇAS"/>
    <n v="1"/>
    <s v="REALIZADO"/>
    <s v="KELLY"/>
    <x v="92"/>
    <x v="2"/>
    <x v="0"/>
  </r>
  <r>
    <n v="61761"/>
    <x v="66"/>
    <s v="MEE"/>
    <x v="3"/>
    <n v="50036299"/>
    <s v="JOGO DE SERRAS COPOS BIMETALICAS 16 PEÇAS"/>
    <n v="1"/>
    <s v="REALIZADO"/>
    <s v="KELLY"/>
    <x v="92"/>
    <x v="0"/>
    <x v="0"/>
  </r>
  <r>
    <n v="63770"/>
    <x v="36"/>
    <s v="MMG"/>
    <x v="0"/>
    <n v="50038549"/>
    <s v="JOGO SOQUETE ESTRIADOS 1/2 22PEÇ"/>
    <n v="1"/>
    <s v="REALIZADO"/>
    <s v="GEOVANE"/>
    <x v="92"/>
    <x v="2"/>
    <x v="0"/>
  </r>
  <r>
    <n v="63770"/>
    <x v="36"/>
    <s v="MMG"/>
    <x v="0"/>
    <n v="50038549"/>
    <s v="JOGO SOQUETE ESTRIADOS 1/2 22PEÇ"/>
    <n v="1"/>
    <s v="REALIZADO"/>
    <s v="MATHEUS"/>
    <x v="92"/>
    <x v="0"/>
    <x v="0"/>
  </r>
  <r>
    <n v="76994"/>
    <x v="8"/>
    <s v="MEE"/>
    <x v="0"/>
    <n v="50037892"/>
    <s v="LIXADEIRA BOSCH 2"/>
    <n v="1"/>
    <s v="REALIZADO"/>
    <s v="BRUNA"/>
    <x v="92"/>
    <x v="2"/>
    <x v="0"/>
  </r>
  <r>
    <n v="76994"/>
    <x v="8"/>
    <s v="MEE"/>
    <x v="0"/>
    <n v="50037892"/>
    <s v="LIXADEIRA BOSCH 2"/>
    <n v="1"/>
    <s v="REALIZADO"/>
    <s v="BRUNO"/>
    <x v="92"/>
    <x v="0"/>
    <x v="0"/>
  </r>
  <r>
    <n v="78675"/>
    <x v="12"/>
    <s v="MME"/>
    <x v="2"/>
    <n v="50037892"/>
    <s v="LIXADEIRA BOSCH 2"/>
    <n v="1"/>
    <s v="REALIZADO"/>
    <s v="BRUNO"/>
    <x v="92"/>
    <x v="2"/>
    <x v="0"/>
  </r>
  <r>
    <n v="78675"/>
    <x v="12"/>
    <s v="MME"/>
    <x v="2"/>
    <n v="50037892"/>
    <s v="LIXADEIRA BOSCH 2"/>
    <n v="1"/>
    <s v="REALIZADO"/>
    <s v="MARCIA"/>
    <x v="92"/>
    <x v="0"/>
    <x v="0"/>
  </r>
  <r>
    <n v="78678"/>
    <x v="0"/>
    <s v="MME"/>
    <x v="0"/>
    <n v="50037902"/>
    <s v="LIXADEIRA BOSCH 3"/>
    <n v="1"/>
    <s v="REALIZADO"/>
    <s v="KELLY"/>
    <x v="92"/>
    <x v="2"/>
    <x v="0"/>
  </r>
  <r>
    <n v="78678"/>
    <x v="0"/>
    <s v="MME"/>
    <x v="0"/>
    <n v="50037902"/>
    <s v="LIXADEIRA BOSCH 3"/>
    <n v="1"/>
    <s v="REALIZADO"/>
    <s v="GEOVANE"/>
    <x v="92"/>
    <x v="0"/>
    <x v="0"/>
  </r>
  <r>
    <n v="58068"/>
    <x v="31"/>
    <s v="MME"/>
    <x v="0"/>
    <n v="50037902"/>
    <s v="LIXADEIRA BOSCH 3"/>
    <n v="1"/>
    <s v="REALIZADO"/>
    <s v="BRUNA"/>
    <x v="92"/>
    <x v="2"/>
    <x v="0"/>
  </r>
  <r>
    <n v="58068"/>
    <x v="31"/>
    <s v="MME"/>
    <x v="0"/>
    <n v="50037902"/>
    <s v="LIXADEIRA BOSCH 3"/>
    <n v="1"/>
    <s v="REALIZADO"/>
    <s v="BRUNA"/>
    <x v="92"/>
    <x v="0"/>
    <x v="0"/>
  </r>
  <r>
    <n v="63713"/>
    <x v="67"/>
    <s v="MME"/>
    <x v="0"/>
    <n v="50038841"/>
    <s v="LIXADEIRA BOSCH 4"/>
    <n v="1"/>
    <s v="REALIZADO"/>
    <s v="KELLY"/>
    <x v="92"/>
    <x v="2"/>
    <x v="0"/>
  </r>
  <r>
    <n v="63713"/>
    <x v="67"/>
    <s v="MME"/>
    <x v="0"/>
    <n v="50038841"/>
    <s v="LIXADEIRA BOSCH 4"/>
    <n v="1"/>
    <s v="REALIZADO"/>
    <s v="MATHEUS"/>
    <x v="92"/>
    <x v="0"/>
    <x v="0"/>
  </r>
  <r>
    <n v="68430"/>
    <x v="61"/>
    <s v="MEE"/>
    <x v="2"/>
    <n v="50038517"/>
    <s v="LIXADEIRA BOSCH 5"/>
    <n v="1"/>
    <s v="REALIZADO"/>
    <s v="GEOVANE"/>
    <x v="92"/>
    <x v="2"/>
    <x v="0"/>
  </r>
  <r>
    <n v="68430"/>
    <x v="61"/>
    <s v="MEE"/>
    <x v="2"/>
    <n v="50038517"/>
    <s v="LIXADEIRA BOSCH 5"/>
    <n v="1"/>
    <s v="REALIZADO"/>
    <s v="MATHEUS"/>
    <x v="92"/>
    <x v="0"/>
    <x v="0"/>
  </r>
  <r>
    <n v="66014"/>
    <x v="103"/>
    <s v="MME"/>
    <x v="2"/>
    <n v="50038517"/>
    <s v="LIXADEIRA BOSCH 5"/>
    <n v="1"/>
    <s v="REALIZADO"/>
    <s v="BRUNO"/>
    <x v="92"/>
    <x v="2"/>
    <x v="0"/>
  </r>
  <r>
    <n v="66014"/>
    <x v="103"/>
    <s v="MME"/>
    <x v="2"/>
    <n v="50038517"/>
    <s v="LIXADEIRA BOSCH 5"/>
    <n v="1"/>
    <s v="REALIZADO"/>
    <s v="BRUNO"/>
    <x v="92"/>
    <x v="0"/>
    <x v="0"/>
  </r>
  <r>
    <n v="65131"/>
    <x v="41"/>
    <s v="MMG"/>
    <x v="3"/>
    <n v="50001995"/>
    <s v="MAQUINA DE SOLDA"/>
    <n v="1"/>
    <s v="REALIZADO"/>
    <s v="KELLY"/>
    <x v="92"/>
    <x v="2"/>
    <x v="0"/>
  </r>
  <r>
    <n v="65131"/>
    <x v="41"/>
    <s v="MMG"/>
    <x v="3"/>
    <n v="50001995"/>
    <s v="MAQUINA DE SOLDA"/>
    <n v="1"/>
    <s v="REALIZADO"/>
    <s v="GEOVANE"/>
    <x v="92"/>
    <x v="0"/>
    <x v="0"/>
  </r>
  <r>
    <n v="65910"/>
    <x v="7"/>
    <s v="MEE"/>
    <x v="0"/>
    <n v="50026357"/>
    <s v="MARTELETE VONDER"/>
    <n v="1"/>
    <s v="REALIZADO"/>
    <s v="BRUNA"/>
    <x v="92"/>
    <x v="2"/>
    <x v="0"/>
  </r>
  <r>
    <n v="65910"/>
    <x v="7"/>
    <s v="MEE"/>
    <x v="0"/>
    <n v="50026357"/>
    <s v="MARTELETE VONDER"/>
    <n v="1"/>
    <s v="REALIZADO"/>
    <s v="MATHEUS"/>
    <x v="92"/>
    <x v="0"/>
    <x v="0"/>
  </r>
  <r>
    <n v="74611"/>
    <x v="2"/>
    <s v="MPR"/>
    <x v="0"/>
    <n v="50041124"/>
    <s v="MISTURADOR DE ARGAMASSA"/>
    <n v="1"/>
    <s v="REALIZADO"/>
    <s v="GEOVANE"/>
    <x v="92"/>
    <x v="2"/>
    <x v="0"/>
  </r>
  <r>
    <n v="74611"/>
    <x v="2"/>
    <s v="MPR"/>
    <x v="0"/>
    <n v="50041124"/>
    <s v="MISTURADOR DE ARGAMASSA"/>
    <n v="1"/>
    <s v="REALIZADO"/>
    <s v="MATHEUS"/>
    <x v="92"/>
    <x v="2"/>
    <x v="0"/>
  </r>
  <r>
    <n v="63399"/>
    <x v="32"/>
    <s v="MPR"/>
    <x v="0"/>
    <n v="50041195"/>
    <s v="PARAFUSADEIRA FUR DE IMPACTO BRUSHLESS"/>
    <n v="1"/>
    <s v="REALIZADO"/>
    <s v="BRUNO"/>
    <x v="92"/>
    <x v="0"/>
    <x v="0"/>
  </r>
  <r>
    <n v="72808"/>
    <x v="79"/>
    <s v="MME"/>
    <x v="3"/>
    <n v="50043917"/>
    <s v="PARAFUSADEIRA FURADEIRA BOSCH"/>
    <n v="1"/>
    <s v="REALIZADO"/>
    <s v="KELLY"/>
    <x v="92"/>
    <x v="2"/>
    <x v="0"/>
  </r>
  <r>
    <n v="72808"/>
    <x v="79"/>
    <s v="MME"/>
    <x v="3"/>
    <n v="50043917"/>
    <s v="PARAFUSADEIRA FURADEIRA BOSCH"/>
    <n v="1"/>
    <s v="REALIZADO"/>
    <s v="KELLY"/>
    <x v="92"/>
    <x v="0"/>
    <x v="0"/>
  </r>
  <r>
    <n v="61753"/>
    <x v="47"/>
    <s v="MEE"/>
    <x v="2"/>
    <n v="50043917"/>
    <s v="PARAFUSADEIRA FURADEIRA BOSCH"/>
    <n v="1"/>
    <s v="REALIZADO"/>
    <s v="GEOVANE"/>
    <x v="92"/>
    <x v="2"/>
    <x v="0"/>
  </r>
  <r>
    <n v="61753"/>
    <x v="47"/>
    <s v="MEE"/>
    <x v="2"/>
    <n v="50043917"/>
    <s v="PARAFUSADEIRA FURADEIRA BOSCH"/>
    <n v="1"/>
    <s v="REALIZADO"/>
    <s v="GEOVANE"/>
    <x v="92"/>
    <x v="0"/>
    <x v="0"/>
  </r>
  <r>
    <n v="65482"/>
    <x v="30"/>
    <s v="MMG"/>
    <x v="0"/>
    <n v="50043917"/>
    <s v="PARAFUSADEIRA FURADEIRA BOSCH"/>
    <n v="1"/>
    <s v="REALIZADO"/>
    <s v="GEOVANE"/>
    <x v="92"/>
    <x v="2"/>
    <x v="0"/>
  </r>
  <r>
    <n v="65482"/>
    <x v="30"/>
    <s v="MMG"/>
    <x v="0"/>
    <n v="50043917"/>
    <s v="PARAFUSADEIRA FURADEIRA BOSCH"/>
    <n v="1"/>
    <s v="REALIZADO"/>
    <s v="BRUNA"/>
    <x v="92"/>
    <x v="0"/>
    <x v="0"/>
  </r>
  <r>
    <n v="68708"/>
    <x v="13"/>
    <s v="MMG"/>
    <x v="0"/>
    <n v="50043917"/>
    <s v="PARAFUSADEIRA FURADEIRA BOSCH"/>
    <n v="1"/>
    <s v="REALIZADO"/>
    <s v="BRUNO"/>
    <x v="92"/>
    <x v="2"/>
    <x v="0"/>
  </r>
  <r>
    <n v="68708"/>
    <x v="13"/>
    <s v="MMG"/>
    <x v="0"/>
    <n v="50043917"/>
    <s v="PARAFUSADEIRA FURADEIRA BOSCH"/>
    <n v="1"/>
    <s v="REALIZADO"/>
    <s v="BRUNO"/>
    <x v="92"/>
    <x v="2"/>
    <x v="0"/>
  </r>
  <r>
    <n v="77313"/>
    <x v="17"/>
    <s v="MPR"/>
    <x v="0"/>
    <n v="50020622"/>
    <s v="REBITADOR MANUAL"/>
    <n v="1"/>
    <s v="REALIZADO"/>
    <s v="BRUNA"/>
    <x v="92"/>
    <x v="0"/>
    <x v="0"/>
  </r>
  <r>
    <n v="63770"/>
    <x v="36"/>
    <s v="MMG"/>
    <x v="0"/>
    <n v="50012902"/>
    <s v="SACA POLIA 03 GARRAS 250 MM GEDORE"/>
    <n v="1"/>
    <s v="REALIZADO"/>
    <s v="BRUNA"/>
    <x v="92"/>
    <x v="2"/>
    <x v="0"/>
  </r>
  <r>
    <n v="63770"/>
    <x v="36"/>
    <s v="MMG"/>
    <x v="0"/>
    <n v="50012902"/>
    <s v="SACA POLIA 03 GARRAS 250 MM GEDORE"/>
    <n v="1"/>
    <s v="REALIZADO"/>
    <s v="BRUNA"/>
    <x v="92"/>
    <x v="0"/>
    <x v="0"/>
  </r>
  <r>
    <n v="68708"/>
    <x v="13"/>
    <s v="MMG"/>
    <x v="0"/>
    <n v="50032781"/>
    <s v="SERRA TICO TICO 650W DEWALT "/>
    <n v="1"/>
    <s v="REALIZADO"/>
    <s v="BRUNO"/>
    <x v="92"/>
    <x v="2"/>
    <x v="0"/>
  </r>
  <r>
    <n v="68708"/>
    <x v="13"/>
    <s v="MMG"/>
    <x v="0"/>
    <n v="50032781"/>
    <s v="SERRA TICO TICO 650W DEWALT "/>
    <n v="1"/>
    <s v="REALIZADO"/>
    <s v="BRUNO"/>
    <x v="92"/>
    <x v="0"/>
    <x v="0"/>
  </r>
  <r>
    <n v="68708"/>
    <x v="13"/>
    <s v="MMG"/>
    <x v="0"/>
    <n v="50038194"/>
    <s v="SERRA TICO TICO BOSCH C/MALETA"/>
    <n v="1"/>
    <s v="REALIZADO"/>
    <s v="BRUNA"/>
    <x v="92"/>
    <x v="2"/>
    <x v="0"/>
  </r>
  <r>
    <n v="68708"/>
    <x v="13"/>
    <s v="MMG"/>
    <x v="0"/>
    <n v="50038194"/>
    <s v="SERRA TICO TICO BOSCH C/MALETA"/>
    <n v="1"/>
    <s v="REALIZADO"/>
    <s v="BRUNA"/>
    <x v="92"/>
    <x v="0"/>
    <x v="0"/>
  </r>
  <r>
    <n v="62180"/>
    <x v="18"/>
    <s v="MMG"/>
    <x v="0"/>
    <n v="50037905"/>
    <s v="ESTETOSCÓPIO SKF"/>
    <n v="1"/>
    <s v="REALIZADO"/>
    <s v="BRUNA"/>
    <x v="93"/>
    <x v="2"/>
    <x v="0"/>
  </r>
  <r>
    <n v="62180"/>
    <x v="18"/>
    <s v="MMG"/>
    <x v="0"/>
    <n v="50037905"/>
    <s v="ESTETOSCÓPIO SKF"/>
    <n v="1"/>
    <s v="REALIZADO"/>
    <s v="BRUNA"/>
    <x v="93"/>
    <x v="0"/>
    <x v="0"/>
  </r>
  <r>
    <n v="74611"/>
    <x v="2"/>
    <s v="MPR"/>
    <x v="0"/>
    <n v="50030486"/>
    <s v="FURADEIRA BOSCH 3"/>
    <n v="1"/>
    <s v="REALIZADO"/>
    <s v="KELLY"/>
    <x v="93"/>
    <x v="2"/>
    <x v="0"/>
  </r>
  <r>
    <n v="74611"/>
    <x v="2"/>
    <s v="MPR"/>
    <x v="0"/>
    <n v="50030486"/>
    <s v="FURADEIRA BOSCH 3"/>
    <n v="1"/>
    <s v="REALIZADO"/>
    <s v="AGATHA"/>
    <x v="93"/>
    <x v="0"/>
    <x v="0"/>
  </r>
  <r>
    <n v="74611"/>
    <x v="2"/>
    <s v="MPR"/>
    <x v="0"/>
    <n v="50043471"/>
    <s v="FURADEIRA BOSCH 7"/>
    <n v="1"/>
    <s v="REALIZADO"/>
    <s v="BRUNA"/>
    <x v="93"/>
    <x v="2"/>
    <x v="0"/>
  </r>
  <r>
    <n v="74611"/>
    <x v="2"/>
    <s v="MPR"/>
    <x v="0"/>
    <n v="50043471"/>
    <s v="FURADEIRA BOSCH 7"/>
    <n v="1"/>
    <s v="REALIZADO"/>
    <s v="BRUNO"/>
    <x v="93"/>
    <x v="0"/>
    <x v="0"/>
  </r>
  <r>
    <n v="60953"/>
    <x v="71"/>
    <s v="MMG"/>
    <x v="2"/>
    <n v="50044839"/>
    <s v="HEADSET H390 LOGITECH"/>
    <n v="1"/>
    <s v="REALIZADO"/>
    <s v="BRUNO"/>
    <x v="93"/>
    <x v="2"/>
    <x v="0"/>
  </r>
  <r>
    <n v="77583"/>
    <x v="114"/>
    <n v="0"/>
    <x v="2"/>
    <n v="50044839"/>
    <s v="HEADSET H390 LOGITECH"/>
    <n v="1"/>
    <s v="REALIZADO"/>
    <s v="BRUNO"/>
    <x v="93"/>
    <x v="2"/>
    <x v="0"/>
  </r>
  <r>
    <n v="60953"/>
    <x v="71"/>
    <s v="MMG"/>
    <x v="2"/>
    <n v="50044839"/>
    <s v="HEADSET H390 LOGITECH"/>
    <n v="1"/>
    <s v="REALIZADO"/>
    <s v="BRUNO"/>
    <x v="93"/>
    <x v="0"/>
    <x v="0"/>
  </r>
  <r>
    <n v="74611"/>
    <x v="2"/>
    <s v="MPR"/>
    <x v="0"/>
    <n v="50029865"/>
    <s v="JOGO DE BROCAS ACO RAPIDO"/>
    <n v="1"/>
    <s v="REALIZADO"/>
    <s v="BRUNA"/>
    <x v="93"/>
    <x v="2"/>
    <x v="0"/>
  </r>
  <r>
    <n v="74611"/>
    <x v="2"/>
    <s v="MPR"/>
    <x v="0"/>
    <n v="50029865"/>
    <s v="JOGO DE BROCAS ACO RAPIDO"/>
    <n v="1"/>
    <s v="REALIZADO"/>
    <s v="BRUNO"/>
    <x v="93"/>
    <x v="0"/>
    <x v="0"/>
  </r>
  <r>
    <n v="62640"/>
    <x v="44"/>
    <s v="MPR"/>
    <x v="0"/>
    <n v="50036299"/>
    <s v="JOGO DE SERRAS COPOS BIMETALICAS 16 PEÇAS"/>
    <n v="1"/>
    <s v="REALIZADO"/>
    <s v="KELLY"/>
    <x v="93"/>
    <x v="2"/>
    <x v="0"/>
  </r>
  <r>
    <n v="62640"/>
    <x v="44"/>
    <s v="MPR"/>
    <x v="0"/>
    <n v="50036299"/>
    <s v="JOGO DE SERRAS COPOS BIMETALICAS 16 PEÇAS"/>
    <n v="1"/>
    <s v="REALIZADO"/>
    <s v="GEOVANE"/>
    <x v="93"/>
    <x v="0"/>
    <x v="0"/>
  </r>
  <r>
    <n v="65910"/>
    <x v="7"/>
    <s v="MEE"/>
    <x v="0"/>
    <n v="50043320"/>
    <s v="JOGO SERRA COPO 8PÇS"/>
    <n v="1"/>
    <s v="REALIZADO"/>
    <s v="KELLY"/>
    <x v="93"/>
    <x v="0"/>
    <x v="0"/>
  </r>
  <r>
    <n v="77526"/>
    <x v="37"/>
    <s v="MEE"/>
    <x v="2"/>
    <n v="50038549"/>
    <s v="JOGO SOQUETE ESTRIADOS 1/2 22PEÇ"/>
    <n v="1"/>
    <s v="REALIZADO"/>
    <s v="AGATHA"/>
    <x v="93"/>
    <x v="2"/>
    <x v="0"/>
  </r>
  <r>
    <n v="61753"/>
    <x v="47"/>
    <s v="MEE"/>
    <x v="2"/>
    <n v="50038549"/>
    <s v="JOGO SOQUETE ESTRIADOS 1/2 22PEÇ"/>
    <n v="1"/>
    <s v="REALIZADO"/>
    <s v="BRUNA"/>
    <x v="93"/>
    <x v="0"/>
    <x v="0"/>
  </r>
  <r>
    <n v="73336"/>
    <x v="29"/>
    <s v="MMG"/>
    <x v="0"/>
    <n v="50022878"/>
    <s v="KIT MONTAGEM ROLAMENTO SKF"/>
    <n v="1"/>
    <s v="REALIZADO"/>
    <s v="KELLY"/>
    <x v="93"/>
    <x v="2"/>
    <x v="0"/>
  </r>
  <r>
    <n v="73336"/>
    <x v="29"/>
    <s v="MMG"/>
    <x v="0"/>
    <n v="50022878"/>
    <s v="KIT MONTAGEM ROLAMENTO SKF"/>
    <n v="1"/>
    <s v="REALIZADO"/>
    <s v="GEOVANE"/>
    <x v="93"/>
    <x v="0"/>
    <x v="0"/>
  </r>
  <r>
    <n v="78678"/>
    <x v="0"/>
    <s v="MME"/>
    <x v="0"/>
    <n v="50038956"/>
    <s v="LIXADEIRA BOSCH 1"/>
    <n v="1"/>
    <s v="REALIZADO"/>
    <s v="BRUNO"/>
    <x v="93"/>
    <x v="2"/>
    <x v="0"/>
  </r>
  <r>
    <n v="78678"/>
    <x v="0"/>
    <s v="MME"/>
    <x v="0"/>
    <n v="50038956"/>
    <s v="LIXADEIRA BOSCH 1"/>
    <n v="1"/>
    <s v="REALIZADO"/>
    <s v="BRUNO"/>
    <x v="93"/>
    <x v="0"/>
    <x v="0"/>
  </r>
  <r>
    <n v="78675"/>
    <x v="12"/>
    <s v="MME"/>
    <x v="2"/>
    <n v="50038956"/>
    <s v="LIXADEIRA BOSCH 1"/>
    <n v="1"/>
    <s v="REALIZADO"/>
    <s v="BRUNA"/>
    <x v="93"/>
    <x v="2"/>
    <x v="0"/>
  </r>
  <r>
    <n v="78675"/>
    <x v="12"/>
    <s v="MME"/>
    <x v="2"/>
    <n v="50038956"/>
    <s v="LIXADEIRA BOSCH 1"/>
    <n v="1"/>
    <s v="REALIZADO"/>
    <s v="BRUNA"/>
    <x v="93"/>
    <x v="0"/>
    <x v="0"/>
  </r>
  <r>
    <n v="70105"/>
    <x v="25"/>
    <s v="MMG"/>
    <x v="3"/>
    <n v="50037892"/>
    <s v="LIXADEIRA BOSCH 2"/>
    <n v="1"/>
    <s v="REALIZADO"/>
    <s v="AGATHA"/>
    <x v="93"/>
    <x v="2"/>
    <x v="0"/>
  </r>
  <r>
    <n v="70105"/>
    <x v="25"/>
    <s v="MMG"/>
    <x v="3"/>
    <n v="50037892"/>
    <s v="LIXADEIRA BOSCH 2"/>
    <n v="1"/>
    <s v="REALIZADO"/>
    <s v="BRUNO"/>
    <x v="93"/>
    <x v="0"/>
    <x v="0"/>
  </r>
  <r>
    <n v="74611"/>
    <x v="2"/>
    <s v="MPR"/>
    <x v="0"/>
    <n v="50037902"/>
    <s v="LIXADEIRA BOSCH 3"/>
    <n v="1"/>
    <s v="REALIZADO"/>
    <s v="KELLY"/>
    <x v="93"/>
    <x v="2"/>
    <x v="0"/>
  </r>
  <r>
    <n v="74611"/>
    <x v="2"/>
    <s v="MPR"/>
    <x v="0"/>
    <n v="50037902"/>
    <s v="LIXADEIRA BOSCH 3"/>
    <n v="1"/>
    <s v="REALIZADO"/>
    <s v="GEOVANE"/>
    <x v="93"/>
    <x v="0"/>
    <x v="0"/>
  </r>
  <r>
    <n v="74611"/>
    <x v="2"/>
    <s v="MPR"/>
    <x v="0"/>
    <n v="50037902"/>
    <s v="LIXADEIRA BOSCH 3"/>
    <n v="1"/>
    <s v="REALIZADO"/>
    <s v="BRUNA"/>
    <x v="93"/>
    <x v="2"/>
    <x v="0"/>
  </r>
  <r>
    <n v="74611"/>
    <x v="2"/>
    <s v="MPR"/>
    <x v="0"/>
    <n v="50037902"/>
    <s v="LIXADEIRA BOSCH 3"/>
    <n v="1"/>
    <s v="REALIZADO"/>
    <s v="BRUNO"/>
    <x v="93"/>
    <x v="0"/>
    <x v="0"/>
  </r>
  <r>
    <n v="65472"/>
    <x v="48"/>
    <s v="MMG"/>
    <x v="0"/>
    <n v="50038517"/>
    <s v="LIXADEIRA BOSCH 5"/>
    <n v="1"/>
    <s v="REALIZADO"/>
    <s v="BRUNO"/>
    <x v="93"/>
    <x v="2"/>
    <x v="0"/>
  </r>
  <r>
    <n v="65472"/>
    <x v="48"/>
    <s v="MMG"/>
    <x v="0"/>
    <n v="50038517"/>
    <s v="LIXADEIRA BOSCH 5"/>
    <n v="1"/>
    <s v="REALIZADO"/>
    <s v="BRUNO"/>
    <x v="93"/>
    <x v="0"/>
    <x v="0"/>
  </r>
  <r>
    <n v="74611"/>
    <x v="2"/>
    <s v="MPR"/>
    <x v="0"/>
    <n v="50001995"/>
    <s v="MAQUINA DE SOLDA"/>
    <n v="1"/>
    <s v="REALIZADO"/>
    <s v="GEOVANE"/>
    <x v="93"/>
    <x v="2"/>
    <x v="0"/>
  </r>
  <r>
    <n v="74611"/>
    <x v="2"/>
    <s v="MPR"/>
    <x v="0"/>
    <n v="50001995"/>
    <s v="MAQUINA DE SOLDA"/>
    <n v="1"/>
    <s v="REALIZADO"/>
    <s v="BRUNO"/>
    <x v="93"/>
    <x v="0"/>
    <x v="0"/>
  </r>
  <r>
    <n v="77313"/>
    <x v="17"/>
    <s v="MPR"/>
    <x v="0"/>
    <n v="50026357"/>
    <s v="MARTELETE VONDER"/>
    <n v="1"/>
    <s v="REALIZADO"/>
    <s v="AGATHA"/>
    <x v="93"/>
    <x v="2"/>
    <x v="0"/>
  </r>
  <r>
    <n v="77313"/>
    <x v="17"/>
    <s v="MPR"/>
    <x v="0"/>
    <n v="50026357"/>
    <s v="MARTELETE VONDER"/>
    <n v="1"/>
    <s v="REALIZADO"/>
    <s v="BRUNO"/>
    <x v="93"/>
    <x v="0"/>
    <x v="0"/>
  </r>
  <r>
    <n v="77526"/>
    <x v="37"/>
    <s v="MME"/>
    <x v="0"/>
    <n v="50041195"/>
    <s v="PARAFUSADEIRA FUR DE IMPACTO BRUSHLESS"/>
    <n v="1"/>
    <s v="REALIZADO"/>
    <s v="KELLY"/>
    <x v="93"/>
    <x v="2"/>
    <x v="0"/>
  </r>
  <r>
    <n v="77526"/>
    <x v="37"/>
    <s v="MEE"/>
    <x v="0"/>
    <n v="50041195"/>
    <s v="PARAFUSADEIRA FUR DE IMPACTO BRUSHLESS"/>
    <n v="1"/>
    <s v="REALIZADO"/>
    <s v="AGATHA"/>
    <x v="93"/>
    <x v="0"/>
    <x v="0"/>
  </r>
  <r>
    <n v="78678"/>
    <x v="0"/>
    <s v="MME"/>
    <x v="0"/>
    <n v="50041195"/>
    <s v="PARAFUSADEIRA FUR DE IMPACTO BRUSHLESS"/>
    <n v="1"/>
    <s v="REALIZADO"/>
    <s v="BRUNO"/>
    <x v="93"/>
    <x v="2"/>
    <x v="0"/>
  </r>
  <r>
    <n v="78678"/>
    <x v="0"/>
    <s v="MME"/>
    <x v="0"/>
    <n v="50041195"/>
    <s v="PARAFUSADEIRA FUR DE IMPACTO BRUSHLESS"/>
    <n v="1"/>
    <s v="REALIZADO"/>
    <s v="BRUNO"/>
    <x v="93"/>
    <x v="0"/>
    <x v="0"/>
  </r>
  <r>
    <n v="62033"/>
    <x v="22"/>
    <s v="MME"/>
    <x v="3"/>
    <n v="50043917"/>
    <s v="PARAFUSADEIRA FURADEIRA BOSCH"/>
    <n v="1"/>
    <s v="REALIZADO"/>
    <s v="KELLY"/>
    <x v="93"/>
    <x v="2"/>
    <x v="0"/>
  </r>
  <r>
    <n v="62033"/>
    <x v="22"/>
    <s v="MME"/>
    <x v="3"/>
    <n v="50043917"/>
    <s v="PARAFUSADEIRA FURADEIRA BOSCH"/>
    <n v="1"/>
    <s v="REALIZADO"/>
    <s v="KELLY"/>
    <x v="93"/>
    <x v="0"/>
    <x v="0"/>
  </r>
  <r>
    <n v="64253"/>
    <x v="16"/>
    <s v="MMG"/>
    <x v="0"/>
    <n v="50043917"/>
    <s v="PARAFUSADEIRA FURADEIRA BOSCH"/>
    <n v="1"/>
    <s v="REALIZADO"/>
    <s v="KELLY"/>
    <x v="93"/>
    <x v="2"/>
    <x v="0"/>
  </r>
  <r>
    <n v="64253"/>
    <x v="16"/>
    <s v="MMG"/>
    <x v="0"/>
    <n v="50043917"/>
    <s v="PARAFUSADEIRA FURADEIRA BOSCH"/>
    <n v="1"/>
    <s v="REALIZADO"/>
    <s v="AGATHA"/>
    <x v="93"/>
    <x v="2"/>
    <x v="0"/>
  </r>
  <r>
    <n v="63770"/>
    <x v="36"/>
    <s v="MMG"/>
    <x v="0"/>
    <n v="50037906"/>
    <s v="REBITADEIRA MANUAL KJ29 - MALETA 1"/>
    <n v="1"/>
    <s v="REALIZADO"/>
    <s v="GEOVANE"/>
    <x v="93"/>
    <x v="0"/>
    <x v="0"/>
  </r>
  <r>
    <n v="65844"/>
    <x v="54"/>
    <s v="MMG"/>
    <x v="2"/>
    <n v="50020622"/>
    <s v="REBITADOR MANUAL"/>
    <n v="1"/>
    <s v="REALIZADO"/>
    <s v="BRUNA"/>
    <x v="93"/>
    <x v="2"/>
    <x v="0"/>
  </r>
  <r>
    <n v="65844"/>
    <x v="54"/>
    <s v="MMG"/>
    <x v="2"/>
    <n v="50020622"/>
    <s v="REBITADOR MANUAL"/>
    <n v="1"/>
    <s v="REALIZADO"/>
    <s v="BRUNO"/>
    <x v="93"/>
    <x v="0"/>
    <x v="0"/>
  </r>
  <r>
    <n v="77521"/>
    <x v="5"/>
    <s v="MME"/>
    <x v="0"/>
    <n v="50032781"/>
    <s v="SERRA TICO TICO 650W DEWALT "/>
    <n v="1"/>
    <s v="REALIZADO"/>
    <s v="BRUNO"/>
    <x v="93"/>
    <x v="2"/>
    <x v="0"/>
  </r>
  <r>
    <n v="77521"/>
    <x v="5"/>
    <s v="MME"/>
    <x v="0"/>
    <n v="50032781"/>
    <s v="SERRA TICO TICO 650W DEWALT "/>
    <n v="1"/>
    <s v="REALIZADO"/>
    <s v="BRUNO"/>
    <x v="93"/>
    <x v="0"/>
    <x v="0"/>
  </r>
  <r>
    <n v="63770"/>
    <x v="36"/>
    <s v="MMG"/>
    <x v="0"/>
    <n v="50037900"/>
    <s v="SOLDADOR POLYCODE"/>
    <n v="1"/>
    <s v="REALIZADO"/>
    <s v="KELLY"/>
    <x v="93"/>
    <x v="2"/>
    <x v="0"/>
  </r>
  <r>
    <n v="72728"/>
    <x v="58"/>
    <s v="UTI"/>
    <x v="3"/>
    <n v="50042002"/>
    <s v="VACUOMETRO DIGITAL"/>
    <n v="1"/>
    <s v="REALIZADO"/>
    <s v="BRUNO"/>
    <x v="93"/>
    <x v="2"/>
    <x v="0"/>
  </r>
  <r>
    <n v="77526"/>
    <x v="37"/>
    <s v="MME"/>
    <x v="0"/>
    <n v="50002644"/>
    <s v="ALICATE CRIMPADOR"/>
    <n v="1"/>
    <s v="REALIZADO"/>
    <s v="GEOVANE"/>
    <x v="94"/>
    <x v="2"/>
    <x v="0"/>
  </r>
  <r>
    <n v="62896"/>
    <x v="33"/>
    <s v="MEE"/>
    <x v="0"/>
    <n v="50036298"/>
    <s v="ASPIRADOR PARA SOLIDOS SEM FIO 20V"/>
    <n v="1"/>
    <s v="REALIZADO"/>
    <s v="MATHEUS"/>
    <x v="94"/>
    <x v="2"/>
    <x v="0"/>
  </r>
  <r>
    <n v="61096"/>
    <x v="64"/>
    <s v="MME"/>
    <x v="0"/>
    <n v="50036288"/>
    <s v="CHAVE GANCHO 34 A 36MM"/>
    <n v="1"/>
    <s v="REALIZADO"/>
    <s v="BRUNA"/>
    <x v="94"/>
    <x v="0"/>
    <x v="0"/>
  </r>
  <r>
    <n v="61332"/>
    <x v="115"/>
    <s v="PROJETOS"/>
    <x v="0"/>
    <n v="50030486"/>
    <s v="FURADEIRA BOSCH 3"/>
    <n v="1"/>
    <s v="REALIZADO"/>
    <s v="JOÃO FRANCISCO"/>
    <x v="94"/>
    <x v="2"/>
    <x v="0"/>
  </r>
  <r>
    <n v="61332"/>
    <x v="115"/>
    <s v="PROJETOS"/>
    <x v="0"/>
    <n v="50030486"/>
    <s v="FURADEIRA BOSCH 3"/>
    <n v="1"/>
    <s v="REALIZADO"/>
    <s v="AGATHA"/>
    <x v="94"/>
    <x v="0"/>
    <x v="0"/>
  </r>
  <r>
    <n v="77313"/>
    <x v="17"/>
    <s v="MPR"/>
    <x v="0"/>
    <n v="50039236"/>
    <s v="FURADEIRA BOSCH 4"/>
    <n v="1"/>
    <s v="REALIZADO"/>
    <s v="AGATHA"/>
    <x v="94"/>
    <x v="2"/>
    <x v="0"/>
  </r>
  <r>
    <n v="77313"/>
    <x v="17"/>
    <s v="MPR"/>
    <x v="0"/>
    <n v="50039236"/>
    <s v="FURADEIRA BOSCH 4"/>
    <n v="1"/>
    <s v="REALIZADO"/>
    <s v="AGATHA"/>
    <x v="94"/>
    <x v="0"/>
    <x v="0"/>
  </r>
  <r>
    <n v="63713"/>
    <x v="67"/>
    <s v="MME"/>
    <x v="0"/>
    <n v="50043471"/>
    <s v="FURADEIRA BOSCH 7"/>
    <n v="1"/>
    <s v="REALIZADO"/>
    <s v="AGATHA"/>
    <x v="94"/>
    <x v="2"/>
    <x v="0"/>
  </r>
  <r>
    <n v="63713"/>
    <x v="67"/>
    <s v="MME"/>
    <x v="0"/>
    <n v="50043471"/>
    <s v="FURADEIRA BOSCH 7"/>
    <n v="1"/>
    <s v="REALIZADO"/>
    <s v="BRUNA"/>
    <x v="94"/>
    <x v="0"/>
    <x v="0"/>
  </r>
  <r>
    <n v="64074"/>
    <x v="75"/>
    <s v="MPR"/>
    <x v="0"/>
    <n v="50003296"/>
    <s v="FURADEIRA DE IMPACTO MAKITA 01"/>
    <n v="1"/>
    <s v="REALIZADO"/>
    <s v="KELLY"/>
    <x v="94"/>
    <x v="2"/>
    <x v="0"/>
  </r>
  <r>
    <n v="64074"/>
    <x v="75"/>
    <s v="MPR"/>
    <x v="0"/>
    <n v="50003296"/>
    <s v="FURADEIRA DE IMPACTO MAKITA 01"/>
    <n v="1"/>
    <s v="REALIZADO"/>
    <s v="AGATHA"/>
    <x v="94"/>
    <x v="0"/>
    <x v="0"/>
  </r>
  <r>
    <n v="67863"/>
    <x v="40"/>
    <s v="MME"/>
    <x v="2"/>
    <n v="50003297"/>
    <s v="FURADEIRA DE IMPACTO MAKITA 02"/>
    <n v="1"/>
    <s v="REALIZADO"/>
    <s v="MATHEUS"/>
    <x v="94"/>
    <x v="2"/>
    <x v="0"/>
  </r>
  <r>
    <n v="67863"/>
    <x v="40"/>
    <s v="MME"/>
    <x v="2"/>
    <n v="50003297"/>
    <s v="FURADEIRA DE IMPACTO MAKITA 02"/>
    <n v="1"/>
    <s v="REALIZADO"/>
    <s v="MATHEUS"/>
    <x v="94"/>
    <x v="0"/>
    <x v="0"/>
  </r>
  <r>
    <n v="64253"/>
    <x v="16"/>
    <s v="MMG"/>
    <x v="0"/>
    <n v="50022878"/>
    <s v="KIT MONTAGEM ROLAMENTO SKF"/>
    <n v="1"/>
    <s v="REALIZADO"/>
    <s v="AGATHA"/>
    <x v="94"/>
    <x v="2"/>
    <x v="0"/>
  </r>
  <r>
    <n v="70105"/>
    <x v="25"/>
    <s v="MMG"/>
    <x v="3"/>
    <n v="50022878"/>
    <s v="KIT MONTAGEM ROLAMENTO SKF"/>
    <n v="1"/>
    <s v="REALIZADO"/>
    <s v="BRUNA"/>
    <x v="94"/>
    <x v="0"/>
    <x v="0"/>
  </r>
  <r>
    <n v="64253"/>
    <x v="16"/>
    <s v="MMG"/>
    <x v="0"/>
    <n v="50022878"/>
    <s v="KIT MONTAGEM ROLAMENTO SKF"/>
    <n v="1"/>
    <s v="REALIZADO"/>
    <s v="BRUNA"/>
    <x v="94"/>
    <x v="2"/>
    <x v="0"/>
  </r>
  <r>
    <n v="64253"/>
    <x v="16"/>
    <s v="MMG"/>
    <x v="0"/>
    <n v="50022878"/>
    <s v="KIT MONTAGEM ROLAMENTO SKF"/>
    <n v="1"/>
    <s v="REALIZADO"/>
    <s v="MATHEUS"/>
    <x v="94"/>
    <x v="0"/>
    <x v="0"/>
  </r>
  <r>
    <n v="73878"/>
    <x v="20"/>
    <s v="MMG"/>
    <x v="0"/>
    <n v="50037892"/>
    <s v="LIXADEIRA BOSCH 2"/>
    <n v="1"/>
    <s v="REALIZADO"/>
    <s v="KELLY"/>
    <x v="94"/>
    <x v="2"/>
    <x v="1"/>
  </r>
  <r>
    <n v="73878"/>
    <x v="20"/>
    <s v="MMG"/>
    <x v="0"/>
    <n v="50037892"/>
    <s v="LIXADEIRA BOSCH 2"/>
    <n v="1"/>
    <s v="REALIZADO"/>
    <s v="AGATHA"/>
    <x v="94"/>
    <x v="0"/>
    <x v="0"/>
  </r>
  <r>
    <n v="63713"/>
    <x v="67"/>
    <s v="MME"/>
    <x v="0"/>
    <n v="50038841"/>
    <s v="LIXADEIRA BOSCH 4"/>
    <n v="1"/>
    <s v="REALIZADO"/>
    <s v="GEOVANE"/>
    <x v="94"/>
    <x v="2"/>
    <x v="0"/>
  </r>
  <r>
    <n v="63713"/>
    <x v="67"/>
    <s v="MME"/>
    <x v="0"/>
    <n v="50038841"/>
    <s v="LIXADEIRA BOSCH 4"/>
    <n v="1"/>
    <s v="REALIZADO"/>
    <s v="MATHEUS"/>
    <x v="94"/>
    <x v="0"/>
    <x v="0"/>
  </r>
  <r>
    <n v="74611"/>
    <x v="2"/>
    <s v="MPR"/>
    <x v="0"/>
    <n v="50038517"/>
    <s v="LIXADEIRA BOSCH 5"/>
    <n v="1"/>
    <s v="REALIZADO"/>
    <s v="AGATHA"/>
    <x v="94"/>
    <x v="2"/>
    <x v="0"/>
  </r>
  <r>
    <n v="64074"/>
    <x v="75"/>
    <s v="MPR"/>
    <x v="0"/>
    <n v="50038517"/>
    <s v="LIXADEIRA BOSCH 5"/>
    <n v="1"/>
    <s v="REALIZADO"/>
    <s v="MATHEUS"/>
    <x v="94"/>
    <x v="0"/>
    <x v="0"/>
  </r>
  <r>
    <n v="74611"/>
    <x v="2"/>
    <s v="MPR"/>
    <x v="0"/>
    <n v="50001995"/>
    <s v="MAQUINA DE SOLDA"/>
    <n v="1"/>
    <s v="REALIZADO"/>
    <s v="AGATHA"/>
    <x v="94"/>
    <x v="2"/>
    <x v="0"/>
  </r>
  <r>
    <n v="74611"/>
    <x v="2"/>
    <s v="MPR"/>
    <x v="0"/>
    <n v="50001995"/>
    <s v="MAQUINA DE SOLDA"/>
    <n v="1"/>
    <s v="REALIZADO"/>
    <s v="MATHEUS"/>
    <x v="94"/>
    <x v="0"/>
    <x v="0"/>
  </r>
  <r>
    <n v="77313"/>
    <x v="17"/>
    <s v="MPR"/>
    <x v="0"/>
    <n v="50026357"/>
    <s v="MARTELETE VONDER"/>
    <n v="1"/>
    <s v="REALIZADO"/>
    <s v="AGATHA"/>
    <x v="94"/>
    <x v="2"/>
    <x v="0"/>
  </r>
  <r>
    <n v="77313"/>
    <x v="17"/>
    <s v="MPR"/>
    <x v="0"/>
    <n v="50026357"/>
    <s v="MARTELETE VONDER"/>
    <n v="1"/>
    <s v="REALIZADO"/>
    <s v="MATHEUS"/>
    <x v="94"/>
    <x v="0"/>
    <x v="0"/>
  </r>
  <r>
    <n v="65472"/>
    <x v="48"/>
    <s v="MMG"/>
    <x v="0"/>
    <n v="50041653"/>
    <s v="MICROMETRO INTERNO - EXTRUSORA"/>
    <n v="1"/>
    <s v="REALIZADO"/>
    <s v="BRUNA"/>
    <x v="94"/>
    <x v="2"/>
    <x v="0"/>
  </r>
  <r>
    <n v="65472"/>
    <x v="48"/>
    <s v="MMG"/>
    <x v="0"/>
    <n v="50041653"/>
    <s v="MICROMETRO INTERNO - EXTRUSORA"/>
    <n v="1"/>
    <s v="REALIZADO"/>
    <s v="MATHEUS"/>
    <x v="94"/>
    <x v="0"/>
    <x v="0"/>
  </r>
  <r>
    <n v="58734"/>
    <x v="85"/>
    <s v="MME"/>
    <x v="3"/>
    <n v="50041195"/>
    <s v="PARAFUSADEIRA FUR DE IMPACTO BRUSHLESS"/>
    <n v="1"/>
    <s v="REALIZADO"/>
    <s v="KELLY"/>
    <x v="94"/>
    <x v="2"/>
    <x v="0"/>
  </r>
  <r>
    <n v="58734"/>
    <x v="85"/>
    <s v="MME"/>
    <x v="3"/>
    <n v="50041195"/>
    <s v="PARAFUSADEIRA FUR DE IMPACTO BRUSHLESS"/>
    <n v="1"/>
    <s v="REALIZADO"/>
    <s v="KELLY"/>
    <x v="94"/>
    <x v="0"/>
    <x v="0"/>
  </r>
  <r>
    <n v="77471"/>
    <x v="35"/>
    <s v="MEE"/>
    <x v="0"/>
    <n v="50041195"/>
    <s v="PARAFUSADEIRA FUR DE IMPACTO BRUSHLESS"/>
    <n v="1"/>
    <s v="REALIZADO"/>
    <s v="KELLY"/>
    <x v="94"/>
    <x v="2"/>
    <x v="0"/>
  </r>
  <r>
    <n v="77471"/>
    <x v="35"/>
    <s v="MEE"/>
    <x v="0"/>
    <n v="50041195"/>
    <s v="PARAFUSADEIRA FUR DE IMPACTO BRUSHLESS"/>
    <n v="1"/>
    <s v="REALIZADO"/>
    <s v="GEOVANE"/>
    <x v="94"/>
    <x v="0"/>
    <x v="0"/>
  </r>
  <r>
    <n v="62640"/>
    <x v="44"/>
    <s v="MPR"/>
    <x v="0"/>
    <n v="50041195"/>
    <s v="PARAFUSADEIRA FUR DE IMPACTO BRUSHLESS"/>
    <n v="1"/>
    <s v="REALIZADO"/>
    <s v="AGATHA"/>
    <x v="94"/>
    <x v="2"/>
    <x v="0"/>
  </r>
  <r>
    <n v="62640"/>
    <x v="44"/>
    <s v="MPR"/>
    <x v="0"/>
    <n v="50041195"/>
    <s v="PARAFUSADEIRA FUR DE IMPACTO BRUSHLESS"/>
    <n v="1"/>
    <s v="REALIZADO"/>
    <s v="AGATHA"/>
    <x v="94"/>
    <x v="2"/>
    <x v="0"/>
  </r>
  <r>
    <n v="66830"/>
    <x v="3"/>
    <s v="MPR"/>
    <x v="0"/>
    <n v="50041195"/>
    <s v="PARAFUSADEIRA FUR DE IMPACTO BRUSHLESS"/>
    <n v="1"/>
    <s v="REALIZADO"/>
    <s v="MATHEUS"/>
    <x v="94"/>
    <x v="0"/>
    <x v="0"/>
  </r>
  <r>
    <n v="77471"/>
    <x v="35"/>
    <s v="MEE"/>
    <x v="0"/>
    <n v="50043917"/>
    <s v="PARAFUSADEIRA FURADEIRA BOSCH"/>
    <n v="1"/>
    <s v="REALIZADO"/>
    <s v="GEOVANE"/>
    <x v="94"/>
    <x v="2"/>
    <x v="0"/>
  </r>
  <r>
    <n v="77471"/>
    <x v="35"/>
    <s v="MEE"/>
    <x v="0"/>
    <n v="50043917"/>
    <s v="PARAFUSADEIRA FURADEIRA BOSCH"/>
    <n v="1"/>
    <s v="REALIZADO"/>
    <s v="MATHEUS"/>
    <x v="94"/>
    <x v="0"/>
    <x v="0"/>
  </r>
  <r>
    <n v="68760"/>
    <x v="15"/>
    <s v="MMG"/>
    <x v="0"/>
    <n v="50004486"/>
    <s v="RETIFICA "/>
    <n v="1"/>
    <s v="REALIZADO"/>
    <s v="AGATHA"/>
    <x v="94"/>
    <x v="2"/>
    <x v="0"/>
  </r>
  <r>
    <n v="68760"/>
    <x v="15"/>
    <s v="MMG"/>
    <x v="0"/>
    <n v="50004486"/>
    <s v="RETIFICA "/>
    <n v="1"/>
    <s v="REALIZADO"/>
    <s v="GEOVANE"/>
    <x v="94"/>
    <x v="0"/>
    <x v="0"/>
  </r>
  <r>
    <n v="78886"/>
    <x v="51"/>
    <s v="MME"/>
    <x v="0"/>
    <n v="50032781"/>
    <s v="SERRA TICO TICO 650W DEWALT "/>
    <n v="1"/>
    <s v="REALIZADO"/>
    <s v="BRUNA"/>
    <x v="94"/>
    <x v="2"/>
    <x v="0"/>
  </r>
  <r>
    <n v="78886"/>
    <x v="51"/>
    <s v="MME"/>
    <x v="0"/>
    <n v="50032781"/>
    <s v="SERRA TICO TICO 650W DEWALT "/>
    <n v="1"/>
    <s v="REALIZADO"/>
    <s v="MATHEUS"/>
    <x v="94"/>
    <x v="2"/>
    <x v="0"/>
  </r>
  <r>
    <n v="65472"/>
    <x v="48"/>
    <s v="MMG"/>
    <x v="0"/>
    <n v="50037924"/>
    <s v="TORQUIMETRO GEDORE GRANDE"/>
    <n v="1"/>
    <s v="REALIZADO"/>
    <s v="MATHEUS"/>
    <x v="94"/>
    <x v="2"/>
    <x v="0"/>
  </r>
  <r>
    <n v="65472"/>
    <x v="48"/>
    <s v="MMG"/>
    <x v="0"/>
    <n v="50037924"/>
    <s v="TORQUIMETRO GEDORE GRANDE"/>
    <n v="1"/>
    <s v="REALIZADO"/>
    <s v="MATHEUS"/>
    <x v="94"/>
    <x v="0"/>
    <x v="0"/>
  </r>
  <r>
    <n v="76994"/>
    <x v="8"/>
    <s v="MEE"/>
    <x v="0"/>
    <n v="50002644"/>
    <s v="ALICATE CRIMPADOR"/>
    <n v="1"/>
    <s v="REALIZADO"/>
    <s v="AGATHA"/>
    <x v="95"/>
    <x v="2"/>
    <x v="0"/>
  </r>
  <r>
    <n v="76994"/>
    <x v="8"/>
    <s v="MEE"/>
    <x v="0"/>
    <n v="50002644"/>
    <s v="ALICATE CRIMPADOR"/>
    <n v="1"/>
    <s v="REALIZADO"/>
    <s v="BRUNO"/>
    <x v="95"/>
    <x v="0"/>
    <x v="0"/>
  </r>
  <r>
    <n v="77313"/>
    <x v="17"/>
    <s v="MPR"/>
    <x v="0"/>
    <n v="50030486"/>
    <s v="FURADEIRA BOSCH 3"/>
    <n v="1"/>
    <s v="REALIZADO"/>
    <s v="AGATHA"/>
    <x v="95"/>
    <x v="2"/>
    <x v="0"/>
  </r>
  <r>
    <n v="77313"/>
    <x v="17"/>
    <s v="MPR"/>
    <x v="0"/>
    <n v="50030486"/>
    <s v="FURADEIRA BOSCH 3"/>
    <n v="1"/>
    <s v="REALIZADO"/>
    <s v="AGATHA"/>
    <x v="95"/>
    <x v="0"/>
    <x v="0"/>
  </r>
  <r>
    <n v="62640"/>
    <x v="44"/>
    <s v="MPR"/>
    <x v="0"/>
    <n v="50043471"/>
    <s v="FURADEIRA BOSCH 7"/>
    <n v="1"/>
    <s v="REALIZADO"/>
    <s v="AGATHA"/>
    <x v="95"/>
    <x v="2"/>
    <x v="0"/>
  </r>
  <r>
    <n v="62640"/>
    <x v="44"/>
    <s v="MPR"/>
    <x v="0"/>
    <n v="50043471"/>
    <s v="FURADEIRA BOSCH 7"/>
    <n v="1"/>
    <s v="REALIZADO"/>
    <s v="AGATHA"/>
    <x v="95"/>
    <x v="0"/>
    <x v="0"/>
  </r>
  <r>
    <n v="61264"/>
    <x v="10"/>
    <s v="MMG"/>
    <x v="0"/>
    <n v="50037909"/>
    <s v="KIT FLANGEADOR "/>
    <n v="1"/>
    <s v="REALIZADO"/>
    <s v="AGATHA"/>
    <x v="95"/>
    <x v="2"/>
    <x v="0"/>
  </r>
  <r>
    <n v="61264"/>
    <x v="10"/>
    <s v="MMG"/>
    <x v="0"/>
    <n v="50037909"/>
    <s v="KIT FLANGEADOR "/>
    <n v="1"/>
    <s v="REALIZADO"/>
    <s v="AGATHA"/>
    <x v="95"/>
    <x v="0"/>
    <x v="0"/>
  </r>
  <r>
    <n v="70105"/>
    <x v="25"/>
    <s v="MMG"/>
    <x v="3"/>
    <n v="50022878"/>
    <s v="KIT MONTAGEM ROLAMENTO SKF"/>
    <n v="1"/>
    <s v="REALIZADO"/>
    <s v="KELLY"/>
    <x v="95"/>
    <x v="2"/>
    <x v="0"/>
  </r>
  <r>
    <n v="70105"/>
    <x v="25"/>
    <s v="MMG"/>
    <x v="3"/>
    <n v="50022878"/>
    <s v="KIT MONTAGEM ROLAMENTO SKF"/>
    <n v="1"/>
    <s v="REALIZADO"/>
    <s v="BRUNO"/>
    <x v="95"/>
    <x v="0"/>
    <x v="0"/>
  </r>
  <r>
    <n v="58734"/>
    <x v="85"/>
    <s v="MME"/>
    <x v="3"/>
    <n v="50038956"/>
    <s v="LIXADEIRA BOSCH 1"/>
    <n v="1"/>
    <s v="REALIZADO"/>
    <s v="KELLY"/>
    <x v="95"/>
    <x v="2"/>
    <x v="0"/>
  </r>
  <r>
    <n v="58734"/>
    <x v="85"/>
    <s v="MME"/>
    <x v="3"/>
    <n v="50038956"/>
    <s v="LIXADEIRA BOSCH 1"/>
    <n v="1"/>
    <s v="REALIZADO"/>
    <s v="KELLY"/>
    <x v="95"/>
    <x v="0"/>
    <x v="0"/>
  </r>
  <r>
    <n v="74611"/>
    <x v="2"/>
    <s v="MPR"/>
    <x v="0"/>
    <n v="50038956"/>
    <s v="LIXADEIRA BOSCH 1"/>
    <n v="1"/>
    <s v="REALIZADO"/>
    <s v="AGATHA"/>
    <x v="95"/>
    <x v="2"/>
    <x v="0"/>
  </r>
  <r>
    <n v="74611"/>
    <x v="2"/>
    <s v="MPR"/>
    <x v="0"/>
    <n v="50038956"/>
    <s v="LIXADEIRA BOSCH 1"/>
    <n v="1"/>
    <s v="REALIZADO"/>
    <s v="BRUNO"/>
    <x v="95"/>
    <x v="0"/>
    <x v="0"/>
  </r>
  <r>
    <n v="77708"/>
    <x v="69"/>
    <s v="MPR"/>
    <x v="0"/>
    <n v="50037892"/>
    <s v="LIXADEIRA BOSCH 2"/>
    <n v="1"/>
    <s v="REALIZADO"/>
    <s v="BRUNO"/>
    <x v="95"/>
    <x v="2"/>
    <x v="0"/>
  </r>
  <r>
    <n v="77708"/>
    <x v="69"/>
    <s v="MPR"/>
    <x v="0"/>
    <n v="50037892"/>
    <s v="LIXADEIRA BOSCH 2"/>
    <n v="1"/>
    <s v="REALIZADO"/>
    <s v="BRUNO"/>
    <x v="95"/>
    <x v="0"/>
    <x v="0"/>
  </r>
  <r>
    <n v="70105"/>
    <x v="25"/>
    <s v="MMG"/>
    <x v="3"/>
    <n v="50037902"/>
    <s v="LIXADEIRA BOSCH 3"/>
    <n v="1"/>
    <s v="REALIZADO"/>
    <s v="AGATHA"/>
    <x v="95"/>
    <x v="2"/>
    <x v="0"/>
  </r>
  <r>
    <n v="70105"/>
    <x v="25"/>
    <s v="MMG"/>
    <x v="3"/>
    <n v="50037902"/>
    <s v="LIXADEIRA BOSCH 3"/>
    <n v="1"/>
    <s v="REALIZADO"/>
    <s v="BRUNO"/>
    <x v="95"/>
    <x v="0"/>
    <x v="0"/>
  </r>
  <r>
    <n v="78886"/>
    <x v="116"/>
    <s v="MME"/>
    <x v="0"/>
    <n v="50038841"/>
    <s v="LIXADEIRA BOSCH 4"/>
    <n v="1"/>
    <s v="REALIZADO"/>
    <s v="BRUNO"/>
    <x v="95"/>
    <x v="2"/>
    <x v="0"/>
  </r>
  <r>
    <n v="78886"/>
    <x v="116"/>
    <s v="MME"/>
    <x v="0"/>
    <n v="50038841"/>
    <s v="LIXADEIRA BOSCH 4"/>
    <n v="1"/>
    <s v="REALIZADO"/>
    <s v="BRUNO"/>
    <x v="95"/>
    <x v="0"/>
    <x v="0"/>
  </r>
  <r>
    <n v="74611"/>
    <x v="2"/>
    <s v="MPR"/>
    <x v="0"/>
    <n v="50001995"/>
    <s v="MAQUINA DE SOLDA"/>
    <n v="1"/>
    <s v="REALIZADO"/>
    <s v="AGATHA"/>
    <x v="95"/>
    <x v="2"/>
    <x v="0"/>
  </r>
  <r>
    <n v="74611"/>
    <x v="2"/>
    <s v="MPR"/>
    <x v="0"/>
    <n v="50001995"/>
    <s v="MAQUINA DE SOLDA"/>
    <n v="1"/>
    <s v="REALIZADO"/>
    <s v="BRUNO"/>
    <x v="95"/>
    <x v="0"/>
    <x v="0"/>
  </r>
  <r>
    <n v="73878"/>
    <x v="20"/>
    <s v="MMG"/>
    <x v="0"/>
    <n v="50039065"/>
    <s v="MAQUINA SOLDA TIG"/>
    <n v="1"/>
    <s v="REALIZADO"/>
    <s v="KELLY"/>
    <x v="95"/>
    <x v="0"/>
    <x v="0"/>
  </r>
  <r>
    <n v="66301"/>
    <x v="65"/>
    <s v="MEE"/>
    <x v="0"/>
    <n v="50022923"/>
    <s v="MEGOMETRO DIGITAL FLUKE"/>
    <n v="1"/>
    <s v="REALIZADO"/>
    <s v="KELLY"/>
    <x v="95"/>
    <x v="2"/>
    <x v="0"/>
  </r>
  <r>
    <n v="66301"/>
    <x v="65"/>
    <s v="MEE"/>
    <x v="0"/>
    <n v="50022923"/>
    <s v="MEGOMETRO DIGITAL FLUKE"/>
    <n v="1"/>
    <s v="REALIZADO"/>
    <s v="AGATHA"/>
    <x v="95"/>
    <x v="0"/>
    <x v="0"/>
  </r>
  <r>
    <n v="65472"/>
    <x v="48"/>
    <s v="MMG"/>
    <x v="0"/>
    <n v="50041653"/>
    <s v="MICROMETRO INTERNO - EXTRUSORA"/>
    <n v="1"/>
    <s v="REALIZADO"/>
    <s v="AGATHA"/>
    <x v="95"/>
    <x v="2"/>
    <x v="0"/>
  </r>
  <r>
    <n v="65472"/>
    <x v="48"/>
    <s v="MMG"/>
    <x v="0"/>
    <n v="50041653"/>
    <s v="MICROMETRO INTERNO - EXTRUSORA"/>
    <n v="1"/>
    <s v="REALIZADO"/>
    <s v="BRUNO"/>
    <x v="95"/>
    <x v="0"/>
    <x v="0"/>
  </r>
  <r>
    <n v="63399"/>
    <x v="32"/>
    <s v="MPR"/>
    <x v="0"/>
    <n v="50041195"/>
    <s v="PARAFUSADEIRA FUR DE IMPACTO BRUSHLESS"/>
    <n v="1"/>
    <s v="REALIZADO"/>
    <s v="AGATHA"/>
    <x v="95"/>
    <x v="2"/>
    <x v="0"/>
  </r>
  <r>
    <n v="63399"/>
    <x v="32"/>
    <s v="MPR"/>
    <x v="0"/>
    <n v="50041195"/>
    <s v="PARAFUSADEIRA FUR DE IMPACTO BRUSHLESS"/>
    <n v="1"/>
    <s v="REALIZADO"/>
    <s v="BRUNO"/>
    <x v="95"/>
    <x v="0"/>
    <x v="0"/>
  </r>
  <r>
    <n v="77471"/>
    <x v="35"/>
    <s v="MEE"/>
    <x v="0"/>
    <n v="50043917"/>
    <s v="PARAFUSADEIRA FURADEIRA BOSCH"/>
    <n v="1"/>
    <s v="REALIZADO"/>
    <s v="AGATHA"/>
    <x v="95"/>
    <x v="0"/>
    <x v="0"/>
  </r>
  <r>
    <n v="78678"/>
    <x v="0"/>
    <s v="MME"/>
    <x v="0"/>
    <n v="50043917"/>
    <s v="PARAFUSADEIRA FURADEIRA BOSCH"/>
    <n v="1"/>
    <s v="REALIZADO"/>
    <s v="BRUNA"/>
    <x v="95"/>
    <x v="2"/>
    <x v="0"/>
  </r>
  <r>
    <n v="78678"/>
    <x v="0"/>
    <s v="MME"/>
    <x v="0"/>
    <n v="50043917"/>
    <s v="PARAFUSADEIRA FURADEIRA BOSCH"/>
    <n v="1"/>
    <s v="REALIZADO"/>
    <s v="BRUNO"/>
    <x v="95"/>
    <x v="0"/>
    <x v="0"/>
  </r>
  <r>
    <n v="64074"/>
    <x v="75"/>
    <s v="MPR"/>
    <x v="0"/>
    <n v="50043917"/>
    <s v="PARAFUSADEIRA FURADEIRA BOSCH"/>
    <n v="1"/>
    <s v="REALIZADO"/>
    <s v="BRUNO"/>
    <x v="95"/>
    <x v="2"/>
    <x v="0"/>
  </r>
  <r>
    <n v="64074"/>
    <x v="75"/>
    <s v="MPR"/>
    <x v="0"/>
    <n v="50043917"/>
    <s v="PARAFUSADEIRA FURADEIRA BOSCH"/>
    <n v="1"/>
    <s v="REALIZADO"/>
    <s v="BRUNO"/>
    <x v="95"/>
    <x v="0"/>
    <x v="0"/>
  </r>
  <r>
    <n v="78678"/>
    <x v="0"/>
    <s v="MME"/>
    <x v="0"/>
    <n v="50020622"/>
    <s v="REBITADOR MANUAL"/>
    <n v="1"/>
    <s v="REALIZADO"/>
    <s v="BRUNA"/>
    <x v="95"/>
    <x v="2"/>
    <x v="0"/>
  </r>
  <r>
    <n v="78678"/>
    <x v="0"/>
    <s v="MME"/>
    <x v="0"/>
    <n v="50020622"/>
    <s v="REBITADOR MANUAL"/>
    <n v="1"/>
    <s v="REALIZADO"/>
    <s v="BRUNO"/>
    <x v="95"/>
    <x v="0"/>
    <x v="0"/>
  </r>
  <r>
    <n v="61264"/>
    <x v="10"/>
    <s v="MMG"/>
    <x v="0"/>
    <n v="50012903"/>
    <s v="SACA POLIA 02 GARRAS 250MM GEDORE"/>
    <n v="1"/>
    <s v="REALIZADO"/>
    <s v="AGATHA"/>
    <x v="95"/>
    <x v="2"/>
    <x v="0"/>
  </r>
  <r>
    <n v="61264"/>
    <x v="10"/>
    <s v="MMG"/>
    <x v="0"/>
    <n v="50012903"/>
    <s v="SACA POLIA 02 GARRAS 250MM GEDORE"/>
    <n v="1"/>
    <s v="REALIZADO"/>
    <s v="AGATHA"/>
    <x v="95"/>
    <x v="0"/>
    <x v="0"/>
  </r>
  <r>
    <n v="64253"/>
    <x v="16"/>
    <s v="MMG"/>
    <x v="0"/>
    <n v="50012903"/>
    <s v="SACA POLIA 02 GARRAS 250MM GEDORE"/>
    <n v="1"/>
    <s v="REALIZADO"/>
    <s v="AGATHA"/>
    <x v="95"/>
    <x v="2"/>
    <x v="0"/>
  </r>
  <r>
    <n v="64253"/>
    <x v="16"/>
    <s v="MMG"/>
    <x v="0"/>
    <n v="50012903"/>
    <s v="SACA POLIA 02 GARRAS 250MM GEDORE"/>
    <n v="1"/>
    <s v="REALIZADO"/>
    <s v="BRUNA"/>
    <x v="95"/>
    <x v="0"/>
    <x v="0"/>
  </r>
  <r>
    <n v="77526"/>
    <x v="37"/>
    <s v="MME"/>
    <x v="0"/>
    <n v="50032781"/>
    <s v="SERRA TICO TICO 650W DEWALT "/>
    <n v="1"/>
    <s v="REALIZADO"/>
    <s v="AGATHA"/>
    <x v="95"/>
    <x v="2"/>
    <x v="0"/>
  </r>
  <r>
    <n v="77526"/>
    <x v="37"/>
    <s v="MME"/>
    <x v="0"/>
    <n v="50032781"/>
    <s v="SERRA TICO TICO 650W DEWALT "/>
    <n v="1"/>
    <s v="REALIZADO"/>
    <s v="AGATHA"/>
    <x v="95"/>
    <x v="0"/>
    <x v="0"/>
  </r>
  <r>
    <n v="62640"/>
    <x v="44"/>
    <s v="MPR"/>
    <x v="0"/>
    <n v="50028220"/>
    <s v="SOPRADOR TERMICO VONDER 1500W 220V"/>
    <n v="1"/>
    <s v="REALIZADO"/>
    <s v="BRUNA"/>
    <x v="95"/>
    <x v="2"/>
    <x v="0"/>
  </r>
  <r>
    <n v="62640"/>
    <x v="44"/>
    <s v="MPR"/>
    <x v="0"/>
    <n v="50028220"/>
    <s v="SOPRADOR TERMICO VONDER 1500W 220V"/>
    <n v="1"/>
    <s v="REALIZADO"/>
    <s v="BRUNO"/>
    <x v="95"/>
    <x v="0"/>
    <x v="0"/>
  </r>
  <r>
    <n v="65472"/>
    <x v="48"/>
    <s v="MMG"/>
    <x v="0"/>
    <n v="50037924"/>
    <s v="TORQUIMETRO GEDORE GRANDE"/>
    <n v="1"/>
    <s v="REALIZADO"/>
    <s v="AGATHA"/>
    <x v="95"/>
    <x v="2"/>
    <x v="0"/>
  </r>
  <r>
    <n v="65472"/>
    <x v="48"/>
    <s v="MMG"/>
    <x v="0"/>
    <n v="50037924"/>
    <s v="TORQUIMETRO GEDORE GRANDE"/>
    <n v="1"/>
    <s v="REALIZADO"/>
    <s v="BRUNO"/>
    <x v="95"/>
    <x v="0"/>
    <x v="0"/>
  </r>
  <r>
    <n v="63684"/>
    <x v="27"/>
    <s v="MME"/>
    <x v="2"/>
    <n v="50038854"/>
    <s v="ARCO DE SERRA"/>
    <n v="1"/>
    <s v="REALIZADO"/>
    <s v="KELLY"/>
    <x v="96"/>
    <x v="2"/>
    <x v="0"/>
  </r>
  <r>
    <n v="63684"/>
    <x v="27"/>
    <s v="MME"/>
    <x v="2"/>
    <n v="50038854"/>
    <s v="ARCO DE SERRA"/>
    <n v="1"/>
    <s v="REALIZADO"/>
    <s v="KELLY"/>
    <x v="96"/>
    <x v="0"/>
    <x v="0"/>
  </r>
  <r>
    <n v="78675"/>
    <x v="12"/>
    <s v="MME"/>
    <x v="2"/>
    <n v="50037892"/>
    <s v="LIXADEIRA BOSCH 2"/>
    <n v="1"/>
    <s v="REALIZADO"/>
    <s v="KELLY"/>
    <x v="96"/>
    <x v="2"/>
    <x v="0"/>
  </r>
  <r>
    <n v="78675"/>
    <x v="12"/>
    <s v="MME"/>
    <x v="2"/>
    <n v="50037892"/>
    <s v="LIXADEIRA BOSCH 2"/>
    <n v="1"/>
    <s v="REALIZADO"/>
    <s v="KELLY"/>
    <x v="96"/>
    <x v="0"/>
    <x v="0"/>
  </r>
  <r>
    <n v="62180"/>
    <x v="18"/>
    <s v="MMG"/>
    <x v="0"/>
    <n v="50037892"/>
    <s v="LIXADEIRA BOSCH 2"/>
    <n v="1"/>
    <s v="REALIZADO"/>
    <s v="KELLY"/>
    <x v="96"/>
    <x v="2"/>
    <x v="0"/>
  </r>
  <r>
    <n v="62180"/>
    <x v="18"/>
    <s v="MMG"/>
    <x v="0"/>
    <n v="50037892"/>
    <s v="LIXADEIRA BOSCH 2"/>
    <n v="1"/>
    <s v="REALIZADO"/>
    <s v="KELLY"/>
    <x v="96"/>
    <x v="0"/>
    <x v="0"/>
  </r>
  <r>
    <n v="63399"/>
    <x v="32"/>
    <s v="MPR"/>
    <x v="0"/>
    <n v="50038841"/>
    <s v="LIXADEIRA BOSCH 4"/>
    <n v="1"/>
    <s v="REALIZADO"/>
    <s v="KELLY"/>
    <x v="96"/>
    <x v="2"/>
    <x v="0"/>
  </r>
  <r>
    <n v="63399"/>
    <x v="32"/>
    <s v="MPR"/>
    <x v="0"/>
    <n v="50038841"/>
    <s v="LIXADEIRA BOSCH 4"/>
    <n v="1"/>
    <s v="REALIZADO"/>
    <s v="KELLY"/>
    <x v="96"/>
    <x v="0"/>
    <x v="0"/>
  </r>
  <r>
    <n v="67915"/>
    <x v="52"/>
    <s v="MMG"/>
    <x v="2"/>
    <n v="50038841"/>
    <s v="LIXADEIRA BOSCH 4"/>
    <n v="1"/>
    <s v="REALIZADO"/>
    <s v="KELLY"/>
    <x v="96"/>
    <x v="2"/>
    <x v="0"/>
  </r>
  <r>
    <n v="67915"/>
    <x v="52"/>
    <s v="MMG"/>
    <x v="2"/>
    <n v="50038841"/>
    <s v="LIXADEIRA BOSCH 4"/>
    <n v="1"/>
    <s v="REALIZADO"/>
    <s v="KELLY"/>
    <x v="96"/>
    <x v="0"/>
    <x v="0"/>
  </r>
  <r>
    <n v="60510"/>
    <x v="87"/>
    <s v="MME"/>
    <x v="2"/>
    <n v="50041195"/>
    <s v="PARAFUSADEIRA FUR DE IMPACTO BRUSHLESS"/>
    <n v="1"/>
    <s v="REALIZADO"/>
    <s v="KELLY"/>
    <x v="96"/>
    <x v="2"/>
    <x v="0"/>
  </r>
  <r>
    <n v="60510"/>
    <x v="87"/>
    <s v="MME"/>
    <x v="2"/>
    <n v="50041195"/>
    <s v="PARAFUSADEIRA FUR DE IMPACTO BRUSHLESS"/>
    <n v="1"/>
    <s v="REALIZADO"/>
    <s v="KELLY"/>
    <x v="96"/>
    <x v="0"/>
    <x v="0"/>
  </r>
  <r>
    <n v="63684"/>
    <x v="27"/>
    <s v="MME"/>
    <x v="2"/>
    <n v="50043917"/>
    <s v="PARAFUSADEIRA FURADEIRA BOSCH"/>
    <n v="1"/>
    <s v="REALIZADO"/>
    <s v="KELLY"/>
    <x v="96"/>
    <x v="2"/>
    <x v="0"/>
  </r>
  <r>
    <n v="63684"/>
    <x v="27"/>
    <s v="MME"/>
    <x v="2"/>
    <n v="50043917"/>
    <s v="PARAFUSADEIRA FURADEIRA BOSCH"/>
    <n v="1"/>
    <s v="REALIZADO"/>
    <s v="KELLY"/>
    <x v="96"/>
    <x v="0"/>
    <x v="0"/>
  </r>
  <r>
    <n v="74611"/>
    <x v="2"/>
    <s v="MPR"/>
    <x v="0"/>
    <n v="50038854"/>
    <s v="ARCO DE SERRA"/>
    <n v="1"/>
    <s v="REALIZADO"/>
    <s v="JOÃO FRANCISCO"/>
    <x v="97"/>
    <x v="2"/>
    <x v="0"/>
  </r>
  <r>
    <n v="74611"/>
    <x v="2"/>
    <s v="MPR"/>
    <x v="0"/>
    <n v="50038854"/>
    <s v="ARCO DE SERRA"/>
    <n v="1"/>
    <s v="REALIZADO"/>
    <s v="AGATHA"/>
    <x v="97"/>
    <x v="0"/>
    <x v="0"/>
  </r>
  <r>
    <n v="61264"/>
    <x v="10"/>
    <s v="MMG"/>
    <x v="0"/>
    <n v="50038854"/>
    <s v="ARCO DE SERRA"/>
    <n v="1"/>
    <s v="REALIZADO"/>
    <s v="BRUNO"/>
    <x v="97"/>
    <x v="2"/>
    <x v="0"/>
  </r>
  <r>
    <n v="61264"/>
    <x v="10"/>
    <s v="MMG"/>
    <x v="0"/>
    <n v="50038854"/>
    <s v="ARCO DE SERRA"/>
    <n v="1"/>
    <s v="REALIZADO"/>
    <s v="BRUNO"/>
    <x v="97"/>
    <x v="0"/>
    <x v="0"/>
  </r>
  <r>
    <n v="70105"/>
    <x v="25"/>
    <s v="MMG"/>
    <x v="3"/>
    <n v="50036296"/>
    <s v="CHAVE AJUSTÁVEL 45MM"/>
    <n v="1"/>
    <s v="REALIZADO"/>
    <s v="BRUNO"/>
    <x v="97"/>
    <x v="2"/>
    <x v="0"/>
  </r>
  <r>
    <n v="70105"/>
    <x v="25"/>
    <s v="MMG"/>
    <x v="3"/>
    <n v="50036296"/>
    <s v="CHAVE AJUSTÁVEL 45MM"/>
    <n v="1"/>
    <s v="REALIZADO"/>
    <s v="BRUNO"/>
    <x v="97"/>
    <x v="0"/>
    <x v="0"/>
  </r>
  <r>
    <n v="63713"/>
    <x v="67"/>
    <s v="MME"/>
    <x v="0"/>
    <n v="50030486"/>
    <s v="FURADEIRA BOSCH 3"/>
    <n v="1"/>
    <s v="REALIZADO"/>
    <s v="JOÃO FRANCISCO"/>
    <x v="97"/>
    <x v="2"/>
    <x v="0"/>
  </r>
  <r>
    <n v="63713"/>
    <x v="67"/>
    <s v="MME"/>
    <x v="0"/>
    <n v="50030486"/>
    <s v="FURADEIRA BOSCH 3"/>
    <n v="1"/>
    <s v="REALIZADO"/>
    <s v="MATHEUS"/>
    <x v="97"/>
    <x v="0"/>
    <x v="0"/>
  </r>
  <r>
    <n v="65472"/>
    <x v="48"/>
    <s v="MMG"/>
    <x v="0"/>
    <n v="50039236"/>
    <s v="FURADEIRA BOSCH 4"/>
    <n v="1"/>
    <s v="REALIZADO"/>
    <s v="JOÃO FRANCISCO"/>
    <x v="97"/>
    <x v="2"/>
    <x v="0"/>
  </r>
  <r>
    <n v="65472"/>
    <x v="48"/>
    <s v="MMG"/>
    <x v="0"/>
    <n v="50039236"/>
    <s v="FURADEIRA BOSCH 4"/>
    <n v="1"/>
    <s v="REALIZADO"/>
    <s v="BRUNO"/>
    <x v="97"/>
    <x v="0"/>
    <x v="0"/>
  </r>
  <r>
    <n v="70105"/>
    <x v="25"/>
    <s v="MMG"/>
    <x v="3"/>
    <n v="50038549"/>
    <s v="JOGO SOQUETE ESTRIADOS 1/2 22PEÇ"/>
    <n v="1"/>
    <s v="REALIZADO"/>
    <s v="MATHEUS"/>
    <x v="97"/>
    <x v="2"/>
    <x v="0"/>
  </r>
  <r>
    <n v="70105"/>
    <x v="25"/>
    <s v="MMG"/>
    <x v="3"/>
    <n v="50038549"/>
    <s v="JOGO SOQUETE ESTRIADOS 1/2 22PEÇ"/>
    <n v="1"/>
    <s v="REALIZADO"/>
    <s v="MATHEUS"/>
    <x v="97"/>
    <x v="0"/>
    <x v="0"/>
  </r>
  <r>
    <n v="77594"/>
    <x v="23"/>
    <s v="MME"/>
    <x v="0"/>
    <n v="50037892"/>
    <s v="LIXADEIRA BOSCH 2"/>
    <n v="1"/>
    <s v="REALIZADO"/>
    <s v="BRUNO"/>
    <x v="97"/>
    <x v="2"/>
    <x v="0"/>
  </r>
  <r>
    <n v="77594"/>
    <x v="23"/>
    <s v="MME"/>
    <x v="0"/>
    <n v="50037892"/>
    <s v="LIXADEIRA BOSCH 2"/>
    <n v="1"/>
    <s v="REALIZADO"/>
    <s v="BRUNO"/>
    <x v="97"/>
    <x v="0"/>
    <x v="0"/>
  </r>
  <r>
    <n v="78675"/>
    <x v="12"/>
    <s v="MME"/>
    <x v="2"/>
    <n v="50037892"/>
    <s v="LIXADEIRA BOSCH 2"/>
    <n v="1"/>
    <s v="REALIZADO"/>
    <s v="BRUNO"/>
    <x v="97"/>
    <x v="2"/>
    <x v="0"/>
  </r>
  <r>
    <n v="78675"/>
    <x v="12"/>
    <s v="MME"/>
    <x v="2"/>
    <n v="50037892"/>
    <s v="LIXADEIRA BOSCH 2"/>
    <n v="1"/>
    <s v="REALIZADO"/>
    <s v="BRUNO"/>
    <x v="97"/>
    <x v="0"/>
    <x v="0"/>
  </r>
  <r>
    <n v="63770"/>
    <x v="36"/>
    <s v="MMG"/>
    <x v="0"/>
    <n v="50037902"/>
    <s v="LIXADEIRA BOSCH 3"/>
    <n v="1"/>
    <s v="REALIZADO"/>
    <s v="AGATHA"/>
    <x v="97"/>
    <x v="2"/>
    <x v="0"/>
  </r>
  <r>
    <n v="63770"/>
    <x v="36"/>
    <s v="MMG"/>
    <x v="0"/>
    <n v="50037902"/>
    <s v="LIXADEIRA BOSCH 3"/>
    <n v="1"/>
    <s v="REALIZADO"/>
    <s v="GEOVANE"/>
    <x v="97"/>
    <x v="0"/>
    <x v="0"/>
  </r>
  <r>
    <n v="66014"/>
    <x v="103"/>
    <s v="MME"/>
    <x v="2"/>
    <n v="50038841"/>
    <s v="LIXADEIRA BOSCH 4"/>
    <n v="1"/>
    <s v="REALIZADO"/>
    <s v="GEOVANE"/>
    <x v="97"/>
    <x v="2"/>
    <x v="0"/>
  </r>
  <r>
    <n v="66014"/>
    <x v="103"/>
    <s v="MME"/>
    <x v="2"/>
    <n v="50038841"/>
    <s v="LIXADEIRA BOSCH 4"/>
    <n v="1"/>
    <s v="REALIZADO"/>
    <s v="BRUNO"/>
    <x v="97"/>
    <x v="0"/>
    <x v="0"/>
  </r>
  <r>
    <n v="74611"/>
    <x v="2"/>
    <s v="MPR"/>
    <x v="0"/>
    <n v="50001995"/>
    <s v="MAQUINA DE SOLDA"/>
    <n v="1"/>
    <s v="REALIZADO"/>
    <s v="BRUNO"/>
    <x v="97"/>
    <x v="2"/>
    <x v="0"/>
  </r>
  <r>
    <n v="74611"/>
    <x v="2"/>
    <s v="MPR"/>
    <x v="0"/>
    <n v="50001995"/>
    <s v="MAQUINA DE SOLDA"/>
    <n v="1"/>
    <s v="REALIZADO"/>
    <s v="BRUNO"/>
    <x v="97"/>
    <x v="0"/>
    <x v="0"/>
  </r>
  <r>
    <n v="72713"/>
    <x v="68"/>
    <s v="MPR"/>
    <x v="0"/>
    <n v="50041195"/>
    <s v="PARAFUSADEIRA FUR DE IMPACTO BRUSHLESS"/>
    <n v="1"/>
    <s v="REALIZADO"/>
    <s v="JOÃO FRANCISCO"/>
    <x v="97"/>
    <x v="0"/>
    <x v="0"/>
  </r>
  <r>
    <n v="61264"/>
    <x v="10"/>
    <s v="MMG"/>
    <x v="0"/>
    <n v="50041195"/>
    <s v="PARAFUSADEIRA FUR DE IMPACTO BRUSHLESS"/>
    <n v="1"/>
    <s v="REALIZADO"/>
    <s v="BRUNO"/>
    <x v="97"/>
    <x v="2"/>
    <x v="0"/>
  </r>
  <r>
    <n v="61264"/>
    <x v="10"/>
    <s v="MMG"/>
    <x v="0"/>
    <n v="50041195"/>
    <s v="PARAFUSADEIRA FUR DE IMPACTO BRUSHLESS"/>
    <n v="1"/>
    <s v="REALIZADO"/>
    <s v="BRUNO"/>
    <x v="97"/>
    <x v="0"/>
    <x v="0"/>
  </r>
  <r>
    <n v="62640"/>
    <x v="44"/>
    <s v="MPR"/>
    <x v="0"/>
    <n v="50043917"/>
    <s v="PARAFUSADEIRA FURADEIRA BOSCH"/>
    <n v="1"/>
    <s v="REALIZADO"/>
    <s v="JOÃO FRANCISCO"/>
    <x v="97"/>
    <x v="2"/>
    <x v="0"/>
  </r>
  <r>
    <n v="62640"/>
    <x v="44"/>
    <s v="MPR"/>
    <x v="0"/>
    <n v="50043917"/>
    <s v="PARAFUSADEIRA FURADEIRA BOSCH"/>
    <n v="1"/>
    <s v="REALIZADO"/>
    <s v="BRUNO"/>
    <x v="97"/>
    <x v="0"/>
    <x v="0"/>
  </r>
  <r>
    <n v="64074"/>
    <x v="75"/>
    <s v="MPR"/>
    <x v="0"/>
    <n v="50043917"/>
    <s v="PARAFUSADEIRA FURADEIRA BOSCH"/>
    <n v="1"/>
    <s v="REALIZADO"/>
    <s v="BRUNO"/>
    <x v="97"/>
    <x v="2"/>
    <x v="0"/>
  </r>
  <r>
    <n v="64074"/>
    <x v="75"/>
    <s v="MPR"/>
    <x v="0"/>
    <n v="50043917"/>
    <s v="PARAFUSADEIRA FURADEIRA BOSCH"/>
    <n v="1"/>
    <s v="REALIZADO"/>
    <s v="BRUNO"/>
    <x v="97"/>
    <x v="0"/>
    <x v="0"/>
  </r>
  <r>
    <n v="61264"/>
    <x v="10"/>
    <s v="MMG"/>
    <x v="0"/>
    <n v="50012903"/>
    <s v="SACA POLIA 02 GARRAS 250MM GEDORE"/>
    <n v="1"/>
    <s v="REALIZADO"/>
    <s v="GEOVANE"/>
    <x v="97"/>
    <x v="2"/>
    <x v="0"/>
  </r>
  <r>
    <n v="61264"/>
    <x v="10"/>
    <s v="MMG"/>
    <x v="0"/>
    <n v="50012903"/>
    <s v="SACA POLIA 02 GARRAS 250MM GEDORE"/>
    <n v="1"/>
    <s v="REALIZADO"/>
    <s v="AGATHA"/>
    <x v="97"/>
    <x v="0"/>
    <x v="0"/>
  </r>
  <r>
    <n v="64253"/>
    <x v="16"/>
    <s v="MMG"/>
    <x v="0"/>
    <n v="50010031"/>
    <s v=" LIXADEIRA BOSCH 6"/>
    <n v="1"/>
    <s v="REALIZADO"/>
    <s v="KELLY"/>
    <x v="98"/>
    <x v="2"/>
    <x v="0"/>
  </r>
  <r>
    <n v="64253"/>
    <x v="16"/>
    <s v="MMG"/>
    <x v="0"/>
    <n v="50010031"/>
    <s v=" LIXADEIRA BOSCH 6"/>
    <n v="1"/>
    <s v="REALIZADO"/>
    <s v="BRUNO"/>
    <x v="98"/>
    <x v="0"/>
    <x v="0"/>
  </r>
  <r>
    <n v="65910"/>
    <x v="7"/>
    <s v="MEE"/>
    <x v="0"/>
    <n v="50002644"/>
    <s v="ALICATE CRIMPADOR"/>
    <n v="1"/>
    <s v="REALIZADO"/>
    <s v="BRUNO"/>
    <x v="98"/>
    <x v="2"/>
    <x v="0"/>
  </r>
  <r>
    <n v="65910"/>
    <x v="7"/>
    <s v="MEE"/>
    <x v="0"/>
    <n v="50002644"/>
    <s v="ALICATE CRIMPADOR"/>
    <n v="1"/>
    <s v="REALIZADO"/>
    <s v="BRUNO"/>
    <x v="98"/>
    <x v="0"/>
    <x v="0"/>
  </r>
  <r>
    <n v="65482"/>
    <x v="30"/>
    <s v="MMG"/>
    <x v="0"/>
    <n v="50038854"/>
    <s v="ARCO DE SERRA"/>
    <n v="1"/>
    <s v="REALIZADO"/>
    <s v="KELLY"/>
    <x v="98"/>
    <x v="2"/>
    <x v="0"/>
  </r>
  <r>
    <n v="65482"/>
    <x v="30"/>
    <s v="MMG"/>
    <x v="6"/>
    <n v="50038854"/>
    <s v="ARCO DE SERRA"/>
    <n v="1"/>
    <s v="REALIZADO"/>
    <s v="BRUNA"/>
    <x v="98"/>
    <x v="2"/>
    <x v="0"/>
  </r>
  <r>
    <n v="61753"/>
    <x v="47"/>
    <s v="MEE"/>
    <x v="2"/>
    <n v="50036298"/>
    <s v="ASPIRADOR PARA SOLIDOS SEM FIO 20V"/>
    <n v="1"/>
    <s v="REALIZADO"/>
    <s v="GEOVANE"/>
    <x v="98"/>
    <x v="0"/>
    <x v="11"/>
  </r>
  <r>
    <n v="67100"/>
    <x v="95"/>
    <s v="MMG"/>
    <x v="3"/>
    <n v="50037905"/>
    <s v="ESTETOSCÓPIO SKF"/>
    <n v="1"/>
    <s v="NÃO REALIZADO"/>
    <s v="KELLY"/>
    <x v="98"/>
    <x v="2"/>
    <x v="0"/>
  </r>
  <r>
    <n v="66790"/>
    <x v="60"/>
    <s v="MMG"/>
    <x v="3"/>
    <n v="50037905"/>
    <s v="ESTETOSCÓPIO SKF"/>
    <n v="1"/>
    <s v="REALIZADO"/>
    <s v="GEOVANE"/>
    <x v="98"/>
    <x v="0"/>
    <x v="0"/>
  </r>
  <r>
    <n v="77594"/>
    <x v="23"/>
    <s v="MME"/>
    <x v="0"/>
    <n v="50030486"/>
    <s v="FURADEIRA BOSCH 3"/>
    <n v="1"/>
    <s v="REALIZADO"/>
    <s v="KELLY"/>
    <x v="98"/>
    <x v="2"/>
    <x v="0"/>
  </r>
  <r>
    <n v="77594"/>
    <x v="23"/>
    <s v="MME"/>
    <x v="0"/>
    <n v="50030486"/>
    <s v="FURADEIRA BOSCH 3"/>
    <n v="1"/>
    <s v="REALIZADO"/>
    <s v="BRUNO"/>
    <x v="98"/>
    <x v="0"/>
    <x v="0"/>
  </r>
  <r>
    <n v="68760"/>
    <x v="15"/>
    <s v="MMG"/>
    <x v="0"/>
    <n v="50043471"/>
    <s v="FURADEIRA BOSCH 7"/>
    <n v="1"/>
    <s v="REALIZADO"/>
    <s v="KELLY"/>
    <x v="98"/>
    <x v="2"/>
    <x v="0"/>
  </r>
  <r>
    <n v="68760"/>
    <x v="15"/>
    <s v="MMG"/>
    <x v="0"/>
    <n v="50043471"/>
    <s v="FURADEIRA BOSCH 7"/>
    <n v="1"/>
    <s v="REALIZADO"/>
    <s v="BRUNO"/>
    <x v="98"/>
    <x v="0"/>
    <x v="0"/>
  </r>
  <r>
    <n v="65910"/>
    <x v="7"/>
    <s v="MEE"/>
    <x v="0"/>
    <n v="50003297"/>
    <s v="FURADEIRA DE IMPACTO MAKITA 02"/>
    <n v="1"/>
    <s v="REALIZADO"/>
    <s v="KELLY"/>
    <x v="98"/>
    <x v="2"/>
    <x v="0"/>
  </r>
  <r>
    <n v="65910"/>
    <x v="7"/>
    <s v="MEE"/>
    <x v="0"/>
    <n v="50003297"/>
    <s v="FURADEIRA DE IMPACTO MAKITA 02"/>
    <n v="1"/>
    <s v="REALIZADO"/>
    <s v="BRUNO"/>
    <x v="98"/>
    <x v="0"/>
    <x v="0"/>
  </r>
  <r>
    <n v="96464"/>
    <x v="46"/>
    <s v="MEE"/>
    <x v="2"/>
    <n v="50003297"/>
    <s v="FURADEIRA DE IMPACTO MAKITA 02"/>
    <n v="1"/>
    <s v="REALIZADO"/>
    <s v="BRUNO"/>
    <x v="98"/>
    <x v="2"/>
    <x v="0"/>
  </r>
  <r>
    <n v="96464"/>
    <x v="46"/>
    <s v="MEE"/>
    <x v="2"/>
    <n v="50003297"/>
    <s v="FURADEIRA DE IMPACTO MAKITA 02"/>
    <n v="1"/>
    <s v="REALIZADO"/>
    <s v="BRUNO"/>
    <x v="98"/>
    <x v="0"/>
    <x v="0"/>
  </r>
  <r>
    <n v="74611"/>
    <x v="2"/>
    <s v="MPR"/>
    <x v="0"/>
    <n v="50029865"/>
    <s v="JOGO DE BROCAS ACO RAPIDO"/>
    <n v="1"/>
    <s v="REALIZADO"/>
    <s v="KELLY"/>
    <x v="98"/>
    <x v="2"/>
    <x v="0"/>
  </r>
  <r>
    <n v="74611"/>
    <x v="2"/>
    <s v="MPR"/>
    <x v="0"/>
    <n v="50029865"/>
    <s v="JOGO DE BROCAS ACO RAPIDO"/>
    <n v="1"/>
    <s v="REALIZADO"/>
    <s v="BRUNO"/>
    <x v="98"/>
    <x v="0"/>
    <x v="0"/>
  </r>
  <r>
    <n v="65910"/>
    <x v="7"/>
    <s v="MEE"/>
    <x v="0"/>
    <n v="50036299"/>
    <s v="JOGO DE SERRAS COPOS BIMETALICAS 16 PEÇAS"/>
    <n v="1"/>
    <s v="REALIZADO"/>
    <s v="BRUNO"/>
    <x v="98"/>
    <x v="2"/>
    <x v="0"/>
  </r>
  <r>
    <n v="65910"/>
    <x v="7"/>
    <s v="MEE"/>
    <x v="0"/>
    <n v="50036299"/>
    <s v="JOGO DE SERRAS COPOS BIMETALICAS 16 PEÇAS"/>
    <n v="1"/>
    <s v="REALIZADO"/>
    <s v="BRUNO"/>
    <x v="98"/>
    <x v="0"/>
    <x v="0"/>
  </r>
  <r>
    <n v="65910"/>
    <x v="7"/>
    <s v="MEE"/>
    <x v="0"/>
    <n v="50043320"/>
    <s v="JOGO SERRA COPO 8PÇS"/>
    <n v="1"/>
    <s v="REALIZADO"/>
    <s v="KELLY"/>
    <x v="98"/>
    <x v="2"/>
    <x v="0"/>
  </r>
  <r>
    <n v="65910"/>
    <x v="7"/>
    <s v="MEE"/>
    <x v="0"/>
    <n v="50043320"/>
    <s v="JOGO SERRA COPO 8PÇS"/>
    <n v="1"/>
    <s v="REALIZADO"/>
    <s v="BRUNO"/>
    <x v="98"/>
    <x v="0"/>
    <x v="0"/>
  </r>
  <r>
    <n v="68708"/>
    <x v="13"/>
    <s v="MMG"/>
    <x v="0"/>
    <n v="50022878"/>
    <s v="KIT MONTAGEM ROLAMENTO SKF"/>
    <n v="1"/>
    <s v="REALIZADO"/>
    <s v="GEOVANE"/>
    <x v="98"/>
    <x v="2"/>
    <x v="0"/>
  </r>
  <r>
    <n v="68708"/>
    <x v="13"/>
    <s v="MMG"/>
    <x v="0"/>
    <n v="50022878"/>
    <s v="KIT MONTAGEM ROLAMENTO SKF"/>
    <n v="1"/>
    <s v="REALIZADO"/>
    <s v="MARCIA"/>
    <x v="98"/>
    <x v="0"/>
    <x v="0"/>
  </r>
  <r>
    <n v="78886"/>
    <x v="116"/>
    <s v="MME"/>
    <x v="0"/>
    <n v="50038956"/>
    <s v="LIXADEIRA BOSCH 1"/>
    <n v="1"/>
    <s v="REALIZADO"/>
    <s v="GEOVANE"/>
    <x v="98"/>
    <x v="2"/>
    <x v="0"/>
  </r>
  <r>
    <n v="78886"/>
    <x v="116"/>
    <s v="MME"/>
    <x v="0"/>
    <n v="50038956"/>
    <s v="LIXADEIRA BOSCH 1"/>
    <n v="1"/>
    <s v="REALIZADO"/>
    <s v="GEOVANE"/>
    <x v="98"/>
    <x v="0"/>
    <x v="0"/>
  </r>
  <r>
    <n v="74611"/>
    <x v="2"/>
    <s v="MPR"/>
    <x v="0"/>
    <n v="50037892"/>
    <s v="LIXADEIRA BOSCH 2"/>
    <n v="1"/>
    <s v="REALIZADO"/>
    <s v="KELLY"/>
    <x v="98"/>
    <x v="2"/>
    <x v="0"/>
  </r>
  <r>
    <n v="74611"/>
    <x v="2"/>
    <s v="MPR"/>
    <x v="0"/>
    <n v="50037892"/>
    <s v="LIXADEIRA BOSCH 2"/>
    <n v="1"/>
    <s v="REALIZADO"/>
    <s v="BRUNO"/>
    <x v="98"/>
    <x v="0"/>
    <x v="0"/>
  </r>
  <r>
    <n v="58068"/>
    <x v="31"/>
    <s v="MME"/>
    <x v="0"/>
    <n v="50038841"/>
    <s v="LIXADEIRA BOSCH 4"/>
    <n v="1"/>
    <s v="REALIZADO"/>
    <s v="BRUNO"/>
    <x v="98"/>
    <x v="2"/>
    <x v="0"/>
  </r>
  <r>
    <n v="58068"/>
    <x v="31"/>
    <s v="MME"/>
    <x v="0"/>
    <n v="50038841"/>
    <s v="LIXADEIRA BOSCH 4"/>
    <n v="1"/>
    <s v="REALIZADO"/>
    <s v="BRUNO"/>
    <x v="98"/>
    <x v="0"/>
    <x v="12"/>
  </r>
  <r>
    <n v="65482"/>
    <x v="30"/>
    <s v="MMG"/>
    <x v="0"/>
    <n v="50041195"/>
    <s v="PARAFUSADEIRA FUR DE IMPACTO BRUSHLESS"/>
    <n v="1"/>
    <s v="REALIZADO"/>
    <s v="KELLY"/>
    <x v="98"/>
    <x v="2"/>
    <x v="0"/>
  </r>
  <r>
    <n v="65482"/>
    <x v="30"/>
    <s v="MMG"/>
    <x v="6"/>
    <n v="50041195"/>
    <s v="PARAFUSADEIRA FUR DE IMPACTO BRUSHLESS"/>
    <n v="1"/>
    <s v="REALIZADO"/>
    <s v="BRUNA"/>
    <x v="98"/>
    <x v="0"/>
    <x v="0"/>
  </r>
  <r>
    <n v="62640"/>
    <x v="44"/>
    <s v="MPR"/>
    <x v="0"/>
    <n v="50043917"/>
    <s v="PARAFUSADEIRA FURADEIRA BOSCH"/>
    <n v="1"/>
    <s v="REALIZADO"/>
    <s v="KELLY"/>
    <x v="98"/>
    <x v="2"/>
    <x v="0"/>
  </r>
  <r>
    <n v="62640"/>
    <x v="44"/>
    <s v="MPR"/>
    <x v="0"/>
    <n v="50043917"/>
    <s v="PARAFUSADEIRA FURADEIRA BOSCH"/>
    <n v="1"/>
    <s v="REALIZADO"/>
    <s v="BRUNO"/>
    <x v="98"/>
    <x v="0"/>
    <x v="0"/>
  </r>
  <r>
    <n v="73878"/>
    <x v="20"/>
    <s v="MMG"/>
    <x v="0"/>
    <n v="50004486"/>
    <s v="RETIFICA "/>
    <n v="1"/>
    <s v="REALIZADO"/>
    <s v="KELLY"/>
    <x v="98"/>
    <x v="2"/>
    <x v="0"/>
  </r>
  <r>
    <n v="73878"/>
    <x v="20"/>
    <s v="MMG"/>
    <x v="0"/>
    <n v="50004486"/>
    <s v="RETIFICA "/>
    <n v="1"/>
    <s v="REALIZADO"/>
    <s v="GEOVANE"/>
    <x v="98"/>
    <x v="0"/>
    <x v="0"/>
  </r>
  <r>
    <n v="78886"/>
    <x v="116"/>
    <s v="MME"/>
    <x v="0"/>
    <n v="50004486"/>
    <s v="RETIFICA "/>
    <n v="1"/>
    <s v="REALIZADO"/>
    <s v="MARCIA"/>
    <x v="98"/>
    <x v="2"/>
    <x v="0"/>
  </r>
  <r>
    <n v="78886"/>
    <x v="116"/>
    <s v="MME"/>
    <x v="0"/>
    <n v="50004486"/>
    <s v="RETIFICA "/>
    <n v="1"/>
    <s v="NÃO REALIZADO"/>
    <s v="MARCIA"/>
    <x v="98"/>
    <x v="0"/>
    <x v="0"/>
  </r>
  <r>
    <n v="64074"/>
    <x v="75"/>
    <s v="MPR"/>
    <x v="0"/>
    <n v="50028220"/>
    <s v="SOPRADOR TERMICO VONDER 1500W 220V"/>
    <n v="1"/>
    <s v="REALIZADO"/>
    <s v="KELLY"/>
    <x v="98"/>
    <x v="2"/>
    <x v="0"/>
  </r>
  <r>
    <n v="64074"/>
    <x v="75"/>
    <s v="MPR"/>
    <x v="0"/>
    <n v="50028220"/>
    <s v="SOPRADOR TERMICO VONDER 1500W 220V"/>
    <n v="1"/>
    <s v="REALIZADO"/>
    <s v="GEOVANE"/>
    <x v="98"/>
    <x v="0"/>
    <x v="0"/>
  </r>
  <r>
    <n v="68708"/>
    <x v="13"/>
    <s v="MMG"/>
    <x v="0"/>
    <n v="50010031"/>
    <s v=" LIXADEIRA BOSCH 6"/>
    <n v="1"/>
    <s v="REALIZADO"/>
    <s v="BRUNO"/>
    <x v="99"/>
    <x v="2"/>
    <x v="0"/>
  </r>
  <r>
    <n v="68708"/>
    <x v="13"/>
    <s v="MMG"/>
    <x v="0"/>
    <n v="50010031"/>
    <s v=" LIXADEIRA BOSCH 6"/>
    <n v="1"/>
    <s v="REALIZADO"/>
    <s v="BRUNO"/>
    <x v="99"/>
    <x v="0"/>
    <x v="0"/>
  </r>
  <r>
    <n v="76995"/>
    <x v="49"/>
    <s v="MEE"/>
    <x v="0"/>
    <n v="50002644"/>
    <s v="ALICATE CRIMPADOR"/>
    <n v="1"/>
    <s v="REALIZADO"/>
    <s v="BRUNO"/>
    <x v="99"/>
    <x v="2"/>
    <x v="0"/>
  </r>
  <r>
    <n v="76995"/>
    <x v="49"/>
    <s v="MEE"/>
    <x v="0"/>
    <n v="50002644"/>
    <s v="ALICATE CRIMPADOR"/>
    <n v="1"/>
    <s v="REALIZADO"/>
    <s v="BRUNO"/>
    <x v="99"/>
    <x v="0"/>
    <x v="0"/>
  </r>
  <r>
    <n v="61264"/>
    <x v="10"/>
    <s v="MMG"/>
    <x v="0"/>
    <n v="50038854"/>
    <s v="ARCO DE SERRA"/>
    <n v="1"/>
    <s v="REALIZADO"/>
    <s v="AGATHA"/>
    <x v="99"/>
    <x v="2"/>
    <x v="0"/>
  </r>
  <r>
    <n v="61264"/>
    <x v="10"/>
    <s v="MMG"/>
    <x v="0"/>
    <n v="50038854"/>
    <s v="ARCO DE SERRA"/>
    <n v="1"/>
    <s v="REALIZADO"/>
    <s v="GEOVANE"/>
    <x v="99"/>
    <x v="0"/>
    <x v="0"/>
  </r>
  <r>
    <n v="77526"/>
    <x v="37"/>
    <s v="MME"/>
    <x v="0"/>
    <n v="50039236"/>
    <s v="FURADEIRA BOSCH 4"/>
    <n v="1"/>
    <s v="REALIZADO"/>
    <s v="AGATHA"/>
    <x v="99"/>
    <x v="2"/>
    <x v="0"/>
  </r>
  <r>
    <n v="77526"/>
    <x v="37"/>
    <s v="MME"/>
    <x v="0"/>
    <n v="50039236"/>
    <s v="FURADEIRA BOSCH 4"/>
    <n v="1"/>
    <s v="REALIZADO"/>
    <s v="AGATHA"/>
    <x v="99"/>
    <x v="0"/>
    <x v="0"/>
  </r>
  <r>
    <n v="77521"/>
    <x v="5"/>
    <s v="MME"/>
    <x v="0"/>
    <n v="50039236"/>
    <s v="FURADEIRA BOSCH 4"/>
    <n v="1"/>
    <s v="REALIZADO"/>
    <s v="GEOVANE"/>
    <x v="99"/>
    <x v="2"/>
    <x v="0"/>
  </r>
  <r>
    <n v="77521"/>
    <x v="5"/>
    <s v="MME"/>
    <x v="0"/>
    <n v="50039236"/>
    <s v="FURADEIRA BOSCH 4"/>
    <n v="1"/>
    <s v="REALIZADO"/>
    <s v="BRUNA"/>
    <x v="99"/>
    <x v="0"/>
    <x v="0"/>
  </r>
  <r>
    <n v="77708"/>
    <x v="69"/>
    <s v="MPR"/>
    <x v="0"/>
    <n v="50039236"/>
    <s v="FURADEIRA BOSCH 4"/>
    <n v="1"/>
    <s v="REALIZADO"/>
    <s v="BRUNO"/>
    <x v="99"/>
    <x v="2"/>
    <x v="0"/>
  </r>
  <r>
    <n v="77708"/>
    <x v="69"/>
    <s v="MPR"/>
    <x v="0"/>
    <n v="50039236"/>
    <s v="FURADEIRA BOSCH 4"/>
    <n v="1"/>
    <s v="REALIZADO"/>
    <s v="BRUNO"/>
    <x v="99"/>
    <x v="0"/>
    <x v="0"/>
  </r>
  <r>
    <n v="77526"/>
    <x v="37"/>
    <s v="MME"/>
    <x v="0"/>
    <n v="50043471"/>
    <s v="FURADEIRA BOSCH 7"/>
    <n v="1"/>
    <s v="REALIZADO"/>
    <s v="BRUNO"/>
    <x v="99"/>
    <x v="2"/>
    <x v="0"/>
  </r>
  <r>
    <n v="77526"/>
    <x v="37"/>
    <s v="MME"/>
    <x v="0"/>
    <n v="50043471"/>
    <s v="FURADEIRA BOSCH 7"/>
    <n v="1"/>
    <s v="REALIZADO"/>
    <s v="BRUNO"/>
    <x v="99"/>
    <x v="0"/>
    <x v="0"/>
  </r>
  <r>
    <n v="77708"/>
    <x v="69"/>
    <s v="MPR"/>
    <x v="0"/>
    <n v="50029865"/>
    <s v="JOGO DE BROCAS ACO RAPIDO"/>
    <n v="1"/>
    <s v="REALIZADO"/>
    <s v="BRUNO"/>
    <x v="99"/>
    <x v="2"/>
    <x v="0"/>
  </r>
  <r>
    <n v="77708"/>
    <x v="69"/>
    <s v="MPR"/>
    <x v="0"/>
    <n v="50029865"/>
    <s v="JOGO DE BROCAS ACO RAPIDO"/>
    <n v="1"/>
    <s v="REALIZADO"/>
    <s v="BRUNO"/>
    <x v="99"/>
    <x v="0"/>
    <x v="0"/>
  </r>
  <r>
    <n v="62137"/>
    <x v="43"/>
    <s v="MME"/>
    <x v="2"/>
    <n v="50038956"/>
    <s v="LIXADEIRA BOSCH 1"/>
    <n v="1"/>
    <s v="REALIZADO"/>
    <s v="GEOVANE"/>
    <x v="99"/>
    <x v="2"/>
    <x v="0"/>
  </r>
  <r>
    <n v="62137"/>
    <x v="43"/>
    <s v="MME"/>
    <x v="2"/>
    <n v="50038956"/>
    <s v="LIXADEIRA BOSCH 1"/>
    <n v="1"/>
    <s v="REALIZADO"/>
    <s v="BRUNA"/>
    <x v="99"/>
    <x v="0"/>
    <x v="0"/>
  </r>
  <r>
    <n v="77708"/>
    <x v="69"/>
    <s v="MPR"/>
    <x v="0"/>
    <n v="50038956"/>
    <s v="LIXADEIRA BOSCH 1"/>
    <n v="1"/>
    <s v="REALIZADO"/>
    <s v="BRUNO"/>
    <x v="99"/>
    <x v="2"/>
    <x v="0"/>
  </r>
  <r>
    <n v="77708"/>
    <x v="69"/>
    <s v="MPR"/>
    <x v="0"/>
    <n v="50038956"/>
    <s v="LIXADEIRA BOSCH 1"/>
    <n v="1"/>
    <s v="REALIZADO"/>
    <s v="BRUNO"/>
    <x v="99"/>
    <x v="0"/>
    <x v="0"/>
  </r>
  <r>
    <n v="78886"/>
    <x v="116"/>
    <s v="MME"/>
    <x v="0"/>
    <n v="50037892"/>
    <s v="LIXADEIRA BOSCH 2"/>
    <n v="1"/>
    <s v="REALIZADO"/>
    <s v="AGATHA"/>
    <x v="99"/>
    <x v="2"/>
    <x v="0"/>
  </r>
  <r>
    <n v="63713"/>
    <x v="67"/>
    <s v="MME"/>
    <x v="0"/>
    <n v="50037892"/>
    <s v="LIXADEIRA BOSCH 2"/>
    <n v="1"/>
    <s v="REALIZADO"/>
    <s v="BRUNA"/>
    <x v="99"/>
    <x v="0"/>
    <x v="0"/>
  </r>
  <r>
    <n v="63713"/>
    <x v="67"/>
    <s v="MME"/>
    <x v="0"/>
    <n v="50037892"/>
    <s v="LIXADEIRA BOSCH 2"/>
    <n v="1"/>
    <s v="REALIZADO"/>
    <s v="BRUNA"/>
    <x v="99"/>
    <x v="0"/>
    <x v="0"/>
  </r>
  <r>
    <n v="63770"/>
    <x v="36"/>
    <s v="MMG"/>
    <x v="0"/>
    <n v="50038841"/>
    <s v="LIXADEIRA BOSCH 4"/>
    <n v="1"/>
    <s v="REALIZADO"/>
    <s v="JOÃO FRANCISCO"/>
    <x v="99"/>
    <x v="2"/>
    <x v="0"/>
  </r>
  <r>
    <n v="63770"/>
    <x v="36"/>
    <s v="MMG"/>
    <x v="0"/>
    <n v="50038841"/>
    <s v="LIXADEIRA BOSCH 4"/>
    <n v="1"/>
    <s v="REALIZADO"/>
    <s v="GEOVANE"/>
    <x v="99"/>
    <x v="0"/>
    <x v="0"/>
  </r>
  <r>
    <n v="77526"/>
    <x v="37"/>
    <s v="MME"/>
    <x v="0"/>
    <n v="50038841"/>
    <s v="LIXADEIRA BOSCH 4"/>
    <n v="1"/>
    <s v="REALIZADO"/>
    <s v="GEOVANE"/>
    <x v="99"/>
    <x v="0"/>
    <x v="0"/>
  </r>
  <r>
    <n v="65844"/>
    <x v="54"/>
    <s v="MMG"/>
    <x v="2"/>
    <n v="50001995"/>
    <s v="MAQUINA DE SOLDA"/>
    <n v="1"/>
    <s v="REALIZADO"/>
    <s v="BRUNO"/>
    <x v="99"/>
    <x v="2"/>
    <x v="0"/>
  </r>
  <r>
    <n v="65844"/>
    <x v="54"/>
    <s v="MMG"/>
    <x v="2"/>
    <n v="50001995"/>
    <s v="MAQUINA DE SOLDA"/>
    <n v="1"/>
    <s v="REALIZADO"/>
    <s v="BRUNO"/>
    <x v="99"/>
    <x v="0"/>
    <x v="0"/>
  </r>
  <r>
    <n v="64074"/>
    <x v="75"/>
    <s v="MPR"/>
    <x v="0"/>
    <n v="50001995"/>
    <s v="MAQUINA DE SOLDA"/>
    <n v="1"/>
    <s v="REALIZADO"/>
    <s v="BRUNO"/>
    <x v="99"/>
    <x v="2"/>
    <x v="0"/>
  </r>
  <r>
    <n v="64074"/>
    <x v="75"/>
    <s v="MPR"/>
    <x v="0"/>
    <n v="50001995"/>
    <s v="MAQUINA DE SOLDA"/>
    <n v="1"/>
    <s v="REALIZADO"/>
    <s v="BRUNO"/>
    <x v="99"/>
    <x v="0"/>
    <x v="0"/>
  </r>
  <r>
    <n v="61264"/>
    <x v="10"/>
    <s v="MMG"/>
    <x v="0"/>
    <n v="50041195"/>
    <s v="PARAFUSADEIRA FUR DE IMPACTO BRUSHLESS"/>
    <n v="1"/>
    <s v="REALIZADO"/>
    <s v="AGATHA"/>
    <x v="99"/>
    <x v="2"/>
    <x v="0"/>
  </r>
  <r>
    <n v="61264"/>
    <x v="10"/>
    <s v="MMG"/>
    <x v="0"/>
    <n v="50041195"/>
    <s v="PARAFUSADEIRA FUR DE IMPACTO BRUSHLESS"/>
    <n v="1"/>
    <s v="REALIZADO"/>
    <s v="BRUNO"/>
    <x v="99"/>
    <x v="0"/>
    <x v="0"/>
  </r>
  <r>
    <n v="62640"/>
    <x v="44"/>
    <s v="MPR"/>
    <x v="0"/>
    <n v="50043917"/>
    <s v="PARAFUSADEIRA FURADEIRA BOSCH"/>
    <n v="1"/>
    <s v="REALIZADO"/>
    <s v="AGATHA"/>
    <x v="99"/>
    <x v="0"/>
    <x v="0"/>
  </r>
  <r>
    <n v="70105"/>
    <x v="25"/>
    <s v="MMG"/>
    <x v="3"/>
    <n v="50032775"/>
    <s v="SACA POLIA 150MM 3 GARRAS - GEDORE"/>
    <n v="1"/>
    <s v="REALIZADO"/>
    <s v="BRUNA"/>
    <x v="99"/>
    <x v="2"/>
    <x v="0"/>
  </r>
  <r>
    <n v="70105"/>
    <x v="25"/>
    <s v="MMG"/>
    <x v="3"/>
    <n v="50032775"/>
    <s v="SACA POLIA 150MM 3 GARRAS - GEDORE"/>
    <n v="1"/>
    <s v="REALIZADO"/>
    <s v="BRUNA"/>
    <x v="99"/>
    <x v="0"/>
    <x v="0"/>
  </r>
  <r>
    <n v="65482"/>
    <x v="30"/>
    <s v="MMG"/>
    <x v="6"/>
    <n v="50010031"/>
    <s v=" LIXADEIRA BOSCH 6"/>
    <n v="2"/>
    <s v="REALIZADO"/>
    <s v="JOÃO FRANCISCO"/>
    <x v="100"/>
    <x v="2"/>
    <x v="0"/>
  </r>
  <r>
    <n v="65482"/>
    <x v="30"/>
    <s v="MMG"/>
    <x v="6"/>
    <n v="50010031"/>
    <s v=" LIXADEIRA BOSCH 6"/>
    <n v="2"/>
    <s v="REALIZADO"/>
    <s v="MATHEUS"/>
    <x v="100"/>
    <x v="0"/>
    <x v="0"/>
  </r>
  <r>
    <n v="78678"/>
    <x v="0"/>
    <s v="MME"/>
    <x v="0"/>
    <n v="50038854"/>
    <s v="ARCO DE SERRA"/>
    <n v="1"/>
    <s v="REALIZADO"/>
    <s v="MATHEUS"/>
    <x v="100"/>
    <x v="2"/>
    <x v="0"/>
  </r>
  <r>
    <n v="74611"/>
    <x v="2"/>
    <s v="MPR"/>
    <x v="0"/>
    <n v="50038854"/>
    <s v="ARCO DE SERRA"/>
    <n v="1"/>
    <s v="REALIZADO"/>
    <s v="MATHEUS"/>
    <x v="100"/>
    <x v="0"/>
    <x v="0"/>
  </r>
  <r>
    <n v="62180"/>
    <x v="18"/>
    <s v="MMG"/>
    <x v="0"/>
    <n v="50037905"/>
    <s v="ESTETOSCÓPIO SKF"/>
    <n v="1"/>
    <s v="REALIZADO"/>
    <s v="BRUNA"/>
    <x v="100"/>
    <x v="2"/>
    <x v="0"/>
  </r>
  <r>
    <n v="62180"/>
    <x v="18"/>
    <s v="MMG"/>
    <x v="0"/>
    <n v="50037905"/>
    <s v="ESTETOSCÓPIO SKF"/>
    <n v="1"/>
    <s v="REALIZADO"/>
    <s v="BRUNA"/>
    <x v="100"/>
    <x v="0"/>
    <x v="0"/>
  </r>
  <r>
    <n v="62640"/>
    <x v="44"/>
    <s v="MPR"/>
    <x v="0"/>
    <n v="50039236"/>
    <s v="FURADEIRA BOSCH 4"/>
    <n v="1"/>
    <s v="REALIZADO"/>
    <s v="JOÃO FRANCISCO"/>
    <x v="100"/>
    <x v="2"/>
    <x v="0"/>
  </r>
  <r>
    <n v="62640"/>
    <x v="44"/>
    <s v="MPR"/>
    <x v="0"/>
    <n v="50039236"/>
    <s v="FURADEIRA BOSCH 4"/>
    <n v="1"/>
    <s v="REALIZADO"/>
    <s v="JOÃO FRANCISCO"/>
    <x v="100"/>
    <x v="0"/>
    <x v="0"/>
  </r>
  <r>
    <n v="77526"/>
    <x v="37"/>
    <s v="MME"/>
    <x v="0"/>
    <n v="50043471"/>
    <s v="FURADEIRA BOSCH 7"/>
    <n v="1"/>
    <s v="REALIZADO"/>
    <s v="MATHEUS"/>
    <x v="100"/>
    <x v="2"/>
    <x v="4"/>
  </r>
  <r>
    <n v="77526"/>
    <x v="37"/>
    <s v="MME"/>
    <x v="0"/>
    <n v="50043471"/>
    <s v="FURADEIRA BOSCH 7"/>
    <n v="1"/>
    <s v="REALIZADO"/>
    <s v="MATHEUS"/>
    <x v="100"/>
    <x v="0"/>
    <x v="0"/>
  </r>
  <r>
    <n v="74611"/>
    <x v="2"/>
    <s v="MPR"/>
    <x v="0"/>
    <n v="50003297"/>
    <s v="FURADEIRA DE IMPACTO MAKITA 02"/>
    <n v="1"/>
    <s v="REALIZADO"/>
    <s v="JOÃO FRANCISCO"/>
    <x v="100"/>
    <x v="2"/>
    <x v="0"/>
  </r>
  <r>
    <n v="74611"/>
    <x v="2"/>
    <s v="MPR"/>
    <x v="0"/>
    <n v="50003297"/>
    <s v="FURADEIRA DE IMPACTO MAKITA 02"/>
    <n v="1"/>
    <s v="REALIZADO"/>
    <s v="MATHEUS"/>
    <x v="100"/>
    <x v="0"/>
    <x v="0"/>
  </r>
  <r>
    <n v="62640"/>
    <x v="44"/>
    <s v="MPR"/>
    <x v="0"/>
    <n v="50029865"/>
    <s v="JOGO DE BROCAS ACO RAPIDO"/>
    <n v="1"/>
    <s v="REALIZADO"/>
    <s v="JOÃO FRANCISCO"/>
    <x v="100"/>
    <x v="2"/>
    <x v="0"/>
  </r>
  <r>
    <n v="62640"/>
    <x v="44"/>
    <s v="MPR"/>
    <x v="0"/>
    <n v="50029865"/>
    <s v="JOGO DE BROCAS ACO RAPIDO"/>
    <n v="1"/>
    <s v="REALIZADO"/>
    <s v="JOÃO FRANCISCO"/>
    <x v="100"/>
    <x v="2"/>
    <x v="0"/>
  </r>
  <r>
    <n v="63713"/>
    <x v="67"/>
    <s v="MME"/>
    <x v="0"/>
    <n v="50037892"/>
    <s v="LIXADEIRA BOSCH 2"/>
    <n v="1"/>
    <s v="REALIZADO"/>
    <s v="BRUNA"/>
    <x v="100"/>
    <x v="2"/>
    <x v="0"/>
  </r>
  <r>
    <n v="78678"/>
    <x v="0"/>
    <s v="MME"/>
    <x v="0"/>
    <n v="50038841"/>
    <s v="LIXADEIRA BOSCH 4"/>
    <n v="1"/>
    <s v="REALIZADO"/>
    <s v="MATHEUS"/>
    <x v="100"/>
    <x v="0"/>
    <x v="0"/>
  </r>
  <r>
    <n v="77526"/>
    <x v="37"/>
    <s v="MME"/>
    <x v="0"/>
    <n v="50038841"/>
    <s v="LIXADEIRA BOSCH 4"/>
    <n v="1"/>
    <s v="REALIZADO"/>
    <s v="MATHEUS"/>
    <x v="100"/>
    <x v="2"/>
    <x v="0"/>
  </r>
  <r>
    <n v="77526"/>
    <x v="37"/>
    <s v="MME"/>
    <x v="0"/>
    <n v="50038841"/>
    <s v="LIXADEIRA BOSCH 4"/>
    <n v="1"/>
    <s v="REALIZADO"/>
    <s v="BRUNA"/>
    <x v="100"/>
    <x v="0"/>
    <x v="0"/>
  </r>
  <r>
    <n v="65472"/>
    <x v="48"/>
    <s v="MMG"/>
    <x v="0"/>
    <n v="50001995"/>
    <s v="MAQUINA DE SOLDA"/>
    <n v="1"/>
    <s v="REALIZADO"/>
    <s v="JOÃO FRANCISCO"/>
    <x v="100"/>
    <x v="2"/>
    <x v="0"/>
  </r>
  <r>
    <n v="65472"/>
    <x v="48"/>
    <s v="MMG"/>
    <x v="0"/>
    <n v="50001995"/>
    <s v="MAQUINA DE SOLDA"/>
    <n v="1"/>
    <s v="REALIZADO"/>
    <s v="MATHEUS"/>
    <x v="100"/>
    <x v="2"/>
    <x v="0"/>
  </r>
  <r>
    <n v="63713"/>
    <x v="67"/>
    <s v="MME"/>
    <x v="0"/>
    <n v="50039065"/>
    <s v="MAQUINA SOLDA TIG"/>
    <n v="1"/>
    <s v="REALIZADO"/>
    <s v="BRUNA"/>
    <x v="100"/>
    <x v="0"/>
    <x v="0"/>
  </r>
  <r>
    <n v="74950"/>
    <x v="70"/>
    <s v="MME"/>
    <x v="0"/>
    <n v="50026357"/>
    <s v="MARTELETE VONDER"/>
    <n v="1"/>
    <s v="REALIZADO"/>
    <s v="GEOVANE"/>
    <x v="100"/>
    <x v="2"/>
    <x v="0"/>
  </r>
  <r>
    <n v="74950"/>
    <x v="70"/>
    <s v="MME"/>
    <x v="0"/>
    <n v="50026357"/>
    <s v="MARTELETE VONDER"/>
    <n v="1"/>
    <s v="REALIZADO"/>
    <s v="GEOVANE"/>
    <x v="100"/>
    <x v="0"/>
    <x v="0"/>
  </r>
  <r>
    <n v="77526"/>
    <x v="37"/>
    <s v="MME"/>
    <x v="0"/>
    <n v="50041195"/>
    <s v="PARAFUSADEIRA FUR DE IMPACTO BRUSHLESS"/>
    <n v="1"/>
    <s v="REALIZADO"/>
    <s v="JOÃO FRANCISCO"/>
    <x v="100"/>
    <x v="0"/>
    <x v="0"/>
  </r>
  <r>
    <n v="70105"/>
    <x v="25"/>
    <s v="MMG"/>
    <x v="3"/>
    <n v="50043917"/>
    <s v="PARAFUSADEIRA FURADEIRA BOSCH"/>
    <n v="1"/>
    <s v="REALIZADO"/>
    <s v="JOÃO FRANCISCO"/>
    <x v="100"/>
    <x v="2"/>
    <x v="0"/>
  </r>
  <r>
    <n v="70105"/>
    <x v="25"/>
    <s v="MMG"/>
    <x v="3"/>
    <n v="50043917"/>
    <s v="PARAFUSADEIRA FURADEIRA BOSCH"/>
    <n v="1"/>
    <s v="REALIZADO"/>
    <s v="JOÃO FRANCISCO"/>
    <x v="100"/>
    <x v="2"/>
    <x v="0"/>
  </r>
  <r>
    <n v="72713"/>
    <x v="68"/>
    <s v="MPR"/>
    <x v="0"/>
    <n v="50043917"/>
    <s v="PARAFUSADEIRA FURADEIRA BOSCH"/>
    <n v="1"/>
    <s v="REALIZADO"/>
    <s v="BRUNA"/>
    <x v="100"/>
    <x v="0"/>
    <x v="0"/>
  </r>
  <r>
    <n v="77526"/>
    <x v="37"/>
    <s v="MME"/>
    <x v="0"/>
    <n v="50032781"/>
    <s v="SERRA TICO TICO 650W DEWALT "/>
    <n v="1"/>
    <s v="REALIZADO"/>
    <s v="JOÃO FRANCISCO"/>
    <x v="100"/>
    <x v="2"/>
    <x v="0"/>
  </r>
  <r>
    <n v="77526"/>
    <x v="37"/>
    <s v="MME"/>
    <x v="0"/>
    <n v="50032781"/>
    <s v="SERRA TICO TICO 650W DEWALT "/>
    <n v="1"/>
    <s v="REALIZADO"/>
    <s v="GEOVANE"/>
    <x v="100"/>
    <x v="0"/>
    <x v="0"/>
  </r>
  <r>
    <n v="77526"/>
    <x v="37"/>
    <s v="MME"/>
    <x v="0"/>
    <n v="50038194"/>
    <s v="SERRA TICO TICO BOSCH C/MALETA"/>
    <n v="1"/>
    <s v="REALIZADO"/>
    <s v="GEOVANE"/>
    <x v="100"/>
    <x v="2"/>
    <x v="0"/>
  </r>
  <r>
    <n v="77526"/>
    <x v="37"/>
    <s v="MME"/>
    <x v="0"/>
    <n v="50038194"/>
    <s v="SERRA TICO TICO BOSCH C/MALETA"/>
    <n v="1"/>
    <s v="REALIZADO"/>
    <s v="MATHEUS"/>
    <x v="100"/>
    <x v="0"/>
    <x v="0"/>
  </r>
  <r>
    <n v="61096"/>
    <x v="64"/>
    <s v="MME"/>
    <x v="0"/>
    <n v="50038194"/>
    <s v="SERRA TICO TICO BOSCH C/MALETA"/>
    <n v="1"/>
    <s v="REALIZADO"/>
    <s v="MATHEUS"/>
    <x v="100"/>
    <x v="2"/>
    <x v="0"/>
  </r>
  <r>
    <n v="61096"/>
    <x v="64"/>
    <s v="MME"/>
    <x v="0"/>
    <n v="50038194"/>
    <s v="SERRA TICO TICO BOSCH C/MALETA"/>
    <n v="1"/>
    <s v="REALIZADO"/>
    <s v="MATHEUS"/>
    <x v="100"/>
    <x v="0"/>
    <x v="0"/>
  </r>
  <r>
    <n v="62180"/>
    <x v="18"/>
    <s v="MMG"/>
    <x v="0"/>
    <n v="50038194"/>
    <s v="SERRA TICO TICO BOSCH C/MALETA"/>
    <n v="1"/>
    <s v="REALIZADO"/>
    <s v="MATHEUS"/>
    <x v="100"/>
    <x v="2"/>
    <x v="0"/>
  </r>
  <r>
    <n v="62180"/>
    <x v="18"/>
    <s v="MMG"/>
    <x v="0"/>
    <n v="50038194"/>
    <s v="SERRA TICO TICO BOSCH C/MALETA"/>
    <n v="1"/>
    <s v="REALIZADO"/>
    <s v="MATHEUS"/>
    <x v="100"/>
    <x v="0"/>
    <x v="0"/>
  </r>
  <r>
    <n v="78678"/>
    <x v="0"/>
    <s v="MME"/>
    <x v="0"/>
    <n v="50038194"/>
    <s v="SERRA TICO TICO BOSCH C/MALETA"/>
    <n v="1"/>
    <s v="REALIZADO"/>
    <s v="MATHEUS"/>
    <x v="100"/>
    <x v="2"/>
    <x v="0"/>
  </r>
  <r>
    <n v="78678"/>
    <x v="0"/>
    <s v="MME"/>
    <x v="0"/>
    <n v="50038194"/>
    <s v="SERRA TICO TICO BOSCH C/MALETA"/>
    <n v="1"/>
    <s v="NÃO REALIZADO"/>
    <s v="BRUNA"/>
    <x v="100"/>
    <x v="0"/>
    <x v="0"/>
  </r>
  <r>
    <n v="62896"/>
    <x v="33"/>
    <s v="MEE"/>
    <x v="0"/>
    <n v="50010031"/>
    <s v=" LIXADEIRA BOSCH 6"/>
    <n v="1"/>
    <s v="REALIZADO"/>
    <s v="KELLY"/>
    <x v="101"/>
    <x v="2"/>
    <x v="0"/>
  </r>
  <r>
    <n v="62896"/>
    <x v="33"/>
    <s v="MEE"/>
    <x v="0"/>
    <n v="50010031"/>
    <s v=" LIXADEIRA BOSCH 6"/>
    <n v="1"/>
    <s v="REALIZADO"/>
    <s v="BRUNA"/>
    <x v="101"/>
    <x v="2"/>
    <x v="0"/>
  </r>
  <r>
    <n v="68792"/>
    <x v="99"/>
    <s v="MEE"/>
    <x v="3"/>
    <n v="50002644"/>
    <s v="ALICATE CRIMPADOR"/>
    <n v="1"/>
    <s v="REALIZADO"/>
    <s v="MARCIA"/>
    <x v="101"/>
    <x v="0"/>
    <x v="0"/>
  </r>
  <r>
    <n v="65482"/>
    <x v="30"/>
    <s v="MMG"/>
    <x v="6"/>
    <n v="50038956"/>
    <s v="LIXADEIRA BOSCH 1"/>
    <n v="1"/>
    <s v="REALIZADO"/>
    <s v="KELLY"/>
    <x v="101"/>
    <x v="2"/>
    <x v="0"/>
  </r>
  <r>
    <n v="65482"/>
    <x v="30"/>
    <s v="MMG"/>
    <x v="6"/>
    <n v="50038956"/>
    <s v="LIXADEIRA BOSCH 1"/>
    <n v="1"/>
    <s v="REALIZADO"/>
    <s v="BRUNO"/>
    <x v="101"/>
    <x v="0"/>
    <x v="0"/>
  </r>
  <r>
    <n v="77526"/>
    <x v="37"/>
    <s v="MME"/>
    <x v="0"/>
    <n v="50037892"/>
    <s v="LIXADEIRA BOSCH 2"/>
    <n v="1"/>
    <s v="REALIZADO"/>
    <s v="KELLY"/>
    <x v="101"/>
    <x v="2"/>
    <x v="0"/>
  </r>
  <r>
    <n v="77526"/>
    <x v="37"/>
    <s v="MME"/>
    <x v="0"/>
    <n v="50037892"/>
    <s v="LIXADEIRA BOSCH 2"/>
    <n v="1"/>
    <s v="REALIZADO"/>
    <s v="BRUNA"/>
    <x v="101"/>
    <x v="0"/>
    <x v="0"/>
  </r>
  <r>
    <n v="73878"/>
    <x v="20"/>
    <s v="MMG"/>
    <x v="0"/>
    <n v="50037902"/>
    <s v="LIXADEIRA BOSCH 3"/>
    <n v="1"/>
    <s v="REALIZADO"/>
    <s v="KELLY"/>
    <x v="101"/>
    <x v="2"/>
    <x v="0"/>
  </r>
  <r>
    <n v="77594"/>
    <x v="23"/>
    <s v="MME"/>
    <x v="0"/>
    <n v="50037902"/>
    <s v="LIXADEIRA BOSCH 3"/>
    <n v="1"/>
    <s v="REALIZADO"/>
    <s v="BRUNA"/>
    <x v="101"/>
    <x v="0"/>
    <x v="0"/>
  </r>
  <r>
    <n v="77313"/>
    <x v="17"/>
    <s v="MPR"/>
    <x v="0"/>
    <n v="50026357"/>
    <s v="MARTELETE VONDER"/>
    <n v="1"/>
    <s v="REALIZADO"/>
    <s v="KELLY"/>
    <x v="101"/>
    <x v="2"/>
    <x v="0"/>
  </r>
  <r>
    <n v="77313"/>
    <x v="17"/>
    <s v="MPR"/>
    <x v="0"/>
    <n v="50026357"/>
    <s v="MARTELETE VONDER"/>
    <n v="1"/>
    <s v="REALIZADO"/>
    <s v="BRUNO"/>
    <x v="101"/>
    <x v="2"/>
    <x v="0"/>
  </r>
  <r>
    <n v="77526"/>
    <x v="37"/>
    <s v="MME"/>
    <x v="0"/>
    <n v="50041195"/>
    <s v="PARAFUSADEIRA FUR DE IMPACTO BRUSHLESS"/>
    <n v="1"/>
    <s v="REALIZADO"/>
    <s v="BRUNO"/>
    <x v="101"/>
    <x v="0"/>
    <x v="0"/>
  </r>
  <r>
    <n v="65084"/>
    <x v="83"/>
    <s v="MMG"/>
    <x v="4"/>
    <n v="50037956"/>
    <s v="GRAMPO PARA MARCENARIA"/>
    <n v="1"/>
    <s v="REALIZADO"/>
    <m/>
    <x v="102"/>
    <x v="0"/>
    <x v="0"/>
  </r>
  <r>
    <n v="74874"/>
    <x v="90"/>
    <s v="MMG"/>
    <x v="0"/>
    <n v="50037905"/>
    <s v="ESTETOSCÓPIO SKF"/>
    <n v="1"/>
    <s v="REALIZADO"/>
    <s v="BRUNA"/>
    <x v="103"/>
    <x v="2"/>
    <x v="0"/>
  </r>
  <r>
    <n v="74874"/>
    <x v="90"/>
    <s v="MMG"/>
    <x v="0"/>
    <n v="50037905"/>
    <s v="ESTETOSCÓPIO SKF"/>
    <n v="1"/>
    <s v="REALIZADO"/>
    <s v="BRUNA"/>
    <x v="103"/>
    <x v="0"/>
    <x v="0"/>
  </r>
  <r>
    <n v="78675"/>
    <x v="12"/>
    <s v="MME"/>
    <x v="2"/>
    <n v="50038841"/>
    <s v="LIXADEIRA BOSCH 4"/>
    <n v="1"/>
    <s v="REALIZADO"/>
    <s v="BRUNA"/>
    <x v="103"/>
    <x v="2"/>
    <x v="0"/>
  </r>
  <r>
    <n v="78675"/>
    <x v="12"/>
    <s v="MME"/>
    <x v="2"/>
    <n v="50038841"/>
    <s v="LIXADEIRA BOSCH 4"/>
    <n v="1"/>
    <s v="REALIZADO"/>
    <s v="BRUNA"/>
    <x v="103"/>
    <x v="0"/>
    <x v="0"/>
  </r>
  <r>
    <n v="62180"/>
    <x v="18"/>
    <s v="MMG"/>
    <x v="0"/>
    <n v="50038626"/>
    <s v="MARRETA 8KG"/>
    <n v="1"/>
    <s v="REALIZADO"/>
    <s v="BRUNA"/>
    <x v="103"/>
    <x v="2"/>
    <x v="0"/>
  </r>
  <r>
    <n v="62180"/>
    <x v="18"/>
    <s v="MMG"/>
    <x v="0"/>
    <n v="50038626"/>
    <s v="MARRETA 8KG"/>
    <n v="1"/>
    <s v="REALIZADO"/>
    <s v="BRUNA"/>
    <x v="103"/>
    <x v="2"/>
    <x v="0"/>
  </r>
  <r>
    <n v="62640"/>
    <x v="44"/>
    <s v="MPR"/>
    <x v="0"/>
    <n v="50041195"/>
    <s v="PARAFUSADEIRA FUR DE IMPACTO BRUSHLESS"/>
    <n v="1"/>
    <s v="REALIZADO"/>
    <s v="BRUNA"/>
    <x v="103"/>
    <x v="0"/>
    <x v="0"/>
  </r>
  <r>
    <n v="77594"/>
    <x v="23"/>
    <s v="MME"/>
    <x v="0"/>
    <n v="50010031"/>
    <s v=" LIXADEIRA BOSCH 6"/>
    <n v="1"/>
    <s v="REALIZADO"/>
    <s v="JOÃO FRANCISCO"/>
    <x v="104"/>
    <x v="2"/>
    <x v="0"/>
  </r>
  <r>
    <n v="77594"/>
    <x v="23"/>
    <s v="MME"/>
    <x v="0"/>
    <n v="50010031"/>
    <s v=" LIXADEIRA BOSCH 6"/>
    <n v="1"/>
    <s v="REALIZADO"/>
    <s v="BRUNO"/>
    <x v="104"/>
    <x v="2"/>
    <x v="0"/>
  </r>
  <r>
    <n v="74874"/>
    <x v="90"/>
    <s v="MMG"/>
    <x v="0"/>
    <n v="50044003"/>
    <s v="CÂMERA TERMOGRAFICA FLIR"/>
    <n v="1"/>
    <s v="REALIZADO"/>
    <s v="BRUNO"/>
    <x v="104"/>
    <x v="0"/>
    <x v="0"/>
  </r>
  <r>
    <n v="70105"/>
    <x v="25"/>
    <s v="MMG"/>
    <x v="3"/>
    <n v="50037905"/>
    <s v="ESTETOSCÓPIO SKF"/>
    <n v="1"/>
    <s v="REALIZADO"/>
    <s v="KELLY"/>
    <x v="104"/>
    <x v="2"/>
    <x v="0"/>
  </r>
  <r>
    <n v="70105"/>
    <x v="25"/>
    <s v="MMG"/>
    <x v="3"/>
    <n v="50037905"/>
    <s v="ESTETOSCÓPIO SKF"/>
    <n v="1"/>
    <s v="REALIZADO"/>
    <s v="GEOVANE"/>
    <x v="104"/>
    <x v="0"/>
    <x v="0"/>
  </r>
  <r>
    <n v="74874"/>
    <x v="90"/>
    <s v="MMG"/>
    <x v="0"/>
    <n v="50037905"/>
    <s v="ESTETOSCÓPIO SKF"/>
    <n v="1"/>
    <s v="REALIZADO"/>
    <s v="GEOVANE"/>
    <x v="104"/>
    <x v="2"/>
    <x v="0"/>
  </r>
  <r>
    <n v="74874"/>
    <x v="90"/>
    <s v="MMG"/>
    <x v="0"/>
    <n v="50037905"/>
    <s v="ESTETOSCÓPIO SKF"/>
    <n v="1"/>
    <s v="REALIZADO"/>
    <s v="GEOVANE"/>
    <x v="104"/>
    <x v="0"/>
    <x v="0"/>
  </r>
  <r>
    <n v="74874"/>
    <x v="90"/>
    <s v="MMG"/>
    <x v="0"/>
    <n v="50037905"/>
    <s v="ESTETOSCÓPIO SKF"/>
    <n v="1"/>
    <s v="REALIZADO"/>
    <s v="BRUNO"/>
    <x v="104"/>
    <x v="2"/>
    <x v="0"/>
  </r>
  <r>
    <n v="74874"/>
    <x v="90"/>
    <s v="MMG"/>
    <x v="0"/>
    <n v="50037905"/>
    <s v="ESTETOSCÓPIO SKF"/>
    <n v="1"/>
    <s v="REALIZADO"/>
    <s v="BRUNO"/>
    <x v="104"/>
    <x v="0"/>
    <x v="0"/>
  </r>
  <r>
    <n v="78886"/>
    <x v="116"/>
    <s v="MME"/>
    <x v="0"/>
    <n v="50039236"/>
    <s v="FURADEIRA BOSCH 4"/>
    <n v="1"/>
    <s v="REALIZADO"/>
    <s v="BRUNO"/>
    <x v="104"/>
    <x v="2"/>
    <x v="0"/>
  </r>
  <r>
    <n v="77594"/>
    <x v="23"/>
    <s v="MME"/>
    <x v="0"/>
    <n v="50039236"/>
    <s v="FURADEIRA BOSCH 4"/>
    <n v="1"/>
    <s v="REALIZADO"/>
    <s v="BRUNO"/>
    <x v="104"/>
    <x v="0"/>
    <x v="0"/>
  </r>
  <r>
    <n v="72715"/>
    <x v="26"/>
    <s v="MPR"/>
    <x v="0"/>
    <n v="50043471"/>
    <s v="FURADEIRA BOSCH 7"/>
    <n v="1"/>
    <s v="REALIZADO"/>
    <s v="KELLY"/>
    <x v="104"/>
    <x v="2"/>
    <x v="0"/>
  </r>
  <r>
    <n v="72715"/>
    <x v="26"/>
    <s v="MPR"/>
    <x v="0"/>
    <n v="50043471"/>
    <s v="FURADEIRA BOSCH 7"/>
    <n v="1"/>
    <s v="REALIZADO"/>
    <s v="GEOVANE"/>
    <x v="104"/>
    <x v="0"/>
    <x v="0"/>
  </r>
  <r>
    <n v="72715"/>
    <x v="26"/>
    <s v="MPR"/>
    <x v="0"/>
    <n v="50029865"/>
    <s v="JOGO DE BROCAS ACO RAPIDO"/>
    <n v="1"/>
    <s v="REALIZADO"/>
    <s v="JOÃO FRANCISCO"/>
    <x v="104"/>
    <x v="2"/>
    <x v="0"/>
  </r>
  <r>
    <n v="62640"/>
    <x v="44"/>
    <s v="MPR"/>
    <x v="0"/>
    <n v="50029865"/>
    <s v="JOGO DE BROCAS ACO RAPIDO"/>
    <n v="1"/>
    <s v="REALIZADO"/>
    <s v="BRUNO"/>
    <x v="104"/>
    <x v="0"/>
    <x v="0"/>
  </r>
  <r>
    <n v="65910"/>
    <x v="7"/>
    <s v="MEE"/>
    <x v="0"/>
    <n v="50038549"/>
    <s v="JOGO SOQUETE ESTRIADOS 1/2 22PEÇ"/>
    <n v="1"/>
    <s v="REALIZADO"/>
    <s v="BRUNO"/>
    <x v="104"/>
    <x v="2"/>
    <x v="0"/>
  </r>
  <r>
    <n v="65910"/>
    <x v="7"/>
    <s v="MEE"/>
    <x v="0"/>
    <n v="50038549"/>
    <s v="JOGO SOQUETE ESTRIADOS 1/2 22PEÇ"/>
    <n v="1"/>
    <s v="REALIZADO"/>
    <s v="BRUNO"/>
    <x v="104"/>
    <x v="0"/>
    <x v="0"/>
  </r>
  <r>
    <n v="65472"/>
    <x v="48"/>
    <s v="MMG"/>
    <x v="0"/>
    <n v="50022878"/>
    <s v="KIT MONTAGEM ROLAMENTO SKF"/>
    <n v="1"/>
    <s v="REALIZADO"/>
    <s v="BRUNO"/>
    <x v="104"/>
    <x v="2"/>
    <x v="0"/>
  </r>
  <r>
    <n v="65472"/>
    <x v="48"/>
    <s v="MMG"/>
    <x v="0"/>
    <n v="50022878"/>
    <s v="KIT MONTAGEM ROLAMENTO SKF"/>
    <n v="1"/>
    <s v="REALIZADO"/>
    <s v="BRUNO"/>
    <x v="104"/>
    <x v="0"/>
    <x v="0"/>
  </r>
  <r>
    <n v="73336"/>
    <x v="29"/>
    <s v="MMG"/>
    <x v="0"/>
    <n v="50022878"/>
    <s v="KIT MONTAGEM ROLAMENTO SKF"/>
    <n v="1"/>
    <s v="REALIZADO"/>
    <s v="BRUNO"/>
    <x v="104"/>
    <x v="2"/>
    <x v="0"/>
  </r>
  <r>
    <n v="73336"/>
    <x v="29"/>
    <s v="MMG"/>
    <x v="0"/>
    <n v="50022878"/>
    <s v="KIT MONTAGEM ROLAMENTO SKF"/>
    <n v="1"/>
    <s v="REALIZADO"/>
    <s v="BRUNO"/>
    <x v="104"/>
    <x v="0"/>
    <x v="0"/>
  </r>
  <r>
    <n v="74874"/>
    <x v="90"/>
    <s v="MMG"/>
    <x v="0"/>
    <n v="50038956"/>
    <s v="LIXADEIRA BOSCH 1"/>
    <n v="1"/>
    <s v="REALIZADO"/>
    <s v="BRUNO"/>
    <x v="104"/>
    <x v="2"/>
    <x v="0"/>
  </r>
  <r>
    <n v="73878"/>
    <x v="20"/>
    <s v="MMG"/>
    <x v="0"/>
    <n v="50038956"/>
    <s v="LIXADEIRA BOSCH 1"/>
    <n v="1"/>
    <s v="REALIZADO"/>
    <s v="BRUNO"/>
    <x v="104"/>
    <x v="0"/>
    <x v="0"/>
  </r>
  <r>
    <n v="78886"/>
    <x v="116"/>
    <s v="MME"/>
    <x v="0"/>
    <n v="50037892"/>
    <s v="LIXADEIRA BOSCH 2"/>
    <n v="1"/>
    <s v="REALIZADO"/>
    <s v="BRUNO"/>
    <x v="104"/>
    <x v="2"/>
    <x v="0"/>
  </r>
  <r>
    <n v="68708"/>
    <x v="13"/>
    <s v="MMG"/>
    <x v="0"/>
    <n v="50037892"/>
    <s v="LIXADEIRA BOSCH 2"/>
    <n v="1"/>
    <s v="REALIZADO"/>
    <s v="BRUNO"/>
    <x v="104"/>
    <x v="0"/>
    <x v="0"/>
  </r>
  <r>
    <n v="65910"/>
    <x v="7"/>
    <s v="MEE"/>
    <x v="0"/>
    <n v="50038841"/>
    <s v="LIXADEIRA BOSCH 4"/>
    <n v="1"/>
    <s v="REALIZADO"/>
    <s v="BRUNO"/>
    <x v="104"/>
    <x v="2"/>
    <x v="0"/>
  </r>
  <r>
    <n v="65910"/>
    <x v="7"/>
    <s v="MEE"/>
    <x v="0"/>
    <n v="50038841"/>
    <s v="LIXADEIRA BOSCH 4"/>
    <n v="1"/>
    <s v="REALIZADO"/>
    <s v="BRUNO"/>
    <x v="104"/>
    <x v="0"/>
    <x v="0"/>
  </r>
  <r>
    <n v="74611"/>
    <x v="2"/>
    <s v="MPR"/>
    <x v="0"/>
    <n v="50038517"/>
    <s v="LIXADEIRA BOSCH 5"/>
    <n v="1"/>
    <s v="REALIZADO"/>
    <s v="JOÃO FRANCISCO"/>
    <x v="104"/>
    <x v="2"/>
    <x v="0"/>
  </r>
  <r>
    <n v="74611"/>
    <x v="2"/>
    <s v="MPR"/>
    <x v="0"/>
    <n v="50038517"/>
    <s v="LIXADEIRA BOSCH 5"/>
    <n v="1"/>
    <s v="REALIZADO"/>
    <s v="GEOVANE"/>
    <x v="104"/>
    <x v="0"/>
    <x v="0"/>
  </r>
  <r>
    <n v="74874"/>
    <x v="90"/>
    <s v="MMG"/>
    <x v="0"/>
    <n v="50038517"/>
    <s v="LIXADEIRA BOSCH 5"/>
    <n v="1"/>
    <s v="REALIZADO"/>
    <s v="BRUNO"/>
    <x v="104"/>
    <x v="2"/>
    <x v="0"/>
  </r>
  <r>
    <n v="74874"/>
    <x v="90"/>
    <s v="MMG"/>
    <x v="0"/>
    <n v="50038517"/>
    <s v="LIXADEIRA BOSCH 5"/>
    <n v="1"/>
    <s v="REALIZADO"/>
    <s v="BRUNO"/>
    <x v="104"/>
    <x v="0"/>
    <x v="0"/>
  </r>
  <r>
    <n v="74611"/>
    <x v="2"/>
    <s v="MPR"/>
    <x v="0"/>
    <n v="50001995"/>
    <s v="MAQUINA DE SOLDA"/>
    <n v="1"/>
    <s v="REALIZADO"/>
    <s v="JOÃO FRANCISCO"/>
    <x v="104"/>
    <x v="2"/>
    <x v="0"/>
  </r>
  <r>
    <n v="74611"/>
    <x v="2"/>
    <s v="MPR"/>
    <x v="0"/>
    <n v="50001995"/>
    <s v="MAQUINA DE SOLDA"/>
    <n v="1"/>
    <s v="REALIZADO"/>
    <s v="GEOVANE"/>
    <x v="104"/>
    <x v="0"/>
    <x v="0"/>
  </r>
  <r>
    <n v="77526"/>
    <x v="37"/>
    <s v="MME"/>
    <x v="0"/>
    <n v="50041195"/>
    <s v="PARAFUSADEIRA FUR DE IMPACTO BRUSHLESS"/>
    <n v="1"/>
    <s v="REALIZADO"/>
    <s v="BRUNA"/>
    <x v="104"/>
    <x v="2"/>
    <x v="0"/>
  </r>
  <r>
    <n v="77526"/>
    <x v="37"/>
    <s v="MME"/>
    <x v="0"/>
    <n v="50041195"/>
    <s v="PARAFUSADEIRA FUR DE IMPACTO BRUSHLESS"/>
    <n v="1"/>
    <s v="REALIZADO"/>
    <s v="BRUNO"/>
    <x v="104"/>
    <x v="0"/>
    <x v="0"/>
  </r>
  <r>
    <n v="65910"/>
    <x v="7"/>
    <s v="MEE"/>
    <x v="0"/>
    <n v="50041195"/>
    <s v="PARAFUSADEIRA FUR DE IMPACTO BRUSHLESS"/>
    <n v="1"/>
    <s v="REALIZADO"/>
    <s v="BRUNO"/>
    <x v="104"/>
    <x v="2"/>
    <x v="0"/>
  </r>
  <r>
    <n v="65910"/>
    <x v="7"/>
    <s v="MEE"/>
    <x v="0"/>
    <n v="50041195"/>
    <s v="PARAFUSADEIRA FUR DE IMPACTO BRUSHLESS"/>
    <n v="1"/>
    <s v="REALIZADO"/>
    <s v="BRUNO"/>
    <x v="104"/>
    <x v="0"/>
    <x v="0"/>
  </r>
  <r>
    <n v="72715"/>
    <x v="26"/>
    <s v="MPR"/>
    <x v="0"/>
    <n v="50043917"/>
    <s v="PARAFUSADEIRA FURADEIRA BOSCH"/>
    <n v="1"/>
    <s v="REALIZADO"/>
    <s v="JOÃO FRANCISCO"/>
    <x v="104"/>
    <x v="2"/>
    <x v="0"/>
  </r>
  <r>
    <n v="62640"/>
    <x v="44"/>
    <s v="MPR"/>
    <x v="0"/>
    <n v="50043917"/>
    <s v="PARAFUSADEIRA FURADEIRA BOSCH"/>
    <n v="1"/>
    <s v="REALIZADO"/>
    <s v="BRUNO"/>
    <x v="104"/>
    <x v="0"/>
    <x v="0"/>
  </r>
  <r>
    <n v="65472"/>
    <x v="48"/>
    <s v="MMG"/>
    <x v="0"/>
    <n v="50032775"/>
    <s v="SACA POLIA 150MM 3 GARRAS - GEDORE"/>
    <n v="1"/>
    <s v="REALIZADO"/>
    <s v="BRUNO"/>
    <x v="104"/>
    <x v="2"/>
    <x v="0"/>
  </r>
  <r>
    <n v="65472"/>
    <x v="48"/>
    <s v="MMG"/>
    <x v="0"/>
    <n v="50032775"/>
    <s v="SACA POLIA 150MM 3 GARRAS - GEDORE"/>
    <n v="1"/>
    <s v="REALIZADO"/>
    <s v="BRUNO"/>
    <x v="104"/>
    <x v="0"/>
    <x v="0"/>
  </r>
  <r>
    <n v="77594"/>
    <x v="23"/>
    <s v="MME"/>
    <x v="0"/>
    <n v="50032781"/>
    <s v="SERRA TICO TICO 650W DEWALT "/>
    <n v="1"/>
    <s v="REALIZADO"/>
    <s v="JOÃO FRANCISCO"/>
    <x v="104"/>
    <x v="2"/>
    <x v="0"/>
  </r>
  <r>
    <n v="77594"/>
    <x v="23"/>
    <s v="MME"/>
    <x v="0"/>
    <n v="50032781"/>
    <s v="SERRA TICO TICO 650W DEWALT "/>
    <n v="1"/>
    <s v="REALIZADO"/>
    <s v="BRUNO"/>
    <x v="104"/>
    <x v="0"/>
    <x v="0"/>
  </r>
  <r>
    <n v="77526"/>
    <x v="37"/>
    <s v="MME"/>
    <x v="0"/>
    <n v="50038194"/>
    <s v="SERRA TICO TICO BOSCH C/MALETA"/>
    <n v="1"/>
    <s v="REALIZADO"/>
    <s v="BRUNA"/>
    <x v="104"/>
    <x v="2"/>
    <x v="0"/>
  </r>
  <r>
    <n v="77526"/>
    <x v="37"/>
    <s v="MME"/>
    <x v="0"/>
    <n v="50038194"/>
    <s v="SERRA TICO TICO BOSCH C/MALETA"/>
    <n v="1"/>
    <s v="REALIZADO"/>
    <s v="BRUNO"/>
    <x v="104"/>
    <x v="2"/>
    <x v="0"/>
  </r>
  <r>
    <n v="72728"/>
    <x v="58"/>
    <s v="UTI"/>
    <x v="3"/>
    <n v="50037933"/>
    <s v="TERMOMETRO"/>
    <n v="1"/>
    <s v="REALIZADO"/>
    <s v="BRUNO"/>
    <x v="104"/>
    <x v="0"/>
    <x v="0"/>
  </r>
  <r>
    <n v="62180"/>
    <x v="18"/>
    <s v="MMG"/>
    <x v="0"/>
    <n v="50037905"/>
    <s v="ESTETOSCÓPIO SKF"/>
    <n v="1"/>
    <s v="REALIZADO"/>
    <s v="BRUNO"/>
    <x v="105"/>
    <x v="2"/>
    <x v="0"/>
  </r>
  <r>
    <n v="62180"/>
    <x v="18"/>
    <s v="MMG"/>
    <x v="0"/>
    <n v="50037905"/>
    <s v="ESTETOSCÓPIO SKF"/>
    <n v="1"/>
    <s v="REALIZADO"/>
    <s v="BRUNO"/>
    <x v="105"/>
    <x v="0"/>
    <x v="0"/>
  </r>
  <r>
    <n v="63713"/>
    <x v="67"/>
    <s v="MME"/>
    <x v="0"/>
    <n v="50030486"/>
    <s v="FURADEIRA BOSCH 3"/>
    <n v="1"/>
    <s v="REALIZADO"/>
    <s v="KELLY"/>
    <x v="105"/>
    <x v="2"/>
    <x v="0"/>
  </r>
  <r>
    <n v="63713"/>
    <x v="67"/>
    <s v="MME"/>
    <x v="0"/>
    <n v="50030486"/>
    <s v="FURADEIRA BOSCH 3"/>
    <n v="1"/>
    <s v="REALIZADO"/>
    <s v="BRUNO"/>
    <x v="105"/>
    <x v="0"/>
    <x v="0"/>
  </r>
  <r>
    <n v="61096"/>
    <x v="64"/>
    <s v="MME"/>
    <x v="0"/>
    <n v="50039236"/>
    <s v="FURADEIRA BOSCH 4"/>
    <n v="1"/>
    <s v="REALIZADO"/>
    <s v="KELLY"/>
    <x v="105"/>
    <x v="2"/>
    <x v="0"/>
  </r>
  <r>
    <n v="61096"/>
    <x v="64"/>
    <s v="MME"/>
    <x v="0"/>
    <n v="50039236"/>
    <s v="FURADEIRA BOSCH 4"/>
    <n v="1"/>
    <s v="REALIZADO"/>
    <s v="BRUNO"/>
    <x v="105"/>
    <x v="0"/>
    <x v="0"/>
  </r>
  <r>
    <n v="62640"/>
    <x v="44"/>
    <s v="MPR"/>
    <x v="0"/>
    <n v="50043471"/>
    <s v="FURADEIRA BOSCH 7"/>
    <n v="1"/>
    <s v="REALIZADO"/>
    <s v="GEOVANE"/>
    <x v="105"/>
    <x v="2"/>
    <x v="0"/>
  </r>
  <r>
    <n v="62640"/>
    <x v="44"/>
    <s v="MPR"/>
    <x v="0"/>
    <n v="50043471"/>
    <s v="FURADEIRA BOSCH 7"/>
    <n v="1"/>
    <s v="REALIZADO"/>
    <s v="BRUNO"/>
    <x v="105"/>
    <x v="0"/>
    <x v="0"/>
  </r>
  <r>
    <n v="64253"/>
    <x v="16"/>
    <s v="MMG"/>
    <x v="0"/>
    <n v="50003297"/>
    <s v="FURADEIRA DE IMPACTO MAKITA 02"/>
    <n v="1"/>
    <s v="REALIZADO"/>
    <s v="BRUNO"/>
    <x v="105"/>
    <x v="2"/>
    <x v="0"/>
  </r>
  <r>
    <n v="64253"/>
    <x v="16"/>
    <s v="MMG"/>
    <x v="0"/>
    <n v="50003297"/>
    <s v="FURADEIRA DE IMPACTO MAKITA 02"/>
    <n v="1"/>
    <s v="REALIZADO"/>
    <s v="BRUNO"/>
    <x v="105"/>
    <x v="0"/>
    <x v="0"/>
  </r>
  <r>
    <n v="65910"/>
    <x v="7"/>
    <s v="MEE"/>
    <x v="0"/>
    <n v="50038549"/>
    <s v="JOGO SOQUETE ESTRIADOS 1/2 22PEÇ"/>
    <n v="1"/>
    <s v="REALIZADO"/>
    <s v="KELLY"/>
    <x v="105"/>
    <x v="2"/>
    <x v="0"/>
  </r>
  <r>
    <n v="65910"/>
    <x v="7"/>
    <s v="MEE"/>
    <x v="6"/>
    <n v="50038549"/>
    <s v="JOGO SOQUETE ESTRIADOS 1/2 22PEÇ"/>
    <n v="1"/>
    <s v="REALIZADO"/>
    <s v="BRUNA"/>
    <x v="105"/>
    <x v="0"/>
    <x v="0"/>
  </r>
  <r>
    <n v="65910"/>
    <x v="7"/>
    <s v="MEE"/>
    <x v="0"/>
    <n v="50037892"/>
    <s v="LIXADEIRA BOSCH 2"/>
    <n v="1"/>
    <s v="REALIZADO"/>
    <s v="KELLY"/>
    <x v="105"/>
    <x v="2"/>
    <x v="0"/>
  </r>
  <r>
    <n v="65910"/>
    <x v="7"/>
    <s v="MEE"/>
    <x v="6"/>
    <n v="50037892"/>
    <s v="LIXADEIRA BOSCH 2"/>
    <n v="1"/>
    <s v="REALIZADO"/>
    <s v="BRUNA"/>
    <x v="105"/>
    <x v="0"/>
    <x v="0"/>
  </r>
  <r>
    <n v="63713"/>
    <x v="67"/>
    <s v="MME"/>
    <x v="0"/>
    <n v="50037902"/>
    <s v="LIXADEIRA BOSCH 3"/>
    <n v="1"/>
    <s v="REALIZADO"/>
    <s v="KELLY"/>
    <x v="105"/>
    <x v="2"/>
    <x v="0"/>
  </r>
  <r>
    <n v="63713"/>
    <x v="67"/>
    <s v="MME"/>
    <x v="0"/>
    <n v="50037902"/>
    <s v="LIXADEIRA BOSCH 3"/>
    <n v="1"/>
    <s v="REALIZADO"/>
    <s v="BRUNO"/>
    <x v="105"/>
    <x v="0"/>
    <x v="0"/>
  </r>
  <r>
    <n v="78886"/>
    <x v="116"/>
    <s v="MME"/>
    <x v="0"/>
    <n v="50038517"/>
    <s v="LIXADEIRA BOSCH 5"/>
    <n v="1"/>
    <s v="REALIZADO"/>
    <s v="KELLY"/>
    <x v="105"/>
    <x v="2"/>
    <x v="0"/>
  </r>
  <r>
    <n v="78886"/>
    <x v="116"/>
    <s v="MME"/>
    <x v="0"/>
    <n v="50038517"/>
    <s v="LIXADEIRA BOSCH 5"/>
    <n v="1"/>
    <s v="REALIZADO"/>
    <s v="BRUNO"/>
    <x v="105"/>
    <x v="0"/>
    <x v="0"/>
  </r>
  <r>
    <n v="74874"/>
    <x v="90"/>
    <s v="MMG"/>
    <x v="0"/>
    <n v="50001995"/>
    <s v="MAQUINA DE SOLDA"/>
    <n v="1"/>
    <s v="REALIZADO"/>
    <s v="GEOVANE"/>
    <x v="105"/>
    <x v="2"/>
    <x v="0"/>
  </r>
  <r>
    <n v="74874"/>
    <x v="90"/>
    <s v="MMG"/>
    <x v="0"/>
    <n v="50001995"/>
    <s v="MAQUINA DE SOLDA"/>
    <n v="1"/>
    <s v="REALIZADO"/>
    <s v="GEOVANE"/>
    <x v="105"/>
    <x v="0"/>
    <x v="0"/>
  </r>
  <r>
    <n v="76633"/>
    <x v="62"/>
    <s v="MMG"/>
    <x v="2"/>
    <n v="50039065"/>
    <s v="MAQUINA SOLDA TIG"/>
    <n v="1"/>
    <s v="REALIZADO"/>
    <s v="BRUNO"/>
    <x v="105"/>
    <x v="2"/>
    <x v="0"/>
  </r>
  <r>
    <n v="76633"/>
    <x v="62"/>
    <s v="MMG"/>
    <x v="2"/>
    <n v="50039065"/>
    <s v="MAQUINA SOLDA TIG"/>
    <n v="1"/>
    <s v="REALIZADO"/>
    <s v="BRUNO"/>
    <x v="105"/>
    <x v="0"/>
    <x v="0"/>
  </r>
  <r>
    <n v="62640"/>
    <x v="44"/>
    <s v="MPR"/>
    <x v="0"/>
    <n v="50026357"/>
    <s v="MARTELETE VONDER"/>
    <n v="1"/>
    <s v="REALIZADO"/>
    <s v="BRUNO"/>
    <x v="105"/>
    <x v="0"/>
    <x v="0"/>
  </r>
  <r>
    <n v="65910"/>
    <x v="7"/>
    <s v="MEE"/>
    <x v="0"/>
    <n v="50041195"/>
    <s v="PARAFUSADEIRA FUR DE IMPACTO BRUSHLESS"/>
    <n v="1"/>
    <s v="REALIZADO"/>
    <s v="KELLY"/>
    <x v="105"/>
    <x v="2"/>
    <x v="0"/>
  </r>
  <r>
    <n v="65910"/>
    <x v="7"/>
    <s v="MEE"/>
    <x v="6"/>
    <n v="50041195"/>
    <s v="PARAFUSADEIRA FUR DE IMPACTO BRUSHLESS"/>
    <n v="1"/>
    <s v="REALIZADO"/>
    <s v="BRUNA"/>
    <x v="105"/>
    <x v="0"/>
    <x v="0"/>
  </r>
  <r>
    <n v="72707"/>
    <x v="59"/>
    <s v="MPR"/>
    <x v="0"/>
    <n v="50043917"/>
    <s v="PARAFUSADEIRA FURADEIRA BOSCH"/>
    <n v="1"/>
    <s v="REALIZADO"/>
    <s v="KELLY"/>
    <x v="105"/>
    <x v="2"/>
    <x v="0"/>
  </r>
  <r>
    <n v="72707"/>
    <x v="59"/>
    <s v="MPR"/>
    <x v="0"/>
    <n v="50043917"/>
    <s v="PARAFUSADEIRA FURADEIRA BOSCH"/>
    <n v="1"/>
    <s v="REALIZADO"/>
    <s v="BRUNO"/>
    <x v="105"/>
    <x v="0"/>
    <x v="0"/>
  </r>
  <r>
    <n v="78886"/>
    <x v="116"/>
    <s v="MME"/>
    <x v="0"/>
    <n v="50032781"/>
    <s v="SERRA TICO TICO 650W DEWALT "/>
    <n v="1"/>
    <s v="REALIZADO"/>
    <s v="GEOVANE"/>
    <x v="105"/>
    <x v="2"/>
    <x v="0"/>
  </r>
  <r>
    <n v="78886"/>
    <x v="116"/>
    <s v="MME"/>
    <x v="0"/>
    <n v="50032781"/>
    <s v="SERRA TICO TICO 650W DEWALT "/>
    <n v="1"/>
    <s v="REALIZADO"/>
    <s v="GEOVANE"/>
    <x v="105"/>
    <x v="0"/>
    <x v="0"/>
  </r>
  <r>
    <n v="78675"/>
    <x v="12"/>
    <s v="MME"/>
    <x v="2"/>
    <n v="50010031"/>
    <s v=" LIXADEIRA BOSCH 6"/>
    <n v="1"/>
    <s v="REALIZADO"/>
    <s v="BRUNO"/>
    <x v="106"/>
    <x v="2"/>
    <x v="0"/>
  </r>
  <r>
    <n v="78675"/>
    <x v="12"/>
    <s v="MME"/>
    <x v="2"/>
    <n v="50010031"/>
    <s v=" LIXADEIRA BOSCH 6"/>
    <n v="1"/>
    <s v="REALIZADO"/>
    <s v="BRUNO"/>
    <x v="106"/>
    <x v="0"/>
    <x v="0"/>
  </r>
  <r>
    <n v="68430"/>
    <x v="61"/>
    <s v="MEE"/>
    <x v="2"/>
    <n v="50036296"/>
    <s v="CHAVE AJUSTÁVEL 45MM"/>
    <n v="1"/>
    <s v="REALIZADO"/>
    <s v="JOÃO FRANCISCO"/>
    <x v="106"/>
    <x v="2"/>
    <x v="0"/>
  </r>
  <r>
    <n v="68430"/>
    <x v="61"/>
    <s v="MEE"/>
    <x v="2"/>
    <n v="50036296"/>
    <s v="CHAVE AJUSTÁVEL 45MM"/>
    <n v="1"/>
    <s v="REALIZADO"/>
    <s v="BRUNO"/>
    <x v="106"/>
    <x v="2"/>
    <x v="0"/>
  </r>
  <r>
    <n v="61264"/>
    <x v="10"/>
    <s v="MMG"/>
    <x v="0"/>
    <n v="50037960"/>
    <s v="CHAVE CATRACA (1) Nº24-41V"/>
    <n v="1"/>
    <s v="REALIZADO"/>
    <s v="BRUNO"/>
    <x v="106"/>
    <x v="2"/>
    <x v="0"/>
  </r>
  <r>
    <n v="61264"/>
    <x v="10"/>
    <s v="MMG"/>
    <x v="0"/>
    <n v="50037961"/>
    <s v="CHAVE CATRACA (2) Nº24-41V"/>
    <n v="1"/>
    <s v="REALIZADO"/>
    <s v="BRUNO"/>
    <x v="106"/>
    <x v="0"/>
    <x v="0"/>
  </r>
  <r>
    <n v="62180"/>
    <x v="18"/>
    <s v="MMG"/>
    <x v="0"/>
    <n v="50037905"/>
    <s v="ESTETOSCÓPIO SKF"/>
    <n v="1"/>
    <s v="REALIZADO"/>
    <s v="BRUNO"/>
    <x v="106"/>
    <x v="2"/>
    <x v="0"/>
  </r>
  <r>
    <n v="62180"/>
    <x v="18"/>
    <s v="MMG"/>
    <x v="0"/>
    <n v="50037905"/>
    <s v="ESTETOSCÓPIO SKF"/>
    <n v="1"/>
    <s v="REALIZADO"/>
    <s v="MARCIA"/>
    <x v="106"/>
    <x v="0"/>
    <x v="0"/>
  </r>
  <r>
    <n v="66830"/>
    <x v="3"/>
    <s v="MPR"/>
    <x v="0"/>
    <n v="50030486"/>
    <s v="FURADEIRA BOSCH 3"/>
    <n v="1"/>
    <s v="REALIZADO"/>
    <s v="JOÃO FRANCISCO"/>
    <x v="106"/>
    <x v="2"/>
    <x v="0"/>
  </r>
  <r>
    <n v="66830"/>
    <x v="3"/>
    <s v="MPR"/>
    <x v="0"/>
    <n v="50030486"/>
    <s v="FURADEIRA BOSCH 3"/>
    <n v="1"/>
    <s v="REALIZADO"/>
    <s v="GEOVANE"/>
    <x v="106"/>
    <x v="2"/>
    <x v="0"/>
  </r>
  <r>
    <n v="77526"/>
    <x v="37"/>
    <s v="MME"/>
    <x v="0"/>
    <n v="50039236"/>
    <s v="FURADEIRA BOSCH 4"/>
    <n v="1"/>
    <s v="REALIZADO"/>
    <s v="BRUNO"/>
    <x v="106"/>
    <x v="0"/>
    <x v="0"/>
  </r>
  <r>
    <n v="61096"/>
    <x v="64"/>
    <s v="MME"/>
    <x v="0"/>
    <n v="50043471"/>
    <s v="FURADEIRA BOSCH 7"/>
    <n v="1"/>
    <s v="REALIZADO"/>
    <s v="JOÃO FRANCISCO"/>
    <x v="106"/>
    <x v="2"/>
    <x v="0"/>
  </r>
  <r>
    <n v="61096"/>
    <x v="64"/>
    <s v="MME"/>
    <x v="0"/>
    <n v="50043471"/>
    <s v="FURADEIRA BOSCH 7"/>
    <n v="1"/>
    <s v="REALIZADO"/>
    <s v="GEOVANE"/>
    <x v="106"/>
    <x v="0"/>
    <x v="0"/>
  </r>
  <r>
    <n v="72715"/>
    <x v="26"/>
    <s v="MPR"/>
    <x v="0"/>
    <n v="50003296"/>
    <s v="FURADEIRA DE IMPACTO MAKITA 01"/>
    <n v="1"/>
    <s v="REALIZADO"/>
    <s v="JOÃO FRANCISCO"/>
    <x v="106"/>
    <x v="2"/>
    <x v="0"/>
  </r>
  <r>
    <n v="72715"/>
    <x v="26"/>
    <s v="MPR"/>
    <x v="0"/>
    <n v="50003296"/>
    <s v="FURADEIRA DE IMPACTO MAKITA 01"/>
    <n v="1"/>
    <s v="REALIZADO"/>
    <s v="GEOVANE"/>
    <x v="106"/>
    <x v="0"/>
    <x v="0"/>
  </r>
  <r>
    <n v="68708"/>
    <x v="13"/>
    <s v="MMG"/>
    <x v="0"/>
    <n v="50038549"/>
    <s v="JOGO SOQUETE ESTRIADOS 1/2 22PEÇ"/>
    <n v="1"/>
    <s v="REALIZADO"/>
    <s v="GEOVANE"/>
    <x v="106"/>
    <x v="2"/>
    <x v="0"/>
  </r>
  <r>
    <n v="70052"/>
    <x v="6"/>
    <s v="MEE"/>
    <x v="0"/>
    <n v="50038549"/>
    <s v="JOGO SOQUETE ESTRIADOS 1/2 22PEÇ"/>
    <n v="1"/>
    <s v="REALIZADO"/>
    <s v="BRUNA"/>
    <x v="106"/>
    <x v="0"/>
    <x v="0"/>
  </r>
  <r>
    <n v="63684"/>
    <x v="27"/>
    <s v="MME"/>
    <x v="2"/>
    <n v="50038517"/>
    <s v="LIXADEIRA BOSCH 5"/>
    <n v="1"/>
    <s v="REALIZADO"/>
    <s v="GEOVANE"/>
    <x v="106"/>
    <x v="2"/>
    <x v="0"/>
  </r>
  <r>
    <n v="63684"/>
    <x v="27"/>
    <s v="MME"/>
    <x v="2"/>
    <n v="50038517"/>
    <s v="LIXADEIRA BOSCH 5"/>
    <n v="1"/>
    <s v="REALIZADO"/>
    <s v="GEOVANE"/>
    <x v="106"/>
    <x v="0"/>
    <x v="0"/>
  </r>
  <r>
    <n v="78678"/>
    <x v="0"/>
    <s v="MME"/>
    <x v="0"/>
    <n v="50038517"/>
    <s v="LIXADEIRA BOSCH 5"/>
    <n v="1"/>
    <s v="REALIZADO"/>
    <s v="BRUNA"/>
    <x v="106"/>
    <x v="2"/>
    <x v="0"/>
  </r>
  <r>
    <n v="78678"/>
    <x v="0"/>
    <s v="MME"/>
    <x v="0"/>
    <n v="50038517"/>
    <s v="LIXADEIRA BOSCH 5"/>
    <n v="1"/>
    <s v="REALIZADO"/>
    <s v="BRUNO"/>
    <x v="106"/>
    <x v="2"/>
    <x v="0"/>
  </r>
  <r>
    <n v="77313"/>
    <x v="17"/>
    <s v="MPR"/>
    <x v="0"/>
    <n v="50026357"/>
    <s v="MARTELETE VONDER"/>
    <n v="1"/>
    <s v="REALIZADO"/>
    <s v="GEOVANE"/>
    <x v="106"/>
    <x v="2"/>
    <x v="0"/>
  </r>
  <r>
    <n v="70052"/>
    <x v="6"/>
    <s v="MEE"/>
    <x v="0"/>
    <n v="50041195"/>
    <s v="PARAFUSADEIRA FUR DE IMPACTO BRUSHLESS"/>
    <n v="1"/>
    <s v="REALIZADO"/>
    <s v="BRUNA"/>
    <x v="106"/>
    <x v="0"/>
    <x v="0"/>
  </r>
  <r>
    <n v="67193"/>
    <x v="113"/>
    <s v="MME"/>
    <x v="4"/>
    <n v="50041195"/>
    <s v="PARAFUSADEIRA FUR DE IMPACTO BRUSHLESS"/>
    <n v="1"/>
    <s v="REALIZADO"/>
    <s v="GLAUBER"/>
    <x v="106"/>
    <x v="2"/>
    <x v="0"/>
  </r>
  <r>
    <n v="72707"/>
    <x v="59"/>
    <s v="MPR"/>
    <x v="0"/>
    <n v="50043917"/>
    <s v="PARAFUSADEIRA FURADEIRA BOSCH"/>
    <n v="1"/>
    <s v="REALIZADO"/>
    <s v="BRUNO"/>
    <x v="106"/>
    <x v="2"/>
    <x v="0"/>
  </r>
  <r>
    <n v="70052"/>
    <x v="6"/>
    <s v="MEE"/>
    <x v="0"/>
    <n v="50037915"/>
    <s v="REBITADOR PNEUMATICO"/>
    <n v="1"/>
    <s v="REALIZADO"/>
    <s v="JOÃO FRANCISCO"/>
    <x v="106"/>
    <x v="0"/>
    <x v="0"/>
  </r>
  <r>
    <n v="61096"/>
    <x v="64"/>
    <s v="MME"/>
    <x v="0"/>
    <n v="50032781"/>
    <s v="SERRA TICO TICO 650W DEWALT "/>
    <n v="1"/>
    <s v="REALIZADO"/>
    <s v="JOÃO FRANCISCO"/>
    <x v="106"/>
    <x v="2"/>
    <x v="0"/>
  </r>
  <r>
    <n v="61096"/>
    <x v="64"/>
    <s v="MME"/>
    <x v="0"/>
    <n v="50032781"/>
    <s v="SERRA TICO TICO 650W DEWALT "/>
    <n v="1"/>
    <s v="REALIZADO"/>
    <s v="JOÃO FRANCISCO"/>
    <x v="106"/>
    <x v="0"/>
    <x v="0"/>
  </r>
  <r>
    <n v="77313"/>
    <x v="17"/>
    <s v="MPR"/>
    <x v="0"/>
    <n v="50038854"/>
    <s v="ARCO DE SERRA"/>
    <n v="1"/>
    <s v="NÃO REALIZADO"/>
    <s v="MARCIA"/>
    <x v="107"/>
    <x v="0"/>
    <x v="0"/>
  </r>
  <r>
    <n v="62180"/>
    <x v="18"/>
    <s v="MMG"/>
    <x v="0"/>
    <n v="50037905"/>
    <s v="ESTETOSCÓPIO SKF"/>
    <n v="1"/>
    <s v="REALIZADO"/>
    <s v="MARCIA"/>
    <x v="107"/>
    <x v="2"/>
    <x v="0"/>
  </r>
  <r>
    <n v="62180"/>
    <x v="18"/>
    <s v="MMG"/>
    <x v="0"/>
    <n v="50037905"/>
    <s v="ESTETOSCÓPIO SKF"/>
    <n v="1"/>
    <s v="REALIZADO"/>
    <s v="MARCIA"/>
    <x v="107"/>
    <x v="0"/>
    <x v="0"/>
  </r>
  <r>
    <n v="78886"/>
    <x v="116"/>
    <s v="MME"/>
    <x v="0"/>
    <n v="50030486"/>
    <s v="FURADEIRA BOSCH 3"/>
    <n v="1"/>
    <s v="REALIZADO"/>
    <s v="KELLY"/>
    <x v="107"/>
    <x v="2"/>
    <x v="0"/>
  </r>
  <r>
    <n v="78886"/>
    <x v="116"/>
    <s v="MME"/>
    <x v="0"/>
    <n v="50030486"/>
    <s v="FURADEIRA BOSCH 3"/>
    <n v="1"/>
    <s v="REALIZADO"/>
    <s v="MARCIA"/>
    <x v="107"/>
    <x v="0"/>
    <x v="0"/>
  </r>
  <r>
    <n v="61096"/>
    <x v="64"/>
    <s v="MME"/>
    <x v="0"/>
    <n v="50003297"/>
    <s v="FURADEIRA DE IMPACTO MAKITA 02"/>
    <n v="1"/>
    <s v="REALIZADO"/>
    <s v="KELLY"/>
    <x v="107"/>
    <x v="2"/>
    <x v="0"/>
  </r>
  <r>
    <n v="78675"/>
    <x v="12"/>
    <s v="MME"/>
    <x v="2"/>
    <n v="50003297"/>
    <s v="FURADEIRA DE IMPACTO MAKITA 02"/>
    <n v="1"/>
    <s v="REALIZADO"/>
    <s v="MARCIA"/>
    <x v="107"/>
    <x v="0"/>
    <x v="0"/>
  </r>
  <r>
    <n v="62444"/>
    <x v="89"/>
    <s v="MMG"/>
    <x v="4"/>
    <n v="50038549"/>
    <s v="JOGO SOQUETE ESTRIADOS 1/2 22PEÇ"/>
    <n v="1"/>
    <s v="REALIZADO"/>
    <m/>
    <x v="107"/>
    <x v="0"/>
    <x v="0"/>
  </r>
  <r>
    <n v="77526"/>
    <x v="37"/>
    <s v="MME"/>
    <x v="0"/>
    <n v="50022878"/>
    <s v="KIT MONTAGEM ROLAMENTO SKF"/>
    <n v="1"/>
    <s v="REALIZADO"/>
    <s v="MARCIA"/>
    <x v="107"/>
    <x v="2"/>
    <x v="0"/>
  </r>
  <r>
    <n v="77526"/>
    <x v="37"/>
    <s v="MME"/>
    <x v="0"/>
    <n v="50022878"/>
    <s v="KIT MONTAGEM ROLAMENTO SKF"/>
    <n v="1"/>
    <s v="REALIZADO"/>
    <s v="MARCIA"/>
    <x v="107"/>
    <x v="0"/>
    <x v="0"/>
  </r>
  <r>
    <n v="77594"/>
    <x v="23"/>
    <s v="MME"/>
    <x v="0"/>
    <n v="50037892"/>
    <s v="LIXADEIRA BOSCH 2"/>
    <n v="1"/>
    <s v="REALIZADO"/>
    <s v="MARCIA"/>
    <x v="107"/>
    <x v="2"/>
    <x v="0"/>
  </r>
  <r>
    <n v="77594"/>
    <x v="23"/>
    <s v="MME"/>
    <x v="0"/>
    <n v="50037892"/>
    <s v="LIXADEIRA BOSCH 2"/>
    <n v="1"/>
    <s v="REALIZADO"/>
    <s v="MARCIA"/>
    <x v="107"/>
    <x v="0"/>
    <x v="0"/>
  </r>
  <r>
    <n v="77526"/>
    <x v="37"/>
    <s v="MME"/>
    <x v="0"/>
    <n v="50037902"/>
    <s v="LIXADEIRA BOSCH 3"/>
    <n v="1"/>
    <s v="REALIZADO"/>
    <s v="MARCIA"/>
    <x v="107"/>
    <x v="2"/>
    <x v="0"/>
  </r>
  <r>
    <n v="77526"/>
    <x v="37"/>
    <s v="MME"/>
    <x v="0"/>
    <n v="50037902"/>
    <s v="LIXADEIRA BOSCH 3"/>
    <n v="1"/>
    <s v="REALIZADO"/>
    <s v="MARCIA"/>
    <x v="107"/>
    <x v="0"/>
    <x v="0"/>
  </r>
  <r>
    <n v="77313"/>
    <x v="17"/>
    <s v="MPR"/>
    <x v="0"/>
    <n v="50038841"/>
    <s v="LIXADEIRA BOSCH 4"/>
    <n v="1"/>
    <s v="NÃO REALIZADO"/>
    <s v="MARCIA"/>
    <x v="107"/>
    <x v="2"/>
    <x v="0"/>
  </r>
  <r>
    <n v="77313"/>
    <x v="17"/>
    <s v="MPR"/>
    <x v="0"/>
    <n v="50038841"/>
    <s v="LIXADEIRA BOSCH 4"/>
    <n v="1"/>
    <s v="REALIZADO"/>
    <s v="MARCIA"/>
    <x v="107"/>
    <x v="0"/>
    <x v="0"/>
  </r>
  <r>
    <n v="65223"/>
    <x v="38"/>
    <s v="MEE"/>
    <x v="3"/>
    <n v="50038517"/>
    <s v="LIXADEIRA BOSCH 5"/>
    <n v="1"/>
    <s v="REALIZADO"/>
    <s v="MARCIA"/>
    <x v="107"/>
    <x v="2"/>
    <x v="0"/>
  </r>
  <r>
    <n v="65223"/>
    <x v="38"/>
    <s v="MEE"/>
    <x v="3"/>
    <n v="50038517"/>
    <s v="LIXADEIRA BOSCH 5"/>
    <n v="1"/>
    <s v="REALIZADO"/>
    <s v="MARCIA"/>
    <x v="107"/>
    <x v="2"/>
    <x v="0"/>
  </r>
  <r>
    <n v="64074"/>
    <x v="75"/>
    <s v="MPR"/>
    <x v="0"/>
    <n v="50041195"/>
    <s v="PARAFUSADEIRA FUR DE IMPACTO BRUSHLESS"/>
    <n v="1"/>
    <s v="REALIZADO"/>
    <s v="MARCIA"/>
    <x v="107"/>
    <x v="2"/>
    <x v="0"/>
  </r>
  <r>
    <n v="62640"/>
    <x v="44"/>
    <s v="MPR"/>
    <x v="0"/>
    <n v="50043917"/>
    <s v="PARAFUSADEIRA FURADEIRA BOSCH"/>
    <n v="1"/>
    <s v="REALIZADO"/>
    <s v="MARCIA"/>
    <x v="107"/>
    <x v="2"/>
    <x v="0"/>
  </r>
  <r>
    <n v="77313"/>
    <x v="17"/>
    <s v="MPR"/>
    <x v="0"/>
    <n v="50038854"/>
    <s v="ARCO DE SERRA"/>
    <n v="1"/>
    <s v="REALIZADO"/>
    <s v="AGATHA"/>
    <x v="108"/>
    <x v="0"/>
    <x v="0"/>
  </r>
  <r>
    <n v="66790"/>
    <x v="60"/>
    <s v="MMG"/>
    <x v="3"/>
    <n v="50037905"/>
    <s v="ESTETOSCÓPIO SKF"/>
    <n v="1"/>
    <s v="REALIZADO"/>
    <s v="KELLY"/>
    <x v="108"/>
    <x v="2"/>
    <x v="0"/>
  </r>
  <r>
    <n v="66790"/>
    <x v="60"/>
    <s v="MMG"/>
    <x v="3"/>
    <n v="50037905"/>
    <s v="ESTETOSCÓPIO SKF"/>
    <n v="1"/>
    <s v="REALIZADO"/>
    <s v="MARCIA"/>
    <x v="108"/>
    <x v="0"/>
    <x v="0"/>
  </r>
  <r>
    <n v="63713"/>
    <x v="67"/>
    <s v="MME"/>
    <x v="0"/>
    <n v="50039236"/>
    <s v="FURADEIRA BOSCH 4"/>
    <n v="1"/>
    <s v="REALIZADO"/>
    <s v="AGATHA"/>
    <x v="108"/>
    <x v="0"/>
    <x v="0"/>
  </r>
  <r>
    <n v="63713"/>
    <x v="67"/>
    <s v="MME"/>
    <x v="0"/>
    <n v="50039236"/>
    <s v="FURADEIRA BOSCH 4"/>
    <n v="1"/>
    <s v="REALIZADO"/>
    <s v="AGATHA"/>
    <x v="108"/>
    <x v="2"/>
    <x v="0"/>
  </r>
  <r>
    <n v="70147"/>
    <x v="117"/>
    <s v="MEE"/>
    <x v="3"/>
    <n v="50036299"/>
    <s v="JOGO DE SERRAS COPOS BIMETALICAS 16 PEÇAS"/>
    <n v="1"/>
    <s v="REALIZADO"/>
    <s v="KELLY"/>
    <x v="108"/>
    <x v="0"/>
    <x v="0"/>
  </r>
  <r>
    <n v="70147"/>
    <x v="117"/>
    <s v="MEE"/>
    <x v="3"/>
    <n v="50036299"/>
    <s v="JOGO DE SERRAS COPOS BIMETALICAS 16 PEÇAS"/>
    <n v="1"/>
    <s v="REALIZADO"/>
    <s v="KELLY"/>
    <x v="108"/>
    <x v="0"/>
    <x v="0"/>
  </r>
  <r>
    <n v="77526"/>
    <x v="37"/>
    <s v="MME"/>
    <x v="0"/>
    <n v="50037902"/>
    <s v="LIXADEIRA BOSCH 3"/>
    <n v="1"/>
    <s v="REALIZADO"/>
    <s v="AGATHA"/>
    <x v="108"/>
    <x v="2"/>
    <x v="0"/>
  </r>
  <r>
    <n v="77526"/>
    <x v="37"/>
    <s v="MME"/>
    <x v="0"/>
    <n v="50037902"/>
    <s v="LIXADEIRA BOSCH 3"/>
    <n v="1"/>
    <s v="REALIZADO"/>
    <s v="MARCIA"/>
    <x v="108"/>
    <x v="0"/>
    <x v="0"/>
  </r>
  <r>
    <n v="74611"/>
    <x v="2"/>
    <s v="MPR"/>
    <x v="0"/>
    <n v="50038841"/>
    <s v="LIXADEIRA BOSCH 4"/>
    <n v="1"/>
    <s v="REALIZADO"/>
    <s v="KELLY"/>
    <x v="108"/>
    <x v="2"/>
    <x v="0"/>
  </r>
  <r>
    <n v="74611"/>
    <x v="2"/>
    <s v="MPR"/>
    <x v="0"/>
    <n v="50038841"/>
    <s v="LIXADEIRA BOSCH 4"/>
    <n v="1"/>
    <s v="REALIZADO"/>
    <s v="MARCIA"/>
    <x v="108"/>
    <x v="0"/>
    <x v="0"/>
  </r>
  <r>
    <n v="74611"/>
    <x v="2"/>
    <s v="MPR"/>
    <x v="0"/>
    <n v="50001995"/>
    <s v="MAQUINA DE SOLDA"/>
    <n v="1"/>
    <s v="REALIZADO"/>
    <s v="KELLY"/>
    <x v="108"/>
    <x v="2"/>
    <x v="0"/>
  </r>
  <r>
    <n v="74611"/>
    <x v="2"/>
    <s v="MPR"/>
    <x v="0"/>
    <n v="50001995"/>
    <s v="MAQUINA DE SOLDA"/>
    <n v="1"/>
    <s v="REALIZADO"/>
    <s v="MARCIA"/>
    <x v="108"/>
    <x v="0"/>
    <x v="0"/>
  </r>
  <r>
    <n v="62640"/>
    <x v="44"/>
    <s v="MPR"/>
    <x v="0"/>
    <n v="50026357"/>
    <s v="MARTELETE VONDER"/>
    <n v="1"/>
    <s v="REALIZADO"/>
    <s v="AGATHA"/>
    <x v="108"/>
    <x v="2"/>
    <x v="0"/>
  </r>
  <r>
    <n v="62640"/>
    <x v="44"/>
    <s v="MPR"/>
    <x v="0"/>
    <n v="50026357"/>
    <s v="MARTELETE VONDER"/>
    <n v="1"/>
    <s v="NÃO REALIZADO"/>
    <s v="MARCIA"/>
    <x v="108"/>
    <x v="2"/>
    <x v="0"/>
  </r>
  <r>
    <n v="70147"/>
    <x v="117"/>
    <s v="MEE"/>
    <x v="3"/>
    <n v="50041195"/>
    <s v="PARAFUSADEIRA FUR DE IMPACTO BRUSHLESS"/>
    <n v="1"/>
    <s v="REALIZADO"/>
    <s v="KELLY"/>
    <x v="108"/>
    <x v="0"/>
    <x v="0"/>
  </r>
  <r>
    <n v="76995"/>
    <x v="49"/>
    <s v="MEE"/>
    <x v="0"/>
    <n v="50041195"/>
    <s v="PARAFUSADEIRA FUR DE IMPACTO BRUSHLESS"/>
    <n v="1"/>
    <s v="REALIZADO"/>
    <s v="KELLY"/>
    <x v="108"/>
    <x v="0"/>
    <x v="0"/>
  </r>
  <r>
    <n v="70147"/>
    <x v="117"/>
    <s v="MEE"/>
    <x v="3"/>
    <n v="50041195"/>
    <s v="PARAFUSADEIRA FUR DE IMPACTO BRUSHLESS"/>
    <n v="1"/>
    <s v="REALIZADO"/>
    <s v="KELLY"/>
    <x v="108"/>
    <x v="0"/>
    <x v="0"/>
  </r>
  <r>
    <n v="64074"/>
    <x v="75"/>
    <s v="MPR"/>
    <x v="0"/>
    <n v="50043917"/>
    <s v="PARAFUSADEIRA FURADEIRA BOSCH"/>
    <n v="1"/>
    <s v="REALIZADO"/>
    <s v="AGATHA"/>
    <x v="108"/>
    <x v="2"/>
    <x v="0"/>
  </r>
  <r>
    <n v="64074"/>
    <x v="75"/>
    <s v="MPR"/>
    <x v="0"/>
    <n v="50043917"/>
    <s v="PARAFUSADEIRA FURADEIRA BOSCH"/>
    <n v="1"/>
    <s v="REALIZADO"/>
    <s v="MARCIA"/>
    <x v="108"/>
    <x v="0"/>
    <x v="0"/>
  </r>
  <r>
    <n v="65084"/>
    <x v="83"/>
    <s v="MMG"/>
    <x v="4"/>
    <n v="50037933"/>
    <s v="TERMOMETRO"/>
    <n v="1"/>
    <s v="REALIZADO"/>
    <m/>
    <x v="108"/>
    <x v="0"/>
    <x v="0"/>
  </r>
  <r>
    <n v="65084"/>
    <x v="83"/>
    <s v="MMG"/>
    <x v="4"/>
    <n v="50037933"/>
    <s v="TERMOMETRO"/>
    <n v="1"/>
    <s v="REALIZADO"/>
    <m/>
    <x v="108"/>
    <x v="0"/>
    <x v="0"/>
  </r>
  <r>
    <n v="65474"/>
    <x v="97"/>
    <s v="MMG"/>
    <x v="2"/>
    <n v="50043917"/>
    <s v="PARAFUSADEIRA FURADEIRA BOSCH"/>
    <n v="1"/>
    <s v="REALIZADO"/>
    <s v="ALESSANDRO"/>
    <x v="109"/>
    <x v="0"/>
    <x v="0"/>
  </r>
  <r>
    <n v="76633"/>
    <x v="62"/>
    <s v="MMG"/>
    <x v="2"/>
    <n v="50038956"/>
    <s v="LIXADEIRA BOSCH 1"/>
    <n v="1"/>
    <s v="REALIZADO"/>
    <s v="KELLY"/>
    <x v="110"/>
    <x v="2"/>
    <x v="0"/>
  </r>
  <r>
    <n v="76633"/>
    <x v="62"/>
    <s v="MMG"/>
    <x v="2"/>
    <n v="50038956"/>
    <s v="LIXADEIRA BOSCH 1"/>
    <n v="1"/>
    <s v="REALIZADO"/>
    <s v="KELLY"/>
    <x v="110"/>
    <x v="0"/>
    <x v="0"/>
  </r>
  <r>
    <n v="63684"/>
    <x v="27"/>
    <s v="MME"/>
    <x v="2"/>
    <n v="50038841"/>
    <s v="LIXADEIRA BOSCH 4"/>
    <n v="1"/>
    <s v="REALIZADO"/>
    <s v="KELLY"/>
    <x v="110"/>
    <x v="2"/>
    <x v="0"/>
  </r>
  <r>
    <n v="63684"/>
    <x v="27"/>
    <s v="MME"/>
    <x v="2"/>
    <n v="50038841"/>
    <s v="LIXADEIRA BOSCH 4"/>
    <n v="1"/>
    <s v="REALIZADO"/>
    <s v="KELLY"/>
    <x v="110"/>
    <x v="0"/>
    <x v="0"/>
  </r>
  <r>
    <n v="63684"/>
    <x v="27"/>
    <s v="MME"/>
    <x v="2"/>
    <n v="50039065"/>
    <s v="MAQUINA SOLDA TIG"/>
    <n v="1"/>
    <s v="REALIZADO"/>
    <s v="KELLY"/>
    <x v="110"/>
    <x v="2"/>
    <x v="0"/>
  </r>
  <r>
    <n v="63684"/>
    <x v="27"/>
    <s v="MME"/>
    <x v="2"/>
    <n v="50039065"/>
    <s v="MAQUINA SOLDA TIG"/>
    <n v="1"/>
    <s v="REALIZADO"/>
    <s v="KELLY"/>
    <x v="110"/>
    <x v="0"/>
    <x v="0"/>
  </r>
  <r>
    <n v="78675"/>
    <x v="12"/>
    <s v="MME"/>
    <x v="2"/>
    <n v="50010031"/>
    <s v=" LIXADEIRA BOSCH 6"/>
    <n v="1"/>
    <s v="REALIZADO"/>
    <s v="AGATHA"/>
    <x v="111"/>
    <x v="2"/>
    <x v="0"/>
  </r>
  <r>
    <n v="78675"/>
    <x v="12"/>
    <s v="MME"/>
    <x v="2"/>
    <n v="50010031"/>
    <s v=" LIXADEIRA BOSCH 6"/>
    <n v="1"/>
    <s v="REALIZADO"/>
    <s v="BRUNA"/>
    <x v="111"/>
    <x v="0"/>
    <x v="0"/>
  </r>
  <r>
    <n v="77708"/>
    <x v="69"/>
    <s v="MPR"/>
    <x v="0"/>
    <n v="50002644"/>
    <s v="ALICATE CRIMPADOR"/>
    <n v="1"/>
    <s v="REALIZADO"/>
    <s v="BRUNO"/>
    <x v="111"/>
    <x v="0"/>
    <x v="0"/>
  </r>
  <r>
    <n v="65910"/>
    <x v="7"/>
    <s v="MEE"/>
    <x v="6"/>
    <n v="50002644"/>
    <s v="ALICATE CRIMPADOR"/>
    <n v="1"/>
    <s v="REALIZADO"/>
    <s v="BRUNO"/>
    <x v="111"/>
    <x v="2"/>
    <x v="0"/>
  </r>
  <r>
    <n v="77708"/>
    <x v="69"/>
    <s v="MPR"/>
    <x v="0"/>
    <n v="50002644"/>
    <s v="ALICATE CRIMPADOR"/>
    <n v="1"/>
    <s v="REALIZADO"/>
    <s v="BRUNO"/>
    <x v="111"/>
    <x v="2"/>
    <x v="0"/>
  </r>
  <r>
    <n v="65910"/>
    <x v="7"/>
    <s v="MEE"/>
    <x v="6"/>
    <n v="50002644"/>
    <s v="ALICATE CRIMPADOR"/>
    <n v="1"/>
    <s v="REALIZADO"/>
    <s v="BRUNA"/>
    <x v="111"/>
    <x v="0"/>
    <x v="0"/>
  </r>
  <r>
    <n v="70052"/>
    <x v="6"/>
    <s v="MEE"/>
    <x v="0"/>
    <n v="50038854"/>
    <s v="ARCO DE SERRA"/>
    <n v="1"/>
    <s v="REALIZADO"/>
    <s v="AGATHA"/>
    <x v="111"/>
    <x v="2"/>
    <x v="0"/>
  </r>
  <r>
    <n v="70052"/>
    <x v="6"/>
    <s v="MEE"/>
    <x v="0"/>
    <n v="50038854"/>
    <s v="ARCO DE SERRA"/>
    <n v="1"/>
    <s v="REALIZADO"/>
    <s v="GEOVANE"/>
    <x v="111"/>
    <x v="0"/>
    <x v="0"/>
  </r>
  <r>
    <n v="96464"/>
    <x v="46"/>
    <s v="MEE"/>
    <x v="2"/>
    <n v="50036298"/>
    <s v="ASPIRADOR PARA SOLIDOS SEM FIO 20V"/>
    <n v="1"/>
    <s v="REALIZADO"/>
    <s v="BRUNO"/>
    <x v="111"/>
    <x v="2"/>
    <x v="0"/>
  </r>
  <r>
    <n v="96464"/>
    <x v="46"/>
    <s v="MEE"/>
    <x v="2"/>
    <n v="50036298"/>
    <s v="ASPIRADOR PARA SOLIDOS SEM FIO 20V"/>
    <n v="1"/>
    <s v="REALIZADO"/>
    <s v="BRUNO"/>
    <x v="111"/>
    <x v="0"/>
    <x v="0"/>
  </r>
  <r>
    <n v="61264"/>
    <x v="10"/>
    <s v="MMG"/>
    <x v="0"/>
    <n v="50037960"/>
    <s v="CHAVE CATRACA (1) Nº24-41V"/>
    <n v="1"/>
    <s v="REALIZADO"/>
    <s v="KELLY"/>
    <x v="111"/>
    <x v="0"/>
    <x v="0"/>
  </r>
  <r>
    <n v="61264"/>
    <x v="10"/>
    <s v="MMG"/>
    <x v="0"/>
    <n v="50037961"/>
    <s v="CHAVE CATRACA (2) Nº24-41V"/>
    <n v="1"/>
    <s v="REALIZADO"/>
    <s v="KELLY"/>
    <x v="111"/>
    <x v="0"/>
    <x v="0"/>
  </r>
  <r>
    <n v="63684"/>
    <x v="27"/>
    <s v="MME"/>
    <x v="2"/>
    <n v="50039236"/>
    <s v="FURADEIRA BOSCH 4"/>
    <n v="1"/>
    <s v="REALIZADO"/>
    <s v="AGATHA"/>
    <x v="111"/>
    <x v="2"/>
    <x v="0"/>
  </r>
  <r>
    <n v="63684"/>
    <x v="27"/>
    <s v="MME"/>
    <x v="2"/>
    <n v="50039236"/>
    <s v="FURADEIRA BOSCH 4"/>
    <n v="1"/>
    <s v="REALIZADO"/>
    <s v="BRUNO"/>
    <x v="111"/>
    <x v="0"/>
    <x v="0"/>
  </r>
  <r>
    <n v="77594"/>
    <x v="23"/>
    <s v="MME"/>
    <x v="0"/>
    <n v="50043471"/>
    <s v="FURADEIRA BOSCH 7"/>
    <n v="1"/>
    <s v="REALIZADO"/>
    <s v="BRUNO"/>
    <x v="111"/>
    <x v="2"/>
    <x v="0"/>
  </r>
  <r>
    <n v="77594"/>
    <x v="23"/>
    <s v="MME"/>
    <x v="0"/>
    <n v="50043471"/>
    <s v="FURADEIRA BOSCH 7"/>
    <n v="1"/>
    <s v="REALIZADO"/>
    <s v="BRUNA"/>
    <x v="111"/>
    <x v="0"/>
    <x v="0"/>
  </r>
  <r>
    <n v="76994"/>
    <x v="8"/>
    <s v="MEE"/>
    <x v="0"/>
    <n v="50003296"/>
    <s v="FURADEIRA DE IMPACTO MAKITA 01"/>
    <n v="1"/>
    <s v="REALIZADO"/>
    <s v="BRUNO"/>
    <x v="111"/>
    <x v="2"/>
    <x v="0"/>
  </r>
  <r>
    <n v="76994"/>
    <x v="8"/>
    <s v="MEE"/>
    <x v="0"/>
    <n v="50003296"/>
    <s v="FURADEIRA DE IMPACTO MAKITA 01"/>
    <n v="1"/>
    <s v="REALIZADO"/>
    <s v="BRUNO"/>
    <x v="111"/>
    <x v="0"/>
    <x v="0"/>
  </r>
  <r>
    <n v="65472"/>
    <x v="48"/>
    <s v="MMG"/>
    <x v="0"/>
    <n v="50038956"/>
    <s v="LIXADEIRA BOSCH 1"/>
    <n v="1"/>
    <s v="REALIZADO"/>
    <s v="AGATHA"/>
    <x v="111"/>
    <x v="2"/>
    <x v="0"/>
  </r>
  <r>
    <n v="65472"/>
    <x v="48"/>
    <s v="MMG"/>
    <x v="0"/>
    <n v="50038956"/>
    <s v="LIXADEIRA BOSCH 1"/>
    <n v="1"/>
    <s v="REALIZADO"/>
    <s v="BRUNA"/>
    <x v="111"/>
    <x v="0"/>
    <x v="0"/>
  </r>
  <r>
    <n v="77594"/>
    <x v="23"/>
    <s v="MME"/>
    <x v="0"/>
    <n v="50037892"/>
    <s v="LIXADEIRA BOSCH 2"/>
    <n v="1"/>
    <s v="REALIZADO"/>
    <s v="BRUNO"/>
    <x v="111"/>
    <x v="2"/>
    <x v="0"/>
  </r>
  <r>
    <n v="77594"/>
    <x v="23"/>
    <s v="MME"/>
    <x v="0"/>
    <n v="50037892"/>
    <s v="LIXADEIRA BOSCH 2"/>
    <n v="1"/>
    <s v="REALIZADO"/>
    <s v="BRUNO"/>
    <x v="111"/>
    <x v="0"/>
    <x v="0"/>
  </r>
  <r>
    <n v="65084"/>
    <x v="83"/>
    <s v="MMG"/>
    <x v="4"/>
    <n v="50037902"/>
    <s v="LIXADEIRA BOSCH 3"/>
    <n v="1"/>
    <s v="REALIZADO"/>
    <s v="MARCIA"/>
    <x v="111"/>
    <x v="2"/>
    <x v="0"/>
  </r>
  <r>
    <n v="65084"/>
    <x v="83"/>
    <s v="MMG"/>
    <x v="4"/>
    <n v="50037902"/>
    <s v="LIXADEIRA BOSCH 3"/>
    <n v="1"/>
    <s v="NÃO REALIZADO"/>
    <s v="MARCIA"/>
    <x v="111"/>
    <x v="0"/>
    <x v="0"/>
  </r>
  <r>
    <n v="77526"/>
    <x v="37"/>
    <s v="MME"/>
    <x v="0"/>
    <n v="50038841"/>
    <s v="LIXADEIRA BOSCH 4"/>
    <n v="1"/>
    <s v="REALIZADO"/>
    <s v="KELLY"/>
    <x v="111"/>
    <x v="2"/>
    <x v="0"/>
  </r>
  <r>
    <n v="77526"/>
    <x v="37"/>
    <s v="MME"/>
    <x v="0"/>
    <n v="50038841"/>
    <s v="LIXADEIRA BOSCH 4"/>
    <n v="1"/>
    <s v="REALIZADO"/>
    <s v="AGATHA"/>
    <x v="111"/>
    <x v="0"/>
    <x v="0"/>
  </r>
  <r>
    <n v="62137"/>
    <x v="43"/>
    <s v="MME"/>
    <x v="2"/>
    <n v="50038841"/>
    <s v="LIXADEIRA BOSCH 4"/>
    <n v="1"/>
    <s v="REALIZADO"/>
    <s v="AGATHA"/>
    <x v="111"/>
    <x v="2"/>
    <x v="0"/>
  </r>
  <r>
    <n v="62137"/>
    <x v="43"/>
    <s v="MME"/>
    <x v="2"/>
    <n v="50038841"/>
    <s v="LIXADEIRA BOSCH 4"/>
    <n v="1"/>
    <s v="REALIZADO"/>
    <s v="AGATHA"/>
    <x v="111"/>
    <x v="0"/>
    <x v="0"/>
  </r>
  <r>
    <n v="62640"/>
    <x v="44"/>
    <s v="MPR"/>
    <x v="0"/>
    <n v="50038841"/>
    <s v="LIXADEIRA BOSCH 4"/>
    <n v="1"/>
    <s v="REALIZADO"/>
    <s v="BRUNO"/>
    <x v="111"/>
    <x v="2"/>
    <x v="0"/>
  </r>
  <r>
    <n v="62640"/>
    <x v="44"/>
    <s v="MPR"/>
    <x v="0"/>
    <n v="50038841"/>
    <s v="LIXADEIRA BOSCH 4"/>
    <n v="1"/>
    <s v="REALIZADO"/>
    <s v="BRUNO"/>
    <x v="111"/>
    <x v="0"/>
    <x v="0"/>
  </r>
  <r>
    <n v="77594"/>
    <x v="23"/>
    <s v="MME"/>
    <x v="0"/>
    <n v="50038517"/>
    <s v="LIXADEIRA BOSCH 5"/>
    <n v="1"/>
    <s v="REALIZADO"/>
    <s v="BRUNO"/>
    <x v="111"/>
    <x v="2"/>
    <x v="0"/>
  </r>
  <r>
    <n v="77594"/>
    <x v="23"/>
    <s v="MME"/>
    <x v="0"/>
    <n v="50038517"/>
    <s v="LIXADEIRA BOSCH 5"/>
    <n v="1"/>
    <s v="REALIZADO"/>
    <s v="BRUNA"/>
    <x v="111"/>
    <x v="0"/>
    <x v="0"/>
  </r>
  <r>
    <n v="65472"/>
    <x v="48"/>
    <s v="MMG"/>
    <x v="0"/>
    <n v="50001995"/>
    <s v="MAQUINA DE SOLDA"/>
    <n v="1"/>
    <s v="REALIZADO"/>
    <s v="AGATHA"/>
    <x v="111"/>
    <x v="2"/>
    <x v="0"/>
  </r>
  <r>
    <n v="65472"/>
    <x v="48"/>
    <s v="MMG"/>
    <x v="0"/>
    <n v="50001995"/>
    <s v="MAQUINA DE SOLDA"/>
    <n v="1"/>
    <s v="REALIZADO"/>
    <s v="BRUNO"/>
    <x v="111"/>
    <x v="0"/>
    <x v="0"/>
  </r>
  <r>
    <n v="65472"/>
    <x v="48"/>
    <s v="MMG"/>
    <x v="0"/>
    <n v="50001995"/>
    <s v="MAQUINA DE SOLDA"/>
    <n v="1"/>
    <s v="REALIZADO"/>
    <s v="BRUNO"/>
    <x v="111"/>
    <x v="2"/>
    <x v="0"/>
  </r>
  <r>
    <n v="65472"/>
    <x v="48"/>
    <s v="MMG"/>
    <x v="0"/>
    <n v="50001995"/>
    <s v="MAQUINA DE SOLDA"/>
    <n v="1"/>
    <s v="REALIZADO"/>
    <s v="BRUNA"/>
    <x v="111"/>
    <x v="0"/>
    <x v="0"/>
  </r>
  <r>
    <n v="65472"/>
    <x v="48"/>
    <s v="MMG"/>
    <x v="0"/>
    <n v="50039065"/>
    <s v="MAQUINA SOLDA TIG"/>
    <n v="1"/>
    <s v="REALIZADO"/>
    <s v="BRUNO"/>
    <x v="111"/>
    <x v="2"/>
    <x v="0"/>
  </r>
  <r>
    <n v="65472"/>
    <x v="48"/>
    <s v="MMG"/>
    <x v="0"/>
    <n v="50039065"/>
    <s v="MAQUINA SOLDA TIG"/>
    <n v="1"/>
    <s v="REALIZADO"/>
    <s v="BRUNO"/>
    <x v="111"/>
    <x v="0"/>
    <x v="0"/>
  </r>
  <r>
    <n v="62640"/>
    <x v="44"/>
    <s v="MPR"/>
    <x v="0"/>
    <n v="50026357"/>
    <s v="MARTELETE VONDER"/>
    <n v="1"/>
    <s v="REALIZADO"/>
    <s v="BRUNO"/>
    <x v="111"/>
    <x v="2"/>
    <x v="0"/>
  </r>
  <r>
    <n v="62640"/>
    <x v="44"/>
    <s v="MPR"/>
    <x v="0"/>
    <n v="50026357"/>
    <s v="MARTELETE VONDER"/>
    <n v="1"/>
    <s v="REALIZADO"/>
    <s v="BRUNO"/>
    <x v="111"/>
    <x v="0"/>
    <x v="0"/>
  </r>
  <r>
    <n v="77708"/>
    <x v="69"/>
    <s v="MPR"/>
    <x v="0"/>
    <n v="50038662"/>
    <s v="MARTELO ROMPEDOR SDS MAX 220V 1100W"/>
    <n v="1"/>
    <s v="REALIZADO"/>
    <s v="BRUNO"/>
    <x v="111"/>
    <x v="2"/>
    <x v="0"/>
  </r>
  <r>
    <n v="77708"/>
    <x v="69"/>
    <s v="MPR"/>
    <x v="0"/>
    <n v="50038662"/>
    <s v="MARTELO ROMPEDOR SDS MAX 220V 1100W"/>
    <n v="1"/>
    <s v="REALIZADO"/>
    <s v="BRUNO"/>
    <x v="111"/>
    <x v="2"/>
    <x v="0"/>
  </r>
  <r>
    <n v="76995"/>
    <x v="49"/>
    <s v="MEE"/>
    <x v="0"/>
    <n v="50041195"/>
    <s v="PARAFUSADEIRA FUR DE IMPACTO BRUSHLESS"/>
    <n v="1"/>
    <s v="REALIZADO"/>
    <s v="KELLY"/>
    <x v="111"/>
    <x v="0"/>
    <x v="0"/>
  </r>
  <r>
    <n v="68760"/>
    <x v="15"/>
    <s v="MMG"/>
    <x v="0"/>
    <n v="50041195"/>
    <s v="PARAFUSADEIRA FUR DE IMPACTO BRUSHLESS"/>
    <n v="1"/>
    <s v="REALIZADO"/>
    <s v="BRUNO"/>
    <x v="111"/>
    <x v="2"/>
    <x v="0"/>
  </r>
  <r>
    <n v="68760"/>
    <x v="15"/>
    <s v="MMG"/>
    <x v="0"/>
    <n v="50041195"/>
    <s v="PARAFUSADEIRA FUR DE IMPACTO BRUSHLESS"/>
    <n v="1"/>
    <s v="REALIZADO"/>
    <s v="BRUNA"/>
    <x v="111"/>
    <x v="0"/>
    <x v="0"/>
  </r>
  <r>
    <n v="72707"/>
    <x v="59"/>
    <s v="MPR"/>
    <x v="0"/>
    <n v="50043917"/>
    <s v="PARAFUSADEIRA FURADEIRA BOSCH"/>
    <n v="1"/>
    <s v="REALIZADO"/>
    <s v="KELLY"/>
    <x v="111"/>
    <x v="2"/>
    <x v="0"/>
  </r>
  <r>
    <n v="72707"/>
    <x v="59"/>
    <s v="MPR"/>
    <x v="0"/>
    <n v="50043917"/>
    <s v="PARAFUSADEIRA FURADEIRA BOSCH"/>
    <n v="1"/>
    <s v="REALIZADO"/>
    <s v="BRUNO"/>
    <x v="111"/>
    <x v="0"/>
    <x v="0"/>
  </r>
  <r>
    <n v="68708"/>
    <x v="13"/>
    <s v="MMG"/>
    <x v="0"/>
    <n v="50032775"/>
    <s v="SACA POLIA 150MM 3 GARRAS - GEDORE"/>
    <n v="1"/>
    <s v="REALIZADO"/>
    <s v="KELLY"/>
    <x v="111"/>
    <x v="2"/>
    <x v="0"/>
  </r>
  <r>
    <n v="68708"/>
    <x v="13"/>
    <s v="MMG"/>
    <x v="0"/>
    <n v="50032775"/>
    <s v="SACA POLIA 150MM 3 GARRAS - GEDORE"/>
    <n v="1"/>
    <s v="REALIZADO"/>
    <s v="BRUNA"/>
    <x v="111"/>
    <x v="0"/>
    <x v="0"/>
  </r>
  <r>
    <n v="76994"/>
    <x v="8"/>
    <s v="MEE"/>
    <x v="0"/>
    <n v="50010031"/>
    <s v=" LIXADEIRA BOSCH 6"/>
    <n v="1"/>
    <s v="REALIZADO"/>
    <s v="GEOVANE"/>
    <x v="112"/>
    <x v="2"/>
    <x v="0"/>
  </r>
  <r>
    <n v="76994"/>
    <x v="8"/>
    <s v="MEE"/>
    <x v="0"/>
    <n v="50010031"/>
    <s v=" LIXADEIRA BOSCH 6"/>
    <n v="1"/>
    <s v="REALIZADO"/>
    <s v="BRUNO"/>
    <x v="112"/>
    <x v="0"/>
    <x v="0"/>
  </r>
  <r>
    <n v="78675"/>
    <x v="12"/>
    <s v="MME"/>
    <x v="2"/>
    <n v="50036086"/>
    <s v="CHAVE GRIFO 18"/>
    <n v="1"/>
    <s v="REALIZADO"/>
    <s v="BRUNA"/>
    <x v="112"/>
    <x v="2"/>
    <x v="0"/>
  </r>
  <r>
    <n v="78675"/>
    <x v="12"/>
    <s v="MME"/>
    <x v="2"/>
    <n v="50036086"/>
    <s v="CHAVE GRIFO 18"/>
    <n v="1"/>
    <s v="REALIZADO"/>
    <s v="BRUNO"/>
    <x v="112"/>
    <x v="0"/>
    <x v="0"/>
  </r>
  <r>
    <n v="77313"/>
    <x v="17"/>
    <s v="MPR"/>
    <x v="0"/>
    <n v="50030486"/>
    <s v="FURADEIRA BOSCH 3"/>
    <n v="1"/>
    <s v="REALIZADO"/>
    <s v="BRUNA"/>
    <x v="112"/>
    <x v="2"/>
    <x v="0"/>
  </r>
  <r>
    <n v="77313"/>
    <x v="17"/>
    <s v="MPR"/>
    <x v="0"/>
    <n v="50030486"/>
    <s v="FURADEIRA BOSCH 3"/>
    <n v="1"/>
    <s v="REALIZADO"/>
    <s v="BRUNO"/>
    <x v="112"/>
    <x v="0"/>
    <x v="0"/>
  </r>
  <r>
    <n v="65472"/>
    <x v="48"/>
    <s v="MMG"/>
    <x v="0"/>
    <n v="50038549"/>
    <s v="JOGO SOQUETE ESTRIADOS 1/2 22PEÇ"/>
    <n v="1"/>
    <s v="REALIZADO"/>
    <s v="GEOVANE"/>
    <x v="112"/>
    <x v="2"/>
    <x v="0"/>
  </r>
  <r>
    <n v="65472"/>
    <x v="48"/>
    <s v="MMG"/>
    <x v="0"/>
    <n v="50038549"/>
    <s v="JOGO SOQUETE ESTRIADOS 1/2 22PEÇ"/>
    <n v="1"/>
    <s v="REALIZADO"/>
    <s v="GEOVANE"/>
    <x v="112"/>
    <x v="0"/>
    <x v="0"/>
  </r>
  <r>
    <n v="77594"/>
    <x v="23"/>
    <s v="MME"/>
    <x v="0"/>
    <n v="50038956"/>
    <s v="LIXADEIRA BOSCH 1"/>
    <n v="1"/>
    <s v="REALIZADO"/>
    <s v="GEOVANE"/>
    <x v="112"/>
    <x v="2"/>
    <x v="0"/>
  </r>
  <r>
    <n v="77594"/>
    <x v="23"/>
    <s v="MME"/>
    <x v="0"/>
    <n v="50038956"/>
    <s v="LIXADEIRA BOSCH 1"/>
    <n v="1"/>
    <s v="REALIZADO"/>
    <s v="BRUNO"/>
    <x v="112"/>
    <x v="0"/>
    <x v="0"/>
  </r>
  <r>
    <n v="78675"/>
    <x v="12"/>
    <s v="MME"/>
    <x v="2"/>
    <n v="50036297"/>
    <s v="MARRETA 4KG"/>
    <n v="1"/>
    <s v="REALIZADO"/>
    <s v="BRUNO"/>
    <x v="112"/>
    <x v="2"/>
    <x v="0"/>
  </r>
  <r>
    <n v="78675"/>
    <x v="12"/>
    <s v="MME"/>
    <x v="2"/>
    <n v="50036297"/>
    <s v="MARRETA 4KG"/>
    <n v="1"/>
    <s v="REALIZADO"/>
    <s v="BRUNO"/>
    <x v="112"/>
    <x v="2"/>
    <x v="0"/>
  </r>
  <r>
    <n v="65482"/>
    <x v="30"/>
    <s v="MMG"/>
    <x v="6"/>
    <n v="50038626"/>
    <s v="MARRETA 8KG"/>
    <n v="1"/>
    <s v="REALIZADO"/>
    <s v="GEOVANE"/>
    <x v="112"/>
    <x v="0"/>
    <x v="0"/>
  </r>
  <r>
    <n v="74874"/>
    <x v="90"/>
    <s v="MMG"/>
    <x v="0"/>
    <n v="50043917"/>
    <s v="PARAFUSADEIRA FURADEIRA BOSCH"/>
    <n v="1"/>
    <s v="REALIZADO"/>
    <s v="BRUNO"/>
    <x v="112"/>
    <x v="2"/>
    <x v="0"/>
  </r>
  <r>
    <n v="74874"/>
    <x v="90"/>
    <s v="MMG"/>
    <x v="0"/>
    <n v="50043917"/>
    <s v="PARAFUSADEIRA FURADEIRA BOSCH"/>
    <n v="1"/>
    <s v="REALIZADO"/>
    <s v="BRUNO"/>
    <x v="112"/>
    <x v="0"/>
    <x v="0"/>
  </r>
  <r>
    <n v="65844"/>
    <x v="54"/>
    <s v="MMG"/>
    <x v="2"/>
    <n v="50020622"/>
    <s v="REBITADOR MANUAL"/>
    <n v="1"/>
    <s v="REALIZADO"/>
    <s v="BRUNO"/>
    <x v="112"/>
    <x v="2"/>
    <x v="0"/>
  </r>
  <r>
    <n v="65844"/>
    <x v="54"/>
    <s v="MMG"/>
    <x v="2"/>
    <n v="50020622"/>
    <s v="REBITADOR MANUAL"/>
    <n v="1"/>
    <s v="REALIZADO"/>
    <s v="BRUNO"/>
    <x v="112"/>
    <x v="0"/>
    <x v="0"/>
  </r>
  <r>
    <n v="77313"/>
    <x v="17"/>
    <s v="MPR"/>
    <x v="0"/>
    <n v="50032781"/>
    <s v="SERRA TICO TICO 650W DEWALT "/>
    <n v="1"/>
    <s v="REALIZADO"/>
    <s v="BRUNO"/>
    <x v="112"/>
    <x v="2"/>
    <x v="0"/>
  </r>
  <r>
    <n v="62640"/>
    <x v="44"/>
    <s v="MPR"/>
    <x v="0"/>
    <n v="50032781"/>
    <s v="SERRA TICO TICO 650W DEWALT "/>
    <n v="1"/>
    <s v="REALIZADO"/>
    <s v="BRUNO"/>
    <x v="112"/>
    <x v="0"/>
    <x v="0"/>
  </r>
  <r>
    <n v="63713"/>
    <x v="67"/>
    <s v="MME"/>
    <x v="0"/>
    <n v="50010031"/>
    <s v=" LIXADEIRA BOSCH 6"/>
    <n v="1"/>
    <s v="REALIZADO"/>
    <s v="AGATHA"/>
    <x v="113"/>
    <x v="2"/>
    <x v="0"/>
  </r>
  <r>
    <n v="63713"/>
    <x v="67"/>
    <s v="MME"/>
    <x v="0"/>
    <n v="50010031"/>
    <s v=" LIXADEIRA BOSCH 6"/>
    <n v="1"/>
    <s v="REALIZADO"/>
    <s v="BRUNO"/>
    <x v="113"/>
    <x v="2"/>
    <x v="0"/>
  </r>
  <r>
    <n v="77471"/>
    <x v="35"/>
    <s v="MEE"/>
    <x v="0"/>
    <n v="50036298"/>
    <s v="ASPIRADOR PARA SOLIDOS SEM FIO 20V"/>
    <n v="1"/>
    <s v="REALIZADO"/>
    <s v="MARCIA"/>
    <x v="113"/>
    <x v="0"/>
    <x v="0"/>
  </r>
  <r>
    <n v="71850"/>
    <x v="14"/>
    <s v="MMG"/>
    <x v="0"/>
    <n v="50037905"/>
    <s v="ESTETOSCÓPIO SKF"/>
    <n v="1"/>
    <s v="REALIZADO"/>
    <s v="AGATHA"/>
    <x v="113"/>
    <x v="2"/>
    <x v="0"/>
  </r>
  <r>
    <n v="71850"/>
    <x v="14"/>
    <s v="MMG"/>
    <x v="0"/>
    <n v="50037905"/>
    <s v="ESTETOSCÓPIO SKF"/>
    <n v="1"/>
    <s v="REALIZADO"/>
    <s v="AGATHA"/>
    <x v="113"/>
    <x v="0"/>
    <x v="0"/>
  </r>
  <r>
    <n v="63713"/>
    <x v="67"/>
    <s v="MME"/>
    <x v="0"/>
    <n v="50039236"/>
    <s v="FURADEIRA BOSCH 4"/>
    <n v="1"/>
    <s v="REALIZADO"/>
    <s v="AGATHA"/>
    <x v="113"/>
    <x v="2"/>
    <x v="0"/>
  </r>
  <r>
    <n v="63713"/>
    <x v="67"/>
    <s v="MME"/>
    <x v="0"/>
    <n v="50039236"/>
    <s v="FURADEIRA BOSCH 4"/>
    <n v="1"/>
    <s v="REALIZADO"/>
    <s v="BRUNO"/>
    <x v="113"/>
    <x v="0"/>
    <x v="0"/>
  </r>
  <r>
    <n v="65472"/>
    <x v="48"/>
    <s v="MMG"/>
    <x v="0"/>
    <n v="50043471"/>
    <s v="FURADEIRA BOSCH 7"/>
    <n v="1"/>
    <s v="REALIZADO"/>
    <s v="AGATHA"/>
    <x v="113"/>
    <x v="2"/>
    <x v="0"/>
  </r>
  <r>
    <n v="65472"/>
    <x v="48"/>
    <s v="MMG"/>
    <x v="0"/>
    <n v="50043471"/>
    <s v="FURADEIRA BOSCH 7"/>
    <n v="1"/>
    <s v="REALIZADO"/>
    <s v="BRUNO"/>
    <x v="113"/>
    <x v="0"/>
    <x v="0"/>
  </r>
  <r>
    <n v="58068"/>
    <x v="31"/>
    <s v="MME"/>
    <x v="0"/>
    <n v="50003297"/>
    <s v="FURADEIRA DE IMPACTO MAKITA 02"/>
    <n v="1"/>
    <s v="REALIZADO"/>
    <s v="BRUNO"/>
    <x v="113"/>
    <x v="0"/>
    <x v="0"/>
  </r>
  <r>
    <n v="76995"/>
    <x v="49"/>
    <s v="MEE"/>
    <x v="0"/>
    <n v="50029865"/>
    <s v="JOGO DE BROCAS ACO RAPIDO"/>
    <n v="1"/>
    <s v="REALIZADO"/>
    <s v="MARCIA"/>
    <x v="113"/>
    <x v="2"/>
    <x v="0"/>
  </r>
  <r>
    <n v="76995"/>
    <x v="49"/>
    <s v="MEE"/>
    <x v="0"/>
    <n v="50029865"/>
    <s v="JOGO DE BROCAS ACO RAPIDO"/>
    <n v="1"/>
    <s v="REALIZADO"/>
    <s v="MARCIA"/>
    <x v="113"/>
    <x v="0"/>
    <x v="0"/>
  </r>
  <r>
    <n v="62640"/>
    <x v="44"/>
    <s v="MPR"/>
    <x v="0"/>
    <n v="50029865"/>
    <s v="JOGO DE BROCAS ACO RAPIDO"/>
    <n v="1"/>
    <s v="REALIZADO"/>
    <s v="AGATHA"/>
    <x v="113"/>
    <x v="2"/>
    <x v="0"/>
  </r>
  <r>
    <n v="62640"/>
    <x v="44"/>
    <s v="MPR"/>
    <x v="0"/>
    <n v="50029865"/>
    <s v="JOGO DE BROCAS ACO RAPIDO"/>
    <n v="1"/>
    <s v="REALIZADO"/>
    <s v="AGATHA"/>
    <x v="113"/>
    <x v="0"/>
    <x v="0"/>
  </r>
  <r>
    <n v="75395"/>
    <x v="49"/>
    <s v="MEE"/>
    <x v="0"/>
    <n v="50043320"/>
    <s v="JOGO SERRA COPO 8PÇS"/>
    <n v="1"/>
    <s v="REALIZADO"/>
    <s v="BRUNO"/>
    <x v="113"/>
    <x v="2"/>
    <x v="0"/>
  </r>
  <r>
    <n v="75395"/>
    <x v="49"/>
    <s v="MEE"/>
    <x v="0"/>
    <n v="50043320"/>
    <s v="JOGO SERRA COPO 8PÇS"/>
    <n v="1"/>
    <s v="REALIZADO"/>
    <s v="BRUNO"/>
    <x v="113"/>
    <x v="0"/>
    <x v="0"/>
  </r>
  <r>
    <n v="65472"/>
    <x v="48"/>
    <s v="MMG"/>
    <x v="0"/>
    <n v="50038549"/>
    <s v="JOGO SOQUETE ESTRIADOS 1/2 22PEÇ"/>
    <n v="1"/>
    <s v="REALIZADO"/>
    <s v="AGATHA"/>
    <x v="113"/>
    <x v="2"/>
    <x v="0"/>
  </r>
  <r>
    <n v="65472"/>
    <x v="48"/>
    <s v="MMG"/>
    <x v="0"/>
    <n v="50038549"/>
    <s v="JOGO SOQUETE ESTRIADOS 1/2 22PEÇ"/>
    <n v="1"/>
    <s v="REALIZADO"/>
    <s v="BRUNO"/>
    <x v="113"/>
    <x v="0"/>
    <x v="0"/>
  </r>
  <r>
    <n v="69510"/>
    <x v="118"/>
    <s v="MEE"/>
    <x v="0"/>
    <n v="50038956"/>
    <s v="LIXADEIRA BOSCH 1"/>
    <n v="1"/>
    <s v="REALIZADO"/>
    <s v="AGATHA"/>
    <x v="113"/>
    <x v="2"/>
    <x v="0"/>
  </r>
  <r>
    <n v="69510"/>
    <x v="118"/>
    <s v="MEE"/>
    <x v="0"/>
    <n v="50038956"/>
    <s v="LIXADEIRA BOSCH 1"/>
    <n v="1"/>
    <s v="REALIZADO"/>
    <s v="BRUNO"/>
    <x v="113"/>
    <x v="0"/>
    <x v="0"/>
  </r>
  <r>
    <n v="78678"/>
    <x v="0"/>
    <s v="MME"/>
    <x v="0"/>
    <n v="50037892"/>
    <s v="LIXADEIRA BOSCH 2"/>
    <n v="1"/>
    <s v="REALIZADO"/>
    <s v="AGATHA"/>
    <x v="113"/>
    <x v="2"/>
    <x v="0"/>
  </r>
  <r>
    <n v="78678"/>
    <x v="0"/>
    <s v="MME"/>
    <x v="0"/>
    <n v="50037892"/>
    <s v="LIXADEIRA BOSCH 2"/>
    <n v="1"/>
    <s v="REALIZADO"/>
    <s v="AGATHA"/>
    <x v="113"/>
    <x v="0"/>
    <x v="0"/>
  </r>
  <r>
    <n v="77526"/>
    <x v="37"/>
    <s v="MME"/>
    <x v="0"/>
    <n v="50037892"/>
    <s v="LIXADEIRA BOSCH 2"/>
    <n v="1"/>
    <s v="REALIZADO"/>
    <s v="AGATHA"/>
    <x v="113"/>
    <x v="2"/>
    <x v="0"/>
  </r>
  <r>
    <n v="77526"/>
    <x v="37"/>
    <s v="MME"/>
    <x v="0"/>
    <n v="50037892"/>
    <s v="LIXADEIRA BOSCH 2"/>
    <n v="1"/>
    <s v="REALIZADO"/>
    <s v="AGATHA"/>
    <x v="113"/>
    <x v="0"/>
    <x v="0"/>
  </r>
  <r>
    <n v="77594"/>
    <x v="23"/>
    <s v="MME"/>
    <x v="0"/>
    <n v="50037892"/>
    <s v="LIXADEIRA BOSCH 2"/>
    <n v="1"/>
    <s v="REALIZADO"/>
    <s v="AGATHA"/>
    <x v="113"/>
    <x v="2"/>
    <x v="0"/>
  </r>
  <r>
    <n v="77594"/>
    <x v="23"/>
    <s v="MME"/>
    <x v="0"/>
    <n v="50037892"/>
    <s v="LIXADEIRA BOSCH 2"/>
    <n v="1"/>
    <s v="REALIZADO"/>
    <s v="BRUNO"/>
    <x v="113"/>
    <x v="0"/>
    <x v="0"/>
  </r>
  <r>
    <n v="77526"/>
    <x v="37"/>
    <s v="MME"/>
    <x v="0"/>
    <n v="50037902"/>
    <s v="LIXADEIRA BOSCH 3"/>
    <n v="1"/>
    <s v="REALIZADO"/>
    <s v="BRUNO"/>
    <x v="113"/>
    <x v="2"/>
    <x v="0"/>
  </r>
  <r>
    <n v="77526"/>
    <x v="37"/>
    <s v="MME"/>
    <x v="0"/>
    <n v="50037902"/>
    <s v="LIXADEIRA BOSCH 3"/>
    <n v="1"/>
    <s v="REALIZADO"/>
    <s v="BRUNO"/>
    <x v="113"/>
    <x v="0"/>
    <x v="0"/>
  </r>
  <r>
    <n v="74611"/>
    <x v="2"/>
    <s v="MPR"/>
    <x v="0"/>
    <n v="50038841"/>
    <s v="LIXADEIRA BOSCH 4"/>
    <n v="1"/>
    <s v="REALIZADO"/>
    <s v="AGATHA"/>
    <x v="113"/>
    <x v="2"/>
    <x v="0"/>
  </r>
  <r>
    <n v="74611"/>
    <x v="2"/>
    <s v="MPR"/>
    <x v="0"/>
    <n v="50038841"/>
    <s v="LIXADEIRA BOSCH 4"/>
    <n v="1"/>
    <s v="REALIZADO"/>
    <s v="BRUNO"/>
    <x v="113"/>
    <x v="0"/>
    <x v="0"/>
  </r>
  <r>
    <n v="68708"/>
    <x v="13"/>
    <s v="MMG"/>
    <x v="0"/>
    <n v="50038517"/>
    <s v="LIXADEIRA BOSCH 5"/>
    <n v="1"/>
    <s v="REALIZADO"/>
    <s v="AGATHA"/>
    <x v="113"/>
    <x v="2"/>
    <x v="0"/>
  </r>
  <r>
    <n v="68708"/>
    <x v="13"/>
    <s v="MMG"/>
    <x v="0"/>
    <n v="50038517"/>
    <s v="LIXADEIRA BOSCH 5"/>
    <n v="1"/>
    <s v="REALIZADO"/>
    <s v="AGATHA"/>
    <x v="113"/>
    <x v="0"/>
    <x v="0"/>
  </r>
  <r>
    <n v="77313"/>
    <x v="17"/>
    <s v="MPR"/>
    <x v="0"/>
    <n v="50037903"/>
    <s v="LIXADEIRA GRANDE MAKITA"/>
    <n v="1"/>
    <s v="REALIZADO"/>
    <s v="BRUNO"/>
    <x v="113"/>
    <x v="2"/>
    <x v="0"/>
  </r>
  <r>
    <n v="77313"/>
    <x v="17"/>
    <s v="MPR"/>
    <x v="0"/>
    <n v="50037903"/>
    <s v="LIXADEIRA GRANDE MAKITA"/>
    <n v="1"/>
    <s v="REALIZADO"/>
    <s v="BRUNO"/>
    <x v="113"/>
    <x v="0"/>
    <x v="0"/>
  </r>
  <r>
    <n v="77313"/>
    <x v="17"/>
    <s v="MPR"/>
    <x v="0"/>
    <n v="50026357"/>
    <s v="MARTELETE VONDER"/>
    <n v="1"/>
    <s v="REALIZADO"/>
    <s v="AGATHA"/>
    <x v="113"/>
    <x v="2"/>
    <x v="0"/>
  </r>
  <r>
    <n v="77313"/>
    <x v="17"/>
    <s v="MPR"/>
    <x v="0"/>
    <n v="50026357"/>
    <s v="MARTELETE VONDER"/>
    <n v="1"/>
    <s v="REALIZADO"/>
    <s v="MATHEUS"/>
    <x v="113"/>
    <x v="0"/>
    <x v="0"/>
  </r>
  <r>
    <n v="72707"/>
    <x v="59"/>
    <s v="MPR"/>
    <x v="0"/>
    <n v="50041195"/>
    <s v="PARAFUSADEIRA FUR DE IMPACTO BRUSHLESS"/>
    <n v="1"/>
    <s v="REALIZADO"/>
    <s v="AGATHA"/>
    <x v="113"/>
    <x v="2"/>
    <x v="0"/>
  </r>
  <r>
    <n v="72707"/>
    <x v="59"/>
    <s v="MPR"/>
    <x v="0"/>
    <n v="50041195"/>
    <s v="PARAFUSADEIRA FUR DE IMPACTO BRUSHLESS"/>
    <n v="1"/>
    <s v="REALIZADO"/>
    <s v="BRUNO"/>
    <x v="113"/>
    <x v="0"/>
    <x v="0"/>
  </r>
  <r>
    <n v="62640"/>
    <x v="44"/>
    <s v="MPR"/>
    <x v="0"/>
    <n v="50043917"/>
    <s v="PARAFUSADEIRA FURADEIRA BOSCH"/>
    <n v="1"/>
    <s v="REALIZADO"/>
    <s v="AGATHA"/>
    <x v="113"/>
    <x v="2"/>
    <x v="0"/>
  </r>
  <r>
    <n v="62640"/>
    <x v="44"/>
    <s v="MPR"/>
    <x v="0"/>
    <n v="50043917"/>
    <s v="PARAFUSADEIRA FURADEIRA BOSCH"/>
    <n v="1"/>
    <s v="REALIZADO"/>
    <s v="AGATHA"/>
    <x v="113"/>
    <x v="0"/>
    <x v="0"/>
  </r>
  <r>
    <n v="77526"/>
    <x v="37"/>
    <s v="MME"/>
    <x v="0"/>
    <n v="50043917"/>
    <s v="PARAFUSADEIRA FURADEIRA BOSCH"/>
    <n v="1"/>
    <s v="REALIZADO"/>
    <s v="AGATHA"/>
    <x v="113"/>
    <x v="2"/>
    <x v="0"/>
  </r>
  <r>
    <n v="77526"/>
    <x v="37"/>
    <s v="MME"/>
    <x v="0"/>
    <n v="50043917"/>
    <s v="PARAFUSADEIRA FURADEIRA BOSCH"/>
    <n v="1"/>
    <s v="REALIZADO"/>
    <s v="BRUNO"/>
    <x v="113"/>
    <x v="0"/>
    <x v="0"/>
  </r>
  <r>
    <n v="74749"/>
    <x v="80"/>
    <s v="MME"/>
    <x v="2"/>
    <n v="50012902"/>
    <s v="SACA POLIA 03 GARRAS 250 MM GEDORE"/>
    <n v="1"/>
    <s v="REALIZADO"/>
    <s v="BRUNO"/>
    <x v="113"/>
    <x v="2"/>
    <x v="0"/>
  </r>
  <r>
    <n v="74749"/>
    <x v="80"/>
    <s v="MME"/>
    <x v="2"/>
    <n v="50012902"/>
    <s v="SACA POLIA 03 GARRAS 250 MM GEDORE"/>
    <n v="1"/>
    <s v="REALIZADO"/>
    <s v="BRUNO"/>
    <x v="113"/>
    <x v="0"/>
    <x v="0"/>
  </r>
  <r>
    <n v="77526"/>
    <x v="37"/>
    <s v="MME"/>
    <x v="0"/>
    <n v="50032781"/>
    <s v="SERRA TICO TICO 650W DEWALT "/>
    <n v="1"/>
    <s v="REALIZADO"/>
    <s v="AGATHA"/>
    <x v="113"/>
    <x v="2"/>
    <x v="0"/>
  </r>
  <r>
    <n v="77526"/>
    <x v="37"/>
    <s v="MME"/>
    <x v="0"/>
    <n v="50032781"/>
    <s v="SERRA TICO TICO 650W DEWALT "/>
    <n v="1"/>
    <s v="REALIZADO"/>
    <s v="BRUNO"/>
    <x v="113"/>
    <x v="0"/>
    <x v="0"/>
  </r>
  <r>
    <n v="64253"/>
    <x v="16"/>
    <s v="MMG"/>
    <x v="0"/>
    <n v="50028220"/>
    <s v="SOPRADOR TERMICO VONDER 1500W 220V"/>
    <n v="1"/>
    <s v="REALIZADO"/>
    <s v="AGATHA"/>
    <x v="113"/>
    <x v="2"/>
    <x v="0"/>
  </r>
  <r>
    <n v="64253"/>
    <x v="16"/>
    <s v="MMG"/>
    <x v="0"/>
    <n v="50028220"/>
    <s v="SOPRADOR TERMICO VONDER 1500W 220V"/>
    <n v="1"/>
    <s v="REALIZADO"/>
    <s v="AGATHA"/>
    <x v="113"/>
    <x v="0"/>
    <x v="0"/>
  </r>
  <r>
    <n v="70105"/>
    <x v="25"/>
    <s v="MMG"/>
    <x v="3"/>
    <n v="50043520"/>
    <s v="ESCADA "/>
    <n v="1"/>
    <s v="REALIZADO"/>
    <s v="AGATHA"/>
    <x v="114"/>
    <x v="2"/>
    <x v="0"/>
  </r>
  <r>
    <n v="66790"/>
    <x v="60"/>
    <s v="MMG"/>
    <x v="3"/>
    <n v="50043520"/>
    <s v="ESCADA "/>
    <n v="1"/>
    <s v="REALIZADO"/>
    <s v="AGATHA"/>
    <x v="114"/>
    <x v="2"/>
    <x v="0"/>
  </r>
  <r>
    <n v="61096"/>
    <x v="64"/>
    <s v="MME"/>
    <x v="0"/>
    <n v="50030074"/>
    <s v="FURADEIRA BOSCH 6"/>
    <n v="1"/>
    <s v="REALIZADO"/>
    <s v="MATHEUS"/>
    <x v="114"/>
    <x v="0"/>
    <x v="0"/>
  </r>
  <r>
    <n v="73878"/>
    <x v="20"/>
    <s v="MMG"/>
    <x v="0"/>
    <n v="50043471"/>
    <s v="FURADEIRA BOSCH 7"/>
    <n v="1"/>
    <s v="REALIZADO"/>
    <s v="AGATHA"/>
    <x v="114"/>
    <x v="2"/>
    <x v="0"/>
  </r>
  <r>
    <n v="73878"/>
    <x v="20"/>
    <s v="MMG"/>
    <x v="0"/>
    <n v="50043471"/>
    <s v="FURADEIRA BOSCH 7"/>
    <n v="1"/>
    <s v="REALIZADO"/>
    <s v="BRUNA"/>
    <x v="114"/>
    <x v="0"/>
    <x v="0"/>
  </r>
  <r>
    <n v="73336"/>
    <x v="29"/>
    <s v="MMG"/>
    <x v="0"/>
    <n v="50022878"/>
    <s v="KIT MONTAGEM ROLAMENTO SKF"/>
    <n v="1"/>
    <s v="REALIZADO"/>
    <s v="BRUNA"/>
    <x v="114"/>
    <x v="2"/>
    <x v="0"/>
  </r>
  <r>
    <n v="73336"/>
    <x v="29"/>
    <s v="MMG"/>
    <x v="0"/>
    <n v="50022878"/>
    <s v="KIT MONTAGEM ROLAMENTO SKF"/>
    <n v="1"/>
    <s v="REALIZADO"/>
    <s v="MATHEUS"/>
    <x v="114"/>
    <x v="0"/>
    <x v="0"/>
  </r>
  <r>
    <n v="77313"/>
    <x v="17"/>
    <s v="MPR"/>
    <x v="0"/>
    <n v="50038841"/>
    <s v="LIXADEIRA BOSCH 4"/>
    <n v="1"/>
    <s v="REALIZADO"/>
    <s v="AGATHA"/>
    <x v="114"/>
    <x v="2"/>
    <x v="0"/>
  </r>
  <r>
    <n v="77313"/>
    <x v="17"/>
    <s v="MPR"/>
    <x v="0"/>
    <n v="50038841"/>
    <s v="LIXADEIRA BOSCH 4"/>
    <n v="1"/>
    <s v="REALIZADO"/>
    <s v="MATHEUS"/>
    <x v="114"/>
    <x v="0"/>
    <x v="0"/>
  </r>
  <r>
    <n v="68708"/>
    <x v="13"/>
    <s v="MMG"/>
    <x v="0"/>
    <n v="50038841"/>
    <s v="LIXADEIRA BOSCH 4"/>
    <n v="1"/>
    <s v="REALIZADO"/>
    <s v="MATHEUS"/>
    <x v="114"/>
    <x v="2"/>
    <x v="0"/>
  </r>
  <r>
    <n v="68708"/>
    <x v="13"/>
    <s v="MMG"/>
    <x v="0"/>
    <n v="50038841"/>
    <s v="LIXADEIRA BOSCH 4"/>
    <n v="1"/>
    <s v="REALIZADO"/>
    <s v="MATHEUS"/>
    <x v="114"/>
    <x v="0"/>
    <x v="0"/>
  </r>
  <r>
    <n v="78886"/>
    <x v="116"/>
    <s v="MME"/>
    <x v="0"/>
    <n v="50038517"/>
    <s v="LIXADEIRA BOSCH 5"/>
    <n v="1"/>
    <s v="REALIZADO"/>
    <s v="BRUNA"/>
    <x v="114"/>
    <x v="0"/>
    <x v="0"/>
  </r>
  <r>
    <n v="74611"/>
    <x v="2"/>
    <s v="MPR"/>
    <x v="0"/>
    <n v="50037903"/>
    <s v="LIXADEIRA GRANDE MAKITA"/>
    <n v="1"/>
    <s v="REALIZADO"/>
    <s v="AGATHA"/>
    <x v="114"/>
    <x v="2"/>
    <x v="0"/>
  </r>
  <r>
    <n v="74611"/>
    <x v="2"/>
    <s v="MPR"/>
    <x v="0"/>
    <n v="50037903"/>
    <s v="LIXADEIRA GRANDE MAKITA"/>
    <n v="1"/>
    <s v="REALIZADO"/>
    <s v="MATHEUS"/>
    <x v="114"/>
    <x v="0"/>
    <x v="0"/>
  </r>
  <r>
    <n v="74611"/>
    <x v="2"/>
    <s v="MPR"/>
    <x v="0"/>
    <n v="50001995"/>
    <s v="MAQUINA DE SOLDA"/>
    <n v="1"/>
    <s v="REALIZADO"/>
    <s v="AGATHA"/>
    <x v="114"/>
    <x v="2"/>
    <x v="0"/>
  </r>
  <r>
    <n v="74611"/>
    <x v="2"/>
    <s v="MPR"/>
    <x v="0"/>
    <n v="50001995"/>
    <s v="MAQUINA DE SOLDA"/>
    <n v="1"/>
    <s v="REALIZADO"/>
    <s v="MATHEUS"/>
    <x v="114"/>
    <x v="0"/>
    <x v="0"/>
  </r>
  <r>
    <n v="61264"/>
    <x v="10"/>
    <s v="MMG"/>
    <x v="0"/>
    <n v="50036297"/>
    <s v="MARRETA 4KG"/>
    <n v="1"/>
    <s v="REALIZADO"/>
    <s v="BRUNA"/>
    <x v="114"/>
    <x v="2"/>
    <x v="0"/>
  </r>
  <r>
    <n v="61264"/>
    <x v="10"/>
    <s v="MMG"/>
    <x v="0"/>
    <n v="50036297"/>
    <s v="MARRETA 4KG"/>
    <n v="1"/>
    <s v="REALIZADO"/>
    <s v="MATHEUS"/>
    <x v="114"/>
    <x v="0"/>
    <x v="0"/>
  </r>
  <r>
    <n v="63770"/>
    <x v="36"/>
    <s v="MMG"/>
    <x v="0"/>
    <n v="50038626"/>
    <s v="MARRETA 8KG"/>
    <n v="1"/>
    <s v="REALIZADO"/>
    <s v="AGATHA"/>
    <x v="114"/>
    <x v="0"/>
    <x v="0"/>
  </r>
  <r>
    <n v="63770"/>
    <x v="36"/>
    <s v="MMG"/>
    <x v="0"/>
    <n v="50038626"/>
    <s v="MARRETA 8KG"/>
    <n v="1"/>
    <s v="REALIZADO"/>
    <s v="BRUNA"/>
    <x v="114"/>
    <x v="2"/>
    <x v="0"/>
  </r>
  <r>
    <n v="63770"/>
    <x v="36"/>
    <s v="MMG"/>
    <x v="0"/>
    <n v="50038626"/>
    <s v="MARRETA 8KG"/>
    <n v="1"/>
    <s v="REALIZADO"/>
    <s v="MATHEUS"/>
    <x v="114"/>
    <x v="0"/>
    <x v="0"/>
  </r>
  <r>
    <n v="73336"/>
    <x v="29"/>
    <s v="MMG"/>
    <x v="0"/>
    <n v="50001740"/>
    <s v="PAQUIMETRO UNIVERSAL 300MM"/>
    <n v="1"/>
    <s v="REALIZADO"/>
    <s v="BRUNA"/>
    <x v="114"/>
    <x v="2"/>
    <x v="0"/>
  </r>
  <r>
    <n v="73336"/>
    <x v="29"/>
    <s v="MMG"/>
    <x v="0"/>
    <n v="50001740"/>
    <s v="PAQUIMETRO UNIVERSAL 300MM"/>
    <n v="1"/>
    <s v="REALIZADO"/>
    <s v="MATHEUS"/>
    <x v="114"/>
    <x v="0"/>
    <x v="0"/>
  </r>
  <r>
    <n v="72707"/>
    <x v="59"/>
    <s v="MPR"/>
    <x v="0"/>
    <n v="50041195"/>
    <s v="PARAFUSADEIRA FUR DE IMPACTO BRUSHLESS"/>
    <n v="1"/>
    <s v="REALIZADO"/>
    <s v="AGATHA"/>
    <x v="114"/>
    <x v="2"/>
    <x v="0"/>
  </r>
  <r>
    <n v="72707"/>
    <x v="59"/>
    <s v="MPR"/>
    <x v="0"/>
    <n v="50041195"/>
    <s v="PARAFUSADEIRA FUR DE IMPACTO BRUSHLESS"/>
    <n v="1"/>
    <s v="REALIZADO"/>
    <s v="MATHEUS"/>
    <x v="114"/>
    <x v="0"/>
    <x v="0"/>
  </r>
  <r>
    <n v="72715"/>
    <x v="26"/>
    <s v="MPR"/>
    <x v="0"/>
    <n v="50036086"/>
    <s v="CHAVE GRIFO 18"/>
    <n v="1"/>
    <s v="REALIZADO"/>
    <s v="AGATHA"/>
    <x v="115"/>
    <x v="2"/>
    <x v="0"/>
  </r>
  <r>
    <n v="72715"/>
    <x v="26"/>
    <s v="MPR"/>
    <x v="0"/>
    <n v="50036086"/>
    <s v="CHAVE GRIFO 18"/>
    <n v="1"/>
    <s v="REALIZADO"/>
    <s v="BRUNO"/>
    <x v="115"/>
    <x v="0"/>
    <x v="0"/>
  </r>
  <r>
    <n v="61264"/>
    <x v="10"/>
    <s v="MMG"/>
    <x v="0"/>
    <n v="50003173"/>
    <s v="CHAVE GRIFO 24"/>
    <n v="1"/>
    <s v="REALIZADO"/>
    <s v="BRUNA"/>
    <x v="115"/>
    <x v="2"/>
    <x v="0"/>
  </r>
  <r>
    <n v="61264"/>
    <x v="10"/>
    <s v="MMG"/>
    <x v="0"/>
    <n v="50003173"/>
    <s v="CHAVE GRIFO 24"/>
    <n v="1"/>
    <s v="REALIZADO"/>
    <s v="BRUNA"/>
    <x v="115"/>
    <x v="0"/>
    <x v="0"/>
  </r>
  <r>
    <n v="61264"/>
    <x v="10"/>
    <s v="MMG"/>
    <x v="0"/>
    <n v="50036279"/>
    <s v="CHAVE GRIFO 36"/>
    <n v="1"/>
    <s v="REALIZADO"/>
    <s v="BRUNA"/>
    <x v="115"/>
    <x v="2"/>
    <x v="0"/>
  </r>
  <r>
    <n v="61264"/>
    <x v="10"/>
    <s v="MMG"/>
    <x v="0"/>
    <n v="50036279"/>
    <s v="CHAVE GRIFO 36"/>
    <n v="1"/>
    <s v="REALIZADO"/>
    <s v="BRUNA"/>
    <x v="115"/>
    <x v="0"/>
    <x v="0"/>
  </r>
  <r>
    <n v="70105"/>
    <x v="25"/>
    <s v="MMG"/>
    <x v="3"/>
    <n v="50037905"/>
    <s v="ESTETOSCÓPIO SKF"/>
    <n v="1"/>
    <s v="REALIZADO"/>
    <s v="BRUNO"/>
    <x v="115"/>
    <x v="0"/>
    <x v="0"/>
  </r>
  <r>
    <n v="76633"/>
    <x v="62"/>
    <s v="MMG"/>
    <x v="2"/>
    <n v="50030074"/>
    <s v="FURADEIRA BOSCH 6"/>
    <n v="1"/>
    <s v="REALIZADO"/>
    <s v="BRUNO"/>
    <x v="115"/>
    <x v="2"/>
    <x v="0"/>
  </r>
  <r>
    <n v="76633"/>
    <x v="62"/>
    <s v="MMG"/>
    <x v="2"/>
    <n v="50030074"/>
    <s v="FURADEIRA BOSCH 6"/>
    <n v="1"/>
    <s v="REALIZADO"/>
    <s v="BRUNO"/>
    <x v="115"/>
    <x v="0"/>
    <x v="0"/>
  </r>
  <r>
    <n v="74611"/>
    <x v="2"/>
    <s v="MPR"/>
    <x v="0"/>
    <n v="50043471"/>
    <s v="FURADEIRA BOSCH 7"/>
    <n v="1"/>
    <s v="REALIZADO"/>
    <s v="AGATHA"/>
    <x v="115"/>
    <x v="2"/>
    <x v="0"/>
  </r>
  <r>
    <n v="74611"/>
    <x v="2"/>
    <s v="MPR"/>
    <x v="0"/>
    <n v="50043471"/>
    <s v="FURADEIRA BOSCH 7"/>
    <n v="1"/>
    <s v="REALIZADO"/>
    <s v="BRUNO"/>
    <x v="115"/>
    <x v="0"/>
    <x v="0"/>
  </r>
  <r>
    <n v="62640"/>
    <x v="44"/>
    <s v="MPR"/>
    <x v="0"/>
    <n v="50029865"/>
    <s v="JOGO DE BROCAS ACO RAPIDO"/>
    <n v="1"/>
    <s v="REALIZADO"/>
    <s v="BRUNO"/>
    <x v="115"/>
    <x v="2"/>
    <x v="0"/>
  </r>
  <r>
    <n v="62640"/>
    <x v="44"/>
    <s v="MPR"/>
    <x v="0"/>
    <n v="50029865"/>
    <s v="JOGO DE BROCAS ACO RAPIDO"/>
    <n v="1"/>
    <s v="REALIZADO"/>
    <s v="BRUNO"/>
    <x v="115"/>
    <x v="0"/>
    <x v="0"/>
  </r>
  <r>
    <n v="61264"/>
    <x v="10"/>
    <s v="MMG"/>
    <x v="0"/>
    <n v="50038549"/>
    <s v="JOGO SOQUETE ESTRIADOS 1/2 22PEÇ"/>
    <n v="1"/>
    <s v="REALIZADO"/>
    <s v="AGATHA"/>
    <x v="115"/>
    <x v="0"/>
    <x v="0"/>
  </r>
  <r>
    <n v="73336"/>
    <x v="29"/>
    <s v="MMG"/>
    <x v="0"/>
    <n v="50038549"/>
    <s v="JOGO SOQUETE ESTRIADOS 1/2 22PEÇ"/>
    <n v="1"/>
    <s v="REALIZADO"/>
    <s v="AGATHA"/>
    <x v="115"/>
    <x v="2"/>
    <x v="0"/>
  </r>
  <r>
    <n v="61264"/>
    <x v="10"/>
    <s v="MMG"/>
    <x v="0"/>
    <n v="50038549"/>
    <s v="JOGO SOQUETE ESTRIADOS 1/2 22PEÇ"/>
    <n v="1"/>
    <s v="REALIZADO"/>
    <s v="AGATHA"/>
    <x v="115"/>
    <x v="2"/>
    <x v="0"/>
  </r>
  <r>
    <n v="73336"/>
    <x v="29"/>
    <s v="MMG"/>
    <x v="0"/>
    <n v="50038549"/>
    <s v="JOGO SOQUETE ESTRIADOS 1/2 22PEÇ"/>
    <n v="1"/>
    <s v="REALIZADO"/>
    <s v="BRUNO"/>
    <x v="115"/>
    <x v="0"/>
    <x v="0"/>
  </r>
  <r>
    <n v="74611"/>
    <x v="2"/>
    <s v="MPR"/>
    <x v="0"/>
    <n v="50038841"/>
    <s v="LIXADEIRA BOSCH 4"/>
    <n v="1"/>
    <s v="REALIZADO"/>
    <s v="AGATHA"/>
    <x v="115"/>
    <x v="2"/>
    <x v="0"/>
  </r>
  <r>
    <n v="74611"/>
    <x v="2"/>
    <s v="MPR"/>
    <x v="0"/>
    <n v="50038841"/>
    <s v="LIXADEIRA BOSCH 4"/>
    <n v="1"/>
    <s v="REALIZADO"/>
    <s v="BRUNO"/>
    <x v="115"/>
    <x v="2"/>
    <x v="0"/>
  </r>
  <r>
    <n v="63713"/>
    <x v="67"/>
    <s v="MME"/>
    <x v="0"/>
    <n v="50038517"/>
    <s v="LIXADEIRA BOSCH 5"/>
    <n v="1"/>
    <s v="REALIZADO"/>
    <s v="BRUNO"/>
    <x v="115"/>
    <x v="0"/>
    <x v="0"/>
  </r>
  <r>
    <n v="61264"/>
    <x v="10"/>
    <s v="MMG"/>
    <x v="0"/>
    <n v="50037926"/>
    <s v="MACACO HIDRAULICO AZUL"/>
    <n v="1"/>
    <s v="REALIZADO"/>
    <s v="BRUNA"/>
    <x v="115"/>
    <x v="2"/>
    <x v="0"/>
  </r>
  <r>
    <n v="61264"/>
    <x v="10"/>
    <s v="MMG"/>
    <x v="0"/>
    <n v="50037926"/>
    <s v="MACACO HIDRAULICO AZUL"/>
    <n v="1"/>
    <s v="REALIZADO"/>
    <s v="BRUNO"/>
    <x v="115"/>
    <x v="0"/>
    <x v="0"/>
  </r>
  <r>
    <n v="76633"/>
    <x v="62"/>
    <s v="MMG"/>
    <x v="2"/>
    <n v="50001995"/>
    <s v="MAQUINA DE SOLDA"/>
    <n v="1"/>
    <s v="REALIZADO"/>
    <s v="BRUNO"/>
    <x v="115"/>
    <x v="2"/>
    <x v="0"/>
  </r>
  <r>
    <n v="76633"/>
    <x v="62"/>
    <s v="MMG"/>
    <x v="2"/>
    <n v="50001995"/>
    <s v="MAQUINA DE SOLDA"/>
    <n v="1"/>
    <s v="REALIZADO"/>
    <s v="BRUNO"/>
    <x v="115"/>
    <x v="2"/>
    <x v="0"/>
  </r>
  <r>
    <n v="62180"/>
    <x v="18"/>
    <s v="MMG"/>
    <x v="0"/>
    <n v="50036332"/>
    <s v="MARRETA 3KG GEDORE"/>
    <n v="1"/>
    <s v="REALIZADO"/>
    <s v="BRUNA"/>
    <x v="115"/>
    <x v="0"/>
    <x v="0"/>
  </r>
  <r>
    <n v="77313"/>
    <x v="17"/>
    <s v="MPR"/>
    <x v="0"/>
    <n v="50026357"/>
    <s v="MARTELETE VONDER"/>
    <n v="1"/>
    <s v="REALIZADO"/>
    <s v="BRUNA"/>
    <x v="115"/>
    <x v="2"/>
    <x v="0"/>
  </r>
  <r>
    <n v="72713"/>
    <x v="68"/>
    <s v="MPR"/>
    <x v="0"/>
    <n v="50026357"/>
    <s v="MARTELETE VONDER"/>
    <n v="1"/>
    <s v="REALIZADO"/>
    <s v="BRUNO"/>
    <x v="115"/>
    <x v="0"/>
    <x v="0"/>
  </r>
  <r>
    <n v="72707"/>
    <x v="59"/>
    <s v="MPR"/>
    <x v="0"/>
    <n v="50041195"/>
    <s v="PARAFUSADEIRA FUR DE IMPACTO BRUSHLESS"/>
    <n v="1"/>
    <s v="REALIZADO"/>
    <s v="AGATHA"/>
    <x v="115"/>
    <x v="2"/>
    <x v="0"/>
  </r>
  <r>
    <n v="72707"/>
    <x v="59"/>
    <s v="MPR"/>
    <x v="0"/>
    <n v="50041195"/>
    <s v="PARAFUSADEIRA FUR DE IMPACTO BRUSHLESS"/>
    <n v="1"/>
    <s v="REALIZADO"/>
    <s v="BRUNO"/>
    <x v="115"/>
    <x v="0"/>
    <x v="0"/>
  </r>
  <r>
    <n v="62640"/>
    <x v="44"/>
    <s v="MPR"/>
    <x v="0"/>
    <n v="50043917"/>
    <s v="PARAFUSADEIRA FURADEIRA BOSCH"/>
    <n v="1"/>
    <s v="REALIZADO"/>
    <s v="BRUNO"/>
    <x v="115"/>
    <x v="2"/>
    <x v="0"/>
  </r>
  <r>
    <n v="62640"/>
    <x v="44"/>
    <s v="MPR"/>
    <x v="0"/>
    <n v="50043917"/>
    <s v="PARAFUSADEIRA FURADEIRA BOSCH"/>
    <n v="1"/>
    <s v="REALIZADO"/>
    <s v="BRUNO"/>
    <x v="115"/>
    <x v="0"/>
    <x v="0"/>
  </r>
  <r>
    <n v="66015"/>
    <x v="119"/>
    <s v="MME"/>
    <x v="4"/>
    <n v="50012903"/>
    <s v="SACA POLIA 02 GARRAS 250MM GEDORE"/>
    <n v="1"/>
    <s v="REALIZADO"/>
    <m/>
    <x v="115"/>
    <x v="0"/>
    <x v="0"/>
  </r>
  <r>
    <n v="75424"/>
    <x v="39"/>
    <s v="MME"/>
    <x v="2"/>
    <n v="50012902"/>
    <s v="SACA POLIA 03 GARRAS 250 MM GEDORE"/>
    <n v="1"/>
    <s v="REALIZADO"/>
    <s v="BRUNA"/>
    <x v="115"/>
    <x v="2"/>
    <x v="0"/>
  </r>
  <r>
    <n v="75424"/>
    <x v="39"/>
    <s v="MME"/>
    <x v="2"/>
    <n v="50012902"/>
    <s v="SACA POLIA 03 GARRAS 250 MM GEDORE"/>
    <n v="1"/>
    <s v="REALIZADO"/>
    <s v="BRUNO"/>
    <x v="115"/>
    <x v="2"/>
    <x v="0"/>
  </r>
  <r>
    <n v="61264"/>
    <x v="10"/>
    <s v="MMG"/>
    <x v="0"/>
    <n v="50037895"/>
    <s v="SACA POLIA HIDRAULICO"/>
    <n v="1"/>
    <s v="REALIZADO"/>
    <s v="AGATHA"/>
    <x v="115"/>
    <x v="0"/>
    <x v="0"/>
  </r>
  <r>
    <n v="72715"/>
    <x v="26"/>
    <s v="MPR"/>
    <x v="0"/>
    <n v="50038840"/>
    <s v="SERRA CIRCULAR MAKITA 4100NH2"/>
    <n v="1"/>
    <s v="REALIZADO"/>
    <s v="AGATHA"/>
    <x v="115"/>
    <x v="2"/>
    <x v="0"/>
  </r>
  <r>
    <n v="72715"/>
    <x v="26"/>
    <s v="MPR"/>
    <x v="0"/>
    <n v="50038840"/>
    <s v="SERRA CIRCULAR MAKITA 4100NH2"/>
    <n v="1"/>
    <s v="REALIZADO"/>
    <s v="AGATHA"/>
    <x v="115"/>
    <x v="0"/>
    <x v="0"/>
  </r>
  <r>
    <n v="65084"/>
    <x v="83"/>
    <s v="MMG"/>
    <x v="4"/>
    <n v="50041195"/>
    <s v="PARAFUSADEIRA FUR DE IMPACTO BRUSHLESS"/>
    <n v="1"/>
    <s v="REALIZADO"/>
    <s v="FABIANO"/>
    <x v="116"/>
    <x v="2"/>
    <x v="0"/>
  </r>
  <r>
    <n v="70105"/>
    <x v="25"/>
    <s v="MMG"/>
    <x v="3"/>
    <n v="50037905"/>
    <s v="ESTETOSCÓPIO SKF"/>
    <n v="1"/>
    <s v="REALIZADO"/>
    <s v="BRUNA"/>
    <x v="117"/>
    <x v="0"/>
    <x v="0"/>
  </r>
  <r>
    <n v="76633"/>
    <x v="62"/>
    <s v="MMG"/>
    <x v="2"/>
    <n v="50038841"/>
    <s v="LIXADEIRA BOSCH 4"/>
    <n v="1"/>
    <s v="REALIZADO"/>
    <s v="BRUNA"/>
    <x v="117"/>
    <x v="2"/>
    <x v="0"/>
  </r>
  <r>
    <n v="76633"/>
    <x v="62"/>
    <s v="MMG"/>
    <x v="2"/>
    <n v="50038841"/>
    <s v="LIXADEIRA BOSCH 4"/>
    <n v="1"/>
    <s v="REALIZADO"/>
    <s v="BRUNA"/>
    <x v="117"/>
    <x v="0"/>
    <x v="0"/>
  </r>
  <r>
    <n v="78678"/>
    <x v="0"/>
    <s v="MME"/>
    <x v="0"/>
    <n v="50030074"/>
    <s v="FURADEIRA BOSCH 6"/>
    <n v="1"/>
    <s v="REALIZADO"/>
    <s v="AGATHA"/>
    <x v="118"/>
    <x v="2"/>
    <x v="0"/>
  </r>
  <r>
    <n v="78678"/>
    <x v="0"/>
    <s v="MME"/>
    <x v="0"/>
    <n v="50030074"/>
    <s v="FURADEIRA BOSCH 6"/>
    <n v="1"/>
    <s v="REALIZADO"/>
    <s v="AGATHA"/>
    <x v="118"/>
    <x v="0"/>
    <x v="0"/>
  </r>
  <r>
    <n v="77526"/>
    <x v="37"/>
    <s v="MME"/>
    <x v="0"/>
    <n v="50030074"/>
    <s v="FURADEIRA BOSCH 6"/>
    <n v="1"/>
    <s v="REALIZADO"/>
    <s v="AGATHA"/>
    <x v="118"/>
    <x v="2"/>
    <x v="0"/>
  </r>
  <r>
    <n v="77526"/>
    <x v="37"/>
    <s v="MME"/>
    <x v="0"/>
    <n v="50030074"/>
    <s v="FURADEIRA BOSCH 6"/>
    <n v="1"/>
    <s v="NÃO REALIZADO"/>
    <s v="MARCIA"/>
    <x v="118"/>
    <x v="0"/>
    <x v="0"/>
  </r>
  <r>
    <n v="72715"/>
    <x v="26"/>
    <s v="MPR"/>
    <x v="0"/>
    <n v="50029865"/>
    <s v="JOGO DE BROCAS ACO RAPIDO"/>
    <n v="1"/>
    <s v="REALIZADO"/>
    <s v="AGATHA"/>
    <x v="118"/>
    <x v="2"/>
    <x v="0"/>
  </r>
  <r>
    <n v="72715"/>
    <x v="26"/>
    <s v="MPR"/>
    <x v="0"/>
    <n v="50029865"/>
    <s v="JOGO DE BROCAS ACO RAPIDO"/>
    <n v="1"/>
    <s v="REALIZADO"/>
    <s v="GEOVANE"/>
    <x v="118"/>
    <x v="0"/>
    <x v="0"/>
  </r>
  <r>
    <n v="62640"/>
    <x v="44"/>
    <s v="MPR"/>
    <x v="0"/>
    <n v="50029865"/>
    <s v="JOGO DE BROCAS ACO RAPIDO"/>
    <n v="1"/>
    <s v="REALIZADO"/>
    <s v="BRUNA"/>
    <x v="118"/>
    <x v="2"/>
    <x v="0"/>
  </r>
  <r>
    <n v="62640"/>
    <x v="44"/>
    <s v="MPR"/>
    <x v="0"/>
    <n v="50029865"/>
    <s v="JOGO DE BROCAS ACO RAPIDO"/>
    <n v="1"/>
    <s v="REALIZADO"/>
    <s v="BRUNA"/>
    <x v="118"/>
    <x v="0"/>
    <x v="0"/>
  </r>
  <r>
    <n v="72715"/>
    <x v="26"/>
    <s v="MPR"/>
    <x v="0"/>
    <n v="50037916"/>
    <s v="JOGO DE TARRACHAS "/>
    <n v="1"/>
    <s v="REALIZADO"/>
    <s v="BRUNO"/>
    <x v="118"/>
    <x v="2"/>
    <x v="0"/>
  </r>
  <r>
    <n v="72715"/>
    <x v="26"/>
    <s v="MPR"/>
    <x v="0"/>
    <n v="50037916"/>
    <s v="JOGO DE TARRACHAS "/>
    <n v="1"/>
    <s v="REALIZADO"/>
    <s v="MATHEUS"/>
    <x v="118"/>
    <x v="0"/>
    <x v="0"/>
  </r>
  <r>
    <n v="65472"/>
    <x v="48"/>
    <s v="MMG"/>
    <x v="0"/>
    <n v="50038549"/>
    <s v="JOGO SOQUETE ESTRIADOS 1/2 22PEÇ"/>
    <n v="1"/>
    <s v="REALIZADO"/>
    <s v="BRUNO"/>
    <x v="118"/>
    <x v="2"/>
    <x v="0"/>
  </r>
  <r>
    <n v="65472"/>
    <x v="48"/>
    <s v="MMG"/>
    <x v="0"/>
    <n v="50038549"/>
    <s v="JOGO SOQUETE ESTRIADOS 1/2 22PEÇ"/>
    <n v="1"/>
    <s v="REALIZADO"/>
    <s v="BRUNO"/>
    <x v="118"/>
    <x v="0"/>
    <x v="0"/>
  </r>
  <r>
    <n v="77526"/>
    <x v="37"/>
    <s v="MME"/>
    <x v="0"/>
    <n v="50037902"/>
    <s v="LIXADEIRA BOSCH 3"/>
    <n v="1"/>
    <s v="REALIZADO"/>
    <s v="AGATHA"/>
    <x v="118"/>
    <x v="2"/>
    <x v="0"/>
  </r>
  <r>
    <n v="77526"/>
    <x v="37"/>
    <s v="MME"/>
    <x v="0"/>
    <n v="50037902"/>
    <s v="LIXADEIRA BOSCH 3"/>
    <n v="1"/>
    <s v="NÃO REALIZADO"/>
    <s v="MARCIA"/>
    <x v="118"/>
    <x v="0"/>
    <x v="0"/>
  </r>
  <r>
    <n v="74611"/>
    <x v="2"/>
    <s v="MPR"/>
    <x v="0"/>
    <n v="50038841"/>
    <s v="LIXADEIRA BOSCH 4"/>
    <n v="1"/>
    <s v="REALIZADO"/>
    <s v="AGATHA"/>
    <x v="118"/>
    <x v="2"/>
    <x v="0"/>
  </r>
  <r>
    <n v="74611"/>
    <x v="2"/>
    <s v="MPR"/>
    <x v="0"/>
    <n v="50038841"/>
    <s v="LIXADEIRA BOSCH 4"/>
    <n v="1"/>
    <s v="REALIZADO"/>
    <s v="AGATHA"/>
    <x v="118"/>
    <x v="0"/>
    <x v="0"/>
  </r>
  <r>
    <n v="61264"/>
    <x v="10"/>
    <s v="MMG"/>
    <x v="0"/>
    <n v="50038517"/>
    <s v="LIXADEIRA BOSCH 5"/>
    <n v="1"/>
    <s v="REALIZADO"/>
    <s v="BRUNA"/>
    <x v="118"/>
    <x v="0"/>
    <x v="0"/>
  </r>
  <r>
    <n v="77526"/>
    <x v="37"/>
    <s v="MME"/>
    <x v="0"/>
    <n v="50039065"/>
    <s v="MAQUINA SOLDA TIG"/>
    <n v="1"/>
    <s v="REALIZADO"/>
    <s v="AGATHA"/>
    <x v="118"/>
    <x v="2"/>
    <x v="0"/>
  </r>
  <r>
    <n v="77526"/>
    <x v="37"/>
    <s v="MME"/>
    <x v="0"/>
    <n v="50039065"/>
    <s v="MAQUINA SOLDA TIG"/>
    <n v="1"/>
    <s v="REALIZADO"/>
    <s v="BRUNO"/>
    <x v="118"/>
    <x v="0"/>
    <x v="0"/>
  </r>
  <r>
    <n v="63399"/>
    <x v="32"/>
    <s v="MPR"/>
    <x v="0"/>
    <n v="50041195"/>
    <s v="PARAFUSADEIRA FUR DE IMPACTO BRUSHLESS"/>
    <n v="1"/>
    <s v="REALIZADO"/>
    <s v="AGATHA"/>
    <x v="118"/>
    <x v="2"/>
    <x v="0"/>
  </r>
  <r>
    <n v="63399"/>
    <x v="32"/>
    <s v="MPR"/>
    <x v="0"/>
    <n v="50041195"/>
    <s v="PARAFUSADEIRA FUR DE IMPACTO BRUSHLESS"/>
    <n v="1"/>
    <s v="REALIZADO"/>
    <s v="BRUNO"/>
    <x v="118"/>
    <x v="0"/>
    <x v="0"/>
  </r>
  <r>
    <n v="72715"/>
    <x v="26"/>
    <s v="MPR"/>
    <x v="0"/>
    <n v="50043917"/>
    <s v="PARAFUSADEIRA FURADEIRA BOSCH"/>
    <n v="1"/>
    <s v="REALIZADO"/>
    <s v="AGATHA"/>
    <x v="118"/>
    <x v="2"/>
    <x v="0"/>
  </r>
  <r>
    <n v="72715"/>
    <x v="26"/>
    <s v="MPR"/>
    <x v="0"/>
    <n v="50043917"/>
    <s v="PARAFUSADEIRA FURADEIRA BOSCH"/>
    <n v="1"/>
    <s v="REALIZADO"/>
    <s v="GEOVANE"/>
    <x v="118"/>
    <x v="0"/>
    <x v="0"/>
  </r>
  <r>
    <n v="62640"/>
    <x v="44"/>
    <s v="MPR"/>
    <x v="0"/>
    <n v="50020622"/>
    <s v="REBITADOR MANUAL"/>
    <n v="1"/>
    <s v="REALIZADO"/>
    <s v="BRUNA"/>
    <x v="118"/>
    <x v="2"/>
    <x v="0"/>
  </r>
  <r>
    <n v="62640"/>
    <x v="44"/>
    <s v="MPR"/>
    <x v="0"/>
    <n v="50020622"/>
    <s v="REBITADOR MANUAL"/>
    <n v="1"/>
    <s v="REALIZADO"/>
    <s v="BRUNA"/>
    <x v="118"/>
    <x v="0"/>
    <x v="0"/>
  </r>
  <r>
    <n v="70052"/>
    <x v="6"/>
    <s v="MEE"/>
    <x v="0"/>
    <n v="50002644"/>
    <s v="ALICATE CRIMPADOR"/>
    <n v="1"/>
    <s v="REALIZADO"/>
    <s v="GEOVANE"/>
    <x v="119"/>
    <x v="2"/>
    <x v="0"/>
  </r>
  <r>
    <n v="70052"/>
    <x v="6"/>
    <s v="MEE"/>
    <x v="0"/>
    <n v="50002644"/>
    <s v="ALICATE CRIMPADOR"/>
    <n v="1"/>
    <s v="REALIZADO"/>
    <s v="GEOVANE"/>
    <x v="119"/>
    <x v="0"/>
    <x v="0"/>
  </r>
  <r>
    <n v="69510"/>
    <x v="118"/>
    <s v="MEE"/>
    <x v="0"/>
    <n v="50037965"/>
    <s v="ALICATE HIDRAULICO"/>
    <n v="1"/>
    <s v="REALIZADO"/>
    <s v="BRUNO"/>
    <x v="119"/>
    <x v="2"/>
    <x v="0"/>
  </r>
  <r>
    <n v="69510"/>
    <x v="118"/>
    <s v="MEE"/>
    <x v="0"/>
    <n v="50037965"/>
    <s v="ALICATE HIDRAULICO"/>
    <n v="1"/>
    <s v="REALIZADO"/>
    <s v="BRUNO"/>
    <x v="119"/>
    <x v="2"/>
    <x v="0"/>
  </r>
  <r>
    <n v="61264"/>
    <x v="10"/>
    <s v="MMG"/>
    <x v="0"/>
    <n v="50037960"/>
    <s v="CHAVE CATRACA (1) Nº24-41V"/>
    <n v="1"/>
    <s v="REALIZADO"/>
    <s v="BRUNO"/>
    <x v="119"/>
    <x v="2"/>
    <x v="0"/>
  </r>
  <r>
    <n v="61264"/>
    <x v="10"/>
    <s v="MMG"/>
    <x v="0"/>
    <n v="50037961"/>
    <s v="CHAVE CATRACA (2) Nº24-41V"/>
    <n v="1"/>
    <s v="REALIZADO"/>
    <s v="BRUNO"/>
    <x v="119"/>
    <x v="0"/>
    <x v="0"/>
  </r>
  <r>
    <n v="74611"/>
    <x v="2"/>
    <s v="MPR"/>
    <x v="0"/>
    <n v="50039236"/>
    <s v="FURADEIRA BOSCH 4"/>
    <n v="1"/>
    <s v="REALIZADO"/>
    <s v="BRUNO"/>
    <x v="119"/>
    <x v="2"/>
    <x v="0"/>
  </r>
  <r>
    <n v="74611"/>
    <x v="2"/>
    <s v="MPR"/>
    <x v="0"/>
    <n v="50039236"/>
    <s v="FURADEIRA BOSCH 4"/>
    <n v="1"/>
    <s v="REALIZADO"/>
    <s v="BRUNO"/>
    <x v="119"/>
    <x v="2"/>
    <x v="0"/>
  </r>
  <r>
    <n v="77526"/>
    <x v="37"/>
    <s v="MME"/>
    <x v="0"/>
    <n v="50039236"/>
    <s v="FURADEIRA BOSCH 4"/>
    <n v="1"/>
    <s v="REALIZADO"/>
    <s v="BRUNO"/>
    <x v="119"/>
    <x v="0"/>
    <x v="0"/>
  </r>
  <r>
    <n v="67863"/>
    <x v="40"/>
    <s v="MME"/>
    <x v="2"/>
    <n v="50043471"/>
    <s v="FURADEIRA BOSCH 7"/>
    <n v="1"/>
    <s v="REALIZADO"/>
    <s v="BRUNA"/>
    <x v="119"/>
    <x v="2"/>
    <x v="0"/>
  </r>
  <r>
    <n v="77313"/>
    <x v="17"/>
    <s v="MPR"/>
    <x v="0"/>
    <n v="50003297"/>
    <s v="FURADEIRA DE IMPACTO MAKITA 02"/>
    <n v="1"/>
    <s v="REALIZADO"/>
    <s v="BRUNO"/>
    <x v="119"/>
    <x v="0"/>
    <x v="0"/>
  </r>
  <r>
    <n v="62640"/>
    <x v="44"/>
    <s v="MPR"/>
    <x v="0"/>
    <n v="50029865"/>
    <s v="JOGO DE BROCAS ACO RAPIDO"/>
    <n v="1"/>
    <s v="REALIZADO"/>
    <s v="BRUNO"/>
    <x v="119"/>
    <x v="2"/>
    <x v="0"/>
  </r>
  <r>
    <n v="62640"/>
    <x v="44"/>
    <s v="MPR"/>
    <x v="0"/>
    <n v="50029865"/>
    <s v="JOGO DE BROCAS ACO RAPIDO"/>
    <n v="1"/>
    <s v="REALIZADO"/>
    <s v="BRUNO"/>
    <x v="119"/>
    <x v="2"/>
    <x v="0"/>
  </r>
  <r>
    <n v="61264"/>
    <x v="10"/>
    <s v="MMG"/>
    <x v="0"/>
    <n v="50038517"/>
    <s v="LIXADEIRA BOSCH 5"/>
    <n v="1"/>
    <s v="REALIZADO"/>
    <s v="BRUNO"/>
    <x v="119"/>
    <x v="0"/>
    <x v="0"/>
  </r>
  <r>
    <n v="74611"/>
    <x v="2"/>
    <s v="MPR"/>
    <x v="0"/>
    <n v="50037903"/>
    <s v="LIXADEIRA GRANDE MAKITA"/>
    <n v="1"/>
    <s v="REALIZADO"/>
    <s v="GEOVANE"/>
    <x v="119"/>
    <x v="2"/>
    <x v="0"/>
  </r>
  <r>
    <n v="74611"/>
    <x v="2"/>
    <s v="MPR"/>
    <x v="0"/>
    <n v="50037903"/>
    <s v="LIXADEIRA GRANDE MAKITA"/>
    <n v="1"/>
    <s v="REALIZADO"/>
    <s v="BRUNO"/>
    <x v="119"/>
    <x v="0"/>
    <x v="0"/>
  </r>
  <r>
    <n v="74611"/>
    <x v="2"/>
    <s v="MPR"/>
    <x v="0"/>
    <n v="50001995"/>
    <s v="MAQUINA DE SOLDA"/>
    <n v="1"/>
    <s v="REALIZADO"/>
    <s v="GEOVANE"/>
    <x v="119"/>
    <x v="2"/>
    <x v="0"/>
  </r>
  <r>
    <n v="74611"/>
    <x v="2"/>
    <s v="MPR"/>
    <x v="0"/>
    <n v="50001995"/>
    <s v="MAQUINA DE SOLDA"/>
    <n v="1"/>
    <s v="REALIZADO"/>
    <s v="BRUNO"/>
    <x v="119"/>
    <x v="0"/>
    <x v="0"/>
  </r>
  <r>
    <n v="74611"/>
    <x v="2"/>
    <s v="MPR"/>
    <x v="0"/>
    <n v="50026357"/>
    <s v="MARTELETE VONDER"/>
    <n v="1"/>
    <s v="REALIZADO"/>
    <s v="GEOVANE"/>
    <x v="119"/>
    <x v="2"/>
    <x v="0"/>
  </r>
  <r>
    <n v="74611"/>
    <x v="2"/>
    <s v="MPR"/>
    <x v="0"/>
    <n v="50026357"/>
    <s v="MARTELETE VONDER"/>
    <n v="1"/>
    <s v="REALIZADO"/>
    <s v="BRUNO"/>
    <x v="119"/>
    <x v="0"/>
    <x v="0"/>
  </r>
  <r>
    <n v="62640"/>
    <x v="44"/>
    <s v="MPR"/>
    <x v="0"/>
    <n v="50043917"/>
    <s v="PARAFUSADEIRA FURADEIRA BOSCH"/>
    <n v="1"/>
    <s v="REALIZADO"/>
    <s v="BRUNO"/>
    <x v="119"/>
    <x v="2"/>
    <x v="0"/>
  </r>
  <r>
    <n v="62640"/>
    <x v="44"/>
    <s v="MPR"/>
    <x v="0"/>
    <n v="50043917"/>
    <s v="PARAFUSADEIRA FURADEIRA BOSCH"/>
    <n v="1"/>
    <s v="REALIZADO"/>
    <s v="BRUNO"/>
    <x v="119"/>
    <x v="0"/>
    <x v="0"/>
  </r>
  <r>
    <n v="60909"/>
    <x v="120"/>
    <s v="MME"/>
    <x v="4"/>
    <n v="50043917"/>
    <s v="PARAFUSADEIRA FURADEIRA BOSCH"/>
    <n v="1"/>
    <s v="REALIZADO"/>
    <s v="BRUNA"/>
    <x v="119"/>
    <x v="2"/>
    <x v="0"/>
  </r>
  <r>
    <n v="60909"/>
    <x v="120"/>
    <s v="MME"/>
    <x v="4"/>
    <n v="50043917"/>
    <s v="PARAFUSADEIRA FURADEIRA BOSCH"/>
    <n v="1"/>
    <s v="NÃO REALIZADO"/>
    <s v="MARCIA"/>
    <x v="119"/>
    <x v="0"/>
    <x v="0"/>
  </r>
  <r>
    <n v="74611"/>
    <x v="2"/>
    <s v="MPR"/>
    <x v="0"/>
    <n v="50038195"/>
    <s v="SERRA TICO TICO BOSCH S/MALETA"/>
    <n v="1"/>
    <s v="REALIZADO"/>
    <s v="BRUNO"/>
    <x v="119"/>
    <x v="2"/>
    <x v="0"/>
  </r>
  <r>
    <n v="74611"/>
    <x v="2"/>
    <s v="MPR"/>
    <x v="0"/>
    <n v="50038195"/>
    <s v="SERRA TICO TICO BOSCH S/MALETA"/>
    <n v="1"/>
    <s v="REALIZADO"/>
    <s v="BRUNO"/>
    <x v="119"/>
    <x v="0"/>
    <x v="0"/>
  </r>
  <r>
    <n v="77526"/>
    <x v="37"/>
    <s v="MME"/>
    <x v="0"/>
    <n v="50038854"/>
    <s v="ARCO DE SERRA"/>
    <n v="1"/>
    <s v="REALIZADO"/>
    <s v="BRUNO"/>
    <x v="120"/>
    <x v="2"/>
    <x v="0"/>
  </r>
  <r>
    <n v="77526"/>
    <x v="37"/>
    <s v="MME"/>
    <x v="0"/>
    <n v="50038854"/>
    <s v="ARCO DE SERRA"/>
    <n v="1"/>
    <s v="REALIZADO"/>
    <s v="BRUNO"/>
    <x v="120"/>
    <x v="0"/>
    <x v="0"/>
  </r>
  <r>
    <n v="65496"/>
    <x v="121"/>
    <s v="MME"/>
    <x v="4"/>
    <n v="50038854"/>
    <s v="ARCO DE SERRA"/>
    <n v="1"/>
    <s v="REALIZADO"/>
    <s v="MARCIA"/>
    <x v="120"/>
    <x v="2"/>
    <x v="0"/>
  </r>
  <r>
    <n v="65496"/>
    <x v="121"/>
    <s v="MME"/>
    <x v="4"/>
    <n v="50038854"/>
    <s v="ARCO DE SERRA"/>
    <n v="1"/>
    <s v="REALIZADO"/>
    <s v="MARCIA"/>
    <x v="120"/>
    <x v="0"/>
    <x v="0"/>
  </r>
  <r>
    <n v="62180"/>
    <x v="18"/>
    <s v="MMG"/>
    <x v="0"/>
    <n v="50037905"/>
    <s v="ESTETOSCÓPIO SKF"/>
    <n v="1"/>
    <s v="REALIZADO"/>
    <s v="BRUNO"/>
    <x v="120"/>
    <x v="2"/>
    <x v="0"/>
  </r>
  <r>
    <n v="62180"/>
    <x v="18"/>
    <s v="MMG"/>
    <x v="0"/>
    <n v="50037905"/>
    <s v="ESTETOSCÓPIO SKF"/>
    <n v="1"/>
    <s v="REALIZADO"/>
    <s v="MARCIA"/>
    <x v="120"/>
    <x v="0"/>
    <x v="0"/>
  </r>
  <r>
    <n v="65084"/>
    <x v="83"/>
    <s v="MMG"/>
    <x v="4"/>
    <n v="50037902"/>
    <s v="LIXADEIRA BOSCH 3"/>
    <n v="1"/>
    <s v="REALIZADO"/>
    <s v="MARCIA"/>
    <x v="120"/>
    <x v="0"/>
    <x v="0"/>
  </r>
  <r>
    <n v="65084"/>
    <x v="83"/>
    <s v="MMG"/>
    <x v="4"/>
    <n v="50041195"/>
    <s v="PARAFUSADEIRA FUR DE IMPACTO BRUSHLESS"/>
    <n v="1"/>
    <s v="REALIZADO"/>
    <s v="MARCIA"/>
    <x v="120"/>
    <x v="0"/>
    <x v="0"/>
  </r>
  <r>
    <n v="58734"/>
    <x v="85"/>
    <s v="MME"/>
    <x v="3"/>
    <n v="50043917"/>
    <s v="PARAFUSADEIRA FURADEIRA BOSCH"/>
    <n v="1"/>
    <s v="REALIZADO"/>
    <s v="KELLY"/>
    <x v="120"/>
    <x v="2"/>
    <x v="0"/>
  </r>
  <r>
    <n v="58734"/>
    <x v="85"/>
    <s v="MME"/>
    <x v="3"/>
    <n v="50043917"/>
    <s v="PARAFUSADEIRA FURADEIRA BOSCH"/>
    <n v="1"/>
    <s v="REALIZADO"/>
    <s v="AGATHA"/>
    <x v="120"/>
    <x v="0"/>
    <x v="0"/>
  </r>
  <r>
    <n v="62640"/>
    <x v="44"/>
    <s v="MPR"/>
    <x v="0"/>
    <n v="50043917"/>
    <s v="PARAFUSADEIRA FURADEIRA BOSCH"/>
    <n v="1"/>
    <s v="REALIZADO"/>
    <s v="AGATHA"/>
    <x v="120"/>
    <x v="2"/>
    <x v="0"/>
  </r>
  <r>
    <n v="62640"/>
    <x v="44"/>
    <s v="MPR"/>
    <x v="0"/>
    <n v="50043917"/>
    <s v="PARAFUSADEIRA FURADEIRA BOSCH"/>
    <n v="1"/>
    <s v="REALIZADO"/>
    <s v="AGATHA"/>
    <x v="120"/>
    <x v="2"/>
    <x v="0"/>
  </r>
  <r>
    <n v="77594"/>
    <x v="23"/>
    <s v="MME"/>
    <x v="0"/>
    <n v="50007151"/>
    <s v="SACA POLIA 02 GARRAS 150MM"/>
    <n v="1"/>
    <s v="REALIZADO"/>
    <s v="AGATHA"/>
    <x v="120"/>
    <x v="2"/>
    <x v="0"/>
  </r>
  <r>
    <n v="77594"/>
    <x v="23"/>
    <s v="MME"/>
    <x v="0"/>
    <n v="50005179"/>
    <s v="SACA POLIA 03 GARRAS"/>
    <n v="1"/>
    <s v="REALIZADO"/>
    <s v="AGATHA"/>
    <x v="120"/>
    <x v="2"/>
    <x v="0"/>
  </r>
  <r>
    <n v="69510"/>
    <x v="118"/>
    <s v="MEE"/>
    <x v="0"/>
    <n v="50002644"/>
    <s v="ALICATE CRIMPADOR"/>
    <n v="1"/>
    <s v="REALIZADO"/>
    <s v="BRUNA"/>
    <x v="121"/>
    <x v="0"/>
    <x v="0"/>
  </r>
  <r>
    <n v="74627"/>
    <x v="93"/>
    <s v="MEE"/>
    <x v="2"/>
    <n v="50038854"/>
    <s v="ARCO DE SERRA"/>
    <n v="1"/>
    <s v="REALIZADO"/>
    <s v="MARCIA"/>
    <x v="121"/>
    <x v="2"/>
    <x v="0"/>
  </r>
  <r>
    <n v="74627"/>
    <x v="93"/>
    <s v="MEE"/>
    <x v="2"/>
    <n v="50038854"/>
    <s v="ARCO DE SERRA"/>
    <n v="1"/>
    <s v="REALIZADO"/>
    <s v="MARCIA"/>
    <x v="121"/>
    <x v="0"/>
    <x v="0"/>
  </r>
  <r>
    <n v="70105"/>
    <x v="25"/>
    <s v="MMG"/>
    <x v="3"/>
    <n v="50036296"/>
    <s v="CHAVE AJUSTÁVEL 45MM"/>
    <n v="1"/>
    <s v="REALIZADO"/>
    <s v="AGATHA"/>
    <x v="121"/>
    <x v="2"/>
    <x v="0"/>
  </r>
  <r>
    <n v="70105"/>
    <x v="25"/>
    <s v="MMG"/>
    <x v="3"/>
    <n v="50036296"/>
    <s v="CHAVE AJUSTÁVEL 45MM"/>
    <n v="1"/>
    <s v="REALIZADO"/>
    <s v="AGATHA"/>
    <x v="121"/>
    <x v="0"/>
    <x v="0"/>
  </r>
  <r>
    <n v="77313"/>
    <x v="17"/>
    <s v="MPR"/>
    <x v="0"/>
    <n v="50036086"/>
    <s v="CHAVE GRIFO 18"/>
    <n v="1"/>
    <s v="REALIZADO"/>
    <s v="BRUNA"/>
    <x v="121"/>
    <x v="0"/>
    <x v="0"/>
  </r>
  <r>
    <n v="74874"/>
    <x v="90"/>
    <s v="MMG"/>
    <x v="0"/>
    <n v="50037905"/>
    <s v="ESTETOSCÓPIO SKF"/>
    <n v="1"/>
    <s v="REALIZADO"/>
    <s v="MATHEUS"/>
    <x v="121"/>
    <x v="2"/>
    <x v="0"/>
  </r>
  <r>
    <n v="74874"/>
    <x v="90"/>
    <s v="MMG"/>
    <x v="0"/>
    <n v="50037905"/>
    <s v="ESTETOSCÓPIO SKF"/>
    <n v="1"/>
    <s v="REALIZADO"/>
    <s v="MARCIA"/>
    <x v="121"/>
    <x v="0"/>
    <x v="0"/>
  </r>
  <r>
    <n v="77521"/>
    <x v="5"/>
    <s v="MME"/>
    <x v="0"/>
    <n v="50039236"/>
    <s v="FURADEIRA BOSCH 4"/>
    <n v="1"/>
    <s v="REALIZADO"/>
    <s v="MATHEUS"/>
    <x v="121"/>
    <x v="2"/>
    <x v="0"/>
  </r>
  <r>
    <n v="77521"/>
    <x v="5"/>
    <s v="MME"/>
    <x v="0"/>
    <n v="50039236"/>
    <s v="FURADEIRA BOSCH 4"/>
    <n v="1"/>
    <s v="REALIZADO"/>
    <s v="MATHEUS"/>
    <x v="121"/>
    <x v="0"/>
    <x v="0"/>
  </r>
  <r>
    <n v="77526"/>
    <x v="37"/>
    <s v="MME"/>
    <x v="0"/>
    <n v="50030074"/>
    <s v="FURADEIRA BOSCH 6"/>
    <n v="1"/>
    <s v="REALIZADO"/>
    <s v="AGATHA"/>
    <x v="121"/>
    <x v="0"/>
    <x v="0"/>
  </r>
  <r>
    <n v="77526"/>
    <x v="37"/>
    <s v="MME"/>
    <x v="0"/>
    <n v="50030074"/>
    <s v="FURADEIRA BOSCH 6"/>
    <n v="1"/>
    <s v="REALIZADO"/>
    <s v="AGATHA"/>
    <x v="121"/>
    <x v="2"/>
    <x v="0"/>
  </r>
  <r>
    <n v="77526"/>
    <x v="37"/>
    <s v="MME"/>
    <x v="0"/>
    <n v="50030074"/>
    <s v="FURADEIRA BOSCH 6"/>
    <n v="1"/>
    <s v="REALIZADO"/>
    <s v="MATHEUS"/>
    <x v="121"/>
    <x v="2"/>
    <x v="0"/>
  </r>
  <r>
    <n v="67863"/>
    <x v="40"/>
    <s v="MME"/>
    <x v="2"/>
    <n v="50043471"/>
    <s v="FURADEIRA BOSCH 7"/>
    <n v="1"/>
    <s v="REALIZADO"/>
    <s v="BRUNA"/>
    <x v="121"/>
    <x v="0"/>
    <x v="0"/>
  </r>
  <r>
    <n v="61761"/>
    <x v="66"/>
    <s v="MEE"/>
    <x v="3"/>
    <n v="50003297"/>
    <s v="FURADEIRA DE IMPACTO MAKITA 02"/>
    <n v="1"/>
    <s v="REALIZADO"/>
    <s v="AGATHA"/>
    <x v="121"/>
    <x v="2"/>
    <x v="0"/>
  </r>
  <r>
    <n v="61761"/>
    <x v="66"/>
    <s v="MEE"/>
    <x v="3"/>
    <n v="50003297"/>
    <s v="FURADEIRA DE IMPACTO MAKITA 02"/>
    <n v="1"/>
    <s v="REALIZADO"/>
    <s v="AGATHA"/>
    <x v="121"/>
    <x v="0"/>
    <x v="0"/>
  </r>
  <r>
    <n v="62471"/>
    <x v="9"/>
    <s v="MME"/>
    <x v="0"/>
    <n v="50003297"/>
    <s v="FURADEIRA DE IMPACTO MAKITA 02"/>
    <n v="1"/>
    <s v="REALIZADO"/>
    <s v="AGATHA"/>
    <x v="121"/>
    <x v="2"/>
    <x v="0"/>
  </r>
  <r>
    <n v="62471"/>
    <x v="9"/>
    <s v="MME"/>
    <x v="0"/>
    <n v="50003297"/>
    <s v="FURADEIRA DE IMPACTO MAKITA 02"/>
    <n v="1"/>
    <s v="REALIZADO"/>
    <s v="AGATHA"/>
    <x v="121"/>
    <x v="0"/>
    <x v="0"/>
  </r>
  <r>
    <n v="61761"/>
    <x v="66"/>
    <s v="MEE"/>
    <x v="3"/>
    <n v="50043320"/>
    <s v="JOGO SERRA COPO 8PÇS"/>
    <n v="1"/>
    <s v="REALIZADO"/>
    <s v="AGATHA"/>
    <x v="121"/>
    <x v="2"/>
    <x v="0"/>
  </r>
  <r>
    <n v="61761"/>
    <x v="66"/>
    <s v="MEE"/>
    <x v="3"/>
    <n v="50043320"/>
    <s v="JOGO SERRA COPO 8PÇS"/>
    <n v="1"/>
    <s v="REALIZADO"/>
    <s v="AGATHA"/>
    <x v="121"/>
    <x v="0"/>
    <x v="0"/>
  </r>
  <r>
    <n v="61355"/>
    <x v="110"/>
    <s v="MEE"/>
    <x v="4"/>
    <n v="50043320"/>
    <s v="JOGO SERRA COPO 8PÇS"/>
    <n v="1"/>
    <s v="REALIZADO"/>
    <s v="MARCIA"/>
    <x v="121"/>
    <x v="2"/>
    <x v="0"/>
  </r>
  <r>
    <n v="61355"/>
    <x v="110"/>
    <s v="MEE"/>
    <x v="4"/>
    <n v="50043320"/>
    <s v="JOGO SERRA COPO 8PÇS"/>
    <n v="1"/>
    <s v="REALIZADO"/>
    <s v="MARCIA"/>
    <x v="121"/>
    <x v="0"/>
    <x v="0"/>
  </r>
  <r>
    <n v="68430"/>
    <x v="61"/>
    <s v="MEE"/>
    <x v="2"/>
    <n v="50038549"/>
    <s v="JOGO SOQUETE ESTRIADOS 1/2 22PEÇ"/>
    <n v="1"/>
    <s v="REALIZADO"/>
    <s v="AGATHA"/>
    <x v="121"/>
    <x v="2"/>
    <x v="0"/>
  </r>
  <r>
    <n v="68430"/>
    <x v="61"/>
    <s v="MEE"/>
    <x v="2"/>
    <n v="50038549"/>
    <s v="JOGO SOQUETE ESTRIADOS 1/2 22PEÇ"/>
    <n v="1"/>
    <s v="REALIZADO"/>
    <s v="MATHEUS"/>
    <x v="121"/>
    <x v="2"/>
    <x v="0"/>
  </r>
  <r>
    <n v="65084"/>
    <x v="83"/>
    <s v="MMG"/>
    <x v="4"/>
    <n v="50037902"/>
    <s v="LIXADEIRA BOSCH 3"/>
    <n v="1"/>
    <s v="REALIZADO"/>
    <s v="MARCIA"/>
    <x v="121"/>
    <x v="0"/>
    <x v="0"/>
  </r>
  <r>
    <n v="65900"/>
    <x v="73"/>
    <s v="MME"/>
    <x v="3"/>
    <n v="50037902"/>
    <s v="LIXADEIRA BOSCH 3"/>
    <n v="1"/>
    <s v="REALIZADO"/>
    <s v="KELLY"/>
    <x v="121"/>
    <x v="2"/>
    <x v="0"/>
  </r>
  <r>
    <n v="65900"/>
    <x v="73"/>
    <s v="MME"/>
    <x v="3"/>
    <n v="50037902"/>
    <s v="LIXADEIRA BOSCH 3"/>
    <n v="1"/>
    <s v="REALIZADO"/>
    <s v="KELLY"/>
    <x v="121"/>
    <x v="0"/>
    <x v="0"/>
  </r>
  <r>
    <n v="77526"/>
    <x v="37"/>
    <s v="MME"/>
    <x v="0"/>
    <n v="50037902"/>
    <s v="LIXADEIRA BOSCH 3"/>
    <n v="1"/>
    <s v="REALIZADO"/>
    <s v="AGATHA"/>
    <x v="121"/>
    <x v="2"/>
    <x v="0"/>
  </r>
  <r>
    <n v="77526"/>
    <x v="37"/>
    <s v="MME"/>
    <x v="0"/>
    <n v="50037902"/>
    <s v="LIXADEIRA BOSCH 3"/>
    <n v="1"/>
    <s v="REALIZADO"/>
    <s v="MATHEUS"/>
    <x v="121"/>
    <x v="0"/>
    <x v="0"/>
  </r>
  <r>
    <n v="74611"/>
    <x v="2"/>
    <s v="MPR"/>
    <x v="0"/>
    <n v="50038841"/>
    <s v="LIXADEIRA BOSCH 4"/>
    <n v="1"/>
    <s v="REALIZADO"/>
    <s v="AGATHA"/>
    <x v="121"/>
    <x v="2"/>
    <x v="0"/>
  </r>
  <r>
    <n v="74611"/>
    <x v="2"/>
    <s v="MPR"/>
    <x v="0"/>
    <n v="50038841"/>
    <s v="LIXADEIRA BOSCH 4"/>
    <n v="1"/>
    <s v="REALIZADO"/>
    <s v="MATHEUS"/>
    <x v="121"/>
    <x v="0"/>
    <x v="0"/>
  </r>
  <r>
    <n v="73878"/>
    <x v="20"/>
    <s v="MMG"/>
    <x v="0"/>
    <n v="50038517"/>
    <s v="LIXADEIRA BOSCH 5"/>
    <n v="1"/>
    <s v="REALIZADO"/>
    <s v="AGATHA"/>
    <x v="121"/>
    <x v="2"/>
    <x v="0"/>
  </r>
  <r>
    <n v="73878"/>
    <x v="20"/>
    <s v="MMG"/>
    <x v="0"/>
    <n v="50038517"/>
    <s v="LIXADEIRA BOSCH 5"/>
    <n v="1"/>
    <s v="REALIZADO"/>
    <s v="MATHEUS"/>
    <x v="121"/>
    <x v="0"/>
    <x v="0"/>
  </r>
  <r>
    <n v="74611"/>
    <x v="2"/>
    <s v="MPR"/>
    <x v="0"/>
    <n v="50001995"/>
    <s v="MAQUINA DE SOLDA"/>
    <n v="1"/>
    <s v="REALIZADO"/>
    <s v="AGATHA"/>
    <x v="121"/>
    <x v="2"/>
    <x v="0"/>
  </r>
  <r>
    <n v="74611"/>
    <x v="2"/>
    <s v="MPR"/>
    <x v="0"/>
    <n v="50001995"/>
    <s v="MAQUINA DE SOLDA"/>
    <n v="1"/>
    <s v="REALIZADO"/>
    <s v="MATHEUS"/>
    <x v="121"/>
    <x v="0"/>
    <x v="0"/>
  </r>
  <r>
    <n v="61096"/>
    <x v="64"/>
    <s v="MME"/>
    <x v="0"/>
    <n v="50036332"/>
    <s v="MARRETA 3KG GEDORE"/>
    <n v="1"/>
    <s v="REALIZADO"/>
    <s v="BRUNA"/>
    <x v="121"/>
    <x v="2"/>
    <x v="0"/>
  </r>
  <r>
    <n v="65084"/>
    <x v="83"/>
    <s v="MMG"/>
    <x v="4"/>
    <n v="50041195"/>
    <s v="PARAFUSADEIRA FUR DE IMPACTO BRUSHLESS"/>
    <n v="1"/>
    <s v="REALIZADO"/>
    <s v="MARCIA"/>
    <x v="121"/>
    <x v="0"/>
    <x v="0"/>
  </r>
  <r>
    <n v="72707"/>
    <x v="59"/>
    <s v="MPR"/>
    <x v="0"/>
    <n v="50041195"/>
    <s v="PARAFUSADEIRA FUR DE IMPACTO BRUSHLESS"/>
    <n v="1"/>
    <s v="REALIZADO"/>
    <s v="AGATHA"/>
    <x v="121"/>
    <x v="2"/>
    <x v="0"/>
  </r>
  <r>
    <n v="72707"/>
    <x v="59"/>
    <s v="MPR"/>
    <x v="0"/>
    <n v="50041195"/>
    <s v="PARAFUSADEIRA FUR DE IMPACTO BRUSHLESS"/>
    <n v="1"/>
    <s v="REALIZADO"/>
    <s v="MATHEUS"/>
    <x v="121"/>
    <x v="0"/>
    <x v="0"/>
  </r>
  <r>
    <n v="78678"/>
    <x v="0"/>
    <s v="MME"/>
    <x v="0"/>
    <n v="50043917"/>
    <s v="PARAFUSADEIRA FURADEIRA BOSCH"/>
    <n v="1"/>
    <s v="REALIZADO"/>
    <s v="MATHEUS"/>
    <x v="121"/>
    <x v="2"/>
    <x v="0"/>
  </r>
  <r>
    <n v="78678"/>
    <x v="0"/>
    <s v="MME"/>
    <x v="0"/>
    <n v="50043917"/>
    <s v="PARAFUSADEIRA FURADEIRA BOSCH"/>
    <n v="1"/>
    <s v="REALIZADO"/>
    <s v="MATHEUS"/>
    <x v="121"/>
    <x v="0"/>
    <x v="0"/>
  </r>
  <r>
    <n v="61355"/>
    <x v="110"/>
    <s v="MEE"/>
    <x v="4"/>
    <n v="50043917"/>
    <s v="PARAFUSADEIRA FURADEIRA BOSCH"/>
    <n v="1"/>
    <s v="REALIZADO"/>
    <s v="MARCIA"/>
    <x v="121"/>
    <x v="2"/>
    <x v="0"/>
  </r>
  <r>
    <n v="61355"/>
    <x v="110"/>
    <s v="MEE"/>
    <x v="4"/>
    <n v="50043917"/>
    <s v="PARAFUSADEIRA FURADEIRA BOSCH"/>
    <n v="1"/>
    <s v="REALIZADO"/>
    <s v="MARCIA"/>
    <x v="121"/>
    <x v="0"/>
    <x v="0"/>
  </r>
  <r>
    <n v="64253"/>
    <x v="16"/>
    <s v="MMG"/>
    <x v="0"/>
    <n v="50037952"/>
    <s v="SUPORTE DE PAQUIMETRO - CALIBRAÇÃO MOLDADORA"/>
    <n v="1"/>
    <s v="REALIZADO"/>
    <s v="AGATHA"/>
    <x v="121"/>
    <x v="2"/>
    <x v="0"/>
  </r>
  <r>
    <n v="64253"/>
    <x v="16"/>
    <s v="MMG"/>
    <x v="0"/>
    <n v="50037952"/>
    <s v="SUPORTE DE PAQUIMETRO - CALIBRAÇÃO MOLDADORA"/>
    <n v="1"/>
    <s v="REALIZADO"/>
    <s v="BRUNA"/>
    <x v="121"/>
    <x v="0"/>
    <x v="0"/>
  </r>
  <r>
    <n v="73336"/>
    <x v="29"/>
    <s v="MMG"/>
    <x v="0"/>
    <n v="50036296"/>
    <s v="CHAVE AJUSTÁVEL 45MM"/>
    <n v="1"/>
    <s v="REALIZADO"/>
    <s v="BRUNO"/>
    <x v="122"/>
    <x v="2"/>
    <x v="0"/>
  </r>
  <r>
    <n v="73336"/>
    <x v="29"/>
    <s v="MMG"/>
    <x v="0"/>
    <n v="50036296"/>
    <s v="CHAVE AJUSTÁVEL 45MM"/>
    <n v="1"/>
    <s v="REALIZADO"/>
    <s v="BRUNO"/>
    <x v="122"/>
    <x v="0"/>
    <x v="0"/>
  </r>
  <r>
    <n v="77526"/>
    <x v="37"/>
    <s v="MME"/>
    <x v="0"/>
    <n v="50030074"/>
    <s v="FURADEIRA BOSCH 6"/>
    <n v="1"/>
    <s v="REALIZADO"/>
    <s v="AGATHA"/>
    <x v="122"/>
    <x v="2"/>
    <x v="0"/>
  </r>
  <r>
    <n v="77526"/>
    <x v="37"/>
    <s v="MME"/>
    <x v="0"/>
    <n v="50030074"/>
    <s v="FURADEIRA BOSCH 6"/>
    <n v="1"/>
    <s v="REALIZADO"/>
    <s v="BRUNO"/>
    <x v="122"/>
    <x v="0"/>
    <x v="0"/>
  </r>
  <r>
    <n v="74874"/>
    <x v="90"/>
    <s v="MMG"/>
    <x v="0"/>
    <n v="50030074"/>
    <s v="FURADEIRA BOSCH 6"/>
    <n v="1"/>
    <s v="REALIZADO"/>
    <s v="BRUNO"/>
    <x v="122"/>
    <x v="2"/>
    <x v="0"/>
  </r>
  <r>
    <n v="74874"/>
    <x v="90"/>
    <s v="MMG"/>
    <x v="0"/>
    <n v="50030074"/>
    <s v="FURADEIRA BOSCH 6"/>
    <n v="1"/>
    <s v="REALIZADO"/>
    <s v="BRUNO"/>
    <x v="122"/>
    <x v="0"/>
    <x v="0"/>
  </r>
  <r>
    <n v="58068"/>
    <x v="31"/>
    <s v="MME"/>
    <x v="0"/>
    <n v="50003296"/>
    <s v="FURADEIRA DE IMPACTO MAKITA 01"/>
    <n v="1"/>
    <s v="REALIZADO"/>
    <s v="AGATHA"/>
    <x v="122"/>
    <x v="2"/>
    <x v="0"/>
  </r>
  <r>
    <n v="58068"/>
    <x v="31"/>
    <s v="MME"/>
    <x v="0"/>
    <n v="50003296"/>
    <s v="FURADEIRA DE IMPACTO MAKITA 01"/>
    <n v="1"/>
    <s v="REALIZADO"/>
    <s v="AGATHA"/>
    <x v="122"/>
    <x v="0"/>
    <x v="0"/>
  </r>
  <r>
    <n v="63713"/>
    <x v="67"/>
    <s v="MME"/>
    <x v="0"/>
    <n v="50003296"/>
    <s v="FURADEIRA DE IMPACTO MAKITA 01"/>
    <n v="1"/>
    <s v="REALIZADO"/>
    <s v="AGATHA"/>
    <x v="122"/>
    <x v="2"/>
    <x v="0"/>
  </r>
  <r>
    <n v="63713"/>
    <x v="67"/>
    <s v="MME"/>
    <x v="0"/>
    <n v="50003296"/>
    <s v="FURADEIRA DE IMPACTO MAKITA 01"/>
    <n v="1"/>
    <s v="REALIZADO"/>
    <s v="AGATHA"/>
    <x v="122"/>
    <x v="0"/>
    <x v="0"/>
  </r>
  <r>
    <n v="68430"/>
    <x v="61"/>
    <s v="MEE"/>
    <x v="2"/>
    <n v="50038549"/>
    <s v="JOGO SOQUETE ESTRIADOS 1/2 22PEÇ"/>
    <n v="1"/>
    <s v="REALIZADO"/>
    <s v="AGATHA"/>
    <x v="122"/>
    <x v="2"/>
    <x v="0"/>
  </r>
  <r>
    <n v="68430"/>
    <x v="61"/>
    <s v="MEE"/>
    <x v="2"/>
    <n v="50038549"/>
    <s v="JOGO SOQUETE ESTRIADOS 1/2 22PEÇ"/>
    <n v="1"/>
    <s v="REALIZADO"/>
    <s v="BRUNO"/>
    <x v="122"/>
    <x v="0"/>
    <x v="0"/>
  </r>
  <r>
    <n v="73878"/>
    <x v="20"/>
    <s v="MMG"/>
    <x v="0"/>
    <n v="50037902"/>
    <s v="LIXADEIRA BOSCH 3"/>
    <n v="1"/>
    <s v="REALIZADO"/>
    <s v="AGATHA"/>
    <x v="122"/>
    <x v="2"/>
    <x v="0"/>
  </r>
  <r>
    <n v="73878"/>
    <x v="20"/>
    <s v="MMG"/>
    <x v="0"/>
    <n v="50037902"/>
    <s v="LIXADEIRA BOSCH 3"/>
    <n v="1"/>
    <s v="REALIZADO"/>
    <s v="BRUNO"/>
    <x v="122"/>
    <x v="0"/>
    <x v="0"/>
  </r>
  <r>
    <n v="74874"/>
    <x v="90"/>
    <s v="MMG"/>
    <x v="0"/>
    <n v="50037902"/>
    <s v="LIXADEIRA BOSCH 3"/>
    <n v="1"/>
    <s v="REALIZADO"/>
    <s v="BRUNO"/>
    <x v="122"/>
    <x v="2"/>
    <x v="0"/>
  </r>
  <r>
    <n v="74874"/>
    <x v="90"/>
    <s v="MMG"/>
    <x v="0"/>
    <n v="50037902"/>
    <s v="LIXADEIRA BOSCH 3"/>
    <n v="1"/>
    <s v="REALIZADO"/>
    <s v="BRUNO"/>
    <x v="122"/>
    <x v="0"/>
    <x v="0"/>
  </r>
  <r>
    <n v="77526"/>
    <x v="37"/>
    <s v="MME"/>
    <x v="0"/>
    <n v="50038841"/>
    <s v="LIXADEIRA BOSCH 4"/>
    <n v="1"/>
    <s v="REALIZADO"/>
    <s v="AGATHA"/>
    <x v="122"/>
    <x v="2"/>
    <x v="0"/>
  </r>
  <r>
    <n v="77526"/>
    <x v="37"/>
    <s v="MME"/>
    <x v="0"/>
    <n v="50038841"/>
    <s v="LIXADEIRA BOSCH 4"/>
    <n v="1"/>
    <s v="REALIZADO"/>
    <s v="BRUNO"/>
    <x v="122"/>
    <x v="0"/>
    <x v="0"/>
  </r>
  <r>
    <n v="77521"/>
    <x v="5"/>
    <s v="MME"/>
    <x v="0"/>
    <n v="50038517"/>
    <s v="LIXADEIRA BOSCH 5"/>
    <n v="1"/>
    <s v="REALIZADO"/>
    <s v="AGATHA"/>
    <x v="122"/>
    <x v="2"/>
    <x v="0"/>
  </r>
  <r>
    <n v="77521"/>
    <x v="5"/>
    <s v="MME"/>
    <x v="0"/>
    <n v="50038517"/>
    <s v="LIXADEIRA BOSCH 5"/>
    <n v="1"/>
    <s v="REALIZADO"/>
    <s v="AGATHA"/>
    <x v="122"/>
    <x v="0"/>
    <x v="0"/>
  </r>
  <r>
    <n v="63713"/>
    <x v="67"/>
    <s v="MME"/>
    <x v="0"/>
    <n v="50038517"/>
    <s v="LIXADEIRA BOSCH 5"/>
    <n v="1"/>
    <s v="REALIZADO"/>
    <s v="BRUNA"/>
    <x v="122"/>
    <x v="2"/>
    <x v="0"/>
  </r>
  <r>
    <n v="63713"/>
    <x v="67"/>
    <s v="MME"/>
    <x v="0"/>
    <n v="50038517"/>
    <s v="LIXADEIRA BOSCH 5"/>
    <n v="1"/>
    <s v="REALIZADO"/>
    <s v="BRUNO"/>
    <x v="122"/>
    <x v="0"/>
    <x v="0"/>
  </r>
  <r>
    <n v="77526"/>
    <x v="37"/>
    <s v="MME"/>
    <x v="0"/>
    <n v="50038517"/>
    <s v="LIXADEIRA BOSCH 5"/>
    <n v="1"/>
    <s v="REALIZADO"/>
    <s v="BRUNO"/>
    <x v="122"/>
    <x v="2"/>
    <x v="0"/>
  </r>
  <r>
    <n v="77526"/>
    <x v="37"/>
    <s v="MME"/>
    <x v="0"/>
    <n v="50038517"/>
    <s v="LIXADEIRA BOSCH 5"/>
    <n v="1"/>
    <s v="REALIZADO"/>
    <s v="BRUNO"/>
    <x v="122"/>
    <x v="0"/>
    <x v="0"/>
  </r>
  <r>
    <n v="73878"/>
    <x v="20"/>
    <s v="MMG"/>
    <x v="0"/>
    <n v="50001995"/>
    <s v="MAQUINA DE SOLDA"/>
    <n v="1"/>
    <s v="REALIZADO"/>
    <s v="BRUNA"/>
    <x v="122"/>
    <x v="2"/>
    <x v="0"/>
  </r>
  <r>
    <n v="73878"/>
    <x v="20"/>
    <s v="MMG"/>
    <x v="0"/>
    <n v="50001995"/>
    <s v="MAQUINA DE SOLDA"/>
    <n v="1"/>
    <s v="REALIZADO"/>
    <s v="BRUNO"/>
    <x v="122"/>
    <x v="2"/>
    <x v="0"/>
  </r>
  <r>
    <n v="61096"/>
    <x v="64"/>
    <s v="MME"/>
    <x v="0"/>
    <n v="50036332"/>
    <s v="MARRETA 3KG GEDORE"/>
    <n v="1"/>
    <s v="REALIZADO"/>
    <s v="BRUNO"/>
    <x v="122"/>
    <x v="2"/>
    <x v="0"/>
  </r>
  <r>
    <n v="78678"/>
    <x v="0"/>
    <s v="MME"/>
    <x v="0"/>
    <n v="50036297"/>
    <s v="MARRETA 4KG"/>
    <n v="1"/>
    <s v="REALIZADO"/>
    <s v="KELLY"/>
    <x v="122"/>
    <x v="2"/>
    <x v="0"/>
  </r>
  <r>
    <n v="61096"/>
    <x v="64"/>
    <s v="MME"/>
    <x v="0"/>
    <n v="50038626"/>
    <s v="MARRETA 8KG"/>
    <n v="1"/>
    <s v="REALIZADO"/>
    <s v="BRUNO"/>
    <x v="122"/>
    <x v="0"/>
    <x v="0"/>
  </r>
  <r>
    <n v="70102"/>
    <x v="122"/>
    <s v="MEE"/>
    <x v="3"/>
    <n v="50041195"/>
    <s v="PARAFUSADEIRA FUR DE IMPACTO BRUSHLESS"/>
    <n v="1"/>
    <s v="REALIZADO"/>
    <s v="AGATHA"/>
    <x v="122"/>
    <x v="2"/>
    <x v="0"/>
  </r>
  <r>
    <n v="70102"/>
    <x v="122"/>
    <s v="MEE"/>
    <x v="3"/>
    <n v="50041195"/>
    <s v="PARAFUSADEIRA FUR DE IMPACTO BRUSHLESS"/>
    <n v="1"/>
    <s v="REALIZADO"/>
    <s v="AGATHA"/>
    <x v="122"/>
    <x v="0"/>
    <x v="0"/>
  </r>
  <r>
    <n v="74874"/>
    <x v="90"/>
    <s v="MMG"/>
    <x v="0"/>
    <n v="50041195"/>
    <s v="PARAFUSADEIRA FUR DE IMPACTO BRUSHLESS"/>
    <n v="1"/>
    <s v="REALIZADO"/>
    <s v="BRUNO"/>
    <x v="122"/>
    <x v="2"/>
    <x v="0"/>
  </r>
  <r>
    <n v="74874"/>
    <x v="90"/>
    <s v="MMG"/>
    <x v="0"/>
    <n v="50041195"/>
    <s v="PARAFUSADEIRA FUR DE IMPACTO BRUSHLESS"/>
    <n v="1"/>
    <s v="REALIZADO"/>
    <s v="BRUNO"/>
    <x v="122"/>
    <x v="0"/>
    <x v="0"/>
  </r>
  <r>
    <n v="64074"/>
    <x v="75"/>
    <s v="MPR"/>
    <x v="0"/>
    <n v="50043917"/>
    <s v="PARAFUSADEIRA FURADEIRA BOSCH"/>
    <n v="1"/>
    <s v="REALIZADO"/>
    <s v="AGATHA"/>
    <x v="122"/>
    <x v="2"/>
    <x v="0"/>
  </r>
  <r>
    <n v="64074"/>
    <x v="75"/>
    <s v="MPR"/>
    <x v="0"/>
    <n v="50043917"/>
    <s v="PARAFUSADEIRA FURADEIRA BOSCH"/>
    <n v="1"/>
    <s v="REALIZADO"/>
    <s v="BRUNO"/>
    <x v="122"/>
    <x v="0"/>
    <x v="0"/>
  </r>
  <r>
    <n v="62931"/>
    <x v="123"/>
    <s v="MME"/>
    <x v="2"/>
    <n v="50037902"/>
    <s v="LIXADEIRA BOSCH 3"/>
    <n v="1"/>
    <s v="REALIZADO"/>
    <s v="KELLY"/>
    <x v="123"/>
    <x v="2"/>
    <x v="0"/>
  </r>
  <r>
    <n v="62931"/>
    <x v="123"/>
    <s v="MME"/>
    <x v="2"/>
    <n v="50037902"/>
    <s v="LIXADEIRA BOSCH 3"/>
    <n v="1"/>
    <s v="REALIZADO"/>
    <s v="KELLY"/>
    <x v="123"/>
    <x v="0"/>
    <x v="0"/>
  </r>
  <r>
    <n v="60763"/>
    <x v="57"/>
    <s v="MMG"/>
    <x v="2"/>
    <n v="50038194"/>
    <s v="SERRA TICO TICO BOSCH C/MALETA"/>
    <n v="1"/>
    <s v="REALIZADO"/>
    <s v="KELLY"/>
    <x v="123"/>
    <x v="2"/>
    <x v="0"/>
  </r>
  <r>
    <n v="60763"/>
    <x v="57"/>
    <s v="MMG"/>
    <x v="2"/>
    <n v="50038194"/>
    <s v="SERRA TICO TICO BOSCH C/MALETA"/>
    <n v="1"/>
    <s v="REALIZADO"/>
    <s v="KELLY"/>
    <x v="123"/>
    <x v="0"/>
    <x v="0"/>
  </r>
  <r>
    <n v="74874"/>
    <x v="90"/>
    <s v="MMG"/>
    <x v="0"/>
    <n v="50037905"/>
    <s v="ESTETOSCÓPIO SKF"/>
    <n v="1"/>
    <s v="REALIZADO"/>
    <s v="BRUNO"/>
    <x v="124"/>
    <x v="2"/>
    <x v="0"/>
  </r>
  <r>
    <n v="74874"/>
    <x v="90"/>
    <s v="MMG"/>
    <x v="0"/>
    <n v="50037905"/>
    <s v="ESTETOSCÓPIO SKF"/>
    <n v="1"/>
    <s v="REALIZADO"/>
    <s v="BRUNA"/>
    <x v="124"/>
    <x v="0"/>
    <x v="0"/>
  </r>
  <r>
    <n v="68760"/>
    <x v="15"/>
    <s v="MMG"/>
    <x v="0"/>
    <n v="50039236"/>
    <s v="FURADEIRA BOSCH 4"/>
    <n v="1"/>
    <s v="REALIZADO"/>
    <s v="GEOVANE"/>
    <x v="124"/>
    <x v="2"/>
    <x v="0"/>
  </r>
  <r>
    <n v="68760"/>
    <x v="15"/>
    <s v="MMG"/>
    <x v="0"/>
    <n v="50039236"/>
    <s v="FURADEIRA BOSCH 4"/>
    <n v="1"/>
    <s v="REALIZADO"/>
    <s v="BRUNO"/>
    <x v="124"/>
    <x v="0"/>
    <x v="0"/>
  </r>
  <r>
    <n v="62640"/>
    <x v="44"/>
    <s v="MPR"/>
    <x v="0"/>
    <n v="50029865"/>
    <s v="JOGO DE BROCAS ACO RAPIDO"/>
    <n v="1"/>
    <s v="REALIZADO"/>
    <s v="BRUNO"/>
    <x v="124"/>
    <x v="2"/>
    <x v="0"/>
  </r>
  <r>
    <n v="62640"/>
    <x v="44"/>
    <s v="MPR"/>
    <x v="0"/>
    <n v="50029865"/>
    <s v="JOGO DE BROCAS ACO RAPIDO"/>
    <n v="1"/>
    <s v="REALIZADO"/>
    <s v="BRUNA"/>
    <x v="124"/>
    <x v="0"/>
    <x v="0"/>
  </r>
  <r>
    <n v="60953"/>
    <x v="71"/>
    <s v="MMG"/>
    <x v="2"/>
    <n v="50043320"/>
    <s v="JOGO SERRA COPO 8PÇS"/>
    <n v="1"/>
    <s v="REALIZADO"/>
    <s v="AGATHA"/>
    <x v="124"/>
    <x v="2"/>
    <x v="0"/>
  </r>
  <r>
    <n v="60953"/>
    <x v="71"/>
    <s v="MMG"/>
    <x v="2"/>
    <n v="50043320"/>
    <s v="JOGO SERRA COPO 8PÇS"/>
    <n v="1"/>
    <s v="REALIZADO"/>
    <s v="AGATHA"/>
    <x v="124"/>
    <x v="0"/>
    <x v="0"/>
  </r>
  <r>
    <n v="68430"/>
    <x v="61"/>
    <s v="MEE"/>
    <x v="2"/>
    <n v="50038549"/>
    <s v="JOGO SOQUETE ESTRIADOS 1/2 22PEÇ"/>
    <n v="1"/>
    <s v="REALIZADO"/>
    <s v="AGATHA"/>
    <x v="124"/>
    <x v="2"/>
    <x v="0"/>
  </r>
  <r>
    <n v="68430"/>
    <x v="61"/>
    <s v="MEE"/>
    <x v="2"/>
    <n v="50038549"/>
    <s v="JOGO SOQUETE ESTRIADOS 1/2 22PEÇ"/>
    <n v="1"/>
    <s v="REALIZADO"/>
    <s v="BRUNA"/>
    <x v="124"/>
    <x v="0"/>
    <x v="0"/>
  </r>
  <r>
    <n v="61264"/>
    <x v="10"/>
    <s v="MMG"/>
    <x v="0"/>
    <n v="50044250"/>
    <s v="KIT INTENSIFICADOR DE FITA"/>
    <n v="1"/>
    <s v="REALIZADO"/>
    <s v="GEOVANE"/>
    <x v="124"/>
    <x v="0"/>
    <x v="0"/>
  </r>
  <r>
    <n v="67863"/>
    <x v="40"/>
    <s v="MME"/>
    <x v="2"/>
    <n v="50038517"/>
    <s v="LIXADEIRA BOSCH 5"/>
    <n v="1"/>
    <s v="REALIZADO"/>
    <s v="BRUNA"/>
    <x v="124"/>
    <x v="2"/>
    <x v="0"/>
  </r>
  <r>
    <n v="67863"/>
    <x v="40"/>
    <s v="MME"/>
    <x v="2"/>
    <n v="50038517"/>
    <s v="LIXADEIRA BOSCH 5"/>
    <n v="1"/>
    <s v="REALIZADO"/>
    <s v="BRUNO"/>
    <x v="124"/>
    <x v="0"/>
    <x v="0"/>
  </r>
  <r>
    <n v="74950"/>
    <x v="70"/>
    <s v="MME"/>
    <x v="0"/>
    <n v="50039065"/>
    <s v="MAQUINA SOLDA TIG"/>
    <n v="1"/>
    <s v="REALIZADO"/>
    <s v="AGATHA"/>
    <x v="124"/>
    <x v="2"/>
    <x v="0"/>
  </r>
  <r>
    <n v="74950"/>
    <x v="70"/>
    <s v="MME"/>
    <x v="0"/>
    <n v="50039065"/>
    <s v="MAQUINA SOLDA TIG"/>
    <n v="1"/>
    <s v="REALIZADO"/>
    <s v="BRUNO"/>
    <x v="124"/>
    <x v="0"/>
    <x v="0"/>
  </r>
  <r>
    <n v="64074"/>
    <x v="75"/>
    <s v="MPR"/>
    <x v="0"/>
    <n v="50041195"/>
    <s v="PARAFUSADEIRA FUR DE IMPACTO BRUSHLESS"/>
    <n v="1"/>
    <s v="REALIZADO"/>
    <s v="BRUNO"/>
    <x v="124"/>
    <x v="0"/>
    <x v="0"/>
  </r>
  <r>
    <n v="73878"/>
    <x v="20"/>
    <s v="MMG"/>
    <x v="3"/>
    <n v="50041195"/>
    <s v="PARAFUSADEIRA FUR DE IMPACTO BRUSHLESS"/>
    <n v="1"/>
    <s v="REALIZADO"/>
    <s v="HILARIO"/>
    <x v="124"/>
    <x v="0"/>
    <x v="4"/>
  </r>
  <r>
    <n v="64128"/>
    <x v="42"/>
    <s v="UTI"/>
    <x v="3"/>
    <n v="50043917"/>
    <s v="PARAFUSADEIRA FURADEIRA BOSCH"/>
    <n v="1"/>
    <s v="REALIZADO"/>
    <s v="KELLY"/>
    <x v="124"/>
    <x v="2"/>
    <x v="0"/>
  </r>
  <r>
    <n v="64128"/>
    <x v="42"/>
    <s v="UTI"/>
    <x v="3"/>
    <n v="50043917"/>
    <s v="PARAFUSADEIRA FURADEIRA BOSCH"/>
    <n v="1"/>
    <s v="REALIZADO"/>
    <s v="KELLY"/>
    <x v="124"/>
    <x v="0"/>
    <x v="0"/>
  </r>
  <r>
    <n v="62640"/>
    <x v="44"/>
    <s v="MPR"/>
    <x v="0"/>
    <n v="50043917"/>
    <s v="PARAFUSADEIRA FURADEIRA BOSCH"/>
    <n v="1"/>
    <s v="REALIZADO"/>
    <s v="BRUNO"/>
    <x v="124"/>
    <x v="2"/>
    <x v="0"/>
  </r>
  <r>
    <n v="62640"/>
    <x v="44"/>
    <s v="MPR"/>
    <x v="0"/>
    <n v="50043917"/>
    <s v="PARAFUSADEIRA FURADEIRA BOSCH"/>
    <n v="1"/>
    <s v="REALIZADO"/>
    <s v="BRUNA"/>
    <x v="124"/>
    <x v="0"/>
    <x v="0"/>
  </r>
  <r>
    <n v="68760"/>
    <x v="15"/>
    <s v="MMG"/>
    <x v="0"/>
    <n v="50003295"/>
    <s v="PARAFUSADEIRA FURADEIRA DE IMPACTO 1/2"/>
    <n v="1"/>
    <s v="REALIZADO"/>
    <s v="GEOVANE"/>
    <x v="124"/>
    <x v="2"/>
    <x v="0"/>
  </r>
  <r>
    <n v="68760"/>
    <x v="15"/>
    <s v="MMG"/>
    <x v="0"/>
    <n v="50003295"/>
    <s v="PARAFUSADEIRA FURADEIRA DE IMPACTO 1/2"/>
    <n v="1"/>
    <s v="REALIZADO"/>
    <s v="BRUNA"/>
    <x v="124"/>
    <x v="2"/>
    <x v="0"/>
  </r>
  <r>
    <n v="66790"/>
    <x v="60"/>
    <s v="MMG"/>
    <x v="3"/>
    <n v="50005179"/>
    <s v="SACA POLIA 03 GARRAS"/>
    <n v="1"/>
    <s v="REALIZADO"/>
    <s v="AGATHA"/>
    <x v="124"/>
    <x v="0"/>
    <x v="0"/>
  </r>
  <r>
    <n v="66790"/>
    <x v="60"/>
    <s v="MMG"/>
    <x v="3"/>
    <n v="50043151"/>
    <s v="VAZADOR"/>
    <n v="1"/>
    <s v="REALIZADO"/>
    <s v="KELLY"/>
    <x v="124"/>
    <x v="2"/>
    <x v="0"/>
  </r>
  <r>
    <n v="66790"/>
    <x v="60"/>
    <s v="MMG"/>
    <x v="3"/>
    <n v="50043151"/>
    <s v="VAZADOR"/>
    <n v="1"/>
    <s v="REALIZADO"/>
    <s v="KELLY"/>
    <x v="124"/>
    <x v="0"/>
    <x v="0"/>
  </r>
  <r>
    <n v="61264"/>
    <x v="10"/>
    <s v="MMG"/>
    <x v="0"/>
    <n v="50044250"/>
    <s v="CONJUNTO DE FITA DE ARQUEAR"/>
    <n v="1"/>
    <s v="REALIZADO"/>
    <s v="GEOVANE"/>
    <x v="125"/>
    <x v="2"/>
    <x v="0"/>
  </r>
  <r>
    <n v="61264"/>
    <x v="10"/>
    <s v="MMG"/>
    <x v="0"/>
    <n v="50044250"/>
    <s v="CONJUNTO DE FITA DE ARQUEAR"/>
    <n v="1"/>
    <s v="REALIZADO"/>
    <s v="GEOVANE"/>
    <x v="125"/>
    <x v="0"/>
    <x v="0"/>
  </r>
  <r>
    <n v="61955"/>
    <x v="55"/>
    <s v="MME"/>
    <x v="2"/>
    <n v="50043471"/>
    <s v="FURADEIRA BOSCH 7"/>
    <n v="1"/>
    <s v="REALIZADO"/>
    <s v="GEOVANE"/>
    <x v="125"/>
    <x v="2"/>
    <x v="0"/>
  </r>
  <r>
    <n v="61955"/>
    <x v="55"/>
    <s v="MME"/>
    <x v="2"/>
    <n v="50043471"/>
    <s v="FURADEIRA BOSCH 7"/>
    <n v="1"/>
    <s v="REALIZADO"/>
    <s v="BRUNA"/>
    <x v="125"/>
    <x v="0"/>
    <x v="0"/>
  </r>
  <r>
    <n v="68708"/>
    <x v="13"/>
    <s v="MMG"/>
    <x v="0"/>
    <n v="50038549"/>
    <s v="JOGO SOQUETE ESTRIADOS 1/2 22PEÇ"/>
    <n v="1"/>
    <s v="REALIZADO"/>
    <s v="BRUNA"/>
    <x v="125"/>
    <x v="2"/>
    <x v="0"/>
  </r>
  <r>
    <n v="68708"/>
    <x v="13"/>
    <s v="MMG"/>
    <x v="0"/>
    <n v="50038549"/>
    <s v="JOGO SOQUETE ESTRIADOS 1/2 22PEÇ"/>
    <n v="1"/>
    <s v="REALIZADO"/>
    <s v="MATHEUS"/>
    <x v="125"/>
    <x v="0"/>
    <x v="0"/>
  </r>
  <r>
    <n v="68708"/>
    <x v="13"/>
    <s v="MMG"/>
    <x v="0"/>
    <n v="50037902"/>
    <s v="LIXADEIRA BOSCH 3"/>
    <n v="1"/>
    <s v="REALIZADO"/>
    <s v="GEOVANE"/>
    <x v="125"/>
    <x v="2"/>
    <x v="0"/>
  </r>
  <r>
    <n v="68708"/>
    <x v="13"/>
    <s v="MMG"/>
    <x v="0"/>
    <n v="50037902"/>
    <s v="LIXADEIRA BOSCH 3"/>
    <n v="1"/>
    <s v="REALIZADO"/>
    <s v="GEOVANE"/>
    <x v="125"/>
    <x v="0"/>
    <x v="0"/>
  </r>
  <r>
    <n v="96464"/>
    <x v="46"/>
    <s v="MEE"/>
    <x v="2"/>
    <n v="50037902"/>
    <s v="LIXADEIRA BOSCH 3"/>
    <n v="1"/>
    <s v="REALIZADO"/>
    <s v="BRUNO"/>
    <x v="125"/>
    <x v="2"/>
    <x v="0"/>
  </r>
  <r>
    <n v="96464"/>
    <x v="46"/>
    <s v="MEE"/>
    <x v="2"/>
    <n v="50037902"/>
    <s v="LIXADEIRA BOSCH 3"/>
    <n v="1"/>
    <s v="REALIZADO"/>
    <s v="BRUNO"/>
    <x v="125"/>
    <x v="0"/>
    <x v="0"/>
  </r>
  <r>
    <n v="61955"/>
    <x v="55"/>
    <s v="MME"/>
    <x v="2"/>
    <n v="50038841"/>
    <s v="LIXADEIRA BOSCH 4"/>
    <n v="1"/>
    <s v="REALIZADO"/>
    <s v="GEOVANE"/>
    <x v="125"/>
    <x v="2"/>
    <x v="0"/>
  </r>
  <r>
    <n v="61955"/>
    <x v="55"/>
    <s v="MME"/>
    <x v="2"/>
    <n v="50038841"/>
    <s v="LIXADEIRA BOSCH 4"/>
    <n v="1"/>
    <s v="REALIZADO"/>
    <s v="BRUNO"/>
    <x v="125"/>
    <x v="0"/>
    <x v="0"/>
  </r>
  <r>
    <n v="61264"/>
    <x v="10"/>
    <s v="MMG"/>
    <x v="0"/>
    <n v="50038841"/>
    <s v="LIXADEIRA BOSCH 4"/>
    <n v="1"/>
    <s v="REALIZADO"/>
    <s v="BRUNO"/>
    <x v="125"/>
    <x v="2"/>
    <x v="0"/>
  </r>
  <r>
    <n v="61264"/>
    <x v="10"/>
    <s v="MMG"/>
    <x v="0"/>
    <n v="50038841"/>
    <s v="LIXADEIRA BOSCH 4"/>
    <n v="1"/>
    <s v="REALIZADO"/>
    <s v="MATHEUS"/>
    <x v="125"/>
    <x v="2"/>
    <x v="0"/>
  </r>
  <r>
    <n v="64074"/>
    <x v="75"/>
    <s v="MPR"/>
    <x v="0"/>
    <n v="50041195"/>
    <s v="PARAFUSADEIRA FUR DE IMPACTO BRUSHLESS"/>
    <n v="1"/>
    <s v="REALIZADO"/>
    <s v="BRUNO"/>
    <x v="125"/>
    <x v="0"/>
    <x v="0"/>
  </r>
  <r>
    <n v="65084"/>
    <x v="83"/>
    <s v="MMG"/>
    <x v="4"/>
    <n v="50041195"/>
    <s v="PARAFUSADEIRA FUR DE IMPACTO BRUSHLESS"/>
    <n v="1"/>
    <s v="REALIZADO"/>
    <s v="HILARIO"/>
    <x v="125"/>
    <x v="0"/>
    <x v="0"/>
  </r>
  <r>
    <n v="72715"/>
    <x v="26"/>
    <s v="MPR"/>
    <x v="0"/>
    <n v="50003295"/>
    <s v="PARAFUSADEIRA FURADEIRA DE IMPACTO 1/2"/>
    <n v="1"/>
    <s v="REALIZADO"/>
    <s v="GEOVANE"/>
    <x v="125"/>
    <x v="2"/>
    <x v="0"/>
  </r>
  <r>
    <n v="72715"/>
    <x v="26"/>
    <s v="MPR"/>
    <x v="0"/>
    <n v="50003295"/>
    <s v="PARAFUSADEIRA FURADEIRA DE IMPACTO 1/2"/>
    <n v="1"/>
    <s v="REALIZADO"/>
    <s v="GEOVANE"/>
    <x v="125"/>
    <x v="0"/>
    <x v="0"/>
  </r>
  <r>
    <n v="62164"/>
    <x v="24"/>
    <s v="MEE"/>
    <x v="4"/>
    <n v="50002644"/>
    <s v="ALICATE CRIMPADOR"/>
    <n v="1"/>
    <s v="REALIZADO"/>
    <s v="AGATHA"/>
    <x v="126"/>
    <x v="2"/>
    <x v="0"/>
  </r>
  <r>
    <n v="62164"/>
    <x v="24"/>
    <s v="MEE"/>
    <x v="4"/>
    <n v="50002644"/>
    <s v="ALICATE CRIMPADOR"/>
    <n v="1"/>
    <s v="REALIZADO"/>
    <s v="AGATHA"/>
    <x v="126"/>
    <x v="0"/>
    <x v="0"/>
  </r>
  <r>
    <n v="78861"/>
    <x v="124"/>
    <s v="MTC"/>
    <x v="2"/>
    <n v="50036255"/>
    <s v="CHAVE DE IMPACTO 1/2&quot; 20V"/>
    <n v="1"/>
    <s v="REALIZADO"/>
    <s v="BRUNA"/>
    <x v="126"/>
    <x v="2"/>
    <x v="0"/>
  </r>
  <r>
    <n v="78861"/>
    <x v="124"/>
    <s v="MTC"/>
    <x v="2"/>
    <n v="50036255"/>
    <s v="CHAVE DE IMPACTO 1/2&quot; 20V"/>
    <n v="1"/>
    <s v="REALIZADO"/>
    <s v="BRUNA"/>
    <x v="126"/>
    <x v="2"/>
    <x v="0"/>
  </r>
  <r>
    <n v="62471"/>
    <x v="9"/>
    <s v="MME"/>
    <x v="0"/>
    <n v="50036086"/>
    <s v="CHAVE GRIFO 18"/>
    <n v="1"/>
    <s v="REALIZADO"/>
    <s v="BRUNA"/>
    <x v="126"/>
    <x v="0"/>
    <x v="0"/>
  </r>
  <r>
    <n v="71850"/>
    <x v="14"/>
    <s v="MMG"/>
    <x v="0"/>
    <n v="50043520"/>
    <s v="ESCADA "/>
    <n v="1"/>
    <s v="REALIZADO"/>
    <s v="KELLY"/>
    <x v="126"/>
    <x v="2"/>
    <x v="0"/>
  </r>
  <r>
    <n v="71850"/>
    <x v="14"/>
    <s v="MMG"/>
    <x v="0"/>
    <n v="50043520"/>
    <s v="ESCADA "/>
    <n v="1"/>
    <s v="REALIZADO"/>
    <s v="KELLY"/>
    <x v="126"/>
    <x v="0"/>
    <x v="0"/>
  </r>
  <r>
    <n v="78886"/>
    <x v="116"/>
    <s v="MME"/>
    <x v="0"/>
    <n v="50043520"/>
    <s v="ESCADA "/>
    <n v="1"/>
    <s v="REALIZADO"/>
    <s v="AGATHA"/>
    <x v="126"/>
    <x v="2"/>
    <x v="0"/>
  </r>
  <r>
    <n v="78886"/>
    <x v="116"/>
    <s v="MME"/>
    <x v="0"/>
    <n v="50043520"/>
    <s v="ESCADA "/>
    <n v="1"/>
    <s v="REALIZADO"/>
    <s v="BRUNA"/>
    <x v="126"/>
    <x v="0"/>
    <x v="0"/>
  </r>
  <r>
    <n v="74874"/>
    <x v="90"/>
    <s v="MMG"/>
    <x v="0"/>
    <n v="50037905"/>
    <s v="ESTETOSCÓPIO SKF"/>
    <n v="1"/>
    <s v="REALIZADO"/>
    <s v="BRUNA"/>
    <x v="126"/>
    <x v="2"/>
    <x v="0"/>
  </r>
  <r>
    <n v="74874"/>
    <x v="90"/>
    <s v="MMG"/>
    <x v="0"/>
    <n v="50037905"/>
    <s v="ESTETOSCÓPIO SKF"/>
    <n v="1"/>
    <s v="REALIZADO"/>
    <s v="BRUNA"/>
    <x v="126"/>
    <x v="0"/>
    <x v="0"/>
  </r>
  <r>
    <n v="75424"/>
    <x v="39"/>
    <s v="MME"/>
    <x v="2"/>
    <n v="50030074"/>
    <s v="FURADEIRA BOSCH 6"/>
    <n v="1"/>
    <s v="REALIZADO"/>
    <s v="AGATHA"/>
    <x v="126"/>
    <x v="2"/>
    <x v="0"/>
  </r>
  <r>
    <n v="75424"/>
    <x v="39"/>
    <s v="MME"/>
    <x v="2"/>
    <n v="50030074"/>
    <s v="FURADEIRA BOSCH 6"/>
    <n v="1"/>
    <s v="REALIZADO"/>
    <s v="AGATHA"/>
    <x v="126"/>
    <x v="0"/>
    <x v="0"/>
  </r>
  <r>
    <n v="78675"/>
    <x v="12"/>
    <s v="MME"/>
    <x v="2"/>
    <n v="50043471"/>
    <s v="FURADEIRA BOSCH 7"/>
    <n v="1"/>
    <s v="REALIZADO"/>
    <s v="AGATHA"/>
    <x v="126"/>
    <x v="2"/>
    <x v="0"/>
  </r>
  <r>
    <n v="78675"/>
    <x v="12"/>
    <s v="MME"/>
    <x v="2"/>
    <n v="50043471"/>
    <s v="FURADEIRA BOSCH 7"/>
    <n v="1"/>
    <s v="REALIZADO"/>
    <s v="AGATHA"/>
    <x v="126"/>
    <x v="0"/>
    <x v="0"/>
  </r>
  <r>
    <n v="78675"/>
    <x v="12"/>
    <s v="MME"/>
    <x v="2"/>
    <n v="50043471"/>
    <s v="FURADEIRA BOSCH 7"/>
    <n v="1"/>
    <s v="REALIZADO"/>
    <s v="AGATHA"/>
    <x v="126"/>
    <x v="2"/>
    <x v="0"/>
  </r>
  <r>
    <n v="78675"/>
    <x v="12"/>
    <s v="MME"/>
    <x v="2"/>
    <n v="50043471"/>
    <s v="FURADEIRA BOSCH 7"/>
    <n v="1"/>
    <s v="REALIZADO"/>
    <s v="BRUNO"/>
    <x v="126"/>
    <x v="0"/>
    <x v="0"/>
  </r>
  <r>
    <n v="65472"/>
    <x v="48"/>
    <s v="MMG"/>
    <x v="0"/>
    <n v="50003296"/>
    <s v="FURADEIRA DE IMPACTO MAKITA 01"/>
    <n v="1"/>
    <s v="REALIZADO"/>
    <s v="KELLY"/>
    <x v="126"/>
    <x v="2"/>
    <x v="0"/>
  </r>
  <r>
    <n v="65472"/>
    <x v="48"/>
    <s v="MMG"/>
    <x v="0"/>
    <n v="50003296"/>
    <s v="FURADEIRA DE IMPACTO MAKITA 01"/>
    <n v="1"/>
    <s v="REALIZADO"/>
    <s v="BRUNO"/>
    <x v="126"/>
    <x v="0"/>
    <x v="0"/>
  </r>
  <r>
    <n v="72715"/>
    <x v="26"/>
    <s v="MPR"/>
    <x v="0"/>
    <n v="50029865"/>
    <s v="JOGO DE BROCAS ACO RAPIDO"/>
    <n v="1"/>
    <s v="REALIZADO"/>
    <s v="AGATHA"/>
    <x v="126"/>
    <x v="2"/>
    <x v="0"/>
  </r>
  <r>
    <n v="72715"/>
    <x v="26"/>
    <s v="MPR"/>
    <x v="0"/>
    <n v="50029865"/>
    <s v="JOGO DE BROCAS ACO RAPIDO"/>
    <n v="1"/>
    <s v="REALIZADO"/>
    <s v="AGATHA"/>
    <x v="126"/>
    <x v="0"/>
    <x v="0"/>
  </r>
  <r>
    <n v="96464"/>
    <x v="46"/>
    <s v="MEE"/>
    <x v="2"/>
    <n v="50038549"/>
    <s v="JOGO SOQUETE ESTRIADOS 1/2 22PEÇ"/>
    <n v="1"/>
    <s v="REALIZADO"/>
    <s v="KELLY"/>
    <x v="126"/>
    <x v="2"/>
    <x v="0"/>
  </r>
  <r>
    <n v="96464"/>
    <x v="46"/>
    <s v="MEE"/>
    <x v="2"/>
    <n v="50038549"/>
    <s v="JOGO SOQUETE ESTRIADOS 1/2 22PEÇ"/>
    <n v="1"/>
    <s v="REALIZADO"/>
    <s v="BRUNO"/>
    <x v="126"/>
    <x v="0"/>
    <x v="0"/>
  </r>
  <r>
    <n v="74611"/>
    <x v="2"/>
    <s v="MPR"/>
    <x v="0"/>
    <n v="50037902"/>
    <s v="LIXADEIRA BOSCH 3"/>
    <n v="1"/>
    <s v="REALIZADO"/>
    <s v="AGATHA"/>
    <x v="126"/>
    <x v="2"/>
    <x v="0"/>
  </r>
  <r>
    <n v="74611"/>
    <x v="2"/>
    <s v="MPR"/>
    <x v="0"/>
    <n v="50037902"/>
    <s v="LIXADEIRA BOSCH 3"/>
    <n v="1"/>
    <s v="REALIZADO"/>
    <s v="BRUNO"/>
    <x v="126"/>
    <x v="0"/>
    <x v="0"/>
  </r>
  <r>
    <n v="73878"/>
    <x v="20"/>
    <s v="MMG"/>
    <x v="0"/>
    <n v="50038841"/>
    <s v="LIXADEIRA BOSCH 4"/>
    <n v="1"/>
    <s v="REALIZADO"/>
    <s v="AGATHA"/>
    <x v="126"/>
    <x v="2"/>
    <x v="0"/>
  </r>
  <r>
    <n v="73878"/>
    <x v="20"/>
    <s v="MMG"/>
    <x v="0"/>
    <n v="50038841"/>
    <s v="LIXADEIRA BOSCH 4"/>
    <n v="1"/>
    <s v="REALIZADO"/>
    <s v="BRUNO"/>
    <x v="126"/>
    <x v="0"/>
    <x v="0"/>
  </r>
  <r>
    <n v="75424"/>
    <x v="39"/>
    <s v="MME"/>
    <x v="2"/>
    <n v="50038517"/>
    <s v="LIXADEIRA BOSCH 5"/>
    <n v="1"/>
    <s v="REALIZADO"/>
    <s v="KELLY"/>
    <x v="126"/>
    <x v="2"/>
    <x v="0"/>
  </r>
  <r>
    <n v="75424"/>
    <x v="39"/>
    <s v="MME"/>
    <x v="2"/>
    <n v="50038517"/>
    <s v="LIXADEIRA BOSCH 5"/>
    <n v="1"/>
    <s v="REALIZADO"/>
    <s v="BRUNA"/>
    <x v="126"/>
    <x v="0"/>
    <x v="0"/>
  </r>
  <r>
    <n v="74611"/>
    <x v="2"/>
    <s v="MPR"/>
    <x v="0"/>
    <n v="50001995"/>
    <s v="MAQUINA DE SOLDA"/>
    <n v="1"/>
    <s v="REALIZADO"/>
    <s v="AGATHA"/>
    <x v="126"/>
    <x v="2"/>
    <x v="0"/>
  </r>
  <r>
    <n v="74611"/>
    <x v="2"/>
    <s v="MPR"/>
    <x v="0"/>
    <n v="50001995"/>
    <s v="MAQUINA DE SOLDA"/>
    <n v="1"/>
    <s v="REALIZADO"/>
    <s v="BRUNO"/>
    <x v="126"/>
    <x v="0"/>
    <x v="0"/>
  </r>
  <r>
    <n v="62471"/>
    <x v="9"/>
    <s v="MME"/>
    <x v="0"/>
    <n v="50038626"/>
    <s v="MARRETA 8KG"/>
    <n v="1"/>
    <s v="REALIZADO"/>
    <s v="KELLY"/>
    <x v="126"/>
    <x v="2"/>
    <x v="0"/>
  </r>
  <r>
    <n v="62471"/>
    <x v="9"/>
    <s v="MME"/>
    <x v="0"/>
    <n v="50038626"/>
    <s v="MARRETA 8KG"/>
    <n v="1"/>
    <s v="REALIZADO"/>
    <s v="BRUNA"/>
    <x v="126"/>
    <x v="0"/>
    <x v="0"/>
  </r>
  <r>
    <n v="74611"/>
    <x v="2"/>
    <s v="MPR"/>
    <x v="0"/>
    <n v="50026357"/>
    <s v="MARTELETE VONDER"/>
    <n v="1"/>
    <s v="REALIZADO"/>
    <s v="AGATHA"/>
    <x v="126"/>
    <x v="2"/>
    <x v="0"/>
  </r>
  <r>
    <n v="74611"/>
    <x v="2"/>
    <s v="MPR"/>
    <x v="0"/>
    <n v="50026357"/>
    <s v="MARTELETE VONDER"/>
    <n v="1"/>
    <s v="REALIZADO"/>
    <s v="AGATHA"/>
    <x v="126"/>
    <x v="0"/>
    <x v="0"/>
  </r>
  <r>
    <n v="64074"/>
    <x v="75"/>
    <s v="MPR"/>
    <x v="0"/>
    <n v="50041195"/>
    <s v="PARAFUSADEIRA FUR DE IMPACTO BRUSHLESS"/>
    <n v="1"/>
    <s v="REALIZADO"/>
    <s v="KELLY"/>
    <x v="126"/>
    <x v="2"/>
    <x v="0"/>
  </r>
  <r>
    <n v="64074"/>
    <x v="75"/>
    <s v="MPR"/>
    <x v="0"/>
    <n v="50041195"/>
    <s v="PARAFUSADEIRA FUR DE IMPACTO BRUSHLESS"/>
    <n v="1"/>
    <s v="REALIZADO"/>
    <s v="BRUNO"/>
    <x v="126"/>
    <x v="0"/>
    <x v="0"/>
  </r>
  <r>
    <n v="72715"/>
    <x v="26"/>
    <s v="MPR"/>
    <x v="0"/>
    <n v="50043917"/>
    <s v="PARAFUSADEIRA FURADEIRA BOSCH"/>
    <n v="1"/>
    <s v="REALIZADO"/>
    <s v="AGATHA"/>
    <x v="126"/>
    <x v="2"/>
    <x v="0"/>
  </r>
  <r>
    <n v="72715"/>
    <x v="26"/>
    <s v="MPR"/>
    <x v="0"/>
    <n v="50043917"/>
    <s v="PARAFUSADEIRA FURADEIRA BOSCH"/>
    <n v="1"/>
    <s v="REALIZADO"/>
    <s v="AGATHA"/>
    <x v="126"/>
    <x v="0"/>
    <x v="0"/>
  </r>
  <r>
    <n v="77526"/>
    <x v="37"/>
    <s v="MME"/>
    <x v="0"/>
    <n v="50012903"/>
    <s v="SACA POLIA 02 GARRAS 250MM GEDORE"/>
    <n v="1"/>
    <s v="REALIZADO"/>
    <s v="BRUNA"/>
    <x v="126"/>
    <x v="2"/>
    <x v="0"/>
  </r>
  <r>
    <n v="77526"/>
    <x v="37"/>
    <s v="MME"/>
    <x v="0"/>
    <n v="50012903"/>
    <s v="SACA POLIA 02 GARRAS 250MM GEDORE"/>
    <n v="1"/>
    <s v="REALIZADO"/>
    <s v="BRUNA"/>
    <x v="126"/>
    <x v="0"/>
    <x v="0"/>
  </r>
  <r>
    <n v="61264"/>
    <x v="10"/>
    <s v="MMG"/>
    <x v="0"/>
    <n v="50038845"/>
    <s v="SERRA CIRCULAR "/>
    <n v="1"/>
    <s v="REALIZADO"/>
    <s v="AGATHA"/>
    <x v="126"/>
    <x v="2"/>
    <x v="0"/>
  </r>
  <r>
    <n v="61264"/>
    <x v="10"/>
    <s v="MMG"/>
    <x v="0"/>
    <n v="50038845"/>
    <s v="SERRA CIRCULAR "/>
    <n v="1"/>
    <s v="REALIZADO"/>
    <s v="AGATHA"/>
    <x v="126"/>
    <x v="0"/>
    <x v="0"/>
  </r>
  <r>
    <n v="78675"/>
    <x v="12"/>
    <s v="MME"/>
    <x v="2"/>
    <n v="50032781"/>
    <s v="SERRA TICO TICO 650W DEWALT "/>
    <n v="1"/>
    <s v="REALIZADO"/>
    <s v="AGATHA"/>
    <x v="126"/>
    <x v="2"/>
    <x v="0"/>
  </r>
  <r>
    <n v="78675"/>
    <x v="12"/>
    <s v="MME"/>
    <x v="2"/>
    <n v="50032781"/>
    <s v="SERRA TICO TICO 650W DEWALT "/>
    <n v="1"/>
    <s v="REALIZADO"/>
    <s v="AGATHA"/>
    <x v="126"/>
    <x v="0"/>
    <x v="0"/>
  </r>
  <r>
    <n v="78861"/>
    <x v="124"/>
    <s v="MTC"/>
    <x v="2"/>
    <n v="50032781"/>
    <s v="SERRA TICO TICO 650W DEWALT "/>
    <n v="1"/>
    <s v="REALIZADO"/>
    <s v="BRUNA"/>
    <x v="126"/>
    <x v="2"/>
    <x v="0"/>
  </r>
  <r>
    <n v="78675"/>
    <x v="12"/>
    <s v="MME"/>
    <x v="2"/>
    <n v="50032781"/>
    <s v="SERRA TICO TICO 650W DEWALT "/>
    <n v="1"/>
    <s v="REALIZADO"/>
    <s v="BRUNO"/>
    <x v="126"/>
    <x v="0"/>
    <x v="0"/>
  </r>
  <r>
    <n v="66790"/>
    <x v="60"/>
    <s v="MMG"/>
    <x v="3"/>
    <n v="50037900"/>
    <s v="SOLDADOR POLYCODE"/>
    <n v="1"/>
    <s v="REALIZADO"/>
    <s v="KELLY"/>
    <x v="126"/>
    <x v="2"/>
    <x v="0"/>
  </r>
  <r>
    <n v="66790"/>
    <x v="60"/>
    <s v="MMG"/>
    <x v="3"/>
    <n v="50037900"/>
    <s v="SOLDADOR POLYCODE"/>
    <n v="1"/>
    <s v="REALIZADO"/>
    <s v="AGATHA"/>
    <x v="126"/>
    <x v="0"/>
    <x v="0"/>
  </r>
  <r>
    <n v="72715"/>
    <x v="26"/>
    <s v="MPR"/>
    <x v="0"/>
    <n v="50028220"/>
    <s v="SOPRADOR TERMICO VONDER 1500W 220V"/>
    <n v="1"/>
    <s v="REALIZADO"/>
    <s v="AGATHA"/>
    <x v="126"/>
    <x v="2"/>
    <x v="0"/>
  </r>
  <r>
    <n v="72715"/>
    <x v="26"/>
    <s v="MPR"/>
    <x v="0"/>
    <n v="50028220"/>
    <s v="SOPRADOR TERMICO VONDER 1500W 220V"/>
    <n v="1"/>
    <s v="REALIZADO"/>
    <s v="AGATHA"/>
    <x v="126"/>
    <x v="0"/>
    <x v="0"/>
  </r>
  <r>
    <n v="65844"/>
    <x v="54"/>
    <s v="MMG"/>
    <x v="2"/>
    <n v="50028220"/>
    <s v="SOPRADOR TERMICO VONDER 1500W 220V"/>
    <n v="1"/>
    <s v="REALIZADO"/>
    <s v="BRUNA"/>
    <x v="126"/>
    <x v="2"/>
    <x v="0"/>
  </r>
  <r>
    <n v="65844"/>
    <x v="54"/>
    <s v="MMG"/>
    <x v="2"/>
    <n v="50028220"/>
    <s v="SOPRADOR TERMICO VONDER 1500W 220V"/>
    <n v="1"/>
    <s v="REALIZADO"/>
    <s v="BRUNA"/>
    <x v="126"/>
    <x v="0"/>
    <x v="0"/>
  </r>
  <r>
    <n v="62164"/>
    <x v="24"/>
    <s v="MEE"/>
    <x v="4"/>
    <n v="50002644"/>
    <s v="ALICATE CRIMPADOR"/>
    <n v="1"/>
    <s v="REALIZADO"/>
    <s v="AGATHA"/>
    <x v="127"/>
    <x v="2"/>
    <x v="0"/>
  </r>
  <r>
    <n v="62164"/>
    <x v="24"/>
    <s v="MEE"/>
    <x v="4"/>
    <n v="50002644"/>
    <s v="ALICATE CRIMPADOR"/>
    <n v="1"/>
    <s v="REALIZADO"/>
    <s v="AGATHA"/>
    <x v="127"/>
    <x v="0"/>
    <x v="0"/>
  </r>
  <r>
    <n v="72715"/>
    <x v="26"/>
    <s v="MPR"/>
    <x v="0"/>
    <n v="50038854"/>
    <s v="ARCO DE SERRA"/>
    <n v="1"/>
    <s v="REALIZADO"/>
    <s v="AGATHA"/>
    <x v="127"/>
    <x v="2"/>
    <x v="0"/>
  </r>
  <r>
    <n v="72715"/>
    <x v="26"/>
    <s v="MPR"/>
    <x v="0"/>
    <n v="50038854"/>
    <s v="ARCO DE SERRA"/>
    <n v="1"/>
    <s v="REALIZADO"/>
    <s v="AGATHA"/>
    <x v="127"/>
    <x v="0"/>
    <x v="0"/>
  </r>
  <r>
    <n v="77471"/>
    <x v="35"/>
    <s v="MEE"/>
    <x v="0"/>
    <n v="50036298"/>
    <s v="ASPIRADOR PARA SOLIDOS SEM FIO 20V"/>
    <n v="1"/>
    <s v="REALIZADO"/>
    <s v="KELLY"/>
    <x v="127"/>
    <x v="2"/>
    <x v="0"/>
  </r>
  <r>
    <n v="77471"/>
    <x v="125"/>
    <s v="MEE"/>
    <x v="0"/>
    <n v="50036298"/>
    <s v="ASPIRADOR PARA SOLIDOS SEM FIO 20V"/>
    <n v="1"/>
    <s v="REALIZADO"/>
    <s v="AGATHA"/>
    <x v="127"/>
    <x v="0"/>
    <x v="0"/>
  </r>
  <r>
    <n v="58068"/>
    <x v="31"/>
    <s v="MME"/>
    <x v="0"/>
    <n v="50037918"/>
    <s v="CHAVE CANHÃO 2"/>
    <n v="1"/>
    <s v="REALIZADO"/>
    <s v="AGATHA"/>
    <x v="127"/>
    <x v="2"/>
    <x v="0"/>
  </r>
  <r>
    <n v="58068"/>
    <x v="31"/>
    <s v="MME"/>
    <x v="0"/>
    <n v="50037918"/>
    <s v="CHAVE CANHÃO 2"/>
    <n v="1"/>
    <s v="REALIZADO"/>
    <s v="AGATHA"/>
    <x v="127"/>
    <x v="0"/>
    <x v="0"/>
  </r>
  <r>
    <n v="78861"/>
    <x v="124"/>
    <s v="MTC"/>
    <x v="2"/>
    <n v="50036255"/>
    <s v="CHAVE DE IMPACTO 1/2&quot; 20V"/>
    <n v="1"/>
    <s v="REALIZADO"/>
    <s v="AGATHA"/>
    <x v="127"/>
    <x v="2"/>
    <x v="0"/>
  </r>
  <r>
    <n v="78861"/>
    <x v="124"/>
    <s v="MTC"/>
    <x v="2"/>
    <n v="50036255"/>
    <s v="CHAVE DE IMPACTO 1/2&quot; 20V"/>
    <n v="1"/>
    <s v="REALIZADO"/>
    <s v="BRUNA"/>
    <x v="127"/>
    <x v="0"/>
    <x v="0"/>
  </r>
  <r>
    <n v="65131"/>
    <x v="41"/>
    <s v="MMG"/>
    <x v="3"/>
    <n v="50036086"/>
    <s v="CHAVE GRIFO 18"/>
    <n v="1"/>
    <s v="REALIZADO"/>
    <s v="KELLY"/>
    <x v="127"/>
    <x v="2"/>
    <x v="0"/>
  </r>
  <r>
    <n v="65131"/>
    <x v="41"/>
    <s v="MMG"/>
    <x v="3"/>
    <n v="50036086"/>
    <s v="CHAVE GRIFO 18"/>
    <n v="1"/>
    <s v="REALIZADO"/>
    <s v="KELLY"/>
    <x v="127"/>
    <x v="0"/>
    <x v="0"/>
  </r>
  <r>
    <n v="72715"/>
    <x v="26"/>
    <s v="MPR"/>
    <x v="0"/>
    <n v="50036086"/>
    <s v="CHAVE GRIFO 18"/>
    <n v="1"/>
    <s v="REALIZADO"/>
    <s v="AGATHA"/>
    <x v="127"/>
    <x v="2"/>
    <x v="0"/>
  </r>
  <r>
    <n v="72715"/>
    <x v="26"/>
    <s v="MPR"/>
    <x v="0"/>
    <n v="50036086"/>
    <s v="CHAVE GRIFO 18"/>
    <n v="1"/>
    <s v="REALIZADO"/>
    <s v="AGATHA"/>
    <x v="127"/>
    <x v="0"/>
    <x v="0"/>
  </r>
  <r>
    <n v="61955"/>
    <x v="55"/>
    <s v="MME"/>
    <x v="2"/>
    <n v="50036279"/>
    <s v="CHAVE GRIFO 36"/>
    <n v="1"/>
    <s v="REALIZADO"/>
    <s v="KELLY"/>
    <x v="127"/>
    <x v="2"/>
    <x v="0"/>
  </r>
  <r>
    <n v="61955"/>
    <x v="55"/>
    <s v="MME"/>
    <x v="2"/>
    <n v="50036279"/>
    <s v="CHAVE GRIFO 36"/>
    <n v="1"/>
    <s v="REALIZADO"/>
    <s v="AGATHA"/>
    <x v="127"/>
    <x v="0"/>
    <x v="0"/>
  </r>
  <r>
    <n v="65131"/>
    <x v="41"/>
    <s v="MMG"/>
    <x v="3"/>
    <n v="50043520"/>
    <s v="ESCADA "/>
    <n v="1"/>
    <s v="REALIZADO"/>
    <s v="KELLY"/>
    <x v="127"/>
    <x v="2"/>
    <x v="0"/>
  </r>
  <r>
    <n v="65131"/>
    <x v="41"/>
    <s v="MMG"/>
    <x v="3"/>
    <n v="50043520"/>
    <s v="ESCADA "/>
    <n v="1"/>
    <s v="REALIZADO"/>
    <s v="KELLY"/>
    <x v="127"/>
    <x v="0"/>
    <x v="0"/>
  </r>
  <r>
    <n v="66790"/>
    <x v="60"/>
    <s v="MMG"/>
    <x v="3"/>
    <n v="50039718"/>
    <s v="ESCALA DE ACO 1000MM VONDER "/>
    <n v="1"/>
    <s v="REALIZADO"/>
    <s v="KELLY"/>
    <x v="127"/>
    <x v="2"/>
    <x v="0"/>
  </r>
  <r>
    <n v="66790"/>
    <x v="60"/>
    <s v="MMG"/>
    <x v="3"/>
    <n v="50039718"/>
    <s v="ESCALA DE ACO 1000MM VONDER "/>
    <n v="1"/>
    <s v="REALIZADO"/>
    <s v="AGATHA"/>
    <x v="127"/>
    <x v="0"/>
    <x v="0"/>
  </r>
  <r>
    <n v="66790"/>
    <x v="60"/>
    <s v="MMG"/>
    <x v="3"/>
    <n v="50037905"/>
    <s v="ESTETOSCÓPIO SKF"/>
    <n v="1"/>
    <s v="REALIZADO"/>
    <s v="KELLY"/>
    <x v="127"/>
    <x v="2"/>
    <x v="0"/>
  </r>
  <r>
    <n v="66790"/>
    <x v="60"/>
    <s v="MMG"/>
    <x v="3"/>
    <n v="50037905"/>
    <s v="ESTETOSCÓPIO SKF"/>
    <n v="1"/>
    <s v="REALIZADO"/>
    <s v="AGATHA"/>
    <x v="127"/>
    <x v="0"/>
    <x v="0"/>
  </r>
  <r>
    <n v="68708"/>
    <x v="13"/>
    <s v="MMG"/>
    <x v="0"/>
    <n v="50039236"/>
    <s v="FURADEIRA BOSCH 4"/>
    <n v="1"/>
    <s v="REALIZADO"/>
    <s v="AGATHA"/>
    <x v="127"/>
    <x v="2"/>
    <x v="0"/>
  </r>
  <r>
    <n v="68708"/>
    <x v="13"/>
    <s v="MMG"/>
    <x v="0"/>
    <n v="50039236"/>
    <s v="FURADEIRA BOSCH 4"/>
    <n v="1"/>
    <s v="REALIZADO"/>
    <s v="AGATHA"/>
    <x v="127"/>
    <x v="0"/>
    <x v="0"/>
  </r>
  <r>
    <n v="78675"/>
    <x v="12"/>
    <s v="MME"/>
    <x v="2"/>
    <n v="50003296"/>
    <s v="FURADEIRA DE IMPACTO MAKITA 01"/>
    <n v="1"/>
    <s v="REALIZADO"/>
    <s v="BRUNA"/>
    <x v="127"/>
    <x v="2"/>
    <x v="0"/>
  </r>
  <r>
    <n v="78675"/>
    <x v="12"/>
    <s v="MME"/>
    <x v="2"/>
    <n v="50003296"/>
    <s v="FURADEIRA DE IMPACTO MAKITA 01"/>
    <n v="1"/>
    <s v="REALIZADO"/>
    <s v="MATHEUS"/>
    <x v="127"/>
    <x v="0"/>
    <x v="0"/>
  </r>
  <r>
    <n v="62640"/>
    <x v="44"/>
    <s v="MPR"/>
    <x v="0"/>
    <n v="50029865"/>
    <s v="JOGO DE BROCAS ACO RAPIDO"/>
    <n v="1"/>
    <s v="REALIZADO"/>
    <s v="KELLY"/>
    <x v="127"/>
    <x v="2"/>
    <x v="0"/>
  </r>
  <r>
    <n v="62640"/>
    <x v="44"/>
    <s v="MPR"/>
    <x v="0"/>
    <n v="50029865"/>
    <s v="JOGO DE BROCAS ACO RAPIDO"/>
    <n v="1"/>
    <s v="REALIZADO"/>
    <s v="BRUNA"/>
    <x v="127"/>
    <x v="0"/>
    <x v="0"/>
  </r>
  <r>
    <n v="73878"/>
    <x v="20"/>
    <s v="MMG"/>
    <x v="0"/>
    <n v="50038517"/>
    <s v="LIXADEIRA BOSCH 5"/>
    <n v="1"/>
    <s v="REALIZADO"/>
    <s v="AGATHA"/>
    <x v="127"/>
    <x v="2"/>
    <x v="0"/>
  </r>
  <r>
    <n v="73878"/>
    <x v="20"/>
    <s v="MMG"/>
    <x v="0"/>
    <n v="50038517"/>
    <s v="LIXADEIRA BOSCH 5"/>
    <n v="1"/>
    <s v="REALIZADO"/>
    <s v="MATHEUS"/>
    <x v="127"/>
    <x v="0"/>
    <x v="0"/>
  </r>
  <r>
    <n v="61955"/>
    <x v="55"/>
    <s v="MME"/>
    <x v="2"/>
    <n v="50039065"/>
    <s v="MAQUINA SOLDA TIG"/>
    <n v="1"/>
    <s v="REALIZADO"/>
    <s v="KELLY"/>
    <x v="127"/>
    <x v="2"/>
    <x v="0"/>
  </r>
  <r>
    <n v="61955"/>
    <x v="55"/>
    <s v="MME"/>
    <x v="2"/>
    <n v="50039065"/>
    <s v="MAQUINA SOLDA TIG"/>
    <n v="1"/>
    <s v="REALIZADO"/>
    <s v="BRUNA"/>
    <x v="127"/>
    <x v="0"/>
    <x v="0"/>
  </r>
  <r>
    <n v="72715"/>
    <x v="26"/>
    <s v="MPR"/>
    <x v="0"/>
    <n v="50026357"/>
    <s v="MARTELETE VONDER"/>
    <n v="1"/>
    <s v="REALIZADO"/>
    <s v="KELLY"/>
    <x v="127"/>
    <x v="2"/>
    <x v="0"/>
  </r>
  <r>
    <n v="72715"/>
    <x v="26"/>
    <s v="MPR"/>
    <x v="0"/>
    <n v="50026357"/>
    <s v="MARTELETE VONDER"/>
    <n v="1"/>
    <s v="REALIZADO"/>
    <s v="AGATHA"/>
    <x v="127"/>
    <x v="0"/>
    <x v="0"/>
  </r>
  <r>
    <n v="62640"/>
    <x v="44"/>
    <s v="MPR"/>
    <x v="0"/>
    <n v="50041195"/>
    <s v="PARAFUSADEIRA FUR DE IMPACTO BRUSHLESS"/>
    <n v="1"/>
    <s v="REALIZADO"/>
    <s v="KELLY"/>
    <x v="127"/>
    <x v="2"/>
    <x v="0"/>
  </r>
  <r>
    <n v="62640"/>
    <x v="44"/>
    <s v="MPR"/>
    <x v="0"/>
    <n v="50041195"/>
    <s v="PARAFUSADEIRA FUR DE IMPACTO BRUSHLESS"/>
    <n v="1"/>
    <s v="REALIZADO"/>
    <s v="BRUNA"/>
    <x v="127"/>
    <x v="0"/>
    <x v="0"/>
  </r>
  <r>
    <n v="73336"/>
    <x v="29"/>
    <s v="MMG"/>
    <x v="0"/>
    <n v="50041195"/>
    <s v="PARAFUSADEIRA FUR DE IMPACTO BRUSHLESS"/>
    <n v="1"/>
    <s v="REALIZADO"/>
    <s v="BRUNA"/>
    <x v="127"/>
    <x v="2"/>
    <x v="0"/>
  </r>
  <r>
    <n v="73336"/>
    <x v="29"/>
    <s v="MMG"/>
    <x v="0"/>
    <n v="50041195"/>
    <s v="PARAFUSADEIRA FUR DE IMPACTO BRUSHLESS"/>
    <n v="1"/>
    <s v="REALIZADO"/>
    <s v="BRUNA"/>
    <x v="127"/>
    <x v="0"/>
    <x v="0"/>
  </r>
  <r>
    <n v="75395"/>
    <x v="118"/>
    <s v="MEE"/>
    <x v="0"/>
    <n v="50043917"/>
    <s v="PARAFUSADEIRA FURADEIRA BOSCH"/>
    <n v="1"/>
    <s v="REALIZADO"/>
    <s v="AGATHA"/>
    <x v="127"/>
    <x v="2"/>
    <x v="0"/>
  </r>
  <r>
    <n v="69510"/>
    <x v="118"/>
    <s v="MEE"/>
    <x v="0"/>
    <n v="50043917"/>
    <s v="PARAFUSADEIRA FURADEIRA BOSCH"/>
    <n v="1"/>
    <s v="REALIZADO"/>
    <s v="AGATHA"/>
    <x v="127"/>
    <x v="0"/>
    <x v="0"/>
  </r>
  <r>
    <n v="61355"/>
    <x v="110"/>
    <s v="MEE"/>
    <x v="4"/>
    <n v="50043917"/>
    <s v="PARAFUSADEIRA FURADEIRA BOSCH"/>
    <n v="1"/>
    <s v="REALIZADO"/>
    <s v="MAYCON"/>
    <x v="127"/>
    <x v="0"/>
    <x v="0"/>
  </r>
  <r>
    <n v="77708"/>
    <x v="69"/>
    <s v="MPR"/>
    <x v="0"/>
    <n v="50003295"/>
    <s v="PARAFUSADEIRA FURADEIRA DE IMPACTO 1/2"/>
    <n v="1"/>
    <s v="REALIZADO"/>
    <s v="AGATHA"/>
    <x v="127"/>
    <x v="2"/>
    <x v="0"/>
  </r>
  <r>
    <n v="77708"/>
    <x v="69"/>
    <s v="MPR"/>
    <x v="0"/>
    <n v="50003295"/>
    <s v="PARAFUSADEIRA FURADEIRA DE IMPACTO 1/2"/>
    <n v="1"/>
    <s v="REALIZADO"/>
    <s v="AGATHA"/>
    <x v="127"/>
    <x v="0"/>
    <x v="0"/>
  </r>
  <r>
    <n v="66790"/>
    <x v="60"/>
    <s v="MMG"/>
    <x v="3"/>
    <n v="50005179"/>
    <s v="SACA POLIA 03 GARRAS"/>
    <n v="1"/>
    <s v="REALIZADO"/>
    <s v="KELLY"/>
    <x v="127"/>
    <x v="2"/>
    <x v="0"/>
  </r>
  <r>
    <n v="66790"/>
    <x v="60"/>
    <s v="MMG"/>
    <x v="3"/>
    <n v="50005179"/>
    <s v="SACA POLIA 03 GARRAS"/>
    <n v="1"/>
    <s v="REALIZADO"/>
    <s v="AGATHA"/>
    <x v="127"/>
    <x v="0"/>
    <x v="0"/>
  </r>
  <r>
    <n v="68708"/>
    <x v="13"/>
    <s v="MMG"/>
    <x v="0"/>
    <n v="50037946"/>
    <s v="SARGENTO 4"/>
    <n v="1"/>
    <s v="REALIZADO"/>
    <s v="AGATHA"/>
    <x v="127"/>
    <x v="2"/>
    <x v="0"/>
  </r>
  <r>
    <n v="68708"/>
    <x v="13"/>
    <s v="MMG"/>
    <x v="0"/>
    <n v="50037946"/>
    <s v="SARGENTO 4"/>
    <n v="1"/>
    <s v="REALIZADO"/>
    <s v="AGATHA"/>
    <x v="127"/>
    <x v="0"/>
    <x v="0"/>
  </r>
  <r>
    <n v="61355"/>
    <x v="110"/>
    <s v="MEE"/>
    <x v="4"/>
    <n v="50043917"/>
    <s v="PARAFUSADEIRA FURADEIRA BOSCH"/>
    <n v="1"/>
    <s v="REALIZADO"/>
    <s v="HILARIO"/>
    <x v="128"/>
    <x v="0"/>
    <x v="0"/>
  </r>
  <r>
    <n v="72713"/>
    <x v="68"/>
    <s v="MPR"/>
    <x v="0"/>
    <n v="50037903"/>
    <s v="LIXADEIRA GRANDE MAKITA"/>
    <n v="1"/>
    <s v="NÃO REALIZADO"/>
    <s v="BRUNA"/>
    <x v="129"/>
    <x v="2"/>
    <x v="0"/>
  </r>
  <r>
    <n v="65084"/>
    <x v="83"/>
    <s v="MMG"/>
    <x v="4"/>
    <n v="50038549"/>
    <s v="JOGO SOQUETE ESTRIADOS 1/2 22PEÇ"/>
    <n v="1"/>
    <s v="REALIZADO"/>
    <s v="FABIANO"/>
    <x v="25"/>
    <x v="0"/>
    <x v="0"/>
  </r>
  <r>
    <n v="65084"/>
    <x v="83"/>
    <s v="MMG"/>
    <x v="4"/>
    <n v="50038549"/>
    <s v="JOGO SOQUETE ESTRIADOS 1/2 22PEÇ"/>
    <n v="1"/>
    <s v="REALIZADO"/>
    <s v="FABIANO"/>
    <x v="25"/>
    <x v="2"/>
    <x v="0"/>
  </r>
  <r>
    <n v="77594"/>
    <x v="23"/>
    <s v="MMG"/>
    <x v="0"/>
    <n v="50043917"/>
    <s v="PARAFUSADEIRA FURADEIRA BOSCH"/>
    <n v="1"/>
    <s v="REALIZADO"/>
    <s v="KELLY"/>
    <x v="25"/>
    <x v="0"/>
    <x v="0"/>
  </r>
  <r>
    <n v="77594"/>
    <x v="23"/>
    <s v="MMG"/>
    <x v="0"/>
    <n v="50043917"/>
    <s v="PARAFUSADEIRA FURADEIRA BOSCH"/>
    <n v="1"/>
    <s v="REALIZADO"/>
    <s v="KELLY"/>
    <x v="25"/>
    <x v="2"/>
    <x v="0"/>
  </r>
  <r>
    <n v="77594"/>
    <x v="23"/>
    <s v="MMG"/>
    <x v="0"/>
    <n v="50003297"/>
    <s v="FURADEIRA DE IMPACTO MAKITA 02"/>
    <n v="1"/>
    <s v="REALIZADO"/>
    <s v="KELLY"/>
    <x v="25"/>
    <x v="0"/>
    <x v="0"/>
  </r>
  <r>
    <n v="77594"/>
    <x v="23"/>
    <s v="MMG"/>
    <x v="0"/>
    <n v="50003297"/>
    <s v="FURADEIRA DE IMPACTO MAKITA 02"/>
    <n v="1"/>
    <s v="REALIZADO"/>
    <s v="KELLY"/>
    <x v="25"/>
    <x v="2"/>
    <x v="0"/>
  </r>
  <r>
    <n v="77594"/>
    <x v="23"/>
    <s v="MMG"/>
    <x v="0"/>
    <n v="50037892"/>
    <s v="LIXADEIRA BOSCH 2"/>
    <n v="1"/>
    <s v="REALIZADO"/>
    <s v="KELLY"/>
    <x v="25"/>
    <x v="0"/>
    <x v="0"/>
  </r>
  <r>
    <n v="77594"/>
    <x v="23"/>
    <s v="MMG"/>
    <x v="0"/>
    <n v="50037892"/>
    <s v="LIXADEIRA BOSCH 2"/>
    <n v="1"/>
    <s v="REALIZADO"/>
    <s v="KELLY"/>
    <x v="25"/>
    <x v="2"/>
    <x v="0"/>
  </r>
  <r>
    <n v="62180"/>
    <x v="18"/>
    <s v="MMG"/>
    <x v="0"/>
    <n v="50038517"/>
    <s v="LIXADEIRA BOSCH 5"/>
    <n v="1"/>
    <s v="REALIZADO"/>
    <s v="KELLY"/>
    <x v="25"/>
    <x v="0"/>
    <x v="0"/>
  </r>
  <r>
    <n v="62180"/>
    <x v="18"/>
    <s v="MMG"/>
    <x v="0"/>
    <n v="50038517"/>
    <s v="LIXADEIRA BOSCH 5"/>
    <n v="1"/>
    <s v="REALIZADO"/>
    <s v="KELLY"/>
    <x v="25"/>
    <x v="2"/>
    <x v="0"/>
  </r>
  <r>
    <n v="77594"/>
    <x v="23"/>
    <s v="MMG"/>
    <x v="0"/>
    <n v="50039718"/>
    <s v="ESCALA DE ACO 1000MM VONDER "/>
    <n v="1"/>
    <s v="REALIZADO"/>
    <s v="KELLY"/>
    <x v="25"/>
    <x v="0"/>
    <x v="0"/>
  </r>
  <r>
    <n v="77594"/>
    <x v="23"/>
    <s v="MMG"/>
    <x v="0"/>
    <n v="50039718"/>
    <s v="ESCALA DE ACO 1000MM VONDER "/>
    <n v="1"/>
    <s v="REALIZADO"/>
    <s v="KELLY"/>
    <x v="25"/>
    <x v="2"/>
    <x v="0"/>
  </r>
  <r>
    <n v="62180"/>
    <x v="18"/>
    <s v="MMG"/>
    <x v="0"/>
    <n v="50004486"/>
    <s v="RETIFICA"/>
    <n v="1"/>
    <s v="REALIZADO"/>
    <s v="KELLY"/>
    <x v="25"/>
    <x v="0"/>
    <x v="0"/>
  </r>
  <r>
    <n v="62180"/>
    <x v="18"/>
    <s v="MMG"/>
    <x v="0"/>
    <n v="50004486"/>
    <s v="RETIFICA"/>
    <n v="1"/>
    <s v="REALIZADO"/>
    <s v="KELLY"/>
    <x v="25"/>
    <x v="2"/>
    <x v="0"/>
  </r>
  <r>
    <n v="62180"/>
    <x v="18"/>
    <s v="MMG"/>
    <x v="0"/>
    <n v="50041195"/>
    <s v="PARAFUSADEIRA FUR DE IMPACTO BRUSHLESS"/>
    <n v="1"/>
    <s v="REALIZADO"/>
    <s v="KELLY"/>
    <x v="25"/>
    <x v="0"/>
    <x v="0"/>
  </r>
  <r>
    <n v="62180"/>
    <x v="18"/>
    <s v="MMG"/>
    <x v="0"/>
    <n v="50041195"/>
    <s v="PARAFUSADEIRA FUR DE IMPACTO BRUSHLESS"/>
    <n v="1"/>
    <s v="REALIZADO"/>
    <s v="KELLY"/>
    <x v="25"/>
    <x v="2"/>
    <x v="0"/>
  </r>
  <r>
    <n v="62180"/>
    <x v="18"/>
    <s v="MMG"/>
    <x v="0"/>
    <n v="50038549"/>
    <s v="JOGO SOQUETE ESTRIADOS 1/2 22PEÇ"/>
    <n v="1"/>
    <s v="REALIZADO"/>
    <s v="KELLY"/>
    <x v="25"/>
    <x v="0"/>
    <x v="0"/>
  </r>
  <r>
    <n v="62180"/>
    <x v="18"/>
    <s v="MMG"/>
    <x v="0"/>
    <n v="50038549"/>
    <s v="JOGO SOQUETE ESTRIADOS 1/2 22PEÇ"/>
    <n v="1"/>
    <s v="REALIZADO"/>
    <s v="KELLY"/>
    <x v="25"/>
    <x v="2"/>
    <x v="0"/>
  </r>
  <r>
    <n v="77594"/>
    <x v="23"/>
    <s v="MMG"/>
    <x v="0"/>
    <n v="50039065"/>
    <s v="MAQUINA SOLDA TIG"/>
    <n v="1"/>
    <s v="REALIZADO"/>
    <s v="KELLY"/>
    <x v="25"/>
    <x v="0"/>
    <x v="0"/>
  </r>
  <r>
    <n v="77594"/>
    <x v="23"/>
    <s v="MMG"/>
    <x v="0"/>
    <n v="50039065"/>
    <s v="MAQUINA SOLDA TIG"/>
    <n v="1"/>
    <s v="REALIZADO"/>
    <s v="KELLY"/>
    <x v="25"/>
    <x v="2"/>
    <x v="0"/>
  </r>
  <r>
    <n v="64053"/>
    <x v="91"/>
    <s v="MMG"/>
    <x v="4"/>
    <n v="60037922"/>
    <s v="CHAVE DE BOCA MANUAL"/>
    <n v="1"/>
    <s v="REALIZADO"/>
    <s v="MARCOS "/>
    <x v="23"/>
    <x v="0"/>
    <x v="0"/>
  </r>
  <r>
    <n v="64053"/>
    <x v="91"/>
    <s v="MMG"/>
    <x v="4"/>
    <n v="50037922"/>
    <s v="CHAVE DE BOCA MANUAL"/>
    <n v="1"/>
    <s v="REALIZADO"/>
    <s v="MARCOS "/>
    <x v="22"/>
    <x v="2"/>
    <x v="0"/>
  </r>
  <r>
    <n v="67193"/>
    <x v="113"/>
    <s v="MME"/>
    <x v="4"/>
    <n v="50043471"/>
    <s v="FURADEIRA BOSCH 7"/>
    <n v="1"/>
    <s v="REALIZADO"/>
    <s v="MARCOS "/>
    <x v="22"/>
    <x v="0"/>
    <x v="0"/>
  </r>
  <r>
    <n v="67193"/>
    <x v="113"/>
    <s v="MME"/>
    <x v="4"/>
    <n v="50043471"/>
    <s v="FURADEIRA BOSCH 7"/>
    <n v="1"/>
    <s v="REALIZADO"/>
    <s v="MARCOS "/>
    <x v="22"/>
    <x v="2"/>
    <x v="0"/>
  </r>
  <r>
    <n v="49743"/>
    <x v="100"/>
    <s v="MME"/>
    <x v="4"/>
    <n v="50038517"/>
    <s v="LIXADEIRA BOSCH 5"/>
    <n v="1"/>
    <s v="REALIZADO"/>
    <s v="FABIANO"/>
    <x v="22"/>
    <x v="0"/>
    <x v="0"/>
  </r>
  <r>
    <n v="49743"/>
    <x v="100"/>
    <s v="MME"/>
    <x v="4"/>
    <n v="50038517"/>
    <s v="LIXADEIRA BOSCH 5"/>
    <n v="1"/>
    <s v="REALIZADO"/>
    <s v="FABIANO"/>
    <x v="22"/>
    <x v="2"/>
    <x v="0"/>
  </r>
  <r>
    <n v="62180"/>
    <x v="18"/>
    <s v="MMG"/>
    <x v="0"/>
    <n v="50032781"/>
    <s v="SERRA TICO TICO 650W DEWALT "/>
    <n v="1"/>
    <s v="REALIZADO"/>
    <s v="KELLY"/>
    <x v="22"/>
    <x v="0"/>
    <x v="0"/>
  </r>
  <r>
    <n v="62180"/>
    <x v="18"/>
    <s v="MMG"/>
    <x v="0"/>
    <n v="50032781"/>
    <s v="SERRA TICO TICO 650W DEWALT "/>
    <n v="1"/>
    <s v="REALIZADO"/>
    <s v="KELLY"/>
    <x v="22"/>
    <x v="2"/>
    <x v="0"/>
  </r>
  <r>
    <n v="63758"/>
    <x v="126"/>
    <s v="MME"/>
    <x v="4"/>
    <n v="50030486"/>
    <s v="FURADEIRA BOSCH 3"/>
    <n v="1"/>
    <s v="REALIZADO"/>
    <s v="FABIANO"/>
    <x v="20"/>
    <x v="0"/>
    <x v="0"/>
  </r>
  <r>
    <n v="63758"/>
    <x v="126"/>
    <s v="MME"/>
    <x v="4"/>
    <n v="50030486"/>
    <s v="FURADEIRA BOSCH 3"/>
    <n v="1"/>
    <s v="REALIZADO"/>
    <s v="FABIANO"/>
    <x v="20"/>
    <x v="2"/>
    <x v="0"/>
  </r>
  <r>
    <n v="66830"/>
    <x v="3"/>
    <s v="MPR"/>
    <x v="0"/>
    <n v="50038517"/>
    <s v="LIXADEIRA BOSCH 5"/>
    <n v="1"/>
    <s v="REALIZADO"/>
    <s v="KELLY"/>
    <x v="19"/>
    <x v="0"/>
    <x v="0"/>
  </r>
  <r>
    <n v="66830"/>
    <x v="3"/>
    <s v="MPR"/>
    <x v="0"/>
    <n v="50038517"/>
    <s v="LIXADEIRA BOSCH 5"/>
    <n v="1"/>
    <s v="REALIZADO"/>
    <s v="KELLY"/>
    <x v="19"/>
    <x v="2"/>
    <x v="0"/>
  </r>
  <r>
    <n v="78675"/>
    <x v="12"/>
    <s v="MME"/>
    <x v="2"/>
    <n v="50038841"/>
    <s v="LIXADEIRA BOSCH 4"/>
    <n v="1"/>
    <s v="REALIZADO"/>
    <s v="KELLY"/>
    <x v="19"/>
    <x v="0"/>
    <x v="0"/>
  </r>
  <r>
    <n v="78675"/>
    <x v="12"/>
    <s v="MME"/>
    <x v="2"/>
    <n v="50038841"/>
    <s v="LIXADEIRA BOSCH 4"/>
    <n v="1"/>
    <s v="REALIZADO"/>
    <s v="KELLY"/>
    <x v="19"/>
    <x v="2"/>
    <x v="0"/>
  </r>
  <r>
    <n v="72715"/>
    <x v="26"/>
    <s v="MPR"/>
    <x v="0"/>
    <n v="50041195"/>
    <s v="PARAFUSADEIRA FUR DE IMPACTO BRUSHLESS"/>
    <n v="1"/>
    <s v="REALIZADO"/>
    <s v="KELLY"/>
    <x v="18"/>
    <x v="0"/>
    <x v="0"/>
  </r>
  <r>
    <n v="72715"/>
    <x v="26"/>
    <s v="MPR"/>
    <x v="0"/>
    <n v="50041195"/>
    <s v="PARAFUSADEIRA FUR DE IMPACTO BRUSHLESS"/>
    <n v="1"/>
    <s v="REALIZADO"/>
    <s v="KELLY"/>
    <x v="18"/>
    <x v="2"/>
    <x v="0"/>
  </r>
  <r>
    <n v="72715"/>
    <x v="26"/>
    <s v="MPR"/>
    <x v="0"/>
    <n v="50037892"/>
    <s v="LIXADEIRA BOSCH 2"/>
    <n v="1"/>
    <s v="REALIZADO"/>
    <s v="KELLY"/>
    <x v="18"/>
    <x v="0"/>
    <x v="0"/>
  </r>
  <r>
    <n v="72715"/>
    <x v="26"/>
    <s v="MPR"/>
    <x v="0"/>
    <n v="50037892"/>
    <s v="LIXADEIRA BOSCH 2"/>
    <n v="1"/>
    <s v="REALIZADO"/>
    <s v="KELLY"/>
    <x v="18"/>
    <x v="2"/>
    <x v="0"/>
  </r>
  <r>
    <n v="76633"/>
    <x v="62"/>
    <s v="MMG"/>
    <x v="2"/>
    <n v="50041095"/>
    <s v="TALHA MANUAL 1000KG"/>
    <n v="1"/>
    <s v="REALIZADO"/>
    <s v="KELLY"/>
    <x v="18"/>
    <x v="0"/>
    <x v="0"/>
  </r>
  <r>
    <n v="76633"/>
    <x v="62"/>
    <s v="MMG"/>
    <x v="2"/>
    <n v="50041095"/>
    <s v="TALHA MANUAL 1000KG"/>
    <n v="1"/>
    <s v="REALIZADO"/>
    <s v="KELLY"/>
    <x v="18"/>
    <x v="2"/>
    <x v="0"/>
  </r>
  <r>
    <n v="66789"/>
    <x v="78"/>
    <s v="MME"/>
    <x v="2"/>
    <n v="50038956"/>
    <s v="LIXADEIRA BOSCH 1"/>
    <n v="1"/>
    <s v="REALIZADO"/>
    <s v="KELLY"/>
    <x v="18"/>
    <x v="0"/>
    <x v="0"/>
  </r>
  <r>
    <n v="66789"/>
    <x v="78"/>
    <s v="MME"/>
    <x v="2"/>
    <n v="50038956"/>
    <s v="LIXADEIRA BOSCH 1"/>
    <n v="1"/>
    <s v="REALIZADO"/>
    <s v="KELLY"/>
    <x v="18"/>
    <x v="2"/>
    <x v="0"/>
  </r>
  <r>
    <n v="74749"/>
    <x v="80"/>
    <s v="MME"/>
    <x v="2"/>
    <n v="50037902"/>
    <s v="LIXADEIRA BOSCH 3"/>
    <n v="1"/>
    <s v="REALIZADO"/>
    <s v="FELIPE"/>
    <x v="17"/>
    <x v="0"/>
    <x v="0"/>
  </r>
  <r>
    <n v="74749"/>
    <x v="80"/>
    <s v="MME"/>
    <x v="2"/>
    <n v="50037902"/>
    <s v="LIXADEIRA BOSCH 3"/>
    <n v="1"/>
    <s v="REALIZADO"/>
    <s v="FELIPE"/>
    <x v="17"/>
    <x v="2"/>
    <x v="1"/>
  </r>
  <r>
    <n v="60546"/>
    <x v="74"/>
    <s v="MMG"/>
    <x v="4"/>
    <n v="50004486"/>
    <s v="RETIFICA"/>
    <n v="1"/>
    <s v="REALIZADO"/>
    <s v="FABIANO"/>
    <x v="15"/>
    <x v="0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  <r>
    <m/>
    <x v="1"/>
    <m/>
    <x v="1"/>
    <m/>
    <m/>
    <m/>
    <m/>
    <m/>
    <x v="1"/>
    <x v="1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511">
  <r>
    <n v="50038517"/>
    <x v="0"/>
    <n v="1"/>
    <s v="REALIZADO"/>
    <s v="MARCIA"/>
    <d v="2025-12-04T00:00:00"/>
    <x v="0"/>
  </r>
  <r>
    <m/>
    <x v="1"/>
    <m/>
    <m/>
    <m/>
    <m/>
    <x v="1"/>
  </r>
  <r>
    <n v="50037892"/>
    <x v="2"/>
    <n v="1"/>
    <s v="REALIZADO"/>
    <s v="GEOVANE"/>
    <d v="2025-12-19T00:00:00"/>
    <x v="2"/>
  </r>
  <r>
    <n v="50037892"/>
    <x v="2"/>
    <n v="1"/>
    <s v="REALIZADO"/>
    <s v="GEOVANE"/>
    <d v="2025-12-19T00:00:00"/>
    <x v="0"/>
  </r>
  <r>
    <n v="50036086"/>
    <x v="3"/>
    <n v="1"/>
    <s v="REALIZADO"/>
    <s v="GEOVANE"/>
    <d v="2025-12-19T00:00:00"/>
    <x v="0"/>
  </r>
  <r>
    <n v="50043150"/>
    <x v="4"/>
    <n v="1"/>
    <s v="REALIZADO"/>
    <s v="GEOVANE"/>
    <d v="2025-12-19T00:00:00"/>
    <x v="0"/>
  </r>
  <r>
    <n v="50043471"/>
    <x v="5"/>
    <n v="1"/>
    <s v="REALIZADO"/>
    <s v="MATHEUS"/>
    <d v="2025-12-19T00:00:00"/>
    <x v="0"/>
  </r>
  <r>
    <n v="50038549"/>
    <x v="6"/>
    <n v="1"/>
    <s v="REALIZADO"/>
    <s v="MATHEUS"/>
    <d v="2025-12-19T00:00:00"/>
    <x v="0"/>
  </r>
  <r>
    <n v="50036255"/>
    <x v="7"/>
    <n v="1"/>
    <s v="REALIZADO"/>
    <s v="MATHEUS"/>
    <d v="2025-12-19T00:00:00"/>
    <x v="0"/>
  </r>
  <r>
    <n v="50003297"/>
    <x v="8"/>
    <n v="1"/>
    <s v="REALIZADO"/>
    <s v="MATHEUS"/>
    <d v="2025-12-19T00:00:00"/>
    <x v="0"/>
  </r>
  <r>
    <n v="50029865"/>
    <x v="9"/>
    <s v="1"/>
    <s v="REALIZADO"/>
    <s v="MATHEUS"/>
    <d v="2025-12-19T00:00:00"/>
    <x v="2"/>
  </r>
  <r>
    <n v="50003297"/>
    <x v="8"/>
    <n v="1"/>
    <s v="REALIZADO"/>
    <s v="MATHEUS"/>
    <d v="2025-12-19T00:00:00"/>
    <x v="2"/>
  </r>
  <r>
    <n v="50043150"/>
    <x v="4"/>
    <n v="1"/>
    <s v="REALIZADO"/>
    <s v="MATHEUS"/>
    <d v="2025-12-19T00:00:00"/>
    <x v="2"/>
  </r>
  <r>
    <n v="50038517"/>
    <x v="0"/>
    <n v="1"/>
    <s v="REALIZADO"/>
    <s v="BRUNO"/>
    <d v="2025-12-19T00:00:00"/>
    <x v="2"/>
  </r>
  <r>
    <n v="50038956"/>
    <x v="10"/>
    <n v="1"/>
    <s v="REALIZADO"/>
    <s v="BRUNO"/>
    <d v="2025-12-19T00:00:00"/>
    <x v="2"/>
  </r>
  <r>
    <n v="50039718"/>
    <x v="11"/>
    <n v="1"/>
    <s v="REALIZADO"/>
    <s v="BRUNO"/>
    <d v="2025-12-19T00:00:00"/>
    <x v="0"/>
  </r>
  <r>
    <n v="50032781"/>
    <x v="12"/>
    <n v="1"/>
    <s v="REALIZADO"/>
    <s v="BRUNO"/>
    <d v="2025-12-19T00:00:00"/>
    <x v="0"/>
  </r>
  <r>
    <n v="50032775"/>
    <x v="13"/>
    <n v="1"/>
    <s v="REALIZADO"/>
    <s v="BRUNO"/>
    <d v="2025-12-19T00:00:00"/>
    <x v="2"/>
  </r>
  <r>
    <n v="50038549"/>
    <x v="6"/>
    <n v="1"/>
    <s v="REALIZADO"/>
    <s v="BRUNO"/>
    <d v="2025-12-19T00:00:00"/>
    <x v="2"/>
  </r>
  <r>
    <n v="50036255"/>
    <x v="7"/>
    <n v="1"/>
    <s v="REALIZADO"/>
    <s v="BRUNO"/>
    <d v="2025-12-19T00:00:00"/>
    <x v="2"/>
  </r>
  <r>
    <n v="50037902"/>
    <x v="14"/>
    <n v="1"/>
    <s v="REALIZADO"/>
    <s v="BRUNO"/>
    <d v="2025-12-19T00:00:00"/>
    <x v="2"/>
  </r>
  <r>
    <n v="50041095"/>
    <x v="15"/>
    <n v="1"/>
    <s v="REALIZADO"/>
    <s v="BRUNO"/>
    <d v="2025-12-19T00:00:00"/>
    <x v="2"/>
  </r>
  <r>
    <n v="50036293"/>
    <x v="16"/>
    <n v="1"/>
    <s v="REALIZADO"/>
    <s v="BRUNO"/>
    <d v="2025-12-19T00:00:00"/>
    <x v="2"/>
  </r>
  <r>
    <n v="50037902"/>
    <x v="14"/>
    <n v="1"/>
    <s v="REALIZADO"/>
    <s v="BRUNO"/>
    <d v="2025-12-19T00:00:00"/>
    <x v="0"/>
  </r>
  <r>
    <n v="50032781"/>
    <x v="12"/>
    <n v="1"/>
    <s v="REALIZADO"/>
    <s v="BRUNO"/>
    <d v="2025-12-19T00:00:00"/>
    <x v="2"/>
  </r>
  <r>
    <n v="50039718"/>
    <x v="11"/>
    <n v="1"/>
    <s v="REALIZADO"/>
    <s v="BRUNO"/>
    <d v="2025-12-19T00:00:00"/>
    <x v="2"/>
  </r>
  <r>
    <n v="50037902"/>
    <x v="14"/>
    <n v="1"/>
    <s v="REALIZADO"/>
    <s v="BRUNO"/>
    <d v="2025-12-19T00:00:00"/>
    <x v="2"/>
  </r>
  <r>
    <n v="50036086"/>
    <x v="3"/>
    <n v="1"/>
    <s v="REALIZADO"/>
    <s v="BRUNO"/>
    <d v="2025-12-19T00:00:00"/>
    <x v="2"/>
  </r>
  <r>
    <n v="50037892"/>
    <x v="2"/>
    <n v="1"/>
    <s v="REALIZADO"/>
    <s v="BRUNO"/>
    <d v="2025-12-19T00:00:00"/>
    <x v="2"/>
  </r>
  <r>
    <n v="50030486"/>
    <x v="17"/>
    <n v="1"/>
    <s v="REALIZADO"/>
    <s v="BRUNO"/>
    <d v="2025-12-19T00:00:00"/>
    <x v="2"/>
  </r>
  <r>
    <n v="50022878"/>
    <x v="18"/>
    <n v="1"/>
    <s v="REALIZADO"/>
    <s v="BRUNO"/>
    <d v="2025-12-19T00:00:00"/>
    <x v="0"/>
  </r>
  <r>
    <n v="50022878"/>
    <x v="18"/>
    <n v="1"/>
    <s v="REALIZADO"/>
    <s v="BRUNO"/>
    <d v="2025-12-19T00:00:00"/>
    <x v="2"/>
  </r>
  <r>
    <n v="50043471"/>
    <x v="5"/>
    <n v="1"/>
    <s v="REALIZADO"/>
    <s v="BRUNO"/>
    <d v="2025-12-19T00:00:00"/>
    <x v="2"/>
  </r>
  <r>
    <n v="50038956"/>
    <x v="10"/>
    <n v="1"/>
    <s v="REALIZADO"/>
    <s v="BRUNO"/>
    <d v="2025-12-18T00:00:00"/>
    <x v="0"/>
  </r>
  <r>
    <n v="50043316"/>
    <x v="19"/>
    <n v="1"/>
    <s v="REALIZADO"/>
    <s v="BRUNO"/>
    <d v="2025-12-18T00:00:00"/>
    <x v="0"/>
  </r>
  <r>
    <n v="50010031"/>
    <x v="20"/>
    <n v="1"/>
    <s v="REALIZADO"/>
    <s v="BRUNO"/>
    <d v="2025-12-18T00:00:00"/>
    <x v="0"/>
  </r>
  <r>
    <n v="50041195"/>
    <x v="21"/>
    <n v="1"/>
    <s v="REALIZADO"/>
    <s v="KELLY"/>
    <d v="2025-12-18T00:00:00"/>
    <x v="0"/>
  </r>
  <r>
    <n v="50037892"/>
    <x v="2"/>
    <n v="1"/>
    <s v="REALIZADO"/>
    <s v="KELLY"/>
    <d v="2025-12-18T00:00:00"/>
    <x v="0"/>
  </r>
  <r>
    <n v="50039065"/>
    <x v="22"/>
    <n v="1"/>
    <s v="REALIZADO"/>
    <s v="KELLY"/>
    <d v="2025-12-18T00:00:00"/>
    <x v="0"/>
  </r>
  <r>
    <n v="50036294"/>
    <x v="23"/>
    <n v="1"/>
    <s v="REALIZADO"/>
    <s v="GEOVANE"/>
    <d v="2025-12-18T00:00:00"/>
    <x v="0"/>
  </r>
  <r>
    <n v="50036293"/>
    <x v="16"/>
    <n v="1"/>
    <s v="REALIZADO"/>
    <s v="GEOVANE"/>
    <d v="2025-12-18T00:00:00"/>
    <x v="0"/>
  </r>
  <r>
    <n v="50041195"/>
    <x v="21"/>
    <n v="1"/>
    <s v="REALIZADO"/>
    <s v="GEOVANE"/>
    <d v="2025-12-18T00:00:00"/>
    <x v="2"/>
  </r>
  <r>
    <n v="50038549"/>
    <x v="6"/>
    <n v="1"/>
    <s v="REALIZADO"/>
    <s v="GEOVANE"/>
    <d v="2025-12-18T00:00:00"/>
    <x v="0"/>
  </r>
  <r>
    <n v="50038517"/>
    <x v="0"/>
    <n v="1"/>
    <s v="REALIZADO"/>
    <s v="GEOVANE"/>
    <d v="2025-12-18T00:00:00"/>
    <x v="0"/>
  </r>
  <r>
    <n v="50037892"/>
    <x v="2"/>
    <n v="1"/>
    <s v="REALIZADO"/>
    <s v="GEOVANE"/>
    <d v="2025-12-18T00:00:00"/>
    <x v="2"/>
  </r>
  <r>
    <n v="50003297"/>
    <x v="8"/>
    <n v="1"/>
    <s v="REALIZADO"/>
    <s v="GEOVANE"/>
    <d v="2025-12-18T00:00:00"/>
    <x v="0"/>
  </r>
  <r>
    <n v="50026357"/>
    <x v="24"/>
    <n v="1"/>
    <s v="REALIZADO"/>
    <s v="GEOVANE"/>
    <d v="2025-12-18T00:00:00"/>
    <x v="0"/>
  </r>
  <r>
    <n v="50037892"/>
    <x v="2"/>
    <n v="1"/>
    <s v="REALIZADO"/>
    <s v="GEOVANE"/>
    <d v="2025-12-18T00:00:00"/>
    <x v="0"/>
  </r>
  <r>
    <n v="50043150"/>
    <x v="4"/>
    <n v="1"/>
    <s v="REALIZADO"/>
    <s v="GEOVANE"/>
    <d v="2025-12-18T00:00:00"/>
    <x v="0"/>
  </r>
  <r>
    <n v="50010031"/>
    <x v="20"/>
    <n v="1"/>
    <s v="REALIZADO"/>
    <s v="GEOVANE"/>
    <d v="2025-12-18T00:00:00"/>
    <x v="2"/>
  </r>
  <r>
    <n v="50010031"/>
    <x v="20"/>
    <n v="1"/>
    <s v="REALIZADO"/>
    <s v="GEOVANE"/>
    <d v="2025-12-18T00:00:00"/>
    <x v="0"/>
  </r>
  <r>
    <n v="50010031"/>
    <x v="20"/>
    <n v="1"/>
    <s v="REALIZADO"/>
    <s v="GEOVANE"/>
    <d v="2025-12-18T00:00:00"/>
    <x v="2"/>
  </r>
  <r>
    <n v="50039065"/>
    <x v="22"/>
    <n v="1"/>
    <s v="REALIZADO"/>
    <s v="GEOVANE"/>
    <d v="2025-12-18T00:00:00"/>
    <x v="2"/>
  </r>
  <r>
    <n v="50038517"/>
    <x v="0"/>
    <n v="1"/>
    <s v="REALIZADO"/>
    <s v="GEOVANE"/>
    <d v="2025-12-18T00:00:00"/>
    <x v="2"/>
  </r>
  <r>
    <n v="50010031"/>
    <x v="20"/>
    <n v="1"/>
    <s v="REALIZADO"/>
    <s v="GEOVANE"/>
    <d v="2025-12-18T00:00:00"/>
    <x v="0"/>
  </r>
  <r>
    <n v="50043471"/>
    <x v="5"/>
    <n v="1"/>
    <s v="REALIZADO"/>
    <s v="GEOVANE"/>
    <d v="2025-12-18T00:00:00"/>
    <x v="0"/>
  </r>
  <r>
    <n v="50043150"/>
    <x v="4"/>
    <n v="1"/>
    <s v="REALIZADO"/>
    <s v="GEOVANE"/>
    <d v="2025-12-18T00:00:00"/>
    <x v="2"/>
  </r>
  <r>
    <n v="50041195"/>
    <x v="21"/>
    <n v="1"/>
    <s v="REALIZADO"/>
    <s v="MARCIA"/>
    <d v="2025-12-18T00:00:00"/>
    <x v="0"/>
  </r>
  <r>
    <n v="50010031"/>
    <x v="20"/>
    <n v="1"/>
    <s v="REALIZADO"/>
    <s v="MARCIA"/>
    <d v="2025-12-18T00:00:00"/>
    <x v="2"/>
  </r>
  <r>
    <n v="50010031"/>
    <x v="20"/>
    <n v="1"/>
    <s v="REALIZADO"/>
    <s v="BRUNO"/>
    <d v="2025-12-18T00:00:00"/>
    <x v="0"/>
  </r>
  <r>
    <n v="50043471"/>
    <x v="5"/>
    <n v="1"/>
    <s v="REALIZADO"/>
    <s v="BRUNO"/>
    <d v="2025-12-18T00:00:00"/>
    <x v="2"/>
  </r>
  <r>
    <n v="50043316"/>
    <x v="19"/>
    <n v="1"/>
    <s v="REALIZADO"/>
    <s v="BRUNO"/>
    <d v="2025-12-18T00:00:00"/>
    <x v="2"/>
  </r>
  <r>
    <n v="50038549"/>
    <x v="6"/>
    <n v="1"/>
    <s v="REALIZADO"/>
    <s v="BRUNO"/>
    <d v="2025-12-18T00:00:00"/>
    <x v="2"/>
  </r>
  <r>
    <n v="50036086"/>
    <x v="3"/>
    <n v="1"/>
    <s v="REALIZADO"/>
    <s v="BRUNO"/>
    <d v="2025-12-18T00:00:00"/>
    <x v="0"/>
  </r>
  <r>
    <n v="50036294"/>
    <x v="23"/>
    <n v="1"/>
    <s v="REALIZADO"/>
    <s v="BRUNO"/>
    <d v="2025-12-18T00:00:00"/>
    <x v="2"/>
  </r>
  <r>
    <n v="50036293"/>
    <x v="16"/>
    <n v="1"/>
    <s v="REALIZADO"/>
    <s v="BRUNO"/>
    <d v="2025-12-18T00:00:00"/>
    <x v="2"/>
  </r>
  <r>
    <n v="50036295"/>
    <x v="25"/>
    <n v="1"/>
    <s v="REALIZADO"/>
    <s v="BRUNO"/>
    <d v="2025-12-18T00:00:00"/>
    <x v="0"/>
  </r>
  <r>
    <n v="50043471"/>
    <x v="5"/>
    <n v="1"/>
    <s v="REALIZADO"/>
    <s v="BRUNO"/>
    <d v="2025-12-18T00:00:00"/>
    <x v="0"/>
  </r>
  <r>
    <n v="50036299"/>
    <x v="26"/>
    <n v="1"/>
    <s v="REALIZADO"/>
    <s v="BRUNO"/>
    <d v="2025-12-18T00:00:00"/>
    <x v="0"/>
  </r>
  <r>
    <n v="50036086"/>
    <x v="3"/>
    <n v="1"/>
    <s v="REALIZADO"/>
    <s v="BRUNO"/>
    <d v="2025-12-18T00:00:00"/>
    <x v="2"/>
  </r>
  <r>
    <n v="50010031"/>
    <x v="20"/>
    <n v="1"/>
    <s v="REALIZADO"/>
    <s v="BRUNO"/>
    <d v="2025-12-18T00:00:00"/>
    <x v="2"/>
  </r>
  <r>
    <n v="50010031"/>
    <x v="20"/>
    <n v="1"/>
    <s v="REALIZADO"/>
    <s v="BRUNO"/>
    <d v="2025-12-18T00:00:00"/>
    <x v="0"/>
  </r>
  <r>
    <n v="50039065"/>
    <x v="22"/>
    <n v="1"/>
    <s v="REALIZADO"/>
    <s v="BRUNO"/>
    <d v="2025-12-18T00:00:00"/>
    <x v="0"/>
  </r>
  <r>
    <n v="50003297"/>
    <x v="8"/>
    <n v="1"/>
    <s v="REALIZADO"/>
    <s v="BRUNO"/>
    <d v="2025-12-18T00:00:00"/>
    <x v="2"/>
  </r>
  <r>
    <n v="50026357"/>
    <x v="24"/>
    <n v="1"/>
    <s v="REALIZADO"/>
    <s v="BRUNO"/>
    <d v="2025-12-18T00:00:00"/>
    <x v="2"/>
  </r>
  <r>
    <n v="50037892"/>
    <x v="2"/>
    <n v="1"/>
    <s v="REALIZADO"/>
    <s v="BRUNO"/>
    <d v="2025-12-18T00:00:00"/>
    <x v="2"/>
  </r>
  <r>
    <n v="50036295"/>
    <x v="25"/>
    <n v="1"/>
    <s v="REALIZADO"/>
    <s v="BRUNO"/>
    <d v="2025-12-18T00:00:00"/>
    <x v="2"/>
  </r>
  <r>
    <n v="50036299"/>
    <x v="26"/>
    <n v="1"/>
    <s v="REALIZADO"/>
    <s v="BRUNO"/>
    <d v="2025-12-18T00:00:00"/>
    <x v="2"/>
  </r>
  <r>
    <n v="50043471"/>
    <x v="5"/>
    <n v="1"/>
    <s v="REALIZADO"/>
    <s v="BRUNO"/>
    <d v="2025-12-18T00:00:00"/>
    <x v="2"/>
  </r>
  <r>
    <n v="50010031"/>
    <x v="20"/>
    <n v="1"/>
    <s v="REALIZADO"/>
    <s v="BRUNO"/>
    <d v="2025-12-18T00:00:00"/>
    <x v="2"/>
  </r>
  <r>
    <n v="50039065"/>
    <x v="22"/>
    <n v="1"/>
    <s v="REALIZADO"/>
    <s v="BRUNO"/>
    <d v="2025-12-18T00:00:00"/>
    <x v="2"/>
  </r>
  <r>
    <n v="50038956"/>
    <x v="10"/>
    <n v="1"/>
    <s v="REALIZADO"/>
    <s v="BRUNO"/>
    <d v="2025-12-18T00:00:00"/>
    <x v="2"/>
  </r>
  <r>
    <n v="50039065"/>
    <x v="22"/>
    <n v="1"/>
    <s v="REALIZADO"/>
    <s v="KELLY"/>
    <d v="2025-12-17T00:00:00"/>
    <x v="0"/>
  </r>
  <r>
    <n v="50037902"/>
    <x v="14"/>
    <n v="1"/>
    <s v="REALIZADO"/>
    <s v="KELLY"/>
    <d v="2025-12-17T00:00:00"/>
    <x v="0"/>
  </r>
  <r>
    <n v="50038854"/>
    <x v="27"/>
    <n v="1"/>
    <s v="REALIZADO"/>
    <s v="KELLY"/>
    <d v="2025-12-17T00:00:00"/>
    <x v="0"/>
  </r>
  <r>
    <n v="50038549"/>
    <x v="6"/>
    <n v="1"/>
    <s v="REALIZADO"/>
    <s v="JOÃO FRANCISCO"/>
    <d v="2025-12-17T00:00:00"/>
    <x v="0"/>
  </r>
  <r>
    <n v="50038517"/>
    <x v="0"/>
    <n v="1"/>
    <s v="REALIZADO"/>
    <s v="AGATHA"/>
    <d v="2025-12-17T00:00:00"/>
    <x v="0"/>
  </r>
  <r>
    <n v="50043471"/>
    <x v="5"/>
    <n v="1"/>
    <s v="REALIZADO"/>
    <s v="JOÃO FRANCISCO"/>
    <d v="2025-12-17T00:00:00"/>
    <x v="0"/>
  </r>
  <r>
    <n v="50036279"/>
    <x v="28"/>
    <n v="1"/>
    <s v="REALIZADO"/>
    <s v="AGATHA"/>
    <d v="2025-12-17T00:00:00"/>
    <x v="0"/>
  </r>
  <r>
    <n v="50010031"/>
    <x v="20"/>
    <n v="1"/>
    <s v="REALIZADO"/>
    <s v="AGATHA"/>
    <d v="2025-12-17T00:00:00"/>
    <x v="0"/>
  </r>
  <r>
    <n v="50041195"/>
    <x v="21"/>
    <n v="1"/>
    <s v="REALIZADO"/>
    <s v="AGATHA"/>
    <d v="2025-12-17T00:00:00"/>
    <x v="0"/>
  </r>
  <r>
    <n v="50038956"/>
    <x v="10"/>
    <n v="1"/>
    <s v="REALIZADO"/>
    <s v="GEOVANE"/>
    <d v="2025-12-17T00:00:00"/>
    <x v="0"/>
  </r>
  <r>
    <n v="50039065"/>
    <x v="22"/>
    <n v="1"/>
    <s v="REALIZADO"/>
    <s v="AGATHA"/>
    <d v="2025-12-17T00:00:00"/>
    <x v="2"/>
  </r>
  <r>
    <n v="50038956"/>
    <x v="10"/>
    <n v="1"/>
    <s v="REALIZADO"/>
    <s v="GEOVANE"/>
    <d v="2025-12-17T00:00:00"/>
    <x v="2"/>
  </r>
  <r>
    <n v="50038956"/>
    <x v="10"/>
    <n v="1"/>
    <s v="REALIZADO"/>
    <s v="AGATHA"/>
    <d v="2025-12-17T00:00:00"/>
    <x v="0"/>
  </r>
  <r>
    <n v="50038854"/>
    <x v="27"/>
    <n v="1"/>
    <s v="REALIZADO"/>
    <s v="AGATHA"/>
    <d v="2025-12-17T00:00:00"/>
    <x v="2"/>
  </r>
  <r>
    <n v="50003173"/>
    <x v="29"/>
    <n v="1"/>
    <s v="REALIZADO"/>
    <s v="GEOVANE"/>
    <d v="2025-12-17T00:00:00"/>
    <x v="2"/>
  </r>
  <r>
    <n v="50036279"/>
    <x v="28"/>
    <n v="1"/>
    <s v="REALIZADO"/>
    <s v="AGATHA"/>
    <d v="2025-12-17T00:00:00"/>
    <x v="2"/>
  </r>
  <r>
    <n v="50012902"/>
    <x v="30"/>
    <n v="1"/>
    <s v="REALIZADO"/>
    <s v="AGATHA"/>
    <d v="2025-12-17T00:00:00"/>
    <x v="0"/>
  </r>
  <r>
    <n v="50037902"/>
    <x v="14"/>
    <n v="1"/>
    <s v="REALIZADO"/>
    <s v="GEOVANE"/>
    <d v="2025-12-17T00:00:00"/>
    <x v="2"/>
  </r>
  <r>
    <n v="50043471"/>
    <x v="5"/>
    <n v="1"/>
    <s v="REALIZADO"/>
    <s v="GEOVANE"/>
    <d v="2025-12-17T00:00:00"/>
    <x v="2"/>
  </r>
  <r>
    <n v="50012903"/>
    <x v="31"/>
    <n v="1"/>
    <s v="REALIZADO"/>
    <s v="BRUNO"/>
    <d v="2025-12-17T00:00:00"/>
    <x v="0"/>
  </r>
  <r>
    <n v="50043471"/>
    <x v="5"/>
    <n v="1"/>
    <s v="REALIZADO"/>
    <s v="BRUNO"/>
    <d v="2025-12-17T00:00:00"/>
    <x v="0"/>
  </r>
  <r>
    <n v="50037892"/>
    <x v="2"/>
    <n v="1"/>
    <s v="REALIZADO"/>
    <s v="BRUNO"/>
    <d v="2025-12-17T00:00:00"/>
    <x v="0"/>
  </r>
  <r>
    <n v="50012903"/>
    <x v="31"/>
    <n v="1"/>
    <s v="REALIZADO"/>
    <s v="BRUNO"/>
    <d v="2025-12-17T00:00:00"/>
    <x v="0"/>
  </r>
  <r>
    <n v="50037902"/>
    <x v="14"/>
    <n v="1"/>
    <s v="REALIZADO"/>
    <s v="BRUNO"/>
    <d v="2025-12-17T00:00:00"/>
    <x v="0"/>
  </r>
  <r>
    <n v="50012903"/>
    <x v="31"/>
    <n v="1"/>
    <s v="REALIZADO"/>
    <s v="BRUNO"/>
    <d v="2025-12-17T00:00:00"/>
    <x v="2"/>
  </r>
  <r>
    <n v="50038549"/>
    <x v="6"/>
    <n v="1"/>
    <s v="REALIZADO"/>
    <s v="BRUNO"/>
    <d v="2025-12-17T00:00:00"/>
    <x v="2"/>
  </r>
  <r>
    <n v="50012902"/>
    <x v="30"/>
    <n v="1"/>
    <s v="REALIZADO"/>
    <s v="BRUNO"/>
    <d v="2025-12-17T00:00:00"/>
    <x v="2"/>
  </r>
  <r>
    <n v="50010031"/>
    <x v="20"/>
    <n v="1"/>
    <s v="REALIZADO"/>
    <s v="BRUNO"/>
    <d v="2025-12-17T00:00:00"/>
    <x v="2"/>
  </r>
  <r>
    <n v="50010031"/>
    <x v="20"/>
    <n v="1"/>
    <s v="REALIZADO"/>
    <s v="BRUNO"/>
    <d v="2025-12-16T00:00:00"/>
    <x v="0"/>
  </r>
  <r>
    <n v="50037902"/>
    <x v="14"/>
    <n v="1"/>
    <s v="REALIZADO"/>
    <s v="BRUNO"/>
    <d v="2025-12-17T00:00:00"/>
    <x v="2"/>
  </r>
  <r>
    <n v="50038517"/>
    <x v="0"/>
    <n v="1"/>
    <s v="REALIZADO"/>
    <s v="BRUNO"/>
    <d v="2025-12-17T00:00:00"/>
    <x v="2"/>
  </r>
  <r>
    <n v="50040566"/>
    <x v="32"/>
    <n v="1"/>
    <s v="REALIZADO"/>
    <s v="BRUNO"/>
    <d v="2025-12-16T00:00:00"/>
    <x v="0"/>
  </r>
  <r>
    <n v="50030486"/>
    <x v="17"/>
    <n v="1"/>
    <s v="REALIZADO"/>
    <s v="BRUNO"/>
    <d v="2025-12-16T00:00:00"/>
    <x v="0"/>
  </r>
  <r>
    <n v="50038956"/>
    <x v="10"/>
    <n v="1"/>
    <s v="REALIZADO"/>
    <s v="BRUNO"/>
    <d v="2025-12-17T00:00:00"/>
    <x v="2"/>
  </r>
  <r>
    <n v="50041195"/>
    <x v="21"/>
    <n v="1"/>
    <s v="REALIZADO"/>
    <s v="BRUNO"/>
    <d v="2025-12-17T00:00:00"/>
    <x v="2"/>
  </r>
  <r>
    <n v="50043471"/>
    <x v="5"/>
    <n v="1"/>
    <s v="REALIZADO"/>
    <s v="BRUNO"/>
    <d v="2025-12-17T00:00:00"/>
    <x v="2"/>
  </r>
  <r>
    <n v="50037892"/>
    <x v="2"/>
    <n v="1"/>
    <s v="REALIZADO"/>
    <s v="BRUNO"/>
    <d v="2025-12-17T00:00:00"/>
    <x v="2"/>
  </r>
  <r>
    <n v="50028220"/>
    <x v="33"/>
    <n v="1"/>
    <s v="REALIZADO"/>
    <s v="BRUNO"/>
    <d v="2025-12-16T00:00:00"/>
    <x v="0"/>
  </r>
  <r>
    <n v="50040566"/>
    <x v="32"/>
    <n v="1"/>
    <s v="REALIZADO"/>
    <s v="AGATHA"/>
    <d v="2025-12-16T00:00:00"/>
    <x v="2"/>
  </r>
  <r>
    <n v="50038841"/>
    <x v="34"/>
    <n v="1"/>
    <s v="REALIZADO"/>
    <s v="MARCIA"/>
    <d v="2025-12-16T00:00:00"/>
    <x v="0"/>
  </r>
  <r>
    <n v="50038517"/>
    <x v="0"/>
    <n v="1"/>
    <s v="REALIZADO"/>
    <s v="AGATHA"/>
    <d v="2025-12-16T00:00:00"/>
    <x v="0"/>
  </r>
  <r>
    <n v="50003173"/>
    <x v="29"/>
    <n v="1"/>
    <s v="REALIZADO"/>
    <s v="GEOVANE"/>
    <d v="2025-12-16T00:00:00"/>
    <x v="0"/>
  </r>
  <r>
    <n v="50041195"/>
    <x v="21"/>
    <n v="1"/>
    <s v="REALIZADO"/>
    <s v="GEOVANE"/>
    <d v="2025-12-16T00:00:00"/>
    <x v="0"/>
  </r>
  <r>
    <n v="50029865"/>
    <x v="9"/>
    <n v="1"/>
    <s v="REALIZADO"/>
    <s v="GEOVANE"/>
    <d v="2025-12-16T00:00:00"/>
    <x v="0"/>
  </r>
  <r>
    <n v="50037902"/>
    <x v="14"/>
    <n v="1"/>
    <s v="REALIZADO"/>
    <s v="AGATHA"/>
    <d v="2025-12-16T00:00:00"/>
    <x v="0"/>
  </r>
  <r>
    <n v="50028220"/>
    <x v="33"/>
    <n v="1"/>
    <s v="REALIZADO"/>
    <s v="AGATHA"/>
    <d v="2025-12-16T00:00:00"/>
    <x v="2"/>
  </r>
  <r>
    <n v="50029865"/>
    <x v="9"/>
    <n v="1"/>
    <s v="REALIZADO"/>
    <s v="GEOVANE"/>
    <d v="2025-12-16T00:00:00"/>
    <x v="2"/>
  </r>
  <r>
    <n v="50041195"/>
    <x v="21"/>
    <n v="1"/>
    <s v="REALIZADO"/>
    <s v="GEOVANE"/>
    <d v="2025-12-16T00:00:00"/>
    <x v="2"/>
  </r>
  <r>
    <n v="50043320"/>
    <x v="35"/>
    <n v="1"/>
    <s v="REALIZADO"/>
    <s v="AGATHA"/>
    <d v="2025-12-16T00:00:00"/>
    <x v="0"/>
  </r>
  <r>
    <n v="50041195"/>
    <x v="21"/>
    <n v="1"/>
    <s v="REALIZADO"/>
    <s v="AGATHA"/>
    <d v="2025-12-16T00:00:00"/>
    <x v="0"/>
  </r>
  <r>
    <n v="50003297"/>
    <x v="8"/>
    <n v="1"/>
    <s v="REALIZADO"/>
    <s v="AGATHA"/>
    <d v="2025-12-16T00:00:00"/>
    <x v="0"/>
  </r>
  <r>
    <n v="50038549"/>
    <x v="6"/>
    <n v="1"/>
    <s v="REALIZADO"/>
    <s v="AGATHA"/>
    <d v="2025-12-16T00:00:00"/>
    <x v="0"/>
  </r>
  <r>
    <n v="50022878"/>
    <x v="18"/>
    <n v="1"/>
    <s v="REALIZADO"/>
    <s v="AGATHA"/>
    <d v="2025-12-16T00:00:00"/>
    <x v="0"/>
  </r>
  <r>
    <n v="50022878"/>
    <x v="18"/>
    <n v="1"/>
    <s v="REALIZADO"/>
    <s v="AGATHA"/>
    <d v="2025-12-16T00:00:00"/>
    <x v="2"/>
  </r>
  <r>
    <n v="50037902"/>
    <x v="14"/>
    <n v="1"/>
    <s v="REALIZADO"/>
    <s v="AGATHA"/>
    <d v="2025-12-16T00:00:00"/>
    <x v="2"/>
  </r>
  <r>
    <n v="50037892"/>
    <x v="2"/>
    <n v="1"/>
    <s v="REALIZADO"/>
    <s v="GEOVANE"/>
    <d v="2025-12-16T00:00:00"/>
    <x v="0"/>
  </r>
  <r>
    <n v="50026357"/>
    <x v="24"/>
    <n v="1"/>
    <s v="REALIZADO"/>
    <s v="MARCIA"/>
    <d v="2025-12-16T00:00:00"/>
    <x v="0"/>
  </r>
  <r>
    <n v="50030486"/>
    <x v="17"/>
    <n v="1"/>
    <s v="REALIZADO"/>
    <s v="MATHEUS"/>
    <d v="2025-12-16T00:00:00"/>
    <x v="0"/>
  </r>
  <r>
    <n v="50003173"/>
    <x v="29"/>
    <n v="1"/>
    <s v="REALIZADO"/>
    <s v="MATHEUS"/>
    <d v="2025-12-16T00:00:00"/>
    <x v="2"/>
  </r>
  <r>
    <n v="50030486"/>
    <x v="17"/>
    <n v="1"/>
    <s v="REALIZADO"/>
    <s v="MATHEUS"/>
    <d v="2025-12-16T00:00:00"/>
    <x v="2"/>
  </r>
  <r>
    <n v="50043320"/>
    <x v="35"/>
    <n v="1"/>
    <s v="REALIZADO"/>
    <s v="MATHEUS"/>
    <d v="2025-12-16T00:00:00"/>
    <x v="2"/>
  </r>
  <r>
    <n v="50030486"/>
    <x v="17"/>
    <n v="1"/>
    <s v="REALIZADO"/>
    <s v="MATHEUS"/>
    <d v="2025-12-16T00:00:00"/>
    <x v="2"/>
  </r>
  <r>
    <n v="50038517"/>
    <x v="0"/>
    <n v="1"/>
    <s v="REALIZADO"/>
    <s v="MATHEUS"/>
    <d v="2025-12-16T00:00:00"/>
    <x v="2"/>
  </r>
  <r>
    <n v="50038549"/>
    <x v="6"/>
    <n v="1"/>
    <s v="REALIZADO"/>
    <s v="MATHEUS"/>
    <d v="2025-12-16T00:00:00"/>
    <x v="0"/>
  </r>
  <r>
    <n v="50038841"/>
    <x v="34"/>
    <n v="1"/>
    <s v="REALIZADO"/>
    <s v="MATHEUS"/>
    <d v="2025-12-16T00:00:00"/>
    <x v="2"/>
  </r>
  <r>
    <n v="50010031"/>
    <x v="20"/>
    <n v="1"/>
    <s v="REALIZADO"/>
    <s v="MATHEUS"/>
    <d v="2025-12-16T00:00:00"/>
    <x v="2"/>
  </r>
  <r>
    <n v="50003173"/>
    <x v="29"/>
    <n v="1"/>
    <s v="REALIZADO"/>
    <s v="MATHEUS"/>
    <d v="2025-12-16T00:00:00"/>
    <x v="2"/>
  </r>
  <r>
    <n v="50003297"/>
    <x v="8"/>
    <n v="1"/>
    <s v="REALIZADO"/>
    <s v="MATHEUS"/>
    <d v="2025-12-16T00:00:00"/>
    <x v="2"/>
  </r>
  <r>
    <n v="50041195"/>
    <x v="21"/>
    <n v="1"/>
    <s v="REALIZADO"/>
    <s v="MATHEUS"/>
    <d v="2025-12-16T00:00:00"/>
    <x v="0"/>
  </r>
  <r>
    <n v="50029865"/>
    <x v="9"/>
    <n v="1"/>
    <s v="REALIZADO"/>
    <s v="AGATHA"/>
    <d v="2025-12-15T00:00:00"/>
    <x v="0"/>
  </r>
  <r>
    <n v="50003297"/>
    <x v="8"/>
    <n v="1"/>
    <s v="REALIZADO"/>
    <s v="AGATHA"/>
    <d v="2025-12-15T00:00:00"/>
    <x v="0"/>
  </r>
  <r>
    <n v="50038549"/>
    <x v="6"/>
    <n v="1"/>
    <s v="REALIZADO"/>
    <s v="AGATHA"/>
    <d v="2025-12-15T00:00:00"/>
    <x v="0"/>
  </r>
  <r>
    <n v="50043471"/>
    <x v="5"/>
    <n v="1"/>
    <s v="REALIZADO"/>
    <s v="AGATHA"/>
    <d v="2025-12-15T00:00:00"/>
    <x v="0"/>
  </r>
  <r>
    <n v="50037892"/>
    <x v="2"/>
    <n v="1"/>
    <s v="REALIZADO"/>
    <s v="AGATHA"/>
    <d v="2025-12-15T00:00:00"/>
    <x v="0"/>
  </r>
  <r>
    <n v="50030486"/>
    <x v="17"/>
    <n v="1"/>
    <s v="REALIZADO"/>
    <s v="AGATHA"/>
    <d v="2025-12-15T00:00:00"/>
    <x v="0"/>
  </r>
  <r>
    <n v="50010031"/>
    <x v="20"/>
    <n v="1"/>
    <s v="REALIZADO"/>
    <s v="AGATHA"/>
    <d v="2025-12-15T00:00:00"/>
    <x v="0"/>
  </r>
  <r>
    <n v="50043320"/>
    <x v="35"/>
    <n v="1"/>
    <s v="REALIZADO"/>
    <s v="AGATHA"/>
    <d v="2025-12-15T00:00:00"/>
    <x v="0"/>
  </r>
  <r>
    <n v="50041195"/>
    <x v="21"/>
    <n v="1"/>
    <s v="REALIZADO"/>
    <s v="AGATHA"/>
    <d v="2025-12-15T00:00:00"/>
    <x v="2"/>
  </r>
  <r>
    <n v="50037892"/>
    <x v="2"/>
    <n v="1"/>
    <s v="REALIZADO"/>
    <s v="AGATHA"/>
    <d v="2025-12-15T00:00:00"/>
    <x v="2"/>
  </r>
  <r>
    <n v="50003297"/>
    <x v="8"/>
    <n v="1"/>
    <s v="REALIZADO"/>
    <s v="AGATHA"/>
    <d v="2025-12-15T00:00:00"/>
    <x v="0"/>
  </r>
  <r>
    <n v="50040566"/>
    <x v="32"/>
    <n v="1"/>
    <s v="REALIZADO"/>
    <s v="AGATHA"/>
    <d v="2025-12-15T00:00:00"/>
    <x v="0"/>
  </r>
  <r>
    <n v="50032781"/>
    <x v="12"/>
    <n v="1"/>
    <s v="REALIZADO"/>
    <s v="AGATHA"/>
    <d v="2025-12-15T00:00:00"/>
    <x v="0"/>
  </r>
  <r>
    <n v="50028220"/>
    <x v="33"/>
    <n v="1"/>
    <s v="REALIZADO"/>
    <s v="AGATHA"/>
    <d v="2025-12-15T00:00:00"/>
    <x v="2"/>
  </r>
  <r>
    <n v="50040566"/>
    <x v="32"/>
    <n v="1"/>
    <s v="REALIZADO"/>
    <s v="AGATHA"/>
    <d v="2025-12-15T00:00:00"/>
    <x v="2"/>
  </r>
  <r>
    <n v="50032781"/>
    <x v="12"/>
    <n v="1"/>
    <s v="REALIZADO"/>
    <s v="AGATHA"/>
    <d v="2025-12-15T00:00:00"/>
    <x v="2"/>
  </r>
  <r>
    <n v="50043320"/>
    <x v="35"/>
    <n v="1"/>
    <s v="REALIZADO"/>
    <s v="AGATHA"/>
    <d v="2025-12-15T00:00:00"/>
    <x v="2"/>
  </r>
  <r>
    <n v="50030486"/>
    <x v="17"/>
    <n v="1"/>
    <s v="REALIZADO"/>
    <s v="AGATHA"/>
    <d v="2025-12-15T00:00:00"/>
    <x v="0"/>
  </r>
  <r>
    <n v="50037892"/>
    <x v="2"/>
    <n v="1"/>
    <s v="REALIZADO"/>
    <s v="AGATHA"/>
    <d v="2025-12-15T00:00:00"/>
    <x v="2"/>
  </r>
  <r>
    <n v="50037892"/>
    <x v="2"/>
    <n v="1"/>
    <s v="REALIZADO"/>
    <s v="AGATHA"/>
    <d v="2025-12-15T00:00:00"/>
    <x v="0"/>
  </r>
  <r>
    <n v="50037892"/>
    <x v="2"/>
    <n v="1"/>
    <s v="REALIZADO"/>
    <s v="AGATHA"/>
    <d v="2025-12-15T00:00:00"/>
    <x v="2"/>
  </r>
  <r>
    <n v="50037892"/>
    <x v="2"/>
    <n v="1"/>
    <s v="REALIZADO"/>
    <s v="MARCIA"/>
    <d v="2025-12-15T00:00:00"/>
    <x v="0"/>
  </r>
  <r>
    <n v="50022878"/>
    <x v="18"/>
    <n v="1"/>
    <s v="REALIZADO"/>
    <s v="BRUNO"/>
    <d v="2025-12-15T00:00:00"/>
    <x v="0"/>
  </r>
  <r>
    <n v="50037902"/>
    <x v="14"/>
    <n v="1"/>
    <s v="REALIZADO"/>
    <s v="BRUNO"/>
    <d v="2025-12-15T00:00:00"/>
    <x v="2"/>
  </r>
  <r>
    <n v="50010031"/>
    <x v="20"/>
    <n v="1"/>
    <s v="REALIZADO"/>
    <s v="BRUNO"/>
    <d v="2025-12-15T00:00:00"/>
    <x v="2"/>
  </r>
  <r>
    <n v="50043471"/>
    <x v="5"/>
    <n v="1"/>
    <s v="REALIZADO"/>
    <s v="BRUNO"/>
    <d v="2025-12-15T00:00:00"/>
    <x v="2"/>
  </r>
  <r>
    <n v="50038956"/>
    <x v="10"/>
    <n v="1"/>
    <s v="REALIZADO"/>
    <s v="BRUNO"/>
    <d v="2025-12-15T00:00:00"/>
    <x v="2"/>
  </r>
  <r>
    <n v="50041195"/>
    <x v="21"/>
    <n v="1"/>
    <s v="REALIZADO"/>
    <s v="BRUNO"/>
    <d v="2025-12-15T00:00:00"/>
    <x v="0"/>
  </r>
  <r>
    <n v="50041195"/>
    <x v="21"/>
    <n v="1"/>
    <s v="REALIZADO"/>
    <s v="BRUNO"/>
    <d v="2025-12-15T00:00:00"/>
    <x v="2"/>
  </r>
  <r>
    <n v="50028220"/>
    <x v="33"/>
    <n v="1"/>
    <s v="REALIZADO"/>
    <s v="BRUNO"/>
    <d v="2025-12-15T00:00:00"/>
    <x v="2"/>
  </r>
  <r>
    <n v="50038549"/>
    <x v="6"/>
    <n v="1"/>
    <s v="REALIZADO"/>
    <s v="BRUNO"/>
    <d v="2025-12-15T00:00:00"/>
    <x v="2"/>
  </r>
  <r>
    <n v="50029865"/>
    <x v="9"/>
    <n v="1"/>
    <s v="REALIZADO"/>
    <s v="BRUNO"/>
    <d v="2025-12-15T00:00:00"/>
    <x v="2"/>
  </r>
  <r>
    <n v="50037961"/>
    <x v="36"/>
    <n v="1"/>
    <s v="REALIZADO"/>
    <s v="BRUNO"/>
    <d v="2025-12-15T00:00:00"/>
    <x v="2"/>
  </r>
  <r>
    <n v="50037960"/>
    <x v="37"/>
    <n v="1"/>
    <s v="REALIZADO"/>
    <s v="BRUNO"/>
    <d v="2025-12-15T00:00:00"/>
    <x v="2"/>
  </r>
  <r>
    <n v="50037902"/>
    <x v="14"/>
    <n v="1"/>
    <s v="REALIZADO"/>
    <s v="BRUNO"/>
    <d v="2025-12-15T00:00:00"/>
    <x v="2"/>
  </r>
  <r>
    <n v="50022878"/>
    <x v="18"/>
    <n v="1"/>
    <s v="REALIZADO"/>
    <s v="BRUNO"/>
    <d v="2025-12-15T00:00:00"/>
    <x v="0"/>
  </r>
  <r>
    <n v="50037892"/>
    <x v="2"/>
    <n v="1"/>
    <s v="REALIZADO"/>
    <s v="AGATHA"/>
    <d v="2025-12-12T00:00:00"/>
    <x v="0"/>
  </r>
  <r>
    <n v="50026357"/>
    <x v="24"/>
    <n v="1"/>
    <s v="REALIZADO"/>
    <s v="BRUNO"/>
    <d v="2025-12-12T00:00:00"/>
    <x v="0"/>
  </r>
  <r>
    <n v="50043471"/>
    <x v="5"/>
    <n v="1"/>
    <s v="REALIZADO"/>
    <s v="BRUNO"/>
    <d v="2025-12-12T00:00:00"/>
    <x v="0"/>
  </r>
  <r>
    <n v="50038841"/>
    <x v="34"/>
    <n v="1"/>
    <s v="REALIZADO"/>
    <s v="AGATHA"/>
    <d v="2025-12-12T00:00:00"/>
    <x v="2"/>
  </r>
  <r>
    <n v="50039065"/>
    <x v="22"/>
    <n v="1"/>
    <s v="REALIZADO"/>
    <s v="AGATHA"/>
    <d v="2025-12-12T00:00:00"/>
    <x v="2"/>
  </r>
  <r>
    <n v="50042002"/>
    <x v="38"/>
    <n v="1"/>
    <s v="REALIZADO"/>
    <s v="AGATHA"/>
    <d v="2025-12-12T00:00:00"/>
    <x v="0"/>
  </r>
  <r>
    <n v="50038854"/>
    <x v="27"/>
    <n v="1"/>
    <s v="REALIZADO"/>
    <s v="AGATHA"/>
    <d v="2025-12-12T00:00:00"/>
    <x v="0"/>
  </r>
  <r>
    <n v="50038517"/>
    <x v="0"/>
    <n v="1"/>
    <s v="REALIZADO"/>
    <s v="AGATHA"/>
    <d v="2025-12-12T00:00:00"/>
    <x v="2"/>
  </r>
  <r>
    <n v="50038517"/>
    <x v="0"/>
    <n v="1"/>
    <s v="REALIZADO"/>
    <s v="AGATHA"/>
    <d v="2025-12-12T00:00:00"/>
    <x v="2"/>
  </r>
  <r>
    <n v="50038854"/>
    <x v="27"/>
    <n v="1"/>
    <s v="REALIZADO"/>
    <s v="AGATHA"/>
    <d v="2025-12-12T00:00:00"/>
    <x v="2"/>
  </r>
  <r>
    <n v="50038841"/>
    <x v="34"/>
    <n v="1"/>
    <s v="REALIZADO"/>
    <s v="AGATHA"/>
    <d v="2025-12-12T00:00:00"/>
    <x v="0"/>
  </r>
  <r>
    <n v="50036279"/>
    <x v="28"/>
    <n v="1"/>
    <s v="REALIZADO"/>
    <s v="AGATHA"/>
    <d v="2025-12-12T00:00:00"/>
    <x v="2"/>
  </r>
  <r>
    <n v="50037892"/>
    <x v="2"/>
    <n v="1"/>
    <s v="REALIZADO"/>
    <s v="AGATHA"/>
    <d v="2025-12-12T00:00:00"/>
    <x v="0"/>
  </r>
  <r>
    <n v="50038841"/>
    <x v="34"/>
    <n v="1"/>
    <s v="REALIZADO"/>
    <s v="MARCIA"/>
    <d v="2025-12-12T00:00:00"/>
    <x v="0"/>
  </r>
  <r>
    <n v="50003297"/>
    <x v="8"/>
    <n v="1"/>
    <s v="REALIZADO"/>
    <s v="MATHEUS"/>
    <d v="2025-12-12T00:00:00"/>
    <x v="2"/>
  </r>
  <r>
    <n v="50038956"/>
    <x v="10"/>
    <n v="1"/>
    <s v="REALIZADO"/>
    <s v="MATHEUS"/>
    <d v="2025-12-12T00:00:00"/>
    <x v="0"/>
  </r>
  <r>
    <n v="50039718"/>
    <x v="11"/>
    <n v="1"/>
    <s v="REALIZADO"/>
    <s v="MATHEUS"/>
    <d v="2025-12-12T00:00:00"/>
    <x v="2"/>
  </r>
  <r>
    <n v="50003297"/>
    <x v="8"/>
    <n v="1"/>
    <s v="REALIZADO"/>
    <s v="MATHEUS"/>
    <d v="2025-12-12T00:00:00"/>
    <x v="2"/>
  </r>
  <r>
    <n v="50039718"/>
    <x v="11"/>
    <n v="1"/>
    <s v="REALIZADO"/>
    <s v="MATHEUS"/>
    <d v="2025-12-12T00:00:00"/>
    <x v="0"/>
  </r>
  <r>
    <n v="50018168"/>
    <x v="39"/>
    <n v="1"/>
    <s v="REALIZADO"/>
    <s v="BRUNO"/>
    <d v="2025-12-12T00:00:00"/>
    <x v="0"/>
  </r>
  <r>
    <n v="50012902"/>
    <x v="30"/>
    <n v="1"/>
    <s v="REALIZADO"/>
    <s v="BRUNO"/>
    <d v="2025-12-12T00:00:00"/>
    <x v="0"/>
  </r>
  <r>
    <n v="50010031"/>
    <x v="20"/>
    <n v="1"/>
    <s v="REALIZADO"/>
    <s v="BRUNO"/>
    <d v="2025-12-12T00:00:00"/>
    <x v="2"/>
  </r>
  <r>
    <n v="50036279"/>
    <x v="28"/>
    <n v="1"/>
    <s v="REALIZADO"/>
    <s v="BRUNO"/>
    <d v="2025-12-12T00:00:00"/>
    <x v="2"/>
  </r>
  <r>
    <n v="50010031"/>
    <x v="20"/>
    <n v="1"/>
    <s v="REALIZADO"/>
    <s v="BRUNO"/>
    <d v="2025-12-12T00:00:00"/>
    <x v="2"/>
  </r>
  <r>
    <n v="50026357"/>
    <x v="24"/>
    <n v="1"/>
    <s v="REALIZADO"/>
    <s v="BRUNO"/>
    <d v="2025-12-12T00:00:00"/>
    <x v="2"/>
  </r>
  <r>
    <n v="50043471"/>
    <x v="5"/>
    <n v="1"/>
    <s v="REALIZADO"/>
    <s v="BRUNO"/>
    <d v="2025-12-12T00:00:00"/>
    <x v="0"/>
  </r>
  <r>
    <n v="50004486"/>
    <x v="40"/>
    <n v="1"/>
    <s v="REALIZADO"/>
    <s v="BRUNO"/>
    <d v="2025-12-12T00:00:00"/>
    <x v="2"/>
  </r>
  <r>
    <n v="50012902"/>
    <x v="30"/>
    <n v="1"/>
    <s v="REALIZADO"/>
    <s v="BRUNO"/>
    <d v="2025-12-12T00:00:00"/>
    <x v="0"/>
  </r>
  <r>
    <n v="50012903"/>
    <x v="31"/>
    <n v="1"/>
    <s v="REALIZADO"/>
    <s v="BRUNO"/>
    <d v="2025-12-12T00:00:00"/>
    <x v="2"/>
  </r>
  <r>
    <n v="50012903"/>
    <x v="31"/>
    <n v="1"/>
    <s v="REALIZADO"/>
    <s v="BRUNO"/>
    <d v="2025-12-12T00:00:00"/>
    <x v="2"/>
  </r>
  <r>
    <n v="50041195"/>
    <x v="21"/>
    <n v="1"/>
    <s v="REALIZADO"/>
    <s v="BRUNO"/>
    <d v="2025-12-12T00:00:00"/>
    <x v="2"/>
  </r>
  <r>
    <n v="50004486"/>
    <x v="40"/>
    <n v="1"/>
    <s v="REALIZADO"/>
    <s v="BRUNO"/>
    <d v="2025-12-12T00:00:00"/>
    <x v="2"/>
  </r>
  <r>
    <n v="50018168"/>
    <x v="39"/>
    <n v="1"/>
    <s v="REALIZADO"/>
    <s v="BRUNO"/>
    <d v="2025-12-12T00:00:00"/>
    <x v="2"/>
  </r>
  <r>
    <n v="50038841"/>
    <x v="34"/>
    <n v="1"/>
    <s v="REALIZADO"/>
    <s v="BRUNO"/>
    <d v="2025-12-12T00:00:00"/>
    <x v="0"/>
  </r>
  <r>
    <n v="50038841"/>
    <x v="34"/>
    <n v="1"/>
    <s v="REALIZADO"/>
    <s v="GEOVANE"/>
    <d v="2025-12-11T00:00:00"/>
    <x v="0"/>
  </r>
  <r>
    <n v="50037892"/>
    <x v="2"/>
    <n v="1"/>
    <s v="REALIZADO"/>
    <s v="GEOVANE"/>
    <d v="2025-12-11T00:00:00"/>
    <x v="0"/>
  </r>
  <r>
    <n v="50043471"/>
    <x v="5"/>
    <n v="1"/>
    <s v="REALIZADO"/>
    <s v="GEOVANE"/>
    <d v="2025-12-11T00:00:00"/>
    <x v="0"/>
  </r>
  <r>
    <n v="50041195"/>
    <x v="21"/>
    <n v="1"/>
    <s v="REALIZADO"/>
    <s v="GEOVANE"/>
    <d v="2025-12-11T00:00:00"/>
    <x v="0"/>
  </r>
  <r>
    <n v="50026357"/>
    <x v="24"/>
    <n v="1"/>
    <s v="REALIZADO"/>
    <s v="GEOVANE"/>
    <d v="2025-12-11T00:00:00"/>
    <x v="0"/>
  </r>
  <r>
    <n v="50032781"/>
    <x v="12"/>
    <n v="1"/>
    <s v="REALIZADO"/>
    <s v="GEOVANE"/>
    <d v="2025-12-11T00:00:00"/>
    <x v="0"/>
  </r>
  <r>
    <n v="50030486"/>
    <x v="17"/>
    <n v="1"/>
    <s v="REALIZADO"/>
    <s v="GEOVANE"/>
    <d v="2025-12-11T00:00:00"/>
    <x v="0"/>
  </r>
  <r>
    <n v="50003297"/>
    <x v="8"/>
    <n v="1"/>
    <s v="REALIZADO"/>
    <s v="GEOVANE"/>
    <d v="2025-12-11T00:00:00"/>
    <x v="0"/>
  </r>
  <r>
    <n v="50037892"/>
    <x v="2"/>
    <n v="1"/>
    <s v="REALIZADO"/>
    <s v="GEOVANE"/>
    <d v="2025-12-11T00:00:00"/>
    <x v="0"/>
  </r>
  <r>
    <n v="50043471"/>
    <x v="5"/>
    <n v="1"/>
    <s v="REALIZADO"/>
    <s v="GEOVANE"/>
    <d v="2025-12-11T00:00:00"/>
    <x v="2"/>
  </r>
  <r>
    <n v="50037892"/>
    <x v="2"/>
    <n v="1"/>
    <s v="REALIZADO"/>
    <s v="GEOVANE"/>
    <d v="2025-12-11T00:00:00"/>
    <x v="2"/>
  </r>
  <r>
    <n v="50043471"/>
    <x v="5"/>
    <n v="1"/>
    <s v="REALIZADO"/>
    <s v="GEOVANE"/>
    <d v="2025-12-11T00:00:00"/>
    <x v="0"/>
  </r>
  <r>
    <n v="50037892"/>
    <x v="2"/>
    <n v="1"/>
    <s v="REALIZADO"/>
    <s v="GEOVANE"/>
    <d v="2025-12-11T00:00:00"/>
    <x v="0"/>
  </r>
  <r>
    <n v="50043471"/>
    <x v="5"/>
    <n v="1"/>
    <s v="REALIZADO"/>
    <s v="GEOVANE"/>
    <d v="2025-12-11T00:00:00"/>
    <x v="2"/>
  </r>
  <r>
    <n v="50039065"/>
    <x v="22"/>
    <n v="1"/>
    <s v="REALIZADO"/>
    <s v="GEOVANE"/>
    <d v="2025-12-11T00:00:00"/>
    <x v="2"/>
  </r>
  <r>
    <n v="50038517"/>
    <x v="0"/>
    <n v="1"/>
    <s v="REALIZADO"/>
    <s v="GEOVANE"/>
    <d v="2025-12-11T00:00:00"/>
    <x v="2"/>
  </r>
  <r>
    <n v="50037892"/>
    <x v="2"/>
    <n v="1"/>
    <s v="REALIZADO"/>
    <s v="GEOVANE"/>
    <d v="2025-12-11T00:00:00"/>
    <x v="2"/>
  </r>
  <r>
    <n v="50037900"/>
    <x v="41"/>
    <n v="1"/>
    <s v="REALIZADO"/>
    <s v="GEOVANE"/>
    <d v="2025-12-11T00:00:00"/>
    <x v="0"/>
  </r>
  <r>
    <n v="50020623"/>
    <x v="42"/>
    <n v="1"/>
    <s v="REALIZADO"/>
    <s v="BRUNO"/>
    <d v="2025-12-11T00:00:00"/>
    <x v="0"/>
  </r>
  <r>
    <n v="50038549"/>
    <x v="6"/>
    <n v="1"/>
    <s v="REALIZADO"/>
    <s v="BRUNO"/>
    <d v="2025-12-11T00:00:00"/>
    <x v="0"/>
  </r>
  <r>
    <n v="50038854"/>
    <x v="27"/>
    <n v="1"/>
    <s v="REALIZADO"/>
    <s v="BRUNO"/>
    <d v="2025-12-11T00:00:00"/>
    <x v="0"/>
  </r>
  <r>
    <n v="50038517"/>
    <x v="0"/>
    <n v="1"/>
    <s v="REALIZADO"/>
    <s v="MATHEUS"/>
    <d v="2025-12-11T00:00:00"/>
    <x v="2"/>
  </r>
  <r>
    <n v="50038517"/>
    <x v="0"/>
    <n v="1"/>
    <s v="REALIZADO"/>
    <s v="BRUNO"/>
    <d v="2025-12-11T00:00:00"/>
    <x v="0"/>
  </r>
  <r>
    <n v="50038517"/>
    <x v="0"/>
    <n v="1"/>
    <s v="REALIZADO"/>
    <s v="BRUNO"/>
    <d v="2025-12-11T00:00:00"/>
    <x v="2"/>
  </r>
  <r>
    <n v="50038854"/>
    <x v="27"/>
    <n v="1"/>
    <s v="REALIZADO"/>
    <s v="BRUNO"/>
    <d v="2025-12-11T00:00:00"/>
    <x v="2"/>
  </r>
  <r>
    <n v="50041195"/>
    <x v="21"/>
    <n v="1"/>
    <s v="REALIZADO"/>
    <s v="BRUNO"/>
    <d v="2025-12-11T00:00:00"/>
    <x v="2"/>
  </r>
  <r>
    <n v="50029865"/>
    <x v="9"/>
    <n v="1"/>
    <s v="REALIZADO"/>
    <s v="BRUNO"/>
    <d v="2025-12-11T00:00:00"/>
    <x v="2"/>
  </r>
  <r>
    <n v="50026357"/>
    <x v="24"/>
    <n v="1"/>
    <s v="REALIZADO"/>
    <s v="BRUNO"/>
    <d v="2025-12-11T00:00:00"/>
    <x v="2"/>
  </r>
  <r>
    <n v="50038549"/>
    <x v="6"/>
    <n v="1"/>
    <s v="REALIZADO"/>
    <s v="BRUNO"/>
    <d v="2025-12-11T00:00:00"/>
    <x v="0"/>
  </r>
  <r>
    <n v="50038517"/>
    <x v="0"/>
    <n v="1"/>
    <s v="REALIZADO"/>
    <s v="BRUNO"/>
    <d v="2025-12-11T00:00:00"/>
    <x v="2"/>
  </r>
  <r>
    <n v="50038517"/>
    <x v="0"/>
    <n v="1"/>
    <s v="REALIZADO"/>
    <s v="BRUNO"/>
    <d v="2025-12-11T00:00:00"/>
    <x v="2"/>
  </r>
  <r>
    <n v="50032781"/>
    <x v="12"/>
    <n v="1"/>
    <s v="REALIZADO"/>
    <s v="BRUNO"/>
    <d v="2025-12-11T00:00:00"/>
    <x v="2"/>
  </r>
  <r>
    <n v="50030486"/>
    <x v="17"/>
    <n v="1"/>
    <s v="REALIZADO"/>
    <s v="BRUNO"/>
    <d v="2025-12-11T00:00:00"/>
    <x v="2"/>
  </r>
  <r>
    <n v="50010031"/>
    <x v="20"/>
    <n v="1"/>
    <s v="REALIZADO"/>
    <s v="BRUNO"/>
    <d v="2025-12-11T00:00:00"/>
    <x v="2"/>
  </r>
  <r>
    <n v="50043471"/>
    <x v="5"/>
    <n v="1"/>
    <s v="REALIZADO"/>
    <s v="BRUNO"/>
    <d v="2025-12-11T00:00:00"/>
    <x v="2"/>
  </r>
  <r>
    <n v="50020623"/>
    <x v="42"/>
    <n v="1"/>
    <s v="REALIZADO"/>
    <s v="BRUNO"/>
    <d v="2025-12-11T00:00:00"/>
    <x v="0"/>
  </r>
  <r>
    <n v="50043471"/>
    <x v="5"/>
    <n v="1"/>
    <s v="REALIZADO"/>
    <s v="BRUNO"/>
    <d v="2025-12-11T00:00:00"/>
    <x v="0"/>
  </r>
  <r>
    <n v="50037892"/>
    <x v="2"/>
    <n v="1"/>
    <s v="REALIZADO"/>
    <s v="BRUNO"/>
    <d v="2025-12-11T00:00:00"/>
    <x v="2"/>
  </r>
  <r>
    <n v="50003297"/>
    <x v="8"/>
    <n v="1"/>
    <s v="REALIZADO"/>
    <s v="BRUNO"/>
    <d v="2025-12-11T00:00:00"/>
    <x v="2"/>
  </r>
  <r>
    <n v="50038841"/>
    <x v="34"/>
    <n v="1"/>
    <s v="REALIZADO"/>
    <s v="BRUNO"/>
    <d v="2025-12-11T00:00:00"/>
    <x v="2"/>
  </r>
  <r>
    <n v="50038517"/>
    <x v="0"/>
    <n v="1"/>
    <s v="REALIZADO"/>
    <s v="BRUNO"/>
    <d v="2025-12-11T00:00:00"/>
    <x v="2"/>
  </r>
  <r>
    <n v="50037892"/>
    <x v="2"/>
    <n v="1"/>
    <s v="REALIZADO"/>
    <s v="BRUNO"/>
    <d v="2025-12-11T00:00:00"/>
    <x v="2"/>
  </r>
  <r>
    <n v="50043471"/>
    <x v="5"/>
    <n v="1"/>
    <s v="REALIZADO"/>
    <s v="BRUNO"/>
    <d v="2025-12-11T00:00:00"/>
    <x v="0"/>
  </r>
  <r>
    <n v="50039065"/>
    <x v="22"/>
    <n v="1"/>
    <s v="REALIZADO"/>
    <s v="KELLY"/>
    <d v="2025-12-10T00:00:00"/>
    <x v="0"/>
  </r>
  <r>
    <n v="50038517"/>
    <x v="0"/>
    <n v="1"/>
    <s v="REALIZADO"/>
    <s v="KELLY"/>
    <d v="2025-12-10T00:00:00"/>
    <x v="2"/>
  </r>
  <r>
    <n v="50041095"/>
    <x v="15"/>
    <n v="1"/>
    <s v="REALIZADO"/>
    <s v="KELLY"/>
    <d v="2025-12-10T00:00:00"/>
    <x v="0"/>
  </r>
  <r>
    <n v="50037933"/>
    <x v="43"/>
    <n v="1"/>
    <s v="REALIZADO"/>
    <s v="KELLY"/>
    <d v="2025-12-10T00:00:00"/>
    <x v="0"/>
  </r>
  <r>
    <n v="50029865"/>
    <x v="9"/>
    <n v="1"/>
    <s v="REALIZADO"/>
    <s v="KELLY"/>
    <d v="2025-12-10T00:00:00"/>
    <x v="0"/>
  </r>
  <r>
    <n v="50003297"/>
    <x v="8"/>
    <n v="1"/>
    <s v="REALIZADO"/>
    <s v="KELLY"/>
    <d v="2025-12-10T00:00:00"/>
    <x v="0"/>
  </r>
  <r>
    <n v="50043471"/>
    <x v="5"/>
    <n v="1"/>
    <s v="REALIZADO"/>
    <s v="KELLY"/>
    <d v="2025-12-10T00:00:00"/>
    <x v="0"/>
  </r>
  <r>
    <n v="50037892"/>
    <x v="2"/>
    <n v="1"/>
    <s v="REALIZADO"/>
    <s v="KELLY"/>
    <d v="2025-12-10T00:00:00"/>
    <x v="0"/>
  </r>
  <r>
    <n v="50037900"/>
    <x v="41"/>
    <n v="1"/>
    <s v="REALIZADO"/>
    <s v="KELLY"/>
    <d v="2025-12-10T00:00:00"/>
    <x v="0"/>
  </r>
  <r>
    <n v="50039718"/>
    <x v="11"/>
    <n v="1"/>
    <s v="REALIZADO"/>
    <s v="AGATHA"/>
    <d v="2025-12-10T00:00:00"/>
    <x v="0"/>
  </r>
  <r>
    <n v="50030486"/>
    <x v="17"/>
    <n v="1"/>
    <s v="REALIZADO"/>
    <s v="AGATHA"/>
    <d v="2025-12-10T00:00:00"/>
    <x v="0"/>
  </r>
  <r>
    <n v="50038841"/>
    <x v="34"/>
    <n v="1"/>
    <s v="REALIZADO"/>
    <s v="AGATHA"/>
    <d v="2025-12-10T00:00:00"/>
    <x v="2"/>
  </r>
  <r>
    <n v="50039718"/>
    <x v="11"/>
    <n v="1"/>
    <s v="REALIZADO"/>
    <s v="AGATHA"/>
    <d v="2025-12-10T00:00:00"/>
    <x v="2"/>
  </r>
  <r>
    <n v="50039065"/>
    <x v="22"/>
    <n v="1"/>
    <s v="REALIZADO"/>
    <s v="JOÃO FRANCISCO"/>
    <d v="2025-12-10T00:00:00"/>
    <x v="2"/>
  </r>
  <r>
    <n v="50038517"/>
    <x v="0"/>
    <n v="1"/>
    <s v="REALIZADO"/>
    <s v="JOÃO FRANCISCO"/>
    <d v="2025-12-10T00:00:00"/>
    <x v="2"/>
  </r>
  <r>
    <n v="50030486"/>
    <x v="17"/>
    <n v="1"/>
    <s v="REALIZADO"/>
    <s v="AGATHA"/>
    <d v="2025-12-10T00:00:00"/>
    <x v="2"/>
  </r>
  <r>
    <n v="50038841"/>
    <x v="34"/>
    <n v="1"/>
    <s v="REALIZADO"/>
    <s v="MARCIA"/>
    <d v="2025-12-10T00:00:00"/>
    <x v="2"/>
  </r>
  <r>
    <n v="50037933"/>
    <x v="43"/>
    <n v="1"/>
    <s v="REALIZADO"/>
    <s v="MARCIA"/>
    <d v="2025-12-10T00:00:00"/>
    <x v="0"/>
  </r>
  <r>
    <n v="50037933"/>
    <x v="43"/>
    <n v="1"/>
    <s v="REALIZADO"/>
    <s v="MARCIA"/>
    <d v="2025-12-10T00:00:00"/>
    <x v="0"/>
  </r>
  <r>
    <n v="50038517"/>
    <x v="0"/>
    <n v="1"/>
    <s v="REALIZADO"/>
    <s v="MARCIA"/>
    <d v="2025-12-10T00:00:00"/>
    <x v="2"/>
  </r>
  <r>
    <n v="50038517"/>
    <x v="0"/>
    <n v="1"/>
    <s v="REALIZADO"/>
    <s v="MARCIA"/>
    <d v="2025-12-10T00:00:00"/>
    <x v="0"/>
  </r>
  <r>
    <n v="50041195"/>
    <x v="21"/>
    <n v="1"/>
    <s v="REALIZADO"/>
    <s v="BRUNO"/>
    <d v="2025-12-10T00:00:00"/>
    <x v="2"/>
  </r>
  <r>
    <n v="50001995"/>
    <x v="44"/>
    <n v="1"/>
    <s v="REALIZADO"/>
    <s v="BRUNO"/>
    <d v="2025-12-10T00:00:00"/>
    <x v="2"/>
  </r>
  <r>
    <n v="50029865"/>
    <x v="9"/>
    <n v="1"/>
    <s v="REALIZADO"/>
    <s v="BRUNO"/>
    <d v="2025-12-10T00:00:00"/>
    <x v="2"/>
  </r>
  <r>
    <n v="50003297"/>
    <x v="8"/>
    <n v="1"/>
    <s v="REALIZADO"/>
    <s v="BRUNO"/>
    <d v="2025-12-10T00:00:00"/>
    <x v="2"/>
  </r>
  <r>
    <n v="50043471"/>
    <x v="5"/>
    <n v="1"/>
    <s v="REALIZADO"/>
    <s v="BRUNO"/>
    <d v="2025-12-10T00:00:00"/>
    <x v="0"/>
  </r>
  <r>
    <n v="50037902"/>
    <x v="14"/>
    <n v="1"/>
    <s v="REALIZADO"/>
    <s v="BRUNO"/>
    <d v="2025-12-10T00:00:00"/>
    <x v="0"/>
  </r>
  <r>
    <n v="50038841"/>
    <x v="34"/>
    <n v="1"/>
    <s v="REALIZADO"/>
    <s v="BRUNO"/>
    <d v="2025-12-10T00:00:00"/>
    <x v="2"/>
  </r>
  <r>
    <n v="50038956"/>
    <x v="10"/>
    <n v="1"/>
    <s v="REALIZADO"/>
    <s v="BRUNO"/>
    <d v="2025-12-10T00:00:00"/>
    <x v="0"/>
  </r>
  <r>
    <n v="50003297"/>
    <x v="8"/>
    <n v="1"/>
    <s v="REALIZADO"/>
    <s v="BRUNO"/>
    <d v="2025-12-10T00:00:00"/>
    <x v="2"/>
  </r>
  <r>
    <n v="50037892"/>
    <x v="2"/>
    <n v="1"/>
    <s v="REALIZADO"/>
    <s v="BRUNO"/>
    <d v="2025-12-10T00:00:00"/>
    <x v="2"/>
  </r>
  <r>
    <n v="50038841"/>
    <x v="34"/>
    <n v="1"/>
    <s v="REALIZADO"/>
    <s v="BRUNO"/>
    <d v="2025-12-10T00:00:00"/>
    <x v="0"/>
  </r>
  <r>
    <n v="50038956"/>
    <x v="10"/>
    <n v="1"/>
    <s v="REALIZADO"/>
    <s v="BRUNO"/>
    <d v="2025-12-10T00:00:00"/>
    <x v="0"/>
  </r>
  <r>
    <n v="50043471"/>
    <x v="5"/>
    <n v="1"/>
    <s v="REALIZADO"/>
    <s v="BRUNO"/>
    <d v="2025-12-10T00:00:00"/>
    <x v="2"/>
  </r>
  <r>
    <n v="50038956"/>
    <x v="10"/>
    <n v="1"/>
    <s v="REALIZADO"/>
    <s v="BRUNO"/>
    <d v="2025-12-10T00:00:00"/>
    <x v="0"/>
  </r>
  <r>
    <n v="50032781"/>
    <x v="12"/>
    <n v="1"/>
    <s v="REALIZADO"/>
    <s v="BRUNO"/>
    <d v="2025-12-10T00:00:00"/>
    <x v="2"/>
  </r>
  <r>
    <n v="50003297"/>
    <x v="8"/>
    <n v="1"/>
    <s v="REALIZADO"/>
    <s v="BRUNO"/>
    <d v="2025-12-10T00:00:00"/>
    <x v="0"/>
  </r>
  <r>
    <n v="50038956"/>
    <x v="10"/>
    <n v="1"/>
    <s v="REALIZADO"/>
    <s v="BRUNO"/>
    <d v="2025-12-10T00:00:00"/>
    <x v="2"/>
  </r>
  <r>
    <n v="50032781"/>
    <x v="12"/>
    <n v="1"/>
    <s v="REALIZADO"/>
    <s v="BRUNO"/>
    <d v="2025-12-10T00:00:00"/>
    <x v="2"/>
  </r>
  <r>
    <n v="50038956"/>
    <x v="10"/>
    <n v="1"/>
    <s v="REALIZADO"/>
    <s v="BRUNO"/>
    <d v="2025-12-10T00:00:00"/>
    <x v="0"/>
  </r>
  <r>
    <n v="50037944"/>
    <x v="45"/>
    <n v="1"/>
    <s v="REALIZADO"/>
    <s v="BRUNO"/>
    <d v="2025-12-10T00:00:00"/>
    <x v="2"/>
  </r>
  <r>
    <n v="50043471"/>
    <x v="5"/>
    <n v="1"/>
    <s v="REALIZADO"/>
    <s v="BRUNO"/>
    <d v="2025-12-10T00:00:00"/>
    <x v="2"/>
  </r>
  <r>
    <n v="50037944"/>
    <x v="45"/>
    <n v="1"/>
    <s v="REALIZADO"/>
    <s v="BRUNO"/>
    <d v="2025-12-10T00:00:00"/>
    <x v="2"/>
  </r>
  <r>
    <n v="50037902"/>
    <x v="14"/>
    <n v="1"/>
    <s v="REALIZADO"/>
    <s v="BRUNO"/>
    <d v="2025-12-10T00:00:00"/>
    <x v="2"/>
  </r>
  <r>
    <n v="50041195"/>
    <x v="21"/>
    <n v="1"/>
    <s v="REALIZADO"/>
    <s v="BRUNO"/>
    <d v="2025-12-10T00:00:00"/>
    <x v="2"/>
  </r>
  <r>
    <n v="50037900"/>
    <x v="41"/>
    <n v="1"/>
    <s v="REALIZADO"/>
    <s v="BRUNO"/>
    <d v="2025-12-10T00:00:00"/>
    <x v="2"/>
  </r>
  <r>
    <n v="50037933"/>
    <x v="43"/>
    <n v="1"/>
    <s v="REALIZADO"/>
    <s v="BRUNO"/>
    <d v="2025-12-10T00:00:00"/>
    <x v="0"/>
  </r>
  <r>
    <n v="50038517"/>
    <x v="0"/>
    <n v="1"/>
    <s v="REALIZADO"/>
    <s v="KELLY"/>
    <d v="2025-12-09T00:00:00"/>
    <x v="0"/>
  </r>
  <r>
    <n v="50037892"/>
    <x v="2"/>
    <n v="1"/>
    <s v="REALIZADO"/>
    <s v="KELLY"/>
    <d v="2025-12-09T00:00:00"/>
    <x v="0"/>
  </r>
  <r>
    <n v="50038549"/>
    <x v="6"/>
    <n v="1"/>
    <s v="REALIZADO"/>
    <s v="AGATHA"/>
    <d v="2025-12-09T00:00:00"/>
    <x v="0"/>
  </r>
  <r>
    <n v="50036296"/>
    <x v="46"/>
    <n v="1"/>
    <s v="REALIZADO"/>
    <s v="AGATHA"/>
    <d v="2025-12-09T00:00:00"/>
    <x v="0"/>
  </r>
  <r>
    <n v="50039718"/>
    <x v="11"/>
    <n v="1"/>
    <s v="REALIZADO"/>
    <s v="AGATHA"/>
    <d v="2025-12-09T00:00:00"/>
    <x v="0"/>
  </r>
  <r>
    <n v="50020623"/>
    <x v="42"/>
    <n v="1"/>
    <s v="REALIZADO"/>
    <s v="AGATHA"/>
    <d v="2025-12-09T00:00:00"/>
    <x v="0"/>
  </r>
  <r>
    <n v="50041195"/>
    <x v="21"/>
    <n v="1"/>
    <s v="REALIZADO"/>
    <s v="AGATHA"/>
    <d v="2025-12-09T00:00:00"/>
    <x v="0"/>
  </r>
  <r>
    <n v="50037902"/>
    <x v="14"/>
    <n v="1"/>
    <s v="REALIZADO"/>
    <s v="AGATHA"/>
    <d v="2025-12-09T00:00:00"/>
    <x v="0"/>
  </r>
  <r>
    <n v="50003297"/>
    <x v="8"/>
    <n v="1"/>
    <s v="REALIZADO"/>
    <s v="JOÃO FRANCISCO"/>
    <d v="2025-12-09T00:00:00"/>
    <x v="2"/>
  </r>
  <r>
    <n v="50038517"/>
    <x v="0"/>
    <n v="1"/>
    <s v="REALIZADO"/>
    <s v="AGATHA"/>
    <d v="2025-12-09T00:00:00"/>
    <x v="2"/>
  </r>
  <r>
    <n v="50003297"/>
    <x v="8"/>
    <n v="1"/>
    <s v="REALIZADO"/>
    <s v="JOÃO FRANCISCO"/>
    <d v="2025-12-09T00:00:00"/>
    <x v="2"/>
  </r>
  <r>
    <n v="50020623"/>
    <x v="42"/>
    <n v="1"/>
    <s v="REALIZADO"/>
    <s v="JOÃO FRANCISCO"/>
    <d v="2025-12-09T00:00:00"/>
    <x v="0"/>
  </r>
  <r>
    <n v="50038517"/>
    <x v="0"/>
    <n v="1"/>
    <s v="REALIZADO"/>
    <s v="AGATHA"/>
    <d v="2025-12-09T00:00:00"/>
    <x v="2"/>
  </r>
  <r>
    <n v="50039718"/>
    <x v="11"/>
    <n v="1"/>
    <s v="REALIZADO"/>
    <s v="AGATHA"/>
    <d v="2025-12-09T00:00:00"/>
    <x v="0"/>
  </r>
  <r>
    <n v="50003297"/>
    <x v="8"/>
    <n v="1"/>
    <s v="REALIZADO"/>
    <s v="AGATHA"/>
    <d v="2025-12-09T00:00:00"/>
    <x v="2"/>
  </r>
  <r>
    <n v="50038517"/>
    <x v="0"/>
    <n v="1"/>
    <s v="REALIZADO"/>
    <s v="AGATHA"/>
    <d v="2025-12-09T00:00:00"/>
    <x v="2"/>
  </r>
  <r>
    <n v="50037892"/>
    <x v="2"/>
    <n v="1"/>
    <s v="REALIZADO"/>
    <s v="GEOVANE"/>
    <d v="2025-12-09T00:00:00"/>
    <x v="2"/>
  </r>
  <r>
    <n v="50003297"/>
    <x v="8"/>
    <n v="1"/>
    <s v="REALIZADO"/>
    <s v="AGATHA"/>
    <d v="2025-12-09T00:00:00"/>
    <x v="2"/>
  </r>
  <r>
    <n v="50037902"/>
    <x v="14"/>
    <n v="1"/>
    <s v="NÃO REALIZADO"/>
    <s v="MARCIA"/>
    <d v="2025-12-09T00:00:00"/>
    <x v="2"/>
  </r>
  <r>
    <n v="50041195"/>
    <x v="21"/>
    <n v="1"/>
    <s v="REALIZADO"/>
    <s v="MARCIA"/>
    <d v="2025-12-09T00:00:00"/>
    <x v="0"/>
  </r>
  <r>
    <n v="50042283"/>
    <x v="47"/>
    <n v="1"/>
    <s v="REALIZADO"/>
    <s v="MARCIA"/>
    <d v="2025-12-09T00:00:00"/>
    <x v="0"/>
  </r>
  <r>
    <n v="50037902"/>
    <x v="14"/>
    <n v="1"/>
    <s v="REALIZADO"/>
    <s v="MARCIA"/>
    <d v="2025-12-09T00:00:00"/>
    <x v="0"/>
  </r>
  <r>
    <n v="50010031"/>
    <x v="20"/>
    <n v="1"/>
    <s v="REALIZADO"/>
    <s v="MATHEUS"/>
    <d v="2025-12-09T00:00:00"/>
    <x v="2"/>
  </r>
  <r>
    <n v="50037902"/>
    <x v="14"/>
    <n v="1"/>
    <s v="REALIZADO"/>
    <s v="MATHEUS"/>
    <d v="2025-12-09T00:00:00"/>
    <x v="0"/>
  </r>
  <r>
    <n v="50038841"/>
    <x v="34"/>
    <n v="1"/>
    <s v="REALIZADO"/>
    <s v="MATHEUS"/>
    <d v="2025-12-09T00:00:00"/>
    <x v="2"/>
  </r>
  <r>
    <n v="50010031"/>
    <x v="20"/>
    <n v="1"/>
    <s v="REALIZADO"/>
    <s v="MATHEUS"/>
    <d v="2025-12-09T00:00:00"/>
    <x v="2"/>
  </r>
  <r>
    <n v="50042283"/>
    <x v="47"/>
    <n v="1"/>
    <s v="REALIZADO"/>
    <s v="MATHEUS"/>
    <d v="2025-12-09T00:00:00"/>
    <x v="2"/>
  </r>
  <r>
    <n v="50038549"/>
    <x v="6"/>
    <n v="1"/>
    <s v="REALIZADO"/>
    <s v="MATHEUS"/>
    <d v="2025-12-09T00:00:00"/>
    <x v="2"/>
  </r>
  <r>
    <n v="50036296"/>
    <x v="46"/>
    <n v="1"/>
    <s v="REALIZADO"/>
    <s v="MATHEUS"/>
    <d v="2025-12-09T00:00:00"/>
    <x v="2"/>
  </r>
  <r>
    <n v="50038841"/>
    <x v="34"/>
    <n v="1"/>
    <s v="REALIZADO"/>
    <s v="MATHEUS"/>
    <d v="2025-12-09T00:00:00"/>
    <x v="0"/>
  </r>
  <r>
    <n v="50041195"/>
    <x v="21"/>
    <n v="1"/>
    <s v="REALIZADO"/>
    <s v="KELLY"/>
    <d v="2025-12-08T00:00:00"/>
    <x v="0"/>
  </r>
  <r>
    <n v="50037892"/>
    <x v="2"/>
    <n v="1"/>
    <s v="REALIZADO"/>
    <s v="KELLY"/>
    <d v="2025-12-08T00:00:00"/>
    <x v="0"/>
  </r>
  <r>
    <n v="50003297"/>
    <x v="8"/>
    <n v="1"/>
    <s v="REALIZADO"/>
    <s v="KELLY"/>
    <d v="2025-12-08T00:00:00"/>
    <x v="0"/>
  </r>
  <r>
    <n v="50038517"/>
    <x v="0"/>
    <n v="1"/>
    <s v="REALIZADO"/>
    <s v="KELLY"/>
    <d v="2025-12-08T00:00:00"/>
    <x v="0"/>
  </r>
  <r>
    <n v="50036255"/>
    <x v="7"/>
    <n v="1"/>
    <s v="REALIZADO"/>
    <s v="KELLY"/>
    <d v="2025-12-08T00:00:00"/>
    <x v="0"/>
  </r>
  <r>
    <n v="50043471"/>
    <x v="5"/>
    <n v="1"/>
    <s v="REALIZADO"/>
    <s v="KELLY"/>
    <d v="2025-12-08T00:00:00"/>
    <x v="0"/>
  </r>
  <r>
    <n v="50041089"/>
    <x v="48"/>
    <n v="1"/>
    <s v="REALIZADO"/>
    <s v="KELLY"/>
    <d v="2025-12-08T00:00:00"/>
    <x v="0"/>
  </r>
  <r>
    <n v="50037905"/>
    <x v="49"/>
    <n v="1"/>
    <s v="REALIZADO"/>
    <s v="KELLY"/>
    <d v="2025-12-08T00:00:00"/>
    <x v="2"/>
  </r>
  <r>
    <n v="50041195"/>
    <x v="21"/>
    <n v="1"/>
    <s v="REALIZADO"/>
    <s v="KELLY"/>
    <d v="2025-12-08T00:00:00"/>
    <x v="2"/>
  </r>
  <r>
    <n v="50038517"/>
    <x v="0"/>
    <n v="1"/>
    <s v="REALIZADO"/>
    <s v="KELLY"/>
    <d v="2025-12-08T00:00:00"/>
    <x v="2"/>
  </r>
  <r>
    <n v="50037892"/>
    <x v="2"/>
    <n v="1"/>
    <s v="REALIZADO"/>
    <s v="KELLY"/>
    <d v="2025-12-08T00:00:00"/>
    <x v="2"/>
  </r>
  <r>
    <n v="50036255"/>
    <x v="7"/>
    <n v="1"/>
    <s v="REALIZADO"/>
    <s v="KELLY"/>
    <d v="2025-12-08T00:00:00"/>
    <x v="2"/>
  </r>
  <r>
    <n v="50037905"/>
    <x v="49"/>
    <n v="1"/>
    <s v="REALIZADO"/>
    <s v="KELLY"/>
    <d v="2025-12-08T00:00:00"/>
    <x v="0"/>
  </r>
  <r>
    <n v="50037902"/>
    <x v="14"/>
    <n v="1"/>
    <s v="REALIZADO"/>
    <s v="KELLY"/>
    <d v="2025-12-08T00:00:00"/>
    <x v="0"/>
  </r>
  <r>
    <n v="50041653"/>
    <x v="50"/>
    <n v="1"/>
    <s v="REALIZADO"/>
    <s v="KELLY"/>
    <d v="2025-12-08T00:00:00"/>
    <x v="0"/>
  </r>
  <r>
    <n v="50037892"/>
    <x v="2"/>
    <n v="1"/>
    <s v="REALIZADO"/>
    <s v="KELLY"/>
    <d v="2025-12-08T00:00:00"/>
    <x v="2"/>
  </r>
  <r>
    <n v="50043471"/>
    <x v="5"/>
    <n v="1"/>
    <s v="REALIZADO"/>
    <s v="KELLY"/>
    <d v="2025-12-08T00:00:00"/>
    <x v="0"/>
  </r>
  <r>
    <n v="50043471"/>
    <x v="5"/>
    <n v="1"/>
    <s v="REALIZADO"/>
    <s v="KELLY"/>
    <d v="2025-12-08T00:00:00"/>
    <x v="2"/>
  </r>
  <r>
    <n v="50003297"/>
    <x v="8"/>
    <n v="1"/>
    <s v="REALIZADO"/>
    <s v="KELLY"/>
    <d v="2025-12-08T00:00:00"/>
    <x v="0"/>
  </r>
  <r>
    <n v="50038517"/>
    <x v="0"/>
    <n v="1"/>
    <s v="REALIZADO"/>
    <s v="KELLY"/>
    <d v="2025-12-08T00:00:00"/>
    <x v="2"/>
  </r>
  <r>
    <n v="50038517"/>
    <x v="0"/>
    <n v="1"/>
    <s v="REALIZADO"/>
    <s v="KELLY"/>
    <d v="2025-12-08T00:00:00"/>
    <x v="2"/>
  </r>
  <r>
    <n v="50037902"/>
    <x v="14"/>
    <n v="1"/>
    <s v="REALIZADO"/>
    <s v="KELLY"/>
    <d v="2025-12-08T00:00:00"/>
    <x v="2"/>
  </r>
  <r>
    <n v="50041653"/>
    <x v="50"/>
    <n v="1"/>
    <s v="REALIZADO"/>
    <s v="KELLY"/>
    <d v="2025-12-08T00:00:00"/>
    <x v="0"/>
  </r>
  <r>
    <n v="50039065"/>
    <x v="22"/>
    <n v="1"/>
    <s v="REALIZADO"/>
    <s v="KELLY"/>
    <d v="2025-12-08T00:00:00"/>
    <x v="2"/>
  </r>
  <r>
    <n v="50037892"/>
    <x v="2"/>
    <n v="1"/>
    <s v="REALIZADO"/>
    <s v="KELLY"/>
    <d v="2025-12-08T00:00:00"/>
    <x v="0"/>
  </r>
  <r>
    <n v="50001740"/>
    <x v="51"/>
    <n v="1"/>
    <s v="REALIZADO"/>
    <s v="KELLY"/>
    <d v="2025-12-08T00:00:00"/>
    <x v="2"/>
  </r>
  <r>
    <n v="50039065"/>
    <x v="22"/>
    <n v="1"/>
    <s v="REALIZADO"/>
    <s v="KELLY"/>
    <d v="2025-12-08T00:00:00"/>
    <x v="2"/>
  </r>
  <r>
    <n v="50001740"/>
    <x v="51"/>
    <n v="1"/>
    <s v="REALIZADO"/>
    <s v="KELLY"/>
    <d v="2025-12-08T00:00:00"/>
    <x v="2"/>
  </r>
  <r>
    <n v="50041089"/>
    <x v="48"/>
    <n v="1"/>
    <s v="REALIZADO"/>
    <s v="KELLY"/>
    <d v="2025-12-08T00:00:00"/>
    <x v="0"/>
  </r>
  <r>
    <n v="50022878"/>
    <x v="18"/>
    <n v="1"/>
    <s v="REALIZADO"/>
    <s v="KELLY"/>
    <d v="2025-12-08T00:00:00"/>
    <x v="2"/>
  </r>
  <r>
    <n v="50022878"/>
    <x v="18"/>
    <n v="1"/>
    <s v="REALIZADO"/>
    <s v="KELLY"/>
    <d v="2025-12-08T00:00:00"/>
    <x v="2"/>
  </r>
  <r>
    <n v="50043471"/>
    <x v="5"/>
    <n v="1"/>
    <s v="REALIZADO"/>
    <s v="KELLY"/>
    <d v="2025-12-08T00:00:00"/>
    <x v="0"/>
  </r>
  <r>
    <n v="50038549"/>
    <x v="6"/>
    <n v="1"/>
    <s v="REALIZADO"/>
    <s v="KELLY"/>
    <d v="2025-12-07T00:00:00"/>
    <x v="0"/>
  </r>
  <r>
    <n v="50041095"/>
    <x v="15"/>
    <n v="1"/>
    <s v="REALIZADO"/>
    <s v="KELLY"/>
    <d v="2025-12-07T00:00:00"/>
    <x v="0"/>
  </r>
  <r>
    <n v="50037892"/>
    <x v="2"/>
    <n v="1"/>
    <s v="REALIZADO"/>
    <s v="KELLY"/>
    <d v="2025-12-07T00:00:00"/>
    <x v="2"/>
  </r>
  <r>
    <n v="50037892"/>
    <x v="2"/>
    <n v="1"/>
    <s v="REALIZADO"/>
    <s v="KELLY"/>
    <d v="2025-12-07T00:00:00"/>
    <x v="2"/>
  </r>
  <r>
    <n v="50041095"/>
    <x v="15"/>
    <n v="1"/>
    <s v="REALIZADO"/>
    <s v="KELLY"/>
    <d v="2025-12-07T00:00:00"/>
    <x v="2"/>
  </r>
  <r>
    <n v="50038549"/>
    <x v="6"/>
    <n v="1"/>
    <s v="REALIZADO"/>
    <s v="KELLY"/>
    <d v="2025-12-07T00:00:00"/>
    <x v="0"/>
  </r>
  <r>
    <n v="50037905"/>
    <x v="49"/>
    <n v="1"/>
    <s v="NÃO REALIZADO"/>
    <s v="KELLY"/>
    <d v="2025-12-07T00:00:00"/>
    <x v="0"/>
  </r>
  <r>
    <n v="50037926"/>
    <x v="52"/>
    <n v="1"/>
    <s v="REALIZADO"/>
    <s v="KELLY"/>
    <d v="2025-12-06T00:00:00"/>
    <x v="0"/>
  </r>
  <r>
    <n v="50039718"/>
    <x v="11"/>
    <n v="1"/>
    <s v="REALIZADO"/>
    <s v="KELLY"/>
    <d v="2025-12-06T00:00:00"/>
    <x v="0"/>
  </r>
  <r>
    <n v="50037892"/>
    <x v="2"/>
    <n v="1"/>
    <s v="REALIZADO"/>
    <s v="KELLY"/>
    <d v="2025-12-06T00:00:00"/>
    <x v="2"/>
  </r>
  <r>
    <n v="50037905"/>
    <x v="49"/>
    <n v="1"/>
    <s v="NÃO REALIZADO"/>
    <s v="KELLY"/>
    <d v="2025-12-06T00:00:00"/>
    <x v="2"/>
  </r>
  <r>
    <n v="50039718"/>
    <x v="11"/>
    <n v="1"/>
    <s v="REALIZADO"/>
    <s v="KELLY"/>
    <d v="2025-12-06T00:00:00"/>
    <x v="2"/>
  </r>
  <r>
    <n v="50037926"/>
    <x v="52"/>
    <n v="1"/>
    <s v="REALIZADO"/>
    <s v="KELLY"/>
    <d v="2025-12-06T00:00:00"/>
    <x v="2"/>
  </r>
  <r>
    <n v="50037892"/>
    <x v="2"/>
    <n v="1"/>
    <s v="REALIZADO"/>
    <s v="KELLY"/>
    <d v="2025-12-06T00:00:00"/>
    <x v="0"/>
  </r>
  <r>
    <n v="50038991"/>
    <x v="53"/>
    <n v="1"/>
    <s v="REALIZADO"/>
    <s v="KELLY"/>
    <d v="2025-12-05T00:00:00"/>
    <x v="0"/>
  </r>
  <r>
    <n v="50038841"/>
    <x v="34"/>
    <n v="1"/>
    <s v="REALIZADO"/>
    <s v="KELLY"/>
    <d v="2025-12-05T00:00:00"/>
    <x v="2"/>
  </r>
  <r>
    <n v="50038991"/>
    <x v="53"/>
    <n v="1"/>
    <s v="REALIZADO"/>
    <s v="KELLY"/>
    <d v="2025-12-05T00:00:00"/>
    <x v="2"/>
  </r>
  <r>
    <n v="50038841"/>
    <x v="34"/>
    <n v="1"/>
    <s v="REALIZADO"/>
    <s v="KELLY"/>
    <d v="2025-12-05T00:00:00"/>
    <x v="0"/>
  </r>
  <r>
    <n v="50037892"/>
    <x v="2"/>
    <n v="1"/>
    <s v="REALIZADO"/>
    <s v="KELLY"/>
    <d v="2025-12-05T00:00:00"/>
    <x v="0"/>
  </r>
  <r>
    <n v="50039065"/>
    <x v="22"/>
    <n v="1"/>
    <s v="REALIZADO"/>
    <s v="KELLY"/>
    <d v="2025-12-05T00:00:00"/>
    <x v="0"/>
  </r>
  <r>
    <n v="50030486"/>
    <x v="17"/>
    <n v="1"/>
    <s v="REALIZADO"/>
    <s v="GEOVANE"/>
    <d v="2025-12-05T00:00:00"/>
    <x v="0"/>
  </r>
  <r>
    <n v="50026357"/>
    <x v="24"/>
    <n v="1"/>
    <s v="REALIZADO"/>
    <s v="GEOVANE"/>
    <d v="2025-12-05T00:00:00"/>
    <x v="0"/>
  </r>
  <r>
    <n v="50038195"/>
    <x v="54"/>
    <n v="1"/>
    <s v="REALIZADO"/>
    <s v="GEOVANE"/>
    <d v="2025-12-05T00:00:00"/>
    <x v="0"/>
  </r>
  <r>
    <n v="50038549"/>
    <x v="6"/>
    <n v="1"/>
    <s v="REALIZADO"/>
    <s v="GEOVANE"/>
    <d v="2025-12-05T00:00:00"/>
    <x v="2"/>
  </r>
  <r>
    <n v="50038195"/>
    <x v="54"/>
    <n v="1"/>
    <s v="REALIZADO"/>
    <s v="GEOVANE"/>
    <d v="2025-12-05T00:00:00"/>
    <x v="2"/>
  </r>
  <r>
    <n v="50037892"/>
    <x v="2"/>
    <n v="1"/>
    <s v="REALIZADO"/>
    <s v="MARCIA"/>
    <d v="2025-12-05T00:00:00"/>
    <x v="0"/>
  </r>
  <r>
    <n v="50003297"/>
    <x v="8"/>
    <n v="1"/>
    <s v="REALIZADO"/>
    <s v="GEOVANE"/>
    <d v="2025-12-05T00:00:00"/>
    <x v="0"/>
  </r>
  <r>
    <n v="50041195"/>
    <x v="21"/>
    <n v="1"/>
    <s v="REALIZADO"/>
    <s v="GEOVANE"/>
    <d v="2025-12-05T00:00:00"/>
    <x v="0"/>
  </r>
  <r>
    <n v="50037900"/>
    <x v="41"/>
    <n v="1"/>
    <s v="REALIZADO"/>
    <s v="GEOVANE"/>
    <d v="2025-12-05T00:00:00"/>
    <x v="2"/>
  </r>
  <r>
    <n v="50041195"/>
    <x v="21"/>
    <n v="1"/>
    <s v="REALIZADO"/>
    <s v="GEOVANE"/>
    <d v="2025-12-05T00:00:00"/>
    <x v="0"/>
  </r>
  <r>
    <n v="50041195"/>
    <x v="21"/>
    <n v="1"/>
    <s v="REALIZADO"/>
    <s v="GEOVANE"/>
    <d v="2025-12-05T00:00:00"/>
    <x v="0"/>
  </r>
  <r>
    <n v="50038517"/>
    <x v="0"/>
    <n v="1"/>
    <s v="REALIZADO"/>
    <s v="GEOVANE"/>
    <d v="2025-12-05T00:00:00"/>
    <x v="0"/>
  </r>
  <r>
    <n v="50038195"/>
    <x v="54"/>
    <n v="1"/>
    <s v="REALIZADO"/>
    <s v="GEOVANE"/>
    <d v="2025-12-05T00:00:00"/>
    <x v="2"/>
  </r>
  <r>
    <n v="50041195"/>
    <x v="21"/>
    <n v="1"/>
    <s v="REALIZADO"/>
    <s v="GEOVANE"/>
    <d v="2025-12-05T00:00:00"/>
    <x v="0"/>
  </r>
  <r>
    <n v="50038841"/>
    <x v="34"/>
    <n v="1"/>
    <s v="REALIZADO"/>
    <s v="GEOVANE"/>
    <d v="2025-12-05T00:00:00"/>
    <x v="2"/>
  </r>
  <r>
    <n v="50039065"/>
    <x v="22"/>
    <n v="1"/>
    <s v="REALIZADO"/>
    <s v="AGATHA"/>
    <d v="2025-12-05T00:00:00"/>
    <x v="2"/>
  </r>
  <r>
    <n v="50038517"/>
    <x v="0"/>
    <n v="1"/>
    <s v="REALIZADO"/>
    <s v="AGATHA"/>
    <d v="2025-12-05T00:00:00"/>
    <x v="0"/>
  </r>
  <r>
    <n v="50010031"/>
    <x v="20"/>
    <n v="1"/>
    <s v="REALIZADO"/>
    <s v="MATHEUS"/>
    <d v="2025-12-05T00:00:00"/>
    <x v="0"/>
  </r>
  <r>
    <n v="50029865"/>
    <x v="9"/>
    <n v="1"/>
    <s v="REALIZADO"/>
    <s v="MATHEUS"/>
    <d v="2025-12-05T00:00:00"/>
    <x v="0"/>
  </r>
  <r>
    <n v="50041195"/>
    <x v="21"/>
    <n v="1"/>
    <s v="REALIZADO"/>
    <s v="MATHEUS"/>
    <d v="2025-12-05T00:00:00"/>
    <x v="2"/>
  </r>
  <r>
    <n v="50010031"/>
    <x v="20"/>
    <n v="1"/>
    <s v="REALIZADO"/>
    <s v="MATHEUS"/>
    <d v="2025-12-05T00:00:00"/>
    <x v="0"/>
  </r>
  <r>
    <n v="50037892"/>
    <x v="2"/>
    <n v="1"/>
    <s v="REALIZADO"/>
    <s v="MATHEUS"/>
    <d v="2025-12-05T00:00:00"/>
    <x v="2"/>
  </r>
  <r>
    <n v="50030486"/>
    <x v="17"/>
    <n v="1"/>
    <s v="REALIZADO"/>
    <s v="MATHEUS"/>
    <d v="2025-12-05T00:00:00"/>
    <x v="2"/>
  </r>
  <r>
    <n v="50038841"/>
    <x v="34"/>
    <n v="1"/>
    <s v="REALIZADO"/>
    <s v="MATHEUS"/>
    <d v="2025-12-05T00:00:00"/>
    <x v="2"/>
  </r>
  <r>
    <n v="50026357"/>
    <x v="24"/>
    <n v="1"/>
    <s v="REALIZADO"/>
    <s v="MATHEUS"/>
    <d v="2025-12-05T00:00:00"/>
    <x v="2"/>
  </r>
  <r>
    <n v="50029865"/>
    <x v="9"/>
    <n v="1"/>
    <s v="REALIZADO"/>
    <s v="MATHEUS"/>
    <d v="2025-12-05T00:00:00"/>
    <x v="2"/>
  </r>
  <r>
    <n v="50003297"/>
    <x v="8"/>
    <n v="1"/>
    <s v="REALIZADO"/>
    <s v="MATHEUS"/>
    <d v="2025-12-05T00:00:00"/>
    <x v="2"/>
  </r>
  <r>
    <n v="50041195"/>
    <x v="21"/>
    <n v="1"/>
    <s v="REALIZADO"/>
    <s v="MATHEUS"/>
    <d v="2025-12-05T00:00:00"/>
    <x v="0"/>
  </r>
  <r>
    <n v="50029865"/>
    <x v="9"/>
    <n v="1"/>
    <s v="REALIZADO"/>
    <s v="MATHEUS"/>
    <d v="2025-12-05T00:00:00"/>
    <x v="0"/>
  </r>
  <r>
    <n v="50041195"/>
    <x v="21"/>
    <n v="1"/>
    <s v="REALIZADO"/>
    <s v="MATHEUS"/>
    <d v="2025-12-05T00:00:00"/>
    <x v="0"/>
  </r>
  <r>
    <n v="50038841"/>
    <x v="34"/>
    <n v="1"/>
    <s v="REALIZADO"/>
    <s v="MATHEUS"/>
    <d v="2025-12-05T00:00:00"/>
    <x v="0"/>
  </r>
  <r>
    <n v="50003297"/>
    <x v="8"/>
    <n v="1"/>
    <s v="REALIZADO"/>
    <s v="MATHEUS"/>
    <d v="2025-12-05T00:00:00"/>
    <x v="2"/>
  </r>
  <r>
    <n v="50039065"/>
    <x v="22"/>
    <n v="1"/>
    <s v="REALIZADO"/>
    <s v="MATHEUS"/>
    <d v="2025-12-05T00:00:00"/>
    <x v="2"/>
  </r>
  <r>
    <n v="50037892"/>
    <x v="2"/>
    <n v="1"/>
    <s v="REALIZADO"/>
    <s v="BRUNO"/>
    <d v="2025-12-05T00:00:00"/>
    <x v="2"/>
  </r>
  <r>
    <n v="50038841"/>
    <x v="34"/>
    <n v="1"/>
    <s v="REALIZADO"/>
    <s v="BRUNO"/>
    <d v="2025-12-05T00:00:00"/>
    <x v="2"/>
  </r>
  <r>
    <n v="50003297"/>
    <x v="8"/>
    <n v="1"/>
    <s v="REALIZADO"/>
    <s v="BRUNO"/>
    <d v="2025-12-05T00:00:00"/>
    <x v="2"/>
  </r>
  <r>
    <n v="50029865"/>
    <x v="9"/>
    <n v="1"/>
    <s v="REALIZADO"/>
    <s v="BRUNO"/>
    <d v="2025-12-05T00:00:00"/>
    <x v="2"/>
  </r>
  <r>
    <n v="50041195"/>
    <x v="21"/>
    <n v="1"/>
    <s v="REALIZADO"/>
    <s v="BRUNO"/>
    <d v="2025-12-05T00:00:00"/>
    <x v="0"/>
  </r>
  <r>
    <n v="50038549"/>
    <x v="6"/>
    <n v="1"/>
    <s v="REALIZADO"/>
    <s v="BRUNO"/>
    <d v="2025-12-04T00:00:00"/>
    <x v="0"/>
  </r>
  <r>
    <n v="50037892"/>
    <x v="2"/>
    <n v="1"/>
    <s v="REALIZADO"/>
    <s v="BRUNO"/>
    <d v="2025-12-04T00:00:00"/>
    <x v="0"/>
  </r>
  <r>
    <n v="50043471"/>
    <x v="5"/>
    <n v="1"/>
    <s v="REALIZADO"/>
    <s v="BRUNO"/>
    <d v="2025-12-04T00:00:00"/>
    <x v="0"/>
  </r>
  <r>
    <n v="50003297"/>
    <x v="8"/>
    <n v="1"/>
    <s v="REALIZADO"/>
    <s v="BRUNO"/>
    <d v="2025-12-04T00:00:00"/>
    <x v="0"/>
  </r>
  <r>
    <n v="50010031"/>
    <x v="20"/>
    <n v="1"/>
    <s v="REALIZADO"/>
    <s v="BRUNO"/>
    <d v="2025-12-04T00:00:00"/>
    <x v="0"/>
  </r>
  <r>
    <n v="50041195"/>
    <x v="21"/>
    <n v="1"/>
    <s v="REALIZADO"/>
    <s v="BRUNO"/>
    <d v="2025-12-04T00:00:00"/>
    <x v="2"/>
  </r>
  <r>
    <n v="50041089"/>
    <x v="48"/>
    <n v="1"/>
    <s v="REALIZADO"/>
    <s v="BRUNO"/>
    <d v="2025-12-05T00:00:00"/>
    <x v="0"/>
  </r>
  <r>
    <n v="50030486"/>
    <x v="17"/>
    <n v="1"/>
    <s v="REALIZADO"/>
    <s v="BRUNO"/>
    <d v="2025-12-04T00:00:00"/>
    <x v="0"/>
  </r>
  <r>
    <n v="50037902"/>
    <x v="14"/>
    <n v="1"/>
    <s v="REALIZADO"/>
    <s v="BRUNO"/>
    <d v="2025-12-04T00:00:00"/>
    <x v="0"/>
  </r>
  <r>
    <n v="50038517"/>
    <x v="0"/>
    <n v="1"/>
    <s v="REALIZADO"/>
    <s v="BRUNO"/>
    <d v="2025-12-04T00:00:00"/>
    <x v="0"/>
  </r>
  <r>
    <n v="50038841"/>
    <x v="34"/>
    <n v="1"/>
    <s v="REALIZADO"/>
    <s v="BRUNO"/>
    <d v="2025-12-04T00:00:00"/>
    <x v="0"/>
  </r>
  <r>
    <n v="50038854"/>
    <x v="27"/>
    <n v="1"/>
    <s v="REALIZADO"/>
    <s v="BRUNO"/>
    <d v="2025-12-05T00:00:00"/>
    <x v="2"/>
  </r>
  <r>
    <n v="50037900"/>
    <x v="41"/>
    <n v="1"/>
    <s v="REALIZADO"/>
    <s v="BRUNO"/>
    <d v="2025-12-05T00:00:00"/>
    <x v="2"/>
  </r>
  <r>
    <n v="50038549"/>
    <x v="6"/>
    <n v="1"/>
    <s v="REALIZADO"/>
    <s v="BRUNO"/>
    <d v="2025-12-05T00:00:00"/>
    <x v="0"/>
  </r>
  <r>
    <n v="50038549"/>
    <x v="6"/>
    <n v="1"/>
    <s v="REALIZADO"/>
    <s v="BRUNO"/>
    <d v="2025-12-04T00:00:00"/>
    <x v="0"/>
  </r>
  <r>
    <n v="50030486"/>
    <x v="17"/>
    <n v="1"/>
    <s v="REALIZADO"/>
    <s v="GEOVANE"/>
    <d v="2025-12-04T00:00:00"/>
    <x v="0"/>
  </r>
  <r>
    <n v="50038517"/>
    <x v="0"/>
    <n v="1"/>
    <s v="REALIZADO"/>
    <s v="GEOVANE"/>
    <d v="2025-12-04T00:00:00"/>
    <x v="0"/>
  </r>
  <r>
    <n v="50038854"/>
    <x v="27"/>
    <n v="1"/>
    <s v="REALIZADO"/>
    <s v="GEOVANE"/>
    <d v="2025-12-04T00:00:00"/>
    <x v="2"/>
  </r>
  <r>
    <n v="50038854"/>
    <x v="27"/>
    <n v="1"/>
    <s v="REALIZADO"/>
    <s v="GEOVANE"/>
    <d v="2025-12-04T00:00:00"/>
    <x v="2"/>
  </r>
  <r>
    <n v="50038841"/>
    <x v="34"/>
    <n v="1"/>
    <s v="REALIZADO"/>
    <s v="MARCIA"/>
    <d v="2025-12-04T00:00:00"/>
    <x v="2"/>
  </r>
  <r>
    <n v="50038517"/>
    <x v="0"/>
    <n v="1"/>
    <s v="REALIZADO"/>
    <s v="MARCIA"/>
    <d v="2025-12-04T00:00:00"/>
    <x v="0"/>
  </r>
  <r>
    <n v="50032781"/>
    <x v="12"/>
    <n v="1"/>
    <s v="REALIZADO"/>
    <s v="MARCIA"/>
    <d v="2025-12-04T00:00:00"/>
    <x v="2"/>
  </r>
  <r>
    <n v="50037902"/>
    <x v="14"/>
    <n v="1"/>
    <s v="REALIZADO"/>
    <s v="MARCIA"/>
    <d v="2025-12-04T00:00:00"/>
    <x v="2"/>
  </r>
  <r>
    <n v="50038854"/>
    <x v="27"/>
    <n v="1"/>
    <s v="REALIZADO"/>
    <s v="MARCIA"/>
    <d v="2025-12-05T00:00:00"/>
    <x v="2"/>
  </r>
  <r>
    <n v="50030486"/>
    <x v="17"/>
    <n v="1"/>
    <s v="REALIZADO"/>
    <s v="MARCIA"/>
    <d v="2025-12-04T00:00:00"/>
    <x v="2"/>
  </r>
  <r>
    <n v="50032781"/>
    <x v="12"/>
    <n v="1"/>
    <s v="REALIZADO"/>
    <s v="MARCIA"/>
    <d v="2025-12-04T00:00:00"/>
    <x v="2"/>
  </r>
  <r>
    <n v="50042283"/>
    <x v="47"/>
    <n v="1"/>
    <s v="REALIZADO"/>
    <s v="BRUNO"/>
    <d v="2025-12-04T00:00:00"/>
    <x v="0"/>
  </r>
  <r>
    <n v="50022878"/>
    <x v="18"/>
    <n v="1"/>
    <s v="REALIZADO"/>
    <s v="BRUNO"/>
    <d v="2025-12-04T00:00:00"/>
    <x v="0"/>
  </r>
  <r>
    <n v="50038517"/>
    <x v="0"/>
    <n v="1"/>
    <s v="REALIZADO"/>
    <s v="BRUNO"/>
    <d v="2025-12-04T00:00:00"/>
    <x v="0"/>
  </r>
  <r>
    <n v="50036291"/>
    <x v="55"/>
    <n v="1"/>
    <s v="REALIZADO"/>
    <s v="BRUNO"/>
    <d v="2025-12-04T00:00:00"/>
    <x v="0"/>
  </r>
  <r>
    <n v="50038956"/>
    <x v="10"/>
    <n v="1"/>
    <s v="REALIZADO"/>
    <s v="BRUNO"/>
    <d v="2025-12-04T00:00:00"/>
    <x v="0"/>
  </r>
  <r>
    <n v="50039065"/>
    <x v="22"/>
    <n v="1"/>
    <s v="REALIZADO"/>
    <s v="BRUNO"/>
    <d v="2025-12-04T00:00:00"/>
    <x v="2"/>
  </r>
  <r>
    <n v="50022878"/>
    <x v="18"/>
    <n v="1"/>
    <s v="REALIZADO"/>
    <s v="BRUNO"/>
    <d v="2025-12-04T00:00:00"/>
    <x v="2"/>
  </r>
  <r>
    <n v="50041195"/>
    <x v="21"/>
    <n v="1"/>
    <s v="REALIZADO"/>
    <s v="BRUNO"/>
    <d v="2025-12-04T00:00:00"/>
    <x v="0"/>
  </r>
  <r>
    <n v="50037933"/>
    <x v="43"/>
    <n v="1"/>
    <s v="REALIZADO"/>
    <s v="BRUNO"/>
    <d v="2025-12-04T00:00:00"/>
    <x v="2"/>
  </r>
  <r>
    <n v="50039065"/>
    <x v="22"/>
    <n v="1"/>
    <s v="REALIZADO"/>
    <s v="BRUNO"/>
    <d v="2025-12-04T00:00:00"/>
    <x v="2"/>
  </r>
  <r>
    <n v="50038956"/>
    <x v="10"/>
    <n v="1"/>
    <s v="REALIZADO"/>
    <s v="BRUNO"/>
    <d v="2025-12-04T00:00:00"/>
    <x v="2"/>
  </r>
  <r>
    <n v="50038517"/>
    <x v="0"/>
    <n v="1"/>
    <s v="REALIZADO"/>
    <s v="BRUNO"/>
    <d v="2025-12-04T00:00:00"/>
    <x v="2"/>
  </r>
  <r>
    <n v="50010031"/>
    <x v="20"/>
    <n v="1"/>
    <s v="REALIZADO"/>
    <s v="BRUNO"/>
    <d v="2025-12-04T00:00:00"/>
    <x v="0"/>
  </r>
  <r>
    <n v="50037952"/>
    <x v="56"/>
    <n v="1"/>
    <s v="REALIZADO"/>
    <s v="BRUNO"/>
    <d v="2025-12-04T00:00:00"/>
    <x v="0"/>
  </r>
  <r>
    <n v="50041195"/>
    <x v="21"/>
    <n v="1"/>
    <s v="REALIZADO"/>
    <s v="BRUNO"/>
    <d v="2025-12-04T00:00:00"/>
    <x v="2"/>
  </r>
  <r>
    <n v="50003297"/>
    <x v="8"/>
    <n v="1"/>
    <s v="REALIZADO"/>
    <s v="BRUNO"/>
    <d v="2025-12-04T00:00:00"/>
    <x v="2"/>
  </r>
  <r>
    <n v="50037933"/>
    <x v="43"/>
    <n v="1"/>
    <s v="REALIZADO"/>
    <s v="BRUNO"/>
    <d v="2025-12-04T00:00:00"/>
    <x v="2"/>
  </r>
  <r>
    <n v="50043471"/>
    <x v="5"/>
    <n v="1"/>
    <s v="REALIZADO"/>
    <s v="BRUNO"/>
    <d v="2025-12-04T00:00:00"/>
    <x v="2"/>
  </r>
  <r>
    <n v="50037892"/>
    <x v="2"/>
    <n v="1"/>
    <s v="REALIZADO"/>
    <s v="BRUNO"/>
    <d v="2025-12-04T00:00:00"/>
    <x v="2"/>
  </r>
  <r>
    <n v="50038549"/>
    <x v="6"/>
    <n v="1"/>
    <s v="REALIZADO"/>
    <s v="BRUNO"/>
    <d v="2025-12-04T00:00:00"/>
    <x v="2"/>
  </r>
  <r>
    <n v="50041195"/>
    <x v="21"/>
    <n v="1"/>
    <s v="REALIZADO"/>
    <s v="BRUNO"/>
    <d v="2025-12-04T00:00:00"/>
    <x v="2"/>
  </r>
  <r>
    <n v="50037952"/>
    <x v="56"/>
    <n v="1"/>
    <s v="REALIZADO"/>
    <s v="BRUNO"/>
    <d v="2025-12-04T00:00:00"/>
    <x v="0"/>
  </r>
  <r>
    <n v="50028220"/>
    <x v="33"/>
    <n v="1"/>
    <s v="REALIZADO"/>
    <s v="GEOVANE"/>
    <d v="2025-12-03T00:00:00"/>
    <x v="0"/>
  </r>
  <r>
    <n v="50003297"/>
    <x v="8"/>
    <n v="1"/>
    <s v="REALIZADO"/>
    <s v="AGATHA"/>
    <d v="2025-12-03T00:00:00"/>
    <x v="0"/>
  </r>
  <r>
    <n v="50038549"/>
    <x v="6"/>
    <n v="1"/>
    <s v="REALIZADO"/>
    <s v="AGATHA"/>
    <d v="2025-12-03T00:00:00"/>
    <x v="0"/>
  </r>
  <r>
    <n v="50039718"/>
    <x v="11"/>
    <n v="1"/>
    <s v="REALIZADO"/>
    <s v="AGATHA"/>
    <d v="2025-12-03T00:00:00"/>
    <x v="0"/>
  </r>
  <r>
    <n v="50038518"/>
    <x v="57"/>
    <n v="1"/>
    <s v="REALIZADO"/>
    <s v="AGATHA"/>
    <d v="2025-12-03T00:00:00"/>
    <x v="0"/>
  </r>
  <r>
    <n v="50037892"/>
    <x v="2"/>
    <n v="1"/>
    <s v="REALIZADO"/>
    <s v="AGATHA"/>
    <d v="2025-12-03T00:00:00"/>
    <x v="0"/>
  </r>
  <r>
    <n v="50038956"/>
    <x v="10"/>
    <n v="1"/>
    <s v="REALIZADO"/>
    <s v="AGATHA"/>
    <d v="2025-12-03T00:00:00"/>
    <x v="0"/>
  </r>
  <r>
    <n v="50038517"/>
    <x v="0"/>
    <n v="1"/>
    <s v="REALIZADO"/>
    <s v="AGATHA"/>
    <d v="2025-12-03T00:00:00"/>
    <x v="0"/>
  </r>
  <r>
    <n v="50039065"/>
    <x v="22"/>
    <n v="1"/>
    <s v="REALIZADO"/>
    <s v="AGATHA"/>
    <d v="2025-12-03T00:00:00"/>
    <x v="0"/>
  </r>
  <r>
    <n v="50037943"/>
    <x v="58"/>
    <n v="1"/>
    <s v="REALIZADO"/>
    <s v="AGATHA"/>
    <d v="2025-12-03T00:00:00"/>
    <x v="2"/>
  </r>
  <r>
    <n v="50038549"/>
    <x v="6"/>
    <n v="1"/>
    <s v="REALIZADO"/>
    <s v="AGATHA"/>
    <d v="2025-12-03T00:00:00"/>
    <x v="2"/>
  </r>
  <r>
    <n v="50038518"/>
    <x v="57"/>
    <n v="1"/>
    <s v="REALIZADO"/>
    <s v="AGATHA"/>
    <d v="2025-12-03T00:00:00"/>
    <x v="0"/>
  </r>
  <r>
    <n v="50038662"/>
    <x v="59"/>
    <n v="1"/>
    <s v="REALIZADO"/>
    <s v="AGATHA"/>
    <d v="2025-12-03T00:00:00"/>
    <x v="0"/>
  </r>
  <r>
    <n v="50038854"/>
    <x v="27"/>
    <n v="1"/>
    <s v="REALIZADO"/>
    <s v="AGATHA"/>
    <d v="2025-12-03T00:00:00"/>
    <x v="2"/>
  </r>
  <r>
    <n v="50038854"/>
    <x v="27"/>
    <n v="1"/>
    <s v="REALIZADO"/>
    <s v="AGATHA"/>
    <d v="2025-12-03T00:00:00"/>
    <x v="0"/>
  </r>
  <r>
    <n v="50043471"/>
    <x v="5"/>
    <n v="1"/>
    <s v="REALIZADO"/>
    <s v="AGATHA"/>
    <d v="2025-12-03T00:00:00"/>
    <x v="2"/>
  </r>
  <r>
    <n v="50038662"/>
    <x v="59"/>
    <n v="1"/>
    <s v="REALIZADO"/>
    <s v="GEOVANE"/>
    <d v="2025-12-03T00:00:00"/>
    <x v="2"/>
  </r>
  <r>
    <n v="50041195"/>
    <x v="21"/>
    <n v="1"/>
    <s v="REALIZADO"/>
    <s v="GEOVANE"/>
    <d v="2025-12-03T00:00:00"/>
    <x v="0"/>
  </r>
  <r>
    <n v="50010031"/>
    <x v="20"/>
    <n v="1"/>
    <s v="REALIZADO"/>
    <s v="AGATHA"/>
    <d v="2025-12-03T00:00:00"/>
    <x v="2"/>
  </r>
  <r>
    <n v="50028220"/>
    <x v="33"/>
    <n v="1"/>
    <s v="REALIZADO"/>
    <s v="GEOVANE"/>
    <d v="2025-12-03T00:00:00"/>
    <x v="2"/>
  </r>
  <r>
    <n v="50038841"/>
    <x v="34"/>
    <n v="1"/>
    <s v="REALIZADO"/>
    <s v="AGATHA"/>
    <d v="2025-12-03T00:00:00"/>
    <x v="0"/>
  </r>
  <r>
    <n v="50038517"/>
    <x v="0"/>
    <n v="1"/>
    <s v="REALIZADO"/>
    <s v="AGATHA"/>
    <d v="2025-12-03T00:00:00"/>
    <x v="0"/>
  </r>
  <r>
    <n v="50038841"/>
    <x v="34"/>
    <n v="1"/>
    <s v="REALIZADO"/>
    <s v="JOÃO FRANCISCO"/>
    <d v="2025-12-03T00:00:00"/>
    <x v="2"/>
  </r>
  <r>
    <n v="50037943"/>
    <x v="58"/>
    <n v="1"/>
    <s v="REALIZADO"/>
    <s v="BRUNO"/>
    <d v="2025-12-03T00:00:00"/>
    <x v="0"/>
  </r>
  <r>
    <n v="50037926"/>
    <x v="52"/>
    <n v="1"/>
    <s v="REALIZADO"/>
    <s v="BRUNO"/>
    <d v="2025-12-03T00:00:00"/>
    <x v="2"/>
  </r>
  <r>
    <n v="50043471"/>
    <x v="5"/>
    <n v="1"/>
    <s v="REALIZADO"/>
    <s v="BRUNO"/>
    <d v="2025-12-03T00:00:00"/>
    <x v="0"/>
  </r>
  <r>
    <n v="50029865"/>
    <x v="9"/>
    <n v="1"/>
    <s v="REALIZADO"/>
    <s v="BRUNO"/>
    <d v="2025-12-03T00:00:00"/>
    <x v="0"/>
  </r>
  <r>
    <n v="50043471"/>
    <x v="5"/>
    <n v="1"/>
    <s v="REALIZADO"/>
    <s v="BRUNO"/>
    <d v="2025-12-03T00:00:00"/>
    <x v="2"/>
  </r>
  <r>
    <n v="50037926"/>
    <x v="52"/>
    <n v="1"/>
    <s v="REALIZADO"/>
    <s v="BRUNO"/>
    <d v="2025-12-03T00:00:00"/>
    <x v="0"/>
  </r>
  <r>
    <n v="50037902"/>
    <x v="14"/>
    <n v="1"/>
    <s v="REALIZADO"/>
    <s v="BRUNO"/>
    <d v="2025-12-03T00:00:00"/>
    <x v="2"/>
  </r>
  <r>
    <n v="50010031"/>
    <x v="20"/>
    <n v="1"/>
    <s v="REALIZADO"/>
    <s v="BRUNO"/>
    <d v="2025-12-03T00:00:00"/>
    <x v="0"/>
  </r>
  <r>
    <n v="50010031"/>
    <x v="20"/>
    <n v="1"/>
    <s v="REALIZADO"/>
    <s v="BRUNO"/>
    <d v="2025-12-03T00:00:00"/>
    <x v="2"/>
  </r>
  <r>
    <n v="50038517"/>
    <x v="0"/>
    <n v="1"/>
    <s v="REALIZADO"/>
    <s v="BRUNO"/>
    <d v="2025-12-03T00:00:00"/>
    <x v="2"/>
  </r>
  <r>
    <n v="50038956"/>
    <x v="10"/>
    <n v="1"/>
    <s v="REALIZADO"/>
    <s v="BRUNO"/>
    <d v="2025-12-03T00:00:00"/>
    <x v="2"/>
  </r>
  <r>
    <n v="50010031"/>
    <x v="20"/>
    <n v="1"/>
    <s v="REALIZADO"/>
    <s v="BRUNO"/>
    <d v="2025-12-03T00:00:00"/>
    <x v="0"/>
  </r>
  <r>
    <n v="50026357"/>
    <x v="24"/>
    <n v="1"/>
    <s v="REALIZADO"/>
    <s v="BRUNO"/>
    <d v="2025-12-03T00:00:00"/>
    <x v="0"/>
  </r>
  <r>
    <n v="50037907"/>
    <x v="60"/>
    <n v="1"/>
    <s v="REALIZADO"/>
    <s v="BRUNO"/>
    <d v="2025-12-03T00:00:00"/>
    <x v="0"/>
  </r>
  <r>
    <n v="50041195"/>
    <x v="21"/>
    <n v="1"/>
    <s v="REALIZADO"/>
    <s v="BRUNO"/>
    <d v="2025-12-03T00:00:00"/>
    <x v="2"/>
  </r>
  <r>
    <n v="50026357"/>
    <x v="24"/>
    <n v="1"/>
    <s v="REALIZADO"/>
    <s v="BRUNO"/>
    <d v="2025-12-03T00:00:00"/>
    <x v="2"/>
  </r>
  <r>
    <n v="50036255"/>
    <x v="7"/>
    <n v="1"/>
    <s v="REALIZADO"/>
    <s v="BRUNO"/>
    <d v="2025-12-03T00:00:00"/>
    <x v="2"/>
  </r>
  <r>
    <n v="50038841"/>
    <x v="34"/>
    <n v="1"/>
    <s v="REALIZADO"/>
    <s v="BRUNO"/>
    <d v="2025-12-03T00:00:00"/>
    <x v="2"/>
  </r>
  <r>
    <n v="50037892"/>
    <x v="2"/>
    <n v="1"/>
    <s v="REALIZADO"/>
    <s v="BRUNO"/>
    <d v="2025-12-03T00:00:00"/>
    <x v="2"/>
  </r>
  <r>
    <n v="50039065"/>
    <x v="22"/>
    <n v="1"/>
    <s v="REALIZADO"/>
    <s v="BRUNO"/>
    <d v="2025-12-03T00:00:00"/>
    <x v="2"/>
  </r>
  <r>
    <n v="50003297"/>
    <x v="8"/>
    <n v="1"/>
    <s v="REALIZADO"/>
    <s v="BRUNO"/>
    <d v="2025-12-03T00:00:00"/>
    <x v="2"/>
  </r>
  <r>
    <n v="50029865"/>
    <x v="9"/>
    <n v="1"/>
    <s v="REALIZADO"/>
    <s v="BRUNO"/>
    <d v="2025-12-03T00:00:00"/>
    <x v="2"/>
  </r>
  <r>
    <n v="50043471"/>
    <x v="5"/>
    <n v="1"/>
    <s v="REALIZADO"/>
    <s v="BRUNO"/>
    <d v="2025-12-03T00:00:00"/>
    <x v="0"/>
  </r>
  <r>
    <n v="50038841"/>
    <x v="34"/>
    <n v="1"/>
    <s v="REALIZADO"/>
    <s v="BRUNO"/>
    <d v="2025-12-03T00:00:00"/>
    <x v="0"/>
  </r>
  <r>
    <n v="50010031"/>
    <x v="20"/>
    <n v="1"/>
    <s v="REALIZADO"/>
    <s v="BRUNO"/>
    <d v="2025-12-03T00:00:00"/>
    <x v="2"/>
  </r>
  <r>
    <n v="50038841"/>
    <x v="34"/>
    <n v="1"/>
    <s v="REALIZADO"/>
    <s v="BRUNO"/>
    <d v="2025-12-03T00:00:00"/>
    <x v="2"/>
  </r>
  <r>
    <n v="50037902"/>
    <x v="14"/>
    <n v="1"/>
    <s v="REALIZADO"/>
    <s v="BRUNO"/>
    <d v="2025-12-03T00:00:00"/>
    <x v="2"/>
  </r>
  <r>
    <n v="50010031"/>
    <x v="20"/>
    <n v="1"/>
    <s v="REALIZADO"/>
    <s v="BRUNO"/>
    <d v="2025-12-03T00:00:00"/>
    <x v="2"/>
  </r>
  <r>
    <n v="50036291"/>
    <x v="55"/>
    <n v="1"/>
    <s v="REALIZADO"/>
    <s v="BRUNO"/>
    <d v="2025-12-03T00:00:00"/>
    <x v="2"/>
  </r>
  <r>
    <n v="50037907"/>
    <x v="60"/>
    <n v="1"/>
    <s v="REALIZADO"/>
    <s v="BRUNO"/>
    <d v="2025-12-03T00:00:00"/>
    <x v="2"/>
  </r>
  <r>
    <n v="50041195"/>
    <x v="21"/>
    <n v="1"/>
    <s v="REALIZADO"/>
    <s v="BRUNO"/>
    <d v="2025-12-03T00:00:00"/>
    <x v="2"/>
  </r>
  <r>
    <n v="50039718"/>
    <x v="11"/>
    <n v="1"/>
    <s v="REALIZADO"/>
    <s v="BRUNO"/>
    <d v="2025-12-03T00:00:00"/>
    <x v="0"/>
  </r>
  <r>
    <n v="50010031"/>
    <x v="20"/>
    <n v="1"/>
    <s v="NÃO REALIZADO"/>
    <s v="KELLY"/>
    <d v="2025-12-02T00:00:00"/>
    <x v="0"/>
  </r>
  <r>
    <n v="50041195"/>
    <x v="21"/>
    <n v="1"/>
    <s v="REALIZADO"/>
    <s v="KELLY"/>
    <d v="2025-12-02T00:00:00"/>
    <x v="0"/>
  </r>
  <r>
    <n v="50037933"/>
    <x v="43"/>
    <n v="1"/>
    <s v="REALIZADO"/>
    <s v="KELLY"/>
    <d v="2025-12-02T00:00:00"/>
    <x v="2"/>
  </r>
  <r>
    <n v="50041195"/>
    <x v="21"/>
    <n v="1"/>
    <s v="REALIZADO"/>
    <s v="KELLY"/>
    <d v="2025-12-02T00:00:00"/>
    <x v="0"/>
  </r>
  <r>
    <n v="50003297"/>
    <x v="8"/>
    <n v="1"/>
    <s v="REALIZADO"/>
    <s v="KELLY"/>
    <d v="2025-12-02T00:00:00"/>
    <x v="0"/>
  </r>
  <r>
    <n v="50037922"/>
    <x v="61"/>
    <n v="1"/>
    <s v="REALIZADO"/>
    <s v="KELLY"/>
    <d v="2025-12-02T00:00:00"/>
    <x v="0"/>
  </r>
  <r>
    <n v="50037905"/>
    <x v="49"/>
    <n v="1"/>
    <s v="REALIZADO"/>
    <s v="KELLY"/>
    <d v="2025-12-02T00:00:00"/>
    <x v="0"/>
  </r>
  <r>
    <n v="50038841"/>
    <x v="34"/>
    <n v="1"/>
    <s v="REALIZADO"/>
    <s v="KELLY"/>
    <d v="2025-12-02T00:00:00"/>
    <x v="0"/>
  </r>
  <r>
    <n v="50039065"/>
    <x v="22"/>
    <n v="1"/>
    <s v="REALIZADO"/>
    <s v="KELLY"/>
    <d v="2025-12-02T00:00:00"/>
    <x v="0"/>
  </r>
  <r>
    <n v="50039065"/>
    <x v="22"/>
    <n v="1"/>
    <s v="REALIZADO"/>
    <s v="KELLY"/>
    <d v="2025-12-02T00:00:00"/>
    <x v="0"/>
  </r>
  <r>
    <n v="50036293"/>
    <x v="16"/>
    <n v="1"/>
    <s v="REALIZADO"/>
    <s v="KELLY"/>
    <d v="2025-12-02T00:00:00"/>
    <x v="0"/>
  </r>
  <r>
    <n v="50030486"/>
    <x v="17"/>
    <n v="1"/>
    <s v="REALIZADO"/>
    <s v="KELLY"/>
    <d v="2025-12-02T00:00:00"/>
    <x v="0"/>
  </r>
  <r>
    <n v="50038549"/>
    <x v="6"/>
    <n v="1"/>
    <s v="REALIZADO"/>
    <s v="KELLY"/>
    <d v="2025-12-02T00:00:00"/>
    <x v="0"/>
  </r>
  <r>
    <n v="50003297"/>
    <x v="8"/>
    <n v="1"/>
    <s v="REALIZADO"/>
    <s v="KELLY"/>
    <d v="2025-12-02T00:00:00"/>
    <x v="0"/>
  </r>
  <r>
    <n v="50043320"/>
    <x v="35"/>
    <n v="1"/>
    <s v="REALIZADO"/>
    <s v="GEOVANE"/>
    <d v="2025-12-02T00:00:00"/>
    <x v="0"/>
  </r>
  <r>
    <n v="50038844"/>
    <x v="62"/>
    <n v="1"/>
    <s v="REALIZADO"/>
    <s v="AGATHA"/>
    <d v="2025-12-02T00:00:00"/>
    <x v="0"/>
  </r>
  <r>
    <n v="50038956"/>
    <x v="10"/>
    <n v="1"/>
    <s v="REALIZADO"/>
    <s v="AGATHA"/>
    <d v="2025-12-02T00:00:00"/>
    <x v="0"/>
  </r>
  <r>
    <n v="50037902"/>
    <x v="14"/>
    <n v="1"/>
    <s v="REALIZADO"/>
    <s v="AGATHA"/>
    <d v="2025-12-02T00:00:00"/>
    <x v="0"/>
  </r>
  <r>
    <n v="50041195"/>
    <x v="21"/>
    <n v="1"/>
    <s v="REALIZADO"/>
    <s v="GEOVANE"/>
    <d v="2025-12-02T00:00:00"/>
    <x v="2"/>
  </r>
  <r>
    <n v="50041195"/>
    <x v="21"/>
    <n v="1"/>
    <s v="REALIZADO"/>
    <s v="GEOVANE"/>
    <d v="2025-12-02T00:00:00"/>
    <x v="2"/>
  </r>
  <r>
    <n v="50037905"/>
    <x v="49"/>
    <n v="1"/>
    <s v="REALIZADO"/>
    <s v="GEOVANE"/>
    <d v="2025-12-02T00:00:00"/>
    <x v="2"/>
  </r>
  <r>
    <n v="50037933"/>
    <x v="43"/>
    <n v="1"/>
    <s v="REALIZADO"/>
    <s v="GEOVANE"/>
    <d v="2025-12-02T00:00:00"/>
    <x v="2"/>
  </r>
  <r>
    <n v="50038841"/>
    <x v="34"/>
    <n v="1"/>
    <s v="REALIZADO"/>
    <s v="GEOVANE"/>
    <d v="2025-12-02T00:00:00"/>
    <x v="2"/>
  </r>
  <r>
    <n v="50039065"/>
    <x v="22"/>
    <n v="1"/>
    <s v="REALIZADO"/>
    <s v="GEOVANE"/>
    <d v="2025-12-02T00:00:00"/>
    <x v="2"/>
  </r>
  <r>
    <n v="50037922"/>
    <x v="61"/>
    <n v="1"/>
    <s v="REALIZADO"/>
    <s v="JOÃO FRANCISCO"/>
    <d v="2025-12-02T00:00:00"/>
    <x v="0"/>
  </r>
  <r>
    <n v="50043471"/>
    <x v="5"/>
    <n v="1"/>
    <s v="REALIZADO"/>
    <s v="AGATHA"/>
    <d v="2025-12-02T00:00:00"/>
    <x v="0"/>
  </r>
  <r>
    <n v="50037892"/>
    <x v="2"/>
    <n v="1"/>
    <s v="REALIZADO"/>
    <s v="AGATHA"/>
    <d v="2025-12-02T00:00:00"/>
    <x v="0"/>
  </r>
  <r>
    <n v="50041195"/>
    <x v="21"/>
    <n v="1"/>
    <s v="REALIZADO"/>
    <s v="AGATHA"/>
    <d v="2025-12-02T00:00:00"/>
    <x v="2"/>
  </r>
  <r>
    <n v="50036293"/>
    <x v="16"/>
    <n v="1"/>
    <s v="REALIZADO"/>
    <s v="AGATHA"/>
    <d v="2025-12-02T00:00:00"/>
    <x v="2"/>
  </r>
  <r>
    <n v="50038956"/>
    <x v="10"/>
    <n v="1"/>
    <s v="REALIZADO"/>
    <s v="AGATHA"/>
    <d v="2025-12-02T00:00:00"/>
    <x v="2"/>
  </r>
  <r>
    <n v="50037902"/>
    <x v="14"/>
    <n v="1"/>
    <s v="REALIZADO"/>
    <s v="MATHEUS"/>
    <d v="2025-12-02T00:00:00"/>
    <x v="0"/>
  </r>
  <r>
    <n v="50038517"/>
    <x v="0"/>
    <n v="1"/>
    <s v="REALIZADO"/>
    <s v="MATHEUS"/>
    <d v="2025-12-02T00:00:00"/>
    <x v="2"/>
  </r>
  <r>
    <n v="50038517"/>
    <x v="0"/>
    <n v="1"/>
    <s v="REALIZADO"/>
    <s v="MATHEUS"/>
    <d v="2025-12-02T00:00:00"/>
    <x v="2"/>
  </r>
  <r>
    <n v="50010031"/>
    <x v="20"/>
    <n v="1"/>
    <s v="REALIZADO"/>
    <s v="MATHEUS"/>
    <d v="2025-12-02T00:00:00"/>
    <x v="2"/>
  </r>
  <r>
    <n v="50039065"/>
    <x v="22"/>
    <n v="1"/>
    <s v="REALIZADO"/>
    <s v="MATHEUS"/>
    <d v="2025-12-02T00:00:00"/>
    <x v="2"/>
  </r>
  <r>
    <n v="50038844"/>
    <x v="62"/>
    <n v="1"/>
    <s v="REALIZADO"/>
    <s v="MATHEUS"/>
    <d v="2025-12-02T00:00:00"/>
    <x v="2"/>
  </r>
  <r>
    <n v="50003297"/>
    <x v="8"/>
    <n v="1"/>
    <s v="REALIZADO"/>
    <s v="MATHEUS"/>
    <d v="2025-12-02T00:00:00"/>
    <x v="2"/>
  </r>
  <r>
    <n v="50043320"/>
    <x v="35"/>
    <n v="1"/>
    <s v="REALIZADO"/>
    <s v="MATHEUS"/>
    <d v="2025-12-02T00:00:00"/>
    <x v="2"/>
  </r>
  <r>
    <n v="50038549"/>
    <x v="6"/>
    <n v="1"/>
    <s v="REALIZADO"/>
    <s v="MATHEUS"/>
    <d v="2025-12-02T00:00:00"/>
    <x v="2"/>
  </r>
  <r>
    <n v="50030486"/>
    <x v="17"/>
    <n v="1"/>
    <s v="REALIZADO"/>
    <s v="MATHEUS"/>
    <d v="2025-12-02T00:00:00"/>
    <x v="2"/>
  </r>
  <r>
    <n v="50043471"/>
    <x v="5"/>
    <n v="1"/>
    <s v="REALIZADO"/>
    <s v="MATHEUS"/>
    <d v="2025-12-02T00:00:00"/>
    <x v="2"/>
  </r>
  <r>
    <n v="50037892"/>
    <x v="2"/>
    <n v="1"/>
    <s v="REALIZADO"/>
    <s v="MATHEUS"/>
    <d v="2025-12-02T00:00:00"/>
    <x v="2"/>
  </r>
  <r>
    <n v="50041195"/>
    <x v="21"/>
    <n v="1"/>
    <s v="REALIZADO"/>
    <s v="MATHEUS"/>
    <d v="2025-12-02T00:00:00"/>
    <x v="0"/>
  </r>
  <r>
    <n v="50043471"/>
    <x v="5"/>
    <n v="1"/>
    <s v="REALIZADO"/>
    <s v="AGATHA"/>
    <d v="2025-12-01T00:00:00"/>
    <x v="0"/>
  </r>
  <r>
    <n v="50038841"/>
    <x v="34"/>
    <n v="1"/>
    <s v="REALIZADO"/>
    <s v="AGATHA"/>
    <d v="2025-12-01T00:00:00"/>
    <x v="0"/>
  </r>
  <r>
    <n v="50038517"/>
    <x v="0"/>
    <n v="1"/>
    <s v="REALIZADO"/>
    <s v="AGATHA"/>
    <d v="2025-12-01T00:00:00"/>
    <x v="0"/>
  </r>
  <r>
    <n v="50041195"/>
    <x v="21"/>
    <n v="1"/>
    <s v="REALIZADO"/>
    <s v="AGATHA"/>
    <d v="2025-12-01T00:00:00"/>
    <x v="0"/>
  </r>
  <r>
    <n v="50038195"/>
    <x v="54"/>
    <n v="1"/>
    <s v="REALIZADO"/>
    <s v="AGATHA"/>
    <d v="2025-12-01T00:00:00"/>
    <x v="0"/>
  </r>
  <r>
    <n v="50037892"/>
    <x v="2"/>
    <n v="1"/>
    <s v="REALIZADO"/>
    <s v="AGATHA"/>
    <d v="2025-12-01T00:00:00"/>
    <x v="0"/>
  </r>
  <r>
    <n v="50044003"/>
    <x v="63"/>
    <n v="1"/>
    <s v="REALIZADO"/>
    <s v="AGATHA"/>
    <d v="2025-12-01T00:00:00"/>
    <x v="0"/>
  </r>
  <r>
    <n v="50032781"/>
    <x v="12"/>
    <n v="1"/>
    <s v="REALIZADO"/>
    <s v="AGATHA"/>
    <d v="2025-12-01T00:00:00"/>
    <x v="0"/>
  </r>
  <r>
    <n v="50022878"/>
    <x v="18"/>
    <n v="1"/>
    <s v="REALIZADO"/>
    <s v="AGATHA"/>
    <d v="2025-12-01T00:00:00"/>
    <x v="2"/>
  </r>
  <r>
    <n v="50022878"/>
    <x v="18"/>
    <n v="1"/>
    <s v="REALIZADO"/>
    <s v="AGATHA"/>
    <d v="2025-12-01T00:00:00"/>
    <x v="2"/>
  </r>
  <r>
    <n v="50032781"/>
    <x v="12"/>
    <n v="1"/>
    <s v="REALIZADO"/>
    <s v="AGATHA"/>
    <d v="2025-12-01T00:00:00"/>
    <x v="2"/>
  </r>
  <r>
    <n v="50036280"/>
    <x v="64"/>
    <n v="1"/>
    <s v="REALIZADO"/>
    <s v="AGATHA"/>
    <d v="2025-12-01T00:00:00"/>
    <x v="2"/>
  </r>
  <r>
    <n v="50043471"/>
    <x v="5"/>
    <n v="1"/>
    <s v="REALIZADO"/>
    <s v="AGATHA"/>
    <d v="2025-12-01T00:00:00"/>
    <x v="2"/>
  </r>
  <r>
    <n v="50041195"/>
    <x v="21"/>
    <n v="1"/>
    <s v="REALIZADO"/>
    <s v="AGATHA"/>
    <d v="2025-12-01T00:00:00"/>
    <x v="2"/>
  </r>
  <r>
    <n v="50038841"/>
    <x v="34"/>
    <n v="1"/>
    <s v="REALIZADO"/>
    <s v="JOÃO FRANCISCO"/>
    <d v="2025-12-01T00:00:00"/>
    <x v="2"/>
  </r>
  <r>
    <n v="50038517"/>
    <x v="0"/>
    <n v="1"/>
    <s v="REALIZADO"/>
    <s v="JOÃO FRANCISCO"/>
    <d v="2025-12-01T00:00:00"/>
    <x v="2"/>
  </r>
  <r>
    <n v="50038195"/>
    <x v="54"/>
    <n v="1"/>
    <s v="REALIZADO"/>
    <s v="JOÃO FRANCISCO"/>
    <d v="2025-12-01T00:00:00"/>
    <x v="0"/>
  </r>
  <r>
    <n v="50038517"/>
    <x v="0"/>
    <n v="1"/>
    <s v="REALIZADO"/>
    <s v="AGATHA"/>
    <d v="2025-12-01T00:00:00"/>
    <x v="0"/>
  </r>
  <r>
    <n v="50037906"/>
    <x v="65"/>
    <n v="1"/>
    <s v="REALIZADO"/>
    <s v="AGATHA"/>
    <d v="2025-12-01T00:00:00"/>
    <x v="0"/>
  </r>
  <r>
    <n v="50041195"/>
    <x v="21"/>
    <n v="1"/>
    <s v="REALIZADO"/>
    <s v="AGATHA"/>
    <d v="2025-12-01T00:00:00"/>
    <x v="2"/>
  </r>
  <r>
    <n v="50037892"/>
    <x v="2"/>
    <n v="1"/>
    <s v="REALIZADO"/>
    <s v="BRUNO"/>
    <d v="2025-12-01T00:00:00"/>
    <x v="0"/>
  </r>
  <r>
    <n v="50022878"/>
    <x v="18"/>
    <n v="1"/>
    <s v="REALIZADO"/>
    <s v="BRUNO"/>
    <d v="2025-12-01T00:00:00"/>
    <x v="2"/>
  </r>
  <r>
    <n v="50044003"/>
    <x v="63"/>
    <n v="1"/>
    <s v="REALIZADO"/>
    <s v="BRUNO"/>
    <d v="2025-12-01T00:00:00"/>
    <x v="0"/>
  </r>
  <r>
    <n v="50044003"/>
    <x v="63"/>
    <n v="1"/>
    <s v="REALIZADO"/>
    <s v="BRUNO"/>
    <d v="2025-12-01T00:00:00"/>
    <x v="2"/>
  </r>
  <r>
    <n v="50022878"/>
    <x v="18"/>
    <n v="1"/>
    <s v="REALIZADO"/>
    <s v="BRUNO"/>
    <d v="2025-12-01T00:00:00"/>
    <x v="2"/>
  </r>
  <r>
    <n v="50037906"/>
    <x v="65"/>
    <n v="1"/>
    <s v="REALIZADO"/>
    <s v="BRUNO"/>
    <d v="2025-12-01T00:00:00"/>
    <x v="2"/>
  </r>
  <r>
    <n v="50041195"/>
    <x v="21"/>
    <n v="1"/>
    <s v="REALIZADO"/>
    <s v="BRUNO"/>
    <d v="2025-12-01T00:00:00"/>
    <x v="2"/>
  </r>
  <r>
    <n v="50038517"/>
    <x v="0"/>
    <n v="1"/>
    <s v="REALIZADO"/>
    <s v="BRUNO"/>
    <d v="2025-12-01T00:00:00"/>
    <x v="2"/>
  </r>
  <r>
    <n v="50044003"/>
    <x v="63"/>
    <n v="1"/>
    <s v="REALIZADO"/>
    <s v="BRUNO"/>
    <d v="2025-12-01T00:00:00"/>
    <x v="0"/>
  </r>
  <r>
    <n v="50036279"/>
    <x v="28"/>
    <n v="1"/>
    <s v="REALIZADO"/>
    <s v="BRUNO"/>
    <d v="2025-12-01T00:00:00"/>
    <x v="0"/>
  </r>
  <r>
    <n v="50041653"/>
    <x v="50"/>
    <n v="1"/>
    <s v="REALIZADO"/>
    <s v="KELLY"/>
    <d v="2025-11-30T00:00:00"/>
    <x v="2"/>
  </r>
  <r>
    <n v="50036279"/>
    <x v="28"/>
    <n v="1"/>
    <s v="REALIZADO"/>
    <s v="KELLY"/>
    <d v="2025-11-30T00:00:00"/>
    <x v="2"/>
  </r>
  <r>
    <n v="50041653"/>
    <x v="50"/>
    <n v="1"/>
    <s v="REALIZADO"/>
    <s v="KELLY"/>
    <d v="2025-11-30T00:00:00"/>
    <x v="0"/>
  </r>
  <r>
    <n v="50037905"/>
    <x v="49"/>
    <n v="1"/>
    <s v="REALIZADO"/>
    <s v="KELLY"/>
    <d v="2025-11-30T00:00:00"/>
    <x v="0"/>
  </r>
  <r>
    <n v="50038956"/>
    <x v="10"/>
    <n v="1"/>
    <s v="REALIZADO"/>
    <s v="KELLY"/>
    <d v="2025-11-29T00:00:00"/>
    <x v="0"/>
  </r>
  <r>
    <n v="50038841"/>
    <x v="34"/>
    <n v="1"/>
    <s v="REALIZADO"/>
    <s v="KELLY"/>
    <d v="2025-11-29T00:00:00"/>
    <x v="2"/>
  </r>
  <r>
    <n v="50037905"/>
    <x v="49"/>
    <n v="1"/>
    <s v="REALIZADO"/>
    <s v="KELLY"/>
    <d v="2025-11-29T00:00:00"/>
    <x v="2"/>
  </r>
  <r>
    <n v="50038956"/>
    <x v="10"/>
    <n v="1"/>
    <s v="REALIZADO"/>
    <s v="KELLY"/>
    <d v="2025-11-29T00:00:00"/>
    <x v="2"/>
  </r>
  <r>
    <n v="50038841"/>
    <x v="34"/>
    <n v="1"/>
    <s v="REALIZADO"/>
    <s v="KELLY"/>
    <d v="2025-11-29T00:00:00"/>
    <x v="2"/>
  </r>
  <r>
    <n v="50043917"/>
    <x v="66"/>
    <n v="1"/>
    <s v="REALIZADO"/>
    <s v="KELLY"/>
    <d v="2025-11-28T00:00:00"/>
    <x v="0"/>
  </r>
  <r>
    <n v="50037905"/>
    <x v="49"/>
    <n v="1"/>
    <s v="REALIZADO"/>
    <s v="KELLY"/>
    <d v="2025-11-28T00:00:00"/>
    <x v="2"/>
  </r>
  <r>
    <n v="50037905"/>
    <x v="49"/>
    <n v="1"/>
    <s v="REALIZADO"/>
    <s v="KELLY"/>
    <d v="2025-11-28T00:00:00"/>
    <x v="0"/>
  </r>
  <r>
    <n v="50038956"/>
    <x v="10"/>
    <n v="1"/>
    <s v="REALIZADO"/>
    <s v="KELLY"/>
    <d v="2025-11-28T00:00:00"/>
    <x v="0"/>
  </r>
  <r>
    <n v="50030486"/>
    <x v="17"/>
    <n v="1"/>
    <s v="REALIZADO"/>
    <s v="KELLY"/>
    <d v="2025-11-28T00:00:00"/>
    <x v="0"/>
  </r>
  <r>
    <n v="50037905"/>
    <x v="49"/>
    <n v="1"/>
    <s v="REALIZADO"/>
    <s v="KELLY"/>
    <d v="2025-11-28T00:00:00"/>
    <x v="0"/>
  </r>
  <r>
    <n v="50043471"/>
    <x v="5"/>
    <n v="1"/>
    <s v="REALIZADO"/>
    <s v="GEOVANE"/>
    <d v="2025-11-28T00:00:00"/>
    <x v="0"/>
  </r>
  <r>
    <n v="50037892"/>
    <x v="2"/>
    <n v="1"/>
    <s v="REALIZADO"/>
    <s v="GEOVANE"/>
    <d v="2025-11-28T00:00:00"/>
    <x v="0"/>
  </r>
  <r>
    <n v="50037902"/>
    <x v="14"/>
    <n v="1"/>
    <s v="REALIZADO"/>
    <s v="GEOVANE"/>
    <d v="2025-11-28T00:00:00"/>
    <x v="0"/>
  </r>
  <r>
    <n v="50036296"/>
    <x v="46"/>
    <n v="1"/>
    <s v="REALIZADO"/>
    <s v="GEOVANE"/>
    <d v="2025-11-28T00:00:00"/>
    <x v="0"/>
  </r>
  <r>
    <n v="50036290"/>
    <x v="67"/>
    <n v="1"/>
    <s v="REALIZADO"/>
    <s v="GEOVANE"/>
    <d v="2025-11-28T00:00:00"/>
    <x v="0"/>
  </r>
  <r>
    <n v="50036293"/>
    <x v="16"/>
    <n v="1"/>
    <s v="REALIZADO"/>
    <s v="GEOVANE"/>
    <d v="2025-11-28T00:00:00"/>
    <x v="2"/>
  </r>
  <r>
    <n v="50037905"/>
    <x v="49"/>
    <n v="1"/>
    <s v="REALIZADO"/>
    <s v="GEOVANE"/>
    <d v="2025-11-28T00:00:00"/>
    <x v="2"/>
  </r>
  <r>
    <n v="50037902"/>
    <x v="14"/>
    <n v="1"/>
    <s v="REALIZADO"/>
    <s v="GEOVANE"/>
    <d v="2025-11-28T00:00:00"/>
    <x v="2"/>
  </r>
  <r>
    <n v="50037892"/>
    <x v="2"/>
    <n v="1"/>
    <s v="REALIZADO"/>
    <s v="GEOVANE"/>
    <d v="2025-11-28T00:00:00"/>
    <x v="0"/>
  </r>
  <r>
    <n v="50020623"/>
    <x v="42"/>
    <n v="1"/>
    <s v="REALIZADO"/>
    <s v="AGATHA"/>
    <d v="2025-11-28T00:00:00"/>
    <x v="0"/>
  </r>
  <r>
    <n v="50041195"/>
    <x v="21"/>
    <n v="1"/>
    <s v="REALIZADO"/>
    <s v="AGATHA"/>
    <d v="2025-11-28T00:00:00"/>
    <x v="0"/>
  </r>
  <r>
    <n v="50037892"/>
    <x v="2"/>
    <n v="1"/>
    <s v="REALIZADO"/>
    <s v="KELLY"/>
    <d v="2025-11-28T00:00:00"/>
    <x v="2"/>
  </r>
  <r>
    <n v="50037892"/>
    <x v="2"/>
    <n v="1"/>
    <s v="REALIZADO"/>
    <s v="KELLY"/>
    <d v="2025-11-28T00:00:00"/>
    <x v="2"/>
  </r>
  <r>
    <n v="50030486"/>
    <x v="17"/>
    <n v="1"/>
    <s v="REALIZADO"/>
    <s v="KELLY"/>
    <d v="2025-11-28T00:00:00"/>
    <x v="2"/>
  </r>
  <r>
    <n v="50038956"/>
    <x v="10"/>
    <n v="1"/>
    <s v="REALIZADO"/>
    <s v="MATHEUS"/>
    <d v="2025-11-28T00:00:00"/>
    <x v="0"/>
  </r>
  <r>
    <n v="50037900"/>
    <x v="41"/>
    <n v="1"/>
    <s v="REALIZADO"/>
    <s v="MATHEUS"/>
    <d v="2025-11-28T00:00:00"/>
    <x v="2"/>
  </r>
  <r>
    <n v="50036296"/>
    <x v="46"/>
    <n v="1"/>
    <s v="REALIZADO"/>
    <s v="MATHEUS"/>
    <d v="2025-11-28T00:00:00"/>
    <x v="0"/>
  </r>
  <r>
    <n v="50032781"/>
    <x v="12"/>
    <n v="1"/>
    <s v="REALIZADO"/>
    <s v="BRUNO"/>
    <d v="2025-11-28T00:00:00"/>
    <x v="0"/>
  </r>
  <r>
    <n v="50038841"/>
    <x v="34"/>
    <n v="1"/>
    <s v="REALIZADO"/>
    <s v="BRUNO"/>
    <d v="2025-11-28T00:00:00"/>
    <x v="2"/>
  </r>
  <r>
    <n v="50041195"/>
    <x v="21"/>
    <n v="1"/>
    <s v="REALIZADO"/>
    <s v="BRUNO"/>
    <d v="2025-11-28T00:00:00"/>
    <x v="0"/>
  </r>
  <r>
    <n v="50029865"/>
    <x v="9"/>
    <n v="1"/>
    <s v="REALIZADO"/>
    <s v="BRUNO"/>
    <d v="2025-11-28T00:00:00"/>
    <x v="0"/>
  </r>
  <r>
    <n v="50041195"/>
    <x v="21"/>
    <n v="1"/>
    <s v="REALIZADO"/>
    <s v="BRUNO"/>
    <d v="2025-11-28T00:00:00"/>
    <x v="0"/>
  </r>
  <r>
    <n v="50003173"/>
    <x v="29"/>
    <n v="1"/>
    <s v="REALIZADO"/>
    <s v="BRUNO"/>
    <d v="2025-11-28T00:00:00"/>
    <x v="2"/>
  </r>
  <r>
    <n v="50038841"/>
    <x v="34"/>
    <n v="1"/>
    <s v="REALIZADO"/>
    <s v="BRUNO"/>
    <d v="2025-11-28T00:00:00"/>
    <x v="2"/>
  </r>
  <r>
    <n v="50032781"/>
    <x v="12"/>
    <n v="1"/>
    <s v="REALIZADO"/>
    <s v="BRUNO"/>
    <d v="2025-11-28T00:00:00"/>
    <x v="2"/>
  </r>
  <r>
    <n v="50020623"/>
    <x v="42"/>
    <n v="1"/>
    <s v="REALIZADO"/>
    <s v="BRUNO"/>
    <d v="2025-11-28T00:00:00"/>
    <x v="2"/>
  </r>
  <r>
    <n v="50043917"/>
    <x v="66"/>
    <n v="1"/>
    <s v="REALIZADO"/>
    <s v="BRUNO"/>
    <d v="2025-11-28T00:00:00"/>
    <x v="2"/>
  </r>
  <r>
    <n v="50029865"/>
    <x v="9"/>
    <n v="1"/>
    <s v="REALIZADO"/>
    <s v="BRUNO"/>
    <d v="2025-11-28T00:00:00"/>
    <x v="2"/>
  </r>
  <r>
    <n v="50041195"/>
    <x v="21"/>
    <n v="1"/>
    <s v="REALIZADO"/>
    <s v="BRUNO"/>
    <d v="2025-11-28T00:00:00"/>
    <x v="2"/>
  </r>
  <r>
    <n v="50037900"/>
    <x v="41"/>
    <n v="1"/>
    <s v="REALIZADO"/>
    <s v="BRUNO"/>
    <d v="2025-11-28T00:00:00"/>
    <x v="2"/>
  </r>
  <r>
    <n v="50003173"/>
    <x v="29"/>
    <n v="1"/>
    <s v="REALIZADO"/>
    <s v="BRUNO"/>
    <d v="2025-11-28T00:00:00"/>
    <x v="2"/>
  </r>
  <r>
    <n v="50043471"/>
    <x v="5"/>
    <n v="1"/>
    <s v="REALIZADO"/>
    <s v="BRUNO"/>
    <d v="2025-11-28T00:00:00"/>
    <x v="2"/>
  </r>
  <r>
    <n v="50036290"/>
    <x v="67"/>
    <n v="1"/>
    <s v="REALIZADO"/>
    <s v="BRUNO"/>
    <d v="2025-11-28T00:00:00"/>
    <x v="2"/>
  </r>
  <r>
    <n v="50036293"/>
    <x v="16"/>
    <n v="1"/>
    <s v="REALIZADO"/>
    <s v="BRUNO"/>
    <d v="2025-11-28T00:00:00"/>
    <x v="0"/>
  </r>
  <r>
    <n v="50003297"/>
    <x v="8"/>
    <n v="1"/>
    <s v="REALIZADO"/>
    <s v="BRUNO"/>
    <d v="2025-11-28T00:00:00"/>
    <x v="2"/>
  </r>
  <r>
    <n v="50003297"/>
    <x v="8"/>
    <n v="1"/>
    <s v="REALIZADO"/>
    <s v="KELLY"/>
    <d v="2025-11-27T00:00:00"/>
    <x v="0"/>
  </r>
  <r>
    <n v="50041195"/>
    <x v="21"/>
    <n v="1"/>
    <s v="REALIZADO"/>
    <s v="KELLY"/>
    <d v="2025-11-27T00:00:00"/>
    <x v="0"/>
  </r>
  <r>
    <n v="50043917"/>
    <x v="66"/>
    <n v="1"/>
    <s v="REALIZADO"/>
    <s v="KELLY"/>
    <d v="2025-11-27T00:00:00"/>
    <x v="0"/>
  </r>
  <r>
    <n v="50036293"/>
    <x v="16"/>
    <n v="1"/>
    <s v="REALIZADO"/>
    <s v="KELLY"/>
    <d v="2025-11-27T00:00:00"/>
    <x v="0"/>
  </r>
  <r>
    <n v="50038195"/>
    <x v="54"/>
    <n v="1"/>
    <s v="REALIZADO"/>
    <s v="GEOVANE"/>
    <d v="2025-11-27T00:00:00"/>
    <x v="0"/>
  </r>
  <r>
    <n v="50038517"/>
    <x v="0"/>
    <n v="1"/>
    <s v="REALIZADO"/>
    <s v="GEOVANE"/>
    <d v="2025-11-27T00:00:00"/>
    <x v="0"/>
  </r>
  <r>
    <n v="50037892"/>
    <x v="2"/>
    <n v="1"/>
    <s v="REALIZADO"/>
    <s v="GEOVANE"/>
    <d v="2025-11-27T00:00:00"/>
    <x v="0"/>
  </r>
  <r>
    <n v="50003173"/>
    <x v="29"/>
    <n v="1"/>
    <s v="REALIZADO"/>
    <s v="AGATHA"/>
    <d v="2025-11-27T00:00:00"/>
    <x v="0"/>
  </r>
  <r>
    <n v="50036086"/>
    <x v="3"/>
    <n v="1"/>
    <s v="REALIZADO"/>
    <s v="AGATHA"/>
    <d v="2025-11-27T00:00:00"/>
    <x v="0"/>
  </r>
  <r>
    <n v="50039065"/>
    <x v="22"/>
    <n v="1"/>
    <s v="REALIZADO"/>
    <s v="AGATHA"/>
    <d v="2025-11-27T00:00:00"/>
    <x v="2"/>
  </r>
  <r>
    <n v="50043917"/>
    <x v="66"/>
    <n v="1"/>
    <s v="REALIZADO"/>
    <s v="AGATHA"/>
    <d v="2025-11-27T00:00:00"/>
    <x v="0"/>
  </r>
  <r>
    <n v="50038840"/>
    <x v="68"/>
    <n v="1"/>
    <s v="REALIZADO"/>
    <s v="AGATHA"/>
    <d v="2025-11-27T00:00:00"/>
    <x v="0"/>
  </r>
  <r>
    <n v="50043471"/>
    <x v="5"/>
    <n v="1"/>
    <s v="REALIZADO"/>
    <s v="AGATHA"/>
    <d v="2025-11-27T00:00:00"/>
    <x v="0"/>
  </r>
  <r>
    <n v="50043917"/>
    <x v="66"/>
    <n v="1"/>
    <s v="REALIZADO"/>
    <s v="AGATHA"/>
    <d v="2025-11-27T00:00:00"/>
    <x v="0"/>
  </r>
  <r>
    <n v="50038841"/>
    <x v="34"/>
    <n v="1"/>
    <s v="REALIZADO"/>
    <s v="AGATHA"/>
    <d v="2025-11-27T00:00:00"/>
    <x v="2"/>
  </r>
  <r>
    <n v="50037892"/>
    <x v="2"/>
    <n v="1"/>
    <s v="REALIZADO"/>
    <s v="GEOVANE"/>
    <d v="2025-11-27T00:00:00"/>
    <x v="2"/>
  </r>
  <r>
    <n v="50038195"/>
    <x v="54"/>
    <n v="1"/>
    <s v="REALIZADO"/>
    <s v="GEOVANE"/>
    <d v="2025-11-27T00:00:00"/>
    <x v="0"/>
  </r>
  <r>
    <n v="50037933"/>
    <x v="43"/>
    <n v="1"/>
    <s v="REALIZADO"/>
    <s v="GEOVANE"/>
    <d v="2025-11-27T00:00:00"/>
    <x v="2"/>
  </r>
  <r>
    <n v="50038840"/>
    <x v="68"/>
    <n v="1"/>
    <s v="REALIZADO"/>
    <s v="GEOVANE"/>
    <d v="2025-11-27T00:00:00"/>
    <x v="2"/>
  </r>
  <r>
    <n v="50043471"/>
    <x v="5"/>
    <n v="1"/>
    <s v="REALIZADO"/>
    <s v="GEOVANE"/>
    <d v="2025-11-27T00:00:00"/>
    <x v="2"/>
  </r>
  <r>
    <n v="50037933"/>
    <x v="43"/>
    <n v="1"/>
    <s v="REALIZADO"/>
    <s v="GEOVANE"/>
    <d v="2025-11-27T00:00:00"/>
    <x v="2"/>
  </r>
  <r>
    <n v="50039065"/>
    <x v="22"/>
    <n v="1"/>
    <s v="REALIZADO"/>
    <s v="AGATHA"/>
    <d v="2025-11-27T00:00:00"/>
    <x v="2"/>
  </r>
  <r>
    <n v="50041195"/>
    <x v="21"/>
    <n v="1"/>
    <s v="REALIZADO"/>
    <s v="KELLY"/>
    <d v="2025-11-27T00:00:00"/>
    <x v="0"/>
  </r>
  <r>
    <n v="50041195"/>
    <x v="21"/>
    <n v="1"/>
    <s v="REALIZADO"/>
    <s v="KELLY"/>
    <d v="2025-11-27T00:00:00"/>
    <x v="0"/>
  </r>
  <r>
    <n v="50043471"/>
    <x v="5"/>
    <n v="1"/>
    <s v="REALIZADO"/>
    <s v="KELLY"/>
    <d v="2025-11-27T00:00:00"/>
    <x v="2"/>
  </r>
  <r>
    <n v="50043471"/>
    <x v="5"/>
    <n v="1"/>
    <s v="REALIZADO"/>
    <s v="BRUNO"/>
    <d v="2025-11-27T00:00:00"/>
    <x v="0"/>
  </r>
  <r>
    <n v="50043320"/>
    <x v="35"/>
    <n v="1"/>
    <s v="REALIZADO"/>
    <s v="BRUNO"/>
    <d v="2025-11-27T00:00:00"/>
    <x v="2"/>
  </r>
  <r>
    <n v="50043917"/>
    <x v="66"/>
    <n v="1"/>
    <s v="REALIZADO"/>
    <s v="BRUNO"/>
    <d v="2025-11-27T00:00:00"/>
    <x v="0"/>
  </r>
  <r>
    <n v="50038956"/>
    <x v="10"/>
    <n v="1"/>
    <s v="REALIZADO"/>
    <s v="BRUNO"/>
    <d v="2025-11-27T00:00:00"/>
    <x v="2"/>
  </r>
  <r>
    <n v="50043320"/>
    <x v="35"/>
    <n v="1"/>
    <s v="REALIZADO"/>
    <s v="BRUNO"/>
    <d v="2025-11-27T00:00:00"/>
    <x v="2"/>
  </r>
  <r>
    <n v="50003173"/>
    <x v="29"/>
    <n v="1"/>
    <s v="REALIZADO"/>
    <s v="BRUNO"/>
    <d v="2025-11-27T00:00:00"/>
    <x v="2"/>
  </r>
  <r>
    <n v="50036293"/>
    <x v="16"/>
    <n v="1"/>
    <s v="REALIZADO"/>
    <s v="BRUNO"/>
    <d v="2025-11-27T00:00:00"/>
    <x v="2"/>
  </r>
  <r>
    <n v="50038956"/>
    <x v="10"/>
    <n v="1"/>
    <s v="REALIZADO"/>
    <s v="BRUNO"/>
    <d v="2025-11-27T00:00:00"/>
    <x v="0"/>
  </r>
  <r>
    <n v="50037922"/>
    <x v="61"/>
    <n v="1"/>
    <s v="REALIZADO"/>
    <s v="BRUNO"/>
    <d v="2025-11-27T00:00:00"/>
    <x v="2"/>
  </r>
  <r>
    <n v="50041195"/>
    <x v="21"/>
    <n v="1"/>
    <s v="REALIZADO"/>
    <s v="BRUNO"/>
    <d v="2025-11-27T00:00:00"/>
    <x v="2"/>
  </r>
  <r>
    <n v="50036086"/>
    <x v="3"/>
    <n v="1"/>
    <s v="REALIZADO"/>
    <s v="BRUNO"/>
    <d v="2025-11-27T00:00:00"/>
    <x v="0"/>
  </r>
  <r>
    <n v="50038956"/>
    <x v="10"/>
    <n v="1"/>
    <s v="REALIZADO"/>
    <s v="BRUNO"/>
    <d v="2025-11-27T00:00:00"/>
    <x v="2"/>
  </r>
  <r>
    <n v="50038517"/>
    <x v="0"/>
    <n v="1"/>
    <s v="REALIZADO"/>
    <s v="BRUNO"/>
    <d v="2025-11-27T00:00:00"/>
    <x v="2"/>
  </r>
  <r>
    <n v="50038841"/>
    <x v="34"/>
    <n v="1"/>
    <s v="REALIZADO"/>
    <s v="BRUNO"/>
    <d v="2025-11-27T00:00:00"/>
    <x v="2"/>
  </r>
  <r>
    <n v="50038956"/>
    <x v="10"/>
    <n v="1"/>
    <s v="REALIZADO"/>
    <s v="BRUNO"/>
    <d v="2025-11-27T00:00:00"/>
    <x v="2"/>
  </r>
  <r>
    <n v="50037922"/>
    <x v="61"/>
    <n v="1"/>
    <s v="REALIZADO"/>
    <s v="BRUNO"/>
    <d v="2025-11-27T00:00:00"/>
    <x v="0"/>
  </r>
  <r>
    <n v="50041195"/>
    <x v="21"/>
    <n v="1"/>
    <s v="REALIZADO"/>
    <s v="GEOVANE"/>
    <d v="2025-11-26T00:00:00"/>
    <x v="0"/>
  </r>
  <r>
    <n v="50030486"/>
    <x v="17"/>
    <n v="1"/>
    <s v="REALIZADO"/>
    <s v="GEOVANE"/>
    <d v="2025-11-26T00:00:00"/>
    <x v="0"/>
  </r>
  <r>
    <n v="50029865"/>
    <x v="9"/>
    <n v="1"/>
    <s v="REALIZADO"/>
    <s v="GEOVANE"/>
    <d v="2025-11-26T00:00:00"/>
    <x v="0"/>
  </r>
  <r>
    <n v="50036280"/>
    <x v="64"/>
    <n v="1"/>
    <s v="REALIZADO"/>
    <s v="GEOVANE"/>
    <d v="2025-11-26T00:00:00"/>
    <x v="0"/>
  </r>
  <r>
    <n v="50038956"/>
    <x v="10"/>
    <n v="1"/>
    <s v="REALIZADO"/>
    <s v="GEOVANE"/>
    <d v="2025-11-26T00:00:00"/>
    <x v="0"/>
  </r>
  <r>
    <n v="50036298"/>
    <x v="69"/>
    <n v="1"/>
    <s v="REALIZADO"/>
    <s v="GEOVANE"/>
    <d v="2025-11-26T00:00:00"/>
    <x v="0"/>
  </r>
  <r>
    <n v="50043917"/>
    <x v="66"/>
    <n v="1"/>
    <s v="REALIZADO"/>
    <s v="GEOVANE"/>
    <d v="2025-11-26T00:00:00"/>
    <x v="0"/>
  </r>
  <r>
    <n v="50036086"/>
    <x v="3"/>
    <n v="1"/>
    <s v="REALIZADO"/>
    <s v="GEOVANE"/>
    <d v="2025-11-26T00:00:00"/>
    <x v="0"/>
  </r>
  <r>
    <n v="50043471"/>
    <x v="5"/>
    <n v="1"/>
    <s v="REALIZADO"/>
    <s v="GEOVANE"/>
    <d v="2025-11-26T00:00:00"/>
    <x v="0"/>
  </r>
  <r>
    <n v="50038518"/>
    <x v="57"/>
    <n v="1"/>
    <s v="REALIZADO"/>
    <s v="GEOVANE"/>
    <d v="2025-11-26T00:00:00"/>
    <x v="0"/>
  </r>
  <r>
    <n v="50038841"/>
    <x v="34"/>
    <n v="1"/>
    <s v="REALIZADO"/>
    <s v="GEOVANE"/>
    <d v="2025-11-26T00:00:00"/>
    <x v="0"/>
  </r>
  <r>
    <n v="50010031"/>
    <x v="20"/>
    <n v="1"/>
    <s v="REALIZADO"/>
    <s v="GEOVANE"/>
    <d v="2025-11-26T00:00:00"/>
    <x v="0"/>
  </r>
  <r>
    <n v="50037902"/>
    <x v="14"/>
    <n v="1"/>
    <s v="REALIZADO"/>
    <s v="GEOVANE"/>
    <d v="2025-11-26T00:00:00"/>
    <x v="0"/>
  </r>
  <r>
    <n v="50038517"/>
    <x v="0"/>
    <n v="1"/>
    <s v="REALIZADO"/>
    <s v="GEOVANE"/>
    <d v="2025-11-26T00:00:00"/>
    <x v="0"/>
  </r>
  <r>
    <n v="50020623"/>
    <x v="42"/>
    <n v="1"/>
    <s v="REALIZADO"/>
    <s v="GEOVANE"/>
    <d v="2025-11-26T00:00:00"/>
    <x v="2"/>
  </r>
  <r>
    <n v="50037905"/>
    <x v="49"/>
    <n v="1"/>
    <s v="REALIZADO"/>
    <s v="GEOVANE"/>
    <d v="2025-11-26T00:00:00"/>
    <x v="0"/>
  </r>
  <r>
    <n v="50044003"/>
    <x v="63"/>
    <n v="1"/>
    <s v="REALIZADO"/>
    <s v="GEOVANE"/>
    <d v="2025-11-26T00:00:00"/>
    <x v="2"/>
  </r>
  <r>
    <n v="50029865"/>
    <x v="9"/>
    <n v="1"/>
    <s v="REALIZADO"/>
    <s v="GEOVANE"/>
    <d v="2025-11-26T00:00:00"/>
    <x v="2"/>
  </r>
  <r>
    <n v="50036280"/>
    <x v="64"/>
    <n v="1"/>
    <s v="REALIZADO"/>
    <s v="GEOVANE"/>
    <d v="2025-11-26T00:00:00"/>
    <x v="0"/>
  </r>
  <r>
    <n v="50037892"/>
    <x v="2"/>
    <n v="1"/>
    <s v="REALIZADO"/>
    <s v="GEOVANE"/>
    <d v="2025-11-26T00:00:00"/>
    <x v="0"/>
  </r>
  <r>
    <n v="50032781"/>
    <x v="12"/>
    <n v="1"/>
    <s v="REALIZADO"/>
    <s v="GEOVANE"/>
    <d v="2025-11-26T00:00:00"/>
    <x v="2"/>
  </r>
  <r>
    <n v="50038517"/>
    <x v="0"/>
    <n v="1"/>
    <s v="REALIZADO"/>
    <s v="AGATHA"/>
    <d v="2025-11-26T00:00:00"/>
    <x v="2"/>
  </r>
  <r>
    <n v="50030486"/>
    <x v="17"/>
    <n v="1"/>
    <s v="REALIZADO"/>
    <s v="AGATHA"/>
    <d v="2025-11-26T00:00:00"/>
    <x v="2"/>
  </r>
  <r>
    <n v="50036086"/>
    <x v="3"/>
    <n v="1"/>
    <s v="REALIZADO"/>
    <s v="AGATHA"/>
    <d v="2025-11-26T00:00:00"/>
    <x v="2"/>
  </r>
  <r>
    <n v="50032781"/>
    <x v="12"/>
    <n v="1"/>
    <s v="REALIZADO"/>
    <s v="BRUNO"/>
    <d v="2025-11-26T00:00:00"/>
    <x v="0"/>
  </r>
  <r>
    <n v="50004486"/>
    <x v="40"/>
    <n v="1"/>
    <s v="REALIZADO"/>
    <s v="BRUNO"/>
    <d v="2025-11-26T00:00:00"/>
    <x v="0"/>
  </r>
  <r>
    <n v="50043320"/>
    <x v="35"/>
    <n v="1"/>
    <s v="REALIZADO"/>
    <s v="BRUNO"/>
    <d v="2025-11-26T00:00:00"/>
    <x v="2"/>
  </r>
  <r>
    <n v="50036298"/>
    <x v="69"/>
    <n v="1"/>
    <s v="REALIZADO"/>
    <s v="BRUNO"/>
    <d v="2025-11-26T00:00:00"/>
    <x v="2"/>
  </r>
  <r>
    <n v="50004486"/>
    <x v="40"/>
    <n v="1"/>
    <s v="REALIZADO"/>
    <s v="BRUNO"/>
    <d v="2025-11-26T00:00:00"/>
    <x v="2"/>
  </r>
  <r>
    <n v="50038518"/>
    <x v="57"/>
    <n v="1"/>
    <s v="REALIZADO"/>
    <s v="BRUNO"/>
    <d v="2025-11-26T00:00:00"/>
    <x v="2"/>
  </r>
  <r>
    <n v="50043471"/>
    <x v="5"/>
    <n v="1"/>
    <s v="REALIZADO"/>
    <s v="BRUNO"/>
    <d v="2025-11-26T00:00:00"/>
    <x v="2"/>
  </r>
  <r>
    <n v="50043320"/>
    <x v="35"/>
    <n v="1"/>
    <s v="REALIZADO"/>
    <s v="BRUNO"/>
    <d v="2025-11-26T00:00:00"/>
    <x v="2"/>
  </r>
  <r>
    <n v="50041195"/>
    <x v="21"/>
    <n v="1"/>
    <s v="REALIZADO"/>
    <s v="BRUNO"/>
    <d v="2025-11-26T00:00:00"/>
    <x v="2"/>
  </r>
  <r>
    <n v="50020623"/>
    <x v="42"/>
    <n v="1"/>
    <s v="REALIZADO"/>
    <s v="BRUNO"/>
    <d v="2025-11-26T00:00:00"/>
    <x v="2"/>
  </r>
  <r>
    <n v="50043917"/>
    <x v="66"/>
    <n v="1"/>
    <s v="REALIZADO"/>
    <s v="BRUNO"/>
    <d v="2025-11-26T00:00:00"/>
    <x v="2"/>
  </r>
  <r>
    <n v="50038841"/>
    <x v="34"/>
    <n v="1"/>
    <s v="REALIZADO"/>
    <s v="BRUNO"/>
    <d v="2025-11-26T00:00:00"/>
    <x v="2"/>
  </r>
  <r>
    <n v="50010031"/>
    <x v="20"/>
    <n v="1"/>
    <s v="REALIZADO"/>
    <s v="BRUNO"/>
    <d v="2025-11-26T00:00:00"/>
    <x v="0"/>
  </r>
  <r>
    <n v="50043917"/>
    <x v="66"/>
    <n v="1"/>
    <s v="REALIZADO"/>
    <s v="BRUNO"/>
    <d v="2025-11-26T00:00:00"/>
    <x v="2"/>
  </r>
  <r>
    <n v="50037902"/>
    <x v="14"/>
    <n v="1"/>
    <s v="REALIZADO"/>
    <s v="BRUNO"/>
    <d v="2025-11-26T00:00:00"/>
    <x v="0"/>
  </r>
  <r>
    <n v="50041195"/>
    <x v="21"/>
    <n v="1"/>
    <s v="REALIZADO"/>
    <s v="BRUNO"/>
    <d v="2025-11-26T00:00:00"/>
    <x v="2"/>
  </r>
  <r>
    <n v="50041195"/>
    <x v="21"/>
    <n v="1"/>
    <s v="REALIZADO"/>
    <s v="BRUNO"/>
    <d v="2025-11-26T00:00:00"/>
    <x v="2"/>
  </r>
  <r>
    <n v="50043917"/>
    <x v="66"/>
    <n v="1"/>
    <s v="REALIZADO"/>
    <s v="BRUNO"/>
    <d v="2025-11-26T00:00:00"/>
    <x v="2"/>
  </r>
  <r>
    <n v="50038956"/>
    <x v="10"/>
    <n v="1"/>
    <s v="REALIZADO"/>
    <s v="BRUNO"/>
    <d v="2025-11-26T00:00:00"/>
    <x v="2"/>
  </r>
  <r>
    <n v="50038517"/>
    <x v="0"/>
    <n v="1"/>
    <s v="REALIZADO"/>
    <s v="BRUNO"/>
    <d v="2025-11-26T00:00:00"/>
    <x v="0"/>
  </r>
  <r>
    <n v="50032781"/>
    <x v="12"/>
    <n v="1"/>
    <s v="REALIZADO"/>
    <s v="BRUNO"/>
    <d v="2025-11-26T00:00:00"/>
    <x v="2"/>
  </r>
  <r>
    <n v="50044003"/>
    <x v="63"/>
    <n v="1"/>
    <s v="REALIZADO"/>
    <s v="BRUNO"/>
    <d v="2025-11-26T00:00:00"/>
    <x v="0"/>
  </r>
  <r>
    <n v="50039718"/>
    <x v="11"/>
    <n v="1"/>
    <s v="REALIZADO"/>
    <s v="BRUNO"/>
    <d v="2025-11-26T00:00:00"/>
    <x v="0"/>
  </r>
  <r>
    <n v="50039718"/>
    <x v="11"/>
    <n v="1"/>
    <s v="REALIZADO"/>
    <s v="BRUNO"/>
    <d v="2025-11-26T00:00:00"/>
    <x v="2"/>
  </r>
  <r>
    <n v="50037892"/>
    <x v="2"/>
    <n v="1"/>
    <s v="REALIZADO"/>
    <s v="BRUNO"/>
    <d v="2025-11-26T00:00:00"/>
    <x v="2"/>
  </r>
  <r>
    <n v="50032781"/>
    <x v="12"/>
    <n v="1"/>
    <s v="REALIZADO"/>
    <s v="BRUNO"/>
    <d v="2025-11-26T00:00:00"/>
    <x v="2"/>
  </r>
  <r>
    <n v="50039718"/>
    <x v="11"/>
    <n v="1"/>
    <s v="REALIZADO"/>
    <s v="BRUNO"/>
    <d v="2025-11-26T00:00:00"/>
    <x v="0"/>
  </r>
  <r>
    <n v="50038841"/>
    <x v="34"/>
    <n v="1"/>
    <s v="REALIZADO"/>
    <s v="AGATHA"/>
    <d v="2025-11-25T00:00:00"/>
    <x v="0"/>
  </r>
  <r>
    <n v="50003297"/>
    <x v="8"/>
    <n v="1"/>
    <s v="REALIZADO"/>
    <s v="AGATHA"/>
    <d v="2025-11-25T00:00:00"/>
    <x v="0"/>
  </r>
  <r>
    <n v="50037916"/>
    <x v="70"/>
    <n v="1"/>
    <s v="REALIZADO"/>
    <s v="AGATHA"/>
    <d v="2025-11-25T00:00:00"/>
    <x v="0"/>
  </r>
  <r>
    <n v="50043917"/>
    <x v="66"/>
    <n v="1"/>
    <s v="REALIZADO"/>
    <s v="AGATHA"/>
    <d v="2025-11-25T00:00:00"/>
    <x v="0"/>
  </r>
  <r>
    <n v="50043471"/>
    <x v="5"/>
    <n v="1"/>
    <s v="REALIZADO"/>
    <s v="AGATHA"/>
    <d v="2025-11-25T00:00:00"/>
    <x v="0"/>
  </r>
  <r>
    <n v="50038854"/>
    <x v="27"/>
    <n v="1"/>
    <s v="REALIZADO"/>
    <s v="AGATHA"/>
    <d v="2025-11-25T00:00:00"/>
    <x v="0"/>
  </r>
  <r>
    <n v="50041195"/>
    <x v="21"/>
    <n v="1"/>
    <s v="REALIZADO"/>
    <s v="AGATHA"/>
    <d v="2025-11-25T00:00:00"/>
    <x v="0"/>
  </r>
  <r>
    <n v="50029865"/>
    <x v="9"/>
    <n v="1"/>
    <s v="REALIZADO"/>
    <s v="AGATHA"/>
    <d v="2025-11-25T00:00:00"/>
    <x v="2"/>
  </r>
  <r>
    <n v="50038854"/>
    <x v="27"/>
    <n v="1"/>
    <s v="REALIZADO"/>
    <s v="AGATHA"/>
    <d v="2025-11-25T00:00:00"/>
    <x v="2"/>
  </r>
  <r>
    <n v="50043471"/>
    <x v="5"/>
    <n v="1"/>
    <s v="REALIZADO"/>
    <s v="AGATHA"/>
    <d v="2025-11-25T00:00:00"/>
    <x v="2"/>
  </r>
  <r>
    <n v="50029865"/>
    <x v="9"/>
    <n v="1"/>
    <s v="REALIZADO"/>
    <s v="AGATHA"/>
    <d v="2025-11-25T00:00:00"/>
    <x v="0"/>
  </r>
  <r>
    <n v="50038956"/>
    <x v="10"/>
    <n v="1"/>
    <s v="REALIZADO"/>
    <s v="AGATHA"/>
    <d v="2025-11-25T00:00:00"/>
    <x v="0"/>
  </r>
  <r>
    <n v="50038854"/>
    <x v="27"/>
    <n v="1"/>
    <s v="REALIZADO"/>
    <s v="AGATHA"/>
    <d v="2025-11-25T00:00:00"/>
    <x v="0"/>
  </r>
  <r>
    <n v="50039065"/>
    <x v="22"/>
    <n v="1"/>
    <s v="REALIZADO"/>
    <s v="AGATHA"/>
    <d v="2025-11-25T00:00:00"/>
    <x v="0"/>
  </r>
  <r>
    <n v="50037949"/>
    <x v="71"/>
    <n v="1"/>
    <s v="REALIZADO"/>
    <s v="AGATHA"/>
    <d v="2025-11-25T00:00:00"/>
    <x v="0"/>
  </r>
  <r>
    <n v="50038517"/>
    <x v="0"/>
    <n v="1"/>
    <s v="REALIZADO"/>
    <s v="AGATHA"/>
    <d v="2025-11-25T00:00:00"/>
    <x v="2"/>
  </r>
  <r>
    <n v="50039718"/>
    <x v="11"/>
    <n v="1"/>
    <s v="REALIZADO"/>
    <s v="AGATHA"/>
    <d v="2025-11-25T00:00:00"/>
    <x v="2"/>
  </r>
  <r>
    <n v="50040566"/>
    <x v="32"/>
    <n v="1"/>
    <s v="REALIZADO"/>
    <s v="AGATHA"/>
    <d v="2025-11-25T00:00:00"/>
    <x v="2"/>
  </r>
  <r>
    <n v="50003297"/>
    <x v="8"/>
    <n v="1"/>
    <s v="REALIZADO"/>
    <s v="AGATHA"/>
    <d v="2025-11-25T00:00:00"/>
    <x v="2"/>
  </r>
  <r>
    <n v="50037949"/>
    <x v="71"/>
    <n v="1"/>
    <s v="REALIZADO"/>
    <s v="AGATHA"/>
    <d v="2025-11-25T00:00:00"/>
    <x v="0"/>
  </r>
  <r>
    <n v="50043471"/>
    <x v="5"/>
    <n v="1"/>
    <s v="REALIZADO"/>
    <s v="AGATHA"/>
    <d v="2025-11-25T00:00:00"/>
    <x v="2"/>
  </r>
  <r>
    <n v="50038517"/>
    <x v="0"/>
    <n v="1"/>
    <s v="REALIZADO"/>
    <s v="AGATHA"/>
    <d v="2025-11-25T00:00:00"/>
    <x v="2"/>
  </r>
  <r>
    <n v="50041195"/>
    <x v="21"/>
    <n v="1"/>
    <s v="REALIZADO"/>
    <s v="AGATHA"/>
    <d v="2025-11-25T00:00:00"/>
    <x v="2"/>
  </r>
  <r>
    <n v="50039065"/>
    <x v="22"/>
    <n v="1"/>
    <s v="REALIZADO"/>
    <s v="AGATHA"/>
    <d v="2025-11-25T00:00:00"/>
    <x v="0"/>
  </r>
  <r>
    <n v="50003297"/>
    <x v="8"/>
    <n v="1"/>
    <s v="REALIZADO"/>
    <s v="AGATHA"/>
    <d v="2025-11-25T00:00:00"/>
    <x v="0"/>
  </r>
  <r>
    <n v="50041195"/>
    <x v="21"/>
    <n v="1"/>
    <s v="REALIZADO"/>
    <s v="AGATHA"/>
    <d v="2025-11-25T00:00:00"/>
    <x v="2"/>
  </r>
  <r>
    <n v="50038854"/>
    <x v="27"/>
    <n v="1"/>
    <s v="REALIZADO"/>
    <s v="MARCIA"/>
    <d v="2025-11-25T00:00:00"/>
    <x v="2"/>
  </r>
  <r>
    <n v="50038956"/>
    <x v="10"/>
    <n v="1"/>
    <s v="REALIZADO"/>
    <s v="MARCIA"/>
    <d v="2025-11-25T00:00:00"/>
    <x v="2"/>
  </r>
  <r>
    <n v="50037916"/>
    <x v="70"/>
    <n v="1"/>
    <s v="REALIZADO"/>
    <s v="MARCIA"/>
    <d v="2025-11-25T00:00:00"/>
    <x v="2"/>
  </r>
  <r>
    <n v="50003297"/>
    <x v="8"/>
    <n v="1"/>
    <s v="REALIZADO"/>
    <s v="MARCIA"/>
    <d v="2025-11-25T00:00:00"/>
    <x v="0"/>
  </r>
  <r>
    <n v="50037892"/>
    <x v="2"/>
    <n v="1"/>
    <s v="REALIZADO"/>
    <s v="MATHEUS"/>
    <d v="2025-11-25T00:00:00"/>
    <x v="0"/>
  </r>
  <r>
    <n v="50039065"/>
    <x v="22"/>
    <n v="1"/>
    <s v="REALIZADO"/>
    <s v="MATHEUS"/>
    <d v="2025-11-25T00:00:00"/>
    <x v="2"/>
  </r>
  <r>
    <n v="50043471"/>
    <x v="5"/>
    <n v="1"/>
    <s v="REALIZADO"/>
    <s v="MATHEUS"/>
    <d v="2025-11-25T00:00:00"/>
    <x v="0"/>
  </r>
  <r>
    <n v="50020623"/>
    <x v="42"/>
    <n v="1"/>
    <s v="REALIZADO"/>
    <s v="MATHEUS"/>
    <d v="2025-11-25T00:00:00"/>
    <x v="2"/>
  </r>
  <r>
    <n v="50038841"/>
    <x v="34"/>
    <n v="1"/>
    <s v="REALIZADO"/>
    <s v="MATHEUS"/>
    <d v="2025-11-25T00:00:00"/>
    <x v="0"/>
  </r>
  <r>
    <n v="50038841"/>
    <x v="34"/>
    <n v="1"/>
    <s v="REALIZADO"/>
    <s v="MATHEUS"/>
    <d v="2025-11-25T00:00:00"/>
    <x v="2"/>
  </r>
  <r>
    <n v="50043917"/>
    <x v="66"/>
    <n v="1"/>
    <s v="REALIZADO"/>
    <s v="MATHEUS"/>
    <d v="2025-11-25T00:00:00"/>
    <x v="2"/>
  </r>
  <r>
    <n v="50038841"/>
    <x v="34"/>
    <n v="1"/>
    <s v="REALIZADO"/>
    <s v="MATHEUS"/>
    <d v="2025-11-25T00:00:00"/>
    <x v="2"/>
  </r>
  <r>
    <n v="50039065"/>
    <x v="22"/>
    <n v="1"/>
    <s v="REALIZADO"/>
    <s v="MATHEUS"/>
    <d v="2025-11-25T00:00:00"/>
    <x v="2"/>
  </r>
  <r>
    <n v="50041195"/>
    <x v="21"/>
    <n v="1"/>
    <s v="REALIZADO"/>
    <s v="MATHEUS"/>
    <d v="2025-11-25T00:00:00"/>
    <x v="2"/>
  </r>
  <r>
    <n v="50037892"/>
    <x v="2"/>
    <n v="1"/>
    <s v="REALIZADO"/>
    <s v="MATHEUS"/>
    <d v="2025-11-25T00:00:00"/>
    <x v="0"/>
  </r>
  <r>
    <n v="50038956"/>
    <x v="10"/>
    <n v="1"/>
    <s v="REALIZADO"/>
    <s v="KELLY"/>
    <d v="2025-11-24T00:00:00"/>
    <x v="0"/>
  </r>
  <r>
    <n v="50040566"/>
    <x v="32"/>
    <n v="1"/>
    <s v="REALIZADO"/>
    <s v="KELLY"/>
    <d v="2025-11-24T00:00:00"/>
    <x v="2"/>
  </r>
  <r>
    <n v="50038626"/>
    <x v="72"/>
    <n v="1"/>
    <s v="REALIZADO"/>
    <s v="KELLY"/>
    <d v="2025-11-24T00:00:00"/>
    <x v="0"/>
  </r>
  <r>
    <n v="50039718"/>
    <x v="11"/>
    <n v="1"/>
    <s v="REALIZADO"/>
    <s v="AGATHA"/>
    <d v="2025-11-24T00:00:00"/>
    <x v="2"/>
  </r>
  <r>
    <n v="50040566"/>
    <x v="32"/>
    <n v="1"/>
    <s v="REALIZADO"/>
    <s v="AGATHA"/>
    <d v="2025-11-24T00:00:00"/>
    <x v="0"/>
  </r>
  <r>
    <n v="50012902"/>
    <x v="30"/>
    <n v="1"/>
    <s v="REALIZADO"/>
    <s v="AGATHA"/>
    <d v="2025-11-24T00:00:00"/>
    <x v="0"/>
  </r>
  <r>
    <n v="50036086"/>
    <x v="3"/>
    <n v="1"/>
    <s v="REALIZADO"/>
    <s v="AGATHA"/>
    <d v="2025-11-24T00:00:00"/>
    <x v="2"/>
  </r>
  <r>
    <n v="50042283"/>
    <x v="47"/>
    <n v="1"/>
    <s v="REALIZADO"/>
    <s v="AGATHA"/>
    <d v="2025-11-24T00:00:00"/>
    <x v="2"/>
  </r>
  <r>
    <n v="50041095"/>
    <x v="15"/>
    <n v="1"/>
    <s v="REALIZADO"/>
    <s v="AGATHA"/>
    <d v="2025-11-24T00:00:00"/>
    <x v="0"/>
  </r>
  <r>
    <n v="50041195"/>
    <x v="21"/>
    <n v="1"/>
    <s v="REALIZADO"/>
    <s v="AGATHA"/>
    <d v="2025-11-24T00:00:00"/>
    <x v="0"/>
  </r>
  <r>
    <n v="50038517"/>
    <x v="0"/>
    <n v="1"/>
    <s v="REALIZADO"/>
    <s v="AGATHA"/>
    <d v="2025-11-24T00:00:00"/>
    <x v="2"/>
  </r>
  <r>
    <n v="50039718"/>
    <x v="11"/>
    <n v="1"/>
    <s v="REALIZADO"/>
    <s v="AGATHA"/>
    <d v="2025-11-24T00:00:00"/>
    <x v="2"/>
  </r>
  <r>
    <n v="50036086"/>
    <x v="3"/>
    <n v="1"/>
    <s v="REALIZADO"/>
    <s v="AGATHA"/>
    <d v="2025-11-24T00:00:00"/>
    <x v="2"/>
  </r>
  <r>
    <n v="50038956"/>
    <x v="10"/>
    <n v="1"/>
    <s v="REALIZADO"/>
    <s v="AGATHA"/>
    <d v="2025-11-24T00:00:00"/>
    <x v="2"/>
  </r>
  <r>
    <n v="50012902"/>
    <x v="30"/>
    <n v="1"/>
    <s v="REALIZADO"/>
    <s v="AGATHA"/>
    <d v="2025-11-24T00:00:00"/>
    <x v="0"/>
  </r>
  <r>
    <n v="50038854"/>
    <x v="27"/>
    <n v="1"/>
    <s v="REALIZADO"/>
    <s v="AGATHA"/>
    <d v="2025-11-24T00:00:00"/>
    <x v="0"/>
  </r>
  <r>
    <n v="50020623"/>
    <x v="42"/>
    <n v="1"/>
    <s v="REALIZADO"/>
    <s v="AGATHA"/>
    <d v="2025-11-24T00:00:00"/>
    <x v="0"/>
  </r>
  <r>
    <n v="50043917"/>
    <x v="66"/>
    <n v="1"/>
    <s v="REALIZADO"/>
    <s v="AGATHA"/>
    <d v="2025-11-24T00:00:00"/>
    <x v="2"/>
  </r>
  <r>
    <n v="50038854"/>
    <x v="27"/>
    <n v="1"/>
    <s v="REALIZADO"/>
    <s v="MARCIA"/>
    <d v="2025-11-24T00:00:00"/>
    <x v="2"/>
  </r>
  <r>
    <n v="50020623"/>
    <x v="42"/>
    <n v="1"/>
    <s v="REALIZADO"/>
    <s v="MARCIA"/>
    <d v="2025-11-24T00:00:00"/>
    <x v="2"/>
  </r>
  <r>
    <n v="50043917"/>
    <x v="66"/>
    <n v="1"/>
    <s v="REALIZADO"/>
    <s v="MARCIA"/>
    <d v="2025-11-24T00:00:00"/>
    <x v="0"/>
  </r>
  <r>
    <n v="50043917"/>
    <x v="66"/>
    <n v="1"/>
    <s v="REALIZADO"/>
    <s v="BRUNO"/>
    <d v="2025-11-24T00:00:00"/>
    <x v="0"/>
  </r>
  <r>
    <n v="50038841"/>
    <x v="34"/>
    <n v="1"/>
    <s v="REALIZADO"/>
    <s v="BRUNO"/>
    <d v="2025-11-24T00:00:00"/>
    <x v="0"/>
  </r>
  <r>
    <n v="50039065"/>
    <x v="22"/>
    <n v="1"/>
    <s v="REALIZADO"/>
    <s v="MATHEUS"/>
    <d v="2025-11-24T00:00:00"/>
    <x v="2"/>
  </r>
  <r>
    <n v="50038517"/>
    <x v="0"/>
    <n v="1"/>
    <s v="REALIZADO"/>
    <s v="BRUNO"/>
    <d v="2025-11-24T00:00:00"/>
    <x v="2"/>
  </r>
  <r>
    <n v="50038841"/>
    <x v="34"/>
    <n v="1"/>
    <s v="REALIZADO"/>
    <s v="BRUNO"/>
    <d v="2025-11-24T00:00:00"/>
    <x v="0"/>
  </r>
  <r>
    <n v="50038841"/>
    <x v="34"/>
    <n v="1"/>
    <s v="REALIZADO"/>
    <s v="BRUNO"/>
    <d v="2025-11-24T00:00:00"/>
    <x v="2"/>
  </r>
  <r>
    <n v="50038841"/>
    <x v="34"/>
    <n v="1"/>
    <s v="REALIZADO"/>
    <s v="BRUNO"/>
    <d v="2025-11-24T00:00:00"/>
    <x v="0"/>
  </r>
  <r>
    <n v="50037892"/>
    <x v="2"/>
    <n v="1"/>
    <s v="REALIZADO"/>
    <s v="BRUNO"/>
    <d v="2025-11-24T00:00:00"/>
    <x v="2"/>
  </r>
  <r>
    <n v="50039065"/>
    <x v="22"/>
    <n v="1"/>
    <s v="REALIZADO"/>
    <s v="BRUNO"/>
    <d v="2025-11-24T00:00:00"/>
    <x v="2"/>
  </r>
  <r>
    <n v="50037892"/>
    <x v="2"/>
    <n v="1"/>
    <s v="REALIZADO"/>
    <s v="BRUNO"/>
    <d v="2025-11-24T00:00:00"/>
    <x v="0"/>
  </r>
  <r>
    <n v="50038517"/>
    <x v="0"/>
    <n v="1"/>
    <s v="REALIZADO"/>
    <s v="BRUNO"/>
    <d v="2025-11-24T00:00:00"/>
    <x v="0"/>
  </r>
  <r>
    <n v="50039065"/>
    <x v="22"/>
    <n v="1"/>
    <s v="REALIZADO"/>
    <s v="BRUNO"/>
    <d v="2025-11-24T00:00:00"/>
    <x v="0"/>
  </r>
  <r>
    <n v="50038956"/>
    <x v="10"/>
    <n v="1"/>
    <s v="REALIZADO"/>
    <s v="BRUNO"/>
    <d v="2025-11-24T00:00:00"/>
    <x v="2"/>
  </r>
  <r>
    <n v="50043917"/>
    <x v="66"/>
    <n v="1"/>
    <s v="REALIZADO"/>
    <s v="BRUNO"/>
    <d v="2025-11-24T00:00:00"/>
    <x v="2"/>
  </r>
  <r>
    <n v="50039065"/>
    <x v="22"/>
    <n v="1"/>
    <s v="REALIZADO"/>
    <s v="BRUNO"/>
    <d v="2025-11-24T00:00:00"/>
    <x v="2"/>
  </r>
  <r>
    <n v="50037958"/>
    <x v="73"/>
    <n v="1"/>
    <s v="REALIZADO"/>
    <s v="BRUNO"/>
    <d v="2025-11-24T00:00:00"/>
    <x v="2"/>
  </r>
  <r>
    <n v="50037957"/>
    <x v="74"/>
    <n v="1"/>
    <s v="REALIZADO"/>
    <s v="BRUNO"/>
    <d v="2025-11-24T00:00:00"/>
    <x v="2"/>
  </r>
  <r>
    <n v="50038517"/>
    <x v="0"/>
    <n v="1"/>
    <s v="REALIZADO"/>
    <s v="BRUNO"/>
    <d v="2025-11-24T00:00:00"/>
    <x v="0"/>
  </r>
  <r>
    <n v="50003297"/>
    <x v="8"/>
    <n v="1"/>
    <s v="REALIZADO"/>
    <s v="BRUNO"/>
    <d v="2025-11-24T00:00:00"/>
    <x v="2"/>
  </r>
  <r>
    <n v="50038956"/>
    <x v="10"/>
    <n v="1"/>
    <s v="REALIZADO"/>
    <s v="BRUNO"/>
    <d v="2025-11-24T00:00:00"/>
    <x v="0"/>
  </r>
  <r>
    <n v="50038841"/>
    <x v="34"/>
    <n v="1"/>
    <s v="REALIZADO"/>
    <s v="BRUNO"/>
    <d v="2025-11-24T00:00:00"/>
    <x v="2"/>
  </r>
  <r>
    <n v="50038841"/>
    <x v="34"/>
    <n v="1"/>
    <s v="REALIZADO"/>
    <s v="BRUNO"/>
    <d v="2025-11-24T00:00:00"/>
    <x v="0"/>
  </r>
  <r>
    <n v="50043917"/>
    <x v="66"/>
    <n v="1"/>
    <s v="REALIZADO"/>
    <s v="BRUNO"/>
    <d v="2025-11-24T00:00:00"/>
    <x v="2"/>
  </r>
  <r>
    <n v="50003297"/>
    <x v="8"/>
    <n v="1"/>
    <s v="REALIZADO"/>
    <s v="BRUNO"/>
    <d v="2025-11-24T00:00:00"/>
    <x v="2"/>
  </r>
  <r>
    <n v="50043917"/>
    <x v="66"/>
    <n v="1"/>
    <s v="REALIZADO"/>
    <s v="BRUNO"/>
    <d v="2025-11-24T00:00:00"/>
    <x v="2"/>
  </r>
  <r>
    <n v="50041195"/>
    <x v="21"/>
    <n v="1"/>
    <s v="REALIZADO"/>
    <s v="BRUNO"/>
    <d v="2025-11-24T00:00:00"/>
    <x v="0"/>
  </r>
  <r>
    <n v="50041195"/>
    <x v="21"/>
    <n v="1"/>
    <s v="REALIZADO"/>
    <s v="KELLY"/>
    <d v="2025-11-22T00:00:00"/>
    <x v="0"/>
  </r>
  <r>
    <n v="50038549"/>
    <x v="6"/>
    <n v="1"/>
    <s v="REALIZADO"/>
    <s v="KELLY"/>
    <d v="2025-11-22T00:00:00"/>
    <x v="0"/>
  </r>
  <r>
    <n v="50037905"/>
    <x v="49"/>
    <n v="1"/>
    <s v="REALIZADO"/>
    <s v="KELLY"/>
    <d v="2025-11-22T00:00:00"/>
    <x v="2"/>
  </r>
  <r>
    <n v="50041195"/>
    <x v="21"/>
    <n v="1"/>
    <s v="REALIZADO"/>
    <s v="KELLY"/>
    <d v="2025-11-22T00:00:00"/>
    <x v="2"/>
  </r>
  <r>
    <n v="50038549"/>
    <x v="6"/>
    <n v="1"/>
    <s v="REALIZADO"/>
    <s v="KELLY"/>
    <d v="2025-11-22T00:00:00"/>
    <x v="2"/>
  </r>
  <r>
    <n v="50037905"/>
    <x v="49"/>
    <n v="1"/>
    <s v="REALIZADO"/>
    <s v="KELLY"/>
    <d v="2025-11-22T00:00:00"/>
    <x v="0"/>
  </r>
  <r>
    <n v="50037905"/>
    <x v="49"/>
    <n v="1"/>
    <s v="REALIZADO"/>
    <s v="KELLY"/>
    <d v="2025-11-21T00:00:00"/>
    <x v="0"/>
  </r>
  <r>
    <n v="50003297"/>
    <x v="8"/>
    <n v="1"/>
    <s v="REALIZADO"/>
    <s v="KELLY"/>
    <d v="2025-11-21T00:00:00"/>
    <x v="0"/>
  </r>
  <r>
    <n v="50041195"/>
    <x v="21"/>
    <n v="1"/>
    <s v="REALIZADO"/>
    <s v="KELLY"/>
    <d v="2025-11-21T00:00:00"/>
    <x v="0"/>
  </r>
  <r>
    <n v="50037892"/>
    <x v="2"/>
    <n v="1"/>
    <s v="REALIZADO"/>
    <s v="KELLY"/>
    <d v="2025-11-21T00:00:00"/>
    <x v="0"/>
  </r>
  <r>
    <n v="50040566"/>
    <x v="32"/>
    <n v="1"/>
    <s v="REALIZADO"/>
    <s v="KELLY"/>
    <d v="2025-11-21T00:00:00"/>
    <x v="2"/>
  </r>
  <r>
    <n v="50040566"/>
    <x v="32"/>
    <n v="1"/>
    <s v="REALIZADO"/>
    <s v="KELLY"/>
    <d v="2025-11-21T00:00:00"/>
    <x v="2"/>
  </r>
  <r>
    <n v="50037905"/>
    <x v="49"/>
    <n v="1"/>
    <s v="REALIZADO"/>
    <s v="KELLY"/>
    <d v="2025-11-21T00:00:00"/>
    <x v="2"/>
  </r>
  <r>
    <n v="50003297"/>
    <x v="8"/>
    <n v="1"/>
    <s v="REALIZADO"/>
    <s v="KELLY"/>
    <d v="2025-11-21T00:00:00"/>
    <x v="2"/>
  </r>
  <r>
    <n v="50041195"/>
    <x v="21"/>
    <n v="1"/>
    <s v="REALIZADO"/>
    <s v="KELLY"/>
    <d v="2025-11-21T00:00:00"/>
    <x v="2"/>
  </r>
  <r>
    <n v="50037892"/>
    <x v="2"/>
    <n v="1"/>
    <s v="REALIZADO"/>
    <s v="KELLY"/>
    <d v="2025-11-21T00:00:00"/>
    <x v="0"/>
  </r>
  <r>
    <n v="50038549"/>
    <x v="6"/>
    <n v="1"/>
    <s v="REALIZADO"/>
    <s v="KELLY"/>
    <d v="2025-11-21T00:00:00"/>
    <x v="2"/>
  </r>
  <r>
    <n v="50038549"/>
    <x v="6"/>
    <n v="1"/>
    <s v="REALIZADO"/>
    <s v="KELLY"/>
    <d v="2025-11-21T00:00:00"/>
    <x v="0"/>
  </r>
  <r>
    <n v="50038841"/>
    <x v="34"/>
    <n v="1"/>
    <s v="REALIZADO"/>
    <s v="GEOVANE"/>
    <d v="2025-11-21T00:00:00"/>
    <x v="0"/>
  </r>
  <r>
    <n v="50043917"/>
    <x v="66"/>
    <n v="1"/>
    <s v="REALIZADO"/>
    <s v="GEOVANE"/>
    <d v="2025-11-21T00:00:00"/>
    <x v="0"/>
  </r>
  <r>
    <n v="50039718"/>
    <x v="11"/>
    <n v="1"/>
    <s v="REALIZADO"/>
    <s v="AGATHA"/>
    <d v="2025-11-21T00:00:00"/>
    <x v="2"/>
  </r>
  <r>
    <n v="50039718"/>
    <x v="11"/>
    <n v="1"/>
    <s v="REALIZADO"/>
    <s v="AGATHA"/>
    <d v="2025-11-21T00:00:00"/>
    <x v="0"/>
  </r>
  <r>
    <n v="50037892"/>
    <x v="2"/>
    <n v="1"/>
    <s v="REALIZADO"/>
    <s v="GEOVANE"/>
    <d v="2025-11-21T00:00:00"/>
    <x v="2"/>
  </r>
  <r>
    <n v="50037892"/>
    <x v="2"/>
    <n v="1"/>
    <s v="REALIZADO"/>
    <s v="GEOVANE"/>
    <d v="2025-11-21T00:00:00"/>
    <x v="0"/>
  </r>
  <r>
    <n v="50043471"/>
    <x v="5"/>
    <n v="1"/>
    <s v="REALIZADO"/>
    <s v="GEOVANE"/>
    <d v="2025-11-21T00:00:00"/>
    <x v="2"/>
  </r>
  <r>
    <n v="50043471"/>
    <x v="5"/>
    <n v="1"/>
    <s v="REALIZADO"/>
    <s v="GEOVANE"/>
    <d v="2025-11-21T00:00:00"/>
    <x v="0"/>
  </r>
  <r>
    <n v="50043471"/>
    <x v="5"/>
    <n v="1"/>
    <s v="REALIZADO"/>
    <s v="AGATHA"/>
    <d v="2025-11-21T00:00:00"/>
    <x v="2"/>
  </r>
  <r>
    <n v="50043471"/>
    <x v="5"/>
    <n v="1"/>
    <s v="REALIZADO"/>
    <s v="AGATHA"/>
    <d v="2025-11-21T00:00:00"/>
    <x v="0"/>
  </r>
  <r>
    <n v="50003297"/>
    <x v="8"/>
    <n v="1"/>
    <s v="REALIZADO"/>
    <s v="AGATHA"/>
    <d v="2025-11-21T00:00:00"/>
    <x v="0"/>
  </r>
  <r>
    <n v="50037892"/>
    <x v="2"/>
    <n v="1"/>
    <s v="REALIZADO"/>
    <s v="AGATHA"/>
    <d v="2025-11-21T00:00:00"/>
    <x v="0"/>
  </r>
  <r>
    <n v="50041195"/>
    <x v="21"/>
    <n v="1"/>
    <s v="REALIZADO"/>
    <s v="AGATHA"/>
    <d v="2025-11-21T00:00:00"/>
    <x v="0"/>
  </r>
  <r>
    <n v="50032775"/>
    <x v="13"/>
    <n v="1"/>
    <s v="REALIZADO"/>
    <s v="GEOVANE"/>
    <d v="2025-11-21T00:00:00"/>
    <x v="0"/>
  </r>
  <r>
    <n v="50036296"/>
    <x v="46"/>
    <n v="1"/>
    <s v="REALIZADO"/>
    <s v="GEOVANE"/>
    <d v="2025-11-21T00:00:00"/>
    <x v="0"/>
  </r>
  <r>
    <n v="50030486"/>
    <x v="17"/>
    <n v="1"/>
    <s v="REALIZADO"/>
    <s v="MATHEUS"/>
    <d v="2025-11-21T00:00:00"/>
    <x v="2"/>
  </r>
  <r>
    <n v="50030486"/>
    <x v="17"/>
    <n v="1"/>
    <s v="REALIZADO"/>
    <s v="MATHEUS"/>
    <d v="2025-11-21T00:00:00"/>
    <x v="0"/>
  </r>
  <r>
    <n v="50043471"/>
    <x v="5"/>
    <n v="1"/>
    <s v="REALIZADO"/>
    <s v="MATHEUS"/>
    <d v="2025-11-21T00:00:00"/>
    <x v="2"/>
  </r>
  <r>
    <n v="50043471"/>
    <x v="5"/>
    <n v="1"/>
    <s v="REALIZADO"/>
    <s v="MATHEUS"/>
    <d v="2025-11-21T00:00:00"/>
    <x v="2"/>
  </r>
  <r>
    <n v="50003297"/>
    <x v="8"/>
    <n v="1"/>
    <s v="REALIZADO"/>
    <s v="MATHEUS"/>
    <d v="2025-11-21T00:00:00"/>
    <x v="0"/>
  </r>
  <r>
    <n v="50038956"/>
    <x v="10"/>
    <n v="1"/>
    <s v="REALIZADO"/>
    <s v="MARCIA"/>
    <d v="2025-11-21T00:00:00"/>
    <x v="2"/>
  </r>
  <r>
    <n v="50038956"/>
    <x v="10"/>
    <n v="1"/>
    <s v="REALIZADO"/>
    <s v="MATHEUS"/>
    <d v="2025-11-21T00:00:00"/>
    <x v="2"/>
  </r>
  <r>
    <n v="50037892"/>
    <x v="2"/>
    <n v="1"/>
    <s v="REALIZADO"/>
    <s v="MATHEUS"/>
    <d v="2025-11-21T00:00:00"/>
    <x v="2"/>
  </r>
  <r>
    <n v="50038841"/>
    <x v="34"/>
    <n v="1"/>
    <s v="REALIZADO"/>
    <s v="MATHEUS"/>
    <d v="2025-11-21T00:00:00"/>
    <x v="0"/>
  </r>
  <r>
    <n v="50039065"/>
    <x v="44"/>
    <n v="1"/>
    <s v="REALIZADO"/>
    <s v="MATHEUS"/>
    <d v="2025-11-21T00:00:00"/>
    <x v="2"/>
  </r>
  <r>
    <n v="50039065"/>
    <x v="44"/>
    <n v="1"/>
    <s v="REALIZADO"/>
    <s v="MATHEUS"/>
    <d v="2025-11-21T00:00:00"/>
    <x v="2"/>
  </r>
  <r>
    <n v="50041195"/>
    <x v="21"/>
    <n v="1"/>
    <s v="REALIZADO"/>
    <s v="MATHEUS"/>
    <d v="2025-11-21T00:00:00"/>
    <x v="2"/>
  </r>
  <r>
    <n v="50043917"/>
    <x v="66"/>
    <n v="1"/>
    <s v="REALIZADO"/>
    <s v="MARCIA"/>
    <d v="2025-11-21T00:00:00"/>
    <x v="2"/>
  </r>
  <r>
    <n v="50032775"/>
    <x v="13"/>
    <n v="1"/>
    <s v="REALIZADO"/>
    <s v="MATHEUS"/>
    <d v="2025-11-21T00:00:00"/>
    <x v="0"/>
  </r>
  <r>
    <n v="50037952"/>
    <x v="56"/>
    <n v="1"/>
    <s v="REALIZADO"/>
    <s v="MATHEUS"/>
    <d v="2025-11-21T00:00:00"/>
    <x v="2"/>
  </r>
  <r>
    <n v="50037952"/>
    <x v="56"/>
    <n v="1"/>
    <s v="REALIZADO"/>
    <s v="MATHEUS"/>
    <d v="2025-11-21T00:00:00"/>
    <x v="0"/>
  </r>
  <r>
    <n v="50037905"/>
    <x v="49"/>
    <n v="1"/>
    <s v="REALIZADO"/>
    <s v="KELLY"/>
    <d v="2025-11-20T00:00:00"/>
    <x v="2"/>
  </r>
  <r>
    <n v="50037905"/>
    <x v="49"/>
    <n v="1"/>
    <s v="REALIZADO"/>
    <s v="KELLY"/>
    <d v="2025-11-20T00:00:00"/>
    <x v="0"/>
  </r>
  <r>
    <n v="50043471"/>
    <x v="5"/>
    <n v="1"/>
    <s v="REALIZADO"/>
    <s v="MARCIA"/>
    <d v="2025-11-20T00:00:00"/>
    <x v="2"/>
  </r>
  <r>
    <n v="50043471"/>
    <x v="5"/>
    <n v="1"/>
    <s v="REALIZADO"/>
    <s v="MARCIA"/>
    <d v="2025-11-20T00:00:00"/>
    <x v="0"/>
  </r>
  <r>
    <n v="50003297"/>
    <x v="8"/>
    <n v="1"/>
    <s v="REALIZADO"/>
    <s v="KELLY"/>
    <d v="2025-11-20T00:00:00"/>
    <x v="2"/>
  </r>
  <r>
    <n v="50003297"/>
    <x v="8"/>
    <n v="1"/>
    <s v="REALIZADO"/>
    <s v="MARCIA"/>
    <d v="2025-11-20T00:00:00"/>
    <x v="0"/>
  </r>
  <r>
    <n v="50003297"/>
    <x v="8"/>
    <n v="1"/>
    <s v="REALIZADO"/>
    <s v="MARCIA"/>
    <d v="2025-11-20T00:00:00"/>
    <x v="2"/>
  </r>
  <r>
    <n v="50003297"/>
    <x v="8"/>
    <n v="1"/>
    <s v="REALIZADO"/>
    <s v="MARCIA"/>
    <d v="2025-11-20T00:00:00"/>
    <x v="0"/>
  </r>
  <r>
    <n v="50043320"/>
    <x v="35"/>
    <n v="1"/>
    <s v="REALIZADO"/>
    <s v="MARCIA"/>
    <d v="2025-11-20T00:00:00"/>
    <x v="2"/>
  </r>
  <r>
    <n v="50043320"/>
    <x v="35"/>
    <n v="1"/>
    <s v="REALIZADO"/>
    <s v="MARCIA"/>
    <d v="2025-11-20T00:00:00"/>
    <x v="0"/>
  </r>
  <r>
    <n v="50038956"/>
    <x v="10"/>
    <n v="1"/>
    <s v="REALIZADO"/>
    <s v="KELLY"/>
    <d v="2025-11-20T00:00:00"/>
    <x v="2"/>
  </r>
  <r>
    <n v="50038956"/>
    <x v="10"/>
    <n v="1"/>
    <s v="REALIZADO"/>
    <s v="KELLY"/>
    <d v="2025-11-20T00:00:00"/>
    <x v="0"/>
  </r>
  <r>
    <n v="50038956"/>
    <x v="10"/>
    <n v="1"/>
    <s v="REALIZADO"/>
    <s v="MARCIA"/>
    <d v="2025-11-20T00:00:00"/>
    <x v="2"/>
  </r>
  <r>
    <n v="50038956"/>
    <x v="10"/>
    <n v="1"/>
    <s v="REALIZADO"/>
    <s v="MARCIA"/>
    <d v="2025-11-20T00:00:00"/>
    <x v="0"/>
  </r>
  <r>
    <n v="50037892"/>
    <x v="2"/>
    <n v="1"/>
    <s v="REALIZADO"/>
    <s v="KELLY"/>
    <d v="2025-11-20T00:00:00"/>
    <x v="2"/>
  </r>
  <r>
    <n v="50037892"/>
    <x v="2"/>
    <n v="1"/>
    <s v="REALIZADO"/>
    <s v="MARCIA"/>
    <d v="2025-11-20T00:00:00"/>
    <x v="0"/>
  </r>
  <r>
    <n v="50037902"/>
    <x v="14"/>
    <n v="1"/>
    <s v="REALIZADO"/>
    <s v="MARCIA"/>
    <d v="2025-11-20T00:00:00"/>
    <x v="2"/>
  </r>
  <r>
    <n v="50037902"/>
    <x v="14"/>
    <n v="1"/>
    <s v="REALIZADO"/>
    <s v="MARCIA"/>
    <d v="2025-11-20T00:00:00"/>
    <x v="0"/>
  </r>
  <r>
    <n v="50037902"/>
    <x v="14"/>
    <n v="1"/>
    <s v="REALIZADO"/>
    <s v="MARCIA"/>
    <d v="2025-11-20T00:00:00"/>
    <x v="2"/>
  </r>
  <r>
    <n v="50037902"/>
    <x v="14"/>
    <n v="1"/>
    <s v="REALIZADO"/>
    <s v="MARCIA"/>
    <d v="2025-11-20T00:00:00"/>
    <x v="0"/>
  </r>
  <r>
    <n v="50038517"/>
    <x v="0"/>
    <n v="1"/>
    <s v="REALIZADO"/>
    <s v="MARCIA"/>
    <d v="2025-11-20T00:00:00"/>
    <x v="2"/>
  </r>
  <r>
    <n v="50038517"/>
    <x v="0"/>
    <n v="1"/>
    <s v="REALIZADO"/>
    <s v="MARCIA"/>
    <d v="2025-11-20T00:00:00"/>
    <x v="2"/>
  </r>
  <r>
    <n v="50039065"/>
    <x v="22"/>
    <n v="1"/>
    <s v="REALIZADO"/>
    <s v="KELLY"/>
    <d v="2025-11-20T00:00:00"/>
    <x v="0"/>
  </r>
  <r>
    <n v="50041195"/>
    <x v="21"/>
    <n v="1"/>
    <s v="REALIZADO"/>
    <s v="MARCIA"/>
    <d v="2025-11-20T00:00:00"/>
    <x v="2"/>
  </r>
  <r>
    <n v="50041195"/>
    <x v="21"/>
    <n v="1"/>
    <s v="REALIZADO"/>
    <s v="MARCIA"/>
    <d v="2025-11-20T00:00:00"/>
    <x v="0"/>
  </r>
  <r>
    <n v="50043917"/>
    <x v="66"/>
    <n v="1"/>
    <s v="REALIZADO"/>
    <s v="MARCIA"/>
    <d v="2025-11-20T00:00:00"/>
    <x v="2"/>
  </r>
  <r>
    <n v="50043917"/>
    <x v="66"/>
    <n v="1"/>
    <s v="REALIZADO"/>
    <s v="MARCIA"/>
    <d v="2025-11-20T00:00:00"/>
    <x v="2"/>
  </r>
  <r>
    <n v="50007151"/>
    <x v="75"/>
    <n v="1"/>
    <s v="REALIZADO"/>
    <s v="MARCIA"/>
    <d v="2025-11-20T00:00:00"/>
    <x v="0"/>
  </r>
  <r>
    <n v="50032781"/>
    <x v="12"/>
    <n v="1"/>
    <s v="REALIZADO"/>
    <s v="MARCIA"/>
    <d v="2025-11-20T00:00:00"/>
    <x v="2"/>
  </r>
  <r>
    <n v="50032781"/>
    <x v="12"/>
    <n v="1"/>
    <s v="REALIZADO"/>
    <s v="MARCIA"/>
    <d v="2025-11-20T00:00:00"/>
    <x v="0"/>
  </r>
  <r>
    <n v="50037900"/>
    <x v="41"/>
    <n v="1"/>
    <s v="REALIZADO"/>
    <s v="MARCIA"/>
    <d v="2025-11-20T00:00:00"/>
    <x v="2"/>
  </r>
  <r>
    <n v="50037900"/>
    <x v="41"/>
    <n v="1"/>
    <s v="REALIZADO"/>
    <s v="MARCIA"/>
    <d v="2025-11-20T00:00:00"/>
    <x v="0"/>
  </r>
  <r>
    <n v="50030486"/>
    <x v="17"/>
    <n v="1"/>
    <s v="REALIZADO"/>
    <s v="GEOVANE"/>
    <d v="2025-11-19T00:00:00"/>
    <x v="2"/>
  </r>
  <r>
    <n v="50030486"/>
    <x v="17"/>
    <n v="1"/>
    <s v="REALIZADO"/>
    <s v="GEOVANE"/>
    <d v="2025-11-19T00:00:00"/>
    <x v="0"/>
  </r>
  <r>
    <n v="50043471"/>
    <x v="5"/>
    <n v="1"/>
    <s v="REALIZADO"/>
    <s v="GEOVANE"/>
    <d v="2025-11-19T00:00:00"/>
    <x v="2"/>
  </r>
  <r>
    <n v="50043471"/>
    <x v="5"/>
    <n v="1"/>
    <s v="REALIZADO"/>
    <s v="MATHEUS"/>
    <d v="2025-11-19T00:00:00"/>
    <x v="0"/>
  </r>
  <r>
    <n v="50003297"/>
    <x v="8"/>
    <n v="1"/>
    <s v="REALIZADO"/>
    <s v="KELLY"/>
    <d v="2025-11-19T00:00:00"/>
    <x v="2"/>
  </r>
  <r>
    <n v="50003297"/>
    <x v="8"/>
    <n v="1"/>
    <s v="REALIZADO"/>
    <s v="AGATHA"/>
    <d v="2025-11-19T00:00:00"/>
    <x v="2"/>
  </r>
  <r>
    <n v="50003297"/>
    <x v="8"/>
    <n v="1"/>
    <s v="REALIZADO"/>
    <s v="GEOVANE"/>
    <d v="2025-11-19T00:00:00"/>
    <x v="0"/>
  </r>
  <r>
    <n v="50003297"/>
    <x v="8"/>
    <n v="1"/>
    <s v="REALIZADO"/>
    <s v="MATHEUS"/>
    <d v="2025-11-19T00:00:00"/>
    <x v="0"/>
  </r>
  <r>
    <n v="50038549"/>
    <x v="6"/>
    <n v="1"/>
    <s v="REALIZADO"/>
    <s v="GEOVANE"/>
    <d v="2025-11-19T00:00:00"/>
    <x v="2"/>
  </r>
  <r>
    <n v="50038549"/>
    <x v="6"/>
    <n v="1"/>
    <s v="REALIZADO"/>
    <s v="MATHEUS"/>
    <d v="2025-11-19T00:00:00"/>
    <x v="2"/>
  </r>
  <r>
    <n v="50037910"/>
    <x v="76"/>
    <n v="1"/>
    <s v="REALIZADO"/>
    <s v="MATHEUS"/>
    <d v="2025-11-19T00:00:00"/>
    <x v="0"/>
  </r>
  <r>
    <n v="50038956"/>
    <x v="10"/>
    <n v="1"/>
    <s v="REALIZADO"/>
    <s v="MATHEUS"/>
    <d v="2025-11-19T00:00:00"/>
    <x v="2"/>
  </r>
  <r>
    <n v="50038956"/>
    <x v="10"/>
    <n v="1"/>
    <s v="REALIZADO"/>
    <s v="MATHEUS"/>
    <d v="2025-11-19T00:00:00"/>
    <x v="0"/>
  </r>
  <r>
    <n v="50038841"/>
    <x v="34"/>
    <n v="1"/>
    <s v="REALIZADO"/>
    <s v="KELLY"/>
    <d v="2025-11-19T00:00:00"/>
    <x v="2"/>
  </r>
  <r>
    <n v="50038841"/>
    <x v="34"/>
    <n v="1"/>
    <s v="REALIZADO"/>
    <s v="AGATHA"/>
    <d v="2025-11-19T00:00:00"/>
    <x v="0"/>
  </r>
  <r>
    <n v="50038841"/>
    <x v="34"/>
    <n v="1"/>
    <s v="REALIZADO"/>
    <s v="GEOVANE"/>
    <d v="2025-11-19T00:00:00"/>
    <x v="2"/>
  </r>
  <r>
    <n v="50038841"/>
    <x v="34"/>
    <n v="1"/>
    <s v="REALIZADO"/>
    <s v="MATHEUS"/>
    <d v="2025-11-19T00:00:00"/>
    <x v="0"/>
  </r>
  <r>
    <n v="50038517"/>
    <x v="0"/>
    <n v="1"/>
    <s v="REALIZADO"/>
    <s v="KELLY"/>
    <d v="2025-11-19T00:00:00"/>
    <x v="2"/>
  </r>
  <r>
    <n v="50038517"/>
    <x v="0"/>
    <n v="1"/>
    <s v="REALIZADO"/>
    <s v="AGATHA"/>
    <d v="2025-11-19T00:00:00"/>
    <x v="0"/>
  </r>
  <r>
    <n v="50001995"/>
    <x v="44"/>
    <n v="1"/>
    <s v="REALIZADO"/>
    <s v="AGATHA"/>
    <d v="2025-11-19T00:00:00"/>
    <x v="2"/>
  </r>
  <r>
    <n v="50001995"/>
    <x v="44"/>
    <n v="1"/>
    <s v="REALIZADO"/>
    <s v="MARCIA"/>
    <d v="2025-11-19T00:00:00"/>
    <x v="0"/>
  </r>
  <r>
    <n v="50039065"/>
    <x v="22"/>
    <n v="1"/>
    <s v="REALIZADO"/>
    <s v="MATHEUS"/>
    <d v="2025-11-19T00:00:00"/>
    <x v="2"/>
  </r>
  <r>
    <n v="50039065"/>
    <x v="22"/>
    <n v="1"/>
    <s v="REALIZADO"/>
    <s v="MATHEUS"/>
    <d v="2025-11-19T00:00:00"/>
    <x v="0"/>
  </r>
  <r>
    <n v="50038626"/>
    <x v="72"/>
    <n v="1"/>
    <s v="REALIZADO"/>
    <s v="KELLY"/>
    <d v="2025-11-19T00:00:00"/>
    <x v="2"/>
  </r>
  <r>
    <n v="50038626"/>
    <x v="72"/>
    <n v="1"/>
    <s v="REALIZADO"/>
    <s v="AGATHA"/>
    <d v="2025-11-19T00:00:00"/>
    <x v="0"/>
  </r>
  <r>
    <n v="50041195"/>
    <x v="21"/>
    <n v="1"/>
    <s v="REALIZADO"/>
    <s v="KELLY"/>
    <d v="2025-11-19T00:00:00"/>
    <x v="2"/>
  </r>
  <r>
    <n v="50041195"/>
    <x v="21"/>
    <n v="1"/>
    <s v="REALIZADO"/>
    <s v="MATHEUS"/>
    <d v="2025-11-19T00:00:00"/>
    <x v="0"/>
  </r>
  <r>
    <n v="50041195"/>
    <x v="21"/>
    <n v="1"/>
    <s v="REALIZADO"/>
    <s v="MATHEUS"/>
    <d v="2025-11-19T00:00:00"/>
    <x v="0"/>
  </r>
  <r>
    <n v="50043917"/>
    <x v="66"/>
    <n v="1"/>
    <s v="REALIZADO"/>
    <s v="KELLY"/>
    <d v="2025-11-19T00:00:00"/>
    <x v="2"/>
  </r>
  <r>
    <n v="50043917"/>
    <x v="66"/>
    <n v="1"/>
    <s v="REALIZADO"/>
    <s v="MATHEUS"/>
    <d v="2025-11-19T00:00:00"/>
    <x v="0"/>
  </r>
  <r>
    <n v="50012902"/>
    <x v="30"/>
    <n v="1"/>
    <s v="REALIZADO"/>
    <s v="KELLY"/>
    <d v="2025-11-19T00:00:00"/>
    <x v="2"/>
  </r>
  <r>
    <n v="50012902"/>
    <x v="30"/>
    <n v="1"/>
    <s v="REALIZADO"/>
    <s v="MATHEUS"/>
    <d v="2025-11-19T00:00:00"/>
    <x v="0"/>
  </r>
  <r>
    <n v="50041095"/>
    <x v="15"/>
    <n v="1"/>
    <s v="REALIZADO"/>
    <s v="MATHEUS"/>
    <d v="2025-11-19T00:00:00"/>
    <x v="2"/>
  </r>
  <r>
    <n v="50041095"/>
    <x v="15"/>
    <n v="1"/>
    <s v="REALIZADO"/>
    <s v="MATHEUS"/>
    <d v="2025-11-19T00:00:00"/>
    <x v="0"/>
  </r>
  <r>
    <n v="50038854"/>
    <x v="27"/>
    <n v="1"/>
    <s v="REALIZADO"/>
    <s v="MATHEUS"/>
    <d v="2025-11-18T00:00:00"/>
    <x v="2"/>
  </r>
  <r>
    <n v="50038854"/>
    <x v="27"/>
    <n v="1"/>
    <s v="REALIZADO"/>
    <s v="MATHEUS"/>
    <d v="2025-11-18T00:00:00"/>
    <x v="0"/>
  </r>
  <r>
    <n v="50036086"/>
    <x v="3"/>
    <n v="2"/>
    <s v="REALIZADO"/>
    <s v="GEOVANE"/>
    <d v="2025-11-18T00:00:00"/>
    <x v="2"/>
  </r>
  <r>
    <n v="50036086"/>
    <x v="3"/>
    <n v="2"/>
    <s v="REALIZADO"/>
    <s v="MATHEUS"/>
    <d v="2025-11-18T00:00:00"/>
    <x v="0"/>
  </r>
  <r>
    <n v="50003173"/>
    <x v="29"/>
    <n v="1"/>
    <s v="REALIZADO"/>
    <s v="AGATHA"/>
    <d v="2025-11-18T00:00:00"/>
    <x v="2"/>
  </r>
  <r>
    <n v="50003173"/>
    <x v="29"/>
    <n v="1"/>
    <s v="REALIZADO"/>
    <s v="AGATHA"/>
    <d v="2025-11-18T00:00:00"/>
    <x v="0"/>
  </r>
  <r>
    <n v="50030486"/>
    <x v="17"/>
    <n v="1"/>
    <s v="REALIZADO"/>
    <s v="GEOVANE"/>
    <d v="2025-11-18T00:00:00"/>
    <x v="2"/>
  </r>
  <r>
    <n v="50030486"/>
    <x v="17"/>
    <n v="1"/>
    <s v="REALIZADO"/>
    <s v="GEOVANE"/>
    <d v="2025-11-18T00:00:00"/>
    <x v="2"/>
  </r>
  <r>
    <n v="50003297"/>
    <x v="8"/>
    <n v="1"/>
    <s v="REALIZADO"/>
    <s v="MATHEUS"/>
    <d v="2025-11-18T00:00:00"/>
    <x v="0"/>
  </r>
  <r>
    <n v="50037916"/>
    <x v="70"/>
    <n v="1"/>
    <s v="REALIZADO"/>
    <s v="AGATHA"/>
    <d v="2025-11-18T00:00:00"/>
    <x v="2"/>
  </r>
  <r>
    <n v="50037916"/>
    <x v="70"/>
    <n v="1"/>
    <s v="REALIZADO"/>
    <s v="AGATHA"/>
    <d v="2025-11-18T00:00:00"/>
    <x v="0"/>
  </r>
  <r>
    <n v="50038549"/>
    <x v="6"/>
    <n v="1"/>
    <s v="REALIZADO"/>
    <s v="GEOVANE"/>
    <d v="2025-11-18T00:00:00"/>
    <x v="0"/>
  </r>
  <r>
    <n v="50038549"/>
    <x v="6"/>
    <n v="1"/>
    <s v="REALIZADO"/>
    <s v="GEOVANE"/>
    <d v="2025-11-18T00:00:00"/>
    <x v="2"/>
  </r>
  <r>
    <n v="50038549"/>
    <x v="6"/>
    <n v="1"/>
    <s v="REALIZADO"/>
    <s v="MATHEUS"/>
    <d v="2025-11-18T00:00:00"/>
    <x v="2"/>
  </r>
  <r>
    <n v="50038549"/>
    <x v="6"/>
    <n v="1"/>
    <s v="REALIZADO"/>
    <s v="MATHEUS"/>
    <d v="2025-11-18T00:00:00"/>
    <x v="0"/>
  </r>
  <r>
    <n v="50038956"/>
    <x v="10"/>
    <n v="1"/>
    <s v="REALIZADO"/>
    <s v="MATHEUS"/>
    <d v="2025-11-18T00:00:00"/>
    <x v="2"/>
  </r>
  <r>
    <n v="50038956"/>
    <x v="10"/>
    <n v="1"/>
    <s v="REALIZADO"/>
    <s v="MATHEUS"/>
    <d v="2025-11-18T00:00:00"/>
    <x v="0"/>
  </r>
  <r>
    <n v="50037902"/>
    <x v="14"/>
    <n v="1"/>
    <s v="REALIZADO"/>
    <s v="MATHEUS"/>
    <d v="2025-11-18T00:00:00"/>
    <x v="2"/>
  </r>
  <r>
    <n v="50037902"/>
    <x v="14"/>
    <n v="1"/>
    <s v="REALIZADO"/>
    <s v="MATHEUS"/>
    <d v="2025-11-18T00:00:00"/>
    <x v="0"/>
  </r>
  <r>
    <n v="50038841"/>
    <x v="34"/>
    <n v="1"/>
    <s v="REALIZADO"/>
    <s v="GEOVANE"/>
    <d v="2025-11-18T00:00:00"/>
    <x v="0"/>
  </r>
  <r>
    <n v="50038841"/>
    <x v="34"/>
    <n v="1"/>
    <s v="REALIZADO"/>
    <s v="GEOVANE"/>
    <d v="2025-11-18T00:00:00"/>
    <x v="2"/>
  </r>
  <r>
    <n v="50038841"/>
    <x v="34"/>
    <n v="1"/>
    <s v="REALIZADO"/>
    <s v="MARCIA"/>
    <d v="2025-11-18T00:00:00"/>
    <x v="2"/>
  </r>
  <r>
    <n v="50038517"/>
    <x v="0"/>
    <n v="1"/>
    <s v="REALIZADO"/>
    <s v="MATHEUS"/>
    <d v="2025-11-18T00:00:00"/>
    <x v="0"/>
  </r>
  <r>
    <n v="50039065"/>
    <x v="22"/>
    <n v="1"/>
    <s v="REALIZADO"/>
    <s v="MATHEUS"/>
    <d v="2025-11-18T00:00:00"/>
    <x v="2"/>
  </r>
  <r>
    <n v="50039065"/>
    <x v="22"/>
    <n v="1"/>
    <s v="REALIZADO"/>
    <s v="MATHEUS"/>
    <d v="2025-11-18T00:00:00"/>
    <x v="0"/>
  </r>
  <r>
    <n v="50041124"/>
    <x v="77"/>
    <n v="1"/>
    <s v="REALIZADO"/>
    <s v="GEOVANE"/>
    <d v="2025-11-18T00:00:00"/>
    <x v="2"/>
  </r>
  <r>
    <n v="50041124"/>
    <x v="77"/>
    <n v="1"/>
    <s v="REALIZADO"/>
    <s v="MATHEUS"/>
    <d v="2025-11-18T00:00:00"/>
    <x v="2"/>
  </r>
  <r>
    <n v="50041195"/>
    <x v="21"/>
    <n v="1"/>
    <s v="REALIZADO"/>
    <s v="AGATHA"/>
    <d v="2025-11-18T00:00:00"/>
    <x v="2"/>
  </r>
  <r>
    <n v="50043917"/>
    <x v="66"/>
    <n v="1"/>
    <s v="REALIZADO"/>
    <s v="GEOVANE"/>
    <d v="2025-11-18T00:00:00"/>
    <x v="0"/>
  </r>
  <r>
    <n v="50043917"/>
    <x v="66"/>
    <n v="1"/>
    <s v="REALIZADO"/>
    <s v="GEOVANE"/>
    <d v="2025-11-18T00:00:00"/>
    <x v="2"/>
  </r>
  <r>
    <n v="50043917"/>
    <x v="66"/>
    <n v="1"/>
    <s v="REALIZADO"/>
    <s v="MATHEUS"/>
    <d v="2025-11-18T00:00:00"/>
    <x v="0"/>
  </r>
  <r>
    <n v="50032781"/>
    <x v="12"/>
    <n v="1"/>
    <s v="REALIZADO"/>
    <s v="GEOVANE"/>
    <d v="2025-11-18T00:00:00"/>
    <x v="0"/>
  </r>
  <r>
    <n v="50032781"/>
    <x v="12"/>
    <n v="1"/>
    <s v="REALIZADO"/>
    <s v="GEOVANE"/>
    <d v="2025-11-18T00:00:00"/>
    <x v="2"/>
  </r>
  <r>
    <n v="50032781"/>
    <x v="12"/>
    <n v="1"/>
    <s v="REALIZADO"/>
    <s v="JOÃO FRANCISCO"/>
    <d v="2025-11-18T00:00:00"/>
    <x v="2"/>
  </r>
  <r>
    <n v="50032781"/>
    <x v="12"/>
    <n v="1"/>
    <s v="REALIZADO"/>
    <s v="MATHEUS"/>
    <d v="2025-11-18T00:00:00"/>
    <x v="0"/>
  </r>
  <r>
    <n v="50028220"/>
    <x v="33"/>
    <n v="1"/>
    <s v="REALIZADO"/>
    <s v="MATHEUS"/>
    <d v="2025-11-18T00:00:00"/>
    <x v="2"/>
  </r>
  <r>
    <n v="50028220"/>
    <x v="33"/>
    <n v="1"/>
    <s v="REALIZADO"/>
    <s v="MATHEUS"/>
    <d v="2025-11-18T00:00:00"/>
    <x v="0"/>
  </r>
  <r>
    <n v="50040133"/>
    <x v="78"/>
    <n v="1"/>
    <s v="REALIZADO"/>
    <s v="BRUNO"/>
    <d v="2025-11-17T00:00:00"/>
    <x v="2"/>
  </r>
  <r>
    <n v="50040133"/>
    <x v="78"/>
    <n v="1"/>
    <s v="REALIZADO"/>
    <s v="BRUNO"/>
    <d v="2025-11-17T00:00:00"/>
    <x v="2"/>
  </r>
  <r>
    <n v="50036298"/>
    <x v="69"/>
    <n v="1"/>
    <s v="REALIZADO"/>
    <s v="BRUNO"/>
    <d v="2025-11-17T00:00:00"/>
    <x v="0"/>
  </r>
  <r>
    <n v="50036280"/>
    <x v="64"/>
    <n v="1"/>
    <s v="REALIZADO"/>
    <s v="JOÃO FRANCISCO"/>
    <d v="2025-11-17T00:00:00"/>
    <x v="2"/>
  </r>
  <r>
    <n v="50036280"/>
    <x v="64"/>
    <n v="1"/>
    <s v="REALIZADO"/>
    <s v="JOÃO FRANCISCO"/>
    <d v="2025-11-17T00:00:00"/>
    <x v="0"/>
  </r>
  <r>
    <n v="50036280"/>
    <x v="64"/>
    <n v="1"/>
    <s v="REALIZADO"/>
    <s v="JOÃO FRANCISCO"/>
    <d v="2025-11-17T00:00:00"/>
    <x v="2"/>
  </r>
  <r>
    <n v="50036280"/>
    <x v="64"/>
    <n v="1"/>
    <s v="REALIZADO"/>
    <s v="JOÃO FRANCISCO"/>
    <d v="2025-11-17T00:00:00"/>
    <x v="0"/>
  </r>
  <r>
    <n v="50030486"/>
    <x v="17"/>
    <n v="1"/>
    <s v="REALIZADO"/>
    <s v="BRUNO"/>
    <d v="2025-11-17T00:00:00"/>
    <x v="0"/>
  </r>
  <r>
    <n v="50043471"/>
    <x v="5"/>
    <n v="1"/>
    <s v="REALIZADO"/>
    <s v="JOÃO FRANCISCO"/>
    <d v="2025-11-17T00:00:00"/>
    <x v="2"/>
  </r>
  <r>
    <n v="50043471"/>
    <x v="5"/>
    <n v="1"/>
    <s v="REALIZADO"/>
    <s v="BRUNO"/>
    <d v="2025-11-17T00:00:00"/>
    <x v="2"/>
  </r>
  <r>
    <n v="50044839"/>
    <x v="79"/>
    <n v="1"/>
    <s v="REALIZADO"/>
    <s v="BRUNO"/>
    <d v="2025-11-17T00:00:00"/>
    <x v="0"/>
  </r>
  <r>
    <n v="50022878"/>
    <x v="18"/>
    <n v="1"/>
    <s v="REALIZADO"/>
    <s v="JOÃO FRANCISCO"/>
    <d v="2025-11-17T00:00:00"/>
    <x v="2"/>
  </r>
  <r>
    <n v="50022878"/>
    <x v="18"/>
    <n v="1"/>
    <s v="REALIZADO"/>
    <s v="JOÃO FRANCISCO"/>
    <d v="2025-11-17T00:00:00"/>
    <x v="0"/>
  </r>
  <r>
    <n v="50038841"/>
    <x v="34"/>
    <n v="1"/>
    <s v="REALIZADO"/>
    <s v="JOÃO FRANCISCO"/>
    <d v="2025-11-17T00:00:00"/>
    <x v="2"/>
  </r>
  <r>
    <n v="50038841"/>
    <x v="34"/>
    <n v="1"/>
    <s v="REALIZADO"/>
    <s v="BRUNO"/>
    <d v="2025-11-17T00:00:00"/>
    <x v="2"/>
  </r>
  <r>
    <n v="50038517"/>
    <x v="0"/>
    <n v="1"/>
    <s v="NÃO REALIZADO"/>
    <s v="MARCIA"/>
    <d v="2025-11-17T00:00:00"/>
    <x v="0"/>
  </r>
  <r>
    <n v="50038517"/>
    <x v="0"/>
    <n v="1"/>
    <s v="REALIZADO"/>
    <s v="BRUNO"/>
    <d v="2025-11-17T00:00:00"/>
    <x v="2"/>
  </r>
  <r>
    <n v="50038517"/>
    <x v="0"/>
    <n v="1"/>
    <s v="REALIZADO"/>
    <s v="BRUNO"/>
    <d v="2025-11-17T00:00:00"/>
    <x v="0"/>
  </r>
  <r>
    <n v="50039065"/>
    <x v="22"/>
    <n v="1"/>
    <s v="NÃO REALIZADO"/>
    <s v="JOÃO FRANCISCO"/>
    <d v="2025-11-17T00:00:00"/>
    <x v="2"/>
  </r>
  <r>
    <n v="50039065"/>
    <x v="22"/>
    <n v="1"/>
    <s v="REALIZADO"/>
    <s v="BRUNO"/>
    <d v="2025-11-17T00:00:00"/>
    <x v="0"/>
  </r>
  <r>
    <n v="50043917"/>
    <x v="66"/>
    <n v="1"/>
    <s v="REALIZADO"/>
    <s v="JOÃO FRANCISCO"/>
    <d v="2025-11-17T00:00:00"/>
    <x v="2"/>
  </r>
  <r>
    <n v="50043917"/>
    <x v="66"/>
    <n v="1"/>
    <s v="REALIZADO"/>
    <s v="BRUNO"/>
    <d v="2025-11-17T00:00:00"/>
    <x v="0"/>
  </r>
  <r>
    <n v="50032775"/>
    <x v="13"/>
    <n v="1"/>
    <s v="REALIZADO"/>
    <s v="JOÃO FRANCISCO"/>
    <d v="2025-11-17T00:00:00"/>
    <x v="2"/>
  </r>
  <r>
    <n v="50032775"/>
    <x v="13"/>
    <n v="1"/>
    <s v="REALIZADO"/>
    <s v="BRUNO"/>
    <d v="2025-11-17T00:00:00"/>
    <x v="0"/>
  </r>
  <r>
    <n v="50041194"/>
    <x v="80"/>
    <n v="1"/>
    <s v="REALIZADO"/>
    <s v="BRUNO"/>
    <d v="2025-11-17T00:00:00"/>
    <x v="2"/>
  </r>
  <r>
    <n v="50041194"/>
    <x v="80"/>
    <n v="1"/>
    <s v="REALIZADO"/>
    <s v="BRUNO"/>
    <d v="2025-11-17T00:00:00"/>
    <x v="0"/>
  </r>
  <r>
    <n v="50010031"/>
    <x v="20"/>
    <n v="1"/>
    <s v="REALIZADO"/>
    <s v="BRUNO"/>
    <d v="2025-11-14T00:00:00"/>
    <x v="0"/>
  </r>
  <r>
    <n v="50036296"/>
    <x v="46"/>
    <n v="1"/>
    <s v="REALIZADO"/>
    <s v="BRUNO"/>
    <d v="2025-11-14T00:00:00"/>
    <x v="2"/>
  </r>
  <r>
    <n v="50036296"/>
    <x v="46"/>
    <n v="1"/>
    <s v="REALIZADO"/>
    <s v="BRUNO"/>
    <d v="2025-11-14T00:00:00"/>
    <x v="0"/>
  </r>
  <r>
    <n v="50036255"/>
    <x v="7"/>
    <n v="1"/>
    <s v="REALIZADO"/>
    <s v="MATHEUS"/>
    <d v="2025-11-14T00:00:00"/>
    <x v="2"/>
  </r>
  <r>
    <n v="50036255"/>
    <x v="7"/>
    <n v="1"/>
    <s v="REALIZADO"/>
    <s v="MATHEUS"/>
    <d v="2025-11-14T00:00:00"/>
    <x v="2"/>
  </r>
  <r>
    <n v="50036086"/>
    <x v="3"/>
    <n v="1"/>
    <s v="REALIZADO"/>
    <s v="MATHEUS"/>
    <d v="2025-11-14T00:00:00"/>
    <x v="2"/>
  </r>
  <r>
    <n v="50039718"/>
    <x v="11"/>
    <n v="1"/>
    <s v="REALIZADO"/>
    <s v="BRUNO"/>
    <d v="2025-11-14T00:00:00"/>
    <x v="2"/>
  </r>
  <r>
    <n v="50037905"/>
    <x v="49"/>
    <n v="1"/>
    <s v="REALIZADO"/>
    <s v="BRUNO"/>
    <d v="2025-11-14T00:00:00"/>
    <x v="2"/>
  </r>
  <r>
    <n v="50030486"/>
    <x v="17"/>
    <n v="1"/>
    <s v="REALIZADO"/>
    <s v="BRUNO"/>
    <d v="2025-11-14T00:00:00"/>
    <x v="0"/>
  </r>
  <r>
    <n v="50043471"/>
    <x v="5"/>
    <n v="1"/>
    <s v="REALIZADO"/>
    <s v="BRUNO"/>
    <d v="2025-11-14T00:00:00"/>
    <x v="2"/>
  </r>
  <r>
    <n v="50043471"/>
    <x v="5"/>
    <n v="1"/>
    <s v="REALIZADO"/>
    <s v="BRUNO"/>
    <d v="2025-11-14T00:00:00"/>
    <x v="0"/>
  </r>
  <r>
    <n v="50043471"/>
    <x v="5"/>
    <n v="1"/>
    <s v="REALIZADO"/>
    <s v="BRUNO"/>
    <d v="2025-11-14T00:00:00"/>
    <x v="2"/>
  </r>
  <r>
    <n v="50043471"/>
    <x v="5"/>
    <n v="1"/>
    <s v="REALIZADO"/>
    <s v="BRUNO"/>
    <d v="2025-11-14T00:00:00"/>
    <x v="0"/>
  </r>
  <r>
    <n v="50043471"/>
    <x v="5"/>
    <n v="1"/>
    <s v="REALIZADO"/>
    <s v="MATHEUS"/>
    <d v="2025-11-14T00:00:00"/>
    <x v="2"/>
  </r>
  <r>
    <n v="50043471"/>
    <x v="5"/>
    <n v="1"/>
    <s v="REALIZADO"/>
    <s v="MATHEUS"/>
    <d v="2025-11-14T00:00:00"/>
    <x v="0"/>
  </r>
  <r>
    <n v="50043320"/>
    <x v="35"/>
    <n v="1"/>
    <s v="REALIZADO"/>
    <s v="BRUNO"/>
    <d v="2025-11-14T00:00:00"/>
    <x v="2"/>
  </r>
  <r>
    <n v="50043320"/>
    <x v="35"/>
    <n v="1"/>
    <s v="REALIZADO"/>
    <s v="MATHEUS"/>
    <d v="2025-11-14T00:00:00"/>
    <x v="0"/>
  </r>
  <r>
    <n v="50043320"/>
    <x v="35"/>
    <n v="1"/>
    <s v="REALIZADO"/>
    <s v="MATHEUS"/>
    <d v="2025-11-14T00:00:00"/>
    <x v="2"/>
  </r>
  <r>
    <n v="50043320"/>
    <x v="35"/>
    <n v="1"/>
    <s v="REALIZADO"/>
    <s v="MATHEUS"/>
    <d v="2025-11-14T00:00:00"/>
    <x v="0"/>
  </r>
  <r>
    <n v="50038549"/>
    <x v="6"/>
    <n v="1"/>
    <s v="REALIZADO"/>
    <s v="MATHEUS"/>
    <d v="2025-11-14T00:00:00"/>
    <x v="2"/>
  </r>
  <r>
    <n v="50038549"/>
    <x v="6"/>
    <n v="1"/>
    <s v="REALIZADO"/>
    <s v="MATHEUS"/>
    <d v="2025-11-14T00:00:00"/>
    <x v="0"/>
  </r>
  <r>
    <n v="50022878"/>
    <x v="18"/>
    <n v="1"/>
    <s v="REALIZADO"/>
    <s v="MATHEUS"/>
    <d v="2025-11-14T00:00:00"/>
    <x v="2"/>
  </r>
  <r>
    <n v="50022878"/>
    <x v="18"/>
    <n v="1"/>
    <s v="REALIZADO"/>
    <s v="MATHEUS"/>
    <d v="2025-11-14T00:00:00"/>
    <x v="0"/>
  </r>
  <r>
    <n v="50038956"/>
    <x v="10"/>
    <n v="1"/>
    <s v="REALIZADO"/>
    <s v="BRUNO"/>
    <d v="2025-11-14T00:00:00"/>
    <x v="2"/>
  </r>
  <r>
    <n v="50038956"/>
    <x v="10"/>
    <n v="1"/>
    <s v="REALIZADO"/>
    <s v="BRUNO"/>
    <d v="2025-11-14T00:00:00"/>
    <x v="0"/>
  </r>
  <r>
    <n v="50037892"/>
    <x v="2"/>
    <n v="1"/>
    <s v="REALIZADO"/>
    <s v="BRUNO"/>
    <d v="2025-11-14T00:00:00"/>
    <x v="2"/>
  </r>
  <r>
    <n v="50037892"/>
    <x v="2"/>
    <n v="1"/>
    <s v="REALIZADO"/>
    <s v="MATHEUS"/>
    <d v="2025-11-14T00:00:00"/>
    <x v="0"/>
  </r>
  <r>
    <n v="50037902"/>
    <x v="14"/>
    <n v="1"/>
    <s v="REALIZADO"/>
    <s v="BRUNO"/>
    <d v="2025-11-14T00:00:00"/>
    <x v="2"/>
  </r>
  <r>
    <n v="50037902"/>
    <x v="14"/>
    <n v="1"/>
    <s v="REALIZADO"/>
    <s v="MATHEUS"/>
    <d v="2025-11-14T00:00:00"/>
    <x v="0"/>
  </r>
  <r>
    <n v="50038841"/>
    <x v="34"/>
    <n v="1"/>
    <s v="REALIZADO"/>
    <s v="BRUNO"/>
    <d v="2025-11-14T00:00:00"/>
    <x v="2"/>
  </r>
  <r>
    <n v="50038841"/>
    <x v="34"/>
    <n v="1"/>
    <s v="REALIZADO"/>
    <s v="MATHEUS"/>
    <d v="2025-11-14T00:00:00"/>
    <x v="0"/>
  </r>
  <r>
    <n v="50041195"/>
    <x v="21"/>
    <n v="1"/>
    <s v="REALIZADO"/>
    <s v="BRUNO"/>
    <d v="2025-11-14T00:00:00"/>
    <x v="2"/>
  </r>
  <r>
    <n v="50041195"/>
    <x v="21"/>
    <n v="1"/>
    <s v="REALIZADO"/>
    <s v="BRUNO"/>
    <d v="2025-11-14T00:00:00"/>
    <x v="0"/>
  </r>
  <r>
    <n v="50041195"/>
    <x v="21"/>
    <n v="1"/>
    <s v="REALIZADO"/>
    <s v="BRUNO"/>
    <d v="2025-11-14T00:00:00"/>
    <x v="2"/>
  </r>
  <r>
    <n v="50041195"/>
    <x v="21"/>
    <n v="1"/>
    <s v="REALIZADO"/>
    <s v="BRUNO"/>
    <d v="2025-11-14T00:00:00"/>
    <x v="0"/>
  </r>
  <r>
    <n v="50041195"/>
    <x v="21"/>
    <n v="1"/>
    <s v="REALIZADO"/>
    <s v="BRUNO"/>
    <d v="2025-11-14T00:00:00"/>
    <x v="2"/>
  </r>
  <r>
    <n v="50041195"/>
    <x v="21"/>
    <n v="1"/>
    <s v="REALIZADO"/>
    <s v="BRUNO"/>
    <d v="2025-11-14T00:00:00"/>
    <x v="0"/>
  </r>
  <r>
    <n v="50041195"/>
    <x v="21"/>
    <n v="1"/>
    <s v="REALIZADO"/>
    <s v="MATHEUS"/>
    <d v="2025-11-14T00:00:00"/>
    <x v="2"/>
  </r>
  <r>
    <n v="50041195"/>
    <x v="21"/>
    <n v="1"/>
    <s v="REALIZADO"/>
    <s v="MATHEUS"/>
    <d v="2025-11-14T00:00:00"/>
    <x v="0"/>
  </r>
  <r>
    <n v="50043917"/>
    <x v="66"/>
    <n v="1"/>
    <s v="REALIZADO"/>
    <s v="BRUNO"/>
    <d v="2025-11-14T00:00:00"/>
    <x v="2"/>
  </r>
  <r>
    <n v="50043917"/>
    <x v="66"/>
    <n v="1"/>
    <s v="REALIZADO"/>
    <s v="MATHEUS"/>
    <d v="2025-11-14T00:00:00"/>
    <x v="0"/>
  </r>
  <r>
    <n v="50043917"/>
    <x v="66"/>
    <n v="1"/>
    <s v="REALIZADO"/>
    <s v="MATHEUS"/>
    <d v="2025-11-14T00:00:00"/>
    <x v="2"/>
  </r>
  <r>
    <n v="50043917"/>
    <x v="66"/>
    <n v="1"/>
    <s v="REALIZADO"/>
    <s v="MATHEUS"/>
    <d v="2025-11-14T00:00:00"/>
    <x v="0"/>
  </r>
  <r>
    <n v="50020624"/>
    <x v="42"/>
    <n v="1"/>
    <s v="REALIZADO"/>
    <s v="BRUNO"/>
    <d v="2025-11-14T00:00:00"/>
    <x v="2"/>
  </r>
  <r>
    <n v="50020624"/>
    <x v="42"/>
    <n v="1"/>
    <s v="REALIZADO"/>
    <s v="BRUNO"/>
    <d v="2025-11-14T00:00:00"/>
    <x v="2"/>
  </r>
  <r>
    <n v="50012903"/>
    <x v="31"/>
    <n v="1"/>
    <s v="REALIZADO"/>
    <s v="MATHEUS"/>
    <d v="2025-11-14T00:00:00"/>
    <x v="0"/>
  </r>
  <r>
    <n v="50037948"/>
    <x v="81"/>
    <n v="1"/>
    <s v="REALIZADO"/>
    <s v="MATHEUS"/>
    <d v="2025-11-14T00:00:00"/>
    <x v="2"/>
  </r>
  <r>
    <n v="50037948"/>
    <x v="81"/>
    <n v="1"/>
    <s v="REALIZADO"/>
    <s v="MATHEUS"/>
    <d v="2025-11-14T00:00:00"/>
    <x v="2"/>
  </r>
  <r>
    <n v="50037933"/>
    <x v="43"/>
    <n v="1"/>
    <s v="REALIZADO"/>
    <s v="BRUNO"/>
    <d v="2025-11-14T00:00:00"/>
    <x v="0"/>
  </r>
  <r>
    <n v="50010031"/>
    <x v="20"/>
    <n v="1"/>
    <s v="REALIZADO"/>
    <s v="BRUNO"/>
    <d v="2025-11-13T00:00:00"/>
    <x v="2"/>
  </r>
  <r>
    <n v="50010031"/>
    <x v="20"/>
    <n v="1"/>
    <s v="REALIZADO"/>
    <s v="BRUNO"/>
    <d v="2025-11-13T00:00:00"/>
    <x v="2"/>
  </r>
  <r>
    <n v="50037905"/>
    <x v="49"/>
    <n v="1"/>
    <s v="REALIZADO"/>
    <s v="BRUNO"/>
    <d v="2025-11-13T00:00:00"/>
    <x v="0"/>
  </r>
  <r>
    <n v="50037905"/>
    <x v="49"/>
    <n v="1"/>
    <s v="REALIZADO"/>
    <s v="BRUNO"/>
    <d v="2025-11-13T00:00:00"/>
    <x v="2"/>
  </r>
  <r>
    <n v="50037905"/>
    <x v="49"/>
    <n v="1"/>
    <s v="REALIZADO"/>
    <s v="MATHEUS"/>
    <d v="2025-11-13T00:00:00"/>
    <x v="0"/>
  </r>
  <r>
    <n v="50030486"/>
    <x v="17"/>
    <n v="1"/>
    <s v="REALIZADO"/>
    <s v="BRUNO"/>
    <d v="2025-11-13T00:00:00"/>
    <x v="2"/>
  </r>
  <r>
    <n v="50030486"/>
    <x v="17"/>
    <n v="1"/>
    <s v="REALIZADO"/>
    <s v="MATHEUS"/>
    <d v="2025-11-13T00:00:00"/>
    <x v="0"/>
  </r>
  <r>
    <n v="50030486"/>
    <x v="17"/>
    <n v="1"/>
    <s v="REALIZADO"/>
    <s v="MATHEUS"/>
    <d v="2025-11-13T00:00:00"/>
    <x v="2"/>
  </r>
  <r>
    <n v="50030486"/>
    <x v="17"/>
    <n v="1"/>
    <s v="REALIZADO"/>
    <s v="MATHEUS"/>
    <d v="2025-11-13T00:00:00"/>
    <x v="0"/>
  </r>
  <r>
    <n v="50043471"/>
    <x v="5"/>
    <n v="1"/>
    <s v="REALIZADO"/>
    <s v="BRUNO"/>
    <d v="2025-11-13T00:00:00"/>
    <x v="2"/>
  </r>
  <r>
    <n v="50003297"/>
    <x v="8"/>
    <n v="1"/>
    <s v="REALIZADO"/>
    <s v="MATHEUS"/>
    <d v="2025-11-13T00:00:00"/>
    <x v="0"/>
  </r>
  <r>
    <n v="50029865"/>
    <x v="9"/>
    <n v="1"/>
    <s v="REALIZADO"/>
    <s v="BRUNO"/>
    <d v="2025-11-13T00:00:00"/>
    <x v="2"/>
  </r>
  <r>
    <n v="50029865"/>
    <x v="9"/>
    <n v="1"/>
    <s v="REALIZADO"/>
    <s v="MATHEUS"/>
    <d v="2025-11-13T00:00:00"/>
    <x v="0"/>
  </r>
  <r>
    <n v="50022878"/>
    <x v="18"/>
    <n v="1"/>
    <s v="REALIZADO"/>
    <s v="BRUNO"/>
    <d v="2025-11-13T00:00:00"/>
    <x v="2"/>
  </r>
  <r>
    <n v="50022878"/>
    <x v="18"/>
    <n v="1"/>
    <s v="REALIZADO"/>
    <s v="BRUNO"/>
    <d v="2025-11-13T00:00:00"/>
    <x v="0"/>
  </r>
  <r>
    <n v="50038956"/>
    <x v="10"/>
    <n v="1"/>
    <s v="REALIZADO"/>
    <s v="BRUNO"/>
    <d v="2025-11-13T00:00:00"/>
    <x v="2"/>
  </r>
  <r>
    <n v="50038956"/>
    <x v="10"/>
    <n v="1"/>
    <s v="REALIZADO"/>
    <s v="MATHEUS"/>
    <d v="2025-11-13T00:00:00"/>
    <x v="0"/>
  </r>
  <r>
    <n v="50037892"/>
    <x v="2"/>
    <n v="1"/>
    <s v="REALIZADO"/>
    <s v="BRUNO"/>
    <d v="2025-11-13T00:00:00"/>
    <x v="0"/>
  </r>
  <r>
    <n v="50037902"/>
    <x v="14"/>
    <n v="1"/>
    <s v="REALIZADO"/>
    <s v="BRUNO"/>
    <d v="2025-11-13T00:00:00"/>
    <x v="0"/>
  </r>
  <r>
    <n v="50038517"/>
    <x v="0"/>
    <n v="1"/>
    <s v="REALIZADO"/>
    <s v="BRUNO"/>
    <d v="2025-11-13T00:00:00"/>
    <x v="2"/>
  </r>
  <r>
    <n v="50038517"/>
    <x v="0"/>
    <n v="1"/>
    <s v="REALIZADO"/>
    <s v="MATHEUS"/>
    <d v="2025-11-13T00:00:00"/>
    <x v="0"/>
  </r>
  <r>
    <n v="50038518"/>
    <x v="57"/>
    <n v="1"/>
    <s v="REALIZADO"/>
    <s v="BRUNO"/>
    <d v="2025-11-13T00:00:00"/>
    <x v="2"/>
  </r>
  <r>
    <n v="50038518"/>
    <x v="57"/>
    <n v="1"/>
    <s v="REALIZADO"/>
    <s v="MATHEUS"/>
    <d v="2025-11-13T00:00:00"/>
    <x v="0"/>
  </r>
  <r>
    <n v="50041195"/>
    <x v="21"/>
    <n v="1"/>
    <s v="REALIZADO"/>
    <s v="BRUNO"/>
    <d v="2025-11-13T00:00:00"/>
    <x v="2"/>
  </r>
  <r>
    <n v="50041195"/>
    <x v="21"/>
    <n v="1"/>
    <s v="REALIZADO"/>
    <s v="MATHEUS"/>
    <d v="2025-11-13T00:00:00"/>
    <x v="2"/>
  </r>
  <r>
    <n v="50043917"/>
    <x v="66"/>
    <n v="1"/>
    <s v="REALIZADO"/>
    <s v="BRUNO"/>
    <d v="2025-11-13T00:00:00"/>
    <x v="0"/>
  </r>
  <r>
    <n v="50010031"/>
    <x v="20"/>
    <n v="1"/>
    <s v="REALIZADO"/>
    <s v="BRUNO"/>
    <d v="2025-11-12T00:00:00"/>
    <x v="2"/>
  </r>
  <r>
    <n v="50010031"/>
    <x v="20"/>
    <n v="1"/>
    <s v="REALIZADO"/>
    <s v="BRUNO"/>
    <d v="2025-11-12T00:00:00"/>
    <x v="0"/>
  </r>
  <r>
    <n v="50037905"/>
    <x v="49"/>
    <n v="1"/>
    <s v="REALIZADO"/>
    <s v="BRUNO"/>
    <d v="2025-11-12T00:00:00"/>
    <x v="2"/>
  </r>
  <r>
    <n v="50037905"/>
    <x v="49"/>
    <n v="1"/>
    <s v="REALIZADO"/>
    <s v="BRUNO"/>
    <d v="2025-11-12T00:00:00"/>
    <x v="0"/>
  </r>
  <r>
    <n v="50030486"/>
    <x v="17"/>
    <n v="1"/>
    <s v="REALIZADO"/>
    <s v="BRUNO"/>
    <d v="2025-11-12T00:00:00"/>
    <x v="2"/>
  </r>
  <r>
    <n v="50030486"/>
    <x v="17"/>
    <n v="1"/>
    <s v="REALIZADO"/>
    <s v="MATHEUS"/>
    <d v="2025-11-12T00:00:00"/>
    <x v="2"/>
  </r>
  <r>
    <n v="50043471"/>
    <x v="5"/>
    <n v="1"/>
    <s v="REALIZADO"/>
    <s v="BRUNO"/>
    <d v="2025-11-12T00:00:00"/>
    <x v="0"/>
  </r>
  <r>
    <n v="50003297"/>
    <x v="8"/>
    <n v="1"/>
    <s v="REALIZADO"/>
    <s v="BRUNO"/>
    <d v="2025-11-12T00:00:00"/>
    <x v="2"/>
  </r>
  <r>
    <n v="50003297"/>
    <x v="8"/>
    <n v="1"/>
    <s v="REALIZADO"/>
    <s v="BRUNO"/>
    <d v="2025-11-12T00:00:00"/>
    <x v="0"/>
  </r>
  <r>
    <n v="50003297"/>
    <x v="8"/>
    <n v="1"/>
    <s v="REALIZADO"/>
    <s v="BRUNO"/>
    <d v="2025-11-12T00:00:00"/>
    <x v="2"/>
  </r>
  <r>
    <n v="50003297"/>
    <x v="8"/>
    <n v="1"/>
    <s v="REALIZADO"/>
    <s v="BRUNO"/>
    <d v="2025-11-12T00:00:00"/>
    <x v="0"/>
  </r>
  <r>
    <n v="50043320"/>
    <x v="35"/>
    <n v="1"/>
    <s v="REALIZADO"/>
    <s v="BRUNO"/>
    <d v="2025-11-12T00:00:00"/>
    <x v="2"/>
  </r>
  <r>
    <n v="50043320"/>
    <x v="35"/>
    <n v="1"/>
    <s v="REALIZADO"/>
    <s v="MATHEUS"/>
    <d v="2025-11-12T00:00:00"/>
    <x v="0"/>
  </r>
  <r>
    <n v="50038549"/>
    <x v="6"/>
    <n v="1"/>
    <s v="REALIZADO"/>
    <s v="BRUNO"/>
    <d v="2025-11-12T00:00:00"/>
    <x v="2"/>
  </r>
  <r>
    <n v="50038549"/>
    <x v="6"/>
    <n v="1"/>
    <s v="REALIZADO"/>
    <s v="MATHEUS"/>
    <d v="2025-11-12T00:00:00"/>
    <x v="0"/>
  </r>
  <r>
    <n v="50022878"/>
    <x v="18"/>
    <n v="1"/>
    <s v="REALIZADO"/>
    <s v="MATHEUS"/>
    <d v="2025-11-12T00:00:00"/>
    <x v="2"/>
  </r>
  <r>
    <n v="50022878"/>
    <x v="18"/>
    <n v="1"/>
    <s v="REALIZADO"/>
    <s v="MATHEUS"/>
    <d v="2025-11-12T00:00:00"/>
    <x v="0"/>
  </r>
  <r>
    <n v="50038956"/>
    <x v="10"/>
    <n v="1"/>
    <s v="REALIZADO"/>
    <s v="BRUNO"/>
    <d v="2025-11-12T00:00:00"/>
    <x v="2"/>
  </r>
  <r>
    <n v="50038956"/>
    <x v="10"/>
    <n v="1"/>
    <s v="REALIZADO"/>
    <s v="MATHEUS"/>
    <d v="2025-11-12T00:00:00"/>
    <x v="2"/>
  </r>
  <r>
    <n v="50037892"/>
    <x v="2"/>
    <n v="1"/>
    <s v="REALIZADO"/>
    <s v="BRUNO"/>
    <d v="2025-11-12T00:00:00"/>
    <x v="0"/>
  </r>
  <r>
    <n v="50037892"/>
    <x v="2"/>
    <n v="1"/>
    <s v="REALIZADO"/>
    <s v="BRUNO"/>
    <d v="2025-11-12T00:00:00"/>
    <x v="2"/>
  </r>
  <r>
    <n v="50037892"/>
    <x v="2"/>
    <n v="1"/>
    <s v="REALIZADO"/>
    <s v="MATHEUS"/>
    <d v="2025-11-12T00:00:00"/>
    <x v="0"/>
  </r>
  <r>
    <n v="50038841"/>
    <x v="34"/>
    <n v="1"/>
    <s v="REALIZADO"/>
    <s v="BRUNO"/>
    <d v="2025-11-12T00:00:00"/>
    <x v="2"/>
  </r>
  <r>
    <n v="50038841"/>
    <x v="34"/>
    <n v="1"/>
    <s v="REALIZADO"/>
    <s v="BRUNO"/>
    <d v="2025-11-12T00:00:00"/>
    <x v="0"/>
  </r>
  <r>
    <n v="50038841"/>
    <x v="34"/>
    <n v="1"/>
    <s v="REALIZADO"/>
    <s v="BRUNO"/>
    <d v="2025-11-12T00:00:00"/>
    <x v="0"/>
  </r>
  <r>
    <n v="50038841"/>
    <x v="34"/>
    <n v="1"/>
    <s v="REALIZADO"/>
    <s v="BRUNO"/>
    <d v="2025-11-12T00:00:00"/>
    <x v="2"/>
  </r>
  <r>
    <n v="50038841"/>
    <x v="34"/>
    <n v="1"/>
    <s v="REALIZADO"/>
    <s v="BRUNO"/>
    <d v="2025-11-12T00:00:00"/>
    <x v="0"/>
  </r>
  <r>
    <n v="50038841"/>
    <x v="34"/>
    <n v="1"/>
    <s v="REALIZADO"/>
    <s v="MATHEUS"/>
    <d v="2025-11-12T00:00:00"/>
    <x v="2"/>
  </r>
  <r>
    <n v="50038841"/>
    <x v="34"/>
    <n v="1"/>
    <s v="REALIZADO"/>
    <s v="MATHEUS"/>
    <d v="2025-11-12T00:00:00"/>
    <x v="0"/>
  </r>
  <r>
    <n v="50038517"/>
    <x v="0"/>
    <n v="1"/>
    <s v="REALIZADO"/>
    <s v="BRUNO"/>
    <d v="2025-11-12T00:00:00"/>
    <x v="2"/>
  </r>
  <r>
    <n v="50038517"/>
    <x v="0"/>
    <n v="1"/>
    <s v="REALIZADO"/>
    <s v="BRUNO"/>
    <d v="2025-11-12T00:00:00"/>
    <x v="0"/>
  </r>
  <r>
    <n v="50039065"/>
    <x v="22"/>
    <n v="1"/>
    <s v="REALIZADO"/>
    <s v="AGATHA"/>
    <d v="2025-11-12T00:00:00"/>
    <x v="2"/>
  </r>
  <r>
    <n v="50039065"/>
    <x v="22"/>
    <n v="1"/>
    <s v="REALIZADO"/>
    <s v="BRUNO"/>
    <d v="2025-11-12T00:00:00"/>
    <x v="0"/>
  </r>
  <r>
    <n v="50036332"/>
    <x v="82"/>
    <n v="1"/>
    <s v="REALIZADO"/>
    <s v="MATHEUS"/>
    <d v="2025-11-12T00:00:00"/>
    <x v="2"/>
  </r>
  <r>
    <n v="50036332"/>
    <x v="82"/>
    <n v="1"/>
    <s v="REALIZADO"/>
    <s v="MATHEUS"/>
    <d v="2025-11-12T00:00:00"/>
    <x v="0"/>
  </r>
  <r>
    <n v="50038626"/>
    <x v="72"/>
    <n v="1"/>
    <s v="REALIZADO"/>
    <s v="MATHEUS"/>
    <d v="2025-11-12T00:00:00"/>
    <x v="0"/>
  </r>
  <r>
    <n v="50026357"/>
    <x v="24"/>
    <n v="1"/>
    <s v="REALIZADO"/>
    <s v="BRUNO"/>
    <d v="2025-11-12T00:00:00"/>
    <x v="2"/>
  </r>
  <r>
    <n v="50026357"/>
    <x v="24"/>
    <n v="1"/>
    <s v="REALIZADO"/>
    <s v="MATHEUS"/>
    <d v="2025-11-12T00:00:00"/>
    <x v="0"/>
  </r>
  <r>
    <n v="50041195"/>
    <x v="21"/>
    <n v="1"/>
    <s v="REALIZADO"/>
    <s v="BRUNO"/>
    <d v="2025-11-12T00:00:00"/>
    <x v="2"/>
  </r>
  <r>
    <n v="50041195"/>
    <x v="21"/>
    <n v="1"/>
    <s v="REALIZADO"/>
    <s v="MATHEUS"/>
    <d v="2025-11-12T00:00:00"/>
    <x v="0"/>
  </r>
  <r>
    <n v="50043917"/>
    <x v="66"/>
    <n v="1"/>
    <s v="REALIZADO"/>
    <s v="BRUNO"/>
    <d v="2025-11-12T00:00:00"/>
    <x v="2"/>
  </r>
  <r>
    <n v="50043917"/>
    <x v="66"/>
    <n v="1"/>
    <s v="REALIZADO"/>
    <s v="MATHEUS"/>
    <d v="2025-11-12T00:00:00"/>
    <x v="0"/>
  </r>
  <r>
    <n v="50020623"/>
    <x v="42"/>
    <n v="1"/>
    <s v="REALIZADO"/>
    <s v="BRUNO"/>
    <d v="2025-11-12T00:00:00"/>
    <x v="2"/>
  </r>
  <r>
    <n v="50020623"/>
    <x v="42"/>
    <n v="1"/>
    <s v="REALIZADO"/>
    <s v="MATHEUS"/>
    <d v="2025-11-12T00:00:00"/>
    <x v="0"/>
  </r>
  <r>
    <n v="50012902"/>
    <x v="30"/>
    <n v="1"/>
    <s v="REALIZADO"/>
    <s v="MATHEUS"/>
    <d v="2025-11-12T00:00:00"/>
    <x v="2"/>
  </r>
  <r>
    <n v="50012902"/>
    <x v="30"/>
    <n v="1"/>
    <s v="REALIZADO"/>
    <s v="MATHEUS"/>
    <d v="2025-11-12T00:00:00"/>
    <x v="2"/>
  </r>
  <r>
    <n v="50032781"/>
    <x v="12"/>
    <n v="1"/>
    <s v="REALIZADO"/>
    <s v="MATHEUS"/>
    <d v="2025-11-12T00:00:00"/>
    <x v="0"/>
  </r>
  <r>
    <n v="50028220"/>
    <x v="33"/>
    <n v="1"/>
    <s v="REALIZADO"/>
    <s v="BRUNO"/>
    <d v="2025-11-12T00:00:00"/>
    <x v="2"/>
  </r>
  <r>
    <n v="50028220"/>
    <x v="33"/>
    <n v="1"/>
    <s v="REALIZADO"/>
    <s v="BRUNO"/>
    <d v="2025-11-12T00:00:00"/>
    <x v="0"/>
  </r>
  <r>
    <n v="50042283"/>
    <x v="47"/>
    <n v="1"/>
    <s v="REALIZADO"/>
    <s v="BRUNO"/>
    <d v="2025-11-12T00:00:00"/>
    <x v="2"/>
  </r>
  <r>
    <n v="50042283"/>
    <x v="47"/>
    <n v="1"/>
    <s v="REALIZADO"/>
    <s v="BRUNO"/>
    <d v="2025-11-12T00:00:00"/>
    <x v="0"/>
  </r>
  <r>
    <n v="50042283"/>
    <x v="47"/>
    <n v="1"/>
    <s v="REALIZADO"/>
    <s v="MATHEUS"/>
    <d v="2025-11-12T00:00:00"/>
    <x v="2"/>
  </r>
  <r>
    <n v="50042283"/>
    <x v="47"/>
    <n v="1"/>
    <s v="REALIZADO"/>
    <s v="MATHEUS"/>
    <d v="2025-11-12T00:00:00"/>
    <x v="0"/>
  </r>
  <r>
    <n v="50002644"/>
    <x v="83"/>
    <n v="1"/>
    <s v="REALIZADO"/>
    <s v="GEOVANE"/>
    <d v="2025-11-11T00:00:00"/>
    <x v="2"/>
  </r>
  <r>
    <n v="50002644"/>
    <x v="83"/>
    <n v="1"/>
    <s v="REALIZADO"/>
    <s v="AGATHA"/>
    <d v="2025-11-11T00:00:00"/>
    <x v="0"/>
  </r>
  <r>
    <n v="50036298"/>
    <x v="69"/>
    <n v="1"/>
    <s v="REALIZADO"/>
    <s v="AGATHA"/>
    <d v="2025-11-11T00:00:00"/>
    <x v="2"/>
  </r>
  <r>
    <n v="50036298"/>
    <x v="69"/>
    <n v="1"/>
    <s v="REALIZADO"/>
    <s v="AGATHA"/>
    <d v="2025-11-11T00:00:00"/>
    <x v="0"/>
  </r>
  <r>
    <n v="50036255"/>
    <x v="7"/>
    <n v="1"/>
    <s v="REALIZADO"/>
    <s v="MARCIA"/>
    <d v="2025-11-11T00:00:00"/>
    <x v="2"/>
  </r>
  <r>
    <n v="50036255"/>
    <x v="7"/>
    <n v="1"/>
    <s v="REALIZADO"/>
    <s v="MATHEUS"/>
    <d v="2025-11-11T00:00:00"/>
    <x v="0"/>
  </r>
  <r>
    <n v="50038842"/>
    <x v="28"/>
    <n v="1"/>
    <s v="REALIZADO"/>
    <s v="AGATHA"/>
    <d v="2025-11-11T00:00:00"/>
    <x v="2"/>
  </r>
  <r>
    <n v="50038842"/>
    <x v="28"/>
    <n v="1"/>
    <s v="REALIZADO"/>
    <s v="AGATHA"/>
    <d v="2025-11-11T00:00:00"/>
    <x v="0"/>
  </r>
  <r>
    <n v="50039236"/>
    <x v="84"/>
    <n v="1"/>
    <s v="REALIZADO"/>
    <s v="MATHEUS"/>
    <d v="2025-11-11T00:00:00"/>
    <x v="0"/>
  </r>
  <r>
    <n v="50029865"/>
    <x v="9"/>
    <n v="1"/>
    <s v="REALIZADO"/>
    <s v="MATHEUS"/>
    <d v="2025-11-11T00:00:00"/>
    <x v="0"/>
  </r>
  <r>
    <n v="50038956"/>
    <x v="10"/>
    <n v="1"/>
    <s v="REALIZADO"/>
    <s v="GEOVANE"/>
    <d v="2025-11-11T00:00:00"/>
    <x v="2"/>
  </r>
  <r>
    <n v="50038956"/>
    <x v="10"/>
    <n v="1"/>
    <s v="REALIZADO"/>
    <s v="GEOVANE"/>
    <d v="2025-11-11T00:00:00"/>
    <x v="0"/>
  </r>
  <r>
    <n v="50038956"/>
    <x v="10"/>
    <n v="1"/>
    <s v="REALIZADO"/>
    <s v="MATHEUS"/>
    <d v="2025-11-11T00:00:00"/>
    <x v="0"/>
  </r>
  <r>
    <n v="50037892"/>
    <x v="2"/>
    <n v="1"/>
    <s v="REALIZADO"/>
    <s v="AGATHA"/>
    <d v="2025-11-11T00:00:00"/>
    <x v="2"/>
  </r>
  <r>
    <n v="50037892"/>
    <x v="2"/>
    <n v="1"/>
    <s v="REALIZADO"/>
    <s v="MATHEUS"/>
    <d v="2025-11-11T00:00:00"/>
    <x v="2"/>
  </r>
  <r>
    <n v="50037902"/>
    <x v="14"/>
    <n v="1"/>
    <s v="REALIZADO"/>
    <s v="MATHEUS"/>
    <d v="2025-11-11T00:00:00"/>
    <x v="0"/>
  </r>
  <r>
    <n v="50038841"/>
    <x v="34"/>
    <n v="1"/>
    <s v="REALIZADO"/>
    <s v="MATHEUS"/>
    <d v="2025-11-11T00:00:00"/>
    <x v="2"/>
  </r>
  <r>
    <n v="50038841"/>
    <x v="34"/>
    <n v="1"/>
    <s v="REALIZADO"/>
    <s v="MATHEUS"/>
    <d v="2025-11-11T00:00:00"/>
    <x v="0"/>
  </r>
  <r>
    <n v="50038517"/>
    <x v="0"/>
    <n v="1"/>
    <s v="REALIZADO"/>
    <s v="GEOVANE"/>
    <d v="2025-11-11T00:00:00"/>
    <x v="2"/>
  </r>
  <r>
    <n v="50038517"/>
    <x v="0"/>
    <n v="1"/>
    <s v="REALIZADO"/>
    <s v="GEOVANE"/>
    <d v="2025-11-11T00:00:00"/>
    <x v="2"/>
  </r>
  <r>
    <n v="50038517"/>
    <x v="0"/>
    <n v="1"/>
    <s v="REALIZADO"/>
    <s v="MATHEUS"/>
    <d v="2025-11-11T00:00:00"/>
    <x v="0"/>
  </r>
  <r>
    <n v="50039065"/>
    <x v="22"/>
    <n v="1"/>
    <s v="REALIZADO"/>
    <s v="AGATHA"/>
    <d v="2025-11-11T00:00:00"/>
    <x v="2"/>
  </r>
  <r>
    <n v="50039065"/>
    <x v="22"/>
    <n v="1"/>
    <s v="REALIZADO"/>
    <s v="MATHEUS"/>
    <d v="2025-11-11T00:00:00"/>
    <x v="2"/>
  </r>
  <r>
    <n v="50038626"/>
    <x v="72"/>
    <n v="1"/>
    <s v="REALIZADO"/>
    <s v="GEOVANE"/>
    <d v="2025-11-11T00:00:00"/>
    <x v="0"/>
  </r>
  <r>
    <n v="50026357"/>
    <x v="24"/>
    <n v="1"/>
    <s v="REALIZADO"/>
    <s v="GEOVANE"/>
    <d v="2025-11-11T00:00:00"/>
    <x v="2"/>
  </r>
  <r>
    <n v="50026357"/>
    <x v="24"/>
    <n v="1"/>
    <s v="REALIZADO"/>
    <s v="GEOVANE"/>
    <d v="2025-11-11T00:00:00"/>
    <x v="0"/>
  </r>
  <r>
    <n v="50041195"/>
    <x v="21"/>
    <n v="1"/>
    <s v="REALIZADO"/>
    <s v="AGATHA"/>
    <d v="2025-11-11T00:00:00"/>
    <x v="2"/>
  </r>
  <r>
    <n v="50041195"/>
    <x v="21"/>
    <n v="1"/>
    <s v="REALIZADO"/>
    <s v="MATHEUS"/>
    <d v="2025-11-11T00:00:00"/>
    <x v="0"/>
  </r>
  <r>
    <n v="50043917"/>
    <x v="66"/>
    <n v="1"/>
    <s v="REALIZADO"/>
    <s v="AGATHA"/>
    <d v="2025-11-11T00:00:00"/>
    <x v="2"/>
  </r>
  <r>
    <n v="50043917"/>
    <x v="66"/>
    <n v="1"/>
    <s v="REALIZADO"/>
    <s v="MATHEUS"/>
    <d v="2025-11-11T00:00:00"/>
    <x v="0"/>
  </r>
  <r>
    <n v="50032775"/>
    <x v="13"/>
    <n v="1"/>
    <s v="REALIZADO"/>
    <s v="AGATHA"/>
    <d v="2025-11-11T00:00:00"/>
    <x v="2"/>
  </r>
  <r>
    <n v="50032775"/>
    <x v="13"/>
    <n v="1"/>
    <s v="REALIZADO"/>
    <s v="MATHEUS"/>
    <d v="2025-11-11T00:00:00"/>
    <x v="0"/>
  </r>
  <r>
    <n v="50028220"/>
    <x v="33"/>
    <n v="1"/>
    <s v="REALIZADO"/>
    <s v="MATHEUS"/>
    <d v="2025-11-11T00:00:00"/>
    <x v="2"/>
  </r>
  <r>
    <n v="50028220"/>
    <x v="33"/>
    <n v="1"/>
    <s v="REALIZADO"/>
    <s v="MATHEUS"/>
    <d v="2025-11-11T00:00:00"/>
    <x v="2"/>
  </r>
  <r>
    <n v="50042002"/>
    <x v="38"/>
    <n v="1"/>
    <s v="REALIZADO"/>
    <s v="MATHEUS"/>
    <d v="2025-11-11T00:00:00"/>
    <x v="0"/>
  </r>
  <r>
    <n v="50010031"/>
    <x v="20"/>
    <n v="1"/>
    <s v="REALIZADO"/>
    <s v="AGATHA"/>
    <d v="2025-11-10T00:00:00"/>
    <x v="2"/>
  </r>
  <r>
    <n v="50010031"/>
    <x v="20"/>
    <n v="1"/>
    <s v="REALIZADO"/>
    <s v="AGATHA"/>
    <d v="2025-11-10T00:00:00"/>
    <x v="0"/>
  </r>
  <r>
    <n v="50010031"/>
    <x v="20"/>
    <n v="1"/>
    <s v="REALIZADO"/>
    <s v="BRUNO"/>
    <d v="2025-11-10T00:00:00"/>
    <x v="2"/>
  </r>
  <r>
    <n v="50010031"/>
    <x v="20"/>
    <n v="1"/>
    <s v="REALIZADO"/>
    <s v="BRUNO"/>
    <d v="2025-11-10T00:00:00"/>
    <x v="0"/>
  </r>
  <r>
    <n v="50038854"/>
    <x v="27"/>
    <n v="1"/>
    <s v="REALIZADO"/>
    <s v="AGATHA"/>
    <d v="2025-11-10T00:00:00"/>
    <x v="2"/>
  </r>
  <r>
    <n v="50038854"/>
    <x v="27"/>
    <n v="1"/>
    <s v="REALIZADO"/>
    <s v="AGATHA"/>
    <d v="2025-11-10T00:00:00"/>
    <x v="0"/>
  </r>
  <r>
    <n v="50036298"/>
    <x v="69"/>
    <n v="1"/>
    <s v="REALIZADO"/>
    <s v="AGATHA"/>
    <d v="2025-11-10T00:00:00"/>
    <x v="2"/>
  </r>
  <r>
    <n v="50036298"/>
    <x v="69"/>
    <n v="1"/>
    <s v="REALIZADO"/>
    <s v="AGATHA"/>
    <d v="2025-11-10T00:00:00"/>
    <x v="0"/>
  </r>
  <r>
    <n v="50003173"/>
    <x v="29"/>
    <n v="1"/>
    <s v="REALIZADO"/>
    <s v="AGATHA"/>
    <d v="2025-11-10T00:00:00"/>
    <x v="2"/>
  </r>
  <r>
    <n v="50003173"/>
    <x v="29"/>
    <n v="1"/>
    <s v="REALIZADO"/>
    <s v="AGATHA"/>
    <d v="2025-11-10T00:00:00"/>
    <x v="2"/>
  </r>
  <r>
    <n v="50003173"/>
    <x v="29"/>
    <n v="1"/>
    <s v="REALIZADO"/>
    <s v="MARCIA"/>
    <d v="2025-11-10T00:00:00"/>
    <x v="0"/>
  </r>
  <r>
    <n v="50039718"/>
    <x v="11"/>
    <n v="1"/>
    <s v="REALIZADO"/>
    <s v="AGATHA"/>
    <d v="2025-11-10T00:00:00"/>
    <x v="2"/>
  </r>
  <r>
    <n v="50039718"/>
    <x v="11"/>
    <n v="1"/>
    <s v="REALIZADO"/>
    <s v="AGATHA"/>
    <d v="2025-11-10T00:00:00"/>
    <x v="0"/>
  </r>
  <r>
    <n v="50030486"/>
    <x v="17"/>
    <n v="1"/>
    <s v="REALIZADO"/>
    <s v="AGATHA"/>
    <d v="2025-11-10T00:00:00"/>
    <x v="2"/>
  </r>
  <r>
    <n v="50030486"/>
    <x v="17"/>
    <n v="1"/>
    <s v="REALIZADO"/>
    <s v="BRUNO"/>
    <d v="2025-11-10T00:00:00"/>
    <x v="2"/>
  </r>
  <r>
    <n v="50039236"/>
    <x v="84"/>
    <n v="1"/>
    <s v="REALIZADO"/>
    <s v="AGATHA"/>
    <d v="2025-11-10T00:00:00"/>
    <x v="0"/>
  </r>
  <r>
    <n v="50043471"/>
    <x v="5"/>
    <n v="1"/>
    <s v="REALIZADO"/>
    <s v="AGATHA"/>
    <d v="2025-11-10T00:00:00"/>
    <x v="2"/>
  </r>
  <r>
    <n v="50043471"/>
    <x v="5"/>
    <n v="1"/>
    <s v="REALIZADO"/>
    <s v="AGATHA"/>
    <d v="2025-11-10T00:00:00"/>
    <x v="0"/>
  </r>
  <r>
    <n v="50043471"/>
    <x v="5"/>
    <n v="1"/>
    <s v="REALIZADO"/>
    <s v="AGATHA"/>
    <d v="2025-11-10T00:00:00"/>
    <x v="2"/>
  </r>
  <r>
    <n v="50043471"/>
    <x v="5"/>
    <n v="1"/>
    <s v="REALIZADO"/>
    <s v="BRUNA"/>
    <d v="2025-11-10T00:00:00"/>
    <x v="0"/>
  </r>
  <r>
    <n v="50003297"/>
    <x v="8"/>
    <n v="1"/>
    <s v="REALIZADO"/>
    <s v="AGATHA"/>
    <d v="2025-11-10T00:00:00"/>
    <x v="2"/>
  </r>
  <r>
    <n v="50003297"/>
    <x v="8"/>
    <n v="1"/>
    <s v="REALIZADO"/>
    <s v="AGATHA"/>
    <d v="2025-11-10T00:00:00"/>
    <x v="0"/>
  </r>
  <r>
    <n v="50003297"/>
    <x v="8"/>
    <n v="1"/>
    <s v="REALIZADO"/>
    <s v="BRUNO"/>
    <d v="2025-11-10T00:00:00"/>
    <x v="2"/>
  </r>
  <r>
    <n v="50003297"/>
    <x v="8"/>
    <n v="1"/>
    <s v="REALIZADO"/>
    <s v="BRUNO"/>
    <d v="2025-11-10T00:00:00"/>
    <x v="2"/>
  </r>
  <r>
    <n v="50029865"/>
    <x v="9"/>
    <n v="1"/>
    <s v="REALIZADO"/>
    <s v="AGATHA"/>
    <d v="2025-11-10T00:00:00"/>
    <x v="2"/>
  </r>
  <r>
    <n v="50038549"/>
    <x v="6"/>
    <n v="1"/>
    <s v="REALIZADO"/>
    <s v="BRUNO"/>
    <d v="2025-11-10T00:00:00"/>
    <x v="0"/>
  </r>
  <r>
    <n v="50022878"/>
    <x v="18"/>
    <n v="1"/>
    <s v="REALIZADO"/>
    <s v="AGATHA"/>
    <d v="2025-11-10T00:00:00"/>
    <x v="2"/>
  </r>
  <r>
    <n v="50022878"/>
    <x v="18"/>
    <n v="1"/>
    <s v="REALIZADO"/>
    <s v="AGATHA"/>
    <d v="2025-11-10T00:00:00"/>
    <x v="2"/>
  </r>
  <r>
    <n v="50038956"/>
    <x v="10"/>
    <n v="1"/>
    <s v="REALIZADO"/>
    <s v="AGATHA"/>
    <d v="2025-11-10T00:00:00"/>
    <x v="0"/>
  </r>
  <r>
    <n v="50038956"/>
    <x v="10"/>
    <n v="1"/>
    <s v="REALIZADO"/>
    <s v="MARCIA"/>
    <d v="2025-11-10T00:00:00"/>
    <x v="2"/>
  </r>
  <r>
    <n v="50038956"/>
    <x v="10"/>
    <n v="1"/>
    <s v="REALIZADO"/>
    <s v="BRUNO"/>
    <d v="2025-11-10T00:00:00"/>
    <x v="0"/>
  </r>
  <r>
    <n v="50037892"/>
    <x v="2"/>
    <n v="1"/>
    <s v="REALIZADO"/>
    <s v="AGATHA"/>
    <d v="2025-11-10T00:00:00"/>
    <x v="2"/>
  </r>
  <r>
    <n v="50037892"/>
    <x v="2"/>
    <n v="1"/>
    <s v="REALIZADO"/>
    <s v="AGATHA"/>
    <d v="2025-11-10T00:00:00"/>
    <x v="0"/>
  </r>
  <r>
    <n v="50037892"/>
    <x v="2"/>
    <n v="1"/>
    <s v="REALIZADO"/>
    <s v="BRUNO"/>
    <d v="2025-11-10T00:00:00"/>
    <x v="2"/>
  </r>
  <r>
    <n v="50037892"/>
    <x v="2"/>
    <n v="1"/>
    <s v="REALIZADO"/>
    <s v="BRUNO"/>
    <d v="2025-11-10T00:00:00"/>
    <x v="0"/>
  </r>
  <r>
    <n v="50037902"/>
    <x v="14"/>
    <n v="1"/>
    <s v="REALIZADO"/>
    <s v="AGATHA"/>
    <d v="2025-11-10T00:00:00"/>
    <x v="0"/>
  </r>
  <r>
    <n v="50038841"/>
    <x v="34"/>
    <n v="1"/>
    <s v="REALIZADO"/>
    <s v="AGATHA"/>
    <d v="2025-11-10T00:00:00"/>
    <x v="2"/>
  </r>
  <r>
    <n v="50038841"/>
    <x v="34"/>
    <n v="1"/>
    <s v="REALIZADO"/>
    <s v="AGATHA"/>
    <d v="2025-11-10T00:00:00"/>
    <x v="0"/>
  </r>
  <r>
    <n v="50038841"/>
    <x v="34"/>
    <n v="1"/>
    <s v="REALIZADO"/>
    <s v="AGATHA"/>
    <d v="2025-11-10T00:00:00"/>
    <x v="2"/>
  </r>
  <r>
    <n v="50038841"/>
    <x v="34"/>
    <n v="1"/>
    <s v="REALIZADO"/>
    <s v="BRUNA"/>
    <d v="2025-11-10T00:00:00"/>
    <x v="0"/>
  </r>
  <r>
    <n v="50038517"/>
    <x v="0"/>
    <n v="1"/>
    <s v="REALIZADO"/>
    <s v="AGATHA"/>
    <d v="2025-11-10T00:00:00"/>
    <x v="2"/>
  </r>
  <r>
    <n v="50038517"/>
    <x v="0"/>
    <n v="1"/>
    <s v="REALIZADO"/>
    <s v="BRUNO"/>
    <d v="2025-11-10T00:00:00"/>
    <x v="2"/>
  </r>
  <r>
    <n v="50041195"/>
    <x v="21"/>
    <n v="1"/>
    <s v="REALIZADO"/>
    <s v="AGATHA"/>
    <d v="2025-11-10T00:00:00"/>
    <x v="0"/>
  </r>
  <r>
    <n v="50041195"/>
    <x v="21"/>
    <n v="1"/>
    <s v="REALIZADO"/>
    <s v="AGATHA"/>
    <d v="2025-11-10T00:00:00"/>
    <x v="2"/>
  </r>
  <r>
    <n v="50041195"/>
    <x v="21"/>
    <n v="1"/>
    <s v="REALIZADO"/>
    <s v="BRUNA"/>
    <d v="2025-11-10T00:00:00"/>
    <x v="0"/>
  </r>
  <r>
    <n v="50043917"/>
    <x v="66"/>
    <n v="1"/>
    <s v="REALIZADO"/>
    <s v="AGATHA"/>
    <d v="2025-11-10T00:00:00"/>
    <x v="2"/>
  </r>
  <r>
    <n v="50043917"/>
    <x v="66"/>
    <n v="1"/>
    <s v="REALIZADO"/>
    <s v="BRUNO"/>
    <d v="2025-11-10T00:00:00"/>
    <x v="0"/>
  </r>
  <r>
    <n v="50020622"/>
    <x v="42"/>
    <n v="1"/>
    <s v="REALIZADO"/>
    <s v="AGATHA"/>
    <d v="2025-11-10T00:00:00"/>
    <x v="2"/>
  </r>
  <r>
    <n v="50020622"/>
    <x v="42"/>
    <n v="1"/>
    <s v="REALIZADO"/>
    <s v="AGATHA"/>
    <d v="2025-11-10T00:00:00"/>
    <x v="0"/>
  </r>
  <r>
    <n v="50004486"/>
    <x v="40"/>
    <n v="1"/>
    <s v="REALIZADO"/>
    <s v="AGATHA"/>
    <d v="2025-11-10T00:00:00"/>
    <x v="2"/>
  </r>
  <r>
    <n v="50004486"/>
    <x v="40"/>
    <n v="1"/>
    <s v="REALIZADO"/>
    <s v="AGATHA"/>
    <d v="2025-11-10T00:00:00"/>
    <x v="0"/>
  </r>
  <r>
    <n v="50032781"/>
    <x v="12"/>
    <n v="1"/>
    <s v="REALIZADO"/>
    <s v="AGATHA"/>
    <d v="2025-11-10T00:00:00"/>
    <x v="2"/>
  </r>
  <r>
    <n v="50032781"/>
    <x v="12"/>
    <n v="1"/>
    <s v="REALIZADO"/>
    <s v="AGATHA"/>
    <d v="2025-11-10T00:00:00"/>
    <x v="0"/>
  </r>
  <r>
    <n v="50032781"/>
    <x v="12"/>
    <n v="1"/>
    <s v="REALIZADO"/>
    <s v="AGATHA"/>
    <d v="2025-11-10T00:00:00"/>
    <x v="2"/>
  </r>
  <r>
    <n v="50032781"/>
    <x v="12"/>
    <n v="1"/>
    <s v="REALIZADO"/>
    <s v="AGATHA"/>
    <d v="2025-11-10T00:00:00"/>
    <x v="0"/>
  </r>
  <r>
    <n v="50037902"/>
    <x v="14"/>
    <n v="1"/>
    <s v="REALIZADO"/>
    <s v="MARCIA"/>
    <d v="2025-11-08T00:00:00"/>
    <x v="2"/>
  </r>
  <r>
    <n v="50037902"/>
    <x v="14"/>
    <n v="1"/>
    <s v="REALIZADO"/>
    <s v="MARCIA"/>
    <d v="2025-11-08T00:00:00"/>
    <x v="0"/>
  </r>
  <r>
    <n v="50010031"/>
    <x v="20"/>
    <n v="1"/>
    <s v="REALIZADO"/>
    <s v="AGATHA"/>
    <d v="2025-11-07T00:00:00"/>
    <x v="2"/>
  </r>
  <r>
    <n v="50010031"/>
    <x v="20"/>
    <n v="1"/>
    <s v="REALIZADO"/>
    <s v="MATHEUS"/>
    <d v="2025-11-07T00:00:00"/>
    <x v="0"/>
  </r>
  <r>
    <n v="50010031"/>
    <x v="20"/>
    <n v="1"/>
    <s v="REALIZADO"/>
    <s v="MATHEUS"/>
    <d v="2025-11-07T00:00:00"/>
    <x v="2"/>
  </r>
  <r>
    <n v="50010031"/>
    <x v="20"/>
    <n v="1"/>
    <s v="REALIZADO"/>
    <s v="BRUNA"/>
    <d v="2025-11-07T00:00:00"/>
    <x v="0"/>
  </r>
  <r>
    <n v="50038854"/>
    <x v="27"/>
    <n v="1"/>
    <s v="REALIZADO"/>
    <s v="AGATHA"/>
    <d v="2025-11-07T00:00:00"/>
    <x v="2"/>
  </r>
  <r>
    <n v="50038854"/>
    <x v="27"/>
    <n v="1"/>
    <s v="REALIZADO"/>
    <s v="GEOVANE"/>
    <d v="2025-11-07T00:00:00"/>
    <x v="2"/>
  </r>
  <r>
    <n v="50037922"/>
    <x v="61"/>
    <n v="1"/>
    <s v="REALIZADO"/>
    <s v="MATHEUS"/>
    <d v="2025-11-07T00:00:00"/>
    <x v="0"/>
  </r>
  <r>
    <n v="50036086"/>
    <x v="3"/>
    <n v="1"/>
    <s v="REALIZADO"/>
    <s v="AGATHA"/>
    <d v="2025-11-07T00:00:00"/>
    <x v="2"/>
  </r>
  <r>
    <n v="50036086"/>
    <x v="3"/>
    <n v="1"/>
    <s v="REALIZADO"/>
    <s v="MATHEUS"/>
    <d v="2025-11-07T00:00:00"/>
    <x v="0"/>
  </r>
  <r>
    <n v="50037905"/>
    <x v="49"/>
    <n v="1"/>
    <s v="REALIZADO"/>
    <s v="MATHEUS"/>
    <d v="2025-11-07T00:00:00"/>
    <x v="2"/>
  </r>
  <r>
    <n v="50037905"/>
    <x v="49"/>
    <n v="1"/>
    <s v="REALIZADO"/>
    <s v="MATHEUS"/>
    <d v="2025-11-07T00:00:00"/>
    <x v="2"/>
  </r>
  <r>
    <n v="50036280"/>
    <x v="64"/>
    <n v="1"/>
    <s v="REALIZADO"/>
    <s v="GEOVANE"/>
    <d v="2025-11-07T00:00:00"/>
    <x v="0"/>
  </r>
  <r>
    <n v="50030486"/>
    <x v="17"/>
    <n v="1"/>
    <s v="REALIZADO"/>
    <s v="AGATHA"/>
    <d v="2025-11-07T00:00:00"/>
    <x v="2"/>
  </r>
  <r>
    <n v="50030486"/>
    <x v="17"/>
    <n v="1"/>
    <s v="REALIZADO"/>
    <s v="AGATHA"/>
    <d v="2025-11-07T00:00:00"/>
    <x v="0"/>
  </r>
  <r>
    <n v="50030486"/>
    <x v="17"/>
    <n v="1"/>
    <s v="REALIZADO"/>
    <s v="GEOVANE"/>
    <d v="2025-11-07T00:00:00"/>
    <x v="2"/>
  </r>
  <r>
    <n v="50030486"/>
    <x v="17"/>
    <n v="1"/>
    <s v="REALIZADO"/>
    <s v="GEOVANE"/>
    <d v="2025-11-07T00:00:00"/>
    <x v="0"/>
  </r>
  <r>
    <n v="50030486"/>
    <x v="17"/>
    <n v="1"/>
    <s v="REALIZADO"/>
    <s v="BRUNA"/>
    <d v="2025-11-07T00:00:00"/>
    <x v="2"/>
  </r>
  <r>
    <n v="50030486"/>
    <x v="17"/>
    <n v="1"/>
    <s v="REALIZADO"/>
    <s v="MATHEUS"/>
    <d v="2025-11-07T00:00:00"/>
    <x v="2"/>
  </r>
  <r>
    <n v="50039236"/>
    <x v="84"/>
    <n v="1"/>
    <s v="REALIZADO"/>
    <s v="AGATHA"/>
    <d v="2025-11-07T00:00:00"/>
    <x v="0"/>
  </r>
  <r>
    <n v="50039236"/>
    <x v="84"/>
    <n v="1"/>
    <s v="REALIZADO"/>
    <s v="AGATHA"/>
    <d v="2025-11-07T00:00:00"/>
    <x v="2"/>
  </r>
  <r>
    <n v="50039236"/>
    <x v="84"/>
    <n v="1"/>
    <s v="REALIZADO"/>
    <s v="GEOVANE"/>
    <d v="2025-11-07T00:00:00"/>
    <x v="0"/>
  </r>
  <r>
    <n v="50039236"/>
    <x v="84"/>
    <n v="1"/>
    <s v="REALIZADO"/>
    <s v="AGATHA"/>
    <d v="2025-11-07T00:00:00"/>
    <x v="2"/>
  </r>
  <r>
    <n v="50039236"/>
    <x v="84"/>
    <n v="1"/>
    <s v="REALIZADO"/>
    <s v="GEOVANE"/>
    <d v="2025-11-07T00:00:00"/>
    <x v="0"/>
  </r>
  <r>
    <n v="50039236"/>
    <x v="84"/>
    <n v="1"/>
    <s v="REALIZADO"/>
    <s v="GEOVANE"/>
    <d v="2025-11-07T00:00:00"/>
    <x v="2"/>
  </r>
  <r>
    <n v="50039236"/>
    <x v="84"/>
    <n v="1"/>
    <s v="REALIZADO"/>
    <s v="MATHEUS"/>
    <d v="2025-11-07T00:00:00"/>
    <x v="0"/>
  </r>
  <r>
    <n v="50043471"/>
    <x v="5"/>
    <n v="1"/>
    <s v="REALIZADO"/>
    <s v="AGATHA"/>
    <d v="2025-11-07T00:00:00"/>
    <x v="2"/>
  </r>
  <r>
    <n v="50043471"/>
    <x v="5"/>
    <n v="1"/>
    <s v="REALIZADO"/>
    <s v="BRUNA"/>
    <d v="2025-11-07T00:00:00"/>
    <x v="0"/>
  </r>
  <r>
    <n v="50003297"/>
    <x v="8"/>
    <n v="1"/>
    <s v="REALIZADO"/>
    <s v="BRUNA"/>
    <d v="2025-11-07T00:00:00"/>
    <x v="2"/>
  </r>
  <r>
    <n v="50003297"/>
    <x v="8"/>
    <n v="1"/>
    <s v="REALIZADO"/>
    <s v="MATHEUS"/>
    <d v="2025-11-07T00:00:00"/>
    <x v="0"/>
  </r>
  <r>
    <n v="50029865"/>
    <x v="9"/>
    <n v="1"/>
    <s v="REALIZADO"/>
    <s v="AGATHA"/>
    <d v="2025-11-07T00:00:00"/>
    <x v="2"/>
  </r>
  <r>
    <n v="50029865"/>
    <x v="9"/>
    <n v="1"/>
    <s v="REALIZADO"/>
    <s v="AGATHA"/>
    <d v="2025-11-07T00:00:00"/>
    <x v="2"/>
  </r>
  <r>
    <n v="50029865"/>
    <x v="9"/>
    <n v="1"/>
    <s v="REALIZADO"/>
    <s v="MATHEUS"/>
    <d v="2025-11-07T00:00:00"/>
    <x v="0"/>
  </r>
  <r>
    <n v="50043320"/>
    <x v="35"/>
    <n v="1"/>
    <s v="REALIZADO"/>
    <s v="MATHEUS"/>
    <d v="2025-11-07T00:00:00"/>
    <x v="2"/>
  </r>
  <r>
    <n v="50043320"/>
    <x v="35"/>
    <n v="1"/>
    <s v="REALIZADO"/>
    <s v="MATHEUS"/>
    <d v="2025-11-07T00:00:00"/>
    <x v="0"/>
  </r>
  <r>
    <n v="50038549"/>
    <x v="6"/>
    <n v="1"/>
    <s v="REALIZADO"/>
    <s v="BRUNA"/>
    <d v="2025-11-07T00:00:00"/>
    <x v="2"/>
  </r>
  <r>
    <n v="50038549"/>
    <x v="6"/>
    <n v="1"/>
    <s v="REALIZADO"/>
    <s v="MATHEUS"/>
    <d v="2025-11-07T00:00:00"/>
    <x v="0"/>
  </r>
  <r>
    <n v="50037921"/>
    <x v="85"/>
    <n v="1"/>
    <s v="REALIZADO"/>
    <s v="GEOVANE"/>
    <d v="2025-11-07T00:00:00"/>
    <x v="2"/>
  </r>
  <r>
    <n v="50037921"/>
    <x v="85"/>
    <n v="1"/>
    <s v="REALIZADO"/>
    <s v="GEOVANE"/>
    <d v="2025-11-07T00:00:00"/>
    <x v="0"/>
  </r>
  <r>
    <n v="50022878"/>
    <x v="18"/>
    <n v="1"/>
    <s v="REALIZADO"/>
    <s v="MATHEUS"/>
    <d v="2025-11-07T00:00:00"/>
    <x v="2"/>
  </r>
  <r>
    <n v="50022878"/>
    <x v="18"/>
    <n v="1"/>
    <s v="REALIZADO"/>
    <s v="MATHEUS"/>
    <d v="2025-11-07T00:00:00"/>
    <x v="0"/>
  </r>
  <r>
    <n v="50038956"/>
    <x v="10"/>
    <n v="1"/>
    <s v="REALIZADO"/>
    <s v="AGATHA"/>
    <d v="2025-11-07T00:00:00"/>
    <x v="2"/>
  </r>
  <r>
    <n v="50038956"/>
    <x v="10"/>
    <n v="1"/>
    <s v="REALIZADO"/>
    <s v="BRUNA"/>
    <d v="2025-11-07T00:00:00"/>
    <x v="0"/>
  </r>
  <r>
    <n v="50037892"/>
    <x v="2"/>
    <n v="1"/>
    <s v="REALIZADO"/>
    <s v="AGATHA"/>
    <d v="2025-11-07T00:00:00"/>
    <x v="0"/>
  </r>
  <r>
    <n v="50037892"/>
    <x v="2"/>
    <n v="1"/>
    <s v="REALIZADO"/>
    <s v="AGATHA"/>
    <d v="2025-11-07T00:00:00"/>
    <x v="2"/>
  </r>
  <r>
    <n v="50037892"/>
    <x v="2"/>
    <n v="1"/>
    <s v="REALIZADO"/>
    <s v="AGATHA"/>
    <d v="2025-11-07T00:00:00"/>
    <x v="0"/>
  </r>
  <r>
    <n v="50037892"/>
    <x v="2"/>
    <n v="1"/>
    <s v="REALIZADO"/>
    <s v="AGATHA"/>
    <d v="2025-11-07T00:00:00"/>
    <x v="2"/>
  </r>
  <r>
    <n v="50037892"/>
    <x v="2"/>
    <n v="1"/>
    <s v="REALIZADO"/>
    <s v="AGATHA"/>
    <d v="2025-11-07T00:00:00"/>
    <x v="0"/>
  </r>
  <r>
    <n v="50037892"/>
    <x v="2"/>
    <n v="1"/>
    <s v="REALIZADO"/>
    <s v="AGATHA"/>
    <d v="2025-11-07T00:00:00"/>
    <x v="2"/>
  </r>
  <r>
    <n v="50037892"/>
    <x v="2"/>
    <n v="1"/>
    <s v="REALIZADO"/>
    <s v="GEOVANE"/>
    <d v="2025-11-07T00:00:00"/>
    <x v="0"/>
  </r>
  <r>
    <n v="50037902"/>
    <x v="14"/>
    <n v="1"/>
    <s v="REALIZADO"/>
    <s v="AGATHA"/>
    <d v="2025-11-07T00:00:00"/>
    <x v="2"/>
  </r>
  <r>
    <n v="50037902"/>
    <x v="14"/>
    <n v="1"/>
    <s v="REALIZADO"/>
    <s v="GEOVANE"/>
    <d v="2025-11-07T00:00:00"/>
    <x v="0"/>
  </r>
  <r>
    <n v="50037902"/>
    <x v="14"/>
    <n v="1"/>
    <s v="REALIZADO"/>
    <s v="GEOVANE"/>
    <d v="2025-11-07T00:00:00"/>
    <x v="2"/>
  </r>
  <r>
    <n v="50037902"/>
    <x v="14"/>
    <n v="1"/>
    <s v="REALIZADO"/>
    <s v="GEOVANE"/>
    <d v="2025-11-07T00:00:00"/>
    <x v="0"/>
  </r>
  <r>
    <n v="50037902"/>
    <x v="14"/>
    <n v="1"/>
    <s v="REALIZADO"/>
    <s v="BRUNA"/>
    <d v="2025-11-07T00:00:00"/>
    <x v="2"/>
  </r>
  <r>
    <n v="50037902"/>
    <x v="14"/>
    <n v="1"/>
    <s v="REALIZADO"/>
    <s v="BRUNA"/>
    <d v="2025-11-07T00:00:00"/>
    <x v="0"/>
  </r>
  <r>
    <n v="50038841"/>
    <x v="34"/>
    <n v="1"/>
    <s v="REALIZADO"/>
    <s v="AGATHA"/>
    <d v="2025-11-07T00:00:00"/>
    <x v="2"/>
  </r>
  <r>
    <n v="50038841"/>
    <x v="34"/>
    <n v="1"/>
    <s v="REALIZADO"/>
    <s v="AGATHA"/>
    <d v="2025-11-07T00:00:00"/>
    <x v="0"/>
  </r>
  <r>
    <n v="50038841"/>
    <x v="34"/>
    <n v="1"/>
    <s v="REALIZADO"/>
    <s v="BRUNA"/>
    <d v="2025-11-07T00:00:00"/>
    <x v="2"/>
  </r>
  <r>
    <n v="50038841"/>
    <x v="34"/>
    <n v="1"/>
    <s v="REALIZADO"/>
    <s v="MATHEUS"/>
    <d v="2025-11-07T00:00:00"/>
    <x v="0"/>
  </r>
  <r>
    <n v="50038841"/>
    <x v="34"/>
    <n v="1"/>
    <s v="REALIZADO"/>
    <s v="MATHEUS"/>
    <d v="2025-11-07T00:00:00"/>
    <x v="2"/>
  </r>
  <r>
    <n v="50038841"/>
    <x v="34"/>
    <n v="1"/>
    <s v="REALIZADO"/>
    <s v="MATHEUS"/>
    <d v="2025-11-07T00:00:00"/>
    <x v="0"/>
  </r>
  <r>
    <n v="50038517"/>
    <x v="0"/>
    <n v="1"/>
    <s v="REALIZADO"/>
    <s v="AGATHA"/>
    <d v="2025-11-07T00:00:00"/>
    <x v="2"/>
  </r>
  <r>
    <n v="50038517"/>
    <x v="0"/>
    <n v="1"/>
    <s v="REALIZADO"/>
    <s v="MATHEUS"/>
    <d v="2025-11-07T00:00:00"/>
    <x v="0"/>
  </r>
  <r>
    <n v="50038518"/>
    <x v="57"/>
    <n v="1"/>
    <s v="REALIZADO"/>
    <s v="MATHEUS"/>
    <d v="2025-11-07T00:00:00"/>
    <x v="2"/>
  </r>
  <r>
    <n v="50038518"/>
    <x v="57"/>
    <n v="1"/>
    <s v="REALIZADO"/>
    <s v="MATHEUS"/>
    <d v="2025-11-07T00:00:00"/>
    <x v="0"/>
  </r>
  <r>
    <n v="50039065"/>
    <x v="22"/>
    <n v="1"/>
    <s v="REALIZADO"/>
    <s v="AGATHA"/>
    <d v="2025-11-07T00:00:00"/>
    <x v="2"/>
  </r>
  <r>
    <n v="50039065"/>
    <x v="22"/>
    <n v="1"/>
    <s v="REALIZADO"/>
    <s v="AGATHA"/>
    <d v="2025-11-07T00:00:00"/>
    <x v="0"/>
  </r>
  <r>
    <n v="50026357"/>
    <x v="24"/>
    <n v="1"/>
    <s v="REALIZADO"/>
    <s v="AGATHA"/>
    <d v="2025-11-07T00:00:00"/>
    <x v="2"/>
  </r>
  <r>
    <n v="50026357"/>
    <x v="24"/>
    <n v="1"/>
    <s v="REALIZADO"/>
    <s v="MATHEUS"/>
    <d v="2025-11-07T00:00:00"/>
    <x v="0"/>
  </r>
  <r>
    <n v="50041195"/>
    <x v="21"/>
    <n v="1"/>
    <s v="REALIZADO"/>
    <s v="AGATHA"/>
    <d v="2025-11-07T00:00:00"/>
    <x v="2"/>
  </r>
  <r>
    <n v="50041195"/>
    <x v="21"/>
    <n v="1"/>
    <s v="REALIZADO"/>
    <s v="MATHEUS"/>
    <d v="2025-11-07T00:00:00"/>
    <x v="0"/>
  </r>
  <r>
    <n v="50043917"/>
    <x v="66"/>
    <n v="1"/>
    <s v="REALIZADO"/>
    <s v="AGATHA"/>
    <d v="2025-11-07T00:00:00"/>
    <x v="2"/>
  </r>
  <r>
    <n v="50043917"/>
    <x v="66"/>
    <n v="1"/>
    <s v="REALIZADO"/>
    <s v="MATHEUS"/>
    <d v="2025-11-07T00:00:00"/>
    <x v="0"/>
  </r>
  <r>
    <n v="50020623"/>
    <x v="42"/>
    <n v="1"/>
    <s v="REALIZADO"/>
    <s v="AGATHA"/>
    <d v="2025-11-07T00:00:00"/>
    <x v="2"/>
  </r>
  <r>
    <n v="50020623"/>
    <x v="42"/>
    <n v="1"/>
    <s v="REALIZADO"/>
    <s v="GEOVANE"/>
    <d v="2025-11-07T00:00:00"/>
    <x v="0"/>
  </r>
  <r>
    <n v="50020623"/>
    <x v="42"/>
    <n v="1"/>
    <s v="REALIZADO"/>
    <s v="MATHEUS"/>
    <d v="2025-11-07T00:00:00"/>
    <x v="2"/>
  </r>
  <r>
    <n v="50020623"/>
    <x v="42"/>
    <n v="1"/>
    <s v="REALIZADO"/>
    <s v="MATHEUS"/>
    <d v="2025-11-07T00:00:00"/>
    <x v="0"/>
  </r>
  <r>
    <n v="50038195"/>
    <x v="54"/>
    <n v="1"/>
    <s v="REALIZADO"/>
    <s v="GEOVANE"/>
    <d v="2025-11-07T00:00:00"/>
    <x v="2"/>
  </r>
  <r>
    <n v="50038195"/>
    <x v="54"/>
    <n v="1"/>
    <s v="REALIZADO"/>
    <s v="GEOVANE"/>
    <d v="2025-11-07T00:00:00"/>
    <x v="0"/>
  </r>
  <r>
    <n v="50028220"/>
    <x v="33"/>
    <n v="1"/>
    <s v="REALIZADO"/>
    <s v="AGATHA"/>
    <d v="2025-11-07T00:00:00"/>
    <x v="2"/>
  </r>
  <r>
    <n v="50028220"/>
    <x v="33"/>
    <n v="1"/>
    <s v="REALIZADO"/>
    <s v="MATHEUS"/>
    <d v="2025-11-07T00:00:00"/>
    <x v="0"/>
  </r>
  <r>
    <n v="50043151"/>
    <x v="86"/>
    <n v="1"/>
    <s v="REALIZADO"/>
    <s v="BRUNA"/>
    <d v="2025-11-07T00:00:00"/>
    <x v="2"/>
  </r>
  <r>
    <n v="50043151"/>
    <x v="86"/>
    <n v="1"/>
    <s v="REALIZADO"/>
    <s v="BRUNA"/>
    <d v="2025-11-07T00:00:00"/>
    <x v="0"/>
  </r>
  <r>
    <n v="50010031"/>
    <x v="20"/>
    <n v="1"/>
    <s v="REALIZADO"/>
    <s v="MATHEUS"/>
    <d v="2025-11-06T00:00:00"/>
    <x v="2"/>
  </r>
  <r>
    <n v="50010031"/>
    <x v="20"/>
    <n v="1"/>
    <s v="REALIZADO"/>
    <s v="MATHEUS"/>
    <d v="2025-11-06T00:00:00"/>
    <x v="0"/>
  </r>
  <r>
    <n v="50038991"/>
    <x v="53"/>
    <n v="1"/>
    <s v="REALIZADO"/>
    <s v="GEOVANE"/>
    <d v="2025-11-06T00:00:00"/>
    <x v="2"/>
  </r>
  <r>
    <n v="50038991"/>
    <x v="53"/>
    <n v="1"/>
    <s v="REALIZADO"/>
    <s v="MATHEUS"/>
    <d v="2025-11-06T00:00:00"/>
    <x v="0"/>
  </r>
  <r>
    <n v="50036296"/>
    <x v="46"/>
    <n v="1"/>
    <s v="REALIZADO"/>
    <s v="GEOVANE"/>
    <d v="2025-11-06T00:00:00"/>
    <x v="2"/>
  </r>
  <r>
    <n v="50036296"/>
    <x v="46"/>
    <n v="1"/>
    <s v="REALIZADO"/>
    <s v="GEOVANE"/>
    <d v="2025-11-06T00:00:00"/>
    <x v="0"/>
  </r>
  <r>
    <n v="50036086"/>
    <x v="3"/>
    <n v="1"/>
    <s v="REALIZADO"/>
    <s v="GEOVANE"/>
    <d v="2025-11-06T00:00:00"/>
    <x v="0"/>
  </r>
  <r>
    <n v="50003173"/>
    <x v="29"/>
    <n v="1"/>
    <s v="REALIZADO"/>
    <s v="GEOVANE"/>
    <d v="2025-11-06T00:00:00"/>
    <x v="0"/>
  </r>
  <r>
    <n v="50039718"/>
    <x v="11"/>
    <n v="1"/>
    <s v="REALIZADO"/>
    <s v="GEOVANE"/>
    <d v="2025-11-06T00:00:00"/>
    <x v="2"/>
  </r>
  <r>
    <n v="50039718"/>
    <x v="11"/>
    <n v="1"/>
    <s v="REALIZADO"/>
    <s v="BRUNA"/>
    <d v="2025-11-06T00:00:00"/>
    <x v="0"/>
  </r>
  <r>
    <n v="50030486"/>
    <x v="17"/>
    <n v="1"/>
    <s v="REALIZADO"/>
    <s v="GEOVANE"/>
    <d v="2025-11-06T00:00:00"/>
    <x v="0"/>
  </r>
  <r>
    <n v="50030486"/>
    <x v="17"/>
    <n v="1"/>
    <s v="REALIZADO"/>
    <s v="GEOVANE"/>
    <d v="2025-11-06T00:00:00"/>
    <x v="2"/>
  </r>
  <r>
    <n v="50030486"/>
    <x v="17"/>
    <n v="1"/>
    <s v="REALIZADO"/>
    <s v="MATHEUS"/>
    <d v="2025-11-06T00:00:00"/>
    <x v="0"/>
  </r>
  <r>
    <n v="50039236"/>
    <x v="84"/>
    <n v="1"/>
    <s v="REALIZADO"/>
    <s v="GEOVANE"/>
    <d v="2025-11-06T00:00:00"/>
    <x v="2"/>
  </r>
  <r>
    <n v="50039236"/>
    <x v="84"/>
    <n v="1"/>
    <s v="REALIZADO"/>
    <s v="GEOVANE"/>
    <d v="2025-11-06T00:00:00"/>
    <x v="0"/>
  </r>
  <r>
    <n v="50039236"/>
    <x v="84"/>
    <n v="1"/>
    <s v="REALIZADO"/>
    <s v="GEOVANE"/>
    <d v="2025-11-06T00:00:00"/>
    <x v="2"/>
  </r>
  <r>
    <n v="50039236"/>
    <x v="84"/>
    <n v="1"/>
    <s v="REALIZADO"/>
    <s v="BRUNA"/>
    <d v="2025-11-06T00:00:00"/>
    <x v="0"/>
  </r>
  <r>
    <n v="50043471"/>
    <x v="5"/>
    <n v="1"/>
    <s v="REALIZADO"/>
    <s v="MATHEUS"/>
    <d v="2025-11-06T00:00:00"/>
    <x v="2"/>
  </r>
  <r>
    <n v="50043471"/>
    <x v="5"/>
    <n v="1"/>
    <s v="REALIZADO"/>
    <s v="MATHEUS"/>
    <d v="2025-11-06T00:00:00"/>
    <x v="0"/>
  </r>
  <r>
    <n v="50043471"/>
    <x v="5"/>
    <n v="1"/>
    <s v="REALIZADO"/>
    <s v="MATHEUS"/>
    <d v="2025-11-06T00:00:00"/>
    <x v="2"/>
  </r>
  <r>
    <n v="50043471"/>
    <x v="5"/>
    <n v="1"/>
    <s v="REALIZADO"/>
    <s v="BRUNA"/>
    <d v="2025-11-06T00:00:00"/>
    <x v="0"/>
  </r>
  <r>
    <n v="50003297"/>
    <x v="8"/>
    <n v="1"/>
    <s v="REALIZADO"/>
    <s v="GEOVANE"/>
    <d v="2025-11-06T00:00:00"/>
    <x v="2"/>
  </r>
  <r>
    <n v="50003297"/>
    <x v="8"/>
    <n v="1"/>
    <s v="REALIZADO"/>
    <s v="MATHEUS"/>
    <d v="2025-11-06T00:00:00"/>
    <x v="0"/>
  </r>
  <r>
    <n v="50043320"/>
    <x v="35"/>
    <n v="1"/>
    <s v="REALIZADO"/>
    <s v="GEOVANE"/>
    <d v="2025-11-06T00:00:00"/>
    <x v="2"/>
  </r>
  <r>
    <n v="50043320"/>
    <x v="35"/>
    <n v="1"/>
    <s v="REALIZADO"/>
    <s v="GEOVANE"/>
    <d v="2025-11-06T00:00:00"/>
    <x v="0"/>
  </r>
  <r>
    <n v="50022878"/>
    <x v="18"/>
    <n v="1"/>
    <s v="REALIZADO"/>
    <s v="BRUNA"/>
    <d v="2025-11-06T00:00:00"/>
    <x v="2"/>
  </r>
  <r>
    <n v="50022878"/>
    <x v="18"/>
    <n v="1"/>
    <s v="REALIZADO"/>
    <s v="MATHEUS"/>
    <d v="2025-11-06T00:00:00"/>
    <x v="0"/>
  </r>
  <r>
    <n v="50038956"/>
    <x v="10"/>
    <n v="1"/>
    <s v="REALIZADO"/>
    <s v="BRUNA"/>
    <d v="2025-11-06T00:00:00"/>
    <x v="2"/>
  </r>
  <r>
    <n v="50038956"/>
    <x v="10"/>
    <n v="1"/>
    <s v="REALIZADO"/>
    <s v="BRUNA"/>
    <d v="2025-11-06T00:00:00"/>
    <x v="0"/>
  </r>
  <r>
    <n v="50037892"/>
    <x v="2"/>
    <n v="1"/>
    <s v="REALIZADO"/>
    <s v="GEOVANE"/>
    <d v="2025-11-06T00:00:00"/>
    <x v="2"/>
  </r>
  <r>
    <n v="50037892"/>
    <x v="2"/>
    <n v="1"/>
    <s v="REALIZADO"/>
    <s v="GEOVANE"/>
    <d v="2025-11-06T00:00:00"/>
    <x v="0"/>
  </r>
  <r>
    <n v="50037892"/>
    <x v="2"/>
    <n v="1"/>
    <s v="REALIZADO"/>
    <s v="GEOVANE"/>
    <d v="2025-11-06T00:00:00"/>
    <x v="2"/>
  </r>
  <r>
    <n v="50037892"/>
    <x v="2"/>
    <n v="1"/>
    <s v="REALIZADO"/>
    <s v="GEOVANE"/>
    <d v="2025-11-06T00:00:00"/>
    <x v="0"/>
  </r>
  <r>
    <n v="50037892"/>
    <x v="2"/>
    <n v="1"/>
    <s v="REALIZADO"/>
    <s v="BRUNA"/>
    <d v="2025-11-06T00:00:00"/>
    <x v="2"/>
  </r>
  <r>
    <n v="50037892"/>
    <x v="2"/>
    <n v="1"/>
    <s v="REALIZADO"/>
    <s v="BRUNA"/>
    <d v="2025-11-06T00:00:00"/>
    <x v="0"/>
  </r>
  <r>
    <n v="50037892"/>
    <x v="2"/>
    <n v="1"/>
    <s v="REALIZADO"/>
    <s v="BRUNA"/>
    <d v="2025-11-06T00:00:00"/>
    <x v="2"/>
  </r>
  <r>
    <n v="50037892"/>
    <x v="2"/>
    <n v="1"/>
    <s v="REALIZADO"/>
    <s v="BRUNA"/>
    <d v="2025-11-06T00:00:00"/>
    <x v="0"/>
  </r>
  <r>
    <n v="50037892"/>
    <x v="2"/>
    <n v="1"/>
    <s v="REALIZADO"/>
    <s v="MATHEUS"/>
    <d v="2025-11-06T00:00:00"/>
    <x v="2"/>
  </r>
  <r>
    <n v="50037892"/>
    <x v="2"/>
    <n v="1"/>
    <s v="REALIZADO"/>
    <s v="BRUNA"/>
    <d v="2025-11-06T00:00:00"/>
    <x v="0"/>
  </r>
  <r>
    <n v="50037902"/>
    <x v="14"/>
    <n v="1"/>
    <s v="REALIZADO"/>
    <s v="MATHEUS"/>
    <d v="2025-11-06T00:00:00"/>
    <x v="2"/>
  </r>
  <r>
    <n v="50037902"/>
    <x v="14"/>
    <n v="1"/>
    <s v="REALIZADO"/>
    <s v="MATHEUS"/>
    <d v="2025-11-06T00:00:00"/>
    <x v="0"/>
  </r>
  <r>
    <n v="50038841"/>
    <x v="34"/>
    <n v="1"/>
    <s v="REALIZADO"/>
    <s v="BRUNA"/>
    <d v="2025-11-06T00:00:00"/>
    <x v="2"/>
  </r>
  <r>
    <n v="50038841"/>
    <x v="34"/>
    <n v="1"/>
    <s v="REALIZADO"/>
    <s v="MATHEUS"/>
    <d v="2025-11-06T00:00:00"/>
    <x v="0"/>
  </r>
  <r>
    <n v="50038517"/>
    <x v="0"/>
    <n v="1"/>
    <s v="REALIZADO"/>
    <s v="BRUNA"/>
    <d v="2025-11-06T00:00:00"/>
    <x v="2"/>
  </r>
  <r>
    <n v="50038517"/>
    <x v="0"/>
    <n v="1"/>
    <s v="REALIZADO"/>
    <s v="BRUNA"/>
    <d v="2025-11-06T00:00:00"/>
    <x v="0"/>
  </r>
  <r>
    <n v="50038517"/>
    <x v="0"/>
    <n v="1"/>
    <s v="REALIZADO"/>
    <s v="MATHEUS"/>
    <d v="2025-11-06T00:00:00"/>
    <x v="2"/>
  </r>
  <r>
    <n v="50038517"/>
    <x v="0"/>
    <n v="1"/>
    <s v="REALIZADO"/>
    <s v="MATHEUS"/>
    <d v="2025-11-06T00:00:00"/>
    <x v="0"/>
  </r>
  <r>
    <n v="50038518"/>
    <x v="57"/>
    <n v="1"/>
    <s v="REALIZADO"/>
    <s v="GEOVANE"/>
    <d v="2025-11-06T00:00:00"/>
    <x v="2"/>
  </r>
  <r>
    <n v="50038518"/>
    <x v="57"/>
    <n v="1"/>
    <s v="REALIZADO"/>
    <s v="BRUNA"/>
    <d v="2025-11-06T00:00:00"/>
    <x v="0"/>
  </r>
  <r>
    <n v="50039065"/>
    <x v="22"/>
    <n v="1"/>
    <s v="REALIZADO"/>
    <s v="MATHEUS"/>
    <d v="2025-11-06T00:00:00"/>
    <x v="2"/>
  </r>
  <r>
    <n v="50039065"/>
    <x v="22"/>
    <n v="1"/>
    <s v="REALIZADO"/>
    <s v="MATHEUS"/>
    <d v="2025-11-06T00:00:00"/>
    <x v="0"/>
  </r>
  <r>
    <n v="50026357"/>
    <x v="24"/>
    <n v="1"/>
    <s v="REALIZADO"/>
    <s v="MATHEUS"/>
    <d v="2025-11-06T00:00:00"/>
    <x v="2"/>
  </r>
  <r>
    <n v="50026357"/>
    <x v="24"/>
    <n v="1"/>
    <s v="REALIZADO"/>
    <s v="MATHEUS"/>
    <d v="2025-11-06T00:00:00"/>
    <x v="0"/>
  </r>
  <r>
    <n v="50038662"/>
    <x v="59"/>
    <n v="1"/>
    <s v="REALIZADO"/>
    <s v="MATHEUS"/>
    <d v="2025-11-06T00:00:00"/>
    <x v="2"/>
  </r>
  <r>
    <n v="50038662"/>
    <x v="59"/>
    <n v="1"/>
    <s v="REALIZADO"/>
    <s v="MATHEUS"/>
    <d v="2025-11-06T00:00:00"/>
    <x v="0"/>
  </r>
  <r>
    <n v="50041195"/>
    <x v="21"/>
    <n v="1"/>
    <s v="REALIZADO"/>
    <s v="GEOVANE"/>
    <d v="2025-11-06T00:00:00"/>
    <x v="2"/>
  </r>
  <r>
    <n v="50041195"/>
    <x v="21"/>
    <n v="1"/>
    <s v="REALIZADO"/>
    <s v="BRUNA"/>
    <d v="2025-11-06T00:00:00"/>
    <x v="0"/>
  </r>
  <r>
    <n v="50043917"/>
    <x v="66"/>
    <n v="1"/>
    <s v="REALIZADO"/>
    <s v="GEOVANE"/>
    <d v="2025-11-06T00:00:00"/>
    <x v="2"/>
  </r>
  <r>
    <n v="50043917"/>
    <x v="66"/>
    <n v="1"/>
    <s v="REALIZADO"/>
    <s v="MATHEUS"/>
    <d v="2025-11-06T00:00:00"/>
    <x v="0"/>
  </r>
  <r>
    <n v="50032775"/>
    <x v="13"/>
    <n v="1"/>
    <s v="REALIZADO"/>
    <s v="GEOVANE"/>
    <d v="2025-11-06T00:00:00"/>
    <x v="2"/>
  </r>
  <r>
    <n v="50032775"/>
    <x v="13"/>
    <n v="1"/>
    <s v="REALIZADO"/>
    <s v="MATHEUS"/>
    <d v="2025-11-06T00:00:00"/>
    <x v="0"/>
  </r>
  <r>
    <n v="50038840"/>
    <x v="68"/>
    <n v="1"/>
    <s v="REALIZADO"/>
    <s v="MATHEUS"/>
    <d v="2025-11-06T00:00:00"/>
    <x v="2"/>
  </r>
  <r>
    <n v="50038840"/>
    <x v="68"/>
    <n v="1"/>
    <s v="REALIZADO"/>
    <s v="MATHEUS"/>
    <d v="2025-11-06T00:00:00"/>
    <x v="0"/>
  </r>
  <r>
    <n v="50038194"/>
    <x v="87"/>
    <n v="1"/>
    <s v="REALIZADO"/>
    <s v="GEOVANE"/>
    <d v="2025-11-06T00:00:00"/>
    <x v="2"/>
  </r>
  <r>
    <n v="50038194"/>
    <x v="87"/>
    <n v="1"/>
    <s v="REALIZADO"/>
    <s v="GEOVANE"/>
    <d v="2025-11-06T00:00:00"/>
    <x v="2"/>
  </r>
  <r>
    <n v="50038618"/>
    <x v="88"/>
    <n v="1"/>
    <s v="REALIZADO"/>
    <s v="MATHEUS"/>
    <d v="2025-11-06T00:00:00"/>
    <x v="0"/>
  </r>
  <r>
    <n v="50028220"/>
    <x v="33"/>
    <n v="1"/>
    <s v="REALIZADO"/>
    <s v="GEOVANE"/>
    <d v="2025-11-06T00:00:00"/>
    <x v="0"/>
  </r>
  <r>
    <n v="50028220"/>
    <x v="33"/>
    <n v="1"/>
    <s v="REALIZADO"/>
    <s v="GEOVANE"/>
    <d v="2025-11-06T00:00:00"/>
    <x v="2"/>
  </r>
  <r>
    <n v="50028220"/>
    <x v="33"/>
    <n v="1"/>
    <s v="REALIZADO"/>
    <s v="GEOVANE"/>
    <d v="2025-11-06T00:00:00"/>
    <x v="0"/>
  </r>
  <r>
    <n v="50041095"/>
    <x v="15"/>
    <n v="1"/>
    <s v="REALIZADO"/>
    <s v="GEOVANE"/>
    <d v="2025-11-06T00:00:00"/>
    <x v="2"/>
  </r>
  <r>
    <n v="50041095"/>
    <x v="15"/>
    <n v="1"/>
    <s v="REALIZADO"/>
    <s v="BRUNA"/>
    <d v="2025-11-06T00:00:00"/>
    <x v="0"/>
  </r>
  <r>
    <n v="50036298"/>
    <x v="69"/>
    <n v="1"/>
    <s v="REALIZADO"/>
    <s v="AGATHA"/>
    <d v="2025-11-05T00:00:00"/>
    <x v="2"/>
  </r>
  <r>
    <n v="50036298"/>
    <x v="69"/>
    <n v="1"/>
    <s v="REALIZADO"/>
    <s v="AGATHA"/>
    <d v="2025-11-05T00:00:00"/>
    <x v="0"/>
  </r>
  <r>
    <n v="50036255"/>
    <x v="7"/>
    <n v="1"/>
    <s v="REALIZADO"/>
    <s v="MATHEUS"/>
    <d v="2025-11-05T00:00:00"/>
    <x v="2"/>
  </r>
  <r>
    <n v="50036255"/>
    <x v="7"/>
    <n v="1"/>
    <s v="REALIZADO"/>
    <s v="MATHEUS"/>
    <d v="2025-11-05T00:00:00"/>
    <x v="0"/>
  </r>
  <r>
    <n v="50003173"/>
    <x v="29"/>
    <n v="2"/>
    <s v="REALIZADO"/>
    <s v="MATHEUS"/>
    <d v="2025-11-05T00:00:00"/>
    <x v="2"/>
  </r>
  <r>
    <n v="50003173"/>
    <x v="29"/>
    <n v="1"/>
    <s v="REALIZADO"/>
    <s v="MATHEUS"/>
    <d v="2025-11-05T00:00:00"/>
    <x v="2"/>
  </r>
  <r>
    <n v="50003173"/>
    <x v="29"/>
    <n v="2"/>
    <s v="REALIZADO"/>
    <s v="MATHEUS"/>
    <d v="2025-11-05T00:00:00"/>
    <x v="0"/>
  </r>
  <r>
    <n v="50041939"/>
    <x v="89"/>
    <n v="1"/>
    <s v="REALIZADO"/>
    <s v="BRUNA"/>
    <d v="2025-11-05T00:00:00"/>
    <x v="2"/>
  </r>
  <r>
    <n v="50041939"/>
    <x v="89"/>
    <n v="1"/>
    <s v="REALIZADO"/>
    <s v="MATHEUS"/>
    <d v="2025-11-05T00:00:00"/>
    <x v="0"/>
  </r>
  <r>
    <n v="50039718"/>
    <x v="11"/>
    <n v="1"/>
    <s v="REALIZADO"/>
    <s v="MARCIA"/>
    <d v="2025-11-05T00:00:00"/>
    <x v="2"/>
  </r>
  <r>
    <n v="50039718"/>
    <x v="11"/>
    <n v="1"/>
    <s v="REALIZADO"/>
    <s v="MATHEUS"/>
    <d v="2025-11-05T00:00:00"/>
    <x v="0"/>
  </r>
  <r>
    <n v="50037905"/>
    <x v="49"/>
    <n v="1"/>
    <s v="REALIZADO"/>
    <s v="MARCIA"/>
    <d v="2025-11-05T00:00:00"/>
    <x v="2"/>
  </r>
  <r>
    <n v="50037905"/>
    <x v="49"/>
    <n v="1"/>
    <s v="REALIZADO"/>
    <s v="AGATHA"/>
    <d v="2025-11-05T00:00:00"/>
    <x v="0"/>
  </r>
  <r>
    <n v="50030486"/>
    <x v="17"/>
    <n v="1"/>
    <s v="REALIZADO"/>
    <s v="AGATHA"/>
    <d v="2025-11-05T00:00:00"/>
    <x v="2"/>
  </r>
  <r>
    <n v="50030486"/>
    <x v="17"/>
    <n v="1"/>
    <s v="REALIZADO"/>
    <s v="BRUNA"/>
    <d v="2025-11-05T00:00:00"/>
    <x v="0"/>
  </r>
  <r>
    <n v="50030486"/>
    <x v="17"/>
    <n v="1"/>
    <s v="REALIZADO"/>
    <s v="BRUNA"/>
    <d v="2025-11-05T00:00:00"/>
    <x v="2"/>
  </r>
  <r>
    <n v="50030486"/>
    <x v="17"/>
    <n v="1"/>
    <s v="REALIZADO"/>
    <s v="MATHEUS"/>
    <d v="2025-11-05T00:00:00"/>
    <x v="0"/>
  </r>
  <r>
    <n v="50039236"/>
    <x v="84"/>
    <n v="1"/>
    <s v="REALIZADO"/>
    <s v="AGATHA"/>
    <d v="2025-11-05T00:00:00"/>
    <x v="2"/>
  </r>
  <r>
    <n v="50039236"/>
    <x v="84"/>
    <n v="1"/>
    <s v="REALIZADO"/>
    <s v="AGATHA"/>
    <d v="2025-11-05T00:00:00"/>
    <x v="0"/>
  </r>
  <r>
    <n v="50039236"/>
    <x v="84"/>
    <n v="1"/>
    <s v="REALIZADO"/>
    <s v="AGATHA"/>
    <d v="2025-11-05T00:00:00"/>
    <x v="2"/>
  </r>
  <r>
    <n v="50039236"/>
    <x v="84"/>
    <n v="1"/>
    <s v="REALIZADO"/>
    <s v="MATHEUS"/>
    <d v="2025-11-05T00:00:00"/>
    <x v="0"/>
  </r>
  <r>
    <n v="50043471"/>
    <x v="5"/>
    <n v="1"/>
    <s v="REALIZADO"/>
    <s v="MATHEUS"/>
    <d v="2025-11-05T00:00:00"/>
    <x v="2"/>
  </r>
  <r>
    <n v="50043471"/>
    <x v="5"/>
    <n v="1"/>
    <s v="REALIZADO"/>
    <s v="MATHEUS"/>
    <d v="2025-11-05T00:00:00"/>
    <x v="0"/>
  </r>
  <r>
    <n v="50003297"/>
    <x v="8"/>
    <n v="1"/>
    <s v="REALIZADO"/>
    <s v="GEOVANE"/>
    <d v="2025-11-05T00:00:00"/>
    <x v="2"/>
  </r>
  <r>
    <n v="50003297"/>
    <x v="8"/>
    <n v="1"/>
    <s v="REALIZADO"/>
    <s v="MATHEUS"/>
    <d v="2025-11-05T00:00:00"/>
    <x v="0"/>
  </r>
  <r>
    <n v="50044839"/>
    <x v="79"/>
    <n v="1"/>
    <s v="REALIZADO"/>
    <s v="BRUNA"/>
    <d v="2025-11-05T00:00:00"/>
    <x v="2"/>
  </r>
  <r>
    <n v="50044839"/>
    <x v="79"/>
    <n v="1"/>
    <s v="REALIZADO"/>
    <s v="MATHEUS"/>
    <d v="2025-11-05T00:00:00"/>
    <x v="0"/>
  </r>
  <r>
    <n v="50038549"/>
    <x v="6"/>
    <n v="1"/>
    <s v="REALIZADO"/>
    <s v="MATHEUS"/>
    <d v="2025-11-05T00:00:00"/>
    <x v="2"/>
  </r>
  <r>
    <n v="50038549"/>
    <x v="6"/>
    <n v="1"/>
    <s v="REALIZADO"/>
    <s v="MATHEUS"/>
    <d v="2025-11-05T00:00:00"/>
    <x v="0"/>
  </r>
  <r>
    <n v="50022878"/>
    <x v="18"/>
    <n v="1"/>
    <s v="REALIZADO"/>
    <s v="MATHEUS"/>
    <d v="2025-11-05T00:00:00"/>
    <x v="2"/>
  </r>
  <r>
    <n v="50022878"/>
    <x v="18"/>
    <n v="1"/>
    <s v="REALIZADO"/>
    <s v="MATHEUS"/>
    <d v="2025-11-05T00:00:00"/>
    <x v="0"/>
  </r>
  <r>
    <n v="50038956"/>
    <x v="10"/>
    <n v="1"/>
    <s v="REALIZADO"/>
    <s v="MARCIA"/>
    <d v="2025-11-05T00:00:00"/>
    <x v="2"/>
  </r>
  <r>
    <n v="50038956"/>
    <x v="10"/>
    <n v="1"/>
    <s v="REALIZADO"/>
    <s v="MARCIA"/>
    <d v="2025-11-05T00:00:00"/>
    <x v="0"/>
  </r>
  <r>
    <n v="50038956"/>
    <x v="10"/>
    <n v="1"/>
    <s v="REALIZADO"/>
    <s v="AGATHA"/>
    <d v="2025-11-05T00:00:00"/>
    <x v="2"/>
  </r>
  <r>
    <n v="50037892"/>
    <x v="2"/>
    <n v="1"/>
    <s v="REALIZADO"/>
    <s v="MARCIA"/>
    <d v="2025-11-05T00:00:00"/>
    <x v="0"/>
  </r>
  <r>
    <n v="50037892"/>
    <x v="2"/>
    <n v="1"/>
    <s v="REALIZADO"/>
    <s v="AGATHA"/>
    <d v="2025-11-05T00:00:00"/>
    <x v="2"/>
  </r>
  <r>
    <n v="50037892"/>
    <x v="2"/>
    <n v="1"/>
    <s v="REALIZADO"/>
    <s v="MATHEUS"/>
    <d v="2025-11-05T00:00:00"/>
    <x v="0"/>
  </r>
  <r>
    <n v="50037902"/>
    <x v="14"/>
    <n v="1"/>
    <s v="REALIZADO"/>
    <s v="AGATHA"/>
    <d v="2025-11-05T00:00:00"/>
    <x v="2"/>
  </r>
  <r>
    <n v="50037902"/>
    <x v="14"/>
    <n v="1"/>
    <s v="REALIZADO"/>
    <s v="BRUNA"/>
    <d v="2025-11-05T00:00:00"/>
    <x v="0"/>
  </r>
  <r>
    <n v="50037902"/>
    <x v="14"/>
    <n v="1"/>
    <s v="REALIZADO"/>
    <s v="MATHEUS"/>
    <d v="2025-11-05T00:00:00"/>
    <x v="2"/>
  </r>
  <r>
    <n v="50037902"/>
    <x v="14"/>
    <n v="1"/>
    <s v="REALIZADO"/>
    <s v="MATHEUS"/>
    <d v="2025-11-05T00:00:00"/>
    <x v="0"/>
  </r>
  <r>
    <n v="50038841"/>
    <x v="34"/>
    <n v="1"/>
    <s v="REALIZADO"/>
    <s v="AGATHA"/>
    <d v="2025-11-05T00:00:00"/>
    <x v="2"/>
  </r>
  <r>
    <n v="50038841"/>
    <x v="34"/>
    <n v="1"/>
    <s v="REALIZADO"/>
    <s v="MATHEUS"/>
    <d v="2025-11-05T00:00:00"/>
    <x v="0"/>
  </r>
  <r>
    <n v="50038517"/>
    <x v="0"/>
    <n v="1"/>
    <s v="REALIZADO"/>
    <s v="AGATHA"/>
    <d v="2025-11-05T00:00:00"/>
    <x v="2"/>
  </r>
  <r>
    <n v="50038517"/>
    <x v="0"/>
    <n v="1"/>
    <s v="REALIZADO"/>
    <s v="AGATHA"/>
    <d v="2025-11-05T00:00:00"/>
    <x v="0"/>
  </r>
  <r>
    <n v="50038518"/>
    <x v="57"/>
    <n v="1"/>
    <s v="REALIZADO"/>
    <s v="MATHEUS"/>
    <d v="2025-11-05T00:00:00"/>
    <x v="2"/>
  </r>
  <r>
    <n v="50038518"/>
    <x v="57"/>
    <n v="1"/>
    <s v="REALIZADO"/>
    <s v="MATHEUS"/>
    <d v="2025-11-05T00:00:00"/>
    <x v="0"/>
  </r>
  <r>
    <n v="50041653"/>
    <x v="50"/>
    <n v="1"/>
    <s v="REALIZADO"/>
    <s v="BRUNA"/>
    <d v="2025-11-05T00:00:00"/>
    <x v="2"/>
  </r>
  <r>
    <n v="50041653"/>
    <x v="50"/>
    <n v="1"/>
    <s v="REALIZADO"/>
    <s v="MATHEUS"/>
    <d v="2025-11-05T00:00:00"/>
    <x v="0"/>
  </r>
  <r>
    <n v="50041195"/>
    <x v="21"/>
    <n v="1"/>
    <s v="REALIZADO"/>
    <s v="MATHEUS"/>
    <d v="2025-11-05T00:00:00"/>
    <x v="2"/>
  </r>
  <r>
    <n v="50041195"/>
    <x v="21"/>
    <n v="1"/>
    <s v="REALIZADO"/>
    <s v="MATHEUS"/>
    <d v="2025-11-05T00:00:00"/>
    <x v="0"/>
  </r>
  <r>
    <n v="50043917"/>
    <x v="66"/>
    <n v="1"/>
    <s v="REALIZADO"/>
    <s v="AGATHA"/>
    <d v="2025-11-05T00:00:00"/>
    <x v="2"/>
  </r>
  <r>
    <n v="50043917"/>
    <x v="66"/>
    <n v="1"/>
    <s v="REALIZADO"/>
    <s v="MATHEUS"/>
    <d v="2025-11-05T00:00:00"/>
    <x v="0"/>
  </r>
  <r>
    <n v="50012902"/>
    <x v="30"/>
    <n v="1"/>
    <s v="REALIZADO"/>
    <s v="GEOVANE"/>
    <d v="2025-11-05T00:00:00"/>
    <x v="2"/>
  </r>
  <r>
    <n v="50012902"/>
    <x v="30"/>
    <n v="1"/>
    <s v="REALIZADO"/>
    <s v="BRUNA"/>
    <d v="2025-11-05T00:00:00"/>
    <x v="0"/>
  </r>
  <r>
    <n v="50037924"/>
    <x v="90"/>
    <n v="1"/>
    <s v="REALIZADO"/>
    <s v="BRUNA"/>
    <d v="2025-11-05T00:00:00"/>
    <x v="2"/>
  </r>
  <r>
    <n v="50037924"/>
    <x v="90"/>
    <n v="1"/>
    <s v="REALIZADO"/>
    <s v="MATHEUS"/>
    <d v="2025-11-05T00:00:00"/>
    <x v="0"/>
  </r>
  <r>
    <n v="50010031"/>
    <x v="20"/>
    <n v="1"/>
    <s v="REALIZADO"/>
    <s v="BRUNA"/>
    <d v="2025-11-04T00:00:00"/>
    <x v="2"/>
  </r>
  <r>
    <n v="50010031"/>
    <x v="20"/>
    <n v="1"/>
    <s v="REALIZADO"/>
    <s v="BRUNA"/>
    <d v="2025-11-04T00:00:00"/>
    <x v="0"/>
  </r>
  <r>
    <n v="50038854"/>
    <x v="27"/>
    <n v="1"/>
    <s v="REALIZADO"/>
    <s v="AGATHA"/>
    <d v="2025-11-04T00:00:00"/>
    <x v="2"/>
  </r>
  <r>
    <n v="50038854"/>
    <x v="27"/>
    <n v="1"/>
    <s v="REALIZADO"/>
    <s v="AGATHA"/>
    <d v="2025-11-04T00:00:00"/>
    <x v="0"/>
  </r>
  <r>
    <n v="50043471"/>
    <x v="5"/>
    <n v="1"/>
    <s v="REALIZADO"/>
    <s v="AGATHA"/>
    <d v="2025-11-04T00:00:00"/>
    <x v="2"/>
  </r>
  <r>
    <n v="50043471"/>
    <x v="5"/>
    <n v="1"/>
    <s v="REALIZADO"/>
    <s v="AGATHA"/>
    <d v="2025-11-04T00:00:00"/>
    <x v="0"/>
  </r>
  <r>
    <n v="50043471"/>
    <x v="5"/>
    <n v="1"/>
    <s v="REALIZADO"/>
    <s v="BRUNA"/>
    <d v="2025-11-04T00:00:00"/>
    <x v="2"/>
  </r>
  <r>
    <n v="50043471"/>
    <x v="5"/>
    <n v="1"/>
    <s v="REALIZADO"/>
    <s v="BRUNA"/>
    <d v="2025-11-04T00:00:00"/>
    <x v="0"/>
  </r>
  <r>
    <n v="50029865"/>
    <x v="9"/>
    <n v="1"/>
    <s v="REALIZADO"/>
    <s v="AGATHA"/>
    <d v="2025-11-04T00:00:00"/>
    <x v="2"/>
  </r>
  <r>
    <n v="50029865"/>
    <x v="9"/>
    <n v="1"/>
    <s v="REALIZADO"/>
    <s v="MATHEUS"/>
    <d v="2025-11-04T00:00:00"/>
    <x v="0"/>
  </r>
  <r>
    <n v="50043320"/>
    <x v="35"/>
    <n v="1"/>
    <s v="REALIZADO"/>
    <s v="AGATHA"/>
    <d v="2025-11-04T00:00:00"/>
    <x v="2"/>
  </r>
  <r>
    <n v="50043320"/>
    <x v="35"/>
    <n v="1"/>
    <s v="REALIZADO"/>
    <s v="AGATHA"/>
    <d v="2025-11-04T00:00:00"/>
    <x v="0"/>
  </r>
  <r>
    <n v="50038956"/>
    <x v="10"/>
    <n v="1"/>
    <s v="REALIZADO"/>
    <s v="MARCIA"/>
    <d v="2025-11-04T00:00:00"/>
    <x v="2"/>
  </r>
  <r>
    <n v="50038956"/>
    <x v="10"/>
    <n v="1"/>
    <s v="REALIZADO"/>
    <s v="AGATHA"/>
    <d v="2025-11-04T00:00:00"/>
    <x v="0"/>
  </r>
  <r>
    <n v="50038956"/>
    <x v="10"/>
    <n v="1"/>
    <s v="REALIZADO"/>
    <s v="AGATHA"/>
    <d v="2025-11-04T00:00:00"/>
    <x v="2"/>
  </r>
  <r>
    <n v="50038956"/>
    <x v="10"/>
    <n v="1"/>
    <s v="REALIZADO"/>
    <s v="AGATHA"/>
    <d v="2025-11-04T00:00:00"/>
    <x v="0"/>
  </r>
  <r>
    <n v="50038517"/>
    <x v="0"/>
    <n v="1"/>
    <s v="REALIZADO"/>
    <s v="AGATHA"/>
    <d v="2025-11-04T00:00:00"/>
    <x v="2"/>
  </r>
  <r>
    <n v="50038517"/>
    <x v="0"/>
    <n v="1"/>
    <s v="REALIZADO"/>
    <s v="AGATHA"/>
    <d v="2025-11-04T00:00:00"/>
    <x v="0"/>
  </r>
  <r>
    <n v="50026357"/>
    <x v="24"/>
    <n v="1"/>
    <s v="REALIZADO"/>
    <s v="AGATHA"/>
    <d v="2025-11-04T00:00:00"/>
    <x v="2"/>
  </r>
  <r>
    <n v="50026357"/>
    <x v="24"/>
    <n v="1"/>
    <s v="REALIZADO"/>
    <s v="MATHEUS"/>
    <d v="2025-11-04T00:00:00"/>
    <x v="0"/>
  </r>
  <r>
    <n v="50041195"/>
    <x v="21"/>
    <n v="1"/>
    <s v="REALIZADO"/>
    <s v="AGATHA"/>
    <d v="2025-11-04T00:00:00"/>
    <x v="2"/>
  </r>
  <r>
    <n v="50041195"/>
    <x v="21"/>
    <n v="1"/>
    <s v="REALIZADO"/>
    <s v="MATHEUS"/>
    <d v="2025-11-04T00:00:00"/>
    <x v="0"/>
  </r>
  <r>
    <n v="50043917"/>
    <x v="66"/>
    <n v="1"/>
    <s v="REALIZADO"/>
    <s v="MATHEUS"/>
    <d v="2025-11-04T00:00:00"/>
    <x v="2"/>
  </r>
  <r>
    <n v="50043917"/>
    <x v="66"/>
    <n v="1"/>
    <s v="REALIZADO"/>
    <s v="MATHEUS"/>
    <d v="2025-11-04T00:00:00"/>
    <x v="0"/>
  </r>
  <r>
    <n v="50004486"/>
    <x v="40"/>
    <n v="1"/>
    <s v="REALIZADO"/>
    <s v="AGATHA"/>
    <d v="2025-11-04T00:00:00"/>
    <x v="2"/>
  </r>
  <r>
    <n v="50004486"/>
    <x v="40"/>
    <n v="1"/>
    <s v="REALIZADO"/>
    <s v="AGATHA"/>
    <d v="2025-11-04T00:00:00"/>
    <x v="0"/>
  </r>
  <r>
    <n v="50042283"/>
    <x v="47"/>
    <n v="1"/>
    <s v="REALIZADO"/>
    <s v="MARCIA"/>
    <d v="2025-11-04T00:00:00"/>
    <x v="2"/>
  </r>
  <r>
    <n v="50042283"/>
    <x v="47"/>
    <n v="1"/>
    <s v="REALIZADO"/>
    <s v="MATHEUS"/>
    <d v="2025-11-04T00:00:00"/>
    <x v="0"/>
  </r>
  <r>
    <n v="50010031"/>
    <x v="20"/>
    <n v="1"/>
    <s v="REALIZADO"/>
    <s v="AGATHA"/>
    <d v="2025-11-03T00:00:00"/>
    <x v="2"/>
  </r>
  <r>
    <n v="50010031"/>
    <x v="20"/>
    <n v="1"/>
    <s v="REALIZADO"/>
    <s v="BRUNO"/>
    <d v="2025-11-03T00:00:00"/>
    <x v="0"/>
  </r>
  <r>
    <n v="50036086"/>
    <x v="3"/>
    <n v="1"/>
    <s v="REALIZADO"/>
    <s v="BRUNA"/>
    <d v="2025-11-03T00:00:00"/>
    <x v="2"/>
  </r>
  <r>
    <n v="50036086"/>
    <x v="3"/>
    <n v="1"/>
    <s v="REALIZADO"/>
    <s v="BRUNO"/>
    <d v="2025-11-03T00:00:00"/>
    <x v="2"/>
  </r>
  <r>
    <n v="50003173"/>
    <x v="29"/>
    <n v="1"/>
    <s v="REALIZADO"/>
    <s v="BRUNO"/>
    <d v="2025-11-03T00:00:00"/>
    <x v="2"/>
  </r>
  <r>
    <n v="50030486"/>
    <x v="17"/>
    <n v="1"/>
    <s v="REALIZADO"/>
    <s v="AGATHA"/>
    <d v="2025-11-03T00:00:00"/>
    <x v="0"/>
  </r>
  <r>
    <n v="50030486"/>
    <x v="17"/>
    <n v="1"/>
    <s v="REALIZADO"/>
    <s v="AGATHA"/>
    <d v="2025-11-03T00:00:00"/>
    <x v="2"/>
  </r>
  <r>
    <n v="50030486"/>
    <x v="17"/>
    <n v="1"/>
    <s v="REALIZADO"/>
    <s v="AGATHA"/>
    <d v="2025-11-03T00:00:00"/>
    <x v="0"/>
  </r>
  <r>
    <n v="50030486"/>
    <x v="17"/>
    <n v="1"/>
    <s v="REALIZADO"/>
    <s v="BRUNA"/>
    <d v="2025-11-03T00:00:00"/>
    <x v="2"/>
  </r>
  <r>
    <n v="50030486"/>
    <x v="17"/>
    <n v="1"/>
    <s v="REALIZADO"/>
    <s v="BRUNO"/>
    <d v="2025-11-03T00:00:00"/>
    <x v="0"/>
  </r>
  <r>
    <n v="50039236"/>
    <x v="84"/>
    <n v="1"/>
    <s v="REALIZADO"/>
    <s v="AGATHA"/>
    <d v="2025-11-03T00:00:00"/>
    <x v="2"/>
  </r>
  <r>
    <n v="50039236"/>
    <x v="84"/>
    <n v="1"/>
    <s v="REALIZADO"/>
    <s v="AGATHA"/>
    <d v="2025-11-03T00:00:00"/>
    <x v="0"/>
  </r>
  <r>
    <n v="50043471"/>
    <x v="5"/>
    <n v="1"/>
    <s v="REALIZADO"/>
    <s v="MARCIA"/>
    <d v="2025-11-03T00:00:00"/>
    <x v="2"/>
  </r>
  <r>
    <n v="50043471"/>
    <x v="5"/>
    <n v="1"/>
    <s v="REALIZADO"/>
    <s v="BRUNO"/>
    <d v="2025-11-03T00:00:00"/>
    <x v="0"/>
  </r>
  <r>
    <n v="50003297"/>
    <x v="8"/>
    <n v="1"/>
    <s v="REALIZADO"/>
    <s v="MARCIA"/>
    <d v="2025-11-03T00:00:00"/>
    <x v="2"/>
  </r>
  <r>
    <n v="50003297"/>
    <x v="8"/>
    <n v="1"/>
    <s v="REALIZADO"/>
    <s v="BRUNO"/>
    <d v="2025-11-03T00:00:00"/>
    <x v="0"/>
  </r>
  <r>
    <n v="50038956"/>
    <x v="10"/>
    <n v="1"/>
    <s v="REALIZADO"/>
    <s v="AGATHA"/>
    <d v="2025-11-03T00:00:00"/>
    <x v="2"/>
  </r>
  <r>
    <n v="50038956"/>
    <x v="10"/>
    <n v="1"/>
    <s v="REALIZADO"/>
    <s v="BRUNA"/>
    <d v="2025-11-03T00:00:00"/>
    <x v="0"/>
  </r>
  <r>
    <n v="50038956"/>
    <x v="10"/>
    <n v="1"/>
    <s v="REALIZADO"/>
    <s v="BRUNO"/>
    <d v="2025-11-03T00:00:00"/>
    <x v="2"/>
  </r>
  <r>
    <n v="50038956"/>
    <x v="10"/>
    <n v="1"/>
    <s v="REALIZADO"/>
    <s v="BRUNO"/>
    <d v="2025-11-03T00:00:00"/>
    <x v="0"/>
  </r>
  <r>
    <n v="50037892"/>
    <x v="2"/>
    <n v="1"/>
    <s v="REALIZADO"/>
    <s v="MARCIA"/>
    <d v="2025-11-03T00:00:00"/>
    <x v="2"/>
  </r>
  <r>
    <n v="50037892"/>
    <x v="2"/>
    <n v="1"/>
    <s v="REALIZADO"/>
    <s v="MARCIA"/>
    <d v="2025-11-03T00:00:00"/>
    <x v="0"/>
  </r>
  <r>
    <n v="50037892"/>
    <x v="2"/>
    <n v="1"/>
    <s v="REALIZADO"/>
    <s v="BRUNO"/>
    <d v="2025-11-03T00:00:00"/>
    <x v="2"/>
  </r>
  <r>
    <n v="50037892"/>
    <x v="2"/>
    <n v="1"/>
    <s v="REALIZADO"/>
    <s v="BRUNO"/>
    <d v="2025-11-03T00:00:00"/>
    <x v="0"/>
  </r>
  <r>
    <n v="50037902"/>
    <x v="14"/>
    <n v="1"/>
    <s v="REALIZADO"/>
    <s v="MARCIA"/>
    <d v="2025-11-03T00:00:00"/>
    <x v="2"/>
  </r>
  <r>
    <n v="50037902"/>
    <x v="14"/>
    <n v="1"/>
    <s v="REALIZADO"/>
    <s v="AGATHA"/>
    <d v="2025-11-03T00:00:00"/>
    <x v="0"/>
  </r>
  <r>
    <n v="50037902"/>
    <x v="14"/>
    <n v="1"/>
    <s v="REALIZADO"/>
    <s v="AGATHA"/>
    <d v="2025-11-03T00:00:00"/>
    <x v="2"/>
  </r>
  <r>
    <n v="50037902"/>
    <x v="14"/>
    <n v="1"/>
    <s v="REALIZADO"/>
    <s v="AGATHA"/>
    <d v="2025-11-03T00:00:00"/>
    <x v="0"/>
  </r>
  <r>
    <n v="50037902"/>
    <x v="14"/>
    <n v="1"/>
    <s v="REALIZADO"/>
    <s v="AGATHA"/>
    <d v="2025-11-03T00:00:00"/>
    <x v="2"/>
  </r>
  <r>
    <n v="50037902"/>
    <x v="14"/>
    <n v="1"/>
    <s v="REALIZADO"/>
    <s v="BRUNO"/>
    <d v="2025-11-03T00:00:00"/>
    <x v="0"/>
  </r>
  <r>
    <n v="50038841"/>
    <x v="34"/>
    <n v="1"/>
    <s v="REALIZADO"/>
    <s v="MARCIA"/>
    <d v="2025-11-03T00:00:00"/>
    <x v="2"/>
  </r>
  <r>
    <n v="50038841"/>
    <x v="34"/>
    <n v="1"/>
    <s v="REALIZADO"/>
    <s v="BRUNO"/>
    <d v="2025-11-03T00:00:00"/>
    <x v="0"/>
  </r>
  <r>
    <n v="50039065"/>
    <x v="22"/>
    <n v="1"/>
    <s v="REALIZADO"/>
    <s v="AGATHA"/>
    <d v="2025-11-03T00:00:00"/>
    <x v="2"/>
  </r>
  <r>
    <n v="50039065"/>
    <x v="22"/>
    <n v="1"/>
    <s v="REALIZADO"/>
    <s v="BRUNO"/>
    <d v="2025-11-03T00:00:00"/>
    <x v="0"/>
  </r>
  <r>
    <n v="50039065"/>
    <x v="22"/>
    <n v="1"/>
    <s v="REALIZADO"/>
    <s v="BRUNO"/>
    <d v="2025-11-03T00:00:00"/>
    <x v="2"/>
  </r>
  <r>
    <n v="50039065"/>
    <x v="22"/>
    <n v="1"/>
    <s v="REALIZADO"/>
    <s v="BRUNO"/>
    <d v="2025-11-03T00:00:00"/>
    <x v="0"/>
  </r>
  <r>
    <n v="50038626"/>
    <x v="72"/>
    <n v="1"/>
    <s v="REALIZADO"/>
    <s v="AGATHA"/>
    <d v="2025-11-03T00:00:00"/>
    <x v="2"/>
  </r>
  <r>
    <n v="50038626"/>
    <x v="72"/>
    <n v="1"/>
    <s v="REALIZADO"/>
    <s v="BRUNO"/>
    <d v="2025-11-03T00:00:00"/>
    <x v="0"/>
  </r>
  <r>
    <n v="50041195"/>
    <x v="21"/>
    <n v="1"/>
    <s v="REALIZADO"/>
    <s v="JOÃO FRANCISCO"/>
    <d v="2025-11-03T00:00:00"/>
    <x v="2"/>
  </r>
  <r>
    <n v="50041195"/>
    <x v="21"/>
    <n v="1"/>
    <s v="REALIZADO"/>
    <s v="BRUNO"/>
    <d v="2025-11-03T00:00:00"/>
    <x v="0"/>
  </r>
  <r>
    <n v="50043917"/>
    <x v="66"/>
    <n v="1"/>
    <s v="REALIZADO"/>
    <s v="MARCIA"/>
    <d v="2025-11-03T00:00:00"/>
    <x v="2"/>
  </r>
  <r>
    <n v="50043917"/>
    <x v="66"/>
    <n v="1"/>
    <s v="REALIZADO"/>
    <s v="BRUNO"/>
    <d v="2025-11-03T00:00:00"/>
    <x v="0"/>
  </r>
  <r>
    <n v="50012903"/>
    <x v="31"/>
    <n v="1"/>
    <s v="REALIZADO"/>
    <s v="AGATHA"/>
    <d v="2025-11-03T00:00:00"/>
    <x v="2"/>
  </r>
  <r>
    <n v="50012903"/>
    <x v="31"/>
    <n v="1"/>
    <s v="REALIZADO"/>
    <s v="BRUNO"/>
    <d v="2025-11-03T00:00:00"/>
    <x v="0"/>
  </r>
  <r>
    <n v="50012902"/>
    <x v="30"/>
    <n v="1"/>
    <s v="REALIZADO"/>
    <s v="AGATHA"/>
    <d v="2025-11-03T00:00:00"/>
    <x v="2"/>
  </r>
  <r>
    <n v="50012902"/>
    <x v="30"/>
    <n v="1"/>
    <s v="REALIZADO"/>
    <s v="BRUNO"/>
    <d v="2025-11-03T00:00:00"/>
    <x v="2"/>
  </r>
  <r>
    <n v="50032781"/>
    <x v="12"/>
    <n v="1"/>
    <s v="REALIZADO"/>
    <s v="MARCIA"/>
    <d v="2025-11-03T00:00:00"/>
    <x v="2"/>
  </r>
  <r>
    <n v="50032781"/>
    <x v="12"/>
    <n v="1"/>
    <s v="NÃO REALIZADO"/>
    <s v="MARCIA"/>
    <d v="2025-11-03T00:00:00"/>
    <x v="0"/>
  </r>
  <r>
    <n v="50032781"/>
    <x v="12"/>
    <n v="1"/>
    <s v="REALIZADO"/>
    <s v="AGATHA"/>
    <d v="2025-11-03T00:00:00"/>
    <x v="2"/>
  </r>
  <r>
    <n v="50032781"/>
    <x v="12"/>
    <n v="1"/>
    <s v="REALIZADO"/>
    <s v="AGATHA"/>
    <d v="2025-11-03T00:00:00"/>
    <x v="0"/>
  </r>
  <r>
    <n v="50043150"/>
    <x v="4"/>
    <n v="1"/>
    <s v="REALIZADO"/>
    <s v="AGATHA"/>
    <d v="2025-11-03T00:00:00"/>
    <x v="2"/>
  </r>
  <r>
    <n v="50043150"/>
    <x v="4"/>
    <n v="1"/>
    <s v="REALIZADO"/>
    <s v="BRUNA"/>
    <d v="2025-11-03T00:00:00"/>
    <x v="2"/>
  </r>
  <r>
    <n v="50010031"/>
    <x v="20"/>
    <n v="1"/>
    <s v="NÃO REALIZADO"/>
    <s v="BRUNA"/>
    <d v="2025-11-02T00:00:00"/>
    <x v="0"/>
  </r>
  <r>
    <n v="50010031"/>
    <x v="20"/>
    <n v="1"/>
    <s v="NÃO REALIZADO"/>
    <s v="BRUNA"/>
    <d v="2025-11-02T00:00:00"/>
    <x v="2"/>
  </r>
  <r>
    <n v="50010031"/>
    <x v="20"/>
    <n v="1"/>
    <s v="NÃO REALIZADO"/>
    <s v="BRUNA"/>
    <d v="2025-11-02T00:00:00"/>
    <x v="2"/>
  </r>
  <r>
    <n v="50002644"/>
    <x v="83"/>
    <n v="1"/>
    <s v="REALIZADO"/>
    <s v="BRUNA"/>
    <d v="2025-11-02T00:00:00"/>
    <x v="0"/>
  </r>
  <r>
    <n v="50030486"/>
    <x v="17"/>
    <n v="1"/>
    <s v="REALIZADO"/>
    <s v="BRUNA"/>
    <d v="2025-11-02T00:00:00"/>
    <x v="2"/>
  </r>
  <r>
    <n v="50030486"/>
    <x v="17"/>
    <n v="1"/>
    <s v="REALIZADO"/>
    <s v="BRUNA"/>
    <d v="2025-11-02T00:00:00"/>
    <x v="2"/>
  </r>
  <r>
    <n v="50043471"/>
    <x v="5"/>
    <n v="1"/>
    <s v="REALIZADO"/>
    <s v="BRUNA"/>
    <d v="2025-11-02T00:00:00"/>
    <x v="0"/>
  </r>
  <r>
    <n v="50043471"/>
    <x v="5"/>
    <n v="1"/>
    <s v="REALIZADO"/>
    <s v="BRUNA"/>
    <d v="2025-11-02T00:00:00"/>
    <x v="2"/>
  </r>
  <r>
    <n v="50043471"/>
    <x v="5"/>
    <n v="1"/>
    <s v="REALIZADO"/>
    <s v="BRUNA"/>
    <d v="2025-11-02T00:00:00"/>
    <x v="0"/>
  </r>
  <r>
    <n v="50038549"/>
    <x v="6"/>
    <n v="1"/>
    <s v="REALIZADO"/>
    <s v="BRUNA"/>
    <d v="2025-11-02T00:00:00"/>
    <x v="2"/>
  </r>
  <r>
    <n v="50038549"/>
    <x v="6"/>
    <n v="1"/>
    <s v="REALIZADO"/>
    <s v="BRUNA"/>
    <d v="2025-11-02T00:00:00"/>
    <x v="2"/>
  </r>
  <r>
    <n v="50022878"/>
    <x v="18"/>
    <n v="1"/>
    <s v="REALIZADO"/>
    <s v="BRUNA"/>
    <d v="2025-11-02T00:00:00"/>
    <x v="0"/>
  </r>
  <r>
    <n v="50038956"/>
    <x v="10"/>
    <n v="1"/>
    <s v="NÃO REALIZADO"/>
    <s v="BRUNA"/>
    <d v="2025-11-02T00:00:00"/>
    <x v="2"/>
  </r>
  <r>
    <n v="50038956"/>
    <x v="10"/>
    <n v="1"/>
    <s v="REALIZADO"/>
    <s v="BRUNA"/>
    <d v="2025-11-02T00:00:00"/>
    <x v="0"/>
  </r>
  <r>
    <n v="50037892"/>
    <x v="2"/>
    <n v="1"/>
    <s v="REALIZADO"/>
    <s v="BRUNA"/>
    <d v="2025-11-02T00:00:00"/>
    <x v="2"/>
  </r>
  <r>
    <n v="50037892"/>
    <x v="2"/>
    <n v="1"/>
    <s v="REALIZADO"/>
    <s v="BRUNA"/>
    <d v="2025-11-02T00:00:00"/>
    <x v="0"/>
  </r>
  <r>
    <n v="50037902"/>
    <x v="14"/>
    <n v="1"/>
    <s v="REALIZADO"/>
    <s v="BRUNA"/>
    <d v="2025-11-02T00:00:00"/>
    <x v="2"/>
  </r>
  <r>
    <n v="50037902"/>
    <x v="14"/>
    <n v="1"/>
    <s v="REALIZADO"/>
    <s v="BRUNA"/>
    <d v="2025-11-02T00:00:00"/>
    <x v="2"/>
  </r>
  <r>
    <n v="50038841"/>
    <x v="34"/>
    <n v="1"/>
    <s v="REALIZADO"/>
    <s v="BRUNA"/>
    <d v="2025-11-02T00:00:00"/>
    <x v="2"/>
  </r>
  <r>
    <n v="50037903"/>
    <x v="91"/>
    <n v="1"/>
    <s v="REALIZADO"/>
    <s v="BRUNA"/>
    <d v="2025-11-02T00:00:00"/>
    <x v="0"/>
  </r>
  <r>
    <n v="50026357"/>
    <x v="24"/>
    <n v="1"/>
    <s v="NÃO REALIZADO"/>
    <s v="BRUNA"/>
    <d v="2025-11-02T00:00:00"/>
    <x v="2"/>
  </r>
  <r>
    <n v="50026357"/>
    <x v="24"/>
    <n v="1"/>
    <s v="REALIZADO"/>
    <s v="BRUNA"/>
    <d v="2025-11-02T00:00:00"/>
    <x v="0"/>
  </r>
  <r>
    <n v="50041124"/>
    <x v="77"/>
    <n v="1"/>
    <s v="NÃO REALIZADO"/>
    <s v="BRUNA"/>
    <d v="2025-11-02T00:00:00"/>
    <x v="2"/>
  </r>
  <r>
    <n v="50041124"/>
    <x v="77"/>
    <n v="1"/>
    <s v="NÃO REALIZADO"/>
    <s v="BRUNA"/>
    <d v="2025-11-02T00:00:00"/>
    <x v="2"/>
  </r>
  <r>
    <n v="50043917"/>
    <x v="66"/>
    <n v="1"/>
    <s v="REALIZADO"/>
    <s v="BRUNA"/>
    <d v="2025-11-02T00:00:00"/>
    <x v="0"/>
  </r>
  <r>
    <n v="50043917"/>
    <x v="66"/>
    <n v="1"/>
    <s v="REALIZADO"/>
    <s v="BRUNA"/>
    <d v="2025-11-02T00:00:00"/>
    <x v="2"/>
  </r>
  <r>
    <n v="50043917"/>
    <x v="66"/>
    <n v="1"/>
    <s v="REALIZADO"/>
    <s v="BRUNA"/>
    <d v="2025-11-02T00:00:00"/>
    <x v="2"/>
  </r>
  <r>
    <n v="50020622"/>
    <x v="42"/>
    <n v="1"/>
    <s v="REALIZADO"/>
    <s v="BRUNA"/>
    <d v="2025-11-02T00:00:00"/>
    <x v="2"/>
  </r>
  <r>
    <n v="50012902"/>
    <x v="30"/>
    <n v="1"/>
    <s v="REALIZADO"/>
    <s v="BRUNA"/>
    <d v="2025-11-02T00:00:00"/>
    <x v="0"/>
  </r>
  <r>
    <n v="50038840"/>
    <x v="68"/>
    <n v="1"/>
    <s v="NÃO REALIZADO"/>
    <s v="BRUNA"/>
    <d v="2025-11-02T00:00:00"/>
    <x v="2"/>
  </r>
  <r>
    <n v="50038840"/>
    <x v="68"/>
    <n v="1"/>
    <s v="REALIZADO"/>
    <s v="BRUNA"/>
    <d v="2025-11-02T00:00:00"/>
    <x v="0"/>
  </r>
  <r>
    <n v="50038618"/>
    <x v="88"/>
    <n v="1"/>
    <s v="NÃO REALIZADO"/>
    <s v="BRUNA"/>
    <d v="2025-11-02T00:00:00"/>
    <x v="2"/>
  </r>
  <r>
    <n v="50038618"/>
    <x v="88"/>
    <n v="1"/>
    <s v="REALIZADO"/>
    <s v="BRUNA"/>
    <d v="2025-11-02T00:00:00"/>
    <x v="2"/>
  </r>
  <r>
    <n v="50037952"/>
    <x v="56"/>
    <n v="1"/>
    <s v="REALIZADO"/>
    <s v="BRUNA"/>
    <d v="2025-11-02T00:00:00"/>
    <x v="0"/>
  </r>
  <r>
    <n v="50037933"/>
    <x v="43"/>
    <n v="1"/>
    <s v="REALIZADO"/>
    <s v="BRUNA"/>
    <d v="2025-11-02T00:00:00"/>
    <x v="2"/>
  </r>
  <r>
    <n v="50037933"/>
    <x v="43"/>
    <n v="1"/>
    <s v="REALIZADO"/>
    <s v="BRUNA"/>
    <d v="2025-11-02T00:00:00"/>
    <x v="2"/>
  </r>
  <r>
    <n v="50029865"/>
    <x v="9"/>
    <n v="1"/>
    <s v="REALIZADO"/>
    <s v="MARCIA"/>
    <d v="2025-11-01T00:00:00"/>
    <x v="2"/>
  </r>
  <r>
    <n v="50037902"/>
    <x v="14"/>
    <m/>
    <s v="REALIZADO"/>
    <s v="MARCIA"/>
    <d v="2025-11-01T00:00:00"/>
    <x v="2"/>
  </r>
  <r>
    <n v="50041195"/>
    <x v="21"/>
    <n v="1"/>
    <s v="REALIZADO"/>
    <s v="MARCIA"/>
    <d v="2025-11-01T00:00:00"/>
    <x v="0"/>
  </r>
  <r>
    <n v="50010031"/>
    <x v="20"/>
    <n v="1"/>
    <s v="REALIZADO"/>
    <s v="AGATHA"/>
    <d v="2025-10-31T00:00:00"/>
    <x v="2"/>
  </r>
  <r>
    <n v="50010031"/>
    <x v="20"/>
    <n v="1"/>
    <s v="REALIZADO"/>
    <s v="MATHEUS"/>
    <d v="2025-10-31T00:00:00"/>
    <x v="0"/>
  </r>
  <r>
    <n v="50038854"/>
    <x v="27"/>
    <n v="1"/>
    <s v="REALIZADO"/>
    <s v="AGATHA"/>
    <d v="2025-10-31T00:00:00"/>
    <x v="2"/>
  </r>
  <r>
    <n v="50038854"/>
    <x v="27"/>
    <n v="1"/>
    <s v="REALIZADO"/>
    <s v="AGATHA"/>
    <d v="2025-10-31T00:00:00"/>
    <x v="2"/>
  </r>
  <r>
    <n v="50036086"/>
    <x v="3"/>
    <n v="1"/>
    <s v="REALIZADO"/>
    <s v="MATHEUS"/>
    <d v="2025-10-31T00:00:00"/>
    <x v="2"/>
  </r>
  <r>
    <n v="50038842"/>
    <x v="28"/>
    <n v="1"/>
    <s v="REALIZADO"/>
    <s v="AGATHA"/>
    <d v="2025-10-31T00:00:00"/>
    <x v="0"/>
  </r>
  <r>
    <n v="50037905"/>
    <x v="49"/>
    <n v="1"/>
    <s v="REALIZADO"/>
    <s v="AGATHA"/>
    <d v="2025-10-31T00:00:00"/>
    <x v="2"/>
  </r>
  <r>
    <n v="50037905"/>
    <x v="49"/>
    <n v="1"/>
    <s v="REALIZADO"/>
    <s v="AGATHA"/>
    <d v="2025-10-31T00:00:00"/>
    <x v="0"/>
  </r>
  <r>
    <n v="50037905"/>
    <x v="49"/>
    <n v="1"/>
    <s v="REALIZADO"/>
    <s v="AGATHA"/>
    <d v="2025-10-31T00:00:00"/>
    <x v="2"/>
  </r>
  <r>
    <n v="50037905"/>
    <x v="49"/>
    <n v="1"/>
    <s v="REALIZADO"/>
    <s v="BRUNA"/>
    <d v="2025-10-31T00:00:00"/>
    <x v="0"/>
  </r>
  <r>
    <n v="50037905"/>
    <x v="49"/>
    <n v="1"/>
    <s v="REALIZADO"/>
    <s v="MATHEUS"/>
    <d v="2025-10-31T00:00:00"/>
    <x v="0"/>
  </r>
  <r>
    <n v="50030486"/>
    <x v="17"/>
    <n v="1"/>
    <s v="REALIZADO"/>
    <s v="AGATHA"/>
    <d v="2025-10-31T00:00:00"/>
    <x v="2"/>
  </r>
  <r>
    <n v="50030486"/>
    <x v="17"/>
    <n v="1"/>
    <s v="REALIZADO"/>
    <s v="MATHEUS"/>
    <d v="2025-10-31T00:00:00"/>
    <x v="0"/>
  </r>
  <r>
    <n v="50030486"/>
    <x v="17"/>
    <n v="1"/>
    <s v="REALIZADO"/>
    <s v="MATHEUS"/>
    <d v="2025-10-31T00:00:00"/>
    <x v="0"/>
  </r>
  <r>
    <n v="50039236"/>
    <x v="84"/>
    <n v="1"/>
    <s v="REALIZADO"/>
    <s v="MATHEUS"/>
    <d v="2025-10-31T00:00:00"/>
    <x v="0"/>
  </r>
  <r>
    <n v="50043471"/>
    <x v="5"/>
    <n v="1"/>
    <s v="REALIZADO"/>
    <s v="AGATHA"/>
    <d v="2025-10-31T00:00:00"/>
    <x v="2"/>
  </r>
  <r>
    <n v="50043471"/>
    <x v="5"/>
    <n v="1"/>
    <s v="REALIZADO"/>
    <s v="BRUNA"/>
    <d v="2025-10-31T00:00:00"/>
    <x v="0"/>
  </r>
  <r>
    <n v="50043471"/>
    <x v="5"/>
    <n v="1"/>
    <s v="REALIZADO"/>
    <s v="MATHEUS"/>
    <d v="2025-10-31T00:00:00"/>
    <x v="0"/>
  </r>
  <r>
    <n v="50003297"/>
    <x v="8"/>
    <n v="1"/>
    <s v="REALIZADO"/>
    <s v="BRUNA"/>
    <d v="2025-10-31T00:00:00"/>
    <x v="2"/>
  </r>
  <r>
    <n v="50003297"/>
    <x v="8"/>
    <n v="1"/>
    <s v="REALIZADO"/>
    <s v="MATHEUS"/>
    <d v="2025-10-31T00:00:00"/>
    <x v="0"/>
  </r>
  <r>
    <n v="50038549"/>
    <x v="6"/>
    <n v="1"/>
    <s v="REALIZADO"/>
    <s v="AGATHA"/>
    <d v="2025-10-31T00:00:00"/>
    <x v="2"/>
  </r>
  <r>
    <n v="50038549"/>
    <x v="6"/>
    <n v="1"/>
    <s v="REALIZADO"/>
    <s v="GEOVANE"/>
    <d v="2025-10-31T00:00:00"/>
    <x v="0"/>
  </r>
  <r>
    <n v="50038956"/>
    <x v="10"/>
    <n v="1"/>
    <s v="REALIZADO"/>
    <s v="MATHEUS"/>
    <d v="2025-10-31T00:00:00"/>
    <x v="2"/>
  </r>
  <r>
    <n v="50037902"/>
    <x v="14"/>
    <n v="1"/>
    <s v="REALIZADO"/>
    <s v="AGATHA"/>
    <d v="2025-10-31T00:00:00"/>
    <x v="0"/>
  </r>
  <r>
    <n v="50037902"/>
    <x v="14"/>
    <n v="1"/>
    <s v="REALIZADO"/>
    <s v="BRUNA"/>
    <d v="2025-10-31T00:00:00"/>
    <x v="2"/>
  </r>
  <r>
    <n v="50037902"/>
    <x v="14"/>
    <n v="1"/>
    <s v="REALIZADO"/>
    <s v="MATHEUS"/>
    <d v="2025-10-31T00:00:00"/>
    <x v="0"/>
  </r>
  <r>
    <n v="50037902"/>
    <x v="14"/>
    <n v="1"/>
    <s v="REALIZADO"/>
    <s v="BRUNA"/>
    <d v="2025-10-31T00:00:00"/>
    <x v="2"/>
  </r>
  <r>
    <n v="50037902"/>
    <x v="14"/>
    <n v="1"/>
    <s v="REALIZADO"/>
    <s v="BRUNA"/>
    <d v="2025-10-31T00:00:00"/>
    <x v="2"/>
  </r>
  <r>
    <n v="50038841"/>
    <x v="34"/>
    <n v="1"/>
    <s v="REALIZADO"/>
    <s v="AGATHA"/>
    <d v="2025-10-31T00:00:00"/>
    <x v="0"/>
  </r>
  <r>
    <n v="50038841"/>
    <x v="34"/>
    <n v="1"/>
    <s v="REALIZADO"/>
    <s v="AGATHA"/>
    <d v="2025-10-31T00:00:00"/>
    <x v="2"/>
  </r>
  <r>
    <n v="50038841"/>
    <x v="34"/>
    <n v="1"/>
    <s v="REALIZADO"/>
    <s v="BRUNA"/>
    <d v="2025-10-31T00:00:00"/>
    <x v="0"/>
  </r>
  <r>
    <n v="50038517"/>
    <x v="0"/>
    <n v="1"/>
    <s v="REALIZADO"/>
    <s v="AGATHA"/>
    <d v="2025-10-31T00:00:00"/>
    <x v="0"/>
  </r>
  <r>
    <n v="50038517"/>
    <x v="0"/>
    <n v="1"/>
    <s v="REALIZADO"/>
    <s v="AGATHA"/>
    <d v="2025-10-31T00:00:00"/>
    <x v="2"/>
  </r>
  <r>
    <n v="50038517"/>
    <x v="0"/>
    <n v="1"/>
    <s v="REALIZADO"/>
    <s v="BRUNA"/>
    <d v="2025-10-31T00:00:00"/>
    <x v="0"/>
  </r>
  <r>
    <n v="50038517"/>
    <x v="0"/>
    <n v="1"/>
    <s v="REALIZADO"/>
    <s v="MATHEUS"/>
    <d v="2025-10-31T00:00:00"/>
    <x v="2"/>
  </r>
  <r>
    <n v="50039065"/>
    <x v="22"/>
    <n v="1"/>
    <s v="REALIZADO"/>
    <s v="MATHEUS"/>
    <d v="2025-10-31T00:00:00"/>
    <x v="0"/>
  </r>
  <r>
    <n v="50039065"/>
    <x v="22"/>
    <n v="1"/>
    <s v="REALIZADO"/>
    <s v="BRUNA"/>
    <d v="2025-10-31T00:00:00"/>
    <x v="2"/>
  </r>
  <r>
    <n v="50039065"/>
    <x v="22"/>
    <n v="1"/>
    <s v="REALIZADO"/>
    <s v="BRUNA"/>
    <d v="2025-10-31T00:00:00"/>
    <x v="0"/>
  </r>
  <r>
    <n v="50026357"/>
    <x v="24"/>
    <n v="1"/>
    <s v="REALIZADO"/>
    <s v="MATHEUS"/>
    <d v="2025-10-31T00:00:00"/>
    <x v="0"/>
  </r>
  <r>
    <n v="50041195"/>
    <x v="21"/>
    <n v="1"/>
    <s v="REALIZADO"/>
    <s v="AGATHA"/>
    <d v="2025-10-31T00:00:00"/>
    <x v="0"/>
  </r>
  <r>
    <n v="50043917"/>
    <x v="66"/>
    <n v="1"/>
    <s v="REALIZADO"/>
    <s v="AGATHA"/>
    <d v="2025-10-31T00:00:00"/>
    <x v="2"/>
  </r>
  <r>
    <n v="50043917"/>
    <x v="66"/>
    <n v="1"/>
    <s v="REALIZADO"/>
    <s v="BRUNA"/>
    <d v="2025-10-31T00:00:00"/>
    <x v="0"/>
  </r>
  <r>
    <n v="50012902"/>
    <x v="30"/>
    <n v="1"/>
    <s v="REALIZADO"/>
    <s v="BRUNA"/>
    <d v="2025-10-31T00:00:00"/>
    <x v="2"/>
  </r>
  <r>
    <n v="50012902"/>
    <x v="30"/>
    <n v="1"/>
    <s v="REALIZADO"/>
    <s v="BRUNA"/>
    <d v="2025-10-31T00:00:00"/>
    <x v="2"/>
  </r>
  <r>
    <n v="50032775"/>
    <x v="13"/>
    <n v="1"/>
    <s v="REALIZADO"/>
    <s v="AGATHA"/>
    <d v="2025-10-31T00:00:00"/>
    <x v="2"/>
  </r>
  <r>
    <n v="50038840"/>
    <x v="68"/>
    <n v="1"/>
    <s v="REALIZADO"/>
    <s v="MATHEUS"/>
    <d v="2025-10-31T00:00:00"/>
    <x v="2"/>
  </r>
  <r>
    <n v="50037933"/>
    <x v="43"/>
    <n v="1"/>
    <s v="REALIZADO"/>
    <s v="AGATHA"/>
    <d v="2025-10-31T00:00:00"/>
    <x v="0"/>
  </r>
  <r>
    <n v="50040691"/>
    <x v="92"/>
    <n v="1"/>
    <s v="REALIZADO"/>
    <s v="MATHEUS"/>
    <d v="2025-10-31T00:00:00"/>
    <x v="0"/>
  </r>
  <r>
    <n v="50010031"/>
    <x v="20"/>
    <n v="1"/>
    <s v="REALIZADO"/>
    <s v="GEOVANE"/>
    <d v="2025-10-30T00:00:00"/>
    <x v="2"/>
  </r>
  <r>
    <n v="50010031"/>
    <x v="20"/>
    <n v="1"/>
    <s v="REALIZADO"/>
    <s v="GEOVANE"/>
    <d v="2025-10-30T00:00:00"/>
    <x v="0"/>
  </r>
  <r>
    <n v="50039718"/>
    <x v="11"/>
    <n v="1"/>
    <s v="REALIZADO"/>
    <s v="GEOVANE"/>
    <d v="2025-10-30T00:00:00"/>
    <x v="2"/>
  </r>
  <r>
    <n v="50039718"/>
    <x v="11"/>
    <n v="1"/>
    <s v="REALIZADO"/>
    <s v="GEOVANE"/>
    <d v="2025-10-30T00:00:00"/>
    <x v="0"/>
  </r>
  <r>
    <n v="50037905"/>
    <x v="49"/>
    <n v="1"/>
    <s v="REALIZADO"/>
    <s v="GEOVANE"/>
    <d v="2025-10-30T00:00:00"/>
    <x v="2"/>
  </r>
  <r>
    <n v="50037905"/>
    <x v="49"/>
    <n v="1"/>
    <s v="REALIZADO"/>
    <s v="GEOVANE"/>
    <d v="2025-10-30T00:00:00"/>
    <x v="2"/>
  </r>
  <r>
    <n v="50030486"/>
    <x v="17"/>
    <n v="1"/>
    <s v="REALIZADO"/>
    <s v="GEOVANE"/>
    <d v="2025-10-30T00:00:00"/>
    <x v="0"/>
  </r>
  <r>
    <n v="50039236"/>
    <x v="84"/>
    <n v="1"/>
    <s v="REALIZADO"/>
    <s v="GEOVANE"/>
    <d v="2025-10-30T00:00:00"/>
    <x v="2"/>
  </r>
  <r>
    <n v="50039236"/>
    <x v="84"/>
    <n v="1"/>
    <s v="REALIZADO"/>
    <s v="GEOVANE"/>
    <d v="2025-10-30T00:00:00"/>
    <x v="0"/>
  </r>
  <r>
    <n v="50039236"/>
    <x v="84"/>
    <n v="1"/>
    <s v="REALIZADO"/>
    <s v="MATHEUS"/>
    <d v="2025-10-30T00:00:00"/>
    <x v="2"/>
  </r>
  <r>
    <n v="50039236"/>
    <x v="84"/>
    <n v="1"/>
    <s v="REALIZADO"/>
    <s v="BRUNA"/>
    <d v="2025-10-30T00:00:00"/>
    <x v="2"/>
  </r>
  <r>
    <n v="50043471"/>
    <x v="5"/>
    <n v="1"/>
    <s v="REALIZADO"/>
    <s v="GEOVANE"/>
    <d v="2025-10-30T00:00:00"/>
    <x v="2"/>
  </r>
  <r>
    <n v="50043471"/>
    <x v="5"/>
    <n v="1"/>
    <s v="REALIZADO"/>
    <s v="BRUNA"/>
    <d v="2025-10-30T00:00:00"/>
    <x v="0"/>
  </r>
  <r>
    <n v="50043471"/>
    <x v="5"/>
    <n v="1"/>
    <s v="REALIZADO"/>
    <s v="MATHEUS"/>
    <d v="2025-10-30T00:00:00"/>
    <x v="2"/>
  </r>
  <r>
    <n v="50043471"/>
    <x v="5"/>
    <n v="1"/>
    <s v="NÃO REALIZADO"/>
    <s v="MATHEUS"/>
    <d v="2025-10-30T00:00:00"/>
    <x v="2"/>
  </r>
  <r>
    <n v="50003297"/>
    <x v="8"/>
    <n v="1"/>
    <s v="REALIZADO"/>
    <s v="MATHEUS"/>
    <d v="2025-10-30T00:00:00"/>
    <x v="2"/>
  </r>
  <r>
    <n v="50044839"/>
    <x v="79"/>
    <n v="1"/>
    <s v="REALIZADO"/>
    <s v="GEOVANE"/>
    <d v="2025-10-30T00:00:00"/>
    <x v="2"/>
  </r>
  <r>
    <n v="50022878"/>
    <x v="18"/>
    <n v="1"/>
    <s v="REALIZADO"/>
    <s v="MATHEUS"/>
    <d v="2025-10-30T00:00:00"/>
    <x v="2"/>
  </r>
  <r>
    <n v="50022878"/>
    <x v="18"/>
    <n v="1"/>
    <s v="REALIZADO"/>
    <s v="BRUNA"/>
    <d v="2025-10-30T00:00:00"/>
    <x v="0"/>
  </r>
  <r>
    <n v="50038956"/>
    <x v="10"/>
    <n v="1"/>
    <s v="REALIZADO"/>
    <s v="GEOVANE"/>
    <d v="2025-10-30T00:00:00"/>
    <x v="2"/>
  </r>
  <r>
    <n v="50038956"/>
    <x v="10"/>
    <n v="1"/>
    <s v="REALIZADO"/>
    <s v="GEOVANE"/>
    <d v="2025-10-30T00:00:00"/>
    <x v="2"/>
  </r>
  <r>
    <n v="50037902"/>
    <x v="14"/>
    <n v="1"/>
    <s v="REALIZADO"/>
    <s v="MATHEUS"/>
    <d v="2025-10-30T00:00:00"/>
    <x v="2"/>
  </r>
  <r>
    <n v="50038841"/>
    <x v="34"/>
    <n v="1"/>
    <s v="REALIZADO"/>
    <s v="MATHEUS"/>
    <d v="2025-10-30T00:00:00"/>
    <x v="0"/>
  </r>
  <r>
    <n v="50038841"/>
    <x v="34"/>
    <n v="1"/>
    <s v="REALIZADO"/>
    <s v="BRUNA"/>
    <d v="2025-10-30T00:00:00"/>
    <x v="2"/>
  </r>
  <r>
    <n v="50038841"/>
    <x v="34"/>
    <n v="1"/>
    <s v="REALIZADO"/>
    <s v="BRUNA"/>
    <d v="2025-10-30T00:00:00"/>
    <x v="2"/>
  </r>
  <r>
    <n v="50038517"/>
    <x v="0"/>
    <n v="1"/>
    <s v="REALIZADO"/>
    <s v="GEOVANE"/>
    <d v="2025-10-30T00:00:00"/>
    <x v="0"/>
  </r>
  <r>
    <n v="50038517"/>
    <x v="0"/>
    <n v="1"/>
    <s v="REALIZADO"/>
    <s v="MATHEUS"/>
    <d v="2025-10-30T00:00:00"/>
    <x v="2"/>
  </r>
  <r>
    <n v="50038517"/>
    <x v="0"/>
    <n v="1"/>
    <s v="REALIZADO"/>
    <s v="BRUNA"/>
    <d v="2025-10-30T00:00:00"/>
    <x v="2"/>
  </r>
  <r>
    <n v="50039065"/>
    <x v="22"/>
    <n v="1"/>
    <s v="REALIZADO"/>
    <s v="MATHEUS"/>
    <d v="2025-10-30T00:00:00"/>
    <x v="0"/>
  </r>
  <r>
    <n v="50026357"/>
    <x v="24"/>
    <n v="1"/>
    <s v="REALIZADO"/>
    <s v="GEOVANE"/>
    <d v="2025-10-30T00:00:00"/>
    <x v="2"/>
  </r>
  <r>
    <n v="50026357"/>
    <x v="24"/>
    <n v="1"/>
    <s v="REALIZADO"/>
    <s v="GEOVANE"/>
    <d v="2025-10-30T00:00:00"/>
    <x v="2"/>
  </r>
  <r>
    <n v="50041195"/>
    <x v="21"/>
    <n v="1"/>
    <s v="REALIZADO"/>
    <s v="MATHEUS"/>
    <d v="2025-10-30T00:00:00"/>
    <x v="2"/>
  </r>
  <r>
    <n v="50043917"/>
    <x v="66"/>
    <n v="1"/>
    <s v="REALIZADO"/>
    <s v="BRUNA"/>
    <d v="2025-10-30T00:00:00"/>
    <x v="0"/>
  </r>
  <r>
    <n v="50020622"/>
    <x v="42"/>
    <n v="1"/>
    <s v="REALIZADO"/>
    <s v="BRUNA"/>
    <d v="2025-10-30T00:00:00"/>
    <x v="2"/>
  </r>
  <r>
    <n v="50020622"/>
    <x v="42"/>
    <n v="1"/>
    <s v="REALIZADO"/>
    <s v="BRUNA"/>
    <d v="2025-10-30T00:00:00"/>
    <x v="0"/>
  </r>
  <r>
    <n v="50043150"/>
    <x v="4"/>
    <n v="1"/>
    <s v="REALIZADO"/>
    <s v="GEOVANE"/>
    <d v="2025-10-30T00:00:00"/>
    <x v="2"/>
  </r>
  <r>
    <n v="50043150"/>
    <x v="4"/>
    <n v="1"/>
    <s v="REALIZADO"/>
    <s v="GEOVANE"/>
    <d v="2025-10-30T00:00:00"/>
    <x v="2"/>
  </r>
  <r>
    <n v="50040691"/>
    <x v="92"/>
    <n v="1"/>
    <s v="REALIZADO"/>
    <s v="BRUNA"/>
    <d v="2025-10-30T00:00:00"/>
    <x v="0"/>
  </r>
  <r>
    <n v="50043151"/>
    <x v="86"/>
    <n v="1"/>
    <s v="REALIZADO"/>
    <s v="BRUNA"/>
    <d v="2025-10-30T00:00:00"/>
    <x v="2"/>
  </r>
  <r>
    <n v="50043151"/>
    <x v="86"/>
    <n v="1"/>
    <s v="REALIZADO"/>
    <s v="MATHEUS"/>
    <d v="2025-10-30T00:00:00"/>
    <x v="0"/>
  </r>
  <r>
    <n v="50010031"/>
    <x v="20"/>
    <n v="1"/>
    <s v="REALIZADO"/>
    <s v="AGATHA"/>
    <d v="2025-10-29T00:00:00"/>
    <x v="2"/>
  </r>
  <r>
    <n v="50010031"/>
    <x v="20"/>
    <n v="1"/>
    <s v="REALIZADO"/>
    <s v="MATHEUS"/>
    <d v="2025-10-29T00:00:00"/>
    <x v="2"/>
  </r>
  <r>
    <n v="50038854"/>
    <x v="27"/>
    <n v="1"/>
    <s v="REALIZADO"/>
    <s v="AGATHA"/>
    <d v="2025-10-29T00:00:00"/>
    <x v="0"/>
  </r>
  <r>
    <n v="50041939"/>
    <x v="89"/>
    <n v="1"/>
    <s v="REALIZADO"/>
    <s v="MATHEUS"/>
    <d v="2025-10-29T00:00:00"/>
    <x v="2"/>
  </r>
  <r>
    <n v="50041939"/>
    <x v="89"/>
    <n v="1"/>
    <s v="REALIZADO"/>
    <s v="MATHEUS"/>
    <d v="2025-10-29T00:00:00"/>
    <x v="2"/>
  </r>
  <r>
    <n v="50037905"/>
    <x v="49"/>
    <n v="1"/>
    <s v="REALIZADO"/>
    <s v="AGATHA"/>
    <d v="2025-10-29T00:00:00"/>
    <x v="0"/>
  </r>
  <r>
    <n v="50037905"/>
    <x v="49"/>
    <n v="1"/>
    <s v="REALIZADO"/>
    <s v="BRUNA"/>
    <d v="2025-10-29T00:00:00"/>
    <x v="2"/>
  </r>
  <r>
    <n v="50037905"/>
    <x v="49"/>
    <n v="1"/>
    <s v="REALIZADO"/>
    <s v="BRUNA"/>
    <d v="2025-10-29T00:00:00"/>
    <x v="0"/>
  </r>
  <r>
    <n v="50039236"/>
    <x v="84"/>
    <n v="1"/>
    <s v="REALIZADO"/>
    <s v="MARCIA"/>
    <d v="2025-10-29T00:00:00"/>
    <x v="2"/>
  </r>
  <r>
    <n v="50039236"/>
    <x v="84"/>
    <n v="1"/>
    <s v="REALIZADO"/>
    <s v="MARCIA"/>
    <d v="2025-10-29T00:00:00"/>
    <x v="0"/>
  </r>
  <r>
    <n v="50003297"/>
    <x v="8"/>
    <n v="1"/>
    <s v="REALIZADO"/>
    <s v="MARCIA"/>
    <d v="2025-10-29T00:00:00"/>
    <x v="2"/>
  </r>
  <r>
    <n v="50003297"/>
    <x v="8"/>
    <n v="1"/>
    <s v="REALIZADO"/>
    <s v="AGATHA"/>
    <d v="2025-10-29T00:00:00"/>
    <x v="0"/>
  </r>
  <r>
    <n v="50003297"/>
    <x v="8"/>
    <n v="1"/>
    <s v="REALIZADO"/>
    <s v="AGATHA"/>
    <d v="2025-10-29T00:00:00"/>
    <x v="2"/>
  </r>
  <r>
    <n v="50003297"/>
    <x v="8"/>
    <n v="1"/>
    <s v="REALIZADO"/>
    <s v="GEOVANE"/>
    <d v="2025-10-29T00:00:00"/>
    <x v="0"/>
  </r>
  <r>
    <n v="50038956"/>
    <x v="10"/>
    <n v="1"/>
    <s v="REALIZADO"/>
    <s v="MARCIA"/>
    <d v="2025-10-29T00:00:00"/>
    <x v="2"/>
  </r>
  <r>
    <n v="50038956"/>
    <x v="10"/>
    <n v="1"/>
    <s v="REALIZADO"/>
    <s v="MARCIA"/>
    <d v="2025-10-29T00:00:00"/>
    <x v="0"/>
  </r>
  <r>
    <n v="50038956"/>
    <x v="10"/>
    <n v="1"/>
    <s v="REALIZADO"/>
    <s v="MARCIA"/>
    <d v="2025-10-29T00:00:00"/>
    <x v="2"/>
  </r>
  <r>
    <n v="50038956"/>
    <x v="10"/>
    <n v="1"/>
    <s v="REALIZADO"/>
    <s v="MARCIA"/>
    <d v="2025-10-29T00:00:00"/>
    <x v="2"/>
  </r>
  <r>
    <n v="50038956"/>
    <x v="10"/>
    <n v="1"/>
    <s v="REALIZADO"/>
    <s v="AGATHA"/>
    <d v="2025-10-29T00:00:00"/>
    <x v="2"/>
  </r>
  <r>
    <n v="50038956"/>
    <x v="10"/>
    <n v="1"/>
    <s v="REALIZADO"/>
    <s v="AGATHA"/>
    <d v="2025-10-29T00:00:00"/>
    <x v="0"/>
  </r>
  <r>
    <n v="50037902"/>
    <x v="14"/>
    <n v="1"/>
    <s v="REALIZADO"/>
    <s v="MARCIA"/>
    <d v="2025-10-29T00:00:00"/>
    <x v="2"/>
  </r>
  <r>
    <n v="50037902"/>
    <x v="14"/>
    <n v="1"/>
    <s v="REALIZADO"/>
    <s v="BRUNA"/>
    <d v="2025-10-29T00:00:00"/>
    <x v="0"/>
  </r>
  <r>
    <n v="50037902"/>
    <x v="14"/>
    <n v="1"/>
    <s v="REALIZADO"/>
    <s v="BRUNA"/>
    <d v="2025-10-29T00:00:00"/>
    <x v="2"/>
  </r>
  <r>
    <n v="50038841"/>
    <x v="34"/>
    <n v="1"/>
    <s v="REALIZADO"/>
    <s v="BRUNA"/>
    <d v="2025-10-29T00:00:00"/>
    <x v="2"/>
  </r>
  <r>
    <n v="50038517"/>
    <x v="0"/>
    <n v="1"/>
    <s v="REALIZADO"/>
    <s v="BRUNA"/>
    <d v="2025-10-29T00:00:00"/>
    <x v="0"/>
  </r>
  <r>
    <n v="50039065"/>
    <x v="22"/>
    <m/>
    <s v="REALIZADO"/>
    <s v="MARCIA"/>
    <d v="2025-10-29T00:00:00"/>
    <x v="2"/>
  </r>
  <r>
    <n v="50039065"/>
    <x v="22"/>
    <m/>
    <s v="REALIZADO"/>
    <s v="MARCIA"/>
    <d v="2025-10-29T00:00:00"/>
    <x v="2"/>
  </r>
  <r>
    <n v="50039065"/>
    <x v="22"/>
    <n v="1"/>
    <s v="REALIZADO"/>
    <s v="MARCIA"/>
    <d v="2025-10-29T00:00:00"/>
    <x v="0"/>
  </r>
  <r>
    <n v="50039065"/>
    <x v="22"/>
    <n v="1"/>
    <s v="REALIZADO"/>
    <s v="MARCIA"/>
    <d v="2025-10-29T00:00:00"/>
    <x v="2"/>
  </r>
  <r>
    <n v="50039065"/>
    <x v="22"/>
    <n v="1"/>
    <s v="REALIZADO"/>
    <s v="MATHEUS"/>
    <d v="2025-10-29T00:00:00"/>
    <x v="2"/>
  </r>
  <r>
    <n v="50026357"/>
    <x v="24"/>
    <n v="1"/>
    <s v="REALIZADO"/>
    <s v="BRUNA"/>
    <d v="2025-10-29T00:00:00"/>
    <x v="0"/>
  </r>
  <r>
    <n v="50041195"/>
    <x v="21"/>
    <n v="1"/>
    <s v="REALIZADO"/>
    <s v="MATHEUS"/>
    <d v="2025-10-29T00:00:00"/>
    <x v="2"/>
  </r>
  <r>
    <n v="50041195"/>
    <x v="21"/>
    <n v="1"/>
    <s v="REALIZADO"/>
    <s v="MATHEUS"/>
    <d v="2025-10-29T00:00:00"/>
    <x v="2"/>
  </r>
  <r>
    <n v="50043917"/>
    <x v="66"/>
    <n v="1"/>
    <s v="REALIZADO"/>
    <s v="AGATHA"/>
    <d v="2025-10-29T00:00:00"/>
    <x v="0"/>
  </r>
  <r>
    <n v="50043917"/>
    <x v="66"/>
    <n v="1"/>
    <s v="REALIZADO"/>
    <s v="BRUNA"/>
    <d v="2025-10-29T00:00:00"/>
    <x v="2"/>
  </r>
  <r>
    <n v="50043917"/>
    <x v="66"/>
    <n v="1"/>
    <s v="REALIZADO"/>
    <s v="MATHEUS"/>
    <d v="2025-10-29T00:00:00"/>
    <x v="0"/>
  </r>
  <r>
    <n v="50020622"/>
    <x v="42"/>
    <n v="1"/>
    <s v="REALIZADO"/>
    <s v="MARCIA"/>
    <d v="2025-10-29T00:00:00"/>
    <x v="2"/>
  </r>
  <r>
    <n v="50020622"/>
    <x v="42"/>
    <n v="1"/>
    <s v="REALIZADO"/>
    <s v="AGATHA"/>
    <d v="2025-10-29T00:00:00"/>
    <x v="0"/>
  </r>
  <r>
    <n v="50037933"/>
    <x v="43"/>
    <n v="1"/>
    <s v="REALIZADO"/>
    <s v="AGATHA"/>
    <d v="2025-10-29T00:00:00"/>
    <x v="2"/>
  </r>
  <r>
    <n v="50037933"/>
    <x v="43"/>
    <n v="1"/>
    <s v="REALIZADO"/>
    <s v="GEOVANE"/>
    <d v="2025-10-29T00:00:00"/>
    <x v="2"/>
  </r>
  <r>
    <n v="50010031"/>
    <x v="20"/>
    <n v="1"/>
    <s v="REALIZADO"/>
    <s v="MATHEUS"/>
    <d v="2025-10-28T00:00:00"/>
    <x v="2"/>
  </r>
  <r>
    <n v="50038854"/>
    <x v="27"/>
    <n v="1"/>
    <s v="REALIZADO"/>
    <s v="BRUNA"/>
    <d v="2025-10-28T00:00:00"/>
    <x v="0"/>
  </r>
  <r>
    <n v="50036086"/>
    <x v="3"/>
    <n v="1"/>
    <s v="REALIZADO"/>
    <s v="AGATHA"/>
    <d v="2025-10-28T00:00:00"/>
    <x v="2"/>
  </r>
  <r>
    <n v="50036086"/>
    <x v="3"/>
    <n v="1"/>
    <s v="REALIZADO"/>
    <s v="MATHEUS"/>
    <d v="2025-10-28T00:00:00"/>
    <x v="0"/>
  </r>
  <r>
    <n v="50003173"/>
    <x v="29"/>
    <n v="1"/>
    <s v="REALIZADO"/>
    <s v="AGATHA"/>
    <d v="2025-10-28T00:00:00"/>
    <x v="2"/>
  </r>
  <r>
    <n v="50003173"/>
    <x v="29"/>
    <n v="1"/>
    <s v="REALIZADO"/>
    <s v="AGATHA"/>
    <d v="2025-10-28T00:00:00"/>
    <x v="0"/>
  </r>
  <r>
    <n v="50039718"/>
    <x v="11"/>
    <n v="1"/>
    <s v="REALIZADO"/>
    <s v="AGATHA"/>
    <d v="2025-10-28T00:00:00"/>
    <x v="2"/>
  </r>
  <r>
    <n v="50039718"/>
    <x v="11"/>
    <n v="1"/>
    <s v="REALIZADO"/>
    <s v="BRUNA"/>
    <d v="2025-10-28T00:00:00"/>
    <x v="0"/>
  </r>
  <r>
    <n v="50037905"/>
    <x v="49"/>
    <n v="1"/>
    <s v="REALIZADO"/>
    <s v="MARCIA"/>
    <d v="2025-10-28T00:00:00"/>
    <x v="2"/>
  </r>
  <r>
    <n v="50037905"/>
    <x v="49"/>
    <n v="1"/>
    <s v="REALIZADO"/>
    <s v="MARCIA"/>
    <d v="2025-10-28T00:00:00"/>
    <x v="0"/>
  </r>
  <r>
    <n v="50039236"/>
    <x v="84"/>
    <n v="1"/>
    <s v="REALIZADO"/>
    <s v="AGATHA"/>
    <d v="2025-10-28T00:00:00"/>
    <x v="2"/>
  </r>
  <r>
    <n v="50039236"/>
    <x v="84"/>
    <n v="1"/>
    <s v="REALIZADO"/>
    <s v="AGATHA"/>
    <d v="2025-10-28T00:00:00"/>
    <x v="0"/>
  </r>
  <r>
    <n v="50043471"/>
    <x v="5"/>
    <n v="1"/>
    <s v="REALIZADO"/>
    <s v="AGATHA"/>
    <d v="2025-10-28T00:00:00"/>
    <x v="2"/>
  </r>
  <r>
    <n v="50043471"/>
    <x v="5"/>
    <n v="1"/>
    <s v="REALIZADO"/>
    <s v="MATHEUS"/>
    <d v="2025-10-28T00:00:00"/>
    <x v="0"/>
  </r>
  <r>
    <n v="50003297"/>
    <x v="8"/>
    <n v="1"/>
    <s v="REALIZADO"/>
    <s v="MARCIA"/>
    <d v="2025-10-28T00:00:00"/>
    <x v="2"/>
  </r>
  <r>
    <n v="50003297"/>
    <x v="8"/>
    <n v="1"/>
    <s v="REALIZADO"/>
    <s v="AGATHA"/>
    <d v="2025-10-28T00:00:00"/>
    <x v="2"/>
  </r>
  <r>
    <n v="50003297"/>
    <x v="8"/>
    <n v="1"/>
    <s v="REALIZADO"/>
    <s v="AGATHA"/>
    <d v="2025-10-28T00:00:00"/>
    <x v="0"/>
  </r>
  <r>
    <n v="50029865"/>
    <x v="9"/>
    <n v="1"/>
    <s v="REALIZADO"/>
    <s v="AGATHA"/>
    <d v="2025-10-28T00:00:00"/>
    <x v="2"/>
  </r>
  <r>
    <n v="50029865"/>
    <x v="9"/>
    <n v="1"/>
    <s v="REALIZADO"/>
    <s v="AGATHA"/>
    <d v="2025-10-28T00:00:00"/>
    <x v="2"/>
  </r>
  <r>
    <n v="50029865"/>
    <x v="9"/>
    <n v="1"/>
    <s v="REALIZADO"/>
    <s v="AGATHA"/>
    <d v="2025-10-28T00:00:00"/>
    <x v="0"/>
  </r>
  <r>
    <n v="50043320"/>
    <x v="35"/>
    <n v="1"/>
    <s v="REALIZADO"/>
    <s v="AGATHA"/>
    <d v="2025-10-28T00:00:00"/>
    <x v="2"/>
  </r>
  <r>
    <n v="50043320"/>
    <x v="35"/>
    <n v="1"/>
    <s v="REALIZADO"/>
    <s v="AGATHA"/>
    <d v="2025-10-28T00:00:00"/>
    <x v="0"/>
  </r>
  <r>
    <n v="50022878"/>
    <x v="18"/>
    <n v="1"/>
    <s v="REALIZADO"/>
    <s v="AGATHA"/>
    <d v="2025-10-28T00:00:00"/>
    <x v="2"/>
  </r>
  <r>
    <n v="50022878"/>
    <x v="18"/>
    <n v="1"/>
    <s v="REALIZADO"/>
    <s v="BRUNA"/>
    <d v="2025-10-28T00:00:00"/>
    <x v="0"/>
  </r>
  <r>
    <n v="50037892"/>
    <x v="2"/>
    <n v="1"/>
    <s v="REALIZADO"/>
    <s v="AGATHA"/>
    <d v="2025-10-28T00:00:00"/>
    <x v="2"/>
  </r>
  <r>
    <n v="50037892"/>
    <x v="2"/>
    <n v="1"/>
    <s v="REALIZADO"/>
    <s v="AGATHA"/>
    <d v="2025-10-28T00:00:00"/>
    <x v="2"/>
  </r>
  <r>
    <n v="50037892"/>
    <x v="2"/>
    <n v="1"/>
    <s v="REALIZADO"/>
    <s v="MATHEUS"/>
    <d v="2025-10-28T00:00:00"/>
    <x v="2"/>
  </r>
  <r>
    <n v="50037902"/>
    <x v="14"/>
    <n v="1"/>
    <s v="REALIZADO"/>
    <s v="MATHEUS"/>
    <d v="2025-10-28T00:00:00"/>
    <x v="2"/>
  </r>
  <r>
    <n v="50038517"/>
    <x v="0"/>
    <n v="1"/>
    <s v="REALIZADO"/>
    <s v="AGATHA"/>
    <d v="2025-10-28T00:00:00"/>
    <x v="0"/>
  </r>
  <r>
    <n v="50039065"/>
    <x v="22"/>
    <n v="1"/>
    <s v="REALIZADO"/>
    <s v="AGATHA"/>
    <d v="2025-10-28T00:00:00"/>
    <x v="2"/>
  </r>
  <r>
    <n v="50039065"/>
    <x v="22"/>
    <n v="1"/>
    <s v="REALIZADO"/>
    <s v="GEOVANE"/>
    <d v="2025-10-28T00:00:00"/>
    <x v="0"/>
  </r>
  <r>
    <n v="50026357"/>
    <x v="24"/>
    <n v="1"/>
    <s v="REALIZADO"/>
    <s v="MARCIA"/>
    <d v="2025-10-28T00:00:00"/>
    <x v="2"/>
  </r>
  <r>
    <n v="50026357"/>
    <x v="24"/>
    <n v="1"/>
    <s v="REALIZADO"/>
    <s v="MARCIA"/>
    <d v="2025-10-28T00:00:00"/>
    <x v="0"/>
  </r>
  <r>
    <n v="50026357"/>
    <x v="24"/>
    <n v="1"/>
    <s v="REALIZADO"/>
    <s v="AGATHA"/>
    <d v="2025-10-28T00:00:00"/>
    <x v="2"/>
  </r>
  <r>
    <n v="50026357"/>
    <x v="24"/>
    <n v="1"/>
    <s v="REALIZADO"/>
    <s v="BRUNA"/>
    <d v="2025-10-28T00:00:00"/>
    <x v="2"/>
  </r>
  <r>
    <n v="50041131"/>
    <x v="93"/>
    <n v="1"/>
    <s v="REALIZADO"/>
    <s v="MATHEUS"/>
    <d v="2025-10-28T00:00:00"/>
    <x v="2"/>
  </r>
  <r>
    <n v="50041131"/>
    <x v="93"/>
    <n v="1"/>
    <s v="REALIZADO"/>
    <s v="MATHEUS"/>
    <d v="2025-10-28T00:00:00"/>
    <x v="2"/>
  </r>
  <r>
    <n v="50041195"/>
    <x v="21"/>
    <n v="1"/>
    <s v="REALIZADO"/>
    <s v="BRUNA"/>
    <d v="2025-10-28T00:00:00"/>
    <x v="2"/>
  </r>
  <r>
    <n v="50043917"/>
    <x v="66"/>
    <n v="1"/>
    <s v="REALIZADO"/>
    <s v="MATHEUS"/>
    <d v="2025-10-28T00:00:00"/>
    <x v="0"/>
  </r>
  <r>
    <n v="50020622"/>
    <x v="42"/>
    <n v="1"/>
    <s v="REALIZADO"/>
    <s v="AGATHA"/>
    <d v="2025-10-28T00:00:00"/>
    <x v="2"/>
  </r>
  <r>
    <n v="50020622"/>
    <x v="42"/>
    <n v="1"/>
    <s v="REALIZADO"/>
    <s v="MATHEUS"/>
    <d v="2025-10-28T00:00:00"/>
    <x v="2"/>
  </r>
  <r>
    <n v="50032781"/>
    <x v="12"/>
    <n v="1"/>
    <s v="REALIZADO"/>
    <s v="AGATHA"/>
    <d v="2025-10-28T00:00:00"/>
    <x v="0"/>
  </r>
  <r>
    <n v="50010031"/>
    <x v="20"/>
    <n v="1"/>
    <s v="REALIZADO"/>
    <s v="AGATHA"/>
    <d v="2025-10-27T00:00:00"/>
    <x v="2"/>
  </r>
  <r>
    <n v="50010031"/>
    <x v="20"/>
    <n v="1"/>
    <s v="REALIZADO"/>
    <s v="BRUNA"/>
    <d v="2025-10-27T00:00:00"/>
    <x v="2"/>
  </r>
  <r>
    <n v="50036296"/>
    <x v="46"/>
    <n v="1"/>
    <s v="REALIZADO"/>
    <s v="MARINA"/>
    <d v="2025-10-27T00:00:00"/>
    <x v="0"/>
  </r>
  <r>
    <n v="50036296"/>
    <x v="46"/>
    <n v="1"/>
    <s v="REALIZADO"/>
    <s v="MARINA"/>
    <d v="2025-10-27T00:00:00"/>
    <x v="2"/>
  </r>
  <r>
    <n v="50036086"/>
    <x v="3"/>
    <n v="1"/>
    <s v="REALIZADO"/>
    <s v="MARINA"/>
    <d v="2025-10-27T00:00:00"/>
    <x v="0"/>
  </r>
  <r>
    <n v="50036806"/>
    <x v="3"/>
    <n v="1"/>
    <s v="REALIZADO"/>
    <s v="MARINA"/>
    <d v="2025-10-27T00:00:00"/>
    <x v="0"/>
  </r>
  <r>
    <n v="50037941"/>
    <x v="94"/>
    <n v="1"/>
    <s v="REALIZADO"/>
    <s v="BRUNO"/>
    <d v="2025-10-27T00:00:00"/>
    <x v="2"/>
  </r>
  <r>
    <n v="50037941"/>
    <x v="94"/>
    <n v="1"/>
    <s v="REALIZADO"/>
    <s v="BRUNO"/>
    <d v="2025-10-27T00:00:00"/>
    <x v="0"/>
  </r>
  <r>
    <n v="50043471"/>
    <x v="5"/>
    <n v="1"/>
    <s v="REALIZADO"/>
    <s v="BRUNA"/>
    <d v="2025-10-27T00:00:00"/>
    <x v="2"/>
  </r>
  <r>
    <n v="50043471"/>
    <x v="5"/>
    <n v="1"/>
    <s v="REALIZADO"/>
    <s v="BRUNO"/>
    <d v="2025-10-27T00:00:00"/>
    <x v="0"/>
  </r>
  <r>
    <n v="50022878"/>
    <x v="18"/>
    <n v="1"/>
    <s v="REALIZADO"/>
    <s v="AGATHA"/>
    <d v="2025-10-27T00:00:00"/>
    <x v="2"/>
  </r>
  <r>
    <n v="50022878"/>
    <x v="18"/>
    <n v="1"/>
    <s v="REALIZADO"/>
    <s v="AGATHA"/>
    <d v="2025-10-27T00:00:00"/>
    <x v="0"/>
  </r>
  <r>
    <n v="50022878"/>
    <x v="18"/>
    <n v="1"/>
    <s v="REALIZADO"/>
    <s v="BRUNO"/>
    <d v="2025-10-27T00:00:00"/>
    <x v="2"/>
  </r>
  <r>
    <n v="50022878"/>
    <x v="18"/>
    <n v="1"/>
    <s v="REALIZADO"/>
    <s v="BRUNO"/>
    <d v="2025-10-27T00:00:00"/>
    <x v="2"/>
  </r>
  <r>
    <n v="50038956"/>
    <x v="10"/>
    <n v="1"/>
    <s v="REALIZADO"/>
    <s v="AGATHA"/>
    <d v="2025-10-27T00:00:00"/>
    <x v="0"/>
  </r>
  <r>
    <n v="50038956"/>
    <x v="10"/>
    <n v="1"/>
    <s v="REALIZADO"/>
    <s v="BRUNA"/>
    <d v="2025-10-27T00:00:00"/>
    <x v="2"/>
  </r>
  <r>
    <n v="50038956"/>
    <x v="10"/>
    <n v="1"/>
    <s v="REALIZADO"/>
    <s v="BRUNA"/>
    <d v="2025-10-27T00:00:00"/>
    <x v="2"/>
  </r>
  <r>
    <n v="50037892"/>
    <x v="2"/>
    <n v="1"/>
    <s v="REALIZADO"/>
    <s v="AGATHA"/>
    <d v="2025-10-27T00:00:00"/>
    <x v="0"/>
  </r>
  <r>
    <n v="50037902"/>
    <x v="14"/>
    <n v="1"/>
    <s v="REALIZADO"/>
    <s v="AGATHA"/>
    <d v="2025-10-27T00:00:00"/>
    <x v="2"/>
  </r>
  <r>
    <n v="50037902"/>
    <x v="14"/>
    <n v="1"/>
    <s v="REALIZADO"/>
    <s v="BRUNA"/>
    <d v="2025-10-27T00:00:00"/>
    <x v="0"/>
  </r>
  <r>
    <n v="50038841"/>
    <x v="34"/>
    <n v="1"/>
    <s v="REALIZADO"/>
    <s v="BRUNO"/>
    <d v="2025-10-27T00:00:00"/>
    <x v="2"/>
  </r>
  <r>
    <n v="50038841"/>
    <x v="34"/>
    <n v="1"/>
    <s v="REALIZADO"/>
    <s v="BRUNO"/>
    <d v="2025-10-27T00:00:00"/>
    <x v="0"/>
  </r>
  <r>
    <n v="50038841"/>
    <x v="34"/>
    <n v="1"/>
    <s v="REALIZADO"/>
    <s v="BRUNO"/>
    <d v="2025-10-27T00:00:00"/>
    <x v="2"/>
  </r>
  <r>
    <n v="50038841"/>
    <x v="34"/>
    <n v="1"/>
    <s v="REALIZADO"/>
    <s v="BRUNO"/>
    <d v="2025-10-27T00:00:00"/>
    <x v="2"/>
  </r>
  <r>
    <n v="50038517"/>
    <x v="0"/>
    <n v="1"/>
    <s v="REALIZADO"/>
    <s v="AGATHA"/>
    <d v="2025-10-27T00:00:00"/>
    <x v="0"/>
  </r>
  <r>
    <n v="50038517"/>
    <x v="0"/>
    <n v="1"/>
    <s v="REALIZADO"/>
    <s v="BRUNO"/>
    <d v="2025-10-27T00:00:00"/>
    <x v="2"/>
  </r>
  <r>
    <n v="50038517"/>
    <x v="0"/>
    <n v="1"/>
    <s v="REALIZADO"/>
    <s v="BRUNO"/>
    <d v="2025-10-27T00:00:00"/>
    <x v="2"/>
  </r>
  <r>
    <n v="50038517"/>
    <x v="0"/>
    <n v="1"/>
    <s v="REALIZADO"/>
    <s v="MARINA"/>
    <d v="2025-10-27T00:00:00"/>
    <x v="0"/>
  </r>
  <r>
    <n v="50038517"/>
    <x v="0"/>
    <n v="1"/>
    <s v="REALIZADO"/>
    <s v="MARINA"/>
    <d v="2025-10-27T00:00:00"/>
    <x v="2"/>
  </r>
  <r>
    <n v="50037926"/>
    <x v="52"/>
    <n v="1"/>
    <s v="REALIZADO"/>
    <s v="AGATHA"/>
    <d v="2025-10-27T00:00:00"/>
    <x v="2"/>
  </r>
  <r>
    <n v="50026357"/>
    <x v="24"/>
    <n v="1"/>
    <s v="REALIZADO"/>
    <s v="BRUNO"/>
    <d v="2025-10-27T00:00:00"/>
    <x v="2"/>
  </r>
  <r>
    <n v="50041195"/>
    <x v="21"/>
    <n v="1"/>
    <s v="REALIZADO"/>
    <s v="BRUNO"/>
    <d v="2025-10-27T00:00:00"/>
    <x v="2"/>
  </r>
  <r>
    <n v="50041195"/>
    <x v="21"/>
    <n v="1"/>
    <s v="REALIZADO"/>
    <s v="FABIANO"/>
    <d v="2025-10-27T00:00:00"/>
    <x v="0"/>
  </r>
  <r>
    <n v="50041195"/>
    <x v="21"/>
    <n v="1"/>
    <s v="REALIZADO"/>
    <s v="FABIANO"/>
    <d v="2025-10-27T00:00:00"/>
    <x v="0"/>
  </r>
  <r>
    <n v="50043917"/>
    <x v="66"/>
    <n v="1"/>
    <s v="REALIZADO"/>
    <s v="AGATHA"/>
    <d v="2025-10-27T00:00:00"/>
    <x v="2"/>
  </r>
  <r>
    <n v="50043917"/>
    <x v="66"/>
    <n v="1"/>
    <s v="REALIZADO"/>
    <s v="BRUNO"/>
    <d v="2025-10-27T00:00:00"/>
    <x v="0"/>
  </r>
  <r>
    <n v="50043917"/>
    <x v="66"/>
    <n v="1"/>
    <s v="REALIZADO"/>
    <s v="BRUNO"/>
    <d v="2025-10-27T00:00:00"/>
    <x v="2"/>
  </r>
  <r>
    <n v="50043917"/>
    <x v="66"/>
    <n v="1"/>
    <s v="REALIZADO"/>
    <s v="BRUNO"/>
    <d v="2025-10-27T00:00:00"/>
    <x v="0"/>
  </r>
  <r>
    <n v="50020622"/>
    <x v="42"/>
    <n v="1"/>
    <s v="REALIZADO"/>
    <s v="BRUNO"/>
    <d v="2025-10-27T00:00:00"/>
    <x v="2"/>
  </r>
  <r>
    <n v="50020622"/>
    <x v="42"/>
    <n v="1"/>
    <s v="REALIZADO"/>
    <s v="BRUNO"/>
    <d v="2025-10-27T00:00:00"/>
    <x v="0"/>
  </r>
  <r>
    <n v="50032781"/>
    <x v="12"/>
    <n v="1"/>
    <s v="REALIZADO"/>
    <s v="BRUNA"/>
    <d v="2025-10-27T00:00:00"/>
    <x v="2"/>
  </r>
  <r>
    <n v="50032781"/>
    <x v="12"/>
    <n v="1"/>
    <s v="REALIZADO"/>
    <s v="BRUNO"/>
    <d v="2025-10-27T00:00:00"/>
    <x v="0"/>
  </r>
  <r>
    <n v="50038194"/>
    <x v="87"/>
    <n v="1"/>
    <s v="REALIZADO"/>
    <s v="BRUNO"/>
    <d v="2025-10-27T00:00:00"/>
    <x v="2"/>
  </r>
  <r>
    <n v="50038194"/>
    <x v="87"/>
    <n v="1"/>
    <s v="REALIZADO"/>
    <s v="BRUNO"/>
    <d v="2025-10-27T00:00:00"/>
    <x v="2"/>
  </r>
  <r>
    <n v="50039718"/>
    <x v="11"/>
    <n v="1"/>
    <s v="REALIZADO"/>
    <s v="KAYKY"/>
    <d v="2025-10-26T00:00:00"/>
    <x v="0"/>
  </r>
  <r>
    <n v="50039718"/>
    <x v="11"/>
    <n v="1"/>
    <s v="REALIZADO"/>
    <s v="KAYKY"/>
    <d v="2025-10-26T00:00:00"/>
    <x v="2"/>
  </r>
  <r>
    <n v="50029865"/>
    <x v="9"/>
    <n v="1"/>
    <s v="REALIZADO"/>
    <s v="MARINA"/>
    <d v="2025-10-26T00:00:00"/>
    <x v="0"/>
  </r>
  <r>
    <n v="50029865"/>
    <x v="9"/>
    <n v="1"/>
    <s v="REALIZADO"/>
    <s v="MARINA"/>
    <d v="2025-10-26T00:00:00"/>
    <x v="2"/>
  </r>
  <r>
    <n v="50038956"/>
    <x v="10"/>
    <n v="1"/>
    <s v="REALIZADO"/>
    <s v="KAYKY"/>
    <d v="2025-10-26T00:00:00"/>
    <x v="0"/>
  </r>
  <r>
    <n v="50038956"/>
    <x v="10"/>
    <n v="1"/>
    <s v="REALIZADO"/>
    <s v="KAYKY"/>
    <d v="2025-10-26T00:00:00"/>
    <x v="2"/>
  </r>
  <r>
    <n v="50037892"/>
    <x v="2"/>
    <n v="1"/>
    <s v="REALIZADO"/>
    <s v="KAYKY"/>
    <d v="2025-10-26T00:00:00"/>
    <x v="0"/>
  </r>
  <r>
    <n v="50037892"/>
    <x v="2"/>
    <n v="1"/>
    <s v="REALIZADO"/>
    <s v="KAYKY"/>
    <d v="2025-10-26T00:00:00"/>
    <x v="2"/>
  </r>
  <r>
    <n v="50037902"/>
    <x v="14"/>
    <n v="1"/>
    <s v="REALIZADO"/>
    <s v="MARINA"/>
    <d v="2025-10-26T00:00:00"/>
    <x v="0"/>
  </r>
  <r>
    <n v="50037902"/>
    <x v="14"/>
    <n v="1"/>
    <s v="REALIZADO"/>
    <s v="MARINA"/>
    <d v="2025-10-26T00:00:00"/>
    <x v="2"/>
  </r>
  <r>
    <n v="50041195"/>
    <x v="21"/>
    <n v="1"/>
    <s v="REALIZADO"/>
    <s v="MARINA"/>
    <d v="2025-10-26T00:00:00"/>
    <x v="0"/>
  </r>
  <r>
    <n v="50041195"/>
    <x v="21"/>
    <n v="1"/>
    <s v="REALIZADO"/>
    <s v="MARINA"/>
    <d v="2025-10-26T00:00:00"/>
    <x v="2"/>
  </r>
  <r>
    <n v="50043917"/>
    <x v="66"/>
    <n v="1"/>
    <s v="REALIZADO"/>
    <s v="KAYKY"/>
    <d v="2025-10-26T00:00:00"/>
    <x v="0"/>
  </r>
  <r>
    <n v="50043917"/>
    <x v="66"/>
    <n v="1"/>
    <s v="REALIZADO"/>
    <s v="KAYKY"/>
    <d v="2025-10-26T00:00:00"/>
    <x v="2"/>
  </r>
  <r>
    <n v="50032781"/>
    <x v="12"/>
    <n v="1"/>
    <s v="REALIZADO"/>
    <s v="MARINA"/>
    <d v="2025-10-26T00:00:00"/>
    <x v="0"/>
  </r>
  <r>
    <n v="50032781"/>
    <x v="12"/>
    <n v="1"/>
    <s v="REALIZADO"/>
    <s v="MARINA"/>
    <d v="2025-10-26T00:00:00"/>
    <x v="0"/>
  </r>
  <r>
    <n v="50010031"/>
    <x v="20"/>
    <n v="1"/>
    <s v="REALIZADO"/>
    <s v="BRUNA"/>
    <d v="2025-10-25T00:00:00"/>
    <x v="2"/>
  </r>
  <r>
    <n v="50010031"/>
    <x v="20"/>
    <n v="1"/>
    <s v="REALIZADO"/>
    <s v="BRUNA"/>
    <d v="2025-10-25T00:00:00"/>
    <x v="0"/>
  </r>
  <r>
    <n v="50010031"/>
    <x v="20"/>
    <n v="1"/>
    <s v="REALIZADO"/>
    <s v="BRUNA"/>
    <d v="2025-10-25T00:00:00"/>
    <x v="2"/>
  </r>
  <r>
    <n v="50010031"/>
    <x v="20"/>
    <n v="1"/>
    <s v="REALIZADO"/>
    <s v="BRUNA"/>
    <d v="2025-10-25T00:00:00"/>
    <x v="0"/>
  </r>
  <r>
    <n v="50029865"/>
    <x v="9"/>
    <n v="1"/>
    <s v="REALIZADO"/>
    <s v="BRUNA"/>
    <d v="2025-10-25T00:00:00"/>
    <x v="2"/>
  </r>
  <r>
    <n v="50029865"/>
    <x v="9"/>
    <n v="1"/>
    <s v="REALIZADO"/>
    <s v="BRUNA"/>
    <d v="2025-10-25T00:00:00"/>
    <x v="0"/>
  </r>
  <r>
    <n v="50037902"/>
    <x v="14"/>
    <n v="1"/>
    <s v="REALIZADO"/>
    <s v="BRUNA"/>
    <d v="2025-10-25T00:00:00"/>
    <x v="2"/>
  </r>
  <r>
    <n v="50037902"/>
    <x v="14"/>
    <n v="1"/>
    <s v="REALIZADO"/>
    <s v="BRUNA"/>
    <d v="2025-10-25T00:00:00"/>
    <x v="2"/>
  </r>
  <r>
    <n v="50038517"/>
    <x v="0"/>
    <n v="1"/>
    <s v="REALIZADO"/>
    <s v="BRUNA"/>
    <d v="2025-10-25T00:00:00"/>
    <x v="2"/>
  </r>
  <r>
    <n v="50038517"/>
    <x v="0"/>
    <n v="1"/>
    <s v="REALIZADO"/>
    <s v="MARIO"/>
    <d v="2025-10-25T00:00:00"/>
    <x v="0"/>
  </r>
  <r>
    <n v="50038517"/>
    <x v="0"/>
    <n v="1"/>
    <s v="REALIZADO"/>
    <s v="MARIO"/>
    <d v="2025-10-25T00:00:00"/>
    <x v="0"/>
  </r>
  <r>
    <n v="50041195"/>
    <x v="21"/>
    <n v="1"/>
    <s v="REALIZADO"/>
    <s v="BRUNA"/>
    <d v="2025-10-25T00:00:00"/>
    <x v="2"/>
  </r>
  <r>
    <n v="50041195"/>
    <x v="21"/>
    <n v="1"/>
    <s v="REALIZADO"/>
    <s v="BRUNA"/>
    <d v="2025-10-25T00:00:00"/>
    <x v="0"/>
  </r>
  <r>
    <n v="50041195"/>
    <x v="21"/>
    <n v="1"/>
    <s v="REALIZADO"/>
    <s v="BRUNA"/>
    <d v="2025-10-25T00:00:00"/>
    <x v="2"/>
  </r>
  <r>
    <n v="50041195"/>
    <x v="21"/>
    <n v="1"/>
    <s v="REALIZADO"/>
    <s v="BRUNA"/>
    <d v="2025-10-25T00:00:00"/>
    <x v="0"/>
  </r>
  <r>
    <n v="50043917"/>
    <x v="66"/>
    <n v="1"/>
    <s v="REALIZADO"/>
    <s v="BRUNA"/>
    <d v="2025-10-25T00:00:00"/>
    <x v="2"/>
  </r>
  <r>
    <n v="50043917"/>
    <x v="66"/>
    <n v="1"/>
    <s v="REALIZADO"/>
    <s v="BRUNA"/>
    <d v="2025-10-25T00:00:00"/>
    <x v="2"/>
  </r>
  <r>
    <n v="50004486"/>
    <x v="95"/>
    <n v="1"/>
    <s v="REALIZADO"/>
    <s v="MARINA"/>
    <d v="2025-10-25T00:00:00"/>
    <x v="0"/>
  </r>
  <r>
    <n v="50004486"/>
    <x v="95"/>
    <n v="1"/>
    <s v="REALIZADO"/>
    <s v="MARINA"/>
    <d v="2025-10-25T00:00:00"/>
    <x v="0"/>
  </r>
  <r>
    <n v="50012576"/>
    <x v="96"/>
    <n v="1"/>
    <s v="REALIZADO"/>
    <s v="KELLY"/>
    <d v="2025-10-24T00:00:00"/>
    <x v="2"/>
  </r>
  <r>
    <n v="50012576"/>
    <x v="96"/>
    <n v="1"/>
    <s v="REALIZADO"/>
    <s v="KELLY"/>
    <d v="2025-10-24T00:00:00"/>
    <x v="0"/>
  </r>
  <r>
    <n v="50043520"/>
    <x v="97"/>
    <n v="1"/>
    <s v="REALIZADO"/>
    <s v="AGATHA"/>
    <d v="2025-10-24T00:00:00"/>
    <x v="2"/>
  </r>
  <r>
    <n v="50043520"/>
    <x v="97"/>
    <n v="1"/>
    <s v="REALIZADO"/>
    <s v="AGATHA"/>
    <d v="2025-10-24T00:00:00"/>
    <x v="2"/>
  </r>
  <r>
    <n v="50030486"/>
    <x v="17"/>
    <n v="1"/>
    <s v="REALIZADO"/>
    <s v="BRUNA"/>
    <d v="2025-10-24T00:00:00"/>
    <x v="0"/>
  </r>
  <r>
    <n v="50003297"/>
    <x v="8"/>
    <n v="1"/>
    <s v="REALIZADO"/>
    <s v="KELLY"/>
    <d v="2025-10-24T00:00:00"/>
    <x v="2"/>
  </r>
  <r>
    <n v="50003297"/>
    <x v="8"/>
    <n v="1"/>
    <s v="REALIZADO"/>
    <s v="GEOVANE"/>
    <d v="2025-10-24T00:00:00"/>
    <x v="0"/>
  </r>
  <r>
    <n v="50003297"/>
    <x v="8"/>
    <n v="1"/>
    <s v="REALIZADO"/>
    <s v="BRUNA"/>
    <d v="2025-10-24T00:00:00"/>
    <x v="2"/>
  </r>
  <r>
    <n v="50003297"/>
    <x v="8"/>
    <n v="1"/>
    <s v="REALIZADO"/>
    <s v="MATHEUS"/>
    <d v="2025-10-24T00:00:00"/>
    <x v="0"/>
  </r>
  <r>
    <n v="50038956"/>
    <x v="10"/>
    <n v="1"/>
    <s v="REALIZADO"/>
    <s v="KELLY"/>
    <d v="2025-10-24T00:00:00"/>
    <x v="2"/>
  </r>
  <r>
    <n v="50038956"/>
    <x v="10"/>
    <n v="1"/>
    <s v="REALIZADO"/>
    <s v="KELLY"/>
    <d v="2025-10-24T00:00:00"/>
    <x v="2"/>
  </r>
  <r>
    <n v="50037892"/>
    <x v="2"/>
    <n v="1"/>
    <s v="REALIZADO"/>
    <s v="MATHEUS"/>
    <d v="2025-10-24T00:00:00"/>
    <x v="2"/>
  </r>
  <r>
    <n v="50038841"/>
    <x v="34"/>
    <n v="1"/>
    <s v="REALIZADO"/>
    <s v="MATHEUS"/>
    <d v="2025-10-24T00:00:00"/>
    <x v="0"/>
  </r>
  <r>
    <n v="50041195"/>
    <x v="21"/>
    <n v="1"/>
    <s v="REALIZADO"/>
    <s v="AGATHA"/>
    <d v="2025-10-24T00:00:00"/>
    <x v="2"/>
  </r>
  <r>
    <n v="50041195"/>
    <x v="21"/>
    <n v="1"/>
    <s v="REALIZADO"/>
    <s v="BRUNA"/>
    <d v="2025-10-24T00:00:00"/>
    <x v="0"/>
  </r>
  <r>
    <n v="50043151"/>
    <x v="86"/>
    <n v="1"/>
    <s v="REALIZADO"/>
    <s v="KELLY"/>
    <d v="2025-10-24T00:00:00"/>
    <x v="2"/>
  </r>
  <r>
    <n v="50043151"/>
    <x v="86"/>
    <n v="1"/>
    <s v="REALIZADO"/>
    <s v="KELLY"/>
    <d v="2025-10-24T00:00:00"/>
    <x v="0"/>
  </r>
  <r>
    <n v="50043151"/>
    <x v="86"/>
    <n v="1"/>
    <s v="REALIZADO"/>
    <s v="KELLY"/>
    <d v="2025-10-24T00:00:00"/>
    <x v="2"/>
  </r>
  <r>
    <n v="50043151"/>
    <x v="86"/>
    <n v="1"/>
    <s v="REALIZADO"/>
    <s v="AGATHA"/>
    <d v="2025-10-24T00:00:00"/>
    <x v="0"/>
  </r>
  <r>
    <n v="50010031"/>
    <x v="20"/>
    <n v="1"/>
    <s v="REALIZADO"/>
    <s v="GEOVANE"/>
    <d v="2025-10-23T00:00:00"/>
    <x v="2"/>
  </r>
  <r>
    <n v="50010031"/>
    <x v="20"/>
    <n v="1"/>
    <s v="REALIZADO"/>
    <s v="BRUNO"/>
    <d v="2025-10-23T00:00:00"/>
    <x v="2"/>
  </r>
  <r>
    <n v="50036086"/>
    <x v="3"/>
    <n v="1"/>
    <s v="REALIZADO"/>
    <s v="MATHEUS"/>
    <d v="2025-10-23T00:00:00"/>
    <x v="0"/>
  </r>
  <r>
    <n v="50003173"/>
    <x v="29"/>
    <n v="1"/>
    <s v="REALIZADO"/>
    <s v="GEOVANE"/>
    <d v="2025-10-23T00:00:00"/>
    <x v="2"/>
  </r>
  <r>
    <n v="50003173"/>
    <x v="29"/>
    <n v="1"/>
    <s v="REALIZADO"/>
    <s v="MATHEUS"/>
    <d v="2025-10-23T00:00:00"/>
    <x v="2"/>
  </r>
  <r>
    <n v="50039718"/>
    <x v="11"/>
    <n v="1"/>
    <s v="REALIZADO"/>
    <s v="MATHEUS"/>
    <d v="2025-10-23T00:00:00"/>
    <x v="2"/>
  </r>
  <r>
    <n v="50030486"/>
    <x v="17"/>
    <n v="1"/>
    <s v="REALIZADO"/>
    <s v="GEOVANE"/>
    <d v="2025-10-23T00:00:00"/>
    <x v="2"/>
  </r>
  <r>
    <n v="50039236"/>
    <x v="84"/>
    <n v="1"/>
    <s v="REALIZADO"/>
    <s v="GEOVANE"/>
    <d v="2025-10-23T00:00:00"/>
    <x v="0"/>
  </r>
  <r>
    <n v="50043471"/>
    <x v="5"/>
    <n v="1"/>
    <s v="REALIZADO"/>
    <s v="KELLY"/>
    <d v="2025-10-23T00:00:00"/>
    <x v="2"/>
  </r>
  <r>
    <n v="50043471"/>
    <x v="5"/>
    <n v="1"/>
    <s v="REALIZADO"/>
    <s v="BRUNO"/>
    <d v="2025-10-23T00:00:00"/>
    <x v="0"/>
  </r>
  <r>
    <n v="50003297"/>
    <x v="8"/>
    <n v="1"/>
    <s v="REALIZADO"/>
    <s v="KELLY"/>
    <d v="2025-10-23T00:00:00"/>
    <x v="2"/>
  </r>
  <r>
    <n v="50003297"/>
    <x v="8"/>
    <n v="1"/>
    <s v="REALIZADO"/>
    <s v="KELLY"/>
    <d v="2025-10-23T00:00:00"/>
    <x v="0"/>
  </r>
  <r>
    <n v="50038549"/>
    <x v="6"/>
    <n v="1"/>
    <s v="REALIZADO"/>
    <s v="GEOVANE"/>
    <d v="2025-10-23T00:00:00"/>
    <x v="2"/>
  </r>
  <r>
    <n v="50038549"/>
    <x v="6"/>
    <n v="1"/>
    <s v="REALIZADO"/>
    <s v="MATHEUS"/>
    <d v="2025-10-23T00:00:00"/>
    <x v="2"/>
  </r>
  <r>
    <n v="50022878"/>
    <x v="18"/>
    <n v="1"/>
    <s v="REALIZADO"/>
    <s v="GEOVANE"/>
    <d v="2025-10-23T00:00:00"/>
    <x v="0"/>
  </r>
  <r>
    <n v="50037892"/>
    <x v="2"/>
    <n v="1"/>
    <s v="REALIZADO"/>
    <s v="GEOVANE"/>
    <d v="2025-10-23T00:00:00"/>
    <x v="2"/>
  </r>
  <r>
    <n v="50037892"/>
    <x v="2"/>
    <n v="1"/>
    <s v="REALIZADO"/>
    <s v="BRUNO"/>
    <d v="2025-10-23T00:00:00"/>
    <x v="0"/>
  </r>
  <r>
    <n v="50037902"/>
    <x v="14"/>
    <n v="1"/>
    <s v="REALIZADO"/>
    <s v="BRUNO"/>
    <d v="2025-10-23T00:00:00"/>
    <x v="2"/>
  </r>
  <r>
    <n v="50037902"/>
    <x v="14"/>
    <n v="1"/>
    <s v="REALIZADO"/>
    <s v="BRUNO"/>
    <d v="2025-10-23T00:00:00"/>
    <x v="0"/>
  </r>
  <r>
    <n v="50038841"/>
    <x v="34"/>
    <n v="1"/>
    <s v="REALIZADO"/>
    <s v="GEOVANE"/>
    <d v="2025-10-23T00:00:00"/>
    <x v="2"/>
  </r>
  <r>
    <n v="50038841"/>
    <x v="34"/>
    <n v="1"/>
    <s v="REALIZADO"/>
    <s v="MATHEUS"/>
    <d v="2025-10-23T00:00:00"/>
    <x v="0"/>
  </r>
  <r>
    <n v="50039065"/>
    <x v="22"/>
    <n v="1"/>
    <s v="REALIZADO"/>
    <s v="BRUNA"/>
    <d v="2025-10-23T00:00:00"/>
    <x v="2"/>
  </r>
  <r>
    <n v="50039065"/>
    <x v="22"/>
    <n v="1"/>
    <s v="REALIZADO"/>
    <s v="BRUNA"/>
    <d v="2025-10-23T00:00:00"/>
    <x v="0"/>
  </r>
  <r>
    <n v="50039065"/>
    <x v="22"/>
    <n v="1"/>
    <s v="REALIZADO"/>
    <s v="BRUNO"/>
    <d v="2025-10-23T00:00:00"/>
    <x v="2"/>
  </r>
  <r>
    <n v="50039065"/>
    <x v="22"/>
    <n v="1"/>
    <s v="REALIZADO"/>
    <s v="BRUNO"/>
    <d v="2025-10-23T00:00:00"/>
    <x v="0"/>
  </r>
  <r>
    <n v="50026357"/>
    <x v="24"/>
    <n v="1"/>
    <s v="REALIZADO"/>
    <s v="GEOVANE"/>
    <d v="2025-10-23T00:00:00"/>
    <x v="2"/>
  </r>
  <r>
    <n v="50026357"/>
    <x v="24"/>
    <n v="1"/>
    <s v="REALIZADO"/>
    <s v="GEOVANE"/>
    <d v="2025-10-23T00:00:00"/>
    <x v="0"/>
  </r>
  <r>
    <n v="50041195"/>
    <x v="21"/>
    <n v="1"/>
    <s v="REALIZADO"/>
    <s v="KELLY"/>
    <d v="2025-10-23T00:00:00"/>
    <x v="2"/>
  </r>
  <r>
    <n v="50041195"/>
    <x v="21"/>
    <n v="1"/>
    <s v="REALIZADO"/>
    <s v="GEOVANE"/>
    <d v="2025-10-23T00:00:00"/>
    <x v="2"/>
  </r>
  <r>
    <n v="50041195"/>
    <x v="21"/>
    <n v="1"/>
    <s v="REALIZADO"/>
    <s v="MATHEUS"/>
    <d v="2025-10-23T00:00:00"/>
    <x v="0"/>
  </r>
  <r>
    <n v="50043917"/>
    <x v="66"/>
    <n v="1"/>
    <s v="REALIZADO"/>
    <s v="KELLY"/>
    <d v="2025-10-23T00:00:00"/>
    <x v="2"/>
  </r>
  <r>
    <n v="50043917"/>
    <x v="66"/>
    <n v="1"/>
    <s v="REALIZADO"/>
    <s v="BRUNO"/>
    <d v="2025-10-23T00:00:00"/>
    <x v="0"/>
  </r>
  <r>
    <n v="50043917"/>
    <x v="66"/>
    <n v="1"/>
    <s v="REALIZADO"/>
    <s v="BRUNO"/>
    <d v="2025-10-23T00:00:00"/>
    <x v="2"/>
  </r>
  <r>
    <n v="50043917"/>
    <x v="66"/>
    <n v="1"/>
    <s v="REALIZADO"/>
    <s v="MATHEUS"/>
    <d v="2025-10-23T00:00:00"/>
    <x v="0"/>
  </r>
  <r>
    <n v="50012902"/>
    <x v="30"/>
    <n v="1"/>
    <s v="REALIZADO"/>
    <s v="BRUNO"/>
    <d v="2025-10-23T00:00:00"/>
    <x v="2"/>
  </r>
  <r>
    <n v="50012902"/>
    <x v="30"/>
    <n v="1"/>
    <s v="REALIZADO"/>
    <s v="BRUNO"/>
    <d v="2025-10-23T00:00:00"/>
    <x v="0"/>
  </r>
  <r>
    <n v="50032775"/>
    <x v="13"/>
    <n v="1"/>
    <s v="REALIZADO"/>
    <s v="BRUNO"/>
    <d v="2025-10-23T00:00:00"/>
    <x v="2"/>
  </r>
  <r>
    <n v="50032775"/>
    <x v="13"/>
    <n v="1"/>
    <s v="REALIZADO"/>
    <s v="BRUNO"/>
    <d v="2025-10-23T00:00:00"/>
    <x v="2"/>
  </r>
  <r>
    <n v="50042283"/>
    <x v="47"/>
    <n v="1"/>
    <s v="REALIZADO"/>
    <s v="MATHEUS"/>
    <d v="2025-10-23T00:00:00"/>
    <x v="0"/>
  </r>
  <r>
    <n v="50010031"/>
    <x v="20"/>
    <n v="1"/>
    <s v="REALIZADO"/>
    <s v="KELLY"/>
    <d v="2025-10-22T00:00:00"/>
    <x v="2"/>
  </r>
  <r>
    <n v="50010031"/>
    <x v="20"/>
    <n v="1"/>
    <s v="REALIZADO"/>
    <s v="BRUNA"/>
    <d v="2025-10-22T00:00:00"/>
    <x v="2"/>
  </r>
  <r>
    <n v="50036296"/>
    <x v="46"/>
    <n v="1"/>
    <s v="REALIZADO"/>
    <s v="AGATHA"/>
    <d v="2025-10-22T00:00:00"/>
    <x v="2"/>
  </r>
  <r>
    <n v="50036086"/>
    <x v="3"/>
    <n v="1"/>
    <s v="REALIZADO"/>
    <s v="BRUNA"/>
    <d v="2025-10-22T00:00:00"/>
    <x v="2"/>
  </r>
  <r>
    <n v="50039718"/>
    <x v="11"/>
    <n v="1"/>
    <s v="REALIZADO"/>
    <s v="KELLY"/>
    <d v="2025-10-22T00:00:00"/>
    <x v="2"/>
  </r>
  <r>
    <n v="50039718"/>
    <x v="11"/>
    <n v="1"/>
    <s v="REALIZADO"/>
    <s v="GEOVANE"/>
    <d v="2025-10-22T00:00:00"/>
    <x v="0"/>
  </r>
  <r>
    <n v="50030486"/>
    <x v="17"/>
    <n v="1"/>
    <s v="REALIZADO"/>
    <s v="BRUNA"/>
    <d v="2025-10-22T00:00:00"/>
    <x v="2"/>
  </r>
  <r>
    <n v="50030486"/>
    <x v="17"/>
    <n v="1"/>
    <s v="REALIZADO"/>
    <s v="BRUNA"/>
    <d v="2025-10-22T00:00:00"/>
    <x v="2"/>
  </r>
  <r>
    <n v="50043471"/>
    <x v="5"/>
    <n v="1"/>
    <s v="REALIZADO"/>
    <s v="BRUNA"/>
    <d v="2025-10-22T00:00:00"/>
    <x v="0"/>
  </r>
  <r>
    <n v="50003297"/>
    <x v="8"/>
    <n v="1"/>
    <s v="REALIZADO"/>
    <s v="AGATHA"/>
    <d v="2025-10-22T00:00:00"/>
    <x v="2"/>
  </r>
  <r>
    <n v="50003297"/>
    <x v="8"/>
    <n v="1"/>
    <s v="REALIZADO"/>
    <s v="BRUNA"/>
    <d v="2025-10-22T00:00:00"/>
    <x v="0"/>
  </r>
  <r>
    <n v="50043320"/>
    <x v="35"/>
    <n v="1"/>
    <s v="REALIZADO"/>
    <s v="AGATHA"/>
    <d v="2025-10-22T00:00:00"/>
    <x v="2"/>
  </r>
  <r>
    <n v="50043320"/>
    <x v="35"/>
    <n v="1"/>
    <s v="REALIZADO"/>
    <s v="BRUNA"/>
    <d v="2025-10-22T00:00:00"/>
    <x v="0"/>
  </r>
  <r>
    <n v="50038549"/>
    <x v="6"/>
    <n v="1"/>
    <s v="REALIZADO"/>
    <s v="AGATHA"/>
    <d v="2025-10-22T00:00:00"/>
    <x v="2"/>
  </r>
  <r>
    <n v="50038549"/>
    <x v="6"/>
    <n v="1"/>
    <s v="REALIZADO"/>
    <s v="AGATHA"/>
    <d v="2025-10-22T00:00:00"/>
    <x v="2"/>
  </r>
  <r>
    <n v="50038549"/>
    <x v="6"/>
    <n v="1"/>
    <s v="REALIZADO"/>
    <s v="BRUNA"/>
    <d v="2025-10-22T00:00:00"/>
    <x v="2"/>
  </r>
  <r>
    <n v="50022878"/>
    <x v="18"/>
    <n v="1"/>
    <s v="REALIZADO"/>
    <s v="AGATHA"/>
    <d v="2025-10-22T00:00:00"/>
    <x v="0"/>
  </r>
  <r>
    <n v="50038956"/>
    <x v="10"/>
    <n v="1"/>
    <s v="REALIZADO"/>
    <s v="AGATHA"/>
    <d v="2025-10-22T00:00:00"/>
    <x v="2"/>
  </r>
  <r>
    <n v="50038956"/>
    <x v="10"/>
    <n v="1"/>
    <s v="REALIZADO"/>
    <s v="BRUNA"/>
    <d v="2025-10-22T00:00:00"/>
    <x v="0"/>
  </r>
  <r>
    <n v="50037892"/>
    <x v="2"/>
    <n v="1"/>
    <s v="REALIZADO"/>
    <s v="KELLY"/>
    <d v="2025-10-22T00:00:00"/>
    <x v="2"/>
  </r>
  <r>
    <n v="50037892"/>
    <x v="2"/>
    <n v="1"/>
    <s v="REALIZADO"/>
    <s v="BRUNA"/>
    <d v="2025-10-22T00:00:00"/>
    <x v="0"/>
  </r>
  <r>
    <n v="50037902"/>
    <x v="14"/>
    <n v="1"/>
    <s v="REALIZADO"/>
    <s v="KELLY"/>
    <d v="2025-10-22T00:00:00"/>
    <x v="2"/>
  </r>
  <r>
    <n v="50037902"/>
    <x v="14"/>
    <n v="1"/>
    <s v="REALIZADO"/>
    <s v="BRUNA"/>
    <d v="2025-10-22T00:00:00"/>
    <x v="0"/>
  </r>
  <r>
    <n v="50038841"/>
    <x v="34"/>
    <n v="1"/>
    <s v="REALIZADO"/>
    <s v="AGATHA"/>
    <d v="2025-10-22T00:00:00"/>
    <x v="2"/>
  </r>
  <r>
    <n v="50038841"/>
    <x v="34"/>
    <n v="1"/>
    <s v="REALIZADO"/>
    <s v="BRUNA"/>
    <d v="2025-10-22T00:00:00"/>
    <x v="0"/>
  </r>
  <r>
    <n v="50038517"/>
    <x v="0"/>
    <n v="1"/>
    <s v="REALIZADO"/>
    <s v="AGATHA"/>
    <d v="2025-10-22T00:00:00"/>
    <x v="2"/>
  </r>
  <r>
    <n v="50038517"/>
    <x v="0"/>
    <n v="1"/>
    <s v="REALIZADO"/>
    <s v="BRUNA"/>
    <d v="2025-10-22T00:00:00"/>
    <x v="2"/>
  </r>
  <r>
    <n v="50037926"/>
    <x v="52"/>
    <n v="1"/>
    <s v="REALIZADO"/>
    <s v="KELLY"/>
    <d v="2025-10-22T00:00:00"/>
    <x v="0"/>
  </r>
  <r>
    <n v="50026357"/>
    <x v="24"/>
    <n v="1"/>
    <s v="REALIZADO"/>
    <s v="AGATHA"/>
    <d v="2025-10-22T00:00:00"/>
    <x v="2"/>
  </r>
  <r>
    <n v="50026357"/>
    <x v="24"/>
    <n v="1"/>
    <s v="REALIZADO"/>
    <s v="AGATHA"/>
    <d v="2025-10-22T00:00:00"/>
    <x v="0"/>
  </r>
  <r>
    <n v="50026357"/>
    <x v="24"/>
    <n v="1"/>
    <s v="REALIZADO"/>
    <s v="AGATHA"/>
    <d v="2025-10-22T00:00:00"/>
    <x v="2"/>
  </r>
  <r>
    <n v="50026357"/>
    <x v="24"/>
    <n v="1"/>
    <s v="REALIZADO"/>
    <s v="AGATHA"/>
    <d v="2025-10-22T00:00:00"/>
    <x v="2"/>
  </r>
  <r>
    <n v="50038662"/>
    <x v="59"/>
    <n v="1"/>
    <s v="REALIZADO"/>
    <s v="AGATHA"/>
    <d v="2025-10-22T00:00:00"/>
    <x v="2"/>
  </r>
  <r>
    <n v="50041195"/>
    <x v="21"/>
    <n v="1"/>
    <s v="REALIZADO"/>
    <s v="BRUNA"/>
    <d v="2025-10-22T00:00:00"/>
    <x v="0"/>
  </r>
  <r>
    <n v="50043917"/>
    <x v="66"/>
    <n v="1"/>
    <s v="REALIZADO"/>
    <s v="AGATHA"/>
    <d v="2025-10-22T00:00:00"/>
    <x v="2"/>
  </r>
  <r>
    <n v="50043917"/>
    <x v="66"/>
    <n v="1"/>
    <s v="REALIZADO"/>
    <s v="BRUNA"/>
    <d v="2025-10-22T00:00:00"/>
    <x v="2"/>
  </r>
  <r>
    <n v="50043917"/>
    <x v="66"/>
    <n v="1"/>
    <s v="REALIZADO"/>
    <s v="MARINA"/>
    <d v="2025-10-22T00:00:00"/>
    <x v="0"/>
  </r>
  <r>
    <n v="50043917"/>
    <x v="66"/>
    <n v="1"/>
    <s v="REALIZADO"/>
    <s v="MARINA"/>
    <d v="2025-10-22T00:00:00"/>
    <x v="0"/>
  </r>
  <r>
    <n v="50044453"/>
    <x v="98"/>
    <n v="1"/>
    <s v="REALIZADO"/>
    <s v="AGATHA"/>
    <d v="2025-10-22T00:00:00"/>
    <x v="2"/>
  </r>
  <r>
    <n v="50044453"/>
    <x v="98"/>
    <n v="1"/>
    <s v="REALIZADO"/>
    <s v="AGATHA"/>
    <d v="2025-10-22T00:00:00"/>
    <x v="0"/>
  </r>
  <r>
    <n v="50032781"/>
    <x v="12"/>
    <n v="1"/>
    <s v="REALIZADO"/>
    <s v="AGATHA"/>
    <d v="2025-10-22T00:00:00"/>
    <x v="2"/>
  </r>
  <r>
    <n v="50032781"/>
    <x v="12"/>
    <n v="1"/>
    <s v="REALIZADO"/>
    <s v="AGATHA"/>
    <d v="2025-10-22T00:00:00"/>
    <x v="0"/>
  </r>
  <r>
    <n v="50038618"/>
    <x v="88"/>
    <n v="1"/>
    <s v="REALIZADO"/>
    <s v="AGATHA"/>
    <d v="2025-10-22T00:00:00"/>
    <x v="2"/>
  </r>
  <r>
    <n v="50038618"/>
    <x v="88"/>
    <n v="1"/>
    <s v="REALIZADO"/>
    <s v="AGATHA"/>
    <d v="2025-10-22T00:00:00"/>
    <x v="0"/>
  </r>
  <r>
    <n v="50028220"/>
    <x v="33"/>
    <n v="1"/>
    <s v="REALIZADO"/>
    <s v="AGATHA"/>
    <d v="2025-10-22T00:00:00"/>
    <x v="2"/>
  </r>
  <r>
    <n v="50028220"/>
    <x v="33"/>
    <n v="1"/>
    <s v="REALIZADO"/>
    <s v="AGATHA"/>
    <d v="2025-10-22T00:00:00"/>
    <x v="0"/>
  </r>
  <r>
    <n v="50010031"/>
    <x v="20"/>
    <n v="1"/>
    <s v="REALIZADO"/>
    <s v="AGATHA"/>
    <d v="2025-10-21T00:00:00"/>
    <x v="2"/>
  </r>
  <r>
    <n v="50010031"/>
    <x v="20"/>
    <n v="1"/>
    <s v="REALIZADO"/>
    <s v="AGATHA"/>
    <d v="2025-10-21T00:00:00"/>
    <x v="0"/>
  </r>
  <r>
    <n v="50036255"/>
    <x v="7"/>
    <n v="1"/>
    <s v="REALIZADO"/>
    <s v="MATHEUS"/>
    <d v="2025-10-21T00:00:00"/>
    <x v="2"/>
  </r>
  <r>
    <n v="50036255"/>
    <x v="7"/>
    <n v="1"/>
    <s v="REALIZADO"/>
    <s v="MATHEUS"/>
    <d v="2025-10-21T00:00:00"/>
    <x v="0"/>
  </r>
  <r>
    <n v="50030486"/>
    <x v="17"/>
    <n v="1"/>
    <s v="REALIZADO"/>
    <s v="AGATHA"/>
    <d v="2025-10-21T00:00:00"/>
    <x v="2"/>
  </r>
  <r>
    <n v="50030486"/>
    <x v="17"/>
    <n v="1"/>
    <s v="REALIZADO"/>
    <s v="GEOVANE"/>
    <d v="2025-10-21T00:00:00"/>
    <x v="2"/>
  </r>
  <r>
    <n v="50039236"/>
    <x v="84"/>
    <n v="1"/>
    <s v="REALIZADO"/>
    <s v="MATHEUS"/>
    <d v="2025-10-21T00:00:00"/>
    <x v="0"/>
  </r>
  <r>
    <n v="50039236"/>
    <x v="84"/>
    <n v="1"/>
    <s v="REALIZADO"/>
    <s v="MATHEUS"/>
    <d v="2025-10-21T00:00:00"/>
    <x v="2"/>
  </r>
  <r>
    <n v="50039236"/>
    <x v="84"/>
    <n v="1"/>
    <s v="REALIZADO"/>
    <s v="MATHEUS"/>
    <d v="2025-10-21T00:00:00"/>
    <x v="0"/>
  </r>
  <r>
    <n v="50043471"/>
    <x v="5"/>
    <n v="1"/>
    <s v="REALIZADO"/>
    <s v="AGATHA"/>
    <d v="2025-10-21T00:00:00"/>
    <x v="2"/>
  </r>
  <r>
    <n v="50043471"/>
    <x v="5"/>
    <n v="1"/>
    <s v="REALIZADO"/>
    <s v="AGATHA"/>
    <d v="2025-10-21T00:00:00"/>
    <x v="2"/>
  </r>
  <r>
    <n v="50003297"/>
    <x v="8"/>
    <n v="1"/>
    <s v="REALIZADO"/>
    <s v="MATHEUS"/>
    <d v="2025-10-21T00:00:00"/>
    <x v="0"/>
  </r>
  <r>
    <n v="50038549"/>
    <x v="6"/>
    <n v="1"/>
    <s v="REALIZADO"/>
    <s v="MATHEUS"/>
    <d v="2025-10-21T00:00:00"/>
    <x v="2"/>
  </r>
  <r>
    <n v="50038549"/>
    <x v="6"/>
    <n v="1"/>
    <s v="REALIZADO"/>
    <s v="MATHEUS"/>
    <d v="2025-10-21T00:00:00"/>
    <x v="2"/>
  </r>
  <r>
    <n v="50022878"/>
    <x v="18"/>
    <n v="1"/>
    <s v="REALIZADO"/>
    <s v="MATHEUS"/>
    <d v="2025-10-21T00:00:00"/>
    <x v="0"/>
  </r>
  <r>
    <n v="50037892"/>
    <x v="2"/>
    <n v="1"/>
    <s v="REALIZADO"/>
    <s v="MATHEUS"/>
    <d v="2025-10-21T00:00:00"/>
    <x v="2"/>
  </r>
  <r>
    <n v="50037892"/>
    <x v="2"/>
    <n v="1"/>
    <s v="REALIZADO"/>
    <s v="MATHEUS"/>
    <d v="2025-10-21T00:00:00"/>
    <x v="0"/>
  </r>
  <r>
    <n v="50038517"/>
    <x v="0"/>
    <n v="1"/>
    <s v="REALIZADO"/>
    <s v="AGATHA"/>
    <d v="2025-10-21T00:00:00"/>
    <x v="2"/>
  </r>
  <r>
    <n v="50038517"/>
    <x v="0"/>
    <n v="1"/>
    <s v="REALIZADO"/>
    <s v="AGATHA"/>
    <d v="2025-10-21T00:00:00"/>
    <x v="0"/>
  </r>
  <r>
    <n v="50038517"/>
    <x v="0"/>
    <n v="1"/>
    <s v="REALIZADO"/>
    <s v="MARCIA"/>
    <d v="2025-10-21T00:00:00"/>
    <x v="2"/>
  </r>
  <r>
    <n v="50038517"/>
    <x v="0"/>
    <n v="1"/>
    <s v="REALIZADO"/>
    <s v="MARCIA"/>
    <d v="2025-10-21T00:00:00"/>
    <x v="2"/>
  </r>
  <r>
    <n v="50038517"/>
    <x v="0"/>
    <n v="1"/>
    <s v="REALIZADO"/>
    <s v="MATHEUS"/>
    <d v="2025-10-21T00:00:00"/>
    <x v="0"/>
  </r>
  <r>
    <n v="50038517"/>
    <x v="0"/>
    <n v="1"/>
    <s v="REALIZADO"/>
    <s v="MATHEUS"/>
    <d v="2025-10-21T00:00:00"/>
    <x v="2"/>
  </r>
  <r>
    <n v="50038517"/>
    <x v="0"/>
    <n v="1"/>
    <s v="REALIZADO"/>
    <s v="MATHEUS"/>
    <d v="2025-10-21T00:00:00"/>
    <x v="0"/>
  </r>
  <r>
    <n v="50039065"/>
    <x v="22"/>
    <n v="1"/>
    <s v="REALIZADO"/>
    <s v="AGATHA"/>
    <d v="2025-10-21T00:00:00"/>
    <x v="2"/>
  </r>
  <r>
    <n v="50039065"/>
    <x v="22"/>
    <n v="1"/>
    <s v="REALIZADO"/>
    <s v="MATHEUS"/>
    <d v="2025-10-21T00:00:00"/>
    <x v="2"/>
  </r>
  <r>
    <n v="50039065"/>
    <x v="22"/>
    <n v="1"/>
    <s v="REALIZADO"/>
    <s v="BRUNA"/>
    <d v="2025-10-21T00:00:00"/>
    <x v="0"/>
  </r>
  <r>
    <n v="50026357"/>
    <x v="24"/>
    <n v="1"/>
    <s v="REALIZADO"/>
    <s v="AGATHA"/>
    <d v="2025-10-21T00:00:00"/>
    <x v="2"/>
  </r>
  <r>
    <n v="50026357"/>
    <x v="24"/>
    <n v="1"/>
    <s v="REALIZADO"/>
    <s v="GEOVANE"/>
    <d v="2025-10-21T00:00:00"/>
    <x v="2"/>
  </r>
  <r>
    <n v="50041195"/>
    <x v="21"/>
    <n v="1"/>
    <s v="REALIZADO"/>
    <s v="AGATHA"/>
    <d v="2025-10-21T00:00:00"/>
    <x v="0"/>
  </r>
  <r>
    <n v="50041195"/>
    <x v="21"/>
    <n v="1"/>
    <s v="REALIZADO"/>
    <s v="MATHEUS"/>
    <d v="2025-10-21T00:00:00"/>
    <x v="2"/>
  </r>
  <r>
    <n v="50041195"/>
    <x v="21"/>
    <n v="1"/>
    <s v="REALIZADO"/>
    <s v="MATHEUS"/>
    <d v="2025-10-21T00:00:00"/>
    <x v="0"/>
  </r>
  <r>
    <n v="50043917"/>
    <x v="66"/>
    <n v="1"/>
    <s v="REALIZADO"/>
    <s v="AGATHA"/>
    <d v="2025-10-21T00:00:00"/>
    <x v="2"/>
  </r>
  <r>
    <n v="50043917"/>
    <x v="66"/>
    <n v="1"/>
    <s v="REALIZADO"/>
    <s v="AGATHA"/>
    <d v="2025-10-21T00:00:00"/>
    <x v="0"/>
  </r>
  <r>
    <n v="50004486"/>
    <x v="40"/>
    <n v="1"/>
    <s v="REALIZADO"/>
    <s v="MATHEUS"/>
    <d v="2025-10-21T00:00:00"/>
    <x v="2"/>
  </r>
  <r>
    <n v="50004486"/>
    <x v="40"/>
    <n v="1"/>
    <s v="REALIZADO"/>
    <s v="BRUNA"/>
    <d v="2025-10-21T00:00:00"/>
    <x v="2"/>
  </r>
  <r>
    <n v="50032781"/>
    <x v="12"/>
    <n v="1"/>
    <s v="REALIZADO"/>
    <s v="KELLY"/>
    <d v="2025-10-21T00:00:00"/>
    <x v="2"/>
  </r>
  <r>
    <n v="50032781"/>
    <x v="12"/>
    <n v="1"/>
    <s v="REALIZADO"/>
    <s v="MARCIA"/>
    <d v="2025-10-21T00:00:00"/>
    <x v="0"/>
  </r>
  <r>
    <n v="50010031"/>
    <x v="20"/>
    <n v="1"/>
    <s v="REALIZADO"/>
    <s v="BRUNA"/>
    <d v="2025-10-20T00:00:00"/>
    <x v="2"/>
  </r>
  <r>
    <n v="50010031"/>
    <x v="20"/>
    <n v="1"/>
    <s v="REALIZADO"/>
    <s v="BRUNO"/>
    <d v="2025-10-20T00:00:00"/>
    <x v="2"/>
  </r>
  <r>
    <n v="50036086"/>
    <x v="3"/>
    <n v="1"/>
    <s v="REALIZADO"/>
    <s v="BRUNO"/>
    <d v="2025-10-20T00:00:00"/>
    <x v="0"/>
  </r>
  <r>
    <n v="50043471"/>
    <x v="5"/>
    <n v="1"/>
    <s v="REALIZADO"/>
    <s v="BRUNA"/>
    <d v="2025-10-20T00:00:00"/>
    <x v="2"/>
  </r>
  <r>
    <n v="50043471"/>
    <x v="5"/>
    <n v="1"/>
    <s v="REALIZADO"/>
    <s v="BRUNO"/>
    <d v="2025-10-20T00:00:00"/>
    <x v="0"/>
  </r>
  <r>
    <n v="50037892"/>
    <x v="2"/>
    <n v="1"/>
    <s v="REALIZADO"/>
    <s v="KELLY"/>
    <d v="2025-10-20T00:00:00"/>
    <x v="2"/>
  </r>
  <r>
    <n v="50037892"/>
    <x v="2"/>
    <n v="1"/>
    <s v="REALIZADO"/>
    <s v="KELLY"/>
    <d v="2025-10-20T00:00:00"/>
    <x v="0"/>
  </r>
  <r>
    <n v="50037892"/>
    <x v="2"/>
    <n v="1"/>
    <s v="REALIZADO"/>
    <s v="KELLY"/>
    <d v="2025-10-20T00:00:00"/>
    <x v="2"/>
  </r>
  <r>
    <n v="50037892"/>
    <x v="2"/>
    <n v="1"/>
    <s v="REALIZADO"/>
    <s v="AGATHA"/>
    <d v="2025-10-20T00:00:00"/>
    <x v="0"/>
  </r>
  <r>
    <n v="50037892"/>
    <x v="2"/>
    <n v="1"/>
    <s v="REALIZADO"/>
    <s v="BRUNA"/>
    <d v="2025-10-20T00:00:00"/>
    <x v="2"/>
  </r>
  <r>
    <n v="50037892"/>
    <x v="2"/>
    <n v="1"/>
    <s v="REALIZADO"/>
    <s v="BRUNO"/>
    <d v="2025-10-20T00:00:00"/>
    <x v="0"/>
  </r>
  <r>
    <n v="50038841"/>
    <x v="34"/>
    <n v="1"/>
    <s v="REALIZADO"/>
    <s v="AGATHA"/>
    <d v="2025-10-20T00:00:00"/>
    <x v="2"/>
  </r>
  <r>
    <n v="50038841"/>
    <x v="34"/>
    <n v="1"/>
    <s v="REALIZADO"/>
    <s v="AGATHA"/>
    <d v="2025-10-20T00:00:00"/>
    <x v="2"/>
  </r>
  <r>
    <n v="50038841"/>
    <x v="34"/>
    <n v="1"/>
    <s v="REALIZADO"/>
    <s v="BRUNO"/>
    <d v="2025-10-20T00:00:00"/>
    <x v="0"/>
  </r>
  <r>
    <n v="50038517"/>
    <x v="0"/>
    <n v="1"/>
    <s v="REALIZADO"/>
    <s v="AGATHA"/>
    <d v="2025-10-20T00:00:00"/>
    <x v="0"/>
  </r>
  <r>
    <n v="50038517"/>
    <x v="0"/>
    <n v="1"/>
    <s v="REALIZADO"/>
    <s v="AGATHA"/>
    <d v="2025-10-20T00:00:00"/>
    <x v="2"/>
  </r>
  <r>
    <n v="50038517"/>
    <x v="0"/>
    <n v="1"/>
    <s v="REALIZADO"/>
    <s v="BRUNO"/>
    <d v="2025-10-20T00:00:00"/>
    <x v="0"/>
  </r>
  <r>
    <n v="50001995"/>
    <x v="44"/>
    <n v="1"/>
    <s v="REALIZADO"/>
    <s v="AGATHA"/>
    <d v="2025-10-20T00:00:00"/>
    <x v="2"/>
  </r>
  <r>
    <n v="50001995"/>
    <x v="44"/>
    <n v="1"/>
    <s v="REALIZADO"/>
    <s v="AGATHA"/>
    <d v="2025-10-20T00:00:00"/>
    <x v="2"/>
  </r>
  <r>
    <n v="50001995"/>
    <x v="44"/>
    <n v="1"/>
    <s v="REALIZADO"/>
    <s v="FABIANO"/>
    <d v="2025-10-20T00:00:00"/>
    <x v="0"/>
  </r>
  <r>
    <n v="50001995"/>
    <x v="44"/>
    <n v="1"/>
    <s v="REALIZADO"/>
    <s v="FABIANO"/>
    <d v="2025-10-20T00:00:00"/>
    <x v="0"/>
  </r>
  <r>
    <n v="50039065"/>
    <x v="22"/>
    <n v="1"/>
    <s v="NÃO REALIZADO"/>
    <s v="KELLY"/>
    <d v="2025-10-20T00:00:00"/>
    <x v="2"/>
  </r>
  <r>
    <n v="50039065"/>
    <x v="22"/>
    <n v="1"/>
    <s v="REALIZADO"/>
    <s v="BRUNO"/>
    <d v="2025-10-20T00:00:00"/>
    <x v="0"/>
  </r>
  <r>
    <n v="50026357"/>
    <x v="24"/>
    <n v="1"/>
    <s v="REALIZADO"/>
    <s v="AGATHA"/>
    <d v="2025-10-20T00:00:00"/>
    <x v="2"/>
  </r>
  <r>
    <n v="50026357"/>
    <x v="24"/>
    <n v="1"/>
    <s v="REALIZADO"/>
    <s v="BRUNO"/>
    <d v="2025-10-20T00:00:00"/>
    <x v="0"/>
  </r>
  <r>
    <n v="50041195"/>
    <x v="21"/>
    <n v="1"/>
    <s v="REALIZADO"/>
    <s v="AGATHA"/>
    <d v="2025-10-20T00:00:00"/>
    <x v="2"/>
  </r>
  <r>
    <n v="50041195"/>
    <x v="21"/>
    <n v="1"/>
    <s v="REALIZADO"/>
    <s v="BRUNO"/>
    <d v="2025-10-20T00:00:00"/>
    <x v="2"/>
  </r>
  <r>
    <n v="50041195"/>
    <x v="21"/>
    <n v="1"/>
    <s v="REALIZADO"/>
    <s v="FABIANO"/>
    <d v="2025-10-20T00:00:00"/>
    <x v="0"/>
  </r>
  <r>
    <n v="50041195"/>
    <x v="21"/>
    <n v="1"/>
    <s v="REALIZADO"/>
    <s v="FABIANO"/>
    <d v="2025-10-20T00:00:00"/>
    <x v="0"/>
  </r>
  <r>
    <n v="50043917"/>
    <x v="66"/>
    <n v="1"/>
    <s v="REALIZADO"/>
    <s v="AGATHA"/>
    <d v="2025-10-20T00:00:00"/>
    <x v="2"/>
  </r>
  <r>
    <n v="50043917"/>
    <x v="66"/>
    <n v="1"/>
    <s v="REALIZADO"/>
    <s v="BRUNO"/>
    <d v="2025-10-20T00:00:00"/>
    <x v="2"/>
  </r>
  <r>
    <n v="50032781"/>
    <x v="12"/>
    <n v="1"/>
    <s v="REALIZADO"/>
    <s v="AGATHA"/>
    <d v="2025-10-20T00:00:00"/>
    <x v="0"/>
  </r>
  <r>
    <n v="50038618"/>
    <x v="88"/>
    <n v="1"/>
    <s v="REALIZADO"/>
    <s v="AGATHA"/>
    <d v="2025-10-20T00:00:00"/>
    <x v="2"/>
  </r>
  <r>
    <n v="50038618"/>
    <x v="88"/>
    <n v="1"/>
    <s v="REALIZADO"/>
    <s v="AGATHA"/>
    <d v="2025-10-20T00:00:00"/>
    <x v="2"/>
  </r>
  <r>
    <n v="50037892"/>
    <x v="2"/>
    <n v="1"/>
    <s v="REALIZADO"/>
    <s v="MARINA"/>
    <d v="2025-10-19T00:00:00"/>
    <x v="0"/>
  </r>
  <r>
    <n v="50037892"/>
    <x v="2"/>
    <n v="1"/>
    <s v="REALIZADO"/>
    <s v="MARINA"/>
    <d v="2025-10-19T00:00:00"/>
    <x v="2"/>
  </r>
  <r>
    <n v="50043917"/>
    <x v="66"/>
    <n v="1"/>
    <s v="REALIZADO"/>
    <s v="FABIANO"/>
    <d v="2025-10-19T00:00:00"/>
    <x v="0"/>
  </r>
  <r>
    <n v="50043917"/>
    <x v="66"/>
    <n v="1"/>
    <s v="REALIZADO"/>
    <s v="FABIANO"/>
    <d v="2025-10-19T00:00:00"/>
    <x v="0"/>
  </r>
  <r>
    <n v="50039236"/>
    <x v="84"/>
    <n v="1"/>
    <s v="REALIZADO"/>
    <s v="MARCIA"/>
    <d v="2025-10-18T00:00:00"/>
    <x v="2"/>
  </r>
  <r>
    <n v="50039236"/>
    <x v="84"/>
    <n v="1"/>
    <s v="REALIZADO"/>
    <s v="MARCIA"/>
    <d v="2025-10-18T00:00:00"/>
    <x v="0"/>
  </r>
  <r>
    <n v="50043320"/>
    <x v="35"/>
    <n v="1"/>
    <s v="REALIZADO"/>
    <s v="MARCIA"/>
    <d v="2025-10-18T00:00:00"/>
    <x v="2"/>
  </r>
  <r>
    <n v="50043320"/>
    <x v="35"/>
    <n v="1"/>
    <s v="REALIZADO"/>
    <s v="MARCIA"/>
    <d v="2025-10-18T00:00:00"/>
    <x v="2"/>
  </r>
  <r>
    <n v="50038841"/>
    <x v="34"/>
    <n v="1"/>
    <s v="REALIZADO"/>
    <s v="MARINA"/>
    <d v="2025-10-18T00:00:00"/>
    <x v="0"/>
  </r>
  <r>
    <n v="50038841"/>
    <x v="34"/>
    <n v="1"/>
    <s v="REALIZADO"/>
    <s v="MARINA"/>
    <d v="2025-10-18T00:00:00"/>
    <x v="2"/>
  </r>
  <r>
    <n v="50001995"/>
    <x v="44"/>
    <n v="1"/>
    <s v="REALIZADO"/>
    <s v="FELIPE"/>
    <d v="2025-10-18T00:00:00"/>
    <x v="0"/>
  </r>
  <r>
    <n v="50001995"/>
    <x v="44"/>
    <n v="1"/>
    <s v="REALIZADO"/>
    <s v="FELIPE"/>
    <d v="2025-10-18T00:00:00"/>
    <x v="2"/>
  </r>
  <r>
    <n v="50038626"/>
    <x v="72"/>
    <n v="1"/>
    <s v="REALIZADO"/>
    <s v="MARCIA"/>
    <d v="2025-10-18T00:00:00"/>
    <x v="2"/>
  </r>
  <r>
    <n v="50041195"/>
    <x v="21"/>
    <n v="1"/>
    <s v="REALIZADO"/>
    <s v="MARINA"/>
    <d v="2025-10-18T00:00:00"/>
    <x v="0"/>
  </r>
  <r>
    <n v="50041195"/>
    <x v="21"/>
    <n v="1"/>
    <s v="REALIZADO"/>
    <s v="MARINA"/>
    <d v="2025-10-18T00:00:00"/>
    <x v="0"/>
  </r>
  <r>
    <n v="50043917"/>
    <x v="66"/>
    <n v="1"/>
    <s v="REALIZADO"/>
    <s v="MARCIA"/>
    <d v="2025-10-18T00:00:00"/>
    <x v="2"/>
  </r>
  <r>
    <n v="50043917"/>
    <x v="66"/>
    <n v="1"/>
    <s v="REALIZADO"/>
    <s v="MARCIA"/>
    <d v="2025-10-18T00:00:00"/>
    <x v="0"/>
  </r>
  <r>
    <n v="50036296"/>
    <x v="46"/>
    <n v="1"/>
    <s v="REALIZADO"/>
    <s v="AGATHA"/>
    <d v="2025-10-17T00:00:00"/>
    <x v="2"/>
  </r>
  <r>
    <n v="50036296"/>
    <x v="46"/>
    <n v="1"/>
    <s v="REALIZADO"/>
    <s v="MATHEUS"/>
    <d v="2025-10-17T00:00:00"/>
    <x v="0"/>
  </r>
  <r>
    <n v="50012576"/>
    <x v="96"/>
    <n v="1"/>
    <s v="REALIZADO"/>
    <s v="AGATHA"/>
    <d v="2025-10-17T00:00:00"/>
    <x v="2"/>
  </r>
  <r>
    <n v="50012576"/>
    <x v="96"/>
    <n v="1"/>
    <s v="REALIZADO"/>
    <s v="AGATHA"/>
    <d v="2025-10-17T00:00:00"/>
    <x v="2"/>
  </r>
  <r>
    <n v="50030486"/>
    <x v="17"/>
    <n v="1"/>
    <s v="REALIZADO"/>
    <s v="BRUNO"/>
    <d v="2025-10-17T00:00:00"/>
    <x v="0"/>
  </r>
  <r>
    <n v="50039236"/>
    <x v="84"/>
    <n v="1"/>
    <s v="REALIZADO"/>
    <s v="KELLY"/>
    <d v="2025-10-17T00:00:00"/>
    <x v="2"/>
  </r>
  <r>
    <n v="50039236"/>
    <x v="84"/>
    <n v="1"/>
    <s v="REALIZADO"/>
    <s v="GEOVANE"/>
    <d v="2025-10-17T00:00:00"/>
    <x v="0"/>
  </r>
  <r>
    <n v="50043471"/>
    <x v="5"/>
    <n v="1"/>
    <s v="REALIZADO"/>
    <s v="AGATHA"/>
    <d v="2025-10-17T00:00:00"/>
    <x v="2"/>
  </r>
  <r>
    <n v="50043471"/>
    <x v="5"/>
    <n v="1"/>
    <s v="REALIZADO"/>
    <s v="BRUNO"/>
    <d v="2025-10-17T00:00:00"/>
    <x v="0"/>
  </r>
  <r>
    <n v="50003297"/>
    <x v="8"/>
    <n v="1"/>
    <s v="REALIZADO"/>
    <s v="KELLY"/>
    <d v="2025-10-17T00:00:00"/>
    <x v="2"/>
  </r>
  <r>
    <n v="50003297"/>
    <x v="8"/>
    <n v="1"/>
    <s v="REALIZADO"/>
    <s v="AGATHA"/>
    <d v="2025-10-17T00:00:00"/>
    <x v="0"/>
  </r>
  <r>
    <n v="50038956"/>
    <x v="10"/>
    <n v="1"/>
    <s v="REALIZADO"/>
    <s v="KELLY"/>
    <d v="2025-10-17T00:00:00"/>
    <x v="2"/>
  </r>
  <r>
    <n v="50038956"/>
    <x v="10"/>
    <n v="1"/>
    <s v="REALIZADO"/>
    <s v="AGATHA"/>
    <d v="2025-10-17T00:00:00"/>
    <x v="2"/>
  </r>
  <r>
    <n v="50037892"/>
    <x v="2"/>
    <n v="1"/>
    <s v="REALIZADO"/>
    <s v="BRUNO"/>
    <d v="2025-10-17T00:00:00"/>
    <x v="2"/>
  </r>
  <r>
    <n v="50037902"/>
    <x v="14"/>
    <n v="1"/>
    <s v="REALIZADO"/>
    <s v="BRUNO"/>
    <d v="2025-10-17T00:00:00"/>
    <x v="2"/>
  </r>
  <r>
    <n v="50037902"/>
    <x v="14"/>
    <n v="1"/>
    <s v="REALIZADO"/>
    <s v="FABIANO"/>
    <d v="2025-10-17T00:00:00"/>
    <x v="0"/>
  </r>
  <r>
    <n v="50037902"/>
    <x v="14"/>
    <n v="1"/>
    <s v="REALIZADO"/>
    <s v="FABIANO"/>
    <d v="2025-10-17T00:00:00"/>
    <x v="0"/>
  </r>
  <r>
    <n v="50038841"/>
    <x v="34"/>
    <n v="1"/>
    <s v="REALIZADO"/>
    <s v="AGATHA"/>
    <d v="2025-10-17T00:00:00"/>
    <x v="2"/>
  </r>
  <r>
    <n v="50038841"/>
    <x v="34"/>
    <n v="1"/>
    <s v="REALIZADO"/>
    <s v="BRUNO"/>
    <d v="2025-10-17T00:00:00"/>
    <x v="0"/>
  </r>
  <r>
    <n v="50038517"/>
    <x v="0"/>
    <n v="1"/>
    <s v="REALIZADO"/>
    <s v="AGATHA"/>
    <d v="2025-10-17T00:00:00"/>
    <x v="2"/>
  </r>
  <r>
    <n v="50038517"/>
    <x v="0"/>
    <n v="1"/>
    <s v="REALIZADO"/>
    <s v="BRUNO"/>
    <d v="2025-10-17T00:00:00"/>
    <x v="0"/>
  </r>
  <r>
    <n v="50039065"/>
    <x v="22"/>
    <n v="1"/>
    <s v="REALIZADO"/>
    <s v="AGATHA"/>
    <d v="2025-10-17T00:00:00"/>
    <x v="2"/>
  </r>
  <r>
    <n v="50039065"/>
    <x v="22"/>
    <n v="1"/>
    <s v="REALIZADO"/>
    <s v="BRUNO"/>
    <d v="2025-10-17T00:00:00"/>
    <x v="0"/>
  </r>
  <r>
    <n v="50026357"/>
    <x v="24"/>
    <n v="1"/>
    <s v="REALIZADO"/>
    <s v="AGATHA"/>
    <d v="2025-10-17T00:00:00"/>
    <x v="2"/>
  </r>
  <r>
    <n v="50026357"/>
    <x v="24"/>
    <n v="1"/>
    <s v="REALIZADO"/>
    <s v="GEOVANE"/>
    <d v="2025-10-17T00:00:00"/>
    <x v="0"/>
  </r>
  <r>
    <n v="50043917"/>
    <x v="66"/>
    <n v="1"/>
    <s v="REALIZADO"/>
    <s v="KELLY"/>
    <d v="2025-10-17T00:00:00"/>
    <x v="0"/>
  </r>
  <r>
    <n v="50043917"/>
    <x v="66"/>
    <n v="1"/>
    <s v="REALIZADO"/>
    <s v="AGATHA"/>
    <d v="2025-10-17T00:00:00"/>
    <x v="2"/>
  </r>
  <r>
    <n v="50043917"/>
    <x v="66"/>
    <n v="1"/>
    <s v="REALIZADO"/>
    <s v="MATHEUS"/>
    <d v="2025-10-17T00:00:00"/>
    <x v="0"/>
  </r>
  <r>
    <n v="50020622"/>
    <x v="42"/>
    <n v="1"/>
    <s v="REALIZADO"/>
    <s v="AGATHA"/>
    <d v="2025-10-17T00:00:00"/>
    <x v="2"/>
  </r>
  <r>
    <n v="50020622"/>
    <x v="42"/>
    <n v="1"/>
    <s v="REALIZADO"/>
    <s v="AGATHA"/>
    <d v="2025-10-17T00:00:00"/>
    <x v="2"/>
  </r>
  <r>
    <n v="50012902"/>
    <x v="30"/>
    <n v="1"/>
    <s v="REALIZADO"/>
    <s v="BRUNO"/>
    <d v="2025-10-17T00:00:00"/>
    <x v="0"/>
  </r>
  <r>
    <n v="50032781"/>
    <x v="12"/>
    <n v="1"/>
    <s v="REALIZADO"/>
    <s v="AGATHA"/>
    <d v="2025-10-17T00:00:00"/>
    <x v="2"/>
  </r>
  <r>
    <n v="50032781"/>
    <x v="12"/>
    <n v="1"/>
    <s v="REALIZADO"/>
    <s v="AGATHA"/>
    <d v="2025-10-17T00:00:00"/>
    <x v="0"/>
  </r>
  <r>
    <n v="50028220"/>
    <x v="33"/>
    <n v="1"/>
    <s v="REALIZADO"/>
    <s v="AGATHA"/>
    <d v="2025-10-17T00:00:00"/>
    <x v="2"/>
  </r>
  <r>
    <n v="50028220"/>
    <x v="33"/>
    <n v="1"/>
    <s v="REALIZADO"/>
    <s v="GEOVANE"/>
    <d v="2025-10-17T00:00:00"/>
    <x v="2"/>
  </r>
  <r>
    <n v="50010031"/>
    <x v="20"/>
    <n v="1"/>
    <s v="REALIZADO"/>
    <s v="BRUNO"/>
    <d v="2025-10-16T00:00:00"/>
    <x v="2"/>
  </r>
  <r>
    <n v="50036086"/>
    <x v="3"/>
    <n v="1"/>
    <s v="REALIZADO"/>
    <s v="BRUNO"/>
    <d v="2025-10-16T00:00:00"/>
    <x v="2"/>
  </r>
  <r>
    <n v="50003173"/>
    <x v="29"/>
    <n v="1"/>
    <s v="REALIZADO"/>
    <s v="BRUNO"/>
    <d v="2025-10-16T00:00:00"/>
    <x v="2"/>
  </r>
  <r>
    <n v="50030486"/>
    <x v="17"/>
    <n v="1"/>
    <s v="REALIZADO"/>
    <s v="BRUNO"/>
    <d v="2025-10-16T00:00:00"/>
    <x v="2"/>
  </r>
  <r>
    <n v="50039236"/>
    <x v="84"/>
    <n v="1"/>
    <s v="REALIZADO"/>
    <s v="GEOVANE"/>
    <d v="2025-10-16T00:00:00"/>
    <x v="0"/>
  </r>
  <r>
    <n v="50043471"/>
    <x v="5"/>
    <n v="1"/>
    <s v="REALIZADO"/>
    <s v="GEOVANE"/>
    <d v="2025-10-16T00:00:00"/>
    <x v="2"/>
  </r>
  <r>
    <n v="50043471"/>
    <x v="5"/>
    <n v="1"/>
    <s v="REALIZADO"/>
    <s v="BRUNO"/>
    <d v="2025-10-16T00:00:00"/>
    <x v="0"/>
  </r>
  <r>
    <n v="50043320"/>
    <x v="35"/>
    <n v="1"/>
    <s v="REALIZADO"/>
    <s v="GEOVANE"/>
    <d v="2025-10-16T00:00:00"/>
    <x v="2"/>
  </r>
  <r>
    <n v="50043320"/>
    <x v="35"/>
    <n v="1"/>
    <s v="REALIZADO"/>
    <s v="BRUNO"/>
    <d v="2025-10-16T00:00:00"/>
    <x v="0"/>
  </r>
  <r>
    <n v="50038549"/>
    <x v="6"/>
    <n v="1"/>
    <s v="REALIZADO"/>
    <s v="BRUNA"/>
    <d v="2025-10-16T00:00:00"/>
    <x v="0"/>
  </r>
  <r>
    <n v="50022878"/>
    <x v="18"/>
    <n v="1"/>
    <s v="REALIZADO"/>
    <s v="GEOVANE"/>
    <d v="2025-10-16T00:00:00"/>
    <x v="2"/>
  </r>
  <r>
    <n v="50022878"/>
    <x v="18"/>
    <n v="1"/>
    <s v="REALIZADO"/>
    <s v="BRUNO"/>
    <d v="2025-10-16T00:00:00"/>
    <x v="0"/>
  </r>
  <r>
    <n v="50038956"/>
    <x v="10"/>
    <n v="1"/>
    <s v="REALIZADO"/>
    <s v="GEOVANE"/>
    <d v="2025-10-16T00:00:00"/>
    <x v="2"/>
  </r>
  <r>
    <n v="50038956"/>
    <x v="10"/>
    <n v="1"/>
    <s v="REALIZADO"/>
    <s v="BRUNO"/>
    <d v="2025-10-16T00:00:00"/>
    <x v="2"/>
  </r>
  <r>
    <n v="50037892"/>
    <x v="2"/>
    <n v="1"/>
    <s v="REALIZADO"/>
    <s v="BRUNO"/>
    <d v="2025-10-16T00:00:00"/>
    <x v="2"/>
  </r>
  <r>
    <n v="50037902"/>
    <x v="14"/>
    <n v="1"/>
    <s v="REALIZADO"/>
    <s v="BRUNA"/>
    <d v="2025-10-16T00:00:00"/>
    <x v="0"/>
  </r>
  <r>
    <n v="50038841"/>
    <x v="34"/>
    <n v="1"/>
    <s v="REALIZADO"/>
    <s v="KELLY"/>
    <d v="2025-10-16T00:00:00"/>
    <x v="2"/>
  </r>
  <r>
    <n v="50038841"/>
    <x v="34"/>
    <n v="1"/>
    <s v="REALIZADO"/>
    <s v="GEOVANE"/>
    <d v="2025-10-16T00:00:00"/>
    <x v="0"/>
  </r>
  <r>
    <n v="50038841"/>
    <x v="34"/>
    <n v="1"/>
    <s v="REALIZADO"/>
    <s v="BRUNA"/>
    <d v="2025-10-16T00:00:00"/>
    <x v="2"/>
  </r>
  <r>
    <n v="50038841"/>
    <x v="34"/>
    <n v="1"/>
    <s v="REALIZADO"/>
    <s v="BRUNO"/>
    <d v="2025-10-16T00:00:00"/>
    <x v="2"/>
  </r>
  <r>
    <n v="50038517"/>
    <x v="0"/>
    <n v="1"/>
    <s v="REALIZADO"/>
    <s v="BRUNO"/>
    <d v="2025-10-16T00:00:00"/>
    <x v="2"/>
  </r>
  <r>
    <n v="50037903"/>
    <x v="91"/>
    <n v="1"/>
    <s v="REALIZADO"/>
    <s v="BRUNO"/>
    <d v="2025-10-16T00:00:00"/>
    <x v="2"/>
  </r>
  <r>
    <n v="50001995"/>
    <x v="44"/>
    <n v="1"/>
    <s v="REALIZADO"/>
    <s v="GEOVANE"/>
    <d v="2025-10-16T00:00:00"/>
    <x v="0"/>
  </r>
  <r>
    <n v="50039065"/>
    <x v="22"/>
    <n v="1"/>
    <s v="REALIZADO"/>
    <s v="GEOVANE"/>
    <d v="2025-10-16T00:00:00"/>
    <x v="2"/>
  </r>
  <r>
    <n v="50039065"/>
    <x v="22"/>
    <n v="1"/>
    <s v="REALIZADO"/>
    <s v="BRUNA"/>
    <d v="2025-10-16T00:00:00"/>
    <x v="0"/>
  </r>
  <r>
    <n v="50041195"/>
    <x v="21"/>
    <n v="1"/>
    <s v="REALIZADO"/>
    <s v="KELLY"/>
    <d v="2025-10-16T00:00:00"/>
    <x v="2"/>
  </r>
  <r>
    <n v="50041195"/>
    <x v="21"/>
    <n v="1"/>
    <s v="REALIZADO"/>
    <s v="GEOVANE"/>
    <d v="2025-10-16T00:00:00"/>
    <x v="0"/>
  </r>
  <r>
    <n v="50041195"/>
    <x v="21"/>
    <n v="1"/>
    <s v="REALIZADO"/>
    <s v="GEOVANE"/>
    <d v="2025-10-16T00:00:00"/>
    <x v="2"/>
  </r>
  <r>
    <n v="50041195"/>
    <x v="21"/>
    <n v="1"/>
    <s v="REALIZADO"/>
    <s v="BRUNO"/>
    <d v="2025-10-16T00:00:00"/>
    <x v="0"/>
  </r>
  <r>
    <n v="50043917"/>
    <x v="66"/>
    <n v="1"/>
    <s v="REALIZADO"/>
    <s v="GEOVANE"/>
    <d v="2025-10-16T00:00:00"/>
    <x v="2"/>
  </r>
  <r>
    <n v="50043917"/>
    <x v="66"/>
    <n v="1"/>
    <s v="REALIZADO"/>
    <s v="BRUNA"/>
    <d v="2025-10-16T00:00:00"/>
    <x v="0"/>
  </r>
  <r>
    <n v="50012902"/>
    <x v="30"/>
    <n v="1"/>
    <s v="REALIZADO"/>
    <s v="KELLY"/>
    <d v="2025-10-16T00:00:00"/>
    <x v="2"/>
  </r>
  <r>
    <n v="50012902"/>
    <x v="30"/>
    <n v="1"/>
    <s v="REALIZADO"/>
    <s v="BRUNO"/>
    <d v="2025-10-16T00:00:00"/>
    <x v="0"/>
  </r>
  <r>
    <n v="50044453"/>
    <x v="98"/>
    <n v="1"/>
    <s v="REALIZADO"/>
    <s v="BRUNO"/>
    <d v="2025-10-16T00:00:00"/>
    <x v="2"/>
  </r>
  <r>
    <n v="50044453"/>
    <x v="98"/>
    <n v="1"/>
    <s v="REALIZADO"/>
    <s v="BRUNO"/>
    <d v="2025-10-16T00:00:00"/>
    <x v="0"/>
  </r>
  <r>
    <n v="50032781"/>
    <x v="12"/>
    <n v="1"/>
    <s v="REALIZADO"/>
    <s v="GEOVANE"/>
    <d v="2025-10-16T00:00:00"/>
    <x v="2"/>
  </r>
  <r>
    <n v="50032781"/>
    <x v="12"/>
    <n v="1"/>
    <s v="REALIZADO"/>
    <s v="BRUNA"/>
    <d v="2025-10-16T00:00:00"/>
    <x v="0"/>
  </r>
  <r>
    <n v="50028220"/>
    <x v="33"/>
    <n v="1"/>
    <s v="REALIZADO"/>
    <s v="GEOVANE"/>
    <d v="2025-10-16T00:00:00"/>
    <x v="2"/>
  </r>
  <r>
    <n v="50028220"/>
    <x v="33"/>
    <n v="1"/>
    <s v="REALIZADO"/>
    <s v="BRUNA"/>
    <d v="2025-10-16T00:00:00"/>
    <x v="0"/>
  </r>
  <r>
    <n v="50010031"/>
    <x v="20"/>
    <n v="1"/>
    <s v="REALIZADO"/>
    <s v="GEOVANE"/>
    <d v="2025-10-15T00:00:00"/>
    <x v="2"/>
  </r>
  <r>
    <n v="50010031"/>
    <x v="20"/>
    <n v="1"/>
    <s v="REALIZADO"/>
    <s v="AGATHA"/>
    <d v="2025-10-15T00:00:00"/>
    <x v="0"/>
  </r>
  <r>
    <n v="50036086"/>
    <x v="3"/>
    <n v="1"/>
    <s v="REALIZADO"/>
    <s v="BRUNA"/>
    <d v="2025-10-15T00:00:00"/>
    <x v="2"/>
  </r>
  <r>
    <n v="50036086"/>
    <x v="3"/>
    <n v="1"/>
    <s v="REALIZADO"/>
    <s v="BRUNO"/>
    <d v="2025-10-15T00:00:00"/>
    <x v="0"/>
  </r>
  <r>
    <n v="50037905"/>
    <x v="49"/>
    <n v="1"/>
    <s v="REALIZADO"/>
    <s v="BRUNO"/>
    <d v="2025-10-15T00:00:00"/>
    <x v="2"/>
  </r>
  <r>
    <n v="50037905"/>
    <x v="49"/>
    <n v="1"/>
    <s v="REALIZADO"/>
    <s v="BRUNO"/>
    <d v="2025-10-15T00:00:00"/>
    <x v="2"/>
  </r>
  <r>
    <n v="50030486"/>
    <x v="17"/>
    <n v="1"/>
    <s v="REALIZADO"/>
    <s v="AGATHA"/>
    <d v="2025-10-15T00:00:00"/>
    <x v="0"/>
  </r>
  <r>
    <n v="50039236"/>
    <x v="84"/>
    <n v="1"/>
    <s v="REALIZADO"/>
    <s v="GEOVANE"/>
    <d v="2025-10-15T00:00:00"/>
    <x v="2"/>
  </r>
  <r>
    <n v="50039236"/>
    <x v="84"/>
    <n v="1"/>
    <s v="REALIZADO"/>
    <s v="BRUNA"/>
    <d v="2025-10-15T00:00:00"/>
    <x v="2"/>
  </r>
  <r>
    <n v="50043471"/>
    <x v="5"/>
    <n v="1"/>
    <s v="REALIZADO"/>
    <s v="GEOVANE"/>
    <d v="2025-10-15T00:00:00"/>
    <x v="0"/>
  </r>
  <r>
    <n v="50043471"/>
    <x v="5"/>
    <n v="1"/>
    <s v="REALIZADO"/>
    <s v="BRUNO"/>
    <d v="2025-10-15T00:00:00"/>
    <x v="2"/>
  </r>
  <r>
    <n v="50043471"/>
    <x v="5"/>
    <n v="1"/>
    <s v="REALIZADO"/>
    <s v="BRUNO"/>
    <d v="2025-10-15T00:00:00"/>
    <x v="2"/>
  </r>
  <r>
    <n v="50043471"/>
    <x v="5"/>
    <n v="1"/>
    <s v="REALIZADO"/>
    <s v="MARINA"/>
    <d v="2025-10-15T00:00:00"/>
    <x v="0"/>
  </r>
  <r>
    <n v="50043471"/>
    <x v="5"/>
    <n v="1"/>
    <s v="REALIZADO"/>
    <s v="MARINA"/>
    <d v="2025-10-15T00:00:00"/>
    <x v="2"/>
  </r>
  <r>
    <n v="50043320"/>
    <x v="35"/>
    <n v="1"/>
    <s v="REALIZADO"/>
    <s v="BRUNO"/>
    <d v="2025-10-15T00:00:00"/>
    <x v="2"/>
  </r>
  <r>
    <n v="50038549"/>
    <x v="6"/>
    <n v="1"/>
    <s v="REALIZADO"/>
    <s v="AGATHA"/>
    <d v="2025-10-15T00:00:00"/>
    <x v="0"/>
  </r>
  <r>
    <n v="50037909"/>
    <x v="99"/>
    <n v="1"/>
    <s v="REALIZADO"/>
    <s v="BRUNO"/>
    <d v="2025-10-15T00:00:00"/>
    <x v="2"/>
  </r>
  <r>
    <n v="50037909"/>
    <x v="99"/>
    <n v="1"/>
    <s v="REALIZADO"/>
    <s v="BRUNO"/>
    <d v="2025-10-15T00:00:00"/>
    <x v="0"/>
  </r>
  <r>
    <n v="50022878"/>
    <x v="18"/>
    <n v="1"/>
    <s v="REALIZADO"/>
    <s v="BRUNA"/>
    <d v="2025-10-15T00:00:00"/>
    <x v="2"/>
  </r>
  <r>
    <n v="50022878"/>
    <x v="18"/>
    <n v="1"/>
    <s v="REALIZADO"/>
    <s v="BRUNA"/>
    <d v="2025-10-15T00:00:00"/>
    <x v="0"/>
  </r>
  <r>
    <n v="50038956"/>
    <x v="10"/>
    <n v="1"/>
    <s v="REALIZADO"/>
    <s v="GEOVANE"/>
    <d v="2025-10-15T00:00:00"/>
    <x v="2"/>
  </r>
  <r>
    <n v="50038956"/>
    <x v="10"/>
    <n v="1"/>
    <s v="REALIZADO"/>
    <s v="BRUNA"/>
    <d v="2025-10-15T00:00:00"/>
    <x v="0"/>
  </r>
  <r>
    <n v="50037892"/>
    <x v="2"/>
    <n v="1"/>
    <s v="REALIZADO"/>
    <s v="BRUNO"/>
    <d v="2025-10-15T00:00:00"/>
    <x v="2"/>
  </r>
  <r>
    <n v="50037892"/>
    <x v="2"/>
    <n v="1"/>
    <s v="REALIZADO"/>
    <s v="BRUNO"/>
    <d v="2025-10-15T00:00:00"/>
    <x v="2"/>
  </r>
  <r>
    <n v="50037892"/>
    <x v="2"/>
    <n v="1"/>
    <s v="REALIZADO"/>
    <s v="BRUNO"/>
    <d v="2025-10-15T00:00:00"/>
    <x v="2"/>
  </r>
  <r>
    <n v="50037902"/>
    <x v="14"/>
    <n v="1"/>
    <s v="REALIZADO"/>
    <s v="BRUNO"/>
    <d v="2025-10-15T00:00:00"/>
    <x v="0"/>
  </r>
  <r>
    <n v="50038841"/>
    <x v="34"/>
    <n v="1"/>
    <s v="REALIZADO"/>
    <s v="KELLY"/>
    <d v="2025-10-15T00:00:00"/>
    <x v="2"/>
  </r>
  <r>
    <n v="50038841"/>
    <x v="34"/>
    <n v="1"/>
    <s v="REALIZADO"/>
    <s v="AGATHA"/>
    <d v="2025-10-15T00:00:00"/>
    <x v="0"/>
  </r>
  <r>
    <n v="50038841"/>
    <x v="34"/>
    <n v="1"/>
    <s v="REALIZADO"/>
    <s v="BRUNO"/>
    <d v="2025-10-15T00:00:00"/>
    <x v="2"/>
  </r>
  <r>
    <n v="50038841"/>
    <x v="34"/>
    <n v="1"/>
    <s v="REALIZADO"/>
    <s v="BRUNO"/>
    <d v="2025-10-15T00:00:00"/>
    <x v="0"/>
  </r>
  <r>
    <n v="50038517"/>
    <x v="0"/>
    <n v="1"/>
    <s v="REALIZADO"/>
    <s v="AGATHA"/>
    <d v="2025-10-15T00:00:00"/>
    <x v="2"/>
  </r>
  <r>
    <n v="50038517"/>
    <x v="0"/>
    <n v="1"/>
    <s v="REALIZADO"/>
    <s v="BRUNO"/>
    <d v="2025-10-15T00:00:00"/>
    <x v="0"/>
  </r>
  <r>
    <n v="50001995"/>
    <x v="44"/>
    <n v="1"/>
    <s v="REALIZADO"/>
    <s v="FABIANO"/>
    <d v="2025-10-15T00:00:00"/>
    <x v="0"/>
  </r>
  <r>
    <n v="50039065"/>
    <x v="22"/>
    <n v="1"/>
    <s v="REALIZADO"/>
    <s v="GEOVANE"/>
    <d v="2025-10-15T00:00:00"/>
    <x v="2"/>
  </r>
  <r>
    <n v="50039065"/>
    <x v="22"/>
    <n v="1"/>
    <s v="REALIZADO"/>
    <s v="AGATHA"/>
    <d v="2025-10-15T00:00:00"/>
    <x v="0"/>
  </r>
  <r>
    <n v="50039065"/>
    <x v="22"/>
    <n v="1"/>
    <s v="REALIZADO"/>
    <s v="MARINA"/>
    <d v="2025-10-15T00:00:00"/>
    <x v="0"/>
  </r>
  <r>
    <n v="50036297"/>
    <x v="100"/>
    <n v="1"/>
    <s v="REALIZADO"/>
    <s v="BRUNA"/>
    <d v="2025-10-15T00:00:00"/>
    <x v="2"/>
  </r>
  <r>
    <n v="50036297"/>
    <x v="100"/>
    <n v="1"/>
    <s v="REALIZADO"/>
    <s v="BRUNO"/>
    <d v="2025-10-15T00:00:00"/>
    <x v="0"/>
  </r>
  <r>
    <n v="50026357"/>
    <x v="24"/>
    <n v="1"/>
    <s v="REALIZADO"/>
    <s v="JOÃO FRANCISCO"/>
    <d v="2025-10-15T00:00:00"/>
    <x v="2"/>
  </r>
  <r>
    <n v="50026357"/>
    <x v="24"/>
    <n v="1"/>
    <s v="REALIZADO"/>
    <s v="BRUNO"/>
    <d v="2025-10-15T00:00:00"/>
    <x v="2"/>
  </r>
  <r>
    <n v="50041195"/>
    <x v="21"/>
    <n v="1"/>
    <s v="REALIZADO"/>
    <s v="AGATHA"/>
    <d v="2025-10-15T00:00:00"/>
    <x v="2"/>
  </r>
  <r>
    <n v="50041195"/>
    <x v="21"/>
    <n v="1"/>
    <s v="REALIZADO"/>
    <s v="BRUNO"/>
    <d v="2025-10-15T00:00:00"/>
    <x v="2"/>
  </r>
  <r>
    <n v="50012903"/>
    <x v="31"/>
    <n v="1"/>
    <s v="REALIZADO"/>
    <s v="BRUNO"/>
    <d v="2025-10-15T00:00:00"/>
    <x v="0"/>
  </r>
  <r>
    <n v="50032775"/>
    <x v="13"/>
    <n v="1"/>
    <s v="REALIZADO"/>
    <s v="BRUNO"/>
    <d v="2025-10-15T00:00:00"/>
    <x v="2"/>
  </r>
  <r>
    <n v="50032775"/>
    <x v="13"/>
    <n v="1"/>
    <s v="REALIZADO"/>
    <s v="BRUNO"/>
    <d v="2025-10-15T00:00:00"/>
    <x v="0"/>
  </r>
  <r>
    <n v="50044453"/>
    <x v="98"/>
    <n v="1"/>
    <s v="REALIZADO"/>
    <s v="BRUNO"/>
    <d v="2025-10-15T00:00:00"/>
    <x v="2"/>
  </r>
  <r>
    <n v="50044453"/>
    <x v="98"/>
    <n v="1"/>
    <s v="REALIZADO"/>
    <s v="BRUNO"/>
    <d v="2025-10-15T00:00:00"/>
    <x v="0"/>
  </r>
  <r>
    <n v="50037952"/>
    <x v="56"/>
    <n v="1"/>
    <s v="REALIZADO"/>
    <s v="KELLY"/>
    <d v="2025-10-15T00:00:00"/>
    <x v="2"/>
  </r>
  <r>
    <n v="50037952"/>
    <x v="56"/>
    <n v="1"/>
    <s v="REALIZADO"/>
    <s v="AGATHA"/>
    <d v="2025-10-15T00:00:00"/>
    <x v="0"/>
  </r>
  <r>
    <n v="50037952"/>
    <x v="56"/>
    <n v="1"/>
    <s v="REALIZADO"/>
    <s v="BRUNA"/>
    <d v="2025-10-15T00:00:00"/>
    <x v="2"/>
  </r>
  <r>
    <n v="50037952"/>
    <x v="56"/>
    <n v="1"/>
    <s v="REALIZADO"/>
    <s v="BRUNA"/>
    <d v="2025-10-15T00:00:00"/>
    <x v="0"/>
  </r>
  <r>
    <n v="50010031"/>
    <x v="20"/>
    <n v="1"/>
    <s v="REALIZADO"/>
    <s v="GEOVANE"/>
    <d v="2025-10-14T00:00:00"/>
    <x v="2"/>
  </r>
  <r>
    <n v="50010031"/>
    <x v="20"/>
    <n v="1"/>
    <s v="REALIZADO"/>
    <s v="AGATHA"/>
    <d v="2025-10-14T00:00:00"/>
    <x v="0"/>
  </r>
  <r>
    <n v="50010031"/>
    <x v="20"/>
    <n v="1"/>
    <s v="REALIZADO"/>
    <s v="GEOVANE"/>
    <d v="2025-10-14T00:00:00"/>
    <x v="2"/>
  </r>
  <r>
    <n v="50010031"/>
    <x v="20"/>
    <n v="1"/>
    <s v="REALIZADO"/>
    <s v="MARCIA"/>
    <d v="2025-10-14T00:00:00"/>
    <x v="0"/>
  </r>
  <r>
    <n v="50010031"/>
    <x v="20"/>
    <n v="1"/>
    <s v="REALIZADO"/>
    <s v="MARCIA"/>
    <d v="2025-10-14T00:00:00"/>
    <x v="2"/>
  </r>
  <r>
    <n v="50010031"/>
    <x v="20"/>
    <n v="1"/>
    <s v="REALIZADO"/>
    <s v="MATHEUS"/>
    <d v="2025-10-14T00:00:00"/>
    <x v="0"/>
  </r>
  <r>
    <n v="50036086"/>
    <x v="3"/>
    <n v="1"/>
    <s v="REALIZADO"/>
    <s v="AGATHA"/>
    <d v="2025-10-14T00:00:00"/>
    <x v="2"/>
  </r>
  <r>
    <n v="50036086"/>
    <x v="3"/>
    <n v="1"/>
    <s v="REALIZADO"/>
    <s v="GEOVANE"/>
    <d v="2025-10-14T00:00:00"/>
    <x v="2"/>
  </r>
  <r>
    <n v="50039236"/>
    <x v="84"/>
    <n v="1"/>
    <s v="REALIZADO"/>
    <s v="BRUNA"/>
    <d v="2025-10-14T00:00:00"/>
    <x v="2"/>
  </r>
  <r>
    <n v="50043471"/>
    <x v="5"/>
    <n v="1"/>
    <s v="REALIZADO"/>
    <s v="MATHEUS"/>
    <d v="2025-10-14T00:00:00"/>
    <x v="0"/>
  </r>
  <r>
    <n v="50003297"/>
    <x v="8"/>
    <n v="1"/>
    <s v="REALIZADO"/>
    <s v="MATHEUS"/>
    <d v="2025-10-14T00:00:00"/>
    <x v="0"/>
  </r>
  <r>
    <n v="50029865"/>
    <x v="9"/>
    <n v="1"/>
    <s v="REALIZADO"/>
    <s v="AGATHA"/>
    <d v="2025-10-14T00:00:00"/>
    <x v="2"/>
  </r>
  <r>
    <n v="50029865"/>
    <x v="9"/>
    <n v="1"/>
    <s v="REALIZADO"/>
    <s v="MATHEUS"/>
    <d v="2025-10-14T00:00:00"/>
    <x v="0"/>
  </r>
  <r>
    <n v="50038549"/>
    <x v="6"/>
    <n v="1"/>
    <s v="REALIZADO"/>
    <s v="AGATHA"/>
    <d v="2025-10-14T00:00:00"/>
    <x v="2"/>
  </r>
  <r>
    <n v="50038549"/>
    <x v="6"/>
    <n v="1"/>
    <s v="REALIZADO"/>
    <s v="BRUNA"/>
    <d v="2025-10-14T00:00:00"/>
    <x v="2"/>
  </r>
  <r>
    <n v="50022878"/>
    <x v="18"/>
    <n v="1"/>
    <s v="REALIZADO"/>
    <s v="MARCIA"/>
    <d v="2025-10-14T00:00:00"/>
    <x v="0"/>
  </r>
  <r>
    <n v="50038956"/>
    <x v="10"/>
    <n v="1"/>
    <s v="REALIZADO"/>
    <s v="AGATHA"/>
    <d v="2025-10-14T00:00:00"/>
    <x v="2"/>
  </r>
  <r>
    <n v="50038956"/>
    <x v="10"/>
    <n v="1"/>
    <s v="REALIZADO"/>
    <s v="MATHEUS"/>
    <d v="2025-10-14T00:00:00"/>
    <x v="0"/>
  </r>
  <r>
    <n v="50037902"/>
    <x v="14"/>
    <n v="1"/>
    <s v="REALIZADO"/>
    <s v="AGATHA"/>
    <d v="2025-10-14T00:00:00"/>
    <x v="2"/>
  </r>
  <r>
    <n v="50037902"/>
    <x v="14"/>
    <n v="1"/>
    <s v="REALIZADO"/>
    <s v="MARCIA"/>
    <d v="2025-10-14T00:00:00"/>
    <x v="0"/>
  </r>
  <r>
    <n v="50037902"/>
    <x v="14"/>
    <n v="1"/>
    <s v="REALIZADO"/>
    <s v="MATHEUS"/>
    <d v="2025-10-14T00:00:00"/>
    <x v="2"/>
  </r>
  <r>
    <n v="50037902"/>
    <x v="14"/>
    <n v="1"/>
    <s v="REALIZADO"/>
    <s v="MATHEUS"/>
    <d v="2025-10-14T00:00:00"/>
    <x v="0"/>
  </r>
  <r>
    <n v="50037902"/>
    <x v="14"/>
    <n v="1"/>
    <s v="REALIZADO"/>
    <s v="MATHEUS"/>
    <d v="2025-10-14T00:00:00"/>
    <x v="2"/>
  </r>
  <r>
    <n v="50037902"/>
    <x v="14"/>
    <n v="1"/>
    <s v="REALIZADO"/>
    <s v="MATHEUS"/>
    <d v="2025-10-14T00:00:00"/>
    <x v="2"/>
  </r>
  <r>
    <n v="50038841"/>
    <x v="34"/>
    <n v="1"/>
    <s v="REALIZADO"/>
    <s v="BRUNA"/>
    <d v="2025-10-14T00:00:00"/>
    <x v="2"/>
  </r>
  <r>
    <n v="50001995"/>
    <x v="44"/>
    <n v="1"/>
    <s v="REALIZADO"/>
    <s v="FABIANO"/>
    <d v="2025-10-14T00:00:00"/>
    <x v="0"/>
  </r>
  <r>
    <n v="50039065"/>
    <x v="22"/>
    <n v="1"/>
    <s v="REALIZADO"/>
    <s v="GEOVANE"/>
    <d v="2025-10-14T00:00:00"/>
    <x v="2"/>
  </r>
  <r>
    <n v="50039065"/>
    <x v="22"/>
    <n v="1"/>
    <s v="REALIZADO"/>
    <s v="MARCIA"/>
    <d v="2025-10-14T00:00:00"/>
    <x v="0"/>
  </r>
  <r>
    <n v="50039065"/>
    <x v="22"/>
    <n v="1"/>
    <s v="REALIZADO"/>
    <s v="MATHEUS"/>
    <d v="2025-10-14T00:00:00"/>
    <x v="2"/>
  </r>
  <r>
    <n v="50039065"/>
    <x v="22"/>
    <n v="1"/>
    <s v="REALIZADO"/>
    <s v="MATHEUS"/>
    <d v="2025-10-14T00:00:00"/>
    <x v="2"/>
  </r>
  <r>
    <n v="50039065"/>
    <x v="22"/>
    <n v="1"/>
    <s v="REALIZADO"/>
    <s v="MARINA"/>
    <d v="2025-10-14T00:00:00"/>
    <x v="0"/>
  </r>
  <r>
    <n v="50026357"/>
    <x v="24"/>
    <n v="1"/>
    <s v="REALIZADO"/>
    <s v="AGATHA"/>
    <d v="2025-10-14T00:00:00"/>
    <x v="2"/>
  </r>
  <r>
    <n v="50026357"/>
    <x v="24"/>
    <n v="1"/>
    <s v="REALIZADO"/>
    <s v="GEOVANE"/>
    <d v="2025-10-14T00:00:00"/>
    <x v="0"/>
  </r>
  <r>
    <n v="50026357"/>
    <x v="24"/>
    <n v="1"/>
    <s v="REALIZADO"/>
    <s v="MARCIA"/>
    <d v="2025-10-14T00:00:00"/>
    <x v="2"/>
  </r>
  <r>
    <n v="50026357"/>
    <x v="24"/>
    <n v="1"/>
    <s v="REALIZADO"/>
    <s v="BRUNA"/>
    <d v="2025-10-14T00:00:00"/>
    <x v="0"/>
  </r>
  <r>
    <n v="50041195"/>
    <x v="21"/>
    <n v="1"/>
    <s v="REALIZADO"/>
    <s v="KELLY"/>
    <d v="2025-10-14T00:00:00"/>
    <x v="2"/>
  </r>
  <r>
    <n v="50041195"/>
    <x v="21"/>
    <n v="1"/>
    <s v="REALIZADO"/>
    <s v="KELLY"/>
    <d v="2025-10-14T00:00:00"/>
    <x v="0"/>
  </r>
  <r>
    <n v="50041195"/>
    <x v="21"/>
    <n v="1"/>
    <s v="REALIZADO"/>
    <s v="AGATHA"/>
    <d v="2025-10-14T00:00:00"/>
    <x v="2"/>
  </r>
  <r>
    <n v="50041195"/>
    <x v="21"/>
    <n v="1"/>
    <s v="REALIZADO"/>
    <s v="MATHEUS"/>
    <d v="2025-10-14T00:00:00"/>
    <x v="0"/>
  </r>
  <r>
    <n v="50043917"/>
    <x v="66"/>
    <n v="1"/>
    <s v="REALIZADO"/>
    <s v="MARCIA"/>
    <d v="2025-10-14T00:00:00"/>
    <x v="2"/>
  </r>
  <r>
    <n v="50043917"/>
    <x v="66"/>
    <n v="1"/>
    <s v="REALIZADO"/>
    <s v="MATHEUS"/>
    <d v="2025-10-14T00:00:00"/>
    <x v="0"/>
  </r>
  <r>
    <n v="50043917"/>
    <x v="66"/>
    <n v="1"/>
    <s v="REALIZADO"/>
    <s v="MATHEUS"/>
    <d v="2025-10-14T00:00:00"/>
    <x v="2"/>
  </r>
  <r>
    <n v="50043917"/>
    <x v="66"/>
    <n v="1"/>
    <s v="REALIZADO"/>
    <s v="MATHEUS"/>
    <d v="2025-10-14T00:00:00"/>
    <x v="0"/>
  </r>
  <r>
    <n v="50012903"/>
    <x v="31"/>
    <n v="1"/>
    <s v="REALIZADO"/>
    <s v="MATHEUS"/>
    <d v="2025-10-14T00:00:00"/>
    <x v="2"/>
  </r>
  <r>
    <n v="50012903"/>
    <x v="31"/>
    <n v="1"/>
    <s v="REALIZADO"/>
    <s v="MATHEUS"/>
    <d v="2025-10-14T00:00:00"/>
    <x v="0"/>
  </r>
  <r>
    <n v="50037933"/>
    <x v="43"/>
    <n v="1"/>
    <s v="REALIZADO"/>
    <s v="MATHEUS"/>
    <d v="2025-10-14T00:00:00"/>
    <x v="2"/>
  </r>
  <r>
    <n v="50037933"/>
    <x v="43"/>
    <n v="1"/>
    <s v="REALIZADO"/>
    <s v="MATHEUS"/>
    <d v="2025-10-14T00:00:00"/>
    <x v="2"/>
  </r>
  <r>
    <n v="50037933"/>
    <x v="43"/>
    <n v="1"/>
    <s v="REALIZADO"/>
    <s v="BRUNA"/>
    <d v="2025-10-14T00:00:00"/>
    <x v="0"/>
  </r>
  <r>
    <n v="50010031"/>
    <x v="20"/>
    <n v="1"/>
    <s v="REALIZADO"/>
    <s v="BRUNA"/>
    <d v="2025-10-13T00:00:00"/>
    <x v="2"/>
  </r>
  <r>
    <n v="50010031"/>
    <x v="20"/>
    <n v="1"/>
    <s v="REALIZADO"/>
    <s v="BRUNO"/>
    <d v="2025-10-13T00:00:00"/>
    <x v="0"/>
  </r>
  <r>
    <n v="50010031"/>
    <x v="20"/>
    <n v="1"/>
    <s v="REALIZADO"/>
    <s v="BRUNO"/>
    <d v="2025-10-13T00:00:00"/>
    <x v="2"/>
  </r>
  <r>
    <n v="50010031"/>
    <x v="20"/>
    <n v="1"/>
    <s v="REALIZADO"/>
    <s v="BRUNO"/>
    <d v="2025-10-13T00:00:00"/>
    <x v="2"/>
  </r>
  <r>
    <n v="50041129"/>
    <x v="101"/>
    <n v="1"/>
    <s v="REALIZADO"/>
    <s v="BRUNO"/>
    <d v="2025-10-13T00:00:00"/>
    <x v="2"/>
  </r>
  <r>
    <n v="50044003"/>
    <x v="63"/>
    <n v="1"/>
    <s v="REALIZADO"/>
    <s v="BRUNO"/>
    <d v="2025-10-13T00:00:00"/>
    <x v="0"/>
  </r>
  <r>
    <n v="50036255"/>
    <x v="7"/>
    <n v="1"/>
    <s v="REALIZADO"/>
    <s v="AGATHA"/>
    <d v="2025-10-13T00:00:00"/>
    <x v="2"/>
  </r>
  <r>
    <n v="50036255"/>
    <x v="7"/>
    <n v="1"/>
    <s v="REALIZADO"/>
    <s v="BRUNO"/>
    <d v="2025-10-13T00:00:00"/>
    <x v="0"/>
  </r>
  <r>
    <n v="50036255"/>
    <x v="7"/>
    <n v="1"/>
    <s v="REALIZADO"/>
    <s v="BRUNA"/>
    <d v="2025-10-13T00:00:00"/>
    <x v="2"/>
  </r>
  <r>
    <n v="50036255"/>
    <x v="7"/>
    <n v="1"/>
    <s v="REALIZADO"/>
    <s v="BRUNA"/>
    <d v="2025-10-13T00:00:00"/>
    <x v="0"/>
  </r>
  <r>
    <n v="50003173"/>
    <x v="29"/>
    <n v="1"/>
    <s v="REALIZADO"/>
    <s v="AGATHA"/>
    <d v="2025-10-13T00:00:00"/>
    <x v="2"/>
  </r>
  <r>
    <n v="50003173"/>
    <x v="29"/>
    <n v="1"/>
    <s v="REALIZADO"/>
    <s v="BRUNO"/>
    <d v="2025-10-13T00:00:00"/>
    <x v="2"/>
  </r>
  <r>
    <n v="50043471"/>
    <x v="5"/>
    <n v="1"/>
    <s v="REALIZADO"/>
    <s v="BRUNO"/>
    <d v="2025-10-13T00:00:00"/>
    <x v="2"/>
  </r>
  <r>
    <n v="50003297"/>
    <x v="8"/>
    <n v="1"/>
    <s v="REALIZADO"/>
    <s v="BRUNO"/>
    <d v="2025-10-13T00:00:00"/>
    <x v="0"/>
  </r>
  <r>
    <n v="50038549"/>
    <x v="6"/>
    <n v="1"/>
    <s v="REALIZADO"/>
    <s v="AGATHA"/>
    <d v="2025-10-13T00:00:00"/>
    <x v="0"/>
  </r>
  <r>
    <n v="50038549"/>
    <x v="6"/>
    <n v="1"/>
    <s v="REALIZADO"/>
    <s v="AGATHA"/>
    <d v="2025-10-13T00:00:00"/>
    <x v="2"/>
  </r>
  <r>
    <n v="50038549"/>
    <x v="6"/>
    <n v="1"/>
    <s v="REALIZADO"/>
    <s v="AGATHA"/>
    <d v="2025-10-13T00:00:00"/>
    <x v="2"/>
  </r>
  <r>
    <n v="50038549"/>
    <x v="6"/>
    <n v="1"/>
    <s v="REALIZADO"/>
    <s v="AGATHA"/>
    <d v="2025-10-13T00:00:00"/>
    <x v="0"/>
  </r>
  <r>
    <n v="50038549"/>
    <x v="6"/>
    <n v="1"/>
    <s v="REALIZADO"/>
    <s v="BRUNA"/>
    <d v="2025-10-13T00:00:00"/>
    <x v="2"/>
  </r>
  <r>
    <n v="50038549"/>
    <x v="6"/>
    <n v="1"/>
    <s v="REALIZADO"/>
    <s v="BRUNA"/>
    <d v="2025-10-13T00:00:00"/>
    <x v="0"/>
  </r>
  <r>
    <n v="50022878"/>
    <x v="18"/>
    <n v="1"/>
    <s v="REALIZADO"/>
    <s v="AGATHA"/>
    <d v="2025-10-13T00:00:00"/>
    <x v="2"/>
  </r>
  <r>
    <n v="50022878"/>
    <x v="18"/>
    <n v="1"/>
    <s v="REALIZADO"/>
    <s v="AGATHA"/>
    <d v="2025-10-13T00:00:00"/>
    <x v="0"/>
  </r>
  <r>
    <n v="50038956"/>
    <x v="10"/>
    <n v="1"/>
    <s v="REALIZADO"/>
    <s v="BRUNO"/>
    <d v="2025-10-13T00:00:00"/>
    <x v="2"/>
  </r>
  <r>
    <n v="50038956"/>
    <x v="10"/>
    <n v="1"/>
    <s v="REALIZADO"/>
    <s v="BRUNO"/>
    <d v="2025-10-13T00:00:00"/>
    <x v="2"/>
  </r>
  <r>
    <n v="50037892"/>
    <x v="2"/>
    <n v="1"/>
    <s v="REALIZADO"/>
    <s v="BRUNA"/>
    <d v="2025-10-13T00:00:00"/>
    <x v="2"/>
  </r>
  <r>
    <n v="50038841"/>
    <x v="34"/>
    <n v="1"/>
    <s v="REALIZADO"/>
    <s v="BRUNO"/>
    <d v="2025-10-13T00:00:00"/>
    <x v="0"/>
  </r>
  <r>
    <n v="50038517"/>
    <x v="0"/>
    <n v="1"/>
    <s v="REALIZADO"/>
    <s v="AGATHA"/>
    <d v="2025-10-13T00:00:00"/>
    <x v="2"/>
  </r>
  <r>
    <n v="50038517"/>
    <x v="0"/>
    <n v="1"/>
    <s v="REALIZADO"/>
    <s v="AGATHA"/>
    <d v="2025-10-13T00:00:00"/>
    <x v="0"/>
  </r>
  <r>
    <n v="50038517"/>
    <x v="0"/>
    <n v="1"/>
    <s v="REALIZADO"/>
    <s v="AGATHA"/>
    <d v="2025-10-13T00:00:00"/>
    <x v="2"/>
  </r>
  <r>
    <n v="50038517"/>
    <x v="0"/>
    <n v="1"/>
    <s v="REALIZADO"/>
    <s v="AGATHA"/>
    <d v="2025-10-13T00:00:00"/>
    <x v="0"/>
  </r>
  <r>
    <n v="50038517"/>
    <x v="0"/>
    <n v="1"/>
    <s v="REALIZADO"/>
    <s v="BRUNA"/>
    <d v="2025-10-13T00:00:00"/>
    <x v="2"/>
  </r>
  <r>
    <n v="50038517"/>
    <x v="0"/>
    <n v="1"/>
    <s v="REALIZADO"/>
    <s v="BRUNA"/>
    <d v="2025-10-13T00:00:00"/>
    <x v="0"/>
  </r>
  <r>
    <n v="50038517"/>
    <x v="0"/>
    <n v="1"/>
    <s v="REALIZADO"/>
    <s v="BRUNO"/>
    <d v="2025-10-13T00:00:00"/>
    <x v="2"/>
  </r>
  <r>
    <n v="50038517"/>
    <x v="0"/>
    <n v="1"/>
    <s v="REALIZADO"/>
    <s v="BRUNA"/>
    <d v="2025-10-13T00:00:00"/>
    <x v="0"/>
  </r>
  <r>
    <n v="50039065"/>
    <x v="22"/>
    <n v="1"/>
    <s v="REALIZADO"/>
    <s v="AGATHA"/>
    <d v="2025-10-13T00:00:00"/>
    <x v="2"/>
  </r>
  <r>
    <n v="50039065"/>
    <x v="22"/>
    <n v="1"/>
    <s v="REALIZADO"/>
    <s v="AGATHA"/>
    <d v="2025-10-13T00:00:00"/>
    <x v="0"/>
  </r>
  <r>
    <n v="50039065"/>
    <x v="22"/>
    <n v="1"/>
    <s v="REALIZADO"/>
    <s v="BRUNA"/>
    <d v="2025-10-13T00:00:00"/>
    <x v="2"/>
  </r>
  <r>
    <n v="50039065"/>
    <x v="22"/>
    <n v="1"/>
    <s v="REALIZADO"/>
    <s v="BRUNA"/>
    <d v="2025-10-13T00:00:00"/>
    <x v="0"/>
  </r>
  <r>
    <n v="50026357"/>
    <x v="24"/>
    <n v="1"/>
    <s v="REALIZADO"/>
    <s v="AGATHA"/>
    <d v="2025-10-13T00:00:00"/>
    <x v="2"/>
  </r>
  <r>
    <n v="50026357"/>
    <x v="24"/>
    <n v="1"/>
    <s v="REALIZADO"/>
    <s v="AGATHA"/>
    <d v="2025-10-13T00:00:00"/>
    <x v="0"/>
  </r>
  <r>
    <n v="50001740"/>
    <x v="51"/>
    <n v="1"/>
    <s v="REALIZADO"/>
    <s v="BRUNO"/>
    <d v="2025-10-13T00:00:00"/>
    <x v="2"/>
  </r>
  <r>
    <n v="50001740"/>
    <x v="51"/>
    <n v="1"/>
    <s v="REALIZADO"/>
    <s v="BRUNO"/>
    <d v="2025-10-13T00:00:00"/>
    <x v="0"/>
  </r>
  <r>
    <n v="50041195"/>
    <x v="21"/>
    <n v="1"/>
    <s v="REALIZADO"/>
    <s v="AGATHA"/>
    <d v="2025-10-13T00:00:00"/>
    <x v="2"/>
  </r>
  <r>
    <n v="50041195"/>
    <x v="21"/>
    <n v="1"/>
    <s v="REALIZADO"/>
    <s v="AGATHA"/>
    <d v="2025-10-13T00:00:00"/>
    <x v="0"/>
  </r>
  <r>
    <n v="50041195"/>
    <x v="21"/>
    <n v="1"/>
    <s v="REALIZADO"/>
    <s v="BRUNO"/>
    <d v="2025-10-13T00:00:00"/>
    <x v="2"/>
  </r>
  <r>
    <n v="50041195"/>
    <x v="21"/>
    <n v="1"/>
    <s v="REALIZADO"/>
    <s v="BRUNO"/>
    <d v="2025-10-13T00:00:00"/>
    <x v="0"/>
  </r>
  <r>
    <n v="50043917"/>
    <x v="66"/>
    <n v="1"/>
    <s v="REALIZADO"/>
    <s v="AGATHA"/>
    <d v="2025-10-13T00:00:00"/>
    <x v="2"/>
  </r>
  <r>
    <n v="50043917"/>
    <x v="66"/>
    <n v="1"/>
    <s v="REALIZADO"/>
    <s v="AGATHA"/>
    <d v="2025-10-13T00:00:00"/>
    <x v="0"/>
  </r>
  <r>
    <n v="50043917"/>
    <x v="66"/>
    <n v="1"/>
    <s v="REALIZADO"/>
    <s v="AGATHA"/>
    <d v="2025-10-13T00:00:00"/>
    <x v="2"/>
  </r>
  <r>
    <n v="50043917"/>
    <x v="66"/>
    <n v="1"/>
    <s v="REALIZADO"/>
    <s v="AGATHA"/>
    <d v="2025-10-13T00:00:00"/>
    <x v="0"/>
  </r>
  <r>
    <n v="50043917"/>
    <x v="66"/>
    <n v="1"/>
    <s v="REALIZADO"/>
    <s v="BRUNA"/>
    <d v="2025-10-13T00:00:00"/>
    <x v="2"/>
  </r>
  <r>
    <n v="50043917"/>
    <x v="66"/>
    <n v="1"/>
    <s v="REALIZADO"/>
    <s v="BRUNO"/>
    <d v="2025-10-13T00:00:00"/>
    <x v="0"/>
  </r>
  <r>
    <n v="50020622"/>
    <x v="42"/>
    <n v="1"/>
    <s v="REALIZADO"/>
    <s v="AGATHA"/>
    <d v="2025-10-13T00:00:00"/>
    <x v="2"/>
  </r>
  <r>
    <n v="50020622"/>
    <x v="42"/>
    <n v="1"/>
    <s v="REALIZADO"/>
    <s v="AGATHA"/>
    <d v="2025-10-13T00:00:00"/>
    <x v="0"/>
  </r>
  <r>
    <n v="50032775"/>
    <x v="13"/>
    <n v="1"/>
    <s v="REALIZADO"/>
    <s v="AGATHA"/>
    <d v="2025-10-13T00:00:00"/>
    <x v="2"/>
  </r>
  <r>
    <n v="50032775"/>
    <x v="13"/>
    <n v="1"/>
    <s v="REALIZADO"/>
    <s v="BRUNO"/>
    <d v="2025-10-13T00:00:00"/>
    <x v="0"/>
  </r>
  <r>
    <n v="50044453"/>
    <x v="98"/>
    <n v="1"/>
    <s v="REALIZADO"/>
    <s v="AGATHA"/>
    <d v="2025-10-13T00:00:00"/>
    <x v="2"/>
  </r>
  <r>
    <n v="50044453"/>
    <x v="98"/>
    <n v="1"/>
    <s v="REALIZADO"/>
    <s v="AGATHA"/>
    <d v="2025-10-13T00:00:00"/>
    <x v="0"/>
  </r>
  <r>
    <n v="50044453"/>
    <x v="98"/>
    <n v="1"/>
    <s v="REALIZADO"/>
    <s v="AGATHA"/>
    <d v="2025-10-13T00:00:00"/>
    <x v="2"/>
  </r>
  <r>
    <n v="50044453"/>
    <x v="98"/>
    <n v="1"/>
    <s v="REALIZADO"/>
    <s v="AGATHA"/>
    <d v="2025-10-13T00:00:00"/>
    <x v="0"/>
  </r>
  <r>
    <n v="50038840"/>
    <x v="68"/>
    <n v="1"/>
    <s v="REALIZADO"/>
    <s v="AGATHA"/>
    <d v="2025-10-13T00:00:00"/>
    <x v="2"/>
  </r>
  <r>
    <n v="50038840"/>
    <x v="68"/>
    <n v="1"/>
    <s v="REALIZADO"/>
    <s v="AGATHA"/>
    <d v="2025-10-13T00:00:00"/>
    <x v="0"/>
  </r>
  <r>
    <n v="50037933"/>
    <x v="43"/>
    <n v="1"/>
    <s v="REALIZADO"/>
    <s v="AGATHA"/>
    <d v="2025-10-13T00:00:00"/>
    <x v="2"/>
  </r>
  <r>
    <n v="50037933"/>
    <x v="43"/>
    <n v="1"/>
    <s v="REALIZADO"/>
    <s v="AGATHA"/>
    <d v="2025-10-13T00:00:00"/>
    <x v="0"/>
  </r>
  <r>
    <n v="50010031"/>
    <x v="20"/>
    <n v="1"/>
    <s v="REALIZADO"/>
    <s v="MARCIA"/>
    <d v="2025-10-12T00:00:00"/>
    <x v="2"/>
  </r>
  <r>
    <n v="50010031"/>
    <x v="20"/>
    <n v="1"/>
    <s v="REALIZADO"/>
    <s v="MARCIA"/>
    <d v="2025-10-12T00:00:00"/>
    <x v="2"/>
  </r>
  <r>
    <n v="50003298"/>
    <x v="102"/>
    <n v="1"/>
    <s v="REALIZADO"/>
    <s v="MARCIA"/>
    <d v="2025-10-12T00:00:00"/>
    <x v="0"/>
  </r>
  <r>
    <n v="50038854"/>
    <x v="27"/>
    <n v="1"/>
    <s v="REALIZADO"/>
    <s v="MARCIA"/>
    <d v="2025-10-12T00:00:00"/>
    <x v="2"/>
  </r>
  <r>
    <n v="50038854"/>
    <x v="27"/>
    <n v="1"/>
    <s v="REALIZADO"/>
    <s v="MARCIA"/>
    <d v="2025-10-12T00:00:00"/>
    <x v="0"/>
  </r>
  <r>
    <n v="50036298"/>
    <x v="69"/>
    <n v="1"/>
    <s v="REALIZADO"/>
    <s v="KELLY"/>
    <d v="2025-10-12T00:00:00"/>
    <x v="2"/>
  </r>
  <r>
    <n v="50036298"/>
    <x v="69"/>
    <n v="1"/>
    <s v="REALIZADO"/>
    <s v="MARCIA"/>
    <d v="2025-10-12T00:00:00"/>
    <x v="0"/>
  </r>
  <r>
    <n v="50039718"/>
    <x v="11"/>
    <n v="1"/>
    <s v="REALIZADO"/>
    <s v="KELLY"/>
    <d v="2025-10-12T00:00:00"/>
    <x v="0"/>
  </r>
  <r>
    <n v="50039718"/>
    <x v="11"/>
    <n v="1"/>
    <s v="REALIZADO"/>
    <s v="KELLY"/>
    <d v="2025-10-12T00:00:00"/>
    <x v="2"/>
  </r>
  <r>
    <n v="50039718"/>
    <x v="11"/>
    <n v="1"/>
    <s v="REALIZADO"/>
    <s v="MARCIA"/>
    <d v="2025-10-12T00:00:00"/>
    <x v="2"/>
  </r>
  <r>
    <n v="50039718"/>
    <x v="11"/>
    <n v="1"/>
    <s v="REALIZADO"/>
    <s v="MARCIA"/>
    <d v="2025-10-12T00:00:00"/>
    <x v="0"/>
  </r>
  <r>
    <n v="50003297"/>
    <x v="8"/>
    <n v="1"/>
    <s v="REALIZADO"/>
    <s v="MARCIA"/>
    <d v="2025-10-12T00:00:00"/>
    <x v="0"/>
  </r>
  <r>
    <n v="50043320"/>
    <x v="35"/>
    <n v="1"/>
    <s v="REALIZADO"/>
    <s v="MARCIA"/>
    <d v="2025-10-12T00:00:00"/>
    <x v="2"/>
  </r>
  <r>
    <n v="50043320"/>
    <x v="35"/>
    <n v="1"/>
    <s v="REALIZADO"/>
    <s v="MARCIA"/>
    <d v="2025-10-12T00:00:00"/>
    <x v="0"/>
  </r>
  <r>
    <n v="50022878"/>
    <x v="18"/>
    <n v="1"/>
    <s v="REALIZADO"/>
    <s v="KELLY"/>
    <d v="2025-10-12T00:00:00"/>
    <x v="2"/>
  </r>
  <r>
    <n v="50022878"/>
    <x v="18"/>
    <n v="1"/>
    <s v="REALIZADO"/>
    <s v="MARCIA"/>
    <d v="2025-10-12T00:00:00"/>
    <x v="0"/>
  </r>
  <r>
    <n v="50022878"/>
    <x v="18"/>
    <n v="1"/>
    <s v="REALIZADO"/>
    <s v="MARCIA"/>
    <d v="2025-10-12T00:00:00"/>
    <x v="2"/>
  </r>
  <r>
    <n v="50022878"/>
    <x v="18"/>
    <m/>
    <s v="REALIZADO"/>
    <s v="MARCIA"/>
    <d v="2025-10-12T00:00:00"/>
    <x v="0"/>
  </r>
  <r>
    <n v="50038956"/>
    <x v="10"/>
    <n v="1"/>
    <s v="REALIZADO"/>
    <s v="MARCIA"/>
    <d v="2025-10-12T00:00:00"/>
    <x v="2"/>
  </r>
  <r>
    <n v="50038956"/>
    <x v="10"/>
    <n v="1"/>
    <s v="REALIZADO"/>
    <s v="MARCIA"/>
    <d v="2025-10-12T00:00:00"/>
    <x v="0"/>
  </r>
  <r>
    <n v="50037892"/>
    <x v="2"/>
    <n v="1"/>
    <s v="REALIZADO"/>
    <s v="KELLY"/>
    <d v="2025-10-12T00:00:00"/>
    <x v="2"/>
  </r>
  <r>
    <n v="50037892"/>
    <x v="2"/>
    <n v="1"/>
    <s v="REALIZADO"/>
    <s v="MARCIA"/>
    <d v="2025-10-12T00:00:00"/>
    <x v="0"/>
  </r>
  <r>
    <n v="50038841"/>
    <x v="34"/>
    <n v="1"/>
    <s v="REALIZADO"/>
    <s v="MARCIA"/>
    <d v="2025-10-12T00:00:00"/>
    <x v="2"/>
  </r>
  <r>
    <n v="50038841"/>
    <x v="34"/>
    <n v="1"/>
    <s v="REALIZADO"/>
    <s v="MARCIA"/>
    <d v="2025-10-12T00:00:00"/>
    <x v="0"/>
  </r>
  <r>
    <n v="50038517"/>
    <x v="0"/>
    <n v="1"/>
    <s v="REALIZADO"/>
    <s v="MARCIA"/>
    <d v="2025-10-12T00:00:00"/>
    <x v="2"/>
  </r>
  <r>
    <n v="50038517"/>
    <x v="0"/>
    <n v="1"/>
    <s v="REALIZADO"/>
    <s v="MARCIA"/>
    <d v="2025-10-12T00:00:00"/>
    <x v="0"/>
  </r>
  <r>
    <n v="50001995"/>
    <x v="44"/>
    <n v="1"/>
    <s v="REALIZADO"/>
    <s v="MARCIA"/>
    <d v="2025-10-12T00:00:00"/>
    <x v="2"/>
  </r>
  <r>
    <n v="50001995"/>
    <x v="44"/>
    <n v="1"/>
    <s v="REALIZADO"/>
    <s v="MARCIA"/>
    <d v="2025-10-12T00:00:00"/>
    <x v="0"/>
  </r>
  <r>
    <n v="50038626"/>
    <x v="72"/>
    <n v="1"/>
    <s v="REALIZADO"/>
    <s v="MARCIA"/>
    <d v="2025-10-12T00:00:00"/>
    <x v="2"/>
  </r>
  <r>
    <n v="50038626"/>
    <x v="72"/>
    <n v="1"/>
    <s v="REALIZADO"/>
    <s v="MARCIA"/>
    <d v="2025-10-12T00:00:00"/>
    <x v="0"/>
  </r>
  <r>
    <n v="50026357"/>
    <x v="24"/>
    <n v="1"/>
    <s v="REALIZADO"/>
    <s v="KELLY"/>
    <d v="2025-10-12T00:00:00"/>
    <x v="2"/>
  </r>
  <r>
    <n v="50026357"/>
    <x v="24"/>
    <n v="1"/>
    <s v="REALIZADO"/>
    <s v="MARCIA"/>
    <d v="2025-10-12T00:00:00"/>
    <x v="0"/>
  </r>
  <r>
    <n v="50041124"/>
    <x v="77"/>
    <n v="1"/>
    <s v="REALIZADO"/>
    <s v="KELLY"/>
    <d v="2025-10-12T00:00:00"/>
    <x v="2"/>
  </r>
  <r>
    <n v="50041124"/>
    <x v="77"/>
    <n v="1"/>
    <s v="REALIZADO"/>
    <s v="MARCIA"/>
    <d v="2025-10-12T00:00:00"/>
    <x v="0"/>
  </r>
  <r>
    <n v="50020622"/>
    <x v="42"/>
    <n v="1"/>
    <s v="REALIZADO"/>
    <s v="MARCIA"/>
    <d v="2025-10-12T00:00:00"/>
    <x v="2"/>
  </r>
  <r>
    <n v="50020622"/>
    <x v="42"/>
    <n v="1"/>
    <s v="REALIZADO"/>
    <s v="MARCIA"/>
    <d v="2025-10-12T00:00:00"/>
    <x v="0"/>
  </r>
  <r>
    <n v="50004486"/>
    <x v="40"/>
    <n v="1"/>
    <s v="REALIZADO"/>
    <s v="MARCIA"/>
    <d v="2025-10-12T00:00:00"/>
    <x v="2"/>
  </r>
  <r>
    <n v="50004486"/>
    <x v="40"/>
    <n v="1"/>
    <s v="REALIZADO"/>
    <s v="MARCIA"/>
    <d v="2025-10-12T00:00:00"/>
    <x v="0"/>
  </r>
  <r>
    <n v="50038840"/>
    <x v="68"/>
    <n v="1"/>
    <s v="REALIZADO"/>
    <s v="KELLY"/>
    <d v="2025-10-12T00:00:00"/>
    <x v="2"/>
  </r>
  <r>
    <n v="50038840"/>
    <x v="68"/>
    <n v="1"/>
    <s v="REALIZADO"/>
    <s v="MARCIA"/>
    <d v="2025-10-12T00:00:00"/>
    <x v="2"/>
  </r>
  <r>
    <n v="50038618"/>
    <x v="88"/>
    <n v="1"/>
    <s v="REALIZADO"/>
    <s v="MARCIA"/>
    <d v="2025-10-12T00:00:00"/>
    <x v="2"/>
  </r>
  <r>
    <n v="50041194"/>
    <x v="80"/>
    <n v="1"/>
    <s v="REALIZADO"/>
    <s v="MARCIA"/>
    <d v="2025-10-12T00:00:00"/>
    <x v="0"/>
  </r>
  <r>
    <n v="50037905"/>
    <x v="49"/>
    <n v="1"/>
    <s v="REALIZADO"/>
    <s v="BRUNA"/>
    <d v="2025-10-11T00:00:00"/>
    <x v="2"/>
  </r>
  <r>
    <n v="50037905"/>
    <x v="49"/>
    <n v="1"/>
    <s v="REALIZADO"/>
    <s v="BRUNA"/>
    <d v="2025-10-11T00:00:00"/>
    <x v="0"/>
  </r>
  <r>
    <n v="50043471"/>
    <x v="5"/>
    <n v="1"/>
    <s v="REALIZADO"/>
    <s v="BRUNA"/>
    <d v="2025-10-11T00:00:00"/>
    <x v="0"/>
  </r>
  <r>
    <n v="50038841"/>
    <x v="34"/>
    <n v="1"/>
    <s v="REALIZADO"/>
    <s v="BRUNA"/>
    <d v="2025-10-11T00:00:00"/>
    <x v="2"/>
  </r>
  <r>
    <n v="50038841"/>
    <x v="34"/>
    <n v="1"/>
    <s v="REALIZADO"/>
    <s v="BRUNA"/>
    <d v="2025-10-11T00:00:00"/>
    <x v="0"/>
  </r>
  <r>
    <n v="50036298"/>
    <x v="69"/>
    <n v="1"/>
    <s v="REALIZADO"/>
    <s v="GEOVANE"/>
    <d v="2025-10-10T00:00:00"/>
    <x v="2"/>
  </r>
  <r>
    <n v="50036298"/>
    <x v="69"/>
    <n v="1"/>
    <s v="REALIZADO"/>
    <s v="MATHEUS"/>
    <d v="2025-10-10T00:00:00"/>
    <x v="0"/>
  </r>
  <r>
    <n v="50036086"/>
    <x v="3"/>
    <n v="1"/>
    <s v="REALIZADO"/>
    <s v="AGATHA"/>
    <d v="2025-10-10T00:00:00"/>
    <x v="2"/>
  </r>
  <r>
    <n v="50036086"/>
    <x v="3"/>
    <n v="1"/>
    <s v="REALIZADO"/>
    <s v="GEOVANE"/>
    <d v="2025-10-10T00:00:00"/>
    <x v="0"/>
  </r>
  <r>
    <n v="50039236"/>
    <x v="84"/>
    <n v="1"/>
    <s v="REALIZADO"/>
    <s v="MATHEUS"/>
    <d v="2025-10-10T00:00:00"/>
    <x v="2"/>
  </r>
  <r>
    <n v="50043471"/>
    <x v="5"/>
    <n v="1"/>
    <s v="REALIZADO"/>
    <s v="GEOVANE"/>
    <d v="2025-10-10T00:00:00"/>
    <x v="2"/>
  </r>
  <r>
    <n v="50003297"/>
    <x v="8"/>
    <n v="1"/>
    <s v="REALIZADO"/>
    <s v="MATHEUS"/>
    <d v="2025-10-10T00:00:00"/>
    <x v="0"/>
  </r>
  <r>
    <n v="50003297"/>
    <x v="8"/>
    <n v="1"/>
    <s v="REALIZADO"/>
    <s v="BRUNO"/>
    <d v="2025-10-10T00:00:00"/>
    <x v="0"/>
  </r>
  <r>
    <n v="50029865"/>
    <x v="9"/>
    <n v="1"/>
    <s v="REALIZADO"/>
    <s v="AGATHA"/>
    <d v="2025-10-10T00:00:00"/>
    <x v="2"/>
  </r>
  <r>
    <n v="50029865"/>
    <x v="9"/>
    <n v="1"/>
    <s v="REALIZADO"/>
    <s v="BRUNO"/>
    <d v="2025-10-10T00:00:00"/>
    <x v="0"/>
  </r>
  <r>
    <n v="50038956"/>
    <x v="10"/>
    <n v="1"/>
    <s v="REALIZADO"/>
    <s v="GEOVANE"/>
    <d v="2025-10-10T00:00:00"/>
    <x v="2"/>
  </r>
  <r>
    <n v="50038956"/>
    <x v="10"/>
    <n v="1"/>
    <s v="REALIZADO"/>
    <s v="GEOVANE"/>
    <d v="2025-10-10T00:00:00"/>
    <x v="0"/>
  </r>
  <r>
    <n v="50038956"/>
    <x v="10"/>
    <n v="1"/>
    <s v="REALIZADO"/>
    <s v="MATHEUS"/>
    <d v="2025-10-10T00:00:00"/>
    <x v="2"/>
  </r>
  <r>
    <n v="50038956"/>
    <x v="10"/>
    <n v="1"/>
    <s v="REALIZADO"/>
    <s v="MATHEUS"/>
    <d v="2025-10-10T00:00:00"/>
    <x v="0"/>
  </r>
  <r>
    <n v="50037892"/>
    <x v="2"/>
    <n v="1"/>
    <s v="NÃO REALIZADO"/>
    <s v="MARCIA"/>
    <d v="2025-10-10T00:00:00"/>
    <x v="2"/>
  </r>
  <r>
    <n v="50037892"/>
    <x v="2"/>
    <n v="1"/>
    <s v="NÃO REALIZADO"/>
    <s v="MARCIA"/>
    <d v="2025-10-10T00:00:00"/>
    <x v="2"/>
  </r>
  <r>
    <n v="50037892"/>
    <x v="2"/>
    <n v="1"/>
    <s v="REALIZADO"/>
    <s v="MARINA"/>
    <d v="2025-10-10T00:00:00"/>
    <x v="0"/>
  </r>
  <r>
    <n v="50037892"/>
    <x v="2"/>
    <n v="1"/>
    <s v="REALIZADO"/>
    <s v="MARINA"/>
    <d v="2025-10-10T00:00:00"/>
    <x v="0"/>
  </r>
  <r>
    <n v="50038841"/>
    <x v="34"/>
    <n v="1"/>
    <s v="REALIZADO"/>
    <s v="MATHEUS"/>
    <d v="2025-10-10T00:00:00"/>
    <x v="2"/>
  </r>
  <r>
    <n v="50038841"/>
    <x v="34"/>
    <n v="1"/>
    <s v="REALIZADO"/>
    <s v="BRUNO"/>
    <d v="2025-10-10T00:00:00"/>
    <x v="0"/>
  </r>
  <r>
    <n v="50038517"/>
    <x v="0"/>
    <n v="1"/>
    <s v="REALIZADO"/>
    <s v="AGATHA"/>
    <d v="2025-10-10T00:00:00"/>
    <x v="2"/>
  </r>
  <r>
    <n v="50038517"/>
    <x v="0"/>
    <n v="1"/>
    <s v="REALIZADO"/>
    <s v="BRUNO"/>
    <d v="2025-10-10T00:00:00"/>
    <x v="0"/>
  </r>
  <r>
    <n v="50042003"/>
    <x v="103"/>
    <n v="1"/>
    <s v="REALIZADO"/>
    <s v="GEOVANE"/>
    <d v="2025-10-10T00:00:00"/>
    <x v="2"/>
  </r>
  <r>
    <n v="50042003"/>
    <x v="103"/>
    <n v="1"/>
    <s v="REALIZADO"/>
    <s v="BRUNO"/>
    <d v="2025-10-10T00:00:00"/>
    <x v="0"/>
  </r>
  <r>
    <n v="50001995"/>
    <x v="44"/>
    <n v="1"/>
    <s v="REALIZADO"/>
    <s v="MARINA"/>
    <d v="2025-10-10T00:00:00"/>
    <x v="0"/>
  </r>
  <r>
    <n v="50039065"/>
    <x v="22"/>
    <n v="1"/>
    <s v="REALIZADO"/>
    <s v="BRUNO"/>
    <d v="2025-10-10T00:00:00"/>
    <x v="2"/>
  </r>
  <r>
    <n v="50039065"/>
    <x v="22"/>
    <n v="1"/>
    <s v="REALIZADO"/>
    <s v="BRUNO"/>
    <d v="2025-10-10T00:00:00"/>
    <x v="0"/>
  </r>
  <r>
    <n v="50041195"/>
    <x v="21"/>
    <n v="1"/>
    <s v="REALIZADO"/>
    <s v="AGATHA"/>
    <d v="2025-10-10T00:00:00"/>
    <x v="2"/>
  </r>
  <r>
    <n v="50041195"/>
    <x v="21"/>
    <n v="1"/>
    <s v="REALIZADO"/>
    <s v="BRUNO"/>
    <d v="2025-10-10T00:00:00"/>
    <x v="0"/>
  </r>
  <r>
    <n v="50043917"/>
    <x v="66"/>
    <n v="1"/>
    <s v="REALIZADO"/>
    <s v="MATHEUS"/>
    <d v="2025-10-10T00:00:00"/>
    <x v="2"/>
  </r>
  <r>
    <n v="50043917"/>
    <x v="66"/>
    <n v="1"/>
    <s v="REALIZADO"/>
    <s v="BRUNO"/>
    <d v="2025-10-10T00:00:00"/>
    <x v="0"/>
  </r>
  <r>
    <n v="50043917"/>
    <x v="66"/>
    <n v="1"/>
    <s v="REALIZADO"/>
    <s v="BRUNO"/>
    <d v="2025-10-10T00:00:00"/>
    <x v="2"/>
  </r>
  <r>
    <n v="50043917"/>
    <x v="66"/>
    <n v="1"/>
    <s v="REALIZADO"/>
    <s v="BRUNO"/>
    <d v="2025-10-10T00:00:00"/>
    <x v="2"/>
  </r>
  <r>
    <n v="50043917"/>
    <x v="66"/>
    <n v="1"/>
    <s v="REALIZADO"/>
    <s v="MARINA"/>
    <d v="2025-10-10T00:00:00"/>
    <x v="0"/>
  </r>
  <r>
    <n v="50043917"/>
    <x v="66"/>
    <n v="1"/>
    <s v="REALIZADO"/>
    <s v="MARINA"/>
    <d v="2025-10-10T00:00:00"/>
    <x v="0"/>
  </r>
  <r>
    <n v="50032775"/>
    <x v="13"/>
    <n v="1"/>
    <s v="REALIZADO"/>
    <s v="BRUNA"/>
    <d v="2025-10-10T00:00:00"/>
    <x v="2"/>
  </r>
  <r>
    <n v="50032775"/>
    <x v="13"/>
    <n v="1"/>
    <s v="REALIZADO"/>
    <s v="BRUNO"/>
    <d v="2025-10-10T00:00:00"/>
    <x v="0"/>
  </r>
  <r>
    <n v="50042283"/>
    <x v="47"/>
    <n v="1"/>
    <s v="REALIZADO"/>
    <s v="AGATHA"/>
    <d v="2025-10-10T00:00:00"/>
    <x v="0"/>
  </r>
  <r>
    <n v="50010031"/>
    <x v="20"/>
    <n v="1"/>
    <s v="REALIZADO"/>
    <s v="BRUNO"/>
    <d v="2025-10-09T00:00:00"/>
    <x v="2"/>
  </r>
  <r>
    <n v="50010031"/>
    <x v="20"/>
    <n v="1"/>
    <s v="REALIZADO"/>
    <s v="BRUNO"/>
    <d v="2025-10-09T00:00:00"/>
    <x v="0"/>
  </r>
  <r>
    <n v="50010031"/>
    <x v="20"/>
    <n v="1"/>
    <s v="REALIZADO"/>
    <s v="BRUNA"/>
    <d v="2025-10-09T00:00:00"/>
    <x v="2"/>
  </r>
  <r>
    <n v="50010031"/>
    <x v="20"/>
    <n v="1"/>
    <s v="REALIZADO"/>
    <s v="BRUNA"/>
    <d v="2025-10-09T00:00:00"/>
    <x v="2"/>
  </r>
  <r>
    <n v="50036296"/>
    <x v="46"/>
    <n v="1"/>
    <s v="REALIZADO"/>
    <s v="BRUNO"/>
    <d v="2025-10-09T00:00:00"/>
    <x v="0"/>
  </r>
  <r>
    <n v="50030486"/>
    <x v="17"/>
    <n v="1"/>
    <s v="REALIZADO"/>
    <s v="BRUNA"/>
    <d v="2025-10-09T00:00:00"/>
    <x v="2"/>
  </r>
  <r>
    <n v="50030486"/>
    <x v="17"/>
    <n v="1"/>
    <s v="REALIZADO"/>
    <s v="BRUNO"/>
    <d v="2025-10-09T00:00:00"/>
    <x v="2"/>
  </r>
  <r>
    <n v="50039236"/>
    <x v="84"/>
    <n v="1"/>
    <s v="REALIZADO"/>
    <s v="BRUNO"/>
    <d v="2025-10-09T00:00:00"/>
    <x v="0"/>
  </r>
  <r>
    <n v="50043471"/>
    <x v="5"/>
    <n v="1"/>
    <s v="REALIZADO"/>
    <s v="GEOVANE"/>
    <d v="2025-10-09T00:00:00"/>
    <x v="0"/>
  </r>
  <r>
    <n v="50043471"/>
    <x v="5"/>
    <n v="1"/>
    <s v="REALIZADO"/>
    <s v="GEOVANE"/>
    <d v="2025-10-09T00:00:00"/>
    <x v="2"/>
  </r>
  <r>
    <n v="50043471"/>
    <x v="5"/>
    <n v="1"/>
    <s v="REALIZADO"/>
    <s v="GEOVANE"/>
    <d v="2025-10-09T00:00:00"/>
    <x v="0"/>
  </r>
  <r>
    <n v="50043471"/>
    <x v="5"/>
    <n v="1"/>
    <s v="REALIZADO"/>
    <s v="BRUNA"/>
    <d v="2025-10-09T00:00:00"/>
    <x v="2"/>
  </r>
  <r>
    <n v="50043471"/>
    <x v="5"/>
    <n v="1"/>
    <s v="REALIZADO"/>
    <s v="BRUNO"/>
    <d v="2025-10-09T00:00:00"/>
    <x v="0"/>
  </r>
  <r>
    <n v="50043471"/>
    <x v="5"/>
    <n v="1"/>
    <s v="REALIZADO"/>
    <s v="BRUNO"/>
    <d v="2025-10-09T00:00:00"/>
    <x v="2"/>
  </r>
  <r>
    <n v="50043471"/>
    <x v="5"/>
    <n v="1"/>
    <s v="REALIZADO"/>
    <s v="BRUNO"/>
    <d v="2025-10-09T00:00:00"/>
    <x v="2"/>
  </r>
  <r>
    <n v="50003297"/>
    <x v="8"/>
    <n v="1"/>
    <s v="REALIZADO"/>
    <s v="BRUNO"/>
    <d v="2025-10-09T00:00:00"/>
    <x v="0"/>
  </r>
  <r>
    <n v="50038956"/>
    <x v="10"/>
    <n v="1"/>
    <s v="REALIZADO"/>
    <s v="GEOVANE"/>
    <d v="2025-10-09T00:00:00"/>
    <x v="2"/>
  </r>
  <r>
    <n v="50038956"/>
    <x v="10"/>
    <n v="1"/>
    <s v="REALIZADO"/>
    <s v="GEOVANE"/>
    <d v="2025-10-09T00:00:00"/>
    <x v="0"/>
  </r>
  <r>
    <n v="50038956"/>
    <x v="10"/>
    <n v="1"/>
    <s v="REALIZADO"/>
    <s v="GEOVANE"/>
    <d v="2025-10-09T00:00:00"/>
    <x v="2"/>
  </r>
  <r>
    <n v="50038956"/>
    <x v="10"/>
    <n v="1"/>
    <s v="REALIZADO"/>
    <s v="GEOVANE"/>
    <d v="2025-10-09T00:00:00"/>
    <x v="0"/>
  </r>
  <r>
    <n v="50038956"/>
    <x v="10"/>
    <n v="1"/>
    <s v="REALIZADO"/>
    <s v="BRUNO"/>
    <d v="2025-10-09T00:00:00"/>
    <x v="2"/>
  </r>
  <r>
    <n v="50038956"/>
    <x v="10"/>
    <n v="1"/>
    <s v="REALIZADO"/>
    <s v="BRUNO"/>
    <d v="2025-10-09T00:00:00"/>
    <x v="2"/>
  </r>
  <r>
    <n v="50037902"/>
    <x v="14"/>
    <n v="1"/>
    <s v="REALIZADO"/>
    <s v="BRUNO"/>
    <d v="2025-10-09T00:00:00"/>
    <x v="0"/>
  </r>
  <r>
    <n v="50038517"/>
    <x v="0"/>
    <n v="1"/>
    <s v="REALIZADO"/>
    <s v="BRUNA"/>
    <d v="2025-10-09T00:00:00"/>
    <x v="2"/>
  </r>
  <r>
    <n v="50038517"/>
    <x v="0"/>
    <n v="1"/>
    <s v="REALIZADO"/>
    <s v="BRUNA"/>
    <d v="2025-10-09T00:00:00"/>
    <x v="2"/>
  </r>
  <r>
    <n v="50038517"/>
    <x v="0"/>
    <n v="1"/>
    <s v="REALIZADO"/>
    <s v="FABIANO"/>
    <d v="2025-10-09T00:00:00"/>
    <x v="0"/>
  </r>
  <r>
    <n v="50038517"/>
    <x v="0"/>
    <n v="1"/>
    <s v="REALIZADO"/>
    <s v="FABIANO"/>
    <d v="2025-10-09T00:00:00"/>
    <x v="2"/>
  </r>
  <r>
    <n v="50037903"/>
    <x v="91"/>
    <n v="1"/>
    <s v="REALIZADO"/>
    <s v="BRUNO"/>
    <d v="2025-10-09T00:00:00"/>
    <x v="2"/>
  </r>
  <r>
    <n v="50001995"/>
    <x v="44"/>
    <n v="1"/>
    <s v="REALIZADO"/>
    <s v="BRUNO"/>
    <d v="2025-10-09T00:00:00"/>
    <x v="2"/>
  </r>
  <r>
    <n v="50001995"/>
    <x v="44"/>
    <n v="1"/>
    <s v="REALIZADO"/>
    <s v="MARINA"/>
    <d v="2025-10-09T00:00:00"/>
    <x v="2"/>
  </r>
  <r>
    <n v="50038662"/>
    <x v="59"/>
    <n v="1"/>
    <s v="REALIZADO"/>
    <s v="BRUNO"/>
    <d v="2025-10-09T00:00:00"/>
    <x v="0"/>
  </r>
  <r>
    <n v="50041195"/>
    <x v="21"/>
    <n v="1"/>
    <s v="REALIZADO"/>
    <s v="BRUNO"/>
    <d v="2025-10-09T00:00:00"/>
    <x v="2"/>
  </r>
  <r>
    <n v="50041195"/>
    <x v="21"/>
    <n v="1"/>
    <s v="REALIZADO"/>
    <s v="BRUNO"/>
    <d v="2025-10-09T00:00:00"/>
    <x v="0"/>
  </r>
  <r>
    <n v="50041195"/>
    <x v="21"/>
    <n v="1"/>
    <s v="REALIZADO"/>
    <s v="BRUNO"/>
    <d v="2025-10-09T00:00:00"/>
    <x v="2"/>
  </r>
  <r>
    <n v="50041195"/>
    <x v="21"/>
    <n v="1"/>
    <s v="REALIZADO"/>
    <s v="BRUNO"/>
    <d v="2025-10-09T00:00:00"/>
    <x v="0"/>
  </r>
  <r>
    <n v="50043917"/>
    <x v="66"/>
    <n v="1"/>
    <s v="REALIZADO"/>
    <s v="GEOVANE"/>
    <d v="2025-10-09T00:00:00"/>
    <x v="2"/>
  </r>
  <r>
    <n v="50043917"/>
    <x v="66"/>
    <n v="1"/>
    <s v="REALIZADO"/>
    <s v="GEOVANE"/>
    <d v="2025-10-09T00:00:00"/>
    <x v="0"/>
  </r>
  <r>
    <n v="50043917"/>
    <x v="66"/>
    <n v="1"/>
    <s v="REALIZADO"/>
    <s v="BRUNO"/>
    <d v="2025-10-09T00:00:00"/>
    <x v="2"/>
  </r>
  <r>
    <n v="50043917"/>
    <x v="66"/>
    <n v="1"/>
    <s v="REALIZADO"/>
    <s v="BRUNO"/>
    <d v="2025-10-09T00:00:00"/>
    <x v="0"/>
  </r>
  <r>
    <n v="50043917"/>
    <x v="66"/>
    <n v="1"/>
    <s v="REALIZADO"/>
    <s v="BRUNO"/>
    <d v="2025-10-09T00:00:00"/>
    <x v="2"/>
  </r>
  <r>
    <n v="50043917"/>
    <x v="66"/>
    <n v="1"/>
    <s v="REALIZADO"/>
    <s v="BRUNO"/>
    <d v="2025-10-09T00:00:00"/>
    <x v="0"/>
  </r>
  <r>
    <n v="50004486"/>
    <x v="40"/>
    <n v="1"/>
    <s v="REALIZADO"/>
    <s v="BRUNO"/>
    <d v="2025-10-09T00:00:00"/>
    <x v="2"/>
  </r>
  <r>
    <n v="50004486"/>
    <x v="40"/>
    <n v="1"/>
    <s v="REALIZADO"/>
    <s v="BRUNO"/>
    <d v="2025-10-09T00:00:00"/>
    <x v="2"/>
  </r>
  <r>
    <n v="50032775"/>
    <x v="13"/>
    <n v="1"/>
    <s v="REALIZADO"/>
    <s v="BRUNO"/>
    <d v="2025-10-09T00:00:00"/>
    <x v="0"/>
  </r>
  <r>
    <n v="50038195"/>
    <x v="54"/>
    <n v="1"/>
    <s v="REALIZADO"/>
    <s v="GEOVANE"/>
    <d v="2025-10-09T00:00:00"/>
    <x v="2"/>
  </r>
  <r>
    <n v="50038195"/>
    <x v="54"/>
    <n v="1"/>
    <s v="REALIZADO"/>
    <s v="GEOVANE"/>
    <d v="2025-10-09T00:00:00"/>
    <x v="2"/>
  </r>
  <r>
    <n v="50028220"/>
    <x v="33"/>
    <n v="1"/>
    <s v="REALIZADO"/>
    <s v="BRUNO"/>
    <d v="2025-10-09T00:00:00"/>
    <x v="0"/>
  </r>
  <r>
    <n v="50038991"/>
    <x v="53"/>
    <n v="1"/>
    <s v="REALIZADO"/>
    <s v="AGATHA"/>
    <d v="2025-10-08T00:00:00"/>
    <x v="2"/>
  </r>
  <r>
    <n v="50038991"/>
    <x v="53"/>
    <n v="1"/>
    <s v="REALIZADO"/>
    <s v="AGATHA"/>
    <d v="2025-10-08T00:00:00"/>
    <x v="0"/>
  </r>
  <r>
    <n v="50003173"/>
    <x v="29"/>
    <n v="1"/>
    <s v="REALIZADO"/>
    <s v="BRUNA"/>
    <d v="2025-10-08T00:00:00"/>
    <x v="2"/>
  </r>
  <r>
    <n v="50003173"/>
    <x v="29"/>
    <n v="1"/>
    <s v="REALIZADO"/>
    <s v="BRUNO"/>
    <d v="2025-10-08T00:00:00"/>
    <x v="0"/>
  </r>
  <r>
    <n v="50039236"/>
    <x v="84"/>
    <n v="1"/>
    <s v="REALIZADO"/>
    <s v="AGATHA"/>
    <d v="2025-10-08T00:00:00"/>
    <x v="2"/>
  </r>
  <r>
    <n v="50039236"/>
    <x v="84"/>
    <n v="1"/>
    <s v="REALIZADO"/>
    <s v="AGATHA"/>
    <d v="2025-10-08T00:00:00"/>
    <x v="0"/>
  </r>
  <r>
    <n v="50039236"/>
    <x v="84"/>
    <n v="1"/>
    <s v="REALIZADO"/>
    <s v="AGATHA"/>
    <d v="2025-10-08T00:00:00"/>
    <x v="2"/>
  </r>
  <r>
    <n v="50039236"/>
    <x v="84"/>
    <n v="1"/>
    <s v="REALIZADO"/>
    <s v="GEOVANE"/>
    <d v="2025-10-08T00:00:00"/>
    <x v="0"/>
  </r>
  <r>
    <n v="50043471"/>
    <x v="5"/>
    <n v="1"/>
    <s v="REALIZADO"/>
    <s v="MARCIA"/>
    <d v="2025-10-08T00:00:00"/>
    <x v="0"/>
  </r>
  <r>
    <n v="50043471"/>
    <x v="5"/>
    <n v="1"/>
    <s v="REALIZADO"/>
    <s v="AGATHA"/>
    <d v="2025-10-08T00:00:00"/>
    <x v="2"/>
  </r>
  <r>
    <n v="50043471"/>
    <x v="5"/>
    <n v="1"/>
    <s v="REALIZADO"/>
    <s v="AGATHA"/>
    <d v="2025-10-08T00:00:00"/>
    <x v="0"/>
  </r>
  <r>
    <n v="50043471"/>
    <x v="5"/>
    <n v="1"/>
    <s v="REALIZADO"/>
    <s v="GEOVANE"/>
    <d v="2025-10-08T00:00:00"/>
    <x v="2"/>
  </r>
  <r>
    <n v="50043471"/>
    <x v="5"/>
    <n v="1"/>
    <s v="REALIZADO"/>
    <s v="BRUNO"/>
    <d v="2025-10-08T00:00:00"/>
    <x v="0"/>
  </r>
  <r>
    <n v="50003297"/>
    <x v="8"/>
    <n v="1"/>
    <s v="REALIZADO"/>
    <s v="AGATHA"/>
    <d v="2025-10-08T00:00:00"/>
    <x v="2"/>
  </r>
  <r>
    <n v="50003297"/>
    <x v="8"/>
    <n v="1"/>
    <s v="REALIZADO"/>
    <s v="AGATHA"/>
    <d v="2025-10-08T00:00:00"/>
    <x v="2"/>
  </r>
  <r>
    <n v="50043320"/>
    <x v="35"/>
    <n v="1"/>
    <s v="REALIZADO"/>
    <s v="BRUNA"/>
    <d v="2025-10-08T00:00:00"/>
    <x v="0"/>
  </r>
  <r>
    <n v="50038549"/>
    <x v="6"/>
    <n v="1"/>
    <s v="REALIZADO"/>
    <s v="AGATHA"/>
    <d v="2025-10-08T00:00:00"/>
    <x v="2"/>
  </r>
  <r>
    <n v="50038549"/>
    <x v="6"/>
    <n v="1"/>
    <s v="REALIZADO"/>
    <s v="AGATHA"/>
    <d v="2025-10-08T00:00:00"/>
    <x v="2"/>
  </r>
  <r>
    <n v="50022878"/>
    <x v="18"/>
    <n v="1"/>
    <s v="REALIZADO"/>
    <s v="GEOVANE"/>
    <d v="2025-10-08T00:00:00"/>
    <x v="0"/>
  </r>
  <r>
    <n v="50038956"/>
    <x v="10"/>
    <n v="1"/>
    <s v="REALIZADO"/>
    <s v="AGATHA"/>
    <d v="2025-10-08T00:00:00"/>
    <x v="2"/>
  </r>
  <r>
    <n v="50038956"/>
    <x v="10"/>
    <n v="1"/>
    <s v="REALIZADO"/>
    <s v="AGATHA"/>
    <d v="2025-10-08T00:00:00"/>
    <x v="0"/>
  </r>
  <r>
    <n v="50038956"/>
    <x v="10"/>
    <n v="1"/>
    <s v="REALIZADO"/>
    <s v="GEOVANE"/>
    <d v="2025-10-08T00:00:00"/>
    <x v="2"/>
  </r>
  <r>
    <n v="50038956"/>
    <x v="10"/>
    <n v="1"/>
    <s v="REALIZADO"/>
    <s v="GEOVANE"/>
    <d v="2025-10-08T00:00:00"/>
    <x v="0"/>
  </r>
  <r>
    <n v="50038956"/>
    <x v="10"/>
    <n v="1"/>
    <s v="REALIZADO"/>
    <s v="BRUNO"/>
    <d v="2025-10-08T00:00:00"/>
    <x v="2"/>
  </r>
  <r>
    <n v="50038956"/>
    <x v="10"/>
    <n v="1"/>
    <s v="REALIZADO"/>
    <s v="BRUNO"/>
    <d v="2025-10-08T00:00:00"/>
    <x v="0"/>
  </r>
  <r>
    <n v="50037892"/>
    <x v="2"/>
    <n v="1"/>
    <s v="REALIZADO"/>
    <s v="BRUNA"/>
    <d v="2025-10-08T00:00:00"/>
    <x v="2"/>
  </r>
  <r>
    <n v="50037892"/>
    <x v="2"/>
    <n v="1"/>
    <s v="REALIZADO"/>
    <s v="BRUNO"/>
    <d v="2025-10-08T00:00:00"/>
    <x v="0"/>
  </r>
  <r>
    <n v="50037892"/>
    <x v="2"/>
    <n v="1"/>
    <s v="REALIZADO"/>
    <s v="BRUNO"/>
    <d v="2025-10-08T00:00:00"/>
    <x v="2"/>
  </r>
  <r>
    <n v="50037892"/>
    <x v="2"/>
    <n v="1"/>
    <s v="REALIZADO"/>
    <s v="BRUNO"/>
    <d v="2025-10-08T00:00:00"/>
    <x v="0"/>
  </r>
  <r>
    <n v="50038841"/>
    <x v="34"/>
    <n v="1"/>
    <s v="REALIZADO"/>
    <s v="BRUNO"/>
    <d v="2025-10-08T00:00:00"/>
    <x v="2"/>
  </r>
  <r>
    <n v="50038841"/>
    <x v="34"/>
    <n v="1"/>
    <s v="REALIZADO"/>
    <s v="BRUNO"/>
    <d v="2025-10-08T00:00:00"/>
    <x v="0"/>
  </r>
  <r>
    <n v="50038517"/>
    <x v="0"/>
    <n v="1"/>
    <s v="REALIZADO"/>
    <s v="BRUNA"/>
    <d v="2025-10-08T00:00:00"/>
    <x v="2"/>
  </r>
  <r>
    <n v="50038517"/>
    <x v="0"/>
    <n v="1"/>
    <s v="REALIZADO"/>
    <s v="BRUNA"/>
    <d v="2025-10-08T00:00:00"/>
    <x v="0"/>
  </r>
  <r>
    <n v="50038517"/>
    <x v="0"/>
    <n v="1"/>
    <s v="REALIZADO"/>
    <s v="BRUNO"/>
    <d v="2025-10-08T00:00:00"/>
    <x v="2"/>
  </r>
  <r>
    <n v="50038517"/>
    <x v="0"/>
    <n v="1"/>
    <s v="REALIZADO"/>
    <s v="BRUNO"/>
    <d v="2025-10-08T00:00:00"/>
    <x v="0"/>
  </r>
  <r>
    <n v="50038517"/>
    <x v="0"/>
    <n v="1"/>
    <s v="REALIZADO"/>
    <s v="BRUNO"/>
    <d v="2025-10-08T00:00:00"/>
    <x v="2"/>
  </r>
  <r>
    <n v="50038517"/>
    <x v="0"/>
    <n v="1"/>
    <s v="REALIZADO"/>
    <s v="BRUNO"/>
    <d v="2025-10-08T00:00:00"/>
    <x v="0"/>
  </r>
  <r>
    <n v="50037903"/>
    <x v="91"/>
    <n v="1"/>
    <s v="REALIZADO"/>
    <s v="AGATHA"/>
    <d v="2025-10-08T00:00:00"/>
    <x v="2"/>
  </r>
  <r>
    <n v="50037903"/>
    <x v="91"/>
    <n v="1"/>
    <s v="REALIZADO"/>
    <s v="BRUNO"/>
    <d v="2025-10-08T00:00:00"/>
    <x v="2"/>
  </r>
  <r>
    <n v="50001995"/>
    <x v="44"/>
    <n v="1"/>
    <s v="REALIZADO"/>
    <s v="BRUNO"/>
    <d v="2025-10-08T00:00:00"/>
    <x v="0"/>
  </r>
  <r>
    <n v="50039065"/>
    <x v="22"/>
    <n v="1"/>
    <s v="REALIZADO"/>
    <s v="BRUNA"/>
    <d v="2025-10-08T00:00:00"/>
    <x v="2"/>
  </r>
  <r>
    <n v="50039065"/>
    <x v="22"/>
    <n v="1"/>
    <s v="REALIZADO"/>
    <s v="BRUNO"/>
    <d v="2025-10-08T00:00:00"/>
    <x v="0"/>
  </r>
  <r>
    <n v="50036297"/>
    <x v="100"/>
    <n v="1"/>
    <s v="REALIZADO"/>
    <s v="BRUNO"/>
    <d v="2025-10-08T00:00:00"/>
    <x v="2"/>
  </r>
  <r>
    <n v="50036297"/>
    <x v="100"/>
    <n v="1"/>
    <s v="REALIZADO"/>
    <s v="BRUNO"/>
    <d v="2025-10-08T00:00:00"/>
    <x v="0"/>
  </r>
  <r>
    <n v="50038626"/>
    <x v="72"/>
    <n v="1"/>
    <s v="REALIZADO"/>
    <s v="AGATHA"/>
    <d v="2025-10-08T00:00:00"/>
    <x v="2"/>
  </r>
  <r>
    <n v="50038626"/>
    <x v="72"/>
    <n v="1"/>
    <s v="REALIZADO"/>
    <s v="BRUNA"/>
    <d v="2025-10-08T00:00:00"/>
    <x v="0"/>
  </r>
  <r>
    <n v="50026357"/>
    <x v="24"/>
    <n v="1"/>
    <s v="REALIZADO"/>
    <s v="BRUNA"/>
    <d v="2025-10-08T00:00:00"/>
    <x v="2"/>
  </r>
  <r>
    <n v="50026357"/>
    <x v="24"/>
    <n v="1"/>
    <s v="REALIZADO"/>
    <s v="BRUNO"/>
    <d v="2025-10-08T00:00:00"/>
    <x v="0"/>
  </r>
  <r>
    <n v="50038662"/>
    <x v="59"/>
    <n v="1"/>
    <s v="REALIZADO"/>
    <s v="AGATHA"/>
    <d v="2025-10-08T00:00:00"/>
    <x v="2"/>
  </r>
  <r>
    <n v="50038662"/>
    <x v="59"/>
    <n v="1"/>
    <s v="REALIZADO"/>
    <s v="BRUNO"/>
    <d v="2025-10-08T00:00:00"/>
    <x v="0"/>
  </r>
  <r>
    <n v="50041195"/>
    <x v="21"/>
    <n v="1"/>
    <s v="REALIZADO"/>
    <s v="AGATHA"/>
    <d v="2025-10-08T00:00:00"/>
    <x v="2"/>
  </r>
  <r>
    <n v="50041195"/>
    <x v="21"/>
    <n v="1"/>
    <s v="REALIZADO"/>
    <s v="BRUNO"/>
    <d v="2025-10-08T00:00:00"/>
    <x v="2"/>
  </r>
  <r>
    <n v="50043917"/>
    <x v="66"/>
    <n v="1"/>
    <s v="REALIZADO"/>
    <s v="BRUNA"/>
    <d v="2025-10-08T00:00:00"/>
    <x v="0"/>
  </r>
  <r>
    <n v="50004486"/>
    <x v="40"/>
    <n v="1"/>
    <s v="REALIZADO"/>
    <s v="AGATHA"/>
    <d v="2025-10-08T00:00:00"/>
    <x v="2"/>
  </r>
  <r>
    <n v="50004486"/>
    <x v="40"/>
    <n v="1"/>
    <s v="REALIZADO"/>
    <s v="AGATHA"/>
    <d v="2025-10-08T00:00:00"/>
    <x v="2"/>
  </r>
  <r>
    <n v="50038618"/>
    <x v="88"/>
    <n v="1"/>
    <s v="REALIZADO"/>
    <s v="BRUNO"/>
    <d v="2025-10-08T00:00:00"/>
    <x v="0"/>
  </r>
  <r>
    <n v="50028220"/>
    <x v="33"/>
    <n v="1"/>
    <s v="REALIZADO"/>
    <s v="BRUNO"/>
    <d v="2025-10-08T00:00:00"/>
    <x v="2"/>
  </r>
  <r>
    <n v="50028220"/>
    <x v="33"/>
    <n v="1"/>
    <s v="REALIZADO"/>
    <s v="BRUNO"/>
    <d v="2025-10-08T00:00:00"/>
    <x v="2"/>
  </r>
  <r>
    <n v="50042283"/>
    <x v="47"/>
    <n v="1"/>
    <s v="REALIZADO"/>
    <s v="BRUNO"/>
    <d v="2025-10-08T00:00:00"/>
    <x v="0"/>
  </r>
  <r>
    <n v="50037933"/>
    <x v="43"/>
    <n v="1"/>
    <s v="REALIZADO"/>
    <s v="GEOVANE"/>
    <d v="2025-10-08T00:00:00"/>
    <x v="0"/>
  </r>
  <r>
    <n v="50037924"/>
    <x v="90"/>
    <n v="1"/>
    <s v="REALIZADO"/>
    <s v="AGATHA"/>
    <d v="2025-10-08T00:00:00"/>
    <x v="2"/>
  </r>
  <r>
    <n v="50037924"/>
    <x v="90"/>
    <n v="1"/>
    <s v="REALIZADO"/>
    <s v="BRUNA"/>
    <d v="2025-10-08T00:00:00"/>
    <x v="0"/>
  </r>
  <r>
    <n v="50010031"/>
    <x v="20"/>
    <n v="1"/>
    <s v="REALIZADO"/>
    <s v="MARCIA"/>
    <d v="2025-10-07T00:00:00"/>
    <x v="2"/>
  </r>
  <r>
    <n v="50010031"/>
    <x v="20"/>
    <n v="1"/>
    <s v="REALIZADO"/>
    <s v="AGATHA"/>
    <d v="2025-10-07T00:00:00"/>
    <x v="0"/>
  </r>
  <r>
    <n v="50036086"/>
    <x v="3"/>
    <n v="1"/>
    <s v="REALIZADO"/>
    <s v="JOÃO FRANCISCO"/>
    <d v="2025-10-07T00:00:00"/>
    <x v="2"/>
  </r>
  <r>
    <n v="50036086"/>
    <x v="3"/>
    <n v="1"/>
    <s v="REALIZADO"/>
    <s v="AGATHA"/>
    <d v="2025-10-07T00:00:00"/>
    <x v="0"/>
  </r>
  <r>
    <n v="50003173"/>
    <x v="29"/>
    <n v="1"/>
    <s v="REALIZADO"/>
    <s v="JOÃO FRANCISCO"/>
    <d v="2025-10-07T00:00:00"/>
    <x v="2"/>
  </r>
  <r>
    <n v="50003173"/>
    <x v="29"/>
    <n v="1"/>
    <s v="REALIZADO"/>
    <s v="AGATHA"/>
    <d v="2025-10-07T00:00:00"/>
    <x v="0"/>
  </r>
  <r>
    <n v="50030486"/>
    <x v="17"/>
    <n v="1"/>
    <s v="REALIZADO"/>
    <s v="AGATHA"/>
    <d v="2025-10-07T00:00:00"/>
    <x v="2"/>
  </r>
  <r>
    <n v="50030486"/>
    <x v="17"/>
    <n v="1"/>
    <s v="REALIZADO"/>
    <s v="MATHEUS"/>
    <d v="2025-10-07T00:00:00"/>
    <x v="0"/>
  </r>
  <r>
    <n v="50043471"/>
    <x v="5"/>
    <n v="1"/>
    <s v="REALIZADO"/>
    <s v="GEOVANE"/>
    <d v="2025-10-07T00:00:00"/>
    <x v="2"/>
  </r>
  <r>
    <n v="50043471"/>
    <x v="5"/>
    <n v="1"/>
    <s v="REALIZADO"/>
    <s v="AGATHA"/>
    <d v="2025-10-07T00:00:00"/>
    <x v="0"/>
  </r>
  <r>
    <n v="50043471"/>
    <x v="5"/>
    <n v="1"/>
    <s v="REALIZADO"/>
    <s v="BRUNA"/>
    <d v="2025-10-07T00:00:00"/>
    <x v="2"/>
  </r>
  <r>
    <n v="50043471"/>
    <x v="5"/>
    <n v="1"/>
    <s v="REALIZADO"/>
    <s v="BRUNA"/>
    <d v="2025-10-07T00:00:00"/>
    <x v="0"/>
  </r>
  <r>
    <n v="50003297"/>
    <x v="8"/>
    <n v="1"/>
    <s v="REALIZADO"/>
    <s v="BRUNA"/>
    <d v="2025-10-07T00:00:00"/>
    <x v="2"/>
  </r>
  <r>
    <n v="50003297"/>
    <x v="8"/>
    <n v="1"/>
    <s v="REALIZADO"/>
    <s v="BRUNA"/>
    <d v="2025-10-07T00:00:00"/>
    <x v="0"/>
  </r>
  <r>
    <n v="50038549"/>
    <x v="6"/>
    <n v="1"/>
    <s v="REALIZADO"/>
    <s v="MARCIA"/>
    <d v="2025-10-07T00:00:00"/>
    <x v="2"/>
  </r>
  <r>
    <n v="50038549"/>
    <x v="6"/>
    <n v="1"/>
    <s v="REALIZADO"/>
    <s v="BRUNA"/>
    <d v="2025-10-07T00:00:00"/>
    <x v="0"/>
  </r>
  <r>
    <n v="50038956"/>
    <x v="10"/>
    <n v="1"/>
    <s v="REALIZADO"/>
    <s v="AGATHA"/>
    <d v="2025-10-07T00:00:00"/>
    <x v="2"/>
  </r>
  <r>
    <n v="50038956"/>
    <x v="10"/>
    <n v="1"/>
    <s v="REALIZADO"/>
    <s v="MATHEUS"/>
    <d v="2025-10-07T00:00:00"/>
    <x v="0"/>
  </r>
  <r>
    <n v="50037892"/>
    <x v="2"/>
    <n v="1"/>
    <s v="REALIZADO"/>
    <s v="BRUNA"/>
    <d v="2025-10-07T00:00:00"/>
    <x v="2"/>
  </r>
  <r>
    <n v="50037892"/>
    <x v="2"/>
    <n v="1"/>
    <s v="REALIZADO"/>
    <s v="MATHEUS"/>
    <d v="2025-10-07T00:00:00"/>
    <x v="0"/>
  </r>
  <r>
    <n v="50037902"/>
    <x v="14"/>
    <n v="1"/>
    <s v="REALIZADO"/>
    <s v="AGATHA"/>
    <d v="2025-10-07T00:00:00"/>
    <x v="2"/>
  </r>
  <r>
    <n v="50037902"/>
    <x v="14"/>
    <n v="1"/>
    <s v="REALIZADO"/>
    <s v="GEOVANE"/>
    <d v="2025-10-07T00:00:00"/>
    <x v="0"/>
  </r>
  <r>
    <n v="50037902"/>
    <x v="14"/>
    <n v="1"/>
    <s v="REALIZADO"/>
    <s v="GEOVANE"/>
    <d v="2025-10-07T00:00:00"/>
    <x v="2"/>
  </r>
  <r>
    <n v="50037902"/>
    <x v="14"/>
    <n v="1"/>
    <s v="REALIZADO"/>
    <s v="GEOVANE"/>
    <d v="2025-10-07T00:00:00"/>
    <x v="0"/>
  </r>
  <r>
    <n v="50038841"/>
    <x v="34"/>
    <n v="1"/>
    <s v="REALIZADO"/>
    <s v="AGATHA"/>
    <d v="2025-10-07T00:00:00"/>
    <x v="2"/>
  </r>
  <r>
    <n v="50038841"/>
    <x v="34"/>
    <n v="1"/>
    <s v="REALIZADO"/>
    <s v="BRUNA"/>
    <d v="2025-10-07T00:00:00"/>
    <x v="0"/>
  </r>
  <r>
    <n v="50038517"/>
    <x v="0"/>
    <n v="1"/>
    <s v="REALIZADO"/>
    <s v="AGATHA"/>
    <d v="2025-10-07T00:00:00"/>
    <x v="2"/>
  </r>
  <r>
    <n v="50038517"/>
    <x v="0"/>
    <n v="1"/>
    <s v="REALIZADO"/>
    <s v="BRUNA"/>
    <d v="2025-10-07T00:00:00"/>
    <x v="0"/>
  </r>
  <r>
    <n v="50039065"/>
    <x v="22"/>
    <n v="1"/>
    <s v="REALIZADO"/>
    <s v="AGATHA"/>
    <d v="2025-10-07T00:00:00"/>
    <x v="2"/>
  </r>
  <r>
    <n v="50039065"/>
    <x v="22"/>
    <n v="1"/>
    <s v="REALIZADO"/>
    <s v="BRUNA"/>
    <d v="2025-10-07T00:00:00"/>
    <x v="0"/>
  </r>
  <r>
    <n v="50036297"/>
    <x v="100"/>
    <n v="1"/>
    <s v="REALIZADO"/>
    <s v="BRUNA"/>
    <d v="2025-10-07T00:00:00"/>
    <x v="2"/>
  </r>
  <r>
    <n v="50036297"/>
    <x v="100"/>
    <n v="1"/>
    <s v="REALIZADO"/>
    <s v="BRUNA"/>
    <d v="2025-10-07T00:00:00"/>
    <x v="0"/>
  </r>
  <r>
    <n v="50026357"/>
    <x v="24"/>
    <n v="1"/>
    <s v="REALIZADO"/>
    <s v="JOÃO FRANCISCO"/>
    <d v="2025-10-07T00:00:00"/>
    <x v="2"/>
  </r>
  <r>
    <n v="50026357"/>
    <x v="24"/>
    <n v="1"/>
    <s v="REALIZADO"/>
    <s v="AGATHA"/>
    <d v="2025-10-07T00:00:00"/>
    <x v="0"/>
  </r>
  <r>
    <n v="50041653"/>
    <x v="50"/>
    <n v="1"/>
    <s v="REALIZADO"/>
    <s v="AGATHA"/>
    <d v="2025-10-07T00:00:00"/>
    <x v="2"/>
  </r>
  <r>
    <n v="50041653"/>
    <x v="50"/>
    <n v="1"/>
    <s v="REALIZADO"/>
    <s v="BRUNA"/>
    <d v="2025-10-07T00:00:00"/>
    <x v="0"/>
  </r>
  <r>
    <n v="50041195"/>
    <x v="21"/>
    <n v="1"/>
    <s v="REALIZADO"/>
    <s v="AGATHA"/>
    <d v="2025-10-07T00:00:00"/>
    <x v="0"/>
  </r>
  <r>
    <n v="50043917"/>
    <x v="66"/>
    <n v="1"/>
    <s v="REALIZADO"/>
    <s v="AGATHA"/>
    <d v="2025-10-07T00:00:00"/>
    <x v="2"/>
  </r>
  <r>
    <n v="50043917"/>
    <x v="66"/>
    <n v="1"/>
    <s v="REALIZADO"/>
    <s v="BRUNA"/>
    <d v="2025-10-07T00:00:00"/>
    <x v="2"/>
  </r>
  <r>
    <n v="50043917"/>
    <x v="66"/>
    <n v="1"/>
    <s v="REALIZADO"/>
    <s v="MARINA"/>
    <d v="2025-10-07T00:00:00"/>
    <x v="0"/>
  </r>
  <r>
    <n v="50043917"/>
    <x v="66"/>
    <n v="1"/>
    <s v="REALIZADO"/>
    <s v="MARINA"/>
    <d v="2025-10-07T00:00:00"/>
    <x v="0"/>
  </r>
  <r>
    <n v="50020622"/>
    <x v="42"/>
    <n v="1"/>
    <s v="REALIZADO"/>
    <s v="AGATHA"/>
    <d v="2025-10-07T00:00:00"/>
    <x v="2"/>
  </r>
  <r>
    <n v="50020622"/>
    <x v="42"/>
    <n v="1"/>
    <s v="REALIZADO"/>
    <s v="BRUNA"/>
    <d v="2025-10-07T00:00:00"/>
    <x v="0"/>
  </r>
  <r>
    <n v="50012903"/>
    <x v="31"/>
    <n v="1"/>
    <s v="REALIZADO"/>
    <s v="JOÃO FRANCISCO"/>
    <d v="2025-10-07T00:00:00"/>
    <x v="2"/>
  </r>
  <r>
    <n v="50012903"/>
    <x v="31"/>
    <n v="1"/>
    <s v="REALIZADO"/>
    <s v="JOÃO FRANCISCO"/>
    <d v="2025-10-07T00:00:00"/>
    <x v="2"/>
  </r>
  <r>
    <n v="50038195"/>
    <x v="54"/>
    <n v="1"/>
    <s v="REALIZADO"/>
    <s v="MARINA"/>
    <d v="2025-10-07T00:00:00"/>
    <x v="0"/>
  </r>
  <r>
    <n v="50038195"/>
    <x v="54"/>
    <n v="1"/>
    <s v="REALIZADO"/>
    <s v="MARINA"/>
    <d v="2025-10-07T00:00:00"/>
    <x v="0"/>
  </r>
  <r>
    <n v="50028220"/>
    <x v="33"/>
    <n v="1"/>
    <s v="REALIZADO"/>
    <s v="JOÃO FRANCISCO"/>
    <d v="2025-10-07T00:00:00"/>
    <x v="2"/>
  </r>
  <r>
    <n v="50028220"/>
    <x v="33"/>
    <n v="1"/>
    <s v="REALIZADO"/>
    <s v="AGATHA"/>
    <d v="2025-10-07T00:00:00"/>
    <x v="2"/>
  </r>
  <r>
    <n v="50037933"/>
    <x v="43"/>
    <n v="1"/>
    <s v="REALIZADO"/>
    <s v="MARCIA"/>
    <d v="2025-10-07T00:00:00"/>
    <x v="0"/>
  </r>
  <r>
    <n v="50037924"/>
    <x v="90"/>
    <n v="1"/>
    <s v="REALIZADO"/>
    <s v="AGATHA"/>
    <d v="2025-10-07T00:00:00"/>
    <x v="2"/>
  </r>
  <r>
    <n v="50037924"/>
    <x v="90"/>
    <n v="1"/>
    <s v="REALIZADO"/>
    <s v="BRUNA"/>
    <d v="2025-10-07T00:00:00"/>
    <x v="2"/>
  </r>
  <r>
    <n v="50010031"/>
    <x v="20"/>
    <n v="1"/>
    <s v="REALIZADO"/>
    <s v="BRUNO"/>
    <d v="2025-10-06T00:00:00"/>
    <x v="0"/>
  </r>
  <r>
    <n v="50010031"/>
    <x v="20"/>
    <n v="1"/>
    <s v="REALIZADO"/>
    <s v="BRUNA"/>
    <d v="2025-10-06T00:00:00"/>
    <x v="2"/>
  </r>
  <r>
    <n v="50010031"/>
    <x v="20"/>
    <n v="1"/>
    <s v="REALIZADO"/>
    <s v="BRUNA"/>
    <d v="2025-10-06T00:00:00"/>
    <x v="0"/>
  </r>
  <r>
    <n v="50036291"/>
    <x v="55"/>
    <n v="1"/>
    <s v="REALIZADO"/>
    <s v="BRUNO"/>
    <d v="2025-10-06T00:00:00"/>
    <x v="2"/>
  </r>
  <r>
    <n v="50036291"/>
    <x v="55"/>
    <n v="1"/>
    <s v="REALIZADO"/>
    <s v="BRUNO"/>
    <d v="2025-10-06T00:00:00"/>
    <x v="2"/>
  </r>
  <r>
    <n v="50036292"/>
    <x v="104"/>
    <n v="1"/>
    <s v="REALIZADO"/>
    <s v="BRUNO"/>
    <d v="2025-10-06T00:00:00"/>
    <x v="0"/>
  </r>
  <r>
    <n v="50036293"/>
    <x v="16"/>
    <n v="1"/>
    <s v="REALIZADO"/>
    <s v="BRUNO"/>
    <d v="2025-10-06T00:00:00"/>
    <x v="2"/>
  </r>
  <r>
    <n v="50036293"/>
    <x v="16"/>
    <n v="1"/>
    <s v="REALIZADO"/>
    <s v="BRUNO"/>
    <d v="2025-10-06T00:00:00"/>
    <x v="0"/>
  </r>
  <r>
    <n v="50036295"/>
    <x v="25"/>
    <n v="1"/>
    <s v="REALIZADO"/>
    <s v="BRUNO"/>
    <d v="2025-10-06T00:00:00"/>
    <x v="2"/>
  </r>
  <r>
    <n v="50036295"/>
    <x v="25"/>
    <n v="1"/>
    <s v="REALIZADO"/>
    <s v="BRUNO"/>
    <d v="2025-10-06T00:00:00"/>
    <x v="0"/>
  </r>
  <r>
    <n v="50036086"/>
    <x v="3"/>
    <n v="1"/>
    <s v="REALIZADO"/>
    <s v="BRUNO"/>
    <d v="2025-10-06T00:00:00"/>
    <x v="2"/>
  </r>
  <r>
    <n v="50036086"/>
    <x v="3"/>
    <n v="1"/>
    <s v="REALIZADO"/>
    <s v="BRUNO"/>
    <d v="2025-10-06T00:00:00"/>
    <x v="0"/>
  </r>
  <r>
    <n v="50038842"/>
    <x v="28"/>
    <n v="1"/>
    <s v="REALIZADO"/>
    <s v="BRUNO"/>
    <d v="2025-10-06T00:00:00"/>
    <x v="2"/>
  </r>
  <r>
    <n v="50038842"/>
    <x v="28"/>
    <n v="1"/>
    <s v="REALIZADO"/>
    <s v="BRUNO"/>
    <d v="2025-10-06T00:00:00"/>
    <x v="2"/>
  </r>
  <r>
    <n v="50038842"/>
    <x v="28"/>
    <n v="1"/>
    <s v="REALIZADO"/>
    <s v="BRUNO"/>
    <d v="2025-10-06T00:00:00"/>
    <x v="2"/>
  </r>
  <r>
    <n v="50043471"/>
    <x v="5"/>
    <n v="1"/>
    <s v="REALIZADO"/>
    <s v="BRUNA"/>
    <d v="2025-10-06T00:00:00"/>
    <x v="2"/>
  </r>
  <r>
    <n v="50003296"/>
    <x v="105"/>
    <n v="1"/>
    <s v="REALIZADO"/>
    <s v="MARINA"/>
    <d v="2025-10-06T00:00:00"/>
    <x v="0"/>
  </r>
  <r>
    <n v="50003296"/>
    <x v="105"/>
    <n v="1"/>
    <s v="REALIZADO"/>
    <s v="MARINA"/>
    <d v="2025-10-06T00:00:00"/>
    <x v="2"/>
  </r>
  <r>
    <n v="50043320"/>
    <x v="35"/>
    <n v="1"/>
    <s v="REALIZADO"/>
    <s v="BRUNA"/>
    <d v="2025-10-06T00:00:00"/>
    <x v="0"/>
  </r>
  <r>
    <n v="50038549"/>
    <x v="6"/>
    <n v="1"/>
    <s v="REALIZADO"/>
    <s v="AGATHA"/>
    <d v="2025-10-06T00:00:00"/>
    <x v="2"/>
  </r>
  <r>
    <n v="50038549"/>
    <x v="6"/>
    <n v="1"/>
    <s v="REALIZADO"/>
    <s v="BRUNO"/>
    <d v="2025-10-06T00:00:00"/>
    <x v="0"/>
  </r>
  <r>
    <n v="50038956"/>
    <x v="10"/>
    <n v="1"/>
    <s v="REALIZADO"/>
    <s v="AGATHA"/>
    <d v="2025-10-06T00:00:00"/>
    <x v="2"/>
  </r>
  <r>
    <n v="50038956"/>
    <x v="10"/>
    <n v="1"/>
    <s v="REALIZADO"/>
    <s v="BRUNO"/>
    <d v="2025-10-06T00:00:00"/>
    <x v="0"/>
  </r>
  <r>
    <n v="50037892"/>
    <x v="2"/>
    <n v="1"/>
    <s v="REALIZADO"/>
    <s v="BRUNO"/>
    <d v="2025-10-06T00:00:00"/>
    <x v="2"/>
  </r>
  <r>
    <n v="50037892"/>
    <x v="2"/>
    <n v="1"/>
    <s v="REALIZADO"/>
    <s v="BRUNO"/>
    <d v="2025-10-06T00:00:00"/>
    <x v="2"/>
  </r>
  <r>
    <n v="50037902"/>
    <x v="14"/>
    <n v="1"/>
    <s v="REALIZADO"/>
    <s v="BRUNO"/>
    <d v="2025-10-06T00:00:00"/>
    <x v="0"/>
  </r>
  <r>
    <n v="50038841"/>
    <x v="34"/>
    <n v="1"/>
    <s v="REALIZADO"/>
    <s v="AGATHA"/>
    <d v="2025-10-06T00:00:00"/>
    <x v="2"/>
  </r>
  <r>
    <n v="50038841"/>
    <x v="34"/>
    <n v="1"/>
    <s v="REALIZADO"/>
    <s v="AGATHA"/>
    <d v="2025-10-06T00:00:00"/>
    <x v="0"/>
  </r>
  <r>
    <n v="50038841"/>
    <x v="34"/>
    <n v="1"/>
    <s v="REALIZADO"/>
    <s v="AGATHA"/>
    <d v="2025-10-06T00:00:00"/>
    <x v="2"/>
  </r>
  <r>
    <n v="50038841"/>
    <x v="34"/>
    <n v="1"/>
    <s v="REALIZADO"/>
    <s v="AGATHA"/>
    <d v="2025-10-06T00:00:00"/>
    <x v="0"/>
  </r>
  <r>
    <n v="50038841"/>
    <x v="34"/>
    <n v="1"/>
    <s v="REALIZADO"/>
    <s v="BRUNA"/>
    <d v="2025-10-06T00:00:00"/>
    <x v="2"/>
  </r>
  <r>
    <n v="50038841"/>
    <x v="34"/>
    <n v="1"/>
    <s v="REALIZADO"/>
    <s v="BRUNA"/>
    <d v="2025-10-06T00:00:00"/>
    <x v="0"/>
  </r>
  <r>
    <n v="50038841"/>
    <x v="34"/>
    <n v="1"/>
    <s v="REALIZADO"/>
    <s v="BRUNO"/>
    <d v="2025-10-06T00:00:00"/>
    <x v="2"/>
  </r>
  <r>
    <n v="50038841"/>
    <x v="34"/>
    <n v="1"/>
    <s v="REALIZADO"/>
    <s v="BRUNO"/>
    <d v="2025-10-06T00:00:00"/>
    <x v="0"/>
  </r>
  <r>
    <n v="50038841"/>
    <x v="34"/>
    <n v="1"/>
    <s v="REALIZADO"/>
    <s v="BRUNO"/>
    <d v="2025-10-06T00:00:00"/>
    <x v="2"/>
  </r>
  <r>
    <n v="50038841"/>
    <x v="34"/>
    <n v="1"/>
    <s v="REALIZADO"/>
    <s v="BRUNO"/>
    <d v="2025-10-06T00:00:00"/>
    <x v="0"/>
  </r>
  <r>
    <n v="50038517"/>
    <x v="0"/>
    <n v="1"/>
    <s v="REALIZADO"/>
    <s v="AGATHA"/>
    <d v="2025-10-06T00:00:00"/>
    <x v="2"/>
  </r>
  <r>
    <n v="50038517"/>
    <x v="0"/>
    <n v="1"/>
    <s v="REALIZADO"/>
    <s v="BRUNO"/>
    <d v="2025-10-06T00:00:00"/>
    <x v="2"/>
  </r>
  <r>
    <n v="50001995"/>
    <x v="44"/>
    <n v="1"/>
    <s v="REALIZADO"/>
    <s v="BRUNO"/>
    <d v="2025-10-06T00:00:00"/>
    <x v="0"/>
  </r>
  <r>
    <n v="50039065"/>
    <x v="22"/>
    <n v="1"/>
    <s v="REALIZADO"/>
    <s v="AGATHA"/>
    <d v="2025-10-06T00:00:00"/>
    <x v="2"/>
  </r>
  <r>
    <n v="50039065"/>
    <x v="22"/>
    <n v="1"/>
    <s v="REALIZADO"/>
    <s v="AGATHA"/>
    <d v="2025-10-06T00:00:00"/>
    <x v="0"/>
  </r>
  <r>
    <n v="50039065"/>
    <x v="22"/>
    <n v="1"/>
    <s v="REALIZADO"/>
    <s v="BRUNO"/>
    <d v="2025-10-06T00:00:00"/>
    <x v="2"/>
  </r>
  <r>
    <n v="50039065"/>
    <x v="22"/>
    <n v="1"/>
    <s v="REALIZADO"/>
    <s v="BRUNO"/>
    <d v="2025-10-06T00:00:00"/>
    <x v="2"/>
  </r>
  <r>
    <n v="50039065"/>
    <x v="22"/>
    <n v="1"/>
    <s v="REALIZADO"/>
    <s v="MARINA"/>
    <d v="2025-10-06T00:00:00"/>
    <x v="0"/>
  </r>
  <r>
    <n v="50039065"/>
    <x v="22"/>
    <n v="1"/>
    <s v="REALIZADO"/>
    <s v="MARINA"/>
    <d v="2025-10-06T00:00:00"/>
    <x v="0"/>
  </r>
  <r>
    <n v="50026357"/>
    <x v="24"/>
    <n v="1"/>
    <s v="REALIZADO"/>
    <s v="AGATHA"/>
    <d v="2025-10-06T00:00:00"/>
    <x v="2"/>
  </r>
  <r>
    <n v="50026357"/>
    <x v="24"/>
    <n v="1"/>
    <s v="REALIZADO"/>
    <s v="AGATHA"/>
    <d v="2025-10-06T00:00:00"/>
    <x v="0"/>
  </r>
  <r>
    <n v="50026357"/>
    <x v="24"/>
    <n v="1"/>
    <s v="REALIZADO"/>
    <s v="BRUNO"/>
    <d v="2025-10-06T00:00:00"/>
    <x v="2"/>
  </r>
  <r>
    <n v="50026357"/>
    <x v="24"/>
    <n v="1"/>
    <s v="REALIZADO"/>
    <s v="BRUNO"/>
    <d v="2025-10-06T00:00:00"/>
    <x v="2"/>
  </r>
  <r>
    <n v="50041195"/>
    <x v="21"/>
    <n v="1"/>
    <s v="REALIZADO"/>
    <s v="AGATHA"/>
    <d v="2025-10-06T00:00:00"/>
    <x v="0"/>
  </r>
  <r>
    <n v="50041195"/>
    <x v="21"/>
    <n v="1"/>
    <s v="REALIZADO"/>
    <s v="BRUNA"/>
    <d v="2025-10-06T00:00:00"/>
    <x v="2"/>
  </r>
  <r>
    <n v="50041195"/>
    <x v="21"/>
    <n v="1"/>
    <s v="REALIZADO"/>
    <s v="BRUNO"/>
    <d v="2025-10-06T00:00:00"/>
    <x v="2"/>
  </r>
  <r>
    <n v="50043917"/>
    <x v="66"/>
    <n v="1"/>
    <s v="REALIZADO"/>
    <s v="BRUNA"/>
    <d v="2025-10-06T00:00:00"/>
    <x v="2"/>
  </r>
  <r>
    <n v="50037906"/>
    <x v="65"/>
    <n v="1"/>
    <s v="REALIZADO"/>
    <s v="AGATHA"/>
    <d v="2025-10-06T00:00:00"/>
    <x v="0"/>
  </r>
  <r>
    <n v="50012903"/>
    <x v="31"/>
    <n v="1"/>
    <s v="REALIZADO"/>
    <s v="BRUNO"/>
    <d v="2025-10-06T00:00:00"/>
    <x v="2"/>
  </r>
  <r>
    <n v="50012903"/>
    <x v="31"/>
    <n v="1"/>
    <s v="REALIZADO"/>
    <s v="BRUNA"/>
    <d v="2025-10-06T00:00:00"/>
    <x v="2"/>
  </r>
  <r>
    <n v="50012902"/>
    <x v="30"/>
    <n v="1"/>
    <s v="REALIZADO"/>
    <s v="BRUNO"/>
    <d v="2025-10-06T00:00:00"/>
    <x v="0"/>
  </r>
  <r>
    <n v="50044453"/>
    <x v="98"/>
    <n v="1"/>
    <s v="REALIZADO"/>
    <s v="AGATHA"/>
    <d v="2025-10-06T00:00:00"/>
    <x v="2"/>
  </r>
  <r>
    <n v="50044453"/>
    <x v="98"/>
    <n v="1"/>
    <s v="REALIZADO"/>
    <s v="BRUNO"/>
    <d v="2025-10-06T00:00:00"/>
    <x v="0"/>
  </r>
  <r>
    <n v="50037933"/>
    <x v="43"/>
    <n v="1"/>
    <s v="REALIZADO"/>
    <s v="BRUNA"/>
    <d v="2025-10-06T00:00:00"/>
    <x v="2"/>
  </r>
  <r>
    <n v="50037933"/>
    <x v="43"/>
    <n v="1"/>
    <s v="REALIZADO"/>
    <s v="BRUNO"/>
    <d v="2025-10-06T00:00:00"/>
    <x v="2"/>
  </r>
  <r>
    <n v="50039236"/>
    <x v="84"/>
    <n v="1"/>
    <s v="REALIZADO"/>
    <s v="MARINA"/>
    <d v="2025-10-05T00:00:00"/>
    <x v="0"/>
  </r>
  <r>
    <n v="50039236"/>
    <x v="84"/>
    <n v="1"/>
    <s v="REALIZADO"/>
    <s v="MARINA"/>
    <d v="2025-10-05T00:00:00"/>
    <x v="2"/>
  </r>
  <r>
    <n v="50037892"/>
    <x v="2"/>
    <n v="1"/>
    <s v="REALIZADO"/>
    <s v="MARINA"/>
    <d v="2025-10-05T00:00:00"/>
    <x v="0"/>
  </r>
  <r>
    <n v="50037892"/>
    <x v="2"/>
    <n v="1"/>
    <s v="REALIZADO"/>
    <s v="MARINA"/>
    <d v="2025-10-05T00:00:00"/>
    <x v="2"/>
  </r>
  <r>
    <n v="50038517"/>
    <x v="0"/>
    <n v="1"/>
    <s v="REALIZADO"/>
    <s v="MARINA"/>
    <d v="2025-10-05T00:00:00"/>
    <x v="0"/>
  </r>
  <r>
    <n v="50038517"/>
    <x v="0"/>
    <n v="1"/>
    <s v="REALIZADO"/>
    <s v="MARINA"/>
    <d v="2025-10-05T00:00:00"/>
    <x v="2"/>
  </r>
  <r>
    <n v="50041195"/>
    <x v="21"/>
    <n v="1"/>
    <s v="REALIZADO"/>
    <s v="MARINA"/>
    <d v="2025-10-05T00:00:00"/>
    <x v="0"/>
  </r>
  <r>
    <n v="50041195"/>
    <x v="21"/>
    <n v="1"/>
    <s v="REALIZADO"/>
    <s v="MARINA"/>
    <d v="2025-10-05T00:00:00"/>
    <x v="0"/>
  </r>
  <r>
    <n v="50037922"/>
    <x v="61"/>
    <n v="1"/>
    <s v="REALIZADO"/>
    <s v="KELLY"/>
    <d v="2025-10-04T00:00:00"/>
    <x v="2"/>
  </r>
  <r>
    <n v="50037922"/>
    <x v="61"/>
    <n v="1"/>
    <s v="REALIZADO"/>
    <s v="KELLY"/>
    <d v="2025-10-04T00:00:00"/>
    <x v="0"/>
  </r>
  <r>
    <n v="50037905"/>
    <x v="49"/>
    <n v="1"/>
    <s v="REALIZADO"/>
    <s v="KELLY"/>
    <d v="2025-10-04T00:00:00"/>
    <x v="2"/>
  </r>
  <r>
    <n v="50044522"/>
    <x v="106"/>
    <n v="1"/>
    <s v="REALIZADO"/>
    <s v="FABIANO"/>
    <d v="2025-10-04T00:00:00"/>
    <x v="0"/>
  </r>
  <r>
    <n v="50044522"/>
    <x v="106"/>
    <n v="1"/>
    <s v="REALIZADO"/>
    <s v="FABIANO"/>
    <d v="2025-10-04T00:00:00"/>
    <x v="0"/>
  </r>
  <r>
    <n v="50043471"/>
    <x v="5"/>
    <n v="1"/>
    <s v="REALIZADO"/>
    <s v="KELLY"/>
    <d v="2025-10-04T00:00:00"/>
    <x v="2"/>
  </r>
  <r>
    <n v="50037902"/>
    <x v="14"/>
    <n v="1"/>
    <s v="REALIZADO"/>
    <s v="KELLY"/>
    <d v="2025-10-04T00:00:00"/>
    <x v="0"/>
  </r>
  <r>
    <n v="50037902"/>
    <x v="14"/>
    <n v="1"/>
    <s v="REALIZADO"/>
    <s v="KELLY"/>
    <d v="2025-10-04T00:00:00"/>
    <x v="0"/>
  </r>
  <r>
    <n v="50037902"/>
    <x v="14"/>
    <n v="1"/>
    <s v="REALIZADO"/>
    <s v="KELLY"/>
    <d v="2025-10-04T00:00:00"/>
    <x v="0"/>
  </r>
  <r>
    <n v="50038517"/>
    <x v="0"/>
    <n v="1"/>
    <s v="REALIZADO"/>
    <s v="KELLY"/>
    <d v="2025-10-04T00:00:00"/>
    <x v="2"/>
  </r>
  <r>
    <n v="50038517"/>
    <x v="0"/>
    <n v="1"/>
    <s v="REALIZADO"/>
    <s v="KELLY"/>
    <d v="2025-10-04T00:00:00"/>
    <x v="2"/>
  </r>
  <r>
    <n v="50001995"/>
    <x v="44"/>
    <n v="1"/>
    <s v="REALIZADO"/>
    <s v="KELLY"/>
    <d v="2025-10-04T00:00:00"/>
    <x v="2"/>
  </r>
  <r>
    <n v="50039065"/>
    <x v="22"/>
    <n v="1"/>
    <s v="REALIZADO"/>
    <s v="MARINA"/>
    <d v="2025-10-04T00:00:00"/>
    <x v="0"/>
  </r>
  <r>
    <n v="50039065"/>
    <x v="22"/>
    <n v="1"/>
    <s v="REALIZADO"/>
    <s v="MARINA"/>
    <d v="2025-10-04T00:00:00"/>
    <x v="0"/>
  </r>
  <r>
    <n v="50026357"/>
    <x v="24"/>
    <n v="1"/>
    <s v="REALIZADO"/>
    <s v="KELLY"/>
    <d v="2025-10-04T00:00:00"/>
    <x v="2"/>
  </r>
  <r>
    <n v="50026357"/>
    <x v="24"/>
    <n v="1"/>
    <s v="REALIZADO"/>
    <s v="KELLY"/>
    <d v="2025-10-04T00:00:00"/>
    <x v="2"/>
  </r>
  <r>
    <n v="50041195"/>
    <x v="21"/>
    <n v="1"/>
    <s v="REALIZADO"/>
    <s v="KELLY"/>
    <d v="2025-10-04T00:00:00"/>
    <x v="0"/>
  </r>
  <r>
    <n v="50010031"/>
    <x v="20"/>
    <n v="1"/>
    <s v="REALIZADO"/>
    <s v="GEOVANE"/>
    <d v="2025-10-03T00:00:00"/>
    <x v="2"/>
  </r>
  <r>
    <n v="50010031"/>
    <x v="20"/>
    <n v="1"/>
    <s v="REALIZADO"/>
    <s v="MATHEUS"/>
    <d v="2025-10-03T00:00:00"/>
    <x v="0"/>
  </r>
  <r>
    <n v="50040694"/>
    <x v="107"/>
    <n v="1"/>
    <s v="REALIZADO"/>
    <s v="AGATHA"/>
    <d v="2025-10-03T00:00:00"/>
    <x v="2"/>
  </r>
  <r>
    <n v="50040694"/>
    <x v="107"/>
    <n v="1"/>
    <s v="REALIZADO"/>
    <s v="MATHEUS"/>
    <d v="2025-10-03T00:00:00"/>
    <x v="0"/>
  </r>
  <r>
    <n v="50044003"/>
    <x v="63"/>
    <n v="1"/>
    <s v="REALIZADO"/>
    <s v="KELLY"/>
    <d v="2025-10-03T00:00:00"/>
    <x v="2"/>
  </r>
  <r>
    <n v="50044003"/>
    <x v="63"/>
    <n v="1"/>
    <s v="REALIZADO"/>
    <s v="MATHEUS"/>
    <d v="2025-10-03T00:00:00"/>
    <x v="2"/>
  </r>
  <r>
    <n v="50037905"/>
    <x v="49"/>
    <n v="1"/>
    <s v="REALIZADO"/>
    <s v="KELLY"/>
    <d v="2025-10-03T00:00:00"/>
    <x v="2"/>
  </r>
  <r>
    <n v="50043471"/>
    <x v="5"/>
    <n v="1"/>
    <s v="REALIZADO"/>
    <s v="KELLY"/>
    <d v="2025-10-03T00:00:00"/>
    <x v="0"/>
  </r>
  <r>
    <n v="50043471"/>
    <x v="5"/>
    <n v="1"/>
    <s v="REALIZADO"/>
    <s v="GEOVANE"/>
    <d v="2025-10-03T00:00:00"/>
    <x v="2"/>
  </r>
  <r>
    <n v="50043471"/>
    <x v="5"/>
    <n v="1"/>
    <s v="REALIZADO"/>
    <s v="AGATHA"/>
    <d v="2025-10-03T00:00:00"/>
    <x v="0"/>
  </r>
  <r>
    <n v="50029865"/>
    <x v="9"/>
    <n v="1"/>
    <s v="REALIZADO"/>
    <s v="GEOVANE"/>
    <d v="2025-10-03T00:00:00"/>
    <x v="2"/>
  </r>
  <r>
    <n v="50029865"/>
    <x v="9"/>
    <n v="1"/>
    <s v="REALIZADO"/>
    <s v="MATHEUS"/>
    <d v="2025-10-03T00:00:00"/>
    <x v="0"/>
  </r>
  <r>
    <n v="50043320"/>
    <x v="35"/>
    <n v="1"/>
    <s v="REALIZADO"/>
    <s v="KELLY"/>
    <d v="2025-10-03T00:00:00"/>
    <x v="2"/>
  </r>
  <r>
    <n v="50043320"/>
    <x v="35"/>
    <n v="1"/>
    <s v="REALIZADO"/>
    <s v="MATHEUS"/>
    <d v="2025-10-03T00:00:00"/>
    <x v="0"/>
  </r>
  <r>
    <n v="50038549"/>
    <x v="6"/>
    <n v="1"/>
    <s v="REALIZADO"/>
    <s v="KELLY"/>
    <d v="2025-10-03T00:00:00"/>
    <x v="2"/>
  </r>
  <r>
    <n v="50038549"/>
    <x v="6"/>
    <n v="1"/>
    <s v="REALIZADO"/>
    <s v="KELLY"/>
    <d v="2025-10-03T00:00:00"/>
    <x v="0"/>
  </r>
  <r>
    <n v="50022878"/>
    <x v="18"/>
    <n v="1"/>
    <s v="REALIZADO"/>
    <s v="GEOVANE"/>
    <d v="2025-10-03T00:00:00"/>
    <x v="2"/>
  </r>
  <r>
    <n v="50022878"/>
    <x v="18"/>
    <n v="1"/>
    <s v="REALIZADO"/>
    <s v="MATHEUS"/>
    <d v="2025-10-03T00:00:00"/>
    <x v="0"/>
  </r>
  <r>
    <n v="50038956"/>
    <x v="10"/>
    <n v="1"/>
    <s v="REALIZADO"/>
    <s v="KELLY"/>
    <d v="2025-10-03T00:00:00"/>
    <x v="2"/>
  </r>
  <r>
    <n v="50038956"/>
    <x v="10"/>
    <n v="1"/>
    <s v="REALIZADO"/>
    <s v="GEOVANE"/>
    <d v="2025-10-03T00:00:00"/>
    <x v="0"/>
  </r>
  <r>
    <n v="50038956"/>
    <x v="10"/>
    <n v="1"/>
    <s v="REALIZADO"/>
    <s v="MATHEUS"/>
    <d v="2025-10-03T00:00:00"/>
    <x v="2"/>
  </r>
  <r>
    <n v="50038956"/>
    <x v="10"/>
    <n v="1"/>
    <s v="REALIZADO"/>
    <s v="MATHEUS"/>
    <d v="2025-10-03T00:00:00"/>
    <x v="0"/>
  </r>
  <r>
    <n v="50038956"/>
    <x v="10"/>
    <n v="1"/>
    <s v="REALIZADO"/>
    <s v="MATHEUS"/>
    <d v="2025-10-03T00:00:00"/>
    <x v="2"/>
  </r>
  <r>
    <n v="50038956"/>
    <x v="10"/>
    <n v="1"/>
    <s v="REALIZADO"/>
    <s v="MATHEUS"/>
    <d v="2025-10-03T00:00:00"/>
    <x v="0"/>
  </r>
  <r>
    <n v="50037892"/>
    <x v="2"/>
    <n v="1"/>
    <s v="REALIZADO"/>
    <s v="GEOVANE"/>
    <d v="2025-10-03T00:00:00"/>
    <x v="2"/>
  </r>
  <r>
    <n v="50037892"/>
    <x v="2"/>
    <n v="1"/>
    <s v="REALIZADO"/>
    <s v="MATHEUS"/>
    <d v="2025-10-03T00:00:00"/>
    <x v="2"/>
  </r>
  <r>
    <n v="50037902"/>
    <x v="14"/>
    <n v="1"/>
    <s v="REALIZADO"/>
    <s v="KELLY"/>
    <d v="2025-10-03T00:00:00"/>
    <x v="0"/>
  </r>
  <r>
    <n v="50037902"/>
    <x v="14"/>
    <n v="1"/>
    <s v="REALIZADO"/>
    <s v="KELLY"/>
    <d v="2025-10-03T00:00:00"/>
    <x v="2"/>
  </r>
  <r>
    <n v="50037902"/>
    <x v="14"/>
    <n v="1"/>
    <s v="REALIZADO"/>
    <s v="KELLY"/>
    <d v="2025-10-03T00:00:00"/>
    <x v="0"/>
  </r>
  <r>
    <n v="50037902"/>
    <x v="14"/>
    <n v="1"/>
    <s v="REALIZADO"/>
    <s v="KELLY"/>
    <d v="2025-10-03T00:00:00"/>
    <x v="2"/>
  </r>
  <r>
    <n v="50037902"/>
    <x v="14"/>
    <n v="1"/>
    <s v="REALIZADO"/>
    <s v="MATHEUS"/>
    <d v="2025-10-03T00:00:00"/>
    <x v="0"/>
  </r>
  <r>
    <n v="50038841"/>
    <x v="34"/>
    <n v="1"/>
    <s v="REALIZADO"/>
    <s v="BRUNO"/>
    <d v="2025-10-03T00:00:00"/>
    <x v="2"/>
  </r>
  <r>
    <n v="50038841"/>
    <x v="34"/>
    <n v="1"/>
    <s v="REALIZADO"/>
    <s v="BRUNO"/>
    <d v="2025-10-03T00:00:00"/>
    <x v="0"/>
  </r>
  <r>
    <n v="50038517"/>
    <x v="0"/>
    <n v="1"/>
    <s v="REALIZADO"/>
    <s v="KELLY"/>
    <d v="2025-10-03T00:00:00"/>
    <x v="2"/>
  </r>
  <r>
    <n v="50038517"/>
    <x v="0"/>
    <n v="1"/>
    <s v="REALIZADO"/>
    <s v="MATHEUS"/>
    <d v="2025-10-03T00:00:00"/>
    <x v="0"/>
  </r>
  <r>
    <n v="50038517"/>
    <x v="0"/>
    <n v="1"/>
    <s v="REALIZADO"/>
    <s v="MARINA"/>
    <d v="2025-10-03T00:00:00"/>
    <x v="0"/>
  </r>
  <r>
    <n v="50001995"/>
    <x v="44"/>
    <n v="1"/>
    <s v="REALIZADO"/>
    <s v="KELLY"/>
    <d v="2025-10-03T00:00:00"/>
    <x v="2"/>
  </r>
  <r>
    <n v="50001995"/>
    <x v="44"/>
    <n v="1"/>
    <s v="REALIZADO"/>
    <s v="MATHEUS"/>
    <d v="2025-10-03T00:00:00"/>
    <x v="2"/>
  </r>
  <r>
    <n v="50039065"/>
    <x v="22"/>
    <n v="1"/>
    <s v="REALIZADO"/>
    <s v="KELLY"/>
    <d v="2025-10-03T00:00:00"/>
    <x v="0"/>
  </r>
  <r>
    <n v="50039065"/>
    <x v="22"/>
    <n v="1"/>
    <s v="REALIZADO"/>
    <s v="KELLY"/>
    <d v="2025-10-03T00:00:00"/>
    <x v="2"/>
  </r>
  <r>
    <n v="50039065"/>
    <x v="22"/>
    <n v="1"/>
    <s v="REALIZADO"/>
    <s v="BRUNO"/>
    <d v="2025-10-03T00:00:00"/>
    <x v="0"/>
  </r>
  <r>
    <n v="50026357"/>
    <x v="24"/>
    <n v="1"/>
    <s v="REALIZADO"/>
    <s v="KELLY"/>
    <d v="2025-10-03T00:00:00"/>
    <x v="2"/>
  </r>
  <r>
    <n v="50026357"/>
    <x v="24"/>
    <n v="1"/>
    <s v="REALIZADO"/>
    <s v="MATHEUS"/>
    <d v="2025-10-03T00:00:00"/>
    <x v="0"/>
  </r>
  <r>
    <n v="50041195"/>
    <x v="21"/>
    <n v="1"/>
    <s v="REALIZADO"/>
    <s v="GEOVANE"/>
    <d v="2025-10-03T00:00:00"/>
    <x v="2"/>
  </r>
  <r>
    <n v="50041195"/>
    <x v="21"/>
    <n v="1"/>
    <s v="REALIZADO"/>
    <s v="MATHEUS"/>
    <d v="2025-10-03T00:00:00"/>
    <x v="0"/>
  </r>
  <r>
    <n v="50041195"/>
    <x v="21"/>
    <n v="1"/>
    <s v="REALIZADO"/>
    <s v="MARINA"/>
    <d v="2025-10-03T00:00:00"/>
    <x v="0"/>
  </r>
  <r>
    <n v="50043917"/>
    <x v="66"/>
    <n v="1"/>
    <s v="REALIZADO"/>
    <s v="KELLY"/>
    <d v="2025-10-03T00:00:00"/>
    <x v="2"/>
  </r>
  <r>
    <n v="50043917"/>
    <x v="66"/>
    <n v="1"/>
    <s v="REALIZADO"/>
    <s v="MATHEUS"/>
    <d v="2025-10-03T00:00:00"/>
    <x v="0"/>
  </r>
  <r>
    <n v="50012903"/>
    <x v="31"/>
    <n v="1"/>
    <s v="REALIZADO"/>
    <s v="KELLY"/>
    <d v="2025-10-03T00:00:00"/>
    <x v="2"/>
  </r>
  <r>
    <n v="50012903"/>
    <x v="31"/>
    <n v="1"/>
    <s v="REALIZADO"/>
    <s v="MATHEUS"/>
    <d v="2025-10-03T00:00:00"/>
    <x v="0"/>
  </r>
  <r>
    <n v="50032775"/>
    <x v="13"/>
    <n v="1"/>
    <s v="REALIZADO"/>
    <s v="KELLY"/>
    <d v="2025-10-03T00:00:00"/>
    <x v="2"/>
  </r>
  <r>
    <n v="50032775"/>
    <x v="13"/>
    <n v="1"/>
    <s v="REALIZADO"/>
    <s v="MATHEUS"/>
    <d v="2025-10-03T00:00:00"/>
    <x v="0"/>
  </r>
  <r>
    <n v="50038840"/>
    <x v="68"/>
    <n v="1"/>
    <s v="REALIZADO"/>
    <s v="KELLY"/>
    <d v="2025-10-03T00:00:00"/>
    <x v="2"/>
  </r>
  <r>
    <n v="50038840"/>
    <x v="68"/>
    <n v="1"/>
    <s v="REALIZADO"/>
    <s v="KELLY"/>
    <d v="2025-10-03T00:00:00"/>
    <x v="0"/>
  </r>
  <r>
    <n v="50041194"/>
    <x v="80"/>
    <n v="1"/>
    <s v="REALIZADO"/>
    <s v="KELLY"/>
    <d v="2025-10-03T00:00:00"/>
    <x v="0"/>
  </r>
  <r>
    <n v="50037933"/>
    <x v="43"/>
    <n v="1"/>
    <s v="REALIZADO"/>
    <s v="KELLY"/>
    <d v="2025-10-03T00:00:00"/>
    <x v="2"/>
  </r>
  <r>
    <n v="50010031"/>
    <x v="20"/>
    <n v="1"/>
    <s v="REALIZADO"/>
    <s v="BRUNO"/>
    <d v="2025-10-02T00:00:00"/>
    <x v="0"/>
  </r>
  <r>
    <n v="50036086"/>
    <x v="3"/>
    <n v="1"/>
    <s v="REALIZADO"/>
    <s v="BRUNO"/>
    <d v="2025-10-02T00:00:00"/>
    <x v="2"/>
  </r>
  <r>
    <n v="50036086"/>
    <x v="3"/>
    <n v="1"/>
    <s v="REALIZADO"/>
    <s v="BRUNO"/>
    <d v="2025-10-02T00:00:00"/>
    <x v="0"/>
  </r>
  <r>
    <n v="50003173"/>
    <x v="29"/>
    <n v="1"/>
    <s v="REALIZADO"/>
    <s v="MARCIA"/>
    <d v="2025-10-02T00:00:00"/>
    <x v="2"/>
  </r>
  <r>
    <n v="50003173"/>
    <x v="29"/>
    <n v="1"/>
    <s v="REALIZADO"/>
    <s v="BRUNO"/>
    <d v="2025-10-02T00:00:00"/>
    <x v="0"/>
  </r>
  <r>
    <n v="50030486"/>
    <x v="17"/>
    <n v="1"/>
    <s v="REALIZADO"/>
    <s v="KELLY"/>
    <d v="2025-10-02T00:00:00"/>
    <x v="2"/>
  </r>
  <r>
    <n v="50030486"/>
    <x v="17"/>
    <n v="1"/>
    <s v="REALIZADO"/>
    <s v="GEOVANE"/>
    <d v="2025-10-02T00:00:00"/>
    <x v="0"/>
  </r>
  <r>
    <n v="50043471"/>
    <x v="5"/>
    <n v="1"/>
    <s v="REALIZADO"/>
    <s v="KELLY"/>
    <d v="2025-10-02T00:00:00"/>
    <x v="2"/>
  </r>
  <r>
    <n v="50043471"/>
    <x v="5"/>
    <n v="1"/>
    <s v="REALIZADO"/>
    <s v="BRUNO"/>
    <d v="2025-10-02T00:00:00"/>
    <x v="0"/>
  </r>
  <r>
    <n v="50003297"/>
    <x v="8"/>
    <n v="1"/>
    <s v="REALIZADO"/>
    <s v="GEOVANE"/>
    <d v="2025-10-02T00:00:00"/>
    <x v="2"/>
  </r>
  <r>
    <n v="50003297"/>
    <x v="8"/>
    <n v="1"/>
    <s v="REALIZADO"/>
    <s v="GEOVANE"/>
    <d v="2025-10-02T00:00:00"/>
    <x v="2"/>
  </r>
  <r>
    <n v="50044839"/>
    <x v="79"/>
    <n v="1"/>
    <s v="REALIZADO"/>
    <s v="BRUNO"/>
    <d v="2025-10-02T00:00:00"/>
    <x v="0"/>
  </r>
  <r>
    <n v="50022878"/>
    <x v="18"/>
    <n v="1"/>
    <s v="REALIZADO"/>
    <s v="BRUNO"/>
    <d v="2025-10-02T00:00:00"/>
    <x v="2"/>
  </r>
  <r>
    <n v="50022878"/>
    <x v="18"/>
    <n v="1"/>
    <s v="REALIZADO"/>
    <s v="BRUNO"/>
    <d v="2025-10-02T00:00:00"/>
    <x v="0"/>
  </r>
  <r>
    <n v="50038956"/>
    <x v="10"/>
    <n v="1"/>
    <s v="REALIZADO"/>
    <s v="KELLY"/>
    <d v="2025-10-02T00:00:00"/>
    <x v="2"/>
  </r>
  <r>
    <n v="50038956"/>
    <x v="10"/>
    <n v="1"/>
    <s v="REALIZADO"/>
    <s v="BRUNO"/>
    <d v="2025-10-02T00:00:00"/>
    <x v="0"/>
  </r>
  <r>
    <n v="50037892"/>
    <x v="2"/>
    <n v="1"/>
    <s v="REALIZADO"/>
    <s v="MARCIA"/>
    <d v="2025-10-02T00:00:00"/>
    <x v="2"/>
  </r>
  <r>
    <n v="50037892"/>
    <x v="2"/>
    <n v="1"/>
    <s v="REALIZADO"/>
    <s v="MARCIA"/>
    <d v="2025-10-02T00:00:00"/>
    <x v="0"/>
  </r>
  <r>
    <n v="50037892"/>
    <x v="2"/>
    <n v="1"/>
    <s v="REALIZADO"/>
    <s v="MARCIA"/>
    <d v="2025-10-02T00:00:00"/>
    <x v="2"/>
  </r>
  <r>
    <n v="50037892"/>
    <x v="2"/>
    <n v="1"/>
    <s v="REALIZADO"/>
    <s v="MARCIA"/>
    <d v="2025-10-02T00:00:00"/>
    <x v="0"/>
  </r>
  <r>
    <n v="50037892"/>
    <x v="2"/>
    <n v="1"/>
    <s v="REALIZADO"/>
    <s v="BRUNO"/>
    <d v="2025-10-02T00:00:00"/>
    <x v="2"/>
  </r>
  <r>
    <n v="50037892"/>
    <x v="2"/>
    <n v="1"/>
    <s v="REALIZADO"/>
    <s v="BRUNO"/>
    <d v="2025-10-02T00:00:00"/>
    <x v="0"/>
  </r>
  <r>
    <n v="50037902"/>
    <x v="14"/>
    <n v="1"/>
    <s v="REALIZADO"/>
    <s v="GEOVANE"/>
    <d v="2025-10-02T00:00:00"/>
    <x v="2"/>
  </r>
  <r>
    <n v="50037902"/>
    <x v="14"/>
    <n v="1"/>
    <s v="REALIZADO"/>
    <s v="GEOVANE"/>
    <d v="2025-10-02T00:00:00"/>
    <x v="0"/>
  </r>
  <r>
    <n v="50038841"/>
    <x v="34"/>
    <n v="1"/>
    <s v="REALIZADO"/>
    <s v="KELLY"/>
    <d v="2025-10-02T00:00:00"/>
    <x v="2"/>
  </r>
  <r>
    <n v="50038841"/>
    <x v="34"/>
    <n v="1"/>
    <s v="REALIZADO"/>
    <s v="KELLY"/>
    <d v="2025-10-02T00:00:00"/>
    <x v="0"/>
  </r>
  <r>
    <n v="50038841"/>
    <x v="34"/>
    <n v="1"/>
    <s v="REALIZADO"/>
    <s v="KELLY"/>
    <d v="2025-10-02T00:00:00"/>
    <x v="2"/>
  </r>
  <r>
    <n v="50038841"/>
    <x v="34"/>
    <n v="1"/>
    <s v="REALIZADO"/>
    <s v="BRUNO"/>
    <d v="2025-10-02T00:00:00"/>
    <x v="0"/>
  </r>
  <r>
    <n v="50038517"/>
    <x v="0"/>
    <n v="1"/>
    <s v="REALIZADO"/>
    <s v="KELLY"/>
    <d v="2025-10-02T00:00:00"/>
    <x v="2"/>
  </r>
  <r>
    <n v="50038517"/>
    <x v="0"/>
    <n v="1"/>
    <s v="REALIZADO"/>
    <s v="BRUNO"/>
    <d v="2025-10-02T00:00:00"/>
    <x v="0"/>
  </r>
  <r>
    <n v="50038517"/>
    <x v="0"/>
    <n v="1"/>
    <s v="REALIZADO"/>
    <s v="BRUNO"/>
    <d v="2025-10-02T00:00:00"/>
    <x v="2"/>
  </r>
  <r>
    <n v="50038517"/>
    <x v="0"/>
    <n v="1"/>
    <s v="REALIZADO"/>
    <s v="BRUNO"/>
    <d v="2025-10-02T00:00:00"/>
    <x v="0"/>
  </r>
  <r>
    <n v="50038517"/>
    <x v="0"/>
    <n v="1"/>
    <s v="REALIZADO"/>
    <s v="BRUNO"/>
    <d v="2025-10-02T00:00:00"/>
    <x v="2"/>
  </r>
  <r>
    <n v="50038517"/>
    <x v="0"/>
    <n v="1"/>
    <s v="REALIZADO"/>
    <s v="BRUNO"/>
    <d v="2025-10-02T00:00:00"/>
    <x v="2"/>
  </r>
  <r>
    <n v="50038517"/>
    <x v="0"/>
    <n v="1"/>
    <s v="REALIZADO"/>
    <s v="MARINA"/>
    <d v="2025-10-02T00:00:00"/>
    <x v="0"/>
  </r>
  <r>
    <n v="50001995"/>
    <x v="44"/>
    <n v="1"/>
    <s v="REALIZADO"/>
    <s v="GEOVANE"/>
    <d v="2025-10-02T00:00:00"/>
    <x v="2"/>
  </r>
  <r>
    <n v="50001995"/>
    <x v="44"/>
    <n v="1"/>
    <s v="REALIZADO"/>
    <s v="MARCIA"/>
    <d v="2025-10-02T00:00:00"/>
    <x v="0"/>
  </r>
  <r>
    <n v="50039065"/>
    <x v="22"/>
    <n v="1"/>
    <s v="REALIZADO"/>
    <s v="KELLY"/>
    <d v="2025-10-02T00:00:00"/>
    <x v="0"/>
  </r>
  <r>
    <n v="50039065"/>
    <x v="22"/>
    <n v="1"/>
    <s v="REALIZADO"/>
    <s v="GEOVANE"/>
    <d v="2025-10-02T00:00:00"/>
    <x v="2"/>
  </r>
  <r>
    <n v="50039065"/>
    <x v="22"/>
    <n v="1"/>
    <s v="REALIZADO"/>
    <s v="GEOVANE"/>
    <d v="2025-10-02T00:00:00"/>
    <x v="0"/>
  </r>
  <r>
    <n v="50041195"/>
    <x v="21"/>
    <n v="1"/>
    <s v="REALIZADO"/>
    <s v="KELLY"/>
    <d v="2025-10-02T00:00:00"/>
    <x v="2"/>
  </r>
  <r>
    <n v="50041195"/>
    <x v="21"/>
    <n v="1"/>
    <s v="REALIZADO"/>
    <s v="GEOVANE"/>
    <d v="2025-10-02T00:00:00"/>
    <x v="0"/>
  </r>
  <r>
    <n v="50041195"/>
    <x v="21"/>
    <n v="1"/>
    <s v="REALIZADO"/>
    <s v="MARCIA"/>
    <d v="2025-10-02T00:00:00"/>
    <x v="2"/>
  </r>
  <r>
    <n v="50041195"/>
    <x v="21"/>
    <n v="1"/>
    <s v="REALIZADO"/>
    <s v="BRUNO"/>
    <d v="2025-10-02T00:00:00"/>
    <x v="2"/>
  </r>
  <r>
    <n v="50041195"/>
    <x v="21"/>
    <n v="1"/>
    <s v="REALIZADO"/>
    <s v="MARINA"/>
    <d v="2025-10-02T00:00:00"/>
    <x v="0"/>
  </r>
  <r>
    <n v="50043917"/>
    <x v="66"/>
    <n v="1"/>
    <s v="REALIZADO"/>
    <s v="BRUNO"/>
    <d v="2025-10-02T00:00:00"/>
    <x v="2"/>
  </r>
  <r>
    <n v="50043917"/>
    <x v="66"/>
    <n v="1"/>
    <s v="REALIZADO"/>
    <s v="BRUNO"/>
    <d v="2025-10-02T00:00:00"/>
    <x v="0"/>
  </r>
  <r>
    <n v="50032781"/>
    <x v="12"/>
    <n v="1"/>
    <s v="REALIZADO"/>
    <s v="BRUNO"/>
    <d v="2025-10-02T00:00:00"/>
    <x v="2"/>
  </r>
  <r>
    <n v="50032781"/>
    <x v="12"/>
    <n v="1"/>
    <s v="REALIZADO"/>
    <s v="BRUNO"/>
    <d v="2025-10-02T00:00:00"/>
    <x v="2"/>
  </r>
  <r>
    <n v="50041194"/>
    <x v="80"/>
    <n v="1"/>
    <s v="REALIZADO"/>
    <s v="BRUNO"/>
    <d v="2025-10-02T00:00:00"/>
    <x v="2"/>
  </r>
  <r>
    <n v="50037933"/>
    <x v="43"/>
    <n v="1"/>
    <s v="REALIZADO"/>
    <s v="GEOVANE"/>
    <d v="2025-10-02T00:00:00"/>
    <x v="2"/>
  </r>
  <r>
    <n v="50036298"/>
    <x v="69"/>
    <n v="1"/>
    <s v="REALIZADO"/>
    <s v="GEOVANE"/>
    <d v="2025-10-01T00:00:00"/>
    <x v="0"/>
  </r>
  <r>
    <n v="50036298"/>
    <x v="69"/>
    <n v="1"/>
    <s v="REALIZADO"/>
    <s v="MARCIA"/>
    <d v="2025-10-01T00:00:00"/>
    <x v="2"/>
  </r>
  <r>
    <n v="50036298"/>
    <x v="69"/>
    <n v="1"/>
    <s v="REALIZADO"/>
    <s v="MARCIA"/>
    <d v="2025-10-01T00:00:00"/>
    <x v="0"/>
  </r>
  <r>
    <n v="50039718"/>
    <x v="11"/>
    <n v="1"/>
    <s v="REALIZADO"/>
    <s v="MATHEUS"/>
    <d v="2025-10-01T00:00:00"/>
    <x v="2"/>
  </r>
  <r>
    <n v="50039718"/>
    <x v="11"/>
    <n v="1"/>
    <s v="REALIZADO"/>
    <s v="MATHEUS"/>
    <d v="2025-10-01T00:00:00"/>
    <x v="0"/>
  </r>
  <r>
    <n v="50030486"/>
    <x v="17"/>
    <n v="1"/>
    <s v="REALIZADO"/>
    <s v="KELLY"/>
    <d v="2025-10-01T00:00:00"/>
    <x v="2"/>
  </r>
  <r>
    <n v="50030486"/>
    <x v="17"/>
    <n v="1"/>
    <s v="REALIZADO"/>
    <s v="MATHEUS"/>
    <d v="2025-10-01T00:00:00"/>
    <x v="0"/>
  </r>
  <r>
    <n v="50043471"/>
    <x v="5"/>
    <n v="1"/>
    <s v="REALIZADO"/>
    <s v="GEOVANE"/>
    <d v="2025-10-01T00:00:00"/>
    <x v="2"/>
  </r>
  <r>
    <n v="50043471"/>
    <x v="5"/>
    <n v="1"/>
    <s v="REALIZADO"/>
    <s v="MATHEUS"/>
    <d v="2025-10-01T00:00:00"/>
    <x v="2"/>
  </r>
  <r>
    <n v="50043471"/>
    <x v="5"/>
    <n v="1"/>
    <s v="REALIZADO"/>
    <s v="FABRICIO"/>
    <d v="2025-10-01T00:00:00"/>
    <x v="0"/>
  </r>
  <r>
    <n v="50043471"/>
    <x v="5"/>
    <n v="1"/>
    <s v="REALIZADO"/>
    <s v="FABRICIO"/>
    <d v="2025-10-01T00:00:00"/>
    <x v="0"/>
  </r>
  <r>
    <n v="50038549"/>
    <x v="6"/>
    <n v="1"/>
    <s v="REALIZADO"/>
    <s v="KELLY"/>
    <d v="2025-10-01T00:00:00"/>
    <x v="0"/>
  </r>
  <r>
    <n v="50038549"/>
    <x v="6"/>
    <n v="1"/>
    <s v="REALIZADO"/>
    <s v="KELLY"/>
    <d v="2025-10-01T00:00:00"/>
    <x v="2"/>
  </r>
  <r>
    <n v="50038549"/>
    <x v="6"/>
    <n v="1"/>
    <s v="REALIZADO"/>
    <s v="KELLY"/>
    <d v="2025-10-01T00:00:00"/>
    <x v="2"/>
  </r>
  <r>
    <n v="50038549"/>
    <x v="6"/>
    <n v="1"/>
    <s v="REALIZADO"/>
    <s v="KELLY"/>
    <d v="2025-10-01T00:00:00"/>
    <x v="0"/>
  </r>
  <r>
    <n v="50038956"/>
    <x v="10"/>
    <n v="1"/>
    <s v="REALIZADO"/>
    <s v="AGATHA"/>
    <d v="2025-10-01T00:00:00"/>
    <x v="0"/>
  </r>
  <r>
    <n v="50037892"/>
    <x v="2"/>
    <n v="1"/>
    <s v="REALIZADO"/>
    <s v="AGATHA"/>
    <d v="2025-10-01T00:00:00"/>
    <x v="2"/>
  </r>
  <r>
    <n v="50037892"/>
    <x v="2"/>
    <n v="1"/>
    <s v="REALIZADO"/>
    <s v="MATHEUS"/>
    <d v="2025-10-01T00:00:00"/>
    <x v="2"/>
  </r>
  <r>
    <n v="50037892"/>
    <x v="2"/>
    <n v="1"/>
    <s v="REALIZADO"/>
    <s v="FABRICIO"/>
    <d v="2025-10-01T00:00:00"/>
    <x v="0"/>
  </r>
  <r>
    <n v="50037892"/>
    <x v="2"/>
    <n v="1"/>
    <s v="REALIZADO"/>
    <s v="FABRICIO"/>
    <d v="2025-10-01T00:00:00"/>
    <x v="0"/>
  </r>
  <r>
    <n v="50037902"/>
    <x v="14"/>
    <n v="1"/>
    <s v="REALIZADO"/>
    <s v="KELLY"/>
    <d v="2025-10-01T00:00:00"/>
    <x v="2"/>
  </r>
  <r>
    <n v="50037902"/>
    <x v="14"/>
    <n v="1"/>
    <s v="REALIZADO"/>
    <s v="MATHEUS"/>
    <d v="2025-10-01T00:00:00"/>
    <x v="0"/>
  </r>
  <r>
    <n v="50038841"/>
    <x v="34"/>
    <n v="1"/>
    <s v="REALIZADO"/>
    <s v="KELLY"/>
    <d v="2025-10-01T00:00:00"/>
    <x v="2"/>
  </r>
  <r>
    <n v="50038841"/>
    <x v="34"/>
    <n v="1"/>
    <s v="REALIZADO"/>
    <s v="MATHEUS"/>
    <d v="2025-10-01T00:00:00"/>
    <x v="0"/>
  </r>
  <r>
    <n v="50038517"/>
    <x v="0"/>
    <n v="1"/>
    <s v="REALIZADO"/>
    <s v="GEOVANE"/>
    <d v="2025-10-01T00:00:00"/>
    <x v="2"/>
  </r>
  <r>
    <n v="50038517"/>
    <x v="0"/>
    <n v="1"/>
    <s v="REALIZADO"/>
    <s v="AGATHA"/>
    <d v="2025-10-01T00:00:00"/>
    <x v="0"/>
  </r>
  <r>
    <n v="50038517"/>
    <x v="0"/>
    <n v="1"/>
    <s v="REALIZADO"/>
    <s v="GEOVANE"/>
    <d v="2025-10-01T00:00:00"/>
    <x v="2"/>
  </r>
  <r>
    <n v="50038517"/>
    <x v="0"/>
    <n v="1"/>
    <s v="REALIZADO"/>
    <s v="GEOVANE"/>
    <d v="2025-10-01T00:00:00"/>
    <x v="0"/>
  </r>
  <r>
    <n v="50038517"/>
    <x v="0"/>
    <n v="1"/>
    <s v="REALIZADO"/>
    <s v="AGATHA"/>
    <d v="2025-10-01T00:00:00"/>
    <x v="2"/>
  </r>
  <r>
    <n v="50038517"/>
    <x v="0"/>
    <n v="1"/>
    <s v="REALIZADO"/>
    <s v="MATHEUS"/>
    <d v="2025-10-01T00:00:00"/>
    <x v="0"/>
  </r>
  <r>
    <n v="50037926"/>
    <x v="52"/>
    <n v="1"/>
    <s v="REALIZADO"/>
    <s v="KELLY"/>
    <d v="2025-10-01T00:00:00"/>
    <x v="2"/>
  </r>
  <r>
    <n v="50037926"/>
    <x v="52"/>
    <n v="1"/>
    <s v="REALIZADO"/>
    <s v="KELLY"/>
    <d v="2025-10-01T00:00:00"/>
    <x v="0"/>
  </r>
  <r>
    <n v="50036297"/>
    <x v="100"/>
    <n v="1"/>
    <s v="REALIZADO"/>
    <s v="AGATHA"/>
    <d v="2025-10-01T00:00:00"/>
    <x v="2"/>
  </r>
  <r>
    <n v="50036297"/>
    <x v="100"/>
    <n v="1"/>
    <s v="REALIZADO"/>
    <s v="MATHEUS"/>
    <d v="2025-10-01T00:00:00"/>
    <x v="2"/>
  </r>
  <r>
    <n v="50038626"/>
    <x v="72"/>
    <n v="1"/>
    <s v="REALIZADO"/>
    <s v="MATHEUS"/>
    <d v="2025-10-01T00:00:00"/>
    <x v="0"/>
  </r>
  <r>
    <n v="50041195"/>
    <x v="21"/>
    <n v="1"/>
    <s v="REALIZADO"/>
    <s v="KELLY"/>
    <d v="2025-10-01T00:00:00"/>
    <x v="2"/>
  </r>
  <r>
    <n v="50041195"/>
    <x v="21"/>
    <n v="1"/>
    <s v="REALIZADO"/>
    <s v="MATHEUS"/>
    <d v="2025-10-01T00:00:00"/>
    <x v="2"/>
  </r>
  <r>
    <n v="50043917"/>
    <x v="66"/>
    <n v="1"/>
    <s v="REALIZADO"/>
    <s v="MATHEUS"/>
    <d v="2025-10-01T00:00:00"/>
    <x v="0"/>
  </r>
  <r>
    <n v="50038840"/>
    <x v="68"/>
    <n v="1"/>
    <s v="REALIZADO"/>
    <s v="AGATHA"/>
    <d v="2025-10-01T00:00:00"/>
    <x v="2"/>
  </r>
  <r>
    <n v="50038840"/>
    <x v="68"/>
    <n v="1"/>
    <s v="REALIZADO"/>
    <s v="MARCIA"/>
    <d v="2025-10-01T00:00:00"/>
    <x v="0"/>
  </r>
  <r>
    <n v="50037952"/>
    <x v="56"/>
    <n v="1"/>
    <s v="REALIZADO"/>
    <s v="MATHEUS"/>
    <d v="2025-10-01T00:00:00"/>
    <x v="2"/>
  </r>
  <r>
    <n v="50037952"/>
    <x v="56"/>
    <n v="1"/>
    <s v="REALIZADO"/>
    <s v="MATHEUS"/>
    <d v="2025-10-01T00:00:00"/>
    <x v="0"/>
  </r>
  <r>
    <n v="50010031"/>
    <x v="20"/>
    <n v="1"/>
    <s v="REALIZADO"/>
    <s v="KELLY"/>
    <d v="2025-09-30T00:00:00"/>
    <x v="2"/>
  </r>
  <r>
    <n v="50010031"/>
    <x v="20"/>
    <n v="1"/>
    <s v="REALIZADO"/>
    <s v="KELLY"/>
    <d v="2025-09-30T00:00:00"/>
    <x v="0"/>
  </r>
  <r>
    <n v="50038991"/>
    <x v="53"/>
    <n v="1"/>
    <s v="REALIZADO"/>
    <s v="GEOVANE"/>
    <d v="2025-09-30T00:00:00"/>
    <x v="2"/>
  </r>
  <r>
    <n v="50038991"/>
    <x v="53"/>
    <n v="1"/>
    <s v="REALIZADO"/>
    <s v="MATHEUS"/>
    <d v="2025-09-30T00:00:00"/>
    <x v="0"/>
  </r>
  <r>
    <n v="50036279"/>
    <x v="28"/>
    <n v="1"/>
    <s v="REALIZADO"/>
    <s v="MARCIA"/>
    <d v="2025-09-30T00:00:00"/>
    <x v="2"/>
  </r>
  <r>
    <n v="50036279"/>
    <x v="28"/>
    <n v="1"/>
    <s v="REALIZADO"/>
    <s v="BRUNA"/>
    <d v="2025-09-30T00:00:00"/>
    <x v="0"/>
  </r>
  <r>
    <n v="50043471"/>
    <x v="5"/>
    <n v="1"/>
    <s v="REALIZADO"/>
    <s v="MARCIA"/>
    <d v="2025-09-30T00:00:00"/>
    <x v="2"/>
  </r>
  <r>
    <n v="50043471"/>
    <x v="5"/>
    <n v="1"/>
    <s v="REALIZADO"/>
    <s v="MATHEUS"/>
    <d v="2025-09-30T00:00:00"/>
    <x v="2"/>
  </r>
  <r>
    <n v="50043320"/>
    <x v="35"/>
    <n v="1"/>
    <s v="REALIZADO"/>
    <s v="MATHEUS"/>
    <d v="2025-09-30T00:00:00"/>
    <x v="2"/>
  </r>
  <r>
    <n v="50041195"/>
    <x v="21"/>
    <n v="1"/>
    <s v="REALIZADO"/>
    <s v="MATHEUS"/>
    <d v="2025-09-30T00:00:00"/>
    <x v="2"/>
  </r>
  <r>
    <n v="50041195"/>
    <x v="21"/>
    <n v="1"/>
    <s v="REALIZADO"/>
    <s v="MATHEUS"/>
    <d v="2025-09-30T00:00:00"/>
    <x v="2"/>
  </r>
  <r>
    <n v="50043917"/>
    <x v="66"/>
    <n v="1"/>
    <s v="REALIZADO"/>
    <s v="GEOVANE"/>
    <d v="2025-09-30T00:00:00"/>
    <x v="0"/>
  </r>
  <r>
    <n v="50020622"/>
    <x v="42"/>
    <n v="1"/>
    <s v="REALIZADO"/>
    <s v="MARCIA"/>
    <d v="2025-09-30T00:00:00"/>
    <x v="2"/>
  </r>
  <r>
    <n v="50020622"/>
    <x v="42"/>
    <n v="1"/>
    <s v="REALIZADO"/>
    <s v="MATHEUS"/>
    <d v="2025-09-30T00:00:00"/>
    <x v="0"/>
  </r>
  <r>
    <n v="50012902"/>
    <x v="30"/>
    <n v="1"/>
    <s v="REALIZADO"/>
    <s v="GEOVANE"/>
    <d v="2025-09-30T00:00:00"/>
    <x v="2"/>
  </r>
  <r>
    <n v="50012902"/>
    <x v="30"/>
    <n v="1"/>
    <s v="REALIZADO"/>
    <s v="AGATHA"/>
    <d v="2025-09-30T00:00:00"/>
    <x v="0"/>
  </r>
  <r>
    <n v="50010031"/>
    <x v="20"/>
    <n v="1"/>
    <s v="REALIZADO"/>
    <s v="BRUNO"/>
    <d v="2025-09-29T00:00:00"/>
    <x v="2"/>
  </r>
  <r>
    <n v="50010031"/>
    <x v="20"/>
    <n v="1"/>
    <s v="REALIZADO"/>
    <s v="BRUNO"/>
    <d v="2025-09-29T00:00:00"/>
    <x v="0"/>
  </r>
  <r>
    <n v="50036086"/>
    <x v="3"/>
    <n v="1"/>
    <s v="REALIZADO"/>
    <s v="BRUNO"/>
    <d v="2025-09-29T00:00:00"/>
    <x v="2"/>
  </r>
  <r>
    <n v="50036086"/>
    <x v="3"/>
    <n v="1"/>
    <s v="REALIZADO"/>
    <s v="BRUNO"/>
    <d v="2025-09-29T00:00:00"/>
    <x v="0"/>
  </r>
  <r>
    <n v="50037905"/>
    <x v="49"/>
    <n v="1"/>
    <s v="REALIZADO"/>
    <s v="BRUNO"/>
    <d v="2025-09-29T00:00:00"/>
    <x v="2"/>
  </r>
  <r>
    <n v="50037905"/>
    <x v="49"/>
    <n v="1"/>
    <s v="REALIZADO"/>
    <s v="BRUNO"/>
    <d v="2025-09-29T00:00:00"/>
    <x v="0"/>
  </r>
  <r>
    <n v="50003297"/>
    <x v="8"/>
    <n v="1"/>
    <s v="REALIZADO"/>
    <s v="BRUNO"/>
    <d v="2025-09-29T00:00:00"/>
    <x v="2"/>
  </r>
  <r>
    <n v="50003297"/>
    <x v="8"/>
    <n v="1"/>
    <s v="REALIZADO"/>
    <s v="BRUNO"/>
    <d v="2025-09-29T00:00:00"/>
    <x v="0"/>
  </r>
  <r>
    <n v="50029865"/>
    <x v="9"/>
    <n v="1"/>
    <s v="REALIZADO"/>
    <s v="AGATHA"/>
    <d v="2025-09-29T00:00:00"/>
    <x v="2"/>
  </r>
  <r>
    <n v="50029865"/>
    <x v="9"/>
    <n v="1"/>
    <s v="REALIZADO"/>
    <s v="AGATHA"/>
    <d v="2025-09-29T00:00:00"/>
    <x v="0"/>
  </r>
  <r>
    <n v="50043320"/>
    <x v="35"/>
    <n v="1"/>
    <s v="REALIZADO"/>
    <s v="BRUNO"/>
    <d v="2025-09-29T00:00:00"/>
    <x v="2"/>
  </r>
  <r>
    <n v="50043320"/>
    <x v="35"/>
    <n v="1"/>
    <s v="REALIZADO"/>
    <s v="BRUNO"/>
    <d v="2025-09-29T00:00:00"/>
    <x v="0"/>
  </r>
  <r>
    <n v="50022878"/>
    <x v="18"/>
    <n v="1"/>
    <s v="REALIZADO"/>
    <s v="MARCIA"/>
    <d v="2025-09-29T00:00:00"/>
    <x v="2"/>
  </r>
  <r>
    <n v="50022878"/>
    <x v="18"/>
    <n v="1"/>
    <s v="REALIZADO"/>
    <s v="BRUNO"/>
    <d v="2025-09-29T00:00:00"/>
    <x v="0"/>
  </r>
  <r>
    <n v="50038956"/>
    <x v="10"/>
    <n v="1"/>
    <s v="REALIZADO"/>
    <s v="AGATHA"/>
    <d v="2025-09-29T00:00:00"/>
    <x v="2"/>
  </r>
  <r>
    <n v="50038956"/>
    <x v="10"/>
    <n v="1"/>
    <s v="REALIZADO"/>
    <s v="AGATHA"/>
    <d v="2025-09-29T00:00:00"/>
    <x v="2"/>
  </r>
  <r>
    <n v="50038956"/>
    <x v="10"/>
    <n v="1"/>
    <s v="REALIZADO"/>
    <s v="BRUNO"/>
    <d v="2025-09-29T00:00:00"/>
    <x v="0"/>
  </r>
  <r>
    <n v="50038956"/>
    <x v="10"/>
    <n v="1"/>
    <s v="REALIZADO"/>
    <s v="BRUNO"/>
    <d v="2025-09-29T00:00:00"/>
    <x v="2"/>
  </r>
  <r>
    <n v="50038956"/>
    <x v="10"/>
    <n v="1"/>
    <s v="REALIZADO"/>
    <s v="BRUNO"/>
    <d v="2025-09-29T00:00:00"/>
    <x v="0"/>
  </r>
  <r>
    <n v="50038841"/>
    <x v="34"/>
    <n v="1"/>
    <s v="REALIZADO"/>
    <s v="AGATHA"/>
    <d v="2025-09-29T00:00:00"/>
    <x v="2"/>
  </r>
  <r>
    <n v="50038841"/>
    <x v="34"/>
    <n v="1"/>
    <s v="REALIZADO"/>
    <s v="MARCIA"/>
    <d v="2025-09-29T00:00:00"/>
    <x v="0"/>
  </r>
  <r>
    <n v="50038841"/>
    <x v="34"/>
    <n v="1"/>
    <s v="REALIZADO"/>
    <s v="BRUNO"/>
    <d v="2025-09-29T00:00:00"/>
    <x v="2"/>
  </r>
  <r>
    <n v="50038841"/>
    <x v="34"/>
    <n v="1"/>
    <s v="REALIZADO"/>
    <s v="BRUNO"/>
    <d v="2025-09-29T00:00:00"/>
    <x v="0"/>
  </r>
  <r>
    <n v="50038841"/>
    <x v="34"/>
    <n v="1"/>
    <s v="REALIZADO"/>
    <s v="BRUNO"/>
    <d v="2025-09-29T00:00:00"/>
    <x v="2"/>
  </r>
  <r>
    <n v="50038841"/>
    <x v="34"/>
    <n v="1"/>
    <s v="REALIZADO"/>
    <s v="BRUNO"/>
    <d v="2025-09-29T00:00:00"/>
    <x v="0"/>
  </r>
  <r>
    <n v="50038517"/>
    <x v="0"/>
    <n v="1"/>
    <s v="REALIZADO"/>
    <s v="AGATHA"/>
    <d v="2025-09-29T00:00:00"/>
    <x v="2"/>
  </r>
  <r>
    <n v="50038517"/>
    <x v="0"/>
    <n v="1"/>
    <s v="REALIZADO"/>
    <s v="BRUNO"/>
    <d v="2025-09-29T00:00:00"/>
    <x v="0"/>
  </r>
  <r>
    <n v="50039065"/>
    <x v="22"/>
    <n v="1"/>
    <s v="REALIZADO"/>
    <s v="BRUNO"/>
    <d v="2025-09-29T00:00:00"/>
    <x v="2"/>
  </r>
  <r>
    <n v="50039065"/>
    <x v="22"/>
    <n v="1"/>
    <s v="REALIZADO"/>
    <s v="BRUNO"/>
    <d v="2025-09-29T00:00:00"/>
    <x v="0"/>
  </r>
  <r>
    <n v="50039065"/>
    <x v="22"/>
    <n v="1"/>
    <s v="REALIZADO"/>
    <s v="BRUNO"/>
    <d v="2025-09-29T00:00:00"/>
    <x v="2"/>
  </r>
  <r>
    <n v="50039065"/>
    <x v="22"/>
    <n v="1"/>
    <s v="REALIZADO"/>
    <s v="BRUNO"/>
    <d v="2025-09-29T00:00:00"/>
    <x v="0"/>
  </r>
  <r>
    <n v="50041195"/>
    <x v="21"/>
    <n v="1"/>
    <s v="REALIZADO"/>
    <s v="AGATHA"/>
    <d v="2025-09-29T00:00:00"/>
    <x v="2"/>
  </r>
  <r>
    <n v="50041195"/>
    <x v="21"/>
    <n v="1"/>
    <s v="REALIZADO"/>
    <s v="BRUNO"/>
    <d v="2025-09-29T00:00:00"/>
    <x v="0"/>
  </r>
  <r>
    <n v="50043917"/>
    <x v="66"/>
    <n v="1"/>
    <s v="REALIZADO"/>
    <s v="AGATHA"/>
    <d v="2025-09-29T00:00:00"/>
    <x v="2"/>
  </r>
  <r>
    <n v="50043917"/>
    <x v="66"/>
    <n v="1"/>
    <s v="REALIZADO"/>
    <s v="AGATHA"/>
    <d v="2025-09-29T00:00:00"/>
    <x v="0"/>
  </r>
  <r>
    <n v="50043917"/>
    <x v="66"/>
    <n v="1"/>
    <s v="REALIZADO"/>
    <s v="BRUNO"/>
    <d v="2025-09-29T00:00:00"/>
    <x v="2"/>
  </r>
  <r>
    <n v="50043917"/>
    <x v="66"/>
    <n v="1"/>
    <s v="REALIZADO"/>
    <s v="BRUNO"/>
    <d v="2025-09-29T00:00:00"/>
    <x v="0"/>
  </r>
  <r>
    <n v="50020622"/>
    <x v="42"/>
    <n v="1"/>
    <s v="REALIZADO"/>
    <s v="BRUNO"/>
    <d v="2025-09-29T00:00:00"/>
    <x v="0"/>
  </r>
  <r>
    <n v="50020622"/>
    <x v="42"/>
    <n v="1"/>
    <s v="REALIZADO"/>
    <s v="BRUNO"/>
    <d v="2025-09-29T00:00:00"/>
    <x v="2"/>
  </r>
  <r>
    <n v="50020622"/>
    <x v="42"/>
    <n v="1"/>
    <s v="REALIZADO"/>
    <s v="BRUNO"/>
    <d v="2025-09-29T00:00:00"/>
    <x v="0"/>
  </r>
  <r>
    <n v="50012903"/>
    <x v="31"/>
    <n v="1"/>
    <s v="REALIZADO"/>
    <s v="BRUNO"/>
    <d v="2025-09-29T00:00:00"/>
    <x v="2"/>
  </r>
  <r>
    <n v="50012903"/>
    <x v="31"/>
    <n v="1"/>
    <s v="REALIZADO"/>
    <s v="BRUNO"/>
    <d v="2025-09-29T00:00:00"/>
    <x v="0"/>
  </r>
  <r>
    <n v="50012902"/>
    <x v="30"/>
    <n v="1"/>
    <s v="REALIZADO"/>
    <s v="BRUNO"/>
    <d v="2025-09-29T00:00:00"/>
    <x v="2"/>
  </r>
  <r>
    <n v="50012902"/>
    <x v="30"/>
    <n v="1"/>
    <s v="REALIZADO"/>
    <s v="BRUNO"/>
    <d v="2025-09-29T00:00:00"/>
    <x v="0"/>
  </r>
  <r>
    <n v="50038845"/>
    <x v="108"/>
    <n v="1"/>
    <s v="REALIZADO"/>
    <s v="AGATHA"/>
    <d v="2025-09-29T00:00:00"/>
    <x v="2"/>
  </r>
  <r>
    <n v="50038845"/>
    <x v="108"/>
    <n v="1"/>
    <s v="REALIZADO"/>
    <s v="AGATHA"/>
    <d v="2025-09-29T00:00:00"/>
    <x v="0"/>
  </r>
  <r>
    <n v="50038840"/>
    <x v="68"/>
    <n v="1"/>
    <s v="REALIZADO"/>
    <s v="BRUNO"/>
    <d v="2025-09-29T00:00:00"/>
    <x v="2"/>
  </r>
  <r>
    <n v="50038840"/>
    <x v="68"/>
    <n v="1"/>
    <s v="REALIZADO"/>
    <s v="BRUNO"/>
    <d v="2025-09-29T00:00:00"/>
    <x v="0"/>
  </r>
  <r>
    <n v="50032781"/>
    <x v="12"/>
    <n v="1"/>
    <s v="REALIZADO"/>
    <s v="BRUNO"/>
    <d v="2025-09-29T00:00:00"/>
    <x v="2"/>
  </r>
  <r>
    <n v="50032781"/>
    <x v="12"/>
    <n v="1"/>
    <s v="REALIZADO"/>
    <s v="BRUNO"/>
    <d v="2025-09-29T00:00:00"/>
    <x v="0"/>
  </r>
  <r>
    <n v="50037933"/>
    <x v="43"/>
    <n v="1"/>
    <s v="REALIZADO"/>
    <s v="MARCIA"/>
    <d v="2025-09-29T00:00:00"/>
    <x v="2"/>
  </r>
  <r>
    <n v="50037933"/>
    <x v="43"/>
    <n v="1"/>
    <s v="REALIZADO"/>
    <s v="MARCIA"/>
    <d v="2025-09-29T00:00:00"/>
    <x v="0"/>
  </r>
  <r>
    <n v="50029865"/>
    <x v="9"/>
    <n v="1"/>
    <s v="REALIZADO"/>
    <s v="AGATHA"/>
    <d v="2025-09-26T00:00:00"/>
    <x v="2"/>
  </r>
  <r>
    <n v="50029865"/>
    <x v="9"/>
    <n v="1"/>
    <s v="REALIZADO"/>
    <s v="BRUNO"/>
    <d v="2025-09-26T00:00:00"/>
    <x v="0"/>
  </r>
  <r>
    <n v="50038549"/>
    <x v="6"/>
    <n v="1"/>
    <s v="REALIZADO"/>
    <s v="KELLY"/>
    <d v="2025-09-26T00:00:00"/>
    <x v="2"/>
  </r>
  <r>
    <n v="50038549"/>
    <x v="6"/>
    <n v="1"/>
    <s v="REALIZADO"/>
    <s v="KELLY"/>
    <d v="2025-09-26T00:00:00"/>
    <x v="0"/>
  </r>
  <r>
    <n v="50038549"/>
    <x v="6"/>
    <n v="1"/>
    <s v="REALIZADO"/>
    <s v="AGATHA"/>
    <d v="2025-09-26T00:00:00"/>
    <x v="2"/>
  </r>
  <r>
    <n v="50038549"/>
    <x v="6"/>
    <n v="1"/>
    <s v="REALIZADO"/>
    <s v="BRUNO"/>
    <d v="2025-09-26T00:00:00"/>
    <x v="0"/>
  </r>
  <r>
    <n v="50038549"/>
    <x v="6"/>
    <n v="1"/>
    <s v="REALIZADO"/>
    <s v="BRUNO"/>
    <d v="2025-09-26T00:00:00"/>
    <x v="2"/>
  </r>
  <r>
    <n v="50038549"/>
    <x v="6"/>
    <n v="1"/>
    <s v="REALIZADO"/>
    <s v="BRUNO"/>
    <d v="2025-09-26T00:00:00"/>
    <x v="0"/>
  </r>
  <r>
    <n v="50038956"/>
    <x v="10"/>
    <n v="1"/>
    <s v="REALIZADO"/>
    <s v="KELLY"/>
    <d v="2025-09-26T00:00:00"/>
    <x v="2"/>
  </r>
  <r>
    <n v="50038956"/>
    <x v="10"/>
    <n v="1"/>
    <s v="REALIZADO"/>
    <s v="GEOVANE"/>
    <d v="2025-09-26T00:00:00"/>
    <x v="0"/>
  </r>
  <r>
    <n v="50037892"/>
    <x v="2"/>
    <n v="1"/>
    <s v="REALIZADO"/>
    <s v="KELLY"/>
    <d v="2025-09-26T00:00:00"/>
    <x v="2"/>
  </r>
  <r>
    <n v="50037892"/>
    <x v="2"/>
    <n v="1"/>
    <s v="REALIZADO"/>
    <s v="BRUNO"/>
    <d v="2025-09-26T00:00:00"/>
    <x v="0"/>
  </r>
  <r>
    <n v="50037902"/>
    <x v="14"/>
    <n v="1"/>
    <s v="REALIZADO"/>
    <s v="AGATHA"/>
    <d v="2025-09-26T00:00:00"/>
    <x v="2"/>
  </r>
  <r>
    <n v="50037902"/>
    <x v="14"/>
    <n v="1"/>
    <s v="REALIZADO"/>
    <s v="BRUNO"/>
    <d v="2025-09-26T00:00:00"/>
    <x v="0"/>
  </r>
  <r>
    <n v="50038841"/>
    <x v="34"/>
    <n v="1"/>
    <s v="REALIZADO"/>
    <s v="BRUNO"/>
    <d v="2025-09-26T00:00:00"/>
    <x v="2"/>
  </r>
  <r>
    <n v="50038841"/>
    <x v="34"/>
    <n v="1"/>
    <s v="REALIZADO"/>
    <s v="BRUNO"/>
    <d v="2025-09-26T00:00:00"/>
    <x v="0"/>
  </r>
  <r>
    <n v="50041653"/>
    <x v="50"/>
    <n v="1"/>
    <s v="REALIZADO"/>
    <s v="AGATHA"/>
    <d v="2025-09-26T00:00:00"/>
    <x v="2"/>
  </r>
  <r>
    <n v="50041653"/>
    <x v="50"/>
    <n v="1"/>
    <s v="REALIZADO"/>
    <s v="BRUNO"/>
    <d v="2025-09-26T00:00:00"/>
    <x v="0"/>
  </r>
  <r>
    <n v="50041195"/>
    <x v="21"/>
    <n v="1"/>
    <s v="REALIZADO"/>
    <s v="KELLY"/>
    <d v="2025-09-26T00:00:00"/>
    <x v="2"/>
  </r>
  <r>
    <n v="50041195"/>
    <x v="21"/>
    <n v="1"/>
    <s v="REALIZADO"/>
    <s v="KELLY"/>
    <d v="2025-09-26T00:00:00"/>
    <x v="0"/>
  </r>
  <r>
    <n v="50041195"/>
    <x v="21"/>
    <n v="1"/>
    <s v="REALIZADO"/>
    <s v="GEOVANE"/>
    <d v="2025-09-26T00:00:00"/>
    <x v="2"/>
  </r>
  <r>
    <n v="50041195"/>
    <x v="21"/>
    <n v="1"/>
    <s v="REALIZADO"/>
    <s v="GEOVANE"/>
    <d v="2025-09-26T00:00:00"/>
    <x v="0"/>
  </r>
  <r>
    <n v="50041195"/>
    <x v="21"/>
    <n v="1"/>
    <s v="REALIZADO"/>
    <s v="AGATHA"/>
    <d v="2025-09-26T00:00:00"/>
    <x v="2"/>
  </r>
  <r>
    <n v="50041195"/>
    <x v="21"/>
    <n v="1"/>
    <s v="REALIZADO"/>
    <s v="BRUNO"/>
    <d v="2025-09-26T00:00:00"/>
    <x v="0"/>
  </r>
  <r>
    <n v="50041195"/>
    <x v="21"/>
    <n v="1"/>
    <s v="REALIZADO"/>
    <s v="BRUNO"/>
    <d v="2025-09-26T00:00:00"/>
    <x v="2"/>
  </r>
  <r>
    <n v="50041195"/>
    <x v="21"/>
    <n v="1"/>
    <s v="REALIZADO"/>
    <s v="BRUNO"/>
    <d v="2025-09-26T00:00:00"/>
    <x v="0"/>
  </r>
  <r>
    <n v="50043917"/>
    <x v="66"/>
    <n v="1"/>
    <s v="REALIZADO"/>
    <s v="KELLY"/>
    <d v="2025-09-26T00:00:00"/>
    <x v="2"/>
  </r>
  <r>
    <n v="50043917"/>
    <x v="66"/>
    <n v="1"/>
    <s v="REALIZADO"/>
    <s v="KELLY"/>
    <d v="2025-09-26T00:00:00"/>
    <x v="2"/>
  </r>
  <r>
    <n v="50043917"/>
    <x v="66"/>
    <n v="1"/>
    <s v="REALIZADO"/>
    <s v="BRUNO"/>
    <d v="2025-09-26T00:00:00"/>
    <x v="2"/>
  </r>
  <r>
    <n v="50037924"/>
    <x v="90"/>
    <n v="1"/>
    <s v="REALIZADO"/>
    <s v="BRUNO"/>
    <d v="2025-09-26T00:00:00"/>
    <x v="0"/>
  </r>
  <r>
    <n v="50036086"/>
    <x v="3"/>
    <n v="1"/>
    <s v="REALIZADO"/>
    <s v="BRUNO"/>
    <d v="2025-09-25T00:00:00"/>
    <x v="2"/>
  </r>
  <r>
    <n v="50036086"/>
    <x v="3"/>
    <n v="1"/>
    <s v="REALIZADO"/>
    <s v="FABIANO"/>
    <d v="2025-09-25T00:00:00"/>
    <x v="0"/>
  </r>
  <r>
    <n v="50036086"/>
    <x v="3"/>
    <n v="1"/>
    <s v="REALIZADO"/>
    <s v="FABIANO"/>
    <d v="2025-09-25T00:00:00"/>
    <x v="0"/>
  </r>
  <r>
    <n v="50037905"/>
    <x v="49"/>
    <n v="1"/>
    <s v="REALIZADO"/>
    <s v="MARCIA"/>
    <d v="2025-09-25T00:00:00"/>
    <x v="2"/>
  </r>
  <r>
    <n v="50037905"/>
    <x v="49"/>
    <n v="1"/>
    <s v="REALIZADO"/>
    <s v="BRUNO"/>
    <d v="2025-09-25T00:00:00"/>
    <x v="0"/>
  </r>
  <r>
    <n v="50039236"/>
    <x v="84"/>
    <n v="1"/>
    <s v="REALIZADO"/>
    <s v="KELLY"/>
    <d v="2025-09-25T00:00:00"/>
    <x v="2"/>
  </r>
  <r>
    <n v="50039236"/>
    <x v="84"/>
    <n v="1"/>
    <s v="REALIZADO"/>
    <s v="GEOVANE"/>
    <d v="2025-09-25T00:00:00"/>
    <x v="2"/>
  </r>
  <r>
    <n v="50038549"/>
    <x v="6"/>
    <n v="1"/>
    <s v="REALIZADO"/>
    <s v="MARCIA"/>
    <d v="2025-09-25T00:00:00"/>
    <x v="0"/>
  </r>
  <r>
    <n v="50038956"/>
    <x v="10"/>
    <n v="1"/>
    <s v="REALIZADO"/>
    <s v="KELLY"/>
    <d v="2025-09-25T00:00:00"/>
    <x v="2"/>
  </r>
  <r>
    <n v="50038956"/>
    <x v="10"/>
    <n v="1"/>
    <s v="REALIZADO"/>
    <s v="KELLY"/>
    <d v="2025-09-25T00:00:00"/>
    <x v="0"/>
  </r>
  <r>
    <n v="50037892"/>
    <x v="2"/>
    <n v="1"/>
    <s v="REALIZADO"/>
    <s v="KELLY"/>
    <d v="2025-09-25T00:00:00"/>
    <x v="2"/>
  </r>
  <r>
    <n v="50037892"/>
    <x v="2"/>
    <n v="1"/>
    <s v="REALIZADO"/>
    <s v="BRUNO"/>
    <d v="2025-09-25T00:00:00"/>
    <x v="0"/>
  </r>
  <r>
    <n v="50038841"/>
    <x v="34"/>
    <n v="1"/>
    <s v="REALIZADO"/>
    <s v="GEOVANE"/>
    <d v="2025-09-25T00:00:00"/>
    <x v="2"/>
  </r>
  <r>
    <n v="50038841"/>
    <x v="34"/>
    <n v="1"/>
    <s v="REALIZADO"/>
    <s v="MARCIA"/>
    <d v="2025-09-25T00:00:00"/>
    <x v="0"/>
  </r>
  <r>
    <n v="50038841"/>
    <x v="34"/>
    <n v="1"/>
    <s v="REALIZADO"/>
    <s v="MARCIA"/>
    <d v="2025-09-25T00:00:00"/>
    <x v="2"/>
  </r>
  <r>
    <n v="50038841"/>
    <x v="34"/>
    <n v="1"/>
    <s v="REALIZADO"/>
    <s v="BRUNO"/>
    <d v="2025-09-25T00:00:00"/>
    <x v="0"/>
  </r>
  <r>
    <n v="50038517"/>
    <x v="0"/>
    <n v="1"/>
    <s v="REALIZADO"/>
    <s v="KELLY"/>
    <d v="2025-09-25T00:00:00"/>
    <x v="2"/>
  </r>
  <r>
    <n v="50038517"/>
    <x v="0"/>
    <n v="1"/>
    <s v="REALIZADO"/>
    <s v="BRUNO"/>
    <d v="2025-09-25T00:00:00"/>
    <x v="0"/>
  </r>
  <r>
    <n v="50039065"/>
    <x v="22"/>
    <n v="1"/>
    <s v="REALIZADO"/>
    <s v="KELLY"/>
    <d v="2025-09-25T00:00:00"/>
    <x v="2"/>
  </r>
  <r>
    <n v="50039065"/>
    <x v="22"/>
    <n v="1"/>
    <s v="REALIZADO"/>
    <s v="BRUNO"/>
    <d v="2025-09-25T00:00:00"/>
    <x v="0"/>
  </r>
  <r>
    <n v="50026357"/>
    <x v="24"/>
    <n v="1"/>
    <s v="REALIZADO"/>
    <s v="KELLY"/>
    <d v="2025-09-25T00:00:00"/>
    <x v="2"/>
  </r>
  <r>
    <n v="50026357"/>
    <x v="24"/>
    <n v="1"/>
    <s v="REALIZADO"/>
    <s v="BRUNO"/>
    <d v="2025-09-25T00:00:00"/>
    <x v="0"/>
  </r>
  <r>
    <n v="50038662"/>
    <x v="59"/>
    <n v="1"/>
    <s v="REALIZADO"/>
    <s v="GEOVANE"/>
    <d v="2025-09-25T00:00:00"/>
    <x v="2"/>
  </r>
  <r>
    <n v="50038662"/>
    <x v="59"/>
    <n v="1"/>
    <s v="REALIZADO"/>
    <s v="BRUNO"/>
    <d v="2025-09-25T00:00:00"/>
    <x v="0"/>
  </r>
  <r>
    <n v="50041195"/>
    <x v="21"/>
    <n v="1"/>
    <s v="REALIZADO"/>
    <s v="BRUNO"/>
    <d v="2025-09-25T00:00:00"/>
    <x v="2"/>
  </r>
  <r>
    <n v="50041195"/>
    <x v="21"/>
    <n v="1"/>
    <s v="REALIZADO"/>
    <s v="BRUNO"/>
    <d v="2025-09-25T00:00:00"/>
    <x v="0"/>
  </r>
  <r>
    <n v="50043917"/>
    <x v="66"/>
    <n v="1"/>
    <s v="REALIZADO"/>
    <s v="KELLY"/>
    <d v="2025-09-25T00:00:00"/>
    <x v="2"/>
  </r>
  <r>
    <n v="50043917"/>
    <x v="66"/>
    <n v="1"/>
    <s v="REALIZADO"/>
    <s v="KELLY"/>
    <d v="2025-09-25T00:00:00"/>
    <x v="0"/>
  </r>
  <r>
    <n v="50043917"/>
    <x v="66"/>
    <n v="1"/>
    <s v="REALIZADO"/>
    <s v="KELLY"/>
    <d v="2025-09-25T00:00:00"/>
    <x v="2"/>
  </r>
  <r>
    <n v="50043917"/>
    <x v="66"/>
    <n v="1"/>
    <s v="REALIZADO"/>
    <s v="BRUNO"/>
    <d v="2025-09-25T00:00:00"/>
    <x v="0"/>
  </r>
  <r>
    <n v="50020622"/>
    <x v="42"/>
    <n v="1"/>
    <s v="REALIZADO"/>
    <s v="BRUNO"/>
    <d v="2025-09-25T00:00:00"/>
    <x v="2"/>
  </r>
  <r>
    <n v="50020622"/>
    <x v="42"/>
    <n v="1"/>
    <s v="REALIZADO"/>
    <s v="BRUNO"/>
    <d v="2025-09-25T00:00:00"/>
    <x v="0"/>
  </r>
  <r>
    <n v="50032781"/>
    <x v="12"/>
    <n v="1"/>
    <s v="REALIZADO"/>
    <s v="MARCIA"/>
    <d v="2025-09-25T00:00:00"/>
    <x v="2"/>
  </r>
  <r>
    <n v="50032781"/>
    <x v="12"/>
    <n v="1"/>
    <s v="REALIZADO"/>
    <s v="BRUNO"/>
    <d v="2025-09-25T00:00:00"/>
    <x v="0"/>
  </r>
  <r>
    <n v="50028220"/>
    <x v="33"/>
    <n v="1"/>
    <s v="REALIZADO"/>
    <s v="BRUNO"/>
    <d v="2025-09-25T00:00:00"/>
    <x v="2"/>
  </r>
  <r>
    <n v="50028220"/>
    <x v="33"/>
    <n v="1"/>
    <s v="REALIZADO"/>
    <s v="BRUNO"/>
    <d v="2025-09-25T00:00:00"/>
    <x v="0"/>
  </r>
  <r>
    <n v="50043150"/>
    <x v="4"/>
    <n v="1"/>
    <s v="REALIZADO"/>
    <s v="BRUNO"/>
    <d v="2025-09-25T00:00:00"/>
    <x v="2"/>
  </r>
  <r>
    <n v="50043150"/>
    <x v="4"/>
    <n v="1"/>
    <s v="REALIZADO"/>
    <s v="BRUNO"/>
    <d v="2025-09-25T00:00:00"/>
    <x v="0"/>
  </r>
  <r>
    <n v="50010031"/>
    <x v="20"/>
    <n v="1"/>
    <s v="REALIZADO"/>
    <s v="JOÃO FRANCISCO"/>
    <d v="2025-09-24T00:00:00"/>
    <x v="2"/>
  </r>
  <r>
    <n v="50010031"/>
    <x v="20"/>
    <n v="1"/>
    <s v="REALIZADO"/>
    <s v="AGATHA"/>
    <d v="2025-09-24T00:00:00"/>
    <x v="0"/>
  </r>
  <r>
    <n v="50010031"/>
    <x v="20"/>
    <n v="1"/>
    <s v="REALIZADO"/>
    <s v="MARCIA"/>
    <d v="2025-09-24T00:00:00"/>
    <x v="2"/>
  </r>
  <r>
    <n v="50010031"/>
    <x v="20"/>
    <n v="1"/>
    <s v="REALIZADO"/>
    <s v="MARCIA"/>
    <d v="2025-09-24T00:00:00"/>
    <x v="0"/>
  </r>
  <r>
    <n v="50044003"/>
    <x v="63"/>
    <n v="1"/>
    <s v="REALIZADO"/>
    <s v="AGATHA"/>
    <d v="2025-09-24T00:00:00"/>
    <x v="2"/>
  </r>
  <r>
    <n v="50044003"/>
    <x v="63"/>
    <n v="1"/>
    <s v="REALIZADO"/>
    <s v="BRUNO"/>
    <d v="2025-09-24T00:00:00"/>
    <x v="2"/>
  </r>
  <r>
    <n v="50037960"/>
    <x v="37"/>
    <n v="1"/>
    <s v="REALIZADO"/>
    <s v="MARCIA"/>
    <d v="2025-09-24T00:00:00"/>
    <x v="2"/>
  </r>
  <r>
    <n v="50037961"/>
    <x v="36"/>
    <n v="1"/>
    <s v="REALIZADO"/>
    <s v="MARCIA"/>
    <d v="2025-09-24T00:00:00"/>
    <x v="0"/>
  </r>
  <r>
    <n v="50036255"/>
    <x v="7"/>
    <n v="1"/>
    <s v="REALIZADO"/>
    <s v="GEOVANE"/>
    <d v="2025-09-24T00:00:00"/>
    <x v="2"/>
  </r>
  <r>
    <n v="50036255"/>
    <x v="7"/>
    <n v="1"/>
    <s v="REALIZADO"/>
    <s v="BRUNO"/>
    <d v="2025-09-24T00:00:00"/>
    <x v="2"/>
  </r>
  <r>
    <n v="50036086"/>
    <x v="3"/>
    <n v="1"/>
    <s v="REALIZADO"/>
    <s v="AGATHA"/>
    <d v="2025-09-24T00:00:00"/>
    <x v="0"/>
  </r>
  <r>
    <n v="50039718"/>
    <x v="11"/>
    <n v="1"/>
    <s v="REALIZADO"/>
    <s v="MARCIA"/>
    <d v="2025-09-24T00:00:00"/>
    <x v="2"/>
  </r>
  <r>
    <n v="50039718"/>
    <x v="11"/>
    <n v="1"/>
    <s v="REALIZADO"/>
    <s v="BRUNO"/>
    <d v="2025-09-24T00:00:00"/>
    <x v="0"/>
  </r>
  <r>
    <n v="50039236"/>
    <x v="84"/>
    <n v="1"/>
    <s v="REALIZADO"/>
    <s v="KELLY"/>
    <d v="2025-09-24T00:00:00"/>
    <x v="2"/>
  </r>
  <r>
    <n v="50039236"/>
    <x v="84"/>
    <n v="1"/>
    <s v="REALIZADO"/>
    <s v="BRUNO"/>
    <d v="2025-09-24T00:00:00"/>
    <x v="0"/>
  </r>
  <r>
    <n v="50043471"/>
    <x v="5"/>
    <n v="1"/>
    <s v="REALIZADO"/>
    <s v="GEOVANE"/>
    <d v="2025-09-24T00:00:00"/>
    <x v="2"/>
  </r>
  <r>
    <n v="50043471"/>
    <x v="5"/>
    <n v="1"/>
    <s v="REALIZADO"/>
    <s v="JOÃO FRANCISCO"/>
    <d v="2025-09-24T00:00:00"/>
    <x v="0"/>
  </r>
  <r>
    <n v="50038549"/>
    <x v="6"/>
    <n v="1"/>
    <s v="REALIZADO"/>
    <s v="KELLY"/>
    <d v="2025-09-24T00:00:00"/>
    <x v="0"/>
  </r>
  <r>
    <n v="50038549"/>
    <x v="6"/>
    <n v="1"/>
    <s v="REALIZADO"/>
    <s v="GEOVANE"/>
    <d v="2025-09-24T00:00:00"/>
    <x v="2"/>
  </r>
  <r>
    <n v="50038549"/>
    <x v="6"/>
    <n v="1"/>
    <s v="REALIZADO"/>
    <s v="BRUNO"/>
    <d v="2025-09-24T00:00:00"/>
    <x v="2"/>
  </r>
  <r>
    <n v="50038549"/>
    <x v="6"/>
    <n v="1"/>
    <s v="REALIZADO"/>
    <s v="BRUNO"/>
    <d v="2025-09-24T00:00:00"/>
    <x v="0"/>
  </r>
  <r>
    <n v="50038956"/>
    <x v="10"/>
    <n v="1"/>
    <s v="REALIZADO"/>
    <s v="KELLY"/>
    <d v="2025-09-24T00:00:00"/>
    <x v="0"/>
  </r>
  <r>
    <n v="50037892"/>
    <x v="2"/>
    <n v="1"/>
    <s v="REALIZADO"/>
    <s v="KELLY"/>
    <d v="2025-09-24T00:00:00"/>
    <x v="2"/>
  </r>
  <r>
    <n v="50037892"/>
    <x v="2"/>
    <n v="1"/>
    <s v="REALIZADO"/>
    <s v="BRUNO"/>
    <d v="2025-09-24T00:00:00"/>
    <x v="0"/>
  </r>
  <r>
    <n v="50037892"/>
    <x v="2"/>
    <n v="1"/>
    <s v="REALIZADO"/>
    <s v="BRUNO"/>
    <d v="2025-09-24T00:00:00"/>
    <x v="2"/>
  </r>
  <r>
    <n v="50037892"/>
    <x v="2"/>
    <n v="1"/>
    <s v="REALIZADO"/>
    <s v="BRUNO"/>
    <d v="2025-09-24T00:00:00"/>
    <x v="0"/>
  </r>
  <r>
    <n v="50037902"/>
    <x v="14"/>
    <n v="1"/>
    <s v="REALIZADO"/>
    <s v="GEOVANE"/>
    <d v="2025-09-24T00:00:00"/>
    <x v="2"/>
  </r>
  <r>
    <n v="50037902"/>
    <x v="14"/>
    <n v="1"/>
    <s v="REALIZADO"/>
    <s v="BRUNO"/>
    <d v="2025-09-24T00:00:00"/>
    <x v="0"/>
  </r>
  <r>
    <n v="50038841"/>
    <x v="34"/>
    <n v="1"/>
    <s v="REALIZADO"/>
    <s v="KELLY"/>
    <d v="2025-09-24T00:00:00"/>
    <x v="2"/>
  </r>
  <r>
    <n v="50038841"/>
    <x v="34"/>
    <n v="1"/>
    <s v="REALIZADO"/>
    <s v="BRUNO"/>
    <d v="2025-09-24T00:00:00"/>
    <x v="0"/>
  </r>
  <r>
    <n v="50038517"/>
    <x v="0"/>
    <n v="1"/>
    <s v="REALIZADO"/>
    <s v="KELLY"/>
    <d v="2025-09-24T00:00:00"/>
    <x v="2"/>
  </r>
  <r>
    <n v="50038517"/>
    <x v="0"/>
    <n v="1"/>
    <s v="REALIZADO"/>
    <s v="BRUNO"/>
    <d v="2025-09-24T00:00:00"/>
    <x v="0"/>
  </r>
  <r>
    <n v="50038517"/>
    <x v="0"/>
    <n v="1"/>
    <s v="REALIZADO"/>
    <s v="BRUNO"/>
    <d v="2025-09-24T00:00:00"/>
    <x v="2"/>
  </r>
  <r>
    <n v="50038517"/>
    <x v="0"/>
    <n v="1"/>
    <s v="REALIZADO"/>
    <s v="BRUNO"/>
    <d v="2025-09-24T00:00:00"/>
    <x v="0"/>
  </r>
  <r>
    <n v="50038517"/>
    <x v="0"/>
    <n v="1"/>
    <s v="REALIZADO"/>
    <s v="BRUNO"/>
    <d v="2025-09-24T00:00:00"/>
    <x v="2"/>
  </r>
  <r>
    <n v="50038517"/>
    <x v="0"/>
    <n v="1"/>
    <s v="REALIZADO"/>
    <s v="BRUNO"/>
    <d v="2025-09-24T00:00:00"/>
    <x v="0"/>
  </r>
  <r>
    <n v="50001995"/>
    <x v="44"/>
    <n v="1"/>
    <s v="REALIZADO"/>
    <s v="AGATHA"/>
    <d v="2025-09-24T00:00:00"/>
    <x v="2"/>
  </r>
  <r>
    <n v="50001995"/>
    <x v="44"/>
    <n v="1"/>
    <s v="REALIZADO"/>
    <s v="GEOVANE"/>
    <d v="2025-09-24T00:00:00"/>
    <x v="0"/>
  </r>
  <r>
    <n v="50039065"/>
    <x v="22"/>
    <n v="1"/>
    <s v="REALIZADO"/>
    <s v="KELLY"/>
    <d v="2025-09-24T00:00:00"/>
    <x v="2"/>
  </r>
  <r>
    <n v="50039065"/>
    <x v="22"/>
    <n v="1"/>
    <s v="REALIZADO"/>
    <s v="BRUNO"/>
    <d v="2025-09-24T00:00:00"/>
    <x v="0"/>
  </r>
  <r>
    <n v="50039065"/>
    <x v="22"/>
    <n v="1"/>
    <s v="REALIZADO"/>
    <s v="BRUNO"/>
    <d v="2025-09-24T00:00:00"/>
    <x v="2"/>
  </r>
  <r>
    <n v="50039065"/>
    <x v="22"/>
    <n v="1"/>
    <s v="REALIZADO"/>
    <s v="BRUNO"/>
    <d v="2025-09-24T00:00:00"/>
    <x v="0"/>
  </r>
  <r>
    <n v="50026357"/>
    <x v="24"/>
    <n v="1"/>
    <s v="REALIZADO"/>
    <s v="GEOVANE"/>
    <d v="2025-09-24T00:00:00"/>
    <x v="2"/>
  </r>
  <r>
    <n v="50026357"/>
    <x v="24"/>
    <n v="1"/>
    <s v="REALIZADO"/>
    <s v="AGATHA"/>
    <d v="2025-09-24T00:00:00"/>
    <x v="0"/>
  </r>
  <r>
    <n v="50041195"/>
    <x v="21"/>
    <n v="1"/>
    <s v="REALIZADO"/>
    <s v="KELLY"/>
    <d v="2025-09-24T00:00:00"/>
    <x v="2"/>
  </r>
  <r>
    <n v="50041195"/>
    <x v="21"/>
    <n v="1"/>
    <s v="REALIZADO"/>
    <s v="BRUNO"/>
    <d v="2025-09-24T00:00:00"/>
    <x v="0"/>
  </r>
  <r>
    <n v="50043917"/>
    <x v="66"/>
    <n v="1"/>
    <s v="REALIZADO"/>
    <s v="AGATHA"/>
    <d v="2025-09-24T00:00:00"/>
    <x v="2"/>
  </r>
  <r>
    <n v="50043917"/>
    <x v="66"/>
    <n v="1"/>
    <s v="REALIZADO"/>
    <s v="BRUNO"/>
    <d v="2025-09-24T00:00:00"/>
    <x v="2"/>
  </r>
  <r>
    <n v="50020622"/>
    <x v="42"/>
    <n v="1"/>
    <s v="REALIZADO"/>
    <s v="JOÃO FRANCISCO"/>
    <d v="2025-09-24T00:00:00"/>
    <x v="0"/>
  </r>
  <r>
    <n v="50010031"/>
    <x v="20"/>
    <n v="1"/>
    <s v="REALIZADO"/>
    <s v="KELLY"/>
    <d v="2025-09-23T00:00:00"/>
    <x v="2"/>
  </r>
  <r>
    <n v="50010031"/>
    <x v="20"/>
    <n v="1"/>
    <s v="REALIZADO"/>
    <s v="MATHEUS"/>
    <d v="2025-09-23T00:00:00"/>
    <x v="0"/>
  </r>
  <r>
    <n v="50038991"/>
    <x v="53"/>
    <n v="1"/>
    <s v="REALIZADO"/>
    <s v="GEOVANE"/>
    <d v="2025-09-23T00:00:00"/>
    <x v="0"/>
  </r>
  <r>
    <n v="50039718"/>
    <x v="11"/>
    <n v="1"/>
    <s v="REALIZADO"/>
    <s v="MATHEUS"/>
    <d v="2025-09-23T00:00:00"/>
    <x v="2"/>
  </r>
  <r>
    <n v="50039718"/>
    <x v="11"/>
    <n v="1"/>
    <s v="REALIZADO"/>
    <s v="MATHEUS"/>
    <d v="2025-09-23T00:00:00"/>
    <x v="0"/>
  </r>
  <r>
    <n v="50039236"/>
    <x v="84"/>
    <n v="1"/>
    <s v="REALIZADO"/>
    <s v="MATHEUS"/>
    <d v="2025-09-23T00:00:00"/>
    <x v="2"/>
  </r>
  <r>
    <n v="50039236"/>
    <x v="84"/>
    <n v="1"/>
    <s v="REALIZADO"/>
    <s v="MATHEUS"/>
    <d v="2025-09-23T00:00:00"/>
    <x v="2"/>
  </r>
  <r>
    <n v="50038956"/>
    <x v="10"/>
    <n v="1"/>
    <s v="REALIZADO"/>
    <s v="MATHEUS"/>
    <d v="2025-09-23T00:00:00"/>
    <x v="0"/>
  </r>
  <r>
    <n v="50037892"/>
    <x v="2"/>
    <n v="1"/>
    <s v="REALIZADO"/>
    <s v="MATHEUS"/>
    <d v="2025-09-23T00:00:00"/>
    <x v="2"/>
  </r>
  <r>
    <n v="50037892"/>
    <x v="2"/>
    <n v="1"/>
    <s v="REALIZADO"/>
    <s v="MARCIA"/>
    <d v="2025-09-23T00:00:00"/>
    <x v="0"/>
  </r>
  <r>
    <n v="50037902"/>
    <x v="14"/>
    <n v="1"/>
    <s v="REALIZADO"/>
    <s v="KELLY"/>
    <d v="2025-09-23T00:00:00"/>
    <x v="2"/>
  </r>
  <r>
    <n v="50037902"/>
    <x v="14"/>
    <n v="1"/>
    <s v="REALIZADO"/>
    <s v="KELLY"/>
    <d v="2025-09-23T00:00:00"/>
    <x v="0"/>
  </r>
  <r>
    <n v="50038841"/>
    <x v="34"/>
    <n v="1"/>
    <s v="REALIZADO"/>
    <s v="KELLY"/>
    <d v="2025-09-23T00:00:00"/>
    <x v="2"/>
  </r>
  <r>
    <n v="50038841"/>
    <x v="34"/>
    <n v="1"/>
    <s v="REALIZADO"/>
    <s v="JOÃO FRANCISCO"/>
    <d v="2025-09-23T00:00:00"/>
    <x v="0"/>
  </r>
  <r>
    <n v="50038841"/>
    <x v="34"/>
    <n v="1"/>
    <s v="REALIZADO"/>
    <s v="MATHEUS"/>
    <d v="2025-09-23T00:00:00"/>
    <x v="2"/>
  </r>
  <r>
    <n v="50038841"/>
    <x v="34"/>
    <n v="1"/>
    <s v="REALIZADO"/>
    <s v="MATHEUS"/>
    <d v="2025-09-23T00:00:00"/>
    <x v="0"/>
  </r>
  <r>
    <n v="50001995"/>
    <x v="44"/>
    <n v="1"/>
    <s v="REALIZADO"/>
    <s v="FELIPE"/>
    <d v="2025-09-23T00:00:00"/>
    <x v="2"/>
  </r>
  <r>
    <n v="50001995"/>
    <x v="44"/>
    <n v="1"/>
    <s v="REALIZADO"/>
    <s v="FELIPE"/>
    <d v="2025-09-23T00:00:00"/>
    <x v="2"/>
  </r>
  <r>
    <n v="50038626"/>
    <x v="72"/>
    <n v="1"/>
    <s v="REALIZADO"/>
    <s v="MATHEUS"/>
    <d v="2025-09-23T00:00:00"/>
    <x v="0"/>
  </r>
  <r>
    <n v="50026357"/>
    <x v="24"/>
    <n v="1"/>
    <s v="REALIZADO"/>
    <s v="AGATHA"/>
    <d v="2025-09-23T00:00:00"/>
    <x v="2"/>
  </r>
  <r>
    <n v="50026357"/>
    <x v="24"/>
    <n v="1"/>
    <s v="REALIZADO"/>
    <s v="MATHEUS"/>
    <d v="2025-09-23T00:00:00"/>
    <x v="0"/>
  </r>
  <r>
    <n v="50038662"/>
    <x v="59"/>
    <n v="1"/>
    <s v="REALIZADO"/>
    <s v="GEOVANE"/>
    <d v="2025-09-23T00:00:00"/>
    <x v="2"/>
  </r>
  <r>
    <n v="50038662"/>
    <x v="59"/>
    <n v="1"/>
    <s v="REALIZADO"/>
    <s v="MATHEUS"/>
    <d v="2025-09-23T00:00:00"/>
    <x v="0"/>
  </r>
  <r>
    <n v="50037929"/>
    <x v="109"/>
    <n v="1"/>
    <s v="REALIZADO"/>
    <s v="FABIANO"/>
    <d v="2025-09-23T00:00:00"/>
    <x v="0"/>
  </r>
  <r>
    <n v="50041195"/>
    <x v="21"/>
    <n v="1"/>
    <s v="REALIZADO"/>
    <s v="AGATHA"/>
    <d v="2025-09-23T00:00:00"/>
    <x v="2"/>
  </r>
  <r>
    <n v="50041195"/>
    <x v="21"/>
    <n v="1"/>
    <s v="REALIZADO"/>
    <s v="MATHEUS"/>
    <d v="2025-09-23T00:00:00"/>
    <x v="0"/>
  </r>
  <r>
    <n v="50043917"/>
    <x v="66"/>
    <n v="1"/>
    <s v="REALIZADO"/>
    <s v="AGATHA"/>
    <d v="2025-09-23T00:00:00"/>
    <x v="2"/>
  </r>
  <r>
    <n v="50043917"/>
    <x v="66"/>
    <n v="1"/>
    <s v="REALIZADO"/>
    <s v="MATHEUS"/>
    <d v="2025-09-23T00:00:00"/>
    <x v="0"/>
  </r>
  <r>
    <n v="50004486"/>
    <x v="40"/>
    <n v="1"/>
    <s v="REALIZADO"/>
    <s v="GEOVANE"/>
    <d v="2025-09-23T00:00:00"/>
    <x v="2"/>
  </r>
  <r>
    <n v="50004486"/>
    <x v="40"/>
    <n v="1"/>
    <s v="REALIZADO"/>
    <s v="MATHEUS"/>
    <d v="2025-09-23T00:00:00"/>
    <x v="0"/>
  </r>
  <r>
    <n v="50032775"/>
    <x v="13"/>
    <n v="1"/>
    <s v="REALIZADO"/>
    <s v="KELLY"/>
    <d v="2025-09-23T00:00:00"/>
    <x v="2"/>
  </r>
  <r>
    <n v="50032775"/>
    <x v="13"/>
    <n v="1"/>
    <s v="REALIZADO"/>
    <s v="KELLY"/>
    <d v="2025-09-23T00:00:00"/>
    <x v="0"/>
  </r>
  <r>
    <n v="50038840"/>
    <x v="68"/>
    <n v="1"/>
    <s v="REALIZADO"/>
    <s v="GEOVANE"/>
    <d v="2025-09-23T00:00:00"/>
    <x v="2"/>
  </r>
  <r>
    <n v="50038840"/>
    <x v="68"/>
    <n v="1"/>
    <s v="REALIZADO"/>
    <s v="MATHEUS"/>
    <d v="2025-09-23T00:00:00"/>
    <x v="0"/>
  </r>
  <r>
    <n v="50037933"/>
    <x v="43"/>
    <n v="1"/>
    <s v="REALIZADO"/>
    <s v="AGATHA"/>
    <d v="2025-09-23T00:00:00"/>
    <x v="2"/>
  </r>
  <r>
    <n v="50037933"/>
    <x v="43"/>
    <n v="1"/>
    <s v="REALIZADO"/>
    <s v="MATHEUS"/>
    <d v="2025-09-23T00:00:00"/>
    <x v="0"/>
  </r>
  <r>
    <n v="50038854"/>
    <x v="27"/>
    <n v="1"/>
    <s v="REALIZADO"/>
    <s v="MARCIA"/>
    <d v="2025-09-22T00:00:00"/>
    <x v="2"/>
  </r>
  <r>
    <n v="50038854"/>
    <x v="27"/>
    <n v="1"/>
    <s v="REALIZADO"/>
    <s v="MARCIA"/>
    <d v="2025-09-22T00:00:00"/>
    <x v="2"/>
  </r>
  <r>
    <n v="50038991"/>
    <x v="53"/>
    <n v="1"/>
    <s v="REALIZADO"/>
    <s v="KELLY"/>
    <d v="2025-09-22T00:00:00"/>
    <x v="0"/>
  </r>
  <r>
    <n v="50037905"/>
    <x v="49"/>
    <n v="1"/>
    <s v="REALIZADO"/>
    <s v="KELLY"/>
    <d v="2025-09-22T00:00:00"/>
    <x v="2"/>
  </r>
  <r>
    <n v="50037905"/>
    <x v="49"/>
    <n v="1"/>
    <s v="REALIZADO"/>
    <s v="AGATHA"/>
    <d v="2025-09-22T00:00:00"/>
    <x v="0"/>
  </r>
  <r>
    <n v="50037916"/>
    <x v="70"/>
    <n v="1"/>
    <s v="REALIZADO"/>
    <s v="AGATHA"/>
    <d v="2025-09-22T00:00:00"/>
    <x v="2"/>
  </r>
  <r>
    <n v="50037916"/>
    <x v="70"/>
    <n v="1"/>
    <s v="REALIZADO"/>
    <s v="AGATHA"/>
    <d v="2025-09-22T00:00:00"/>
    <x v="2"/>
  </r>
  <r>
    <n v="50038956"/>
    <x v="10"/>
    <n v="1"/>
    <s v="REALIZADO"/>
    <s v="MARCIA"/>
    <d v="2025-09-22T00:00:00"/>
    <x v="0"/>
  </r>
  <r>
    <n v="50037892"/>
    <x v="2"/>
    <n v="1"/>
    <s v="REALIZADO"/>
    <s v="AGATHA"/>
    <d v="2025-09-22T00:00:00"/>
    <x v="2"/>
  </r>
  <r>
    <n v="50037892"/>
    <x v="2"/>
    <n v="1"/>
    <s v="REALIZADO"/>
    <s v="AGATHA"/>
    <d v="2025-09-22T00:00:00"/>
    <x v="0"/>
  </r>
  <r>
    <n v="50037892"/>
    <x v="2"/>
    <n v="1"/>
    <s v="REALIZADO"/>
    <s v="AGATHA"/>
    <d v="2025-09-22T00:00:00"/>
    <x v="2"/>
  </r>
  <r>
    <n v="50037892"/>
    <x v="2"/>
    <n v="1"/>
    <s v="REALIZADO"/>
    <s v="MARCIA"/>
    <d v="2025-09-22T00:00:00"/>
    <x v="0"/>
  </r>
  <r>
    <n v="50037902"/>
    <x v="14"/>
    <n v="1"/>
    <s v="REALIZADO"/>
    <s v="KELLY"/>
    <d v="2025-09-22T00:00:00"/>
    <x v="0"/>
  </r>
  <r>
    <n v="50038841"/>
    <x v="34"/>
    <n v="1"/>
    <s v="REALIZADO"/>
    <s v="AGATHA"/>
    <d v="2025-09-22T00:00:00"/>
    <x v="2"/>
  </r>
  <r>
    <n v="50038841"/>
    <x v="34"/>
    <n v="1"/>
    <s v="REALIZADO"/>
    <s v="AGATHA"/>
    <d v="2025-09-22T00:00:00"/>
    <x v="0"/>
  </r>
  <r>
    <n v="50039065"/>
    <x v="22"/>
    <n v="1"/>
    <s v="REALIZADO"/>
    <s v="KELLY"/>
    <d v="2025-09-22T00:00:00"/>
    <x v="2"/>
  </r>
  <r>
    <n v="50039065"/>
    <x v="22"/>
    <n v="1"/>
    <s v="REALIZADO"/>
    <s v="KELLY"/>
    <d v="2025-09-22T00:00:00"/>
    <x v="0"/>
  </r>
  <r>
    <n v="50039065"/>
    <x v="22"/>
    <n v="1"/>
    <s v="REALIZADO"/>
    <s v="AGATHA"/>
    <d v="2025-09-22T00:00:00"/>
    <x v="2"/>
  </r>
  <r>
    <n v="50039065"/>
    <x v="22"/>
    <n v="1"/>
    <s v="REALIZADO"/>
    <s v="AGATHA"/>
    <d v="2025-09-22T00:00:00"/>
    <x v="0"/>
  </r>
  <r>
    <n v="50038626"/>
    <x v="72"/>
    <n v="1"/>
    <s v="REALIZADO"/>
    <s v="FABIANO"/>
    <d v="2025-09-22T00:00:00"/>
    <x v="0"/>
  </r>
  <r>
    <n v="50026357"/>
    <x v="24"/>
    <n v="1"/>
    <s v="REALIZADO"/>
    <s v="AGATHA"/>
    <d v="2025-09-22T00:00:00"/>
    <x v="2"/>
  </r>
  <r>
    <n v="50026357"/>
    <x v="24"/>
    <n v="1"/>
    <s v="REALIZADO"/>
    <s v="AGATHA"/>
    <d v="2025-09-22T00:00:00"/>
    <x v="2"/>
  </r>
  <r>
    <n v="50037929"/>
    <x v="109"/>
    <n v="1"/>
    <s v="REALIZADO"/>
    <s v="FABIANO"/>
    <d v="2025-09-22T00:00:00"/>
    <x v="0"/>
  </r>
  <r>
    <n v="50041195"/>
    <x v="21"/>
    <n v="1"/>
    <s v="REALIZADO"/>
    <s v="KELLY"/>
    <d v="2025-09-22T00:00:00"/>
    <x v="2"/>
  </r>
  <r>
    <n v="50041195"/>
    <x v="21"/>
    <n v="1"/>
    <s v="REALIZADO"/>
    <s v="MARCIA"/>
    <d v="2025-09-22T00:00:00"/>
    <x v="0"/>
  </r>
  <r>
    <n v="50043917"/>
    <x v="66"/>
    <n v="1"/>
    <s v="REALIZADO"/>
    <s v="AGATHA"/>
    <d v="2025-09-22T00:00:00"/>
    <x v="2"/>
  </r>
  <r>
    <n v="50043917"/>
    <x v="66"/>
    <n v="1"/>
    <s v="REALIZADO"/>
    <s v="AGATHA"/>
    <d v="2025-09-22T00:00:00"/>
    <x v="2"/>
  </r>
  <r>
    <n v="50037933"/>
    <x v="43"/>
    <n v="1"/>
    <s v="REALIZADO"/>
    <s v="KELLY"/>
    <d v="2025-09-22T00:00:00"/>
    <x v="0"/>
  </r>
  <r>
    <n v="50037933"/>
    <x v="43"/>
    <n v="1"/>
    <s v="REALIZADO"/>
    <s v="KELLY"/>
    <d v="2025-09-22T00:00:00"/>
    <x v="2"/>
  </r>
  <r>
    <n v="50037933"/>
    <x v="43"/>
    <n v="1"/>
    <s v="REALIZADO"/>
    <s v="AGATHA"/>
    <d v="2025-09-22T00:00:00"/>
    <x v="0"/>
  </r>
  <r>
    <n v="50037905"/>
    <x v="49"/>
    <n v="1"/>
    <s v="REALIZADO"/>
    <s v="FELIPE"/>
    <d v="2025-09-21T00:00:00"/>
    <x v="2"/>
  </r>
  <r>
    <n v="50037905"/>
    <x v="49"/>
    <n v="1"/>
    <s v="REALIZADO"/>
    <s v="FELIPE"/>
    <d v="2025-09-21T00:00:00"/>
    <x v="2"/>
  </r>
  <r>
    <n v="50038517"/>
    <x v="0"/>
    <n v="1"/>
    <s v="REALIZADO"/>
    <s v="MARINA"/>
    <d v="2025-09-21T00:00:00"/>
    <x v="0"/>
  </r>
  <r>
    <n v="50038517"/>
    <x v="0"/>
    <n v="1"/>
    <s v="REALIZADO"/>
    <s v="MARINA"/>
    <d v="2025-09-21T00:00:00"/>
    <x v="2"/>
  </r>
  <r>
    <n v="50038626"/>
    <x v="72"/>
    <n v="1"/>
    <s v="REALIZADO"/>
    <s v="MARINA"/>
    <d v="2025-09-21T00:00:00"/>
    <x v="0"/>
  </r>
  <r>
    <n v="50038626"/>
    <x v="72"/>
    <n v="1"/>
    <s v="REALIZADO"/>
    <s v="MARINA"/>
    <d v="2025-09-21T00:00:00"/>
    <x v="2"/>
  </r>
  <r>
    <n v="50038626"/>
    <x v="72"/>
    <n v="1"/>
    <s v="REALIZADO"/>
    <s v="FABIANO"/>
    <d v="2025-09-21T00:00:00"/>
    <x v="0"/>
  </r>
  <r>
    <n v="50037933"/>
    <x v="43"/>
    <n v="1"/>
    <s v="REALIZADO"/>
    <s v="EDMAR"/>
    <d v="2025-09-21T00:00:00"/>
    <x v="0"/>
  </r>
  <r>
    <n v="50037905"/>
    <x v="49"/>
    <n v="1"/>
    <s v="REALIZADO"/>
    <s v="KELLY"/>
    <d v="2025-09-20T00:00:00"/>
    <x v="2"/>
  </r>
  <r>
    <n v="50037905"/>
    <x v="49"/>
    <n v="1"/>
    <s v="REALIZADO"/>
    <s v="KELLY"/>
    <d v="2025-09-20T00:00:00"/>
    <x v="0"/>
  </r>
  <r>
    <n v="50003297"/>
    <x v="8"/>
    <n v="1"/>
    <s v="REALIZADO"/>
    <s v="KELLY"/>
    <d v="2025-09-20T00:00:00"/>
    <x v="2"/>
  </r>
  <r>
    <n v="50003297"/>
    <x v="8"/>
    <n v="1"/>
    <s v="REALIZADO"/>
    <s v="KELLY"/>
    <d v="2025-09-20T00:00:00"/>
    <x v="0"/>
  </r>
  <r>
    <n v="50038549"/>
    <x v="6"/>
    <n v="1"/>
    <s v="REALIZADO"/>
    <s v="KELLY"/>
    <d v="2025-09-20T00:00:00"/>
    <x v="2"/>
  </r>
  <r>
    <n v="50037902"/>
    <x v="14"/>
    <n v="1"/>
    <s v="REALIZADO"/>
    <s v="KELLY"/>
    <d v="2025-09-20T00:00:00"/>
    <x v="0"/>
  </r>
  <r>
    <n v="50037902"/>
    <x v="14"/>
    <n v="1"/>
    <s v="REALIZADO"/>
    <s v="KELLY"/>
    <d v="2025-09-20T00:00:00"/>
    <x v="2"/>
  </r>
  <r>
    <n v="50037902"/>
    <x v="14"/>
    <n v="1"/>
    <s v="REALIZADO"/>
    <s v="KELLY"/>
    <d v="2025-09-20T00:00:00"/>
    <x v="0"/>
  </r>
  <r>
    <n v="50037902"/>
    <x v="14"/>
    <n v="1"/>
    <s v="REALIZADO"/>
    <s v="KELLY"/>
    <d v="2025-09-20T00:00:00"/>
    <x v="2"/>
  </r>
  <r>
    <n v="50036297"/>
    <x v="100"/>
    <n v="1"/>
    <s v="REALIZADO"/>
    <s v="KELLY"/>
    <d v="2025-09-20T00:00:00"/>
    <x v="0"/>
  </r>
  <r>
    <n v="50041195"/>
    <x v="21"/>
    <n v="1"/>
    <s v="REALIZADO"/>
    <s v="GLAUBER"/>
    <d v="2025-09-20T00:00:00"/>
    <x v="2"/>
  </r>
  <r>
    <n v="50037933"/>
    <x v="43"/>
    <n v="1"/>
    <s v="REALIZADO"/>
    <s v="EDMAR"/>
    <d v="2025-09-20T00:00:00"/>
    <x v="2"/>
  </r>
  <r>
    <n v="50037960"/>
    <x v="37"/>
    <n v="1"/>
    <s v="REALIZADO"/>
    <s v="BRUNO"/>
    <d v="2025-09-19T00:00:00"/>
    <x v="2"/>
  </r>
  <r>
    <n v="50037961"/>
    <x v="36"/>
    <n v="1"/>
    <s v="REALIZADO"/>
    <s v="BRUNO"/>
    <d v="2025-09-19T00:00:00"/>
    <x v="0"/>
  </r>
  <r>
    <n v="50043471"/>
    <x v="5"/>
    <n v="1"/>
    <s v="REALIZADO"/>
    <s v="AGATHA"/>
    <d v="2025-09-19T00:00:00"/>
    <x v="2"/>
  </r>
  <r>
    <n v="50043471"/>
    <x v="5"/>
    <n v="1"/>
    <s v="REALIZADO"/>
    <s v="GEOVANE"/>
    <d v="2025-09-19T00:00:00"/>
    <x v="0"/>
  </r>
  <r>
    <n v="50043471"/>
    <x v="5"/>
    <n v="1"/>
    <s v="REALIZADO"/>
    <s v="MATHEUS"/>
    <d v="2025-09-19T00:00:00"/>
    <x v="2"/>
  </r>
  <r>
    <n v="50043471"/>
    <x v="5"/>
    <n v="1"/>
    <s v="REALIZADO"/>
    <s v="BRUNO"/>
    <d v="2025-09-19T00:00:00"/>
    <x v="2"/>
  </r>
  <r>
    <n v="50038549"/>
    <x v="6"/>
    <n v="1"/>
    <s v="REALIZADO"/>
    <s v="AGATHA"/>
    <d v="2025-09-19T00:00:00"/>
    <x v="2"/>
  </r>
  <r>
    <n v="50038549"/>
    <x v="6"/>
    <n v="1"/>
    <s v="REALIZADO"/>
    <s v="FABIANO"/>
    <d v="2025-09-19T00:00:00"/>
    <x v="0"/>
  </r>
  <r>
    <n v="50038549"/>
    <x v="6"/>
    <n v="1"/>
    <s v="REALIZADO"/>
    <s v="FABIANO"/>
    <d v="2025-09-19T00:00:00"/>
    <x v="0"/>
  </r>
  <r>
    <n v="50038956"/>
    <x v="10"/>
    <n v="1"/>
    <s v="REALIZADO"/>
    <s v="MATHEUS"/>
    <d v="2025-09-19T00:00:00"/>
    <x v="0"/>
  </r>
  <r>
    <n v="50038956"/>
    <x v="10"/>
    <n v="1"/>
    <s v="REALIZADO"/>
    <s v="BRUNO"/>
    <d v="2025-09-19T00:00:00"/>
    <x v="2"/>
  </r>
  <r>
    <n v="50038956"/>
    <x v="10"/>
    <n v="1"/>
    <s v="REALIZADO"/>
    <s v="BRUNO"/>
    <d v="2025-09-19T00:00:00"/>
    <x v="0"/>
  </r>
  <r>
    <n v="50037892"/>
    <x v="2"/>
    <n v="1"/>
    <s v="REALIZADO"/>
    <s v="GEOVANE"/>
    <d v="2025-09-19T00:00:00"/>
    <x v="2"/>
  </r>
  <r>
    <n v="50037892"/>
    <x v="2"/>
    <n v="1"/>
    <s v="REALIZADO"/>
    <s v="BRUNO"/>
    <d v="2025-09-19T00:00:00"/>
    <x v="2"/>
  </r>
  <r>
    <n v="50037902"/>
    <x v="14"/>
    <n v="1"/>
    <s v="REALIZADO"/>
    <s v="AGATHA"/>
    <d v="2025-09-19T00:00:00"/>
    <x v="0"/>
  </r>
  <r>
    <n v="50038841"/>
    <x v="34"/>
    <n v="1"/>
    <s v="REALIZADO"/>
    <s v="AGATHA"/>
    <d v="2025-09-19T00:00:00"/>
    <x v="2"/>
  </r>
  <r>
    <n v="50038841"/>
    <x v="34"/>
    <n v="1"/>
    <s v="REALIZADO"/>
    <s v="BRUNO"/>
    <d v="2025-09-19T00:00:00"/>
    <x v="0"/>
  </r>
  <r>
    <n v="50041195"/>
    <x v="21"/>
    <n v="1"/>
    <s v="REALIZADO"/>
    <s v="AGATHA"/>
    <d v="2025-09-19T00:00:00"/>
    <x v="2"/>
  </r>
  <r>
    <n v="50041195"/>
    <x v="21"/>
    <n v="1"/>
    <s v="REALIZADO"/>
    <s v="AGATHA"/>
    <d v="2025-09-19T00:00:00"/>
    <x v="0"/>
  </r>
  <r>
    <n v="50041195"/>
    <x v="21"/>
    <n v="1"/>
    <s v="REALIZADO"/>
    <s v="GEOVANE"/>
    <d v="2025-09-19T00:00:00"/>
    <x v="2"/>
  </r>
  <r>
    <n v="50041195"/>
    <x v="21"/>
    <n v="1"/>
    <s v="REALIZADO"/>
    <s v="BRUNO"/>
    <d v="2025-09-19T00:00:00"/>
    <x v="2"/>
  </r>
  <r>
    <n v="50041195"/>
    <x v="21"/>
    <n v="1"/>
    <s v="REALIZADO"/>
    <s v="GLAUBER"/>
    <d v="2025-09-19T00:00:00"/>
    <x v="2"/>
  </r>
  <r>
    <n v="50043917"/>
    <x v="66"/>
    <n v="1"/>
    <s v="REALIZADO"/>
    <s v="GEOVANE"/>
    <d v="2025-09-19T00:00:00"/>
    <x v="0"/>
  </r>
  <r>
    <n v="50037920"/>
    <x v="110"/>
    <n v="1"/>
    <s v="REALIZADO"/>
    <s v="BRUNO"/>
    <d v="2025-09-19T00:00:00"/>
    <x v="2"/>
  </r>
  <r>
    <n v="50037920"/>
    <x v="110"/>
    <n v="1"/>
    <s v="REALIZADO"/>
    <s v="BRUNO"/>
    <d v="2025-09-19T00:00:00"/>
    <x v="0"/>
  </r>
  <r>
    <n v="50043150"/>
    <x v="4"/>
    <n v="1"/>
    <s v="REALIZADO"/>
    <s v="GEOVANE"/>
    <d v="2025-09-19T00:00:00"/>
    <x v="2"/>
  </r>
  <r>
    <n v="50043150"/>
    <x v="4"/>
    <n v="1"/>
    <s v="REALIZADO"/>
    <s v="BRUNO"/>
    <d v="2025-09-19T00:00:00"/>
    <x v="0"/>
  </r>
  <r>
    <n v="50041194"/>
    <x v="80"/>
    <n v="1"/>
    <s v="REALIZADO"/>
    <s v="GEOVANE"/>
    <d v="2025-09-19T00:00:00"/>
    <x v="2"/>
  </r>
  <r>
    <n v="50041194"/>
    <x v="80"/>
    <n v="1"/>
    <s v="REALIZADO"/>
    <s v="GEOVANE"/>
    <d v="2025-09-19T00:00:00"/>
    <x v="0"/>
  </r>
  <r>
    <n v="50010031"/>
    <x v="20"/>
    <n v="1"/>
    <s v="REALIZADO"/>
    <s v="GEOVANE"/>
    <d v="2025-09-18T00:00:00"/>
    <x v="2"/>
  </r>
  <r>
    <n v="50010031"/>
    <x v="20"/>
    <n v="1"/>
    <s v="REALIZADO"/>
    <s v="BRUNO"/>
    <d v="2025-09-18T00:00:00"/>
    <x v="0"/>
  </r>
  <r>
    <n v="50038991"/>
    <x v="53"/>
    <n v="1"/>
    <s v="REALIZADO"/>
    <s v="KELLY"/>
    <d v="2025-09-18T00:00:00"/>
    <x v="2"/>
  </r>
  <r>
    <n v="50038991"/>
    <x v="53"/>
    <n v="1"/>
    <s v="REALIZADO"/>
    <s v="KELLY"/>
    <d v="2025-09-18T00:00:00"/>
    <x v="0"/>
  </r>
  <r>
    <n v="50044003"/>
    <x v="63"/>
    <n v="1"/>
    <s v="REALIZADO"/>
    <s v="BRUNO"/>
    <d v="2025-09-18T00:00:00"/>
    <x v="2"/>
  </r>
  <r>
    <n v="50044003"/>
    <x v="63"/>
    <n v="1"/>
    <s v="REALIZADO"/>
    <s v="GEOVANE"/>
    <d v="2025-09-18T00:00:00"/>
    <x v="0"/>
  </r>
  <r>
    <n v="50036255"/>
    <x v="7"/>
    <n v="1"/>
    <s v="REALIZADO"/>
    <s v="GEOVANE"/>
    <d v="2025-09-18T00:00:00"/>
    <x v="2"/>
  </r>
  <r>
    <n v="50036255"/>
    <x v="7"/>
    <n v="1"/>
    <s v="REALIZADO"/>
    <s v="GEOVANE"/>
    <d v="2025-09-18T00:00:00"/>
    <x v="0"/>
  </r>
  <r>
    <n v="50036279"/>
    <x v="28"/>
    <n v="1"/>
    <s v="REALIZADO"/>
    <s v="BRUNO"/>
    <d v="2025-09-18T00:00:00"/>
    <x v="2"/>
  </r>
  <r>
    <n v="50036279"/>
    <x v="28"/>
    <n v="1"/>
    <s v="REALIZADO"/>
    <s v="BRUNO"/>
    <d v="2025-09-18T00:00:00"/>
    <x v="0"/>
  </r>
  <r>
    <n v="50039718"/>
    <x v="11"/>
    <n v="1"/>
    <s v="REALIZADO"/>
    <s v="FABIANO"/>
    <d v="2025-09-18T00:00:00"/>
    <x v="0"/>
  </r>
  <r>
    <n v="50030486"/>
    <x v="17"/>
    <n v="1"/>
    <s v="REALIZADO"/>
    <s v="BRUNO"/>
    <d v="2025-09-18T00:00:00"/>
    <x v="2"/>
  </r>
  <r>
    <n v="50030486"/>
    <x v="17"/>
    <n v="1"/>
    <s v="REALIZADO"/>
    <s v="BRUNO"/>
    <d v="2025-09-18T00:00:00"/>
    <x v="0"/>
  </r>
  <r>
    <n v="50039236"/>
    <x v="84"/>
    <n v="1"/>
    <s v="REALIZADO"/>
    <s v="GEOVANE"/>
    <d v="2025-09-18T00:00:00"/>
    <x v="2"/>
  </r>
  <r>
    <n v="50039236"/>
    <x v="84"/>
    <n v="1"/>
    <s v="REALIZADO"/>
    <s v="BRUNO"/>
    <d v="2025-09-18T00:00:00"/>
    <x v="0"/>
  </r>
  <r>
    <n v="50003296"/>
    <x v="105"/>
    <n v="1"/>
    <s v="NÃO REALIZADO"/>
    <s v="KELLY"/>
    <d v="2025-09-18T00:00:00"/>
    <x v="2"/>
  </r>
  <r>
    <n v="50003296"/>
    <x v="105"/>
    <n v="1"/>
    <s v="REALIZADO"/>
    <s v="KELLY"/>
    <d v="2025-09-18T00:00:00"/>
    <x v="0"/>
  </r>
  <r>
    <n v="50003297"/>
    <x v="8"/>
    <n v="1"/>
    <s v="REALIZADO"/>
    <s v="BRUNO"/>
    <d v="2025-09-18T00:00:00"/>
    <x v="2"/>
  </r>
  <r>
    <n v="50003297"/>
    <x v="8"/>
    <n v="1"/>
    <s v="REALIZADO"/>
    <s v="BRUNO"/>
    <d v="2025-09-18T00:00:00"/>
    <x v="0"/>
  </r>
  <r>
    <n v="50037902"/>
    <x v="14"/>
    <n v="1"/>
    <s v="REALIZADO"/>
    <s v="KELLY"/>
    <d v="2025-09-18T00:00:00"/>
    <x v="2"/>
  </r>
  <r>
    <n v="50037902"/>
    <x v="14"/>
    <n v="1"/>
    <s v="REALIZADO"/>
    <s v="GEOVANE"/>
    <d v="2025-09-18T00:00:00"/>
    <x v="0"/>
  </r>
  <r>
    <n v="50038841"/>
    <x v="34"/>
    <n v="1"/>
    <s v="REALIZADO"/>
    <s v="BRUNO"/>
    <d v="2025-09-18T00:00:00"/>
    <x v="2"/>
  </r>
  <r>
    <n v="50038841"/>
    <x v="34"/>
    <n v="1"/>
    <s v="REALIZADO"/>
    <s v="BRUNO"/>
    <d v="2025-09-18T00:00:00"/>
    <x v="0"/>
  </r>
  <r>
    <n v="50038841"/>
    <x v="34"/>
    <n v="1"/>
    <s v="REALIZADO"/>
    <s v="BRUNO"/>
    <d v="2025-09-18T00:00:00"/>
    <x v="2"/>
  </r>
  <r>
    <n v="50038841"/>
    <x v="34"/>
    <n v="1"/>
    <s v="REALIZADO"/>
    <s v="BRUNO"/>
    <d v="2025-09-18T00:00:00"/>
    <x v="0"/>
  </r>
  <r>
    <n v="50038517"/>
    <x v="0"/>
    <n v="1"/>
    <s v="REALIZADO"/>
    <s v="BRUNO"/>
    <d v="2025-09-18T00:00:00"/>
    <x v="2"/>
  </r>
  <r>
    <n v="50038517"/>
    <x v="0"/>
    <n v="1"/>
    <s v="REALIZADO"/>
    <s v="BRUNO"/>
    <d v="2025-09-18T00:00:00"/>
    <x v="0"/>
  </r>
  <r>
    <n v="50001995"/>
    <x v="44"/>
    <n v="1"/>
    <s v="REALIZADO"/>
    <s v="FABIANO"/>
    <d v="2025-09-18T00:00:00"/>
    <x v="0"/>
  </r>
  <r>
    <n v="50038662"/>
    <x v="59"/>
    <n v="1"/>
    <s v="REALIZADO"/>
    <s v="BRUNO"/>
    <d v="2025-09-18T00:00:00"/>
    <x v="0"/>
  </r>
  <r>
    <n v="50041195"/>
    <x v="21"/>
    <n v="1"/>
    <s v="REALIZADO"/>
    <s v="KELLY"/>
    <d v="2025-09-18T00:00:00"/>
    <x v="2"/>
  </r>
  <r>
    <n v="50041195"/>
    <x v="21"/>
    <n v="1"/>
    <s v="REALIZADO"/>
    <s v="KELLY"/>
    <d v="2025-09-18T00:00:00"/>
    <x v="0"/>
  </r>
  <r>
    <n v="50043917"/>
    <x v="66"/>
    <n v="1"/>
    <s v="REALIZADO"/>
    <s v="BRUNO"/>
    <d v="2025-09-18T00:00:00"/>
    <x v="2"/>
  </r>
  <r>
    <n v="50043917"/>
    <x v="66"/>
    <n v="1"/>
    <s v="REALIZADO"/>
    <s v="BRUNO"/>
    <d v="2025-09-18T00:00:00"/>
    <x v="0"/>
  </r>
  <r>
    <n v="50020622"/>
    <x v="42"/>
    <n v="1"/>
    <s v="REALIZADO"/>
    <s v="GEOVANE"/>
    <d v="2025-09-18T00:00:00"/>
    <x v="2"/>
  </r>
  <r>
    <n v="50020622"/>
    <x v="42"/>
    <n v="1"/>
    <s v="REALIZADO"/>
    <s v="BRUNO"/>
    <d v="2025-09-18T00:00:00"/>
    <x v="0"/>
  </r>
  <r>
    <n v="50032775"/>
    <x v="13"/>
    <n v="1"/>
    <s v="REALIZADO"/>
    <s v="GEOVANE"/>
    <d v="2025-09-18T00:00:00"/>
    <x v="2"/>
  </r>
  <r>
    <n v="50032775"/>
    <x v="13"/>
    <n v="1"/>
    <s v="REALIZADO"/>
    <s v="GEOVANE"/>
    <d v="2025-09-18T00:00:00"/>
    <x v="0"/>
  </r>
  <r>
    <n v="50028220"/>
    <x v="33"/>
    <n v="1"/>
    <s v="REALIZADO"/>
    <s v="GEOVANE"/>
    <d v="2025-09-18T00:00:00"/>
    <x v="2"/>
  </r>
  <r>
    <n v="50028220"/>
    <x v="33"/>
    <n v="1"/>
    <s v="REALIZADO"/>
    <s v="GEOVANE"/>
    <d v="2025-09-18T00:00:00"/>
    <x v="0"/>
  </r>
  <r>
    <n v="50028220"/>
    <x v="33"/>
    <n v="1"/>
    <s v="REALIZADO"/>
    <s v="BRUNO"/>
    <d v="2025-09-18T00:00:00"/>
    <x v="2"/>
  </r>
  <r>
    <n v="50028220"/>
    <x v="33"/>
    <n v="1"/>
    <s v="REALIZADO"/>
    <s v="BRUNO"/>
    <d v="2025-09-18T00:00:00"/>
    <x v="0"/>
  </r>
  <r>
    <n v="50041194"/>
    <x v="80"/>
    <n v="1"/>
    <s v="REALIZADO"/>
    <s v="BRUNO"/>
    <d v="2025-09-18T00:00:00"/>
    <x v="2"/>
  </r>
  <r>
    <n v="50039718"/>
    <x v="11"/>
    <n v="1"/>
    <s v="REALIZADO"/>
    <s v="FABIANO"/>
    <d v="2025-09-17T00:00:00"/>
    <x v="0"/>
  </r>
  <r>
    <n v="50030486"/>
    <x v="17"/>
    <n v="1"/>
    <s v="REALIZADO"/>
    <s v="AGATHA"/>
    <d v="2025-09-17T00:00:00"/>
    <x v="2"/>
  </r>
  <r>
    <n v="50030486"/>
    <x v="17"/>
    <n v="1"/>
    <s v="REALIZADO"/>
    <s v="GEOVANE"/>
    <d v="2025-09-17T00:00:00"/>
    <x v="0"/>
  </r>
  <r>
    <n v="50039236"/>
    <x v="84"/>
    <n v="1"/>
    <s v="REALIZADO"/>
    <s v="BRUNO"/>
    <d v="2025-09-17T00:00:00"/>
    <x v="2"/>
  </r>
  <r>
    <n v="50039236"/>
    <x v="84"/>
    <n v="1"/>
    <s v="REALIZADO"/>
    <s v="BRUNO"/>
    <d v="2025-09-17T00:00:00"/>
    <x v="0"/>
  </r>
  <r>
    <n v="50043471"/>
    <x v="5"/>
    <n v="1"/>
    <s v="REALIZADO"/>
    <s v="GEOVANE"/>
    <d v="2025-09-17T00:00:00"/>
    <x v="2"/>
  </r>
  <r>
    <n v="50043471"/>
    <x v="5"/>
    <n v="1"/>
    <s v="REALIZADO"/>
    <s v="BRUNO"/>
    <d v="2025-09-17T00:00:00"/>
    <x v="0"/>
  </r>
  <r>
    <n v="50003296"/>
    <x v="105"/>
    <n v="1"/>
    <s v="REALIZADO"/>
    <s v="AGATHA"/>
    <d v="2025-09-17T00:00:00"/>
    <x v="2"/>
  </r>
  <r>
    <n v="50003296"/>
    <x v="105"/>
    <n v="1"/>
    <s v="REALIZADO"/>
    <s v="AGATHA"/>
    <d v="2025-09-17T00:00:00"/>
    <x v="0"/>
  </r>
  <r>
    <n v="50038549"/>
    <x v="6"/>
    <n v="1"/>
    <s v="REALIZADO"/>
    <s v="AGATHA"/>
    <d v="2025-09-17T00:00:00"/>
    <x v="2"/>
  </r>
  <r>
    <n v="50038549"/>
    <x v="6"/>
    <n v="1"/>
    <s v="REALIZADO"/>
    <s v="AGATHA"/>
    <d v="2025-09-17T00:00:00"/>
    <x v="2"/>
  </r>
  <r>
    <n v="50038549"/>
    <x v="6"/>
    <n v="1"/>
    <s v="REALIZADO"/>
    <s v="BRUNO"/>
    <d v="2025-09-17T00:00:00"/>
    <x v="0"/>
  </r>
  <r>
    <n v="50038549"/>
    <x v="6"/>
    <n v="1"/>
    <s v="REALIZADO"/>
    <s v="BRUNO"/>
    <d v="2025-09-17T00:00:00"/>
    <x v="2"/>
  </r>
  <r>
    <n v="50038549"/>
    <x v="6"/>
    <n v="1"/>
    <s v="REALIZADO"/>
    <s v="BRUNO"/>
    <d v="2025-09-17T00:00:00"/>
    <x v="0"/>
  </r>
  <r>
    <n v="50022878"/>
    <x v="18"/>
    <n v="1"/>
    <s v="REALIZADO"/>
    <s v="BRUNO"/>
    <d v="2025-09-17T00:00:00"/>
    <x v="2"/>
  </r>
  <r>
    <n v="50022878"/>
    <x v="18"/>
    <n v="1"/>
    <s v="REALIZADO"/>
    <s v="BRUNO"/>
    <d v="2025-09-17T00:00:00"/>
    <x v="0"/>
  </r>
  <r>
    <n v="50038956"/>
    <x v="10"/>
    <n v="1"/>
    <s v="REALIZADO"/>
    <s v="AGATHA"/>
    <d v="2025-09-17T00:00:00"/>
    <x v="2"/>
  </r>
  <r>
    <n v="50038956"/>
    <x v="10"/>
    <n v="1"/>
    <s v="REALIZADO"/>
    <s v="BRUNO"/>
    <d v="2025-09-17T00:00:00"/>
    <x v="0"/>
  </r>
  <r>
    <n v="50037902"/>
    <x v="14"/>
    <n v="1"/>
    <s v="REALIZADO"/>
    <s v="GEOVANE"/>
    <d v="2025-09-17T00:00:00"/>
    <x v="2"/>
  </r>
  <r>
    <n v="50037902"/>
    <x v="14"/>
    <n v="1"/>
    <s v="REALIZADO"/>
    <s v="GEOVANE"/>
    <d v="2025-09-17T00:00:00"/>
    <x v="0"/>
  </r>
  <r>
    <n v="50037902"/>
    <x v="14"/>
    <n v="1"/>
    <s v="REALIZADO"/>
    <s v="BRUNO"/>
    <d v="2025-09-17T00:00:00"/>
    <x v="0"/>
  </r>
  <r>
    <n v="50038841"/>
    <x v="34"/>
    <n v="1"/>
    <s v="NÃO REALIZADO"/>
    <s v="KELLY"/>
    <d v="2025-09-17T00:00:00"/>
    <x v="2"/>
  </r>
  <r>
    <n v="50038841"/>
    <x v="34"/>
    <n v="1"/>
    <s v="REALIZADO"/>
    <s v="KELLY"/>
    <d v="2025-09-17T00:00:00"/>
    <x v="2"/>
  </r>
  <r>
    <n v="50001995"/>
    <x v="44"/>
    <n v="1"/>
    <s v="REALIZADO"/>
    <s v="FABIANO"/>
    <d v="2025-09-17T00:00:00"/>
    <x v="0"/>
  </r>
  <r>
    <n v="50038626"/>
    <x v="72"/>
    <n v="1"/>
    <s v="REALIZADO"/>
    <s v="KELLY"/>
    <d v="2025-09-17T00:00:00"/>
    <x v="2"/>
  </r>
  <r>
    <n v="50038626"/>
    <x v="72"/>
    <n v="1"/>
    <s v="REALIZADO"/>
    <s v="KELLY"/>
    <d v="2025-09-17T00:00:00"/>
    <x v="0"/>
  </r>
  <r>
    <n v="50026357"/>
    <x v="24"/>
    <n v="1"/>
    <s v="REALIZADO"/>
    <s v="AGATHA"/>
    <d v="2025-09-17T00:00:00"/>
    <x v="2"/>
  </r>
  <r>
    <n v="50026357"/>
    <x v="24"/>
    <n v="1"/>
    <s v="REALIZADO"/>
    <s v="BRUNO"/>
    <d v="2025-09-17T00:00:00"/>
    <x v="2"/>
  </r>
  <r>
    <n v="50038662"/>
    <x v="59"/>
    <n v="1"/>
    <s v="REALIZADO"/>
    <s v="BRUNO"/>
    <d v="2025-09-17T00:00:00"/>
    <x v="0"/>
  </r>
  <r>
    <n v="50043917"/>
    <x v="66"/>
    <n v="1"/>
    <s v="REALIZADO"/>
    <s v="KELLY"/>
    <d v="2025-09-17T00:00:00"/>
    <x v="0"/>
  </r>
  <r>
    <n v="50043917"/>
    <x v="66"/>
    <n v="1"/>
    <s v="REALIZADO"/>
    <s v="KELLY"/>
    <d v="2025-09-17T00:00:00"/>
    <x v="0"/>
  </r>
  <r>
    <n v="50043917"/>
    <x v="66"/>
    <n v="1"/>
    <s v="REALIZADO"/>
    <s v="AGATHA"/>
    <d v="2025-09-17T00:00:00"/>
    <x v="2"/>
  </r>
  <r>
    <n v="50043917"/>
    <x v="66"/>
    <n v="1"/>
    <s v="REALIZADO"/>
    <s v="GEOVANE"/>
    <d v="2025-09-17T00:00:00"/>
    <x v="0"/>
  </r>
  <r>
    <n v="50012902"/>
    <x v="30"/>
    <n v="1"/>
    <s v="REALIZADO"/>
    <s v="AGATHA"/>
    <d v="2025-09-17T00:00:00"/>
    <x v="2"/>
  </r>
  <r>
    <n v="50012902"/>
    <x v="30"/>
    <n v="1"/>
    <s v="REALIZADO"/>
    <s v="BRUNO"/>
    <d v="2025-09-17T00:00:00"/>
    <x v="0"/>
  </r>
  <r>
    <n v="50038840"/>
    <x v="68"/>
    <n v="1"/>
    <s v="REALIZADO"/>
    <s v="AGATHA"/>
    <d v="2025-09-17T00:00:00"/>
    <x v="2"/>
  </r>
  <r>
    <n v="50038840"/>
    <x v="68"/>
    <n v="1"/>
    <s v="REALIZADO"/>
    <s v="BRUNO"/>
    <d v="2025-09-17T00:00:00"/>
    <x v="2"/>
  </r>
  <r>
    <n v="50041194"/>
    <x v="80"/>
    <n v="1"/>
    <s v="REALIZADO"/>
    <s v="BRUNO"/>
    <d v="2025-09-17T00:00:00"/>
    <x v="0"/>
  </r>
  <r>
    <n v="50036086"/>
    <x v="3"/>
    <n v="1"/>
    <s v="REALIZADO"/>
    <s v="GEOVANE"/>
    <d v="2025-09-16T00:00:00"/>
    <x v="2"/>
  </r>
  <r>
    <n v="50036086"/>
    <x v="3"/>
    <n v="1"/>
    <s v="REALIZADO"/>
    <s v="MATHEUS"/>
    <d v="2025-09-16T00:00:00"/>
    <x v="0"/>
  </r>
  <r>
    <n v="50036086"/>
    <x v="3"/>
    <n v="1"/>
    <s v="REALIZADO"/>
    <s v="FABIANO"/>
    <d v="2025-09-16T00:00:00"/>
    <x v="2"/>
  </r>
  <r>
    <n v="50036086"/>
    <x v="3"/>
    <n v="1"/>
    <s v="REALIZADO"/>
    <s v="FABIANO"/>
    <d v="2025-09-16T00:00:00"/>
    <x v="0"/>
  </r>
  <r>
    <n v="50036279"/>
    <x v="28"/>
    <n v="2"/>
    <s v="REALIZADO"/>
    <s v="MARCIA"/>
    <d v="2025-09-16T00:00:00"/>
    <x v="2"/>
  </r>
  <r>
    <n v="50036279"/>
    <x v="28"/>
    <n v="2"/>
    <s v="REALIZADO"/>
    <s v="MATHEUS"/>
    <d v="2025-09-16T00:00:00"/>
    <x v="0"/>
  </r>
  <r>
    <n v="50039718"/>
    <x v="11"/>
    <n v="1"/>
    <s v="REALIZADO"/>
    <s v="KELLY"/>
    <d v="2025-09-16T00:00:00"/>
    <x v="2"/>
  </r>
  <r>
    <n v="50039718"/>
    <x v="11"/>
    <n v="1"/>
    <s v="REALIZADO"/>
    <s v="GEOVANE"/>
    <d v="2025-09-16T00:00:00"/>
    <x v="0"/>
  </r>
  <r>
    <n v="50037905"/>
    <x v="49"/>
    <n v="1"/>
    <s v="REALIZADO"/>
    <s v="MARCIA"/>
    <d v="2025-09-16T00:00:00"/>
    <x v="2"/>
  </r>
  <r>
    <n v="50037905"/>
    <x v="49"/>
    <n v="1"/>
    <s v="REALIZADO"/>
    <s v="MARCIA"/>
    <d v="2025-09-16T00:00:00"/>
    <x v="0"/>
  </r>
  <r>
    <n v="50030486"/>
    <x v="17"/>
    <n v="1"/>
    <s v="REALIZADO"/>
    <s v="GEOVANE"/>
    <d v="2025-09-16T00:00:00"/>
    <x v="2"/>
  </r>
  <r>
    <n v="50030486"/>
    <x v="17"/>
    <n v="1"/>
    <s v="REALIZADO"/>
    <s v="MATHEUS"/>
    <d v="2025-09-16T00:00:00"/>
    <x v="0"/>
  </r>
  <r>
    <n v="50039236"/>
    <x v="84"/>
    <n v="1"/>
    <s v="REALIZADO"/>
    <s v="KELLY"/>
    <d v="2025-09-16T00:00:00"/>
    <x v="2"/>
  </r>
  <r>
    <n v="50039236"/>
    <x v="84"/>
    <n v="1"/>
    <s v="REALIZADO"/>
    <s v="GEOVANE"/>
    <d v="2025-09-16T00:00:00"/>
    <x v="0"/>
  </r>
  <r>
    <n v="50043471"/>
    <x v="5"/>
    <n v="1"/>
    <s v="REALIZADO"/>
    <s v="MATHEUS"/>
    <d v="2025-09-16T00:00:00"/>
    <x v="2"/>
  </r>
  <r>
    <n v="50043471"/>
    <x v="5"/>
    <n v="1"/>
    <s v="REALIZADO"/>
    <s v="MATHEUS"/>
    <d v="2025-09-16T00:00:00"/>
    <x v="0"/>
  </r>
  <r>
    <n v="50029865"/>
    <x v="9"/>
    <n v="1"/>
    <s v="REALIZADO"/>
    <s v="GEOVANE"/>
    <d v="2025-09-16T00:00:00"/>
    <x v="2"/>
  </r>
  <r>
    <n v="50029865"/>
    <x v="9"/>
    <n v="1"/>
    <s v="REALIZADO"/>
    <s v="MATHEUS"/>
    <d v="2025-09-16T00:00:00"/>
    <x v="0"/>
  </r>
  <r>
    <n v="50038549"/>
    <x v="6"/>
    <n v="1"/>
    <s v="REALIZADO"/>
    <s v="KELLY"/>
    <d v="2025-09-16T00:00:00"/>
    <x v="2"/>
  </r>
  <r>
    <n v="50038549"/>
    <x v="6"/>
    <n v="1"/>
    <s v="REALIZADO"/>
    <s v="GEOVANE"/>
    <d v="2025-09-16T00:00:00"/>
    <x v="2"/>
  </r>
  <r>
    <n v="50038549"/>
    <x v="6"/>
    <n v="1"/>
    <s v="REALIZADO"/>
    <s v="MATHEUS"/>
    <d v="2025-09-16T00:00:00"/>
    <x v="2"/>
  </r>
  <r>
    <n v="50038549"/>
    <x v="6"/>
    <n v="1"/>
    <s v="REALIZADO"/>
    <s v="FABIANO"/>
    <d v="2025-09-16T00:00:00"/>
    <x v="0"/>
  </r>
  <r>
    <n v="50038549"/>
    <x v="6"/>
    <n v="1"/>
    <s v="REALIZADO"/>
    <s v="FABIANO"/>
    <d v="2025-09-16T00:00:00"/>
    <x v="2"/>
  </r>
  <r>
    <n v="50037902"/>
    <x v="14"/>
    <n v="1"/>
    <s v="REALIZADO"/>
    <s v="MATHEUS"/>
    <d v="2025-09-16T00:00:00"/>
    <x v="0"/>
  </r>
  <r>
    <n v="50038841"/>
    <x v="34"/>
    <n v="1"/>
    <s v="REALIZADO"/>
    <s v="MARCIA"/>
    <d v="2025-09-16T00:00:00"/>
    <x v="2"/>
  </r>
  <r>
    <n v="50038841"/>
    <x v="34"/>
    <n v="1"/>
    <s v="REALIZADO"/>
    <s v="MATHEUS"/>
    <d v="2025-09-16T00:00:00"/>
    <x v="2"/>
  </r>
  <r>
    <n v="50038517"/>
    <x v="0"/>
    <n v="1"/>
    <s v="REALIZADO"/>
    <s v="FABIANO"/>
    <d v="2025-09-16T00:00:00"/>
    <x v="0"/>
  </r>
  <r>
    <n v="50038517"/>
    <x v="0"/>
    <n v="1"/>
    <s v="REALIZADO"/>
    <s v="FABIANO"/>
    <d v="2025-09-16T00:00:00"/>
    <x v="0"/>
  </r>
  <r>
    <n v="50043917"/>
    <x v="66"/>
    <n v="1"/>
    <s v="REALIZADO"/>
    <s v="GEOVANE"/>
    <d v="2025-09-16T00:00:00"/>
    <x v="2"/>
  </r>
  <r>
    <n v="50043917"/>
    <x v="66"/>
    <n v="1"/>
    <s v="REALIZADO"/>
    <s v="MATHEUS"/>
    <d v="2025-09-16T00:00:00"/>
    <x v="0"/>
  </r>
  <r>
    <n v="50041089"/>
    <x v="48"/>
    <n v="1"/>
    <s v="REALIZADO"/>
    <s v="FABIANO"/>
    <d v="2025-09-16T00:00:00"/>
    <x v="2"/>
  </r>
  <r>
    <n v="50041089"/>
    <x v="48"/>
    <n v="1"/>
    <s v="REALIZADO"/>
    <s v="FABIANO"/>
    <d v="2025-09-16T00:00:00"/>
    <x v="0"/>
  </r>
  <r>
    <n v="50010031"/>
    <x v="20"/>
    <n v="1"/>
    <s v="REALIZADO"/>
    <s v="KELLY"/>
    <d v="2025-09-15T00:00:00"/>
    <x v="2"/>
  </r>
  <r>
    <n v="50010031"/>
    <x v="20"/>
    <n v="1"/>
    <s v="REALIZADO"/>
    <s v="AGATHA"/>
    <d v="2025-09-15T00:00:00"/>
    <x v="0"/>
  </r>
  <r>
    <n v="50044003"/>
    <x v="63"/>
    <n v="1"/>
    <s v="REALIZADO"/>
    <s v="AGATHA"/>
    <d v="2025-09-15T00:00:00"/>
    <x v="2"/>
  </r>
  <r>
    <n v="50044003"/>
    <x v="63"/>
    <n v="1"/>
    <s v="REALIZADO"/>
    <s v="BRUNO"/>
    <d v="2025-09-15T00:00:00"/>
    <x v="0"/>
  </r>
  <r>
    <n v="50036296"/>
    <x v="46"/>
    <n v="1"/>
    <s v="REALIZADO"/>
    <s v="KELLY"/>
    <d v="2025-09-15T00:00:00"/>
    <x v="2"/>
  </r>
  <r>
    <n v="50036296"/>
    <x v="46"/>
    <n v="1"/>
    <s v="REALIZADO"/>
    <s v="BRUNO"/>
    <d v="2025-09-15T00:00:00"/>
    <x v="0"/>
  </r>
  <r>
    <n v="50036086"/>
    <x v="3"/>
    <n v="1"/>
    <s v="REALIZADO"/>
    <s v="KELLY"/>
    <d v="2025-09-15T00:00:00"/>
    <x v="2"/>
  </r>
  <r>
    <n v="50036086"/>
    <x v="3"/>
    <n v="1"/>
    <s v="REALIZADO"/>
    <s v="AGATHA"/>
    <d v="2025-09-15T00:00:00"/>
    <x v="0"/>
  </r>
  <r>
    <n v="50036086"/>
    <x v="3"/>
    <n v="1"/>
    <s v="REALIZADO"/>
    <s v="AGATHA"/>
    <d v="2025-09-15T00:00:00"/>
    <x v="2"/>
  </r>
  <r>
    <n v="50036086"/>
    <x v="3"/>
    <n v="1"/>
    <s v="REALIZADO"/>
    <s v="AGATHA"/>
    <d v="2025-09-15T00:00:00"/>
    <x v="0"/>
  </r>
  <r>
    <n v="50037905"/>
    <x v="49"/>
    <n v="1"/>
    <s v="REALIZADO"/>
    <s v="BRUNO"/>
    <d v="2025-09-15T00:00:00"/>
    <x v="2"/>
  </r>
  <r>
    <n v="50037905"/>
    <x v="49"/>
    <n v="1"/>
    <s v="REALIZADO"/>
    <s v="BRUNO"/>
    <d v="2025-09-15T00:00:00"/>
    <x v="0"/>
  </r>
  <r>
    <n v="50043471"/>
    <x v="5"/>
    <n v="1"/>
    <s v="REALIZADO"/>
    <s v="AGATHA"/>
    <d v="2025-09-15T00:00:00"/>
    <x v="2"/>
  </r>
  <r>
    <n v="50043471"/>
    <x v="5"/>
    <n v="1"/>
    <s v="REALIZADO"/>
    <s v="BRUNO"/>
    <d v="2025-09-15T00:00:00"/>
    <x v="2"/>
  </r>
  <r>
    <n v="50043471"/>
    <x v="5"/>
    <n v="1"/>
    <s v="REALIZADO"/>
    <s v="FELIPE"/>
    <d v="2025-09-15T00:00:00"/>
    <x v="0"/>
  </r>
  <r>
    <n v="50043471"/>
    <x v="5"/>
    <n v="1"/>
    <s v="REALIZADO"/>
    <s v="FELIPE"/>
    <d v="2025-09-15T00:00:00"/>
    <x v="0"/>
  </r>
  <r>
    <n v="50003297"/>
    <x v="8"/>
    <n v="1"/>
    <s v="REALIZADO"/>
    <s v="AGATHA"/>
    <d v="2025-09-15T00:00:00"/>
    <x v="2"/>
  </r>
  <r>
    <n v="50003297"/>
    <x v="8"/>
    <n v="1"/>
    <s v="REALIZADO"/>
    <s v="AGATHA"/>
    <d v="2025-09-15T00:00:00"/>
    <x v="0"/>
  </r>
  <r>
    <n v="50038549"/>
    <x v="6"/>
    <n v="1"/>
    <s v="REALIZADO"/>
    <s v="KELLY"/>
    <d v="2025-09-15T00:00:00"/>
    <x v="2"/>
  </r>
  <r>
    <n v="50038549"/>
    <x v="6"/>
    <n v="1"/>
    <s v="REALIZADO"/>
    <s v="AGATHA"/>
    <d v="2025-09-15T00:00:00"/>
    <x v="0"/>
  </r>
  <r>
    <n v="50022878"/>
    <x v="18"/>
    <n v="1"/>
    <s v="REALIZADO"/>
    <s v="AGATHA"/>
    <d v="2025-09-15T00:00:00"/>
    <x v="2"/>
  </r>
  <r>
    <n v="50022878"/>
    <x v="18"/>
    <n v="1"/>
    <s v="REALIZADO"/>
    <s v="MARCIA"/>
    <d v="2025-09-15T00:00:00"/>
    <x v="0"/>
  </r>
  <r>
    <n v="50038956"/>
    <x v="10"/>
    <n v="1"/>
    <s v="REALIZADO"/>
    <s v="AGATHA"/>
    <d v="2025-09-15T00:00:00"/>
    <x v="2"/>
  </r>
  <r>
    <n v="50038956"/>
    <x v="10"/>
    <n v="1"/>
    <s v="REALIZADO"/>
    <s v="AGATHA"/>
    <d v="2025-09-15T00:00:00"/>
    <x v="2"/>
  </r>
  <r>
    <n v="50037892"/>
    <x v="2"/>
    <n v="1"/>
    <s v="REALIZADO"/>
    <s v="GLAUBER"/>
    <d v="2025-09-15T00:00:00"/>
    <x v="0"/>
  </r>
  <r>
    <n v="50037892"/>
    <x v="2"/>
    <n v="1"/>
    <s v="REALIZADO"/>
    <s v="GLAUBER"/>
    <d v="2025-09-15T00:00:00"/>
    <x v="0"/>
  </r>
  <r>
    <n v="50038841"/>
    <x v="34"/>
    <n v="1"/>
    <s v="REALIZADO"/>
    <s v="KELLY"/>
    <d v="2025-09-15T00:00:00"/>
    <x v="2"/>
  </r>
  <r>
    <n v="50038841"/>
    <x v="34"/>
    <n v="1"/>
    <s v="REALIZADO"/>
    <s v="AGATHA"/>
    <d v="2025-09-15T00:00:00"/>
    <x v="0"/>
  </r>
  <r>
    <n v="50038841"/>
    <x v="34"/>
    <n v="1"/>
    <s v="REALIZADO"/>
    <s v="AGATHA"/>
    <d v="2025-09-15T00:00:00"/>
    <x v="2"/>
  </r>
  <r>
    <n v="50038841"/>
    <x v="34"/>
    <n v="1"/>
    <s v="REALIZADO"/>
    <s v="AGATHA"/>
    <d v="2025-09-15T00:00:00"/>
    <x v="0"/>
  </r>
  <r>
    <n v="50038841"/>
    <x v="34"/>
    <n v="1"/>
    <s v="REALIZADO"/>
    <s v="BRUNO"/>
    <d v="2025-09-15T00:00:00"/>
    <x v="2"/>
  </r>
  <r>
    <n v="50038841"/>
    <x v="34"/>
    <n v="1"/>
    <s v="REALIZADO"/>
    <s v="BRUNO"/>
    <d v="2025-09-15T00:00:00"/>
    <x v="0"/>
  </r>
  <r>
    <n v="50038517"/>
    <x v="0"/>
    <n v="1"/>
    <s v="REALIZADO"/>
    <s v="KELLY"/>
    <d v="2025-09-15T00:00:00"/>
    <x v="2"/>
  </r>
  <r>
    <n v="50038517"/>
    <x v="0"/>
    <n v="1"/>
    <s v="REALIZADO"/>
    <s v="MARCIA"/>
    <d v="2025-09-15T00:00:00"/>
    <x v="0"/>
  </r>
  <r>
    <n v="50037903"/>
    <x v="91"/>
    <n v="1"/>
    <s v="REALIZADO"/>
    <s v="KELLY"/>
    <d v="2025-09-15T00:00:00"/>
    <x v="2"/>
  </r>
  <r>
    <n v="50037903"/>
    <x v="91"/>
    <n v="1"/>
    <s v="REALIZADO"/>
    <s v="BRUNO"/>
    <d v="2025-09-15T00:00:00"/>
    <x v="2"/>
  </r>
  <r>
    <n v="50035332"/>
    <x v="82"/>
    <n v="1"/>
    <s v="REALIZADO"/>
    <s v="BRUNO"/>
    <d v="2025-09-15T00:00:00"/>
    <x v="2"/>
  </r>
  <r>
    <n v="50036297"/>
    <x v="100"/>
    <n v="1"/>
    <s v="REALIZADO"/>
    <s v="BRUNO"/>
    <d v="2025-09-15T00:00:00"/>
    <x v="0"/>
  </r>
  <r>
    <n v="50026357"/>
    <x v="24"/>
    <n v="1"/>
    <s v="REALIZADO"/>
    <s v="AGATHA"/>
    <d v="2025-09-15T00:00:00"/>
    <x v="2"/>
  </r>
  <r>
    <n v="50026357"/>
    <x v="24"/>
    <n v="1"/>
    <s v="REALIZADO"/>
    <s v="MARCIA"/>
    <d v="2025-09-15T00:00:00"/>
    <x v="0"/>
  </r>
  <r>
    <n v="50041195"/>
    <x v="21"/>
    <n v="1"/>
    <s v="REALIZADO"/>
    <s v="AGATHA"/>
    <d v="2025-09-15T00:00:00"/>
    <x v="2"/>
  </r>
  <r>
    <n v="50041195"/>
    <x v="21"/>
    <n v="1"/>
    <s v="REALIZADO"/>
    <s v="AGATHA"/>
    <d v="2025-09-15T00:00:00"/>
    <x v="0"/>
  </r>
  <r>
    <n v="50041195"/>
    <x v="21"/>
    <n v="1"/>
    <s v="REALIZADO"/>
    <s v="BRUNO"/>
    <d v="2025-09-15T00:00:00"/>
    <x v="2"/>
  </r>
  <r>
    <n v="50041195"/>
    <x v="21"/>
    <n v="1"/>
    <s v="REALIZADO"/>
    <s v="BRUNO"/>
    <d v="2025-09-15T00:00:00"/>
    <x v="0"/>
  </r>
  <r>
    <n v="50043917"/>
    <x v="66"/>
    <n v="1"/>
    <s v="REALIZADO"/>
    <s v="AGATHA"/>
    <d v="2025-09-15T00:00:00"/>
    <x v="2"/>
  </r>
  <r>
    <n v="50043917"/>
    <x v="66"/>
    <n v="1"/>
    <s v="REALIZADO"/>
    <s v="MARCIA"/>
    <d v="2025-09-15T00:00:00"/>
    <x v="2"/>
  </r>
  <r>
    <n v="50012903"/>
    <x v="31"/>
    <n v="1"/>
    <s v="REALIZADO"/>
    <s v="KELLY"/>
    <d v="2025-09-15T00:00:00"/>
    <x v="0"/>
  </r>
  <r>
    <n v="50012903"/>
    <x v="31"/>
    <n v="1"/>
    <s v="REALIZADO"/>
    <s v="AGATHA"/>
    <d v="2025-09-15T00:00:00"/>
    <x v="2"/>
  </r>
  <r>
    <n v="50012903"/>
    <x v="31"/>
    <n v="1"/>
    <s v="REALIZADO"/>
    <s v="BRUNO"/>
    <d v="2025-09-15T00:00:00"/>
    <x v="0"/>
  </r>
  <r>
    <n v="50032775"/>
    <x v="13"/>
    <n v="1"/>
    <s v="REALIZADO"/>
    <s v="KELLY"/>
    <d v="2025-09-15T00:00:00"/>
    <x v="2"/>
  </r>
  <r>
    <n v="50032775"/>
    <x v="13"/>
    <n v="1"/>
    <s v="REALIZADO"/>
    <s v="AGATHA"/>
    <d v="2025-09-15T00:00:00"/>
    <x v="0"/>
  </r>
  <r>
    <n v="50037949"/>
    <x v="71"/>
    <n v="1"/>
    <s v="REALIZADO"/>
    <s v="KELLY"/>
    <d v="2025-09-15T00:00:00"/>
    <x v="2"/>
  </r>
  <r>
    <n v="50037949"/>
    <x v="71"/>
    <n v="1"/>
    <s v="REALIZADO"/>
    <s v="AGATHA"/>
    <d v="2025-09-15T00:00:00"/>
    <x v="0"/>
  </r>
  <r>
    <n v="50042283"/>
    <x v="47"/>
    <n v="1"/>
    <s v="REALIZADO"/>
    <s v="KELLY"/>
    <d v="2025-09-15T00:00:00"/>
    <x v="2"/>
  </r>
  <r>
    <n v="50042283"/>
    <x v="47"/>
    <n v="1"/>
    <s v="REALIZADO"/>
    <s v="BRUNO"/>
    <d v="2025-09-15T00:00:00"/>
    <x v="0"/>
  </r>
  <r>
    <n v="50037905"/>
    <x v="49"/>
    <n v="1"/>
    <s v="REALIZADO"/>
    <s v="JOÃO CARLOS"/>
    <d v="2025-09-14T00:00:00"/>
    <x v="2"/>
  </r>
  <r>
    <n v="50037905"/>
    <x v="49"/>
    <n v="1"/>
    <s v="REALIZADO"/>
    <s v="JOÃO CARLOS"/>
    <d v="2025-09-14T00:00:00"/>
    <x v="0"/>
  </r>
  <r>
    <n v="50003297"/>
    <x v="8"/>
    <n v="1"/>
    <s v="REALIZADO"/>
    <s v="JOÃO CARLOS"/>
    <d v="2025-09-14T00:00:00"/>
    <x v="2"/>
  </r>
  <r>
    <n v="50003297"/>
    <x v="8"/>
    <n v="1"/>
    <s v="REALIZADO"/>
    <s v="JOÃO CARLOS"/>
    <d v="2025-09-14T00:00:00"/>
    <x v="2"/>
  </r>
  <r>
    <n v="50037892"/>
    <x v="2"/>
    <n v="1"/>
    <s v="REALIZADO"/>
    <s v="FELIPE"/>
    <d v="2025-09-14T00:00:00"/>
    <x v="0"/>
  </r>
  <r>
    <n v="50037892"/>
    <x v="2"/>
    <n v="1"/>
    <s v="REALIZADO"/>
    <s v="FELIPE"/>
    <d v="2025-09-14T00:00:00"/>
    <x v="2"/>
  </r>
  <r>
    <n v="50038517"/>
    <x v="0"/>
    <n v="1"/>
    <s v="REALIZADO"/>
    <s v="JOÃO CARLOS"/>
    <d v="2025-09-14T00:00:00"/>
    <x v="0"/>
  </r>
  <r>
    <n v="50038517"/>
    <x v="0"/>
    <n v="1"/>
    <s v="REALIZADO"/>
    <s v="JOÃO CARLOS"/>
    <d v="2025-09-14T00:00:00"/>
    <x v="0"/>
  </r>
  <r>
    <n v="50001995"/>
    <x v="44"/>
    <n v="1"/>
    <s v="REALIZADO"/>
    <s v="FELIPE"/>
    <d v="2025-09-14T00:00:00"/>
    <x v="2"/>
  </r>
  <r>
    <n v="50001995"/>
    <x v="44"/>
    <n v="1"/>
    <s v="REALIZADO"/>
    <s v="FELIPE"/>
    <d v="2025-09-14T00:00:00"/>
    <x v="0"/>
  </r>
  <r>
    <n v="50001995"/>
    <x v="44"/>
    <n v="1"/>
    <s v="REALIZADO"/>
    <s v="JOÃO CARLOS"/>
    <d v="2025-09-14T00:00:00"/>
    <x v="2"/>
  </r>
  <r>
    <n v="50001995"/>
    <x v="44"/>
    <n v="1"/>
    <s v="REALIZADO"/>
    <s v="JOÃO CARLOS"/>
    <d v="2025-09-14T00:00:00"/>
    <x v="0"/>
  </r>
  <r>
    <n v="50038194"/>
    <x v="87"/>
    <n v="1"/>
    <s v="REALIZADO"/>
    <s v="FELIPE"/>
    <d v="2025-09-14T00:00:00"/>
    <x v="2"/>
  </r>
  <r>
    <n v="50038194"/>
    <x v="87"/>
    <n v="1"/>
    <s v="REALIZADO"/>
    <s v="FELIPE"/>
    <d v="2025-09-14T00:00:00"/>
    <x v="0"/>
  </r>
  <r>
    <n v="50028220"/>
    <x v="33"/>
    <n v="1"/>
    <s v="REALIZADO"/>
    <s v="FELIPE"/>
    <d v="2025-09-14T00:00:00"/>
    <x v="2"/>
  </r>
  <r>
    <n v="50028220"/>
    <x v="33"/>
    <n v="1"/>
    <s v="REALIZADO"/>
    <s v="FELIPE"/>
    <d v="2025-09-14T00:00:00"/>
    <x v="0"/>
  </r>
  <r>
    <n v="50037905"/>
    <x v="49"/>
    <n v="1"/>
    <s v="REALIZADO"/>
    <s v="BRUNA"/>
    <d v="2025-09-13T00:00:00"/>
    <x v="2"/>
  </r>
  <r>
    <n v="50037905"/>
    <x v="49"/>
    <n v="1"/>
    <s v="REALIZADO"/>
    <s v="BRUNA"/>
    <d v="2025-09-13T00:00:00"/>
    <x v="0"/>
  </r>
  <r>
    <n v="50043471"/>
    <x v="5"/>
    <n v="1"/>
    <s v="REALIZADO"/>
    <s v="BRUNA"/>
    <d v="2025-09-13T00:00:00"/>
    <x v="2"/>
  </r>
  <r>
    <n v="50043471"/>
    <x v="5"/>
    <n v="1"/>
    <s v="REALIZADO"/>
    <s v="BRUNA"/>
    <d v="2025-09-13T00:00:00"/>
    <x v="0"/>
  </r>
  <r>
    <n v="50003296"/>
    <x v="105"/>
    <n v="1"/>
    <s v="REALIZADO"/>
    <s v="BRUNA"/>
    <d v="2025-09-13T00:00:00"/>
    <x v="2"/>
  </r>
  <r>
    <n v="50003296"/>
    <x v="105"/>
    <n v="1"/>
    <s v="REALIZADO"/>
    <s v="BRUNA"/>
    <d v="2025-09-13T00:00:00"/>
    <x v="0"/>
  </r>
  <r>
    <n v="50003297"/>
    <x v="8"/>
    <n v="1"/>
    <s v="REALIZADO"/>
    <s v="JOÃO CARLOS"/>
    <d v="2025-09-13T00:00:00"/>
    <x v="2"/>
  </r>
  <r>
    <n v="50003297"/>
    <x v="8"/>
    <n v="1"/>
    <s v="REALIZADO"/>
    <s v="JOÃO CARLOS"/>
    <d v="2025-09-13T00:00:00"/>
    <x v="0"/>
  </r>
  <r>
    <n v="50038549"/>
    <x v="6"/>
    <n v="1"/>
    <s v="REALIZADO"/>
    <s v="BRUNA"/>
    <d v="2025-09-13T00:00:00"/>
    <x v="2"/>
  </r>
  <r>
    <n v="50038549"/>
    <x v="6"/>
    <n v="1"/>
    <s v="REALIZADO"/>
    <s v="BRUNA"/>
    <d v="2025-09-13T00:00:00"/>
    <x v="2"/>
  </r>
  <r>
    <n v="50038549"/>
    <x v="6"/>
    <n v="1"/>
    <s v="REALIZADO"/>
    <s v="JOÃO CARLOS"/>
    <d v="2025-09-13T00:00:00"/>
    <x v="0"/>
  </r>
  <r>
    <n v="50038549"/>
    <x v="6"/>
    <n v="1"/>
    <s v="REALIZADO"/>
    <s v="JOÃO CARLOS"/>
    <d v="2025-09-13T00:00:00"/>
    <x v="0"/>
  </r>
  <r>
    <n v="50038956"/>
    <x v="10"/>
    <n v="1"/>
    <s v="REALIZADO"/>
    <s v="BRUNA"/>
    <d v="2025-09-13T00:00:00"/>
    <x v="2"/>
  </r>
  <r>
    <n v="50038956"/>
    <x v="10"/>
    <n v="1"/>
    <s v="REALIZADO"/>
    <s v="BRUNA"/>
    <d v="2025-09-13T00:00:00"/>
    <x v="2"/>
  </r>
  <r>
    <n v="50037892"/>
    <x v="2"/>
    <n v="1"/>
    <s v="REALIZADO"/>
    <s v="JOÃO CARLOS"/>
    <d v="2025-09-13T00:00:00"/>
    <x v="0"/>
  </r>
  <r>
    <n v="50037892"/>
    <x v="2"/>
    <n v="1"/>
    <s v="REALIZADO"/>
    <s v="JOÃO CARLOS"/>
    <d v="2025-09-13T00:00:00"/>
    <x v="0"/>
  </r>
  <r>
    <n v="50001995"/>
    <x v="44"/>
    <n v="1"/>
    <s v="REALIZADO"/>
    <s v="JOÃO CARLOS"/>
    <d v="2025-09-13T00:00:00"/>
    <x v="2"/>
  </r>
  <r>
    <n v="50001995"/>
    <x v="44"/>
    <n v="1"/>
    <s v="REALIZADO"/>
    <s v="JOÃO CARLOS"/>
    <d v="2025-09-13T00:00:00"/>
    <x v="0"/>
  </r>
  <r>
    <n v="50043917"/>
    <x v="66"/>
    <n v="1"/>
    <s v="REALIZADO"/>
    <s v="BRUNA"/>
    <d v="2025-09-13T00:00:00"/>
    <x v="2"/>
  </r>
  <r>
    <n v="50043917"/>
    <x v="66"/>
    <n v="1"/>
    <s v="REALIZADO"/>
    <s v="BRUNA"/>
    <d v="2025-09-13T00:00:00"/>
    <x v="0"/>
  </r>
  <r>
    <n v="50020622"/>
    <x v="42"/>
    <n v="1"/>
    <s v="REALIZADO"/>
    <s v="BRUNA"/>
    <d v="2025-09-13T00:00:00"/>
    <x v="2"/>
  </r>
  <r>
    <n v="50020622"/>
    <x v="42"/>
    <n v="1"/>
    <s v="REALIZADO"/>
    <s v="BRUNA"/>
    <d v="2025-09-13T00:00:00"/>
    <x v="0"/>
  </r>
  <r>
    <n v="50038854"/>
    <x v="27"/>
    <n v="1"/>
    <s v="REALIZADO"/>
    <s v="BRUNO"/>
    <d v="2025-09-12T00:00:00"/>
    <x v="2"/>
  </r>
  <r>
    <n v="50038854"/>
    <x v="27"/>
    <n v="1"/>
    <s v="REALIZADO"/>
    <s v="BRUNO"/>
    <d v="2025-09-12T00:00:00"/>
    <x v="0"/>
  </r>
  <r>
    <n v="50036288"/>
    <x v="111"/>
    <n v="1"/>
    <s v="REALIZADO"/>
    <s v="BRUNO"/>
    <d v="2025-09-12T00:00:00"/>
    <x v="0"/>
  </r>
  <r>
    <n v="50043471"/>
    <x v="5"/>
    <n v="1"/>
    <s v="REALIZADO"/>
    <s v="AGATHA"/>
    <d v="2025-09-12T00:00:00"/>
    <x v="2"/>
  </r>
  <r>
    <n v="50043471"/>
    <x v="5"/>
    <n v="1"/>
    <s v="REALIZADO"/>
    <s v="AGATHA"/>
    <d v="2025-09-12T00:00:00"/>
    <x v="0"/>
  </r>
  <r>
    <n v="50043471"/>
    <x v="5"/>
    <n v="1"/>
    <s v="REALIZADO"/>
    <s v="AGATHA"/>
    <d v="2025-09-12T00:00:00"/>
    <x v="2"/>
  </r>
  <r>
    <n v="50043471"/>
    <x v="5"/>
    <n v="1"/>
    <s v="REALIZADO"/>
    <s v="BRUNA"/>
    <d v="2025-09-12T00:00:00"/>
    <x v="0"/>
  </r>
  <r>
    <n v="50003297"/>
    <x v="8"/>
    <n v="1"/>
    <s v="REALIZADO"/>
    <s v="GEOVANE"/>
    <d v="2025-09-12T00:00:00"/>
    <x v="2"/>
  </r>
  <r>
    <n v="50003297"/>
    <x v="8"/>
    <n v="1"/>
    <s v="REALIZADO"/>
    <s v="GEOVANE"/>
    <d v="2025-09-12T00:00:00"/>
    <x v="0"/>
  </r>
  <r>
    <n v="50038549"/>
    <x v="6"/>
    <n v="1"/>
    <s v="REALIZADO"/>
    <s v="AGATHA"/>
    <d v="2025-09-12T00:00:00"/>
    <x v="2"/>
  </r>
  <r>
    <n v="50038549"/>
    <x v="6"/>
    <n v="1"/>
    <s v="REALIZADO"/>
    <s v="BRUNO"/>
    <d v="2025-09-12T00:00:00"/>
    <x v="0"/>
  </r>
  <r>
    <n v="50038956"/>
    <x v="10"/>
    <n v="1"/>
    <s v="REALIZADO"/>
    <s v="KELLY"/>
    <d v="2025-09-12T00:00:00"/>
    <x v="2"/>
  </r>
  <r>
    <n v="50038956"/>
    <x v="10"/>
    <n v="1"/>
    <s v="REALIZADO"/>
    <s v="KELLY"/>
    <d v="2025-09-12T00:00:00"/>
    <x v="0"/>
  </r>
  <r>
    <n v="50038956"/>
    <x v="10"/>
    <n v="1"/>
    <s v="REALIZADO"/>
    <s v="KELLY"/>
    <d v="2025-09-12T00:00:00"/>
    <x v="2"/>
  </r>
  <r>
    <n v="50038956"/>
    <x v="10"/>
    <n v="1"/>
    <s v="REALIZADO"/>
    <s v="BRUNO"/>
    <d v="2025-09-12T00:00:00"/>
    <x v="0"/>
  </r>
  <r>
    <n v="50038841"/>
    <x v="34"/>
    <n v="1"/>
    <s v="REALIZADO"/>
    <s v="BRUNO"/>
    <d v="2025-09-12T00:00:00"/>
    <x v="2"/>
  </r>
  <r>
    <n v="50038841"/>
    <x v="34"/>
    <n v="1"/>
    <s v="REALIZADO"/>
    <s v="BRUNO"/>
    <d v="2025-09-12T00:00:00"/>
    <x v="0"/>
  </r>
  <r>
    <n v="50038517"/>
    <x v="0"/>
    <n v="1"/>
    <s v="REALIZADO"/>
    <s v="MATHEUS"/>
    <d v="2025-09-12T00:00:00"/>
    <x v="2"/>
  </r>
  <r>
    <n v="50038517"/>
    <x v="0"/>
    <n v="1"/>
    <s v="REALIZADO"/>
    <s v="MATHEUS"/>
    <d v="2025-09-12T00:00:00"/>
    <x v="0"/>
  </r>
  <r>
    <n v="50037903"/>
    <x v="91"/>
    <n v="1"/>
    <s v="REALIZADO"/>
    <s v="BRUNO"/>
    <d v="2025-09-12T00:00:00"/>
    <x v="2"/>
  </r>
  <r>
    <n v="50037903"/>
    <x v="91"/>
    <n v="1"/>
    <s v="REALIZADO"/>
    <s v="BRUNO"/>
    <d v="2025-09-12T00:00:00"/>
    <x v="0"/>
  </r>
  <r>
    <n v="50039065"/>
    <x v="22"/>
    <n v="1"/>
    <s v="REALIZADO"/>
    <s v="KELLY"/>
    <d v="2025-09-12T00:00:00"/>
    <x v="2"/>
  </r>
  <r>
    <n v="50039065"/>
    <x v="22"/>
    <n v="1"/>
    <s v="REALIZADO"/>
    <s v="KELLY"/>
    <d v="2025-09-12T00:00:00"/>
    <x v="0"/>
  </r>
  <r>
    <n v="50039065"/>
    <x v="22"/>
    <n v="1"/>
    <s v="REALIZADO"/>
    <s v="BRUNO"/>
    <d v="2025-09-12T00:00:00"/>
    <x v="2"/>
  </r>
  <r>
    <n v="50039065"/>
    <x v="22"/>
    <n v="1"/>
    <s v="REALIZADO"/>
    <s v="BRUNO"/>
    <d v="2025-09-12T00:00:00"/>
    <x v="0"/>
  </r>
  <r>
    <n v="50038662"/>
    <x v="59"/>
    <n v="1"/>
    <s v="REALIZADO"/>
    <s v="GEOVANE"/>
    <d v="2025-09-12T00:00:00"/>
    <x v="2"/>
  </r>
  <r>
    <n v="50038662"/>
    <x v="59"/>
    <n v="1"/>
    <s v="REALIZADO"/>
    <s v="BRUNO"/>
    <d v="2025-09-12T00:00:00"/>
    <x v="0"/>
  </r>
  <r>
    <n v="50043917"/>
    <x v="66"/>
    <n v="1"/>
    <s v="REALIZADO"/>
    <s v="AGATHA"/>
    <d v="2025-09-12T00:00:00"/>
    <x v="2"/>
  </r>
  <r>
    <n v="50043917"/>
    <x v="66"/>
    <n v="1"/>
    <s v="REALIZADO"/>
    <s v="GEOVANE"/>
    <d v="2025-09-12T00:00:00"/>
    <x v="0"/>
  </r>
  <r>
    <n v="50020622"/>
    <x v="42"/>
    <n v="1"/>
    <s v="REALIZADO"/>
    <s v="AGATHA"/>
    <d v="2025-09-12T00:00:00"/>
    <x v="0"/>
  </r>
  <r>
    <n v="50038840"/>
    <x v="68"/>
    <n v="1"/>
    <s v="REALIZADO"/>
    <s v="GEOVANE"/>
    <d v="2025-09-12T00:00:00"/>
    <x v="2"/>
  </r>
  <r>
    <n v="50038840"/>
    <x v="68"/>
    <n v="1"/>
    <s v="REALIZADO"/>
    <s v="BRUNO"/>
    <d v="2025-09-12T00:00:00"/>
    <x v="0"/>
  </r>
  <r>
    <n v="50037952"/>
    <x v="56"/>
    <n v="1"/>
    <s v="REALIZADO"/>
    <s v="GEOVANE"/>
    <d v="2025-09-12T00:00:00"/>
    <x v="2"/>
  </r>
  <r>
    <n v="50037952"/>
    <x v="56"/>
    <n v="1"/>
    <s v="REALIZADO"/>
    <s v="BRUNO"/>
    <d v="2025-09-12T00:00:00"/>
    <x v="0"/>
  </r>
  <r>
    <n v="50036296"/>
    <x v="46"/>
    <n v="1"/>
    <s v="REALIZADO"/>
    <s v="GEOVANE"/>
    <d v="2025-09-11T00:00:00"/>
    <x v="2"/>
  </r>
  <r>
    <n v="50036296"/>
    <x v="46"/>
    <n v="1"/>
    <s v="REALIZADO"/>
    <s v="BRUNO"/>
    <d v="2025-09-11T00:00:00"/>
    <x v="0"/>
  </r>
  <r>
    <n v="50039718"/>
    <x v="11"/>
    <n v="1"/>
    <s v="REALIZADO"/>
    <s v="KELLY"/>
    <d v="2025-09-11T00:00:00"/>
    <x v="2"/>
  </r>
  <r>
    <n v="50039718"/>
    <x v="11"/>
    <n v="1"/>
    <s v="REALIZADO"/>
    <s v="GEOVANE"/>
    <d v="2025-09-11T00:00:00"/>
    <x v="0"/>
  </r>
  <r>
    <n v="50037905"/>
    <x v="49"/>
    <n v="1"/>
    <s v="REALIZADO"/>
    <s v="KELLY"/>
    <d v="2025-09-11T00:00:00"/>
    <x v="2"/>
  </r>
  <r>
    <n v="50037905"/>
    <x v="49"/>
    <n v="1"/>
    <s v="NÃO REALIZADO"/>
    <s v="GEOVANE"/>
    <d v="2025-09-11T00:00:00"/>
    <x v="0"/>
  </r>
  <r>
    <n v="50037905"/>
    <x v="49"/>
    <n v="1"/>
    <s v="NÃO REALIZADO"/>
    <s v="GEOVANE"/>
    <d v="2025-09-11T00:00:00"/>
    <x v="2"/>
  </r>
  <r>
    <n v="50037905"/>
    <x v="49"/>
    <n v="1"/>
    <s v="NÃO REALIZADO"/>
    <s v="MARCIA"/>
    <d v="2025-09-11T00:00:00"/>
    <x v="0"/>
  </r>
  <r>
    <n v="50030486"/>
    <x v="17"/>
    <n v="1"/>
    <s v="REALIZADO"/>
    <s v="KELLY"/>
    <d v="2025-09-11T00:00:00"/>
    <x v="2"/>
  </r>
  <r>
    <n v="50030486"/>
    <x v="17"/>
    <n v="1"/>
    <s v="REALIZADO"/>
    <s v="MATHEUS"/>
    <d v="2025-09-11T00:00:00"/>
    <x v="0"/>
  </r>
  <r>
    <n v="50043471"/>
    <x v="5"/>
    <n v="1"/>
    <s v="REALIZADO"/>
    <s v="KELLY"/>
    <d v="2025-09-11T00:00:00"/>
    <x v="2"/>
  </r>
  <r>
    <n v="50043471"/>
    <x v="5"/>
    <n v="1"/>
    <s v="REALIZADO"/>
    <s v="BRUNA"/>
    <d v="2025-09-11T00:00:00"/>
    <x v="0"/>
  </r>
  <r>
    <n v="50003297"/>
    <x v="8"/>
    <n v="1"/>
    <s v="REALIZADO"/>
    <s v="KELLY"/>
    <d v="2025-09-11T00:00:00"/>
    <x v="2"/>
  </r>
  <r>
    <n v="50003297"/>
    <x v="8"/>
    <n v="1"/>
    <s v="REALIZADO"/>
    <s v="KELLY"/>
    <d v="2025-09-11T00:00:00"/>
    <x v="0"/>
  </r>
  <r>
    <n v="50036299"/>
    <x v="26"/>
    <n v="1"/>
    <s v="REALIZADO"/>
    <s v="KELLY"/>
    <d v="2025-09-11T00:00:00"/>
    <x v="2"/>
  </r>
  <r>
    <n v="50036299"/>
    <x v="26"/>
    <n v="1"/>
    <s v="REALIZADO"/>
    <s v="KELLY"/>
    <d v="2025-09-11T00:00:00"/>
    <x v="0"/>
  </r>
  <r>
    <n v="50038549"/>
    <x v="6"/>
    <n v="1"/>
    <s v="REALIZADO"/>
    <s v="GEOVANE"/>
    <d v="2025-09-11T00:00:00"/>
    <x v="2"/>
  </r>
  <r>
    <n v="50038549"/>
    <x v="6"/>
    <n v="1"/>
    <s v="REALIZADO"/>
    <s v="MATHEUS"/>
    <d v="2025-09-11T00:00:00"/>
    <x v="0"/>
  </r>
  <r>
    <n v="50037892"/>
    <x v="2"/>
    <n v="1"/>
    <s v="REALIZADO"/>
    <s v="BRUNA"/>
    <d v="2025-09-11T00:00:00"/>
    <x v="2"/>
  </r>
  <r>
    <n v="50037892"/>
    <x v="2"/>
    <n v="1"/>
    <s v="REALIZADO"/>
    <s v="BRUNO"/>
    <d v="2025-09-11T00:00:00"/>
    <x v="0"/>
  </r>
  <r>
    <n v="50037892"/>
    <x v="2"/>
    <n v="1"/>
    <s v="REALIZADO"/>
    <s v="BRUNO"/>
    <d v="2025-09-11T00:00:00"/>
    <x v="2"/>
  </r>
  <r>
    <n v="50037892"/>
    <x v="2"/>
    <n v="1"/>
    <s v="REALIZADO"/>
    <s v="MARCIA"/>
    <d v="2025-09-11T00:00:00"/>
    <x v="0"/>
  </r>
  <r>
    <n v="50037902"/>
    <x v="14"/>
    <n v="1"/>
    <s v="REALIZADO"/>
    <s v="KELLY"/>
    <d v="2025-09-11T00:00:00"/>
    <x v="2"/>
  </r>
  <r>
    <n v="50037902"/>
    <x v="14"/>
    <n v="1"/>
    <s v="REALIZADO"/>
    <s v="GEOVANE"/>
    <d v="2025-09-11T00:00:00"/>
    <x v="0"/>
  </r>
  <r>
    <n v="50037902"/>
    <x v="14"/>
    <n v="1"/>
    <s v="REALIZADO"/>
    <s v="BRUNA"/>
    <d v="2025-09-11T00:00:00"/>
    <x v="2"/>
  </r>
  <r>
    <n v="50037902"/>
    <x v="14"/>
    <n v="1"/>
    <s v="REALIZADO"/>
    <s v="BRUNA"/>
    <d v="2025-09-11T00:00:00"/>
    <x v="0"/>
  </r>
  <r>
    <n v="50038841"/>
    <x v="34"/>
    <n v="1"/>
    <s v="REALIZADO"/>
    <s v="KELLY"/>
    <d v="2025-09-11T00:00:00"/>
    <x v="2"/>
  </r>
  <r>
    <n v="50038841"/>
    <x v="34"/>
    <n v="1"/>
    <s v="REALIZADO"/>
    <s v="MATHEUS"/>
    <d v="2025-09-11T00:00:00"/>
    <x v="0"/>
  </r>
  <r>
    <n v="50038517"/>
    <x v="0"/>
    <n v="1"/>
    <s v="REALIZADO"/>
    <s v="GEOVANE"/>
    <d v="2025-09-11T00:00:00"/>
    <x v="2"/>
  </r>
  <r>
    <n v="50038517"/>
    <x v="0"/>
    <n v="1"/>
    <s v="REALIZADO"/>
    <s v="MATHEUS"/>
    <d v="2025-09-11T00:00:00"/>
    <x v="0"/>
  </r>
  <r>
    <n v="50038517"/>
    <x v="0"/>
    <n v="1"/>
    <s v="REALIZADO"/>
    <s v="BRUNO"/>
    <d v="2025-09-11T00:00:00"/>
    <x v="2"/>
  </r>
  <r>
    <n v="50038517"/>
    <x v="0"/>
    <n v="1"/>
    <s v="REALIZADO"/>
    <s v="BRUNO"/>
    <d v="2025-09-11T00:00:00"/>
    <x v="0"/>
  </r>
  <r>
    <n v="50001995"/>
    <x v="44"/>
    <n v="1"/>
    <s v="REALIZADO"/>
    <s v="KELLY"/>
    <d v="2025-09-11T00:00:00"/>
    <x v="2"/>
  </r>
  <r>
    <n v="50001995"/>
    <x v="44"/>
    <n v="1"/>
    <s v="REALIZADO"/>
    <s v="GEOVANE"/>
    <d v="2025-09-11T00:00:00"/>
    <x v="0"/>
  </r>
  <r>
    <n v="50026357"/>
    <x v="24"/>
    <n v="1"/>
    <s v="REALIZADO"/>
    <s v="BRUNA"/>
    <d v="2025-09-11T00:00:00"/>
    <x v="2"/>
  </r>
  <r>
    <n v="50026357"/>
    <x v="24"/>
    <n v="1"/>
    <s v="REALIZADO"/>
    <s v="MATHEUS"/>
    <d v="2025-09-11T00:00:00"/>
    <x v="0"/>
  </r>
  <r>
    <n v="50041124"/>
    <x v="77"/>
    <n v="1"/>
    <s v="REALIZADO"/>
    <s v="GEOVANE"/>
    <d v="2025-09-11T00:00:00"/>
    <x v="2"/>
  </r>
  <r>
    <n v="50041124"/>
    <x v="77"/>
    <n v="1"/>
    <s v="REALIZADO"/>
    <s v="MATHEUS"/>
    <d v="2025-09-11T00:00:00"/>
    <x v="2"/>
  </r>
  <r>
    <n v="50041195"/>
    <x v="21"/>
    <n v="1"/>
    <s v="REALIZADO"/>
    <s v="BRUNO"/>
    <d v="2025-09-11T00:00:00"/>
    <x v="0"/>
  </r>
  <r>
    <n v="50043917"/>
    <x v="66"/>
    <n v="1"/>
    <s v="REALIZADO"/>
    <s v="KELLY"/>
    <d v="2025-09-11T00:00:00"/>
    <x v="2"/>
  </r>
  <r>
    <n v="50043917"/>
    <x v="66"/>
    <n v="1"/>
    <s v="REALIZADO"/>
    <s v="KELLY"/>
    <d v="2025-09-11T00:00:00"/>
    <x v="0"/>
  </r>
  <r>
    <n v="50043917"/>
    <x v="66"/>
    <n v="1"/>
    <s v="REALIZADO"/>
    <s v="GEOVANE"/>
    <d v="2025-09-11T00:00:00"/>
    <x v="2"/>
  </r>
  <r>
    <n v="50043917"/>
    <x v="66"/>
    <n v="1"/>
    <s v="REALIZADO"/>
    <s v="GEOVANE"/>
    <d v="2025-09-11T00:00:00"/>
    <x v="0"/>
  </r>
  <r>
    <n v="50043917"/>
    <x v="66"/>
    <n v="1"/>
    <s v="REALIZADO"/>
    <s v="GEOVANE"/>
    <d v="2025-09-11T00:00:00"/>
    <x v="2"/>
  </r>
  <r>
    <n v="50043917"/>
    <x v="66"/>
    <n v="1"/>
    <s v="REALIZADO"/>
    <s v="BRUNA"/>
    <d v="2025-09-11T00:00:00"/>
    <x v="0"/>
  </r>
  <r>
    <n v="50043917"/>
    <x v="66"/>
    <n v="1"/>
    <s v="REALIZADO"/>
    <s v="BRUNO"/>
    <d v="2025-09-11T00:00:00"/>
    <x v="2"/>
  </r>
  <r>
    <n v="50043917"/>
    <x v="66"/>
    <n v="1"/>
    <s v="REALIZADO"/>
    <s v="BRUNO"/>
    <d v="2025-09-11T00:00:00"/>
    <x v="2"/>
  </r>
  <r>
    <n v="50020622"/>
    <x v="42"/>
    <n v="1"/>
    <s v="REALIZADO"/>
    <s v="BRUNA"/>
    <d v="2025-09-11T00:00:00"/>
    <x v="0"/>
  </r>
  <r>
    <n v="50012902"/>
    <x v="30"/>
    <n v="1"/>
    <s v="REALIZADO"/>
    <s v="BRUNA"/>
    <d v="2025-09-11T00:00:00"/>
    <x v="2"/>
  </r>
  <r>
    <n v="50012902"/>
    <x v="30"/>
    <n v="1"/>
    <s v="REALIZADO"/>
    <s v="BRUNA"/>
    <d v="2025-09-11T00:00:00"/>
    <x v="0"/>
  </r>
  <r>
    <n v="50032781"/>
    <x v="12"/>
    <n v="1"/>
    <s v="REALIZADO"/>
    <s v="BRUNO"/>
    <d v="2025-09-11T00:00:00"/>
    <x v="2"/>
  </r>
  <r>
    <n v="50032781"/>
    <x v="12"/>
    <n v="1"/>
    <s v="REALIZADO"/>
    <s v="BRUNO"/>
    <d v="2025-09-11T00:00:00"/>
    <x v="0"/>
  </r>
  <r>
    <n v="50038194"/>
    <x v="87"/>
    <n v="1"/>
    <s v="REALIZADO"/>
    <s v="BRUNA"/>
    <d v="2025-09-11T00:00:00"/>
    <x v="2"/>
  </r>
  <r>
    <n v="50038194"/>
    <x v="87"/>
    <n v="1"/>
    <s v="REALIZADO"/>
    <s v="BRUNA"/>
    <d v="2025-09-11T00:00:00"/>
    <x v="0"/>
  </r>
  <r>
    <n v="50037905"/>
    <x v="49"/>
    <n v="1"/>
    <s v="REALIZADO"/>
    <s v="BRUNA"/>
    <d v="2025-09-10T00:00:00"/>
    <x v="2"/>
  </r>
  <r>
    <n v="50037905"/>
    <x v="49"/>
    <n v="1"/>
    <s v="REALIZADO"/>
    <s v="BRUNA"/>
    <d v="2025-09-10T00:00:00"/>
    <x v="0"/>
  </r>
  <r>
    <n v="50030486"/>
    <x v="17"/>
    <n v="1"/>
    <s v="REALIZADO"/>
    <s v="KELLY"/>
    <d v="2025-09-10T00:00:00"/>
    <x v="2"/>
  </r>
  <r>
    <n v="50030486"/>
    <x v="17"/>
    <n v="1"/>
    <s v="REALIZADO"/>
    <s v="AGATHA"/>
    <d v="2025-09-10T00:00:00"/>
    <x v="0"/>
  </r>
  <r>
    <n v="50043471"/>
    <x v="5"/>
    <n v="1"/>
    <s v="REALIZADO"/>
    <s v="BRUNA"/>
    <d v="2025-09-10T00:00:00"/>
    <x v="2"/>
  </r>
  <r>
    <n v="50043471"/>
    <x v="5"/>
    <n v="1"/>
    <s v="REALIZADO"/>
    <s v="BRUNO"/>
    <d v="2025-09-10T00:00:00"/>
    <x v="0"/>
  </r>
  <r>
    <n v="50044839"/>
    <x v="79"/>
    <n v="1"/>
    <s v="REALIZADO"/>
    <s v="BRUNO"/>
    <d v="2025-09-10T00:00:00"/>
    <x v="2"/>
  </r>
  <r>
    <n v="50044839"/>
    <x v="79"/>
    <n v="1"/>
    <s v="REALIZADO"/>
    <s v="BRUNO"/>
    <d v="2025-09-10T00:00:00"/>
    <x v="2"/>
  </r>
  <r>
    <n v="50044839"/>
    <x v="79"/>
    <n v="1"/>
    <s v="REALIZADO"/>
    <s v="BRUNO"/>
    <d v="2025-09-10T00:00:00"/>
    <x v="0"/>
  </r>
  <r>
    <n v="50029865"/>
    <x v="9"/>
    <n v="1"/>
    <s v="REALIZADO"/>
    <s v="BRUNA"/>
    <d v="2025-09-10T00:00:00"/>
    <x v="2"/>
  </r>
  <r>
    <n v="50029865"/>
    <x v="9"/>
    <n v="1"/>
    <s v="REALIZADO"/>
    <s v="BRUNO"/>
    <d v="2025-09-10T00:00:00"/>
    <x v="0"/>
  </r>
  <r>
    <n v="50036299"/>
    <x v="26"/>
    <n v="1"/>
    <s v="REALIZADO"/>
    <s v="KELLY"/>
    <d v="2025-09-10T00:00:00"/>
    <x v="2"/>
  </r>
  <r>
    <n v="50036299"/>
    <x v="26"/>
    <n v="1"/>
    <s v="REALIZADO"/>
    <s v="GEOVANE"/>
    <d v="2025-09-10T00:00:00"/>
    <x v="0"/>
  </r>
  <r>
    <n v="50043320"/>
    <x v="35"/>
    <n v="1"/>
    <s v="REALIZADO"/>
    <s v="KELLY"/>
    <d v="2025-09-10T00:00:00"/>
    <x v="0"/>
  </r>
  <r>
    <n v="50038549"/>
    <x v="6"/>
    <n v="1"/>
    <s v="REALIZADO"/>
    <s v="AGATHA"/>
    <d v="2025-09-10T00:00:00"/>
    <x v="2"/>
  </r>
  <r>
    <n v="50038549"/>
    <x v="6"/>
    <n v="1"/>
    <s v="REALIZADO"/>
    <s v="BRUNA"/>
    <d v="2025-09-10T00:00:00"/>
    <x v="0"/>
  </r>
  <r>
    <n v="50022878"/>
    <x v="18"/>
    <n v="1"/>
    <s v="REALIZADO"/>
    <s v="KELLY"/>
    <d v="2025-09-10T00:00:00"/>
    <x v="2"/>
  </r>
  <r>
    <n v="50022878"/>
    <x v="18"/>
    <n v="1"/>
    <s v="REALIZADO"/>
    <s v="GEOVANE"/>
    <d v="2025-09-10T00:00:00"/>
    <x v="0"/>
  </r>
  <r>
    <n v="50038956"/>
    <x v="10"/>
    <n v="1"/>
    <s v="REALIZADO"/>
    <s v="BRUNO"/>
    <d v="2025-09-10T00:00:00"/>
    <x v="2"/>
  </r>
  <r>
    <n v="50038956"/>
    <x v="10"/>
    <n v="1"/>
    <s v="REALIZADO"/>
    <s v="BRUNO"/>
    <d v="2025-09-10T00:00:00"/>
    <x v="0"/>
  </r>
  <r>
    <n v="50038956"/>
    <x v="10"/>
    <n v="1"/>
    <s v="REALIZADO"/>
    <s v="BRUNA"/>
    <d v="2025-09-10T00:00:00"/>
    <x v="2"/>
  </r>
  <r>
    <n v="50038956"/>
    <x v="10"/>
    <n v="1"/>
    <s v="REALIZADO"/>
    <s v="BRUNA"/>
    <d v="2025-09-10T00:00:00"/>
    <x v="0"/>
  </r>
  <r>
    <n v="50037892"/>
    <x v="2"/>
    <n v="1"/>
    <s v="REALIZADO"/>
    <s v="AGATHA"/>
    <d v="2025-09-10T00:00:00"/>
    <x v="2"/>
  </r>
  <r>
    <n v="50037892"/>
    <x v="2"/>
    <n v="1"/>
    <s v="REALIZADO"/>
    <s v="BRUNO"/>
    <d v="2025-09-10T00:00:00"/>
    <x v="0"/>
  </r>
  <r>
    <n v="50037902"/>
    <x v="14"/>
    <n v="1"/>
    <s v="REALIZADO"/>
    <s v="KELLY"/>
    <d v="2025-09-10T00:00:00"/>
    <x v="2"/>
  </r>
  <r>
    <n v="50037902"/>
    <x v="14"/>
    <n v="1"/>
    <s v="REALIZADO"/>
    <s v="GEOVANE"/>
    <d v="2025-09-10T00:00:00"/>
    <x v="0"/>
  </r>
  <r>
    <n v="50037902"/>
    <x v="14"/>
    <n v="1"/>
    <s v="REALIZADO"/>
    <s v="BRUNA"/>
    <d v="2025-09-10T00:00:00"/>
    <x v="2"/>
  </r>
  <r>
    <n v="50037902"/>
    <x v="14"/>
    <n v="1"/>
    <s v="REALIZADO"/>
    <s v="BRUNO"/>
    <d v="2025-09-10T00:00:00"/>
    <x v="0"/>
  </r>
  <r>
    <n v="50038517"/>
    <x v="0"/>
    <n v="1"/>
    <s v="REALIZADO"/>
    <s v="BRUNO"/>
    <d v="2025-09-10T00:00:00"/>
    <x v="2"/>
  </r>
  <r>
    <n v="50038517"/>
    <x v="0"/>
    <n v="1"/>
    <s v="REALIZADO"/>
    <s v="BRUNO"/>
    <d v="2025-09-10T00:00:00"/>
    <x v="0"/>
  </r>
  <r>
    <n v="50001995"/>
    <x v="44"/>
    <n v="1"/>
    <s v="REALIZADO"/>
    <s v="GEOVANE"/>
    <d v="2025-09-10T00:00:00"/>
    <x v="2"/>
  </r>
  <r>
    <n v="50001995"/>
    <x v="44"/>
    <n v="1"/>
    <s v="REALIZADO"/>
    <s v="BRUNO"/>
    <d v="2025-09-10T00:00:00"/>
    <x v="0"/>
  </r>
  <r>
    <n v="50026357"/>
    <x v="24"/>
    <n v="1"/>
    <s v="REALIZADO"/>
    <s v="AGATHA"/>
    <d v="2025-09-10T00:00:00"/>
    <x v="2"/>
  </r>
  <r>
    <n v="50026357"/>
    <x v="24"/>
    <n v="1"/>
    <s v="REALIZADO"/>
    <s v="BRUNO"/>
    <d v="2025-09-10T00:00:00"/>
    <x v="0"/>
  </r>
  <r>
    <n v="50041195"/>
    <x v="21"/>
    <n v="1"/>
    <s v="REALIZADO"/>
    <s v="KELLY"/>
    <d v="2025-09-10T00:00:00"/>
    <x v="2"/>
  </r>
  <r>
    <n v="50041195"/>
    <x v="21"/>
    <n v="1"/>
    <s v="REALIZADO"/>
    <s v="AGATHA"/>
    <d v="2025-09-10T00:00:00"/>
    <x v="0"/>
  </r>
  <r>
    <n v="50041195"/>
    <x v="21"/>
    <n v="1"/>
    <s v="REALIZADO"/>
    <s v="BRUNO"/>
    <d v="2025-09-10T00:00:00"/>
    <x v="2"/>
  </r>
  <r>
    <n v="50041195"/>
    <x v="21"/>
    <n v="1"/>
    <s v="REALIZADO"/>
    <s v="BRUNO"/>
    <d v="2025-09-10T00:00:00"/>
    <x v="0"/>
  </r>
  <r>
    <n v="50043917"/>
    <x v="66"/>
    <n v="1"/>
    <s v="REALIZADO"/>
    <s v="KELLY"/>
    <d v="2025-09-10T00:00:00"/>
    <x v="2"/>
  </r>
  <r>
    <n v="50043917"/>
    <x v="66"/>
    <n v="1"/>
    <s v="REALIZADO"/>
    <s v="KELLY"/>
    <d v="2025-09-10T00:00:00"/>
    <x v="0"/>
  </r>
  <r>
    <n v="50043917"/>
    <x v="66"/>
    <n v="1"/>
    <s v="REALIZADO"/>
    <s v="KELLY"/>
    <d v="2025-09-10T00:00:00"/>
    <x v="2"/>
  </r>
  <r>
    <n v="50043917"/>
    <x v="66"/>
    <n v="1"/>
    <s v="REALIZADO"/>
    <s v="AGATHA"/>
    <d v="2025-09-10T00:00:00"/>
    <x v="2"/>
  </r>
  <r>
    <n v="50037906"/>
    <x v="65"/>
    <n v="1"/>
    <s v="REALIZADO"/>
    <s v="GEOVANE"/>
    <d v="2025-09-10T00:00:00"/>
    <x v="0"/>
  </r>
  <r>
    <n v="50020622"/>
    <x v="42"/>
    <n v="1"/>
    <s v="REALIZADO"/>
    <s v="BRUNA"/>
    <d v="2025-09-10T00:00:00"/>
    <x v="2"/>
  </r>
  <r>
    <n v="50020622"/>
    <x v="42"/>
    <n v="1"/>
    <s v="REALIZADO"/>
    <s v="BRUNO"/>
    <d v="2025-09-10T00:00:00"/>
    <x v="0"/>
  </r>
  <r>
    <n v="50032781"/>
    <x v="12"/>
    <n v="1"/>
    <s v="REALIZADO"/>
    <s v="BRUNO"/>
    <d v="2025-09-10T00:00:00"/>
    <x v="2"/>
  </r>
  <r>
    <n v="50032781"/>
    <x v="12"/>
    <n v="1"/>
    <s v="REALIZADO"/>
    <s v="BRUNO"/>
    <d v="2025-09-10T00:00:00"/>
    <x v="0"/>
  </r>
  <r>
    <n v="50037900"/>
    <x v="41"/>
    <n v="1"/>
    <s v="REALIZADO"/>
    <s v="KELLY"/>
    <d v="2025-09-10T00:00:00"/>
    <x v="2"/>
  </r>
  <r>
    <n v="50042002"/>
    <x v="38"/>
    <n v="1"/>
    <s v="REALIZADO"/>
    <s v="BRUNO"/>
    <d v="2025-09-10T00:00:00"/>
    <x v="2"/>
  </r>
  <r>
    <n v="50002644"/>
    <x v="83"/>
    <n v="1"/>
    <s v="REALIZADO"/>
    <s v="GEOVANE"/>
    <d v="2025-09-09T00:00:00"/>
    <x v="2"/>
  </r>
  <r>
    <n v="50036298"/>
    <x v="69"/>
    <n v="1"/>
    <s v="REALIZADO"/>
    <s v="MATHEUS"/>
    <d v="2025-09-09T00:00:00"/>
    <x v="2"/>
  </r>
  <r>
    <n v="50036288"/>
    <x v="111"/>
    <n v="1"/>
    <s v="REALIZADO"/>
    <s v="BRUNA"/>
    <d v="2025-09-09T00:00:00"/>
    <x v="0"/>
  </r>
  <r>
    <n v="50030486"/>
    <x v="17"/>
    <n v="1"/>
    <s v="REALIZADO"/>
    <s v="JOÃO FRANCISCO"/>
    <d v="2025-09-09T00:00:00"/>
    <x v="2"/>
  </r>
  <r>
    <n v="50030486"/>
    <x v="17"/>
    <n v="1"/>
    <s v="REALIZADO"/>
    <s v="AGATHA"/>
    <d v="2025-09-09T00:00:00"/>
    <x v="0"/>
  </r>
  <r>
    <n v="50039236"/>
    <x v="84"/>
    <n v="1"/>
    <s v="REALIZADO"/>
    <s v="AGATHA"/>
    <d v="2025-09-09T00:00:00"/>
    <x v="2"/>
  </r>
  <r>
    <n v="50039236"/>
    <x v="84"/>
    <n v="1"/>
    <s v="REALIZADO"/>
    <s v="AGATHA"/>
    <d v="2025-09-09T00:00:00"/>
    <x v="0"/>
  </r>
  <r>
    <n v="50043471"/>
    <x v="5"/>
    <n v="1"/>
    <s v="REALIZADO"/>
    <s v="AGATHA"/>
    <d v="2025-09-09T00:00:00"/>
    <x v="2"/>
  </r>
  <r>
    <n v="50043471"/>
    <x v="5"/>
    <n v="1"/>
    <s v="REALIZADO"/>
    <s v="BRUNA"/>
    <d v="2025-09-09T00:00:00"/>
    <x v="0"/>
  </r>
  <r>
    <n v="50003296"/>
    <x v="105"/>
    <n v="1"/>
    <s v="REALIZADO"/>
    <s v="KELLY"/>
    <d v="2025-09-09T00:00:00"/>
    <x v="2"/>
  </r>
  <r>
    <n v="50003296"/>
    <x v="105"/>
    <n v="1"/>
    <s v="REALIZADO"/>
    <s v="AGATHA"/>
    <d v="2025-09-09T00:00:00"/>
    <x v="0"/>
  </r>
  <r>
    <n v="50003297"/>
    <x v="8"/>
    <n v="1"/>
    <s v="REALIZADO"/>
    <s v="MATHEUS"/>
    <d v="2025-09-09T00:00:00"/>
    <x v="2"/>
  </r>
  <r>
    <n v="50003297"/>
    <x v="8"/>
    <n v="1"/>
    <s v="REALIZADO"/>
    <s v="MATHEUS"/>
    <d v="2025-09-09T00:00:00"/>
    <x v="0"/>
  </r>
  <r>
    <n v="50022878"/>
    <x v="18"/>
    <n v="1"/>
    <s v="REALIZADO"/>
    <s v="AGATHA"/>
    <d v="2025-09-09T00:00:00"/>
    <x v="2"/>
  </r>
  <r>
    <n v="50022878"/>
    <x v="18"/>
    <n v="1"/>
    <s v="REALIZADO"/>
    <s v="BRUNA"/>
    <d v="2025-09-09T00:00:00"/>
    <x v="0"/>
  </r>
  <r>
    <n v="50022878"/>
    <x v="18"/>
    <n v="1"/>
    <s v="REALIZADO"/>
    <s v="BRUNA"/>
    <d v="2025-09-09T00:00:00"/>
    <x v="2"/>
  </r>
  <r>
    <n v="50022878"/>
    <x v="18"/>
    <n v="1"/>
    <s v="REALIZADO"/>
    <s v="MATHEUS"/>
    <d v="2025-09-09T00:00:00"/>
    <x v="0"/>
  </r>
  <r>
    <n v="50037892"/>
    <x v="2"/>
    <n v="1"/>
    <s v="REALIZADO"/>
    <s v="KELLY"/>
    <d v="2025-09-09T00:00:00"/>
    <x v="2"/>
  </r>
  <r>
    <n v="50037892"/>
    <x v="2"/>
    <n v="1"/>
    <s v="REALIZADO"/>
    <s v="AGATHA"/>
    <d v="2025-09-09T00:00:00"/>
    <x v="0"/>
  </r>
  <r>
    <n v="50038841"/>
    <x v="34"/>
    <n v="1"/>
    <s v="REALIZADO"/>
    <s v="GEOVANE"/>
    <d v="2025-09-09T00:00:00"/>
    <x v="2"/>
  </r>
  <r>
    <n v="50038841"/>
    <x v="34"/>
    <n v="1"/>
    <s v="REALIZADO"/>
    <s v="MATHEUS"/>
    <d v="2025-09-09T00:00:00"/>
    <x v="0"/>
  </r>
  <r>
    <n v="50038517"/>
    <x v="0"/>
    <n v="1"/>
    <s v="REALIZADO"/>
    <s v="AGATHA"/>
    <d v="2025-09-09T00:00:00"/>
    <x v="2"/>
  </r>
  <r>
    <n v="50038517"/>
    <x v="0"/>
    <n v="1"/>
    <s v="REALIZADO"/>
    <s v="MATHEUS"/>
    <d v="2025-09-09T00:00:00"/>
    <x v="0"/>
  </r>
  <r>
    <n v="50001995"/>
    <x v="44"/>
    <n v="1"/>
    <s v="REALIZADO"/>
    <s v="AGATHA"/>
    <d v="2025-09-09T00:00:00"/>
    <x v="2"/>
  </r>
  <r>
    <n v="50001995"/>
    <x v="44"/>
    <n v="1"/>
    <s v="REALIZADO"/>
    <s v="MATHEUS"/>
    <d v="2025-09-09T00:00:00"/>
    <x v="0"/>
  </r>
  <r>
    <n v="50026357"/>
    <x v="24"/>
    <n v="1"/>
    <s v="REALIZADO"/>
    <s v="AGATHA"/>
    <d v="2025-09-09T00:00:00"/>
    <x v="2"/>
  </r>
  <r>
    <n v="50026357"/>
    <x v="24"/>
    <n v="1"/>
    <s v="REALIZADO"/>
    <s v="MATHEUS"/>
    <d v="2025-09-09T00:00:00"/>
    <x v="0"/>
  </r>
  <r>
    <n v="50041653"/>
    <x v="50"/>
    <n v="1"/>
    <s v="REALIZADO"/>
    <s v="BRUNA"/>
    <d v="2025-09-09T00:00:00"/>
    <x v="2"/>
  </r>
  <r>
    <n v="50041653"/>
    <x v="50"/>
    <n v="1"/>
    <s v="REALIZADO"/>
    <s v="MATHEUS"/>
    <d v="2025-09-09T00:00:00"/>
    <x v="0"/>
  </r>
  <r>
    <n v="50041195"/>
    <x v="21"/>
    <n v="1"/>
    <s v="REALIZADO"/>
    <s v="KELLY"/>
    <d v="2025-09-09T00:00:00"/>
    <x v="2"/>
  </r>
  <r>
    <n v="50041195"/>
    <x v="21"/>
    <n v="1"/>
    <s v="REALIZADO"/>
    <s v="KELLY"/>
    <d v="2025-09-09T00:00:00"/>
    <x v="0"/>
  </r>
  <r>
    <n v="50041195"/>
    <x v="21"/>
    <n v="1"/>
    <s v="REALIZADO"/>
    <s v="KELLY"/>
    <d v="2025-09-09T00:00:00"/>
    <x v="2"/>
  </r>
  <r>
    <n v="50041195"/>
    <x v="21"/>
    <n v="1"/>
    <s v="REALIZADO"/>
    <s v="GEOVANE"/>
    <d v="2025-09-09T00:00:00"/>
    <x v="0"/>
  </r>
  <r>
    <n v="50041195"/>
    <x v="21"/>
    <n v="1"/>
    <s v="REALIZADO"/>
    <s v="AGATHA"/>
    <d v="2025-09-09T00:00:00"/>
    <x v="2"/>
  </r>
  <r>
    <n v="50041195"/>
    <x v="21"/>
    <n v="1"/>
    <s v="REALIZADO"/>
    <s v="AGATHA"/>
    <d v="2025-09-09T00:00:00"/>
    <x v="2"/>
  </r>
  <r>
    <n v="50041195"/>
    <x v="21"/>
    <n v="1"/>
    <s v="REALIZADO"/>
    <s v="MATHEUS"/>
    <d v="2025-09-09T00:00:00"/>
    <x v="0"/>
  </r>
  <r>
    <n v="50043917"/>
    <x v="66"/>
    <n v="1"/>
    <s v="REALIZADO"/>
    <s v="GEOVANE"/>
    <d v="2025-09-09T00:00:00"/>
    <x v="2"/>
  </r>
  <r>
    <n v="50043917"/>
    <x v="66"/>
    <n v="1"/>
    <s v="REALIZADO"/>
    <s v="MATHEUS"/>
    <d v="2025-09-09T00:00:00"/>
    <x v="0"/>
  </r>
  <r>
    <n v="50004486"/>
    <x v="40"/>
    <n v="1"/>
    <s v="REALIZADO"/>
    <s v="AGATHA"/>
    <d v="2025-09-09T00:00:00"/>
    <x v="2"/>
  </r>
  <r>
    <n v="50004486"/>
    <x v="40"/>
    <n v="1"/>
    <s v="REALIZADO"/>
    <s v="GEOVANE"/>
    <d v="2025-09-09T00:00:00"/>
    <x v="0"/>
  </r>
  <r>
    <n v="50032781"/>
    <x v="12"/>
    <n v="1"/>
    <s v="REALIZADO"/>
    <s v="BRUNA"/>
    <d v="2025-09-09T00:00:00"/>
    <x v="2"/>
  </r>
  <r>
    <n v="50032781"/>
    <x v="12"/>
    <n v="1"/>
    <s v="REALIZADO"/>
    <s v="MATHEUS"/>
    <d v="2025-09-09T00:00:00"/>
    <x v="2"/>
  </r>
  <r>
    <n v="50037924"/>
    <x v="90"/>
    <n v="1"/>
    <s v="REALIZADO"/>
    <s v="MATHEUS"/>
    <d v="2025-09-09T00:00:00"/>
    <x v="2"/>
  </r>
  <r>
    <n v="50037924"/>
    <x v="90"/>
    <n v="1"/>
    <s v="REALIZADO"/>
    <s v="MATHEUS"/>
    <d v="2025-09-09T00:00:00"/>
    <x v="0"/>
  </r>
  <r>
    <n v="50002644"/>
    <x v="83"/>
    <n v="1"/>
    <s v="REALIZADO"/>
    <s v="AGATHA"/>
    <d v="2025-09-08T00:00:00"/>
    <x v="2"/>
  </r>
  <r>
    <n v="50002644"/>
    <x v="83"/>
    <n v="1"/>
    <s v="REALIZADO"/>
    <s v="BRUNO"/>
    <d v="2025-09-08T00:00:00"/>
    <x v="0"/>
  </r>
  <r>
    <n v="50030486"/>
    <x v="17"/>
    <n v="1"/>
    <s v="REALIZADO"/>
    <s v="AGATHA"/>
    <d v="2025-09-08T00:00:00"/>
    <x v="2"/>
  </r>
  <r>
    <n v="50030486"/>
    <x v="17"/>
    <n v="1"/>
    <s v="REALIZADO"/>
    <s v="AGATHA"/>
    <d v="2025-09-08T00:00:00"/>
    <x v="0"/>
  </r>
  <r>
    <n v="50043471"/>
    <x v="5"/>
    <n v="1"/>
    <s v="REALIZADO"/>
    <s v="AGATHA"/>
    <d v="2025-09-08T00:00:00"/>
    <x v="2"/>
  </r>
  <r>
    <n v="50043471"/>
    <x v="5"/>
    <n v="1"/>
    <s v="REALIZADO"/>
    <s v="AGATHA"/>
    <d v="2025-09-08T00:00:00"/>
    <x v="0"/>
  </r>
  <r>
    <n v="50037909"/>
    <x v="99"/>
    <n v="1"/>
    <s v="REALIZADO"/>
    <s v="AGATHA"/>
    <d v="2025-09-08T00:00:00"/>
    <x v="2"/>
  </r>
  <r>
    <n v="50037909"/>
    <x v="99"/>
    <n v="1"/>
    <s v="REALIZADO"/>
    <s v="AGATHA"/>
    <d v="2025-09-08T00:00:00"/>
    <x v="0"/>
  </r>
  <r>
    <n v="50022878"/>
    <x v="18"/>
    <n v="1"/>
    <s v="REALIZADO"/>
    <s v="KELLY"/>
    <d v="2025-09-08T00:00:00"/>
    <x v="2"/>
  </r>
  <r>
    <n v="50022878"/>
    <x v="18"/>
    <n v="1"/>
    <s v="REALIZADO"/>
    <s v="BRUNO"/>
    <d v="2025-09-08T00:00:00"/>
    <x v="0"/>
  </r>
  <r>
    <n v="50038956"/>
    <x v="10"/>
    <n v="1"/>
    <s v="REALIZADO"/>
    <s v="KELLY"/>
    <d v="2025-09-08T00:00:00"/>
    <x v="2"/>
  </r>
  <r>
    <n v="50038956"/>
    <x v="10"/>
    <n v="1"/>
    <s v="REALIZADO"/>
    <s v="KELLY"/>
    <d v="2025-09-08T00:00:00"/>
    <x v="0"/>
  </r>
  <r>
    <n v="50038956"/>
    <x v="10"/>
    <n v="1"/>
    <s v="REALIZADO"/>
    <s v="AGATHA"/>
    <d v="2025-09-08T00:00:00"/>
    <x v="2"/>
  </r>
  <r>
    <n v="50038956"/>
    <x v="10"/>
    <n v="1"/>
    <s v="REALIZADO"/>
    <s v="BRUNO"/>
    <d v="2025-09-08T00:00:00"/>
    <x v="0"/>
  </r>
  <r>
    <n v="50037892"/>
    <x v="2"/>
    <n v="1"/>
    <s v="REALIZADO"/>
    <s v="BRUNO"/>
    <d v="2025-09-08T00:00:00"/>
    <x v="2"/>
  </r>
  <r>
    <n v="50037892"/>
    <x v="2"/>
    <n v="1"/>
    <s v="REALIZADO"/>
    <s v="BRUNO"/>
    <d v="2025-09-08T00:00:00"/>
    <x v="0"/>
  </r>
  <r>
    <n v="50037902"/>
    <x v="14"/>
    <n v="1"/>
    <s v="REALIZADO"/>
    <s v="AGATHA"/>
    <d v="2025-09-08T00:00:00"/>
    <x v="2"/>
  </r>
  <r>
    <n v="50037902"/>
    <x v="14"/>
    <n v="1"/>
    <s v="REALIZADO"/>
    <s v="BRUNO"/>
    <d v="2025-09-08T00:00:00"/>
    <x v="0"/>
  </r>
  <r>
    <n v="50038841"/>
    <x v="34"/>
    <n v="1"/>
    <s v="REALIZADO"/>
    <s v="BRUNO"/>
    <d v="2025-09-08T00:00:00"/>
    <x v="2"/>
  </r>
  <r>
    <n v="50038841"/>
    <x v="34"/>
    <n v="1"/>
    <s v="REALIZADO"/>
    <s v="BRUNO"/>
    <d v="2025-09-08T00:00:00"/>
    <x v="0"/>
  </r>
  <r>
    <n v="50001995"/>
    <x v="44"/>
    <n v="1"/>
    <s v="REALIZADO"/>
    <s v="AGATHA"/>
    <d v="2025-09-08T00:00:00"/>
    <x v="2"/>
  </r>
  <r>
    <n v="50001995"/>
    <x v="44"/>
    <n v="1"/>
    <s v="REALIZADO"/>
    <s v="BRUNO"/>
    <d v="2025-09-08T00:00:00"/>
    <x v="0"/>
  </r>
  <r>
    <n v="50039065"/>
    <x v="22"/>
    <n v="1"/>
    <s v="REALIZADO"/>
    <s v="KELLY"/>
    <d v="2025-09-08T00:00:00"/>
    <x v="0"/>
  </r>
  <r>
    <n v="50022923"/>
    <x v="112"/>
    <n v="1"/>
    <s v="REALIZADO"/>
    <s v="KELLY"/>
    <d v="2025-09-08T00:00:00"/>
    <x v="2"/>
  </r>
  <r>
    <n v="50022923"/>
    <x v="112"/>
    <n v="1"/>
    <s v="REALIZADO"/>
    <s v="AGATHA"/>
    <d v="2025-09-08T00:00:00"/>
    <x v="0"/>
  </r>
  <r>
    <n v="50041653"/>
    <x v="50"/>
    <n v="1"/>
    <s v="REALIZADO"/>
    <s v="AGATHA"/>
    <d v="2025-09-08T00:00:00"/>
    <x v="2"/>
  </r>
  <r>
    <n v="50041653"/>
    <x v="50"/>
    <n v="1"/>
    <s v="REALIZADO"/>
    <s v="BRUNO"/>
    <d v="2025-09-08T00:00:00"/>
    <x v="0"/>
  </r>
  <r>
    <n v="50041195"/>
    <x v="21"/>
    <n v="1"/>
    <s v="REALIZADO"/>
    <s v="AGATHA"/>
    <d v="2025-09-08T00:00:00"/>
    <x v="2"/>
  </r>
  <r>
    <n v="50041195"/>
    <x v="21"/>
    <n v="1"/>
    <s v="REALIZADO"/>
    <s v="BRUNO"/>
    <d v="2025-09-08T00:00:00"/>
    <x v="0"/>
  </r>
  <r>
    <n v="50043917"/>
    <x v="66"/>
    <n v="1"/>
    <s v="REALIZADO"/>
    <s v="AGATHA"/>
    <d v="2025-09-08T00:00:00"/>
    <x v="0"/>
  </r>
  <r>
    <n v="50043917"/>
    <x v="66"/>
    <n v="1"/>
    <s v="REALIZADO"/>
    <s v="BRUNA"/>
    <d v="2025-09-08T00:00:00"/>
    <x v="2"/>
  </r>
  <r>
    <n v="50043917"/>
    <x v="66"/>
    <n v="1"/>
    <s v="REALIZADO"/>
    <s v="BRUNO"/>
    <d v="2025-09-08T00:00:00"/>
    <x v="0"/>
  </r>
  <r>
    <n v="50043917"/>
    <x v="66"/>
    <n v="1"/>
    <s v="REALIZADO"/>
    <s v="BRUNO"/>
    <d v="2025-09-08T00:00:00"/>
    <x v="2"/>
  </r>
  <r>
    <n v="50043917"/>
    <x v="66"/>
    <n v="1"/>
    <s v="REALIZADO"/>
    <s v="BRUNO"/>
    <d v="2025-09-08T00:00:00"/>
    <x v="0"/>
  </r>
  <r>
    <n v="50020622"/>
    <x v="42"/>
    <n v="1"/>
    <s v="REALIZADO"/>
    <s v="BRUNA"/>
    <d v="2025-09-08T00:00:00"/>
    <x v="2"/>
  </r>
  <r>
    <n v="50020622"/>
    <x v="42"/>
    <n v="1"/>
    <s v="REALIZADO"/>
    <s v="BRUNO"/>
    <d v="2025-09-08T00:00:00"/>
    <x v="0"/>
  </r>
  <r>
    <n v="50012903"/>
    <x v="31"/>
    <n v="1"/>
    <s v="REALIZADO"/>
    <s v="AGATHA"/>
    <d v="2025-09-08T00:00:00"/>
    <x v="2"/>
  </r>
  <r>
    <n v="50012903"/>
    <x v="31"/>
    <n v="1"/>
    <s v="REALIZADO"/>
    <s v="AGATHA"/>
    <d v="2025-09-08T00:00:00"/>
    <x v="0"/>
  </r>
  <r>
    <n v="50012903"/>
    <x v="31"/>
    <n v="1"/>
    <s v="REALIZADO"/>
    <s v="AGATHA"/>
    <d v="2025-09-08T00:00:00"/>
    <x v="2"/>
  </r>
  <r>
    <n v="50012903"/>
    <x v="31"/>
    <n v="1"/>
    <s v="REALIZADO"/>
    <s v="BRUNA"/>
    <d v="2025-09-08T00:00:00"/>
    <x v="0"/>
  </r>
  <r>
    <n v="50032781"/>
    <x v="12"/>
    <n v="1"/>
    <s v="REALIZADO"/>
    <s v="AGATHA"/>
    <d v="2025-09-08T00:00:00"/>
    <x v="2"/>
  </r>
  <r>
    <n v="50032781"/>
    <x v="12"/>
    <n v="1"/>
    <s v="REALIZADO"/>
    <s v="AGATHA"/>
    <d v="2025-09-08T00:00:00"/>
    <x v="0"/>
  </r>
  <r>
    <n v="50028220"/>
    <x v="33"/>
    <n v="1"/>
    <s v="REALIZADO"/>
    <s v="BRUNA"/>
    <d v="2025-09-08T00:00:00"/>
    <x v="2"/>
  </r>
  <r>
    <n v="50028220"/>
    <x v="33"/>
    <n v="1"/>
    <s v="REALIZADO"/>
    <s v="BRUNO"/>
    <d v="2025-09-08T00:00:00"/>
    <x v="0"/>
  </r>
  <r>
    <n v="50037924"/>
    <x v="90"/>
    <n v="1"/>
    <s v="REALIZADO"/>
    <s v="AGATHA"/>
    <d v="2025-09-08T00:00:00"/>
    <x v="2"/>
  </r>
  <r>
    <n v="50037924"/>
    <x v="90"/>
    <n v="1"/>
    <s v="REALIZADO"/>
    <s v="BRUNO"/>
    <d v="2025-09-08T00:00:00"/>
    <x v="0"/>
  </r>
  <r>
    <n v="50038854"/>
    <x v="27"/>
    <n v="1"/>
    <s v="REALIZADO"/>
    <s v="KELLY"/>
    <d v="2025-09-06T00:00:00"/>
    <x v="2"/>
  </r>
  <r>
    <n v="50038854"/>
    <x v="27"/>
    <n v="1"/>
    <s v="REALIZADO"/>
    <s v="KELLY"/>
    <d v="2025-09-06T00:00:00"/>
    <x v="0"/>
  </r>
  <r>
    <n v="50037892"/>
    <x v="2"/>
    <n v="1"/>
    <s v="REALIZADO"/>
    <s v="KELLY"/>
    <d v="2025-09-06T00:00:00"/>
    <x v="2"/>
  </r>
  <r>
    <n v="50037892"/>
    <x v="2"/>
    <n v="1"/>
    <s v="REALIZADO"/>
    <s v="KELLY"/>
    <d v="2025-09-06T00:00:00"/>
    <x v="0"/>
  </r>
  <r>
    <n v="50037892"/>
    <x v="2"/>
    <n v="1"/>
    <s v="REALIZADO"/>
    <s v="KELLY"/>
    <d v="2025-09-06T00:00:00"/>
    <x v="2"/>
  </r>
  <r>
    <n v="50037892"/>
    <x v="2"/>
    <n v="1"/>
    <s v="REALIZADO"/>
    <s v="KELLY"/>
    <d v="2025-09-06T00:00:00"/>
    <x v="0"/>
  </r>
  <r>
    <n v="50038841"/>
    <x v="34"/>
    <n v="1"/>
    <s v="REALIZADO"/>
    <s v="KELLY"/>
    <d v="2025-09-06T00:00:00"/>
    <x v="2"/>
  </r>
  <r>
    <n v="50038841"/>
    <x v="34"/>
    <n v="1"/>
    <s v="REALIZADO"/>
    <s v="KELLY"/>
    <d v="2025-09-06T00:00:00"/>
    <x v="0"/>
  </r>
  <r>
    <n v="50038841"/>
    <x v="34"/>
    <n v="1"/>
    <s v="REALIZADO"/>
    <s v="KELLY"/>
    <d v="2025-09-06T00:00:00"/>
    <x v="2"/>
  </r>
  <r>
    <n v="50038841"/>
    <x v="34"/>
    <n v="1"/>
    <s v="REALIZADO"/>
    <s v="KELLY"/>
    <d v="2025-09-06T00:00:00"/>
    <x v="0"/>
  </r>
  <r>
    <n v="50041195"/>
    <x v="21"/>
    <n v="1"/>
    <s v="REALIZADO"/>
    <s v="KELLY"/>
    <d v="2025-09-06T00:00:00"/>
    <x v="2"/>
  </r>
  <r>
    <n v="50041195"/>
    <x v="21"/>
    <n v="1"/>
    <s v="REALIZADO"/>
    <s v="KELLY"/>
    <d v="2025-09-06T00:00:00"/>
    <x v="0"/>
  </r>
  <r>
    <n v="50043917"/>
    <x v="66"/>
    <n v="1"/>
    <s v="REALIZADO"/>
    <s v="KELLY"/>
    <d v="2025-09-06T00:00:00"/>
    <x v="2"/>
  </r>
  <r>
    <n v="50043917"/>
    <x v="66"/>
    <n v="1"/>
    <s v="REALIZADO"/>
    <s v="KELLY"/>
    <d v="2025-09-06T00:00:00"/>
    <x v="0"/>
  </r>
  <r>
    <n v="50038854"/>
    <x v="27"/>
    <n v="1"/>
    <s v="REALIZADO"/>
    <s v="JOÃO FRANCISCO"/>
    <d v="2025-09-05T00:00:00"/>
    <x v="2"/>
  </r>
  <r>
    <n v="50038854"/>
    <x v="27"/>
    <n v="1"/>
    <s v="REALIZADO"/>
    <s v="AGATHA"/>
    <d v="2025-09-05T00:00:00"/>
    <x v="0"/>
  </r>
  <r>
    <n v="50038854"/>
    <x v="27"/>
    <n v="1"/>
    <s v="REALIZADO"/>
    <s v="BRUNO"/>
    <d v="2025-09-05T00:00:00"/>
    <x v="2"/>
  </r>
  <r>
    <n v="50038854"/>
    <x v="27"/>
    <n v="1"/>
    <s v="REALIZADO"/>
    <s v="BRUNO"/>
    <d v="2025-09-05T00:00:00"/>
    <x v="0"/>
  </r>
  <r>
    <n v="50036296"/>
    <x v="46"/>
    <n v="1"/>
    <s v="REALIZADO"/>
    <s v="BRUNO"/>
    <d v="2025-09-05T00:00:00"/>
    <x v="2"/>
  </r>
  <r>
    <n v="50036296"/>
    <x v="46"/>
    <n v="1"/>
    <s v="REALIZADO"/>
    <s v="BRUNO"/>
    <d v="2025-09-05T00:00:00"/>
    <x v="0"/>
  </r>
  <r>
    <n v="50030486"/>
    <x v="17"/>
    <n v="1"/>
    <s v="REALIZADO"/>
    <s v="JOÃO FRANCISCO"/>
    <d v="2025-09-05T00:00:00"/>
    <x v="2"/>
  </r>
  <r>
    <n v="50030486"/>
    <x v="17"/>
    <n v="1"/>
    <s v="REALIZADO"/>
    <s v="MATHEUS"/>
    <d v="2025-09-05T00:00:00"/>
    <x v="0"/>
  </r>
  <r>
    <n v="50039236"/>
    <x v="84"/>
    <n v="1"/>
    <s v="REALIZADO"/>
    <s v="JOÃO FRANCISCO"/>
    <d v="2025-09-05T00:00:00"/>
    <x v="2"/>
  </r>
  <r>
    <n v="50039236"/>
    <x v="84"/>
    <n v="1"/>
    <s v="REALIZADO"/>
    <s v="BRUNO"/>
    <d v="2025-09-05T00:00:00"/>
    <x v="0"/>
  </r>
  <r>
    <n v="50038549"/>
    <x v="6"/>
    <n v="1"/>
    <s v="REALIZADO"/>
    <s v="MATHEUS"/>
    <d v="2025-09-05T00:00:00"/>
    <x v="2"/>
  </r>
  <r>
    <n v="50038549"/>
    <x v="6"/>
    <n v="1"/>
    <s v="REALIZADO"/>
    <s v="MATHEUS"/>
    <d v="2025-09-05T00:00:00"/>
    <x v="0"/>
  </r>
  <r>
    <n v="50037892"/>
    <x v="2"/>
    <n v="1"/>
    <s v="REALIZADO"/>
    <s v="BRUNO"/>
    <d v="2025-09-05T00:00:00"/>
    <x v="2"/>
  </r>
  <r>
    <n v="50037892"/>
    <x v="2"/>
    <n v="1"/>
    <s v="REALIZADO"/>
    <s v="BRUNO"/>
    <d v="2025-09-05T00:00:00"/>
    <x v="0"/>
  </r>
  <r>
    <n v="50037892"/>
    <x v="2"/>
    <n v="1"/>
    <s v="REALIZADO"/>
    <s v="BRUNO"/>
    <d v="2025-09-05T00:00:00"/>
    <x v="2"/>
  </r>
  <r>
    <n v="50037892"/>
    <x v="2"/>
    <n v="1"/>
    <s v="REALIZADO"/>
    <s v="BRUNO"/>
    <d v="2025-09-05T00:00:00"/>
    <x v="0"/>
  </r>
  <r>
    <n v="50037902"/>
    <x v="14"/>
    <n v="1"/>
    <s v="REALIZADO"/>
    <s v="AGATHA"/>
    <d v="2025-09-05T00:00:00"/>
    <x v="2"/>
  </r>
  <r>
    <n v="50037902"/>
    <x v="14"/>
    <n v="1"/>
    <s v="REALIZADO"/>
    <s v="GEOVANE"/>
    <d v="2025-09-05T00:00:00"/>
    <x v="0"/>
  </r>
  <r>
    <n v="50038841"/>
    <x v="34"/>
    <n v="1"/>
    <s v="REALIZADO"/>
    <s v="GEOVANE"/>
    <d v="2025-09-05T00:00:00"/>
    <x v="2"/>
  </r>
  <r>
    <n v="50038841"/>
    <x v="34"/>
    <n v="1"/>
    <s v="REALIZADO"/>
    <s v="BRUNO"/>
    <d v="2025-09-05T00:00:00"/>
    <x v="0"/>
  </r>
  <r>
    <n v="50001995"/>
    <x v="44"/>
    <n v="1"/>
    <s v="REALIZADO"/>
    <s v="BRUNO"/>
    <d v="2025-09-05T00:00:00"/>
    <x v="2"/>
  </r>
  <r>
    <n v="50001995"/>
    <x v="44"/>
    <n v="1"/>
    <s v="REALIZADO"/>
    <s v="BRUNO"/>
    <d v="2025-09-05T00:00:00"/>
    <x v="0"/>
  </r>
  <r>
    <n v="50041195"/>
    <x v="21"/>
    <n v="1"/>
    <s v="REALIZADO"/>
    <s v="JOÃO FRANCISCO"/>
    <d v="2025-09-05T00:00:00"/>
    <x v="0"/>
  </r>
  <r>
    <n v="50041195"/>
    <x v="21"/>
    <n v="1"/>
    <s v="REALIZADO"/>
    <s v="BRUNO"/>
    <d v="2025-09-05T00:00:00"/>
    <x v="2"/>
  </r>
  <r>
    <n v="50041195"/>
    <x v="21"/>
    <n v="1"/>
    <s v="REALIZADO"/>
    <s v="BRUNO"/>
    <d v="2025-09-05T00:00:00"/>
    <x v="0"/>
  </r>
  <r>
    <n v="50043917"/>
    <x v="66"/>
    <n v="1"/>
    <s v="REALIZADO"/>
    <s v="JOÃO FRANCISCO"/>
    <d v="2025-09-05T00:00:00"/>
    <x v="2"/>
  </r>
  <r>
    <n v="50043917"/>
    <x v="66"/>
    <n v="1"/>
    <s v="REALIZADO"/>
    <s v="BRUNO"/>
    <d v="2025-09-05T00:00:00"/>
    <x v="0"/>
  </r>
  <r>
    <n v="50043917"/>
    <x v="66"/>
    <n v="1"/>
    <s v="REALIZADO"/>
    <s v="BRUNO"/>
    <d v="2025-09-05T00:00:00"/>
    <x v="2"/>
  </r>
  <r>
    <n v="50043917"/>
    <x v="66"/>
    <n v="1"/>
    <s v="REALIZADO"/>
    <s v="BRUNO"/>
    <d v="2025-09-05T00:00:00"/>
    <x v="0"/>
  </r>
  <r>
    <n v="50012903"/>
    <x v="31"/>
    <n v="1"/>
    <s v="REALIZADO"/>
    <s v="GEOVANE"/>
    <d v="2025-09-05T00:00:00"/>
    <x v="2"/>
  </r>
  <r>
    <n v="50012903"/>
    <x v="31"/>
    <n v="1"/>
    <s v="REALIZADO"/>
    <s v="AGATHA"/>
    <d v="2025-09-05T00:00:00"/>
    <x v="0"/>
  </r>
  <r>
    <n v="50010031"/>
    <x v="20"/>
    <n v="1"/>
    <s v="REALIZADO"/>
    <s v="KELLY"/>
    <d v="2025-09-04T00:00:00"/>
    <x v="2"/>
  </r>
  <r>
    <n v="50010031"/>
    <x v="20"/>
    <n v="1"/>
    <s v="REALIZADO"/>
    <s v="BRUNO"/>
    <d v="2025-09-04T00:00:00"/>
    <x v="0"/>
  </r>
  <r>
    <n v="50002644"/>
    <x v="83"/>
    <n v="1"/>
    <s v="REALIZADO"/>
    <s v="BRUNO"/>
    <d v="2025-09-04T00:00:00"/>
    <x v="2"/>
  </r>
  <r>
    <n v="50002644"/>
    <x v="83"/>
    <n v="1"/>
    <s v="REALIZADO"/>
    <s v="BRUNO"/>
    <d v="2025-09-04T00:00:00"/>
    <x v="0"/>
  </r>
  <r>
    <n v="50038854"/>
    <x v="27"/>
    <n v="1"/>
    <s v="REALIZADO"/>
    <s v="KELLY"/>
    <d v="2025-09-04T00:00:00"/>
    <x v="2"/>
  </r>
  <r>
    <n v="50038854"/>
    <x v="27"/>
    <n v="1"/>
    <s v="REALIZADO"/>
    <s v="BRUNA"/>
    <d v="2025-09-04T00:00:00"/>
    <x v="2"/>
  </r>
  <r>
    <n v="50036298"/>
    <x v="69"/>
    <n v="1"/>
    <s v="REALIZADO"/>
    <s v="GEOVANE"/>
    <d v="2025-09-04T00:00:00"/>
    <x v="0"/>
  </r>
  <r>
    <n v="50037905"/>
    <x v="49"/>
    <n v="1"/>
    <s v="NÃO REALIZADO"/>
    <s v="KELLY"/>
    <d v="2025-09-04T00:00:00"/>
    <x v="2"/>
  </r>
  <r>
    <n v="50037905"/>
    <x v="49"/>
    <n v="1"/>
    <s v="REALIZADO"/>
    <s v="GEOVANE"/>
    <d v="2025-09-04T00:00:00"/>
    <x v="0"/>
  </r>
  <r>
    <n v="50030486"/>
    <x v="17"/>
    <n v="1"/>
    <s v="REALIZADO"/>
    <s v="KELLY"/>
    <d v="2025-09-04T00:00:00"/>
    <x v="2"/>
  </r>
  <r>
    <n v="50030486"/>
    <x v="17"/>
    <n v="1"/>
    <s v="REALIZADO"/>
    <s v="BRUNO"/>
    <d v="2025-09-04T00:00:00"/>
    <x v="0"/>
  </r>
  <r>
    <n v="50043471"/>
    <x v="5"/>
    <n v="1"/>
    <s v="REALIZADO"/>
    <s v="KELLY"/>
    <d v="2025-09-04T00:00:00"/>
    <x v="2"/>
  </r>
  <r>
    <n v="50043471"/>
    <x v="5"/>
    <n v="1"/>
    <s v="REALIZADO"/>
    <s v="BRUNO"/>
    <d v="2025-09-04T00:00:00"/>
    <x v="0"/>
  </r>
  <r>
    <n v="50003297"/>
    <x v="8"/>
    <n v="1"/>
    <s v="REALIZADO"/>
    <s v="KELLY"/>
    <d v="2025-09-04T00:00:00"/>
    <x v="2"/>
  </r>
  <r>
    <n v="50003297"/>
    <x v="8"/>
    <n v="1"/>
    <s v="REALIZADO"/>
    <s v="BRUNO"/>
    <d v="2025-09-04T00:00:00"/>
    <x v="0"/>
  </r>
  <r>
    <n v="50003297"/>
    <x v="8"/>
    <n v="1"/>
    <s v="REALIZADO"/>
    <s v="BRUNO"/>
    <d v="2025-09-04T00:00:00"/>
    <x v="2"/>
  </r>
  <r>
    <n v="50003297"/>
    <x v="8"/>
    <n v="1"/>
    <s v="REALIZADO"/>
    <s v="BRUNO"/>
    <d v="2025-09-04T00:00:00"/>
    <x v="0"/>
  </r>
  <r>
    <n v="50029865"/>
    <x v="9"/>
    <n v="1"/>
    <s v="REALIZADO"/>
    <s v="KELLY"/>
    <d v="2025-09-04T00:00:00"/>
    <x v="2"/>
  </r>
  <r>
    <n v="50029865"/>
    <x v="9"/>
    <n v="1"/>
    <s v="REALIZADO"/>
    <s v="BRUNO"/>
    <d v="2025-09-04T00:00:00"/>
    <x v="0"/>
  </r>
  <r>
    <n v="50036299"/>
    <x v="26"/>
    <n v="1"/>
    <s v="REALIZADO"/>
    <s v="BRUNO"/>
    <d v="2025-09-04T00:00:00"/>
    <x v="2"/>
  </r>
  <r>
    <n v="50036299"/>
    <x v="26"/>
    <n v="1"/>
    <s v="REALIZADO"/>
    <s v="BRUNO"/>
    <d v="2025-09-04T00:00:00"/>
    <x v="0"/>
  </r>
  <r>
    <n v="50043320"/>
    <x v="35"/>
    <n v="1"/>
    <s v="REALIZADO"/>
    <s v="KELLY"/>
    <d v="2025-09-04T00:00:00"/>
    <x v="2"/>
  </r>
  <r>
    <n v="50043320"/>
    <x v="35"/>
    <n v="1"/>
    <s v="REALIZADO"/>
    <s v="BRUNO"/>
    <d v="2025-09-04T00:00:00"/>
    <x v="0"/>
  </r>
  <r>
    <n v="50022878"/>
    <x v="18"/>
    <n v="1"/>
    <s v="REALIZADO"/>
    <s v="GEOVANE"/>
    <d v="2025-09-04T00:00:00"/>
    <x v="2"/>
  </r>
  <r>
    <n v="50022878"/>
    <x v="18"/>
    <n v="1"/>
    <s v="REALIZADO"/>
    <s v="MARCIA"/>
    <d v="2025-09-04T00:00:00"/>
    <x v="0"/>
  </r>
  <r>
    <n v="50038956"/>
    <x v="10"/>
    <n v="1"/>
    <s v="REALIZADO"/>
    <s v="GEOVANE"/>
    <d v="2025-09-04T00:00:00"/>
    <x v="2"/>
  </r>
  <r>
    <n v="50038956"/>
    <x v="10"/>
    <n v="1"/>
    <s v="REALIZADO"/>
    <s v="GEOVANE"/>
    <d v="2025-09-04T00:00:00"/>
    <x v="0"/>
  </r>
  <r>
    <n v="50037892"/>
    <x v="2"/>
    <n v="1"/>
    <s v="REALIZADO"/>
    <s v="KELLY"/>
    <d v="2025-09-04T00:00:00"/>
    <x v="2"/>
  </r>
  <r>
    <n v="50037892"/>
    <x v="2"/>
    <n v="1"/>
    <s v="REALIZADO"/>
    <s v="BRUNO"/>
    <d v="2025-09-04T00:00:00"/>
    <x v="0"/>
  </r>
  <r>
    <n v="50038841"/>
    <x v="34"/>
    <n v="1"/>
    <s v="REALIZADO"/>
    <s v="BRUNO"/>
    <d v="2025-09-04T00:00:00"/>
    <x v="2"/>
  </r>
  <r>
    <n v="50038841"/>
    <x v="34"/>
    <n v="1"/>
    <s v="REALIZADO"/>
    <s v="BRUNO"/>
    <d v="2025-09-04T00:00:00"/>
    <x v="0"/>
  </r>
  <r>
    <n v="50041195"/>
    <x v="21"/>
    <n v="1"/>
    <s v="REALIZADO"/>
    <s v="KELLY"/>
    <d v="2025-09-04T00:00:00"/>
    <x v="2"/>
  </r>
  <r>
    <n v="50041195"/>
    <x v="21"/>
    <n v="1"/>
    <s v="REALIZADO"/>
    <s v="BRUNA"/>
    <d v="2025-09-04T00:00:00"/>
    <x v="0"/>
  </r>
  <r>
    <n v="50043917"/>
    <x v="66"/>
    <n v="1"/>
    <s v="REALIZADO"/>
    <s v="KELLY"/>
    <d v="2025-09-04T00:00:00"/>
    <x v="2"/>
  </r>
  <r>
    <n v="50043917"/>
    <x v="66"/>
    <n v="1"/>
    <s v="REALIZADO"/>
    <s v="BRUNO"/>
    <d v="2025-09-04T00:00:00"/>
    <x v="0"/>
  </r>
  <r>
    <n v="50004486"/>
    <x v="40"/>
    <n v="1"/>
    <s v="REALIZADO"/>
    <s v="KELLY"/>
    <d v="2025-09-04T00:00:00"/>
    <x v="2"/>
  </r>
  <r>
    <n v="50004486"/>
    <x v="40"/>
    <n v="1"/>
    <s v="REALIZADO"/>
    <s v="GEOVANE"/>
    <d v="2025-09-04T00:00:00"/>
    <x v="0"/>
  </r>
  <r>
    <n v="50004486"/>
    <x v="40"/>
    <n v="1"/>
    <s v="REALIZADO"/>
    <s v="MARCIA"/>
    <d v="2025-09-04T00:00:00"/>
    <x v="2"/>
  </r>
  <r>
    <n v="50004486"/>
    <x v="40"/>
    <n v="1"/>
    <s v="NÃO REALIZADO"/>
    <s v="MARCIA"/>
    <d v="2025-09-04T00:00:00"/>
    <x v="0"/>
  </r>
  <r>
    <n v="50028220"/>
    <x v="33"/>
    <n v="1"/>
    <s v="REALIZADO"/>
    <s v="KELLY"/>
    <d v="2025-09-04T00:00:00"/>
    <x v="2"/>
  </r>
  <r>
    <n v="50028220"/>
    <x v="33"/>
    <n v="1"/>
    <s v="REALIZADO"/>
    <s v="GEOVANE"/>
    <d v="2025-09-04T00:00:00"/>
    <x v="0"/>
  </r>
  <r>
    <n v="50010031"/>
    <x v="20"/>
    <n v="1"/>
    <s v="REALIZADO"/>
    <s v="BRUNO"/>
    <d v="2025-09-03T00:00:00"/>
    <x v="2"/>
  </r>
  <r>
    <n v="50010031"/>
    <x v="20"/>
    <n v="1"/>
    <s v="REALIZADO"/>
    <s v="BRUNO"/>
    <d v="2025-09-03T00:00:00"/>
    <x v="0"/>
  </r>
  <r>
    <n v="50002644"/>
    <x v="83"/>
    <n v="1"/>
    <s v="REALIZADO"/>
    <s v="BRUNO"/>
    <d v="2025-09-03T00:00:00"/>
    <x v="2"/>
  </r>
  <r>
    <n v="50002644"/>
    <x v="83"/>
    <n v="1"/>
    <s v="REALIZADO"/>
    <s v="BRUNO"/>
    <d v="2025-09-03T00:00:00"/>
    <x v="0"/>
  </r>
  <r>
    <n v="50038854"/>
    <x v="27"/>
    <n v="1"/>
    <s v="REALIZADO"/>
    <s v="AGATHA"/>
    <d v="2025-09-03T00:00:00"/>
    <x v="2"/>
  </r>
  <r>
    <n v="50038854"/>
    <x v="27"/>
    <n v="1"/>
    <s v="REALIZADO"/>
    <s v="GEOVANE"/>
    <d v="2025-09-03T00:00:00"/>
    <x v="0"/>
  </r>
  <r>
    <n v="50039236"/>
    <x v="84"/>
    <n v="1"/>
    <s v="REALIZADO"/>
    <s v="AGATHA"/>
    <d v="2025-09-03T00:00:00"/>
    <x v="2"/>
  </r>
  <r>
    <n v="50039236"/>
    <x v="84"/>
    <n v="1"/>
    <s v="REALIZADO"/>
    <s v="AGATHA"/>
    <d v="2025-09-03T00:00:00"/>
    <x v="0"/>
  </r>
  <r>
    <n v="50039236"/>
    <x v="84"/>
    <n v="1"/>
    <s v="REALIZADO"/>
    <s v="GEOVANE"/>
    <d v="2025-09-03T00:00:00"/>
    <x v="2"/>
  </r>
  <r>
    <n v="50039236"/>
    <x v="84"/>
    <n v="1"/>
    <s v="REALIZADO"/>
    <s v="BRUNA"/>
    <d v="2025-09-03T00:00:00"/>
    <x v="0"/>
  </r>
  <r>
    <n v="50039236"/>
    <x v="84"/>
    <n v="1"/>
    <s v="REALIZADO"/>
    <s v="BRUNO"/>
    <d v="2025-09-03T00:00:00"/>
    <x v="2"/>
  </r>
  <r>
    <n v="50039236"/>
    <x v="84"/>
    <n v="1"/>
    <s v="REALIZADO"/>
    <s v="BRUNO"/>
    <d v="2025-09-03T00:00:00"/>
    <x v="0"/>
  </r>
  <r>
    <n v="50043471"/>
    <x v="5"/>
    <n v="1"/>
    <s v="REALIZADO"/>
    <s v="BRUNO"/>
    <d v="2025-09-03T00:00:00"/>
    <x v="2"/>
  </r>
  <r>
    <n v="50043471"/>
    <x v="5"/>
    <n v="1"/>
    <s v="REALIZADO"/>
    <s v="BRUNO"/>
    <d v="2025-09-03T00:00:00"/>
    <x v="0"/>
  </r>
  <r>
    <n v="50029865"/>
    <x v="9"/>
    <n v="1"/>
    <s v="REALIZADO"/>
    <s v="BRUNO"/>
    <d v="2025-09-03T00:00:00"/>
    <x v="2"/>
  </r>
  <r>
    <n v="50029865"/>
    <x v="9"/>
    <n v="1"/>
    <s v="REALIZADO"/>
    <s v="BRUNO"/>
    <d v="2025-09-03T00:00:00"/>
    <x v="0"/>
  </r>
  <r>
    <n v="50038956"/>
    <x v="10"/>
    <n v="1"/>
    <s v="REALIZADO"/>
    <s v="GEOVANE"/>
    <d v="2025-09-03T00:00:00"/>
    <x v="2"/>
  </r>
  <r>
    <n v="50038956"/>
    <x v="10"/>
    <n v="1"/>
    <s v="REALIZADO"/>
    <s v="BRUNA"/>
    <d v="2025-09-03T00:00:00"/>
    <x v="0"/>
  </r>
  <r>
    <n v="50038956"/>
    <x v="10"/>
    <n v="1"/>
    <s v="REALIZADO"/>
    <s v="BRUNO"/>
    <d v="2025-09-03T00:00:00"/>
    <x v="2"/>
  </r>
  <r>
    <n v="50038956"/>
    <x v="10"/>
    <n v="1"/>
    <s v="REALIZADO"/>
    <s v="BRUNO"/>
    <d v="2025-09-03T00:00:00"/>
    <x v="0"/>
  </r>
  <r>
    <n v="50037892"/>
    <x v="2"/>
    <n v="1"/>
    <s v="REALIZADO"/>
    <s v="AGATHA"/>
    <d v="2025-09-03T00:00:00"/>
    <x v="2"/>
  </r>
  <r>
    <n v="50037892"/>
    <x v="2"/>
    <n v="1"/>
    <s v="REALIZADO"/>
    <s v="BRUNA"/>
    <d v="2025-09-03T00:00:00"/>
    <x v="0"/>
  </r>
  <r>
    <n v="50037892"/>
    <x v="2"/>
    <n v="1"/>
    <s v="REALIZADO"/>
    <s v="BRUNA"/>
    <d v="2025-09-03T00:00:00"/>
    <x v="0"/>
  </r>
  <r>
    <n v="50038841"/>
    <x v="34"/>
    <n v="1"/>
    <s v="REALIZADO"/>
    <s v="JOÃO FRANCISCO"/>
    <d v="2025-09-03T00:00:00"/>
    <x v="2"/>
  </r>
  <r>
    <n v="50038841"/>
    <x v="34"/>
    <n v="1"/>
    <s v="REALIZADO"/>
    <s v="GEOVANE"/>
    <d v="2025-09-03T00:00:00"/>
    <x v="0"/>
  </r>
  <r>
    <n v="50038841"/>
    <x v="34"/>
    <n v="1"/>
    <s v="REALIZADO"/>
    <s v="GEOVANE"/>
    <d v="2025-09-03T00:00:00"/>
    <x v="0"/>
  </r>
  <r>
    <n v="50001995"/>
    <x v="44"/>
    <n v="1"/>
    <s v="REALIZADO"/>
    <s v="BRUNO"/>
    <d v="2025-09-03T00:00:00"/>
    <x v="2"/>
  </r>
  <r>
    <n v="50001995"/>
    <x v="44"/>
    <n v="1"/>
    <s v="REALIZADO"/>
    <s v="BRUNO"/>
    <d v="2025-09-03T00:00:00"/>
    <x v="0"/>
  </r>
  <r>
    <n v="50001995"/>
    <x v="44"/>
    <n v="1"/>
    <s v="REALIZADO"/>
    <s v="BRUNO"/>
    <d v="2025-09-03T00:00:00"/>
    <x v="2"/>
  </r>
  <r>
    <n v="50001995"/>
    <x v="44"/>
    <n v="1"/>
    <s v="REALIZADO"/>
    <s v="BRUNO"/>
    <d v="2025-09-03T00:00:00"/>
    <x v="0"/>
  </r>
  <r>
    <n v="50041195"/>
    <x v="21"/>
    <n v="1"/>
    <s v="REALIZADO"/>
    <s v="AGATHA"/>
    <d v="2025-09-03T00:00:00"/>
    <x v="2"/>
  </r>
  <r>
    <n v="50041195"/>
    <x v="21"/>
    <n v="1"/>
    <s v="REALIZADO"/>
    <s v="BRUNO"/>
    <d v="2025-09-03T00:00:00"/>
    <x v="0"/>
  </r>
  <r>
    <n v="50043917"/>
    <x v="66"/>
    <n v="1"/>
    <s v="REALIZADO"/>
    <s v="AGATHA"/>
    <d v="2025-09-03T00:00:00"/>
    <x v="0"/>
  </r>
  <r>
    <n v="50032775"/>
    <x v="13"/>
    <n v="1"/>
    <s v="REALIZADO"/>
    <s v="BRUNA"/>
    <d v="2025-09-03T00:00:00"/>
    <x v="2"/>
  </r>
  <r>
    <n v="50032775"/>
    <x v="13"/>
    <n v="1"/>
    <s v="REALIZADO"/>
    <s v="BRUNA"/>
    <d v="2025-09-03T00:00:00"/>
    <x v="0"/>
  </r>
  <r>
    <n v="50010031"/>
    <x v="20"/>
    <n v="2"/>
    <s v="REALIZADO"/>
    <s v="JOÃO FRANCISCO"/>
    <d v="2025-09-02T00:00:00"/>
    <x v="2"/>
  </r>
  <r>
    <n v="50010031"/>
    <x v="20"/>
    <n v="2"/>
    <s v="REALIZADO"/>
    <s v="MATHEUS"/>
    <d v="2025-09-02T00:00:00"/>
    <x v="0"/>
  </r>
  <r>
    <n v="50038854"/>
    <x v="27"/>
    <n v="1"/>
    <s v="REALIZADO"/>
    <s v="MATHEUS"/>
    <d v="2025-09-02T00:00:00"/>
    <x v="2"/>
  </r>
  <r>
    <n v="50038854"/>
    <x v="27"/>
    <n v="1"/>
    <s v="REALIZADO"/>
    <s v="MATHEUS"/>
    <d v="2025-09-02T00:00:00"/>
    <x v="0"/>
  </r>
  <r>
    <n v="50037905"/>
    <x v="49"/>
    <n v="1"/>
    <s v="REALIZADO"/>
    <s v="BRUNA"/>
    <d v="2025-09-02T00:00:00"/>
    <x v="2"/>
  </r>
  <r>
    <n v="50037905"/>
    <x v="49"/>
    <n v="1"/>
    <s v="REALIZADO"/>
    <s v="BRUNA"/>
    <d v="2025-09-02T00:00:00"/>
    <x v="0"/>
  </r>
  <r>
    <n v="50039236"/>
    <x v="84"/>
    <n v="1"/>
    <s v="REALIZADO"/>
    <s v="JOÃO FRANCISCO"/>
    <d v="2025-09-02T00:00:00"/>
    <x v="2"/>
  </r>
  <r>
    <n v="50039236"/>
    <x v="84"/>
    <n v="1"/>
    <s v="REALIZADO"/>
    <s v="JOÃO FRANCISCO"/>
    <d v="2025-09-02T00:00:00"/>
    <x v="0"/>
  </r>
  <r>
    <n v="50043471"/>
    <x v="5"/>
    <n v="1"/>
    <s v="REALIZADO"/>
    <s v="MATHEUS"/>
    <d v="2025-09-02T00:00:00"/>
    <x v="2"/>
  </r>
  <r>
    <n v="50043471"/>
    <x v="5"/>
    <n v="1"/>
    <s v="REALIZADO"/>
    <s v="MATHEUS"/>
    <d v="2025-09-02T00:00:00"/>
    <x v="0"/>
  </r>
  <r>
    <n v="50003297"/>
    <x v="8"/>
    <n v="1"/>
    <s v="REALIZADO"/>
    <s v="JOÃO FRANCISCO"/>
    <d v="2025-09-02T00:00:00"/>
    <x v="2"/>
  </r>
  <r>
    <n v="50003297"/>
    <x v="8"/>
    <n v="1"/>
    <s v="REALIZADO"/>
    <s v="MATHEUS"/>
    <d v="2025-09-02T00:00:00"/>
    <x v="0"/>
  </r>
  <r>
    <n v="50029865"/>
    <x v="9"/>
    <n v="1"/>
    <s v="REALIZADO"/>
    <s v="JOÃO FRANCISCO"/>
    <d v="2025-09-02T00:00:00"/>
    <x v="2"/>
  </r>
  <r>
    <n v="50029865"/>
    <x v="9"/>
    <n v="1"/>
    <s v="REALIZADO"/>
    <s v="JOÃO FRANCISCO"/>
    <d v="2025-09-02T00:00:00"/>
    <x v="2"/>
  </r>
  <r>
    <n v="50037892"/>
    <x v="2"/>
    <n v="1"/>
    <s v="REALIZADO"/>
    <s v="BRUNA"/>
    <d v="2025-09-02T00:00:00"/>
    <x v="2"/>
  </r>
  <r>
    <n v="50038841"/>
    <x v="34"/>
    <n v="1"/>
    <s v="REALIZADO"/>
    <s v="MATHEUS"/>
    <d v="2025-09-02T00:00:00"/>
    <x v="0"/>
  </r>
  <r>
    <n v="50038841"/>
    <x v="34"/>
    <n v="1"/>
    <s v="REALIZADO"/>
    <s v="MATHEUS"/>
    <d v="2025-09-02T00:00:00"/>
    <x v="2"/>
  </r>
  <r>
    <n v="50038841"/>
    <x v="34"/>
    <n v="1"/>
    <s v="REALIZADO"/>
    <s v="BRUNA"/>
    <d v="2025-09-02T00:00:00"/>
    <x v="0"/>
  </r>
  <r>
    <n v="50001995"/>
    <x v="44"/>
    <n v="1"/>
    <s v="REALIZADO"/>
    <s v="JOÃO FRANCISCO"/>
    <d v="2025-09-02T00:00:00"/>
    <x v="2"/>
  </r>
  <r>
    <n v="50001995"/>
    <x v="44"/>
    <n v="1"/>
    <s v="REALIZADO"/>
    <s v="MATHEUS"/>
    <d v="2025-09-02T00:00:00"/>
    <x v="2"/>
  </r>
  <r>
    <n v="50039065"/>
    <x v="22"/>
    <n v="1"/>
    <s v="REALIZADO"/>
    <s v="BRUNA"/>
    <d v="2025-09-02T00:00:00"/>
    <x v="0"/>
  </r>
  <r>
    <n v="50026357"/>
    <x v="24"/>
    <n v="1"/>
    <s v="REALIZADO"/>
    <s v="GEOVANE"/>
    <d v="2025-09-02T00:00:00"/>
    <x v="2"/>
  </r>
  <r>
    <n v="50026357"/>
    <x v="24"/>
    <n v="1"/>
    <s v="REALIZADO"/>
    <s v="GEOVANE"/>
    <d v="2025-09-02T00:00:00"/>
    <x v="0"/>
  </r>
  <r>
    <n v="50041195"/>
    <x v="21"/>
    <n v="1"/>
    <s v="REALIZADO"/>
    <s v="JOÃO FRANCISCO"/>
    <d v="2025-09-02T00:00:00"/>
    <x v="0"/>
  </r>
  <r>
    <n v="50043917"/>
    <x v="66"/>
    <n v="1"/>
    <s v="REALIZADO"/>
    <s v="JOÃO FRANCISCO"/>
    <d v="2025-09-02T00:00:00"/>
    <x v="2"/>
  </r>
  <r>
    <n v="50043917"/>
    <x v="66"/>
    <n v="1"/>
    <s v="REALIZADO"/>
    <s v="JOÃO FRANCISCO"/>
    <d v="2025-09-02T00:00:00"/>
    <x v="2"/>
  </r>
  <r>
    <n v="50043917"/>
    <x v="66"/>
    <n v="1"/>
    <s v="REALIZADO"/>
    <s v="BRUNA"/>
    <d v="2025-09-02T00:00:00"/>
    <x v="0"/>
  </r>
  <r>
    <n v="50032781"/>
    <x v="12"/>
    <n v="1"/>
    <s v="REALIZADO"/>
    <s v="JOÃO FRANCISCO"/>
    <d v="2025-09-02T00:00:00"/>
    <x v="2"/>
  </r>
  <r>
    <n v="50032781"/>
    <x v="12"/>
    <n v="1"/>
    <s v="REALIZADO"/>
    <s v="GEOVANE"/>
    <d v="2025-09-02T00:00:00"/>
    <x v="0"/>
  </r>
  <r>
    <n v="50038194"/>
    <x v="87"/>
    <n v="1"/>
    <s v="REALIZADO"/>
    <s v="GEOVANE"/>
    <d v="2025-09-02T00:00:00"/>
    <x v="2"/>
  </r>
  <r>
    <n v="50038194"/>
    <x v="87"/>
    <n v="1"/>
    <s v="REALIZADO"/>
    <s v="MATHEUS"/>
    <d v="2025-09-02T00:00:00"/>
    <x v="0"/>
  </r>
  <r>
    <n v="50038194"/>
    <x v="87"/>
    <n v="1"/>
    <s v="REALIZADO"/>
    <s v="MATHEUS"/>
    <d v="2025-09-02T00:00:00"/>
    <x v="2"/>
  </r>
  <r>
    <n v="50038194"/>
    <x v="87"/>
    <n v="1"/>
    <s v="REALIZADO"/>
    <s v="MATHEUS"/>
    <d v="2025-09-02T00:00:00"/>
    <x v="0"/>
  </r>
  <r>
    <n v="50038194"/>
    <x v="87"/>
    <n v="1"/>
    <s v="REALIZADO"/>
    <s v="MATHEUS"/>
    <d v="2025-09-02T00:00:00"/>
    <x v="2"/>
  </r>
  <r>
    <n v="50038194"/>
    <x v="87"/>
    <n v="1"/>
    <s v="REALIZADO"/>
    <s v="MATHEUS"/>
    <d v="2025-09-02T00:00:00"/>
    <x v="0"/>
  </r>
  <r>
    <n v="50038194"/>
    <x v="87"/>
    <n v="1"/>
    <s v="REALIZADO"/>
    <s v="MATHEUS"/>
    <d v="2025-09-02T00:00:00"/>
    <x v="2"/>
  </r>
  <r>
    <n v="50038194"/>
    <x v="87"/>
    <n v="1"/>
    <s v="NÃO REALIZADO"/>
    <s v="BRUNA"/>
    <d v="2025-09-02T00:00:00"/>
    <x v="0"/>
  </r>
  <r>
    <n v="50010031"/>
    <x v="20"/>
    <n v="1"/>
    <s v="REALIZADO"/>
    <s v="KELLY"/>
    <d v="2025-09-01T00:00:00"/>
    <x v="2"/>
  </r>
  <r>
    <n v="50010031"/>
    <x v="20"/>
    <n v="1"/>
    <s v="REALIZADO"/>
    <s v="BRUNA"/>
    <d v="2025-09-01T00:00:00"/>
    <x v="2"/>
  </r>
  <r>
    <n v="50002644"/>
    <x v="83"/>
    <n v="1"/>
    <s v="REALIZADO"/>
    <s v="MARCIA"/>
    <d v="2025-09-01T00:00:00"/>
    <x v="0"/>
  </r>
  <r>
    <n v="50038956"/>
    <x v="10"/>
    <n v="1"/>
    <s v="REALIZADO"/>
    <s v="KELLY"/>
    <d v="2025-09-01T00:00:00"/>
    <x v="2"/>
  </r>
  <r>
    <n v="50038956"/>
    <x v="10"/>
    <n v="1"/>
    <s v="REALIZADO"/>
    <s v="BRUNO"/>
    <d v="2025-09-01T00:00:00"/>
    <x v="0"/>
  </r>
  <r>
    <n v="50037892"/>
    <x v="2"/>
    <n v="1"/>
    <s v="REALIZADO"/>
    <s v="KELLY"/>
    <d v="2025-09-01T00:00:00"/>
    <x v="2"/>
  </r>
  <r>
    <n v="50037892"/>
    <x v="2"/>
    <n v="1"/>
    <s v="REALIZADO"/>
    <s v="BRUNA"/>
    <d v="2025-09-01T00:00:00"/>
    <x v="0"/>
  </r>
  <r>
    <n v="50037902"/>
    <x v="14"/>
    <n v="1"/>
    <s v="REALIZADO"/>
    <s v="KELLY"/>
    <d v="2025-09-01T00:00:00"/>
    <x v="2"/>
  </r>
  <r>
    <n v="50037902"/>
    <x v="14"/>
    <n v="1"/>
    <s v="REALIZADO"/>
    <s v="BRUNA"/>
    <d v="2025-09-01T00:00:00"/>
    <x v="0"/>
  </r>
  <r>
    <n v="50026357"/>
    <x v="24"/>
    <n v="1"/>
    <s v="REALIZADO"/>
    <s v="KELLY"/>
    <d v="2025-09-01T00:00:00"/>
    <x v="2"/>
  </r>
  <r>
    <n v="50026357"/>
    <x v="24"/>
    <n v="1"/>
    <s v="REALIZADO"/>
    <s v="BRUNO"/>
    <d v="2025-09-01T00:00:00"/>
    <x v="2"/>
  </r>
  <r>
    <n v="50041195"/>
    <x v="21"/>
    <n v="1"/>
    <s v="REALIZADO"/>
    <s v="BRUNO"/>
    <d v="2025-09-01T00:00:00"/>
    <x v="0"/>
  </r>
  <r>
    <n v="50037956"/>
    <x v="113"/>
    <n v="1"/>
    <s v="REALIZADO"/>
    <m/>
    <d v="2025-08-31T00:00:00"/>
    <x v="0"/>
  </r>
  <r>
    <n v="50037905"/>
    <x v="49"/>
    <n v="1"/>
    <s v="REALIZADO"/>
    <s v="BRUNA"/>
    <d v="2025-08-30T00:00:00"/>
    <x v="2"/>
  </r>
  <r>
    <n v="50037905"/>
    <x v="49"/>
    <n v="1"/>
    <s v="REALIZADO"/>
    <s v="BRUNA"/>
    <d v="2025-08-30T00:00:00"/>
    <x v="0"/>
  </r>
  <r>
    <n v="50038841"/>
    <x v="34"/>
    <n v="1"/>
    <s v="REALIZADO"/>
    <s v="BRUNA"/>
    <d v="2025-08-30T00:00:00"/>
    <x v="2"/>
  </r>
  <r>
    <n v="50038841"/>
    <x v="34"/>
    <n v="1"/>
    <s v="REALIZADO"/>
    <s v="BRUNA"/>
    <d v="2025-08-30T00:00:00"/>
    <x v="0"/>
  </r>
  <r>
    <n v="50038626"/>
    <x v="72"/>
    <n v="1"/>
    <s v="REALIZADO"/>
    <s v="BRUNA"/>
    <d v="2025-08-30T00:00:00"/>
    <x v="2"/>
  </r>
  <r>
    <n v="50038626"/>
    <x v="72"/>
    <n v="1"/>
    <s v="REALIZADO"/>
    <s v="BRUNA"/>
    <d v="2025-08-30T00:00:00"/>
    <x v="2"/>
  </r>
  <r>
    <n v="50041195"/>
    <x v="21"/>
    <n v="1"/>
    <s v="REALIZADO"/>
    <s v="BRUNA"/>
    <d v="2025-08-30T00:00:00"/>
    <x v="0"/>
  </r>
  <r>
    <n v="50010031"/>
    <x v="20"/>
    <n v="1"/>
    <s v="REALIZADO"/>
    <s v="JOÃO FRANCISCO"/>
    <d v="2025-08-29T00:00:00"/>
    <x v="2"/>
  </r>
  <r>
    <n v="50010031"/>
    <x v="20"/>
    <n v="1"/>
    <s v="REALIZADO"/>
    <s v="BRUNO"/>
    <d v="2025-08-29T00:00:00"/>
    <x v="2"/>
  </r>
  <r>
    <n v="50044003"/>
    <x v="63"/>
    <n v="1"/>
    <s v="REALIZADO"/>
    <s v="BRUNO"/>
    <d v="2025-08-29T00:00:00"/>
    <x v="0"/>
  </r>
  <r>
    <n v="50037905"/>
    <x v="49"/>
    <n v="1"/>
    <s v="REALIZADO"/>
    <s v="KELLY"/>
    <d v="2025-08-29T00:00:00"/>
    <x v="2"/>
  </r>
  <r>
    <n v="50037905"/>
    <x v="49"/>
    <n v="1"/>
    <s v="REALIZADO"/>
    <s v="GEOVANE"/>
    <d v="2025-08-29T00:00:00"/>
    <x v="0"/>
  </r>
  <r>
    <n v="50037905"/>
    <x v="49"/>
    <n v="1"/>
    <s v="REALIZADO"/>
    <s v="GEOVANE"/>
    <d v="2025-08-29T00:00:00"/>
    <x v="2"/>
  </r>
  <r>
    <n v="50037905"/>
    <x v="49"/>
    <n v="1"/>
    <s v="REALIZADO"/>
    <s v="GEOVANE"/>
    <d v="2025-08-29T00:00:00"/>
    <x v="0"/>
  </r>
  <r>
    <n v="50037905"/>
    <x v="49"/>
    <n v="1"/>
    <s v="REALIZADO"/>
    <s v="BRUNO"/>
    <d v="2025-08-29T00:00:00"/>
    <x v="2"/>
  </r>
  <r>
    <n v="50037905"/>
    <x v="49"/>
    <n v="1"/>
    <s v="REALIZADO"/>
    <s v="BRUNO"/>
    <d v="2025-08-29T00:00:00"/>
    <x v="0"/>
  </r>
  <r>
    <n v="50039236"/>
    <x v="84"/>
    <n v="1"/>
    <s v="REALIZADO"/>
    <s v="BRUNO"/>
    <d v="2025-08-29T00:00:00"/>
    <x v="2"/>
  </r>
  <r>
    <n v="50039236"/>
    <x v="84"/>
    <n v="1"/>
    <s v="REALIZADO"/>
    <s v="BRUNO"/>
    <d v="2025-08-29T00:00:00"/>
    <x v="0"/>
  </r>
  <r>
    <n v="50043471"/>
    <x v="5"/>
    <n v="1"/>
    <s v="REALIZADO"/>
    <s v="KELLY"/>
    <d v="2025-08-29T00:00:00"/>
    <x v="2"/>
  </r>
  <r>
    <n v="50043471"/>
    <x v="5"/>
    <n v="1"/>
    <s v="REALIZADO"/>
    <s v="GEOVANE"/>
    <d v="2025-08-29T00:00:00"/>
    <x v="0"/>
  </r>
  <r>
    <n v="50029865"/>
    <x v="9"/>
    <n v="1"/>
    <s v="REALIZADO"/>
    <s v="JOÃO FRANCISCO"/>
    <d v="2025-08-29T00:00:00"/>
    <x v="2"/>
  </r>
  <r>
    <n v="50029865"/>
    <x v="9"/>
    <n v="1"/>
    <s v="REALIZADO"/>
    <s v="BRUNO"/>
    <d v="2025-08-29T00:00:00"/>
    <x v="0"/>
  </r>
  <r>
    <n v="50038549"/>
    <x v="6"/>
    <n v="1"/>
    <s v="REALIZADO"/>
    <s v="BRUNO"/>
    <d v="2025-08-29T00:00:00"/>
    <x v="2"/>
  </r>
  <r>
    <n v="50038549"/>
    <x v="6"/>
    <n v="1"/>
    <s v="REALIZADO"/>
    <s v="BRUNO"/>
    <d v="2025-08-29T00:00:00"/>
    <x v="0"/>
  </r>
  <r>
    <n v="50022878"/>
    <x v="18"/>
    <n v="1"/>
    <s v="REALIZADO"/>
    <s v="BRUNO"/>
    <d v="2025-08-29T00:00:00"/>
    <x v="2"/>
  </r>
  <r>
    <n v="50022878"/>
    <x v="18"/>
    <n v="1"/>
    <s v="REALIZADO"/>
    <s v="BRUNO"/>
    <d v="2025-08-29T00:00:00"/>
    <x v="0"/>
  </r>
  <r>
    <n v="50022878"/>
    <x v="18"/>
    <n v="1"/>
    <s v="REALIZADO"/>
    <s v="BRUNO"/>
    <d v="2025-08-29T00:00:00"/>
    <x v="2"/>
  </r>
  <r>
    <n v="50022878"/>
    <x v="18"/>
    <n v="1"/>
    <s v="REALIZADO"/>
    <s v="BRUNO"/>
    <d v="2025-08-29T00:00:00"/>
    <x v="0"/>
  </r>
  <r>
    <n v="50038956"/>
    <x v="10"/>
    <n v="1"/>
    <s v="REALIZADO"/>
    <s v="BRUNO"/>
    <d v="2025-08-29T00:00:00"/>
    <x v="2"/>
  </r>
  <r>
    <n v="50038956"/>
    <x v="10"/>
    <n v="1"/>
    <s v="REALIZADO"/>
    <s v="BRUNO"/>
    <d v="2025-08-29T00:00:00"/>
    <x v="0"/>
  </r>
  <r>
    <n v="50037892"/>
    <x v="2"/>
    <n v="1"/>
    <s v="REALIZADO"/>
    <s v="BRUNO"/>
    <d v="2025-08-29T00:00:00"/>
    <x v="2"/>
  </r>
  <r>
    <n v="50037892"/>
    <x v="2"/>
    <n v="1"/>
    <s v="REALIZADO"/>
    <s v="BRUNO"/>
    <d v="2025-08-29T00:00:00"/>
    <x v="0"/>
  </r>
  <r>
    <n v="50038841"/>
    <x v="34"/>
    <n v="1"/>
    <s v="REALIZADO"/>
    <s v="BRUNO"/>
    <d v="2025-08-29T00:00:00"/>
    <x v="2"/>
  </r>
  <r>
    <n v="50038841"/>
    <x v="34"/>
    <n v="1"/>
    <s v="REALIZADO"/>
    <s v="BRUNO"/>
    <d v="2025-08-29T00:00:00"/>
    <x v="0"/>
  </r>
  <r>
    <n v="50038517"/>
    <x v="0"/>
    <n v="1"/>
    <s v="REALIZADO"/>
    <s v="JOÃO FRANCISCO"/>
    <d v="2025-08-29T00:00:00"/>
    <x v="2"/>
  </r>
  <r>
    <n v="50038517"/>
    <x v="0"/>
    <n v="1"/>
    <s v="REALIZADO"/>
    <s v="GEOVANE"/>
    <d v="2025-08-29T00:00:00"/>
    <x v="0"/>
  </r>
  <r>
    <n v="50038517"/>
    <x v="0"/>
    <n v="1"/>
    <s v="REALIZADO"/>
    <s v="BRUNO"/>
    <d v="2025-08-29T00:00:00"/>
    <x v="2"/>
  </r>
  <r>
    <n v="50038517"/>
    <x v="0"/>
    <n v="1"/>
    <s v="REALIZADO"/>
    <s v="BRUNO"/>
    <d v="2025-08-29T00:00:00"/>
    <x v="0"/>
  </r>
  <r>
    <n v="50001995"/>
    <x v="44"/>
    <n v="1"/>
    <s v="REALIZADO"/>
    <s v="JOÃO FRANCISCO"/>
    <d v="2025-08-29T00:00:00"/>
    <x v="2"/>
  </r>
  <r>
    <n v="50001995"/>
    <x v="44"/>
    <n v="1"/>
    <s v="REALIZADO"/>
    <s v="GEOVANE"/>
    <d v="2025-08-29T00:00:00"/>
    <x v="0"/>
  </r>
  <r>
    <n v="50041195"/>
    <x v="21"/>
    <n v="1"/>
    <s v="REALIZADO"/>
    <s v="BRUNA"/>
    <d v="2025-08-29T00:00:00"/>
    <x v="2"/>
  </r>
  <r>
    <n v="50041195"/>
    <x v="21"/>
    <n v="1"/>
    <s v="REALIZADO"/>
    <s v="BRUNO"/>
    <d v="2025-08-29T00:00:00"/>
    <x v="0"/>
  </r>
  <r>
    <n v="50041195"/>
    <x v="21"/>
    <n v="1"/>
    <s v="REALIZADO"/>
    <s v="BRUNO"/>
    <d v="2025-08-29T00:00:00"/>
    <x v="2"/>
  </r>
  <r>
    <n v="50041195"/>
    <x v="21"/>
    <n v="1"/>
    <s v="REALIZADO"/>
    <s v="BRUNO"/>
    <d v="2025-08-29T00:00:00"/>
    <x v="0"/>
  </r>
  <r>
    <n v="50043917"/>
    <x v="66"/>
    <n v="1"/>
    <s v="REALIZADO"/>
    <s v="JOÃO FRANCISCO"/>
    <d v="2025-08-29T00:00:00"/>
    <x v="2"/>
  </r>
  <r>
    <n v="50043917"/>
    <x v="66"/>
    <n v="1"/>
    <s v="REALIZADO"/>
    <s v="BRUNO"/>
    <d v="2025-08-29T00:00:00"/>
    <x v="0"/>
  </r>
  <r>
    <n v="50032775"/>
    <x v="13"/>
    <n v="1"/>
    <s v="REALIZADO"/>
    <s v="BRUNO"/>
    <d v="2025-08-29T00:00:00"/>
    <x v="2"/>
  </r>
  <r>
    <n v="50032775"/>
    <x v="13"/>
    <n v="1"/>
    <s v="REALIZADO"/>
    <s v="BRUNO"/>
    <d v="2025-08-29T00:00:00"/>
    <x v="0"/>
  </r>
  <r>
    <n v="50032781"/>
    <x v="12"/>
    <n v="1"/>
    <s v="REALIZADO"/>
    <s v="JOÃO FRANCISCO"/>
    <d v="2025-08-29T00:00:00"/>
    <x v="2"/>
  </r>
  <r>
    <n v="50032781"/>
    <x v="12"/>
    <n v="1"/>
    <s v="REALIZADO"/>
    <s v="BRUNO"/>
    <d v="2025-08-29T00:00:00"/>
    <x v="0"/>
  </r>
  <r>
    <n v="50038194"/>
    <x v="87"/>
    <n v="1"/>
    <s v="REALIZADO"/>
    <s v="BRUNA"/>
    <d v="2025-08-29T00:00:00"/>
    <x v="2"/>
  </r>
  <r>
    <n v="50038194"/>
    <x v="87"/>
    <n v="1"/>
    <s v="REALIZADO"/>
    <s v="BRUNO"/>
    <d v="2025-08-29T00:00:00"/>
    <x v="2"/>
  </r>
  <r>
    <n v="50037933"/>
    <x v="43"/>
    <n v="1"/>
    <s v="REALIZADO"/>
    <s v="BRUNO"/>
    <d v="2025-08-29T00:00:00"/>
    <x v="0"/>
  </r>
  <r>
    <n v="50037905"/>
    <x v="49"/>
    <n v="1"/>
    <s v="REALIZADO"/>
    <s v="BRUNO"/>
    <d v="2025-08-28T00:00:00"/>
    <x v="2"/>
  </r>
  <r>
    <n v="50037905"/>
    <x v="49"/>
    <n v="1"/>
    <s v="REALIZADO"/>
    <s v="BRUNO"/>
    <d v="2025-08-28T00:00:00"/>
    <x v="0"/>
  </r>
  <r>
    <n v="50030486"/>
    <x v="17"/>
    <n v="1"/>
    <s v="REALIZADO"/>
    <s v="KELLY"/>
    <d v="2025-08-28T00:00:00"/>
    <x v="2"/>
  </r>
  <r>
    <n v="50030486"/>
    <x v="17"/>
    <n v="1"/>
    <s v="REALIZADO"/>
    <s v="BRUNO"/>
    <d v="2025-08-28T00:00:00"/>
    <x v="0"/>
  </r>
  <r>
    <n v="50039236"/>
    <x v="84"/>
    <n v="1"/>
    <s v="REALIZADO"/>
    <s v="KELLY"/>
    <d v="2025-08-28T00:00:00"/>
    <x v="2"/>
  </r>
  <r>
    <n v="50039236"/>
    <x v="84"/>
    <n v="1"/>
    <s v="REALIZADO"/>
    <s v="BRUNO"/>
    <d v="2025-08-28T00:00:00"/>
    <x v="0"/>
  </r>
  <r>
    <n v="50043471"/>
    <x v="5"/>
    <n v="1"/>
    <s v="REALIZADO"/>
    <s v="GEOVANE"/>
    <d v="2025-08-28T00:00:00"/>
    <x v="2"/>
  </r>
  <r>
    <n v="50043471"/>
    <x v="5"/>
    <n v="1"/>
    <s v="REALIZADO"/>
    <s v="BRUNO"/>
    <d v="2025-08-28T00:00:00"/>
    <x v="0"/>
  </r>
  <r>
    <n v="50003297"/>
    <x v="8"/>
    <n v="1"/>
    <s v="REALIZADO"/>
    <s v="BRUNO"/>
    <d v="2025-08-28T00:00:00"/>
    <x v="2"/>
  </r>
  <r>
    <n v="50003297"/>
    <x v="8"/>
    <n v="1"/>
    <s v="REALIZADO"/>
    <s v="BRUNO"/>
    <d v="2025-08-28T00:00:00"/>
    <x v="0"/>
  </r>
  <r>
    <n v="50038549"/>
    <x v="6"/>
    <n v="1"/>
    <s v="REALIZADO"/>
    <s v="KELLY"/>
    <d v="2025-08-28T00:00:00"/>
    <x v="2"/>
  </r>
  <r>
    <n v="50038549"/>
    <x v="6"/>
    <n v="1"/>
    <s v="REALIZADO"/>
    <s v="BRUNA"/>
    <d v="2025-08-28T00:00:00"/>
    <x v="0"/>
  </r>
  <r>
    <n v="50037892"/>
    <x v="2"/>
    <n v="1"/>
    <s v="REALIZADO"/>
    <s v="KELLY"/>
    <d v="2025-08-28T00:00:00"/>
    <x v="2"/>
  </r>
  <r>
    <n v="50037892"/>
    <x v="2"/>
    <n v="1"/>
    <s v="REALIZADO"/>
    <s v="BRUNA"/>
    <d v="2025-08-28T00:00:00"/>
    <x v="0"/>
  </r>
  <r>
    <n v="50037902"/>
    <x v="14"/>
    <n v="1"/>
    <s v="REALIZADO"/>
    <s v="KELLY"/>
    <d v="2025-08-28T00:00:00"/>
    <x v="2"/>
  </r>
  <r>
    <n v="50037902"/>
    <x v="14"/>
    <n v="1"/>
    <s v="REALIZADO"/>
    <s v="BRUNO"/>
    <d v="2025-08-28T00:00:00"/>
    <x v="0"/>
  </r>
  <r>
    <n v="50038517"/>
    <x v="0"/>
    <n v="1"/>
    <s v="REALIZADO"/>
    <s v="KELLY"/>
    <d v="2025-08-28T00:00:00"/>
    <x v="2"/>
  </r>
  <r>
    <n v="50038517"/>
    <x v="0"/>
    <n v="1"/>
    <s v="REALIZADO"/>
    <s v="BRUNO"/>
    <d v="2025-08-28T00:00:00"/>
    <x v="0"/>
  </r>
  <r>
    <n v="50001995"/>
    <x v="44"/>
    <n v="1"/>
    <s v="REALIZADO"/>
    <s v="GEOVANE"/>
    <d v="2025-08-28T00:00:00"/>
    <x v="2"/>
  </r>
  <r>
    <n v="50001995"/>
    <x v="44"/>
    <n v="1"/>
    <s v="REALIZADO"/>
    <s v="GEOVANE"/>
    <d v="2025-08-28T00:00:00"/>
    <x v="0"/>
  </r>
  <r>
    <n v="50039065"/>
    <x v="22"/>
    <n v="1"/>
    <s v="REALIZADO"/>
    <s v="BRUNO"/>
    <d v="2025-08-28T00:00:00"/>
    <x v="2"/>
  </r>
  <r>
    <n v="50039065"/>
    <x v="22"/>
    <n v="1"/>
    <s v="REALIZADO"/>
    <s v="BRUNO"/>
    <d v="2025-08-28T00:00:00"/>
    <x v="0"/>
  </r>
  <r>
    <n v="50026357"/>
    <x v="24"/>
    <n v="1"/>
    <s v="REALIZADO"/>
    <s v="BRUNO"/>
    <d v="2025-08-28T00:00:00"/>
    <x v="0"/>
  </r>
  <r>
    <n v="50041195"/>
    <x v="21"/>
    <n v="1"/>
    <s v="REALIZADO"/>
    <s v="KELLY"/>
    <d v="2025-08-28T00:00:00"/>
    <x v="2"/>
  </r>
  <r>
    <n v="50041195"/>
    <x v="21"/>
    <n v="1"/>
    <s v="REALIZADO"/>
    <s v="BRUNA"/>
    <d v="2025-08-28T00:00:00"/>
    <x v="0"/>
  </r>
  <r>
    <n v="50043917"/>
    <x v="66"/>
    <n v="1"/>
    <s v="REALIZADO"/>
    <s v="KELLY"/>
    <d v="2025-08-28T00:00:00"/>
    <x v="2"/>
  </r>
  <r>
    <n v="50043917"/>
    <x v="66"/>
    <n v="1"/>
    <s v="REALIZADO"/>
    <s v="BRUNO"/>
    <d v="2025-08-28T00:00:00"/>
    <x v="0"/>
  </r>
  <r>
    <n v="50032781"/>
    <x v="12"/>
    <n v="1"/>
    <s v="REALIZADO"/>
    <s v="GEOVANE"/>
    <d v="2025-08-28T00:00:00"/>
    <x v="2"/>
  </r>
  <r>
    <n v="50032781"/>
    <x v="12"/>
    <n v="1"/>
    <s v="REALIZADO"/>
    <s v="GEOVANE"/>
    <d v="2025-08-28T00:00:00"/>
    <x v="0"/>
  </r>
  <r>
    <n v="50010031"/>
    <x v="20"/>
    <n v="1"/>
    <s v="REALIZADO"/>
    <s v="BRUNO"/>
    <d v="2025-08-27T00:00:00"/>
    <x v="2"/>
  </r>
  <r>
    <n v="50010031"/>
    <x v="20"/>
    <n v="1"/>
    <s v="REALIZADO"/>
    <s v="BRUNO"/>
    <d v="2025-08-27T00:00:00"/>
    <x v="0"/>
  </r>
  <r>
    <n v="50036296"/>
    <x v="46"/>
    <n v="1"/>
    <s v="REALIZADO"/>
    <s v="JOÃO FRANCISCO"/>
    <d v="2025-08-27T00:00:00"/>
    <x v="2"/>
  </r>
  <r>
    <n v="50036296"/>
    <x v="46"/>
    <n v="1"/>
    <s v="REALIZADO"/>
    <s v="BRUNO"/>
    <d v="2025-08-27T00:00:00"/>
    <x v="2"/>
  </r>
  <r>
    <n v="50037960"/>
    <x v="37"/>
    <n v="1"/>
    <s v="REALIZADO"/>
    <s v="BRUNO"/>
    <d v="2025-08-27T00:00:00"/>
    <x v="2"/>
  </r>
  <r>
    <n v="50037961"/>
    <x v="36"/>
    <n v="1"/>
    <s v="REALIZADO"/>
    <s v="BRUNO"/>
    <d v="2025-08-27T00:00:00"/>
    <x v="0"/>
  </r>
  <r>
    <n v="50037905"/>
    <x v="49"/>
    <n v="1"/>
    <s v="REALIZADO"/>
    <s v="BRUNO"/>
    <d v="2025-08-27T00:00:00"/>
    <x v="2"/>
  </r>
  <r>
    <n v="50037905"/>
    <x v="49"/>
    <n v="1"/>
    <s v="REALIZADO"/>
    <s v="MARCIA"/>
    <d v="2025-08-27T00:00:00"/>
    <x v="0"/>
  </r>
  <r>
    <n v="50030486"/>
    <x v="17"/>
    <n v="1"/>
    <s v="REALIZADO"/>
    <s v="JOÃO FRANCISCO"/>
    <d v="2025-08-27T00:00:00"/>
    <x v="2"/>
  </r>
  <r>
    <n v="50030486"/>
    <x v="17"/>
    <n v="1"/>
    <s v="REALIZADO"/>
    <s v="GEOVANE"/>
    <d v="2025-08-27T00:00:00"/>
    <x v="2"/>
  </r>
  <r>
    <n v="50039236"/>
    <x v="84"/>
    <n v="1"/>
    <s v="REALIZADO"/>
    <s v="BRUNO"/>
    <d v="2025-08-27T00:00:00"/>
    <x v="0"/>
  </r>
  <r>
    <n v="50043471"/>
    <x v="5"/>
    <n v="1"/>
    <s v="REALIZADO"/>
    <s v="JOÃO FRANCISCO"/>
    <d v="2025-08-27T00:00:00"/>
    <x v="2"/>
  </r>
  <r>
    <n v="50043471"/>
    <x v="5"/>
    <n v="1"/>
    <s v="REALIZADO"/>
    <s v="GEOVANE"/>
    <d v="2025-08-27T00:00:00"/>
    <x v="0"/>
  </r>
  <r>
    <n v="50003296"/>
    <x v="105"/>
    <n v="1"/>
    <s v="REALIZADO"/>
    <s v="JOÃO FRANCISCO"/>
    <d v="2025-08-27T00:00:00"/>
    <x v="2"/>
  </r>
  <r>
    <n v="50003296"/>
    <x v="105"/>
    <n v="1"/>
    <s v="REALIZADO"/>
    <s v="GEOVANE"/>
    <d v="2025-08-27T00:00:00"/>
    <x v="0"/>
  </r>
  <r>
    <n v="50038549"/>
    <x v="6"/>
    <n v="1"/>
    <s v="REALIZADO"/>
    <s v="GEOVANE"/>
    <d v="2025-08-27T00:00:00"/>
    <x v="2"/>
  </r>
  <r>
    <n v="50038549"/>
    <x v="6"/>
    <n v="1"/>
    <s v="REALIZADO"/>
    <s v="BRUNA"/>
    <d v="2025-08-27T00:00:00"/>
    <x v="0"/>
  </r>
  <r>
    <n v="50038517"/>
    <x v="0"/>
    <n v="1"/>
    <s v="REALIZADO"/>
    <s v="GEOVANE"/>
    <d v="2025-08-27T00:00:00"/>
    <x v="2"/>
  </r>
  <r>
    <n v="50038517"/>
    <x v="0"/>
    <n v="1"/>
    <s v="REALIZADO"/>
    <s v="GEOVANE"/>
    <d v="2025-08-27T00:00:00"/>
    <x v="0"/>
  </r>
  <r>
    <n v="50038517"/>
    <x v="0"/>
    <n v="1"/>
    <s v="REALIZADO"/>
    <s v="BRUNA"/>
    <d v="2025-08-27T00:00:00"/>
    <x v="2"/>
  </r>
  <r>
    <n v="50038517"/>
    <x v="0"/>
    <n v="1"/>
    <s v="REALIZADO"/>
    <s v="BRUNO"/>
    <d v="2025-08-27T00:00:00"/>
    <x v="2"/>
  </r>
  <r>
    <n v="50026357"/>
    <x v="24"/>
    <n v="1"/>
    <s v="REALIZADO"/>
    <s v="GEOVANE"/>
    <d v="2025-08-27T00:00:00"/>
    <x v="2"/>
  </r>
  <r>
    <n v="50041195"/>
    <x v="21"/>
    <n v="1"/>
    <s v="REALIZADO"/>
    <s v="BRUNA"/>
    <d v="2025-08-27T00:00:00"/>
    <x v="0"/>
  </r>
  <r>
    <n v="50041195"/>
    <x v="21"/>
    <n v="1"/>
    <s v="REALIZADO"/>
    <s v="GLAUBER"/>
    <d v="2025-08-27T00:00:00"/>
    <x v="2"/>
  </r>
  <r>
    <n v="50043917"/>
    <x v="66"/>
    <n v="1"/>
    <s v="REALIZADO"/>
    <s v="BRUNO"/>
    <d v="2025-08-27T00:00:00"/>
    <x v="2"/>
  </r>
  <r>
    <n v="50037915"/>
    <x v="114"/>
    <n v="1"/>
    <s v="REALIZADO"/>
    <s v="JOÃO FRANCISCO"/>
    <d v="2025-08-27T00:00:00"/>
    <x v="0"/>
  </r>
  <r>
    <n v="50032781"/>
    <x v="12"/>
    <n v="1"/>
    <s v="REALIZADO"/>
    <s v="JOÃO FRANCISCO"/>
    <d v="2025-08-27T00:00:00"/>
    <x v="2"/>
  </r>
  <r>
    <n v="50032781"/>
    <x v="12"/>
    <n v="1"/>
    <s v="REALIZADO"/>
    <s v="JOÃO FRANCISCO"/>
    <d v="2025-08-27T00:00:00"/>
    <x v="0"/>
  </r>
  <r>
    <n v="50038854"/>
    <x v="27"/>
    <n v="1"/>
    <s v="NÃO REALIZADO"/>
    <s v="MARCIA"/>
    <d v="2025-08-26T00:00:00"/>
    <x v="0"/>
  </r>
  <r>
    <n v="50037905"/>
    <x v="49"/>
    <n v="1"/>
    <s v="REALIZADO"/>
    <s v="MARCIA"/>
    <d v="2025-08-26T00:00:00"/>
    <x v="2"/>
  </r>
  <r>
    <n v="50037905"/>
    <x v="49"/>
    <n v="1"/>
    <s v="REALIZADO"/>
    <s v="MARCIA"/>
    <d v="2025-08-26T00:00:00"/>
    <x v="0"/>
  </r>
  <r>
    <n v="50030486"/>
    <x v="17"/>
    <n v="1"/>
    <s v="REALIZADO"/>
    <s v="KELLY"/>
    <d v="2025-08-26T00:00:00"/>
    <x v="2"/>
  </r>
  <r>
    <n v="50030486"/>
    <x v="17"/>
    <n v="1"/>
    <s v="REALIZADO"/>
    <s v="MARCIA"/>
    <d v="2025-08-26T00:00:00"/>
    <x v="0"/>
  </r>
  <r>
    <n v="50003297"/>
    <x v="8"/>
    <n v="1"/>
    <s v="REALIZADO"/>
    <s v="KELLY"/>
    <d v="2025-08-26T00:00:00"/>
    <x v="2"/>
  </r>
  <r>
    <n v="50003297"/>
    <x v="8"/>
    <n v="1"/>
    <s v="REALIZADO"/>
    <s v="MARCIA"/>
    <d v="2025-08-26T00:00:00"/>
    <x v="0"/>
  </r>
  <r>
    <n v="50038549"/>
    <x v="6"/>
    <n v="1"/>
    <s v="REALIZADO"/>
    <m/>
    <d v="2025-08-26T00:00:00"/>
    <x v="0"/>
  </r>
  <r>
    <n v="50022878"/>
    <x v="18"/>
    <n v="1"/>
    <s v="REALIZADO"/>
    <s v="MARCIA"/>
    <d v="2025-08-26T00:00:00"/>
    <x v="2"/>
  </r>
  <r>
    <n v="50022878"/>
    <x v="18"/>
    <n v="1"/>
    <s v="REALIZADO"/>
    <s v="MARCIA"/>
    <d v="2025-08-26T00:00:00"/>
    <x v="0"/>
  </r>
  <r>
    <n v="50037892"/>
    <x v="2"/>
    <n v="1"/>
    <s v="REALIZADO"/>
    <s v="MARCIA"/>
    <d v="2025-08-26T00:00:00"/>
    <x v="2"/>
  </r>
  <r>
    <n v="50037892"/>
    <x v="2"/>
    <n v="1"/>
    <s v="REALIZADO"/>
    <s v="MARCIA"/>
    <d v="2025-08-26T00:00:00"/>
    <x v="0"/>
  </r>
  <r>
    <n v="50037902"/>
    <x v="14"/>
    <n v="1"/>
    <s v="REALIZADO"/>
    <s v="MARCIA"/>
    <d v="2025-08-26T00:00:00"/>
    <x v="2"/>
  </r>
  <r>
    <n v="50037902"/>
    <x v="14"/>
    <n v="1"/>
    <s v="REALIZADO"/>
    <s v="MARCIA"/>
    <d v="2025-08-26T00:00:00"/>
    <x v="0"/>
  </r>
  <r>
    <n v="50038841"/>
    <x v="34"/>
    <n v="1"/>
    <s v="NÃO REALIZADO"/>
    <s v="MARCIA"/>
    <d v="2025-08-26T00:00:00"/>
    <x v="2"/>
  </r>
  <r>
    <n v="50038841"/>
    <x v="34"/>
    <n v="1"/>
    <s v="REALIZADO"/>
    <s v="MARCIA"/>
    <d v="2025-08-26T00:00:00"/>
    <x v="0"/>
  </r>
  <r>
    <n v="50038517"/>
    <x v="0"/>
    <n v="1"/>
    <s v="REALIZADO"/>
    <s v="MARCIA"/>
    <d v="2025-08-26T00:00:00"/>
    <x v="2"/>
  </r>
  <r>
    <n v="50038517"/>
    <x v="0"/>
    <n v="1"/>
    <s v="REALIZADO"/>
    <s v="MARCIA"/>
    <d v="2025-08-26T00:00:00"/>
    <x v="2"/>
  </r>
  <r>
    <n v="50041195"/>
    <x v="21"/>
    <n v="1"/>
    <s v="REALIZADO"/>
    <s v="MARCIA"/>
    <d v="2025-08-26T00:00:00"/>
    <x v="2"/>
  </r>
  <r>
    <n v="50043917"/>
    <x v="66"/>
    <n v="1"/>
    <s v="REALIZADO"/>
    <s v="MARCIA"/>
    <d v="2025-08-26T00:00:00"/>
    <x v="2"/>
  </r>
  <r>
    <n v="50038854"/>
    <x v="27"/>
    <n v="1"/>
    <s v="REALIZADO"/>
    <s v="AGATHA"/>
    <d v="2025-08-25T00:00:00"/>
    <x v="0"/>
  </r>
  <r>
    <n v="50037905"/>
    <x v="49"/>
    <n v="1"/>
    <s v="REALIZADO"/>
    <s v="KELLY"/>
    <d v="2025-08-25T00:00:00"/>
    <x v="2"/>
  </r>
  <r>
    <n v="50037905"/>
    <x v="49"/>
    <n v="1"/>
    <s v="REALIZADO"/>
    <s v="MARCIA"/>
    <d v="2025-08-25T00:00:00"/>
    <x v="0"/>
  </r>
  <r>
    <n v="50039236"/>
    <x v="84"/>
    <n v="1"/>
    <s v="REALIZADO"/>
    <s v="AGATHA"/>
    <d v="2025-08-25T00:00:00"/>
    <x v="0"/>
  </r>
  <r>
    <n v="50039236"/>
    <x v="84"/>
    <n v="1"/>
    <s v="REALIZADO"/>
    <s v="AGATHA"/>
    <d v="2025-08-25T00:00:00"/>
    <x v="2"/>
  </r>
  <r>
    <n v="50036299"/>
    <x v="26"/>
    <n v="1"/>
    <s v="REALIZADO"/>
    <s v="KELLY"/>
    <d v="2025-08-25T00:00:00"/>
    <x v="0"/>
  </r>
  <r>
    <n v="50036299"/>
    <x v="26"/>
    <n v="1"/>
    <s v="REALIZADO"/>
    <s v="KELLY"/>
    <d v="2025-08-25T00:00:00"/>
    <x v="0"/>
  </r>
  <r>
    <n v="50037902"/>
    <x v="14"/>
    <n v="1"/>
    <s v="REALIZADO"/>
    <s v="AGATHA"/>
    <d v="2025-08-25T00:00:00"/>
    <x v="2"/>
  </r>
  <r>
    <n v="50037902"/>
    <x v="14"/>
    <n v="1"/>
    <s v="REALIZADO"/>
    <s v="MARCIA"/>
    <d v="2025-08-25T00:00:00"/>
    <x v="0"/>
  </r>
  <r>
    <n v="50038841"/>
    <x v="34"/>
    <n v="1"/>
    <s v="REALIZADO"/>
    <s v="KELLY"/>
    <d v="2025-08-25T00:00:00"/>
    <x v="2"/>
  </r>
  <r>
    <n v="50038841"/>
    <x v="34"/>
    <n v="1"/>
    <s v="REALIZADO"/>
    <s v="MARCIA"/>
    <d v="2025-08-25T00:00:00"/>
    <x v="0"/>
  </r>
  <r>
    <n v="50001995"/>
    <x v="44"/>
    <n v="1"/>
    <s v="REALIZADO"/>
    <s v="KELLY"/>
    <d v="2025-08-25T00:00:00"/>
    <x v="2"/>
  </r>
  <r>
    <n v="50001995"/>
    <x v="44"/>
    <n v="1"/>
    <s v="REALIZADO"/>
    <s v="MARCIA"/>
    <d v="2025-08-25T00:00:00"/>
    <x v="0"/>
  </r>
  <r>
    <n v="50026357"/>
    <x v="24"/>
    <n v="1"/>
    <s v="REALIZADO"/>
    <s v="AGATHA"/>
    <d v="2025-08-25T00:00:00"/>
    <x v="2"/>
  </r>
  <r>
    <n v="50026357"/>
    <x v="24"/>
    <n v="1"/>
    <s v="NÃO REALIZADO"/>
    <s v="MARCIA"/>
    <d v="2025-08-25T00:00:00"/>
    <x v="2"/>
  </r>
  <r>
    <n v="50041195"/>
    <x v="21"/>
    <n v="1"/>
    <s v="REALIZADO"/>
    <s v="KELLY"/>
    <d v="2025-08-25T00:00:00"/>
    <x v="0"/>
  </r>
  <r>
    <n v="50041195"/>
    <x v="21"/>
    <n v="1"/>
    <s v="REALIZADO"/>
    <s v="KELLY"/>
    <d v="2025-08-25T00:00:00"/>
    <x v="0"/>
  </r>
  <r>
    <n v="50041195"/>
    <x v="21"/>
    <n v="1"/>
    <s v="REALIZADO"/>
    <s v="KELLY"/>
    <d v="2025-08-25T00:00:00"/>
    <x v="0"/>
  </r>
  <r>
    <n v="50043917"/>
    <x v="66"/>
    <n v="1"/>
    <s v="REALIZADO"/>
    <s v="AGATHA"/>
    <d v="2025-08-25T00:00:00"/>
    <x v="2"/>
  </r>
  <r>
    <n v="50043917"/>
    <x v="66"/>
    <n v="1"/>
    <s v="REALIZADO"/>
    <s v="MARCIA"/>
    <d v="2025-08-25T00:00:00"/>
    <x v="0"/>
  </r>
  <r>
    <n v="50037933"/>
    <x v="43"/>
    <n v="1"/>
    <s v="REALIZADO"/>
    <m/>
    <d v="2025-08-25T00:00:00"/>
    <x v="0"/>
  </r>
  <r>
    <n v="50037933"/>
    <x v="43"/>
    <n v="1"/>
    <s v="REALIZADO"/>
    <m/>
    <d v="2025-08-25T00:00:00"/>
    <x v="0"/>
  </r>
  <r>
    <n v="50043917"/>
    <x v="66"/>
    <n v="1"/>
    <s v="REALIZADO"/>
    <s v="ALESSANDRO"/>
    <d v="2025-08-24T00:00:00"/>
    <x v="0"/>
  </r>
  <r>
    <n v="50038956"/>
    <x v="10"/>
    <n v="1"/>
    <s v="REALIZADO"/>
    <s v="KELLY"/>
    <d v="2025-08-23T00:00:00"/>
    <x v="2"/>
  </r>
  <r>
    <n v="50038956"/>
    <x v="10"/>
    <n v="1"/>
    <s v="REALIZADO"/>
    <s v="KELLY"/>
    <d v="2025-08-23T00:00:00"/>
    <x v="0"/>
  </r>
  <r>
    <n v="50038841"/>
    <x v="34"/>
    <n v="1"/>
    <s v="REALIZADO"/>
    <s v="KELLY"/>
    <d v="2025-08-23T00:00:00"/>
    <x v="2"/>
  </r>
  <r>
    <n v="50038841"/>
    <x v="34"/>
    <n v="1"/>
    <s v="REALIZADO"/>
    <s v="KELLY"/>
    <d v="2025-08-23T00:00:00"/>
    <x v="0"/>
  </r>
  <r>
    <n v="50039065"/>
    <x v="22"/>
    <n v="1"/>
    <s v="REALIZADO"/>
    <s v="KELLY"/>
    <d v="2025-08-23T00:00:00"/>
    <x v="2"/>
  </r>
  <r>
    <n v="50039065"/>
    <x v="22"/>
    <n v="1"/>
    <s v="REALIZADO"/>
    <s v="KELLY"/>
    <d v="2025-08-23T00:00:00"/>
    <x v="0"/>
  </r>
  <r>
    <n v="50010031"/>
    <x v="20"/>
    <n v="1"/>
    <s v="REALIZADO"/>
    <s v="AGATHA"/>
    <d v="2025-08-22T00:00:00"/>
    <x v="2"/>
  </r>
  <r>
    <n v="50010031"/>
    <x v="20"/>
    <n v="1"/>
    <s v="REALIZADO"/>
    <s v="BRUNA"/>
    <d v="2025-08-22T00:00:00"/>
    <x v="0"/>
  </r>
  <r>
    <n v="50002644"/>
    <x v="83"/>
    <n v="1"/>
    <s v="REALIZADO"/>
    <s v="BRUNO"/>
    <d v="2025-08-22T00:00:00"/>
    <x v="0"/>
  </r>
  <r>
    <n v="50002644"/>
    <x v="83"/>
    <n v="1"/>
    <s v="REALIZADO"/>
    <s v="BRUNO"/>
    <d v="2025-08-22T00:00:00"/>
    <x v="2"/>
  </r>
  <r>
    <n v="50002644"/>
    <x v="83"/>
    <n v="1"/>
    <s v="REALIZADO"/>
    <s v="BRUNO"/>
    <d v="2025-08-22T00:00:00"/>
    <x v="2"/>
  </r>
  <r>
    <n v="50002644"/>
    <x v="83"/>
    <n v="1"/>
    <s v="REALIZADO"/>
    <s v="BRUNA"/>
    <d v="2025-08-22T00:00:00"/>
    <x v="0"/>
  </r>
  <r>
    <n v="50038854"/>
    <x v="27"/>
    <n v="1"/>
    <s v="REALIZADO"/>
    <s v="AGATHA"/>
    <d v="2025-08-22T00:00:00"/>
    <x v="2"/>
  </r>
  <r>
    <n v="50038854"/>
    <x v="27"/>
    <n v="1"/>
    <s v="REALIZADO"/>
    <s v="GEOVANE"/>
    <d v="2025-08-22T00:00:00"/>
    <x v="0"/>
  </r>
  <r>
    <n v="50036298"/>
    <x v="69"/>
    <n v="1"/>
    <s v="REALIZADO"/>
    <s v="BRUNO"/>
    <d v="2025-08-22T00:00:00"/>
    <x v="2"/>
  </r>
  <r>
    <n v="50036298"/>
    <x v="69"/>
    <n v="1"/>
    <s v="REALIZADO"/>
    <s v="BRUNO"/>
    <d v="2025-08-22T00:00:00"/>
    <x v="0"/>
  </r>
  <r>
    <n v="50037960"/>
    <x v="37"/>
    <n v="1"/>
    <s v="REALIZADO"/>
    <s v="KELLY"/>
    <d v="2025-08-22T00:00:00"/>
    <x v="0"/>
  </r>
  <r>
    <n v="50037961"/>
    <x v="36"/>
    <n v="1"/>
    <s v="REALIZADO"/>
    <s v="KELLY"/>
    <d v="2025-08-22T00:00:00"/>
    <x v="0"/>
  </r>
  <r>
    <n v="50039236"/>
    <x v="84"/>
    <n v="1"/>
    <s v="REALIZADO"/>
    <s v="AGATHA"/>
    <d v="2025-08-22T00:00:00"/>
    <x v="2"/>
  </r>
  <r>
    <n v="50039236"/>
    <x v="84"/>
    <n v="1"/>
    <s v="REALIZADO"/>
    <s v="BRUNO"/>
    <d v="2025-08-22T00:00:00"/>
    <x v="0"/>
  </r>
  <r>
    <n v="50043471"/>
    <x v="5"/>
    <n v="1"/>
    <s v="REALIZADO"/>
    <s v="BRUNO"/>
    <d v="2025-08-22T00:00:00"/>
    <x v="2"/>
  </r>
  <r>
    <n v="50043471"/>
    <x v="5"/>
    <n v="1"/>
    <s v="REALIZADO"/>
    <s v="BRUNA"/>
    <d v="2025-08-22T00:00:00"/>
    <x v="0"/>
  </r>
  <r>
    <n v="50003296"/>
    <x v="105"/>
    <n v="1"/>
    <s v="REALIZADO"/>
    <s v="BRUNO"/>
    <d v="2025-08-22T00:00:00"/>
    <x v="2"/>
  </r>
  <r>
    <n v="50003296"/>
    <x v="105"/>
    <n v="1"/>
    <s v="REALIZADO"/>
    <s v="BRUNO"/>
    <d v="2025-08-22T00:00:00"/>
    <x v="0"/>
  </r>
  <r>
    <n v="50038956"/>
    <x v="10"/>
    <n v="1"/>
    <s v="REALIZADO"/>
    <s v="AGATHA"/>
    <d v="2025-08-22T00:00:00"/>
    <x v="2"/>
  </r>
  <r>
    <n v="50038956"/>
    <x v="10"/>
    <n v="1"/>
    <s v="REALIZADO"/>
    <s v="BRUNA"/>
    <d v="2025-08-22T00:00:00"/>
    <x v="0"/>
  </r>
  <r>
    <n v="50037892"/>
    <x v="2"/>
    <n v="1"/>
    <s v="REALIZADO"/>
    <s v="BRUNO"/>
    <d v="2025-08-22T00:00:00"/>
    <x v="2"/>
  </r>
  <r>
    <n v="50037892"/>
    <x v="2"/>
    <n v="1"/>
    <s v="REALIZADO"/>
    <s v="BRUNO"/>
    <d v="2025-08-22T00:00:00"/>
    <x v="0"/>
  </r>
  <r>
    <n v="50037902"/>
    <x v="14"/>
    <n v="1"/>
    <s v="REALIZADO"/>
    <s v="MARCIA"/>
    <d v="2025-08-22T00:00:00"/>
    <x v="2"/>
  </r>
  <r>
    <n v="50037902"/>
    <x v="14"/>
    <n v="1"/>
    <s v="NÃO REALIZADO"/>
    <s v="MARCIA"/>
    <d v="2025-08-22T00:00:00"/>
    <x v="0"/>
  </r>
  <r>
    <n v="50038841"/>
    <x v="34"/>
    <n v="1"/>
    <s v="REALIZADO"/>
    <s v="KELLY"/>
    <d v="2025-08-22T00:00:00"/>
    <x v="2"/>
  </r>
  <r>
    <n v="50038841"/>
    <x v="34"/>
    <n v="1"/>
    <s v="REALIZADO"/>
    <s v="AGATHA"/>
    <d v="2025-08-22T00:00:00"/>
    <x v="0"/>
  </r>
  <r>
    <n v="50038841"/>
    <x v="34"/>
    <n v="1"/>
    <s v="REALIZADO"/>
    <s v="AGATHA"/>
    <d v="2025-08-22T00:00:00"/>
    <x v="2"/>
  </r>
  <r>
    <n v="50038841"/>
    <x v="34"/>
    <n v="1"/>
    <s v="REALIZADO"/>
    <s v="AGATHA"/>
    <d v="2025-08-22T00:00:00"/>
    <x v="0"/>
  </r>
  <r>
    <n v="50038841"/>
    <x v="34"/>
    <n v="1"/>
    <s v="REALIZADO"/>
    <s v="BRUNO"/>
    <d v="2025-08-22T00:00:00"/>
    <x v="2"/>
  </r>
  <r>
    <n v="50038841"/>
    <x v="34"/>
    <n v="1"/>
    <s v="REALIZADO"/>
    <s v="BRUNO"/>
    <d v="2025-08-22T00:00:00"/>
    <x v="0"/>
  </r>
  <r>
    <n v="50038517"/>
    <x v="0"/>
    <n v="1"/>
    <s v="REALIZADO"/>
    <s v="BRUNO"/>
    <d v="2025-08-22T00:00:00"/>
    <x v="2"/>
  </r>
  <r>
    <n v="50038517"/>
    <x v="0"/>
    <n v="1"/>
    <s v="REALIZADO"/>
    <s v="BRUNA"/>
    <d v="2025-08-22T00:00:00"/>
    <x v="0"/>
  </r>
  <r>
    <n v="50001995"/>
    <x v="44"/>
    <n v="1"/>
    <s v="REALIZADO"/>
    <s v="AGATHA"/>
    <d v="2025-08-22T00:00:00"/>
    <x v="2"/>
  </r>
  <r>
    <n v="50001995"/>
    <x v="44"/>
    <n v="1"/>
    <s v="REALIZADO"/>
    <s v="BRUNO"/>
    <d v="2025-08-22T00:00:00"/>
    <x v="0"/>
  </r>
  <r>
    <n v="50001995"/>
    <x v="44"/>
    <n v="1"/>
    <s v="REALIZADO"/>
    <s v="BRUNO"/>
    <d v="2025-08-22T00:00:00"/>
    <x v="2"/>
  </r>
  <r>
    <n v="50001995"/>
    <x v="44"/>
    <n v="1"/>
    <s v="REALIZADO"/>
    <s v="BRUNA"/>
    <d v="2025-08-22T00:00:00"/>
    <x v="0"/>
  </r>
  <r>
    <n v="50039065"/>
    <x v="22"/>
    <n v="1"/>
    <s v="REALIZADO"/>
    <s v="BRUNO"/>
    <d v="2025-08-22T00:00:00"/>
    <x v="2"/>
  </r>
  <r>
    <n v="50039065"/>
    <x v="22"/>
    <n v="1"/>
    <s v="REALIZADO"/>
    <s v="BRUNO"/>
    <d v="2025-08-22T00:00:00"/>
    <x v="0"/>
  </r>
  <r>
    <n v="50026357"/>
    <x v="24"/>
    <n v="1"/>
    <s v="REALIZADO"/>
    <s v="BRUNO"/>
    <d v="2025-08-22T00:00:00"/>
    <x v="2"/>
  </r>
  <r>
    <n v="50026357"/>
    <x v="24"/>
    <n v="1"/>
    <s v="REALIZADO"/>
    <s v="BRUNO"/>
    <d v="2025-08-22T00:00:00"/>
    <x v="0"/>
  </r>
  <r>
    <n v="50038662"/>
    <x v="59"/>
    <n v="1"/>
    <s v="REALIZADO"/>
    <s v="BRUNO"/>
    <d v="2025-08-22T00:00:00"/>
    <x v="2"/>
  </r>
  <r>
    <n v="50038662"/>
    <x v="59"/>
    <n v="1"/>
    <s v="REALIZADO"/>
    <s v="BRUNO"/>
    <d v="2025-08-22T00:00:00"/>
    <x v="2"/>
  </r>
  <r>
    <n v="50041195"/>
    <x v="21"/>
    <n v="1"/>
    <s v="REALIZADO"/>
    <s v="KELLY"/>
    <d v="2025-08-22T00:00:00"/>
    <x v="0"/>
  </r>
  <r>
    <n v="50041195"/>
    <x v="21"/>
    <n v="1"/>
    <s v="REALIZADO"/>
    <s v="BRUNO"/>
    <d v="2025-08-22T00:00:00"/>
    <x v="2"/>
  </r>
  <r>
    <n v="50041195"/>
    <x v="21"/>
    <n v="1"/>
    <s v="REALIZADO"/>
    <s v="BRUNA"/>
    <d v="2025-08-22T00:00:00"/>
    <x v="0"/>
  </r>
  <r>
    <n v="50043917"/>
    <x v="66"/>
    <n v="1"/>
    <s v="REALIZADO"/>
    <s v="KELLY"/>
    <d v="2025-08-22T00:00:00"/>
    <x v="2"/>
  </r>
  <r>
    <n v="50043917"/>
    <x v="66"/>
    <n v="1"/>
    <s v="REALIZADO"/>
    <s v="BRUNO"/>
    <d v="2025-08-22T00:00:00"/>
    <x v="0"/>
  </r>
  <r>
    <n v="50032775"/>
    <x v="13"/>
    <n v="1"/>
    <s v="REALIZADO"/>
    <s v="KELLY"/>
    <d v="2025-08-22T00:00:00"/>
    <x v="2"/>
  </r>
  <r>
    <n v="50032775"/>
    <x v="13"/>
    <n v="1"/>
    <s v="REALIZADO"/>
    <s v="BRUNA"/>
    <d v="2025-08-22T00:00:00"/>
    <x v="0"/>
  </r>
  <r>
    <n v="50010031"/>
    <x v="20"/>
    <n v="1"/>
    <s v="REALIZADO"/>
    <s v="GEOVANE"/>
    <d v="2025-08-21T00:00:00"/>
    <x v="2"/>
  </r>
  <r>
    <n v="50010031"/>
    <x v="20"/>
    <n v="1"/>
    <s v="REALIZADO"/>
    <s v="BRUNO"/>
    <d v="2025-08-21T00:00:00"/>
    <x v="0"/>
  </r>
  <r>
    <n v="50036086"/>
    <x v="3"/>
    <n v="1"/>
    <s v="REALIZADO"/>
    <s v="BRUNA"/>
    <d v="2025-08-21T00:00:00"/>
    <x v="2"/>
  </r>
  <r>
    <n v="50036086"/>
    <x v="3"/>
    <n v="1"/>
    <s v="REALIZADO"/>
    <s v="BRUNO"/>
    <d v="2025-08-21T00:00:00"/>
    <x v="0"/>
  </r>
  <r>
    <n v="50030486"/>
    <x v="17"/>
    <n v="1"/>
    <s v="REALIZADO"/>
    <s v="BRUNA"/>
    <d v="2025-08-21T00:00:00"/>
    <x v="2"/>
  </r>
  <r>
    <n v="50030486"/>
    <x v="17"/>
    <n v="1"/>
    <s v="REALIZADO"/>
    <s v="BRUNO"/>
    <d v="2025-08-21T00:00:00"/>
    <x v="0"/>
  </r>
  <r>
    <n v="50038549"/>
    <x v="6"/>
    <n v="1"/>
    <s v="REALIZADO"/>
    <s v="GEOVANE"/>
    <d v="2025-08-21T00:00:00"/>
    <x v="2"/>
  </r>
  <r>
    <n v="50038549"/>
    <x v="6"/>
    <n v="1"/>
    <s v="REALIZADO"/>
    <s v="GEOVANE"/>
    <d v="2025-08-21T00:00:00"/>
    <x v="0"/>
  </r>
  <r>
    <n v="50038956"/>
    <x v="10"/>
    <n v="1"/>
    <s v="REALIZADO"/>
    <s v="GEOVANE"/>
    <d v="2025-08-21T00:00:00"/>
    <x v="2"/>
  </r>
  <r>
    <n v="50038956"/>
    <x v="10"/>
    <n v="1"/>
    <s v="REALIZADO"/>
    <s v="BRUNO"/>
    <d v="2025-08-21T00:00:00"/>
    <x v="0"/>
  </r>
  <r>
    <n v="50036297"/>
    <x v="100"/>
    <n v="1"/>
    <s v="REALIZADO"/>
    <s v="BRUNO"/>
    <d v="2025-08-21T00:00:00"/>
    <x v="2"/>
  </r>
  <r>
    <n v="50036297"/>
    <x v="100"/>
    <n v="1"/>
    <s v="REALIZADO"/>
    <s v="BRUNO"/>
    <d v="2025-08-21T00:00:00"/>
    <x v="2"/>
  </r>
  <r>
    <n v="50038626"/>
    <x v="72"/>
    <n v="1"/>
    <s v="REALIZADO"/>
    <s v="GEOVANE"/>
    <d v="2025-08-21T00:00:00"/>
    <x v="0"/>
  </r>
  <r>
    <n v="50043917"/>
    <x v="66"/>
    <n v="1"/>
    <s v="REALIZADO"/>
    <s v="BRUNO"/>
    <d v="2025-08-21T00:00:00"/>
    <x v="2"/>
  </r>
  <r>
    <n v="50043917"/>
    <x v="66"/>
    <n v="1"/>
    <s v="REALIZADO"/>
    <s v="BRUNO"/>
    <d v="2025-08-21T00:00:00"/>
    <x v="0"/>
  </r>
  <r>
    <n v="50020622"/>
    <x v="42"/>
    <n v="1"/>
    <s v="REALIZADO"/>
    <s v="BRUNO"/>
    <d v="2025-08-21T00:00:00"/>
    <x v="2"/>
  </r>
  <r>
    <n v="50020622"/>
    <x v="42"/>
    <n v="1"/>
    <s v="REALIZADO"/>
    <s v="BRUNO"/>
    <d v="2025-08-21T00:00:00"/>
    <x v="0"/>
  </r>
  <r>
    <n v="50032781"/>
    <x v="12"/>
    <n v="1"/>
    <s v="REALIZADO"/>
    <s v="BRUNO"/>
    <d v="2025-08-21T00:00:00"/>
    <x v="2"/>
  </r>
  <r>
    <n v="50032781"/>
    <x v="12"/>
    <n v="1"/>
    <s v="REALIZADO"/>
    <s v="BRUNO"/>
    <d v="2025-08-21T00:00:00"/>
    <x v="0"/>
  </r>
  <r>
    <n v="50010031"/>
    <x v="20"/>
    <n v="1"/>
    <s v="REALIZADO"/>
    <s v="AGATHA"/>
    <d v="2025-08-20T00:00:00"/>
    <x v="2"/>
  </r>
  <r>
    <n v="50010031"/>
    <x v="20"/>
    <n v="1"/>
    <s v="REALIZADO"/>
    <s v="BRUNO"/>
    <d v="2025-08-20T00:00:00"/>
    <x v="2"/>
  </r>
  <r>
    <n v="50036298"/>
    <x v="69"/>
    <n v="1"/>
    <s v="REALIZADO"/>
    <s v="MARCIA"/>
    <d v="2025-08-20T00:00:00"/>
    <x v="0"/>
  </r>
  <r>
    <n v="50037905"/>
    <x v="49"/>
    <n v="1"/>
    <s v="REALIZADO"/>
    <s v="AGATHA"/>
    <d v="2025-08-20T00:00:00"/>
    <x v="2"/>
  </r>
  <r>
    <n v="50037905"/>
    <x v="49"/>
    <n v="1"/>
    <s v="REALIZADO"/>
    <s v="AGATHA"/>
    <d v="2025-08-20T00:00:00"/>
    <x v="0"/>
  </r>
  <r>
    <n v="50039236"/>
    <x v="84"/>
    <n v="1"/>
    <s v="REALIZADO"/>
    <s v="AGATHA"/>
    <d v="2025-08-20T00:00:00"/>
    <x v="2"/>
  </r>
  <r>
    <n v="50039236"/>
    <x v="84"/>
    <n v="1"/>
    <s v="REALIZADO"/>
    <s v="BRUNO"/>
    <d v="2025-08-20T00:00:00"/>
    <x v="0"/>
  </r>
  <r>
    <n v="50043471"/>
    <x v="5"/>
    <n v="1"/>
    <s v="REALIZADO"/>
    <s v="AGATHA"/>
    <d v="2025-08-20T00:00:00"/>
    <x v="2"/>
  </r>
  <r>
    <n v="50043471"/>
    <x v="5"/>
    <n v="1"/>
    <s v="REALIZADO"/>
    <s v="BRUNO"/>
    <d v="2025-08-20T00:00:00"/>
    <x v="0"/>
  </r>
  <r>
    <n v="50003297"/>
    <x v="8"/>
    <n v="1"/>
    <s v="REALIZADO"/>
    <s v="BRUNO"/>
    <d v="2025-08-20T00:00:00"/>
    <x v="0"/>
  </r>
  <r>
    <n v="50029865"/>
    <x v="9"/>
    <n v="1"/>
    <s v="REALIZADO"/>
    <s v="MARCIA"/>
    <d v="2025-08-20T00:00:00"/>
    <x v="2"/>
  </r>
  <r>
    <n v="50029865"/>
    <x v="9"/>
    <n v="1"/>
    <s v="REALIZADO"/>
    <s v="MARCIA"/>
    <d v="2025-08-20T00:00:00"/>
    <x v="0"/>
  </r>
  <r>
    <n v="50029865"/>
    <x v="9"/>
    <n v="1"/>
    <s v="REALIZADO"/>
    <s v="AGATHA"/>
    <d v="2025-08-20T00:00:00"/>
    <x v="2"/>
  </r>
  <r>
    <n v="50029865"/>
    <x v="9"/>
    <n v="1"/>
    <s v="REALIZADO"/>
    <s v="AGATHA"/>
    <d v="2025-08-20T00:00:00"/>
    <x v="0"/>
  </r>
  <r>
    <n v="50043320"/>
    <x v="35"/>
    <n v="1"/>
    <s v="REALIZADO"/>
    <s v="BRUNO"/>
    <d v="2025-08-20T00:00:00"/>
    <x v="2"/>
  </r>
  <r>
    <n v="50043320"/>
    <x v="35"/>
    <n v="1"/>
    <s v="REALIZADO"/>
    <s v="BRUNO"/>
    <d v="2025-08-20T00:00:00"/>
    <x v="0"/>
  </r>
  <r>
    <n v="50038549"/>
    <x v="6"/>
    <n v="1"/>
    <s v="REALIZADO"/>
    <s v="AGATHA"/>
    <d v="2025-08-20T00:00:00"/>
    <x v="2"/>
  </r>
  <r>
    <n v="50038549"/>
    <x v="6"/>
    <n v="1"/>
    <s v="REALIZADO"/>
    <s v="BRUNO"/>
    <d v="2025-08-20T00:00:00"/>
    <x v="0"/>
  </r>
  <r>
    <n v="50038956"/>
    <x v="10"/>
    <n v="1"/>
    <s v="REALIZADO"/>
    <s v="AGATHA"/>
    <d v="2025-08-20T00:00:00"/>
    <x v="2"/>
  </r>
  <r>
    <n v="50038956"/>
    <x v="10"/>
    <n v="1"/>
    <s v="REALIZADO"/>
    <s v="BRUNO"/>
    <d v="2025-08-20T00:00:00"/>
    <x v="0"/>
  </r>
  <r>
    <n v="50037892"/>
    <x v="2"/>
    <n v="1"/>
    <s v="REALIZADO"/>
    <s v="AGATHA"/>
    <d v="2025-08-20T00:00:00"/>
    <x v="2"/>
  </r>
  <r>
    <n v="50037892"/>
    <x v="2"/>
    <n v="1"/>
    <s v="REALIZADO"/>
    <s v="AGATHA"/>
    <d v="2025-08-20T00:00:00"/>
    <x v="0"/>
  </r>
  <r>
    <n v="50037892"/>
    <x v="2"/>
    <n v="1"/>
    <s v="REALIZADO"/>
    <s v="AGATHA"/>
    <d v="2025-08-20T00:00:00"/>
    <x v="2"/>
  </r>
  <r>
    <n v="50037892"/>
    <x v="2"/>
    <n v="1"/>
    <s v="REALIZADO"/>
    <s v="AGATHA"/>
    <d v="2025-08-20T00:00:00"/>
    <x v="0"/>
  </r>
  <r>
    <n v="50037892"/>
    <x v="2"/>
    <n v="1"/>
    <s v="REALIZADO"/>
    <s v="AGATHA"/>
    <d v="2025-08-20T00:00:00"/>
    <x v="2"/>
  </r>
  <r>
    <n v="50037892"/>
    <x v="2"/>
    <n v="1"/>
    <s v="REALIZADO"/>
    <s v="BRUNO"/>
    <d v="2025-08-20T00:00:00"/>
    <x v="0"/>
  </r>
  <r>
    <n v="50037902"/>
    <x v="14"/>
    <n v="1"/>
    <s v="REALIZADO"/>
    <s v="BRUNO"/>
    <d v="2025-08-20T00:00:00"/>
    <x v="2"/>
  </r>
  <r>
    <n v="50037902"/>
    <x v="14"/>
    <n v="1"/>
    <s v="REALIZADO"/>
    <s v="BRUNO"/>
    <d v="2025-08-20T00:00:00"/>
    <x v="0"/>
  </r>
  <r>
    <n v="50038841"/>
    <x v="34"/>
    <n v="1"/>
    <s v="REALIZADO"/>
    <s v="AGATHA"/>
    <d v="2025-08-20T00:00:00"/>
    <x v="2"/>
  </r>
  <r>
    <n v="50038841"/>
    <x v="34"/>
    <n v="1"/>
    <s v="REALIZADO"/>
    <s v="BRUNO"/>
    <d v="2025-08-20T00:00:00"/>
    <x v="0"/>
  </r>
  <r>
    <n v="50038517"/>
    <x v="0"/>
    <n v="1"/>
    <s v="REALIZADO"/>
    <s v="AGATHA"/>
    <d v="2025-08-20T00:00:00"/>
    <x v="2"/>
  </r>
  <r>
    <n v="50038517"/>
    <x v="0"/>
    <n v="1"/>
    <s v="REALIZADO"/>
    <s v="AGATHA"/>
    <d v="2025-08-20T00:00:00"/>
    <x v="0"/>
  </r>
  <r>
    <n v="50037903"/>
    <x v="91"/>
    <n v="1"/>
    <s v="REALIZADO"/>
    <s v="BRUNO"/>
    <d v="2025-08-20T00:00:00"/>
    <x v="2"/>
  </r>
  <r>
    <n v="50037903"/>
    <x v="91"/>
    <n v="1"/>
    <s v="REALIZADO"/>
    <s v="BRUNO"/>
    <d v="2025-08-20T00:00:00"/>
    <x v="0"/>
  </r>
  <r>
    <n v="50026357"/>
    <x v="24"/>
    <n v="1"/>
    <s v="REALIZADO"/>
    <s v="AGATHA"/>
    <d v="2025-08-20T00:00:00"/>
    <x v="2"/>
  </r>
  <r>
    <n v="50026357"/>
    <x v="24"/>
    <n v="1"/>
    <s v="REALIZADO"/>
    <s v="MATHEUS"/>
    <d v="2025-08-20T00:00:00"/>
    <x v="0"/>
  </r>
  <r>
    <n v="50041195"/>
    <x v="21"/>
    <n v="1"/>
    <s v="REALIZADO"/>
    <s v="AGATHA"/>
    <d v="2025-08-20T00:00:00"/>
    <x v="2"/>
  </r>
  <r>
    <n v="50041195"/>
    <x v="21"/>
    <n v="1"/>
    <s v="REALIZADO"/>
    <s v="BRUNO"/>
    <d v="2025-08-20T00:00:00"/>
    <x v="0"/>
  </r>
  <r>
    <n v="50043917"/>
    <x v="66"/>
    <n v="1"/>
    <s v="REALIZADO"/>
    <s v="AGATHA"/>
    <d v="2025-08-20T00:00:00"/>
    <x v="2"/>
  </r>
  <r>
    <n v="50043917"/>
    <x v="66"/>
    <n v="1"/>
    <s v="REALIZADO"/>
    <s v="AGATHA"/>
    <d v="2025-08-20T00:00:00"/>
    <x v="0"/>
  </r>
  <r>
    <n v="50043917"/>
    <x v="66"/>
    <n v="1"/>
    <s v="REALIZADO"/>
    <s v="AGATHA"/>
    <d v="2025-08-20T00:00:00"/>
    <x v="2"/>
  </r>
  <r>
    <n v="50043917"/>
    <x v="66"/>
    <n v="1"/>
    <s v="REALIZADO"/>
    <s v="BRUNO"/>
    <d v="2025-08-20T00:00:00"/>
    <x v="0"/>
  </r>
  <r>
    <n v="50012902"/>
    <x v="30"/>
    <n v="1"/>
    <s v="REALIZADO"/>
    <s v="BRUNO"/>
    <d v="2025-08-20T00:00:00"/>
    <x v="2"/>
  </r>
  <r>
    <n v="50012902"/>
    <x v="30"/>
    <n v="1"/>
    <s v="REALIZADO"/>
    <s v="BRUNO"/>
    <d v="2025-08-20T00:00:00"/>
    <x v="0"/>
  </r>
  <r>
    <n v="50032781"/>
    <x v="12"/>
    <n v="1"/>
    <s v="REALIZADO"/>
    <s v="AGATHA"/>
    <d v="2025-08-20T00:00:00"/>
    <x v="2"/>
  </r>
  <r>
    <n v="50032781"/>
    <x v="12"/>
    <n v="1"/>
    <s v="REALIZADO"/>
    <s v="BRUNO"/>
    <d v="2025-08-20T00:00:00"/>
    <x v="0"/>
  </r>
  <r>
    <n v="50028220"/>
    <x v="33"/>
    <n v="1"/>
    <s v="REALIZADO"/>
    <s v="AGATHA"/>
    <d v="2025-08-20T00:00:00"/>
    <x v="2"/>
  </r>
  <r>
    <n v="50028220"/>
    <x v="33"/>
    <n v="1"/>
    <s v="REALIZADO"/>
    <s v="AGATHA"/>
    <d v="2025-08-20T00:00:00"/>
    <x v="0"/>
  </r>
  <r>
    <n v="50043520"/>
    <x v="97"/>
    <n v="1"/>
    <s v="REALIZADO"/>
    <s v="AGATHA"/>
    <d v="2025-08-19T00:00:00"/>
    <x v="2"/>
  </r>
  <r>
    <n v="50043520"/>
    <x v="97"/>
    <n v="1"/>
    <s v="REALIZADO"/>
    <s v="AGATHA"/>
    <d v="2025-08-19T00:00:00"/>
    <x v="2"/>
  </r>
  <r>
    <n v="50030074"/>
    <x v="115"/>
    <n v="1"/>
    <s v="REALIZADO"/>
    <s v="MATHEUS"/>
    <d v="2025-08-19T00:00:00"/>
    <x v="0"/>
  </r>
  <r>
    <n v="50043471"/>
    <x v="5"/>
    <n v="1"/>
    <s v="REALIZADO"/>
    <s v="AGATHA"/>
    <d v="2025-08-19T00:00:00"/>
    <x v="2"/>
  </r>
  <r>
    <n v="50043471"/>
    <x v="5"/>
    <n v="1"/>
    <s v="REALIZADO"/>
    <s v="BRUNA"/>
    <d v="2025-08-19T00:00:00"/>
    <x v="0"/>
  </r>
  <r>
    <n v="50022878"/>
    <x v="18"/>
    <n v="1"/>
    <s v="REALIZADO"/>
    <s v="BRUNA"/>
    <d v="2025-08-19T00:00:00"/>
    <x v="2"/>
  </r>
  <r>
    <n v="50022878"/>
    <x v="18"/>
    <n v="1"/>
    <s v="REALIZADO"/>
    <s v="MATHEUS"/>
    <d v="2025-08-19T00:00:00"/>
    <x v="0"/>
  </r>
  <r>
    <n v="50038841"/>
    <x v="34"/>
    <n v="1"/>
    <s v="REALIZADO"/>
    <s v="AGATHA"/>
    <d v="2025-08-19T00:00:00"/>
    <x v="2"/>
  </r>
  <r>
    <n v="50038841"/>
    <x v="34"/>
    <n v="1"/>
    <s v="REALIZADO"/>
    <s v="MATHEUS"/>
    <d v="2025-08-19T00:00:00"/>
    <x v="0"/>
  </r>
  <r>
    <n v="50038841"/>
    <x v="34"/>
    <n v="1"/>
    <s v="REALIZADO"/>
    <s v="MATHEUS"/>
    <d v="2025-08-19T00:00:00"/>
    <x v="2"/>
  </r>
  <r>
    <n v="50038841"/>
    <x v="34"/>
    <n v="1"/>
    <s v="REALIZADO"/>
    <s v="MATHEUS"/>
    <d v="2025-08-19T00:00:00"/>
    <x v="0"/>
  </r>
  <r>
    <n v="50038517"/>
    <x v="0"/>
    <n v="1"/>
    <s v="REALIZADO"/>
    <s v="BRUNA"/>
    <d v="2025-08-19T00:00:00"/>
    <x v="0"/>
  </r>
  <r>
    <n v="50037903"/>
    <x v="91"/>
    <n v="1"/>
    <s v="REALIZADO"/>
    <s v="AGATHA"/>
    <d v="2025-08-19T00:00:00"/>
    <x v="2"/>
  </r>
  <r>
    <n v="50037903"/>
    <x v="91"/>
    <n v="1"/>
    <s v="REALIZADO"/>
    <s v="MATHEUS"/>
    <d v="2025-08-19T00:00:00"/>
    <x v="0"/>
  </r>
  <r>
    <n v="50001995"/>
    <x v="44"/>
    <n v="1"/>
    <s v="REALIZADO"/>
    <s v="AGATHA"/>
    <d v="2025-08-19T00:00:00"/>
    <x v="2"/>
  </r>
  <r>
    <n v="50001995"/>
    <x v="44"/>
    <n v="1"/>
    <s v="REALIZADO"/>
    <s v="MATHEUS"/>
    <d v="2025-08-19T00:00:00"/>
    <x v="0"/>
  </r>
  <r>
    <n v="50036297"/>
    <x v="100"/>
    <n v="1"/>
    <s v="REALIZADO"/>
    <s v="BRUNA"/>
    <d v="2025-08-19T00:00:00"/>
    <x v="2"/>
  </r>
  <r>
    <n v="50036297"/>
    <x v="100"/>
    <n v="1"/>
    <s v="REALIZADO"/>
    <s v="MATHEUS"/>
    <d v="2025-08-19T00:00:00"/>
    <x v="0"/>
  </r>
  <r>
    <n v="50038626"/>
    <x v="72"/>
    <n v="1"/>
    <s v="REALIZADO"/>
    <s v="AGATHA"/>
    <d v="2025-08-19T00:00:00"/>
    <x v="0"/>
  </r>
  <r>
    <n v="50038626"/>
    <x v="72"/>
    <n v="1"/>
    <s v="REALIZADO"/>
    <s v="BRUNA"/>
    <d v="2025-08-19T00:00:00"/>
    <x v="2"/>
  </r>
  <r>
    <n v="50038626"/>
    <x v="72"/>
    <n v="1"/>
    <s v="REALIZADO"/>
    <s v="MATHEUS"/>
    <d v="2025-08-19T00:00:00"/>
    <x v="0"/>
  </r>
  <r>
    <n v="50001740"/>
    <x v="51"/>
    <n v="1"/>
    <s v="REALIZADO"/>
    <s v="BRUNA"/>
    <d v="2025-08-19T00:00:00"/>
    <x v="2"/>
  </r>
  <r>
    <n v="50001740"/>
    <x v="51"/>
    <n v="1"/>
    <s v="REALIZADO"/>
    <s v="MATHEUS"/>
    <d v="2025-08-19T00:00:00"/>
    <x v="0"/>
  </r>
  <r>
    <n v="50041195"/>
    <x v="21"/>
    <n v="1"/>
    <s v="REALIZADO"/>
    <s v="AGATHA"/>
    <d v="2025-08-19T00:00:00"/>
    <x v="2"/>
  </r>
  <r>
    <n v="50041195"/>
    <x v="21"/>
    <n v="1"/>
    <s v="REALIZADO"/>
    <s v="MATHEUS"/>
    <d v="2025-08-19T00:00:00"/>
    <x v="0"/>
  </r>
  <r>
    <n v="50036086"/>
    <x v="3"/>
    <n v="1"/>
    <s v="REALIZADO"/>
    <s v="AGATHA"/>
    <d v="2025-08-18T00:00:00"/>
    <x v="2"/>
  </r>
  <r>
    <n v="50036086"/>
    <x v="3"/>
    <n v="1"/>
    <s v="REALIZADO"/>
    <s v="BRUNO"/>
    <d v="2025-08-18T00:00:00"/>
    <x v="0"/>
  </r>
  <r>
    <n v="50003173"/>
    <x v="29"/>
    <n v="1"/>
    <s v="REALIZADO"/>
    <s v="BRUNA"/>
    <d v="2025-08-18T00:00:00"/>
    <x v="2"/>
  </r>
  <r>
    <n v="50003173"/>
    <x v="29"/>
    <n v="1"/>
    <s v="REALIZADO"/>
    <s v="BRUNA"/>
    <d v="2025-08-18T00:00:00"/>
    <x v="0"/>
  </r>
  <r>
    <n v="50036279"/>
    <x v="28"/>
    <n v="1"/>
    <s v="REALIZADO"/>
    <s v="BRUNA"/>
    <d v="2025-08-18T00:00:00"/>
    <x v="2"/>
  </r>
  <r>
    <n v="50036279"/>
    <x v="28"/>
    <n v="1"/>
    <s v="REALIZADO"/>
    <s v="BRUNA"/>
    <d v="2025-08-18T00:00:00"/>
    <x v="0"/>
  </r>
  <r>
    <n v="50037905"/>
    <x v="49"/>
    <n v="1"/>
    <s v="REALIZADO"/>
    <s v="BRUNO"/>
    <d v="2025-08-18T00:00:00"/>
    <x v="0"/>
  </r>
  <r>
    <n v="50030074"/>
    <x v="115"/>
    <n v="1"/>
    <s v="REALIZADO"/>
    <s v="BRUNO"/>
    <d v="2025-08-18T00:00:00"/>
    <x v="2"/>
  </r>
  <r>
    <n v="50030074"/>
    <x v="115"/>
    <n v="1"/>
    <s v="REALIZADO"/>
    <s v="BRUNO"/>
    <d v="2025-08-18T00:00:00"/>
    <x v="0"/>
  </r>
  <r>
    <n v="50043471"/>
    <x v="5"/>
    <n v="1"/>
    <s v="REALIZADO"/>
    <s v="AGATHA"/>
    <d v="2025-08-18T00:00:00"/>
    <x v="2"/>
  </r>
  <r>
    <n v="50043471"/>
    <x v="5"/>
    <n v="1"/>
    <s v="REALIZADO"/>
    <s v="BRUNO"/>
    <d v="2025-08-18T00:00:00"/>
    <x v="0"/>
  </r>
  <r>
    <n v="50029865"/>
    <x v="9"/>
    <n v="1"/>
    <s v="REALIZADO"/>
    <s v="BRUNO"/>
    <d v="2025-08-18T00:00:00"/>
    <x v="2"/>
  </r>
  <r>
    <n v="50029865"/>
    <x v="9"/>
    <n v="1"/>
    <s v="REALIZADO"/>
    <s v="BRUNO"/>
    <d v="2025-08-18T00:00:00"/>
    <x v="0"/>
  </r>
  <r>
    <n v="50038549"/>
    <x v="6"/>
    <n v="1"/>
    <s v="REALIZADO"/>
    <s v="AGATHA"/>
    <d v="2025-08-18T00:00:00"/>
    <x v="0"/>
  </r>
  <r>
    <n v="50038549"/>
    <x v="6"/>
    <n v="1"/>
    <s v="REALIZADO"/>
    <s v="AGATHA"/>
    <d v="2025-08-18T00:00:00"/>
    <x v="2"/>
  </r>
  <r>
    <n v="50038549"/>
    <x v="6"/>
    <n v="1"/>
    <s v="REALIZADO"/>
    <s v="AGATHA"/>
    <d v="2025-08-18T00:00:00"/>
    <x v="2"/>
  </r>
  <r>
    <n v="50038549"/>
    <x v="6"/>
    <n v="1"/>
    <s v="REALIZADO"/>
    <s v="BRUNO"/>
    <d v="2025-08-18T00:00:00"/>
    <x v="0"/>
  </r>
  <r>
    <n v="50038841"/>
    <x v="34"/>
    <n v="1"/>
    <s v="REALIZADO"/>
    <s v="AGATHA"/>
    <d v="2025-08-18T00:00:00"/>
    <x v="2"/>
  </r>
  <r>
    <n v="50038841"/>
    <x v="34"/>
    <n v="1"/>
    <s v="REALIZADO"/>
    <s v="BRUNO"/>
    <d v="2025-08-18T00:00:00"/>
    <x v="2"/>
  </r>
  <r>
    <n v="50038517"/>
    <x v="0"/>
    <n v="1"/>
    <s v="REALIZADO"/>
    <s v="BRUNO"/>
    <d v="2025-08-18T00:00:00"/>
    <x v="0"/>
  </r>
  <r>
    <n v="50037926"/>
    <x v="52"/>
    <n v="1"/>
    <s v="REALIZADO"/>
    <s v="BRUNA"/>
    <d v="2025-08-18T00:00:00"/>
    <x v="2"/>
  </r>
  <r>
    <n v="50037926"/>
    <x v="52"/>
    <n v="1"/>
    <s v="REALIZADO"/>
    <s v="BRUNO"/>
    <d v="2025-08-18T00:00:00"/>
    <x v="0"/>
  </r>
  <r>
    <n v="50001995"/>
    <x v="44"/>
    <n v="1"/>
    <s v="REALIZADO"/>
    <s v="BRUNO"/>
    <d v="2025-08-18T00:00:00"/>
    <x v="2"/>
  </r>
  <r>
    <n v="50001995"/>
    <x v="44"/>
    <n v="1"/>
    <s v="REALIZADO"/>
    <s v="BRUNO"/>
    <d v="2025-08-18T00:00:00"/>
    <x v="2"/>
  </r>
  <r>
    <n v="50036332"/>
    <x v="82"/>
    <n v="1"/>
    <s v="REALIZADO"/>
    <s v="BRUNA"/>
    <d v="2025-08-18T00:00:00"/>
    <x v="0"/>
  </r>
  <r>
    <n v="50026357"/>
    <x v="24"/>
    <n v="1"/>
    <s v="REALIZADO"/>
    <s v="BRUNA"/>
    <d v="2025-08-18T00:00:00"/>
    <x v="2"/>
  </r>
  <r>
    <n v="50026357"/>
    <x v="24"/>
    <n v="1"/>
    <s v="REALIZADO"/>
    <s v="BRUNO"/>
    <d v="2025-08-18T00:00:00"/>
    <x v="0"/>
  </r>
  <r>
    <n v="50041195"/>
    <x v="21"/>
    <n v="1"/>
    <s v="REALIZADO"/>
    <s v="AGATHA"/>
    <d v="2025-08-18T00:00:00"/>
    <x v="2"/>
  </r>
  <r>
    <n v="50041195"/>
    <x v="21"/>
    <n v="1"/>
    <s v="REALIZADO"/>
    <s v="BRUNO"/>
    <d v="2025-08-18T00:00:00"/>
    <x v="0"/>
  </r>
  <r>
    <n v="50043917"/>
    <x v="66"/>
    <n v="1"/>
    <s v="REALIZADO"/>
    <s v="BRUNO"/>
    <d v="2025-08-18T00:00:00"/>
    <x v="2"/>
  </r>
  <r>
    <n v="50043917"/>
    <x v="66"/>
    <n v="1"/>
    <s v="REALIZADO"/>
    <s v="BRUNO"/>
    <d v="2025-08-18T00:00:00"/>
    <x v="0"/>
  </r>
  <r>
    <n v="50012903"/>
    <x v="31"/>
    <n v="1"/>
    <s v="REALIZADO"/>
    <m/>
    <d v="2025-08-18T00:00:00"/>
    <x v="0"/>
  </r>
  <r>
    <n v="50012902"/>
    <x v="30"/>
    <n v="1"/>
    <s v="REALIZADO"/>
    <s v="BRUNA"/>
    <d v="2025-08-18T00:00:00"/>
    <x v="2"/>
  </r>
  <r>
    <n v="50012902"/>
    <x v="30"/>
    <n v="1"/>
    <s v="REALIZADO"/>
    <s v="BRUNO"/>
    <d v="2025-08-18T00:00:00"/>
    <x v="2"/>
  </r>
  <r>
    <n v="50037895"/>
    <x v="116"/>
    <n v="1"/>
    <s v="REALIZADO"/>
    <s v="AGATHA"/>
    <d v="2025-08-18T00:00:00"/>
    <x v="0"/>
  </r>
  <r>
    <n v="50038840"/>
    <x v="68"/>
    <n v="1"/>
    <s v="REALIZADO"/>
    <s v="AGATHA"/>
    <d v="2025-08-18T00:00:00"/>
    <x v="2"/>
  </r>
  <r>
    <n v="50038840"/>
    <x v="68"/>
    <n v="1"/>
    <s v="REALIZADO"/>
    <s v="AGATHA"/>
    <d v="2025-08-18T00:00:00"/>
    <x v="0"/>
  </r>
  <r>
    <n v="50041195"/>
    <x v="21"/>
    <n v="1"/>
    <s v="REALIZADO"/>
    <s v="FABIANO"/>
    <d v="2025-08-17T00:00:00"/>
    <x v="2"/>
  </r>
  <r>
    <n v="50037905"/>
    <x v="49"/>
    <n v="1"/>
    <s v="REALIZADO"/>
    <s v="BRUNA"/>
    <d v="2025-08-16T00:00:00"/>
    <x v="0"/>
  </r>
  <r>
    <n v="50038841"/>
    <x v="34"/>
    <n v="1"/>
    <s v="REALIZADO"/>
    <s v="BRUNA"/>
    <d v="2025-08-16T00:00:00"/>
    <x v="2"/>
  </r>
  <r>
    <n v="50038841"/>
    <x v="34"/>
    <n v="1"/>
    <s v="REALIZADO"/>
    <s v="BRUNA"/>
    <d v="2025-08-16T00:00:00"/>
    <x v="0"/>
  </r>
  <r>
    <n v="50030074"/>
    <x v="115"/>
    <n v="1"/>
    <s v="REALIZADO"/>
    <s v="AGATHA"/>
    <d v="2025-08-15T00:00:00"/>
    <x v="2"/>
  </r>
  <r>
    <n v="50030074"/>
    <x v="115"/>
    <n v="1"/>
    <s v="REALIZADO"/>
    <s v="AGATHA"/>
    <d v="2025-08-15T00:00:00"/>
    <x v="0"/>
  </r>
  <r>
    <n v="50030074"/>
    <x v="115"/>
    <n v="1"/>
    <s v="REALIZADO"/>
    <s v="AGATHA"/>
    <d v="2025-08-15T00:00:00"/>
    <x v="2"/>
  </r>
  <r>
    <n v="50030074"/>
    <x v="115"/>
    <n v="1"/>
    <s v="NÃO REALIZADO"/>
    <s v="MARCIA"/>
    <d v="2025-08-15T00:00:00"/>
    <x v="0"/>
  </r>
  <r>
    <n v="50029865"/>
    <x v="9"/>
    <n v="1"/>
    <s v="REALIZADO"/>
    <s v="AGATHA"/>
    <d v="2025-08-15T00:00:00"/>
    <x v="2"/>
  </r>
  <r>
    <n v="50029865"/>
    <x v="9"/>
    <n v="1"/>
    <s v="REALIZADO"/>
    <s v="GEOVANE"/>
    <d v="2025-08-15T00:00:00"/>
    <x v="0"/>
  </r>
  <r>
    <n v="50029865"/>
    <x v="9"/>
    <n v="1"/>
    <s v="REALIZADO"/>
    <s v="BRUNA"/>
    <d v="2025-08-15T00:00:00"/>
    <x v="2"/>
  </r>
  <r>
    <n v="50029865"/>
    <x v="9"/>
    <n v="1"/>
    <s v="REALIZADO"/>
    <s v="BRUNA"/>
    <d v="2025-08-15T00:00:00"/>
    <x v="0"/>
  </r>
  <r>
    <n v="50037916"/>
    <x v="70"/>
    <n v="1"/>
    <s v="REALIZADO"/>
    <s v="BRUNO"/>
    <d v="2025-08-15T00:00:00"/>
    <x v="2"/>
  </r>
  <r>
    <n v="50037916"/>
    <x v="70"/>
    <n v="1"/>
    <s v="REALIZADO"/>
    <s v="MATHEUS"/>
    <d v="2025-08-15T00:00:00"/>
    <x v="0"/>
  </r>
  <r>
    <n v="50038549"/>
    <x v="6"/>
    <n v="1"/>
    <s v="REALIZADO"/>
    <s v="BRUNO"/>
    <d v="2025-08-15T00:00:00"/>
    <x v="2"/>
  </r>
  <r>
    <n v="50038549"/>
    <x v="6"/>
    <n v="1"/>
    <s v="REALIZADO"/>
    <s v="BRUNO"/>
    <d v="2025-08-15T00:00:00"/>
    <x v="0"/>
  </r>
  <r>
    <n v="50037902"/>
    <x v="14"/>
    <n v="1"/>
    <s v="REALIZADO"/>
    <s v="AGATHA"/>
    <d v="2025-08-15T00:00:00"/>
    <x v="2"/>
  </r>
  <r>
    <n v="50037902"/>
    <x v="14"/>
    <n v="1"/>
    <s v="NÃO REALIZADO"/>
    <s v="MARCIA"/>
    <d v="2025-08-15T00:00:00"/>
    <x v="0"/>
  </r>
  <r>
    <n v="50038841"/>
    <x v="34"/>
    <n v="1"/>
    <s v="REALIZADO"/>
    <s v="AGATHA"/>
    <d v="2025-08-15T00:00:00"/>
    <x v="2"/>
  </r>
  <r>
    <n v="50038841"/>
    <x v="34"/>
    <n v="1"/>
    <s v="REALIZADO"/>
    <s v="AGATHA"/>
    <d v="2025-08-15T00:00:00"/>
    <x v="0"/>
  </r>
  <r>
    <n v="50038517"/>
    <x v="0"/>
    <n v="1"/>
    <s v="REALIZADO"/>
    <s v="BRUNA"/>
    <d v="2025-08-15T00:00:00"/>
    <x v="0"/>
  </r>
  <r>
    <n v="50039065"/>
    <x v="22"/>
    <n v="1"/>
    <s v="REALIZADO"/>
    <s v="AGATHA"/>
    <d v="2025-08-15T00:00:00"/>
    <x v="2"/>
  </r>
  <r>
    <n v="50039065"/>
    <x v="22"/>
    <n v="1"/>
    <s v="REALIZADO"/>
    <s v="BRUNO"/>
    <d v="2025-08-15T00:00:00"/>
    <x v="0"/>
  </r>
  <r>
    <n v="50041195"/>
    <x v="21"/>
    <n v="1"/>
    <s v="REALIZADO"/>
    <s v="AGATHA"/>
    <d v="2025-08-15T00:00:00"/>
    <x v="2"/>
  </r>
  <r>
    <n v="50041195"/>
    <x v="21"/>
    <n v="1"/>
    <s v="REALIZADO"/>
    <s v="BRUNO"/>
    <d v="2025-08-15T00:00:00"/>
    <x v="0"/>
  </r>
  <r>
    <n v="50043917"/>
    <x v="66"/>
    <n v="1"/>
    <s v="REALIZADO"/>
    <s v="AGATHA"/>
    <d v="2025-08-15T00:00:00"/>
    <x v="2"/>
  </r>
  <r>
    <n v="50043917"/>
    <x v="66"/>
    <n v="1"/>
    <s v="REALIZADO"/>
    <s v="GEOVANE"/>
    <d v="2025-08-15T00:00:00"/>
    <x v="0"/>
  </r>
  <r>
    <n v="50020622"/>
    <x v="42"/>
    <n v="1"/>
    <s v="REALIZADO"/>
    <s v="BRUNA"/>
    <d v="2025-08-15T00:00:00"/>
    <x v="2"/>
  </r>
  <r>
    <n v="50020622"/>
    <x v="42"/>
    <n v="1"/>
    <s v="REALIZADO"/>
    <s v="BRUNA"/>
    <d v="2025-08-15T00:00:00"/>
    <x v="0"/>
  </r>
  <r>
    <n v="50002644"/>
    <x v="83"/>
    <n v="1"/>
    <s v="REALIZADO"/>
    <s v="GEOVANE"/>
    <d v="2025-08-14T00:00:00"/>
    <x v="2"/>
  </r>
  <r>
    <n v="50002644"/>
    <x v="83"/>
    <n v="1"/>
    <s v="REALIZADO"/>
    <s v="GEOVANE"/>
    <d v="2025-08-14T00:00:00"/>
    <x v="0"/>
  </r>
  <r>
    <n v="50037965"/>
    <x v="117"/>
    <n v="1"/>
    <s v="REALIZADO"/>
    <s v="BRUNO"/>
    <d v="2025-08-14T00:00:00"/>
    <x v="2"/>
  </r>
  <r>
    <n v="50037965"/>
    <x v="117"/>
    <n v="1"/>
    <s v="REALIZADO"/>
    <s v="BRUNO"/>
    <d v="2025-08-14T00:00:00"/>
    <x v="2"/>
  </r>
  <r>
    <n v="50037960"/>
    <x v="37"/>
    <n v="1"/>
    <s v="REALIZADO"/>
    <s v="BRUNO"/>
    <d v="2025-08-14T00:00:00"/>
    <x v="2"/>
  </r>
  <r>
    <n v="50037961"/>
    <x v="36"/>
    <n v="1"/>
    <s v="REALIZADO"/>
    <s v="BRUNO"/>
    <d v="2025-08-14T00:00:00"/>
    <x v="0"/>
  </r>
  <r>
    <n v="50039236"/>
    <x v="84"/>
    <n v="1"/>
    <s v="REALIZADO"/>
    <s v="BRUNO"/>
    <d v="2025-08-14T00:00:00"/>
    <x v="2"/>
  </r>
  <r>
    <n v="50039236"/>
    <x v="84"/>
    <n v="1"/>
    <s v="REALIZADO"/>
    <s v="BRUNO"/>
    <d v="2025-08-14T00:00:00"/>
    <x v="2"/>
  </r>
  <r>
    <n v="50039236"/>
    <x v="84"/>
    <n v="1"/>
    <s v="REALIZADO"/>
    <s v="BRUNO"/>
    <d v="2025-08-14T00:00:00"/>
    <x v="0"/>
  </r>
  <r>
    <n v="50043471"/>
    <x v="5"/>
    <n v="1"/>
    <s v="REALIZADO"/>
    <s v="BRUNA"/>
    <d v="2025-08-14T00:00:00"/>
    <x v="2"/>
  </r>
  <r>
    <n v="50003297"/>
    <x v="8"/>
    <n v="1"/>
    <s v="REALIZADO"/>
    <s v="BRUNO"/>
    <d v="2025-08-14T00:00:00"/>
    <x v="0"/>
  </r>
  <r>
    <n v="50029865"/>
    <x v="9"/>
    <n v="1"/>
    <s v="REALIZADO"/>
    <s v="BRUNO"/>
    <d v="2025-08-14T00:00:00"/>
    <x v="2"/>
  </r>
  <r>
    <n v="50029865"/>
    <x v="9"/>
    <n v="1"/>
    <s v="REALIZADO"/>
    <s v="BRUNO"/>
    <d v="2025-08-14T00:00:00"/>
    <x v="2"/>
  </r>
  <r>
    <n v="50038517"/>
    <x v="0"/>
    <n v="1"/>
    <s v="REALIZADO"/>
    <s v="BRUNO"/>
    <d v="2025-08-14T00:00:00"/>
    <x v="0"/>
  </r>
  <r>
    <n v="50037903"/>
    <x v="91"/>
    <n v="1"/>
    <s v="REALIZADO"/>
    <s v="GEOVANE"/>
    <d v="2025-08-14T00:00:00"/>
    <x v="2"/>
  </r>
  <r>
    <n v="50037903"/>
    <x v="91"/>
    <n v="1"/>
    <s v="REALIZADO"/>
    <s v="BRUNO"/>
    <d v="2025-08-14T00:00:00"/>
    <x v="0"/>
  </r>
  <r>
    <n v="50001995"/>
    <x v="44"/>
    <n v="1"/>
    <s v="REALIZADO"/>
    <s v="GEOVANE"/>
    <d v="2025-08-14T00:00:00"/>
    <x v="2"/>
  </r>
  <r>
    <n v="50001995"/>
    <x v="44"/>
    <n v="1"/>
    <s v="REALIZADO"/>
    <s v="BRUNO"/>
    <d v="2025-08-14T00:00:00"/>
    <x v="0"/>
  </r>
  <r>
    <n v="50026357"/>
    <x v="24"/>
    <n v="1"/>
    <s v="REALIZADO"/>
    <s v="GEOVANE"/>
    <d v="2025-08-14T00:00:00"/>
    <x v="2"/>
  </r>
  <r>
    <n v="50026357"/>
    <x v="24"/>
    <n v="1"/>
    <s v="REALIZADO"/>
    <s v="BRUNO"/>
    <d v="2025-08-14T00:00:00"/>
    <x v="0"/>
  </r>
  <r>
    <n v="50043917"/>
    <x v="66"/>
    <n v="1"/>
    <s v="REALIZADO"/>
    <s v="BRUNO"/>
    <d v="2025-08-14T00:00:00"/>
    <x v="2"/>
  </r>
  <r>
    <n v="50043917"/>
    <x v="66"/>
    <n v="1"/>
    <s v="REALIZADO"/>
    <s v="BRUNO"/>
    <d v="2025-08-14T00:00:00"/>
    <x v="0"/>
  </r>
  <r>
    <n v="50043917"/>
    <x v="66"/>
    <n v="1"/>
    <s v="REALIZADO"/>
    <s v="BRUNA"/>
    <d v="2025-08-14T00:00:00"/>
    <x v="2"/>
  </r>
  <r>
    <n v="50043917"/>
    <x v="66"/>
    <n v="1"/>
    <s v="NÃO REALIZADO"/>
    <s v="MARCIA"/>
    <d v="2025-08-14T00:00:00"/>
    <x v="0"/>
  </r>
  <r>
    <n v="50038195"/>
    <x v="54"/>
    <n v="1"/>
    <s v="REALIZADO"/>
    <s v="BRUNO"/>
    <d v="2025-08-14T00:00:00"/>
    <x v="2"/>
  </r>
  <r>
    <n v="50038195"/>
    <x v="54"/>
    <n v="1"/>
    <s v="REALIZADO"/>
    <s v="BRUNO"/>
    <d v="2025-08-14T00:00:00"/>
    <x v="0"/>
  </r>
  <r>
    <n v="50038854"/>
    <x v="27"/>
    <n v="1"/>
    <s v="REALIZADO"/>
    <s v="BRUNO"/>
    <d v="2025-08-13T00:00:00"/>
    <x v="2"/>
  </r>
  <r>
    <n v="50038854"/>
    <x v="27"/>
    <n v="1"/>
    <s v="REALIZADO"/>
    <s v="BRUNO"/>
    <d v="2025-08-13T00:00:00"/>
    <x v="0"/>
  </r>
  <r>
    <n v="50038854"/>
    <x v="27"/>
    <n v="1"/>
    <s v="REALIZADO"/>
    <s v="MARCIA"/>
    <d v="2025-08-13T00:00:00"/>
    <x v="2"/>
  </r>
  <r>
    <n v="50038854"/>
    <x v="27"/>
    <n v="1"/>
    <s v="REALIZADO"/>
    <s v="MARCIA"/>
    <d v="2025-08-13T00:00:00"/>
    <x v="0"/>
  </r>
  <r>
    <n v="50037905"/>
    <x v="49"/>
    <n v="1"/>
    <s v="REALIZADO"/>
    <s v="BRUNO"/>
    <d v="2025-08-13T00:00:00"/>
    <x v="2"/>
  </r>
  <r>
    <n v="50037905"/>
    <x v="49"/>
    <n v="1"/>
    <s v="REALIZADO"/>
    <s v="MARCIA"/>
    <d v="2025-08-13T00:00:00"/>
    <x v="0"/>
  </r>
  <r>
    <n v="50037902"/>
    <x v="14"/>
    <n v="1"/>
    <s v="REALIZADO"/>
    <s v="MARCIA"/>
    <d v="2025-08-13T00:00:00"/>
    <x v="0"/>
  </r>
  <r>
    <n v="50041195"/>
    <x v="21"/>
    <n v="1"/>
    <s v="REALIZADO"/>
    <s v="MARCIA"/>
    <d v="2025-08-13T00:00:00"/>
    <x v="0"/>
  </r>
  <r>
    <n v="50043917"/>
    <x v="66"/>
    <n v="1"/>
    <s v="REALIZADO"/>
    <s v="KELLY"/>
    <d v="2025-08-13T00:00:00"/>
    <x v="2"/>
  </r>
  <r>
    <n v="50043917"/>
    <x v="66"/>
    <n v="1"/>
    <s v="REALIZADO"/>
    <s v="AGATHA"/>
    <d v="2025-08-13T00:00:00"/>
    <x v="0"/>
  </r>
  <r>
    <n v="50043917"/>
    <x v="66"/>
    <n v="1"/>
    <s v="REALIZADO"/>
    <s v="AGATHA"/>
    <d v="2025-08-13T00:00:00"/>
    <x v="2"/>
  </r>
  <r>
    <n v="50043917"/>
    <x v="66"/>
    <n v="1"/>
    <s v="REALIZADO"/>
    <s v="AGATHA"/>
    <d v="2025-08-13T00:00:00"/>
    <x v="2"/>
  </r>
  <r>
    <n v="50007151"/>
    <x v="75"/>
    <n v="1"/>
    <s v="REALIZADO"/>
    <s v="AGATHA"/>
    <d v="2025-08-13T00:00:00"/>
    <x v="2"/>
  </r>
  <r>
    <n v="50005179"/>
    <x v="118"/>
    <n v="1"/>
    <s v="REALIZADO"/>
    <s v="AGATHA"/>
    <d v="2025-08-13T00:00:00"/>
    <x v="2"/>
  </r>
  <r>
    <n v="50002644"/>
    <x v="83"/>
    <n v="1"/>
    <s v="REALIZADO"/>
    <s v="BRUNA"/>
    <d v="2025-08-12T00:00:00"/>
    <x v="0"/>
  </r>
  <r>
    <n v="50038854"/>
    <x v="27"/>
    <n v="1"/>
    <s v="REALIZADO"/>
    <s v="MARCIA"/>
    <d v="2025-08-12T00:00:00"/>
    <x v="2"/>
  </r>
  <r>
    <n v="50038854"/>
    <x v="27"/>
    <n v="1"/>
    <s v="REALIZADO"/>
    <s v="MARCIA"/>
    <d v="2025-08-12T00:00:00"/>
    <x v="0"/>
  </r>
  <r>
    <n v="50036296"/>
    <x v="46"/>
    <n v="1"/>
    <s v="REALIZADO"/>
    <s v="AGATHA"/>
    <d v="2025-08-12T00:00:00"/>
    <x v="2"/>
  </r>
  <r>
    <n v="50036296"/>
    <x v="46"/>
    <n v="1"/>
    <s v="REALIZADO"/>
    <s v="AGATHA"/>
    <d v="2025-08-12T00:00:00"/>
    <x v="0"/>
  </r>
  <r>
    <n v="50036086"/>
    <x v="3"/>
    <n v="1"/>
    <s v="REALIZADO"/>
    <s v="BRUNA"/>
    <d v="2025-08-12T00:00:00"/>
    <x v="0"/>
  </r>
  <r>
    <n v="50037905"/>
    <x v="49"/>
    <n v="1"/>
    <s v="REALIZADO"/>
    <s v="MATHEUS"/>
    <d v="2025-08-12T00:00:00"/>
    <x v="2"/>
  </r>
  <r>
    <n v="50037905"/>
    <x v="49"/>
    <n v="1"/>
    <s v="REALIZADO"/>
    <s v="MARCIA"/>
    <d v="2025-08-12T00:00:00"/>
    <x v="0"/>
  </r>
  <r>
    <n v="50039236"/>
    <x v="84"/>
    <n v="1"/>
    <s v="REALIZADO"/>
    <s v="MATHEUS"/>
    <d v="2025-08-12T00:00:00"/>
    <x v="2"/>
  </r>
  <r>
    <n v="50039236"/>
    <x v="84"/>
    <n v="1"/>
    <s v="REALIZADO"/>
    <s v="MATHEUS"/>
    <d v="2025-08-12T00:00:00"/>
    <x v="0"/>
  </r>
  <r>
    <n v="50030074"/>
    <x v="115"/>
    <n v="1"/>
    <s v="REALIZADO"/>
    <s v="AGATHA"/>
    <d v="2025-08-12T00:00:00"/>
    <x v="0"/>
  </r>
  <r>
    <n v="50030074"/>
    <x v="115"/>
    <n v="1"/>
    <s v="REALIZADO"/>
    <s v="AGATHA"/>
    <d v="2025-08-12T00:00:00"/>
    <x v="2"/>
  </r>
  <r>
    <n v="50030074"/>
    <x v="115"/>
    <n v="1"/>
    <s v="REALIZADO"/>
    <s v="MATHEUS"/>
    <d v="2025-08-12T00:00:00"/>
    <x v="2"/>
  </r>
  <r>
    <n v="50043471"/>
    <x v="5"/>
    <n v="1"/>
    <s v="REALIZADO"/>
    <s v="BRUNA"/>
    <d v="2025-08-12T00:00:00"/>
    <x v="0"/>
  </r>
  <r>
    <n v="50003297"/>
    <x v="8"/>
    <n v="1"/>
    <s v="REALIZADO"/>
    <s v="AGATHA"/>
    <d v="2025-08-12T00:00:00"/>
    <x v="2"/>
  </r>
  <r>
    <n v="50003297"/>
    <x v="8"/>
    <n v="1"/>
    <s v="REALIZADO"/>
    <s v="AGATHA"/>
    <d v="2025-08-12T00:00:00"/>
    <x v="0"/>
  </r>
  <r>
    <n v="50003297"/>
    <x v="8"/>
    <n v="1"/>
    <s v="REALIZADO"/>
    <s v="AGATHA"/>
    <d v="2025-08-12T00:00:00"/>
    <x v="2"/>
  </r>
  <r>
    <n v="50003297"/>
    <x v="8"/>
    <n v="1"/>
    <s v="REALIZADO"/>
    <s v="AGATHA"/>
    <d v="2025-08-12T00:00:00"/>
    <x v="0"/>
  </r>
  <r>
    <n v="50043320"/>
    <x v="35"/>
    <n v="1"/>
    <s v="REALIZADO"/>
    <s v="AGATHA"/>
    <d v="2025-08-12T00:00:00"/>
    <x v="2"/>
  </r>
  <r>
    <n v="50043320"/>
    <x v="35"/>
    <n v="1"/>
    <s v="REALIZADO"/>
    <s v="AGATHA"/>
    <d v="2025-08-12T00:00:00"/>
    <x v="0"/>
  </r>
  <r>
    <n v="50043320"/>
    <x v="35"/>
    <n v="1"/>
    <s v="REALIZADO"/>
    <s v="MARCIA"/>
    <d v="2025-08-12T00:00:00"/>
    <x v="2"/>
  </r>
  <r>
    <n v="50043320"/>
    <x v="35"/>
    <n v="1"/>
    <s v="REALIZADO"/>
    <s v="MARCIA"/>
    <d v="2025-08-12T00:00:00"/>
    <x v="0"/>
  </r>
  <r>
    <n v="50038549"/>
    <x v="6"/>
    <n v="1"/>
    <s v="REALIZADO"/>
    <s v="AGATHA"/>
    <d v="2025-08-12T00:00:00"/>
    <x v="2"/>
  </r>
  <r>
    <n v="50038549"/>
    <x v="6"/>
    <n v="1"/>
    <s v="REALIZADO"/>
    <s v="MATHEUS"/>
    <d v="2025-08-12T00:00:00"/>
    <x v="2"/>
  </r>
  <r>
    <n v="50037902"/>
    <x v="14"/>
    <n v="1"/>
    <s v="REALIZADO"/>
    <s v="MARCIA"/>
    <d v="2025-08-12T00:00:00"/>
    <x v="0"/>
  </r>
  <r>
    <n v="50037902"/>
    <x v="14"/>
    <n v="1"/>
    <s v="REALIZADO"/>
    <s v="KELLY"/>
    <d v="2025-08-12T00:00:00"/>
    <x v="2"/>
  </r>
  <r>
    <n v="50037902"/>
    <x v="14"/>
    <n v="1"/>
    <s v="REALIZADO"/>
    <s v="KELLY"/>
    <d v="2025-08-12T00:00:00"/>
    <x v="0"/>
  </r>
  <r>
    <n v="50037902"/>
    <x v="14"/>
    <n v="1"/>
    <s v="REALIZADO"/>
    <s v="AGATHA"/>
    <d v="2025-08-12T00:00:00"/>
    <x v="2"/>
  </r>
  <r>
    <n v="50037902"/>
    <x v="14"/>
    <n v="1"/>
    <s v="REALIZADO"/>
    <s v="MATHEUS"/>
    <d v="2025-08-12T00:00:00"/>
    <x v="0"/>
  </r>
  <r>
    <n v="50038841"/>
    <x v="34"/>
    <n v="1"/>
    <s v="REALIZADO"/>
    <s v="AGATHA"/>
    <d v="2025-08-12T00:00:00"/>
    <x v="2"/>
  </r>
  <r>
    <n v="50038841"/>
    <x v="34"/>
    <n v="1"/>
    <s v="REALIZADO"/>
    <s v="MATHEUS"/>
    <d v="2025-08-12T00:00:00"/>
    <x v="0"/>
  </r>
  <r>
    <n v="50038517"/>
    <x v="0"/>
    <n v="1"/>
    <s v="REALIZADO"/>
    <s v="AGATHA"/>
    <d v="2025-08-12T00:00:00"/>
    <x v="2"/>
  </r>
  <r>
    <n v="50038517"/>
    <x v="0"/>
    <n v="1"/>
    <s v="REALIZADO"/>
    <s v="MATHEUS"/>
    <d v="2025-08-12T00:00:00"/>
    <x v="0"/>
  </r>
  <r>
    <n v="50001995"/>
    <x v="44"/>
    <n v="1"/>
    <s v="REALIZADO"/>
    <s v="AGATHA"/>
    <d v="2025-08-12T00:00:00"/>
    <x v="2"/>
  </r>
  <r>
    <n v="50001995"/>
    <x v="44"/>
    <n v="1"/>
    <s v="REALIZADO"/>
    <s v="MATHEUS"/>
    <d v="2025-08-12T00:00:00"/>
    <x v="0"/>
  </r>
  <r>
    <n v="50036332"/>
    <x v="82"/>
    <n v="1"/>
    <s v="REALIZADO"/>
    <s v="BRUNA"/>
    <d v="2025-08-12T00:00:00"/>
    <x v="2"/>
  </r>
  <r>
    <n v="50041195"/>
    <x v="21"/>
    <n v="1"/>
    <s v="REALIZADO"/>
    <s v="MARCIA"/>
    <d v="2025-08-12T00:00:00"/>
    <x v="0"/>
  </r>
  <r>
    <n v="50041195"/>
    <x v="21"/>
    <n v="1"/>
    <s v="REALIZADO"/>
    <s v="AGATHA"/>
    <d v="2025-08-12T00:00:00"/>
    <x v="2"/>
  </r>
  <r>
    <n v="50041195"/>
    <x v="21"/>
    <n v="1"/>
    <s v="REALIZADO"/>
    <s v="MATHEUS"/>
    <d v="2025-08-12T00:00:00"/>
    <x v="0"/>
  </r>
  <r>
    <n v="50043917"/>
    <x v="66"/>
    <n v="1"/>
    <s v="REALIZADO"/>
    <s v="MATHEUS"/>
    <d v="2025-08-12T00:00:00"/>
    <x v="2"/>
  </r>
  <r>
    <n v="50043917"/>
    <x v="66"/>
    <n v="1"/>
    <s v="REALIZADO"/>
    <s v="MATHEUS"/>
    <d v="2025-08-12T00:00:00"/>
    <x v="0"/>
  </r>
  <r>
    <n v="50043917"/>
    <x v="66"/>
    <n v="1"/>
    <s v="REALIZADO"/>
    <s v="MARCIA"/>
    <d v="2025-08-12T00:00:00"/>
    <x v="2"/>
  </r>
  <r>
    <n v="50043917"/>
    <x v="66"/>
    <n v="1"/>
    <s v="REALIZADO"/>
    <s v="MARCIA"/>
    <d v="2025-08-12T00:00:00"/>
    <x v="0"/>
  </r>
  <r>
    <n v="50037952"/>
    <x v="56"/>
    <n v="1"/>
    <s v="REALIZADO"/>
    <s v="AGATHA"/>
    <d v="2025-08-12T00:00:00"/>
    <x v="2"/>
  </r>
  <r>
    <n v="50037952"/>
    <x v="56"/>
    <n v="1"/>
    <s v="REALIZADO"/>
    <s v="BRUNA"/>
    <d v="2025-08-12T00:00:00"/>
    <x v="0"/>
  </r>
  <r>
    <n v="50036296"/>
    <x v="46"/>
    <n v="1"/>
    <s v="REALIZADO"/>
    <s v="BRUNO"/>
    <d v="2025-08-11T00:00:00"/>
    <x v="2"/>
  </r>
  <r>
    <n v="50036296"/>
    <x v="46"/>
    <n v="1"/>
    <s v="REALIZADO"/>
    <s v="BRUNO"/>
    <d v="2025-08-11T00:00:00"/>
    <x v="0"/>
  </r>
  <r>
    <n v="50030074"/>
    <x v="115"/>
    <n v="1"/>
    <s v="REALIZADO"/>
    <s v="AGATHA"/>
    <d v="2025-08-11T00:00:00"/>
    <x v="2"/>
  </r>
  <r>
    <n v="50030074"/>
    <x v="115"/>
    <n v="1"/>
    <s v="REALIZADO"/>
    <s v="BRUNO"/>
    <d v="2025-08-11T00:00:00"/>
    <x v="0"/>
  </r>
  <r>
    <n v="50030074"/>
    <x v="115"/>
    <n v="1"/>
    <s v="REALIZADO"/>
    <s v="BRUNO"/>
    <d v="2025-08-11T00:00:00"/>
    <x v="2"/>
  </r>
  <r>
    <n v="50030074"/>
    <x v="115"/>
    <n v="1"/>
    <s v="REALIZADO"/>
    <s v="BRUNO"/>
    <d v="2025-08-11T00:00:00"/>
    <x v="0"/>
  </r>
  <r>
    <n v="50003296"/>
    <x v="105"/>
    <n v="1"/>
    <s v="REALIZADO"/>
    <s v="AGATHA"/>
    <d v="2025-08-11T00:00:00"/>
    <x v="2"/>
  </r>
  <r>
    <n v="50003296"/>
    <x v="105"/>
    <n v="1"/>
    <s v="REALIZADO"/>
    <s v="AGATHA"/>
    <d v="2025-08-11T00:00:00"/>
    <x v="0"/>
  </r>
  <r>
    <n v="50003296"/>
    <x v="105"/>
    <n v="1"/>
    <s v="REALIZADO"/>
    <s v="AGATHA"/>
    <d v="2025-08-11T00:00:00"/>
    <x v="2"/>
  </r>
  <r>
    <n v="50003296"/>
    <x v="105"/>
    <n v="1"/>
    <s v="REALIZADO"/>
    <s v="AGATHA"/>
    <d v="2025-08-11T00:00:00"/>
    <x v="0"/>
  </r>
  <r>
    <n v="50038549"/>
    <x v="6"/>
    <n v="1"/>
    <s v="REALIZADO"/>
    <s v="AGATHA"/>
    <d v="2025-08-11T00:00:00"/>
    <x v="2"/>
  </r>
  <r>
    <n v="50038549"/>
    <x v="6"/>
    <n v="1"/>
    <s v="REALIZADO"/>
    <s v="BRUNO"/>
    <d v="2025-08-11T00:00:00"/>
    <x v="0"/>
  </r>
  <r>
    <n v="50037902"/>
    <x v="14"/>
    <n v="1"/>
    <s v="REALIZADO"/>
    <s v="AGATHA"/>
    <d v="2025-08-11T00:00:00"/>
    <x v="2"/>
  </r>
  <r>
    <n v="50037902"/>
    <x v="14"/>
    <n v="1"/>
    <s v="REALIZADO"/>
    <s v="BRUNO"/>
    <d v="2025-08-11T00:00:00"/>
    <x v="0"/>
  </r>
  <r>
    <n v="50037902"/>
    <x v="14"/>
    <n v="1"/>
    <s v="REALIZADO"/>
    <s v="BRUNO"/>
    <d v="2025-08-11T00:00:00"/>
    <x v="2"/>
  </r>
  <r>
    <n v="50037902"/>
    <x v="14"/>
    <n v="1"/>
    <s v="REALIZADO"/>
    <s v="BRUNO"/>
    <d v="2025-08-11T00:00:00"/>
    <x v="0"/>
  </r>
  <r>
    <n v="50038841"/>
    <x v="34"/>
    <n v="1"/>
    <s v="REALIZADO"/>
    <s v="AGATHA"/>
    <d v="2025-08-11T00:00:00"/>
    <x v="2"/>
  </r>
  <r>
    <n v="50038841"/>
    <x v="34"/>
    <n v="1"/>
    <s v="REALIZADO"/>
    <s v="BRUNO"/>
    <d v="2025-08-11T00:00:00"/>
    <x v="0"/>
  </r>
  <r>
    <n v="50038517"/>
    <x v="0"/>
    <n v="1"/>
    <s v="REALIZADO"/>
    <s v="AGATHA"/>
    <d v="2025-08-11T00:00:00"/>
    <x v="2"/>
  </r>
  <r>
    <n v="50038517"/>
    <x v="0"/>
    <n v="1"/>
    <s v="REALIZADO"/>
    <s v="AGATHA"/>
    <d v="2025-08-11T00:00:00"/>
    <x v="0"/>
  </r>
  <r>
    <n v="50038517"/>
    <x v="0"/>
    <n v="1"/>
    <s v="REALIZADO"/>
    <s v="BRUNA"/>
    <d v="2025-08-11T00:00:00"/>
    <x v="2"/>
  </r>
  <r>
    <n v="50038517"/>
    <x v="0"/>
    <n v="1"/>
    <s v="REALIZADO"/>
    <s v="BRUNO"/>
    <d v="2025-08-11T00:00:00"/>
    <x v="0"/>
  </r>
  <r>
    <n v="50038517"/>
    <x v="0"/>
    <n v="1"/>
    <s v="REALIZADO"/>
    <s v="BRUNO"/>
    <d v="2025-08-11T00:00:00"/>
    <x v="2"/>
  </r>
  <r>
    <n v="50038517"/>
    <x v="0"/>
    <n v="1"/>
    <s v="REALIZADO"/>
    <s v="BRUNO"/>
    <d v="2025-08-11T00:00:00"/>
    <x v="0"/>
  </r>
  <r>
    <n v="50001995"/>
    <x v="44"/>
    <n v="1"/>
    <s v="REALIZADO"/>
    <s v="BRUNA"/>
    <d v="2025-08-11T00:00:00"/>
    <x v="2"/>
  </r>
  <r>
    <n v="50001995"/>
    <x v="44"/>
    <n v="1"/>
    <s v="REALIZADO"/>
    <s v="BRUNO"/>
    <d v="2025-08-11T00:00:00"/>
    <x v="2"/>
  </r>
  <r>
    <n v="50036332"/>
    <x v="82"/>
    <n v="1"/>
    <s v="REALIZADO"/>
    <s v="BRUNO"/>
    <d v="2025-08-11T00:00:00"/>
    <x v="2"/>
  </r>
  <r>
    <n v="50036297"/>
    <x v="100"/>
    <n v="1"/>
    <s v="REALIZADO"/>
    <s v="KELLY"/>
    <d v="2025-08-11T00:00:00"/>
    <x v="2"/>
  </r>
  <r>
    <n v="50038626"/>
    <x v="72"/>
    <n v="1"/>
    <s v="REALIZADO"/>
    <s v="BRUNO"/>
    <d v="2025-08-11T00:00:00"/>
    <x v="0"/>
  </r>
  <r>
    <n v="50041195"/>
    <x v="21"/>
    <n v="1"/>
    <s v="REALIZADO"/>
    <s v="AGATHA"/>
    <d v="2025-08-11T00:00:00"/>
    <x v="2"/>
  </r>
  <r>
    <n v="50041195"/>
    <x v="21"/>
    <n v="1"/>
    <s v="REALIZADO"/>
    <s v="AGATHA"/>
    <d v="2025-08-11T00:00:00"/>
    <x v="0"/>
  </r>
  <r>
    <n v="50041195"/>
    <x v="21"/>
    <n v="1"/>
    <s v="REALIZADO"/>
    <s v="BRUNO"/>
    <d v="2025-08-11T00:00:00"/>
    <x v="2"/>
  </r>
  <r>
    <n v="50041195"/>
    <x v="21"/>
    <n v="1"/>
    <s v="REALIZADO"/>
    <s v="BRUNO"/>
    <d v="2025-08-11T00:00:00"/>
    <x v="0"/>
  </r>
  <r>
    <n v="50043917"/>
    <x v="66"/>
    <n v="1"/>
    <s v="REALIZADO"/>
    <s v="AGATHA"/>
    <d v="2025-08-11T00:00:00"/>
    <x v="2"/>
  </r>
  <r>
    <n v="50043917"/>
    <x v="66"/>
    <n v="1"/>
    <s v="REALIZADO"/>
    <s v="BRUNO"/>
    <d v="2025-08-11T00:00:00"/>
    <x v="0"/>
  </r>
  <r>
    <n v="50037902"/>
    <x v="14"/>
    <n v="1"/>
    <s v="REALIZADO"/>
    <s v="KELLY"/>
    <d v="2025-08-09T00:00:00"/>
    <x v="2"/>
  </r>
  <r>
    <n v="50037902"/>
    <x v="14"/>
    <n v="1"/>
    <s v="REALIZADO"/>
    <s v="KELLY"/>
    <d v="2025-08-09T00:00:00"/>
    <x v="0"/>
  </r>
  <r>
    <n v="50038194"/>
    <x v="87"/>
    <n v="1"/>
    <s v="REALIZADO"/>
    <s v="KELLY"/>
    <d v="2025-08-09T00:00:00"/>
    <x v="2"/>
  </r>
  <r>
    <n v="50038194"/>
    <x v="87"/>
    <n v="1"/>
    <s v="REALIZADO"/>
    <s v="KELLY"/>
    <d v="2025-08-09T00:00:00"/>
    <x v="0"/>
  </r>
  <r>
    <n v="50037905"/>
    <x v="49"/>
    <n v="1"/>
    <s v="REALIZADO"/>
    <s v="BRUNO"/>
    <d v="2025-08-08T00:00:00"/>
    <x v="2"/>
  </r>
  <r>
    <n v="50037905"/>
    <x v="49"/>
    <n v="1"/>
    <s v="REALIZADO"/>
    <s v="BRUNA"/>
    <d v="2025-08-08T00:00:00"/>
    <x v="0"/>
  </r>
  <r>
    <n v="50039236"/>
    <x v="84"/>
    <n v="1"/>
    <s v="REALIZADO"/>
    <s v="GEOVANE"/>
    <d v="2025-08-08T00:00:00"/>
    <x v="2"/>
  </r>
  <r>
    <n v="50039236"/>
    <x v="84"/>
    <n v="1"/>
    <s v="REALIZADO"/>
    <s v="BRUNO"/>
    <d v="2025-08-08T00:00:00"/>
    <x v="0"/>
  </r>
  <r>
    <n v="50029865"/>
    <x v="9"/>
    <n v="1"/>
    <s v="REALIZADO"/>
    <s v="BRUNO"/>
    <d v="2025-08-08T00:00:00"/>
    <x v="2"/>
  </r>
  <r>
    <n v="50029865"/>
    <x v="9"/>
    <n v="1"/>
    <s v="REALIZADO"/>
    <s v="BRUNA"/>
    <d v="2025-08-08T00:00:00"/>
    <x v="0"/>
  </r>
  <r>
    <n v="50043320"/>
    <x v="35"/>
    <n v="1"/>
    <s v="REALIZADO"/>
    <s v="AGATHA"/>
    <d v="2025-08-08T00:00:00"/>
    <x v="2"/>
  </r>
  <r>
    <n v="50043320"/>
    <x v="35"/>
    <n v="1"/>
    <s v="REALIZADO"/>
    <s v="AGATHA"/>
    <d v="2025-08-08T00:00:00"/>
    <x v="0"/>
  </r>
  <r>
    <n v="50038549"/>
    <x v="6"/>
    <n v="1"/>
    <s v="REALIZADO"/>
    <s v="AGATHA"/>
    <d v="2025-08-08T00:00:00"/>
    <x v="2"/>
  </r>
  <r>
    <n v="50038549"/>
    <x v="6"/>
    <n v="1"/>
    <s v="REALIZADO"/>
    <s v="BRUNA"/>
    <d v="2025-08-08T00:00:00"/>
    <x v="0"/>
  </r>
  <r>
    <n v="50044250"/>
    <x v="119"/>
    <n v="1"/>
    <s v="REALIZADO"/>
    <s v="GEOVANE"/>
    <d v="2025-08-08T00:00:00"/>
    <x v="0"/>
  </r>
  <r>
    <n v="50038517"/>
    <x v="0"/>
    <n v="1"/>
    <s v="REALIZADO"/>
    <s v="BRUNA"/>
    <d v="2025-08-08T00:00:00"/>
    <x v="2"/>
  </r>
  <r>
    <n v="50038517"/>
    <x v="0"/>
    <n v="1"/>
    <s v="REALIZADO"/>
    <s v="BRUNO"/>
    <d v="2025-08-08T00:00:00"/>
    <x v="0"/>
  </r>
  <r>
    <n v="50039065"/>
    <x v="22"/>
    <n v="1"/>
    <s v="REALIZADO"/>
    <s v="AGATHA"/>
    <d v="2025-08-08T00:00:00"/>
    <x v="2"/>
  </r>
  <r>
    <n v="50039065"/>
    <x v="22"/>
    <n v="1"/>
    <s v="REALIZADO"/>
    <s v="BRUNO"/>
    <d v="2025-08-08T00:00:00"/>
    <x v="0"/>
  </r>
  <r>
    <n v="50041195"/>
    <x v="21"/>
    <n v="1"/>
    <s v="REALIZADO"/>
    <s v="BRUNO"/>
    <d v="2025-08-08T00:00:00"/>
    <x v="0"/>
  </r>
  <r>
    <n v="50041195"/>
    <x v="21"/>
    <n v="1"/>
    <s v="REALIZADO"/>
    <s v="HILARIO"/>
    <d v="2025-08-08T00:00:00"/>
    <x v="0"/>
  </r>
  <r>
    <n v="50043917"/>
    <x v="66"/>
    <n v="1"/>
    <s v="REALIZADO"/>
    <s v="KELLY"/>
    <d v="2025-08-08T00:00:00"/>
    <x v="2"/>
  </r>
  <r>
    <n v="50043917"/>
    <x v="66"/>
    <n v="1"/>
    <s v="REALIZADO"/>
    <s v="KELLY"/>
    <d v="2025-08-08T00:00:00"/>
    <x v="0"/>
  </r>
  <r>
    <n v="50043917"/>
    <x v="66"/>
    <n v="1"/>
    <s v="REALIZADO"/>
    <s v="BRUNO"/>
    <d v="2025-08-08T00:00:00"/>
    <x v="2"/>
  </r>
  <r>
    <n v="50043917"/>
    <x v="66"/>
    <n v="1"/>
    <s v="REALIZADO"/>
    <s v="BRUNA"/>
    <d v="2025-08-08T00:00:00"/>
    <x v="0"/>
  </r>
  <r>
    <n v="50003295"/>
    <x v="120"/>
    <n v="1"/>
    <s v="REALIZADO"/>
    <s v="GEOVANE"/>
    <d v="2025-08-08T00:00:00"/>
    <x v="2"/>
  </r>
  <r>
    <n v="50003295"/>
    <x v="120"/>
    <n v="1"/>
    <s v="REALIZADO"/>
    <s v="BRUNA"/>
    <d v="2025-08-08T00:00:00"/>
    <x v="2"/>
  </r>
  <r>
    <n v="50005179"/>
    <x v="118"/>
    <n v="1"/>
    <s v="REALIZADO"/>
    <s v="AGATHA"/>
    <d v="2025-08-08T00:00:00"/>
    <x v="0"/>
  </r>
  <r>
    <n v="50043151"/>
    <x v="121"/>
    <n v="1"/>
    <s v="REALIZADO"/>
    <s v="KELLY"/>
    <d v="2025-08-08T00:00:00"/>
    <x v="2"/>
  </r>
  <r>
    <n v="50043151"/>
    <x v="121"/>
    <n v="1"/>
    <s v="REALIZADO"/>
    <s v="KELLY"/>
    <d v="2025-08-08T00:00:00"/>
    <x v="0"/>
  </r>
  <r>
    <n v="50044250"/>
    <x v="122"/>
    <n v="1"/>
    <s v="REALIZADO"/>
    <s v="GEOVANE"/>
    <d v="2025-08-07T00:00:00"/>
    <x v="2"/>
  </r>
  <r>
    <n v="50044250"/>
    <x v="122"/>
    <n v="1"/>
    <s v="REALIZADO"/>
    <s v="GEOVANE"/>
    <d v="2025-08-07T00:00:00"/>
    <x v="0"/>
  </r>
  <r>
    <n v="50043471"/>
    <x v="5"/>
    <n v="1"/>
    <s v="REALIZADO"/>
    <s v="GEOVANE"/>
    <d v="2025-08-07T00:00:00"/>
    <x v="2"/>
  </r>
  <r>
    <n v="50043471"/>
    <x v="5"/>
    <n v="1"/>
    <s v="REALIZADO"/>
    <s v="BRUNA"/>
    <d v="2025-08-07T00:00:00"/>
    <x v="0"/>
  </r>
  <r>
    <n v="50038549"/>
    <x v="6"/>
    <n v="1"/>
    <s v="REALIZADO"/>
    <s v="BRUNA"/>
    <d v="2025-08-07T00:00:00"/>
    <x v="2"/>
  </r>
  <r>
    <n v="50038549"/>
    <x v="6"/>
    <n v="1"/>
    <s v="REALIZADO"/>
    <s v="MATHEUS"/>
    <d v="2025-08-07T00:00:00"/>
    <x v="0"/>
  </r>
  <r>
    <n v="50037902"/>
    <x v="14"/>
    <n v="1"/>
    <s v="REALIZADO"/>
    <s v="GEOVANE"/>
    <d v="2025-08-07T00:00:00"/>
    <x v="2"/>
  </r>
  <r>
    <n v="50037902"/>
    <x v="14"/>
    <n v="1"/>
    <s v="REALIZADO"/>
    <s v="GEOVANE"/>
    <d v="2025-08-07T00:00:00"/>
    <x v="0"/>
  </r>
  <r>
    <n v="50037902"/>
    <x v="14"/>
    <n v="1"/>
    <s v="REALIZADO"/>
    <s v="BRUNO"/>
    <d v="2025-08-07T00:00:00"/>
    <x v="2"/>
  </r>
  <r>
    <n v="50037902"/>
    <x v="14"/>
    <n v="1"/>
    <s v="REALIZADO"/>
    <s v="BRUNO"/>
    <d v="2025-08-07T00:00:00"/>
    <x v="0"/>
  </r>
  <r>
    <n v="50038841"/>
    <x v="34"/>
    <n v="1"/>
    <s v="REALIZADO"/>
    <s v="GEOVANE"/>
    <d v="2025-08-07T00:00:00"/>
    <x v="2"/>
  </r>
  <r>
    <n v="50038841"/>
    <x v="34"/>
    <n v="1"/>
    <s v="REALIZADO"/>
    <s v="BRUNO"/>
    <d v="2025-08-07T00:00:00"/>
    <x v="0"/>
  </r>
  <r>
    <n v="50038841"/>
    <x v="34"/>
    <n v="1"/>
    <s v="REALIZADO"/>
    <s v="BRUNO"/>
    <d v="2025-08-07T00:00:00"/>
    <x v="2"/>
  </r>
  <r>
    <n v="50038841"/>
    <x v="34"/>
    <n v="1"/>
    <s v="REALIZADO"/>
    <s v="MATHEUS"/>
    <d v="2025-08-07T00:00:00"/>
    <x v="2"/>
  </r>
  <r>
    <n v="50041195"/>
    <x v="21"/>
    <n v="1"/>
    <s v="REALIZADO"/>
    <s v="BRUNO"/>
    <d v="2025-08-07T00:00:00"/>
    <x v="0"/>
  </r>
  <r>
    <n v="50041195"/>
    <x v="21"/>
    <n v="1"/>
    <s v="REALIZADO"/>
    <s v="HILARIO"/>
    <d v="2025-08-07T00:00:00"/>
    <x v="0"/>
  </r>
  <r>
    <n v="50003295"/>
    <x v="120"/>
    <n v="1"/>
    <s v="REALIZADO"/>
    <s v="GEOVANE"/>
    <d v="2025-08-07T00:00:00"/>
    <x v="2"/>
  </r>
  <r>
    <n v="50003295"/>
    <x v="120"/>
    <n v="1"/>
    <s v="REALIZADO"/>
    <s v="GEOVANE"/>
    <d v="2025-08-07T00:00:00"/>
    <x v="0"/>
  </r>
  <r>
    <n v="50002644"/>
    <x v="83"/>
    <n v="1"/>
    <s v="REALIZADO"/>
    <s v="AGATHA"/>
    <d v="2025-08-06T00:00:00"/>
    <x v="2"/>
  </r>
  <r>
    <n v="50002644"/>
    <x v="83"/>
    <n v="1"/>
    <s v="REALIZADO"/>
    <s v="AGATHA"/>
    <d v="2025-08-06T00:00:00"/>
    <x v="0"/>
  </r>
  <r>
    <n v="50036255"/>
    <x v="7"/>
    <n v="1"/>
    <s v="REALIZADO"/>
    <s v="BRUNA"/>
    <d v="2025-08-06T00:00:00"/>
    <x v="2"/>
  </r>
  <r>
    <n v="50036255"/>
    <x v="7"/>
    <n v="1"/>
    <s v="REALIZADO"/>
    <s v="BRUNA"/>
    <d v="2025-08-06T00:00:00"/>
    <x v="2"/>
  </r>
  <r>
    <n v="50036086"/>
    <x v="3"/>
    <n v="1"/>
    <s v="REALIZADO"/>
    <s v="BRUNA"/>
    <d v="2025-08-06T00:00:00"/>
    <x v="0"/>
  </r>
  <r>
    <n v="50043520"/>
    <x v="97"/>
    <n v="1"/>
    <s v="REALIZADO"/>
    <s v="KELLY"/>
    <d v="2025-08-06T00:00:00"/>
    <x v="2"/>
  </r>
  <r>
    <n v="50043520"/>
    <x v="97"/>
    <n v="1"/>
    <s v="REALIZADO"/>
    <s v="KELLY"/>
    <d v="2025-08-06T00:00:00"/>
    <x v="0"/>
  </r>
  <r>
    <n v="50043520"/>
    <x v="97"/>
    <n v="1"/>
    <s v="REALIZADO"/>
    <s v="AGATHA"/>
    <d v="2025-08-06T00:00:00"/>
    <x v="2"/>
  </r>
  <r>
    <n v="50043520"/>
    <x v="97"/>
    <n v="1"/>
    <s v="REALIZADO"/>
    <s v="BRUNA"/>
    <d v="2025-08-06T00:00:00"/>
    <x v="0"/>
  </r>
  <r>
    <n v="50037905"/>
    <x v="49"/>
    <n v="1"/>
    <s v="REALIZADO"/>
    <s v="BRUNA"/>
    <d v="2025-08-06T00:00:00"/>
    <x v="2"/>
  </r>
  <r>
    <n v="50037905"/>
    <x v="49"/>
    <n v="1"/>
    <s v="REALIZADO"/>
    <s v="BRUNA"/>
    <d v="2025-08-06T00:00:00"/>
    <x v="0"/>
  </r>
  <r>
    <n v="50030074"/>
    <x v="115"/>
    <n v="1"/>
    <s v="REALIZADO"/>
    <s v="AGATHA"/>
    <d v="2025-08-06T00:00:00"/>
    <x v="2"/>
  </r>
  <r>
    <n v="50030074"/>
    <x v="115"/>
    <n v="1"/>
    <s v="REALIZADO"/>
    <s v="AGATHA"/>
    <d v="2025-08-06T00:00:00"/>
    <x v="0"/>
  </r>
  <r>
    <n v="50043471"/>
    <x v="5"/>
    <n v="1"/>
    <s v="REALIZADO"/>
    <s v="AGATHA"/>
    <d v="2025-08-06T00:00:00"/>
    <x v="2"/>
  </r>
  <r>
    <n v="50043471"/>
    <x v="5"/>
    <n v="1"/>
    <s v="REALIZADO"/>
    <s v="AGATHA"/>
    <d v="2025-08-06T00:00:00"/>
    <x v="0"/>
  </r>
  <r>
    <n v="50043471"/>
    <x v="5"/>
    <n v="1"/>
    <s v="REALIZADO"/>
    <s v="AGATHA"/>
    <d v="2025-08-06T00:00:00"/>
    <x v="2"/>
  </r>
  <r>
    <n v="50043471"/>
    <x v="5"/>
    <n v="1"/>
    <s v="REALIZADO"/>
    <s v="BRUNO"/>
    <d v="2025-08-06T00:00:00"/>
    <x v="0"/>
  </r>
  <r>
    <n v="50003296"/>
    <x v="105"/>
    <n v="1"/>
    <s v="REALIZADO"/>
    <s v="KELLY"/>
    <d v="2025-08-06T00:00:00"/>
    <x v="2"/>
  </r>
  <r>
    <n v="50003296"/>
    <x v="105"/>
    <n v="1"/>
    <s v="REALIZADO"/>
    <s v="BRUNO"/>
    <d v="2025-08-06T00:00:00"/>
    <x v="0"/>
  </r>
  <r>
    <n v="50029865"/>
    <x v="9"/>
    <n v="1"/>
    <s v="REALIZADO"/>
    <s v="AGATHA"/>
    <d v="2025-08-06T00:00:00"/>
    <x v="2"/>
  </r>
  <r>
    <n v="50029865"/>
    <x v="9"/>
    <n v="1"/>
    <s v="REALIZADO"/>
    <s v="AGATHA"/>
    <d v="2025-08-06T00:00:00"/>
    <x v="0"/>
  </r>
  <r>
    <n v="50038549"/>
    <x v="6"/>
    <n v="1"/>
    <s v="REALIZADO"/>
    <s v="KELLY"/>
    <d v="2025-08-06T00:00:00"/>
    <x v="2"/>
  </r>
  <r>
    <n v="50038549"/>
    <x v="6"/>
    <n v="1"/>
    <s v="REALIZADO"/>
    <s v="BRUNO"/>
    <d v="2025-08-06T00:00:00"/>
    <x v="0"/>
  </r>
  <r>
    <n v="50037902"/>
    <x v="14"/>
    <n v="1"/>
    <s v="REALIZADO"/>
    <s v="AGATHA"/>
    <d v="2025-08-06T00:00:00"/>
    <x v="2"/>
  </r>
  <r>
    <n v="50037902"/>
    <x v="14"/>
    <n v="1"/>
    <s v="REALIZADO"/>
    <s v="BRUNO"/>
    <d v="2025-08-06T00:00:00"/>
    <x v="0"/>
  </r>
  <r>
    <n v="50038841"/>
    <x v="34"/>
    <n v="1"/>
    <s v="REALIZADO"/>
    <s v="AGATHA"/>
    <d v="2025-08-06T00:00:00"/>
    <x v="2"/>
  </r>
  <r>
    <n v="50038841"/>
    <x v="34"/>
    <n v="1"/>
    <s v="REALIZADO"/>
    <s v="BRUNO"/>
    <d v="2025-08-06T00:00:00"/>
    <x v="0"/>
  </r>
  <r>
    <n v="50038517"/>
    <x v="0"/>
    <n v="1"/>
    <s v="REALIZADO"/>
    <s v="KELLY"/>
    <d v="2025-08-06T00:00:00"/>
    <x v="2"/>
  </r>
  <r>
    <n v="50038517"/>
    <x v="0"/>
    <n v="1"/>
    <s v="REALIZADO"/>
    <s v="BRUNA"/>
    <d v="2025-08-06T00:00:00"/>
    <x v="0"/>
  </r>
  <r>
    <n v="50001995"/>
    <x v="44"/>
    <n v="1"/>
    <s v="REALIZADO"/>
    <s v="AGATHA"/>
    <d v="2025-08-06T00:00:00"/>
    <x v="2"/>
  </r>
  <r>
    <n v="50001995"/>
    <x v="44"/>
    <n v="1"/>
    <s v="REALIZADO"/>
    <s v="BRUNO"/>
    <d v="2025-08-06T00:00:00"/>
    <x v="0"/>
  </r>
  <r>
    <n v="50038626"/>
    <x v="72"/>
    <n v="1"/>
    <s v="REALIZADO"/>
    <s v="KELLY"/>
    <d v="2025-08-06T00:00:00"/>
    <x v="2"/>
  </r>
  <r>
    <n v="50038626"/>
    <x v="72"/>
    <n v="1"/>
    <s v="REALIZADO"/>
    <s v="BRUNA"/>
    <d v="2025-08-06T00:00:00"/>
    <x v="0"/>
  </r>
  <r>
    <n v="50026357"/>
    <x v="24"/>
    <n v="1"/>
    <s v="REALIZADO"/>
    <s v="AGATHA"/>
    <d v="2025-08-06T00:00:00"/>
    <x v="2"/>
  </r>
  <r>
    <n v="50026357"/>
    <x v="24"/>
    <n v="1"/>
    <s v="REALIZADO"/>
    <s v="AGATHA"/>
    <d v="2025-08-06T00:00:00"/>
    <x v="0"/>
  </r>
  <r>
    <n v="50041195"/>
    <x v="21"/>
    <n v="1"/>
    <s v="REALIZADO"/>
    <s v="KELLY"/>
    <d v="2025-08-06T00:00:00"/>
    <x v="2"/>
  </r>
  <r>
    <n v="50041195"/>
    <x v="21"/>
    <n v="1"/>
    <s v="REALIZADO"/>
    <s v="BRUNO"/>
    <d v="2025-08-06T00:00:00"/>
    <x v="0"/>
  </r>
  <r>
    <n v="50043917"/>
    <x v="66"/>
    <n v="1"/>
    <s v="REALIZADO"/>
    <s v="AGATHA"/>
    <d v="2025-08-06T00:00:00"/>
    <x v="2"/>
  </r>
  <r>
    <n v="50043917"/>
    <x v="66"/>
    <n v="1"/>
    <s v="REALIZADO"/>
    <s v="AGATHA"/>
    <d v="2025-08-06T00:00:00"/>
    <x v="0"/>
  </r>
  <r>
    <n v="50012903"/>
    <x v="31"/>
    <n v="1"/>
    <s v="REALIZADO"/>
    <s v="BRUNA"/>
    <d v="2025-08-06T00:00:00"/>
    <x v="2"/>
  </r>
  <r>
    <n v="50012903"/>
    <x v="31"/>
    <n v="1"/>
    <s v="REALIZADO"/>
    <s v="BRUNA"/>
    <d v="2025-08-06T00:00:00"/>
    <x v="0"/>
  </r>
  <r>
    <n v="50038845"/>
    <x v="108"/>
    <n v="1"/>
    <s v="REALIZADO"/>
    <s v="AGATHA"/>
    <d v="2025-08-06T00:00:00"/>
    <x v="2"/>
  </r>
  <r>
    <n v="50038845"/>
    <x v="108"/>
    <n v="1"/>
    <s v="REALIZADO"/>
    <s v="AGATHA"/>
    <d v="2025-08-06T00:00:00"/>
    <x v="0"/>
  </r>
  <r>
    <n v="50032781"/>
    <x v="12"/>
    <n v="1"/>
    <s v="REALIZADO"/>
    <s v="AGATHA"/>
    <d v="2025-08-06T00:00:00"/>
    <x v="2"/>
  </r>
  <r>
    <n v="50032781"/>
    <x v="12"/>
    <n v="1"/>
    <s v="REALIZADO"/>
    <s v="AGATHA"/>
    <d v="2025-08-06T00:00:00"/>
    <x v="0"/>
  </r>
  <r>
    <n v="50032781"/>
    <x v="12"/>
    <n v="1"/>
    <s v="REALIZADO"/>
    <s v="BRUNA"/>
    <d v="2025-08-06T00:00:00"/>
    <x v="2"/>
  </r>
  <r>
    <n v="50032781"/>
    <x v="12"/>
    <n v="1"/>
    <s v="REALIZADO"/>
    <s v="BRUNO"/>
    <d v="2025-08-06T00:00:00"/>
    <x v="0"/>
  </r>
  <r>
    <n v="50037900"/>
    <x v="41"/>
    <n v="1"/>
    <s v="REALIZADO"/>
    <s v="KELLY"/>
    <d v="2025-08-06T00:00:00"/>
    <x v="2"/>
  </r>
  <r>
    <n v="50037900"/>
    <x v="41"/>
    <n v="1"/>
    <s v="REALIZADO"/>
    <s v="AGATHA"/>
    <d v="2025-08-06T00:00:00"/>
    <x v="0"/>
  </r>
  <r>
    <n v="50028220"/>
    <x v="33"/>
    <n v="1"/>
    <s v="REALIZADO"/>
    <s v="AGATHA"/>
    <d v="2025-08-06T00:00:00"/>
    <x v="2"/>
  </r>
  <r>
    <n v="50028220"/>
    <x v="33"/>
    <n v="1"/>
    <s v="REALIZADO"/>
    <s v="AGATHA"/>
    <d v="2025-08-06T00:00:00"/>
    <x v="0"/>
  </r>
  <r>
    <n v="50028220"/>
    <x v="33"/>
    <n v="1"/>
    <s v="REALIZADO"/>
    <s v="BRUNA"/>
    <d v="2025-08-06T00:00:00"/>
    <x v="2"/>
  </r>
  <r>
    <n v="50028220"/>
    <x v="33"/>
    <n v="1"/>
    <s v="REALIZADO"/>
    <s v="BRUNA"/>
    <d v="2025-08-06T00:00:00"/>
    <x v="0"/>
  </r>
  <r>
    <n v="50002644"/>
    <x v="83"/>
    <n v="1"/>
    <s v="REALIZADO"/>
    <s v="AGATHA"/>
    <d v="2025-08-05T00:00:00"/>
    <x v="2"/>
  </r>
  <r>
    <n v="50002644"/>
    <x v="83"/>
    <n v="1"/>
    <s v="REALIZADO"/>
    <s v="AGATHA"/>
    <d v="2025-08-05T00:00:00"/>
    <x v="0"/>
  </r>
  <r>
    <n v="50038854"/>
    <x v="27"/>
    <n v="1"/>
    <s v="REALIZADO"/>
    <s v="AGATHA"/>
    <d v="2025-08-05T00:00:00"/>
    <x v="2"/>
  </r>
  <r>
    <n v="50038854"/>
    <x v="27"/>
    <n v="1"/>
    <s v="REALIZADO"/>
    <s v="AGATHA"/>
    <d v="2025-08-05T00:00:00"/>
    <x v="0"/>
  </r>
  <r>
    <n v="50036298"/>
    <x v="69"/>
    <n v="1"/>
    <s v="REALIZADO"/>
    <s v="KELLY"/>
    <d v="2025-08-05T00:00:00"/>
    <x v="2"/>
  </r>
  <r>
    <n v="50036298"/>
    <x v="69"/>
    <n v="1"/>
    <s v="REALIZADO"/>
    <s v="AGATHA"/>
    <d v="2025-08-05T00:00:00"/>
    <x v="0"/>
  </r>
  <r>
    <n v="50037918"/>
    <x v="123"/>
    <n v="1"/>
    <s v="REALIZADO"/>
    <s v="AGATHA"/>
    <d v="2025-08-05T00:00:00"/>
    <x v="2"/>
  </r>
  <r>
    <n v="50037918"/>
    <x v="123"/>
    <n v="1"/>
    <s v="REALIZADO"/>
    <s v="AGATHA"/>
    <d v="2025-08-05T00:00:00"/>
    <x v="0"/>
  </r>
  <r>
    <n v="50036255"/>
    <x v="7"/>
    <n v="1"/>
    <s v="REALIZADO"/>
    <s v="AGATHA"/>
    <d v="2025-08-05T00:00:00"/>
    <x v="2"/>
  </r>
  <r>
    <n v="50036255"/>
    <x v="7"/>
    <n v="1"/>
    <s v="REALIZADO"/>
    <s v="BRUNA"/>
    <d v="2025-08-05T00:00:00"/>
    <x v="0"/>
  </r>
  <r>
    <n v="50036086"/>
    <x v="3"/>
    <n v="1"/>
    <s v="REALIZADO"/>
    <s v="KELLY"/>
    <d v="2025-08-05T00:00:00"/>
    <x v="2"/>
  </r>
  <r>
    <n v="50036086"/>
    <x v="3"/>
    <n v="1"/>
    <s v="REALIZADO"/>
    <s v="KELLY"/>
    <d v="2025-08-05T00:00:00"/>
    <x v="0"/>
  </r>
  <r>
    <n v="50036086"/>
    <x v="3"/>
    <n v="1"/>
    <s v="REALIZADO"/>
    <s v="AGATHA"/>
    <d v="2025-08-05T00:00:00"/>
    <x v="2"/>
  </r>
  <r>
    <n v="50036086"/>
    <x v="3"/>
    <n v="1"/>
    <s v="REALIZADO"/>
    <s v="AGATHA"/>
    <d v="2025-08-05T00:00:00"/>
    <x v="0"/>
  </r>
  <r>
    <n v="50036279"/>
    <x v="28"/>
    <n v="1"/>
    <s v="REALIZADO"/>
    <s v="KELLY"/>
    <d v="2025-08-05T00:00:00"/>
    <x v="2"/>
  </r>
  <r>
    <n v="50036279"/>
    <x v="28"/>
    <n v="1"/>
    <s v="REALIZADO"/>
    <s v="AGATHA"/>
    <d v="2025-08-05T00:00:00"/>
    <x v="0"/>
  </r>
  <r>
    <n v="50043520"/>
    <x v="97"/>
    <n v="1"/>
    <s v="REALIZADO"/>
    <s v="KELLY"/>
    <d v="2025-08-05T00:00:00"/>
    <x v="2"/>
  </r>
  <r>
    <n v="50043520"/>
    <x v="97"/>
    <n v="1"/>
    <s v="REALIZADO"/>
    <s v="KELLY"/>
    <d v="2025-08-05T00:00:00"/>
    <x v="0"/>
  </r>
  <r>
    <n v="50039718"/>
    <x v="11"/>
    <n v="1"/>
    <s v="REALIZADO"/>
    <s v="KELLY"/>
    <d v="2025-08-05T00:00:00"/>
    <x v="2"/>
  </r>
  <r>
    <n v="50039718"/>
    <x v="11"/>
    <n v="1"/>
    <s v="REALIZADO"/>
    <s v="AGATHA"/>
    <d v="2025-08-05T00:00:00"/>
    <x v="0"/>
  </r>
  <r>
    <n v="50037905"/>
    <x v="49"/>
    <n v="1"/>
    <s v="REALIZADO"/>
    <s v="KELLY"/>
    <d v="2025-08-05T00:00:00"/>
    <x v="2"/>
  </r>
  <r>
    <n v="50037905"/>
    <x v="49"/>
    <n v="1"/>
    <s v="REALIZADO"/>
    <s v="AGATHA"/>
    <d v="2025-08-05T00:00:00"/>
    <x v="0"/>
  </r>
  <r>
    <n v="50039236"/>
    <x v="84"/>
    <n v="1"/>
    <s v="REALIZADO"/>
    <s v="AGATHA"/>
    <d v="2025-08-05T00:00:00"/>
    <x v="2"/>
  </r>
  <r>
    <n v="50039236"/>
    <x v="84"/>
    <n v="1"/>
    <s v="REALIZADO"/>
    <s v="AGATHA"/>
    <d v="2025-08-05T00:00:00"/>
    <x v="0"/>
  </r>
  <r>
    <n v="50003296"/>
    <x v="105"/>
    <n v="1"/>
    <s v="REALIZADO"/>
    <s v="BRUNA"/>
    <d v="2025-08-05T00:00:00"/>
    <x v="2"/>
  </r>
  <r>
    <n v="50003296"/>
    <x v="105"/>
    <n v="1"/>
    <s v="REALIZADO"/>
    <s v="MATHEUS"/>
    <d v="2025-08-05T00:00:00"/>
    <x v="0"/>
  </r>
  <r>
    <n v="50029865"/>
    <x v="9"/>
    <n v="1"/>
    <s v="REALIZADO"/>
    <s v="KELLY"/>
    <d v="2025-08-05T00:00:00"/>
    <x v="2"/>
  </r>
  <r>
    <n v="50029865"/>
    <x v="9"/>
    <n v="1"/>
    <s v="REALIZADO"/>
    <s v="BRUNA"/>
    <d v="2025-08-05T00:00:00"/>
    <x v="0"/>
  </r>
  <r>
    <n v="50038517"/>
    <x v="0"/>
    <n v="1"/>
    <s v="REALIZADO"/>
    <s v="AGATHA"/>
    <d v="2025-08-05T00:00:00"/>
    <x v="2"/>
  </r>
  <r>
    <n v="50038517"/>
    <x v="0"/>
    <n v="1"/>
    <s v="REALIZADO"/>
    <s v="MATHEUS"/>
    <d v="2025-08-05T00:00:00"/>
    <x v="0"/>
  </r>
  <r>
    <n v="50039065"/>
    <x v="22"/>
    <n v="1"/>
    <s v="REALIZADO"/>
    <s v="KELLY"/>
    <d v="2025-08-05T00:00:00"/>
    <x v="2"/>
  </r>
  <r>
    <n v="50039065"/>
    <x v="22"/>
    <n v="1"/>
    <s v="REALIZADO"/>
    <s v="BRUNA"/>
    <d v="2025-08-05T00:00:00"/>
    <x v="0"/>
  </r>
  <r>
    <n v="50026357"/>
    <x v="24"/>
    <n v="1"/>
    <s v="REALIZADO"/>
    <s v="KELLY"/>
    <d v="2025-08-05T00:00:00"/>
    <x v="2"/>
  </r>
  <r>
    <n v="50026357"/>
    <x v="24"/>
    <n v="1"/>
    <s v="REALIZADO"/>
    <s v="AGATHA"/>
    <d v="2025-08-05T00:00:00"/>
    <x v="0"/>
  </r>
  <r>
    <n v="50041195"/>
    <x v="21"/>
    <n v="1"/>
    <s v="REALIZADO"/>
    <s v="KELLY"/>
    <d v="2025-08-05T00:00:00"/>
    <x v="2"/>
  </r>
  <r>
    <n v="50041195"/>
    <x v="21"/>
    <n v="1"/>
    <s v="REALIZADO"/>
    <s v="BRUNA"/>
    <d v="2025-08-05T00:00:00"/>
    <x v="0"/>
  </r>
  <r>
    <n v="50041195"/>
    <x v="21"/>
    <n v="1"/>
    <s v="REALIZADO"/>
    <s v="BRUNA"/>
    <d v="2025-08-05T00:00:00"/>
    <x v="2"/>
  </r>
  <r>
    <n v="50041195"/>
    <x v="21"/>
    <n v="1"/>
    <s v="REALIZADO"/>
    <s v="BRUNA"/>
    <d v="2025-08-05T00:00:00"/>
    <x v="0"/>
  </r>
  <r>
    <n v="50043917"/>
    <x v="66"/>
    <n v="1"/>
    <s v="REALIZADO"/>
    <s v="AGATHA"/>
    <d v="2025-08-05T00:00:00"/>
    <x v="2"/>
  </r>
  <r>
    <n v="50043917"/>
    <x v="66"/>
    <n v="1"/>
    <s v="REALIZADO"/>
    <s v="AGATHA"/>
    <d v="2025-08-05T00:00:00"/>
    <x v="0"/>
  </r>
  <r>
    <n v="50043917"/>
    <x v="66"/>
    <n v="1"/>
    <s v="REALIZADO"/>
    <s v="MAYCON"/>
    <d v="2025-08-05T00:00:00"/>
    <x v="0"/>
  </r>
  <r>
    <n v="50003295"/>
    <x v="120"/>
    <n v="1"/>
    <s v="REALIZADO"/>
    <s v="AGATHA"/>
    <d v="2025-08-05T00:00:00"/>
    <x v="2"/>
  </r>
  <r>
    <n v="50003295"/>
    <x v="120"/>
    <n v="1"/>
    <s v="REALIZADO"/>
    <s v="AGATHA"/>
    <d v="2025-08-05T00:00:00"/>
    <x v="0"/>
  </r>
  <r>
    <n v="50005179"/>
    <x v="118"/>
    <n v="1"/>
    <s v="REALIZADO"/>
    <s v="KELLY"/>
    <d v="2025-08-05T00:00:00"/>
    <x v="2"/>
  </r>
  <r>
    <n v="50005179"/>
    <x v="118"/>
    <n v="1"/>
    <s v="REALIZADO"/>
    <s v="AGATHA"/>
    <d v="2025-08-05T00:00:00"/>
    <x v="0"/>
  </r>
  <r>
    <n v="50037946"/>
    <x v="124"/>
    <n v="1"/>
    <s v="REALIZADO"/>
    <s v="AGATHA"/>
    <d v="2025-08-05T00:00:00"/>
    <x v="2"/>
  </r>
  <r>
    <n v="50037946"/>
    <x v="124"/>
    <n v="1"/>
    <s v="REALIZADO"/>
    <s v="AGATHA"/>
    <d v="2025-08-05T00:00:00"/>
    <x v="0"/>
  </r>
  <r>
    <n v="50043917"/>
    <x v="66"/>
    <n v="1"/>
    <s v="REALIZADO"/>
    <s v="HILARIO"/>
    <d v="2025-08-04T00:00:00"/>
    <x v="0"/>
  </r>
  <r>
    <n v="50037903"/>
    <x v="91"/>
    <n v="1"/>
    <s v="NÃO REALIZADO"/>
    <s v="BRUNA"/>
    <d v="1899-12-31T00:00:00"/>
    <x v="2"/>
  </r>
  <r>
    <n v="50038549"/>
    <x v="6"/>
    <n v="1"/>
    <s v="REALIZADO"/>
    <s v="FABIANO"/>
    <d v="2025-11-22T00:00:00"/>
    <x v="0"/>
  </r>
  <r>
    <n v="50038549"/>
    <x v="6"/>
    <n v="1"/>
    <s v="REALIZADO"/>
    <s v="FABIANO"/>
    <d v="2025-11-22T00:00:00"/>
    <x v="2"/>
  </r>
  <r>
    <n v="50043917"/>
    <x v="66"/>
    <n v="1"/>
    <s v="REALIZADO"/>
    <s v="KELLY"/>
    <d v="2025-11-22T00:00:00"/>
    <x v="0"/>
  </r>
  <r>
    <n v="50043917"/>
    <x v="66"/>
    <n v="1"/>
    <s v="REALIZADO"/>
    <s v="KELLY"/>
    <d v="2025-11-22T00:00:00"/>
    <x v="2"/>
  </r>
  <r>
    <n v="50003297"/>
    <x v="8"/>
    <n v="1"/>
    <s v="REALIZADO"/>
    <s v="KELLY"/>
    <d v="2025-11-22T00:00:00"/>
    <x v="0"/>
  </r>
  <r>
    <n v="50003297"/>
    <x v="8"/>
    <n v="1"/>
    <s v="REALIZADO"/>
    <s v="KELLY"/>
    <d v="2025-11-22T00:00:00"/>
    <x v="2"/>
  </r>
  <r>
    <n v="50037892"/>
    <x v="2"/>
    <n v="1"/>
    <s v="REALIZADO"/>
    <s v="KELLY"/>
    <d v="2025-11-22T00:00:00"/>
    <x v="0"/>
  </r>
  <r>
    <n v="50037892"/>
    <x v="2"/>
    <n v="1"/>
    <s v="REALIZADO"/>
    <s v="KELLY"/>
    <d v="2025-11-22T00:00:00"/>
    <x v="2"/>
  </r>
  <r>
    <n v="50038517"/>
    <x v="0"/>
    <n v="1"/>
    <s v="REALIZADO"/>
    <s v="KELLY"/>
    <d v="2025-11-22T00:00:00"/>
    <x v="0"/>
  </r>
  <r>
    <n v="50038517"/>
    <x v="0"/>
    <n v="1"/>
    <s v="REALIZADO"/>
    <s v="KELLY"/>
    <d v="2025-11-22T00:00:00"/>
    <x v="2"/>
  </r>
  <r>
    <n v="50039718"/>
    <x v="11"/>
    <n v="1"/>
    <s v="REALIZADO"/>
    <s v="KELLY"/>
    <d v="2025-11-22T00:00:00"/>
    <x v="0"/>
  </r>
  <r>
    <n v="50039718"/>
    <x v="11"/>
    <n v="1"/>
    <s v="REALIZADO"/>
    <s v="KELLY"/>
    <d v="2025-11-22T00:00:00"/>
    <x v="2"/>
  </r>
  <r>
    <n v="50004486"/>
    <x v="95"/>
    <n v="1"/>
    <s v="REALIZADO"/>
    <s v="KELLY"/>
    <d v="2025-11-22T00:00:00"/>
    <x v="0"/>
  </r>
  <r>
    <n v="50004486"/>
    <x v="95"/>
    <n v="1"/>
    <s v="REALIZADO"/>
    <s v="KELLY"/>
    <d v="2025-11-22T00:00:00"/>
    <x v="2"/>
  </r>
  <r>
    <n v="50041195"/>
    <x v="21"/>
    <n v="1"/>
    <s v="REALIZADO"/>
    <s v="KELLY"/>
    <d v="2025-11-22T00:00:00"/>
    <x v="0"/>
  </r>
  <r>
    <n v="50041195"/>
    <x v="21"/>
    <n v="1"/>
    <s v="REALIZADO"/>
    <s v="KELLY"/>
    <d v="2025-11-22T00:00:00"/>
    <x v="2"/>
  </r>
  <r>
    <n v="50038549"/>
    <x v="6"/>
    <n v="1"/>
    <s v="REALIZADO"/>
    <s v="KELLY"/>
    <d v="2025-11-22T00:00:00"/>
    <x v="0"/>
  </r>
  <r>
    <n v="50038549"/>
    <x v="6"/>
    <n v="1"/>
    <s v="REALIZADO"/>
    <s v="KELLY"/>
    <d v="2025-11-22T00:00:00"/>
    <x v="2"/>
  </r>
  <r>
    <n v="50039065"/>
    <x v="22"/>
    <n v="1"/>
    <s v="REALIZADO"/>
    <s v="KELLY"/>
    <d v="2025-11-22T00:00:00"/>
    <x v="0"/>
  </r>
  <r>
    <n v="50039065"/>
    <x v="22"/>
    <n v="1"/>
    <s v="REALIZADO"/>
    <s v="KELLY"/>
    <d v="2025-11-22T00:00:00"/>
    <x v="2"/>
  </r>
  <r>
    <n v="60037922"/>
    <x v="61"/>
    <n v="1"/>
    <s v="REALIZADO"/>
    <s v="MARCOS "/>
    <d v="2025-11-25T00:00:00"/>
    <x v="0"/>
  </r>
  <r>
    <n v="50037922"/>
    <x v="61"/>
    <n v="1"/>
    <s v="REALIZADO"/>
    <s v="MARCOS "/>
    <d v="2025-11-26T00:00:00"/>
    <x v="2"/>
  </r>
  <r>
    <n v="50043471"/>
    <x v="5"/>
    <n v="1"/>
    <s v="REALIZADO"/>
    <s v="MARCOS "/>
    <d v="2025-11-26T00:00:00"/>
    <x v="0"/>
  </r>
  <r>
    <n v="50043471"/>
    <x v="5"/>
    <n v="1"/>
    <s v="REALIZADO"/>
    <s v="MARCOS "/>
    <d v="2025-11-26T00:00:00"/>
    <x v="2"/>
  </r>
  <r>
    <n v="50038517"/>
    <x v="0"/>
    <n v="1"/>
    <s v="REALIZADO"/>
    <s v="FABIANO"/>
    <d v="2025-11-26T00:00:00"/>
    <x v="0"/>
  </r>
  <r>
    <n v="50038517"/>
    <x v="0"/>
    <n v="1"/>
    <s v="REALIZADO"/>
    <s v="FABIANO"/>
    <d v="2025-11-26T00:00:00"/>
    <x v="2"/>
  </r>
  <r>
    <n v="50032781"/>
    <x v="12"/>
    <n v="1"/>
    <s v="REALIZADO"/>
    <s v="KELLY"/>
    <d v="2025-11-26T00:00:00"/>
    <x v="0"/>
  </r>
  <r>
    <n v="50032781"/>
    <x v="12"/>
    <n v="1"/>
    <s v="REALIZADO"/>
    <s v="KELLY"/>
    <d v="2025-11-26T00:00:00"/>
    <x v="2"/>
  </r>
  <r>
    <n v="50030486"/>
    <x v="17"/>
    <n v="1"/>
    <s v="REALIZADO"/>
    <s v="FABIANO"/>
    <d v="2025-11-28T00:00:00"/>
    <x v="0"/>
  </r>
  <r>
    <n v="50030486"/>
    <x v="17"/>
    <n v="1"/>
    <s v="REALIZADO"/>
    <s v="FABIANO"/>
    <d v="2025-11-28T00:00:00"/>
    <x v="2"/>
  </r>
  <r>
    <n v="50038517"/>
    <x v="0"/>
    <n v="1"/>
    <s v="REALIZADO"/>
    <s v="KELLY"/>
    <d v="2025-11-29T00:00:00"/>
    <x v="0"/>
  </r>
  <r>
    <n v="50038517"/>
    <x v="0"/>
    <n v="1"/>
    <s v="REALIZADO"/>
    <s v="KELLY"/>
    <d v="2025-11-29T00:00:00"/>
    <x v="2"/>
  </r>
  <r>
    <n v="50038841"/>
    <x v="34"/>
    <n v="1"/>
    <s v="REALIZADO"/>
    <s v="KELLY"/>
    <d v="2025-11-29T00:00:00"/>
    <x v="0"/>
  </r>
  <r>
    <n v="50038841"/>
    <x v="34"/>
    <n v="1"/>
    <s v="REALIZADO"/>
    <s v="KELLY"/>
    <d v="2025-11-29T00:00:00"/>
    <x v="2"/>
  </r>
  <r>
    <n v="50041195"/>
    <x v="21"/>
    <n v="1"/>
    <s v="REALIZADO"/>
    <s v="KELLY"/>
    <d v="2025-11-30T00:00:00"/>
    <x v="0"/>
  </r>
  <r>
    <n v="50041195"/>
    <x v="21"/>
    <n v="1"/>
    <s v="REALIZADO"/>
    <s v="KELLY"/>
    <d v="2025-11-30T00:00:00"/>
    <x v="2"/>
  </r>
  <r>
    <n v="50037892"/>
    <x v="2"/>
    <n v="1"/>
    <s v="REALIZADO"/>
    <s v="KELLY"/>
    <d v="2025-11-30T00:00:00"/>
    <x v="0"/>
  </r>
  <r>
    <n v="50037892"/>
    <x v="2"/>
    <n v="1"/>
    <s v="REALIZADO"/>
    <s v="KELLY"/>
    <d v="2025-11-30T00:00:00"/>
    <x v="2"/>
  </r>
  <r>
    <n v="50041095"/>
    <x v="15"/>
    <n v="1"/>
    <s v="REALIZADO"/>
    <s v="KELLY"/>
    <d v="2025-11-30T00:00:00"/>
    <x v="0"/>
  </r>
  <r>
    <n v="50041095"/>
    <x v="15"/>
    <n v="1"/>
    <s v="REALIZADO"/>
    <s v="KELLY"/>
    <d v="2025-11-30T00:00:00"/>
    <x v="2"/>
  </r>
  <r>
    <n v="50038956"/>
    <x v="10"/>
    <n v="1"/>
    <s v="REALIZADO"/>
    <s v="KELLY"/>
    <d v="2025-11-30T00:00:00"/>
    <x v="0"/>
  </r>
  <r>
    <n v="50038956"/>
    <x v="10"/>
    <n v="1"/>
    <s v="REALIZADO"/>
    <s v="KELLY"/>
    <d v="2025-11-30T00:00:00"/>
    <x v="2"/>
  </r>
  <r>
    <n v="50037902"/>
    <x v="14"/>
    <n v="1"/>
    <s v="REALIZADO"/>
    <s v="FELIPE"/>
    <d v="2025-12-01T00:00:00"/>
    <x v="0"/>
  </r>
  <r>
    <n v="50037902"/>
    <x v="14"/>
    <n v="1"/>
    <s v="REALIZADO"/>
    <s v="FELIPE"/>
    <d v="2025-12-01T00:00:00"/>
    <x v="2"/>
  </r>
  <r>
    <n v="50004486"/>
    <x v="95"/>
    <n v="1"/>
    <s v="REALIZADO"/>
    <s v="FABIANO"/>
    <d v="2025-12-03T00:00:00"/>
    <x v="0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  <r>
    <m/>
    <x v="1"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4:B10" firstHeaderRow="1" firstDataRow="1" firstDataCol="1" rowPageCount="1" colPageCount="1"/>
  <pivotFields count="11">
    <pivotField showAll="0"/>
    <pivotField showAll="0"/>
    <pivotField showAll="0"/>
    <pivotField showAll="0"/>
    <pivotField showAll="0"/>
    <pivotField axis="axisRow" showAll="0" measureFilter="1" sortType="ascending">
      <items count="127">
        <item x="20"/>
        <item x="83"/>
        <item x="78"/>
        <item x="117"/>
        <item x="107"/>
        <item x="102"/>
        <item x="27"/>
        <item x="69"/>
        <item x="101"/>
        <item x="53"/>
        <item x="63"/>
        <item x="46"/>
        <item x="123"/>
        <item x="37"/>
        <item x="36"/>
        <item x="74"/>
        <item x="73"/>
        <item x="61"/>
        <item x="7"/>
        <item x="111"/>
        <item x="67"/>
        <item x="55"/>
        <item x="104"/>
        <item x="16"/>
        <item x="23"/>
        <item x="25"/>
        <item x="3"/>
        <item x="29"/>
        <item x="28"/>
        <item x="89"/>
        <item x="122"/>
        <item x="96"/>
        <item x="94"/>
        <item x="97"/>
        <item x="11"/>
        <item x="49"/>
        <item x="106"/>
        <item x="64"/>
        <item x="17"/>
        <item x="84"/>
        <item x="115"/>
        <item x="5"/>
        <item x="105"/>
        <item x="8"/>
        <item x="113"/>
        <item x="79"/>
        <item x="9"/>
        <item x="19"/>
        <item x="26"/>
        <item x="70"/>
        <item x="35"/>
        <item x="6"/>
        <item x="85"/>
        <item x="99"/>
        <item x="76"/>
        <item x="119"/>
        <item x="18"/>
        <item x="10"/>
        <item x="2"/>
        <item x="14"/>
        <item x="34"/>
        <item x="0"/>
        <item x="57"/>
        <item x="91"/>
        <item x="52"/>
        <item x="103"/>
        <item x="44"/>
        <item x="22"/>
        <item x="82"/>
        <item x="100"/>
        <item x="72"/>
        <item x="24"/>
        <item x="59"/>
        <item x="93"/>
        <item x="112"/>
        <item x="109"/>
        <item x="50"/>
        <item x="77"/>
        <item m="1" x="125"/>
        <item x="62"/>
        <item x="51"/>
        <item x="21"/>
        <item x="66"/>
        <item x="120"/>
        <item x="32"/>
        <item x="65"/>
        <item x="60"/>
        <item x="42"/>
        <item x="114"/>
        <item x="95"/>
        <item x="40"/>
        <item x="75"/>
        <item x="31"/>
        <item x="118"/>
        <item x="30"/>
        <item x="13"/>
        <item x="98"/>
        <item x="116"/>
        <item x="58"/>
        <item x="45"/>
        <item x="124"/>
        <item x="81"/>
        <item x="71"/>
        <item x="108"/>
        <item x="68"/>
        <item x="12"/>
        <item x="87"/>
        <item x="54"/>
        <item x="41"/>
        <item x="88"/>
        <item x="33"/>
        <item x="110"/>
        <item x="56"/>
        <item x="4"/>
        <item x="47"/>
        <item x="15"/>
        <item x="80"/>
        <item x="43"/>
        <item x="39"/>
        <item x="92"/>
        <item x="48"/>
        <item x="90"/>
        <item x="38"/>
        <item x="121"/>
        <item x="86"/>
        <item x="1"/>
        <item t="default"/>
      </items>
    </pivotField>
    <pivotField dataField="1"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</pivotFields>
  <rowFields count="1">
    <field x="5"/>
  </rowFields>
  <rowItems count="6">
    <i>
      <x v="58"/>
    </i>
    <i>
      <x v="60"/>
    </i>
    <i>
      <x v="61"/>
    </i>
    <i>
      <x v="81"/>
    </i>
    <i>
      <x v="82"/>
    </i>
    <i t="grand">
      <x/>
    </i>
  </rowItems>
  <colItems count="1">
    <i/>
  </colItems>
  <pageFields count="1">
    <pageField fld="10" item="1" hier="-1"/>
  </pageFields>
  <dataFields count="1">
    <dataField name="Contagem de QTD" fld="6" subtotal="count" baseField="5" baseItem="0"/>
  </dataField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3:B129" firstHeaderRow="1" firstDataRow="1" firstDataCol="1" rowPageCount="1" colPageCount="1"/>
  <pivotFields count="7">
    <pivotField showAll="0"/>
    <pivotField axis="axisRow" showAll="0">
      <items count="127">
        <item x="20"/>
        <item x="83"/>
        <item x="78"/>
        <item x="117"/>
        <item x="107"/>
        <item x="102"/>
        <item x="27"/>
        <item x="69"/>
        <item x="101"/>
        <item x="53"/>
        <item x="63"/>
        <item x="46"/>
        <item x="123"/>
        <item x="37"/>
        <item x="36"/>
        <item x="74"/>
        <item x="73"/>
        <item x="61"/>
        <item x="7"/>
        <item x="111"/>
        <item x="67"/>
        <item x="55"/>
        <item x="104"/>
        <item x="16"/>
        <item x="25"/>
        <item x="3"/>
        <item x="29"/>
        <item x="28"/>
        <item x="89"/>
        <item x="122"/>
        <item x="96"/>
        <item x="94"/>
        <item x="97"/>
        <item x="11"/>
        <item x="49"/>
        <item x="106"/>
        <item x="64"/>
        <item x="17"/>
        <item x="84"/>
        <item x="115"/>
        <item x="5"/>
        <item x="105"/>
        <item x="8"/>
        <item x="113"/>
        <item x="79"/>
        <item x="9"/>
        <item x="26"/>
        <item x="70"/>
        <item x="35"/>
        <item x="6"/>
        <item x="85"/>
        <item x="99"/>
        <item x="76"/>
        <item x="119"/>
        <item x="18"/>
        <item x="10"/>
        <item x="2"/>
        <item x="14"/>
        <item x="34"/>
        <item x="0"/>
        <item x="57"/>
        <item x="91"/>
        <item x="52"/>
        <item x="103"/>
        <item x="44"/>
        <item x="22"/>
        <item x="82"/>
        <item x="100"/>
        <item x="72"/>
        <item x="24"/>
        <item x="59"/>
        <item x="93"/>
        <item x="112"/>
        <item x="109"/>
        <item x="50"/>
        <item x="77"/>
        <item x="62"/>
        <item x="51"/>
        <item x="21"/>
        <item x="66"/>
        <item x="120"/>
        <item x="32"/>
        <item x="65"/>
        <item x="60"/>
        <item x="42"/>
        <item x="114"/>
        <item x="95"/>
        <item x="40"/>
        <item x="75"/>
        <item x="31"/>
        <item x="118"/>
        <item x="30"/>
        <item x="13"/>
        <item x="98"/>
        <item x="116"/>
        <item x="58"/>
        <item x="45"/>
        <item x="124"/>
        <item x="81"/>
        <item x="71"/>
        <item x="108"/>
        <item x="68"/>
        <item x="12"/>
        <item x="87"/>
        <item x="54"/>
        <item x="41"/>
        <item x="88"/>
        <item x="33"/>
        <item x="110"/>
        <item x="56"/>
        <item x="4"/>
        <item x="47"/>
        <item x="15"/>
        <item x="80"/>
        <item x="43"/>
        <item x="39"/>
        <item x="92"/>
        <item x="48"/>
        <item x="90"/>
        <item x="38"/>
        <item x="121"/>
        <item x="86"/>
        <item x="1"/>
        <item m="1" x="125"/>
        <item x="19"/>
        <item x="23"/>
        <item t="default"/>
      </items>
    </pivotField>
    <pivotField dataField="1"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</pivotFields>
  <rowFields count="1">
    <field x="1"/>
  </rowFields>
  <row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 t="grand">
      <x/>
    </i>
  </rowItems>
  <colItems count="1">
    <i/>
  </colItems>
  <pageFields count="1">
    <pageField fld="6" hier="-1"/>
  </pageFields>
  <dataFields count="1">
    <dataField name="Contagem de QTD" fld="2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3:B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QTD" fld="6" subtotal="count" showDataAs="percentOfTotal" baseField="10" baseItem="0" numFmtId="10"/>
  </dataField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3:B9" firstHeaderRow="1" firstDataRow="1" firstDataCol="1"/>
  <pivotFields count="14">
    <pivotField showAll="0"/>
    <pivotField axis="axisRow" showAll="0" measureFilter="1">
      <items count="128">
        <item x="119"/>
        <item x="110"/>
        <item x="109"/>
        <item x="54"/>
        <item x="52"/>
        <item x="67"/>
        <item x="79"/>
        <item x="95"/>
        <item x="13"/>
        <item x="14"/>
        <item x="91"/>
        <item x="2"/>
        <item x="42"/>
        <item x="53"/>
        <item x="70"/>
        <item x="26"/>
        <item x="16"/>
        <item x="50"/>
        <item x="35"/>
        <item x="125"/>
        <item x="73"/>
        <item x="36"/>
        <item x="51"/>
        <item x="92"/>
        <item x="39"/>
        <item x="120"/>
        <item x="101"/>
        <item x="102"/>
        <item x="9"/>
        <item x="74"/>
        <item x="87"/>
        <item x="78"/>
        <item x="121"/>
        <item x="20"/>
        <item x="21"/>
        <item x="60"/>
        <item x="10"/>
        <item x="47"/>
        <item x="90"/>
        <item x="85"/>
        <item x="69"/>
        <item x="37"/>
        <item x="8"/>
        <item x="15"/>
        <item x="7"/>
        <item x="118"/>
        <item x="19"/>
        <item x="41"/>
        <item x="111"/>
        <item x="80"/>
        <item x="48"/>
        <item x="4"/>
        <item x="105"/>
        <item x="66"/>
        <item x="61"/>
        <item x="32"/>
        <item x="72"/>
        <item x="103"/>
        <item x="18"/>
        <item x="84"/>
        <item x="115"/>
        <item x="58"/>
        <item x="46"/>
        <item x="114"/>
        <item x="57"/>
        <item x="113"/>
        <item x="33"/>
        <item x="59"/>
        <item x="108"/>
        <item x="27"/>
        <item x="116"/>
        <item x="5"/>
        <item x="65"/>
        <item x="94"/>
        <item x="96"/>
        <item x="81"/>
        <item x="123"/>
        <item x="28"/>
        <item x="44"/>
        <item x="100"/>
        <item x="40"/>
        <item x="106"/>
        <item x="97"/>
        <item x="3"/>
        <item x="45"/>
        <item x="68"/>
        <item x="98"/>
        <item x="75"/>
        <item x="6"/>
        <item x="0"/>
        <item x="55"/>
        <item x="22"/>
        <item x="12"/>
        <item x="71"/>
        <item x="43"/>
        <item x="30"/>
        <item x="31"/>
        <item x="64"/>
        <item x="34"/>
        <item x="104"/>
        <item x="38"/>
        <item x="99"/>
        <item x="29"/>
        <item x="17"/>
        <item x="25"/>
        <item x="124"/>
        <item x="112"/>
        <item x="24"/>
        <item x="83"/>
        <item x="89"/>
        <item x="107"/>
        <item x="93"/>
        <item x="62"/>
        <item x="23"/>
        <item x="56"/>
        <item x="88"/>
        <item x="122"/>
        <item x="77"/>
        <item x="49"/>
        <item x="117"/>
        <item x="86"/>
        <item x="1"/>
        <item x="11"/>
        <item x="63"/>
        <item x="76"/>
        <item x="82"/>
        <item x="1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>
      <items count="137">
        <item x="129"/>
        <item m="1" x="130"/>
        <item m="1" x="135"/>
        <item m="1" x="132"/>
        <item m="1" x="134"/>
        <item m="1" x="131"/>
        <item m="1" x="133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1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2"/>
        <item t="default"/>
      </items>
    </pivotField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">
    <i>
      <x v="5"/>
    </i>
    <i>
      <x v="8"/>
    </i>
    <i>
      <x v="11"/>
    </i>
    <i>
      <x v="41"/>
    </i>
    <i>
      <x v="113"/>
    </i>
    <i t="grand">
      <x/>
    </i>
  </rowItems>
  <colItems count="1">
    <i/>
  </colItems>
  <dataFields count="1">
    <dataField name="Contagem de QTD" fld="6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6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A3:D194" firstHeaderRow="0" firstDataRow="1" firstDataCol="1"/>
  <pivotFields count="6">
    <pivotField showAll="0"/>
    <pivotField axis="axisRow" showAll="0" sortType="descending">
      <items count="192">
        <item x="44"/>
        <item x="45"/>
        <item m="1" x="1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dataField="1" showAll="0"/>
    <pivotField dataField="1" showAll="0"/>
    <pivotField showAll="0"/>
  </pivotFields>
  <rowFields count="1">
    <field x="1"/>
  </rowFields>
  <rowItems count="191">
    <i>
      <x v="47"/>
    </i>
    <i>
      <x v="167"/>
    </i>
    <i>
      <x v="131"/>
    </i>
    <i>
      <x v="85"/>
    </i>
    <i>
      <x v="83"/>
    </i>
    <i>
      <x v="82"/>
    </i>
    <i>
      <x v="79"/>
    </i>
    <i>
      <x v="84"/>
    </i>
    <i>
      <x v="86"/>
    </i>
    <i>
      <x v="76"/>
    </i>
    <i>
      <x v="5"/>
    </i>
    <i>
      <x v="80"/>
    </i>
    <i>
      <x v="81"/>
    </i>
    <i>
      <x v="87"/>
    </i>
    <i>
      <x v="142"/>
    </i>
    <i>
      <x v="110"/>
    </i>
    <i>
      <x v="174"/>
    </i>
    <i>
      <x v="16"/>
    </i>
    <i>
      <x v="126"/>
    </i>
    <i>
      <x v="17"/>
    </i>
    <i>
      <x v="158"/>
    </i>
    <i>
      <x v="18"/>
    </i>
    <i>
      <x v="102"/>
    </i>
    <i>
      <x v="19"/>
    </i>
    <i>
      <x v="118"/>
    </i>
    <i>
      <x v="20"/>
    </i>
    <i>
      <x v="134"/>
    </i>
    <i>
      <x v="21"/>
    </i>
    <i>
      <x v="150"/>
    </i>
    <i>
      <x v="22"/>
    </i>
    <i>
      <x v="166"/>
    </i>
    <i>
      <x v="23"/>
    </i>
    <i>
      <x v="98"/>
    </i>
    <i>
      <x v="24"/>
    </i>
    <i>
      <x v="106"/>
    </i>
    <i>
      <x v="25"/>
    </i>
    <i>
      <x v="114"/>
    </i>
    <i>
      <x v="26"/>
    </i>
    <i>
      <x v="122"/>
    </i>
    <i>
      <x v="27"/>
    </i>
    <i>
      <x v="130"/>
    </i>
    <i>
      <x v="28"/>
    </i>
    <i>
      <x v="138"/>
    </i>
    <i>
      <x v="29"/>
    </i>
    <i>
      <x v="146"/>
    </i>
    <i>
      <x v="30"/>
    </i>
    <i>
      <x v="154"/>
    </i>
    <i>
      <x v="31"/>
    </i>
    <i>
      <x v="162"/>
    </i>
    <i>
      <x v="32"/>
    </i>
    <i>
      <x v="170"/>
    </i>
    <i>
      <x v="33"/>
    </i>
    <i>
      <x v="96"/>
    </i>
    <i>
      <x v="34"/>
    </i>
    <i>
      <x v="100"/>
    </i>
    <i>
      <x v="35"/>
    </i>
    <i>
      <x v="104"/>
    </i>
    <i>
      <x v="36"/>
    </i>
    <i>
      <x v="108"/>
    </i>
    <i>
      <x v="37"/>
    </i>
    <i>
      <x v="112"/>
    </i>
    <i>
      <x v="38"/>
    </i>
    <i>
      <x v="116"/>
    </i>
    <i>
      <x v="39"/>
    </i>
    <i>
      <x v="120"/>
    </i>
    <i>
      <x v="40"/>
    </i>
    <i>
      <x v="124"/>
    </i>
    <i>
      <x v="41"/>
    </i>
    <i>
      <x v="128"/>
    </i>
    <i>
      <x v="42"/>
    </i>
    <i>
      <x v="132"/>
    </i>
    <i>
      <x v="43"/>
    </i>
    <i>
      <x v="136"/>
    </i>
    <i>
      <x v="44"/>
    </i>
    <i>
      <x v="140"/>
    </i>
    <i>
      <x v="45"/>
    </i>
    <i>
      <x v="144"/>
    </i>
    <i>
      <x v="46"/>
    </i>
    <i>
      <x v="148"/>
    </i>
    <i>
      <x v="3"/>
    </i>
    <i>
      <x v="152"/>
    </i>
    <i>
      <x v="48"/>
    </i>
    <i>
      <x v="156"/>
    </i>
    <i>
      <x v="49"/>
    </i>
    <i>
      <x v="160"/>
    </i>
    <i>
      <x v="50"/>
    </i>
    <i>
      <x v="164"/>
    </i>
    <i>
      <x v="51"/>
    </i>
    <i>
      <x v="168"/>
    </i>
    <i>
      <x v="52"/>
    </i>
    <i>
      <x v="172"/>
    </i>
    <i>
      <x v="53"/>
    </i>
    <i>
      <x v="190"/>
    </i>
    <i>
      <x v="54"/>
    </i>
    <i>
      <x v="97"/>
    </i>
    <i>
      <x v="55"/>
    </i>
    <i>
      <x v="99"/>
    </i>
    <i>
      <x v="56"/>
    </i>
    <i>
      <x v="101"/>
    </i>
    <i>
      <x v="57"/>
    </i>
    <i>
      <x v="103"/>
    </i>
    <i>
      <x v="58"/>
    </i>
    <i>
      <x v="105"/>
    </i>
    <i>
      <x v="59"/>
    </i>
    <i>
      <x v="107"/>
    </i>
    <i>
      <x v="60"/>
    </i>
    <i>
      <x v="109"/>
    </i>
    <i>
      <x v="61"/>
    </i>
    <i>
      <x v="111"/>
    </i>
    <i>
      <x v="62"/>
    </i>
    <i>
      <x v="113"/>
    </i>
    <i>
      <x v="63"/>
    </i>
    <i>
      <x v="115"/>
    </i>
    <i>
      <x v="64"/>
    </i>
    <i>
      <x v="117"/>
    </i>
    <i>
      <x v="65"/>
    </i>
    <i>
      <x v="119"/>
    </i>
    <i>
      <x v="66"/>
    </i>
    <i>
      <x v="121"/>
    </i>
    <i>
      <x v="67"/>
    </i>
    <i>
      <x v="123"/>
    </i>
    <i>
      <x v="68"/>
    </i>
    <i>
      <x v="125"/>
    </i>
    <i>
      <x v="69"/>
    </i>
    <i>
      <x v="127"/>
    </i>
    <i>
      <x v="70"/>
    </i>
    <i>
      <x v="129"/>
    </i>
    <i>
      <x v="71"/>
    </i>
    <i>
      <x v="13"/>
    </i>
    <i>
      <x v="72"/>
    </i>
    <i>
      <x v="133"/>
    </i>
    <i>
      <x v="73"/>
    </i>
    <i>
      <x v="135"/>
    </i>
    <i>
      <x v="74"/>
    </i>
    <i>
      <x v="137"/>
    </i>
    <i>
      <x v="75"/>
    </i>
    <i>
      <x v="139"/>
    </i>
    <i>
      <x v="4"/>
    </i>
    <i>
      <x v="141"/>
    </i>
    <i>
      <x v="77"/>
    </i>
    <i>
      <x v="143"/>
    </i>
    <i>
      <x v="78"/>
    </i>
    <i>
      <x v="145"/>
    </i>
    <i>
      <x v="1"/>
    </i>
    <i>
      <x v="147"/>
    </i>
    <i>
      <x v="6"/>
    </i>
    <i>
      <x v="149"/>
    </i>
    <i>
      <x v="7"/>
    </i>
    <i>
      <x v="151"/>
    </i>
    <i>
      <x v="8"/>
    </i>
    <i>
      <x v="153"/>
    </i>
    <i>
      <x v="9"/>
    </i>
    <i>
      <x v="155"/>
    </i>
    <i>
      <x v="10"/>
    </i>
    <i>
      <x v="157"/>
    </i>
    <i>
      <x v="11"/>
    </i>
    <i>
      <x v="159"/>
    </i>
    <i>
      <x v="12"/>
    </i>
    <i>
      <x v="161"/>
    </i>
    <i>
      <x v="175"/>
    </i>
    <i>
      <x v="163"/>
    </i>
    <i>
      <x v="176"/>
    </i>
    <i>
      <x v="165"/>
    </i>
    <i>
      <x v="178"/>
    </i>
    <i>
      <x v="14"/>
    </i>
    <i>
      <x v="180"/>
    </i>
    <i>
      <x v="169"/>
    </i>
    <i>
      <x v="182"/>
    </i>
    <i>
      <x v="171"/>
    </i>
    <i>
      <x v="184"/>
    </i>
    <i>
      <x v="173"/>
    </i>
    <i>
      <x v="186"/>
    </i>
    <i>
      <x v="15"/>
    </i>
    <i>
      <x v="188"/>
    </i>
    <i>
      <x v="177"/>
    </i>
    <i>
      <x v="88"/>
    </i>
    <i>
      <x v="179"/>
    </i>
    <i>
      <x v="89"/>
    </i>
    <i>
      <x v="181"/>
    </i>
    <i>
      <x v="90"/>
    </i>
    <i>
      <x v="183"/>
    </i>
    <i>
      <x v="91"/>
    </i>
    <i>
      <x v="185"/>
    </i>
    <i>
      <x v="92"/>
    </i>
    <i>
      <x v="187"/>
    </i>
    <i>
      <x v="93"/>
    </i>
    <i>
      <x v="189"/>
    </i>
    <i>
      <x v="94"/>
    </i>
    <i>
      <x/>
    </i>
    <i>
      <x v="9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ENTRADAS" fld="3" baseField="0" baseItem="0"/>
    <dataField name="Soma de SAÍDAS" fld="4" baseField="0" baseItem="0"/>
    <dataField name="Soma de QUANTIDADE EM ESTOQU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5000000}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5">
  <location ref="M3:W6" firstHeaderRow="1" firstDataRow="2" firstDataCol="1"/>
  <pivotFields count="14">
    <pivotField showAll="0"/>
    <pivotField showAll="0"/>
    <pivotField showAll="0"/>
    <pivotField axis="axisRow" showAll="0">
      <items count="8">
        <item x="0"/>
        <item h="1" x="1"/>
        <item h="1" x="2"/>
        <item h="1" x="3"/>
        <item h="1" x="5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>
      <items count="137">
        <item m="1" x="132"/>
        <item m="1" x="134"/>
        <item m="1" x="131"/>
        <item x="1"/>
        <item m="1" x="135"/>
        <item m="1" x="130"/>
        <item m="1" x="133"/>
        <item x="71"/>
        <item x="65"/>
        <item x="66"/>
        <item x="67"/>
        <item x="68"/>
        <item x="69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70"/>
        <item x="45"/>
        <item x="41"/>
        <item x="42"/>
        <item x="129"/>
        <item x="43"/>
        <item x="44"/>
        <item x="46"/>
        <item x="47"/>
        <item x="48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56"/>
        <item x="49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2"/>
        <item t="default"/>
      </items>
    </pivotField>
    <pivotField showAll="0"/>
    <pivotField axis="axisCol" dataField="1" showAll="0">
      <items count="16">
        <item m="1" x="14"/>
        <item m="1" x="13"/>
        <item x="1"/>
        <item x="0"/>
        <item x="4"/>
        <item x="9"/>
        <item x="10"/>
        <item x="12"/>
        <item x="11"/>
        <item x="8"/>
        <item x="2"/>
        <item x="3"/>
        <item x="5"/>
        <item x="6"/>
        <item x="7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2">
    <i>
      <x/>
    </i>
    <i t="grand">
      <x/>
    </i>
  </rowItems>
  <colFields count="1">
    <field x="11"/>
  </colFields>
  <colItems count="10">
    <i>
      <x v="2"/>
    </i>
    <i>
      <x v="3"/>
    </i>
    <i>
      <x v="4"/>
    </i>
    <i>
      <x v="5"/>
    </i>
    <i>
      <x v="7"/>
    </i>
    <i>
      <x v="9"/>
    </i>
    <i>
      <x v="10"/>
    </i>
    <i>
      <x v="13"/>
    </i>
    <i>
      <x v="14"/>
    </i>
    <i t="grand">
      <x/>
    </i>
  </colItems>
  <dataFields count="1">
    <dataField name="Contagem de OBSERVAÇÃO" fld="11" subtotal="count" baseField="0" baseItem="0"/>
  </dataFields>
  <chartFormats count="12"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1" count="1" selected="0">
            <x v="3"/>
          </reference>
        </references>
      </pivotArea>
    </chartFormat>
    <chartFormat chart="2" format="13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1" count="1" selected="0">
            <x v="4"/>
          </reference>
        </references>
      </pivotArea>
    </chartFormat>
    <chartFormat chart="2" format="14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11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7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8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9">
  <location ref="H3:K11" firstHeaderRow="1" firstDataRow="2" firstDataCol="1"/>
  <pivotFields count="14"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137">
        <item m="1" x="132"/>
        <item m="1" x="134"/>
        <item m="1" x="131"/>
        <item h="1" x="1"/>
        <item h="1" m="1" x="135"/>
        <item h="1" m="1" x="130"/>
        <item h="1" m="1" x="133"/>
        <item h="1" x="71"/>
        <item h="1" x="65"/>
        <item h="1" x="66"/>
        <item h="1" x="67"/>
        <item h="1" x="68"/>
        <item h="1" x="69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70"/>
        <item h="1" x="45"/>
        <item h="1" x="41"/>
        <item h="1" x="42"/>
        <item h="1" x="129"/>
        <item h="1" x="43"/>
        <item h="1" x="44"/>
        <item h="1" x="46"/>
        <item h="1" x="47"/>
        <item h="1" x="48"/>
        <item h="1" x="50"/>
        <item h="1" x="51"/>
        <item h="1" x="52"/>
        <item h="1" x="53"/>
        <item h="1" x="54"/>
        <item h="1" x="55"/>
        <item h="1" x="57"/>
        <item h="1" x="58"/>
        <item h="1" x="59"/>
        <item h="1" x="60"/>
        <item h="1" x="61"/>
        <item h="1" x="62"/>
        <item h="1" x="63"/>
        <item h="1" x="64"/>
        <item h="1" x="56"/>
        <item h="1" x="49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2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axis="axisRow" showAll="0">
      <items count="15">
        <item h="1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</pivotFields>
  <rowFields count="1">
    <field x="13"/>
  </rowFields>
  <rowItems count="7">
    <i>
      <x v="1"/>
    </i>
    <i>
      <x v="8"/>
    </i>
    <i>
      <x v="9"/>
    </i>
    <i>
      <x v="10"/>
    </i>
    <i>
      <x v="11"/>
    </i>
    <i>
      <x v="12"/>
    </i>
    <i t="grand">
      <x/>
    </i>
  </rowItems>
  <colFields count="1">
    <field x="10"/>
  </colFields>
  <colItems count="3">
    <i>
      <x/>
    </i>
    <i>
      <x v="1"/>
    </i>
    <i t="grand">
      <x/>
    </i>
  </colItems>
  <dataFields count="1">
    <dataField name="Soma de QTD" fld="6" baseField="0" baseItem="0"/>
  </dataFields>
  <chartFormats count="2"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13" displayName="Tabela13" ref="B2:G201" totalsRowShown="0" headerRowDxfId="2253" dataDxfId="2252">
  <autoFilter ref="B2:G201" xr:uid="{00000000-0009-0000-0100-000002000000}"/>
  <sortState xmlns:xlrd2="http://schemas.microsoft.com/office/spreadsheetml/2017/richdata2" ref="B3:G201">
    <sortCondition descending="1" ref="C2:C201"/>
  </sortState>
  <tableColumns count="6">
    <tableColumn id="2" xr3:uid="{00000000-0010-0000-0000-000002000000}" name="MATERIAL" dataDxfId="2251"/>
    <tableColumn id="3" xr3:uid="{00000000-0010-0000-0000-000003000000}" name="DESCRIÇÃO" dataDxfId="2250"/>
    <tableColumn id="5" xr3:uid="{00000000-0010-0000-0000-000005000000}" name="QUANTIDADE EM ESTOQUE" dataDxfId="2249"/>
    <tableColumn id="6" xr3:uid="{00000000-0010-0000-0000-000006000000}" name="ENTRADAS" dataDxfId="2248">
      <calculatedColumnFormula>SUMIFS(Relatorio!G:G,Relatorio!E:E,Tabela13[[#This Row],[MATERIAL]],Relatorio!K:K,"Entrada")</calculatedColumnFormula>
    </tableColumn>
    <tableColumn id="7" xr3:uid="{00000000-0010-0000-0000-000007000000}" name="SAÍDAS" dataDxfId="2247">
      <calculatedColumnFormula>SUMIFS(Relatorio!G:G,Relatorio!E:E,Tabela13[[#This Row],[MATERIAL]],Relatorio!K:K,"Saida")</calculatedColumnFormula>
    </tableColumn>
    <tableColumn id="8" xr3:uid="{00000000-0010-0000-0000-000008000000}" name="ESTOQUE FINAL" dataDxfId="2246">
      <calculatedColumnFormula>(Tabela13[[#This Row],[ENTRADAS]]-Tabela13[[#This Row],[SAÍDAS]])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3F7373"/>
  </sheetPr>
  <dimension ref="A1:EB622"/>
  <sheetViews>
    <sheetView topLeftCell="B13" zoomScale="40" zoomScaleNormal="40" workbookViewId="0">
      <selection activeCell="AE31" sqref="AE31"/>
    </sheetView>
  </sheetViews>
  <sheetFormatPr defaultColWidth="9.109375" defaultRowHeight="14.4"/>
  <cols>
    <col min="1" max="1" width="9.109375" style="42"/>
    <col min="2" max="2" width="9.109375" style="43"/>
    <col min="3" max="3" width="5.33203125" style="44" customWidth="1"/>
    <col min="4" max="7" width="9.109375" style="18"/>
    <col min="8" max="8" width="9.109375" style="18" customWidth="1"/>
    <col min="9" max="10" width="9.109375" style="18"/>
    <col min="11" max="11" width="22.5546875" style="18" customWidth="1"/>
    <col min="12" max="12" width="8.5546875" style="18" customWidth="1"/>
    <col min="13" max="24" width="9.109375" style="18"/>
    <col min="25" max="25" width="17.5546875" style="18" customWidth="1"/>
    <col min="26" max="26" width="9.109375" style="18"/>
    <col min="27" max="27" width="7.109375" style="18" customWidth="1"/>
    <col min="28" max="28" width="10.44140625" style="18" customWidth="1"/>
    <col min="29" max="16384" width="9.109375" style="18"/>
  </cols>
  <sheetData>
    <row r="1" spans="1:132" ht="15" customHeight="1">
      <c r="A1" s="78" t="s">
        <v>343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</row>
    <row r="2" spans="1:132" ht="15" customHeigh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</row>
    <row r="3" spans="1:132" ht="15" customHeight="1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</row>
    <row r="4" spans="1:132" ht="15" customHeight="1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</row>
    <row r="5" spans="1:132" ht="15" customHeight="1">
      <c r="A5" s="78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</row>
    <row r="6" spans="1:132" ht="15" customHeight="1">
      <c r="A6" s="78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</row>
    <row r="7" spans="1:132" ht="15" customHeight="1">
      <c r="A7" s="78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</row>
    <row r="8" spans="1:132" ht="15" customHeight="1">
      <c r="A8" s="7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</row>
    <row r="9" spans="1:132" ht="15" customHeight="1">
      <c r="A9" s="78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</row>
    <row r="10" spans="1:132" ht="15" customHeight="1">
      <c r="A10" s="78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</row>
    <row r="11" spans="1:132"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</row>
    <row r="12" spans="1:132"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</row>
    <row r="13" spans="1:132"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</row>
    <row r="14" spans="1:132"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</row>
    <row r="15" spans="1:132"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</row>
    <row r="16" spans="1:132"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</row>
    <row r="17" spans="4:132"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</row>
    <row r="18" spans="4:132"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</row>
    <row r="19" spans="4:132"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</row>
    <row r="20" spans="4:132"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</row>
    <row r="21" spans="4:132"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</row>
    <row r="22" spans="4:132"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</row>
    <row r="23" spans="4:132"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</row>
    <row r="24" spans="4:132"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</row>
    <row r="25" spans="4:132"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</row>
    <row r="26" spans="4:132"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</row>
    <row r="27" spans="4:132"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</row>
    <row r="28" spans="4:132"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</row>
    <row r="29" spans="4:132"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</row>
    <row r="30" spans="4:132"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</row>
    <row r="31" spans="4:132"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</row>
    <row r="32" spans="4:132"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</row>
    <row r="33" spans="4:132"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</row>
    <row r="34" spans="4:132"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</row>
    <row r="35" spans="4:132"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</row>
    <row r="36" spans="4:132"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</row>
    <row r="37" spans="4:132"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</row>
    <row r="38" spans="4:132"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</row>
    <row r="39" spans="4:132"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</row>
    <row r="40" spans="4:132"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</row>
    <row r="41" spans="4:132"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</row>
    <row r="42" spans="4:132"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</row>
    <row r="43" spans="4:132"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</row>
    <row r="44" spans="4:132"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</row>
    <row r="45" spans="4:132"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</row>
    <row r="46" spans="4:132"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</row>
    <row r="47" spans="4:132"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</row>
    <row r="48" spans="4:132"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</row>
    <row r="49" spans="4:132"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</row>
    <row r="50" spans="4:132"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</row>
    <row r="51" spans="4:132"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</row>
    <row r="52" spans="4:132"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</row>
    <row r="53" spans="4:132"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</row>
    <row r="54" spans="4:132"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</row>
    <row r="55" spans="4:132"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</row>
    <row r="56" spans="4:132"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</row>
    <row r="57" spans="4:132"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</row>
    <row r="58" spans="4:132"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</row>
    <row r="59" spans="4:132"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</row>
    <row r="60" spans="4:132"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</row>
    <row r="61" spans="4:132"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</row>
    <row r="62" spans="4:132"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</row>
    <row r="63" spans="4:132"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</row>
    <row r="64" spans="4:132"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</row>
    <row r="65" spans="4:132"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</row>
    <row r="66" spans="4:132"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</row>
    <row r="67" spans="4:132"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</row>
    <row r="68" spans="4:132"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</row>
    <row r="69" spans="4:132"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</row>
    <row r="70" spans="4:132"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</row>
    <row r="71" spans="4:132"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</row>
    <row r="72" spans="4:132"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</row>
    <row r="73" spans="4:132"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</row>
    <row r="74" spans="4:132"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</row>
    <row r="75" spans="4:132"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</row>
    <row r="76" spans="4:132"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</row>
    <row r="77" spans="4:132"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</row>
    <row r="78" spans="4:132"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</row>
    <row r="79" spans="4:132"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</row>
    <row r="80" spans="4:132"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</row>
    <row r="81" spans="4:132"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</row>
    <row r="82" spans="4:132"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</row>
    <row r="83" spans="4:132"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</row>
    <row r="84" spans="4:132"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</row>
    <row r="85" spans="4:132"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</row>
    <row r="86" spans="4:132"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</row>
    <row r="87" spans="4:132"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</row>
    <row r="88" spans="4:132"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</row>
    <row r="89" spans="4:132"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</row>
    <row r="90" spans="4:132"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</row>
    <row r="91" spans="4:132"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</row>
    <row r="92" spans="4:132"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</row>
    <row r="93" spans="4:132"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</row>
    <row r="94" spans="4:132"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</row>
    <row r="95" spans="4:132"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</row>
    <row r="96" spans="4:132"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</row>
    <row r="97" spans="4:132"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</row>
    <row r="98" spans="4:132"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</row>
    <row r="99" spans="4:132"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</row>
    <row r="100" spans="4:132"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</row>
    <row r="101" spans="4:132"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</row>
    <row r="102" spans="4:132"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</row>
    <row r="103" spans="4:132"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</row>
    <row r="104" spans="4:132"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</row>
    <row r="105" spans="4:132"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</row>
    <row r="106" spans="4:132"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</row>
    <row r="107" spans="4:132"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</row>
    <row r="108" spans="4:132"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</row>
    <row r="109" spans="4:132"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</row>
    <row r="110" spans="4:132"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</row>
    <row r="111" spans="4:132"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</row>
    <row r="112" spans="4:132"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</row>
    <row r="113" spans="4:132"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</row>
    <row r="114" spans="4:132"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</row>
    <row r="115" spans="4:132"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</row>
    <row r="116" spans="4:132"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</row>
    <row r="117" spans="4:132"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</row>
    <row r="118" spans="4:132"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</row>
    <row r="119" spans="4:132"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</row>
    <row r="120" spans="4:132"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</row>
    <row r="121" spans="4:132"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</row>
    <row r="122" spans="4:132"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</row>
    <row r="123" spans="4:132"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</row>
    <row r="124" spans="4:132"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</row>
    <row r="125" spans="4:132"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</row>
    <row r="126" spans="4:132"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</row>
    <row r="127" spans="4:132"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</row>
    <row r="128" spans="4:132"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</row>
    <row r="129" spans="4:132"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</row>
    <row r="130" spans="4:132"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</row>
    <row r="131" spans="4:132"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</row>
    <row r="132" spans="4:132"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</row>
    <row r="133" spans="4:132"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</row>
    <row r="134" spans="4:132"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</row>
    <row r="135" spans="4:132"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</row>
    <row r="136" spans="4:132"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</row>
    <row r="137" spans="4:132"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</row>
    <row r="138" spans="4:132"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</row>
    <row r="139" spans="4:132"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</row>
    <row r="140" spans="4:132"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</row>
    <row r="141" spans="4:132"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/>
      <c r="BM141" s="40"/>
      <c r="BN141" s="40"/>
      <c r="BO141" s="40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</row>
    <row r="142" spans="4:132"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</row>
    <row r="143" spans="4:132"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</row>
    <row r="144" spans="4:132"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</row>
    <row r="145" spans="4:132"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</row>
    <row r="146" spans="4:132"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</row>
    <row r="147" spans="4:132"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</row>
    <row r="148" spans="4:132"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</row>
    <row r="149" spans="4:132"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</row>
    <row r="150" spans="4:132"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</row>
    <row r="151" spans="4:132"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</row>
    <row r="152" spans="4:132"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</row>
    <row r="153" spans="4:132"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</row>
    <row r="154" spans="4:132"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</row>
    <row r="155" spans="4:132"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</row>
    <row r="156" spans="4:132"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</row>
    <row r="157" spans="4:132"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</row>
    <row r="158" spans="4:132"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</row>
    <row r="159" spans="4:132"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</row>
    <row r="160" spans="4:132"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</row>
    <row r="161" spans="4:132"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</row>
    <row r="162" spans="4:132"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</row>
    <row r="163" spans="4:132"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</row>
    <row r="164" spans="4:132"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</row>
    <row r="165" spans="4:132"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14"/>
      <c r="DQ165" s="14"/>
      <c r="DR165" s="14"/>
      <c r="DS165" s="14"/>
      <c r="DT165" s="14"/>
      <c r="DU165" s="14"/>
      <c r="DV165" s="14"/>
      <c r="DW165" s="14"/>
      <c r="DX165" s="14"/>
      <c r="DY165" s="14"/>
      <c r="DZ165" s="14"/>
      <c r="EA165" s="14"/>
      <c r="EB165" s="14"/>
    </row>
    <row r="166" spans="4:132"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14"/>
      <c r="DQ166" s="14"/>
      <c r="DR166" s="14"/>
      <c r="DS166" s="14"/>
      <c r="DT166" s="14"/>
      <c r="DU166" s="14"/>
      <c r="DV166" s="14"/>
      <c r="DW166" s="14"/>
      <c r="DX166" s="14"/>
      <c r="DY166" s="14"/>
      <c r="DZ166" s="14"/>
      <c r="EA166" s="14"/>
      <c r="EB166" s="14"/>
    </row>
    <row r="167" spans="4:132"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</row>
    <row r="168" spans="4:132"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</row>
    <row r="169" spans="4:132">
      <c r="D169" s="40"/>
      <c r="E169" s="40"/>
      <c r="F169" s="40"/>
      <c r="G169" s="40"/>
      <c r="H169" s="40"/>
      <c r="I169" s="40"/>
      <c r="J169" s="40"/>
      <c r="K169" s="40" t="e">
        <f>+ma</f>
        <v>#NAME?</v>
      </c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</row>
    <row r="170" spans="4:132"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14"/>
      <c r="DQ170" s="14"/>
      <c r="DR170" s="14"/>
      <c r="DS170" s="14"/>
      <c r="DT170" s="14"/>
      <c r="DU170" s="14"/>
      <c r="DV170" s="14"/>
      <c r="DW170" s="14"/>
      <c r="DX170" s="14"/>
      <c r="DY170" s="14"/>
      <c r="DZ170" s="14"/>
      <c r="EA170" s="14"/>
      <c r="EB170" s="14"/>
    </row>
    <row r="171" spans="4:132"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14"/>
      <c r="DQ171" s="14"/>
      <c r="DR171" s="14"/>
      <c r="DS171" s="14"/>
      <c r="DT171" s="14"/>
      <c r="DU171" s="14"/>
      <c r="DV171" s="14"/>
      <c r="DW171" s="14"/>
      <c r="DX171" s="14"/>
      <c r="DY171" s="14"/>
      <c r="DZ171" s="14"/>
      <c r="EA171" s="14"/>
      <c r="EB171" s="14"/>
    </row>
    <row r="172" spans="4:132"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14"/>
      <c r="DQ172" s="14"/>
      <c r="DR172" s="14"/>
      <c r="DS172" s="14"/>
      <c r="DT172" s="14"/>
      <c r="DU172" s="14"/>
      <c r="DV172" s="14"/>
      <c r="DW172" s="14"/>
      <c r="DX172" s="14"/>
      <c r="DY172" s="14"/>
      <c r="DZ172" s="14"/>
      <c r="EA172" s="14"/>
      <c r="EB172" s="14"/>
    </row>
    <row r="173" spans="4:132"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14"/>
      <c r="CT173" s="14"/>
      <c r="CU173" s="14"/>
      <c r="CV173" s="14"/>
      <c r="CW173" s="14"/>
      <c r="CX173" s="14"/>
      <c r="CY173" s="14"/>
      <c r="CZ173" s="14"/>
      <c r="DA173" s="14"/>
      <c r="DB173" s="14"/>
      <c r="DC173" s="14"/>
      <c r="DD173" s="14"/>
      <c r="DE173" s="14"/>
      <c r="DF173" s="14"/>
      <c r="DG173" s="14"/>
      <c r="DH173" s="14"/>
      <c r="DI173" s="14"/>
      <c r="DJ173" s="14"/>
      <c r="DK173" s="14"/>
      <c r="DL173" s="14"/>
      <c r="DM173" s="14"/>
      <c r="DN173" s="14"/>
      <c r="DO173" s="14"/>
      <c r="DP173" s="14"/>
      <c r="DQ173" s="14"/>
      <c r="DR173" s="14"/>
      <c r="DS173" s="14"/>
      <c r="DT173" s="14"/>
      <c r="DU173" s="14"/>
      <c r="DV173" s="14"/>
      <c r="DW173" s="14"/>
      <c r="DX173" s="14"/>
      <c r="DY173" s="14"/>
      <c r="DZ173" s="14"/>
      <c r="EA173" s="14"/>
      <c r="EB173" s="14"/>
    </row>
    <row r="174" spans="4:132"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14"/>
      <c r="DQ174" s="14"/>
      <c r="DR174" s="14"/>
      <c r="DS174" s="14"/>
      <c r="DT174" s="14"/>
      <c r="DU174" s="14"/>
      <c r="DV174" s="14"/>
      <c r="DW174" s="14"/>
      <c r="DX174" s="14"/>
      <c r="DY174" s="14"/>
      <c r="DZ174" s="14"/>
      <c r="EA174" s="14"/>
      <c r="EB174" s="14"/>
    </row>
    <row r="175" spans="4:132"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14"/>
      <c r="CT175" s="14"/>
      <c r="CU175" s="14"/>
      <c r="CV175" s="14"/>
      <c r="CW175" s="14"/>
      <c r="CX175" s="14"/>
      <c r="CY175" s="14"/>
      <c r="CZ175" s="14"/>
      <c r="DA175" s="14"/>
      <c r="DB175" s="14"/>
      <c r="DC175" s="14"/>
      <c r="DD175" s="14"/>
      <c r="DE175" s="14"/>
      <c r="DF175" s="14"/>
      <c r="DG175" s="14"/>
      <c r="DH175" s="14"/>
      <c r="DI175" s="14"/>
      <c r="DJ175" s="14"/>
      <c r="DK175" s="14"/>
      <c r="DL175" s="14"/>
      <c r="DM175" s="14"/>
      <c r="DN175" s="14"/>
      <c r="DO175" s="14"/>
      <c r="DP175" s="14"/>
      <c r="DQ175" s="14"/>
      <c r="DR175" s="14"/>
      <c r="DS175" s="14"/>
      <c r="DT175" s="14"/>
      <c r="DU175" s="14"/>
      <c r="DV175" s="14"/>
      <c r="DW175" s="14"/>
      <c r="DX175" s="14"/>
      <c r="DY175" s="14"/>
      <c r="DZ175" s="14"/>
      <c r="EA175" s="14"/>
      <c r="EB175" s="14"/>
    </row>
    <row r="176" spans="4:132"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</row>
    <row r="177" spans="3:132"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</row>
    <row r="178" spans="3:132"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14"/>
      <c r="CT178" s="14"/>
      <c r="CU178" s="14"/>
      <c r="CV178" s="14"/>
      <c r="CW178" s="14"/>
      <c r="CX178" s="14"/>
      <c r="CY178" s="14"/>
      <c r="CZ178" s="14"/>
      <c r="DA178" s="14"/>
      <c r="DB178" s="14"/>
      <c r="DC178" s="14"/>
      <c r="DD178" s="14"/>
      <c r="DE178" s="14"/>
      <c r="DF178" s="14"/>
      <c r="DG178" s="14"/>
      <c r="DH178" s="14"/>
      <c r="DI178" s="14"/>
      <c r="DJ178" s="14"/>
      <c r="DK178" s="14"/>
      <c r="DL178" s="14"/>
      <c r="DM178" s="14"/>
      <c r="DN178" s="14"/>
      <c r="DO178" s="14"/>
      <c r="DP178" s="14"/>
      <c r="DQ178" s="14"/>
      <c r="DR178" s="14"/>
      <c r="DS178" s="14"/>
      <c r="DT178" s="14"/>
      <c r="DU178" s="14"/>
      <c r="DV178" s="14"/>
      <c r="DW178" s="14"/>
      <c r="DX178" s="14"/>
      <c r="DY178" s="14"/>
      <c r="DZ178" s="14"/>
      <c r="EA178" s="14"/>
      <c r="EB178" s="14"/>
    </row>
    <row r="179" spans="3:132"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14"/>
      <c r="CT179" s="14"/>
      <c r="CU179" s="14"/>
      <c r="CV179" s="14"/>
      <c r="CW179" s="14"/>
      <c r="CX179" s="14"/>
      <c r="CY179" s="14"/>
      <c r="CZ179" s="14"/>
      <c r="DA179" s="14"/>
      <c r="DB179" s="14"/>
      <c r="DC179" s="14"/>
      <c r="DD179" s="14"/>
      <c r="DE179" s="14"/>
      <c r="DF179" s="14"/>
      <c r="DG179" s="14"/>
      <c r="DH179" s="14"/>
      <c r="DI179" s="14"/>
      <c r="DJ179" s="14"/>
      <c r="DK179" s="14"/>
      <c r="DL179" s="14"/>
      <c r="DM179" s="14"/>
      <c r="DN179" s="14"/>
      <c r="DO179" s="14"/>
      <c r="DP179" s="14"/>
      <c r="DQ179" s="14"/>
      <c r="DR179" s="14"/>
      <c r="DS179" s="14"/>
      <c r="DT179" s="14"/>
      <c r="DU179" s="14"/>
      <c r="DV179" s="14"/>
      <c r="DW179" s="14"/>
      <c r="DX179" s="14"/>
      <c r="DY179" s="14"/>
      <c r="DZ179" s="14"/>
      <c r="EA179" s="14"/>
      <c r="EB179" s="14"/>
    </row>
    <row r="180" spans="3:132"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14"/>
      <c r="CT180" s="14"/>
      <c r="CU180" s="14"/>
      <c r="CV180" s="14"/>
      <c r="CW180" s="14"/>
      <c r="CX180" s="14"/>
      <c r="CY180" s="14"/>
      <c r="CZ180" s="14"/>
      <c r="DA180" s="14"/>
      <c r="DB180" s="14"/>
      <c r="DC180" s="14"/>
      <c r="DD180" s="14"/>
      <c r="DE180" s="14"/>
      <c r="DF180" s="14"/>
      <c r="DG180" s="14"/>
      <c r="DH180" s="14"/>
      <c r="DI180" s="14"/>
      <c r="DJ180" s="14"/>
      <c r="DK180" s="14"/>
      <c r="DL180" s="14"/>
      <c r="DM180" s="14"/>
      <c r="DN180" s="14"/>
      <c r="DO180" s="14"/>
      <c r="DP180" s="14"/>
      <c r="DQ180" s="14"/>
      <c r="DR180" s="14"/>
      <c r="DS180" s="14"/>
      <c r="DT180" s="14"/>
      <c r="DU180" s="14"/>
      <c r="DV180" s="14"/>
      <c r="DW180" s="14"/>
      <c r="DX180" s="14"/>
      <c r="DY180" s="14"/>
      <c r="DZ180" s="14"/>
      <c r="EA180" s="14"/>
      <c r="EB180" s="14"/>
    </row>
    <row r="181" spans="3:132"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14"/>
      <c r="CT181" s="14"/>
      <c r="CU181" s="14"/>
      <c r="CV181" s="14"/>
      <c r="CW181" s="14"/>
      <c r="CX181" s="14"/>
      <c r="CY181" s="14"/>
      <c r="CZ181" s="14"/>
      <c r="DA181" s="14"/>
      <c r="DB181" s="14"/>
      <c r="DC181" s="14"/>
      <c r="DD181" s="14"/>
      <c r="DE181" s="14"/>
      <c r="DF181" s="14"/>
      <c r="DG181" s="14"/>
      <c r="DH181" s="14"/>
      <c r="DI181" s="14"/>
      <c r="DJ181" s="14"/>
      <c r="DK181" s="14"/>
      <c r="DL181" s="14"/>
      <c r="DM181" s="14"/>
      <c r="DN181" s="14"/>
      <c r="DO181" s="14"/>
      <c r="DP181" s="14"/>
      <c r="DQ181" s="14"/>
      <c r="DR181" s="14"/>
      <c r="DS181" s="14"/>
      <c r="DT181" s="14"/>
      <c r="DU181" s="14"/>
      <c r="DV181" s="14"/>
      <c r="DW181" s="14"/>
      <c r="DX181" s="14"/>
      <c r="DY181" s="14"/>
      <c r="DZ181" s="14"/>
      <c r="EA181" s="14"/>
      <c r="EB181" s="14"/>
    </row>
    <row r="182" spans="3:132"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14"/>
      <c r="CT182" s="14"/>
      <c r="CU182" s="14"/>
      <c r="CV182" s="14"/>
      <c r="CW182" s="14"/>
      <c r="CX182" s="14"/>
      <c r="CY182" s="14"/>
      <c r="CZ182" s="14"/>
      <c r="DA182" s="14"/>
      <c r="DB182" s="14"/>
      <c r="DC182" s="14"/>
      <c r="DD182" s="14"/>
      <c r="DE182" s="14"/>
      <c r="DF182" s="14"/>
      <c r="DG182" s="14"/>
      <c r="DH182" s="14"/>
      <c r="DI182" s="14"/>
      <c r="DJ182" s="14"/>
      <c r="DK182" s="14"/>
      <c r="DL182" s="14"/>
      <c r="DM182" s="14"/>
      <c r="DN182" s="14"/>
      <c r="DO182" s="14"/>
      <c r="DP182" s="14"/>
      <c r="DQ182" s="14"/>
      <c r="DR182" s="14"/>
      <c r="DS182" s="14"/>
      <c r="DT182" s="14"/>
      <c r="DU182" s="14"/>
      <c r="DV182" s="14"/>
      <c r="DW182" s="14"/>
      <c r="DX182" s="14"/>
      <c r="DY182" s="14"/>
      <c r="DZ182" s="14"/>
      <c r="EA182" s="14"/>
      <c r="EB182" s="14"/>
    </row>
    <row r="183" spans="3:132">
      <c r="C183" s="44" t="e">
        <f>MAX(#REF!)</f>
        <v>#REF!</v>
      </c>
      <c r="D183" s="40" t="e">
        <f>INDEX(#REF!,MATCH(#REF!,#REF!,0))</f>
        <v>#REF!</v>
      </c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14"/>
      <c r="CT183" s="14"/>
      <c r="CU183" s="14"/>
      <c r="CV183" s="14"/>
      <c r="CW183" s="14"/>
      <c r="CX183" s="14"/>
      <c r="CY183" s="14"/>
      <c r="CZ183" s="14"/>
      <c r="DA183" s="14"/>
      <c r="DB183" s="14"/>
      <c r="DC183" s="14"/>
      <c r="DD183" s="14"/>
      <c r="DE183" s="14"/>
      <c r="DF183" s="14"/>
      <c r="DG183" s="14"/>
      <c r="DH183" s="14"/>
      <c r="DI183" s="14"/>
      <c r="DJ183" s="14"/>
      <c r="DK183" s="14"/>
      <c r="DL183" s="14"/>
      <c r="DM183" s="14"/>
      <c r="DN183" s="14"/>
      <c r="DO183" s="14"/>
      <c r="DP183" s="14"/>
      <c r="DQ183" s="14"/>
      <c r="DR183" s="14"/>
      <c r="DS183" s="14"/>
      <c r="DT183" s="14"/>
      <c r="DU183" s="14"/>
      <c r="DV183" s="14"/>
      <c r="DW183" s="14"/>
      <c r="DX183" s="14"/>
      <c r="DY183" s="14"/>
      <c r="DZ183" s="14"/>
      <c r="EA183" s="14"/>
      <c r="EB183" s="14"/>
    </row>
    <row r="184" spans="3:132"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14"/>
      <c r="CT184" s="14"/>
      <c r="CU184" s="14"/>
      <c r="CV184" s="14"/>
      <c r="CW184" s="14"/>
      <c r="CX184" s="14"/>
      <c r="CY184" s="14"/>
      <c r="CZ184" s="14"/>
      <c r="DA184" s="14"/>
      <c r="DB184" s="14"/>
      <c r="DC184" s="14"/>
      <c r="DD184" s="14"/>
      <c r="DE184" s="14"/>
      <c r="DF184" s="14"/>
      <c r="DG184" s="14"/>
      <c r="DH184" s="14"/>
      <c r="DI184" s="14"/>
      <c r="DJ184" s="14"/>
      <c r="DK184" s="14"/>
      <c r="DL184" s="14"/>
      <c r="DM184" s="14"/>
      <c r="DN184" s="14"/>
      <c r="DO184" s="14"/>
      <c r="DP184" s="14"/>
      <c r="DQ184" s="14"/>
      <c r="DR184" s="14"/>
      <c r="DS184" s="14"/>
      <c r="DT184" s="14"/>
      <c r="DU184" s="14"/>
      <c r="DV184" s="14"/>
      <c r="DW184" s="14"/>
      <c r="DX184" s="14"/>
      <c r="DY184" s="14"/>
      <c r="DZ184" s="14"/>
      <c r="EA184" s="14"/>
      <c r="EB184" s="14"/>
    </row>
    <row r="185" spans="3:132"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14"/>
      <c r="CT185" s="14"/>
      <c r="CU185" s="14"/>
      <c r="CV185" s="14"/>
      <c r="CW185" s="14"/>
      <c r="CX185" s="14"/>
      <c r="CY185" s="14"/>
      <c r="CZ185" s="14"/>
      <c r="DA185" s="14"/>
      <c r="DB185" s="14"/>
      <c r="DC185" s="14"/>
      <c r="DD185" s="14"/>
      <c r="DE185" s="14"/>
      <c r="DF185" s="14"/>
      <c r="DG185" s="14"/>
      <c r="DH185" s="14"/>
      <c r="DI185" s="14"/>
      <c r="DJ185" s="14"/>
      <c r="DK185" s="14"/>
      <c r="DL185" s="14"/>
      <c r="DM185" s="14"/>
      <c r="DN185" s="14"/>
      <c r="DO185" s="14"/>
      <c r="DP185" s="14"/>
      <c r="DQ185" s="14"/>
      <c r="DR185" s="14"/>
      <c r="DS185" s="14"/>
      <c r="DT185" s="14"/>
      <c r="DU185" s="14"/>
      <c r="DV185" s="14"/>
      <c r="DW185" s="14"/>
      <c r="DX185" s="14"/>
      <c r="DY185" s="14"/>
      <c r="DZ185" s="14"/>
      <c r="EA185" s="14"/>
      <c r="EB185" s="14"/>
    </row>
    <row r="186" spans="3:132"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14"/>
      <c r="CT186" s="14"/>
      <c r="CU186" s="14"/>
      <c r="CV186" s="14"/>
      <c r="CW186" s="14"/>
      <c r="CX186" s="14"/>
      <c r="CY186" s="14"/>
      <c r="CZ186" s="14"/>
      <c r="DA186" s="14"/>
      <c r="DB186" s="14"/>
      <c r="DC186" s="14"/>
      <c r="DD186" s="14"/>
      <c r="DE186" s="14"/>
      <c r="DF186" s="14"/>
      <c r="DG186" s="14"/>
      <c r="DH186" s="14"/>
      <c r="DI186" s="14"/>
      <c r="DJ186" s="14"/>
      <c r="DK186" s="14"/>
      <c r="DL186" s="14"/>
      <c r="DM186" s="14"/>
      <c r="DN186" s="14"/>
      <c r="DO186" s="14"/>
      <c r="DP186" s="14"/>
      <c r="DQ186" s="14"/>
      <c r="DR186" s="14"/>
      <c r="DS186" s="14"/>
      <c r="DT186" s="14"/>
      <c r="DU186" s="14"/>
      <c r="DV186" s="14"/>
      <c r="DW186" s="14"/>
      <c r="DX186" s="14"/>
      <c r="DY186" s="14"/>
      <c r="DZ186" s="14"/>
      <c r="EA186" s="14"/>
      <c r="EB186" s="14"/>
    </row>
    <row r="187" spans="3:132"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14"/>
      <c r="CT187" s="14"/>
      <c r="CU187" s="14"/>
      <c r="CV187" s="14"/>
      <c r="CW187" s="14"/>
      <c r="CX187" s="14"/>
      <c r="CY187" s="14"/>
      <c r="CZ187" s="14"/>
      <c r="DA187" s="14"/>
      <c r="DB187" s="14"/>
      <c r="DC187" s="14"/>
      <c r="DD187" s="14"/>
      <c r="DE187" s="14"/>
      <c r="DF187" s="14"/>
      <c r="DG187" s="14"/>
      <c r="DH187" s="14"/>
      <c r="DI187" s="14"/>
      <c r="DJ187" s="14"/>
      <c r="DK187" s="14"/>
      <c r="DL187" s="14"/>
      <c r="DM187" s="14"/>
      <c r="DN187" s="14"/>
      <c r="DO187" s="14"/>
      <c r="DP187" s="14"/>
      <c r="DQ187" s="14"/>
      <c r="DR187" s="14"/>
      <c r="DS187" s="14"/>
      <c r="DT187" s="14"/>
      <c r="DU187" s="14"/>
      <c r="DV187" s="14"/>
      <c r="DW187" s="14"/>
      <c r="DX187" s="14"/>
      <c r="DY187" s="14"/>
      <c r="DZ187" s="14"/>
      <c r="EA187" s="14"/>
      <c r="EB187" s="14"/>
    </row>
    <row r="188" spans="3:132"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14"/>
      <c r="CT188" s="14"/>
      <c r="CU188" s="14"/>
      <c r="CV188" s="14"/>
      <c r="CW188" s="14"/>
      <c r="CX188" s="14"/>
      <c r="CY188" s="14"/>
      <c r="CZ188" s="14"/>
      <c r="DA188" s="14"/>
      <c r="DB188" s="14"/>
      <c r="DC188" s="14"/>
      <c r="DD188" s="14"/>
      <c r="DE188" s="14"/>
      <c r="DF188" s="14"/>
      <c r="DG188" s="14"/>
      <c r="DH188" s="14"/>
      <c r="DI188" s="14"/>
      <c r="DJ188" s="14"/>
      <c r="DK188" s="14"/>
      <c r="DL188" s="14"/>
      <c r="DM188" s="14"/>
      <c r="DN188" s="14"/>
      <c r="DO188" s="14"/>
      <c r="DP188" s="14"/>
      <c r="DQ188" s="14"/>
      <c r="DR188" s="14"/>
      <c r="DS188" s="14"/>
      <c r="DT188" s="14"/>
      <c r="DU188" s="14"/>
      <c r="DV188" s="14"/>
      <c r="DW188" s="14"/>
      <c r="DX188" s="14"/>
      <c r="DY188" s="14"/>
      <c r="DZ188" s="14"/>
      <c r="EA188" s="14"/>
      <c r="EB188" s="14"/>
    </row>
    <row r="189" spans="3:132"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14"/>
      <c r="CT189" s="14"/>
      <c r="CU189" s="14"/>
      <c r="CV189" s="14"/>
      <c r="CW189" s="14"/>
      <c r="CX189" s="14"/>
      <c r="CY189" s="14"/>
      <c r="CZ189" s="14"/>
      <c r="DA189" s="14"/>
      <c r="DB189" s="14"/>
      <c r="DC189" s="14"/>
      <c r="DD189" s="14"/>
      <c r="DE189" s="14"/>
      <c r="DF189" s="14"/>
      <c r="DG189" s="14"/>
      <c r="DH189" s="14"/>
      <c r="DI189" s="14"/>
      <c r="DJ189" s="14"/>
      <c r="DK189" s="14"/>
      <c r="DL189" s="14"/>
      <c r="DM189" s="14"/>
      <c r="DN189" s="14"/>
      <c r="DO189" s="14"/>
      <c r="DP189" s="14"/>
      <c r="DQ189" s="14"/>
      <c r="DR189" s="14"/>
      <c r="DS189" s="14"/>
      <c r="DT189" s="14"/>
      <c r="DU189" s="14"/>
      <c r="DV189" s="14"/>
      <c r="DW189" s="14"/>
      <c r="DX189" s="14"/>
      <c r="DY189" s="14"/>
      <c r="DZ189" s="14"/>
      <c r="EA189" s="14"/>
      <c r="EB189" s="14"/>
    </row>
    <row r="190" spans="3:132"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</row>
    <row r="191" spans="3:132"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14"/>
      <c r="CT191" s="14"/>
      <c r="CU191" s="14"/>
      <c r="CV191" s="14"/>
      <c r="CW191" s="14"/>
      <c r="CX191" s="14"/>
      <c r="CY191" s="14"/>
      <c r="CZ191" s="14"/>
      <c r="DA191" s="14"/>
      <c r="DB191" s="14"/>
      <c r="DC191" s="14"/>
      <c r="DD191" s="14"/>
      <c r="DE191" s="14"/>
      <c r="DF191" s="14"/>
      <c r="DG191" s="14"/>
      <c r="DH191" s="14"/>
      <c r="DI191" s="14"/>
      <c r="DJ191" s="14"/>
      <c r="DK191" s="14"/>
      <c r="DL191" s="14"/>
      <c r="DM191" s="14"/>
      <c r="DN191" s="14"/>
      <c r="DO191" s="14"/>
      <c r="DP191" s="14"/>
      <c r="DQ191" s="14"/>
      <c r="DR191" s="14"/>
      <c r="DS191" s="14"/>
      <c r="DT191" s="14"/>
      <c r="DU191" s="14"/>
      <c r="DV191" s="14"/>
      <c r="DW191" s="14"/>
      <c r="DX191" s="14"/>
      <c r="DY191" s="14"/>
      <c r="DZ191" s="14"/>
      <c r="EA191" s="14"/>
      <c r="EB191" s="14"/>
    </row>
    <row r="192" spans="3:132"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14"/>
      <c r="CT192" s="14"/>
      <c r="CU192" s="14"/>
      <c r="CV192" s="14"/>
      <c r="CW192" s="14"/>
      <c r="CX192" s="14"/>
      <c r="CY192" s="14"/>
      <c r="CZ192" s="14"/>
      <c r="DA192" s="14"/>
      <c r="DB192" s="14"/>
      <c r="DC192" s="14"/>
      <c r="DD192" s="14"/>
      <c r="DE192" s="14"/>
      <c r="DF192" s="14"/>
      <c r="DG192" s="14"/>
      <c r="DH192" s="14"/>
      <c r="DI192" s="14"/>
      <c r="DJ192" s="14"/>
      <c r="DK192" s="14"/>
      <c r="DL192" s="14"/>
      <c r="DM192" s="14"/>
      <c r="DN192" s="14"/>
      <c r="DO192" s="14"/>
      <c r="DP192" s="14"/>
      <c r="DQ192" s="14"/>
      <c r="DR192" s="14"/>
      <c r="DS192" s="14"/>
      <c r="DT192" s="14"/>
      <c r="DU192" s="14"/>
      <c r="DV192" s="14"/>
      <c r="DW192" s="14"/>
      <c r="DX192" s="14"/>
      <c r="DY192" s="14"/>
      <c r="DZ192" s="14"/>
      <c r="EA192" s="14"/>
      <c r="EB192" s="14"/>
    </row>
    <row r="193" spans="4:132"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14"/>
      <c r="CT193" s="14"/>
      <c r="CU193" s="14"/>
      <c r="CV193" s="14"/>
      <c r="CW193" s="14"/>
      <c r="CX193" s="14"/>
      <c r="CY193" s="14"/>
      <c r="CZ193" s="14"/>
      <c r="DA193" s="14"/>
      <c r="DB193" s="14"/>
      <c r="DC193" s="14"/>
      <c r="DD193" s="14"/>
      <c r="DE193" s="14"/>
      <c r="DF193" s="14"/>
      <c r="DG193" s="14"/>
      <c r="DH193" s="14"/>
      <c r="DI193" s="14"/>
      <c r="DJ193" s="14"/>
      <c r="DK193" s="14"/>
      <c r="DL193" s="14"/>
      <c r="DM193" s="14"/>
      <c r="DN193" s="14"/>
      <c r="DO193" s="14"/>
      <c r="DP193" s="14"/>
      <c r="DQ193" s="14"/>
      <c r="DR193" s="14"/>
      <c r="DS193" s="14"/>
      <c r="DT193" s="14"/>
      <c r="DU193" s="14"/>
      <c r="DV193" s="14"/>
      <c r="DW193" s="14"/>
      <c r="DX193" s="14"/>
      <c r="DY193" s="14"/>
      <c r="DZ193" s="14"/>
      <c r="EA193" s="14"/>
      <c r="EB193" s="14"/>
    </row>
    <row r="194" spans="4:132"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14"/>
      <c r="CT194" s="14"/>
      <c r="CU194" s="14"/>
      <c r="CV194" s="14"/>
      <c r="CW194" s="14"/>
      <c r="CX194" s="14"/>
      <c r="CY194" s="14"/>
      <c r="CZ194" s="14"/>
      <c r="DA194" s="14"/>
      <c r="DB194" s="14"/>
      <c r="DC194" s="14"/>
      <c r="DD194" s="14"/>
      <c r="DE194" s="14"/>
      <c r="DF194" s="14"/>
      <c r="DG194" s="14"/>
      <c r="DH194" s="14"/>
      <c r="DI194" s="14"/>
      <c r="DJ194" s="14"/>
      <c r="DK194" s="14"/>
      <c r="DL194" s="14"/>
      <c r="DM194" s="14"/>
      <c r="DN194" s="14"/>
      <c r="DO194" s="14"/>
      <c r="DP194" s="14"/>
      <c r="DQ194" s="14"/>
      <c r="DR194" s="14"/>
      <c r="DS194" s="14"/>
      <c r="DT194" s="14"/>
      <c r="DU194" s="14"/>
      <c r="DV194" s="14"/>
      <c r="DW194" s="14"/>
      <c r="DX194" s="14"/>
      <c r="DY194" s="14"/>
      <c r="DZ194" s="14"/>
      <c r="EA194" s="14"/>
      <c r="EB194" s="14"/>
    </row>
    <row r="195" spans="4:132"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14"/>
      <c r="CT195" s="14"/>
      <c r="CU195" s="14"/>
      <c r="CV195" s="14"/>
      <c r="CW195" s="14"/>
      <c r="CX195" s="14"/>
      <c r="CY195" s="14"/>
      <c r="CZ195" s="14"/>
      <c r="DA195" s="14"/>
      <c r="DB195" s="14"/>
      <c r="DC195" s="14"/>
      <c r="DD195" s="14"/>
      <c r="DE195" s="14"/>
      <c r="DF195" s="14"/>
      <c r="DG195" s="14"/>
      <c r="DH195" s="14"/>
      <c r="DI195" s="14"/>
      <c r="DJ195" s="14"/>
      <c r="DK195" s="14"/>
      <c r="DL195" s="14"/>
      <c r="DM195" s="14"/>
      <c r="DN195" s="14"/>
      <c r="DO195" s="14"/>
      <c r="DP195" s="14"/>
      <c r="DQ195" s="14"/>
      <c r="DR195" s="14"/>
      <c r="DS195" s="14"/>
      <c r="DT195" s="14"/>
      <c r="DU195" s="14"/>
      <c r="DV195" s="14"/>
      <c r="DW195" s="14"/>
      <c r="DX195" s="14"/>
      <c r="DY195" s="14"/>
      <c r="DZ195" s="14"/>
      <c r="EA195" s="14"/>
      <c r="EB195" s="14"/>
    </row>
    <row r="196" spans="4:132"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14"/>
      <c r="CT196" s="14"/>
      <c r="CU196" s="14"/>
      <c r="CV196" s="14"/>
      <c r="CW196" s="14"/>
      <c r="CX196" s="14"/>
      <c r="CY196" s="14"/>
      <c r="CZ196" s="14"/>
      <c r="DA196" s="14"/>
      <c r="DB196" s="14"/>
      <c r="DC196" s="14"/>
      <c r="DD196" s="14"/>
      <c r="DE196" s="14"/>
      <c r="DF196" s="14"/>
      <c r="DG196" s="14"/>
      <c r="DH196" s="14"/>
      <c r="DI196" s="14"/>
      <c r="DJ196" s="14"/>
      <c r="DK196" s="14"/>
      <c r="DL196" s="14"/>
      <c r="DM196" s="14"/>
      <c r="DN196" s="14"/>
      <c r="DO196" s="14"/>
      <c r="DP196" s="14"/>
      <c r="DQ196" s="14"/>
      <c r="DR196" s="14"/>
      <c r="DS196" s="14"/>
      <c r="DT196" s="14"/>
      <c r="DU196" s="14"/>
      <c r="DV196" s="14"/>
      <c r="DW196" s="14"/>
      <c r="DX196" s="14"/>
      <c r="DY196" s="14"/>
      <c r="DZ196" s="14"/>
      <c r="EA196" s="14"/>
      <c r="EB196" s="14"/>
    </row>
    <row r="197" spans="4:132"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14"/>
      <c r="CT197" s="14"/>
      <c r="CU197" s="14"/>
      <c r="CV197" s="14"/>
      <c r="CW197" s="14"/>
      <c r="CX197" s="14"/>
      <c r="CY197" s="14"/>
      <c r="CZ197" s="14"/>
      <c r="DA197" s="14"/>
      <c r="DB197" s="14"/>
      <c r="DC197" s="14"/>
      <c r="DD197" s="14"/>
      <c r="DE197" s="14"/>
      <c r="DF197" s="14"/>
      <c r="DG197" s="14"/>
      <c r="DH197" s="14"/>
      <c r="DI197" s="14"/>
      <c r="DJ197" s="14"/>
      <c r="DK197" s="14"/>
      <c r="DL197" s="14"/>
      <c r="DM197" s="14"/>
      <c r="DN197" s="14"/>
      <c r="DO197" s="14"/>
      <c r="DP197" s="14"/>
      <c r="DQ197" s="14"/>
      <c r="DR197" s="14"/>
      <c r="DS197" s="14"/>
      <c r="DT197" s="14"/>
      <c r="DU197" s="14"/>
      <c r="DV197" s="14"/>
      <c r="DW197" s="14"/>
      <c r="DX197" s="14"/>
      <c r="DY197" s="14"/>
      <c r="DZ197" s="14"/>
      <c r="EA197" s="14"/>
      <c r="EB197" s="14"/>
    </row>
    <row r="198" spans="4:132"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14"/>
      <c r="CT198" s="14"/>
      <c r="CU198" s="14"/>
      <c r="CV198" s="14"/>
      <c r="CW198" s="14"/>
      <c r="CX198" s="14"/>
      <c r="CY198" s="14"/>
      <c r="CZ198" s="14"/>
      <c r="DA198" s="14"/>
      <c r="DB198" s="14"/>
      <c r="DC198" s="14"/>
      <c r="DD198" s="14"/>
      <c r="DE198" s="14"/>
      <c r="DF198" s="14"/>
      <c r="DG198" s="14"/>
      <c r="DH198" s="14"/>
      <c r="DI198" s="14"/>
      <c r="DJ198" s="14"/>
      <c r="DK198" s="14"/>
      <c r="DL198" s="14"/>
      <c r="DM198" s="14"/>
      <c r="DN198" s="14"/>
      <c r="DO198" s="14"/>
      <c r="DP198" s="14"/>
      <c r="DQ198" s="14"/>
      <c r="DR198" s="14"/>
      <c r="DS198" s="14"/>
      <c r="DT198" s="14"/>
      <c r="DU198" s="14"/>
      <c r="DV198" s="14"/>
      <c r="DW198" s="14"/>
      <c r="DX198" s="14"/>
      <c r="DY198" s="14"/>
      <c r="DZ198" s="14"/>
      <c r="EA198" s="14"/>
      <c r="EB198" s="14"/>
    </row>
    <row r="199" spans="4:132"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14"/>
      <c r="CT199" s="14"/>
      <c r="CU199" s="14"/>
      <c r="CV199" s="14"/>
      <c r="CW199" s="14"/>
      <c r="CX199" s="14"/>
      <c r="CY199" s="14"/>
      <c r="CZ199" s="14"/>
      <c r="DA199" s="14"/>
      <c r="DB199" s="14"/>
      <c r="DC199" s="14"/>
      <c r="DD199" s="14"/>
      <c r="DE199" s="14"/>
      <c r="DF199" s="14"/>
      <c r="DG199" s="14"/>
      <c r="DH199" s="14"/>
      <c r="DI199" s="14"/>
      <c r="DJ199" s="14"/>
      <c r="DK199" s="14"/>
      <c r="DL199" s="14"/>
      <c r="DM199" s="14"/>
      <c r="DN199" s="14"/>
      <c r="DO199" s="14"/>
      <c r="DP199" s="14"/>
      <c r="DQ199" s="14"/>
      <c r="DR199" s="14"/>
      <c r="DS199" s="14"/>
      <c r="DT199" s="14"/>
      <c r="DU199" s="14"/>
      <c r="DV199" s="14"/>
      <c r="DW199" s="14"/>
      <c r="DX199" s="14"/>
      <c r="DY199" s="14"/>
      <c r="DZ199" s="14"/>
      <c r="EA199" s="14"/>
      <c r="EB199" s="14"/>
    </row>
    <row r="200" spans="4:132"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14"/>
      <c r="CT200" s="14"/>
      <c r="CU200" s="14"/>
      <c r="CV200" s="14"/>
      <c r="CW200" s="14"/>
      <c r="CX200" s="14"/>
      <c r="CY200" s="14"/>
      <c r="CZ200" s="14"/>
      <c r="DA200" s="14"/>
      <c r="DB200" s="14"/>
      <c r="DC200" s="14"/>
      <c r="DD200" s="14"/>
      <c r="DE200" s="14"/>
      <c r="DF200" s="14"/>
      <c r="DG200" s="14"/>
      <c r="DH200" s="14"/>
      <c r="DI200" s="14"/>
      <c r="DJ200" s="14"/>
      <c r="DK200" s="14"/>
      <c r="DL200" s="14"/>
      <c r="DM200" s="14"/>
      <c r="DN200" s="14"/>
      <c r="DO200" s="14"/>
      <c r="DP200" s="14"/>
      <c r="DQ200" s="14"/>
      <c r="DR200" s="14"/>
      <c r="DS200" s="14"/>
      <c r="DT200" s="14"/>
      <c r="DU200" s="14"/>
      <c r="DV200" s="14"/>
      <c r="DW200" s="14"/>
      <c r="DX200" s="14"/>
      <c r="DY200" s="14"/>
      <c r="DZ200" s="14"/>
      <c r="EA200" s="14"/>
      <c r="EB200" s="14"/>
    </row>
    <row r="201" spans="4:132"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14"/>
      <c r="CT201" s="14"/>
      <c r="CU201" s="14"/>
      <c r="CV201" s="14"/>
      <c r="CW201" s="14"/>
      <c r="CX201" s="14"/>
      <c r="CY201" s="14"/>
      <c r="CZ201" s="14"/>
      <c r="DA201" s="14"/>
      <c r="DB201" s="14"/>
      <c r="DC201" s="14"/>
      <c r="DD201" s="14"/>
      <c r="DE201" s="14"/>
      <c r="DF201" s="14"/>
      <c r="DG201" s="14"/>
      <c r="DH201" s="14"/>
      <c r="DI201" s="14"/>
      <c r="DJ201" s="14"/>
      <c r="DK201" s="14"/>
      <c r="DL201" s="14"/>
      <c r="DM201" s="14"/>
      <c r="DN201" s="14"/>
      <c r="DO201" s="14"/>
      <c r="DP201" s="14"/>
      <c r="DQ201" s="14"/>
      <c r="DR201" s="14"/>
      <c r="DS201" s="14"/>
      <c r="DT201" s="14"/>
      <c r="DU201" s="14"/>
      <c r="DV201" s="14"/>
      <c r="DW201" s="14"/>
      <c r="DX201" s="14"/>
      <c r="DY201" s="14"/>
      <c r="DZ201" s="14"/>
      <c r="EA201" s="14"/>
      <c r="EB201" s="14"/>
    </row>
    <row r="202" spans="4:132"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14"/>
      <c r="CT202" s="14"/>
      <c r="CU202" s="14"/>
      <c r="CV202" s="14"/>
      <c r="CW202" s="14"/>
      <c r="CX202" s="14"/>
      <c r="CY202" s="14"/>
      <c r="CZ202" s="14"/>
      <c r="DA202" s="14"/>
      <c r="DB202" s="14"/>
      <c r="DC202" s="14"/>
      <c r="DD202" s="14"/>
      <c r="DE202" s="14"/>
      <c r="DF202" s="14"/>
      <c r="DG202" s="14"/>
      <c r="DH202" s="14"/>
      <c r="DI202" s="14"/>
      <c r="DJ202" s="14"/>
      <c r="DK202" s="14"/>
      <c r="DL202" s="14"/>
      <c r="DM202" s="14"/>
      <c r="DN202" s="14"/>
      <c r="DO202" s="14"/>
      <c r="DP202" s="14"/>
      <c r="DQ202" s="14"/>
      <c r="DR202" s="14"/>
      <c r="DS202" s="14"/>
      <c r="DT202" s="14"/>
      <c r="DU202" s="14"/>
      <c r="DV202" s="14"/>
      <c r="DW202" s="14"/>
      <c r="DX202" s="14"/>
      <c r="DY202" s="14"/>
      <c r="DZ202" s="14"/>
      <c r="EA202" s="14"/>
      <c r="EB202" s="14"/>
    </row>
    <row r="203" spans="4:132"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14"/>
      <c r="CT203" s="14"/>
      <c r="CU203" s="14"/>
      <c r="CV203" s="14"/>
      <c r="CW203" s="14"/>
      <c r="CX203" s="14"/>
      <c r="CY203" s="14"/>
      <c r="CZ203" s="14"/>
      <c r="DA203" s="14"/>
      <c r="DB203" s="14"/>
      <c r="DC203" s="14"/>
      <c r="DD203" s="14"/>
      <c r="DE203" s="14"/>
      <c r="DF203" s="14"/>
      <c r="DG203" s="14"/>
      <c r="DH203" s="14"/>
      <c r="DI203" s="14"/>
      <c r="DJ203" s="14"/>
      <c r="DK203" s="14"/>
      <c r="DL203" s="14"/>
      <c r="DM203" s="14"/>
      <c r="DN203" s="14"/>
      <c r="DO203" s="14"/>
      <c r="DP203" s="14"/>
      <c r="DQ203" s="14"/>
      <c r="DR203" s="14"/>
      <c r="DS203" s="14"/>
      <c r="DT203" s="14"/>
      <c r="DU203" s="14"/>
      <c r="DV203" s="14"/>
      <c r="DW203" s="14"/>
      <c r="DX203" s="14"/>
      <c r="DY203" s="14"/>
      <c r="DZ203" s="14"/>
      <c r="EA203" s="14"/>
      <c r="EB203" s="14"/>
    </row>
    <row r="204" spans="4:132"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14"/>
      <c r="CT204" s="14"/>
      <c r="CU204" s="14"/>
      <c r="CV204" s="14"/>
      <c r="CW204" s="14"/>
      <c r="CX204" s="14"/>
      <c r="CY204" s="14"/>
      <c r="CZ204" s="14"/>
      <c r="DA204" s="14"/>
      <c r="DB204" s="14"/>
      <c r="DC204" s="14"/>
      <c r="DD204" s="14"/>
      <c r="DE204" s="14"/>
      <c r="DF204" s="14"/>
      <c r="DG204" s="14"/>
      <c r="DH204" s="14"/>
      <c r="DI204" s="14"/>
      <c r="DJ204" s="14"/>
      <c r="DK204" s="14"/>
      <c r="DL204" s="14"/>
      <c r="DM204" s="14"/>
      <c r="DN204" s="14"/>
      <c r="DO204" s="14"/>
      <c r="DP204" s="14"/>
      <c r="DQ204" s="14"/>
      <c r="DR204" s="14"/>
      <c r="DS204" s="14"/>
      <c r="DT204" s="14"/>
      <c r="DU204" s="14"/>
      <c r="DV204" s="14"/>
      <c r="DW204" s="14"/>
      <c r="DX204" s="14"/>
      <c r="DY204" s="14"/>
      <c r="DZ204" s="14"/>
      <c r="EA204" s="14"/>
      <c r="EB204" s="14"/>
    </row>
    <row r="205" spans="4:132"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14"/>
      <c r="CT205" s="14"/>
      <c r="CU205" s="14"/>
      <c r="CV205" s="14"/>
      <c r="CW205" s="14"/>
      <c r="CX205" s="14"/>
      <c r="CY205" s="14"/>
      <c r="CZ205" s="14"/>
      <c r="DA205" s="14"/>
      <c r="DB205" s="14"/>
      <c r="DC205" s="14"/>
      <c r="DD205" s="14"/>
      <c r="DE205" s="14"/>
      <c r="DF205" s="14"/>
      <c r="DG205" s="14"/>
      <c r="DH205" s="14"/>
      <c r="DI205" s="14"/>
      <c r="DJ205" s="14"/>
      <c r="DK205" s="14"/>
      <c r="DL205" s="14"/>
      <c r="DM205" s="14"/>
      <c r="DN205" s="14"/>
      <c r="DO205" s="14"/>
      <c r="DP205" s="14"/>
      <c r="DQ205" s="14"/>
      <c r="DR205" s="14"/>
      <c r="DS205" s="14"/>
      <c r="DT205" s="14"/>
      <c r="DU205" s="14"/>
      <c r="DV205" s="14"/>
      <c r="DW205" s="14"/>
      <c r="DX205" s="14"/>
      <c r="DY205" s="14"/>
      <c r="DZ205" s="14"/>
      <c r="EA205" s="14"/>
      <c r="EB205" s="14"/>
    </row>
    <row r="206" spans="4:132"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14"/>
      <c r="CT206" s="14"/>
      <c r="CU206" s="14"/>
      <c r="CV206" s="14"/>
      <c r="CW206" s="14"/>
      <c r="CX206" s="14"/>
      <c r="CY206" s="14"/>
      <c r="CZ206" s="14"/>
      <c r="DA206" s="14"/>
      <c r="DB206" s="14"/>
      <c r="DC206" s="14"/>
      <c r="DD206" s="14"/>
      <c r="DE206" s="14"/>
      <c r="DF206" s="14"/>
      <c r="DG206" s="14"/>
      <c r="DH206" s="14"/>
      <c r="DI206" s="14"/>
      <c r="DJ206" s="14"/>
      <c r="DK206" s="14"/>
      <c r="DL206" s="14"/>
      <c r="DM206" s="14"/>
      <c r="DN206" s="14"/>
      <c r="DO206" s="14"/>
      <c r="DP206" s="14"/>
      <c r="DQ206" s="14"/>
      <c r="DR206" s="14"/>
      <c r="DS206" s="14"/>
      <c r="DT206" s="14"/>
      <c r="DU206" s="14"/>
      <c r="DV206" s="14"/>
      <c r="DW206" s="14"/>
      <c r="DX206" s="14"/>
      <c r="DY206" s="14"/>
      <c r="DZ206" s="14"/>
      <c r="EA206" s="14"/>
      <c r="EB206" s="14"/>
    </row>
    <row r="207" spans="4:132"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14"/>
      <c r="CT207" s="14"/>
      <c r="CU207" s="14"/>
      <c r="CV207" s="14"/>
      <c r="CW207" s="14"/>
      <c r="CX207" s="14"/>
      <c r="CY207" s="14"/>
      <c r="CZ207" s="14"/>
      <c r="DA207" s="14"/>
      <c r="DB207" s="14"/>
      <c r="DC207" s="14"/>
      <c r="DD207" s="14"/>
      <c r="DE207" s="14"/>
      <c r="DF207" s="14"/>
      <c r="DG207" s="14"/>
      <c r="DH207" s="14"/>
      <c r="DI207" s="14"/>
      <c r="DJ207" s="14"/>
      <c r="DK207" s="14"/>
      <c r="DL207" s="14"/>
      <c r="DM207" s="14"/>
      <c r="DN207" s="14"/>
      <c r="DO207" s="14"/>
      <c r="DP207" s="14"/>
      <c r="DQ207" s="14"/>
      <c r="DR207" s="14"/>
      <c r="DS207" s="14"/>
      <c r="DT207" s="14"/>
      <c r="DU207" s="14"/>
      <c r="DV207" s="14"/>
      <c r="DW207" s="14"/>
      <c r="DX207" s="14"/>
      <c r="DY207" s="14"/>
      <c r="DZ207" s="14"/>
      <c r="EA207" s="14"/>
      <c r="EB207" s="14"/>
    </row>
    <row r="208" spans="4:132"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14"/>
      <c r="CT208" s="14"/>
      <c r="CU208" s="14"/>
      <c r="CV208" s="14"/>
      <c r="CW208" s="14"/>
      <c r="CX208" s="14"/>
      <c r="CY208" s="14"/>
      <c r="CZ208" s="14"/>
      <c r="DA208" s="14"/>
      <c r="DB208" s="14"/>
      <c r="DC208" s="14"/>
      <c r="DD208" s="14"/>
      <c r="DE208" s="14"/>
      <c r="DF208" s="14"/>
      <c r="DG208" s="14"/>
      <c r="DH208" s="14"/>
      <c r="DI208" s="14"/>
      <c r="DJ208" s="14"/>
      <c r="DK208" s="14"/>
      <c r="DL208" s="14"/>
      <c r="DM208" s="14"/>
      <c r="DN208" s="14"/>
      <c r="DO208" s="14"/>
      <c r="DP208" s="14"/>
      <c r="DQ208" s="14"/>
      <c r="DR208" s="14"/>
      <c r="DS208" s="14"/>
      <c r="DT208" s="14"/>
      <c r="DU208" s="14"/>
      <c r="DV208" s="14"/>
      <c r="DW208" s="14"/>
      <c r="DX208" s="14"/>
      <c r="DY208" s="14"/>
      <c r="DZ208" s="14"/>
      <c r="EA208" s="14"/>
      <c r="EB208" s="14"/>
    </row>
    <row r="209" spans="4:132"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14"/>
      <c r="CT209" s="14"/>
      <c r="CU209" s="14"/>
      <c r="CV209" s="14"/>
      <c r="CW209" s="14"/>
      <c r="CX209" s="14"/>
      <c r="CY209" s="14"/>
      <c r="CZ209" s="14"/>
      <c r="DA209" s="14"/>
      <c r="DB209" s="14"/>
      <c r="DC209" s="14"/>
      <c r="DD209" s="14"/>
      <c r="DE209" s="14"/>
      <c r="DF209" s="14"/>
      <c r="DG209" s="14"/>
      <c r="DH209" s="14"/>
      <c r="DI209" s="14"/>
      <c r="DJ209" s="14"/>
      <c r="DK209" s="14"/>
      <c r="DL209" s="14"/>
      <c r="DM209" s="14"/>
      <c r="DN209" s="14"/>
      <c r="DO209" s="14"/>
      <c r="DP209" s="14"/>
      <c r="DQ209" s="14"/>
      <c r="DR209" s="14"/>
      <c r="DS209" s="14"/>
      <c r="DT209" s="14"/>
      <c r="DU209" s="14"/>
      <c r="DV209" s="14"/>
      <c r="DW209" s="14"/>
      <c r="DX209" s="14"/>
      <c r="DY209" s="14"/>
      <c r="DZ209" s="14"/>
      <c r="EA209" s="14"/>
      <c r="EB209" s="14"/>
    </row>
    <row r="210" spans="4:132"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14"/>
      <c r="CT210" s="14"/>
      <c r="CU210" s="14"/>
      <c r="CV210" s="14"/>
      <c r="CW210" s="14"/>
      <c r="CX210" s="14"/>
      <c r="CY210" s="14"/>
      <c r="CZ210" s="14"/>
      <c r="DA210" s="14"/>
      <c r="DB210" s="14"/>
      <c r="DC210" s="14"/>
      <c r="DD210" s="14"/>
      <c r="DE210" s="14"/>
      <c r="DF210" s="14"/>
      <c r="DG210" s="14"/>
      <c r="DH210" s="14"/>
      <c r="DI210" s="14"/>
      <c r="DJ210" s="14"/>
      <c r="DK210" s="14"/>
      <c r="DL210" s="14"/>
      <c r="DM210" s="14"/>
      <c r="DN210" s="14"/>
      <c r="DO210" s="14"/>
      <c r="DP210" s="14"/>
      <c r="DQ210" s="14"/>
      <c r="DR210" s="14"/>
      <c r="DS210" s="14"/>
      <c r="DT210" s="14"/>
      <c r="DU210" s="14"/>
      <c r="DV210" s="14"/>
      <c r="DW210" s="14"/>
      <c r="DX210" s="14"/>
      <c r="DY210" s="14"/>
      <c r="DZ210" s="14"/>
      <c r="EA210" s="14"/>
      <c r="EB210" s="14"/>
    </row>
    <row r="211" spans="4:132"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14"/>
      <c r="CT211" s="14"/>
      <c r="CU211" s="14"/>
      <c r="CV211" s="14"/>
      <c r="CW211" s="14"/>
      <c r="CX211" s="14"/>
      <c r="CY211" s="14"/>
      <c r="CZ211" s="14"/>
      <c r="DA211" s="14"/>
      <c r="DB211" s="14"/>
      <c r="DC211" s="14"/>
      <c r="DD211" s="14"/>
      <c r="DE211" s="14"/>
      <c r="DF211" s="14"/>
      <c r="DG211" s="14"/>
      <c r="DH211" s="14"/>
      <c r="DI211" s="14"/>
      <c r="DJ211" s="14"/>
      <c r="DK211" s="14"/>
      <c r="DL211" s="14"/>
      <c r="DM211" s="14"/>
      <c r="DN211" s="14"/>
      <c r="DO211" s="14"/>
      <c r="DP211" s="14"/>
      <c r="DQ211" s="14"/>
      <c r="DR211" s="14"/>
      <c r="DS211" s="14"/>
      <c r="DT211" s="14"/>
      <c r="DU211" s="14"/>
      <c r="DV211" s="14"/>
      <c r="DW211" s="14"/>
      <c r="DX211" s="14"/>
      <c r="DY211" s="14"/>
      <c r="DZ211" s="14"/>
      <c r="EA211" s="14"/>
      <c r="EB211" s="14"/>
    </row>
    <row r="212" spans="4:132"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14"/>
      <c r="CT212" s="14"/>
      <c r="CU212" s="14"/>
      <c r="CV212" s="14"/>
      <c r="CW212" s="14"/>
      <c r="CX212" s="14"/>
      <c r="CY212" s="14"/>
      <c r="CZ212" s="14"/>
      <c r="DA212" s="14"/>
      <c r="DB212" s="14"/>
      <c r="DC212" s="14"/>
      <c r="DD212" s="14"/>
      <c r="DE212" s="14"/>
      <c r="DF212" s="14"/>
      <c r="DG212" s="14"/>
      <c r="DH212" s="14"/>
      <c r="DI212" s="14"/>
      <c r="DJ212" s="14"/>
      <c r="DK212" s="14"/>
      <c r="DL212" s="14"/>
      <c r="DM212" s="14"/>
      <c r="DN212" s="14"/>
      <c r="DO212" s="14"/>
      <c r="DP212" s="14"/>
      <c r="DQ212" s="14"/>
      <c r="DR212" s="14"/>
      <c r="DS212" s="14"/>
      <c r="DT212" s="14"/>
      <c r="DU212" s="14"/>
      <c r="DV212" s="14"/>
      <c r="DW212" s="14"/>
      <c r="DX212" s="14"/>
      <c r="DY212" s="14"/>
      <c r="DZ212" s="14"/>
      <c r="EA212" s="14"/>
      <c r="EB212" s="14"/>
    </row>
    <row r="213" spans="4:132"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14"/>
      <c r="CC213" s="14"/>
      <c r="CD213" s="14"/>
      <c r="CE213" s="14"/>
      <c r="CF213" s="14"/>
      <c r="CG213" s="14"/>
      <c r="CH213" s="14"/>
      <c r="CI213" s="14"/>
      <c r="CJ213" s="14"/>
      <c r="CK213" s="14"/>
      <c r="CL213" s="14"/>
      <c r="CM213" s="14"/>
      <c r="CN213" s="14"/>
      <c r="CO213" s="14"/>
      <c r="CP213" s="14"/>
      <c r="CQ213" s="14"/>
      <c r="CR213" s="14"/>
      <c r="CS213" s="14"/>
      <c r="CT213" s="14"/>
      <c r="CU213" s="14"/>
      <c r="CV213" s="14"/>
      <c r="CW213" s="14"/>
      <c r="CX213" s="14"/>
      <c r="CY213" s="14"/>
      <c r="CZ213" s="14"/>
      <c r="DA213" s="14"/>
      <c r="DB213" s="14"/>
      <c r="DC213" s="14"/>
      <c r="DD213" s="14"/>
      <c r="DE213" s="14"/>
      <c r="DF213" s="14"/>
      <c r="DG213" s="14"/>
      <c r="DH213" s="14"/>
      <c r="DI213" s="14"/>
      <c r="DJ213" s="14"/>
      <c r="DK213" s="14"/>
      <c r="DL213" s="14"/>
      <c r="DM213" s="14"/>
      <c r="DN213" s="14"/>
      <c r="DO213" s="14"/>
      <c r="DP213" s="14"/>
      <c r="DQ213" s="14"/>
      <c r="DR213" s="14"/>
      <c r="DS213" s="14"/>
      <c r="DT213" s="14"/>
      <c r="DU213" s="14"/>
      <c r="DV213" s="14"/>
      <c r="DW213" s="14"/>
      <c r="DX213" s="14"/>
      <c r="DY213" s="14"/>
      <c r="DZ213" s="14"/>
      <c r="EA213" s="14"/>
      <c r="EB213" s="14"/>
    </row>
    <row r="214" spans="4:132"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14"/>
      <c r="CC214" s="14"/>
      <c r="CD214" s="14"/>
      <c r="CE214" s="14"/>
      <c r="CF214" s="14"/>
      <c r="CG214" s="14"/>
      <c r="CH214" s="14"/>
      <c r="CI214" s="14"/>
      <c r="CJ214" s="14"/>
      <c r="CK214" s="14"/>
      <c r="CL214" s="14"/>
      <c r="CM214" s="14"/>
      <c r="CN214" s="14"/>
      <c r="CO214" s="14"/>
      <c r="CP214" s="14"/>
      <c r="CQ214" s="14"/>
      <c r="CR214" s="14"/>
      <c r="CS214" s="14"/>
      <c r="CT214" s="14"/>
      <c r="CU214" s="14"/>
      <c r="CV214" s="14"/>
      <c r="CW214" s="14"/>
      <c r="CX214" s="14"/>
      <c r="CY214" s="14"/>
      <c r="CZ214" s="14"/>
      <c r="DA214" s="14"/>
      <c r="DB214" s="14"/>
      <c r="DC214" s="14"/>
      <c r="DD214" s="14"/>
      <c r="DE214" s="14"/>
      <c r="DF214" s="14"/>
      <c r="DG214" s="14"/>
      <c r="DH214" s="14"/>
      <c r="DI214" s="14"/>
      <c r="DJ214" s="14"/>
      <c r="DK214" s="14"/>
      <c r="DL214" s="14"/>
      <c r="DM214" s="14"/>
      <c r="DN214" s="14"/>
      <c r="DO214" s="14"/>
      <c r="DP214" s="14"/>
      <c r="DQ214" s="14"/>
      <c r="DR214" s="14"/>
      <c r="DS214" s="14"/>
      <c r="DT214" s="14"/>
      <c r="DU214" s="14"/>
      <c r="DV214" s="14"/>
      <c r="DW214" s="14"/>
      <c r="DX214" s="14"/>
      <c r="DY214" s="14"/>
      <c r="DZ214" s="14"/>
      <c r="EA214" s="14"/>
      <c r="EB214" s="14"/>
    </row>
    <row r="215" spans="4:132"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14"/>
      <c r="CC215" s="14"/>
      <c r="CD215" s="14"/>
      <c r="CE215" s="14"/>
      <c r="CF215" s="14"/>
      <c r="CG215" s="14"/>
      <c r="CH215" s="14"/>
      <c r="CI215" s="14"/>
      <c r="CJ215" s="14"/>
      <c r="CK215" s="14"/>
      <c r="CL215" s="14"/>
      <c r="CM215" s="14"/>
      <c r="CN215" s="14"/>
      <c r="CO215" s="14"/>
      <c r="CP215" s="14"/>
      <c r="CQ215" s="14"/>
      <c r="CR215" s="14"/>
      <c r="CS215" s="14"/>
      <c r="CT215" s="14"/>
      <c r="CU215" s="14"/>
      <c r="CV215" s="14"/>
      <c r="CW215" s="14"/>
      <c r="CX215" s="14"/>
      <c r="CY215" s="14"/>
      <c r="CZ215" s="14"/>
      <c r="DA215" s="14"/>
      <c r="DB215" s="14"/>
      <c r="DC215" s="14"/>
      <c r="DD215" s="14"/>
      <c r="DE215" s="14"/>
      <c r="DF215" s="14"/>
      <c r="DG215" s="14"/>
      <c r="DH215" s="14"/>
      <c r="DI215" s="14"/>
      <c r="DJ215" s="14"/>
      <c r="DK215" s="14"/>
      <c r="DL215" s="14"/>
      <c r="DM215" s="14"/>
      <c r="DN215" s="14"/>
      <c r="DO215" s="14"/>
      <c r="DP215" s="14"/>
      <c r="DQ215" s="14"/>
      <c r="DR215" s="14"/>
      <c r="DS215" s="14"/>
      <c r="DT215" s="14"/>
      <c r="DU215" s="14"/>
      <c r="DV215" s="14"/>
      <c r="DW215" s="14"/>
      <c r="DX215" s="14"/>
      <c r="DY215" s="14"/>
      <c r="DZ215" s="14"/>
      <c r="EA215" s="14"/>
      <c r="EB215" s="14"/>
    </row>
    <row r="216" spans="4:132"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</row>
    <row r="217" spans="4:132"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14"/>
      <c r="CC217" s="14"/>
      <c r="CD217" s="14"/>
      <c r="CE217" s="14"/>
      <c r="CF217" s="14"/>
      <c r="CG217" s="14"/>
      <c r="CH217" s="14"/>
      <c r="CI217" s="14"/>
      <c r="CJ217" s="14"/>
      <c r="CK217" s="14"/>
      <c r="CL217" s="14"/>
      <c r="CM217" s="14"/>
      <c r="CN217" s="14"/>
      <c r="CO217" s="14"/>
      <c r="CP217" s="14"/>
      <c r="CQ217" s="14"/>
      <c r="CR217" s="14"/>
      <c r="CS217" s="14"/>
      <c r="CT217" s="14"/>
      <c r="CU217" s="14"/>
      <c r="CV217" s="14"/>
      <c r="CW217" s="14"/>
      <c r="CX217" s="14"/>
      <c r="CY217" s="14"/>
      <c r="CZ217" s="14"/>
      <c r="DA217" s="14"/>
      <c r="DB217" s="14"/>
      <c r="DC217" s="14"/>
      <c r="DD217" s="14"/>
      <c r="DE217" s="14"/>
      <c r="DF217" s="14"/>
      <c r="DG217" s="14"/>
      <c r="DH217" s="14"/>
      <c r="DI217" s="14"/>
      <c r="DJ217" s="14"/>
      <c r="DK217" s="14"/>
      <c r="DL217" s="14"/>
      <c r="DM217" s="14"/>
      <c r="DN217" s="14"/>
      <c r="DO217" s="14"/>
      <c r="DP217" s="14"/>
      <c r="DQ217" s="14"/>
      <c r="DR217" s="14"/>
      <c r="DS217" s="14"/>
      <c r="DT217" s="14"/>
      <c r="DU217" s="14"/>
      <c r="DV217" s="14"/>
      <c r="DW217" s="14"/>
      <c r="DX217" s="14"/>
      <c r="DY217" s="14"/>
      <c r="DZ217" s="14"/>
      <c r="EA217" s="14"/>
      <c r="EB217" s="14"/>
    </row>
    <row r="218" spans="4:132"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14"/>
      <c r="CC218" s="14"/>
      <c r="CD218" s="14"/>
      <c r="CE218" s="14"/>
      <c r="CF218" s="14"/>
      <c r="CG218" s="14"/>
      <c r="CH218" s="14"/>
      <c r="CI218" s="14"/>
      <c r="CJ218" s="14"/>
      <c r="CK218" s="14"/>
      <c r="CL218" s="14"/>
      <c r="CM218" s="14"/>
      <c r="CN218" s="14"/>
      <c r="CO218" s="14"/>
      <c r="CP218" s="14"/>
      <c r="CQ218" s="14"/>
      <c r="CR218" s="14"/>
      <c r="CS218" s="14"/>
      <c r="CT218" s="14"/>
      <c r="CU218" s="14"/>
      <c r="CV218" s="14"/>
      <c r="CW218" s="14"/>
      <c r="CX218" s="14"/>
      <c r="CY218" s="14"/>
      <c r="CZ218" s="14"/>
      <c r="DA218" s="14"/>
      <c r="DB218" s="14"/>
      <c r="DC218" s="14"/>
      <c r="DD218" s="14"/>
      <c r="DE218" s="14"/>
      <c r="DF218" s="14"/>
      <c r="DG218" s="14"/>
      <c r="DH218" s="14"/>
      <c r="DI218" s="14"/>
      <c r="DJ218" s="14"/>
      <c r="DK218" s="14"/>
      <c r="DL218" s="14"/>
      <c r="DM218" s="14"/>
      <c r="DN218" s="14"/>
      <c r="DO218" s="14"/>
      <c r="DP218" s="14"/>
      <c r="DQ218" s="14"/>
      <c r="DR218" s="14"/>
      <c r="DS218" s="14"/>
      <c r="DT218" s="14"/>
      <c r="DU218" s="14"/>
      <c r="DV218" s="14"/>
      <c r="DW218" s="14"/>
      <c r="DX218" s="14"/>
      <c r="DY218" s="14"/>
      <c r="DZ218" s="14"/>
      <c r="EA218" s="14"/>
      <c r="EB218" s="14"/>
    </row>
    <row r="219" spans="4:132"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14"/>
      <c r="CC219" s="14"/>
      <c r="CD219" s="14"/>
      <c r="CE219" s="14"/>
      <c r="CF219" s="14"/>
      <c r="CG219" s="14"/>
      <c r="CH219" s="14"/>
      <c r="CI219" s="14"/>
      <c r="CJ219" s="14"/>
      <c r="CK219" s="14"/>
      <c r="CL219" s="14"/>
      <c r="CM219" s="14"/>
      <c r="CN219" s="14"/>
      <c r="CO219" s="14"/>
      <c r="CP219" s="14"/>
      <c r="CQ219" s="14"/>
      <c r="CR219" s="14"/>
      <c r="CS219" s="14"/>
      <c r="CT219" s="14"/>
      <c r="CU219" s="14"/>
      <c r="CV219" s="14"/>
      <c r="CW219" s="14"/>
      <c r="CX219" s="14"/>
      <c r="CY219" s="14"/>
      <c r="CZ219" s="14"/>
      <c r="DA219" s="14"/>
      <c r="DB219" s="14"/>
      <c r="DC219" s="14"/>
      <c r="DD219" s="14"/>
      <c r="DE219" s="14"/>
      <c r="DF219" s="14"/>
      <c r="DG219" s="14"/>
      <c r="DH219" s="14"/>
      <c r="DI219" s="14"/>
      <c r="DJ219" s="14"/>
      <c r="DK219" s="14"/>
      <c r="DL219" s="14"/>
      <c r="DM219" s="14"/>
      <c r="DN219" s="14"/>
      <c r="DO219" s="14"/>
      <c r="DP219" s="14"/>
      <c r="DQ219" s="14"/>
      <c r="DR219" s="14"/>
      <c r="DS219" s="14"/>
      <c r="DT219" s="14"/>
      <c r="DU219" s="14"/>
      <c r="DV219" s="14"/>
      <c r="DW219" s="14"/>
      <c r="DX219" s="14"/>
      <c r="DY219" s="14"/>
      <c r="DZ219" s="14"/>
      <c r="EA219" s="14"/>
      <c r="EB219" s="14"/>
    </row>
    <row r="220" spans="4:132"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14"/>
      <c r="CC220" s="14"/>
      <c r="CD220" s="14"/>
      <c r="CE220" s="14"/>
      <c r="CF220" s="14"/>
      <c r="CG220" s="14"/>
      <c r="CH220" s="14"/>
      <c r="CI220" s="14"/>
      <c r="CJ220" s="14"/>
      <c r="CK220" s="14"/>
      <c r="CL220" s="14"/>
      <c r="CM220" s="14"/>
      <c r="CN220" s="14"/>
      <c r="CO220" s="14"/>
      <c r="CP220" s="14"/>
      <c r="CQ220" s="14"/>
      <c r="CR220" s="14"/>
      <c r="CS220" s="14"/>
      <c r="CT220" s="14"/>
      <c r="CU220" s="14"/>
      <c r="CV220" s="14"/>
      <c r="CW220" s="14"/>
      <c r="CX220" s="14"/>
      <c r="CY220" s="14"/>
      <c r="CZ220" s="14"/>
      <c r="DA220" s="14"/>
      <c r="DB220" s="14"/>
      <c r="DC220" s="14"/>
      <c r="DD220" s="14"/>
      <c r="DE220" s="14"/>
      <c r="DF220" s="14"/>
      <c r="DG220" s="14"/>
      <c r="DH220" s="14"/>
      <c r="DI220" s="14"/>
      <c r="DJ220" s="14"/>
      <c r="DK220" s="14"/>
      <c r="DL220" s="14"/>
      <c r="DM220" s="14"/>
      <c r="DN220" s="14"/>
      <c r="DO220" s="14"/>
      <c r="DP220" s="14"/>
      <c r="DQ220" s="14"/>
      <c r="DR220" s="14"/>
      <c r="DS220" s="14"/>
      <c r="DT220" s="14"/>
      <c r="DU220" s="14"/>
      <c r="DV220" s="14"/>
      <c r="DW220" s="14"/>
      <c r="DX220" s="14"/>
      <c r="DY220" s="14"/>
      <c r="DZ220" s="14"/>
      <c r="EA220" s="14"/>
      <c r="EB220" s="14"/>
    </row>
    <row r="221" spans="4:132"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14"/>
      <c r="CC221" s="14"/>
      <c r="CD221" s="14"/>
      <c r="CE221" s="14"/>
      <c r="CF221" s="14"/>
      <c r="CG221" s="14"/>
      <c r="CH221" s="14"/>
      <c r="CI221" s="14"/>
      <c r="CJ221" s="14"/>
      <c r="CK221" s="14"/>
      <c r="CL221" s="14"/>
      <c r="CM221" s="14"/>
      <c r="CN221" s="14"/>
      <c r="CO221" s="14"/>
      <c r="CP221" s="14"/>
      <c r="CQ221" s="14"/>
      <c r="CR221" s="14"/>
      <c r="CS221" s="14"/>
      <c r="CT221" s="14"/>
      <c r="CU221" s="14"/>
      <c r="CV221" s="14"/>
      <c r="CW221" s="14"/>
      <c r="CX221" s="14"/>
      <c r="CY221" s="14"/>
      <c r="CZ221" s="14"/>
      <c r="DA221" s="14"/>
      <c r="DB221" s="14"/>
      <c r="DC221" s="14"/>
      <c r="DD221" s="14"/>
      <c r="DE221" s="14"/>
      <c r="DF221" s="14"/>
      <c r="DG221" s="14"/>
      <c r="DH221" s="14"/>
      <c r="DI221" s="14"/>
      <c r="DJ221" s="14"/>
      <c r="DK221" s="14"/>
      <c r="DL221" s="14"/>
      <c r="DM221" s="14"/>
      <c r="DN221" s="14"/>
      <c r="DO221" s="14"/>
      <c r="DP221" s="14"/>
      <c r="DQ221" s="14"/>
      <c r="DR221" s="14"/>
      <c r="DS221" s="14"/>
      <c r="DT221" s="14"/>
      <c r="DU221" s="14"/>
      <c r="DV221" s="14"/>
      <c r="DW221" s="14"/>
      <c r="DX221" s="14"/>
      <c r="DY221" s="14"/>
      <c r="DZ221" s="14"/>
      <c r="EA221" s="14"/>
      <c r="EB221" s="14"/>
    </row>
    <row r="222" spans="4:132"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14"/>
      <c r="CC222" s="14"/>
      <c r="CD222" s="14"/>
      <c r="CE222" s="14"/>
      <c r="CF222" s="14"/>
      <c r="CG222" s="14"/>
      <c r="CH222" s="14"/>
      <c r="CI222" s="14"/>
      <c r="CJ222" s="14"/>
      <c r="CK222" s="14"/>
      <c r="CL222" s="14"/>
      <c r="CM222" s="14"/>
      <c r="CN222" s="14"/>
      <c r="CO222" s="14"/>
      <c r="CP222" s="14"/>
      <c r="CQ222" s="14"/>
      <c r="CR222" s="14"/>
      <c r="CS222" s="14"/>
      <c r="CT222" s="14"/>
      <c r="CU222" s="14"/>
      <c r="CV222" s="14"/>
      <c r="CW222" s="14"/>
      <c r="CX222" s="14"/>
      <c r="CY222" s="14"/>
      <c r="CZ222" s="14"/>
      <c r="DA222" s="14"/>
      <c r="DB222" s="14"/>
      <c r="DC222" s="14"/>
      <c r="DD222" s="14"/>
      <c r="DE222" s="14"/>
      <c r="DF222" s="14"/>
      <c r="DG222" s="14"/>
      <c r="DH222" s="14"/>
      <c r="DI222" s="14"/>
      <c r="DJ222" s="14"/>
      <c r="DK222" s="14"/>
      <c r="DL222" s="14"/>
      <c r="DM222" s="14"/>
      <c r="DN222" s="14"/>
      <c r="DO222" s="14"/>
      <c r="DP222" s="14"/>
      <c r="DQ222" s="14"/>
      <c r="DR222" s="14"/>
      <c r="DS222" s="14"/>
      <c r="DT222" s="14"/>
      <c r="DU222" s="14"/>
      <c r="DV222" s="14"/>
      <c r="DW222" s="14"/>
      <c r="DX222" s="14"/>
      <c r="DY222" s="14"/>
      <c r="DZ222" s="14"/>
      <c r="EA222" s="14"/>
      <c r="EB222" s="14"/>
    </row>
    <row r="223" spans="4:132"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14"/>
      <c r="CC223" s="14"/>
      <c r="CD223" s="14"/>
      <c r="CE223" s="14"/>
      <c r="CF223" s="14"/>
      <c r="CG223" s="14"/>
      <c r="CH223" s="14"/>
      <c r="CI223" s="14"/>
      <c r="CJ223" s="14"/>
      <c r="CK223" s="14"/>
      <c r="CL223" s="14"/>
      <c r="CM223" s="14"/>
      <c r="CN223" s="14"/>
      <c r="CO223" s="14"/>
      <c r="CP223" s="14"/>
      <c r="CQ223" s="14"/>
      <c r="CR223" s="14"/>
      <c r="CS223" s="14"/>
      <c r="CT223" s="14"/>
      <c r="CU223" s="14"/>
      <c r="CV223" s="14"/>
      <c r="CW223" s="14"/>
      <c r="CX223" s="14"/>
      <c r="CY223" s="14"/>
      <c r="CZ223" s="14"/>
      <c r="DA223" s="14"/>
      <c r="DB223" s="14"/>
      <c r="DC223" s="14"/>
      <c r="DD223" s="14"/>
      <c r="DE223" s="14"/>
      <c r="DF223" s="14"/>
      <c r="DG223" s="14"/>
      <c r="DH223" s="14"/>
      <c r="DI223" s="14"/>
      <c r="DJ223" s="14"/>
      <c r="DK223" s="14"/>
      <c r="DL223" s="14"/>
      <c r="DM223" s="14"/>
      <c r="DN223" s="14"/>
      <c r="DO223" s="14"/>
      <c r="DP223" s="14"/>
      <c r="DQ223" s="14"/>
      <c r="DR223" s="14"/>
      <c r="DS223" s="14"/>
      <c r="DT223" s="14"/>
      <c r="DU223" s="14"/>
      <c r="DV223" s="14"/>
      <c r="DW223" s="14"/>
      <c r="DX223" s="14"/>
      <c r="DY223" s="14"/>
      <c r="DZ223" s="14"/>
      <c r="EA223" s="14"/>
      <c r="EB223" s="14"/>
    </row>
    <row r="224" spans="4:132"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14"/>
      <c r="CC224" s="14"/>
      <c r="CD224" s="14"/>
      <c r="CE224" s="14"/>
      <c r="CF224" s="14"/>
      <c r="CG224" s="14"/>
      <c r="CH224" s="14"/>
      <c r="CI224" s="14"/>
      <c r="CJ224" s="14"/>
      <c r="CK224" s="14"/>
      <c r="CL224" s="14"/>
      <c r="CM224" s="14"/>
      <c r="CN224" s="14"/>
      <c r="CO224" s="14"/>
      <c r="CP224" s="14"/>
      <c r="CQ224" s="14"/>
      <c r="CR224" s="14"/>
      <c r="CS224" s="14"/>
      <c r="CT224" s="14"/>
      <c r="CU224" s="14"/>
      <c r="CV224" s="14"/>
      <c r="CW224" s="14"/>
      <c r="CX224" s="14"/>
      <c r="CY224" s="14"/>
      <c r="CZ224" s="14"/>
      <c r="DA224" s="14"/>
      <c r="DB224" s="14"/>
      <c r="DC224" s="14"/>
      <c r="DD224" s="14"/>
      <c r="DE224" s="14"/>
      <c r="DF224" s="14"/>
      <c r="DG224" s="14"/>
      <c r="DH224" s="14"/>
      <c r="DI224" s="14"/>
      <c r="DJ224" s="14"/>
      <c r="DK224" s="14"/>
      <c r="DL224" s="14"/>
      <c r="DM224" s="14"/>
      <c r="DN224" s="14"/>
      <c r="DO224" s="14"/>
      <c r="DP224" s="14"/>
      <c r="DQ224" s="14"/>
      <c r="DR224" s="14"/>
      <c r="DS224" s="14"/>
      <c r="DT224" s="14"/>
      <c r="DU224" s="14"/>
      <c r="DV224" s="14"/>
      <c r="DW224" s="14"/>
      <c r="DX224" s="14"/>
      <c r="DY224" s="14"/>
      <c r="DZ224" s="14"/>
      <c r="EA224" s="14"/>
      <c r="EB224" s="14"/>
    </row>
    <row r="225" spans="4:132"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14"/>
      <c r="CC225" s="14"/>
      <c r="CD225" s="14"/>
      <c r="CE225" s="14"/>
      <c r="CF225" s="14"/>
      <c r="CG225" s="14"/>
      <c r="CH225" s="14"/>
      <c r="CI225" s="14"/>
      <c r="CJ225" s="14"/>
      <c r="CK225" s="14"/>
      <c r="CL225" s="14"/>
      <c r="CM225" s="14"/>
      <c r="CN225" s="14"/>
      <c r="CO225" s="14"/>
      <c r="CP225" s="14"/>
      <c r="CQ225" s="14"/>
      <c r="CR225" s="14"/>
      <c r="CS225" s="14"/>
      <c r="CT225" s="14"/>
      <c r="CU225" s="14"/>
      <c r="CV225" s="14"/>
      <c r="CW225" s="14"/>
      <c r="CX225" s="14"/>
      <c r="CY225" s="14"/>
      <c r="CZ225" s="14"/>
      <c r="DA225" s="14"/>
      <c r="DB225" s="14"/>
      <c r="DC225" s="14"/>
      <c r="DD225" s="14"/>
      <c r="DE225" s="14"/>
      <c r="DF225" s="14"/>
      <c r="DG225" s="14"/>
      <c r="DH225" s="14"/>
      <c r="DI225" s="14"/>
      <c r="DJ225" s="14"/>
      <c r="DK225" s="14"/>
      <c r="DL225" s="14"/>
      <c r="DM225" s="14"/>
      <c r="DN225" s="14"/>
      <c r="DO225" s="14"/>
      <c r="DP225" s="14"/>
      <c r="DQ225" s="14"/>
      <c r="DR225" s="14"/>
      <c r="DS225" s="14"/>
      <c r="DT225" s="14"/>
      <c r="DU225" s="14"/>
      <c r="DV225" s="14"/>
      <c r="DW225" s="14"/>
      <c r="DX225" s="14"/>
      <c r="DY225" s="14"/>
      <c r="DZ225" s="14"/>
      <c r="EA225" s="14"/>
      <c r="EB225" s="14"/>
    </row>
    <row r="226" spans="4:132"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14"/>
      <c r="CC226" s="14"/>
      <c r="CD226" s="14"/>
      <c r="CE226" s="14"/>
      <c r="CF226" s="14"/>
      <c r="CG226" s="14"/>
      <c r="CH226" s="14"/>
      <c r="CI226" s="14"/>
      <c r="CJ226" s="14"/>
      <c r="CK226" s="14"/>
      <c r="CL226" s="14"/>
      <c r="CM226" s="14"/>
      <c r="CN226" s="14"/>
      <c r="CO226" s="14"/>
      <c r="CP226" s="14"/>
      <c r="CQ226" s="14"/>
      <c r="CR226" s="14"/>
      <c r="CS226" s="14"/>
      <c r="CT226" s="14"/>
      <c r="CU226" s="14"/>
      <c r="CV226" s="14"/>
      <c r="CW226" s="14"/>
      <c r="CX226" s="14"/>
      <c r="CY226" s="14"/>
      <c r="CZ226" s="14"/>
      <c r="DA226" s="14"/>
      <c r="DB226" s="14"/>
      <c r="DC226" s="14"/>
      <c r="DD226" s="14"/>
      <c r="DE226" s="14"/>
      <c r="DF226" s="14"/>
      <c r="DG226" s="14"/>
      <c r="DH226" s="14"/>
      <c r="DI226" s="14"/>
      <c r="DJ226" s="14"/>
      <c r="DK226" s="14"/>
      <c r="DL226" s="14"/>
      <c r="DM226" s="14"/>
      <c r="DN226" s="14"/>
      <c r="DO226" s="14"/>
      <c r="DP226" s="14"/>
      <c r="DQ226" s="14"/>
      <c r="DR226" s="14"/>
      <c r="DS226" s="14"/>
      <c r="DT226" s="14"/>
      <c r="DU226" s="14"/>
      <c r="DV226" s="14"/>
      <c r="DW226" s="14"/>
      <c r="DX226" s="14"/>
      <c r="DY226" s="14"/>
      <c r="DZ226" s="14"/>
      <c r="EA226" s="14"/>
      <c r="EB226" s="14"/>
    </row>
    <row r="227" spans="4:132"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14"/>
      <c r="CC227" s="14"/>
      <c r="CD227" s="14"/>
      <c r="CE227" s="14"/>
      <c r="CF227" s="14"/>
      <c r="CG227" s="14"/>
      <c r="CH227" s="14"/>
      <c r="CI227" s="14"/>
      <c r="CJ227" s="14"/>
      <c r="CK227" s="14"/>
      <c r="CL227" s="14"/>
      <c r="CM227" s="14"/>
      <c r="CN227" s="14"/>
      <c r="CO227" s="14"/>
      <c r="CP227" s="14"/>
      <c r="CQ227" s="14"/>
      <c r="CR227" s="14"/>
      <c r="CS227" s="14"/>
      <c r="CT227" s="14"/>
      <c r="CU227" s="14"/>
      <c r="CV227" s="14"/>
      <c r="CW227" s="14"/>
      <c r="CX227" s="14"/>
      <c r="CY227" s="14"/>
      <c r="CZ227" s="14"/>
      <c r="DA227" s="14"/>
      <c r="DB227" s="14"/>
      <c r="DC227" s="14"/>
      <c r="DD227" s="14"/>
      <c r="DE227" s="14"/>
      <c r="DF227" s="14"/>
      <c r="DG227" s="14"/>
      <c r="DH227" s="14"/>
      <c r="DI227" s="14"/>
      <c r="DJ227" s="14"/>
      <c r="DK227" s="14"/>
      <c r="DL227" s="14"/>
      <c r="DM227" s="14"/>
      <c r="DN227" s="14"/>
      <c r="DO227" s="14"/>
      <c r="DP227" s="14"/>
      <c r="DQ227" s="14"/>
      <c r="DR227" s="14"/>
      <c r="DS227" s="14"/>
      <c r="DT227" s="14"/>
      <c r="DU227" s="14"/>
      <c r="DV227" s="14"/>
      <c r="DW227" s="14"/>
      <c r="DX227" s="14"/>
      <c r="DY227" s="14"/>
      <c r="DZ227" s="14"/>
      <c r="EA227" s="14"/>
      <c r="EB227" s="14"/>
    </row>
    <row r="228" spans="4:132"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14"/>
      <c r="CC228" s="14"/>
      <c r="CD228" s="14"/>
      <c r="CE228" s="14"/>
      <c r="CF228" s="14"/>
      <c r="CG228" s="14"/>
      <c r="CH228" s="14"/>
      <c r="CI228" s="14"/>
      <c r="CJ228" s="14"/>
      <c r="CK228" s="14"/>
      <c r="CL228" s="14"/>
      <c r="CM228" s="14"/>
      <c r="CN228" s="14"/>
      <c r="CO228" s="14"/>
      <c r="CP228" s="14"/>
      <c r="CQ228" s="14"/>
      <c r="CR228" s="14"/>
      <c r="CS228" s="14"/>
      <c r="CT228" s="14"/>
      <c r="CU228" s="14"/>
      <c r="CV228" s="14"/>
      <c r="CW228" s="14"/>
      <c r="CX228" s="14"/>
      <c r="CY228" s="14"/>
      <c r="CZ228" s="14"/>
      <c r="DA228" s="14"/>
      <c r="DB228" s="14"/>
      <c r="DC228" s="14"/>
      <c r="DD228" s="14"/>
      <c r="DE228" s="14"/>
      <c r="DF228" s="14"/>
      <c r="DG228" s="14"/>
      <c r="DH228" s="14"/>
      <c r="DI228" s="14"/>
      <c r="DJ228" s="14"/>
      <c r="DK228" s="14"/>
      <c r="DL228" s="14"/>
      <c r="DM228" s="14"/>
      <c r="DN228" s="14"/>
      <c r="DO228" s="14"/>
      <c r="DP228" s="14"/>
      <c r="DQ228" s="14"/>
      <c r="DR228" s="14"/>
      <c r="DS228" s="14"/>
      <c r="DT228" s="14"/>
      <c r="DU228" s="14"/>
      <c r="DV228" s="14"/>
      <c r="DW228" s="14"/>
      <c r="DX228" s="14"/>
      <c r="DY228" s="14"/>
      <c r="DZ228" s="14"/>
      <c r="EA228" s="14"/>
      <c r="EB228" s="14"/>
    </row>
    <row r="229" spans="4:132"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14"/>
      <c r="CC229" s="14"/>
      <c r="CD229" s="14"/>
      <c r="CE229" s="14"/>
      <c r="CF229" s="14"/>
      <c r="CG229" s="14"/>
      <c r="CH229" s="14"/>
      <c r="CI229" s="14"/>
      <c r="CJ229" s="14"/>
      <c r="CK229" s="14"/>
      <c r="CL229" s="14"/>
      <c r="CM229" s="14"/>
      <c r="CN229" s="14"/>
      <c r="CO229" s="14"/>
      <c r="CP229" s="14"/>
      <c r="CQ229" s="14"/>
      <c r="CR229" s="14"/>
      <c r="CS229" s="14"/>
      <c r="CT229" s="14"/>
      <c r="CU229" s="14"/>
      <c r="CV229" s="14"/>
      <c r="CW229" s="14"/>
      <c r="CX229" s="14"/>
      <c r="CY229" s="14"/>
      <c r="CZ229" s="14"/>
      <c r="DA229" s="14"/>
      <c r="DB229" s="14"/>
      <c r="DC229" s="14"/>
      <c r="DD229" s="14"/>
      <c r="DE229" s="14"/>
      <c r="DF229" s="14"/>
      <c r="DG229" s="14"/>
      <c r="DH229" s="14"/>
      <c r="DI229" s="14"/>
      <c r="DJ229" s="14"/>
      <c r="DK229" s="14"/>
      <c r="DL229" s="14"/>
      <c r="DM229" s="14"/>
      <c r="DN229" s="14"/>
      <c r="DO229" s="14"/>
      <c r="DP229" s="14"/>
      <c r="DQ229" s="14"/>
      <c r="DR229" s="14"/>
      <c r="DS229" s="14"/>
      <c r="DT229" s="14"/>
      <c r="DU229" s="14"/>
      <c r="DV229" s="14"/>
      <c r="DW229" s="14"/>
      <c r="DX229" s="14"/>
      <c r="DY229" s="14"/>
      <c r="DZ229" s="14"/>
      <c r="EA229" s="14"/>
      <c r="EB229" s="14"/>
    </row>
    <row r="230" spans="4:132"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14"/>
      <c r="CC230" s="14"/>
      <c r="CD230" s="14"/>
      <c r="CE230" s="14"/>
      <c r="CF230" s="14"/>
      <c r="CG230" s="14"/>
      <c r="CH230" s="14"/>
      <c r="CI230" s="14"/>
      <c r="CJ230" s="14"/>
      <c r="CK230" s="14"/>
      <c r="CL230" s="14"/>
      <c r="CM230" s="14"/>
      <c r="CN230" s="14"/>
      <c r="CO230" s="14"/>
      <c r="CP230" s="14"/>
      <c r="CQ230" s="14"/>
      <c r="CR230" s="14"/>
      <c r="CS230" s="14"/>
      <c r="CT230" s="14"/>
      <c r="CU230" s="14"/>
      <c r="CV230" s="14"/>
      <c r="CW230" s="14"/>
      <c r="CX230" s="14"/>
      <c r="CY230" s="14"/>
      <c r="CZ230" s="14"/>
      <c r="DA230" s="14"/>
      <c r="DB230" s="14"/>
      <c r="DC230" s="14"/>
      <c r="DD230" s="14"/>
      <c r="DE230" s="14"/>
      <c r="DF230" s="14"/>
      <c r="DG230" s="14"/>
      <c r="DH230" s="14"/>
      <c r="DI230" s="14"/>
      <c r="DJ230" s="14"/>
      <c r="DK230" s="14"/>
      <c r="DL230" s="14"/>
      <c r="DM230" s="14"/>
      <c r="DN230" s="14"/>
      <c r="DO230" s="14"/>
      <c r="DP230" s="14"/>
      <c r="DQ230" s="14"/>
      <c r="DR230" s="14"/>
      <c r="DS230" s="14"/>
      <c r="DT230" s="14"/>
      <c r="DU230" s="14"/>
      <c r="DV230" s="14"/>
      <c r="DW230" s="14"/>
      <c r="DX230" s="14"/>
      <c r="DY230" s="14"/>
      <c r="DZ230" s="14"/>
      <c r="EA230" s="14"/>
      <c r="EB230" s="14"/>
    </row>
    <row r="231" spans="4:132"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14"/>
      <c r="CC231" s="14"/>
      <c r="CD231" s="14"/>
      <c r="CE231" s="14"/>
      <c r="CF231" s="14"/>
      <c r="CG231" s="14"/>
      <c r="CH231" s="14"/>
      <c r="CI231" s="14"/>
      <c r="CJ231" s="14"/>
      <c r="CK231" s="14"/>
      <c r="CL231" s="14"/>
      <c r="CM231" s="14"/>
      <c r="CN231" s="14"/>
      <c r="CO231" s="14"/>
      <c r="CP231" s="14"/>
      <c r="CQ231" s="14"/>
      <c r="CR231" s="14"/>
      <c r="CS231" s="14"/>
      <c r="CT231" s="14"/>
      <c r="CU231" s="14"/>
      <c r="CV231" s="14"/>
      <c r="CW231" s="14"/>
      <c r="CX231" s="14"/>
      <c r="CY231" s="14"/>
      <c r="CZ231" s="14"/>
      <c r="DA231" s="14"/>
      <c r="DB231" s="14"/>
      <c r="DC231" s="14"/>
      <c r="DD231" s="14"/>
      <c r="DE231" s="14"/>
      <c r="DF231" s="14"/>
      <c r="DG231" s="14"/>
      <c r="DH231" s="14"/>
      <c r="DI231" s="14"/>
      <c r="DJ231" s="14"/>
      <c r="DK231" s="14"/>
      <c r="DL231" s="14"/>
      <c r="DM231" s="14"/>
      <c r="DN231" s="14"/>
      <c r="DO231" s="14"/>
      <c r="DP231" s="14"/>
      <c r="DQ231" s="14"/>
      <c r="DR231" s="14"/>
      <c r="DS231" s="14"/>
      <c r="DT231" s="14"/>
      <c r="DU231" s="14"/>
      <c r="DV231" s="14"/>
      <c r="DW231" s="14"/>
      <c r="DX231" s="14"/>
      <c r="DY231" s="14"/>
      <c r="DZ231" s="14"/>
      <c r="EA231" s="14"/>
      <c r="EB231" s="14"/>
    </row>
    <row r="232" spans="4:132"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14"/>
      <c r="CC232" s="14"/>
      <c r="CD232" s="14"/>
      <c r="CE232" s="14"/>
      <c r="CF232" s="14"/>
      <c r="CG232" s="14"/>
      <c r="CH232" s="14"/>
      <c r="CI232" s="14"/>
      <c r="CJ232" s="14"/>
      <c r="CK232" s="14"/>
      <c r="CL232" s="14"/>
      <c r="CM232" s="14"/>
      <c r="CN232" s="14"/>
      <c r="CO232" s="14"/>
      <c r="CP232" s="14"/>
      <c r="CQ232" s="14"/>
      <c r="CR232" s="14"/>
      <c r="CS232" s="14"/>
      <c r="CT232" s="14"/>
      <c r="CU232" s="14"/>
      <c r="CV232" s="14"/>
      <c r="CW232" s="14"/>
      <c r="CX232" s="14"/>
      <c r="CY232" s="14"/>
      <c r="CZ232" s="14"/>
      <c r="DA232" s="14"/>
      <c r="DB232" s="14"/>
      <c r="DC232" s="14"/>
      <c r="DD232" s="14"/>
      <c r="DE232" s="14"/>
      <c r="DF232" s="14"/>
      <c r="DG232" s="14"/>
      <c r="DH232" s="14"/>
      <c r="DI232" s="14"/>
      <c r="DJ232" s="14"/>
      <c r="DK232" s="14"/>
      <c r="DL232" s="14"/>
      <c r="DM232" s="14"/>
      <c r="DN232" s="14"/>
      <c r="DO232" s="14"/>
      <c r="DP232" s="14"/>
      <c r="DQ232" s="14"/>
      <c r="DR232" s="14"/>
      <c r="DS232" s="14"/>
      <c r="DT232" s="14"/>
      <c r="DU232" s="14"/>
      <c r="DV232" s="14"/>
      <c r="DW232" s="14"/>
      <c r="DX232" s="14"/>
      <c r="DY232" s="14"/>
      <c r="DZ232" s="14"/>
      <c r="EA232" s="14"/>
      <c r="EB232" s="14"/>
    </row>
    <row r="233" spans="4:132"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14"/>
      <c r="CC233" s="14"/>
      <c r="CD233" s="14"/>
      <c r="CE233" s="14"/>
      <c r="CF233" s="14"/>
      <c r="CG233" s="14"/>
      <c r="CH233" s="14"/>
      <c r="CI233" s="14"/>
      <c r="CJ233" s="14"/>
      <c r="CK233" s="14"/>
      <c r="CL233" s="14"/>
      <c r="CM233" s="14"/>
      <c r="CN233" s="14"/>
      <c r="CO233" s="14"/>
      <c r="CP233" s="14"/>
      <c r="CQ233" s="14"/>
      <c r="CR233" s="14"/>
      <c r="CS233" s="14"/>
      <c r="CT233" s="14"/>
      <c r="CU233" s="14"/>
      <c r="CV233" s="14"/>
      <c r="CW233" s="14"/>
      <c r="CX233" s="14"/>
      <c r="CY233" s="14"/>
      <c r="CZ233" s="14"/>
      <c r="DA233" s="14"/>
      <c r="DB233" s="14"/>
      <c r="DC233" s="14"/>
      <c r="DD233" s="14"/>
      <c r="DE233" s="14"/>
      <c r="DF233" s="14"/>
      <c r="DG233" s="14"/>
      <c r="DH233" s="14"/>
      <c r="DI233" s="14"/>
      <c r="DJ233" s="14"/>
      <c r="DK233" s="14"/>
      <c r="DL233" s="14"/>
      <c r="DM233" s="14"/>
      <c r="DN233" s="14"/>
      <c r="DO233" s="14"/>
      <c r="DP233" s="14"/>
      <c r="DQ233" s="14"/>
      <c r="DR233" s="14"/>
      <c r="DS233" s="14"/>
      <c r="DT233" s="14"/>
      <c r="DU233" s="14"/>
      <c r="DV233" s="14"/>
      <c r="DW233" s="14"/>
      <c r="DX233" s="14"/>
      <c r="DY233" s="14"/>
      <c r="DZ233" s="14"/>
      <c r="EA233" s="14"/>
      <c r="EB233" s="14"/>
    </row>
    <row r="234" spans="4:132"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14"/>
      <c r="CC234" s="14"/>
      <c r="CD234" s="14"/>
      <c r="CE234" s="14"/>
      <c r="CF234" s="14"/>
      <c r="CG234" s="14"/>
      <c r="CH234" s="14"/>
      <c r="CI234" s="14"/>
      <c r="CJ234" s="14"/>
      <c r="CK234" s="14"/>
      <c r="CL234" s="14"/>
      <c r="CM234" s="14"/>
      <c r="CN234" s="14"/>
      <c r="CO234" s="14"/>
      <c r="CP234" s="14"/>
      <c r="CQ234" s="14"/>
      <c r="CR234" s="14"/>
      <c r="CS234" s="14"/>
      <c r="CT234" s="14"/>
      <c r="CU234" s="14"/>
      <c r="CV234" s="14"/>
      <c r="CW234" s="14"/>
      <c r="CX234" s="14"/>
      <c r="CY234" s="14"/>
      <c r="CZ234" s="14"/>
      <c r="DA234" s="14"/>
      <c r="DB234" s="14"/>
      <c r="DC234" s="14"/>
      <c r="DD234" s="14"/>
      <c r="DE234" s="14"/>
      <c r="DF234" s="14"/>
      <c r="DG234" s="14"/>
      <c r="DH234" s="14"/>
      <c r="DI234" s="14"/>
      <c r="DJ234" s="14"/>
      <c r="DK234" s="14"/>
      <c r="DL234" s="14"/>
      <c r="DM234" s="14"/>
      <c r="DN234" s="14"/>
      <c r="DO234" s="14"/>
      <c r="DP234" s="14"/>
      <c r="DQ234" s="14"/>
      <c r="DR234" s="14"/>
      <c r="DS234" s="14"/>
      <c r="DT234" s="14"/>
      <c r="DU234" s="14"/>
      <c r="DV234" s="14"/>
      <c r="DW234" s="14"/>
      <c r="DX234" s="14"/>
      <c r="DY234" s="14"/>
      <c r="DZ234" s="14"/>
      <c r="EA234" s="14"/>
      <c r="EB234" s="14"/>
    </row>
    <row r="235" spans="4:132"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14"/>
      <c r="CC235" s="14"/>
      <c r="CD235" s="14"/>
      <c r="CE235" s="14"/>
      <c r="CF235" s="14"/>
      <c r="CG235" s="14"/>
      <c r="CH235" s="14"/>
      <c r="CI235" s="14"/>
      <c r="CJ235" s="14"/>
      <c r="CK235" s="14"/>
      <c r="CL235" s="14"/>
      <c r="CM235" s="14"/>
      <c r="CN235" s="14"/>
      <c r="CO235" s="14"/>
      <c r="CP235" s="14"/>
      <c r="CQ235" s="14"/>
      <c r="CR235" s="14"/>
      <c r="CS235" s="14"/>
      <c r="CT235" s="14"/>
      <c r="CU235" s="14"/>
      <c r="CV235" s="14"/>
      <c r="CW235" s="14"/>
      <c r="CX235" s="14"/>
      <c r="CY235" s="14"/>
      <c r="CZ235" s="14"/>
      <c r="DA235" s="14"/>
      <c r="DB235" s="14"/>
      <c r="DC235" s="14"/>
      <c r="DD235" s="14"/>
      <c r="DE235" s="14"/>
      <c r="DF235" s="14"/>
      <c r="DG235" s="14"/>
      <c r="DH235" s="14"/>
      <c r="DI235" s="14"/>
      <c r="DJ235" s="14"/>
      <c r="DK235" s="14"/>
      <c r="DL235" s="14"/>
      <c r="DM235" s="14"/>
      <c r="DN235" s="14"/>
      <c r="DO235" s="14"/>
      <c r="DP235" s="14"/>
      <c r="DQ235" s="14"/>
      <c r="DR235" s="14"/>
      <c r="DS235" s="14"/>
      <c r="DT235" s="14"/>
      <c r="DU235" s="14"/>
      <c r="DV235" s="14"/>
      <c r="DW235" s="14"/>
      <c r="DX235" s="14"/>
      <c r="DY235" s="14"/>
      <c r="DZ235" s="14"/>
      <c r="EA235" s="14"/>
      <c r="EB235" s="14"/>
    </row>
    <row r="236" spans="4:132"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14"/>
      <c r="CC236" s="14"/>
      <c r="CD236" s="14"/>
      <c r="CE236" s="14"/>
      <c r="CF236" s="14"/>
      <c r="CG236" s="14"/>
      <c r="CH236" s="14"/>
      <c r="CI236" s="14"/>
      <c r="CJ236" s="14"/>
      <c r="CK236" s="14"/>
      <c r="CL236" s="14"/>
      <c r="CM236" s="14"/>
      <c r="CN236" s="14"/>
      <c r="CO236" s="14"/>
      <c r="CP236" s="14"/>
      <c r="CQ236" s="14"/>
      <c r="CR236" s="14"/>
      <c r="CS236" s="14"/>
      <c r="CT236" s="14"/>
      <c r="CU236" s="14"/>
      <c r="CV236" s="14"/>
      <c r="CW236" s="14"/>
      <c r="CX236" s="14"/>
      <c r="CY236" s="14"/>
      <c r="CZ236" s="14"/>
      <c r="DA236" s="14"/>
      <c r="DB236" s="14"/>
      <c r="DC236" s="14"/>
      <c r="DD236" s="14"/>
      <c r="DE236" s="14"/>
      <c r="DF236" s="14"/>
      <c r="DG236" s="14"/>
      <c r="DH236" s="14"/>
      <c r="DI236" s="14"/>
      <c r="DJ236" s="14"/>
      <c r="DK236" s="14"/>
      <c r="DL236" s="14"/>
      <c r="DM236" s="14"/>
      <c r="DN236" s="14"/>
      <c r="DO236" s="14"/>
      <c r="DP236" s="14"/>
      <c r="DQ236" s="14"/>
      <c r="DR236" s="14"/>
      <c r="DS236" s="14"/>
      <c r="DT236" s="14"/>
      <c r="DU236" s="14"/>
      <c r="DV236" s="14"/>
      <c r="DW236" s="14"/>
      <c r="DX236" s="14"/>
      <c r="DY236" s="14"/>
      <c r="DZ236" s="14"/>
      <c r="EA236" s="14"/>
      <c r="EB236" s="14"/>
    </row>
    <row r="237" spans="4:132"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14"/>
      <c r="CC237" s="14"/>
      <c r="CD237" s="14"/>
      <c r="CE237" s="14"/>
      <c r="CF237" s="14"/>
      <c r="CG237" s="14"/>
      <c r="CH237" s="14"/>
      <c r="CI237" s="14"/>
      <c r="CJ237" s="14"/>
      <c r="CK237" s="14"/>
      <c r="CL237" s="14"/>
      <c r="CM237" s="14"/>
      <c r="CN237" s="14"/>
      <c r="CO237" s="14"/>
      <c r="CP237" s="14"/>
      <c r="CQ237" s="14"/>
      <c r="CR237" s="14"/>
      <c r="CS237" s="14"/>
      <c r="CT237" s="14"/>
      <c r="CU237" s="14"/>
      <c r="CV237" s="14"/>
      <c r="CW237" s="14"/>
      <c r="CX237" s="14"/>
      <c r="CY237" s="14"/>
      <c r="CZ237" s="14"/>
      <c r="DA237" s="14"/>
      <c r="DB237" s="14"/>
      <c r="DC237" s="14"/>
      <c r="DD237" s="14"/>
      <c r="DE237" s="14"/>
      <c r="DF237" s="14"/>
      <c r="DG237" s="14"/>
      <c r="DH237" s="14"/>
      <c r="DI237" s="14"/>
      <c r="DJ237" s="14"/>
      <c r="DK237" s="14"/>
      <c r="DL237" s="14"/>
      <c r="DM237" s="14"/>
      <c r="DN237" s="14"/>
      <c r="DO237" s="14"/>
      <c r="DP237" s="14"/>
      <c r="DQ237" s="14"/>
      <c r="DR237" s="14"/>
      <c r="DS237" s="14"/>
      <c r="DT237" s="14"/>
      <c r="DU237" s="14"/>
      <c r="DV237" s="14"/>
      <c r="DW237" s="14"/>
      <c r="DX237" s="14"/>
      <c r="DY237" s="14"/>
      <c r="DZ237" s="14"/>
      <c r="EA237" s="14"/>
      <c r="EB237" s="14"/>
    </row>
    <row r="238" spans="4:132"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14"/>
      <c r="CC238" s="14"/>
      <c r="CD238" s="14"/>
      <c r="CE238" s="14"/>
      <c r="CF238" s="14"/>
      <c r="CG238" s="14"/>
      <c r="CH238" s="14"/>
      <c r="CI238" s="14"/>
      <c r="CJ238" s="14"/>
      <c r="CK238" s="14"/>
      <c r="CL238" s="14"/>
      <c r="CM238" s="14"/>
      <c r="CN238" s="14"/>
      <c r="CO238" s="14"/>
      <c r="CP238" s="14"/>
      <c r="CQ238" s="14"/>
      <c r="CR238" s="14"/>
      <c r="CS238" s="14"/>
      <c r="CT238" s="14"/>
      <c r="CU238" s="14"/>
      <c r="CV238" s="14"/>
      <c r="CW238" s="14"/>
      <c r="CX238" s="14"/>
      <c r="CY238" s="14"/>
      <c r="CZ238" s="14"/>
      <c r="DA238" s="14"/>
      <c r="DB238" s="14"/>
      <c r="DC238" s="14"/>
      <c r="DD238" s="14"/>
      <c r="DE238" s="14"/>
      <c r="DF238" s="14"/>
      <c r="DG238" s="14"/>
      <c r="DH238" s="14"/>
      <c r="DI238" s="14"/>
      <c r="DJ238" s="14"/>
      <c r="DK238" s="14"/>
      <c r="DL238" s="14"/>
      <c r="DM238" s="14"/>
      <c r="DN238" s="14"/>
      <c r="DO238" s="14"/>
      <c r="DP238" s="14"/>
      <c r="DQ238" s="14"/>
      <c r="DR238" s="14"/>
      <c r="DS238" s="14"/>
      <c r="DT238" s="14"/>
      <c r="DU238" s="14"/>
      <c r="DV238" s="14"/>
      <c r="DW238" s="14"/>
      <c r="DX238" s="14"/>
      <c r="DY238" s="14"/>
      <c r="DZ238" s="14"/>
      <c r="EA238" s="14"/>
      <c r="EB238" s="14"/>
    </row>
    <row r="239" spans="4:132"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14"/>
      <c r="CC239" s="14"/>
      <c r="CD239" s="14"/>
      <c r="CE239" s="14"/>
      <c r="CF239" s="14"/>
      <c r="CG239" s="14"/>
      <c r="CH239" s="14"/>
      <c r="CI239" s="14"/>
      <c r="CJ239" s="14"/>
      <c r="CK239" s="14"/>
      <c r="CL239" s="14"/>
      <c r="CM239" s="14"/>
      <c r="CN239" s="14"/>
      <c r="CO239" s="14"/>
      <c r="CP239" s="14"/>
      <c r="CQ239" s="14"/>
      <c r="CR239" s="14"/>
      <c r="CS239" s="14"/>
      <c r="CT239" s="14"/>
      <c r="CU239" s="14"/>
      <c r="CV239" s="14"/>
      <c r="CW239" s="14"/>
      <c r="CX239" s="14"/>
      <c r="CY239" s="14"/>
      <c r="CZ239" s="14"/>
      <c r="DA239" s="14"/>
      <c r="DB239" s="14"/>
      <c r="DC239" s="14"/>
      <c r="DD239" s="14"/>
      <c r="DE239" s="14"/>
      <c r="DF239" s="14"/>
      <c r="DG239" s="14"/>
      <c r="DH239" s="14"/>
      <c r="DI239" s="14"/>
      <c r="DJ239" s="14"/>
      <c r="DK239" s="14"/>
      <c r="DL239" s="14"/>
      <c r="DM239" s="14"/>
      <c r="DN239" s="14"/>
      <c r="DO239" s="14"/>
      <c r="DP239" s="14"/>
      <c r="DQ239" s="14"/>
      <c r="DR239" s="14"/>
      <c r="DS239" s="14"/>
      <c r="DT239" s="14"/>
      <c r="DU239" s="14"/>
      <c r="DV239" s="14"/>
      <c r="DW239" s="14"/>
      <c r="DX239" s="14"/>
      <c r="DY239" s="14"/>
      <c r="DZ239" s="14"/>
      <c r="EA239" s="14"/>
      <c r="EB239" s="14"/>
    </row>
    <row r="240" spans="4:132"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14"/>
      <c r="CC240" s="14"/>
      <c r="CD240" s="14"/>
      <c r="CE240" s="14"/>
      <c r="CF240" s="14"/>
      <c r="CG240" s="14"/>
      <c r="CH240" s="14"/>
      <c r="CI240" s="14"/>
      <c r="CJ240" s="14"/>
      <c r="CK240" s="14"/>
      <c r="CL240" s="14"/>
      <c r="CM240" s="14"/>
      <c r="CN240" s="14"/>
      <c r="CO240" s="14"/>
      <c r="CP240" s="14"/>
      <c r="CQ240" s="14"/>
      <c r="CR240" s="14"/>
      <c r="CS240" s="14"/>
      <c r="CT240" s="14"/>
      <c r="CU240" s="14"/>
      <c r="CV240" s="14"/>
      <c r="CW240" s="14"/>
      <c r="CX240" s="14"/>
      <c r="CY240" s="14"/>
      <c r="CZ240" s="14"/>
      <c r="DA240" s="14"/>
      <c r="DB240" s="14"/>
      <c r="DC240" s="14"/>
      <c r="DD240" s="14"/>
      <c r="DE240" s="14"/>
      <c r="DF240" s="14"/>
      <c r="DG240" s="14"/>
      <c r="DH240" s="14"/>
      <c r="DI240" s="14"/>
      <c r="DJ240" s="14"/>
      <c r="DK240" s="14"/>
      <c r="DL240" s="14"/>
      <c r="DM240" s="14"/>
      <c r="DN240" s="14"/>
      <c r="DO240" s="14"/>
      <c r="DP240" s="14"/>
      <c r="DQ240" s="14"/>
      <c r="DR240" s="14"/>
      <c r="DS240" s="14"/>
      <c r="DT240" s="14"/>
      <c r="DU240" s="14"/>
      <c r="DV240" s="14"/>
      <c r="DW240" s="14"/>
      <c r="DX240" s="14"/>
      <c r="DY240" s="14"/>
      <c r="DZ240" s="14"/>
      <c r="EA240" s="14"/>
      <c r="EB240" s="14"/>
    </row>
    <row r="241" spans="4:132"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14"/>
      <c r="CC241" s="14"/>
      <c r="CD241" s="14"/>
      <c r="CE241" s="14"/>
      <c r="CF241" s="14"/>
      <c r="CG241" s="14"/>
      <c r="CH241" s="14"/>
      <c r="CI241" s="14"/>
      <c r="CJ241" s="14"/>
      <c r="CK241" s="14"/>
      <c r="CL241" s="14"/>
      <c r="CM241" s="14"/>
      <c r="CN241" s="14"/>
      <c r="CO241" s="14"/>
      <c r="CP241" s="14"/>
      <c r="CQ241" s="14"/>
      <c r="CR241" s="14"/>
      <c r="CS241" s="14"/>
      <c r="CT241" s="14"/>
      <c r="CU241" s="14"/>
      <c r="CV241" s="14"/>
      <c r="CW241" s="14"/>
      <c r="CX241" s="14"/>
      <c r="CY241" s="14"/>
      <c r="CZ241" s="14"/>
      <c r="DA241" s="14"/>
      <c r="DB241" s="14"/>
      <c r="DC241" s="14"/>
      <c r="DD241" s="14"/>
      <c r="DE241" s="14"/>
      <c r="DF241" s="14"/>
      <c r="DG241" s="14"/>
      <c r="DH241" s="14"/>
      <c r="DI241" s="14"/>
      <c r="DJ241" s="14"/>
      <c r="DK241" s="14"/>
      <c r="DL241" s="14"/>
      <c r="DM241" s="14"/>
      <c r="DN241" s="14"/>
      <c r="DO241" s="14"/>
      <c r="DP241" s="14"/>
      <c r="DQ241" s="14"/>
      <c r="DR241" s="14"/>
      <c r="DS241" s="14"/>
      <c r="DT241" s="14"/>
      <c r="DU241" s="14"/>
      <c r="DV241" s="14"/>
      <c r="DW241" s="14"/>
      <c r="DX241" s="14"/>
      <c r="DY241" s="14"/>
      <c r="DZ241" s="14"/>
      <c r="EA241" s="14"/>
      <c r="EB241" s="14"/>
    </row>
    <row r="242" spans="4:132"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14"/>
      <c r="CC242" s="14"/>
      <c r="CD242" s="14"/>
      <c r="CE242" s="14"/>
      <c r="CF242" s="14"/>
      <c r="CG242" s="14"/>
      <c r="CH242" s="14"/>
      <c r="CI242" s="14"/>
      <c r="CJ242" s="14"/>
      <c r="CK242" s="14"/>
      <c r="CL242" s="14"/>
      <c r="CM242" s="14"/>
      <c r="CN242" s="14"/>
      <c r="CO242" s="14"/>
      <c r="CP242" s="14"/>
      <c r="CQ242" s="14"/>
      <c r="CR242" s="14"/>
      <c r="CS242" s="14"/>
      <c r="CT242" s="14"/>
      <c r="CU242" s="14"/>
      <c r="CV242" s="14"/>
      <c r="CW242" s="14"/>
      <c r="CX242" s="14"/>
      <c r="CY242" s="14"/>
      <c r="CZ242" s="14"/>
      <c r="DA242" s="14"/>
      <c r="DB242" s="14"/>
      <c r="DC242" s="14"/>
      <c r="DD242" s="14"/>
      <c r="DE242" s="14"/>
      <c r="DF242" s="14"/>
      <c r="DG242" s="14"/>
      <c r="DH242" s="14"/>
      <c r="DI242" s="14"/>
      <c r="DJ242" s="14"/>
      <c r="DK242" s="14"/>
      <c r="DL242" s="14"/>
      <c r="DM242" s="14"/>
      <c r="DN242" s="14"/>
      <c r="DO242" s="14"/>
      <c r="DP242" s="14"/>
      <c r="DQ242" s="14"/>
      <c r="DR242" s="14"/>
      <c r="DS242" s="14"/>
      <c r="DT242" s="14"/>
      <c r="DU242" s="14"/>
      <c r="DV242" s="14"/>
      <c r="DW242" s="14"/>
      <c r="DX242" s="14"/>
      <c r="DY242" s="14"/>
      <c r="DZ242" s="14"/>
      <c r="EA242" s="14"/>
      <c r="EB242" s="14"/>
    </row>
    <row r="243" spans="4:132"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14"/>
      <c r="CC243" s="14"/>
      <c r="CD243" s="14"/>
      <c r="CE243" s="14"/>
      <c r="CF243" s="14"/>
      <c r="CG243" s="14"/>
      <c r="CH243" s="14"/>
      <c r="CI243" s="14"/>
      <c r="CJ243" s="14"/>
      <c r="CK243" s="14"/>
      <c r="CL243" s="14"/>
      <c r="CM243" s="14"/>
      <c r="CN243" s="14"/>
      <c r="CO243" s="14"/>
      <c r="CP243" s="14"/>
      <c r="CQ243" s="14"/>
      <c r="CR243" s="14"/>
      <c r="CS243" s="14"/>
      <c r="CT243" s="14"/>
      <c r="CU243" s="14"/>
      <c r="CV243" s="14"/>
      <c r="CW243" s="14"/>
      <c r="CX243" s="14"/>
      <c r="CY243" s="14"/>
      <c r="CZ243" s="14"/>
      <c r="DA243" s="14"/>
      <c r="DB243" s="14"/>
      <c r="DC243" s="14"/>
      <c r="DD243" s="14"/>
      <c r="DE243" s="14"/>
      <c r="DF243" s="14"/>
      <c r="DG243" s="14"/>
      <c r="DH243" s="14"/>
      <c r="DI243" s="14"/>
      <c r="DJ243" s="14"/>
      <c r="DK243" s="14"/>
      <c r="DL243" s="14"/>
      <c r="DM243" s="14"/>
      <c r="DN243" s="14"/>
      <c r="DO243" s="14"/>
      <c r="DP243" s="14"/>
      <c r="DQ243" s="14"/>
      <c r="DR243" s="14"/>
      <c r="DS243" s="14"/>
      <c r="DT243" s="14"/>
      <c r="DU243" s="14"/>
      <c r="DV243" s="14"/>
      <c r="DW243" s="14"/>
      <c r="DX243" s="14"/>
      <c r="DY243" s="14"/>
      <c r="DZ243" s="14"/>
      <c r="EA243" s="14"/>
      <c r="EB243" s="14"/>
    </row>
    <row r="244" spans="4:132"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/>
      <c r="BM244" s="40"/>
      <c r="BN244" s="40"/>
      <c r="BO244" s="40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14"/>
      <c r="CC244" s="14"/>
      <c r="CD244" s="14"/>
      <c r="CE244" s="14"/>
      <c r="CF244" s="14"/>
      <c r="CG244" s="14"/>
      <c r="CH244" s="14"/>
      <c r="CI244" s="14"/>
      <c r="CJ244" s="14"/>
      <c r="CK244" s="14"/>
      <c r="CL244" s="14"/>
      <c r="CM244" s="14"/>
      <c r="CN244" s="14"/>
      <c r="CO244" s="14"/>
      <c r="CP244" s="14"/>
      <c r="CQ244" s="14"/>
      <c r="CR244" s="14"/>
      <c r="CS244" s="14"/>
      <c r="CT244" s="14"/>
      <c r="CU244" s="14"/>
      <c r="CV244" s="14"/>
      <c r="CW244" s="14"/>
      <c r="CX244" s="14"/>
      <c r="CY244" s="14"/>
      <c r="CZ244" s="14"/>
      <c r="DA244" s="14"/>
      <c r="DB244" s="14"/>
      <c r="DC244" s="14"/>
      <c r="DD244" s="14"/>
      <c r="DE244" s="14"/>
      <c r="DF244" s="14"/>
      <c r="DG244" s="14"/>
      <c r="DH244" s="14"/>
      <c r="DI244" s="14"/>
      <c r="DJ244" s="14"/>
      <c r="DK244" s="14"/>
      <c r="DL244" s="14"/>
      <c r="DM244" s="14"/>
      <c r="DN244" s="14"/>
      <c r="DO244" s="14"/>
      <c r="DP244" s="14"/>
      <c r="DQ244" s="14"/>
      <c r="DR244" s="14"/>
      <c r="DS244" s="14"/>
      <c r="DT244" s="14"/>
      <c r="DU244" s="14"/>
      <c r="DV244" s="14"/>
      <c r="DW244" s="14"/>
      <c r="DX244" s="14"/>
      <c r="DY244" s="14"/>
      <c r="DZ244" s="14"/>
      <c r="EA244" s="14"/>
      <c r="EB244" s="14"/>
    </row>
    <row r="245" spans="4:132"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14"/>
      <c r="CC245" s="14"/>
      <c r="CD245" s="14"/>
      <c r="CE245" s="14"/>
      <c r="CF245" s="14"/>
      <c r="CG245" s="14"/>
      <c r="CH245" s="14"/>
      <c r="CI245" s="14"/>
      <c r="CJ245" s="14"/>
      <c r="CK245" s="14"/>
      <c r="CL245" s="14"/>
      <c r="CM245" s="14"/>
      <c r="CN245" s="14"/>
      <c r="CO245" s="14"/>
      <c r="CP245" s="14"/>
      <c r="CQ245" s="14"/>
      <c r="CR245" s="14"/>
      <c r="CS245" s="14"/>
      <c r="CT245" s="14"/>
      <c r="CU245" s="14"/>
      <c r="CV245" s="14"/>
      <c r="CW245" s="14"/>
      <c r="CX245" s="14"/>
      <c r="CY245" s="14"/>
      <c r="CZ245" s="14"/>
      <c r="DA245" s="14"/>
      <c r="DB245" s="14"/>
      <c r="DC245" s="14"/>
      <c r="DD245" s="14"/>
      <c r="DE245" s="14"/>
      <c r="DF245" s="14"/>
      <c r="DG245" s="14"/>
      <c r="DH245" s="14"/>
      <c r="DI245" s="14"/>
      <c r="DJ245" s="14"/>
      <c r="DK245" s="14"/>
      <c r="DL245" s="14"/>
      <c r="DM245" s="14"/>
      <c r="DN245" s="14"/>
      <c r="DO245" s="14"/>
      <c r="DP245" s="14"/>
      <c r="DQ245" s="14"/>
      <c r="DR245" s="14"/>
      <c r="DS245" s="14"/>
      <c r="DT245" s="14"/>
      <c r="DU245" s="14"/>
      <c r="DV245" s="14"/>
      <c r="DW245" s="14"/>
      <c r="DX245" s="14"/>
      <c r="DY245" s="14"/>
      <c r="DZ245" s="14"/>
      <c r="EA245" s="14"/>
      <c r="EB245" s="14"/>
    </row>
    <row r="246" spans="4:132"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14"/>
      <c r="CC246" s="14"/>
      <c r="CD246" s="14"/>
      <c r="CE246" s="14"/>
      <c r="CF246" s="14"/>
      <c r="CG246" s="14"/>
      <c r="CH246" s="14"/>
      <c r="CI246" s="14"/>
      <c r="CJ246" s="14"/>
      <c r="CK246" s="14"/>
      <c r="CL246" s="14"/>
      <c r="CM246" s="14"/>
      <c r="CN246" s="14"/>
      <c r="CO246" s="14"/>
      <c r="CP246" s="14"/>
      <c r="CQ246" s="14"/>
      <c r="CR246" s="14"/>
      <c r="CS246" s="14"/>
      <c r="CT246" s="14"/>
      <c r="CU246" s="14"/>
      <c r="CV246" s="14"/>
      <c r="CW246" s="14"/>
      <c r="CX246" s="14"/>
      <c r="CY246" s="14"/>
      <c r="CZ246" s="14"/>
      <c r="DA246" s="14"/>
      <c r="DB246" s="14"/>
      <c r="DC246" s="14"/>
      <c r="DD246" s="14"/>
      <c r="DE246" s="14"/>
      <c r="DF246" s="14"/>
      <c r="DG246" s="14"/>
      <c r="DH246" s="14"/>
      <c r="DI246" s="14"/>
      <c r="DJ246" s="14"/>
      <c r="DK246" s="14"/>
      <c r="DL246" s="14"/>
      <c r="DM246" s="14"/>
      <c r="DN246" s="14"/>
      <c r="DO246" s="14"/>
      <c r="DP246" s="14"/>
      <c r="DQ246" s="14"/>
      <c r="DR246" s="14"/>
      <c r="DS246" s="14"/>
      <c r="DT246" s="14"/>
      <c r="DU246" s="14"/>
      <c r="DV246" s="14"/>
      <c r="DW246" s="14"/>
      <c r="DX246" s="14"/>
      <c r="DY246" s="14"/>
      <c r="DZ246" s="14"/>
      <c r="EA246" s="14"/>
      <c r="EB246" s="14"/>
    </row>
    <row r="247" spans="4:132"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14"/>
      <c r="CC247" s="14"/>
      <c r="CD247" s="14"/>
      <c r="CE247" s="14"/>
      <c r="CF247" s="14"/>
      <c r="CG247" s="14"/>
      <c r="CH247" s="14"/>
      <c r="CI247" s="14"/>
      <c r="CJ247" s="14"/>
      <c r="CK247" s="14"/>
      <c r="CL247" s="14"/>
      <c r="CM247" s="14"/>
      <c r="CN247" s="14"/>
      <c r="CO247" s="14"/>
      <c r="CP247" s="14"/>
      <c r="CQ247" s="14"/>
      <c r="CR247" s="14"/>
      <c r="CS247" s="14"/>
      <c r="CT247" s="14"/>
      <c r="CU247" s="14"/>
      <c r="CV247" s="14"/>
      <c r="CW247" s="14"/>
      <c r="CX247" s="14"/>
      <c r="CY247" s="14"/>
      <c r="CZ247" s="14"/>
      <c r="DA247" s="14"/>
      <c r="DB247" s="14"/>
      <c r="DC247" s="14"/>
      <c r="DD247" s="14"/>
      <c r="DE247" s="14"/>
      <c r="DF247" s="14"/>
      <c r="DG247" s="14"/>
      <c r="DH247" s="14"/>
      <c r="DI247" s="14"/>
      <c r="DJ247" s="14"/>
      <c r="DK247" s="14"/>
      <c r="DL247" s="14"/>
      <c r="DM247" s="14"/>
      <c r="DN247" s="14"/>
      <c r="DO247" s="14"/>
      <c r="DP247" s="14"/>
      <c r="DQ247" s="14"/>
      <c r="DR247" s="14"/>
      <c r="DS247" s="14"/>
      <c r="DT247" s="14"/>
      <c r="DU247" s="14"/>
      <c r="DV247" s="14"/>
      <c r="DW247" s="14"/>
      <c r="DX247" s="14"/>
      <c r="DY247" s="14"/>
      <c r="DZ247" s="14"/>
      <c r="EA247" s="14"/>
      <c r="EB247" s="14"/>
    </row>
    <row r="248" spans="4:132"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14"/>
      <c r="CC248" s="14"/>
      <c r="CD248" s="14"/>
      <c r="CE248" s="14"/>
      <c r="CF248" s="14"/>
      <c r="CG248" s="14"/>
      <c r="CH248" s="14"/>
      <c r="CI248" s="14"/>
      <c r="CJ248" s="14"/>
      <c r="CK248" s="14"/>
      <c r="CL248" s="14"/>
      <c r="CM248" s="14"/>
      <c r="CN248" s="14"/>
      <c r="CO248" s="14"/>
      <c r="CP248" s="14"/>
      <c r="CQ248" s="14"/>
      <c r="CR248" s="14"/>
      <c r="CS248" s="14"/>
      <c r="CT248" s="14"/>
      <c r="CU248" s="14"/>
      <c r="CV248" s="14"/>
      <c r="CW248" s="14"/>
      <c r="CX248" s="14"/>
      <c r="CY248" s="14"/>
      <c r="CZ248" s="14"/>
      <c r="DA248" s="14"/>
      <c r="DB248" s="14"/>
      <c r="DC248" s="14"/>
      <c r="DD248" s="14"/>
      <c r="DE248" s="14"/>
      <c r="DF248" s="14"/>
      <c r="DG248" s="14"/>
      <c r="DH248" s="14"/>
      <c r="DI248" s="14"/>
      <c r="DJ248" s="14"/>
      <c r="DK248" s="14"/>
      <c r="DL248" s="14"/>
      <c r="DM248" s="14"/>
      <c r="DN248" s="14"/>
      <c r="DO248" s="14"/>
      <c r="DP248" s="14"/>
      <c r="DQ248" s="14"/>
      <c r="DR248" s="14"/>
      <c r="DS248" s="14"/>
      <c r="DT248" s="14"/>
      <c r="DU248" s="14"/>
      <c r="DV248" s="14"/>
      <c r="DW248" s="14"/>
      <c r="DX248" s="14"/>
      <c r="DY248" s="14"/>
      <c r="DZ248" s="14"/>
      <c r="EA248" s="14"/>
      <c r="EB248" s="14"/>
    </row>
    <row r="249" spans="4:132"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14"/>
      <c r="CC249" s="14"/>
      <c r="CD249" s="14"/>
      <c r="CE249" s="14"/>
      <c r="CF249" s="14"/>
      <c r="CG249" s="14"/>
      <c r="CH249" s="14"/>
      <c r="CI249" s="14"/>
      <c r="CJ249" s="14"/>
      <c r="CK249" s="14"/>
      <c r="CL249" s="14"/>
      <c r="CM249" s="14"/>
      <c r="CN249" s="14"/>
      <c r="CO249" s="14"/>
      <c r="CP249" s="14"/>
      <c r="CQ249" s="14"/>
      <c r="CR249" s="14"/>
      <c r="CS249" s="14"/>
      <c r="CT249" s="14"/>
      <c r="CU249" s="14"/>
      <c r="CV249" s="14"/>
      <c r="CW249" s="14"/>
      <c r="CX249" s="14"/>
      <c r="CY249" s="14"/>
      <c r="CZ249" s="14"/>
      <c r="DA249" s="14"/>
      <c r="DB249" s="14"/>
      <c r="DC249" s="14"/>
      <c r="DD249" s="14"/>
      <c r="DE249" s="14"/>
      <c r="DF249" s="14"/>
      <c r="DG249" s="14"/>
      <c r="DH249" s="14"/>
      <c r="DI249" s="14"/>
      <c r="DJ249" s="14"/>
      <c r="DK249" s="14"/>
      <c r="DL249" s="14"/>
      <c r="DM249" s="14"/>
      <c r="DN249" s="14"/>
      <c r="DO249" s="14"/>
      <c r="DP249" s="14"/>
      <c r="DQ249" s="14"/>
      <c r="DR249" s="14"/>
      <c r="DS249" s="14"/>
      <c r="DT249" s="14"/>
      <c r="DU249" s="14"/>
      <c r="DV249" s="14"/>
      <c r="DW249" s="14"/>
      <c r="DX249" s="14"/>
      <c r="DY249" s="14"/>
      <c r="DZ249" s="14"/>
      <c r="EA249" s="14"/>
      <c r="EB249" s="14"/>
    </row>
    <row r="250" spans="4:132"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14"/>
      <c r="CC250" s="14"/>
      <c r="CD250" s="14"/>
      <c r="CE250" s="14"/>
      <c r="CF250" s="14"/>
      <c r="CG250" s="14"/>
      <c r="CH250" s="14"/>
      <c r="CI250" s="14"/>
      <c r="CJ250" s="14"/>
      <c r="CK250" s="14"/>
      <c r="CL250" s="14"/>
      <c r="CM250" s="14"/>
      <c r="CN250" s="14"/>
      <c r="CO250" s="14"/>
      <c r="CP250" s="14"/>
      <c r="CQ250" s="14"/>
      <c r="CR250" s="14"/>
      <c r="CS250" s="14"/>
      <c r="CT250" s="14"/>
      <c r="CU250" s="14"/>
      <c r="CV250" s="14"/>
      <c r="CW250" s="14"/>
      <c r="CX250" s="14"/>
      <c r="CY250" s="14"/>
      <c r="CZ250" s="14"/>
      <c r="DA250" s="14"/>
      <c r="DB250" s="14"/>
      <c r="DC250" s="14"/>
      <c r="DD250" s="14"/>
      <c r="DE250" s="14"/>
      <c r="DF250" s="14"/>
      <c r="DG250" s="14"/>
      <c r="DH250" s="14"/>
      <c r="DI250" s="14"/>
      <c r="DJ250" s="14"/>
      <c r="DK250" s="14"/>
      <c r="DL250" s="14"/>
      <c r="DM250" s="14"/>
      <c r="DN250" s="14"/>
      <c r="DO250" s="14"/>
      <c r="DP250" s="14"/>
      <c r="DQ250" s="14"/>
      <c r="DR250" s="14"/>
      <c r="DS250" s="14"/>
      <c r="DT250" s="14"/>
      <c r="DU250" s="14"/>
      <c r="DV250" s="14"/>
      <c r="DW250" s="14"/>
      <c r="DX250" s="14"/>
      <c r="DY250" s="14"/>
      <c r="DZ250" s="14"/>
      <c r="EA250" s="14"/>
      <c r="EB250" s="14"/>
    </row>
    <row r="251" spans="4:132"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14"/>
      <c r="CC251" s="14"/>
      <c r="CD251" s="14"/>
      <c r="CE251" s="14"/>
      <c r="CF251" s="14"/>
      <c r="CG251" s="14"/>
      <c r="CH251" s="14"/>
      <c r="CI251" s="14"/>
      <c r="CJ251" s="14"/>
      <c r="CK251" s="14"/>
      <c r="CL251" s="14"/>
      <c r="CM251" s="14"/>
      <c r="CN251" s="14"/>
      <c r="CO251" s="14"/>
      <c r="CP251" s="14"/>
      <c r="CQ251" s="14"/>
      <c r="CR251" s="14"/>
      <c r="CS251" s="14"/>
      <c r="CT251" s="14"/>
      <c r="CU251" s="14"/>
      <c r="CV251" s="14"/>
      <c r="CW251" s="14"/>
      <c r="CX251" s="14"/>
      <c r="CY251" s="14"/>
      <c r="CZ251" s="14"/>
      <c r="DA251" s="14"/>
      <c r="DB251" s="14"/>
      <c r="DC251" s="14"/>
      <c r="DD251" s="14"/>
      <c r="DE251" s="14"/>
      <c r="DF251" s="14"/>
      <c r="DG251" s="14"/>
      <c r="DH251" s="14"/>
      <c r="DI251" s="14"/>
      <c r="DJ251" s="14"/>
      <c r="DK251" s="14"/>
      <c r="DL251" s="14"/>
      <c r="DM251" s="14"/>
      <c r="DN251" s="14"/>
      <c r="DO251" s="14"/>
      <c r="DP251" s="14"/>
      <c r="DQ251" s="14"/>
      <c r="DR251" s="14"/>
      <c r="DS251" s="14"/>
      <c r="DT251" s="14"/>
      <c r="DU251" s="14"/>
      <c r="DV251" s="14"/>
      <c r="DW251" s="14"/>
      <c r="DX251" s="14"/>
      <c r="DY251" s="14"/>
      <c r="DZ251" s="14"/>
      <c r="EA251" s="14"/>
      <c r="EB251" s="14"/>
    </row>
    <row r="252" spans="4:132"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14"/>
      <c r="CC252" s="14"/>
      <c r="CD252" s="14"/>
      <c r="CE252" s="14"/>
      <c r="CF252" s="14"/>
      <c r="CG252" s="14"/>
      <c r="CH252" s="14"/>
      <c r="CI252" s="14"/>
      <c r="CJ252" s="14"/>
      <c r="CK252" s="14"/>
      <c r="CL252" s="14"/>
      <c r="CM252" s="14"/>
      <c r="CN252" s="14"/>
      <c r="CO252" s="14"/>
      <c r="CP252" s="14"/>
      <c r="CQ252" s="14"/>
      <c r="CR252" s="14"/>
      <c r="CS252" s="14"/>
      <c r="CT252" s="14"/>
      <c r="CU252" s="14"/>
      <c r="CV252" s="14"/>
      <c r="CW252" s="14"/>
      <c r="CX252" s="14"/>
      <c r="CY252" s="14"/>
      <c r="CZ252" s="14"/>
      <c r="DA252" s="14"/>
      <c r="DB252" s="14"/>
      <c r="DC252" s="14"/>
      <c r="DD252" s="14"/>
      <c r="DE252" s="14"/>
      <c r="DF252" s="14"/>
      <c r="DG252" s="14"/>
      <c r="DH252" s="14"/>
      <c r="DI252" s="14"/>
      <c r="DJ252" s="14"/>
      <c r="DK252" s="14"/>
      <c r="DL252" s="14"/>
      <c r="DM252" s="14"/>
      <c r="DN252" s="14"/>
      <c r="DO252" s="14"/>
      <c r="DP252" s="14"/>
      <c r="DQ252" s="14"/>
      <c r="DR252" s="14"/>
      <c r="DS252" s="14"/>
      <c r="DT252" s="14"/>
      <c r="DU252" s="14"/>
      <c r="DV252" s="14"/>
      <c r="DW252" s="14"/>
      <c r="DX252" s="14"/>
      <c r="DY252" s="14"/>
      <c r="DZ252" s="14"/>
      <c r="EA252" s="14"/>
      <c r="EB252" s="14"/>
    </row>
    <row r="253" spans="4:132"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14"/>
      <c r="CC253" s="14"/>
      <c r="CD253" s="14"/>
      <c r="CE253" s="14"/>
      <c r="CF253" s="14"/>
      <c r="CG253" s="14"/>
      <c r="CH253" s="14"/>
      <c r="CI253" s="14"/>
      <c r="CJ253" s="14"/>
      <c r="CK253" s="14"/>
      <c r="CL253" s="14"/>
      <c r="CM253" s="14"/>
      <c r="CN253" s="14"/>
      <c r="CO253" s="14"/>
      <c r="CP253" s="14"/>
      <c r="CQ253" s="14"/>
      <c r="CR253" s="14"/>
      <c r="CS253" s="14"/>
      <c r="CT253" s="14"/>
      <c r="CU253" s="14"/>
      <c r="CV253" s="14"/>
      <c r="CW253" s="14"/>
      <c r="CX253" s="14"/>
      <c r="CY253" s="14"/>
      <c r="CZ253" s="14"/>
      <c r="DA253" s="14"/>
      <c r="DB253" s="14"/>
      <c r="DC253" s="14"/>
      <c r="DD253" s="14"/>
      <c r="DE253" s="14"/>
      <c r="DF253" s="14"/>
      <c r="DG253" s="14"/>
      <c r="DH253" s="14"/>
      <c r="DI253" s="14"/>
      <c r="DJ253" s="14"/>
      <c r="DK253" s="14"/>
      <c r="DL253" s="14"/>
      <c r="DM253" s="14"/>
      <c r="DN253" s="14"/>
      <c r="DO253" s="14"/>
      <c r="DP253" s="14"/>
      <c r="DQ253" s="14"/>
      <c r="DR253" s="14"/>
      <c r="DS253" s="14"/>
      <c r="DT253" s="14"/>
      <c r="DU253" s="14"/>
      <c r="DV253" s="14"/>
      <c r="DW253" s="14"/>
      <c r="DX253" s="14"/>
      <c r="DY253" s="14"/>
      <c r="DZ253" s="14"/>
      <c r="EA253" s="14"/>
      <c r="EB253" s="14"/>
    </row>
    <row r="254" spans="4:132"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14"/>
      <c r="CC254" s="14"/>
      <c r="CD254" s="14"/>
      <c r="CE254" s="14"/>
      <c r="CF254" s="14"/>
      <c r="CG254" s="14"/>
      <c r="CH254" s="14"/>
      <c r="CI254" s="14"/>
      <c r="CJ254" s="14"/>
      <c r="CK254" s="14"/>
      <c r="CL254" s="14"/>
      <c r="CM254" s="14"/>
      <c r="CN254" s="14"/>
      <c r="CO254" s="14"/>
      <c r="CP254" s="14"/>
      <c r="CQ254" s="14"/>
      <c r="CR254" s="14"/>
      <c r="CS254" s="14"/>
      <c r="CT254" s="14"/>
      <c r="CU254" s="14"/>
      <c r="CV254" s="14"/>
      <c r="CW254" s="14"/>
      <c r="CX254" s="14"/>
      <c r="CY254" s="14"/>
      <c r="CZ254" s="14"/>
      <c r="DA254" s="14"/>
      <c r="DB254" s="14"/>
      <c r="DC254" s="14"/>
      <c r="DD254" s="14"/>
      <c r="DE254" s="14"/>
      <c r="DF254" s="14"/>
      <c r="DG254" s="14"/>
      <c r="DH254" s="14"/>
      <c r="DI254" s="14"/>
      <c r="DJ254" s="14"/>
      <c r="DK254" s="14"/>
      <c r="DL254" s="14"/>
      <c r="DM254" s="14"/>
      <c r="DN254" s="14"/>
      <c r="DO254" s="14"/>
      <c r="DP254" s="14"/>
      <c r="DQ254" s="14"/>
      <c r="DR254" s="14"/>
      <c r="DS254" s="14"/>
      <c r="DT254" s="14"/>
      <c r="DU254" s="14"/>
      <c r="DV254" s="14"/>
      <c r="DW254" s="14"/>
      <c r="DX254" s="14"/>
      <c r="DY254" s="14"/>
      <c r="DZ254" s="14"/>
      <c r="EA254" s="14"/>
      <c r="EB254" s="14"/>
    </row>
    <row r="255" spans="4:132"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14"/>
      <c r="CC255" s="14"/>
      <c r="CD255" s="14"/>
      <c r="CE255" s="14"/>
      <c r="CF255" s="14"/>
      <c r="CG255" s="14"/>
      <c r="CH255" s="14"/>
      <c r="CI255" s="14"/>
      <c r="CJ255" s="14"/>
      <c r="CK255" s="14"/>
      <c r="CL255" s="14"/>
      <c r="CM255" s="14"/>
      <c r="CN255" s="14"/>
      <c r="CO255" s="14"/>
      <c r="CP255" s="14"/>
      <c r="CQ255" s="14"/>
      <c r="CR255" s="14"/>
      <c r="CS255" s="14"/>
      <c r="CT255" s="14"/>
      <c r="CU255" s="14"/>
      <c r="CV255" s="14"/>
      <c r="CW255" s="14"/>
      <c r="CX255" s="14"/>
      <c r="CY255" s="14"/>
      <c r="CZ255" s="14"/>
      <c r="DA255" s="14"/>
      <c r="DB255" s="14"/>
      <c r="DC255" s="14"/>
      <c r="DD255" s="14"/>
      <c r="DE255" s="14"/>
      <c r="DF255" s="14"/>
      <c r="DG255" s="14"/>
      <c r="DH255" s="14"/>
      <c r="DI255" s="14"/>
      <c r="DJ255" s="14"/>
      <c r="DK255" s="14"/>
      <c r="DL255" s="14"/>
      <c r="DM255" s="14"/>
      <c r="DN255" s="14"/>
      <c r="DO255" s="14"/>
      <c r="DP255" s="14"/>
      <c r="DQ255" s="14"/>
      <c r="DR255" s="14"/>
      <c r="DS255" s="14"/>
      <c r="DT255" s="14"/>
      <c r="DU255" s="14"/>
      <c r="DV255" s="14"/>
      <c r="DW255" s="14"/>
      <c r="DX255" s="14"/>
      <c r="DY255" s="14"/>
      <c r="DZ255" s="14"/>
      <c r="EA255" s="14"/>
      <c r="EB255" s="14"/>
    </row>
    <row r="256" spans="4:132"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14"/>
      <c r="CC256" s="14"/>
      <c r="CD256" s="14"/>
      <c r="CE256" s="14"/>
      <c r="CF256" s="14"/>
      <c r="CG256" s="14"/>
      <c r="CH256" s="14"/>
      <c r="CI256" s="14"/>
      <c r="CJ256" s="14"/>
      <c r="CK256" s="14"/>
      <c r="CL256" s="14"/>
      <c r="CM256" s="14"/>
      <c r="CN256" s="14"/>
      <c r="CO256" s="14"/>
      <c r="CP256" s="14"/>
      <c r="CQ256" s="14"/>
      <c r="CR256" s="14"/>
      <c r="CS256" s="14"/>
      <c r="CT256" s="14"/>
      <c r="CU256" s="14"/>
      <c r="CV256" s="14"/>
      <c r="CW256" s="14"/>
      <c r="CX256" s="14"/>
      <c r="CY256" s="14"/>
      <c r="CZ256" s="14"/>
      <c r="DA256" s="14"/>
      <c r="DB256" s="14"/>
      <c r="DC256" s="14"/>
      <c r="DD256" s="14"/>
      <c r="DE256" s="14"/>
      <c r="DF256" s="14"/>
      <c r="DG256" s="14"/>
      <c r="DH256" s="14"/>
      <c r="DI256" s="14"/>
      <c r="DJ256" s="14"/>
      <c r="DK256" s="14"/>
      <c r="DL256" s="14"/>
      <c r="DM256" s="14"/>
      <c r="DN256" s="14"/>
      <c r="DO256" s="14"/>
      <c r="DP256" s="14"/>
      <c r="DQ256" s="14"/>
      <c r="DR256" s="14"/>
      <c r="DS256" s="14"/>
      <c r="DT256" s="14"/>
      <c r="DU256" s="14"/>
      <c r="DV256" s="14"/>
      <c r="DW256" s="14"/>
      <c r="DX256" s="14"/>
      <c r="DY256" s="14"/>
      <c r="DZ256" s="14"/>
      <c r="EA256" s="14"/>
      <c r="EB256" s="14"/>
    </row>
    <row r="257" spans="4:132"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14"/>
      <c r="CC257" s="14"/>
      <c r="CD257" s="14"/>
      <c r="CE257" s="14"/>
      <c r="CF257" s="14"/>
      <c r="CG257" s="14"/>
      <c r="CH257" s="14"/>
      <c r="CI257" s="14"/>
      <c r="CJ257" s="14"/>
      <c r="CK257" s="14"/>
      <c r="CL257" s="14"/>
      <c r="CM257" s="14"/>
      <c r="CN257" s="14"/>
      <c r="CO257" s="14"/>
      <c r="CP257" s="14"/>
      <c r="CQ257" s="14"/>
      <c r="CR257" s="14"/>
      <c r="CS257" s="14"/>
      <c r="CT257" s="14"/>
      <c r="CU257" s="14"/>
      <c r="CV257" s="14"/>
      <c r="CW257" s="14"/>
      <c r="CX257" s="14"/>
      <c r="CY257" s="14"/>
      <c r="CZ257" s="14"/>
      <c r="DA257" s="14"/>
      <c r="DB257" s="14"/>
      <c r="DC257" s="14"/>
      <c r="DD257" s="14"/>
      <c r="DE257" s="14"/>
      <c r="DF257" s="14"/>
      <c r="DG257" s="14"/>
      <c r="DH257" s="14"/>
      <c r="DI257" s="14"/>
      <c r="DJ257" s="14"/>
      <c r="DK257" s="14"/>
      <c r="DL257" s="14"/>
      <c r="DM257" s="14"/>
      <c r="DN257" s="14"/>
      <c r="DO257" s="14"/>
      <c r="DP257" s="14"/>
      <c r="DQ257" s="14"/>
      <c r="DR257" s="14"/>
      <c r="DS257" s="14"/>
      <c r="DT257" s="14"/>
      <c r="DU257" s="14"/>
      <c r="DV257" s="14"/>
      <c r="DW257" s="14"/>
      <c r="DX257" s="14"/>
      <c r="DY257" s="14"/>
      <c r="DZ257" s="14"/>
      <c r="EA257" s="14"/>
      <c r="EB257" s="14"/>
    </row>
    <row r="258" spans="4:132"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14"/>
      <c r="CC258" s="14"/>
      <c r="CD258" s="14"/>
      <c r="CE258" s="14"/>
      <c r="CF258" s="14"/>
      <c r="CG258" s="14"/>
      <c r="CH258" s="14"/>
      <c r="CI258" s="14"/>
      <c r="CJ258" s="14"/>
      <c r="CK258" s="14"/>
      <c r="CL258" s="14"/>
      <c r="CM258" s="14"/>
      <c r="CN258" s="14"/>
      <c r="CO258" s="14"/>
      <c r="CP258" s="14"/>
      <c r="CQ258" s="14"/>
      <c r="CR258" s="14"/>
      <c r="CS258" s="14"/>
      <c r="CT258" s="14"/>
      <c r="CU258" s="14"/>
      <c r="CV258" s="14"/>
      <c r="CW258" s="14"/>
      <c r="CX258" s="14"/>
      <c r="CY258" s="14"/>
      <c r="CZ258" s="14"/>
      <c r="DA258" s="14"/>
      <c r="DB258" s="14"/>
      <c r="DC258" s="14"/>
      <c r="DD258" s="14"/>
      <c r="DE258" s="14"/>
      <c r="DF258" s="14"/>
      <c r="DG258" s="14"/>
      <c r="DH258" s="14"/>
      <c r="DI258" s="14"/>
      <c r="DJ258" s="14"/>
      <c r="DK258" s="14"/>
      <c r="DL258" s="14"/>
      <c r="DM258" s="14"/>
      <c r="DN258" s="14"/>
      <c r="DO258" s="14"/>
      <c r="DP258" s="14"/>
      <c r="DQ258" s="14"/>
      <c r="DR258" s="14"/>
      <c r="DS258" s="14"/>
      <c r="DT258" s="14"/>
      <c r="DU258" s="14"/>
      <c r="DV258" s="14"/>
      <c r="DW258" s="14"/>
      <c r="DX258" s="14"/>
      <c r="DY258" s="14"/>
      <c r="DZ258" s="14"/>
      <c r="EA258" s="14"/>
      <c r="EB258" s="14"/>
    </row>
    <row r="259" spans="4:132"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14"/>
      <c r="CC259" s="14"/>
      <c r="CD259" s="14"/>
      <c r="CE259" s="14"/>
      <c r="CF259" s="14"/>
      <c r="CG259" s="14"/>
      <c r="CH259" s="14"/>
      <c r="CI259" s="14"/>
      <c r="CJ259" s="14"/>
      <c r="CK259" s="14"/>
      <c r="CL259" s="14"/>
      <c r="CM259" s="14"/>
      <c r="CN259" s="14"/>
      <c r="CO259" s="14"/>
      <c r="CP259" s="14"/>
      <c r="CQ259" s="14"/>
      <c r="CR259" s="14"/>
      <c r="CS259" s="14"/>
      <c r="CT259" s="14"/>
      <c r="CU259" s="14"/>
      <c r="CV259" s="14"/>
      <c r="CW259" s="14"/>
      <c r="CX259" s="14"/>
      <c r="CY259" s="14"/>
      <c r="CZ259" s="14"/>
      <c r="DA259" s="14"/>
      <c r="DB259" s="14"/>
      <c r="DC259" s="14"/>
      <c r="DD259" s="14"/>
      <c r="DE259" s="14"/>
      <c r="DF259" s="14"/>
      <c r="DG259" s="14"/>
      <c r="DH259" s="14"/>
      <c r="DI259" s="14"/>
      <c r="DJ259" s="14"/>
      <c r="DK259" s="14"/>
      <c r="DL259" s="14"/>
      <c r="DM259" s="14"/>
      <c r="DN259" s="14"/>
      <c r="DO259" s="14"/>
      <c r="DP259" s="14"/>
      <c r="DQ259" s="14"/>
      <c r="DR259" s="14"/>
      <c r="DS259" s="14"/>
      <c r="DT259" s="14"/>
      <c r="DU259" s="14"/>
      <c r="DV259" s="14"/>
      <c r="DW259" s="14"/>
      <c r="DX259" s="14"/>
      <c r="DY259" s="14"/>
      <c r="DZ259" s="14"/>
      <c r="EA259" s="14"/>
      <c r="EB259" s="14"/>
    </row>
    <row r="260" spans="4:132"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14"/>
      <c r="CC260" s="14"/>
      <c r="CD260" s="14"/>
      <c r="CE260" s="14"/>
      <c r="CF260" s="14"/>
      <c r="CG260" s="14"/>
      <c r="CH260" s="14"/>
      <c r="CI260" s="14"/>
      <c r="CJ260" s="14"/>
      <c r="CK260" s="14"/>
      <c r="CL260" s="14"/>
      <c r="CM260" s="14"/>
      <c r="CN260" s="14"/>
      <c r="CO260" s="14"/>
      <c r="CP260" s="14"/>
      <c r="CQ260" s="14"/>
      <c r="CR260" s="14"/>
      <c r="CS260" s="14"/>
      <c r="CT260" s="14"/>
      <c r="CU260" s="14"/>
      <c r="CV260" s="14"/>
      <c r="CW260" s="14"/>
      <c r="CX260" s="14"/>
      <c r="CY260" s="14"/>
      <c r="CZ260" s="14"/>
      <c r="DA260" s="14"/>
      <c r="DB260" s="14"/>
      <c r="DC260" s="14"/>
      <c r="DD260" s="14"/>
      <c r="DE260" s="14"/>
      <c r="DF260" s="14"/>
      <c r="DG260" s="14"/>
      <c r="DH260" s="14"/>
      <c r="DI260" s="14"/>
      <c r="DJ260" s="14"/>
      <c r="DK260" s="14"/>
      <c r="DL260" s="14"/>
      <c r="DM260" s="14"/>
      <c r="DN260" s="14"/>
      <c r="DO260" s="14"/>
      <c r="DP260" s="14"/>
      <c r="DQ260" s="14"/>
      <c r="DR260" s="14"/>
      <c r="DS260" s="14"/>
      <c r="DT260" s="14"/>
      <c r="DU260" s="14"/>
      <c r="DV260" s="14"/>
      <c r="DW260" s="14"/>
      <c r="DX260" s="14"/>
      <c r="DY260" s="14"/>
      <c r="DZ260" s="14"/>
      <c r="EA260" s="14"/>
      <c r="EB260" s="14"/>
    </row>
    <row r="261" spans="4:132"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14"/>
      <c r="CC261" s="14"/>
      <c r="CD261" s="14"/>
      <c r="CE261" s="14"/>
      <c r="CF261" s="14"/>
      <c r="CG261" s="14"/>
      <c r="CH261" s="14"/>
      <c r="CI261" s="14"/>
      <c r="CJ261" s="14"/>
      <c r="CK261" s="14"/>
      <c r="CL261" s="14"/>
      <c r="CM261" s="14"/>
      <c r="CN261" s="14"/>
      <c r="CO261" s="14"/>
      <c r="CP261" s="14"/>
      <c r="CQ261" s="14"/>
      <c r="CR261" s="14"/>
      <c r="CS261" s="14"/>
      <c r="CT261" s="14"/>
      <c r="CU261" s="14"/>
      <c r="CV261" s="14"/>
      <c r="CW261" s="14"/>
      <c r="CX261" s="14"/>
      <c r="CY261" s="14"/>
      <c r="CZ261" s="14"/>
      <c r="DA261" s="14"/>
      <c r="DB261" s="14"/>
      <c r="DC261" s="14"/>
      <c r="DD261" s="14"/>
      <c r="DE261" s="14"/>
      <c r="DF261" s="14"/>
      <c r="DG261" s="14"/>
      <c r="DH261" s="14"/>
      <c r="DI261" s="14"/>
      <c r="DJ261" s="14"/>
      <c r="DK261" s="14"/>
      <c r="DL261" s="14"/>
      <c r="DM261" s="14"/>
      <c r="DN261" s="14"/>
      <c r="DO261" s="14"/>
      <c r="DP261" s="14"/>
      <c r="DQ261" s="14"/>
      <c r="DR261" s="14"/>
      <c r="DS261" s="14"/>
      <c r="DT261" s="14"/>
      <c r="DU261" s="14"/>
      <c r="DV261" s="14"/>
      <c r="DW261" s="14"/>
      <c r="DX261" s="14"/>
      <c r="DY261" s="14"/>
      <c r="DZ261" s="14"/>
      <c r="EA261" s="14"/>
      <c r="EB261" s="14"/>
    </row>
    <row r="262" spans="4:132"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14"/>
      <c r="CC262" s="14"/>
      <c r="CD262" s="14"/>
      <c r="CE262" s="14"/>
      <c r="CF262" s="14"/>
      <c r="CG262" s="14"/>
      <c r="CH262" s="14"/>
      <c r="CI262" s="14"/>
      <c r="CJ262" s="14"/>
      <c r="CK262" s="14"/>
      <c r="CL262" s="14"/>
      <c r="CM262" s="14"/>
      <c r="CN262" s="14"/>
      <c r="CO262" s="14"/>
      <c r="CP262" s="14"/>
      <c r="CQ262" s="14"/>
      <c r="CR262" s="14"/>
      <c r="CS262" s="14"/>
      <c r="CT262" s="14"/>
      <c r="CU262" s="14"/>
      <c r="CV262" s="14"/>
      <c r="CW262" s="14"/>
      <c r="CX262" s="14"/>
      <c r="CY262" s="14"/>
      <c r="CZ262" s="14"/>
      <c r="DA262" s="14"/>
      <c r="DB262" s="14"/>
      <c r="DC262" s="14"/>
      <c r="DD262" s="14"/>
      <c r="DE262" s="14"/>
      <c r="DF262" s="14"/>
      <c r="DG262" s="14"/>
      <c r="DH262" s="14"/>
      <c r="DI262" s="14"/>
      <c r="DJ262" s="14"/>
      <c r="DK262" s="14"/>
      <c r="DL262" s="14"/>
      <c r="DM262" s="14"/>
      <c r="DN262" s="14"/>
      <c r="DO262" s="14"/>
      <c r="DP262" s="14"/>
      <c r="DQ262" s="14"/>
      <c r="DR262" s="14"/>
      <c r="DS262" s="14"/>
      <c r="DT262" s="14"/>
      <c r="DU262" s="14"/>
      <c r="DV262" s="14"/>
      <c r="DW262" s="14"/>
      <c r="DX262" s="14"/>
      <c r="DY262" s="14"/>
      <c r="DZ262" s="14"/>
      <c r="EA262" s="14"/>
      <c r="EB262" s="14"/>
    </row>
    <row r="263" spans="4:132"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14"/>
      <c r="CC263" s="14"/>
      <c r="CD263" s="14"/>
      <c r="CE263" s="14"/>
      <c r="CF263" s="14"/>
      <c r="CG263" s="14"/>
      <c r="CH263" s="14"/>
      <c r="CI263" s="14"/>
      <c r="CJ263" s="14"/>
      <c r="CK263" s="14"/>
      <c r="CL263" s="14"/>
      <c r="CM263" s="14"/>
      <c r="CN263" s="14"/>
      <c r="CO263" s="14"/>
      <c r="CP263" s="14"/>
      <c r="CQ263" s="14"/>
      <c r="CR263" s="14"/>
      <c r="CS263" s="14"/>
      <c r="CT263" s="14"/>
      <c r="CU263" s="14"/>
      <c r="CV263" s="14"/>
      <c r="CW263" s="14"/>
      <c r="CX263" s="14"/>
      <c r="CY263" s="14"/>
      <c r="CZ263" s="14"/>
      <c r="DA263" s="14"/>
      <c r="DB263" s="14"/>
      <c r="DC263" s="14"/>
      <c r="DD263" s="14"/>
      <c r="DE263" s="14"/>
      <c r="DF263" s="14"/>
      <c r="DG263" s="14"/>
      <c r="DH263" s="14"/>
      <c r="DI263" s="14"/>
      <c r="DJ263" s="14"/>
      <c r="DK263" s="14"/>
      <c r="DL263" s="14"/>
      <c r="DM263" s="14"/>
      <c r="DN263" s="14"/>
      <c r="DO263" s="14"/>
      <c r="DP263" s="14"/>
      <c r="DQ263" s="14"/>
      <c r="DR263" s="14"/>
      <c r="DS263" s="14"/>
      <c r="DT263" s="14"/>
      <c r="DU263" s="14"/>
      <c r="DV263" s="14"/>
      <c r="DW263" s="14"/>
      <c r="DX263" s="14"/>
      <c r="DY263" s="14"/>
      <c r="DZ263" s="14"/>
      <c r="EA263" s="14"/>
      <c r="EB263" s="14"/>
    </row>
    <row r="264" spans="4:132"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14"/>
      <c r="CC264" s="14"/>
      <c r="CD264" s="14"/>
      <c r="CE264" s="14"/>
      <c r="CF264" s="14"/>
      <c r="CG264" s="14"/>
      <c r="CH264" s="14"/>
      <c r="CI264" s="14"/>
      <c r="CJ264" s="14"/>
      <c r="CK264" s="14"/>
      <c r="CL264" s="14"/>
      <c r="CM264" s="14"/>
      <c r="CN264" s="14"/>
      <c r="CO264" s="14"/>
      <c r="CP264" s="14"/>
      <c r="CQ264" s="14"/>
      <c r="CR264" s="14"/>
      <c r="CS264" s="14"/>
      <c r="CT264" s="14"/>
      <c r="CU264" s="14"/>
      <c r="CV264" s="14"/>
      <c r="CW264" s="14"/>
      <c r="CX264" s="14"/>
      <c r="CY264" s="14"/>
      <c r="CZ264" s="14"/>
      <c r="DA264" s="14"/>
      <c r="DB264" s="14"/>
      <c r="DC264" s="14"/>
      <c r="DD264" s="14"/>
      <c r="DE264" s="14"/>
      <c r="DF264" s="14"/>
      <c r="DG264" s="14"/>
      <c r="DH264" s="14"/>
      <c r="DI264" s="14"/>
      <c r="DJ264" s="14"/>
      <c r="DK264" s="14"/>
      <c r="DL264" s="14"/>
      <c r="DM264" s="14"/>
      <c r="DN264" s="14"/>
      <c r="DO264" s="14"/>
      <c r="DP264" s="14"/>
      <c r="DQ264" s="14"/>
      <c r="DR264" s="14"/>
      <c r="DS264" s="14"/>
      <c r="DT264" s="14"/>
      <c r="DU264" s="14"/>
      <c r="DV264" s="14"/>
      <c r="DW264" s="14"/>
      <c r="DX264" s="14"/>
      <c r="DY264" s="14"/>
      <c r="DZ264" s="14"/>
      <c r="EA264" s="14"/>
      <c r="EB264" s="14"/>
    </row>
    <row r="265" spans="4:132"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14"/>
      <c r="CC265" s="14"/>
      <c r="CD265" s="14"/>
      <c r="CE265" s="14"/>
      <c r="CF265" s="14"/>
      <c r="CG265" s="14"/>
      <c r="CH265" s="14"/>
      <c r="CI265" s="14"/>
      <c r="CJ265" s="14"/>
      <c r="CK265" s="14"/>
      <c r="CL265" s="14"/>
      <c r="CM265" s="14"/>
      <c r="CN265" s="14"/>
      <c r="CO265" s="14"/>
      <c r="CP265" s="14"/>
      <c r="CQ265" s="14"/>
      <c r="CR265" s="14"/>
      <c r="CS265" s="14"/>
      <c r="CT265" s="14"/>
      <c r="CU265" s="14"/>
      <c r="CV265" s="14"/>
      <c r="CW265" s="14"/>
      <c r="CX265" s="14"/>
      <c r="CY265" s="14"/>
      <c r="CZ265" s="14"/>
      <c r="DA265" s="14"/>
      <c r="DB265" s="14"/>
      <c r="DC265" s="14"/>
      <c r="DD265" s="14"/>
      <c r="DE265" s="14"/>
      <c r="DF265" s="14"/>
      <c r="DG265" s="14"/>
      <c r="DH265" s="14"/>
      <c r="DI265" s="14"/>
      <c r="DJ265" s="14"/>
      <c r="DK265" s="14"/>
      <c r="DL265" s="14"/>
      <c r="DM265" s="14"/>
      <c r="DN265" s="14"/>
      <c r="DO265" s="14"/>
      <c r="DP265" s="14"/>
      <c r="DQ265" s="14"/>
      <c r="DR265" s="14"/>
      <c r="DS265" s="14"/>
      <c r="DT265" s="14"/>
      <c r="DU265" s="14"/>
      <c r="DV265" s="14"/>
      <c r="DW265" s="14"/>
      <c r="DX265" s="14"/>
      <c r="DY265" s="14"/>
      <c r="DZ265" s="14"/>
      <c r="EA265" s="14"/>
      <c r="EB265" s="14"/>
    </row>
    <row r="266" spans="4:132"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14"/>
      <c r="CC266" s="14"/>
      <c r="CD266" s="14"/>
      <c r="CE266" s="14"/>
      <c r="CF266" s="14"/>
      <c r="CG266" s="14"/>
      <c r="CH266" s="14"/>
      <c r="CI266" s="14"/>
      <c r="CJ266" s="14"/>
      <c r="CK266" s="14"/>
      <c r="CL266" s="14"/>
      <c r="CM266" s="14"/>
      <c r="CN266" s="14"/>
      <c r="CO266" s="14"/>
      <c r="CP266" s="14"/>
      <c r="CQ266" s="14"/>
      <c r="CR266" s="14"/>
      <c r="CS266" s="14"/>
      <c r="CT266" s="14"/>
      <c r="CU266" s="14"/>
      <c r="CV266" s="14"/>
      <c r="CW266" s="14"/>
      <c r="CX266" s="14"/>
      <c r="CY266" s="14"/>
      <c r="CZ266" s="14"/>
      <c r="DA266" s="14"/>
      <c r="DB266" s="14"/>
      <c r="DC266" s="14"/>
      <c r="DD266" s="14"/>
      <c r="DE266" s="14"/>
      <c r="DF266" s="14"/>
      <c r="DG266" s="14"/>
      <c r="DH266" s="14"/>
      <c r="DI266" s="14"/>
      <c r="DJ266" s="14"/>
      <c r="DK266" s="14"/>
      <c r="DL266" s="14"/>
      <c r="DM266" s="14"/>
      <c r="DN266" s="14"/>
      <c r="DO266" s="14"/>
      <c r="DP266" s="14"/>
      <c r="DQ266" s="14"/>
      <c r="DR266" s="14"/>
      <c r="DS266" s="14"/>
      <c r="DT266" s="14"/>
      <c r="DU266" s="14"/>
      <c r="DV266" s="14"/>
      <c r="DW266" s="14"/>
      <c r="DX266" s="14"/>
      <c r="DY266" s="14"/>
      <c r="DZ266" s="14"/>
      <c r="EA266" s="14"/>
      <c r="EB266" s="14"/>
    </row>
    <row r="267" spans="4:132"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14"/>
      <c r="CC267" s="14"/>
      <c r="CD267" s="14"/>
      <c r="CE267" s="14"/>
      <c r="CF267" s="14"/>
      <c r="CG267" s="14"/>
      <c r="CH267" s="14"/>
      <c r="CI267" s="14"/>
      <c r="CJ267" s="14"/>
      <c r="CK267" s="14"/>
      <c r="CL267" s="14"/>
      <c r="CM267" s="14"/>
      <c r="CN267" s="14"/>
      <c r="CO267" s="14"/>
      <c r="CP267" s="14"/>
      <c r="CQ267" s="14"/>
      <c r="CR267" s="14"/>
      <c r="CS267" s="14"/>
      <c r="CT267" s="14"/>
      <c r="CU267" s="14"/>
      <c r="CV267" s="14"/>
      <c r="CW267" s="14"/>
      <c r="CX267" s="14"/>
      <c r="CY267" s="14"/>
      <c r="CZ267" s="14"/>
      <c r="DA267" s="14"/>
      <c r="DB267" s="14"/>
      <c r="DC267" s="14"/>
      <c r="DD267" s="14"/>
      <c r="DE267" s="14"/>
      <c r="DF267" s="14"/>
      <c r="DG267" s="14"/>
      <c r="DH267" s="14"/>
      <c r="DI267" s="14"/>
      <c r="DJ267" s="14"/>
      <c r="DK267" s="14"/>
      <c r="DL267" s="14"/>
      <c r="DM267" s="14"/>
      <c r="DN267" s="14"/>
      <c r="DO267" s="14"/>
      <c r="DP267" s="14"/>
      <c r="DQ267" s="14"/>
      <c r="DR267" s="14"/>
      <c r="DS267" s="14"/>
      <c r="DT267" s="14"/>
      <c r="DU267" s="14"/>
      <c r="DV267" s="14"/>
      <c r="DW267" s="14"/>
      <c r="DX267" s="14"/>
      <c r="DY267" s="14"/>
      <c r="DZ267" s="14"/>
      <c r="EA267" s="14"/>
      <c r="EB267" s="14"/>
    </row>
    <row r="268" spans="4:132"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14"/>
      <c r="CC268" s="14"/>
      <c r="CD268" s="14"/>
      <c r="CE268" s="14"/>
      <c r="CF268" s="14"/>
      <c r="CG268" s="14"/>
      <c r="CH268" s="14"/>
      <c r="CI268" s="14"/>
      <c r="CJ268" s="14"/>
      <c r="CK268" s="14"/>
      <c r="CL268" s="14"/>
      <c r="CM268" s="14"/>
      <c r="CN268" s="14"/>
      <c r="CO268" s="14"/>
      <c r="CP268" s="14"/>
      <c r="CQ268" s="14"/>
      <c r="CR268" s="14"/>
      <c r="CS268" s="14"/>
      <c r="CT268" s="14"/>
      <c r="CU268" s="14"/>
      <c r="CV268" s="14"/>
      <c r="CW268" s="14"/>
      <c r="CX268" s="14"/>
      <c r="CY268" s="14"/>
      <c r="CZ268" s="14"/>
      <c r="DA268" s="14"/>
      <c r="DB268" s="14"/>
      <c r="DC268" s="14"/>
      <c r="DD268" s="14"/>
      <c r="DE268" s="14"/>
      <c r="DF268" s="14"/>
      <c r="DG268" s="14"/>
      <c r="DH268" s="14"/>
      <c r="DI268" s="14"/>
      <c r="DJ268" s="14"/>
      <c r="DK268" s="14"/>
      <c r="DL268" s="14"/>
      <c r="DM268" s="14"/>
      <c r="DN268" s="14"/>
      <c r="DO268" s="14"/>
      <c r="DP268" s="14"/>
      <c r="DQ268" s="14"/>
      <c r="DR268" s="14"/>
      <c r="DS268" s="14"/>
      <c r="DT268" s="14"/>
      <c r="DU268" s="14"/>
      <c r="DV268" s="14"/>
      <c r="DW268" s="14"/>
      <c r="DX268" s="14"/>
      <c r="DY268" s="14"/>
      <c r="DZ268" s="14"/>
      <c r="EA268" s="14"/>
      <c r="EB268" s="14"/>
    </row>
    <row r="269" spans="4:132"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14"/>
      <c r="CC269" s="14"/>
      <c r="CD269" s="14"/>
      <c r="CE269" s="14"/>
      <c r="CF269" s="14"/>
      <c r="CG269" s="14"/>
      <c r="CH269" s="14"/>
      <c r="CI269" s="14"/>
      <c r="CJ269" s="14"/>
      <c r="CK269" s="14"/>
      <c r="CL269" s="14"/>
      <c r="CM269" s="14"/>
      <c r="CN269" s="14"/>
      <c r="CO269" s="14"/>
      <c r="CP269" s="14"/>
      <c r="CQ269" s="14"/>
      <c r="CR269" s="14"/>
      <c r="CS269" s="14"/>
      <c r="CT269" s="14"/>
      <c r="CU269" s="14"/>
      <c r="CV269" s="14"/>
      <c r="CW269" s="14"/>
      <c r="CX269" s="14"/>
      <c r="CY269" s="14"/>
      <c r="CZ269" s="14"/>
      <c r="DA269" s="14"/>
      <c r="DB269" s="14"/>
      <c r="DC269" s="14"/>
      <c r="DD269" s="14"/>
      <c r="DE269" s="14"/>
      <c r="DF269" s="14"/>
      <c r="DG269" s="14"/>
      <c r="DH269" s="14"/>
      <c r="DI269" s="14"/>
      <c r="DJ269" s="14"/>
      <c r="DK269" s="14"/>
      <c r="DL269" s="14"/>
      <c r="DM269" s="14"/>
      <c r="DN269" s="14"/>
      <c r="DO269" s="14"/>
      <c r="DP269" s="14"/>
      <c r="DQ269" s="14"/>
      <c r="DR269" s="14"/>
      <c r="DS269" s="14"/>
      <c r="DT269" s="14"/>
      <c r="DU269" s="14"/>
      <c r="DV269" s="14"/>
      <c r="DW269" s="14"/>
      <c r="DX269" s="14"/>
      <c r="DY269" s="14"/>
      <c r="DZ269" s="14"/>
      <c r="EA269" s="14"/>
      <c r="EB269" s="14"/>
    </row>
    <row r="270" spans="4:132"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14"/>
      <c r="CC270" s="14"/>
      <c r="CD270" s="14"/>
      <c r="CE270" s="14"/>
      <c r="CF270" s="14"/>
      <c r="CG270" s="14"/>
      <c r="CH270" s="14"/>
      <c r="CI270" s="14"/>
      <c r="CJ270" s="14"/>
      <c r="CK270" s="14"/>
      <c r="CL270" s="14"/>
      <c r="CM270" s="14"/>
      <c r="CN270" s="14"/>
      <c r="CO270" s="14"/>
      <c r="CP270" s="14"/>
      <c r="CQ270" s="14"/>
      <c r="CR270" s="14"/>
      <c r="CS270" s="14"/>
      <c r="CT270" s="14"/>
      <c r="CU270" s="14"/>
      <c r="CV270" s="14"/>
      <c r="CW270" s="14"/>
      <c r="CX270" s="14"/>
      <c r="CY270" s="14"/>
      <c r="CZ270" s="14"/>
      <c r="DA270" s="14"/>
      <c r="DB270" s="14"/>
      <c r="DC270" s="14"/>
      <c r="DD270" s="14"/>
      <c r="DE270" s="14"/>
      <c r="DF270" s="14"/>
      <c r="DG270" s="14"/>
      <c r="DH270" s="14"/>
      <c r="DI270" s="14"/>
      <c r="DJ270" s="14"/>
      <c r="DK270" s="14"/>
      <c r="DL270" s="14"/>
      <c r="DM270" s="14"/>
      <c r="DN270" s="14"/>
      <c r="DO270" s="14"/>
      <c r="DP270" s="14"/>
      <c r="DQ270" s="14"/>
      <c r="DR270" s="14"/>
      <c r="DS270" s="14"/>
      <c r="DT270" s="14"/>
      <c r="DU270" s="14"/>
      <c r="DV270" s="14"/>
      <c r="DW270" s="14"/>
      <c r="DX270" s="14"/>
      <c r="DY270" s="14"/>
      <c r="DZ270" s="14"/>
      <c r="EA270" s="14"/>
      <c r="EB270" s="14"/>
    </row>
    <row r="271" spans="4:132"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14"/>
      <c r="CC271" s="14"/>
      <c r="CD271" s="14"/>
      <c r="CE271" s="14"/>
      <c r="CF271" s="14"/>
      <c r="CG271" s="14"/>
      <c r="CH271" s="14"/>
      <c r="CI271" s="14"/>
      <c r="CJ271" s="14"/>
      <c r="CK271" s="14"/>
      <c r="CL271" s="14"/>
      <c r="CM271" s="14"/>
      <c r="CN271" s="14"/>
      <c r="CO271" s="14"/>
      <c r="CP271" s="14"/>
      <c r="CQ271" s="14"/>
      <c r="CR271" s="14"/>
      <c r="CS271" s="14"/>
      <c r="CT271" s="14"/>
      <c r="CU271" s="14"/>
      <c r="CV271" s="14"/>
      <c r="CW271" s="14"/>
      <c r="CX271" s="14"/>
      <c r="CY271" s="14"/>
      <c r="CZ271" s="14"/>
      <c r="DA271" s="14"/>
      <c r="DB271" s="14"/>
      <c r="DC271" s="14"/>
      <c r="DD271" s="14"/>
      <c r="DE271" s="14"/>
      <c r="DF271" s="14"/>
      <c r="DG271" s="14"/>
      <c r="DH271" s="14"/>
      <c r="DI271" s="14"/>
      <c r="DJ271" s="14"/>
      <c r="DK271" s="14"/>
      <c r="DL271" s="14"/>
      <c r="DM271" s="14"/>
      <c r="DN271" s="14"/>
      <c r="DO271" s="14"/>
      <c r="DP271" s="14"/>
      <c r="DQ271" s="14"/>
      <c r="DR271" s="14"/>
      <c r="DS271" s="14"/>
      <c r="DT271" s="14"/>
      <c r="DU271" s="14"/>
      <c r="DV271" s="14"/>
      <c r="DW271" s="14"/>
      <c r="DX271" s="14"/>
      <c r="DY271" s="14"/>
      <c r="DZ271" s="14"/>
      <c r="EA271" s="14"/>
      <c r="EB271" s="14"/>
    </row>
    <row r="272" spans="4:132"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14"/>
      <c r="CC272" s="14"/>
      <c r="CD272" s="14"/>
      <c r="CE272" s="14"/>
      <c r="CF272" s="14"/>
      <c r="CG272" s="14"/>
      <c r="CH272" s="14"/>
      <c r="CI272" s="14"/>
      <c r="CJ272" s="14"/>
      <c r="CK272" s="14"/>
      <c r="CL272" s="14"/>
      <c r="CM272" s="14"/>
      <c r="CN272" s="14"/>
      <c r="CO272" s="14"/>
      <c r="CP272" s="14"/>
      <c r="CQ272" s="14"/>
      <c r="CR272" s="14"/>
      <c r="CS272" s="14"/>
      <c r="CT272" s="14"/>
      <c r="CU272" s="14"/>
      <c r="CV272" s="14"/>
      <c r="CW272" s="14"/>
      <c r="CX272" s="14"/>
      <c r="CY272" s="14"/>
      <c r="CZ272" s="14"/>
      <c r="DA272" s="14"/>
      <c r="DB272" s="14"/>
      <c r="DC272" s="14"/>
      <c r="DD272" s="14"/>
      <c r="DE272" s="14"/>
      <c r="DF272" s="14"/>
      <c r="DG272" s="14"/>
      <c r="DH272" s="14"/>
      <c r="DI272" s="14"/>
      <c r="DJ272" s="14"/>
      <c r="DK272" s="14"/>
      <c r="DL272" s="14"/>
      <c r="DM272" s="14"/>
      <c r="DN272" s="14"/>
      <c r="DO272" s="14"/>
      <c r="DP272" s="14"/>
      <c r="DQ272" s="14"/>
      <c r="DR272" s="14"/>
      <c r="DS272" s="14"/>
      <c r="DT272" s="14"/>
      <c r="DU272" s="14"/>
      <c r="DV272" s="14"/>
      <c r="DW272" s="14"/>
      <c r="DX272" s="14"/>
      <c r="DY272" s="14"/>
      <c r="DZ272" s="14"/>
      <c r="EA272" s="14"/>
      <c r="EB272" s="14"/>
    </row>
    <row r="273" spans="4:132"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14"/>
      <c r="CC273" s="14"/>
      <c r="CD273" s="14"/>
      <c r="CE273" s="14"/>
      <c r="CF273" s="14"/>
      <c r="CG273" s="14"/>
      <c r="CH273" s="14"/>
      <c r="CI273" s="14"/>
      <c r="CJ273" s="14"/>
      <c r="CK273" s="14"/>
      <c r="CL273" s="14"/>
      <c r="CM273" s="14"/>
      <c r="CN273" s="14"/>
      <c r="CO273" s="14"/>
      <c r="CP273" s="14"/>
      <c r="CQ273" s="14"/>
      <c r="CR273" s="14"/>
      <c r="CS273" s="14"/>
      <c r="CT273" s="14"/>
      <c r="CU273" s="14"/>
      <c r="CV273" s="14"/>
      <c r="CW273" s="14"/>
      <c r="CX273" s="14"/>
      <c r="CY273" s="14"/>
      <c r="CZ273" s="14"/>
      <c r="DA273" s="14"/>
      <c r="DB273" s="14"/>
      <c r="DC273" s="14"/>
      <c r="DD273" s="14"/>
      <c r="DE273" s="14"/>
      <c r="DF273" s="14"/>
      <c r="DG273" s="14"/>
      <c r="DH273" s="14"/>
      <c r="DI273" s="14"/>
      <c r="DJ273" s="14"/>
      <c r="DK273" s="14"/>
      <c r="DL273" s="14"/>
      <c r="DM273" s="14"/>
      <c r="DN273" s="14"/>
      <c r="DO273" s="14"/>
      <c r="DP273" s="14"/>
      <c r="DQ273" s="14"/>
      <c r="DR273" s="14"/>
      <c r="DS273" s="14"/>
      <c r="DT273" s="14"/>
      <c r="DU273" s="14"/>
      <c r="DV273" s="14"/>
      <c r="DW273" s="14"/>
      <c r="DX273" s="14"/>
      <c r="DY273" s="14"/>
      <c r="DZ273" s="14"/>
      <c r="EA273" s="14"/>
      <c r="EB273" s="14"/>
    </row>
    <row r="274" spans="4:132"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14"/>
      <c r="CC274" s="14"/>
      <c r="CD274" s="14"/>
      <c r="CE274" s="14"/>
      <c r="CF274" s="14"/>
      <c r="CG274" s="14"/>
      <c r="CH274" s="14"/>
      <c r="CI274" s="14"/>
      <c r="CJ274" s="14"/>
      <c r="CK274" s="14"/>
      <c r="CL274" s="14"/>
      <c r="CM274" s="14"/>
      <c r="CN274" s="14"/>
      <c r="CO274" s="14"/>
      <c r="CP274" s="14"/>
      <c r="CQ274" s="14"/>
      <c r="CR274" s="14"/>
      <c r="CS274" s="14"/>
      <c r="CT274" s="14"/>
      <c r="CU274" s="14"/>
      <c r="CV274" s="14"/>
      <c r="CW274" s="14"/>
      <c r="CX274" s="14"/>
      <c r="CY274" s="14"/>
      <c r="CZ274" s="14"/>
      <c r="DA274" s="14"/>
      <c r="DB274" s="14"/>
      <c r="DC274" s="14"/>
      <c r="DD274" s="14"/>
      <c r="DE274" s="14"/>
      <c r="DF274" s="14"/>
      <c r="DG274" s="14"/>
      <c r="DH274" s="14"/>
      <c r="DI274" s="14"/>
      <c r="DJ274" s="14"/>
      <c r="DK274" s="14"/>
      <c r="DL274" s="14"/>
      <c r="DM274" s="14"/>
      <c r="DN274" s="14"/>
      <c r="DO274" s="14"/>
      <c r="DP274" s="14"/>
      <c r="DQ274" s="14"/>
      <c r="DR274" s="14"/>
      <c r="DS274" s="14"/>
      <c r="DT274" s="14"/>
      <c r="DU274" s="14"/>
      <c r="DV274" s="14"/>
      <c r="DW274" s="14"/>
      <c r="DX274" s="14"/>
      <c r="DY274" s="14"/>
      <c r="DZ274" s="14"/>
      <c r="EA274" s="14"/>
      <c r="EB274" s="14"/>
    </row>
    <row r="275" spans="4:132"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14"/>
      <c r="CC275" s="14"/>
      <c r="CD275" s="14"/>
      <c r="CE275" s="14"/>
      <c r="CF275" s="14"/>
      <c r="CG275" s="14"/>
      <c r="CH275" s="14"/>
      <c r="CI275" s="14"/>
      <c r="CJ275" s="14"/>
      <c r="CK275" s="14"/>
      <c r="CL275" s="14"/>
      <c r="CM275" s="14"/>
      <c r="CN275" s="14"/>
      <c r="CO275" s="14"/>
      <c r="CP275" s="14"/>
      <c r="CQ275" s="14"/>
      <c r="CR275" s="14"/>
      <c r="CS275" s="14"/>
      <c r="CT275" s="14"/>
      <c r="CU275" s="14"/>
      <c r="CV275" s="14"/>
      <c r="CW275" s="14"/>
      <c r="CX275" s="14"/>
      <c r="CY275" s="14"/>
      <c r="CZ275" s="14"/>
      <c r="DA275" s="14"/>
      <c r="DB275" s="14"/>
      <c r="DC275" s="14"/>
      <c r="DD275" s="14"/>
      <c r="DE275" s="14"/>
      <c r="DF275" s="14"/>
      <c r="DG275" s="14"/>
      <c r="DH275" s="14"/>
      <c r="DI275" s="14"/>
      <c r="DJ275" s="14"/>
      <c r="DK275" s="14"/>
      <c r="DL275" s="14"/>
      <c r="DM275" s="14"/>
      <c r="DN275" s="14"/>
      <c r="DO275" s="14"/>
      <c r="DP275" s="14"/>
      <c r="DQ275" s="14"/>
      <c r="DR275" s="14"/>
      <c r="DS275" s="14"/>
      <c r="DT275" s="14"/>
      <c r="DU275" s="14"/>
      <c r="DV275" s="14"/>
      <c r="DW275" s="14"/>
      <c r="DX275" s="14"/>
      <c r="DY275" s="14"/>
      <c r="DZ275" s="14"/>
      <c r="EA275" s="14"/>
      <c r="EB275" s="14"/>
    </row>
    <row r="276" spans="4:132"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14"/>
      <c r="CC276" s="14"/>
      <c r="CD276" s="14"/>
      <c r="CE276" s="14"/>
      <c r="CF276" s="14"/>
      <c r="CG276" s="14"/>
      <c r="CH276" s="14"/>
      <c r="CI276" s="14"/>
      <c r="CJ276" s="14"/>
      <c r="CK276" s="14"/>
      <c r="CL276" s="14"/>
      <c r="CM276" s="14"/>
      <c r="CN276" s="14"/>
      <c r="CO276" s="14"/>
      <c r="CP276" s="14"/>
      <c r="CQ276" s="14"/>
      <c r="CR276" s="14"/>
      <c r="CS276" s="14"/>
      <c r="CT276" s="14"/>
      <c r="CU276" s="14"/>
      <c r="CV276" s="14"/>
      <c r="CW276" s="14"/>
      <c r="CX276" s="14"/>
      <c r="CY276" s="14"/>
      <c r="CZ276" s="14"/>
      <c r="DA276" s="14"/>
      <c r="DB276" s="14"/>
      <c r="DC276" s="14"/>
      <c r="DD276" s="14"/>
      <c r="DE276" s="14"/>
      <c r="DF276" s="14"/>
      <c r="DG276" s="14"/>
      <c r="DH276" s="14"/>
      <c r="DI276" s="14"/>
      <c r="DJ276" s="14"/>
      <c r="DK276" s="14"/>
      <c r="DL276" s="14"/>
      <c r="DM276" s="14"/>
      <c r="DN276" s="14"/>
      <c r="DO276" s="14"/>
      <c r="DP276" s="14"/>
      <c r="DQ276" s="14"/>
      <c r="DR276" s="14"/>
      <c r="DS276" s="14"/>
      <c r="DT276" s="14"/>
      <c r="DU276" s="14"/>
      <c r="DV276" s="14"/>
      <c r="DW276" s="14"/>
      <c r="DX276" s="14"/>
      <c r="DY276" s="14"/>
      <c r="DZ276" s="14"/>
      <c r="EA276" s="14"/>
      <c r="EB276" s="14"/>
    </row>
    <row r="277" spans="4:132"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14"/>
      <c r="CC277" s="14"/>
      <c r="CD277" s="14"/>
      <c r="CE277" s="14"/>
      <c r="CF277" s="14"/>
      <c r="CG277" s="14"/>
      <c r="CH277" s="14"/>
      <c r="CI277" s="14"/>
      <c r="CJ277" s="14"/>
      <c r="CK277" s="14"/>
      <c r="CL277" s="14"/>
      <c r="CM277" s="14"/>
      <c r="CN277" s="14"/>
      <c r="CO277" s="14"/>
      <c r="CP277" s="14"/>
      <c r="CQ277" s="14"/>
      <c r="CR277" s="14"/>
      <c r="CS277" s="14"/>
      <c r="CT277" s="14"/>
      <c r="CU277" s="14"/>
      <c r="CV277" s="14"/>
      <c r="CW277" s="14"/>
      <c r="CX277" s="14"/>
      <c r="CY277" s="14"/>
      <c r="CZ277" s="14"/>
      <c r="DA277" s="14"/>
      <c r="DB277" s="14"/>
      <c r="DC277" s="14"/>
      <c r="DD277" s="14"/>
      <c r="DE277" s="14"/>
      <c r="DF277" s="14"/>
      <c r="DG277" s="14"/>
      <c r="DH277" s="14"/>
      <c r="DI277" s="14"/>
      <c r="DJ277" s="14"/>
      <c r="DK277" s="14"/>
      <c r="DL277" s="14"/>
      <c r="DM277" s="14"/>
      <c r="DN277" s="14"/>
      <c r="DO277" s="14"/>
      <c r="DP277" s="14"/>
      <c r="DQ277" s="14"/>
      <c r="DR277" s="14"/>
      <c r="DS277" s="14"/>
      <c r="DT277" s="14"/>
      <c r="DU277" s="14"/>
      <c r="DV277" s="14"/>
      <c r="DW277" s="14"/>
      <c r="DX277" s="14"/>
      <c r="DY277" s="14"/>
      <c r="DZ277" s="14"/>
      <c r="EA277" s="14"/>
      <c r="EB277" s="14"/>
    </row>
    <row r="278" spans="4:132"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14"/>
      <c r="CC278" s="14"/>
      <c r="CD278" s="14"/>
      <c r="CE278" s="14"/>
      <c r="CF278" s="14"/>
      <c r="CG278" s="14"/>
      <c r="CH278" s="14"/>
      <c r="CI278" s="14"/>
      <c r="CJ278" s="14"/>
      <c r="CK278" s="14"/>
      <c r="CL278" s="14"/>
      <c r="CM278" s="14"/>
      <c r="CN278" s="14"/>
      <c r="CO278" s="14"/>
      <c r="CP278" s="14"/>
      <c r="CQ278" s="14"/>
      <c r="CR278" s="14"/>
      <c r="CS278" s="14"/>
      <c r="CT278" s="14"/>
      <c r="CU278" s="14"/>
      <c r="CV278" s="14"/>
      <c r="CW278" s="14"/>
      <c r="CX278" s="14"/>
      <c r="CY278" s="14"/>
      <c r="CZ278" s="14"/>
      <c r="DA278" s="14"/>
      <c r="DB278" s="14"/>
      <c r="DC278" s="14"/>
      <c r="DD278" s="14"/>
      <c r="DE278" s="14"/>
      <c r="DF278" s="14"/>
      <c r="DG278" s="14"/>
      <c r="DH278" s="14"/>
      <c r="DI278" s="14"/>
      <c r="DJ278" s="14"/>
      <c r="DK278" s="14"/>
      <c r="DL278" s="14"/>
      <c r="DM278" s="14"/>
      <c r="DN278" s="14"/>
      <c r="DO278" s="14"/>
      <c r="DP278" s="14"/>
      <c r="DQ278" s="14"/>
      <c r="DR278" s="14"/>
      <c r="DS278" s="14"/>
      <c r="DT278" s="14"/>
      <c r="DU278" s="14"/>
      <c r="DV278" s="14"/>
      <c r="DW278" s="14"/>
      <c r="DX278" s="14"/>
      <c r="DY278" s="14"/>
      <c r="DZ278" s="14"/>
      <c r="EA278" s="14"/>
      <c r="EB278" s="14"/>
    </row>
    <row r="279" spans="4:132"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14"/>
      <c r="CC279" s="14"/>
      <c r="CD279" s="14"/>
      <c r="CE279" s="14"/>
      <c r="CF279" s="14"/>
      <c r="CG279" s="14"/>
      <c r="CH279" s="14"/>
      <c r="CI279" s="14"/>
      <c r="CJ279" s="14"/>
      <c r="CK279" s="14"/>
      <c r="CL279" s="14"/>
      <c r="CM279" s="14"/>
      <c r="CN279" s="14"/>
      <c r="CO279" s="14"/>
      <c r="CP279" s="14"/>
      <c r="CQ279" s="14"/>
      <c r="CR279" s="14"/>
      <c r="CS279" s="14"/>
      <c r="CT279" s="14"/>
      <c r="CU279" s="14"/>
      <c r="CV279" s="14"/>
      <c r="CW279" s="14"/>
      <c r="CX279" s="14"/>
      <c r="CY279" s="14"/>
      <c r="CZ279" s="14"/>
      <c r="DA279" s="14"/>
      <c r="DB279" s="14"/>
      <c r="DC279" s="14"/>
      <c r="DD279" s="14"/>
      <c r="DE279" s="14"/>
      <c r="DF279" s="14"/>
      <c r="DG279" s="14"/>
      <c r="DH279" s="14"/>
      <c r="DI279" s="14"/>
      <c r="DJ279" s="14"/>
      <c r="DK279" s="14"/>
      <c r="DL279" s="14"/>
      <c r="DM279" s="14"/>
      <c r="DN279" s="14"/>
      <c r="DO279" s="14"/>
      <c r="DP279" s="14"/>
      <c r="DQ279" s="14"/>
      <c r="DR279" s="14"/>
      <c r="DS279" s="14"/>
      <c r="DT279" s="14"/>
      <c r="DU279" s="14"/>
      <c r="DV279" s="14"/>
      <c r="DW279" s="14"/>
      <c r="DX279" s="14"/>
      <c r="DY279" s="14"/>
      <c r="DZ279" s="14"/>
      <c r="EA279" s="14"/>
      <c r="EB279" s="14"/>
    </row>
    <row r="280" spans="4:132"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14"/>
      <c r="CC280" s="14"/>
      <c r="CD280" s="14"/>
      <c r="CE280" s="14"/>
      <c r="CF280" s="14"/>
      <c r="CG280" s="14"/>
      <c r="CH280" s="14"/>
      <c r="CI280" s="14"/>
      <c r="CJ280" s="14"/>
      <c r="CK280" s="14"/>
      <c r="CL280" s="14"/>
      <c r="CM280" s="14"/>
      <c r="CN280" s="14"/>
      <c r="CO280" s="14"/>
      <c r="CP280" s="14"/>
      <c r="CQ280" s="14"/>
      <c r="CR280" s="14"/>
      <c r="CS280" s="14"/>
      <c r="CT280" s="14"/>
      <c r="CU280" s="14"/>
      <c r="CV280" s="14"/>
      <c r="CW280" s="14"/>
      <c r="CX280" s="14"/>
      <c r="CY280" s="14"/>
      <c r="CZ280" s="14"/>
      <c r="DA280" s="14"/>
      <c r="DB280" s="14"/>
      <c r="DC280" s="14"/>
      <c r="DD280" s="14"/>
      <c r="DE280" s="14"/>
      <c r="DF280" s="14"/>
      <c r="DG280" s="14"/>
      <c r="DH280" s="14"/>
      <c r="DI280" s="14"/>
      <c r="DJ280" s="14"/>
      <c r="DK280" s="14"/>
      <c r="DL280" s="14"/>
      <c r="DM280" s="14"/>
      <c r="DN280" s="14"/>
      <c r="DO280" s="14"/>
      <c r="DP280" s="14"/>
      <c r="DQ280" s="14"/>
      <c r="DR280" s="14"/>
      <c r="DS280" s="14"/>
      <c r="DT280" s="14"/>
      <c r="DU280" s="14"/>
      <c r="DV280" s="14"/>
      <c r="DW280" s="14"/>
      <c r="DX280" s="14"/>
      <c r="DY280" s="14"/>
      <c r="DZ280" s="14"/>
      <c r="EA280" s="14"/>
      <c r="EB280" s="14"/>
    </row>
    <row r="281" spans="4:132"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14"/>
      <c r="CC281" s="14"/>
      <c r="CD281" s="14"/>
      <c r="CE281" s="14"/>
      <c r="CF281" s="14"/>
      <c r="CG281" s="14"/>
      <c r="CH281" s="14"/>
      <c r="CI281" s="14"/>
      <c r="CJ281" s="14"/>
      <c r="CK281" s="14"/>
      <c r="CL281" s="14"/>
      <c r="CM281" s="14"/>
      <c r="CN281" s="14"/>
      <c r="CO281" s="14"/>
      <c r="CP281" s="14"/>
      <c r="CQ281" s="14"/>
      <c r="CR281" s="14"/>
      <c r="CS281" s="14"/>
      <c r="CT281" s="14"/>
      <c r="CU281" s="14"/>
      <c r="CV281" s="14"/>
      <c r="CW281" s="14"/>
      <c r="CX281" s="14"/>
      <c r="CY281" s="14"/>
      <c r="CZ281" s="14"/>
      <c r="DA281" s="14"/>
      <c r="DB281" s="14"/>
      <c r="DC281" s="14"/>
      <c r="DD281" s="14"/>
      <c r="DE281" s="14"/>
      <c r="DF281" s="14"/>
      <c r="DG281" s="14"/>
      <c r="DH281" s="14"/>
      <c r="DI281" s="14"/>
      <c r="DJ281" s="14"/>
      <c r="DK281" s="14"/>
      <c r="DL281" s="14"/>
      <c r="DM281" s="14"/>
      <c r="DN281" s="14"/>
      <c r="DO281" s="14"/>
      <c r="DP281" s="14"/>
      <c r="DQ281" s="14"/>
      <c r="DR281" s="14"/>
      <c r="DS281" s="14"/>
      <c r="DT281" s="14"/>
      <c r="DU281" s="14"/>
      <c r="DV281" s="14"/>
      <c r="DW281" s="14"/>
      <c r="DX281" s="14"/>
      <c r="DY281" s="14"/>
      <c r="DZ281" s="14"/>
      <c r="EA281" s="14"/>
      <c r="EB281" s="14"/>
    </row>
    <row r="282" spans="4:132"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14"/>
      <c r="CC282" s="14"/>
      <c r="CD282" s="14"/>
      <c r="CE282" s="14"/>
      <c r="CF282" s="14"/>
      <c r="CG282" s="14"/>
      <c r="CH282" s="14"/>
      <c r="CI282" s="14"/>
      <c r="CJ282" s="14"/>
      <c r="CK282" s="14"/>
      <c r="CL282" s="14"/>
      <c r="CM282" s="14"/>
      <c r="CN282" s="14"/>
      <c r="CO282" s="14"/>
      <c r="CP282" s="14"/>
      <c r="CQ282" s="14"/>
      <c r="CR282" s="14"/>
      <c r="CS282" s="14"/>
      <c r="CT282" s="14"/>
      <c r="CU282" s="14"/>
      <c r="CV282" s="14"/>
      <c r="CW282" s="14"/>
      <c r="CX282" s="14"/>
      <c r="CY282" s="14"/>
      <c r="CZ282" s="14"/>
      <c r="DA282" s="14"/>
      <c r="DB282" s="14"/>
      <c r="DC282" s="14"/>
      <c r="DD282" s="14"/>
      <c r="DE282" s="14"/>
      <c r="DF282" s="14"/>
      <c r="DG282" s="14"/>
      <c r="DH282" s="14"/>
      <c r="DI282" s="14"/>
      <c r="DJ282" s="14"/>
      <c r="DK282" s="14"/>
      <c r="DL282" s="14"/>
      <c r="DM282" s="14"/>
      <c r="DN282" s="14"/>
      <c r="DO282" s="14"/>
      <c r="DP282" s="14"/>
      <c r="DQ282" s="14"/>
      <c r="DR282" s="14"/>
      <c r="DS282" s="14"/>
      <c r="DT282" s="14"/>
      <c r="DU282" s="14"/>
      <c r="DV282" s="14"/>
      <c r="DW282" s="14"/>
      <c r="DX282" s="14"/>
      <c r="DY282" s="14"/>
      <c r="DZ282" s="14"/>
      <c r="EA282" s="14"/>
      <c r="EB282" s="14"/>
    </row>
    <row r="283" spans="4:132"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14"/>
      <c r="CC283" s="14"/>
      <c r="CD283" s="14"/>
      <c r="CE283" s="14"/>
      <c r="CF283" s="14"/>
      <c r="CG283" s="14"/>
      <c r="CH283" s="14"/>
      <c r="CI283" s="14"/>
      <c r="CJ283" s="14"/>
      <c r="CK283" s="14"/>
      <c r="CL283" s="14"/>
      <c r="CM283" s="14"/>
      <c r="CN283" s="14"/>
      <c r="CO283" s="14"/>
      <c r="CP283" s="14"/>
      <c r="CQ283" s="14"/>
      <c r="CR283" s="14"/>
      <c r="CS283" s="14"/>
      <c r="CT283" s="14"/>
      <c r="CU283" s="14"/>
      <c r="CV283" s="14"/>
      <c r="CW283" s="14"/>
      <c r="CX283" s="14"/>
      <c r="CY283" s="14"/>
      <c r="CZ283" s="14"/>
      <c r="DA283" s="14"/>
      <c r="DB283" s="14"/>
      <c r="DC283" s="14"/>
      <c r="DD283" s="14"/>
      <c r="DE283" s="14"/>
      <c r="DF283" s="14"/>
      <c r="DG283" s="14"/>
      <c r="DH283" s="14"/>
      <c r="DI283" s="14"/>
      <c r="DJ283" s="14"/>
      <c r="DK283" s="14"/>
      <c r="DL283" s="14"/>
      <c r="DM283" s="14"/>
      <c r="DN283" s="14"/>
      <c r="DO283" s="14"/>
      <c r="DP283" s="14"/>
      <c r="DQ283" s="14"/>
      <c r="DR283" s="14"/>
      <c r="DS283" s="14"/>
      <c r="DT283" s="14"/>
      <c r="DU283" s="14"/>
      <c r="DV283" s="14"/>
      <c r="DW283" s="14"/>
      <c r="DX283" s="14"/>
      <c r="DY283" s="14"/>
      <c r="DZ283" s="14"/>
      <c r="EA283" s="14"/>
      <c r="EB283" s="14"/>
    </row>
    <row r="284" spans="4:132"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14"/>
      <c r="CC284" s="14"/>
      <c r="CD284" s="14"/>
      <c r="CE284" s="14"/>
      <c r="CF284" s="14"/>
      <c r="CG284" s="14"/>
      <c r="CH284" s="14"/>
      <c r="CI284" s="14"/>
      <c r="CJ284" s="14"/>
      <c r="CK284" s="14"/>
      <c r="CL284" s="14"/>
      <c r="CM284" s="14"/>
      <c r="CN284" s="14"/>
      <c r="CO284" s="14"/>
      <c r="CP284" s="14"/>
      <c r="CQ284" s="14"/>
      <c r="CR284" s="14"/>
      <c r="CS284" s="14"/>
      <c r="CT284" s="14"/>
      <c r="CU284" s="14"/>
      <c r="CV284" s="14"/>
      <c r="CW284" s="14"/>
      <c r="CX284" s="14"/>
      <c r="CY284" s="14"/>
      <c r="CZ284" s="14"/>
      <c r="DA284" s="14"/>
      <c r="DB284" s="14"/>
      <c r="DC284" s="14"/>
      <c r="DD284" s="14"/>
      <c r="DE284" s="14"/>
      <c r="DF284" s="14"/>
      <c r="DG284" s="14"/>
      <c r="DH284" s="14"/>
      <c r="DI284" s="14"/>
      <c r="DJ284" s="14"/>
      <c r="DK284" s="14"/>
      <c r="DL284" s="14"/>
      <c r="DM284" s="14"/>
      <c r="DN284" s="14"/>
      <c r="DO284" s="14"/>
      <c r="DP284" s="14"/>
      <c r="DQ284" s="14"/>
      <c r="DR284" s="14"/>
      <c r="DS284" s="14"/>
      <c r="DT284" s="14"/>
      <c r="DU284" s="14"/>
      <c r="DV284" s="14"/>
      <c r="DW284" s="14"/>
      <c r="DX284" s="14"/>
      <c r="DY284" s="14"/>
      <c r="DZ284" s="14"/>
      <c r="EA284" s="14"/>
      <c r="EB284" s="14"/>
    </row>
    <row r="285" spans="4:132"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14"/>
      <c r="CC285" s="14"/>
      <c r="CD285" s="14"/>
      <c r="CE285" s="14"/>
      <c r="CF285" s="14"/>
      <c r="CG285" s="14"/>
      <c r="CH285" s="14"/>
      <c r="CI285" s="14"/>
      <c r="CJ285" s="14"/>
      <c r="CK285" s="14"/>
      <c r="CL285" s="14"/>
      <c r="CM285" s="14"/>
      <c r="CN285" s="14"/>
      <c r="CO285" s="14"/>
      <c r="CP285" s="14"/>
      <c r="CQ285" s="14"/>
      <c r="CR285" s="14"/>
      <c r="CS285" s="14"/>
      <c r="CT285" s="14"/>
      <c r="CU285" s="14"/>
      <c r="CV285" s="14"/>
      <c r="CW285" s="14"/>
      <c r="CX285" s="14"/>
      <c r="CY285" s="14"/>
      <c r="CZ285" s="14"/>
      <c r="DA285" s="14"/>
      <c r="DB285" s="14"/>
      <c r="DC285" s="14"/>
      <c r="DD285" s="14"/>
      <c r="DE285" s="14"/>
      <c r="DF285" s="14"/>
      <c r="DG285" s="14"/>
      <c r="DH285" s="14"/>
      <c r="DI285" s="14"/>
      <c r="DJ285" s="14"/>
      <c r="DK285" s="14"/>
      <c r="DL285" s="14"/>
      <c r="DM285" s="14"/>
      <c r="DN285" s="14"/>
      <c r="DO285" s="14"/>
      <c r="DP285" s="14"/>
      <c r="DQ285" s="14"/>
      <c r="DR285" s="14"/>
      <c r="DS285" s="14"/>
      <c r="DT285" s="14"/>
      <c r="DU285" s="14"/>
      <c r="DV285" s="14"/>
      <c r="DW285" s="14"/>
      <c r="DX285" s="14"/>
      <c r="DY285" s="14"/>
      <c r="DZ285" s="14"/>
      <c r="EA285" s="14"/>
      <c r="EB285" s="14"/>
    </row>
    <row r="286" spans="4:132"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14"/>
      <c r="CC286" s="14"/>
      <c r="CD286" s="14"/>
      <c r="CE286" s="14"/>
      <c r="CF286" s="14"/>
      <c r="CG286" s="14"/>
      <c r="CH286" s="14"/>
      <c r="CI286" s="14"/>
      <c r="CJ286" s="14"/>
      <c r="CK286" s="14"/>
      <c r="CL286" s="14"/>
      <c r="CM286" s="14"/>
      <c r="CN286" s="14"/>
      <c r="CO286" s="14"/>
      <c r="CP286" s="14"/>
      <c r="CQ286" s="14"/>
      <c r="CR286" s="14"/>
      <c r="CS286" s="14"/>
      <c r="CT286" s="14"/>
      <c r="CU286" s="14"/>
      <c r="CV286" s="14"/>
      <c r="CW286" s="14"/>
      <c r="CX286" s="14"/>
      <c r="CY286" s="14"/>
      <c r="CZ286" s="14"/>
      <c r="DA286" s="14"/>
      <c r="DB286" s="14"/>
      <c r="DC286" s="14"/>
      <c r="DD286" s="14"/>
      <c r="DE286" s="14"/>
      <c r="DF286" s="14"/>
      <c r="DG286" s="14"/>
      <c r="DH286" s="14"/>
      <c r="DI286" s="14"/>
      <c r="DJ286" s="14"/>
      <c r="DK286" s="14"/>
      <c r="DL286" s="14"/>
      <c r="DM286" s="14"/>
      <c r="DN286" s="14"/>
      <c r="DO286" s="14"/>
      <c r="DP286" s="14"/>
      <c r="DQ286" s="14"/>
      <c r="DR286" s="14"/>
      <c r="DS286" s="14"/>
      <c r="DT286" s="14"/>
      <c r="DU286" s="14"/>
      <c r="DV286" s="14"/>
      <c r="DW286" s="14"/>
      <c r="DX286" s="14"/>
      <c r="DY286" s="14"/>
      <c r="DZ286" s="14"/>
      <c r="EA286" s="14"/>
      <c r="EB286" s="14"/>
    </row>
    <row r="287" spans="4:132"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14"/>
      <c r="CC287" s="14"/>
      <c r="CD287" s="14"/>
      <c r="CE287" s="14"/>
      <c r="CF287" s="14"/>
      <c r="CG287" s="14"/>
      <c r="CH287" s="14"/>
      <c r="CI287" s="14"/>
      <c r="CJ287" s="14"/>
      <c r="CK287" s="14"/>
      <c r="CL287" s="14"/>
      <c r="CM287" s="14"/>
      <c r="CN287" s="14"/>
      <c r="CO287" s="14"/>
      <c r="CP287" s="14"/>
      <c r="CQ287" s="14"/>
      <c r="CR287" s="14"/>
      <c r="CS287" s="14"/>
      <c r="CT287" s="14"/>
      <c r="CU287" s="14"/>
      <c r="CV287" s="14"/>
      <c r="CW287" s="14"/>
      <c r="CX287" s="14"/>
      <c r="CY287" s="14"/>
      <c r="CZ287" s="14"/>
      <c r="DA287" s="14"/>
      <c r="DB287" s="14"/>
      <c r="DC287" s="14"/>
      <c r="DD287" s="14"/>
      <c r="DE287" s="14"/>
      <c r="DF287" s="14"/>
      <c r="DG287" s="14"/>
      <c r="DH287" s="14"/>
      <c r="DI287" s="14"/>
      <c r="DJ287" s="14"/>
      <c r="DK287" s="14"/>
      <c r="DL287" s="14"/>
      <c r="DM287" s="14"/>
      <c r="DN287" s="14"/>
      <c r="DO287" s="14"/>
      <c r="DP287" s="14"/>
      <c r="DQ287" s="14"/>
      <c r="DR287" s="14"/>
      <c r="DS287" s="14"/>
      <c r="DT287" s="14"/>
      <c r="DU287" s="14"/>
      <c r="DV287" s="14"/>
      <c r="DW287" s="14"/>
      <c r="DX287" s="14"/>
      <c r="DY287" s="14"/>
      <c r="DZ287" s="14"/>
      <c r="EA287" s="14"/>
      <c r="EB287" s="14"/>
    </row>
    <row r="288" spans="4:132"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14"/>
      <c r="CC288" s="14"/>
      <c r="CD288" s="14"/>
      <c r="CE288" s="14"/>
      <c r="CF288" s="14"/>
      <c r="CG288" s="14"/>
      <c r="CH288" s="14"/>
      <c r="CI288" s="14"/>
      <c r="CJ288" s="14"/>
      <c r="CK288" s="14"/>
      <c r="CL288" s="14"/>
      <c r="CM288" s="14"/>
      <c r="CN288" s="14"/>
      <c r="CO288" s="14"/>
      <c r="CP288" s="14"/>
      <c r="CQ288" s="14"/>
      <c r="CR288" s="14"/>
      <c r="CS288" s="14"/>
      <c r="CT288" s="14"/>
      <c r="CU288" s="14"/>
      <c r="CV288" s="14"/>
      <c r="CW288" s="14"/>
      <c r="CX288" s="14"/>
      <c r="CY288" s="14"/>
      <c r="CZ288" s="14"/>
      <c r="DA288" s="14"/>
      <c r="DB288" s="14"/>
      <c r="DC288" s="14"/>
      <c r="DD288" s="14"/>
      <c r="DE288" s="14"/>
      <c r="DF288" s="14"/>
      <c r="DG288" s="14"/>
      <c r="DH288" s="14"/>
      <c r="DI288" s="14"/>
      <c r="DJ288" s="14"/>
      <c r="DK288" s="14"/>
      <c r="DL288" s="14"/>
      <c r="DM288" s="14"/>
      <c r="DN288" s="14"/>
      <c r="DO288" s="14"/>
      <c r="DP288" s="14"/>
      <c r="DQ288" s="14"/>
      <c r="DR288" s="14"/>
      <c r="DS288" s="14"/>
      <c r="DT288" s="14"/>
      <c r="DU288" s="14"/>
      <c r="DV288" s="14"/>
      <c r="DW288" s="14"/>
      <c r="DX288" s="14"/>
      <c r="DY288" s="14"/>
      <c r="DZ288" s="14"/>
      <c r="EA288" s="14"/>
      <c r="EB288" s="14"/>
    </row>
    <row r="289" spans="4:132"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/>
      <c r="BM289" s="40"/>
      <c r="BN289" s="40"/>
      <c r="BO289" s="40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14"/>
      <c r="CC289" s="14"/>
      <c r="CD289" s="14"/>
      <c r="CE289" s="14"/>
      <c r="CF289" s="14"/>
      <c r="CG289" s="14"/>
      <c r="CH289" s="14"/>
      <c r="CI289" s="14"/>
      <c r="CJ289" s="14"/>
      <c r="CK289" s="14"/>
      <c r="CL289" s="14"/>
      <c r="CM289" s="14"/>
      <c r="CN289" s="14"/>
      <c r="CO289" s="14"/>
      <c r="CP289" s="14"/>
      <c r="CQ289" s="14"/>
      <c r="CR289" s="14"/>
      <c r="CS289" s="14"/>
      <c r="CT289" s="14"/>
      <c r="CU289" s="14"/>
      <c r="CV289" s="14"/>
      <c r="CW289" s="14"/>
      <c r="CX289" s="14"/>
      <c r="CY289" s="14"/>
      <c r="CZ289" s="14"/>
      <c r="DA289" s="14"/>
      <c r="DB289" s="14"/>
      <c r="DC289" s="14"/>
      <c r="DD289" s="14"/>
      <c r="DE289" s="14"/>
      <c r="DF289" s="14"/>
      <c r="DG289" s="14"/>
      <c r="DH289" s="14"/>
      <c r="DI289" s="14"/>
      <c r="DJ289" s="14"/>
      <c r="DK289" s="14"/>
      <c r="DL289" s="14"/>
      <c r="DM289" s="14"/>
      <c r="DN289" s="14"/>
      <c r="DO289" s="14"/>
      <c r="DP289" s="14"/>
      <c r="DQ289" s="14"/>
      <c r="DR289" s="14"/>
      <c r="DS289" s="14"/>
      <c r="DT289" s="14"/>
      <c r="DU289" s="14"/>
      <c r="DV289" s="14"/>
      <c r="DW289" s="14"/>
      <c r="DX289" s="14"/>
      <c r="DY289" s="14"/>
      <c r="DZ289" s="14"/>
      <c r="EA289" s="14"/>
      <c r="EB289" s="14"/>
    </row>
    <row r="290" spans="4:132"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14"/>
      <c r="CC290" s="14"/>
      <c r="CD290" s="14"/>
      <c r="CE290" s="14"/>
      <c r="CF290" s="14"/>
      <c r="CG290" s="14"/>
      <c r="CH290" s="14"/>
      <c r="CI290" s="14"/>
      <c r="CJ290" s="14"/>
      <c r="CK290" s="14"/>
      <c r="CL290" s="14"/>
      <c r="CM290" s="14"/>
      <c r="CN290" s="14"/>
      <c r="CO290" s="14"/>
      <c r="CP290" s="14"/>
      <c r="CQ290" s="14"/>
      <c r="CR290" s="14"/>
      <c r="CS290" s="14"/>
      <c r="CT290" s="14"/>
      <c r="CU290" s="14"/>
      <c r="CV290" s="14"/>
      <c r="CW290" s="14"/>
      <c r="CX290" s="14"/>
      <c r="CY290" s="14"/>
      <c r="CZ290" s="14"/>
      <c r="DA290" s="14"/>
      <c r="DB290" s="14"/>
      <c r="DC290" s="14"/>
      <c r="DD290" s="14"/>
      <c r="DE290" s="14"/>
      <c r="DF290" s="14"/>
      <c r="DG290" s="14"/>
      <c r="DH290" s="14"/>
      <c r="DI290" s="14"/>
      <c r="DJ290" s="14"/>
      <c r="DK290" s="14"/>
      <c r="DL290" s="14"/>
      <c r="DM290" s="14"/>
      <c r="DN290" s="14"/>
      <c r="DO290" s="14"/>
      <c r="DP290" s="14"/>
      <c r="DQ290" s="14"/>
      <c r="DR290" s="14"/>
      <c r="DS290" s="14"/>
      <c r="DT290" s="14"/>
      <c r="DU290" s="14"/>
      <c r="DV290" s="14"/>
      <c r="DW290" s="14"/>
      <c r="DX290" s="14"/>
      <c r="DY290" s="14"/>
      <c r="DZ290" s="14"/>
      <c r="EA290" s="14"/>
      <c r="EB290" s="14"/>
    </row>
    <row r="291" spans="4:132"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14"/>
      <c r="CC291" s="14"/>
      <c r="CD291" s="14"/>
      <c r="CE291" s="14"/>
      <c r="CF291" s="14"/>
      <c r="CG291" s="14"/>
      <c r="CH291" s="14"/>
      <c r="CI291" s="14"/>
      <c r="CJ291" s="14"/>
      <c r="CK291" s="14"/>
      <c r="CL291" s="14"/>
      <c r="CM291" s="14"/>
      <c r="CN291" s="14"/>
      <c r="CO291" s="14"/>
      <c r="CP291" s="14"/>
      <c r="CQ291" s="14"/>
      <c r="CR291" s="14"/>
      <c r="CS291" s="14"/>
      <c r="CT291" s="14"/>
      <c r="CU291" s="14"/>
      <c r="CV291" s="14"/>
      <c r="CW291" s="14"/>
      <c r="CX291" s="14"/>
      <c r="CY291" s="14"/>
      <c r="CZ291" s="14"/>
      <c r="DA291" s="14"/>
      <c r="DB291" s="14"/>
      <c r="DC291" s="14"/>
      <c r="DD291" s="14"/>
      <c r="DE291" s="14"/>
      <c r="DF291" s="14"/>
      <c r="DG291" s="14"/>
      <c r="DH291" s="14"/>
      <c r="DI291" s="14"/>
      <c r="DJ291" s="14"/>
      <c r="DK291" s="14"/>
      <c r="DL291" s="14"/>
      <c r="DM291" s="14"/>
      <c r="DN291" s="14"/>
      <c r="DO291" s="14"/>
      <c r="DP291" s="14"/>
      <c r="DQ291" s="14"/>
      <c r="DR291" s="14"/>
      <c r="DS291" s="14"/>
      <c r="DT291" s="14"/>
      <c r="DU291" s="14"/>
      <c r="DV291" s="14"/>
      <c r="DW291" s="14"/>
      <c r="DX291" s="14"/>
      <c r="DY291" s="14"/>
      <c r="DZ291" s="14"/>
      <c r="EA291" s="14"/>
      <c r="EB291" s="14"/>
    </row>
    <row r="292" spans="4:132"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14"/>
      <c r="CC292" s="14"/>
      <c r="CD292" s="14"/>
      <c r="CE292" s="14"/>
      <c r="CF292" s="14"/>
      <c r="CG292" s="14"/>
      <c r="CH292" s="14"/>
      <c r="CI292" s="14"/>
      <c r="CJ292" s="14"/>
      <c r="CK292" s="14"/>
      <c r="CL292" s="14"/>
      <c r="CM292" s="14"/>
      <c r="CN292" s="14"/>
      <c r="CO292" s="14"/>
      <c r="CP292" s="14"/>
      <c r="CQ292" s="14"/>
      <c r="CR292" s="14"/>
      <c r="CS292" s="14"/>
      <c r="CT292" s="14"/>
      <c r="CU292" s="14"/>
      <c r="CV292" s="14"/>
      <c r="CW292" s="14"/>
      <c r="CX292" s="14"/>
      <c r="CY292" s="14"/>
      <c r="CZ292" s="14"/>
      <c r="DA292" s="14"/>
      <c r="DB292" s="14"/>
      <c r="DC292" s="14"/>
      <c r="DD292" s="14"/>
      <c r="DE292" s="14"/>
      <c r="DF292" s="14"/>
      <c r="DG292" s="14"/>
      <c r="DH292" s="14"/>
      <c r="DI292" s="14"/>
      <c r="DJ292" s="14"/>
      <c r="DK292" s="14"/>
      <c r="DL292" s="14"/>
      <c r="DM292" s="14"/>
      <c r="DN292" s="14"/>
      <c r="DO292" s="14"/>
      <c r="DP292" s="14"/>
      <c r="DQ292" s="14"/>
      <c r="DR292" s="14"/>
      <c r="DS292" s="14"/>
      <c r="DT292" s="14"/>
      <c r="DU292" s="14"/>
      <c r="DV292" s="14"/>
      <c r="DW292" s="14"/>
      <c r="DX292" s="14"/>
      <c r="DY292" s="14"/>
      <c r="DZ292" s="14"/>
      <c r="EA292" s="14"/>
      <c r="EB292" s="14"/>
    </row>
    <row r="293" spans="4:132"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14"/>
      <c r="CC293" s="14"/>
      <c r="CD293" s="14"/>
      <c r="CE293" s="14"/>
      <c r="CF293" s="14"/>
      <c r="CG293" s="14"/>
      <c r="CH293" s="14"/>
      <c r="CI293" s="14"/>
      <c r="CJ293" s="14"/>
      <c r="CK293" s="14"/>
      <c r="CL293" s="14"/>
      <c r="CM293" s="14"/>
      <c r="CN293" s="14"/>
      <c r="CO293" s="14"/>
      <c r="CP293" s="14"/>
      <c r="CQ293" s="14"/>
      <c r="CR293" s="14"/>
      <c r="CS293" s="14"/>
      <c r="CT293" s="14"/>
      <c r="CU293" s="14"/>
      <c r="CV293" s="14"/>
      <c r="CW293" s="14"/>
      <c r="CX293" s="14"/>
      <c r="CY293" s="14"/>
      <c r="CZ293" s="14"/>
      <c r="DA293" s="14"/>
      <c r="DB293" s="14"/>
      <c r="DC293" s="14"/>
      <c r="DD293" s="14"/>
      <c r="DE293" s="14"/>
      <c r="DF293" s="14"/>
      <c r="DG293" s="14"/>
      <c r="DH293" s="14"/>
      <c r="DI293" s="14"/>
      <c r="DJ293" s="14"/>
      <c r="DK293" s="14"/>
      <c r="DL293" s="14"/>
      <c r="DM293" s="14"/>
      <c r="DN293" s="14"/>
      <c r="DO293" s="14"/>
      <c r="DP293" s="14"/>
      <c r="DQ293" s="14"/>
      <c r="DR293" s="14"/>
      <c r="DS293" s="14"/>
      <c r="DT293" s="14"/>
      <c r="DU293" s="14"/>
      <c r="DV293" s="14"/>
      <c r="DW293" s="14"/>
      <c r="DX293" s="14"/>
      <c r="DY293" s="14"/>
      <c r="DZ293" s="14"/>
      <c r="EA293" s="14"/>
      <c r="EB293" s="14"/>
    </row>
    <row r="294" spans="4:132"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14"/>
      <c r="CC294" s="14"/>
      <c r="CD294" s="14"/>
      <c r="CE294" s="14"/>
      <c r="CF294" s="14"/>
      <c r="CG294" s="14"/>
      <c r="CH294" s="14"/>
      <c r="CI294" s="14"/>
      <c r="CJ294" s="14"/>
      <c r="CK294" s="14"/>
      <c r="CL294" s="14"/>
      <c r="CM294" s="14"/>
      <c r="CN294" s="14"/>
      <c r="CO294" s="14"/>
      <c r="CP294" s="14"/>
      <c r="CQ294" s="14"/>
      <c r="CR294" s="14"/>
      <c r="CS294" s="14"/>
      <c r="CT294" s="14"/>
      <c r="CU294" s="14"/>
      <c r="CV294" s="14"/>
      <c r="CW294" s="14"/>
      <c r="CX294" s="14"/>
      <c r="CY294" s="14"/>
      <c r="CZ294" s="14"/>
      <c r="DA294" s="14"/>
      <c r="DB294" s="14"/>
      <c r="DC294" s="14"/>
      <c r="DD294" s="14"/>
      <c r="DE294" s="14"/>
      <c r="DF294" s="14"/>
      <c r="DG294" s="14"/>
      <c r="DH294" s="14"/>
      <c r="DI294" s="14"/>
      <c r="DJ294" s="14"/>
      <c r="DK294" s="14"/>
      <c r="DL294" s="14"/>
      <c r="DM294" s="14"/>
      <c r="DN294" s="14"/>
      <c r="DO294" s="14"/>
      <c r="DP294" s="14"/>
      <c r="DQ294" s="14"/>
      <c r="DR294" s="14"/>
      <c r="DS294" s="14"/>
      <c r="DT294" s="14"/>
      <c r="DU294" s="14"/>
      <c r="DV294" s="14"/>
      <c r="DW294" s="14"/>
      <c r="DX294" s="14"/>
      <c r="DY294" s="14"/>
      <c r="DZ294" s="14"/>
      <c r="EA294" s="14"/>
      <c r="EB294" s="14"/>
    </row>
    <row r="295" spans="4:132"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14"/>
      <c r="CC295" s="14"/>
      <c r="CD295" s="14"/>
      <c r="CE295" s="14"/>
      <c r="CF295" s="14"/>
      <c r="CG295" s="14"/>
      <c r="CH295" s="14"/>
      <c r="CI295" s="14"/>
      <c r="CJ295" s="14"/>
      <c r="CK295" s="14"/>
      <c r="CL295" s="14"/>
      <c r="CM295" s="14"/>
      <c r="CN295" s="14"/>
      <c r="CO295" s="14"/>
      <c r="CP295" s="14"/>
      <c r="CQ295" s="14"/>
      <c r="CR295" s="14"/>
      <c r="CS295" s="14"/>
      <c r="CT295" s="14"/>
      <c r="CU295" s="14"/>
      <c r="CV295" s="14"/>
      <c r="CW295" s="14"/>
      <c r="CX295" s="14"/>
      <c r="CY295" s="14"/>
      <c r="CZ295" s="14"/>
      <c r="DA295" s="14"/>
      <c r="DB295" s="14"/>
      <c r="DC295" s="14"/>
      <c r="DD295" s="14"/>
      <c r="DE295" s="14"/>
      <c r="DF295" s="14"/>
      <c r="DG295" s="14"/>
      <c r="DH295" s="14"/>
      <c r="DI295" s="14"/>
      <c r="DJ295" s="14"/>
      <c r="DK295" s="14"/>
      <c r="DL295" s="14"/>
      <c r="DM295" s="14"/>
      <c r="DN295" s="14"/>
      <c r="DO295" s="14"/>
      <c r="DP295" s="14"/>
      <c r="DQ295" s="14"/>
      <c r="DR295" s="14"/>
      <c r="DS295" s="14"/>
      <c r="DT295" s="14"/>
      <c r="DU295" s="14"/>
      <c r="DV295" s="14"/>
      <c r="DW295" s="14"/>
      <c r="DX295" s="14"/>
      <c r="DY295" s="14"/>
      <c r="DZ295" s="14"/>
      <c r="EA295" s="14"/>
      <c r="EB295" s="14"/>
    </row>
    <row r="296" spans="4:132"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14"/>
      <c r="CC296" s="14"/>
      <c r="CD296" s="14"/>
      <c r="CE296" s="14"/>
      <c r="CF296" s="14"/>
      <c r="CG296" s="14"/>
      <c r="CH296" s="14"/>
      <c r="CI296" s="14"/>
      <c r="CJ296" s="14"/>
      <c r="CK296" s="14"/>
      <c r="CL296" s="14"/>
      <c r="CM296" s="14"/>
      <c r="CN296" s="14"/>
      <c r="CO296" s="14"/>
      <c r="CP296" s="14"/>
      <c r="CQ296" s="14"/>
      <c r="CR296" s="14"/>
      <c r="CS296" s="14"/>
      <c r="CT296" s="14"/>
      <c r="CU296" s="14"/>
      <c r="CV296" s="14"/>
      <c r="CW296" s="14"/>
      <c r="CX296" s="14"/>
      <c r="CY296" s="14"/>
      <c r="CZ296" s="14"/>
      <c r="DA296" s="14"/>
      <c r="DB296" s="14"/>
      <c r="DC296" s="14"/>
      <c r="DD296" s="14"/>
      <c r="DE296" s="14"/>
      <c r="DF296" s="14"/>
      <c r="DG296" s="14"/>
      <c r="DH296" s="14"/>
      <c r="DI296" s="14"/>
      <c r="DJ296" s="14"/>
      <c r="DK296" s="14"/>
      <c r="DL296" s="14"/>
      <c r="DM296" s="14"/>
      <c r="DN296" s="14"/>
      <c r="DO296" s="14"/>
      <c r="DP296" s="14"/>
      <c r="DQ296" s="14"/>
      <c r="DR296" s="14"/>
      <c r="DS296" s="14"/>
      <c r="DT296" s="14"/>
      <c r="DU296" s="14"/>
      <c r="DV296" s="14"/>
      <c r="DW296" s="14"/>
      <c r="DX296" s="14"/>
      <c r="DY296" s="14"/>
      <c r="DZ296" s="14"/>
      <c r="EA296" s="14"/>
      <c r="EB296" s="14"/>
    </row>
    <row r="297" spans="4:132"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14"/>
      <c r="CC297" s="14"/>
      <c r="CD297" s="14"/>
      <c r="CE297" s="14"/>
      <c r="CF297" s="14"/>
      <c r="CG297" s="14"/>
      <c r="CH297" s="14"/>
      <c r="CI297" s="14"/>
      <c r="CJ297" s="14"/>
      <c r="CK297" s="14"/>
      <c r="CL297" s="14"/>
      <c r="CM297" s="14"/>
      <c r="CN297" s="14"/>
      <c r="CO297" s="14"/>
      <c r="CP297" s="14"/>
      <c r="CQ297" s="14"/>
      <c r="CR297" s="14"/>
      <c r="CS297" s="14"/>
      <c r="CT297" s="14"/>
      <c r="CU297" s="14"/>
      <c r="CV297" s="14"/>
      <c r="CW297" s="14"/>
      <c r="CX297" s="14"/>
      <c r="CY297" s="14"/>
      <c r="CZ297" s="14"/>
      <c r="DA297" s="14"/>
      <c r="DB297" s="14"/>
      <c r="DC297" s="14"/>
      <c r="DD297" s="14"/>
      <c r="DE297" s="14"/>
      <c r="DF297" s="14"/>
      <c r="DG297" s="14"/>
      <c r="DH297" s="14"/>
      <c r="DI297" s="14"/>
      <c r="DJ297" s="14"/>
      <c r="DK297" s="14"/>
      <c r="DL297" s="14"/>
      <c r="DM297" s="14"/>
      <c r="DN297" s="14"/>
      <c r="DO297" s="14"/>
      <c r="DP297" s="14"/>
      <c r="DQ297" s="14"/>
      <c r="DR297" s="14"/>
      <c r="DS297" s="14"/>
      <c r="DT297" s="14"/>
      <c r="DU297" s="14"/>
      <c r="DV297" s="14"/>
      <c r="DW297" s="14"/>
      <c r="DX297" s="14"/>
      <c r="DY297" s="14"/>
      <c r="DZ297" s="14"/>
      <c r="EA297" s="14"/>
      <c r="EB297" s="14"/>
    </row>
    <row r="298" spans="4:132"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14"/>
      <c r="CC298" s="14"/>
      <c r="CD298" s="14"/>
      <c r="CE298" s="14"/>
      <c r="CF298" s="14"/>
      <c r="CG298" s="14"/>
      <c r="CH298" s="14"/>
      <c r="CI298" s="14"/>
      <c r="CJ298" s="14"/>
      <c r="CK298" s="14"/>
      <c r="CL298" s="14"/>
      <c r="CM298" s="14"/>
      <c r="CN298" s="14"/>
      <c r="CO298" s="14"/>
      <c r="CP298" s="14"/>
      <c r="CQ298" s="14"/>
      <c r="CR298" s="14"/>
      <c r="CS298" s="14"/>
      <c r="CT298" s="14"/>
      <c r="CU298" s="14"/>
      <c r="CV298" s="14"/>
      <c r="CW298" s="14"/>
      <c r="CX298" s="14"/>
      <c r="CY298" s="14"/>
      <c r="CZ298" s="14"/>
      <c r="DA298" s="14"/>
      <c r="DB298" s="14"/>
      <c r="DC298" s="14"/>
      <c r="DD298" s="14"/>
      <c r="DE298" s="14"/>
      <c r="DF298" s="14"/>
      <c r="DG298" s="14"/>
      <c r="DH298" s="14"/>
      <c r="DI298" s="14"/>
      <c r="DJ298" s="14"/>
      <c r="DK298" s="14"/>
      <c r="DL298" s="14"/>
      <c r="DM298" s="14"/>
      <c r="DN298" s="14"/>
      <c r="DO298" s="14"/>
      <c r="DP298" s="14"/>
      <c r="DQ298" s="14"/>
      <c r="DR298" s="14"/>
      <c r="DS298" s="14"/>
      <c r="DT298" s="14"/>
      <c r="DU298" s="14"/>
      <c r="DV298" s="14"/>
      <c r="DW298" s="14"/>
      <c r="DX298" s="14"/>
      <c r="DY298" s="14"/>
      <c r="DZ298" s="14"/>
      <c r="EA298" s="14"/>
      <c r="EB298" s="14"/>
    </row>
    <row r="299" spans="4:132"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14"/>
      <c r="CC299" s="14"/>
      <c r="CD299" s="14"/>
      <c r="CE299" s="14"/>
      <c r="CF299" s="14"/>
      <c r="CG299" s="14"/>
      <c r="CH299" s="14"/>
      <c r="CI299" s="14"/>
      <c r="CJ299" s="14"/>
      <c r="CK299" s="14"/>
      <c r="CL299" s="14"/>
      <c r="CM299" s="14"/>
      <c r="CN299" s="14"/>
      <c r="CO299" s="14"/>
      <c r="CP299" s="14"/>
      <c r="CQ299" s="14"/>
      <c r="CR299" s="14"/>
      <c r="CS299" s="14"/>
      <c r="CT299" s="14"/>
      <c r="CU299" s="14"/>
      <c r="CV299" s="14"/>
      <c r="CW299" s="14"/>
      <c r="CX299" s="14"/>
      <c r="CY299" s="14"/>
      <c r="CZ299" s="14"/>
      <c r="DA299" s="14"/>
      <c r="DB299" s="14"/>
      <c r="DC299" s="14"/>
      <c r="DD299" s="14"/>
      <c r="DE299" s="14"/>
      <c r="DF299" s="14"/>
      <c r="DG299" s="14"/>
      <c r="DH299" s="14"/>
      <c r="DI299" s="14"/>
      <c r="DJ299" s="14"/>
      <c r="DK299" s="14"/>
      <c r="DL299" s="14"/>
      <c r="DM299" s="14"/>
      <c r="DN299" s="14"/>
      <c r="DO299" s="14"/>
      <c r="DP299" s="14"/>
      <c r="DQ299" s="14"/>
      <c r="DR299" s="14"/>
      <c r="DS299" s="14"/>
      <c r="DT299" s="14"/>
      <c r="DU299" s="14"/>
      <c r="DV299" s="14"/>
      <c r="DW299" s="14"/>
      <c r="DX299" s="14"/>
      <c r="DY299" s="14"/>
      <c r="DZ299" s="14"/>
      <c r="EA299" s="14"/>
      <c r="EB299" s="14"/>
    </row>
    <row r="300" spans="4:132"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14"/>
      <c r="CC300" s="14"/>
      <c r="CD300" s="14"/>
      <c r="CE300" s="14"/>
      <c r="CF300" s="14"/>
      <c r="CG300" s="14"/>
      <c r="CH300" s="14"/>
      <c r="CI300" s="14"/>
      <c r="CJ300" s="14"/>
      <c r="CK300" s="14"/>
      <c r="CL300" s="14"/>
      <c r="CM300" s="14"/>
      <c r="CN300" s="14"/>
      <c r="CO300" s="14"/>
      <c r="CP300" s="14"/>
      <c r="CQ300" s="14"/>
      <c r="CR300" s="14"/>
      <c r="CS300" s="14"/>
      <c r="CT300" s="14"/>
      <c r="CU300" s="14"/>
      <c r="CV300" s="14"/>
      <c r="CW300" s="14"/>
      <c r="CX300" s="14"/>
      <c r="CY300" s="14"/>
      <c r="CZ300" s="14"/>
      <c r="DA300" s="14"/>
      <c r="DB300" s="14"/>
      <c r="DC300" s="14"/>
      <c r="DD300" s="14"/>
      <c r="DE300" s="14"/>
      <c r="DF300" s="14"/>
      <c r="DG300" s="14"/>
      <c r="DH300" s="14"/>
      <c r="DI300" s="14"/>
      <c r="DJ300" s="14"/>
      <c r="DK300" s="14"/>
      <c r="DL300" s="14"/>
      <c r="DM300" s="14"/>
      <c r="DN300" s="14"/>
      <c r="DO300" s="14"/>
      <c r="DP300" s="14"/>
      <c r="DQ300" s="14"/>
      <c r="DR300" s="14"/>
      <c r="DS300" s="14"/>
      <c r="DT300" s="14"/>
      <c r="DU300" s="14"/>
      <c r="DV300" s="14"/>
      <c r="DW300" s="14"/>
      <c r="DX300" s="14"/>
      <c r="DY300" s="14"/>
      <c r="DZ300" s="14"/>
      <c r="EA300" s="14"/>
      <c r="EB300" s="14"/>
    </row>
    <row r="301" spans="4:132"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14"/>
      <c r="CC301" s="14"/>
      <c r="CD301" s="14"/>
      <c r="CE301" s="14"/>
      <c r="CF301" s="14"/>
      <c r="CG301" s="14"/>
      <c r="CH301" s="14"/>
      <c r="CI301" s="14"/>
      <c r="CJ301" s="14"/>
      <c r="CK301" s="14"/>
      <c r="CL301" s="14"/>
      <c r="CM301" s="14"/>
      <c r="CN301" s="14"/>
      <c r="CO301" s="14"/>
      <c r="CP301" s="14"/>
      <c r="CQ301" s="14"/>
      <c r="CR301" s="14"/>
      <c r="CS301" s="14"/>
      <c r="CT301" s="14"/>
      <c r="CU301" s="14"/>
      <c r="CV301" s="14"/>
      <c r="CW301" s="14"/>
      <c r="CX301" s="14"/>
      <c r="CY301" s="14"/>
      <c r="CZ301" s="14"/>
      <c r="DA301" s="14"/>
      <c r="DB301" s="14"/>
      <c r="DC301" s="14"/>
      <c r="DD301" s="14"/>
      <c r="DE301" s="14"/>
      <c r="DF301" s="14"/>
      <c r="DG301" s="14"/>
      <c r="DH301" s="14"/>
      <c r="DI301" s="14"/>
      <c r="DJ301" s="14"/>
      <c r="DK301" s="14"/>
      <c r="DL301" s="14"/>
      <c r="DM301" s="14"/>
      <c r="DN301" s="14"/>
      <c r="DO301" s="14"/>
      <c r="DP301" s="14"/>
      <c r="DQ301" s="14"/>
      <c r="DR301" s="14"/>
      <c r="DS301" s="14"/>
      <c r="DT301" s="14"/>
      <c r="DU301" s="14"/>
      <c r="DV301" s="14"/>
      <c r="DW301" s="14"/>
      <c r="DX301" s="14"/>
      <c r="DY301" s="14"/>
      <c r="DZ301" s="14"/>
      <c r="EA301" s="14"/>
      <c r="EB301" s="14"/>
    </row>
    <row r="302" spans="4:132"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14"/>
      <c r="CC302" s="14"/>
      <c r="CD302" s="14"/>
      <c r="CE302" s="14"/>
      <c r="CF302" s="14"/>
      <c r="CG302" s="14"/>
      <c r="CH302" s="14"/>
      <c r="CI302" s="14"/>
      <c r="CJ302" s="14"/>
      <c r="CK302" s="14"/>
      <c r="CL302" s="14"/>
      <c r="CM302" s="14"/>
      <c r="CN302" s="14"/>
      <c r="CO302" s="14"/>
      <c r="CP302" s="14"/>
      <c r="CQ302" s="14"/>
      <c r="CR302" s="14"/>
      <c r="CS302" s="14"/>
      <c r="CT302" s="14"/>
      <c r="CU302" s="14"/>
      <c r="CV302" s="14"/>
      <c r="CW302" s="14"/>
      <c r="CX302" s="14"/>
      <c r="CY302" s="14"/>
      <c r="CZ302" s="14"/>
      <c r="DA302" s="14"/>
      <c r="DB302" s="14"/>
      <c r="DC302" s="14"/>
      <c r="DD302" s="14"/>
      <c r="DE302" s="14"/>
      <c r="DF302" s="14"/>
      <c r="DG302" s="14"/>
      <c r="DH302" s="14"/>
      <c r="DI302" s="14"/>
      <c r="DJ302" s="14"/>
      <c r="DK302" s="14"/>
      <c r="DL302" s="14"/>
      <c r="DM302" s="14"/>
      <c r="DN302" s="14"/>
      <c r="DO302" s="14"/>
      <c r="DP302" s="14"/>
      <c r="DQ302" s="14"/>
      <c r="DR302" s="14"/>
      <c r="DS302" s="14"/>
      <c r="DT302" s="14"/>
      <c r="DU302" s="14"/>
      <c r="DV302" s="14"/>
      <c r="DW302" s="14"/>
      <c r="DX302" s="14"/>
      <c r="DY302" s="14"/>
      <c r="DZ302" s="14"/>
      <c r="EA302" s="14"/>
      <c r="EB302" s="14"/>
    </row>
    <row r="303" spans="4:132"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14"/>
      <c r="CC303" s="14"/>
      <c r="CD303" s="14"/>
      <c r="CE303" s="14"/>
      <c r="CF303" s="14"/>
      <c r="CG303" s="14"/>
      <c r="CH303" s="14"/>
      <c r="CI303" s="14"/>
      <c r="CJ303" s="14"/>
      <c r="CK303" s="14"/>
      <c r="CL303" s="14"/>
      <c r="CM303" s="14"/>
      <c r="CN303" s="14"/>
      <c r="CO303" s="14"/>
      <c r="CP303" s="14"/>
      <c r="CQ303" s="14"/>
      <c r="CR303" s="14"/>
      <c r="CS303" s="14"/>
      <c r="CT303" s="14"/>
      <c r="CU303" s="14"/>
      <c r="CV303" s="14"/>
      <c r="CW303" s="14"/>
      <c r="CX303" s="14"/>
      <c r="CY303" s="14"/>
      <c r="CZ303" s="14"/>
      <c r="DA303" s="14"/>
      <c r="DB303" s="14"/>
      <c r="DC303" s="14"/>
      <c r="DD303" s="14"/>
      <c r="DE303" s="14"/>
      <c r="DF303" s="14"/>
      <c r="DG303" s="14"/>
      <c r="DH303" s="14"/>
      <c r="DI303" s="14"/>
      <c r="DJ303" s="14"/>
      <c r="DK303" s="14"/>
      <c r="DL303" s="14"/>
      <c r="DM303" s="14"/>
      <c r="DN303" s="14"/>
      <c r="DO303" s="14"/>
      <c r="DP303" s="14"/>
      <c r="DQ303" s="14"/>
      <c r="DR303" s="14"/>
      <c r="DS303" s="14"/>
      <c r="DT303" s="14"/>
      <c r="DU303" s="14"/>
      <c r="DV303" s="14"/>
      <c r="DW303" s="14"/>
      <c r="DX303" s="14"/>
      <c r="DY303" s="14"/>
      <c r="DZ303" s="14"/>
      <c r="EA303" s="14"/>
      <c r="EB303" s="14"/>
    </row>
    <row r="304" spans="4:132"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</row>
    <row r="305" spans="4:132"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</row>
    <row r="306" spans="4:132"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14"/>
      <c r="CC306" s="14"/>
      <c r="CD306" s="14"/>
      <c r="CE306" s="14"/>
      <c r="CF306" s="14"/>
      <c r="CG306" s="14"/>
      <c r="CH306" s="14"/>
      <c r="CI306" s="14"/>
      <c r="CJ306" s="14"/>
      <c r="CK306" s="14"/>
      <c r="CL306" s="14"/>
      <c r="CM306" s="14"/>
      <c r="CN306" s="14"/>
      <c r="CO306" s="14"/>
      <c r="CP306" s="14"/>
      <c r="CQ306" s="14"/>
      <c r="CR306" s="14"/>
      <c r="CS306" s="14"/>
      <c r="CT306" s="14"/>
      <c r="CU306" s="14"/>
      <c r="CV306" s="14"/>
      <c r="CW306" s="14"/>
      <c r="CX306" s="14"/>
      <c r="CY306" s="14"/>
      <c r="CZ306" s="14"/>
      <c r="DA306" s="14"/>
      <c r="DB306" s="14"/>
      <c r="DC306" s="14"/>
      <c r="DD306" s="14"/>
      <c r="DE306" s="14"/>
      <c r="DF306" s="14"/>
      <c r="DG306" s="14"/>
      <c r="DH306" s="14"/>
      <c r="DI306" s="14"/>
      <c r="DJ306" s="14"/>
      <c r="DK306" s="14"/>
      <c r="DL306" s="14"/>
      <c r="DM306" s="14"/>
      <c r="DN306" s="14"/>
      <c r="DO306" s="14"/>
      <c r="DP306" s="14"/>
      <c r="DQ306" s="14"/>
      <c r="DR306" s="14"/>
      <c r="DS306" s="14"/>
      <c r="DT306" s="14"/>
      <c r="DU306" s="14"/>
      <c r="DV306" s="14"/>
      <c r="DW306" s="14"/>
      <c r="DX306" s="14"/>
      <c r="DY306" s="14"/>
      <c r="DZ306" s="14"/>
      <c r="EA306" s="14"/>
      <c r="EB306" s="14"/>
    </row>
    <row r="307" spans="4:132"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14"/>
      <c r="CC307" s="14"/>
      <c r="CD307" s="14"/>
      <c r="CE307" s="14"/>
      <c r="CF307" s="14"/>
      <c r="CG307" s="14"/>
      <c r="CH307" s="14"/>
      <c r="CI307" s="14"/>
      <c r="CJ307" s="14"/>
      <c r="CK307" s="14"/>
      <c r="CL307" s="14"/>
      <c r="CM307" s="14"/>
      <c r="CN307" s="14"/>
      <c r="CO307" s="14"/>
      <c r="CP307" s="14"/>
      <c r="CQ307" s="14"/>
      <c r="CR307" s="14"/>
      <c r="CS307" s="14"/>
      <c r="CT307" s="14"/>
      <c r="CU307" s="14"/>
      <c r="CV307" s="14"/>
      <c r="CW307" s="14"/>
      <c r="CX307" s="14"/>
      <c r="CY307" s="14"/>
      <c r="CZ307" s="14"/>
      <c r="DA307" s="14"/>
      <c r="DB307" s="14"/>
      <c r="DC307" s="14"/>
      <c r="DD307" s="14"/>
      <c r="DE307" s="14"/>
      <c r="DF307" s="14"/>
      <c r="DG307" s="14"/>
      <c r="DH307" s="14"/>
      <c r="DI307" s="14"/>
      <c r="DJ307" s="14"/>
      <c r="DK307" s="14"/>
      <c r="DL307" s="14"/>
      <c r="DM307" s="14"/>
      <c r="DN307" s="14"/>
      <c r="DO307" s="14"/>
      <c r="DP307" s="14"/>
      <c r="DQ307" s="14"/>
      <c r="DR307" s="14"/>
      <c r="DS307" s="14"/>
      <c r="DT307" s="14"/>
      <c r="DU307" s="14"/>
      <c r="DV307" s="14"/>
      <c r="DW307" s="14"/>
      <c r="DX307" s="14"/>
      <c r="DY307" s="14"/>
      <c r="DZ307" s="14"/>
      <c r="EA307" s="14"/>
      <c r="EB307" s="14"/>
    </row>
    <row r="308" spans="4:132"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14"/>
      <c r="CC308" s="14"/>
      <c r="CD308" s="14"/>
      <c r="CE308" s="14"/>
      <c r="CF308" s="14"/>
      <c r="CG308" s="14"/>
      <c r="CH308" s="14"/>
      <c r="CI308" s="14"/>
      <c r="CJ308" s="14"/>
      <c r="CK308" s="14"/>
      <c r="CL308" s="14"/>
      <c r="CM308" s="14"/>
      <c r="CN308" s="14"/>
      <c r="CO308" s="14"/>
      <c r="CP308" s="14"/>
      <c r="CQ308" s="14"/>
      <c r="CR308" s="14"/>
      <c r="CS308" s="14"/>
      <c r="CT308" s="14"/>
      <c r="CU308" s="14"/>
      <c r="CV308" s="14"/>
      <c r="CW308" s="14"/>
      <c r="CX308" s="14"/>
      <c r="CY308" s="14"/>
      <c r="CZ308" s="14"/>
      <c r="DA308" s="14"/>
      <c r="DB308" s="14"/>
      <c r="DC308" s="14"/>
      <c r="DD308" s="14"/>
      <c r="DE308" s="14"/>
      <c r="DF308" s="14"/>
      <c r="DG308" s="14"/>
      <c r="DH308" s="14"/>
      <c r="DI308" s="14"/>
      <c r="DJ308" s="14"/>
      <c r="DK308" s="14"/>
      <c r="DL308" s="14"/>
      <c r="DM308" s="14"/>
      <c r="DN308" s="14"/>
      <c r="DO308" s="14"/>
      <c r="DP308" s="14"/>
      <c r="DQ308" s="14"/>
      <c r="DR308" s="14"/>
      <c r="DS308" s="14"/>
      <c r="DT308" s="14"/>
      <c r="DU308" s="14"/>
      <c r="DV308" s="14"/>
      <c r="DW308" s="14"/>
      <c r="DX308" s="14"/>
      <c r="DY308" s="14"/>
      <c r="DZ308" s="14"/>
      <c r="EA308" s="14"/>
      <c r="EB308" s="14"/>
    </row>
    <row r="309" spans="4:132"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</row>
    <row r="310" spans="4:132"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14"/>
      <c r="CC310" s="14"/>
      <c r="CD310" s="14"/>
      <c r="CE310" s="14"/>
      <c r="CF310" s="14"/>
      <c r="CG310" s="14"/>
      <c r="CH310" s="14"/>
      <c r="CI310" s="14"/>
      <c r="CJ310" s="14"/>
      <c r="CK310" s="14"/>
      <c r="CL310" s="14"/>
      <c r="CM310" s="14"/>
      <c r="CN310" s="14"/>
      <c r="CO310" s="14"/>
      <c r="CP310" s="14"/>
      <c r="CQ310" s="14"/>
      <c r="CR310" s="14"/>
      <c r="CS310" s="14"/>
      <c r="CT310" s="14"/>
      <c r="CU310" s="14"/>
      <c r="CV310" s="14"/>
      <c r="CW310" s="14"/>
      <c r="CX310" s="14"/>
      <c r="CY310" s="14"/>
      <c r="CZ310" s="14"/>
      <c r="DA310" s="14"/>
      <c r="DB310" s="14"/>
      <c r="DC310" s="14"/>
      <c r="DD310" s="14"/>
      <c r="DE310" s="14"/>
      <c r="DF310" s="14"/>
      <c r="DG310" s="14"/>
      <c r="DH310" s="14"/>
      <c r="DI310" s="14"/>
      <c r="DJ310" s="14"/>
      <c r="DK310" s="14"/>
      <c r="DL310" s="14"/>
      <c r="DM310" s="14"/>
      <c r="DN310" s="14"/>
      <c r="DO310" s="14"/>
      <c r="DP310" s="14"/>
      <c r="DQ310" s="14"/>
      <c r="DR310" s="14"/>
      <c r="DS310" s="14"/>
      <c r="DT310" s="14"/>
      <c r="DU310" s="14"/>
      <c r="DV310" s="14"/>
      <c r="DW310" s="14"/>
      <c r="DX310" s="14"/>
      <c r="DY310" s="14"/>
      <c r="DZ310" s="14"/>
      <c r="EA310" s="14"/>
      <c r="EB310" s="14"/>
    </row>
    <row r="311" spans="4:132"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14"/>
      <c r="CC311" s="14"/>
      <c r="CD311" s="14"/>
      <c r="CE311" s="14"/>
      <c r="CF311" s="14"/>
      <c r="CG311" s="14"/>
      <c r="CH311" s="14"/>
      <c r="CI311" s="14"/>
      <c r="CJ311" s="14"/>
      <c r="CK311" s="14"/>
      <c r="CL311" s="14"/>
      <c r="CM311" s="14"/>
      <c r="CN311" s="14"/>
      <c r="CO311" s="14"/>
      <c r="CP311" s="14"/>
      <c r="CQ311" s="14"/>
      <c r="CR311" s="14"/>
      <c r="CS311" s="14"/>
      <c r="CT311" s="14"/>
      <c r="CU311" s="14"/>
      <c r="CV311" s="14"/>
      <c r="CW311" s="14"/>
      <c r="CX311" s="14"/>
      <c r="CY311" s="14"/>
      <c r="CZ311" s="14"/>
      <c r="DA311" s="14"/>
      <c r="DB311" s="14"/>
      <c r="DC311" s="14"/>
      <c r="DD311" s="14"/>
      <c r="DE311" s="14"/>
      <c r="DF311" s="14"/>
      <c r="DG311" s="14"/>
      <c r="DH311" s="14"/>
      <c r="DI311" s="14"/>
      <c r="DJ311" s="14"/>
      <c r="DK311" s="14"/>
      <c r="DL311" s="14"/>
      <c r="DM311" s="14"/>
      <c r="DN311" s="14"/>
      <c r="DO311" s="14"/>
      <c r="DP311" s="14"/>
      <c r="DQ311" s="14"/>
      <c r="DR311" s="14"/>
      <c r="DS311" s="14"/>
      <c r="DT311" s="14"/>
      <c r="DU311" s="14"/>
      <c r="DV311" s="14"/>
      <c r="DW311" s="14"/>
      <c r="DX311" s="14"/>
      <c r="DY311" s="14"/>
      <c r="DZ311" s="14"/>
      <c r="EA311" s="14"/>
      <c r="EB311" s="14"/>
    </row>
    <row r="312" spans="4:132"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14"/>
      <c r="CC312" s="14"/>
      <c r="CD312" s="14"/>
      <c r="CE312" s="14"/>
      <c r="CF312" s="14"/>
      <c r="CG312" s="14"/>
      <c r="CH312" s="14"/>
      <c r="CI312" s="14"/>
      <c r="CJ312" s="14"/>
      <c r="CK312" s="14"/>
      <c r="CL312" s="14"/>
      <c r="CM312" s="14"/>
      <c r="CN312" s="14"/>
      <c r="CO312" s="14"/>
      <c r="CP312" s="14"/>
      <c r="CQ312" s="14"/>
      <c r="CR312" s="14"/>
      <c r="CS312" s="14"/>
      <c r="CT312" s="14"/>
      <c r="CU312" s="14"/>
      <c r="CV312" s="14"/>
      <c r="CW312" s="14"/>
      <c r="CX312" s="14"/>
      <c r="CY312" s="14"/>
      <c r="CZ312" s="14"/>
      <c r="DA312" s="14"/>
      <c r="DB312" s="14"/>
      <c r="DC312" s="14"/>
      <c r="DD312" s="14"/>
      <c r="DE312" s="14"/>
      <c r="DF312" s="14"/>
      <c r="DG312" s="14"/>
      <c r="DH312" s="14"/>
      <c r="DI312" s="14"/>
      <c r="DJ312" s="14"/>
      <c r="DK312" s="14"/>
      <c r="DL312" s="14"/>
      <c r="DM312" s="14"/>
      <c r="DN312" s="14"/>
      <c r="DO312" s="14"/>
      <c r="DP312" s="14"/>
      <c r="DQ312" s="14"/>
      <c r="DR312" s="14"/>
      <c r="DS312" s="14"/>
      <c r="DT312" s="14"/>
      <c r="DU312" s="14"/>
      <c r="DV312" s="14"/>
      <c r="DW312" s="14"/>
      <c r="DX312" s="14"/>
      <c r="DY312" s="14"/>
      <c r="DZ312" s="14"/>
      <c r="EA312" s="14"/>
      <c r="EB312" s="14"/>
    </row>
    <row r="313" spans="4:132"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14"/>
      <c r="CC313" s="14"/>
      <c r="CD313" s="14"/>
      <c r="CE313" s="14"/>
      <c r="CF313" s="14"/>
      <c r="CG313" s="14"/>
      <c r="CH313" s="14"/>
      <c r="CI313" s="14"/>
      <c r="CJ313" s="14"/>
      <c r="CK313" s="14"/>
      <c r="CL313" s="14"/>
      <c r="CM313" s="14"/>
      <c r="CN313" s="14"/>
      <c r="CO313" s="14"/>
      <c r="CP313" s="14"/>
      <c r="CQ313" s="14"/>
      <c r="CR313" s="14"/>
      <c r="CS313" s="14"/>
      <c r="CT313" s="14"/>
      <c r="CU313" s="14"/>
      <c r="CV313" s="14"/>
      <c r="CW313" s="14"/>
      <c r="CX313" s="14"/>
      <c r="CY313" s="14"/>
      <c r="CZ313" s="14"/>
      <c r="DA313" s="14"/>
      <c r="DB313" s="14"/>
      <c r="DC313" s="14"/>
      <c r="DD313" s="14"/>
      <c r="DE313" s="14"/>
      <c r="DF313" s="14"/>
      <c r="DG313" s="14"/>
      <c r="DH313" s="14"/>
      <c r="DI313" s="14"/>
      <c r="DJ313" s="14"/>
      <c r="DK313" s="14"/>
      <c r="DL313" s="14"/>
      <c r="DM313" s="14"/>
      <c r="DN313" s="14"/>
      <c r="DO313" s="14"/>
      <c r="DP313" s="14"/>
      <c r="DQ313" s="14"/>
      <c r="DR313" s="14"/>
      <c r="DS313" s="14"/>
      <c r="DT313" s="14"/>
      <c r="DU313" s="14"/>
      <c r="DV313" s="14"/>
      <c r="DW313" s="14"/>
      <c r="DX313" s="14"/>
      <c r="DY313" s="14"/>
      <c r="DZ313" s="14"/>
      <c r="EA313" s="14"/>
      <c r="EB313" s="14"/>
    </row>
    <row r="314" spans="4:132"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14"/>
      <c r="CC314" s="14"/>
      <c r="CD314" s="14"/>
      <c r="CE314" s="14"/>
      <c r="CF314" s="14"/>
      <c r="CG314" s="14"/>
      <c r="CH314" s="14"/>
      <c r="CI314" s="14"/>
      <c r="CJ314" s="14"/>
      <c r="CK314" s="14"/>
      <c r="CL314" s="14"/>
      <c r="CM314" s="14"/>
      <c r="CN314" s="14"/>
      <c r="CO314" s="14"/>
      <c r="CP314" s="14"/>
      <c r="CQ314" s="14"/>
      <c r="CR314" s="14"/>
      <c r="CS314" s="14"/>
      <c r="CT314" s="14"/>
      <c r="CU314" s="14"/>
      <c r="CV314" s="14"/>
      <c r="CW314" s="14"/>
      <c r="CX314" s="14"/>
      <c r="CY314" s="14"/>
      <c r="CZ314" s="14"/>
      <c r="DA314" s="14"/>
      <c r="DB314" s="14"/>
      <c r="DC314" s="14"/>
      <c r="DD314" s="14"/>
      <c r="DE314" s="14"/>
      <c r="DF314" s="14"/>
      <c r="DG314" s="14"/>
      <c r="DH314" s="14"/>
      <c r="DI314" s="14"/>
      <c r="DJ314" s="14"/>
      <c r="DK314" s="14"/>
      <c r="DL314" s="14"/>
      <c r="DM314" s="14"/>
      <c r="DN314" s="14"/>
      <c r="DO314" s="14"/>
      <c r="DP314" s="14"/>
      <c r="DQ314" s="14"/>
      <c r="DR314" s="14"/>
      <c r="DS314" s="14"/>
      <c r="DT314" s="14"/>
      <c r="DU314" s="14"/>
      <c r="DV314" s="14"/>
      <c r="DW314" s="14"/>
      <c r="DX314" s="14"/>
      <c r="DY314" s="14"/>
      <c r="DZ314" s="14"/>
      <c r="EA314" s="14"/>
      <c r="EB314" s="14"/>
    </row>
    <row r="315" spans="4:132"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14"/>
      <c r="CC315" s="14"/>
      <c r="CD315" s="14"/>
      <c r="CE315" s="14"/>
      <c r="CF315" s="14"/>
      <c r="CG315" s="14"/>
      <c r="CH315" s="14"/>
      <c r="CI315" s="14"/>
      <c r="CJ315" s="14"/>
      <c r="CK315" s="14"/>
      <c r="CL315" s="14"/>
      <c r="CM315" s="14"/>
      <c r="CN315" s="14"/>
      <c r="CO315" s="14"/>
      <c r="CP315" s="14"/>
      <c r="CQ315" s="14"/>
      <c r="CR315" s="14"/>
      <c r="CS315" s="14"/>
      <c r="CT315" s="14"/>
      <c r="CU315" s="14"/>
      <c r="CV315" s="14"/>
      <c r="CW315" s="14"/>
      <c r="CX315" s="14"/>
      <c r="CY315" s="14"/>
      <c r="CZ315" s="14"/>
      <c r="DA315" s="14"/>
      <c r="DB315" s="14"/>
      <c r="DC315" s="14"/>
      <c r="DD315" s="14"/>
      <c r="DE315" s="14"/>
      <c r="DF315" s="14"/>
      <c r="DG315" s="14"/>
      <c r="DH315" s="14"/>
      <c r="DI315" s="14"/>
      <c r="DJ315" s="14"/>
      <c r="DK315" s="14"/>
      <c r="DL315" s="14"/>
      <c r="DM315" s="14"/>
      <c r="DN315" s="14"/>
      <c r="DO315" s="14"/>
      <c r="DP315" s="14"/>
      <c r="DQ315" s="14"/>
      <c r="DR315" s="14"/>
      <c r="DS315" s="14"/>
      <c r="DT315" s="14"/>
      <c r="DU315" s="14"/>
      <c r="DV315" s="14"/>
      <c r="DW315" s="14"/>
      <c r="DX315" s="14"/>
      <c r="DY315" s="14"/>
      <c r="DZ315" s="14"/>
      <c r="EA315" s="14"/>
      <c r="EB315" s="14"/>
    </row>
    <row r="316" spans="4:132"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14"/>
      <c r="CC316" s="14"/>
      <c r="CD316" s="14"/>
      <c r="CE316" s="14"/>
      <c r="CF316" s="14"/>
      <c r="CG316" s="14"/>
      <c r="CH316" s="14"/>
      <c r="CI316" s="14"/>
      <c r="CJ316" s="14"/>
      <c r="CK316" s="14"/>
      <c r="CL316" s="14"/>
      <c r="CM316" s="14"/>
      <c r="CN316" s="14"/>
      <c r="CO316" s="14"/>
      <c r="CP316" s="14"/>
      <c r="CQ316" s="14"/>
      <c r="CR316" s="14"/>
      <c r="CS316" s="14"/>
      <c r="CT316" s="14"/>
      <c r="CU316" s="14"/>
      <c r="CV316" s="14"/>
      <c r="CW316" s="14"/>
      <c r="CX316" s="14"/>
      <c r="CY316" s="14"/>
      <c r="CZ316" s="14"/>
      <c r="DA316" s="14"/>
      <c r="DB316" s="14"/>
      <c r="DC316" s="14"/>
      <c r="DD316" s="14"/>
      <c r="DE316" s="14"/>
      <c r="DF316" s="14"/>
      <c r="DG316" s="14"/>
      <c r="DH316" s="14"/>
      <c r="DI316" s="14"/>
      <c r="DJ316" s="14"/>
      <c r="DK316" s="14"/>
      <c r="DL316" s="14"/>
      <c r="DM316" s="14"/>
      <c r="DN316" s="14"/>
      <c r="DO316" s="14"/>
      <c r="DP316" s="14"/>
      <c r="DQ316" s="14"/>
      <c r="DR316" s="14"/>
      <c r="DS316" s="14"/>
      <c r="DT316" s="14"/>
      <c r="DU316" s="14"/>
      <c r="DV316" s="14"/>
      <c r="DW316" s="14"/>
      <c r="DX316" s="14"/>
      <c r="DY316" s="14"/>
      <c r="DZ316" s="14"/>
      <c r="EA316" s="14"/>
      <c r="EB316" s="14"/>
    </row>
    <row r="317" spans="4:132"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14"/>
      <c r="CC317" s="14"/>
      <c r="CD317" s="14"/>
      <c r="CE317" s="14"/>
      <c r="CF317" s="14"/>
      <c r="CG317" s="14"/>
      <c r="CH317" s="14"/>
      <c r="CI317" s="14"/>
      <c r="CJ317" s="14"/>
      <c r="CK317" s="14"/>
      <c r="CL317" s="14"/>
      <c r="CM317" s="14"/>
      <c r="CN317" s="14"/>
      <c r="CO317" s="14"/>
      <c r="CP317" s="14"/>
      <c r="CQ317" s="14"/>
      <c r="CR317" s="14"/>
      <c r="CS317" s="14"/>
      <c r="CT317" s="14"/>
      <c r="CU317" s="14"/>
      <c r="CV317" s="14"/>
      <c r="CW317" s="14"/>
      <c r="CX317" s="14"/>
      <c r="CY317" s="14"/>
      <c r="CZ317" s="14"/>
      <c r="DA317" s="14"/>
      <c r="DB317" s="14"/>
      <c r="DC317" s="14"/>
      <c r="DD317" s="14"/>
      <c r="DE317" s="14"/>
      <c r="DF317" s="14"/>
      <c r="DG317" s="14"/>
      <c r="DH317" s="14"/>
      <c r="DI317" s="14"/>
      <c r="DJ317" s="14"/>
      <c r="DK317" s="14"/>
      <c r="DL317" s="14"/>
      <c r="DM317" s="14"/>
      <c r="DN317" s="14"/>
      <c r="DO317" s="14"/>
      <c r="DP317" s="14"/>
      <c r="DQ317" s="14"/>
      <c r="DR317" s="14"/>
      <c r="DS317" s="14"/>
      <c r="DT317" s="14"/>
      <c r="DU317" s="14"/>
      <c r="DV317" s="14"/>
      <c r="DW317" s="14"/>
      <c r="DX317" s="14"/>
      <c r="DY317" s="14"/>
      <c r="DZ317" s="14"/>
      <c r="EA317" s="14"/>
      <c r="EB317" s="14"/>
    </row>
    <row r="318" spans="4:132"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14"/>
      <c r="CC318" s="14"/>
      <c r="CD318" s="14"/>
      <c r="CE318" s="14"/>
      <c r="CF318" s="14"/>
      <c r="CG318" s="14"/>
      <c r="CH318" s="14"/>
      <c r="CI318" s="14"/>
      <c r="CJ318" s="14"/>
      <c r="CK318" s="14"/>
      <c r="CL318" s="14"/>
      <c r="CM318" s="14"/>
      <c r="CN318" s="14"/>
      <c r="CO318" s="14"/>
      <c r="CP318" s="14"/>
      <c r="CQ318" s="14"/>
      <c r="CR318" s="14"/>
      <c r="CS318" s="14"/>
      <c r="CT318" s="14"/>
      <c r="CU318" s="14"/>
      <c r="CV318" s="14"/>
      <c r="CW318" s="14"/>
      <c r="CX318" s="14"/>
      <c r="CY318" s="14"/>
      <c r="CZ318" s="14"/>
      <c r="DA318" s="14"/>
      <c r="DB318" s="14"/>
      <c r="DC318" s="14"/>
      <c r="DD318" s="14"/>
      <c r="DE318" s="14"/>
      <c r="DF318" s="14"/>
      <c r="DG318" s="14"/>
      <c r="DH318" s="14"/>
      <c r="DI318" s="14"/>
      <c r="DJ318" s="14"/>
      <c r="DK318" s="14"/>
      <c r="DL318" s="14"/>
      <c r="DM318" s="14"/>
      <c r="DN318" s="14"/>
      <c r="DO318" s="14"/>
      <c r="DP318" s="14"/>
      <c r="DQ318" s="14"/>
      <c r="DR318" s="14"/>
      <c r="DS318" s="14"/>
      <c r="DT318" s="14"/>
      <c r="DU318" s="14"/>
      <c r="DV318" s="14"/>
      <c r="DW318" s="14"/>
      <c r="DX318" s="14"/>
      <c r="DY318" s="14"/>
      <c r="DZ318" s="14"/>
      <c r="EA318" s="14"/>
      <c r="EB318" s="14"/>
    </row>
    <row r="319" spans="4:132"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14"/>
      <c r="CC319" s="14"/>
      <c r="CD319" s="14"/>
      <c r="CE319" s="14"/>
      <c r="CF319" s="14"/>
      <c r="CG319" s="14"/>
      <c r="CH319" s="14"/>
      <c r="CI319" s="14"/>
      <c r="CJ319" s="14"/>
      <c r="CK319" s="14"/>
      <c r="CL319" s="14"/>
      <c r="CM319" s="14"/>
      <c r="CN319" s="14"/>
      <c r="CO319" s="14"/>
      <c r="CP319" s="14"/>
      <c r="CQ319" s="14"/>
      <c r="CR319" s="14"/>
      <c r="CS319" s="14"/>
      <c r="CT319" s="14"/>
      <c r="CU319" s="14"/>
      <c r="CV319" s="14"/>
      <c r="CW319" s="14"/>
      <c r="CX319" s="14"/>
      <c r="CY319" s="14"/>
      <c r="CZ319" s="14"/>
      <c r="DA319" s="14"/>
      <c r="DB319" s="14"/>
      <c r="DC319" s="14"/>
      <c r="DD319" s="14"/>
      <c r="DE319" s="14"/>
      <c r="DF319" s="14"/>
      <c r="DG319" s="14"/>
      <c r="DH319" s="14"/>
      <c r="DI319" s="14"/>
      <c r="DJ319" s="14"/>
      <c r="DK319" s="14"/>
      <c r="DL319" s="14"/>
      <c r="DM319" s="14"/>
      <c r="DN319" s="14"/>
      <c r="DO319" s="14"/>
      <c r="DP319" s="14"/>
      <c r="DQ319" s="14"/>
      <c r="DR319" s="14"/>
      <c r="DS319" s="14"/>
      <c r="DT319" s="14"/>
      <c r="DU319" s="14"/>
      <c r="DV319" s="14"/>
      <c r="DW319" s="14"/>
      <c r="DX319" s="14"/>
      <c r="DY319" s="14"/>
      <c r="DZ319" s="14"/>
      <c r="EA319" s="14"/>
      <c r="EB319" s="14"/>
    </row>
    <row r="320" spans="4:132"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14"/>
      <c r="CC320" s="14"/>
      <c r="CD320" s="14"/>
      <c r="CE320" s="14"/>
      <c r="CF320" s="14"/>
      <c r="CG320" s="14"/>
      <c r="CH320" s="14"/>
      <c r="CI320" s="14"/>
      <c r="CJ320" s="14"/>
      <c r="CK320" s="14"/>
      <c r="CL320" s="14"/>
      <c r="CM320" s="14"/>
      <c r="CN320" s="14"/>
      <c r="CO320" s="14"/>
      <c r="CP320" s="14"/>
      <c r="CQ320" s="14"/>
      <c r="CR320" s="14"/>
      <c r="CS320" s="14"/>
      <c r="CT320" s="14"/>
      <c r="CU320" s="14"/>
      <c r="CV320" s="14"/>
      <c r="CW320" s="14"/>
      <c r="CX320" s="14"/>
      <c r="CY320" s="14"/>
      <c r="CZ320" s="14"/>
      <c r="DA320" s="14"/>
      <c r="DB320" s="14"/>
      <c r="DC320" s="14"/>
      <c r="DD320" s="14"/>
      <c r="DE320" s="14"/>
      <c r="DF320" s="14"/>
      <c r="DG320" s="14"/>
      <c r="DH320" s="14"/>
      <c r="DI320" s="14"/>
      <c r="DJ320" s="14"/>
      <c r="DK320" s="14"/>
      <c r="DL320" s="14"/>
      <c r="DM320" s="14"/>
      <c r="DN320" s="14"/>
      <c r="DO320" s="14"/>
      <c r="DP320" s="14"/>
      <c r="DQ320" s="14"/>
      <c r="DR320" s="14"/>
      <c r="DS320" s="14"/>
      <c r="DT320" s="14"/>
      <c r="DU320" s="14"/>
      <c r="DV320" s="14"/>
      <c r="DW320" s="14"/>
      <c r="DX320" s="14"/>
      <c r="DY320" s="14"/>
      <c r="DZ320" s="14"/>
      <c r="EA320" s="14"/>
      <c r="EB320" s="14"/>
    </row>
    <row r="321" spans="4:132"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14"/>
      <c r="CC321" s="14"/>
      <c r="CD321" s="14"/>
      <c r="CE321" s="14"/>
      <c r="CF321" s="14"/>
      <c r="CG321" s="14"/>
      <c r="CH321" s="14"/>
      <c r="CI321" s="14"/>
      <c r="CJ321" s="14"/>
      <c r="CK321" s="14"/>
      <c r="CL321" s="14"/>
      <c r="CM321" s="14"/>
      <c r="CN321" s="14"/>
      <c r="CO321" s="14"/>
      <c r="CP321" s="14"/>
      <c r="CQ321" s="14"/>
      <c r="CR321" s="14"/>
      <c r="CS321" s="14"/>
      <c r="CT321" s="14"/>
      <c r="CU321" s="14"/>
      <c r="CV321" s="14"/>
      <c r="CW321" s="14"/>
      <c r="CX321" s="14"/>
      <c r="CY321" s="14"/>
      <c r="CZ321" s="14"/>
      <c r="DA321" s="14"/>
      <c r="DB321" s="14"/>
      <c r="DC321" s="14"/>
      <c r="DD321" s="14"/>
      <c r="DE321" s="14"/>
      <c r="DF321" s="14"/>
      <c r="DG321" s="14"/>
      <c r="DH321" s="14"/>
      <c r="DI321" s="14"/>
      <c r="DJ321" s="14"/>
      <c r="DK321" s="14"/>
      <c r="DL321" s="14"/>
      <c r="DM321" s="14"/>
      <c r="DN321" s="14"/>
      <c r="DO321" s="14"/>
      <c r="DP321" s="14"/>
      <c r="DQ321" s="14"/>
      <c r="DR321" s="14"/>
      <c r="DS321" s="14"/>
      <c r="DT321" s="14"/>
      <c r="DU321" s="14"/>
      <c r="DV321" s="14"/>
      <c r="DW321" s="14"/>
      <c r="DX321" s="14"/>
      <c r="DY321" s="14"/>
      <c r="DZ321" s="14"/>
      <c r="EA321" s="14"/>
      <c r="EB321" s="14"/>
    </row>
    <row r="322" spans="4:132"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14"/>
      <c r="CC322" s="14"/>
      <c r="CD322" s="14"/>
      <c r="CE322" s="14"/>
      <c r="CF322" s="14"/>
      <c r="CG322" s="14"/>
      <c r="CH322" s="14"/>
      <c r="CI322" s="14"/>
      <c r="CJ322" s="14"/>
      <c r="CK322" s="14"/>
      <c r="CL322" s="14"/>
      <c r="CM322" s="14"/>
      <c r="CN322" s="14"/>
      <c r="CO322" s="14"/>
      <c r="CP322" s="14"/>
      <c r="CQ322" s="14"/>
      <c r="CR322" s="14"/>
      <c r="CS322" s="14"/>
      <c r="CT322" s="14"/>
      <c r="CU322" s="14"/>
      <c r="CV322" s="14"/>
      <c r="CW322" s="14"/>
      <c r="CX322" s="14"/>
      <c r="CY322" s="14"/>
      <c r="CZ322" s="14"/>
      <c r="DA322" s="14"/>
      <c r="DB322" s="14"/>
      <c r="DC322" s="14"/>
      <c r="DD322" s="14"/>
      <c r="DE322" s="14"/>
      <c r="DF322" s="14"/>
      <c r="DG322" s="14"/>
      <c r="DH322" s="14"/>
      <c r="DI322" s="14"/>
      <c r="DJ322" s="14"/>
      <c r="DK322" s="14"/>
      <c r="DL322" s="14"/>
      <c r="DM322" s="14"/>
      <c r="DN322" s="14"/>
      <c r="DO322" s="14"/>
      <c r="DP322" s="14"/>
      <c r="DQ322" s="14"/>
      <c r="DR322" s="14"/>
      <c r="DS322" s="14"/>
      <c r="DT322" s="14"/>
      <c r="DU322" s="14"/>
      <c r="DV322" s="14"/>
      <c r="DW322" s="14"/>
      <c r="DX322" s="14"/>
      <c r="DY322" s="14"/>
      <c r="DZ322" s="14"/>
      <c r="EA322" s="14"/>
      <c r="EB322" s="14"/>
    </row>
    <row r="323" spans="4:132"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14"/>
      <c r="CC323" s="14"/>
      <c r="CD323" s="14"/>
      <c r="CE323" s="14"/>
      <c r="CF323" s="14"/>
      <c r="CG323" s="14"/>
      <c r="CH323" s="14"/>
      <c r="CI323" s="14"/>
      <c r="CJ323" s="14"/>
      <c r="CK323" s="14"/>
      <c r="CL323" s="14"/>
      <c r="CM323" s="14"/>
      <c r="CN323" s="14"/>
      <c r="CO323" s="14"/>
      <c r="CP323" s="14"/>
      <c r="CQ323" s="14"/>
      <c r="CR323" s="14"/>
      <c r="CS323" s="14"/>
      <c r="CT323" s="14"/>
      <c r="CU323" s="14"/>
      <c r="CV323" s="14"/>
      <c r="CW323" s="14"/>
      <c r="CX323" s="14"/>
      <c r="CY323" s="14"/>
      <c r="CZ323" s="14"/>
      <c r="DA323" s="14"/>
      <c r="DB323" s="14"/>
      <c r="DC323" s="14"/>
      <c r="DD323" s="14"/>
      <c r="DE323" s="14"/>
      <c r="DF323" s="14"/>
      <c r="DG323" s="14"/>
      <c r="DH323" s="14"/>
      <c r="DI323" s="14"/>
      <c r="DJ323" s="14"/>
      <c r="DK323" s="14"/>
      <c r="DL323" s="14"/>
      <c r="DM323" s="14"/>
      <c r="DN323" s="14"/>
      <c r="DO323" s="14"/>
      <c r="DP323" s="14"/>
      <c r="DQ323" s="14"/>
      <c r="DR323" s="14"/>
      <c r="DS323" s="14"/>
      <c r="DT323" s="14"/>
      <c r="DU323" s="14"/>
      <c r="DV323" s="14"/>
      <c r="DW323" s="14"/>
      <c r="DX323" s="14"/>
      <c r="DY323" s="14"/>
      <c r="DZ323" s="14"/>
      <c r="EA323" s="14"/>
      <c r="EB323" s="14"/>
    </row>
    <row r="324" spans="4:132"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14"/>
      <c r="CC324" s="14"/>
      <c r="CD324" s="14"/>
      <c r="CE324" s="14"/>
      <c r="CF324" s="14"/>
      <c r="CG324" s="14"/>
      <c r="CH324" s="14"/>
      <c r="CI324" s="14"/>
      <c r="CJ324" s="14"/>
      <c r="CK324" s="14"/>
      <c r="CL324" s="14"/>
      <c r="CM324" s="14"/>
      <c r="CN324" s="14"/>
      <c r="CO324" s="14"/>
      <c r="CP324" s="14"/>
      <c r="CQ324" s="14"/>
      <c r="CR324" s="14"/>
      <c r="CS324" s="14"/>
      <c r="CT324" s="14"/>
      <c r="CU324" s="14"/>
      <c r="CV324" s="14"/>
      <c r="CW324" s="14"/>
      <c r="CX324" s="14"/>
      <c r="CY324" s="14"/>
      <c r="CZ324" s="14"/>
      <c r="DA324" s="14"/>
      <c r="DB324" s="14"/>
      <c r="DC324" s="14"/>
      <c r="DD324" s="14"/>
      <c r="DE324" s="14"/>
      <c r="DF324" s="14"/>
      <c r="DG324" s="14"/>
      <c r="DH324" s="14"/>
      <c r="DI324" s="14"/>
      <c r="DJ324" s="14"/>
      <c r="DK324" s="14"/>
      <c r="DL324" s="14"/>
      <c r="DM324" s="14"/>
      <c r="DN324" s="14"/>
      <c r="DO324" s="14"/>
      <c r="DP324" s="14"/>
      <c r="DQ324" s="14"/>
      <c r="DR324" s="14"/>
      <c r="DS324" s="14"/>
      <c r="DT324" s="14"/>
      <c r="DU324" s="14"/>
      <c r="DV324" s="14"/>
      <c r="DW324" s="14"/>
      <c r="DX324" s="14"/>
      <c r="DY324" s="14"/>
      <c r="DZ324" s="14"/>
      <c r="EA324" s="14"/>
      <c r="EB324" s="14"/>
    </row>
    <row r="325" spans="4:132"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14"/>
      <c r="CC325" s="14"/>
      <c r="CD325" s="14"/>
      <c r="CE325" s="14"/>
      <c r="CF325" s="14"/>
      <c r="CG325" s="14"/>
      <c r="CH325" s="14"/>
      <c r="CI325" s="14"/>
      <c r="CJ325" s="14"/>
      <c r="CK325" s="14"/>
      <c r="CL325" s="14"/>
      <c r="CM325" s="14"/>
      <c r="CN325" s="14"/>
      <c r="CO325" s="14"/>
      <c r="CP325" s="14"/>
      <c r="CQ325" s="14"/>
      <c r="CR325" s="14"/>
      <c r="CS325" s="14"/>
      <c r="CT325" s="14"/>
      <c r="CU325" s="14"/>
      <c r="CV325" s="14"/>
      <c r="CW325" s="14"/>
      <c r="CX325" s="14"/>
      <c r="CY325" s="14"/>
      <c r="CZ325" s="14"/>
      <c r="DA325" s="14"/>
      <c r="DB325" s="14"/>
      <c r="DC325" s="14"/>
      <c r="DD325" s="14"/>
      <c r="DE325" s="14"/>
      <c r="DF325" s="14"/>
      <c r="DG325" s="14"/>
      <c r="DH325" s="14"/>
      <c r="DI325" s="14"/>
      <c r="DJ325" s="14"/>
      <c r="DK325" s="14"/>
      <c r="DL325" s="14"/>
      <c r="DM325" s="14"/>
      <c r="DN325" s="14"/>
      <c r="DO325" s="14"/>
      <c r="DP325" s="14"/>
      <c r="DQ325" s="14"/>
      <c r="DR325" s="14"/>
      <c r="DS325" s="14"/>
      <c r="DT325" s="14"/>
      <c r="DU325" s="14"/>
      <c r="DV325" s="14"/>
      <c r="DW325" s="14"/>
      <c r="DX325" s="14"/>
      <c r="DY325" s="14"/>
      <c r="DZ325" s="14"/>
      <c r="EA325" s="14"/>
      <c r="EB325" s="14"/>
    </row>
    <row r="326" spans="4:132"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14"/>
      <c r="CC326" s="14"/>
      <c r="CD326" s="14"/>
      <c r="CE326" s="14"/>
      <c r="CF326" s="14"/>
      <c r="CG326" s="14"/>
      <c r="CH326" s="14"/>
      <c r="CI326" s="14"/>
      <c r="CJ326" s="14"/>
      <c r="CK326" s="14"/>
      <c r="CL326" s="14"/>
      <c r="CM326" s="14"/>
      <c r="CN326" s="14"/>
      <c r="CO326" s="14"/>
      <c r="CP326" s="14"/>
      <c r="CQ326" s="14"/>
      <c r="CR326" s="14"/>
      <c r="CS326" s="14"/>
      <c r="CT326" s="14"/>
      <c r="CU326" s="14"/>
      <c r="CV326" s="14"/>
      <c r="CW326" s="14"/>
      <c r="CX326" s="14"/>
      <c r="CY326" s="14"/>
      <c r="CZ326" s="14"/>
      <c r="DA326" s="14"/>
      <c r="DB326" s="14"/>
      <c r="DC326" s="14"/>
      <c r="DD326" s="14"/>
      <c r="DE326" s="14"/>
      <c r="DF326" s="14"/>
      <c r="DG326" s="14"/>
      <c r="DH326" s="14"/>
      <c r="DI326" s="14"/>
      <c r="DJ326" s="14"/>
      <c r="DK326" s="14"/>
      <c r="DL326" s="14"/>
      <c r="DM326" s="14"/>
      <c r="DN326" s="14"/>
      <c r="DO326" s="14"/>
      <c r="DP326" s="14"/>
      <c r="DQ326" s="14"/>
      <c r="DR326" s="14"/>
      <c r="DS326" s="14"/>
      <c r="DT326" s="14"/>
      <c r="DU326" s="14"/>
      <c r="DV326" s="14"/>
      <c r="DW326" s="14"/>
      <c r="DX326" s="14"/>
      <c r="DY326" s="14"/>
      <c r="DZ326" s="14"/>
      <c r="EA326" s="14"/>
      <c r="EB326" s="14"/>
    </row>
    <row r="327" spans="4:132"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14"/>
      <c r="CC327" s="14"/>
      <c r="CD327" s="14"/>
      <c r="CE327" s="14"/>
      <c r="CF327" s="14"/>
      <c r="CG327" s="14"/>
      <c r="CH327" s="14"/>
      <c r="CI327" s="14"/>
      <c r="CJ327" s="14"/>
      <c r="CK327" s="14"/>
      <c r="CL327" s="14"/>
      <c r="CM327" s="14"/>
      <c r="CN327" s="14"/>
      <c r="CO327" s="14"/>
      <c r="CP327" s="14"/>
      <c r="CQ327" s="14"/>
      <c r="CR327" s="14"/>
      <c r="CS327" s="14"/>
      <c r="CT327" s="14"/>
      <c r="CU327" s="14"/>
      <c r="CV327" s="14"/>
      <c r="CW327" s="14"/>
      <c r="CX327" s="14"/>
      <c r="CY327" s="14"/>
      <c r="CZ327" s="14"/>
      <c r="DA327" s="14"/>
      <c r="DB327" s="14"/>
      <c r="DC327" s="14"/>
      <c r="DD327" s="14"/>
      <c r="DE327" s="14"/>
      <c r="DF327" s="14"/>
      <c r="DG327" s="14"/>
      <c r="DH327" s="14"/>
      <c r="DI327" s="14"/>
      <c r="DJ327" s="14"/>
      <c r="DK327" s="14"/>
      <c r="DL327" s="14"/>
      <c r="DM327" s="14"/>
      <c r="DN327" s="14"/>
      <c r="DO327" s="14"/>
      <c r="DP327" s="14"/>
      <c r="DQ327" s="14"/>
      <c r="DR327" s="14"/>
      <c r="DS327" s="14"/>
      <c r="DT327" s="14"/>
      <c r="DU327" s="14"/>
      <c r="DV327" s="14"/>
      <c r="DW327" s="14"/>
      <c r="DX327" s="14"/>
      <c r="DY327" s="14"/>
      <c r="DZ327" s="14"/>
      <c r="EA327" s="14"/>
      <c r="EB327" s="14"/>
    </row>
    <row r="328" spans="4:132"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14"/>
      <c r="CC328" s="14"/>
      <c r="CD328" s="14"/>
      <c r="CE328" s="14"/>
      <c r="CF328" s="14"/>
      <c r="CG328" s="14"/>
      <c r="CH328" s="14"/>
      <c r="CI328" s="14"/>
      <c r="CJ328" s="14"/>
      <c r="CK328" s="14"/>
      <c r="CL328" s="14"/>
      <c r="CM328" s="14"/>
      <c r="CN328" s="14"/>
      <c r="CO328" s="14"/>
      <c r="CP328" s="14"/>
      <c r="CQ328" s="14"/>
      <c r="CR328" s="14"/>
      <c r="CS328" s="14"/>
      <c r="CT328" s="14"/>
      <c r="CU328" s="14"/>
      <c r="CV328" s="14"/>
      <c r="CW328" s="14"/>
      <c r="CX328" s="14"/>
      <c r="CY328" s="14"/>
      <c r="CZ328" s="14"/>
      <c r="DA328" s="14"/>
      <c r="DB328" s="14"/>
      <c r="DC328" s="14"/>
      <c r="DD328" s="14"/>
      <c r="DE328" s="14"/>
      <c r="DF328" s="14"/>
      <c r="DG328" s="14"/>
      <c r="DH328" s="14"/>
      <c r="DI328" s="14"/>
      <c r="DJ328" s="14"/>
      <c r="DK328" s="14"/>
      <c r="DL328" s="14"/>
      <c r="DM328" s="14"/>
      <c r="DN328" s="14"/>
      <c r="DO328" s="14"/>
      <c r="DP328" s="14"/>
      <c r="DQ328" s="14"/>
      <c r="DR328" s="14"/>
      <c r="DS328" s="14"/>
      <c r="DT328" s="14"/>
      <c r="DU328" s="14"/>
      <c r="DV328" s="14"/>
      <c r="DW328" s="14"/>
      <c r="DX328" s="14"/>
      <c r="DY328" s="14"/>
      <c r="DZ328" s="14"/>
      <c r="EA328" s="14"/>
      <c r="EB328" s="14"/>
    </row>
    <row r="329" spans="4:132"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</row>
    <row r="330" spans="4:132"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14"/>
      <c r="CC330" s="14"/>
      <c r="CD330" s="14"/>
      <c r="CE330" s="14"/>
      <c r="CF330" s="14"/>
      <c r="CG330" s="14"/>
      <c r="CH330" s="14"/>
      <c r="CI330" s="14"/>
      <c r="CJ330" s="14"/>
      <c r="CK330" s="14"/>
      <c r="CL330" s="14"/>
      <c r="CM330" s="14"/>
      <c r="CN330" s="14"/>
      <c r="CO330" s="14"/>
      <c r="CP330" s="14"/>
      <c r="CQ330" s="14"/>
      <c r="CR330" s="14"/>
      <c r="CS330" s="14"/>
      <c r="CT330" s="14"/>
      <c r="CU330" s="14"/>
      <c r="CV330" s="14"/>
      <c r="CW330" s="14"/>
      <c r="CX330" s="14"/>
      <c r="CY330" s="14"/>
      <c r="CZ330" s="14"/>
      <c r="DA330" s="14"/>
      <c r="DB330" s="14"/>
      <c r="DC330" s="14"/>
      <c r="DD330" s="14"/>
      <c r="DE330" s="14"/>
      <c r="DF330" s="14"/>
      <c r="DG330" s="14"/>
      <c r="DH330" s="14"/>
      <c r="DI330" s="14"/>
      <c r="DJ330" s="14"/>
      <c r="DK330" s="14"/>
      <c r="DL330" s="14"/>
      <c r="DM330" s="14"/>
      <c r="DN330" s="14"/>
      <c r="DO330" s="14"/>
      <c r="DP330" s="14"/>
      <c r="DQ330" s="14"/>
      <c r="DR330" s="14"/>
      <c r="DS330" s="14"/>
      <c r="DT330" s="14"/>
      <c r="DU330" s="14"/>
      <c r="DV330" s="14"/>
      <c r="DW330" s="14"/>
      <c r="DX330" s="14"/>
      <c r="DY330" s="14"/>
      <c r="DZ330" s="14"/>
      <c r="EA330" s="14"/>
      <c r="EB330" s="14"/>
    </row>
    <row r="331" spans="4:132"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14"/>
      <c r="CC331" s="14"/>
      <c r="CD331" s="14"/>
      <c r="CE331" s="14"/>
      <c r="CF331" s="14"/>
      <c r="CG331" s="14"/>
      <c r="CH331" s="14"/>
      <c r="CI331" s="14"/>
      <c r="CJ331" s="14"/>
      <c r="CK331" s="14"/>
      <c r="CL331" s="14"/>
      <c r="CM331" s="14"/>
      <c r="CN331" s="14"/>
      <c r="CO331" s="14"/>
      <c r="CP331" s="14"/>
      <c r="CQ331" s="14"/>
      <c r="CR331" s="14"/>
      <c r="CS331" s="14"/>
      <c r="CT331" s="14"/>
      <c r="CU331" s="14"/>
      <c r="CV331" s="14"/>
      <c r="CW331" s="14"/>
      <c r="CX331" s="14"/>
      <c r="CY331" s="14"/>
      <c r="CZ331" s="14"/>
      <c r="DA331" s="14"/>
      <c r="DB331" s="14"/>
      <c r="DC331" s="14"/>
      <c r="DD331" s="14"/>
      <c r="DE331" s="14"/>
      <c r="DF331" s="14"/>
      <c r="DG331" s="14"/>
      <c r="DH331" s="14"/>
      <c r="DI331" s="14"/>
      <c r="DJ331" s="14"/>
      <c r="DK331" s="14"/>
      <c r="DL331" s="14"/>
      <c r="DM331" s="14"/>
      <c r="DN331" s="14"/>
      <c r="DO331" s="14"/>
      <c r="DP331" s="14"/>
      <c r="DQ331" s="14"/>
      <c r="DR331" s="14"/>
      <c r="DS331" s="14"/>
      <c r="DT331" s="14"/>
      <c r="DU331" s="14"/>
      <c r="DV331" s="14"/>
      <c r="DW331" s="14"/>
      <c r="DX331" s="14"/>
      <c r="DY331" s="14"/>
      <c r="DZ331" s="14"/>
      <c r="EA331" s="14"/>
      <c r="EB331" s="14"/>
    </row>
    <row r="332" spans="4:132"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14"/>
      <c r="CC332" s="14"/>
      <c r="CD332" s="14"/>
      <c r="CE332" s="14"/>
      <c r="CF332" s="14"/>
      <c r="CG332" s="14"/>
      <c r="CH332" s="14"/>
      <c r="CI332" s="14"/>
      <c r="CJ332" s="14"/>
      <c r="CK332" s="14"/>
      <c r="CL332" s="14"/>
      <c r="CM332" s="14"/>
      <c r="CN332" s="14"/>
      <c r="CO332" s="14"/>
      <c r="CP332" s="14"/>
      <c r="CQ332" s="14"/>
      <c r="CR332" s="14"/>
      <c r="CS332" s="14"/>
      <c r="CT332" s="14"/>
      <c r="CU332" s="14"/>
      <c r="CV332" s="14"/>
      <c r="CW332" s="14"/>
      <c r="CX332" s="14"/>
      <c r="CY332" s="14"/>
      <c r="CZ332" s="14"/>
      <c r="DA332" s="14"/>
      <c r="DB332" s="14"/>
      <c r="DC332" s="14"/>
      <c r="DD332" s="14"/>
      <c r="DE332" s="14"/>
      <c r="DF332" s="14"/>
      <c r="DG332" s="14"/>
      <c r="DH332" s="14"/>
      <c r="DI332" s="14"/>
      <c r="DJ332" s="14"/>
      <c r="DK332" s="14"/>
      <c r="DL332" s="14"/>
      <c r="DM332" s="14"/>
      <c r="DN332" s="14"/>
      <c r="DO332" s="14"/>
      <c r="DP332" s="14"/>
      <c r="DQ332" s="14"/>
      <c r="DR332" s="14"/>
      <c r="DS332" s="14"/>
      <c r="DT332" s="14"/>
      <c r="DU332" s="14"/>
      <c r="DV332" s="14"/>
      <c r="DW332" s="14"/>
      <c r="DX332" s="14"/>
      <c r="DY332" s="14"/>
      <c r="DZ332" s="14"/>
      <c r="EA332" s="14"/>
      <c r="EB332" s="14"/>
    </row>
    <row r="333" spans="4:132"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</row>
    <row r="334" spans="4:132"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14"/>
      <c r="CC334" s="14"/>
      <c r="CD334" s="14"/>
      <c r="CE334" s="14"/>
      <c r="CF334" s="14"/>
      <c r="CG334" s="14"/>
      <c r="CH334" s="14"/>
      <c r="CI334" s="14"/>
      <c r="CJ334" s="14"/>
      <c r="CK334" s="14"/>
      <c r="CL334" s="14"/>
      <c r="CM334" s="14"/>
      <c r="CN334" s="14"/>
      <c r="CO334" s="14"/>
      <c r="CP334" s="14"/>
      <c r="CQ334" s="14"/>
      <c r="CR334" s="14"/>
      <c r="CS334" s="14"/>
      <c r="CT334" s="14"/>
      <c r="CU334" s="14"/>
      <c r="CV334" s="14"/>
      <c r="CW334" s="14"/>
      <c r="CX334" s="14"/>
      <c r="CY334" s="14"/>
      <c r="CZ334" s="14"/>
      <c r="DA334" s="14"/>
      <c r="DB334" s="14"/>
      <c r="DC334" s="14"/>
      <c r="DD334" s="14"/>
      <c r="DE334" s="14"/>
      <c r="DF334" s="14"/>
      <c r="DG334" s="14"/>
      <c r="DH334" s="14"/>
      <c r="DI334" s="14"/>
      <c r="DJ334" s="14"/>
      <c r="DK334" s="14"/>
      <c r="DL334" s="14"/>
      <c r="DM334" s="14"/>
      <c r="DN334" s="14"/>
      <c r="DO334" s="14"/>
      <c r="DP334" s="14"/>
      <c r="DQ334" s="14"/>
      <c r="DR334" s="14"/>
      <c r="DS334" s="14"/>
      <c r="DT334" s="14"/>
      <c r="DU334" s="14"/>
      <c r="DV334" s="14"/>
      <c r="DW334" s="14"/>
      <c r="DX334" s="14"/>
      <c r="DY334" s="14"/>
      <c r="DZ334" s="14"/>
      <c r="EA334" s="14"/>
      <c r="EB334" s="14"/>
    </row>
    <row r="335" spans="4:132"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14"/>
      <c r="CC335" s="14"/>
      <c r="CD335" s="14"/>
      <c r="CE335" s="14"/>
      <c r="CF335" s="14"/>
      <c r="CG335" s="14"/>
      <c r="CH335" s="14"/>
      <c r="CI335" s="14"/>
      <c r="CJ335" s="14"/>
      <c r="CK335" s="14"/>
      <c r="CL335" s="14"/>
      <c r="CM335" s="14"/>
      <c r="CN335" s="14"/>
      <c r="CO335" s="14"/>
      <c r="CP335" s="14"/>
      <c r="CQ335" s="14"/>
      <c r="CR335" s="14"/>
      <c r="CS335" s="14"/>
      <c r="CT335" s="14"/>
      <c r="CU335" s="14"/>
      <c r="CV335" s="14"/>
      <c r="CW335" s="14"/>
      <c r="CX335" s="14"/>
      <c r="CY335" s="14"/>
      <c r="CZ335" s="14"/>
      <c r="DA335" s="14"/>
      <c r="DB335" s="14"/>
      <c r="DC335" s="14"/>
      <c r="DD335" s="14"/>
      <c r="DE335" s="14"/>
      <c r="DF335" s="14"/>
      <c r="DG335" s="14"/>
      <c r="DH335" s="14"/>
      <c r="DI335" s="14"/>
      <c r="DJ335" s="14"/>
      <c r="DK335" s="14"/>
      <c r="DL335" s="14"/>
      <c r="DM335" s="14"/>
      <c r="DN335" s="14"/>
      <c r="DO335" s="14"/>
      <c r="DP335" s="14"/>
      <c r="DQ335" s="14"/>
      <c r="DR335" s="14"/>
      <c r="DS335" s="14"/>
      <c r="DT335" s="14"/>
      <c r="DU335" s="14"/>
      <c r="DV335" s="14"/>
      <c r="DW335" s="14"/>
      <c r="DX335" s="14"/>
      <c r="DY335" s="14"/>
      <c r="DZ335" s="14"/>
      <c r="EA335" s="14"/>
      <c r="EB335" s="14"/>
    </row>
    <row r="336" spans="4:132"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</row>
    <row r="337" spans="4:132"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14"/>
      <c r="CC337" s="14"/>
      <c r="CD337" s="14"/>
      <c r="CE337" s="14"/>
      <c r="CF337" s="14"/>
      <c r="CG337" s="14"/>
      <c r="CH337" s="14"/>
      <c r="CI337" s="14"/>
      <c r="CJ337" s="14"/>
      <c r="CK337" s="14"/>
      <c r="CL337" s="14"/>
      <c r="CM337" s="14"/>
      <c r="CN337" s="14"/>
      <c r="CO337" s="14"/>
      <c r="CP337" s="14"/>
      <c r="CQ337" s="14"/>
      <c r="CR337" s="14"/>
      <c r="CS337" s="14"/>
      <c r="CT337" s="14"/>
      <c r="CU337" s="14"/>
      <c r="CV337" s="14"/>
      <c r="CW337" s="14"/>
      <c r="CX337" s="14"/>
      <c r="CY337" s="14"/>
      <c r="CZ337" s="14"/>
      <c r="DA337" s="14"/>
      <c r="DB337" s="14"/>
      <c r="DC337" s="14"/>
      <c r="DD337" s="14"/>
      <c r="DE337" s="14"/>
      <c r="DF337" s="14"/>
      <c r="DG337" s="14"/>
      <c r="DH337" s="14"/>
      <c r="DI337" s="14"/>
      <c r="DJ337" s="14"/>
      <c r="DK337" s="14"/>
      <c r="DL337" s="14"/>
      <c r="DM337" s="14"/>
      <c r="DN337" s="14"/>
      <c r="DO337" s="14"/>
      <c r="DP337" s="14"/>
      <c r="DQ337" s="14"/>
      <c r="DR337" s="14"/>
      <c r="DS337" s="14"/>
      <c r="DT337" s="14"/>
      <c r="DU337" s="14"/>
      <c r="DV337" s="14"/>
      <c r="DW337" s="14"/>
      <c r="DX337" s="14"/>
      <c r="DY337" s="14"/>
      <c r="DZ337" s="14"/>
      <c r="EA337" s="14"/>
      <c r="EB337" s="14"/>
    </row>
    <row r="338" spans="4:132"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14"/>
      <c r="CC338" s="14"/>
      <c r="CD338" s="14"/>
      <c r="CE338" s="14"/>
      <c r="CF338" s="14"/>
      <c r="CG338" s="14"/>
      <c r="CH338" s="14"/>
      <c r="CI338" s="14"/>
      <c r="CJ338" s="14"/>
      <c r="CK338" s="14"/>
      <c r="CL338" s="14"/>
      <c r="CM338" s="14"/>
      <c r="CN338" s="14"/>
      <c r="CO338" s="14"/>
      <c r="CP338" s="14"/>
      <c r="CQ338" s="14"/>
      <c r="CR338" s="14"/>
      <c r="CS338" s="14"/>
      <c r="CT338" s="14"/>
      <c r="CU338" s="14"/>
      <c r="CV338" s="14"/>
      <c r="CW338" s="14"/>
      <c r="CX338" s="14"/>
      <c r="CY338" s="14"/>
      <c r="CZ338" s="14"/>
      <c r="DA338" s="14"/>
      <c r="DB338" s="14"/>
      <c r="DC338" s="14"/>
      <c r="DD338" s="14"/>
      <c r="DE338" s="14"/>
      <c r="DF338" s="14"/>
      <c r="DG338" s="14"/>
      <c r="DH338" s="14"/>
      <c r="DI338" s="14"/>
      <c r="DJ338" s="14"/>
      <c r="DK338" s="14"/>
      <c r="DL338" s="14"/>
      <c r="DM338" s="14"/>
      <c r="DN338" s="14"/>
      <c r="DO338" s="14"/>
      <c r="DP338" s="14"/>
      <c r="DQ338" s="14"/>
      <c r="DR338" s="14"/>
      <c r="DS338" s="14"/>
      <c r="DT338" s="14"/>
      <c r="DU338" s="14"/>
      <c r="DV338" s="14"/>
      <c r="DW338" s="14"/>
      <c r="DX338" s="14"/>
      <c r="DY338" s="14"/>
      <c r="DZ338" s="14"/>
      <c r="EA338" s="14"/>
      <c r="EB338" s="14"/>
    </row>
    <row r="339" spans="4:132"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14"/>
      <c r="CC339" s="14"/>
      <c r="CD339" s="14"/>
      <c r="CE339" s="14"/>
      <c r="CF339" s="14"/>
      <c r="CG339" s="14"/>
      <c r="CH339" s="14"/>
      <c r="CI339" s="14"/>
      <c r="CJ339" s="14"/>
      <c r="CK339" s="14"/>
      <c r="CL339" s="14"/>
      <c r="CM339" s="14"/>
      <c r="CN339" s="14"/>
      <c r="CO339" s="14"/>
      <c r="CP339" s="14"/>
      <c r="CQ339" s="14"/>
      <c r="CR339" s="14"/>
      <c r="CS339" s="14"/>
      <c r="CT339" s="14"/>
      <c r="CU339" s="14"/>
      <c r="CV339" s="14"/>
      <c r="CW339" s="14"/>
      <c r="CX339" s="14"/>
      <c r="CY339" s="14"/>
      <c r="CZ339" s="14"/>
      <c r="DA339" s="14"/>
      <c r="DB339" s="14"/>
      <c r="DC339" s="14"/>
      <c r="DD339" s="14"/>
      <c r="DE339" s="14"/>
      <c r="DF339" s="14"/>
      <c r="DG339" s="14"/>
      <c r="DH339" s="14"/>
      <c r="DI339" s="14"/>
      <c r="DJ339" s="14"/>
      <c r="DK339" s="14"/>
      <c r="DL339" s="14"/>
      <c r="DM339" s="14"/>
      <c r="DN339" s="14"/>
      <c r="DO339" s="14"/>
      <c r="DP339" s="14"/>
      <c r="DQ339" s="14"/>
      <c r="DR339" s="14"/>
      <c r="DS339" s="14"/>
      <c r="DT339" s="14"/>
      <c r="DU339" s="14"/>
      <c r="DV339" s="14"/>
      <c r="DW339" s="14"/>
      <c r="DX339" s="14"/>
      <c r="DY339" s="14"/>
      <c r="DZ339" s="14"/>
      <c r="EA339" s="14"/>
      <c r="EB339" s="14"/>
    </row>
    <row r="340" spans="4:132"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14"/>
      <c r="CC340" s="14"/>
      <c r="CD340" s="14"/>
      <c r="CE340" s="14"/>
      <c r="CF340" s="14"/>
      <c r="CG340" s="14"/>
      <c r="CH340" s="14"/>
      <c r="CI340" s="14"/>
      <c r="CJ340" s="14"/>
      <c r="CK340" s="14"/>
      <c r="CL340" s="14"/>
      <c r="CM340" s="14"/>
      <c r="CN340" s="14"/>
      <c r="CO340" s="14"/>
      <c r="CP340" s="14"/>
      <c r="CQ340" s="14"/>
      <c r="CR340" s="14"/>
      <c r="CS340" s="14"/>
      <c r="CT340" s="14"/>
      <c r="CU340" s="14"/>
      <c r="CV340" s="14"/>
      <c r="CW340" s="14"/>
      <c r="CX340" s="14"/>
      <c r="CY340" s="14"/>
      <c r="CZ340" s="14"/>
      <c r="DA340" s="14"/>
      <c r="DB340" s="14"/>
      <c r="DC340" s="14"/>
      <c r="DD340" s="14"/>
      <c r="DE340" s="14"/>
      <c r="DF340" s="14"/>
      <c r="DG340" s="14"/>
      <c r="DH340" s="14"/>
      <c r="DI340" s="14"/>
      <c r="DJ340" s="14"/>
      <c r="DK340" s="14"/>
      <c r="DL340" s="14"/>
      <c r="DM340" s="14"/>
      <c r="DN340" s="14"/>
      <c r="DO340" s="14"/>
      <c r="DP340" s="14"/>
      <c r="DQ340" s="14"/>
      <c r="DR340" s="14"/>
      <c r="DS340" s="14"/>
      <c r="DT340" s="14"/>
      <c r="DU340" s="14"/>
      <c r="DV340" s="14"/>
      <c r="DW340" s="14"/>
      <c r="DX340" s="14"/>
      <c r="DY340" s="14"/>
      <c r="DZ340" s="14"/>
      <c r="EA340" s="14"/>
      <c r="EB340" s="14"/>
    </row>
    <row r="341" spans="4:132"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14"/>
      <c r="CC341" s="14"/>
      <c r="CD341" s="14"/>
      <c r="CE341" s="14"/>
      <c r="CF341" s="14"/>
      <c r="CG341" s="14"/>
      <c r="CH341" s="14"/>
      <c r="CI341" s="14"/>
      <c r="CJ341" s="14"/>
      <c r="CK341" s="14"/>
      <c r="CL341" s="14"/>
      <c r="CM341" s="14"/>
      <c r="CN341" s="14"/>
      <c r="CO341" s="14"/>
      <c r="CP341" s="14"/>
      <c r="CQ341" s="14"/>
      <c r="CR341" s="14"/>
      <c r="CS341" s="14"/>
      <c r="CT341" s="14"/>
      <c r="CU341" s="14"/>
      <c r="CV341" s="14"/>
      <c r="CW341" s="14"/>
      <c r="CX341" s="14"/>
      <c r="CY341" s="14"/>
      <c r="CZ341" s="14"/>
      <c r="DA341" s="14"/>
      <c r="DB341" s="14"/>
      <c r="DC341" s="14"/>
      <c r="DD341" s="14"/>
      <c r="DE341" s="14"/>
      <c r="DF341" s="14"/>
      <c r="DG341" s="14"/>
      <c r="DH341" s="14"/>
      <c r="DI341" s="14"/>
      <c r="DJ341" s="14"/>
      <c r="DK341" s="14"/>
      <c r="DL341" s="14"/>
      <c r="DM341" s="14"/>
      <c r="DN341" s="14"/>
      <c r="DO341" s="14"/>
      <c r="DP341" s="14"/>
      <c r="DQ341" s="14"/>
      <c r="DR341" s="14"/>
      <c r="DS341" s="14"/>
      <c r="DT341" s="14"/>
      <c r="DU341" s="14"/>
      <c r="DV341" s="14"/>
      <c r="DW341" s="14"/>
      <c r="DX341" s="14"/>
      <c r="DY341" s="14"/>
      <c r="DZ341" s="14"/>
      <c r="EA341" s="14"/>
      <c r="EB341" s="14"/>
    </row>
    <row r="342" spans="4:132"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14"/>
      <c r="CC342" s="14"/>
      <c r="CD342" s="14"/>
      <c r="CE342" s="14"/>
      <c r="CF342" s="14"/>
      <c r="CG342" s="14"/>
      <c r="CH342" s="14"/>
      <c r="CI342" s="14"/>
      <c r="CJ342" s="14"/>
      <c r="CK342" s="14"/>
      <c r="CL342" s="14"/>
      <c r="CM342" s="14"/>
      <c r="CN342" s="14"/>
      <c r="CO342" s="14"/>
      <c r="CP342" s="14"/>
      <c r="CQ342" s="14"/>
      <c r="CR342" s="14"/>
      <c r="CS342" s="14"/>
      <c r="CT342" s="14"/>
      <c r="CU342" s="14"/>
      <c r="CV342" s="14"/>
      <c r="CW342" s="14"/>
      <c r="CX342" s="14"/>
      <c r="CY342" s="14"/>
      <c r="CZ342" s="14"/>
      <c r="DA342" s="14"/>
      <c r="DB342" s="14"/>
      <c r="DC342" s="14"/>
      <c r="DD342" s="14"/>
      <c r="DE342" s="14"/>
      <c r="DF342" s="14"/>
      <c r="DG342" s="14"/>
      <c r="DH342" s="14"/>
      <c r="DI342" s="14"/>
      <c r="DJ342" s="14"/>
      <c r="DK342" s="14"/>
      <c r="DL342" s="14"/>
      <c r="DM342" s="14"/>
      <c r="DN342" s="14"/>
      <c r="DO342" s="14"/>
      <c r="DP342" s="14"/>
      <c r="DQ342" s="14"/>
      <c r="DR342" s="14"/>
      <c r="DS342" s="14"/>
      <c r="DT342" s="14"/>
      <c r="DU342" s="14"/>
      <c r="DV342" s="14"/>
      <c r="DW342" s="14"/>
      <c r="DX342" s="14"/>
      <c r="DY342" s="14"/>
      <c r="DZ342" s="14"/>
      <c r="EA342" s="14"/>
      <c r="EB342" s="14"/>
    </row>
    <row r="343" spans="4:132"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14"/>
      <c r="CC343" s="14"/>
      <c r="CD343" s="14"/>
      <c r="CE343" s="14"/>
      <c r="CF343" s="14"/>
      <c r="CG343" s="14"/>
      <c r="CH343" s="14"/>
      <c r="CI343" s="14"/>
      <c r="CJ343" s="14"/>
      <c r="CK343" s="14"/>
      <c r="CL343" s="14"/>
      <c r="CM343" s="14"/>
      <c r="CN343" s="14"/>
      <c r="CO343" s="14"/>
      <c r="CP343" s="14"/>
      <c r="CQ343" s="14"/>
      <c r="CR343" s="14"/>
      <c r="CS343" s="14"/>
      <c r="CT343" s="14"/>
      <c r="CU343" s="14"/>
      <c r="CV343" s="14"/>
      <c r="CW343" s="14"/>
      <c r="CX343" s="14"/>
      <c r="CY343" s="14"/>
      <c r="CZ343" s="14"/>
      <c r="DA343" s="14"/>
      <c r="DB343" s="14"/>
      <c r="DC343" s="14"/>
      <c r="DD343" s="14"/>
      <c r="DE343" s="14"/>
      <c r="DF343" s="14"/>
      <c r="DG343" s="14"/>
      <c r="DH343" s="14"/>
      <c r="DI343" s="14"/>
      <c r="DJ343" s="14"/>
      <c r="DK343" s="14"/>
      <c r="DL343" s="14"/>
      <c r="DM343" s="14"/>
      <c r="DN343" s="14"/>
      <c r="DO343" s="14"/>
      <c r="DP343" s="14"/>
      <c r="DQ343" s="14"/>
      <c r="DR343" s="14"/>
      <c r="DS343" s="14"/>
      <c r="DT343" s="14"/>
      <c r="DU343" s="14"/>
      <c r="DV343" s="14"/>
      <c r="DW343" s="14"/>
      <c r="DX343" s="14"/>
      <c r="DY343" s="14"/>
      <c r="DZ343" s="14"/>
      <c r="EA343" s="14"/>
      <c r="EB343" s="14"/>
    </row>
    <row r="344" spans="4:132"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14"/>
      <c r="CC344" s="14"/>
      <c r="CD344" s="14"/>
      <c r="CE344" s="14"/>
      <c r="CF344" s="14"/>
      <c r="CG344" s="14"/>
      <c r="CH344" s="14"/>
      <c r="CI344" s="14"/>
      <c r="CJ344" s="14"/>
      <c r="CK344" s="14"/>
      <c r="CL344" s="14"/>
      <c r="CM344" s="14"/>
      <c r="CN344" s="14"/>
      <c r="CO344" s="14"/>
      <c r="CP344" s="14"/>
      <c r="CQ344" s="14"/>
      <c r="CR344" s="14"/>
      <c r="CS344" s="14"/>
      <c r="CT344" s="14"/>
      <c r="CU344" s="14"/>
      <c r="CV344" s="14"/>
      <c r="CW344" s="14"/>
      <c r="CX344" s="14"/>
      <c r="CY344" s="14"/>
      <c r="CZ344" s="14"/>
      <c r="DA344" s="14"/>
      <c r="DB344" s="14"/>
      <c r="DC344" s="14"/>
      <c r="DD344" s="14"/>
      <c r="DE344" s="14"/>
      <c r="DF344" s="14"/>
      <c r="DG344" s="14"/>
      <c r="DH344" s="14"/>
      <c r="DI344" s="14"/>
      <c r="DJ344" s="14"/>
      <c r="DK344" s="14"/>
      <c r="DL344" s="14"/>
      <c r="DM344" s="14"/>
      <c r="DN344" s="14"/>
      <c r="DO344" s="14"/>
      <c r="DP344" s="14"/>
      <c r="DQ344" s="14"/>
      <c r="DR344" s="14"/>
      <c r="DS344" s="14"/>
      <c r="DT344" s="14"/>
      <c r="DU344" s="14"/>
      <c r="DV344" s="14"/>
      <c r="DW344" s="14"/>
      <c r="DX344" s="14"/>
      <c r="DY344" s="14"/>
      <c r="DZ344" s="14"/>
      <c r="EA344" s="14"/>
      <c r="EB344" s="14"/>
    </row>
    <row r="345" spans="4:132"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14"/>
      <c r="CC345" s="14"/>
      <c r="CD345" s="14"/>
      <c r="CE345" s="14"/>
      <c r="CF345" s="14"/>
      <c r="CG345" s="14"/>
      <c r="CH345" s="14"/>
      <c r="CI345" s="14"/>
      <c r="CJ345" s="14"/>
      <c r="CK345" s="14"/>
      <c r="CL345" s="14"/>
      <c r="CM345" s="14"/>
      <c r="CN345" s="14"/>
      <c r="CO345" s="14"/>
      <c r="CP345" s="14"/>
      <c r="CQ345" s="14"/>
      <c r="CR345" s="14"/>
      <c r="CS345" s="14"/>
      <c r="CT345" s="14"/>
      <c r="CU345" s="14"/>
      <c r="CV345" s="14"/>
      <c r="CW345" s="14"/>
      <c r="CX345" s="14"/>
      <c r="CY345" s="14"/>
      <c r="CZ345" s="14"/>
      <c r="DA345" s="14"/>
      <c r="DB345" s="14"/>
      <c r="DC345" s="14"/>
      <c r="DD345" s="14"/>
      <c r="DE345" s="14"/>
      <c r="DF345" s="14"/>
      <c r="DG345" s="14"/>
      <c r="DH345" s="14"/>
      <c r="DI345" s="14"/>
      <c r="DJ345" s="14"/>
      <c r="DK345" s="14"/>
      <c r="DL345" s="14"/>
      <c r="DM345" s="14"/>
      <c r="DN345" s="14"/>
      <c r="DO345" s="14"/>
      <c r="DP345" s="14"/>
      <c r="DQ345" s="14"/>
      <c r="DR345" s="14"/>
      <c r="DS345" s="14"/>
      <c r="DT345" s="14"/>
      <c r="DU345" s="14"/>
      <c r="DV345" s="14"/>
      <c r="DW345" s="14"/>
      <c r="DX345" s="14"/>
      <c r="DY345" s="14"/>
      <c r="DZ345" s="14"/>
      <c r="EA345" s="14"/>
      <c r="EB345" s="14"/>
    </row>
    <row r="346" spans="4:132"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14"/>
      <c r="CC346" s="14"/>
      <c r="CD346" s="14"/>
      <c r="CE346" s="14"/>
      <c r="CF346" s="14"/>
      <c r="CG346" s="14"/>
      <c r="CH346" s="14"/>
      <c r="CI346" s="14"/>
      <c r="CJ346" s="14"/>
      <c r="CK346" s="14"/>
      <c r="CL346" s="14"/>
      <c r="CM346" s="14"/>
      <c r="CN346" s="14"/>
      <c r="CO346" s="14"/>
      <c r="CP346" s="14"/>
      <c r="CQ346" s="14"/>
      <c r="CR346" s="14"/>
      <c r="CS346" s="14"/>
      <c r="CT346" s="14"/>
      <c r="CU346" s="14"/>
      <c r="CV346" s="14"/>
      <c r="CW346" s="14"/>
      <c r="CX346" s="14"/>
      <c r="CY346" s="14"/>
      <c r="CZ346" s="14"/>
      <c r="DA346" s="14"/>
      <c r="DB346" s="14"/>
      <c r="DC346" s="14"/>
      <c r="DD346" s="14"/>
      <c r="DE346" s="14"/>
      <c r="DF346" s="14"/>
      <c r="DG346" s="14"/>
      <c r="DH346" s="14"/>
      <c r="DI346" s="14"/>
      <c r="DJ346" s="14"/>
      <c r="DK346" s="14"/>
      <c r="DL346" s="14"/>
      <c r="DM346" s="14"/>
      <c r="DN346" s="14"/>
      <c r="DO346" s="14"/>
      <c r="DP346" s="14"/>
      <c r="DQ346" s="14"/>
      <c r="DR346" s="14"/>
      <c r="DS346" s="14"/>
      <c r="DT346" s="14"/>
      <c r="DU346" s="14"/>
      <c r="DV346" s="14"/>
      <c r="DW346" s="14"/>
      <c r="DX346" s="14"/>
      <c r="DY346" s="14"/>
      <c r="DZ346" s="14"/>
      <c r="EA346" s="14"/>
      <c r="EB346" s="14"/>
    </row>
    <row r="347" spans="4:132"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14"/>
      <c r="CC347" s="14"/>
      <c r="CD347" s="14"/>
      <c r="CE347" s="14"/>
      <c r="CF347" s="14"/>
      <c r="CG347" s="14"/>
      <c r="CH347" s="14"/>
      <c r="CI347" s="14"/>
      <c r="CJ347" s="14"/>
      <c r="CK347" s="14"/>
      <c r="CL347" s="14"/>
      <c r="CM347" s="14"/>
      <c r="CN347" s="14"/>
      <c r="CO347" s="14"/>
      <c r="CP347" s="14"/>
      <c r="CQ347" s="14"/>
      <c r="CR347" s="14"/>
      <c r="CS347" s="14"/>
      <c r="CT347" s="14"/>
      <c r="CU347" s="14"/>
      <c r="CV347" s="14"/>
      <c r="CW347" s="14"/>
      <c r="CX347" s="14"/>
      <c r="CY347" s="14"/>
      <c r="CZ347" s="14"/>
      <c r="DA347" s="14"/>
      <c r="DB347" s="14"/>
      <c r="DC347" s="14"/>
      <c r="DD347" s="14"/>
      <c r="DE347" s="14"/>
      <c r="DF347" s="14"/>
      <c r="DG347" s="14"/>
      <c r="DH347" s="14"/>
      <c r="DI347" s="14"/>
      <c r="DJ347" s="14"/>
      <c r="DK347" s="14"/>
      <c r="DL347" s="14"/>
      <c r="DM347" s="14"/>
      <c r="DN347" s="14"/>
      <c r="DO347" s="14"/>
      <c r="DP347" s="14"/>
      <c r="DQ347" s="14"/>
      <c r="DR347" s="14"/>
      <c r="DS347" s="14"/>
      <c r="DT347" s="14"/>
      <c r="DU347" s="14"/>
      <c r="DV347" s="14"/>
      <c r="DW347" s="14"/>
      <c r="DX347" s="14"/>
      <c r="DY347" s="14"/>
      <c r="DZ347" s="14"/>
      <c r="EA347" s="14"/>
      <c r="EB347" s="14"/>
    </row>
    <row r="348" spans="4:132"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14"/>
      <c r="CC348" s="14"/>
      <c r="CD348" s="14"/>
      <c r="CE348" s="14"/>
      <c r="CF348" s="14"/>
      <c r="CG348" s="14"/>
      <c r="CH348" s="14"/>
      <c r="CI348" s="14"/>
      <c r="CJ348" s="14"/>
      <c r="CK348" s="14"/>
      <c r="CL348" s="14"/>
      <c r="CM348" s="14"/>
      <c r="CN348" s="14"/>
      <c r="CO348" s="14"/>
      <c r="CP348" s="14"/>
      <c r="CQ348" s="14"/>
      <c r="CR348" s="14"/>
      <c r="CS348" s="14"/>
      <c r="CT348" s="14"/>
      <c r="CU348" s="14"/>
      <c r="CV348" s="14"/>
      <c r="CW348" s="14"/>
      <c r="CX348" s="14"/>
      <c r="CY348" s="14"/>
      <c r="CZ348" s="14"/>
      <c r="DA348" s="14"/>
      <c r="DB348" s="14"/>
      <c r="DC348" s="14"/>
      <c r="DD348" s="14"/>
      <c r="DE348" s="14"/>
      <c r="DF348" s="14"/>
      <c r="DG348" s="14"/>
      <c r="DH348" s="14"/>
      <c r="DI348" s="14"/>
      <c r="DJ348" s="14"/>
      <c r="DK348" s="14"/>
      <c r="DL348" s="14"/>
      <c r="DM348" s="14"/>
      <c r="DN348" s="14"/>
      <c r="DO348" s="14"/>
      <c r="DP348" s="14"/>
      <c r="DQ348" s="14"/>
      <c r="DR348" s="14"/>
      <c r="DS348" s="14"/>
      <c r="DT348" s="14"/>
      <c r="DU348" s="14"/>
      <c r="DV348" s="14"/>
      <c r="DW348" s="14"/>
      <c r="DX348" s="14"/>
      <c r="DY348" s="14"/>
      <c r="DZ348" s="14"/>
      <c r="EA348" s="14"/>
      <c r="EB348" s="14"/>
    </row>
    <row r="349" spans="4:132"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14"/>
      <c r="CC349" s="14"/>
      <c r="CD349" s="14"/>
      <c r="CE349" s="14"/>
      <c r="CF349" s="14"/>
      <c r="CG349" s="14"/>
      <c r="CH349" s="14"/>
      <c r="CI349" s="14"/>
      <c r="CJ349" s="14"/>
      <c r="CK349" s="14"/>
      <c r="CL349" s="14"/>
      <c r="CM349" s="14"/>
      <c r="CN349" s="14"/>
      <c r="CO349" s="14"/>
      <c r="CP349" s="14"/>
      <c r="CQ349" s="14"/>
      <c r="CR349" s="14"/>
      <c r="CS349" s="14"/>
      <c r="CT349" s="14"/>
      <c r="CU349" s="14"/>
      <c r="CV349" s="14"/>
      <c r="CW349" s="14"/>
      <c r="CX349" s="14"/>
      <c r="CY349" s="14"/>
      <c r="CZ349" s="14"/>
      <c r="DA349" s="14"/>
      <c r="DB349" s="14"/>
      <c r="DC349" s="14"/>
      <c r="DD349" s="14"/>
      <c r="DE349" s="14"/>
      <c r="DF349" s="14"/>
      <c r="DG349" s="14"/>
      <c r="DH349" s="14"/>
      <c r="DI349" s="14"/>
      <c r="DJ349" s="14"/>
      <c r="DK349" s="14"/>
      <c r="DL349" s="14"/>
      <c r="DM349" s="14"/>
      <c r="DN349" s="14"/>
      <c r="DO349" s="14"/>
      <c r="DP349" s="14"/>
      <c r="DQ349" s="14"/>
      <c r="DR349" s="14"/>
      <c r="DS349" s="14"/>
      <c r="DT349" s="14"/>
      <c r="DU349" s="14"/>
      <c r="DV349" s="14"/>
      <c r="DW349" s="14"/>
      <c r="DX349" s="14"/>
      <c r="DY349" s="14"/>
      <c r="DZ349" s="14"/>
      <c r="EA349" s="14"/>
      <c r="EB349" s="14"/>
    </row>
    <row r="350" spans="4:132"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14"/>
      <c r="CC350" s="14"/>
      <c r="CD350" s="14"/>
      <c r="CE350" s="14"/>
      <c r="CF350" s="14"/>
      <c r="CG350" s="14"/>
      <c r="CH350" s="14"/>
      <c r="CI350" s="14"/>
      <c r="CJ350" s="14"/>
      <c r="CK350" s="14"/>
      <c r="CL350" s="14"/>
      <c r="CM350" s="14"/>
      <c r="CN350" s="14"/>
      <c r="CO350" s="14"/>
      <c r="CP350" s="14"/>
      <c r="CQ350" s="14"/>
      <c r="CR350" s="14"/>
      <c r="CS350" s="14"/>
      <c r="CT350" s="14"/>
      <c r="CU350" s="14"/>
      <c r="CV350" s="14"/>
      <c r="CW350" s="14"/>
      <c r="CX350" s="14"/>
      <c r="CY350" s="14"/>
      <c r="CZ350" s="14"/>
      <c r="DA350" s="14"/>
      <c r="DB350" s="14"/>
      <c r="DC350" s="14"/>
      <c r="DD350" s="14"/>
      <c r="DE350" s="14"/>
      <c r="DF350" s="14"/>
      <c r="DG350" s="14"/>
      <c r="DH350" s="14"/>
      <c r="DI350" s="14"/>
      <c r="DJ350" s="14"/>
      <c r="DK350" s="14"/>
      <c r="DL350" s="14"/>
      <c r="DM350" s="14"/>
      <c r="DN350" s="14"/>
      <c r="DO350" s="14"/>
      <c r="DP350" s="14"/>
      <c r="DQ350" s="14"/>
      <c r="DR350" s="14"/>
      <c r="DS350" s="14"/>
      <c r="DT350" s="14"/>
      <c r="DU350" s="14"/>
      <c r="DV350" s="14"/>
      <c r="DW350" s="14"/>
      <c r="DX350" s="14"/>
      <c r="DY350" s="14"/>
      <c r="DZ350" s="14"/>
      <c r="EA350" s="14"/>
      <c r="EB350" s="14"/>
    </row>
    <row r="351" spans="4:132"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14"/>
      <c r="CC351" s="14"/>
      <c r="CD351" s="14"/>
      <c r="CE351" s="14"/>
      <c r="CF351" s="14"/>
      <c r="CG351" s="14"/>
      <c r="CH351" s="14"/>
      <c r="CI351" s="14"/>
      <c r="CJ351" s="14"/>
      <c r="CK351" s="14"/>
      <c r="CL351" s="14"/>
      <c r="CM351" s="14"/>
      <c r="CN351" s="14"/>
      <c r="CO351" s="14"/>
      <c r="CP351" s="14"/>
      <c r="CQ351" s="14"/>
      <c r="CR351" s="14"/>
      <c r="CS351" s="14"/>
      <c r="CT351" s="14"/>
      <c r="CU351" s="14"/>
      <c r="CV351" s="14"/>
      <c r="CW351" s="14"/>
      <c r="CX351" s="14"/>
      <c r="CY351" s="14"/>
      <c r="CZ351" s="14"/>
      <c r="DA351" s="14"/>
      <c r="DB351" s="14"/>
      <c r="DC351" s="14"/>
      <c r="DD351" s="14"/>
      <c r="DE351" s="14"/>
      <c r="DF351" s="14"/>
      <c r="DG351" s="14"/>
      <c r="DH351" s="14"/>
      <c r="DI351" s="14"/>
      <c r="DJ351" s="14"/>
      <c r="DK351" s="14"/>
      <c r="DL351" s="14"/>
      <c r="DM351" s="14"/>
      <c r="DN351" s="14"/>
      <c r="DO351" s="14"/>
      <c r="DP351" s="14"/>
      <c r="DQ351" s="14"/>
      <c r="DR351" s="14"/>
      <c r="DS351" s="14"/>
      <c r="DT351" s="14"/>
      <c r="DU351" s="14"/>
      <c r="DV351" s="14"/>
      <c r="DW351" s="14"/>
      <c r="DX351" s="14"/>
      <c r="DY351" s="14"/>
      <c r="DZ351" s="14"/>
      <c r="EA351" s="14"/>
      <c r="EB351" s="14"/>
    </row>
    <row r="352" spans="4:132"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14"/>
      <c r="CC352" s="14"/>
      <c r="CD352" s="14"/>
      <c r="CE352" s="14"/>
      <c r="CF352" s="14"/>
      <c r="CG352" s="14"/>
      <c r="CH352" s="14"/>
      <c r="CI352" s="14"/>
      <c r="CJ352" s="14"/>
      <c r="CK352" s="14"/>
      <c r="CL352" s="14"/>
      <c r="CM352" s="14"/>
      <c r="CN352" s="14"/>
      <c r="CO352" s="14"/>
      <c r="CP352" s="14"/>
      <c r="CQ352" s="14"/>
      <c r="CR352" s="14"/>
      <c r="CS352" s="14"/>
      <c r="CT352" s="14"/>
      <c r="CU352" s="14"/>
      <c r="CV352" s="14"/>
      <c r="CW352" s="14"/>
      <c r="CX352" s="14"/>
      <c r="CY352" s="14"/>
      <c r="CZ352" s="14"/>
      <c r="DA352" s="14"/>
      <c r="DB352" s="14"/>
      <c r="DC352" s="14"/>
      <c r="DD352" s="14"/>
      <c r="DE352" s="14"/>
      <c r="DF352" s="14"/>
      <c r="DG352" s="14"/>
      <c r="DH352" s="14"/>
      <c r="DI352" s="14"/>
      <c r="DJ352" s="14"/>
      <c r="DK352" s="14"/>
      <c r="DL352" s="14"/>
      <c r="DM352" s="14"/>
      <c r="DN352" s="14"/>
      <c r="DO352" s="14"/>
      <c r="DP352" s="14"/>
      <c r="DQ352" s="14"/>
      <c r="DR352" s="14"/>
      <c r="DS352" s="14"/>
      <c r="DT352" s="14"/>
      <c r="DU352" s="14"/>
      <c r="DV352" s="14"/>
      <c r="DW352" s="14"/>
      <c r="DX352" s="14"/>
      <c r="DY352" s="14"/>
      <c r="DZ352" s="14"/>
      <c r="EA352" s="14"/>
      <c r="EB352" s="14"/>
    </row>
    <row r="353" spans="4:132"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14"/>
      <c r="CC353" s="14"/>
      <c r="CD353" s="14"/>
      <c r="CE353" s="14"/>
      <c r="CF353" s="14"/>
      <c r="CG353" s="14"/>
      <c r="CH353" s="14"/>
      <c r="CI353" s="14"/>
      <c r="CJ353" s="14"/>
      <c r="CK353" s="14"/>
      <c r="CL353" s="14"/>
      <c r="CM353" s="14"/>
      <c r="CN353" s="14"/>
      <c r="CO353" s="14"/>
      <c r="CP353" s="14"/>
      <c r="CQ353" s="14"/>
      <c r="CR353" s="14"/>
      <c r="CS353" s="14"/>
      <c r="CT353" s="14"/>
      <c r="CU353" s="14"/>
      <c r="CV353" s="14"/>
      <c r="CW353" s="14"/>
      <c r="CX353" s="14"/>
      <c r="CY353" s="14"/>
      <c r="CZ353" s="14"/>
      <c r="DA353" s="14"/>
      <c r="DB353" s="14"/>
      <c r="DC353" s="14"/>
      <c r="DD353" s="14"/>
      <c r="DE353" s="14"/>
      <c r="DF353" s="14"/>
      <c r="DG353" s="14"/>
      <c r="DH353" s="14"/>
      <c r="DI353" s="14"/>
      <c r="DJ353" s="14"/>
      <c r="DK353" s="14"/>
      <c r="DL353" s="14"/>
      <c r="DM353" s="14"/>
      <c r="DN353" s="14"/>
      <c r="DO353" s="14"/>
      <c r="DP353" s="14"/>
      <c r="DQ353" s="14"/>
      <c r="DR353" s="14"/>
      <c r="DS353" s="14"/>
      <c r="DT353" s="14"/>
      <c r="DU353" s="14"/>
      <c r="DV353" s="14"/>
      <c r="DW353" s="14"/>
      <c r="DX353" s="14"/>
      <c r="DY353" s="14"/>
      <c r="DZ353" s="14"/>
      <c r="EA353" s="14"/>
      <c r="EB353" s="14"/>
    </row>
    <row r="354" spans="4:132"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14"/>
      <c r="CC354" s="14"/>
      <c r="CD354" s="14"/>
      <c r="CE354" s="14"/>
      <c r="CF354" s="14"/>
      <c r="CG354" s="14"/>
      <c r="CH354" s="14"/>
      <c r="CI354" s="14"/>
      <c r="CJ354" s="14"/>
      <c r="CK354" s="14"/>
      <c r="CL354" s="14"/>
      <c r="CM354" s="14"/>
      <c r="CN354" s="14"/>
      <c r="CO354" s="14"/>
      <c r="CP354" s="14"/>
      <c r="CQ354" s="14"/>
      <c r="CR354" s="14"/>
      <c r="CS354" s="14"/>
      <c r="CT354" s="14"/>
      <c r="CU354" s="14"/>
      <c r="CV354" s="14"/>
      <c r="CW354" s="14"/>
      <c r="CX354" s="14"/>
      <c r="CY354" s="14"/>
      <c r="CZ354" s="14"/>
      <c r="DA354" s="14"/>
      <c r="DB354" s="14"/>
      <c r="DC354" s="14"/>
      <c r="DD354" s="14"/>
      <c r="DE354" s="14"/>
      <c r="DF354" s="14"/>
      <c r="DG354" s="14"/>
      <c r="DH354" s="14"/>
      <c r="DI354" s="14"/>
      <c r="DJ354" s="14"/>
      <c r="DK354" s="14"/>
      <c r="DL354" s="14"/>
      <c r="DM354" s="14"/>
      <c r="DN354" s="14"/>
      <c r="DO354" s="14"/>
      <c r="DP354" s="14"/>
      <c r="DQ354" s="14"/>
      <c r="DR354" s="14"/>
      <c r="DS354" s="14"/>
      <c r="DT354" s="14"/>
      <c r="DU354" s="14"/>
      <c r="DV354" s="14"/>
      <c r="DW354" s="14"/>
      <c r="DX354" s="14"/>
      <c r="DY354" s="14"/>
      <c r="DZ354" s="14"/>
      <c r="EA354" s="14"/>
      <c r="EB354" s="14"/>
    </row>
    <row r="355" spans="4:132"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14"/>
      <c r="CC355" s="14"/>
      <c r="CD355" s="14"/>
      <c r="CE355" s="14"/>
      <c r="CF355" s="14"/>
      <c r="CG355" s="14"/>
      <c r="CH355" s="14"/>
      <c r="CI355" s="14"/>
      <c r="CJ355" s="14"/>
      <c r="CK355" s="14"/>
      <c r="CL355" s="14"/>
      <c r="CM355" s="14"/>
      <c r="CN355" s="14"/>
      <c r="CO355" s="14"/>
      <c r="CP355" s="14"/>
      <c r="CQ355" s="14"/>
      <c r="CR355" s="14"/>
      <c r="CS355" s="14"/>
      <c r="CT355" s="14"/>
      <c r="CU355" s="14"/>
      <c r="CV355" s="14"/>
      <c r="CW355" s="14"/>
      <c r="CX355" s="14"/>
      <c r="CY355" s="14"/>
      <c r="CZ355" s="14"/>
      <c r="DA355" s="14"/>
      <c r="DB355" s="14"/>
      <c r="DC355" s="14"/>
      <c r="DD355" s="14"/>
      <c r="DE355" s="14"/>
      <c r="DF355" s="14"/>
      <c r="DG355" s="14"/>
      <c r="DH355" s="14"/>
      <c r="DI355" s="14"/>
      <c r="DJ355" s="14"/>
      <c r="DK355" s="14"/>
      <c r="DL355" s="14"/>
      <c r="DM355" s="14"/>
      <c r="DN355" s="14"/>
      <c r="DO355" s="14"/>
      <c r="DP355" s="14"/>
      <c r="DQ355" s="14"/>
      <c r="DR355" s="14"/>
      <c r="DS355" s="14"/>
      <c r="DT355" s="14"/>
      <c r="DU355" s="14"/>
      <c r="DV355" s="14"/>
      <c r="DW355" s="14"/>
      <c r="DX355" s="14"/>
      <c r="DY355" s="14"/>
      <c r="DZ355" s="14"/>
      <c r="EA355" s="14"/>
      <c r="EB355" s="14"/>
    </row>
    <row r="356" spans="4:132"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14"/>
      <c r="CC356" s="14"/>
      <c r="CD356" s="14"/>
      <c r="CE356" s="14"/>
      <c r="CF356" s="14"/>
      <c r="CG356" s="14"/>
      <c r="CH356" s="14"/>
      <c r="CI356" s="14"/>
      <c r="CJ356" s="14"/>
      <c r="CK356" s="14"/>
      <c r="CL356" s="14"/>
      <c r="CM356" s="14"/>
      <c r="CN356" s="14"/>
      <c r="CO356" s="14"/>
      <c r="CP356" s="14"/>
      <c r="CQ356" s="14"/>
      <c r="CR356" s="14"/>
      <c r="CS356" s="14"/>
      <c r="CT356" s="14"/>
      <c r="CU356" s="14"/>
      <c r="CV356" s="14"/>
      <c r="CW356" s="14"/>
      <c r="CX356" s="14"/>
      <c r="CY356" s="14"/>
      <c r="CZ356" s="14"/>
      <c r="DA356" s="14"/>
      <c r="DB356" s="14"/>
      <c r="DC356" s="14"/>
      <c r="DD356" s="14"/>
      <c r="DE356" s="14"/>
      <c r="DF356" s="14"/>
      <c r="DG356" s="14"/>
      <c r="DH356" s="14"/>
      <c r="DI356" s="14"/>
      <c r="DJ356" s="14"/>
      <c r="DK356" s="14"/>
      <c r="DL356" s="14"/>
      <c r="DM356" s="14"/>
      <c r="DN356" s="14"/>
      <c r="DO356" s="14"/>
      <c r="DP356" s="14"/>
      <c r="DQ356" s="14"/>
      <c r="DR356" s="14"/>
      <c r="DS356" s="14"/>
      <c r="DT356" s="14"/>
      <c r="DU356" s="14"/>
      <c r="DV356" s="14"/>
      <c r="DW356" s="14"/>
      <c r="DX356" s="14"/>
      <c r="DY356" s="14"/>
      <c r="DZ356" s="14"/>
      <c r="EA356" s="14"/>
      <c r="EB356" s="14"/>
    </row>
    <row r="357" spans="4:132"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14"/>
      <c r="CC357" s="14"/>
      <c r="CD357" s="14"/>
      <c r="CE357" s="14"/>
      <c r="CF357" s="14"/>
      <c r="CG357" s="14"/>
      <c r="CH357" s="14"/>
      <c r="CI357" s="14"/>
      <c r="CJ357" s="14"/>
      <c r="CK357" s="14"/>
      <c r="CL357" s="14"/>
      <c r="CM357" s="14"/>
      <c r="CN357" s="14"/>
      <c r="CO357" s="14"/>
      <c r="CP357" s="14"/>
      <c r="CQ357" s="14"/>
      <c r="CR357" s="14"/>
      <c r="CS357" s="14"/>
      <c r="CT357" s="14"/>
      <c r="CU357" s="14"/>
      <c r="CV357" s="14"/>
      <c r="CW357" s="14"/>
      <c r="CX357" s="14"/>
      <c r="CY357" s="14"/>
      <c r="CZ357" s="14"/>
      <c r="DA357" s="14"/>
      <c r="DB357" s="14"/>
      <c r="DC357" s="14"/>
      <c r="DD357" s="14"/>
      <c r="DE357" s="14"/>
      <c r="DF357" s="14"/>
      <c r="DG357" s="14"/>
      <c r="DH357" s="14"/>
      <c r="DI357" s="14"/>
      <c r="DJ357" s="14"/>
      <c r="DK357" s="14"/>
      <c r="DL357" s="14"/>
      <c r="DM357" s="14"/>
      <c r="DN357" s="14"/>
      <c r="DO357" s="14"/>
      <c r="DP357" s="14"/>
      <c r="DQ357" s="14"/>
      <c r="DR357" s="14"/>
      <c r="DS357" s="14"/>
      <c r="DT357" s="14"/>
      <c r="DU357" s="14"/>
      <c r="DV357" s="14"/>
      <c r="DW357" s="14"/>
      <c r="DX357" s="14"/>
      <c r="DY357" s="14"/>
      <c r="DZ357" s="14"/>
      <c r="EA357" s="14"/>
      <c r="EB357" s="14"/>
    </row>
    <row r="358" spans="4:132"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14"/>
      <c r="CC358" s="14"/>
      <c r="CD358" s="14"/>
      <c r="CE358" s="14"/>
      <c r="CF358" s="14"/>
      <c r="CG358" s="14"/>
      <c r="CH358" s="14"/>
      <c r="CI358" s="14"/>
      <c r="CJ358" s="14"/>
      <c r="CK358" s="14"/>
      <c r="CL358" s="14"/>
      <c r="CM358" s="14"/>
      <c r="CN358" s="14"/>
      <c r="CO358" s="14"/>
      <c r="CP358" s="14"/>
      <c r="CQ358" s="14"/>
      <c r="CR358" s="14"/>
      <c r="CS358" s="14"/>
      <c r="CT358" s="14"/>
      <c r="CU358" s="14"/>
      <c r="CV358" s="14"/>
      <c r="CW358" s="14"/>
      <c r="CX358" s="14"/>
      <c r="CY358" s="14"/>
      <c r="CZ358" s="14"/>
      <c r="DA358" s="14"/>
      <c r="DB358" s="14"/>
      <c r="DC358" s="14"/>
      <c r="DD358" s="14"/>
      <c r="DE358" s="14"/>
      <c r="DF358" s="14"/>
      <c r="DG358" s="14"/>
      <c r="DH358" s="14"/>
      <c r="DI358" s="14"/>
      <c r="DJ358" s="14"/>
      <c r="DK358" s="14"/>
      <c r="DL358" s="14"/>
      <c r="DM358" s="14"/>
      <c r="DN358" s="14"/>
      <c r="DO358" s="14"/>
      <c r="DP358" s="14"/>
      <c r="DQ358" s="14"/>
      <c r="DR358" s="14"/>
      <c r="DS358" s="14"/>
      <c r="DT358" s="14"/>
      <c r="DU358" s="14"/>
      <c r="DV358" s="14"/>
      <c r="DW358" s="14"/>
      <c r="DX358" s="14"/>
      <c r="DY358" s="14"/>
      <c r="DZ358" s="14"/>
      <c r="EA358" s="14"/>
      <c r="EB358" s="14"/>
    </row>
    <row r="359" spans="4:132"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14"/>
      <c r="CC359" s="14"/>
      <c r="CD359" s="14"/>
      <c r="CE359" s="14"/>
      <c r="CF359" s="14"/>
      <c r="CG359" s="14"/>
      <c r="CH359" s="14"/>
      <c r="CI359" s="14"/>
      <c r="CJ359" s="14"/>
      <c r="CK359" s="14"/>
      <c r="CL359" s="14"/>
      <c r="CM359" s="14"/>
      <c r="CN359" s="14"/>
      <c r="CO359" s="14"/>
      <c r="CP359" s="14"/>
      <c r="CQ359" s="14"/>
      <c r="CR359" s="14"/>
      <c r="CS359" s="14"/>
      <c r="CT359" s="14"/>
      <c r="CU359" s="14"/>
      <c r="CV359" s="14"/>
      <c r="CW359" s="14"/>
      <c r="CX359" s="14"/>
      <c r="CY359" s="14"/>
      <c r="CZ359" s="14"/>
      <c r="DA359" s="14"/>
      <c r="DB359" s="14"/>
      <c r="DC359" s="14"/>
      <c r="DD359" s="14"/>
      <c r="DE359" s="14"/>
      <c r="DF359" s="14"/>
      <c r="DG359" s="14"/>
      <c r="DH359" s="14"/>
      <c r="DI359" s="14"/>
      <c r="DJ359" s="14"/>
      <c r="DK359" s="14"/>
      <c r="DL359" s="14"/>
      <c r="DM359" s="14"/>
      <c r="DN359" s="14"/>
      <c r="DO359" s="14"/>
      <c r="DP359" s="14"/>
      <c r="DQ359" s="14"/>
      <c r="DR359" s="14"/>
      <c r="DS359" s="14"/>
      <c r="DT359" s="14"/>
      <c r="DU359" s="14"/>
      <c r="DV359" s="14"/>
      <c r="DW359" s="14"/>
      <c r="DX359" s="14"/>
      <c r="DY359" s="14"/>
      <c r="DZ359" s="14"/>
      <c r="EA359" s="14"/>
      <c r="EB359" s="14"/>
    </row>
    <row r="360" spans="4:132"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14"/>
      <c r="CC360" s="14"/>
      <c r="CD360" s="14"/>
      <c r="CE360" s="14"/>
      <c r="CF360" s="14"/>
      <c r="CG360" s="14"/>
      <c r="CH360" s="14"/>
      <c r="CI360" s="14"/>
      <c r="CJ360" s="14"/>
      <c r="CK360" s="14"/>
      <c r="CL360" s="14"/>
      <c r="CM360" s="14"/>
      <c r="CN360" s="14"/>
      <c r="CO360" s="14"/>
      <c r="CP360" s="14"/>
      <c r="CQ360" s="14"/>
      <c r="CR360" s="14"/>
      <c r="CS360" s="14"/>
      <c r="CT360" s="14"/>
      <c r="CU360" s="14"/>
      <c r="CV360" s="14"/>
      <c r="CW360" s="14"/>
      <c r="CX360" s="14"/>
      <c r="CY360" s="14"/>
      <c r="CZ360" s="14"/>
      <c r="DA360" s="14"/>
      <c r="DB360" s="14"/>
      <c r="DC360" s="14"/>
      <c r="DD360" s="14"/>
      <c r="DE360" s="14"/>
      <c r="DF360" s="14"/>
      <c r="DG360" s="14"/>
      <c r="DH360" s="14"/>
      <c r="DI360" s="14"/>
      <c r="DJ360" s="14"/>
      <c r="DK360" s="14"/>
      <c r="DL360" s="14"/>
      <c r="DM360" s="14"/>
      <c r="DN360" s="14"/>
      <c r="DO360" s="14"/>
      <c r="DP360" s="14"/>
      <c r="DQ360" s="14"/>
      <c r="DR360" s="14"/>
      <c r="DS360" s="14"/>
      <c r="DT360" s="14"/>
      <c r="DU360" s="14"/>
      <c r="DV360" s="14"/>
      <c r="DW360" s="14"/>
      <c r="DX360" s="14"/>
      <c r="DY360" s="14"/>
      <c r="DZ360" s="14"/>
      <c r="EA360" s="14"/>
      <c r="EB360" s="14"/>
    </row>
    <row r="361" spans="4:132"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14"/>
      <c r="CC361" s="14"/>
      <c r="CD361" s="14"/>
      <c r="CE361" s="14"/>
      <c r="CF361" s="14"/>
      <c r="CG361" s="14"/>
      <c r="CH361" s="14"/>
      <c r="CI361" s="14"/>
      <c r="CJ361" s="14"/>
      <c r="CK361" s="14"/>
      <c r="CL361" s="14"/>
      <c r="CM361" s="14"/>
      <c r="CN361" s="14"/>
      <c r="CO361" s="14"/>
      <c r="CP361" s="14"/>
      <c r="CQ361" s="14"/>
      <c r="CR361" s="14"/>
      <c r="CS361" s="14"/>
      <c r="CT361" s="14"/>
      <c r="CU361" s="14"/>
      <c r="CV361" s="14"/>
      <c r="CW361" s="14"/>
      <c r="CX361" s="14"/>
      <c r="CY361" s="14"/>
      <c r="CZ361" s="14"/>
      <c r="DA361" s="14"/>
      <c r="DB361" s="14"/>
      <c r="DC361" s="14"/>
      <c r="DD361" s="14"/>
      <c r="DE361" s="14"/>
      <c r="DF361" s="14"/>
      <c r="DG361" s="14"/>
      <c r="DH361" s="14"/>
      <c r="DI361" s="14"/>
      <c r="DJ361" s="14"/>
      <c r="DK361" s="14"/>
      <c r="DL361" s="14"/>
      <c r="DM361" s="14"/>
      <c r="DN361" s="14"/>
      <c r="DO361" s="14"/>
      <c r="DP361" s="14"/>
      <c r="DQ361" s="14"/>
      <c r="DR361" s="14"/>
      <c r="DS361" s="14"/>
      <c r="DT361" s="14"/>
      <c r="DU361" s="14"/>
      <c r="DV361" s="14"/>
      <c r="DW361" s="14"/>
      <c r="DX361" s="14"/>
      <c r="DY361" s="14"/>
      <c r="DZ361" s="14"/>
      <c r="EA361" s="14"/>
      <c r="EB361" s="14"/>
    </row>
    <row r="362" spans="4:132"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14"/>
      <c r="CC362" s="14"/>
      <c r="CD362" s="14"/>
      <c r="CE362" s="14"/>
      <c r="CF362" s="14"/>
      <c r="CG362" s="14"/>
      <c r="CH362" s="14"/>
      <c r="CI362" s="14"/>
      <c r="CJ362" s="14"/>
      <c r="CK362" s="14"/>
      <c r="CL362" s="14"/>
      <c r="CM362" s="14"/>
      <c r="CN362" s="14"/>
      <c r="CO362" s="14"/>
      <c r="CP362" s="14"/>
      <c r="CQ362" s="14"/>
      <c r="CR362" s="14"/>
      <c r="CS362" s="14"/>
      <c r="CT362" s="14"/>
      <c r="CU362" s="14"/>
      <c r="CV362" s="14"/>
      <c r="CW362" s="14"/>
      <c r="CX362" s="14"/>
      <c r="CY362" s="14"/>
      <c r="CZ362" s="14"/>
      <c r="DA362" s="14"/>
      <c r="DB362" s="14"/>
      <c r="DC362" s="14"/>
      <c r="DD362" s="14"/>
      <c r="DE362" s="14"/>
      <c r="DF362" s="14"/>
      <c r="DG362" s="14"/>
      <c r="DH362" s="14"/>
      <c r="DI362" s="14"/>
      <c r="DJ362" s="14"/>
      <c r="DK362" s="14"/>
      <c r="DL362" s="14"/>
      <c r="DM362" s="14"/>
      <c r="DN362" s="14"/>
      <c r="DO362" s="14"/>
      <c r="DP362" s="14"/>
      <c r="DQ362" s="14"/>
      <c r="DR362" s="14"/>
      <c r="DS362" s="14"/>
      <c r="DT362" s="14"/>
      <c r="DU362" s="14"/>
      <c r="DV362" s="14"/>
      <c r="DW362" s="14"/>
      <c r="DX362" s="14"/>
      <c r="DY362" s="14"/>
      <c r="DZ362" s="14"/>
      <c r="EA362" s="14"/>
      <c r="EB362" s="14"/>
    </row>
    <row r="363" spans="4:132"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14"/>
      <c r="CC363" s="14"/>
      <c r="CD363" s="14"/>
      <c r="CE363" s="14"/>
      <c r="CF363" s="14"/>
      <c r="CG363" s="14"/>
      <c r="CH363" s="14"/>
      <c r="CI363" s="14"/>
      <c r="CJ363" s="14"/>
      <c r="CK363" s="14"/>
      <c r="CL363" s="14"/>
      <c r="CM363" s="14"/>
      <c r="CN363" s="14"/>
      <c r="CO363" s="14"/>
      <c r="CP363" s="14"/>
      <c r="CQ363" s="14"/>
      <c r="CR363" s="14"/>
      <c r="CS363" s="14"/>
      <c r="CT363" s="14"/>
      <c r="CU363" s="14"/>
      <c r="CV363" s="14"/>
      <c r="CW363" s="14"/>
      <c r="CX363" s="14"/>
      <c r="CY363" s="14"/>
      <c r="CZ363" s="14"/>
      <c r="DA363" s="14"/>
      <c r="DB363" s="14"/>
      <c r="DC363" s="14"/>
      <c r="DD363" s="14"/>
      <c r="DE363" s="14"/>
      <c r="DF363" s="14"/>
      <c r="DG363" s="14"/>
      <c r="DH363" s="14"/>
      <c r="DI363" s="14"/>
      <c r="DJ363" s="14"/>
      <c r="DK363" s="14"/>
      <c r="DL363" s="14"/>
      <c r="DM363" s="14"/>
      <c r="DN363" s="14"/>
      <c r="DO363" s="14"/>
      <c r="DP363" s="14"/>
      <c r="DQ363" s="14"/>
      <c r="DR363" s="14"/>
      <c r="DS363" s="14"/>
      <c r="DT363" s="14"/>
      <c r="DU363" s="14"/>
      <c r="DV363" s="14"/>
      <c r="DW363" s="14"/>
      <c r="DX363" s="14"/>
      <c r="DY363" s="14"/>
      <c r="DZ363" s="14"/>
      <c r="EA363" s="14"/>
      <c r="EB363" s="14"/>
    </row>
    <row r="364" spans="4:132"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14"/>
      <c r="CC364" s="14"/>
      <c r="CD364" s="14"/>
      <c r="CE364" s="14"/>
      <c r="CF364" s="14"/>
      <c r="CG364" s="14"/>
      <c r="CH364" s="14"/>
      <c r="CI364" s="14"/>
      <c r="CJ364" s="14"/>
      <c r="CK364" s="14"/>
      <c r="CL364" s="14"/>
      <c r="CM364" s="14"/>
      <c r="CN364" s="14"/>
      <c r="CO364" s="14"/>
      <c r="CP364" s="14"/>
      <c r="CQ364" s="14"/>
      <c r="CR364" s="14"/>
      <c r="CS364" s="14"/>
      <c r="CT364" s="14"/>
      <c r="CU364" s="14"/>
      <c r="CV364" s="14"/>
      <c r="CW364" s="14"/>
      <c r="CX364" s="14"/>
      <c r="CY364" s="14"/>
      <c r="CZ364" s="14"/>
      <c r="DA364" s="14"/>
      <c r="DB364" s="14"/>
      <c r="DC364" s="14"/>
      <c r="DD364" s="14"/>
      <c r="DE364" s="14"/>
      <c r="DF364" s="14"/>
      <c r="DG364" s="14"/>
      <c r="DH364" s="14"/>
      <c r="DI364" s="14"/>
      <c r="DJ364" s="14"/>
      <c r="DK364" s="14"/>
      <c r="DL364" s="14"/>
      <c r="DM364" s="14"/>
      <c r="DN364" s="14"/>
      <c r="DO364" s="14"/>
      <c r="DP364" s="14"/>
      <c r="DQ364" s="14"/>
      <c r="DR364" s="14"/>
      <c r="DS364" s="14"/>
      <c r="DT364" s="14"/>
      <c r="DU364" s="14"/>
      <c r="DV364" s="14"/>
      <c r="DW364" s="14"/>
      <c r="DX364" s="14"/>
      <c r="DY364" s="14"/>
      <c r="DZ364" s="14"/>
      <c r="EA364" s="14"/>
      <c r="EB364" s="14"/>
    </row>
    <row r="365" spans="4:132"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14"/>
      <c r="CC365" s="14"/>
      <c r="CD365" s="14"/>
      <c r="CE365" s="14"/>
      <c r="CF365" s="14"/>
      <c r="CG365" s="14"/>
      <c r="CH365" s="14"/>
      <c r="CI365" s="14"/>
      <c r="CJ365" s="14"/>
      <c r="CK365" s="14"/>
      <c r="CL365" s="14"/>
      <c r="CM365" s="14"/>
      <c r="CN365" s="14"/>
      <c r="CO365" s="14"/>
      <c r="CP365" s="14"/>
      <c r="CQ365" s="14"/>
      <c r="CR365" s="14"/>
      <c r="CS365" s="14"/>
      <c r="CT365" s="14"/>
      <c r="CU365" s="14"/>
      <c r="CV365" s="14"/>
      <c r="CW365" s="14"/>
      <c r="CX365" s="14"/>
      <c r="CY365" s="14"/>
      <c r="CZ365" s="14"/>
      <c r="DA365" s="14"/>
      <c r="DB365" s="14"/>
      <c r="DC365" s="14"/>
      <c r="DD365" s="14"/>
      <c r="DE365" s="14"/>
      <c r="DF365" s="14"/>
      <c r="DG365" s="14"/>
      <c r="DH365" s="14"/>
      <c r="DI365" s="14"/>
      <c r="DJ365" s="14"/>
      <c r="DK365" s="14"/>
      <c r="DL365" s="14"/>
      <c r="DM365" s="14"/>
      <c r="DN365" s="14"/>
      <c r="DO365" s="14"/>
      <c r="DP365" s="14"/>
      <c r="DQ365" s="14"/>
      <c r="DR365" s="14"/>
      <c r="DS365" s="14"/>
      <c r="DT365" s="14"/>
      <c r="DU365" s="14"/>
      <c r="DV365" s="14"/>
      <c r="DW365" s="14"/>
      <c r="DX365" s="14"/>
      <c r="DY365" s="14"/>
      <c r="DZ365" s="14"/>
      <c r="EA365" s="14"/>
      <c r="EB365" s="14"/>
    </row>
    <row r="366" spans="4:132"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14"/>
      <c r="CC366" s="14"/>
      <c r="CD366" s="14"/>
      <c r="CE366" s="14"/>
      <c r="CF366" s="14"/>
      <c r="CG366" s="14"/>
      <c r="CH366" s="14"/>
      <c r="CI366" s="14"/>
      <c r="CJ366" s="14"/>
      <c r="CK366" s="14"/>
      <c r="CL366" s="14"/>
      <c r="CM366" s="14"/>
      <c r="CN366" s="14"/>
      <c r="CO366" s="14"/>
      <c r="CP366" s="14"/>
      <c r="CQ366" s="14"/>
      <c r="CR366" s="14"/>
      <c r="CS366" s="14"/>
      <c r="CT366" s="14"/>
      <c r="CU366" s="14"/>
      <c r="CV366" s="14"/>
      <c r="CW366" s="14"/>
      <c r="CX366" s="14"/>
      <c r="CY366" s="14"/>
      <c r="CZ366" s="14"/>
      <c r="DA366" s="14"/>
      <c r="DB366" s="14"/>
      <c r="DC366" s="14"/>
      <c r="DD366" s="14"/>
      <c r="DE366" s="14"/>
      <c r="DF366" s="14"/>
      <c r="DG366" s="14"/>
      <c r="DH366" s="14"/>
      <c r="DI366" s="14"/>
      <c r="DJ366" s="14"/>
      <c r="DK366" s="14"/>
      <c r="DL366" s="14"/>
      <c r="DM366" s="14"/>
      <c r="DN366" s="14"/>
      <c r="DO366" s="14"/>
      <c r="DP366" s="14"/>
      <c r="DQ366" s="14"/>
      <c r="DR366" s="14"/>
      <c r="DS366" s="14"/>
      <c r="DT366" s="14"/>
      <c r="DU366" s="14"/>
      <c r="DV366" s="14"/>
      <c r="DW366" s="14"/>
      <c r="DX366" s="14"/>
      <c r="DY366" s="14"/>
      <c r="DZ366" s="14"/>
      <c r="EA366" s="14"/>
      <c r="EB366" s="14"/>
    </row>
    <row r="367" spans="4:132"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14"/>
      <c r="CC367" s="14"/>
      <c r="CD367" s="14"/>
      <c r="CE367" s="14"/>
      <c r="CF367" s="14"/>
      <c r="CG367" s="14"/>
      <c r="CH367" s="14"/>
      <c r="CI367" s="14"/>
      <c r="CJ367" s="14"/>
      <c r="CK367" s="14"/>
      <c r="CL367" s="14"/>
      <c r="CM367" s="14"/>
      <c r="CN367" s="14"/>
      <c r="CO367" s="14"/>
      <c r="CP367" s="14"/>
      <c r="CQ367" s="14"/>
      <c r="CR367" s="14"/>
      <c r="CS367" s="14"/>
      <c r="CT367" s="14"/>
      <c r="CU367" s="14"/>
      <c r="CV367" s="14"/>
      <c r="CW367" s="14"/>
      <c r="CX367" s="14"/>
      <c r="CY367" s="14"/>
      <c r="CZ367" s="14"/>
      <c r="DA367" s="14"/>
      <c r="DB367" s="14"/>
      <c r="DC367" s="14"/>
      <c r="DD367" s="14"/>
      <c r="DE367" s="14"/>
      <c r="DF367" s="14"/>
      <c r="DG367" s="14"/>
      <c r="DH367" s="14"/>
      <c r="DI367" s="14"/>
      <c r="DJ367" s="14"/>
      <c r="DK367" s="14"/>
      <c r="DL367" s="14"/>
      <c r="DM367" s="14"/>
      <c r="DN367" s="14"/>
      <c r="DO367" s="14"/>
      <c r="DP367" s="14"/>
      <c r="DQ367" s="14"/>
      <c r="DR367" s="14"/>
      <c r="DS367" s="14"/>
      <c r="DT367" s="14"/>
      <c r="DU367" s="14"/>
      <c r="DV367" s="14"/>
      <c r="DW367" s="14"/>
      <c r="DX367" s="14"/>
      <c r="DY367" s="14"/>
      <c r="DZ367" s="14"/>
      <c r="EA367" s="14"/>
      <c r="EB367" s="14"/>
    </row>
    <row r="368" spans="4:132"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14"/>
      <c r="CC368" s="14"/>
      <c r="CD368" s="14"/>
      <c r="CE368" s="14"/>
      <c r="CF368" s="14"/>
      <c r="CG368" s="14"/>
      <c r="CH368" s="14"/>
      <c r="CI368" s="14"/>
      <c r="CJ368" s="14"/>
      <c r="CK368" s="14"/>
      <c r="CL368" s="14"/>
      <c r="CM368" s="14"/>
      <c r="CN368" s="14"/>
      <c r="CO368" s="14"/>
      <c r="CP368" s="14"/>
      <c r="CQ368" s="14"/>
      <c r="CR368" s="14"/>
      <c r="CS368" s="14"/>
      <c r="CT368" s="14"/>
      <c r="CU368" s="14"/>
      <c r="CV368" s="14"/>
      <c r="CW368" s="14"/>
      <c r="CX368" s="14"/>
      <c r="CY368" s="14"/>
      <c r="CZ368" s="14"/>
      <c r="DA368" s="14"/>
      <c r="DB368" s="14"/>
      <c r="DC368" s="14"/>
      <c r="DD368" s="14"/>
      <c r="DE368" s="14"/>
      <c r="DF368" s="14"/>
      <c r="DG368" s="14"/>
      <c r="DH368" s="14"/>
      <c r="DI368" s="14"/>
      <c r="DJ368" s="14"/>
      <c r="DK368" s="14"/>
      <c r="DL368" s="14"/>
      <c r="DM368" s="14"/>
      <c r="DN368" s="14"/>
      <c r="DO368" s="14"/>
      <c r="DP368" s="14"/>
      <c r="DQ368" s="14"/>
      <c r="DR368" s="14"/>
      <c r="DS368" s="14"/>
      <c r="DT368" s="14"/>
      <c r="DU368" s="14"/>
      <c r="DV368" s="14"/>
      <c r="DW368" s="14"/>
      <c r="DX368" s="14"/>
      <c r="DY368" s="14"/>
      <c r="DZ368" s="14"/>
      <c r="EA368" s="14"/>
      <c r="EB368" s="14"/>
    </row>
    <row r="369" spans="4:132"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14"/>
      <c r="CC369" s="14"/>
      <c r="CD369" s="14"/>
      <c r="CE369" s="14"/>
      <c r="CF369" s="14"/>
      <c r="CG369" s="14"/>
      <c r="CH369" s="14"/>
      <c r="CI369" s="14"/>
      <c r="CJ369" s="14"/>
      <c r="CK369" s="14"/>
      <c r="CL369" s="14"/>
      <c r="CM369" s="14"/>
      <c r="CN369" s="14"/>
      <c r="CO369" s="14"/>
      <c r="CP369" s="14"/>
      <c r="CQ369" s="14"/>
      <c r="CR369" s="14"/>
      <c r="CS369" s="14"/>
      <c r="CT369" s="14"/>
      <c r="CU369" s="14"/>
      <c r="CV369" s="14"/>
      <c r="CW369" s="14"/>
      <c r="CX369" s="14"/>
      <c r="CY369" s="14"/>
      <c r="CZ369" s="14"/>
      <c r="DA369" s="14"/>
      <c r="DB369" s="14"/>
      <c r="DC369" s="14"/>
      <c r="DD369" s="14"/>
      <c r="DE369" s="14"/>
      <c r="DF369" s="14"/>
      <c r="DG369" s="14"/>
      <c r="DH369" s="14"/>
      <c r="DI369" s="14"/>
      <c r="DJ369" s="14"/>
      <c r="DK369" s="14"/>
      <c r="DL369" s="14"/>
      <c r="DM369" s="14"/>
      <c r="DN369" s="14"/>
      <c r="DO369" s="14"/>
      <c r="DP369" s="14"/>
      <c r="DQ369" s="14"/>
      <c r="DR369" s="14"/>
      <c r="DS369" s="14"/>
      <c r="DT369" s="14"/>
      <c r="DU369" s="14"/>
      <c r="DV369" s="14"/>
      <c r="DW369" s="14"/>
      <c r="DX369" s="14"/>
      <c r="DY369" s="14"/>
      <c r="DZ369" s="14"/>
      <c r="EA369" s="14"/>
      <c r="EB369" s="14"/>
    </row>
    <row r="370" spans="4:132"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14"/>
      <c r="CC370" s="14"/>
      <c r="CD370" s="14"/>
      <c r="CE370" s="14"/>
      <c r="CF370" s="14"/>
      <c r="CG370" s="14"/>
      <c r="CH370" s="14"/>
      <c r="CI370" s="14"/>
      <c r="CJ370" s="14"/>
      <c r="CK370" s="14"/>
      <c r="CL370" s="14"/>
      <c r="CM370" s="14"/>
      <c r="CN370" s="14"/>
      <c r="CO370" s="14"/>
      <c r="CP370" s="14"/>
      <c r="CQ370" s="14"/>
      <c r="CR370" s="14"/>
      <c r="CS370" s="14"/>
      <c r="CT370" s="14"/>
      <c r="CU370" s="14"/>
      <c r="CV370" s="14"/>
      <c r="CW370" s="14"/>
      <c r="CX370" s="14"/>
      <c r="CY370" s="14"/>
      <c r="CZ370" s="14"/>
      <c r="DA370" s="14"/>
      <c r="DB370" s="14"/>
      <c r="DC370" s="14"/>
      <c r="DD370" s="14"/>
      <c r="DE370" s="14"/>
      <c r="DF370" s="14"/>
      <c r="DG370" s="14"/>
      <c r="DH370" s="14"/>
      <c r="DI370" s="14"/>
      <c r="DJ370" s="14"/>
      <c r="DK370" s="14"/>
      <c r="DL370" s="14"/>
      <c r="DM370" s="14"/>
      <c r="DN370" s="14"/>
      <c r="DO370" s="14"/>
      <c r="DP370" s="14"/>
      <c r="DQ370" s="14"/>
      <c r="DR370" s="14"/>
      <c r="DS370" s="14"/>
      <c r="DT370" s="14"/>
      <c r="DU370" s="14"/>
      <c r="DV370" s="14"/>
      <c r="DW370" s="14"/>
      <c r="DX370" s="14"/>
      <c r="DY370" s="14"/>
      <c r="DZ370" s="14"/>
      <c r="EA370" s="14"/>
      <c r="EB370" s="14"/>
    </row>
    <row r="371" spans="4:132"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14"/>
      <c r="CC371" s="14"/>
      <c r="CD371" s="14"/>
      <c r="CE371" s="14"/>
      <c r="CF371" s="14"/>
      <c r="CG371" s="14"/>
      <c r="CH371" s="14"/>
      <c r="CI371" s="14"/>
      <c r="CJ371" s="14"/>
      <c r="CK371" s="14"/>
      <c r="CL371" s="14"/>
      <c r="CM371" s="14"/>
      <c r="CN371" s="14"/>
      <c r="CO371" s="14"/>
      <c r="CP371" s="14"/>
      <c r="CQ371" s="14"/>
      <c r="CR371" s="14"/>
      <c r="CS371" s="14"/>
      <c r="CT371" s="14"/>
      <c r="CU371" s="14"/>
      <c r="CV371" s="14"/>
      <c r="CW371" s="14"/>
      <c r="CX371" s="14"/>
      <c r="CY371" s="14"/>
      <c r="CZ371" s="14"/>
      <c r="DA371" s="14"/>
      <c r="DB371" s="14"/>
      <c r="DC371" s="14"/>
      <c r="DD371" s="14"/>
      <c r="DE371" s="14"/>
      <c r="DF371" s="14"/>
      <c r="DG371" s="14"/>
      <c r="DH371" s="14"/>
      <c r="DI371" s="14"/>
      <c r="DJ371" s="14"/>
      <c r="DK371" s="14"/>
      <c r="DL371" s="14"/>
      <c r="DM371" s="14"/>
      <c r="DN371" s="14"/>
      <c r="DO371" s="14"/>
      <c r="DP371" s="14"/>
      <c r="DQ371" s="14"/>
      <c r="DR371" s="14"/>
      <c r="DS371" s="14"/>
      <c r="DT371" s="14"/>
      <c r="DU371" s="14"/>
      <c r="DV371" s="14"/>
      <c r="DW371" s="14"/>
      <c r="DX371" s="14"/>
      <c r="DY371" s="14"/>
      <c r="DZ371" s="14"/>
      <c r="EA371" s="14"/>
      <c r="EB371" s="14"/>
    </row>
    <row r="372" spans="4:132"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14"/>
      <c r="CC372" s="14"/>
      <c r="CD372" s="14"/>
      <c r="CE372" s="14"/>
      <c r="CF372" s="14"/>
      <c r="CG372" s="14"/>
      <c r="CH372" s="14"/>
      <c r="CI372" s="14"/>
      <c r="CJ372" s="14"/>
      <c r="CK372" s="14"/>
      <c r="CL372" s="14"/>
      <c r="CM372" s="14"/>
      <c r="CN372" s="14"/>
      <c r="CO372" s="14"/>
      <c r="CP372" s="14"/>
      <c r="CQ372" s="14"/>
      <c r="CR372" s="14"/>
      <c r="CS372" s="14"/>
      <c r="CT372" s="14"/>
      <c r="CU372" s="14"/>
      <c r="CV372" s="14"/>
      <c r="CW372" s="14"/>
      <c r="CX372" s="14"/>
      <c r="CY372" s="14"/>
      <c r="CZ372" s="14"/>
      <c r="DA372" s="14"/>
      <c r="DB372" s="14"/>
      <c r="DC372" s="14"/>
      <c r="DD372" s="14"/>
      <c r="DE372" s="14"/>
      <c r="DF372" s="14"/>
      <c r="DG372" s="14"/>
      <c r="DH372" s="14"/>
      <c r="DI372" s="14"/>
      <c r="DJ372" s="14"/>
      <c r="DK372" s="14"/>
      <c r="DL372" s="14"/>
      <c r="DM372" s="14"/>
      <c r="DN372" s="14"/>
      <c r="DO372" s="14"/>
      <c r="DP372" s="14"/>
      <c r="DQ372" s="14"/>
      <c r="DR372" s="14"/>
      <c r="DS372" s="14"/>
      <c r="DT372" s="14"/>
      <c r="DU372" s="14"/>
      <c r="DV372" s="14"/>
      <c r="DW372" s="14"/>
      <c r="DX372" s="14"/>
      <c r="DY372" s="14"/>
      <c r="DZ372" s="14"/>
      <c r="EA372" s="14"/>
      <c r="EB372" s="14"/>
    </row>
    <row r="373" spans="4:132"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14"/>
      <c r="CC373" s="14"/>
      <c r="CD373" s="14"/>
      <c r="CE373" s="14"/>
      <c r="CF373" s="14"/>
      <c r="CG373" s="14"/>
      <c r="CH373" s="14"/>
      <c r="CI373" s="14"/>
      <c r="CJ373" s="14"/>
      <c r="CK373" s="14"/>
      <c r="CL373" s="14"/>
      <c r="CM373" s="14"/>
      <c r="CN373" s="14"/>
      <c r="CO373" s="14"/>
      <c r="CP373" s="14"/>
      <c r="CQ373" s="14"/>
      <c r="CR373" s="14"/>
      <c r="CS373" s="14"/>
      <c r="CT373" s="14"/>
      <c r="CU373" s="14"/>
      <c r="CV373" s="14"/>
      <c r="CW373" s="14"/>
      <c r="CX373" s="14"/>
      <c r="CY373" s="14"/>
      <c r="CZ373" s="14"/>
      <c r="DA373" s="14"/>
      <c r="DB373" s="14"/>
      <c r="DC373" s="14"/>
      <c r="DD373" s="14"/>
      <c r="DE373" s="14"/>
      <c r="DF373" s="14"/>
      <c r="DG373" s="14"/>
      <c r="DH373" s="14"/>
      <c r="DI373" s="14"/>
      <c r="DJ373" s="14"/>
      <c r="DK373" s="14"/>
      <c r="DL373" s="14"/>
      <c r="DM373" s="14"/>
      <c r="DN373" s="14"/>
      <c r="DO373" s="14"/>
      <c r="DP373" s="14"/>
      <c r="DQ373" s="14"/>
      <c r="DR373" s="14"/>
      <c r="DS373" s="14"/>
      <c r="DT373" s="14"/>
      <c r="DU373" s="14"/>
      <c r="DV373" s="14"/>
      <c r="DW373" s="14"/>
      <c r="DX373" s="14"/>
      <c r="DY373" s="14"/>
      <c r="DZ373" s="14"/>
      <c r="EA373" s="14"/>
      <c r="EB373" s="14"/>
    </row>
    <row r="374" spans="4:132"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14"/>
      <c r="CC374" s="14"/>
      <c r="CD374" s="14"/>
      <c r="CE374" s="14"/>
      <c r="CF374" s="14"/>
      <c r="CG374" s="14"/>
      <c r="CH374" s="14"/>
      <c r="CI374" s="14"/>
      <c r="CJ374" s="14"/>
      <c r="CK374" s="14"/>
      <c r="CL374" s="14"/>
      <c r="CM374" s="14"/>
      <c r="CN374" s="14"/>
      <c r="CO374" s="14"/>
      <c r="CP374" s="14"/>
      <c r="CQ374" s="14"/>
      <c r="CR374" s="14"/>
      <c r="CS374" s="14"/>
      <c r="CT374" s="14"/>
      <c r="CU374" s="14"/>
      <c r="CV374" s="14"/>
      <c r="CW374" s="14"/>
      <c r="CX374" s="14"/>
      <c r="CY374" s="14"/>
      <c r="CZ374" s="14"/>
      <c r="DA374" s="14"/>
      <c r="DB374" s="14"/>
      <c r="DC374" s="14"/>
      <c r="DD374" s="14"/>
      <c r="DE374" s="14"/>
      <c r="DF374" s="14"/>
      <c r="DG374" s="14"/>
      <c r="DH374" s="14"/>
      <c r="DI374" s="14"/>
      <c r="DJ374" s="14"/>
      <c r="DK374" s="14"/>
      <c r="DL374" s="14"/>
      <c r="DM374" s="14"/>
      <c r="DN374" s="14"/>
      <c r="DO374" s="14"/>
      <c r="DP374" s="14"/>
      <c r="DQ374" s="14"/>
      <c r="DR374" s="14"/>
      <c r="DS374" s="14"/>
      <c r="DT374" s="14"/>
      <c r="DU374" s="14"/>
      <c r="DV374" s="14"/>
      <c r="DW374" s="14"/>
      <c r="DX374" s="14"/>
      <c r="DY374" s="14"/>
      <c r="DZ374" s="14"/>
      <c r="EA374" s="14"/>
      <c r="EB374" s="14"/>
    </row>
    <row r="375" spans="4:132"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14"/>
      <c r="CC375" s="14"/>
      <c r="CD375" s="14"/>
      <c r="CE375" s="14"/>
      <c r="CF375" s="14"/>
      <c r="CG375" s="14"/>
      <c r="CH375" s="14"/>
      <c r="CI375" s="14"/>
      <c r="CJ375" s="14"/>
      <c r="CK375" s="14"/>
      <c r="CL375" s="14"/>
      <c r="CM375" s="14"/>
      <c r="CN375" s="14"/>
      <c r="CO375" s="14"/>
      <c r="CP375" s="14"/>
      <c r="CQ375" s="14"/>
      <c r="CR375" s="14"/>
      <c r="CS375" s="14"/>
      <c r="CT375" s="14"/>
      <c r="CU375" s="14"/>
      <c r="CV375" s="14"/>
      <c r="CW375" s="14"/>
      <c r="CX375" s="14"/>
      <c r="CY375" s="14"/>
      <c r="CZ375" s="14"/>
      <c r="DA375" s="14"/>
      <c r="DB375" s="14"/>
      <c r="DC375" s="14"/>
      <c r="DD375" s="14"/>
      <c r="DE375" s="14"/>
      <c r="DF375" s="14"/>
      <c r="DG375" s="14"/>
      <c r="DH375" s="14"/>
      <c r="DI375" s="14"/>
      <c r="DJ375" s="14"/>
      <c r="DK375" s="14"/>
      <c r="DL375" s="14"/>
      <c r="DM375" s="14"/>
      <c r="DN375" s="14"/>
      <c r="DO375" s="14"/>
      <c r="DP375" s="14"/>
      <c r="DQ375" s="14"/>
      <c r="DR375" s="14"/>
      <c r="DS375" s="14"/>
      <c r="DT375" s="14"/>
      <c r="DU375" s="14"/>
      <c r="DV375" s="14"/>
      <c r="DW375" s="14"/>
      <c r="DX375" s="14"/>
      <c r="DY375" s="14"/>
      <c r="DZ375" s="14"/>
      <c r="EA375" s="14"/>
      <c r="EB375" s="14"/>
    </row>
    <row r="376" spans="4:132"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14"/>
      <c r="CC376" s="14"/>
      <c r="CD376" s="14"/>
      <c r="CE376" s="14"/>
      <c r="CF376" s="14"/>
      <c r="CG376" s="14"/>
      <c r="CH376" s="14"/>
      <c r="CI376" s="14"/>
      <c r="CJ376" s="14"/>
      <c r="CK376" s="14"/>
      <c r="CL376" s="14"/>
      <c r="CM376" s="14"/>
      <c r="CN376" s="14"/>
      <c r="CO376" s="14"/>
      <c r="CP376" s="14"/>
      <c r="CQ376" s="14"/>
      <c r="CR376" s="14"/>
      <c r="CS376" s="14"/>
      <c r="CT376" s="14"/>
      <c r="CU376" s="14"/>
      <c r="CV376" s="14"/>
      <c r="CW376" s="14"/>
      <c r="CX376" s="14"/>
      <c r="CY376" s="14"/>
      <c r="CZ376" s="14"/>
      <c r="DA376" s="14"/>
      <c r="DB376" s="14"/>
      <c r="DC376" s="14"/>
      <c r="DD376" s="14"/>
      <c r="DE376" s="14"/>
      <c r="DF376" s="14"/>
      <c r="DG376" s="14"/>
      <c r="DH376" s="14"/>
      <c r="DI376" s="14"/>
      <c r="DJ376" s="14"/>
      <c r="DK376" s="14"/>
      <c r="DL376" s="14"/>
      <c r="DM376" s="14"/>
      <c r="DN376" s="14"/>
      <c r="DO376" s="14"/>
      <c r="DP376" s="14"/>
      <c r="DQ376" s="14"/>
      <c r="DR376" s="14"/>
      <c r="DS376" s="14"/>
      <c r="DT376" s="14"/>
      <c r="DU376" s="14"/>
      <c r="DV376" s="14"/>
      <c r="DW376" s="14"/>
      <c r="DX376" s="14"/>
      <c r="DY376" s="14"/>
      <c r="DZ376" s="14"/>
      <c r="EA376" s="14"/>
      <c r="EB376" s="14"/>
    </row>
    <row r="377" spans="4:132"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14"/>
      <c r="CC377" s="14"/>
      <c r="CD377" s="14"/>
      <c r="CE377" s="14"/>
      <c r="CF377" s="14"/>
      <c r="CG377" s="14"/>
      <c r="CH377" s="14"/>
      <c r="CI377" s="14"/>
      <c r="CJ377" s="14"/>
      <c r="CK377" s="14"/>
      <c r="CL377" s="14"/>
      <c r="CM377" s="14"/>
      <c r="CN377" s="14"/>
      <c r="CO377" s="14"/>
      <c r="CP377" s="14"/>
      <c r="CQ377" s="14"/>
      <c r="CR377" s="14"/>
      <c r="CS377" s="14"/>
      <c r="CT377" s="14"/>
      <c r="CU377" s="14"/>
      <c r="CV377" s="14"/>
      <c r="CW377" s="14"/>
      <c r="CX377" s="14"/>
      <c r="CY377" s="14"/>
      <c r="CZ377" s="14"/>
      <c r="DA377" s="14"/>
      <c r="DB377" s="14"/>
      <c r="DC377" s="14"/>
      <c r="DD377" s="14"/>
      <c r="DE377" s="14"/>
      <c r="DF377" s="14"/>
      <c r="DG377" s="14"/>
      <c r="DH377" s="14"/>
      <c r="DI377" s="14"/>
      <c r="DJ377" s="14"/>
      <c r="DK377" s="14"/>
      <c r="DL377" s="14"/>
      <c r="DM377" s="14"/>
      <c r="DN377" s="14"/>
      <c r="DO377" s="14"/>
      <c r="DP377" s="14"/>
      <c r="DQ377" s="14"/>
      <c r="DR377" s="14"/>
      <c r="DS377" s="14"/>
      <c r="DT377" s="14"/>
      <c r="DU377" s="14"/>
      <c r="DV377" s="14"/>
      <c r="DW377" s="14"/>
      <c r="DX377" s="14"/>
      <c r="DY377" s="14"/>
      <c r="DZ377" s="14"/>
      <c r="EA377" s="14"/>
      <c r="EB377" s="14"/>
    </row>
    <row r="378" spans="4:132"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14"/>
      <c r="CC378" s="14"/>
      <c r="CD378" s="14"/>
      <c r="CE378" s="14"/>
      <c r="CF378" s="14"/>
      <c r="CG378" s="14"/>
      <c r="CH378" s="14"/>
      <c r="CI378" s="14"/>
      <c r="CJ378" s="14"/>
      <c r="CK378" s="14"/>
      <c r="CL378" s="14"/>
      <c r="CM378" s="14"/>
      <c r="CN378" s="14"/>
      <c r="CO378" s="14"/>
      <c r="CP378" s="14"/>
      <c r="CQ378" s="14"/>
      <c r="CR378" s="14"/>
      <c r="CS378" s="14"/>
      <c r="CT378" s="14"/>
      <c r="CU378" s="14"/>
      <c r="CV378" s="14"/>
      <c r="CW378" s="14"/>
      <c r="CX378" s="14"/>
      <c r="CY378" s="14"/>
      <c r="CZ378" s="14"/>
      <c r="DA378" s="14"/>
      <c r="DB378" s="14"/>
      <c r="DC378" s="14"/>
      <c r="DD378" s="14"/>
      <c r="DE378" s="14"/>
      <c r="DF378" s="14"/>
      <c r="DG378" s="14"/>
      <c r="DH378" s="14"/>
      <c r="DI378" s="14"/>
      <c r="DJ378" s="14"/>
      <c r="DK378" s="14"/>
      <c r="DL378" s="14"/>
      <c r="DM378" s="14"/>
      <c r="DN378" s="14"/>
      <c r="DO378" s="14"/>
      <c r="DP378" s="14"/>
      <c r="DQ378" s="14"/>
      <c r="DR378" s="14"/>
      <c r="DS378" s="14"/>
      <c r="DT378" s="14"/>
      <c r="DU378" s="14"/>
      <c r="DV378" s="14"/>
      <c r="DW378" s="14"/>
      <c r="DX378" s="14"/>
      <c r="DY378" s="14"/>
      <c r="DZ378" s="14"/>
      <c r="EA378" s="14"/>
      <c r="EB378" s="14"/>
    </row>
    <row r="379" spans="4:132"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14"/>
      <c r="CC379" s="14"/>
      <c r="CD379" s="14"/>
      <c r="CE379" s="14"/>
      <c r="CF379" s="14"/>
      <c r="CG379" s="14"/>
      <c r="CH379" s="14"/>
      <c r="CI379" s="14"/>
      <c r="CJ379" s="14"/>
      <c r="CK379" s="14"/>
      <c r="CL379" s="14"/>
      <c r="CM379" s="14"/>
      <c r="CN379" s="14"/>
      <c r="CO379" s="14"/>
      <c r="CP379" s="14"/>
      <c r="CQ379" s="14"/>
      <c r="CR379" s="14"/>
      <c r="CS379" s="14"/>
      <c r="CT379" s="14"/>
      <c r="CU379" s="14"/>
      <c r="CV379" s="14"/>
      <c r="CW379" s="14"/>
      <c r="CX379" s="14"/>
      <c r="CY379" s="14"/>
      <c r="CZ379" s="14"/>
      <c r="DA379" s="14"/>
      <c r="DB379" s="14"/>
      <c r="DC379" s="14"/>
      <c r="DD379" s="14"/>
      <c r="DE379" s="14"/>
      <c r="DF379" s="14"/>
      <c r="DG379" s="14"/>
      <c r="DH379" s="14"/>
      <c r="DI379" s="14"/>
      <c r="DJ379" s="14"/>
      <c r="DK379" s="14"/>
      <c r="DL379" s="14"/>
      <c r="DM379" s="14"/>
      <c r="DN379" s="14"/>
      <c r="DO379" s="14"/>
      <c r="DP379" s="14"/>
      <c r="DQ379" s="14"/>
      <c r="DR379" s="14"/>
      <c r="DS379" s="14"/>
      <c r="DT379" s="14"/>
      <c r="DU379" s="14"/>
      <c r="DV379" s="14"/>
      <c r="DW379" s="14"/>
      <c r="DX379" s="14"/>
      <c r="DY379" s="14"/>
      <c r="DZ379" s="14"/>
      <c r="EA379" s="14"/>
      <c r="EB379" s="14"/>
    </row>
    <row r="380" spans="4:132"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14"/>
      <c r="CC380" s="14"/>
      <c r="CD380" s="14"/>
      <c r="CE380" s="14"/>
      <c r="CF380" s="14"/>
      <c r="CG380" s="14"/>
      <c r="CH380" s="14"/>
      <c r="CI380" s="14"/>
      <c r="CJ380" s="14"/>
      <c r="CK380" s="14"/>
      <c r="CL380" s="14"/>
      <c r="CM380" s="14"/>
      <c r="CN380" s="14"/>
      <c r="CO380" s="14"/>
      <c r="CP380" s="14"/>
      <c r="CQ380" s="14"/>
      <c r="CR380" s="14"/>
      <c r="CS380" s="14"/>
      <c r="CT380" s="14"/>
      <c r="CU380" s="14"/>
      <c r="CV380" s="14"/>
      <c r="CW380" s="14"/>
      <c r="CX380" s="14"/>
      <c r="CY380" s="14"/>
      <c r="CZ380" s="14"/>
      <c r="DA380" s="14"/>
      <c r="DB380" s="14"/>
      <c r="DC380" s="14"/>
      <c r="DD380" s="14"/>
      <c r="DE380" s="14"/>
      <c r="DF380" s="14"/>
      <c r="DG380" s="14"/>
      <c r="DH380" s="14"/>
      <c r="DI380" s="14"/>
      <c r="DJ380" s="14"/>
      <c r="DK380" s="14"/>
      <c r="DL380" s="14"/>
      <c r="DM380" s="14"/>
      <c r="DN380" s="14"/>
      <c r="DO380" s="14"/>
      <c r="DP380" s="14"/>
      <c r="DQ380" s="14"/>
      <c r="DR380" s="14"/>
      <c r="DS380" s="14"/>
      <c r="DT380" s="14"/>
      <c r="DU380" s="14"/>
      <c r="DV380" s="14"/>
      <c r="DW380" s="14"/>
      <c r="DX380" s="14"/>
      <c r="DY380" s="14"/>
      <c r="DZ380" s="14"/>
      <c r="EA380" s="14"/>
      <c r="EB380" s="14"/>
    </row>
    <row r="381" spans="4:132"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14"/>
      <c r="CC381" s="14"/>
      <c r="CD381" s="14"/>
      <c r="CE381" s="14"/>
      <c r="CF381" s="14"/>
      <c r="CG381" s="14"/>
      <c r="CH381" s="14"/>
      <c r="CI381" s="14"/>
      <c r="CJ381" s="14"/>
      <c r="CK381" s="14"/>
      <c r="CL381" s="14"/>
      <c r="CM381" s="14"/>
      <c r="CN381" s="14"/>
      <c r="CO381" s="14"/>
      <c r="CP381" s="14"/>
      <c r="CQ381" s="14"/>
      <c r="CR381" s="14"/>
      <c r="CS381" s="14"/>
      <c r="CT381" s="14"/>
      <c r="CU381" s="14"/>
      <c r="CV381" s="14"/>
      <c r="CW381" s="14"/>
      <c r="CX381" s="14"/>
      <c r="CY381" s="14"/>
      <c r="CZ381" s="14"/>
      <c r="DA381" s="14"/>
      <c r="DB381" s="14"/>
      <c r="DC381" s="14"/>
      <c r="DD381" s="14"/>
      <c r="DE381" s="14"/>
      <c r="DF381" s="14"/>
      <c r="DG381" s="14"/>
      <c r="DH381" s="14"/>
      <c r="DI381" s="14"/>
      <c r="DJ381" s="14"/>
      <c r="DK381" s="14"/>
      <c r="DL381" s="14"/>
      <c r="DM381" s="14"/>
      <c r="DN381" s="14"/>
      <c r="DO381" s="14"/>
      <c r="DP381" s="14"/>
      <c r="DQ381" s="14"/>
      <c r="DR381" s="14"/>
      <c r="DS381" s="14"/>
      <c r="DT381" s="14"/>
      <c r="DU381" s="14"/>
      <c r="DV381" s="14"/>
      <c r="DW381" s="14"/>
      <c r="DX381" s="14"/>
      <c r="DY381" s="14"/>
      <c r="DZ381" s="14"/>
      <c r="EA381" s="14"/>
      <c r="EB381" s="14"/>
    </row>
    <row r="382" spans="4:132"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14"/>
      <c r="CC382" s="14"/>
      <c r="CD382" s="14"/>
      <c r="CE382" s="14"/>
      <c r="CF382" s="14"/>
      <c r="CG382" s="14"/>
      <c r="CH382" s="14"/>
      <c r="CI382" s="14"/>
      <c r="CJ382" s="14"/>
      <c r="CK382" s="14"/>
      <c r="CL382" s="14"/>
      <c r="CM382" s="14"/>
      <c r="CN382" s="14"/>
      <c r="CO382" s="14"/>
      <c r="CP382" s="14"/>
      <c r="CQ382" s="14"/>
      <c r="CR382" s="14"/>
      <c r="CS382" s="14"/>
      <c r="CT382" s="14"/>
      <c r="CU382" s="14"/>
      <c r="CV382" s="14"/>
      <c r="CW382" s="14"/>
      <c r="CX382" s="14"/>
      <c r="CY382" s="14"/>
      <c r="CZ382" s="14"/>
      <c r="DA382" s="14"/>
      <c r="DB382" s="14"/>
      <c r="DC382" s="14"/>
      <c r="DD382" s="14"/>
      <c r="DE382" s="14"/>
      <c r="DF382" s="14"/>
      <c r="DG382" s="14"/>
      <c r="DH382" s="14"/>
      <c r="DI382" s="14"/>
      <c r="DJ382" s="14"/>
      <c r="DK382" s="14"/>
      <c r="DL382" s="14"/>
      <c r="DM382" s="14"/>
      <c r="DN382" s="14"/>
      <c r="DO382" s="14"/>
      <c r="DP382" s="14"/>
      <c r="DQ382" s="14"/>
      <c r="DR382" s="14"/>
      <c r="DS382" s="14"/>
      <c r="DT382" s="14"/>
      <c r="DU382" s="14"/>
      <c r="DV382" s="14"/>
      <c r="DW382" s="14"/>
      <c r="DX382" s="14"/>
      <c r="DY382" s="14"/>
      <c r="DZ382" s="14"/>
      <c r="EA382" s="14"/>
      <c r="EB382" s="14"/>
    </row>
    <row r="383" spans="4:132"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14"/>
      <c r="CC383" s="14"/>
      <c r="CD383" s="14"/>
      <c r="CE383" s="14"/>
      <c r="CF383" s="14"/>
      <c r="CG383" s="14"/>
      <c r="CH383" s="14"/>
      <c r="CI383" s="14"/>
      <c r="CJ383" s="14"/>
      <c r="CK383" s="14"/>
      <c r="CL383" s="14"/>
      <c r="CM383" s="14"/>
      <c r="CN383" s="14"/>
      <c r="CO383" s="14"/>
      <c r="CP383" s="14"/>
      <c r="CQ383" s="14"/>
      <c r="CR383" s="14"/>
      <c r="CS383" s="14"/>
      <c r="CT383" s="14"/>
      <c r="CU383" s="14"/>
      <c r="CV383" s="14"/>
      <c r="CW383" s="14"/>
      <c r="CX383" s="14"/>
      <c r="CY383" s="14"/>
      <c r="CZ383" s="14"/>
      <c r="DA383" s="14"/>
      <c r="DB383" s="14"/>
      <c r="DC383" s="14"/>
      <c r="DD383" s="14"/>
      <c r="DE383" s="14"/>
      <c r="DF383" s="14"/>
      <c r="DG383" s="14"/>
      <c r="DH383" s="14"/>
      <c r="DI383" s="14"/>
      <c r="DJ383" s="14"/>
      <c r="DK383" s="14"/>
      <c r="DL383" s="14"/>
      <c r="DM383" s="14"/>
      <c r="DN383" s="14"/>
      <c r="DO383" s="14"/>
      <c r="DP383" s="14"/>
      <c r="DQ383" s="14"/>
      <c r="DR383" s="14"/>
      <c r="DS383" s="14"/>
      <c r="DT383" s="14"/>
      <c r="DU383" s="14"/>
      <c r="DV383" s="14"/>
      <c r="DW383" s="14"/>
      <c r="DX383" s="14"/>
      <c r="DY383" s="14"/>
      <c r="DZ383" s="14"/>
      <c r="EA383" s="14"/>
      <c r="EB383" s="14"/>
    </row>
    <row r="384" spans="4:132"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14"/>
      <c r="CC384" s="14"/>
      <c r="CD384" s="14"/>
      <c r="CE384" s="14"/>
      <c r="CF384" s="14"/>
      <c r="CG384" s="14"/>
      <c r="CH384" s="14"/>
      <c r="CI384" s="14"/>
      <c r="CJ384" s="14"/>
      <c r="CK384" s="14"/>
      <c r="CL384" s="14"/>
      <c r="CM384" s="14"/>
      <c r="CN384" s="14"/>
      <c r="CO384" s="14"/>
      <c r="CP384" s="14"/>
      <c r="CQ384" s="14"/>
      <c r="CR384" s="14"/>
      <c r="CS384" s="14"/>
      <c r="CT384" s="14"/>
      <c r="CU384" s="14"/>
      <c r="CV384" s="14"/>
      <c r="CW384" s="14"/>
      <c r="CX384" s="14"/>
      <c r="CY384" s="14"/>
      <c r="CZ384" s="14"/>
      <c r="DA384" s="14"/>
      <c r="DB384" s="14"/>
      <c r="DC384" s="14"/>
      <c r="DD384" s="14"/>
      <c r="DE384" s="14"/>
      <c r="DF384" s="14"/>
      <c r="DG384" s="14"/>
      <c r="DH384" s="14"/>
      <c r="DI384" s="14"/>
      <c r="DJ384" s="14"/>
      <c r="DK384" s="14"/>
      <c r="DL384" s="14"/>
      <c r="DM384" s="14"/>
      <c r="DN384" s="14"/>
      <c r="DO384" s="14"/>
      <c r="DP384" s="14"/>
      <c r="DQ384" s="14"/>
      <c r="DR384" s="14"/>
      <c r="DS384" s="14"/>
      <c r="DT384" s="14"/>
      <c r="DU384" s="14"/>
      <c r="DV384" s="14"/>
      <c r="DW384" s="14"/>
      <c r="DX384" s="14"/>
      <c r="DY384" s="14"/>
      <c r="DZ384" s="14"/>
      <c r="EA384" s="14"/>
      <c r="EB384" s="14"/>
    </row>
    <row r="385" spans="4:132"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14"/>
      <c r="CC385" s="14"/>
      <c r="CD385" s="14"/>
      <c r="CE385" s="14"/>
      <c r="CF385" s="14"/>
      <c r="CG385" s="14"/>
      <c r="CH385" s="14"/>
      <c r="CI385" s="14"/>
      <c r="CJ385" s="14"/>
      <c r="CK385" s="14"/>
      <c r="CL385" s="14"/>
      <c r="CM385" s="14"/>
      <c r="CN385" s="14"/>
      <c r="CO385" s="14"/>
      <c r="CP385" s="14"/>
      <c r="CQ385" s="14"/>
      <c r="CR385" s="14"/>
      <c r="CS385" s="14"/>
      <c r="CT385" s="14"/>
      <c r="CU385" s="14"/>
      <c r="CV385" s="14"/>
      <c r="CW385" s="14"/>
      <c r="CX385" s="14"/>
      <c r="CY385" s="14"/>
      <c r="CZ385" s="14"/>
      <c r="DA385" s="14"/>
      <c r="DB385" s="14"/>
      <c r="DC385" s="14"/>
      <c r="DD385" s="14"/>
      <c r="DE385" s="14"/>
      <c r="DF385" s="14"/>
      <c r="DG385" s="14"/>
      <c r="DH385" s="14"/>
      <c r="DI385" s="14"/>
      <c r="DJ385" s="14"/>
      <c r="DK385" s="14"/>
      <c r="DL385" s="14"/>
      <c r="DM385" s="14"/>
      <c r="DN385" s="14"/>
      <c r="DO385" s="14"/>
      <c r="DP385" s="14"/>
      <c r="DQ385" s="14"/>
      <c r="DR385" s="14"/>
      <c r="DS385" s="14"/>
      <c r="DT385" s="14"/>
      <c r="DU385" s="14"/>
      <c r="DV385" s="14"/>
      <c r="DW385" s="14"/>
      <c r="DX385" s="14"/>
      <c r="DY385" s="14"/>
      <c r="DZ385" s="14"/>
      <c r="EA385" s="14"/>
      <c r="EB385" s="14"/>
    </row>
    <row r="386" spans="4:132"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14"/>
      <c r="CC386" s="14"/>
      <c r="CD386" s="14"/>
      <c r="CE386" s="14"/>
      <c r="CF386" s="14"/>
      <c r="CG386" s="14"/>
      <c r="CH386" s="14"/>
      <c r="CI386" s="14"/>
      <c r="CJ386" s="14"/>
      <c r="CK386" s="14"/>
      <c r="CL386" s="14"/>
      <c r="CM386" s="14"/>
      <c r="CN386" s="14"/>
      <c r="CO386" s="14"/>
      <c r="CP386" s="14"/>
      <c r="CQ386" s="14"/>
      <c r="CR386" s="14"/>
      <c r="CS386" s="14"/>
      <c r="CT386" s="14"/>
      <c r="CU386" s="14"/>
      <c r="CV386" s="14"/>
      <c r="CW386" s="14"/>
      <c r="CX386" s="14"/>
      <c r="CY386" s="14"/>
      <c r="CZ386" s="14"/>
      <c r="DA386" s="14"/>
      <c r="DB386" s="14"/>
      <c r="DC386" s="14"/>
      <c r="DD386" s="14"/>
      <c r="DE386" s="14"/>
      <c r="DF386" s="14"/>
      <c r="DG386" s="14"/>
      <c r="DH386" s="14"/>
      <c r="DI386" s="14"/>
      <c r="DJ386" s="14"/>
      <c r="DK386" s="14"/>
      <c r="DL386" s="14"/>
      <c r="DM386" s="14"/>
      <c r="DN386" s="14"/>
      <c r="DO386" s="14"/>
      <c r="DP386" s="14"/>
      <c r="DQ386" s="14"/>
      <c r="DR386" s="14"/>
      <c r="DS386" s="14"/>
      <c r="DT386" s="14"/>
      <c r="DU386" s="14"/>
      <c r="DV386" s="14"/>
      <c r="DW386" s="14"/>
      <c r="DX386" s="14"/>
      <c r="DY386" s="14"/>
      <c r="DZ386" s="14"/>
      <c r="EA386" s="14"/>
      <c r="EB386" s="14"/>
    </row>
    <row r="387" spans="4:132"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14"/>
      <c r="CC387" s="14"/>
      <c r="CD387" s="14"/>
      <c r="CE387" s="14"/>
      <c r="CF387" s="14"/>
      <c r="CG387" s="14"/>
      <c r="CH387" s="14"/>
      <c r="CI387" s="14"/>
      <c r="CJ387" s="14"/>
      <c r="CK387" s="14"/>
      <c r="CL387" s="14"/>
      <c r="CM387" s="14"/>
      <c r="CN387" s="14"/>
      <c r="CO387" s="14"/>
      <c r="CP387" s="14"/>
      <c r="CQ387" s="14"/>
      <c r="CR387" s="14"/>
      <c r="CS387" s="14"/>
      <c r="CT387" s="14"/>
      <c r="CU387" s="14"/>
      <c r="CV387" s="14"/>
      <c r="CW387" s="14"/>
      <c r="CX387" s="14"/>
      <c r="CY387" s="14"/>
      <c r="CZ387" s="14"/>
      <c r="DA387" s="14"/>
      <c r="DB387" s="14"/>
      <c r="DC387" s="14"/>
      <c r="DD387" s="14"/>
      <c r="DE387" s="14"/>
      <c r="DF387" s="14"/>
      <c r="DG387" s="14"/>
      <c r="DH387" s="14"/>
      <c r="DI387" s="14"/>
      <c r="DJ387" s="14"/>
      <c r="DK387" s="14"/>
      <c r="DL387" s="14"/>
      <c r="DM387" s="14"/>
      <c r="DN387" s="14"/>
      <c r="DO387" s="14"/>
      <c r="DP387" s="14"/>
      <c r="DQ387" s="14"/>
      <c r="DR387" s="14"/>
      <c r="DS387" s="14"/>
      <c r="DT387" s="14"/>
      <c r="DU387" s="14"/>
      <c r="DV387" s="14"/>
      <c r="DW387" s="14"/>
      <c r="DX387" s="14"/>
      <c r="DY387" s="14"/>
      <c r="DZ387" s="14"/>
      <c r="EA387" s="14"/>
      <c r="EB387" s="14"/>
    </row>
    <row r="388" spans="4:132"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14"/>
      <c r="CC388" s="14"/>
      <c r="CD388" s="14"/>
      <c r="CE388" s="14"/>
      <c r="CF388" s="14"/>
      <c r="CG388" s="14"/>
      <c r="CH388" s="14"/>
      <c r="CI388" s="14"/>
      <c r="CJ388" s="14"/>
      <c r="CK388" s="14"/>
      <c r="CL388" s="14"/>
      <c r="CM388" s="14"/>
      <c r="CN388" s="14"/>
      <c r="CO388" s="14"/>
      <c r="CP388" s="14"/>
      <c r="CQ388" s="14"/>
      <c r="CR388" s="14"/>
      <c r="CS388" s="14"/>
      <c r="CT388" s="14"/>
      <c r="CU388" s="14"/>
      <c r="CV388" s="14"/>
      <c r="CW388" s="14"/>
      <c r="CX388" s="14"/>
      <c r="CY388" s="14"/>
      <c r="CZ388" s="14"/>
      <c r="DA388" s="14"/>
      <c r="DB388" s="14"/>
      <c r="DC388" s="14"/>
      <c r="DD388" s="14"/>
      <c r="DE388" s="14"/>
      <c r="DF388" s="14"/>
      <c r="DG388" s="14"/>
      <c r="DH388" s="14"/>
      <c r="DI388" s="14"/>
      <c r="DJ388" s="14"/>
      <c r="DK388" s="14"/>
      <c r="DL388" s="14"/>
      <c r="DM388" s="14"/>
      <c r="DN388" s="14"/>
      <c r="DO388" s="14"/>
      <c r="DP388" s="14"/>
      <c r="DQ388" s="14"/>
      <c r="DR388" s="14"/>
      <c r="DS388" s="14"/>
      <c r="DT388" s="14"/>
      <c r="DU388" s="14"/>
      <c r="DV388" s="14"/>
      <c r="DW388" s="14"/>
      <c r="DX388" s="14"/>
      <c r="DY388" s="14"/>
      <c r="DZ388" s="14"/>
      <c r="EA388" s="14"/>
      <c r="EB388" s="14"/>
    </row>
    <row r="389" spans="4:132"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14"/>
      <c r="CC389" s="14"/>
      <c r="CD389" s="14"/>
      <c r="CE389" s="14"/>
      <c r="CF389" s="14"/>
      <c r="CG389" s="14"/>
      <c r="CH389" s="14"/>
      <c r="CI389" s="14"/>
      <c r="CJ389" s="14"/>
      <c r="CK389" s="14"/>
      <c r="CL389" s="14"/>
      <c r="CM389" s="14"/>
      <c r="CN389" s="14"/>
      <c r="CO389" s="14"/>
      <c r="CP389" s="14"/>
      <c r="CQ389" s="14"/>
      <c r="CR389" s="14"/>
      <c r="CS389" s="14"/>
      <c r="CT389" s="14"/>
      <c r="CU389" s="14"/>
      <c r="CV389" s="14"/>
      <c r="CW389" s="14"/>
      <c r="CX389" s="14"/>
      <c r="CY389" s="14"/>
      <c r="CZ389" s="14"/>
      <c r="DA389" s="14"/>
      <c r="DB389" s="14"/>
      <c r="DC389" s="14"/>
      <c r="DD389" s="14"/>
      <c r="DE389" s="14"/>
      <c r="DF389" s="14"/>
      <c r="DG389" s="14"/>
      <c r="DH389" s="14"/>
      <c r="DI389" s="14"/>
      <c r="DJ389" s="14"/>
      <c r="DK389" s="14"/>
      <c r="DL389" s="14"/>
      <c r="DM389" s="14"/>
      <c r="DN389" s="14"/>
      <c r="DO389" s="14"/>
      <c r="DP389" s="14"/>
      <c r="DQ389" s="14"/>
      <c r="DR389" s="14"/>
      <c r="DS389" s="14"/>
      <c r="DT389" s="14"/>
      <c r="DU389" s="14"/>
      <c r="DV389" s="14"/>
      <c r="DW389" s="14"/>
      <c r="DX389" s="14"/>
      <c r="DY389" s="14"/>
      <c r="DZ389" s="14"/>
      <c r="EA389" s="14"/>
      <c r="EB389" s="14"/>
    </row>
    <row r="390" spans="4:132"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14"/>
      <c r="CC390" s="14"/>
      <c r="CD390" s="14"/>
      <c r="CE390" s="14"/>
      <c r="CF390" s="14"/>
      <c r="CG390" s="14"/>
      <c r="CH390" s="14"/>
      <c r="CI390" s="14"/>
      <c r="CJ390" s="14"/>
      <c r="CK390" s="14"/>
      <c r="CL390" s="14"/>
      <c r="CM390" s="14"/>
      <c r="CN390" s="14"/>
      <c r="CO390" s="14"/>
      <c r="CP390" s="14"/>
      <c r="CQ390" s="14"/>
      <c r="CR390" s="14"/>
      <c r="CS390" s="14"/>
      <c r="CT390" s="14"/>
      <c r="CU390" s="14"/>
      <c r="CV390" s="14"/>
      <c r="CW390" s="14"/>
      <c r="CX390" s="14"/>
      <c r="CY390" s="14"/>
      <c r="CZ390" s="14"/>
      <c r="DA390" s="14"/>
      <c r="DB390" s="14"/>
      <c r="DC390" s="14"/>
      <c r="DD390" s="14"/>
      <c r="DE390" s="14"/>
      <c r="DF390" s="14"/>
      <c r="DG390" s="14"/>
      <c r="DH390" s="14"/>
      <c r="DI390" s="14"/>
      <c r="DJ390" s="14"/>
      <c r="DK390" s="14"/>
      <c r="DL390" s="14"/>
      <c r="DM390" s="14"/>
      <c r="DN390" s="14"/>
      <c r="DO390" s="14"/>
      <c r="DP390" s="14"/>
      <c r="DQ390" s="14"/>
      <c r="DR390" s="14"/>
      <c r="DS390" s="14"/>
      <c r="DT390" s="14"/>
      <c r="DU390" s="14"/>
      <c r="DV390" s="14"/>
      <c r="DW390" s="14"/>
      <c r="DX390" s="14"/>
      <c r="DY390" s="14"/>
      <c r="DZ390" s="14"/>
      <c r="EA390" s="14"/>
      <c r="EB390" s="14"/>
    </row>
    <row r="391" spans="4:132"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14"/>
      <c r="CC391" s="14"/>
      <c r="CD391" s="14"/>
      <c r="CE391" s="14"/>
      <c r="CF391" s="14"/>
      <c r="CG391" s="14"/>
      <c r="CH391" s="14"/>
      <c r="CI391" s="14"/>
      <c r="CJ391" s="14"/>
      <c r="CK391" s="14"/>
      <c r="CL391" s="14"/>
      <c r="CM391" s="14"/>
      <c r="CN391" s="14"/>
      <c r="CO391" s="14"/>
      <c r="CP391" s="14"/>
      <c r="CQ391" s="14"/>
      <c r="CR391" s="14"/>
      <c r="CS391" s="14"/>
      <c r="CT391" s="14"/>
      <c r="CU391" s="14"/>
      <c r="CV391" s="14"/>
      <c r="CW391" s="14"/>
      <c r="CX391" s="14"/>
      <c r="CY391" s="14"/>
      <c r="CZ391" s="14"/>
      <c r="DA391" s="14"/>
      <c r="DB391" s="14"/>
      <c r="DC391" s="14"/>
      <c r="DD391" s="14"/>
      <c r="DE391" s="14"/>
      <c r="DF391" s="14"/>
      <c r="DG391" s="14"/>
      <c r="DH391" s="14"/>
      <c r="DI391" s="14"/>
      <c r="DJ391" s="14"/>
      <c r="DK391" s="14"/>
      <c r="DL391" s="14"/>
      <c r="DM391" s="14"/>
      <c r="DN391" s="14"/>
      <c r="DO391" s="14"/>
      <c r="DP391" s="14"/>
      <c r="DQ391" s="14"/>
      <c r="DR391" s="14"/>
      <c r="DS391" s="14"/>
      <c r="DT391" s="14"/>
      <c r="DU391" s="14"/>
      <c r="DV391" s="14"/>
      <c r="DW391" s="14"/>
      <c r="DX391" s="14"/>
      <c r="DY391" s="14"/>
      <c r="DZ391" s="14"/>
      <c r="EA391" s="14"/>
      <c r="EB391" s="14"/>
    </row>
    <row r="392" spans="4:132"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14"/>
      <c r="CC392" s="14"/>
      <c r="CD392" s="14"/>
      <c r="CE392" s="14"/>
      <c r="CF392" s="14"/>
      <c r="CG392" s="14"/>
      <c r="CH392" s="14"/>
      <c r="CI392" s="14"/>
      <c r="CJ392" s="14"/>
      <c r="CK392" s="14"/>
      <c r="CL392" s="14"/>
      <c r="CM392" s="14"/>
      <c r="CN392" s="14"/>
      <c r="CO392" s="14"/>
      <c r="CP392" s="14"/>
      <c r="CQ392" s="14"/>
      <c r="CR392" s="14"/>
      <c r="CS392" s="14"/>
      <c r="CT392" s="14"/>
      <c r="CU392" s="14"/>
      <c r="CV392" s="14"/>
      <c r="CW392" s="14"/>
      <c r="CX392" s="14"/>
      <c r="CY392" s="14"/>
      <c r="CZ392" s="14"/>
      <c r="DA392" s="14"/>
      <c r="DB392" s="14"/>
      <c r="DC392" s="14"/>
      <c r="DD392" s="14"/>
      <c r="DE392" s="14"/>
      <c r="DF392" s="14"/>
      <c r="DG392" s="14"/>
      <c r="DH392" s="14"/>
      <c r="DI392" s="14"/>
      <c r="DJ392" s="14"/>
      <c r="DK392" s="14"/>
      <c r="DL392" s="14"/>
      <c r="DM392" s="14"/>
      <c r="DN392" s="14"/>
      <c r="DO392" s="14"/>
      <c r="DP392" s="14"/>
      <c r="DQ392" s="14"/>
      <c r="DR392" s="14"/>
      <c r="DS392" s="14"/>
      <c r="DT392" s="14"/>
      <c r="DU392" s="14"/>
      <c r="DV392" s="14"/>
      <c r="DW392" s="14"/>
      <c r="DX392" s="14"/>
      <c r="DY392" s="14"/>
      <c r="DZ392" s="14"/>
      <c r="EA392" s="14"/>
      <c r="EB392" s="14"/>
    </row>
    <row r="393" spans="4:132"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14"/>
      <c r="CC393" s="14"/>
      <c r="CD393" s="14"/>
      <c r="CE393" s="14"/>
      <c r="CF393" s="14"/>
      <c r="CG393" s="14"/>
      <c r="CH393" s="14"/>
      <c r="CI393" s="14"/>
      <c r="CJ393" s="14"/>
      <c r="CK393" s="14"/>
      <c r="CL393" s="14"/>
      <c r="CM393" s="14"/>
      <c r="CN393" s="14"/>
      <c r="CO393" s="14"/>
      <c r="CP393" s="14"/>
      <c r="CQ393" s="14"/>
      <c r="CR393" s="14"/>
      <c r="CS393" s="14"/>
      <c r="CT393" s="14"/>
      <c r="CU393" s="14"/>
      <c r="CV393" s="14"/>
      <c r="CW393" s="14"/>
      <c r="CX393" s="14"/>
      <c r="CY393" s="14"/>
      <c r="CZ393" s="14"/>
      <c r="DA393" s="14"/>
      <c r="DB393" s="14"/>
      <c r="DC393" s="14"/>
      <c r="DD393" s="14"/>
      <c r="DE393" s="14"/>
      <c r="DF393" s="14"/>
      <c r="DG393" s="14"/>
      <c r="DH393" s="14"/>
      <c r="DI393" s="14"/>
      <c r="DJ393" s="14"/>
      <c r="DK393" s="14"/>
      <c r="DL393" s="14"/>
      <c r="DM393" s="14"/>
      <c r="DN393" s="14"/>
      <c r="DO393" s="14"/>
      <c r="DP393" s="14"/>
      <c r="DQ393" s="14"/>
      <c r="DR393" s="14"/>
      <c r="DS393" s="14"/>
      <c r="DT393" s="14"/>
      <c r="DU393" s="14"/>
      <c r="DV393" s="14"/>
      <c r="DW393" s="14"/>
      <c r="DX393" s="14"/>
      <c r="DY393" s="14"/>
      <c r="DZ393" s="14"/>
      <c r="EA393" s="14"/>
      <c r="EB393" s="14"/>
    </row>
    <row r="394" spans="4:132"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14"/>
      <c r="CC394" s="14"/>
      <c r="CD394" s="14"/>
      <c r="CE394" s="14"/>
      <c r="CF394" s="14"/>
      <c r="CG394" s="14"/>
      <c r="CH394" s="14"/>
      <c r="CI394" s="14"/>
      <c r="CJ394" s="14"/>
      <c r="CK394" s="14"/>
      <c r="CL394" s="14"/>
      <c r="CM394" s="14"/>
      <c r="CN394" s="14"/>
      <c r="CO394" s="14"/>
      <c r="CP394" s="14"/>
      <c r="CQ394" s="14"/>
      <c r="CR394" s="14"/>
      <c r="CS394" s="14"/>
      <c r="CT394" s="14"/>
      <c r="CU394" s="14"/>
      <c r="CV394" s="14"/>
      <c r="CW394" s="14"/>
      <c r="CX394" s="14"/>
      <c r="CY394" s="14"/>
      <c r="CZ394" s="14"/>
      <c r="DA394" s="14"/>
      <c r="DB394" s="14"/>
      <c r="DC394" s="14"/>
      <c r="DD394" s="14"/>
      <c r="DE394" s="14"/>
      <c r="DF394" s="14"/>
      <c r="DG394" s="14"/>
      <c r="DH394" s="14"/>
      <c r="DI394" s="14"/>
      <c r="DJ394" s="14"/>
      <c r="DK394" s="14"/>
      <c r="DL394" s="14"/>
      <c r="DM394" s="14"/>
      <c r="DN394" s="14"/>
      <c r="DO394" s="14"/>
      <c r="DP394" s="14"/>
      <c r="DQ394" s="14"/>
      <c r="DR394" s="14"/>
      <c r="DS394" s="14"/>
      <c r="DT394" s="14"/>
      <c r="DU394" s="14"/>
      <c r="DV394" s="14"/>
      <c r="DW394" s="14"/>
      <c r="DX394" s="14"/>
      <c r="DY394" s="14"/>
      <c r="DZ394" s="14"/>
      <c r="EA394" s="14"/>
      <c r="EB394" s="14"/>
    </row>
    <row r="395" spans="4:132"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14"/>
      <c r="BQ395" s="14"/>
      <c r="BR395" s="14"/>
      <c r="BS395" s="14"/>
      <c r="BT395" s="14"/>
      <c r="BU395" s="14"/>
      <c r="BV395" s="14"/>
      <c r="BW395" s="14"/>
      <c r="BX395" s="14"/>
      <c r="BY395" s="14"/>
      <c r="BZ395" s="14"/>
      <c r="CA395" s="14"/>
      <c r="CB395" s="14"/>
      <c r="CC395" s="14"/>
      <c r="CD395" s="14"/>
      <c r="CE395" s="14"/>
      <c r="CF395" s="14"/>
      <c r="CG395" s="14"/>
      <c r="CH395" s="14"/>
      <c r="CI395" s="14"/>
      <c r="CJ395" s="14"/>
      <c r="CK395" s="14"/>
      <c r="CL395" s="14"/>
      <c r="CM395" s="14"/>
      <c r="CN395" s="14"/>
      <c r="CO395" s="14"/>
      <c r="CP395" s="14"/>
      <c r="CQ395" s="14"/>
      <c r="CR395" s="14"/>
      <c r="CS395" s="14"/>
      <c r="CT395" s="14"/>
      <c r="CU395" s="14"/>
      <c r="CV395" s="14"/>
      <c r="CW395" s="14"/>
      <c r="CX395" s="14"/>
      <c r="CY395" s="14"/>
      <c r="CZ395" s="14"/>
      <c r="DA395" s="14"/>
      <c r="DB395" s="14"/>
      <c r="DC395" s="14"/>
      <c r="DD395" s="14"/>
      <c r="DE395" s="14"/>
      <c r="DF395" s="14"/>
      <c r="DG395" s="14"/>
      <c r="DH395" s="14"/>
      <c r="DI395" s="14"/>
      <c r="DJ395" s="14"/>
      <c r="DK395" s="14"/>
      <c r="DL395" s="14"/>
      <c r="DM395" s="14"/>
      <c r="DN395" s="14"/>
      <c r="DO395" s="14"/>
      <c r="DP395" s="14"/>
      <c r="DQ395" s="14"/>
      <c r="DR395" s="14"/>
      <c r="DS395" s="14"/>
      <c r="DT395" s="14"/>
      <c r="DU395" s="14"/>
      <c r="DV395" s="14"/>
      <c r="DW395" s="14"/>
      <c r="DX395" s="14"/>
      <c r="DY395" s="14"/>
      <c r="DZ395" s="14"/>
      <c r="EA395" s="14"/>
      <c r="EB395" s="14"/>
    </row>
    <row r="396" spans="4:132"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14"/>
      <c r="CC396" s="14"/>
      <c r="CD396" s="14"/>
      <c r="CE396" s="14"/>
      <c r="CF396" s="14"/>
      <c r="CG396" s="14"/>
      <c r="CH396" s="14"/>
      <c r="CI396" s="14"/>
      <c r="CJ396" s="14"/>
      <c r="CK396" s="14"/>
      <c r="CL396" s="14"/>
      <c r="CM396" s="14"/>
      <c r="CN396" s="14"/>
      <c r="CO396" s="14"/>
      <c r="CP396" s="14"/>
      <c r="CQ396" s="14"/>
      <c r="CR396" s="14"/>
      <c r="CS396" s="14"/>
      <c r="CT396" s="14"/>
      <c r="CU396" s="14"/>
      <c r="CV396" s="14"/>
      <c r="CW396" s="14"/>
      <c r="CX396" s="14"/>
      <c r="CY396" s="14"/>
      <c r="CZ396" s="14"/>
      <c r="DA396" s="14"/>
      <c r="DB396" s="14"/>
      <c r="DC396" s="14"/>
      <c r="DD396" s="14"/>
      <c r="DE396" s="14"/>
      <c r="DF396" s="14"/>
      <c r="DG396" s="14"/>
      <c r="DH396" s="14"/>
      <c r="DI396" s="14"/>
      <c r="DJ396" s="14"/>
      <c r="DK396" s="14"/>
      <c r="DL396" s="14"/>
      <c r="DM396" s="14"/>
      <c r="DN396" s="14"/>
      <c r="DO396" s="14"/>
      <c r="DP396" s="14"/>
      <c r="DQ396" s="14"/>
      <c r="DR396" s="14"/>
      <c r="DS396" s="14"/>
      <c r="DT396" s="14"/>
      <c r="DU396" s="14"/>
      <c r="DV396" s="14"/>
      <c r="DW396" s="14"/>
      <c r="DX396" s="14"/>
      <c r="DY396" s="14"/>
      <c r="DZ396" s="14"/>
      <c r="EA396" s="14"/>
      <c r="EB396" s="14"/>
    </row>
    <row r="397" spans="4:132"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14"/>
      <c r="BQ397" s="14"/>
      <c r="BR397" s="14"/>
      <c r="BS397" s="14"/>
      <c r="BT397" s="14"/>
      <c r="BU397" s="14"/>
      <c r="BV397" s="14"/>
      <c r="BW397" s="14"/>
      <c r="BX397" s="14"/>
      <c r="BY397" s="14"/>
      <c r="BZ397" s="14"/>
      <c r="CA397" s="14"/>
      <c r="CB397" s="14"/>
      <c r="CC397" s="14"/>
      <c r="CD397" s="14"/>
      <c r="CE397" s="14"/>
      <c r="CF397" s="14"/>
      <c r="CG397" s="14"/>
      <c r="CH397" s="14"/>
      <c r="CI397" s="14"/>
      <c r="CJ397" s="14"/>
      <c r="CK397" s="14"/>
      <c r="CL397" s="14"/>
      <c r="CM397" s="14"/>
      <c r="CN397" s="14"/>
      <c r="CO397" s="14"/>
      <c r="CP397" s="14"/>
      <c r="CQ397" s="14"/>
      <c r="CR397" s="14"/>
      <c r="CS397" s="14"/>
      <c r="CT397" s="14"/>
      <c r="CU397" s="14"/>
      <c r="CV397" s="14"/>
      <c r="CW397" s="14"/>
      <c r="CX397" s="14"/>
      <c r="CY397" s="14"/>
      <c r="CZ397" s="14"/>
      <c r="DA397" s="14"/>
      <c r="DB397" s="14"/>
      <c r="DC397" s="14"/>
      <c r="DD397" s="14"/>
      <c r="DE397" s="14"/>
      <c r="DF397" s="14"/>
      <c r="DG397" s="14"/>
      <c r="DH397" s="14"/>
      <c r="DI397" s="14"/>
      <c r="DJ397" s="14"/>
      <c r="DK397" s="14"/>
      <c r="DL397" s="14"/>
      <c r="DM397" s="14"/>
      <c r="DN397" s="14"/>
      <c r="DO397" s="14"/>
      <c r="DP397" s="14"/>
      <c r="DQ397" s="14"/>
      <c r="DR397" s="14"/>
      <c r="DS397" s="14"/>
      <c r="DT397" s="14"/>
      <c r="DU397" s="14"/>
      <c r="DV397" s="14"/>
      <c r="DW397" s="14"/>
      <c r="DX397" s="14"/>
      <c r="DY397" s="14"/>
      <c r="DZ397" s="14"/>
      <c r="EA397" s="14"/>
      <c r="EB397" s="14"/>
    </row>
    <row r="398" spans="4:132"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14"/>
      <c r="BQ398" s="14"/>
      <c r="BR398" s="14"/>
      <c r="BS398" s="14"/>
      <c r="BT398" s="14"/>
      <c r="BU398" s="14"/>
      <c r="BV398" s="14"/>
      <c r="BW398" s="14"/>
      <c r="BX398" s="14"/>
      <c r="BY398" s="14"/>
      <c r="BZ398" s="14"/>
      <c r="CA398" s="14"/>
      <c r="CB398" s="14"/>
      <c r="CC398" s="14"/>
      <c r="CD398" s="14"/>
      <c r="CE398" s="14"/>
      <c r="CF398" s="14"/>
      <c r="CG398" s="14"/>
      <c r="CH398" s="14"/>
      <c r="CI398" s="14"/>
      <c r="CJ398" s="14"/>
      <c r="CK398" s="14"/>
      <c r="CL398" s="14"/>
      <c r="CM398" s="14"/>
      <c r="CN398" s="14"/>
      <c r="CO398" s="14"/>
      <c r="CP398" s="14"/>
      <c r="CQ398" s="14"/>
      <c r="CR398" s="14"/>
      <c r="CS398" s="14"/>
      <c r="CT398" s="14"/>
      <c r="CU398" s="14"/>
      <c r="CV398" s="14"/>
      <c r="CW398" s="14"/>
      <c r="CX398" s="14"/>
      <c r="CY398" s="14"/>
      <c r="CZ398" s="14"/>
      <c r="DA398" s="14"/>
      <c r="DB398" s="14"/>
      <c r="DC398" s="14"/>
      <c r="DD398" s="14"/>
      <c r="DE398" s="14"/>
      <c r="DF398" s="14"/>
      <c r="DG398" s="14"/>
      <c r="DH398" s="14"/>
      <c r="DI398" s="14"/>
      <c r="DJ398" s="14"/>
      <c r="DK398" s="14"/>
      <c r="DL398" s="14"/>
      <c r="DM398" s="14"/>
      <c r="DN398" s="14"/>
      <c r="DO398" s="14"/>
      <c r="DP398" s="14"/>
      <c r="DQ398" s="14"/>
      <c r="DR398" s="14"/>
      <c r="DS398" s="14"/>
      <c r="DT398" s="14"/>
      <c r="DU398" s="14"/>
      <c r="DV398" s="14"/>
      <c r="DW398" s="14"/>
      <c r="DX398" s="14"/>
      <c r="DY398" s="14"/>
      <c r="DZ398" s="14"/>
      <c r="EA398" s="14"/>
      <c r="EB398" s="14"/>
    </row>
    <row r="399" spans="4:132"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14"/>
      <c r="BQ399" s="14"/>
      <c r="BR399" s="14"/>
      <c r="BS399" s="14"/>
      <c r="BT399" s="14"/>
      <c r="BU399" s="14"/>
      <c r="BV399" s="14"/>
      <c r="BW399" s="14"/>
      <c r="BX399" s="14"/>
      <c r="BY399" s="14"/>
      <c r="BZ399" s="14"/>
      <c r="CA399" s="14"/>
      <c r="CB399" s="14"/>
      <c r="CC399" s="14"/>
      <c r="CD399" s="14"/>
      <c r="CE399" s="14"/>
      <c r="CF399" s="14"/>
      <c r="CG399" s="14"/>
      <c r="CH399" s="14"/>
      <c r="CI399" s="14"/>
      <c r="CJ399" s="14"/>
      <c r="CK399" s="14"/>
      <c r="CL399" s="14"/>
      <c r="CM399" s="14"/>
      <c r="CN399" s="14"/>
      <c r="CO399" s="14"/>
      <c r="CP399" s="14"/>
      <c r="CQ399" s="14"/>
      <c r="CR399" s="14"/>
      <c r="CS399" s="14"/>
      <c r="CT399" s="14"/>
      <c r="CU399" s="14"/>
      <c r="CV399" s="14"/>
      <c r="CW399" s="14"/>
      <c r="CX399" s="14"/>
      <c r="CY399" s="14"/>
      <c r="CZ399" s="14"/>
      <c r="DA399" s="14"/>
      <c r="DB399" s="14"/>
      <c r="DC399" s="14"/>
      <c r="DD399" s="14"/>
      <c r="DE399" s="14"/>
      <c r="DF399" s="14"/>
      <c r="DG399" s="14"/>
      <c r="DH399" s="14"/>
      <c r="DI399" s="14"/>
      <c r="DJ399" s="14"/>
      <c r="DK399" s="14"/>
      <c r="DL399" s="14"/>
      <c r="DM399" s="14"/>
      <c r="DN399" s="14"/>
      <c r="DO399" s="14"/>
      <c r="DP399" s="14"/>
      <c r="DQ399" s="14"/>
      <c r="DR399" s="14"/>
      <c r="DS399" s="14"/>
      <c r="DT399" s="14"/>
      <c r="DU399" s="14"/>
      <c r="DV399" s="14"/>
      <c r="DW399" s="14"/>
      <c r="DX399" s="14"/>
      <c r="DY399" s="14"/>
      <c r="DZ399" s="14"/>
      <c r="EA399" s="14"/>
      <c r="EB399" s="14"/>
    </row>
    <row r="400" spans="4:132"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14"/>
      <c r="CC400" s="14"/>
      <c r="CD400" s="14"/>
      <c r="CE400" s="14"/>
      <c r="CF400" s="14"/>
      <c r="CG400" s="14"/>
      <c r="CH400" s="14"/>
      <c r="CI400" s="14"/>
      <c r="CJ400" s="14"/>
      <c r="CK400" s="14"/>
      <c r="CL400" s="14"/>
      <c r="CM400" s="14"/>
      <c r="CN400" s="14"/>
      <c r="CO400" s="14"/>
      <c r="CP400" s="14"/>
      <c r="CQ400" s="14"/>
      <c r="CR400" s="14"/>
      <c r="CS400" s="14"/>
      <c r="CT400" s="14"/>
      <c r="CU400" s="14"/>
      <c r="CV400" s="14"/>
      <c r="CW400" s="14"/>
      <c r="CX400" s="14"/>
      <c r="CY400" s="14"/>
      <c r="CZ400" s="14"/>
      <c r="DA400" s="14"/>
      <c r="DB400" s="14"/>
      <c r="DC400" s="14"/>
      <c r="DD400" s="14"/>
      <c r="DE400" s="14"/>
      <c r="DF400" s="14"/>
      <c r="DG400" s="14"/>
      <c r="DH400" s="14"/>
      <c r="DI400" s="14"/>
      <c r="DJ400" s="14"/>
      <c r="DK400" s="14"/>
      <c r="DL400" s="14"/>
      <c r="DM400" s="14"/>
      <c r="DN400" s="14"/>
      <c r="DO400" s="14"/>
      <c r="DP400" s="14"/>
      <c r="DQ400" s="14"/>
      <c r="DR400" s="14"/>
      <c r="DS400" s="14"/>
      <c r="DT400" s="14"/>
      <c r="DU400" s="14"/>
      <c r="DV400" s="14"/>
      <c r="DW400" s="14"/>
      <c r="DX400" s="14"/>
      <c r="DY400" s="14"/>
      <c r="DZ400" s="14"/>
      <c r="EA400" s="14"/>
      <c r="EB400" s="14"/>
    </row>
    <row r="401" spans="4:132"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14"/>
      <c r="CC401" s="14"/>
      <c r="CD401" s="14"/>
      <c r="CE401" s="14"/>
      <c r="CF401" s="14"/>
      <c r="CG401" s="14"/>
      <c r="CH401" s="14"/>
      <c r="CI401" s="14"/>
      <c r="CJ401" s="14"/>
      <c r="CK401" s="14"/>
      <c r="CL401" s="14"/>
      <c r="CM401" s="14"/>
      <c r="CN401" s="14"/>
      <c r="CO401" s="14"/>
      <c r="CP401" s="14"/>
      <c r="CQ401" s="14"/>
      <c r="CR401" s="14"/>
      <c r="CS401" s="14"/>
      <c r="CT401" s="14"/>
      <c r="CU401" s="14"/>
      <c r="CV401" s="14"/>
      <c r="CW401" s="14"/>
      <c r="CX401" s="14"/>
      <c r="CY401" s="14"/>
      <c r="CZ401" s="14"/>
      <c r="DA401" s="14"/>
      <c r="DB401" s="14"/>
      <c r="DC401" s="14"/>
      <c r="DD401" s="14"/>
      <c r="DE401" s="14"/>
      <c r="DF401" s="14"/>
      <c r="DG401" s="14"/>
      <c r="DH401" s="14"/>
      <c r="DI401" s="14"/>
      <c r="DJ401" s="14"/>
      <c r="DK401" s="14"/>
      <c r="DL401" s="14"/>
      <c r="DM401" s="14"/>
      <c r="DN401" s="14"/>
      <c r="DO401" s="14"/>
      <c r="DP401" s="14"/>
      <c r="DQ401" s="14"/>
      <c r="DR401" s="14"/>
      <c r="DS401" s="14"/>
      <c r="DT401" s="14"/>
      <c r="DU401" s="14"/>
      <c r="DV401" s="14"/>
      <c r="DW401" s="14"/>
      <c r="DX401" s="14"/>
      <c r="DY401" s="14"/>
      <c r="DZ401" s="14"/>
      <c r="EA401" s="14"/>
      <c r="EB401" s="14"/>
    </row>
    <row r="402" spans="4:132"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14"/>
      <c r="CC402" s="14"/>
      <c r="CD402" s="14"/>
      <c r="CE402" s="14"/>
      <c r="CF402" s="14"/>
      <c r="CG402" s="14"/>
      <c r="CH402" s="14"/>
      <c r="CI402" s="14"/>
      <c r="CJ402" s="14"/>
      <c r="CK402" s="14"/>
      <c r="CL402" s="14"/>
      <c r="CM402" s="14"/>
      <c r="CN402" s="14"/>
      <c r="CO402" s="14"/>
      <c r="CP402" s="14"/>
      <c r="CQ402" s="14"/>
      <c r="CR402" s="14"/>
      <c r="CS402" s="14"/>
      <c r="CT402" s="14"/>
      <c r="CU402" s="14"/>
      <c r="CV402" s="14"/>
      <c r="CW402" s="14"/>
      <c r="CX402" s="14"/>
      <c r="CY402" s="14"/>
      <c r="CZ402" s="14"/>
      <c r="DA402" s="14"/>
      <c r="DB402" s="14"/>
      <c r="DC402" s="14"/>
      <c r="DD402" s="14"/>
      <c r="DE402" s="14"/>
      <c r="DF402" s="14"/>
      <c r="DG402" s="14"/>
      <c r="DH402" s="14"/>
      <c r="DI402" s="14"/>
      <c r="DJ402" s="14"/>
      <c r="DK402" s="14"/>
      <c r="DL402" s="14"/>
      <c r="DM402" s="14"/>
      <c r="DN402" s="14"/>
      <c r="DO402" s="14"/>
      <c r="DP402" s="14"/>
      <c r="DQ402" s="14"/>
      <c r="DR402" s="14"/>
      <c r="DS402" s="14"/>
      <c r="DT402" s="14"/>
      <c r="DU402" s="14"/>
      <c r="DV402" s="14"/>
      <c r="DW402" s="14"/>
      <c r="DX402" s="14"/>
      <c r="DY402" s="14"/>
      <c r="DZ402" s="14"/>
      <c r="EA402" s="14"/>
      <c r="EB402" s="14"/>
    </row>
    <row r="403" spans="4:132"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14"/>
      <c r="CC403" s="14"/>
      <c r="CD403" s="14"/>
      <c r="CE403" s="14"/>
      <c r="CF403" s="14"/>
      <c r="CG403" s="14"/>
      <c r="CH403" s="14"/>
      <c r="CI403" s="14"/>
      <c r="CJ403" s="14"/>
      <c r="CK403" s="14"/>
      <c r="CL403" s="14"/>
      <c r="CM403" s="14"/>
      <c r="CN403" s="14"/>
      <c r="CO403" s="14"/>
      <c r="CP403" s="14"/>
      <c r="CQ403" s="14"/>
      <c r="CR403" s="14"/>
      <c r="CS403" s="14"/>
      <c r="CT403" s="14"/>
      <c r="CU403" s="14"/>
      <c r="CV403" s="14"/>
      <c r="CW403" s="14"/>
      <c r="CX403" s="14"/>
      <c r="CY403" s="14"/>
      <c r="CZ403" s="14"/>
      <c r="DA403" s="14"/>
      <c r="DB403" s="14"/>
      <c r="DC403" s="14"/>
      <c r="DD403" s="14"/>
      <c r="DE403" s="14"/>
      <c r="DF403" s="14"/>
      <c r="DG403" s="14"/>
      <c r="DH403" s="14"/>
      <c r="DI403" s="14"/>
      <c r="DJ403" s="14"/>
      <c r="DK403" s="14"/>
      <c r="DL403" s="14"/>
      <c r="DM403" s="14"/>
      <c r="DN403" s="14"/>
      <c r="DO403" s="14"/>
      <c r="DP403" s="14"/>
      <c r="DQ403" s="14"/>
      <c r="DR403" s="14"/>
      <c r="DS403" s="14"/>
      <c r="DT403" s="14"/>
      <c r="DU403" s="14"/>
      <c r="DV403" s="14"/>
      <c r="DW403" s="14"/>
      <c r="DX403" s="14"/>
      <c r="DY403" s="14"/>
      <c r="DZ403" s="14"/>
      <c r="EA403" s="14"/>
      <c r="EB403" s="14"/>
    </row>
    <row r="404" spans="4:132"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14"/>
      <c r="CC404" s="14"/>
      <c r="CD404" s="14"/>
      <c r="CE404" s="14"/>
      <c r="CF404" s="14"/>
      <c r="CG404" s="14"/>
      <c r="CH404" s="14"/>
      <c r="CI404" s="14"/>
      <c r="CJ404" s="14"/>
      <c r="CK404" s="14"/>
      <c r="CL404" s="14"/>
      <c r="CM404" s="14"/>
      <c r="CN404" s="14"/>
      <c r="CO404" s="14"/>
      <c r="CP404" s="14"/>
      <c r="CQ404" s="14"/>
      <c r="CR404" s="14"/>
      <c r="CS404" s="14"/>
      <c r="CT404" s="14"/>
      <c r="CU404" s="14"/>
      <c r="CV404" s="14"/>
      <c r="CW404" s="14"/>
      <c r="CX404" s="14"/>
      <c r="CY404" s="14"/>
      <c r="CZ404" s="14"/>
      <c r="DA404" s="14"/>
      <c r="DB404" s="14"/>
      <c r="DC404" s="14"/>
      <c r="DD404" s="14"/>
      <c r="DE404" s="14"/>
      <c r="DF404" s="14"/>
      <c r="DG404" s="14"/>
      <c r="DH404" s="14"/>
      <c r="DI404" s="14"/>
      <c r="DJ404" s="14"/>
      <c r="DK404" s="14"/>
      <c r="DL404" s="14"/>
      <c r="DM404" s="14"/>
      <c r="DN404" s="14"/>
      <c r="DO404" s="14"/>
      <c r="DP404" s="14"/>
      <c r="DQ404" s="14"/>
      <c r="DR404" s="14"/>
      <c r="DS404" s="14"/>
      <c r="DT404" s="14"/>
      <c r="DU404" s="14"/>
      <c r="DV404" s="14"/>
      <c r="DW404" s="14"/>
      <c r="DX404" s="14"/>
      <c r="DY404" s="14"/>
      <c r="DZ404" s="14"/>
      <c r="EA404" s="14"/>
      <c r="EB404" s="14"/>
    </row>
    <row r="405" spans="4:132"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14"/>
      <c r="CC405" s="14"/>
      <c r="CD405" s="14"/>
      <c r="CE405" s="14"/>
      <c r="CF405" s="14"/>
      <c r="CG405" s="14"/>
      <c r="CH405" s="14"/>
      <c r="CI405" s="14"/>
      <c r="CJ405" s="14"/>
      <c r="CK405" s="14"/>
      <c r="CL405" s="14"/>
      <c r="CM405" s="14"/>
      <c r="CN405" s="14"/>
      <c r="CO405" s="14"/>
      <c r="CP405" s="14"/>
      <c r="CQ405" s="14"/>
      <c r="CR405" s="14"/>
      <c r="CS405" s="14"/>
      <c r="CT405" s="14"/>
      <c r="CU405" s="14"/>
      <c r="CV405" s="14"/>
      <c r="CW405" s="14"/>
      <c r="CX405" s="14"/>
      <c r="CY405" s="14"/>
      <c r="CZ405" s="14"/>
      <c r="DA405" s="14"/>
      <c r="DB405" s="14"/>
      <c r="DC405" s="14"/>
      <c r="DD405" s="14"/>
      <c r="DE405" s="14"/>
      <c r="DF405" s="14"/>
      <c r="DG405" s="14"/>
      <c r="DH405" s="14"/>
      <c r="DI405" s="14"/>
      <c r="DJ405" s="14"/>
      <c r="DK405" s="14"/>
      <c r="DL405" s="14"/>
      <c r="DM405" s="14"/>
      <c r="DN405" s="14"/>
      <c r="DO405" s="14"/>
      <c r="DP405" s="14"/>
      <c r="DQ405" s="14"/>
      <c r="DR405" s="14"/>
      <c r="DS405" s="14"/>
      <c r="DT405" s="14"/>
      <c r="DU405" s="14"/>
      <c r="DV405" s="14"/>
      <c r="DW405" s="14"/>
      <c r="DX405" s="14"/>
      <c r="DY405" s="14"/>
      <c r="DZ405" s="14"/>
      <c r="EA405" s="14"/>
      <c r="EB405" s="14"/>
    </row>
    <row r="406" spans="4:132"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14"/>
      <c r="CC406" s="14"/>
      <c r="CD406" s="14"/>
      <c r="CE406" s="14"/>
      <c r="CF406" s="14"/>
      <c r="CG406" s="14"/>
      <c r="CH406" s="14"/>
      <c r="CI406" s="14"/>
      <c r="CJ406" s="14"/>
      <c r="CK406" s="14"/>
      <c r="CL406" s="14"/>
      <c r="CM406" s="14"/>
      <c r="CN406" s="14"/>
      <c r="CO406" s="14"/>
      <c r="CP406" s="14"/>
      <c r="CQ406" s="14"/>
      <c r="CR406" s="14"/>
      <c r="CS406" s="14"/>
      <c r="CT406" s="14"/>
      <c r="CU406" s="14"/>
      <c r="CV406" s="14"/>
      <c r="CW406" s="14"/>
      <c r="CX406" s="14"/>
      <c r="CY406" s="14"/>
      <c r="CZ406" s="14"/>
      <c r="DA406" s="14"/>
      <c r="DB406" s="14"/>
      <c r="DC406" s="14"/>
      <c r="DD406" s="14"/>
      <c r="DE406" s="14"/>
      <c r="DF406" s="14"/>
      <c r="DG406" s="14"/>
      <c r="DH406" s="14"/>
      <c r="DI406" s="14"/>
      <c r="DJ406" s="14"/>
      <c r="DK406" s="14"/>
      <c r="DL406" s="14"/>
      <c r="DM406" s="14"/>
      <c r="DN406" s="14"/>
      <c r="DO406" s="14"/>
      <c r="DP406" s="14"/>
      <c r="DQ406" s="14"/>
      <c r="DR406" s="14"/>
      <c r="DS406" s="14"/>
      <c r="DT406" s="14"/>
      <c r="DU406" s="14"/>
      <c r="DV406" s="14"/>
      <c r="DW406" s="14"/>
      <c r="DX406" s="14"/>
      <c r="DY406" s="14"/>
      <c r="DZ406" s="14"/>
      <c r="EA406" s="14"/>
      <c r="EB406" s="14"/>
    </row>
    <row r="407" spans="4:132"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14"/>
      <c r="CC407" s="14"/>
      <c r="CD407" s="14"/>
      <c r="CE407" s="14"/>
      <c r="CF407" s="14"/>
      <c r="CG407" s="14"/>
      <c r="CH407" s="14"/>
      <c r="CI407" s="14"/>
      <c r="CJ407" s="14"/>
      <c r="CK407" s="14"/>
      <c r="CL407" s="14"/>
      <c r="CM407" s="14"/>
      <c r="CN407" s="14"/>
      <c r="CO407" s="14"/>
      <c r="CP407" s="14"/>
      <c r="CQ407" s="14"/>
      <c r="CR407" s="14"/>
      <c r="CS407" s="14"/>
      <c r="CT407" s="14"/>
      <c r="CU407" s="14"/>
      <c r="CV407" s="14"/>
      <c r="CW407" s="14"/>
      <c r="CX407" s="14"/>
      <c r="CY407" s="14"/>
      <c r="CZ407" s="14"/>
      <c r="DA407" s="14"/>
      <c r="DB407" s="14"/>
      <c r="DC407" s="14"/>
      <c r="DD407" s="14"/>
      <c r="DE407" s="14"/>
      <c r="DF407" s="14"/>
      <c r="DG407" s="14"/>
      <c r="DH407" s="14"/>
      <c r="DI407" s="14"/>
      <c r="DJ407" s="14"/>
      <c r="DK407" s="14"/>
      <c r="DL407" s="14"/>
      <c r="DM407" s="14"/>
      <c r="DN407" s="14"/>
      <c r="DO407" s="14"/>
      <c r="DP407" s="14"/>
      <c r="DQ407" s="14"/>
      <c r="DR407" s="14"/>
      <c r="DS407" s="14"/>
      <c r="DT407" s="14"/>
      <c r="DU407" s="14"/>
      <c r="DV407" s="14"/>
      <c r="DW407" s="14"/>
      <c r="DX407" s="14"/>
      <c r="DY407" s="14"/>
      <c r="DZ407" s="14"/>
      <c r="EA407" s="14"/>
      <c r="EB407" s="14"/>
    </row>
    <row r="408" spans="4:132"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14"/>
      <c r="CC408" s="14"/>
      <c r="CD408" s="14"/>
      <c r="CE408" s="14"/>
      <c r="CF408" s="14"/>
      <c r="CG408" s="14"/>
      <c r="CH408" s="14"/>
      <c r="CI408" s="14"/>
      <c r="CJ408" s="14"/>
      <c r="CK408" s="14"/>
      <c r="CL408" s="14"/>
      <c r="CM408" s="14"/>
      <c r="CN408" s="14"/>
      <c r="CO408" s="14"/>
      <c r="CP408" s="14"/>
      <c r="CQ408" s="14"/>
      <c r="CR408" s="14"/>
      <c r="CS408" s="14"/>
      <c r="CT408" s="14"/>
      <c r="CU408" s="14"/>
      <c r="CV408" s="14"/>
      <c r="CW408" s="14"/>
      <c r="CX408" s="14"/>
      <c r="CY408" s="14"/>
      <c r="CZ408" s="14"/>
      <c r="DA408" s="14"/>
      <c r="DB408" s="14"/>
      <c r="DC408" s="14"/>
      <c r="DD408" s="14"/>
      <c r="DE408" s="14"/>
      <c r="DF408" s="14"/>
      <c r="DG408" s="14"/>
      <c r="DH408" s="14"/>
      <c r="DI408" s="14"/>
      <c r="DJ408" s="14"/>
      <c r="DK408" s="14"/>
      <c r="DL408" s="14"/>
      <c r="DM408" s="14"/>
      <c r="DN408" s="14"/>
      <c r="DO408" s="14"/>
      <c r="DP408" s="14"/>
      <c r="DQ408" s="14"/>
      <c r="DR408" s="14"/>
      <c r="DS408" s="14"/>
      <c r="DT408" s="14"/>
      <c r="DU408" s="14"/>
      <c r="DV408" s="14"/>
      <c r="DW408" s="14"/>
      <c r="DX408" s="14"/>
      <c r="DY408" s="14"/>
      <c r="DZ408" s="14"/>
      <c r="EA408" s="14"/>
      <c r="EB408" s="14"/>
    </row>
    <row r="409" spans="4:132"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14"/>
      <c r="CC409" s="14"/>
      <c r="CD409" s="14"/>
      <c r="CE409" s="14"/>
      <c r="CF409" s="14"/>
      <c r="CG409" s="14"/>
      <c r="CH409" s="14"/>
      <c r="CI409" s="14"/>
      <c r="CJ409" s="14"/>
      <c r="CK409" s="14"/>
      <c r="CL409" s="14"/>
      <c r="CM409" s="14"/>
      <c r="CN409" s="14"/>
      <c r="CO409" s="14"/>
      <c r="CP409" s="14"/>
      <c r="CQ409" s="14"/>
      <c r="CR409" s="14"/>
      <c r="CS409" s="14"/>
      <c r="CT409" s="14"/>
      <c r="CU409" s="14"/>
      <c r="CV409" s="14"/>
      <c r="CW409" s="14"/>
      <c r="CX409" s="14"/>
      <c r="CY409" s="14"/>
      <c r="CZ409" s="14"/>
      <c r="DA409" s="14"/>
      <c r="DB409" s="14"/>
      <c r="DC409" s="14"/>
      <c r="DD409" s="14"/>
      <c r="DE409" s="14"/>
      <c r="DF409" s="14"/>
      <c r="DG409" s="14"/>
      <c r="DH409" s="14"/>
      <c r="DI409" s="14"/>
      <c r="DJ409" s="14"/>
      <c r="DK409" s="14"/>
      <c r="DL409" s="14"/>
      <c r="DM409" s="14"/>
      <c r="DN409" s="14"/>
      <c r="DO409" s="14"/>
      <c r="DP409" s="14"/>
      <c r="DQ409" s="14"/>
      <c r="DR409" s="14"/>
      <c r="DS409" s="14"/>
      <c r="DT409" s="14"/>
      <c r="DU409" s="14"/>
      <c r="DV409" s="14"/>
      <c r="DW409" s="14"/>
      <c r="DX409" s="14"/>
      <c r="DY409" s="14"/>
      <c r="DZ409" s="14"/>
      <c r="EA409" s="14"/>
      <c r="EB409" s="14"/>
    </row>
    <row r="410" spans="4:132"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14"/>
      <c r="BQ410" s="14"/>
      <c r="BR410" s="14"/>
      <c r="BS410" s="14"/>
      <c r="BT410" s="14"/>
      <c r="BU410" s="14"/>
      <c r="BV410" s="14"/>
      <c r="BW410" s="14"/>
      <c r="BX410" s="14"/>
      <c r="BY410" s="14"/>
      <c r="BZ410" s="14"/>
      <c r="CA410" s="14"/>
      <c r="CB410" s="14"/>
      <c r="CC410" s="14"/>
      <c r="CD410" s="14"/>
      <c r="CE410" s="14"/>
      <c r="CF410" s="14"/>
      <c r="CG410" s="14"/>
      <c r="CH410" s="14"/>
      <c r="CI410" s="14"/>
      <c r="CJ410" s="14"/>
      <c r="CK410" s="14"/>
      <c r="CL410" s="14"/>
      <c r="CM410" s="14"/>
      <c r="CN410" s="14"/>
      <c r="CO410" s="14"/>
      <c r="CP410" s="14"/>
      <c r="CQ410" s="14"/>
      <c r="CR410" s="14"/>
      <c r="CS410" s="14"/>
      <c r="CT410" s="14"/>
      <c r="CU410" s="14"/>
      <c r="CV410" s="14"/>
      <c r="CW410" s="14"/>
      <c r="CX410" s="14"/>
      <c r="CY410" s="14"/>
      <c r="CZ410" s="14"/>
      <c r="DA410" s="14"/>
      <c r="DB410" s="14"/>
      <c r="DC410" s="14"/>
      <c r="DD410" s="14"/>
      <c r="DE410" s="14"/>
      <c r="DF410" s="14"/>
      <c r="DG410" s="14"/>
      <c r="DH410" s="14"/>
      <c r="DI410" s="14"/>
      <c r="DJ410" s="14"/>
      <c r="DK410" s="14"/>
      <c r="DL410" s="14"/>
      <c r="DM410" s="14"/>
      <c r="DN410" s="14"/>
      <c r="DO410" s="14"/>
      <c r="DP410" s="14"/>
      <c r="DQ410" s="14"/>
      <c r="DR410" s="14"/>
      <c r="DS410" s="14"/>
      <c r="DT410" s="14"/>
      <c r="DU410" s="14"/>
      <c r="DV410" s="14"/>
      <c r="DW410" s="14"/>
      <c r="DX410" s="14"/>
      <c r="DY410" s="14"/>
      <c r="DZ410" s="14"/>
      <c r="EA410" s="14"/>
      <c r="EB410" s="14"/>
    </row>
    <row r="411" spans="4:132"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14"/>
      <c r="BQ411" s="14"/>
      <c r="BR411" s="14"/>
      <c r="BS411" s="14"/>
      <c r="BT411" s="14"/>
      <c r="BU411" s="14"/>
      <c r="BV411" s="14"/>
      <c r="BW411" s="14"/>
      <c r="BX411" s="14"/>
      <c r="BY411" s="14"/>
      <c r="BZ411" s="14"/>
      <c r="CA411" s="14"/>
      <c r="CB411" s="14"/>
      <c r="CC411" s="14"/>
      <c r="CD411" s="14"/>
      <c r="CE411" s="14"/>
      <c r="CF411" s="14"/>
      <c r="CG411" s="14"/>
      <c r="CH411" s="14"/>
      <c r="CI411" s="14"/>
      <c r="CJ411" s="14"/>
      <c r="CK411" s="14"/>
      <c r="CL411" s="14"/>
      <c r="CM411" s="14"/>
      <c r="CN411" s="14"/>
      <c r="CO411" s="14"/>
      <c r="CP411" s="14"/>
      <c r="CQ411" s="14"/>
      <c r="CR411" s="14"/>
      <c r="CS411" s="14"/>
      <c r="CT411" s="14"/>
      <c r="CU411" s="14"/>
      <c r="CV411" s="14"/>
      <c r="CW411" s="14"/>
      <c r="CX411" s="14"/>
      <c r="CY411" s="14"/>
      <c r="CZ411" s="14"/>
      <c r="DA411" s="14"/>
      <c r="DB411" s="14"/>
      <c r="DC411" s="14"/>
      <c r="DD411" s="14"/>
      <c r="DE411" s="14"/>
      <c r="DF411" s="14"/>
      <c r="DG411" s="14"/>
      <c r="DH411" s="14"/>
      <c r="DI411" s="14"/>
      <c r="DJ411" s="14"/>
      <c r="DK411" s="14"/>
      <c r="DL411" s="14"/>
      <c r="DM411" s="14"/>
      <c r="DN411" s="14"/>
      <c r="DO411" s="14"/>
      <c r="DP411" s="14"/>
      <c r="DQ411" s="14"/>
      <c r="DR411" s="14"/>
      <c r="DS411" s="14"/>
      <c r="DT411" s="14"/>
      <c r="DU411" s="14"/>
      <c r="DV411" s="14"/>
      <c r="DW411" s="14"/>
      <c r="DX411" s="14"/>
      <c r="DY411" s="14"/>
      <c r="DZ411" s="14"/>
      <c r="EA411" s="14"/>
      <c r="EB411" s="14"/>
    </row>
    <row r="412" spans="4:132"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14"/>
      <c r="BQ412" s="14"/>
      <c r="BR412" s="14"/>
      <c r="BS412" s="14"/>
      <c r="BT412" s="14"/>
      <c r="BU412" s="14"/>
      <c r="BV412" s="14"/>
      <c r="BW412" s="14"/>
      <c r="BX412" s="14"/>
      <c r="BY412" s="14"/>
      <c r="BZ412" s="14"/>
      <c r="CA412" s="14"/>
      <c r="CB412" s="14"/>
      <c r="CC412" s="14"/>
      <c r="CD412" s="14"/>
      <c r="CE412" s="14"/>
      <c r="CF412" s="14"/>
      <c r="CG412" s="14"/>
      <c r="CH412" s="14"/>
      <c r="CI412" s="14"/>
      <c r="CJ412" s="14"/>
      <c r="CK412" s="14"/>
      <c r="CL412" s="14"/>
      <c r="CM412" s="14"/>
      <c r="CN412" s="14"/>
      <c r="CO412" s="14"/>
      <c r="CP412" s="14"/>
      <c r="CQ412" s="14"/>
      <c r="CR412" s="14"/>
      <c r="CS412" s="14"/>
      <c r="CT412" s="14"/>
      <c r="CU412" s="14"/>
      <c r="CV412" s="14"/>
      <c r="CW412" s="14"/>
      <c r="CX412" s="14"/>
      <c r="CY412" s="14"/>
      <c r="CZ412" s="14"/>
      <c r="DA412" s="14"/>
      <c r="DB412" s="14"/>
      <c r="DC412" s="14"/>
      <c r="DD412" s="14"/>
      <c r="DE412" s="14"/>
      <c r="DF412" s="14"/>
      <c r="DG412" s="14"/>
      <c r="DH412" s="14"/>
      <c r="DI412" s="14"/>
      <c r="DJ412" s="14"/>
      <c r="DK412" s="14"/>
      <c r="DL412" s="14"/>
      <c r="DM412" s="14"/>
      <c r="DN412" s="14"/>
      <c r="DO412" s="14"/>
      <c r="DP412" s="14"/>
      <c r="DQ412" s="14"/>
      <c r="DR412" s="14"/>
      <c r="DS412" s="14"/>
      <c r="DT412" s="14"/>
      <c r="DU412" s="14"/>
      <c r="DV412" s="14"/>
      <c r="DW412" s="14"/>
      <c r="DX412" s="14"/>
      <c r="DY412" s="14"/>
      <c r="DZ412" s="14"/>
      <c r="EA412" s="14"/>
      <c r="EB412" s="14"/>
    </row>
    <row r="413" spans="4:132"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14"/>
      <c r="BQ413" s="14"/>
      <c r="BR413" s="14"/>
      <c r="BS413" s="14"/>
      <c r="BT413" s="14"/>
      <c r="BU413" s="14"/>
      <c r="BV413" s="14"/>
      <c r="BW413" s="14"/>
      <c r="BX413" s="14"/>
      <c r="BY413" s="14"/>
      <c r="BZ413" s="14"/>
      <c r="CA413" s="14"/>
      <c r="CB413" s="14"/>
      <c r="CC413" s="14"/>
      <c r="CD413" s="14"/>
      <c r="CE413" s="14"/>
      <c r="CF413" s="14"/>
      <c r="CG413" s="14"/>
      <c r="CH413" s="14"/>
      <c r="CI413" s="14"/>
      <c r="CJ413" s="14"/>
      <c r="CK413" s="14"/>
      <c r="CL413" s="14"/>
      <c r="CM413" s="14"/>
      <c r="CN413" s="14"/>
      <c r="CO413" s="14"/>
      <c r="CP413" s="14"/>
      <c r="CQ413" s="14"/>
      <c r="CR413" s="14"/>
      <c r="CS413" s="14"/>
      <c r="CT413" s="14"/>
      <c r="CU413" s="14"/>
      <c r="CV413" s="14"/>
      <c r="CW413" s="14"/>
      <c r="CX413" s="14"/>
      <c r="CY413" s="14"/>
      <c r="CZ413" s="14"/>
      <c r="DA413" s="14"/>
      <c r="DB413" s="14"/>
      <c r="DC413" s="14"/>
      <c r="DD413" s="14"/>
      <c r="DE413" s="14"/>
      <c r="DF413" s="14"/>
      <c r="DG413" s="14"/>
      <c r="DH413" s="14"/>
      <c r="DI413" s="14"/>
      <c r="DJ413" s="14"/>
      <c r="DK413" s="14"/>
      <c r="DL413" s="14"/>
      <c r="DM413" s="14"/>
      <c r="DN413" s="14"/>
      <c r="DO413" s="14"/>
      <c r="DP413" s="14"/>
      <c r="DQ413" s="14"/>
      <c r="DR413" s="14"/>
      <c r="DS413" s="14"/>
      <c r="DT413" s="14"/>
      <c r="DU413" s="14"/>
      <c r="DV413" s="14"/>
      <c r="DW413" s="14"/>
      <c r="DX413" s="14"/>
      <c r="DY413" s="14"/>
      <c r="DZ413" s="14"/>
      <c r="EA413" s="14"/>
      <c r="EB413" s="14"/>
    </row>
    <row r="414" spans="4:132"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14"/>
      <c r="BQ414" s="14"/>
      <c r="BR414" s="14"/>
      <c r="BS414" s="14"/>
      <c r="BT414" s="14"/>
      <c r="BU414" s="14"/>
      <c r="BV414" s="14"/>
      <c r="BW414" s="14"/>
      <c r="BX414" s="14"/>
      <c r="BY414" s="14"/>
      <c r="BZ414" s="14"/>
      <c r="CA414" s="14"/>
      <c r="CB414" s="14"/>
      <c r="CC414" s="14"/>
      <c r="CD414" s="14"/>
      <c r="CE414" s="14"/>
      <c r="CF414" s="14"/>
      <c r="CG414" s="14"/>
      <c r="CH414" s="14"/>
      <c r="CI414" s="14"/>
      <c r="CJ414" s="14"/>
      <c r="CK414" s="14"/>
      <c r="CL414" s="14"/>
      <c r="CM414" s="14"/>
      <c r="CN414" s="14"/>
      <c r="CO414" s="14"/>
      <c r="CP414" s="14"/>
      <c r="CQ414" s="14"/>
      <c r="CR414" s="14"/>
      <c r="CS414" s="14"/>
      <c r="CT414" s="14"/>
      <c r="CU414" s="14"/>
      <c r="CV414" s="14"/>
      <c r="CW414" s="14"/>
      <c r="CX414" s="14"/>
      <c r="CY414" s="14"/>
      <c r="CZ414" s="14"/>
      <c r="DA414" s="14"/>
      <c r="DB414" s="14"/>
      <c r="DC414" s="14"/>
      <c r="DD414" s="14"/>
      <c r="DE414" s="14"/>
      <c r="DF414" s="14"/>
      <c r="DG414" s="14"/>
      <c r="DH414" s="14"/>
      <c r="DI414" s="14"/>
      <c r="DJ414" s="14"/>
      <c r="DK414" s="14"/>
      <c r="DL414" s="14"/>
      <c r="DM414" s="14"/>
      <c r="DN414" s="14"/>
      <c r="DO414" s="14"/>
      <c r="DP414" s="14"/>
      <c r="DQ414" s="14"/>
      <c r="DR414" s="14"/>
      <c r="DS414" s="14"/>
      <c r="DT414" s="14"/>
      <c r="DU414" s="14"/>
      <c r="DV414" s="14"/>
      <c r="DW414" s="14"/>
      <c r="DX414" s="14"/>
      <c r="DY414" s="14"/>
      <c r="DZ414" s="14"/>
      <c r="EA414" s="14"/>
      <c r="EB414" s="14"/>
    </row>
    <row r="415" spans="4:132"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14"/>
      <c r="BQ415" s="14"/>
      <c r="BR415" s="14"/>
      <c r="BS415" s="14"/>
      <c r="BT415" s="14"/>
      <c r="BU415" s="14"/>
      <c r="BV415" s="14"/>
      <c r="BW415" s="14"/>
      <c r="BX415" s="14"/>
      <c r="BY415" s="14"/>
      <c r="BZ415" s="14"/>
      <c r="CA415" s="14"/>
      <c r="CB415" s="14"/>
      <c r="CC415" s="14"/>
      <c r="CD415" s="14"/>
      <c r="CE415" s="14"/>
      <c r="CF415" s="14"/>
      <c r="CG415" s="14"/>
      <c r="CH415" s="14"/>
      <c r="CI415" s="14"/>
      <c r="CJ415" s="14"/>
      <c r="CK415" s="14"/>
      <c r="CL415" s="14"/>
      <c r="CM415" s="14"/>
      <c r="CN415" s="14"/>
      <c r="CO415" s="14"/>
      <c r="CP415" s="14"/>
      <c r="CQ415" s="14"/>
      <c r="CR415" s="14"/>
      <c r="CS415" s="14"/>
      <c r="CT415" s="14"/>
      <c r="CU415" s="14"/>
      <c r="CV415" s="14"/>
      <c r="CW415" s="14"/>
      <c r="CX415" s="14"/>
      <c r="CY415" s="14"/>
      <c r="CZ415" s="14"/>
      <c r="DA415" s="14"/>
      <c r="DB415" s="14"/>
      <c r="DC415" s="14"/>
      <c r="DD415" s="14"/>
      <c r="DE415" s="14"/>
      <c r="DF415" s="14"/>
      <c r="DG415" s="14"/>
      <c r="DH415" s="14"/>
      <c r="DI415" s="14"/>
      <c r="DJ415" s="14"/>
      <c r="DK415" s="14"/>
      <c r="DL415" s="14"/>
      <c r="DM415" s="14"/>
      <c r="DN415" s="14"/>
      <c r="DO415" s="14"/>
      <c r="DP415" s="14"/>
      <c r="DQ415" s="14"/>
      <c r="DR415" s="14"/>
      <c r="DS415" s="14"/>
      <c r="DT415" s="14"/>
      <c r="DU415" s="14"/>
      <c r="DV415" s="14"/>
      <c r="DW415" s="14"/>
      <c r="DX415" s="14"/>
      <c r="DY415" s="14"/>
      <c r="DZ415" s="14"/>
      <c r="EA415" s="14"/>
      <c r="EB415" s="14"/>
    </row>
    <row r="416" spans="4:132"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14"/>
      <c r="BQ416" s="14"/>
      <c r="BR416" s="14"/>
      <c r="BS416" s="14"/>
      <c r="BT416" s="14"/>
      <c r="BU416" s="14"/>
      <c r="BV416" s="14"/>
      <c r="BW416" s="14"/>
      <c r="BX416" s="14"/>
      <c r="BY416" s="14"/>
      <c r="BZ416" s="14"/>
      <c r="CA416" s="14"/>
      <c r="CB416" s="14"/>
      <c r="CC416" s="14"/>
      <c r="CD416" s="14"/>
      <c r="CE416" s="14"/>
      <c r="CF416" s="14"/>
      <c r="CG416" s="14"/>
      <c r="CH416" s="14"/>
      <c r="CI416" s="14"/>
      <c r="CJ416" s="14"/>
      <c r="CK416" s="14"/>
      <c r="CL416" s="14"/>
      <c r="CM416" s="14"/>
      <c r="CN416" s="14"/>
      <c r="CO416" s="14"/>
      <c r="CP416" s="14"/>
      <c r="CQ416" s="14"/>
      <c r="CR416" s="14"/>
      <c r="CS416" s="14"/>
      <c r="CT416" s="14"/>
      <c r="CU416" s="14"/>
      <c r="CV416" s="14"/>
      <c r="CW416" s="14"/>
      <c r="CX416" s="14"/>
      <c r="CY416" s="14"/>
      <c r="CZ416" s="14"/>
      <c r="DA416" s="14"/>
      <c r="DB416" s="14"/>
      <c r="DC416" s="14"/>
      <c r="DD416" s="14"/>
      <c r="DE416" s="14"/>
      <c r="DF416" s="14"/>
      <c r="DG416" s="14"/>
      <c r="DH416" s="14"/>
      <c r="DI416" s="14"/>
      <c r="DJ416" s="14"/>
      <c r="DK416" s="14"/>
      <c r="DL416" s="14"/>
      <c r="DM416" s="14"/>
      <c r="DN416" s="14"/>
      <c r="DO416" s="14"/>
      <c r="DP416" s="14"/>
      <c r="DQ416" s="14"/>
      <c r="DR416" s="14"/>
      <c r="DS416" s="14"/>
      <c r="DT416" s="14"/>
      <c r="DU416" s="14"/>
      <c r="DV416" s="14"/>
      <c r="DW416" s="14"/>
      <c r="DX416" s="14"/>
      <c r="DY416" s="14"/>
      <c r="DZ416" s="14"/>
      <c r="EA416" s="14"/>
      <c r="EB416" s="14"/>
    </row>
    <row r="417" spans="4:132"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14"/>
      <c r="BQ417" s="14"/>
      <c r="BR417" s="14"/>
      <c r="BS417" s="14"/>
      <c r="BT417" s="14"/>
      <c r="BU417" s="14"/>
      <c r="BV417" s="14"/>
      <c r="BW417" s="14"/>
      <c r="BX417" s="14"/>
      <c r="BY417" s="14"/>
      <c r="BZ417" s="14"/>
      <c r="CA417" s="14"/>
      <c r="CB417" s="14"/>
      <c r="CC417" s="14"/>
      <c r="CD417" s="14"/>
      <c r="CE417" s="14"/>
      <c r="CF417" s="14"/>
      <c r="CG417" s="14"/>
      <c r="CH417" s="14"/>
      <c r="CI417" s="14"/>
      <c r="CJ417" s="14"/>
      <c r="CK417" s="14"/>
      <c r="CL417" s="14"/>
      <c r="CM417" s="14"/>
      <c r="CN417" s="14"/>
      <c r="CO417" s="14"/>
      <c r="CP417" s="14"/>
      <c r="CQ417" s="14"/>
      <c r="CR417" s="14"/>
      <c r="CS417" s="14"/>
      <c r="CT417" s="14"/>
      <c r="CU417" s="14"/>
      <c r="CV417" s="14"/>
      <c r="CW417" s="14"/>
      <c r="CX417" s="14"/>
      <c r="CY417" s="14"/>
      <c r="CZ417" s="14"/>
      <c r="DA417" s="14"/>
      <c r="DB417" s="14"/>
      <c r="DC417" s="14"/>
      <c r="DD417" s="14"/>
      <c r="DE417" s="14"/>
      <c r="DF417" s="14"/>
      <c r="DG417" s="14"/>
      <c r="DH417" s="14"/>
      <c r="DI417" s="14"/>
      <c r="DJ417" s="14"/>
      <c r="DK417" s="14"/>
      <c r="DL417" s="14"/>
      <c r="DM417" s="14"/>
      <c r="DN417" s="14"/>
      <c r="DO417" s="14"/>
      <c r="DP417" s="14"/>
      <c r="DQ417" s="14"/>
      <c r="DR417" s="14"/>
      <c r="DS417" s="14"/>
      <c r="DT417" s="14"/>
      <c r="DU417" s="14"/>
      <c r="DV417" s="14"/>
      <c r="DW417" s="14"/>
      <c r="DX417" s="14"/>
      <c r="DY417" s="14"/>
      <c r="DZ417" s="14"/>
      <c r="EA417" s="14"/>
      <c r="EB417" s="14"/>
    </row>
    <row r="418" spans="4:132"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14"/>
      <c r="BQ418" s="14"/>
      <c r="BR418" s="14"/>
      <c r="BS418" s="14"/>
      <c r="BT418" s="14"/>
      <c r="BU418" s="14"/>
      <c r="BV418" s="14"/>
      <c r="BW418" s="14"/>
      <c r="BX418" s="14"/>
      <c r="BY418" s="14"/>
      <c r="BZ418" s="14"/>
      <c r="CA418" s="14"/>
      <c r="CB418" s="14"/>
      <c r="CC418" s="14"/>
      <c r="CD418" s="14"/>
      <c r="CE418" s="14"/>
      <c r="CF418" s="14"/>
      <c r="CG418" s="14"/>
      <c r="CH418" s="14"/>
      <c r="CI418" s="14"/>
      <c r="CJ418" s="14"/>
      <c r="CK418" s="14"/>
      <c r="CL418" s="14"/>
      <c r="CM418" s="14"/>
      <c r="CN418" s="14"/>
      <c r="CO418" s="14"/>
      <c r="CP418" s="14"/>
      <c r="CQ418" s="14"/>
      <c r="CR418" s="14"/>
      <c r="CS418" s="14"/>
      <c r="CT418" s="14"/>
      <c r="CU418" s="14"/>
      <c r="CV418" s="14"/>
      <c r="CW418" s="14"/>
      <c r="CX418" s="14"/>
      <c r="CY418" s="14"/>
      <c r="CZ418" s="14"/>
      <c r="DA418" s="14"/>
      <c r="DB418" s="14"/>
      <c r="DC418" s="14"/>
      <c r="DD418" s="14"/>
      <c r="DE418" s="14"/>
      <c r="DF418" s="14"/>
      <c r="DG418" s="14"/>
      <c r="DH418" s="14"/>
      <c r="DI418" s="14"/>
      <c r="DJ418" s="14"/>
      <c r="DK418" s="14"/>
      <c r="DL418" s="14"/>
      <c r="DM418" s="14"/>
      <c r="DN418" s="14"/>
      <c r="DO418" s="14"/>
      <c r="DP418" s="14"/>
      <c r="DQ418" s="14"/>
      <c r="DR418" s="14"/>
      <c r="DS418" s="14"/>
      <c r="DT418" s="14"/>
      <c r="DU418" s="14"/>
      <c r="DV418" s="14"/>
      <c r="DW418" s="14"/>
      <c r="DX418" s="14"/>
      <c r="DY418" s="14"/>
      <c r="DZ418" s="14"/>
      <c r="EA418" s="14"/>
      <c r="EB418" s="14"/>
    </row>
    <row r="419" spans="4:132"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14"/>
      <c r="BQ419" s="14"/>
      <c r="BR419" s="14"/>
      <c r="BS419" s="14"/>
      <c r="BT419" s="14"/>
      <c r="BU419" s="14"/>
      <c r="BV419" s="14"/>
      <c r="BW419" s="14"/>
      <c r="BX419" s="14"/>
      <c r="BY419" s="14"/>
      <c r="BZ419" s="14"/>
      <c r="CA419" s="14"/>
      <c r="CB419" s="14"/>
      <c r="CC419" s="14"/>
      <c r="CD419" s="14"/>
      <c r="CE419" s="14"/>
      <c r="CF419" s="14"/>
      <c r="CG419" s="14"/>
      <c r="CH419" s="14"/>
      <c r="CI419" s="14"/>
      <c r="CJ419" s="14"/>
      <c r="CK419" s="14"/>
      <c r="CL419" s="14"/>
      <c r="CM419" s="14"/>
      <c r="CN419" s="14"/>
      <c r="CO419" s="14"/>
      <c r="CP419" s="14"/>
      <c r="CQ419" s="14"/>
      <c r="CR419" s="14"/>
      <c r="CS419" s="14"/>
      <c r="CT419" s="14"/>
      <c r="CU419" s="14"/>
      <c r="CV419" s="14"/>
      <c r="CW419" s="14"/>
      <c r="CX419" s="14"/>
      <c r="CY419" s="14"/>
      <c r="CZ419" s="14"/>
      <c r="DA419" s="14"/>
      <c r="DB419" s="14"/>
      <c r="DC419" s="14"/>
      <c r="DD419" s="14"/>
      <c r="DE419" s="14"/>
      <c r="DF419" s="14"/>
      <c r="DG419" s="14"/>
      <c r="DH419" s="14"/>
      <c r="DI419" s="14"/>
      <c r="DJ419" s="14"/>
      <c r="DK419" s="14"/>
      <c r="DL419" s="14"/>
      <c r="DM419" s="14"/>
      <c r="DN419" s="14"/>
      <c r="DO419" s="14"/>
      <c r="DP419" s="14"/>
      <c r="DQ419" s="14"/>
      <c r="DR419" s="14"/>
      <c r="DS419" s="14"/>
      <c r="DT419" s="14"/>
      <c r="DU419" s="14"/>
      <c r="DV419" s="14"/>
      <c r="DW419" s="14"/>
      <c r="DX419" s="14"/>
      <c r="DY419" s="14"/>
      <c r="DZ419" s="14"/>
      <c r="EA419" s="14"/>
      <c r="EB419" s="14"/>
    </row>
    <row r="420" spans="4:132"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14"/>
      <c r="BQ420" s="14"/>
      <c r="BR420" s="14"/>
      <c r="BS420" s="14"/>
      <c r="BT420" s="14"/>
      <c r="BU420" s="14"/>
      <c r="BV420" s="14"/>
      <c r="BW420" s="14"/>
      <c r="BX420" s="14"/>
      <c r="BY420" s="14"/>
      <c r="BZ420" s="14"/>
      <c r="CA420" s="14"/>
      <c r="CB420" s="14"/>
      <c r="CC420" s="14"/>
      <c r="CD420" s="14"/>
      <c r="CE420" s="14"/>
      <c r="CF420" s="14"/>
      <c r="CG420" s="14"/>
      <c r="CH420" s="14"/>
      <c r="CI420" s="14"/>
      <c r="CJ420" s="14"/>
      <c r="CK420" s="14"/>
      <c r="CL420" s="14"/>
      <c r="CM420" s="14"/>
      <c r="CN420" s="14"/>
      <c r="CO420" s="14"/>
      <c r="CP420" s="14"/>
      <c r="CQ420" s="14"/>
      <c r="CR420" s="14"/>
      <c r="CS420" s="14"/>
      <c r="CT420" s="14"/>
      <c r="CU420" s="14"/>
      <c r="CV420" s="14"/>
      <c r="CW420" s="14"/>
      <c r="CX420" s="14"/>
      <c r="CY420" s="14"/>
      <c r="CZ420" s="14"/>
      <c r="DA420" s="14"/>
      <c r="DB420" s="14"/>
      <c r="DC420" s="14"/>
      <c r="DD420" s="14"/>
      <c r="DE420" s="14"/>
      <c r="DF420" s="14"/>
      <c r="DG420" s="14"/>
      <c r="DH420" s="14"/>
      <c r="DI420" s="14"/>
      <c r="DJ420" s="14"/>
      <c r="DK420" s="14"/>
      <c r="DL420" s="14"/>
      <c r="DM420" s="14"/>
      <c r="DN420" s="14"/>
      <c r="DO420" s="14"/>
      <c r="DP420" s="14"/>
      <c r="DQ420" s="14"/>
      <c r="DR420" s="14"/>
      <c r="DS420" s="14"/>
      <c r="DT420" s="14"/>
      <c r="DU420" s="14"/>
      <c r="DV420" s="14"/>
      <c r="DW420" s="14"/>
      <c r="DX420" s="14"/>
      <c r="DY420" s="14"/>
      <c r="DZ420" s="14"/>
      <c r="EA420" s="14"/>
      <c r="EB420" s="14"/>
    </row>
    <row r="421" spans="4:132"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14"/>
      <c r="BQ421" s="14"/>
      <c r="BR421" s="14"/>
      <c r="BS421" s="14"/>
      <c r="BT421" s="14"/>
      <c r="BU421" s="14"/>
      <c r="BV421" s="14"/>
      <c r="BW421" s="14"/>
      <c r="BX421" s="14"/>
      <c r="BY421" s="14"/>
      <c r="BZ421" s="14"/>
      <c r="CA421" s="14"/>
      <c r="CB421" s="14"/>
      <c r="CC421" s="14"/>
      <c r="CD421" s="14"/>
      <c r="CE421" s="14"/>
      <c r="CF421" s="14"/>
      <c r="CG421" s="14"/>
      <c r="CH421" s="14"/>
      <c r="CI421" s="14"/>
      <c r="CJ421" s="14"/>
      <c r="CK421" s="14"/>
      <c r="CL421" s="14"/>
      <c r="CM421" s="14"/>
      <c r="CN421" s="14"/>
      <c r="CO421" s="14"/>
      <c r="CP421" s="14"/>
      <c r="CQ421" s="14"/>
      <c r="CR421" s="14"/>
      <c r="CS421" s="14"/>
      <c r="CT421" s="14"/>
      <c r="CU421" s="14"/>
      <c r="CV421" s="14"/>
      <c r="CW421" s="14"/>
      <c r="CX421" s="14"/>
      <c r="CY421" s="14"/>
      <c r="CZ421" s="14"/>
      <c r="DA421" s="14"/>
      <c r="DB421" s="14"/>
      <c r="DC421" s="14"/>
      <c r="DD421" s="14"/>
      <c r="DE421" s="14"/>
      <c r="DF421" s="14"/>
      <c r="DG421" s="14"/>
      <c r="DH421" s="14"/>
      <c r="DI421" s="14"/>
      <c r="DJ421" s="14"/>
      <c r="DK421" s="14"/>
      <c r="DL421" s="14"/>
      <c r="DM421" s="14"/>
      <c r="DN421" s="14"/>
      <c r="DO421" s="14"/>
      <c r="DP421" s="14"/>
      <c r="DQ421" s="14"/>
      <c r="DR421" s="14"/>
      <c r="DS421" s="14"/>
      <c r="DT421" s="14"/>
      <c r="DU421" s="14"/>
      <c r="DV421" s="14"/>
      <c r="DW421" s="14"/>
      <c r="DX421" s="14"/>
      <c r="DY421" s="14"/>
      <c r="DZ421" s="14"/>
      <c r="EA421" s="14"/>
      <c r="EB421" s="14"/>
    </row>
    <row r="422" spans="4:132"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14"/>
      <c r="BQ422" s="14"/>
      <c r="BR422" s="14"/>
      <c r="BS422" s="14"/>
      <c r="BT422" s="14"/>
      <c r="BU422" s="14"/>
      <c r="BV422" s="14"/>
      <c r="BW422" s="14"/>
      <c r="BX422" s="14"/>
      <c r="BY422" s="14"/>
      <c r="BZ422" s="14"/>
      <c r="CA422" s="14"/>
      <c r="CB422" s="14"/>
      <c r="CC422" s="14"/>
      <c r="CD422" s="14"/>
      <c r="CE422" s="14"/>
      <c r="CF422" s="14"/>
      <c r="CG422" s="14"/>
      <c r="CH422" s="14"/>
      <c r="CI422" s="14"/>
      <c r="CJ422" s="14"/>
      <c r="CK422" s="14"/>
      <c r="CL422" s="14"/>
      <c r="CM422" s="14"/>
      <c r="CN422" s="14"/>
      <c r="CO422" s="14"/>
      <c r="CP422" s="14"/>
      <c r="CQ422" s="14"/>
      <c r="CR422" s="14"/>
      <c r="CS422" s="14"/>
      <c r="CT422" s="14"/>
      <c r="CU422" s="14"/>
      <c r="CV422" s="14"/>
      <c r="CW422" s="14"/>
      <c r="CX422" s="14"/>
      <c r="CY422" s="14"/>
      <c r="CZ422" s="14"/>
      <c r="DA422" s="14"/>
      <c r="DB422" s="14"/>
      <c r="DC422" s="14"/>
      <c r="DD422" s="14"/>
      <c r="DE422" s="14"/>
      <c r="DF422" s="14"/>
      <c r="DG422" s="14"/>
      <c r="DH422" s="14"/>
      <c r="DI422" s="14"/>
      <c r="DJ422" s="14"/>
      <c r="DK422" s="14"/>
      <c r="DL422" s="14"/>
      <c r="DM422" s="14"/>
      <c r="DN422" s="14"/>
      <c r="DO422" s="14"/>
      <c r="DP422" s="14"/>
      <c r="DQ422" s="14"/>
      <c r="DR422" s="14"/>
      <c r="DS422" s="14"/>
      <c r="DT422" s="14"/>
      <c r="DU422" s="14"/>
      <c r="DV422" s="14"/>
      <c r="DW422" s="14"/>
      <c r="DX422" s="14"/>
      <c r="DY422" s="14"/>
      <c r="DZ422" s="14"/>
      <c r="EA422" s="14"/>
      <c r="EB422" s="14"/>
    </row>
    <row r="423" spans="4:132"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14"/>
      <c r="BQ423" s="14"/>
      <c r="BR423" s="14"/>
      <c r="BS423" s="14"/>
      <c r="BT423" s="14"/>
      <c r="BU423" s="14"/>
      <c r="BV423" s="14"/>
      <c r="BW423" s="14"/>
      <c r="BX423" s="14"/>
      <c r="BY423" s="14"/>
      <c r="BZ423" s="14"/>
      <c r="CA423" s="14"/>
      <c r="CB423" s="14"/>
      <c r="CC423" s="14"/>
      <c r="CD423" s="14"/>
      <c r="CE423" s="14"/>
      <c r="CF423" s="14"/>
      <c r="CG423" s="14"/>
      <c r="CH423" s="14"/>
      <c r="CI423" s="14"/>
      <c r="CJ423" s="14"/>
      <c r="CK423" s="14"/>
      <c r="CL423" s="14"/>
      <c r="CM423" s="14"/>
      <c r="CN423" s="14"/>
      <c r="CO423" s="14"/>
      <c r="CP423" s="14"/>
      <c r="CQ423" s="14"/>
      <c r="CR423" s="14"/>
      <c r="CS423" s="14"/>
      <c r="CT423" s="14"/>
      <c r="CU423" s="14"/>
      <c r="CV423" s="14"/>
      <c r="CW423" s="14"/>
      <c r="CX423" s="14"/>
      <c r="CY423" s="14"/>
      <c r="CZ423" s="14"/>
      <c r="DA423" s="14"/>
      <c r="DB423" s="14"/>
      <c r="DC423" s="14"/>
      <c r="DD423" s="14"/>
      <c r="DE423" s="14"/>
      <c r="DF423" s="14"/>
      <c r="DG423" s="14"/>
      <c r="DH423" s="14"/>
      <c r="DI423" s="14"/>
      <c r="DJ423" s="14"/>
      <c r="DK423" s="14"/>
      <c r="DL423" s="14"/>
      <c r="DM423" s="14"/>
      <c r="DN423" s="14"/>
      <c r="DO423" s="14"/>
      <c r="DP423" s="14"/>
      <c r="DQ423" s="14"/>
      <c r="DR423" s="14"/>
      <c r="DS423" s="14"/>
      <c r="DT423" s="14"/>
      <c r="DU423" s="14"/>
      <c r="DV423" s="14"/>
      <c r="DW423" s="14"/>
      <c r="DX423" s="14"/>
      <c r="DY423" s="14"/>
      <c r="DZ423" s="14"/>
      <c r="EA423" s="14"/>
      <c r="EB423" s="14"/>
    </row>
    <row r="424" spans="4:132"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14"/>
      <c r="BQ424" s="14"/>
      <c r="BR424" s="14"/>
      <c r="BS424" s="14"/>
      <c r="BT424" s="14"/>
      <c r="BU424" s="14"/>
      <c r="BV424" s="14"/>
      <c r="BW424" s="14"/>
      <c r="BX424" s="14"/>
      <c r="BY424" s="14"/>
      <c r="BZ424" s="14"/>
      <c r="CA424" s="14"/>
      <c r="CB424" s="14"/>
      <c r="CC424" s="14"/>
      <c r="CD424" s="14"/>
      <c r="CE424" s="14"/>
      <c r="CF424" s="14"/>
      <c r="CG424" s="14"/>
      <c r="CH424" s="14"/>
      <c r="CI424" s="14"/>
      <c r="CJ424" s="14"/>
      <c r="CK424" s="14"/>
      <c r="CL424" s="14"/>
      <c r="CM424" s="14"/>
      <c r="CN424" s="14"/>
      <c r="CO424" s="14"/>
      <c r="CP424" s="14"/>
      <c r="CQ424" s="14"/>
      <c r="CR424" s="14"/>
      <c r="CS424" s="14"/>
      <c r="CT424" s="14"/>
      <c r="CU424" s="14"/>
      <c r="CV424" s="14"/>
      <c r="CW424" s="14"/>
      <c r="CX424" s="14"/>
      <c r="CY424" s="14"/>
      <c r="CZ424" s="14"/>
      <c r="DA424" s="14"/>
      <c r="DB424" s="14"/>
      <c r="DC424" s="14"/>
      <c r="DD424" s="14"/>
      <c r="DE424" s="14"/>
      <c r="DF424" s="14"/>
      <c r="DG424" s="14"/>
      <c r="DH424" s="14"/>
      <c r="DI424" s="14"/>
      <c r="DJ424" s="14"/>
      <c r="DK424" s="14"/>
      <c r="DL424" s="14"/>
      <c r="DM424" s="14"/>
      <c r="DN424" s="14"/>
      <c r="DO424" s="14"/>
      <c r="DP424" s="14"/>
      <c r="DQ424" s="14"/>
      <c r="DR424" s="14"/>
      <c r="DS424" s="14"/>
      <c r="DT424" s="14"/>
      <c r="DU424" s="14"/>
      <c r="DV424" s="14"/>
      <c r="DW424" s="14"/>
      <c r="DX424" s="14"/>
      <c r="DY424" s="14"/>
      <c r="DZ424" s="14"/>
      <c r="EA424" s="14"/>
      <c r="EB424" s="14"/>
    </row>
    <row r="425" spans="4:132"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14"/>
      <c r="BQ425" s="14"/>
      <c r="BR425" s="14"/>
      <c r="BS425" s="14"/>
      <c r="BT425" s="14"/>
      <c r="BU425" s="14"/>
      <c r="BV425" s="14"/>
      <c r="BW425" s="14"/>
      <c r="BX425" s="14"/>
      <c r="BY425" s="14"/>
      <c r="BZ425" s="14"/>
      <c r="CA425" s="14"/>
      <c r="CB425" s="14"/>
      <c r="CC425" s="14"/>
      <c r="CD425" s="14"/>
      <c r="CE425" s="14"/>
      <c r="CF425" s="14"/>
      <c r="CG425" s="14"/>
      <c r="CH425" s="14"/>
      <c r="CI425" s="14"/>
      <c r="CJ425" s="14"/>
      <c r="CK425" s="14"/>
      <c r="CL425" s="14"/>
      <c r="CM425" s="14"/>
      <c r="CN425" s="14"/>
      <c r="CO425" s="14"/>
      <c r="CP425" s="14"/>
      <c r="CQ425" s="14"/>
      <c r="CR425" s="14"/>
      <c r="CS425" s="14"/>
      <c r="CT425" s="14"/>
      <c r="CU425" s="14"/>
      <c r="CV425" s="14"/>
      <c r="CW425" s="14"/>
      <c r="CX425" s="14"/>
      <c r="CY425" s="14"/>
      <c r="CZ425" s="14"/>
      <c r="DA425" s="14"/>
      <c r="DB425" s="14"/>
      <c r="DC425" s="14"/>
      <c r="DD425" s="14"/>
      <c r="DE425" s="14"/>
      <c r="DF425" s="14"/>
      <c r="DG425" s="14"/>
      <c r="DH425" s="14"/>
      <c r="DI425" s="14"/>
      <c r="DJ425" s="14"/>
      <c r="DK425" s="14"/>
      <c r="DL425" s="14"/>
      <c r="DM425" s="14"/>
      <c r="DN425" s="14"/>
      <c r="DO425" s="14"/>
      <c r="DP425" s="14"/>
      <c r="DQ425" s="14"/>
      <c r="DR425" s="14"/>
      <c r="DS425" s="14"/>
      <c r="DT425" s="14"/>
      <c r="DU425" s="14"/>
      <c r="DV425" s="14"/>
      <c r="DW425" s="14"/>
      <c r="DX425" s="14"/>
      <c r="DY425" s="14"/>
      <c r="DZ425" s="14"/>
      <c r="EA425" s="14"/>
      <c r="EB425" s="14"/>
    </row>
    <row r="426" spans="4:132"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14"/>
      <c r="BQ426" s="14"/>
      <c r="BR426" s="14"/>
      <c r="BS426" s="14"/>
      <c r="BT426" s="14"/>
      <c r="BU426" s="14"/>
      <c r="BV426" s="14"/>
      <c r="BW426" s="14"/>
      <c r="BX426" s="14"/>
      <c r="BY426" s="14"/>
      <c r="BZ426" s="14"/>
      <c r="CA426" s="14"/>
      <c r="CB426" s="14"/>
      <c r="CC426" s="14"/>
      <c r="CD426" s="14"/>
      <c r="CE426" s="14"/>
      <c r="CF426" s="14"/>
      <c r="CG426" s="14"/>
      <c r="CH426" s="14"/>
      <c r="CI426" s="14"/>
      <c r="CJ426" s="14"/>
      <c r="CK426" s="14"/>
      <c r="CL426" s="14"/>
      <c r="CM426" s="14"/>
      <c r="CN426" s="14"/>
      <c r="CO426" s="14"/>
      <c r="CP426" s="14"/>
      <c r="CQ426" s="14"/>
      <c r="CR426" s="14"/>
      <c r="CS426" s="14"/>
      <c r="CT426" s="14"/>
      <c r="CU426" s="14"/>
      <c r="CV426" s="14"/>
      <c r="CW426" s="14"/>
      <c r="CX426" s="14"/>
      <c r="CY426" s="14"/>
      <c r="CZ426" s="14"/>
      <c r="DA426" s="14"/>
      <c r="DB426" s="14"/>
      <c r="DC426" s="14"/>
      <c r="DD426" s="14"/>
      <c r="DE426" s="14"/>
      <c r="DF426" s="14"/>
      <c r="DG426" s="14"/>
      <c r="DH426" s="14"/>
      <c r="DI426" s="14"/>
      <c r="DJ426" s="14"/>
      <c r="DK426" s="14"/>
      <c r="DL426" s="14"/>
      <c r="DM426" s="14"/>
      <c r="DN426" s="14"/>
      <c r="DO426" s="14"/>
      <c r="DP426" s="14"/>
      <c r="DQ426" s="14"/>
      <c r="DR426" s="14"/>
      <c r="DS426" s="14"/>
      <c r="DT426" s="14"/>
      <c r="DU426" s="14"/>
      <c r="DV426" s="14"/>
      <c r="DW426" s="14"/>
      <c r="DX426" s="14"/>
      <c r="DY426" s="14"/>
      <c r="DZ426" s="14"/>
      <c r="EA426" s="14"/>
      <c r="EB426" s="14"/>
    </row>
    <row r="427" spans="4:132"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14"/>
      <c r="BQ427" s="14"/>
      <c r="BR427" s="14"/>
      <c r="BS427" s="14"/>
      <c r="BT427" s="14"/>
      <c r="BU427" s="14"/>
      <c r="BV427" s="14"/>
      <c r="BW427" s="14"/>
      <c r="BX427" s="14"/>
      <c r="BY427" s="14"/>
      <c r="BZ427" s="14"/>
      <c r="CA427" s="14"/>
      <c r="CB427" s="14"/>
      <c r="CC427" s="14"/>
      <c r="CD427" s="14"/>
      <c r="CE427" s="14"/>
      <c r="CF427" s="14"/>
      <c r="CG427" s="14"/>
      <c r="CH427" s="14"/>
      <c r="CI427" s="14"/>
      <c r="CJ427" s="14"/>
      <c r="CK427" s="14"/>
      <c r="CL427" s="14"/>
      <c r="CM427" s="14"/>
      <c r="CN427" s="14"/>
      <c r="CO427" s="14"/>
      <c r="CP427" s="14"/>
      <c r="CQ427" s="14"/>
      <c r="CR427" s="14"/>
      <c r="CS427" s="14"/>
      <c r="CT427" s="14"/>
      <c r="CU427" s="14"/>
      <c r="CV427" s="14"/>
      <c r="CW427" s="14"/>
      <c r="CX427" s="14"/>
      <c r="CY427" s="14"/>
      <c r="CZ427" s="14"/>
      <c r="DA427" s="14"/>
      <c r="DB427" s="14"/>
      <c r="DC427" s="14"/>
      <c r="DD427" s="14"/>
      <c r="DE427" s="14"/>
      <c r="DF427" s="14"/>
      <c r="DG427" s="14"/>
      <c r="DH427" s="14"/>
      <c r="DI427" s="14"/>
      <c r="DJ427" s="14"/>
      <c r="DK427" s="14"/>
      <c r="DL427" s="14"/>
      <c r="DM427" s="14"/>
      <c r="DN427" s="14"/>
      <c r="DO427" s="14"/>
      <c r="DP427" s="14"/>
      <c r="DQ427" s="14"/>
      <c r="DR427" s="14"/>
      <c r="DS427" s="14"/>
      <c r="DT427" s="14"/>
      <c r="DU427" s="14"/>
      <c r="DV427" s="14"/>
      <c r="DW427" s="14"/>
      <c r="DX427" s="14"/>
      <c r="DY427" s="14"/>
      <c r="DZ427" s="14"/>
      <c r="EA427" s="14"/>
      <c r="EB427" s="14"/>
    </row>
    <row r="428" spans="4:132"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14"/>
      <c r="BQ428" s="14"/>
      <c r="BR428" s="14"/>
      <c r="BS428" s="14"/>
      <c r="BT428" s="14"/>
      <c r="BU428" s="14"/>
      <c r="BV428" s="14"/>
      <c r="BW428" s="14"/>
      <c r="BX428" s="14"/>
      <c r="BY428" s="14"/>
      <c r="BZ428" s="14"/>
      <c r="CA428" s="14"/>
      <c r="CB428" s="14"/>
      <c r="CC428" s="14"/>
      <c r="CD428" s="14"/>
      <c r="CE428" s="14"/>
      <c r="CF428" s="14"/>
      <c r="CG428" s="14"/>
      <c r="CH428" s="14"/>
      <c r="CI428" s="14"/>
      <c r="CJ428" s="14"/>
      <c r="CK428" s="14"/>
      <c r="CL428" s="14"/>
      <c r="CM428" s="14"/>
      <c r="CN428" s="14"/>
      <c r="CO428" s="14"/>
      <c r="CP428" s="14"/>
      <c r="CQ428" s="14"/>
      <c r="CR428" s="14"/>
      <c r="CS428" s="14"/>
      <c r="CT428" s="14"/>
      <c r="CU428" s="14"/>
      <c r="CV428" s="14"/>
      <c r="CW428" s="14"/>
      <c r="CX428" s="14"/>
      <c r="CY428" s="14"/>
      <c r="CZ428" s="14"/>
      <c r="DA428" s="14"/>
      <c r="DB428" s="14"/>
      <c r="DC428" s="14"/>
      <c r="DD428" s="14"/>
      <c r="DE428" s="14"/>
      <c r="DF428" s="14"/>
      <c r="DG428" s="14"/>
      <c r="DH428" s="14"/>
      <c r="DI428" s="14"/>
      <c r="DJ428" s="14"/>
      <c r="DK428" s="14"/>
      <c r="DL428" s="14"/>
      <c r="DM428" s="14"/>
      <c r="DN428" s="14"/>
      <c r="DO428" s="14"/>
      <c r="DP428" s="14"/>
      <c r="DQ428" s="14"/>
      <c r="DR428" s="14"/>
      <c r="DS428" s="14"/>
      <c r="DT428" s="14"/>
      <c r="DU428" s="14"/>
      <c r="DV428" s="14"/>
      <c r="DW428" s="14"/>
      <c r="DX428" s="14"/>
      <c r="DY428" s="14"/>
      <c r="DZ428" s="14"/>
      <c r="EA428" s="14"/>
      <c r="EB428" s="14"/>
    </row>
    <row r="429" spans="4:132"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14"/>
      <c r="BQ429" s="14"/>
      <c r="BR429" s="14"/>
      <c r="BS429" s="14"/>
      <c r="BT429" s="14"/>
      <c r="BU429" s="14"/>
      <c r="BV429" s="14"/>
      <c r="BW429" s="14"/>
      <c r="BX429" s="14"/>
      <c r="BY429" s="14"/>
      <c r="BZ429" s="14"/>
      <c r="CA429" s="14"/>
      <c r="CB429" s="14"/>
      <c r="CC429" s="14"/>
      <c r="CD429" s="14"/>
      <c r="CE429" s="14"/>
      <c r="CF429" s="14"/>
      <c r="CG429" s="14"/>
      <c r="CH429" s="14"/>
      <c r="CI429" s="14"/>
      <c r="CJ429" s="14"/>
      <c r="CK429" s="14"/>
      <c r="CL429" s="14"/>
      <c r="CM429" s="14"/>
      <c r="CN429" s="14"/>
      <c r="CO429" s="14"/>
      <c r="CP429" s="14"/>
      <c r="CQ429" s="14"/>
      <c r="CR429" s="14"/>
      <c r="CS429" s="14"/>
      <c r="CT429" s="14"/>
      <c r="CU429" s="14"/>
      <c r="CV429" s="14"/>
      <c r="CW429" s="14"/>
      <c r="CX429" s="14"/>
      <c r="CY429" s="14"/>
      <c r="CZ429" s="14"/>
      <c r="DA429" s="14"/>
      <c r="DB429" s="14"/>
      <c r="DC429" s="14"/>
      <c r="DD429" s="14"/>
      <c r="DE429" s="14"/>
      <c r="DF429" s="14"/>
      <c r="DG429" s="14"/>
      <c r="DH429" s="14"/>
      <c r="DI429" s="14"/>
      <c r="DJ429" s="14"/>
      <c r="DK429" s="14"/>
      <c r="DL429" s="14"/>
      <c r="DM429" s="14"/>
      <c r="DN429" s="14"/>
      <c r="DO429" s="14"/>
      <c r="DP429" s="14"/>
      <c r="DQ429" s="14"/>
      <c r="DR429" s="14"/>
      <c r="DS429" s="14"/>
      <c r="DT429" s="14"/>
      <c r="DU429" s="14"/>
      <c r="DV429" s="14"/>
      <c r="DW429" s="14"/>
      <c r="DX429" s="14"/>
      <c r="DY429" s="14"/>
      <c r="DZ429" s="14"/>
      <c r="EA429" s="14"/>
      <c r="EB429" s="14"/>
    </row>
    <row r="430" spans="4:132"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14"/>
      <c r="BQ430" s="14"/>
      <c r="BR430" s="14"/>
      <c r="BS430" s="14"/>
      <c r="BT430" s="14"/>
      <c r="BU430" s="14"/>
      <c r="BV430" s="14"/>
      <c r="BW430" s="14"/>
      <c r="BX430" s="14"/>
      <c r="BY430" s="14"/>
      <c r="BZ430" s="14"/>
      <c r="CA430" s="14"/>
      <c r="CB430" s="14"/>
      <c r="CC430" s="14"/>
      <c r="CD430" s="14"/>
      <c r="CE430" s="14"/>
      <c r="CF430" s="14"/>
      <c r="CG430" s="14"/>
      <c r="CH430" s="14"/>
      <c r="CI430" s="14"/>
      <c r="CJ430" s="14"/>
      <c r="CK430" s="14"/>
      <c r="CL430" s="14"/>
      <c r="CM430" s="14"/>
      <c r="CN430" s="14"/>
      <c r="CO430" s="14"/>
      <c r="CP430" s="14"/>
      <c r="CQ430" s="14"/>
      <c r="CR430" s="14"/>
      <c r="CS430" s="14"/>
      <c r="CT430" s="14"/>
      <c r="CU430" s="14"/>
      <c r="CV430" s="14"/>
      <c r="CW430" s="14"/>
      <c r="CX430" s="14"/>
      <c r="CY430" s="14"/>
      <c r="CZ430" s="14"/>
      <c r="DA430" s="14"/>
      <c r="DB430" s="14"/>
      <c r="DC430" s="14"/>
      <c r="DD430" s="14"/>
      <c r="DE430" s="14"/>
      <c r="DF430" s="14"/>
      <c r="DG430" s="14"/>
      <c r="DH430" s="14"/>
      <c r="DI430" s="14"/>
      <c r="DJ430" s="14"/>
      <c r="DK430" s="14"/>
      <c r="DL430" s="14"/>
      <c r="DM430" s="14"/>
      <c r="DN430" s="14"/>
      <c r="DO430" s="14"/>
      <c r="DP430" s="14"/>
      <c r="DQ430" s="14"/>
      <c r="DR430" s="14"/>
      <c r="DS430" s="14"/>
      <c r="DT430" s="14"/>
      <c r="DU430" s="14"/>
      <c r="DV430" s="14"/>
      <c r="DW430" s="14"/>
      <c r="DX430" s="14"/>
      <c r="DY430" s="14"/>
      <c r="DZ430" s="14"/>
      <c r="EA430" s="14"/>
      <c r="EB430" s="14"/>
    </row>
    <row r="431" spans="4:132"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14"/>
      <c r="BQ431" s="14"/>
      <c r="BR431" s="14"/>
      <c r="BS431" s="14"/>
      <c r="BT431" s="14"/>
      <c r="BU431" s="14"/>
      <c r="BV431" s="14"/>
      <c r="BW431" s="14"/>
      <c r="BX431" s="14"/>
      <c r="BY431" s="14"/>
      <c r="BZ431" s="14"/>
      <c r="CA431" s="14"/>
      <c r="CB431" s="14"/>
      <c r="CC431" s="14"/>
      <c r="CD431" s="14"/>
      <c r="CE431" s="14"/>
      <c r="CF431" s="14"/>
      <c r="CG431" s="14"/>
      <c r="CH431" s="14"/>
      <c r="CI431" s="14"/>
      <c r="CJ431" s="14"/>
      <c r="CK431" s="14"/>
      <c r="CL431" s="14"/>
      <c r="CM431" s="14"/>
      <c r="CN431" s="14"/>
      <c r="CO431" s="14"/>
      <c r="CP431" s="14"/>
      <c r="CQ431" s="14"/>
      <c r="CR431" s="14"/>
      <c r="CS431" s="14"/>
      <c r="CT431" s="14"/>
      <c r="CU431" s="14"/>
      <c r="CV431" s="14"/>
      <c r="CW431" s="14"/>
      <c r="CX431" s="14"/>
      <c r="CY431" s="14"/>
      <c r="CZ431" s="14"/>
      <c r="DA431" s="14"/>
      <c r="DB431" s="14"/>
      <c r="DC431" s="14"/>
      <c r="DD431" s="14"/>
      <c r="DE431" s="14"/>
      <c r="DF431" s="14"/>
      <c r="DG431" s="14"/>
      <c r="DH431" s="14"/>
      <c r="DI431" s="14"/>
      <c r="DJ431" s="14"/>
      <c r="DK431" s="14"/>
      <c r="DL431" s="14"/>
      <c r="DM431" s="14"/>
      <c r="DN431" s="14"/>
      <c r="DO431" s="14"/>
      <c r="DP431" s="14"/>
      <c r="DQ431" s="14"/>
      <c r="DR431" s="14"/>
      <c r="DS431" s="14"/>
      <c r="DT431" s="14"/>
      <c r="DU431" s="14"/>
      <c r="DV431" s="14"/>
      <c r="DW431" s="14"/>
      <c r="DX431" s="14"/>
      <c r="DY431" s="14"/>
      <c r="DZ431" s="14"/>
      <c r="EA431" s="14"/>
      <c r="EB431" s="14"/>
    </row>
    <row r="432" spans="4:132"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14"/>
      <c r="BQ432" s="14"/>
      <c r="BR432" s="14"/>
      <c r="BS432" s="14"/>
      <c r="BT432" s="14"/>
      <c r="BU432" s="14"/>
      <c r="BV432" s="14"/>
      <c r="BW432" s="14"/>
      <c r="BX432" s="14"/>
      <c r="BY432" s="14"/>
      <c r="BZ432" s="14"/>
      <c r="CA432" s="14"/>
      <c r="CB432" s="14"/>
      <c r="CC432" s="14"/>
      <c r="CD432" s="14"/>
      <c r="CE432" s="14"/>
      <c r="CF432" s="14"/>
      <c r="CG432" s="14"/>
      <c r="CH432" s="14"/>
      <c r="CI432" s="14"/>
      <c r="CJ432" s="14"/>
      <c r="CK432" s="14"/>
      <c r="CL432" s="14"/>
      <c r="CM432" s="14"/>
      <c r="CN432" s="14"/>
      <c r="CO432" s="14"/>
      <c r="CP432" s="14"/>
      <c r="CQ432" s="14"/>
      <c r="CR432" s="14"/>
      <c r="CS432" s="14"/>
      <c r="CT432" s="14"/>
      <c r="CU432" s="14"/>
      <c r="CV432" s="14"/>
      <c r="CW432" s="14"/>
      <c r="CX432" s="14"/>
      <c r="CY432" s="14"/>
      <c r="CZ432" s="14"/>
      <c r="DA432" s="14"/>
      <c r="DB432" s="14"/>
      <c r="DC432" s="14"/>
      <c r="DD432" s="14"/>
      <c r="DE432" s="14"/>
      <c r="DF432" s="14"/>
      <c r="DG432" s="14"/>
      <c r="DH432" s="14"/>
      <c r="DI432" s="14"/>
      <c r="DJ432" s="14"/>
      <c r="DK432" s="14"/>
      <c r="DL432" s="14"/>
      <c r="DM432" s="14"/>
      <c r="DN432" s="14"/>
      <c r="DO432" s="14"/>
      <c r="DP432" s="14"/>
      <c r="DQ432" s="14"/>
      <c r="DR432" s="14"/>
      <c r="DS432" s="14"/>
      <c r="DT432" s="14"/>
      <c r="DU432" s="14"/>
      <c r="DV432" s="14"/>
      <c r="DW432" s="14"/>
      <c r="DX432" s="14"/>
      <c r="DY432" s="14"/>
      <c r="DZ432" s="14"/>
      <c r="EA432" s="14"/>
      <c r="EB432" s="14"/>
    </row>
    <row r="433" spans="4:132"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14"/>
      <c r="BQ433" s="14"/>
      <c r="BR433" s="14"/>
      <c r="BS433" s="14"/>
      <c r="BT433" s="14"/>
      <c r="BU433" s="14"/>
      <c r="BV433" s="14"/>
      <c r="BW433" s="14"/>
      <c r="BX433" s="14"/>
      <c r="BY433" s="14"/>
      <c r="BZ433" s="14"/>
      <c r="CA433" s="14"/>
      <c r="CB433" s="14"/>
      <c r="CC433" s="14"/>
      <c r="CD433" s="14"/>
      <c r="CE433" s="14"/>
      <c r="CF433" s="14"/>
      <c r="CG433" s="14"/>
      <c r="CH433" s="14"/>
      <c r="CI433" s="14"/>
      <c r="CJ433" s="14"/>
      <c r="CK433" s="14"/>
      <c r="CL433" s="14"/>
      <c r="CM433" s="14"/>
      <c r="CN433" s="14"/>
      <c r="CO433" s="14"/>
      <c r="CP433" s="14"/>
      <c r="CQ433" s="14"/>
      <c r="CR433" s="14"/>
      <c r="CS433" s="14"/>
      <c r="CT433" s="14"/>
      <c r="CU433" s="14"/>
      <c r="CV433" s="14"/>
      <c r="CW433" s="14"/>
      <c r="CX433" s="14"/>
      <c r="CY433" s="14"/>
      <c r="CZ433" s="14"/>
      <c r="DA433" s="14"/>
      <c r="DB433" s="14"/>
      <c r="DC433" s="14"/>
      <c r="DD433" s="14"/>
      <c r="DE433" s="14"/>
      <c r="DF433" s="14"/>
      <c r="DG433" s="14"/>
      <c r="DH433" s="14"/>
      <c r="DI433" s="14"/>
      <c r="DJ433" s="14"/>
      <c r="DK433" s="14"/>
      <c r="DL433" s="14"/>
      <c r="DM433" s="14"/>
      <c r="DN433" s="14"/>
      <c r="DO433" s="14"/>
      <c r="DP433" s="14"/>
      <c r="DQ433" s="14"/>
      <c r="DR433" s="14"/>
      <c r="DS433" s="14"/>
      <c r="DT433" s="14"/>
      <c r="DU433" s="14"/>
      <c r="DV433" s="14"/>
      <c r="DW433" s="14"/>
      <c r="DX433" s="14"/>
      <c r="DY433" s="14"/>
      <c r="DZ433" s="14"/>
      <c r="EA433" s="14"/>
      <c r="EB433" s="14"/>
    </row>
    <row r="434" spans="4:132"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14"/>
      <c r="BQ434" s="14"/>
      <c r="BR434" s="14"/>
      <c r="BS434" s="14"/>
      <c r="BT434" s="14"/>
      <c r="BU434" s="14"/>
      <c r="BV434" s="14"/>
      <c r="BW434" s="14"/>
      <c r="BX434" s="14"/>
      <c r="BY434" s="14"/>
      <c r="BZ434" s="14"/>
      <c r="CA434" s="14"/>
      <c r="CB434" s="14"/>
      <c r="CC434" s="14"/>
      <c r="CD434" s="14"/>
      <c r="CE434" s="14"/>
      <c r="CF434" s="14"/>
      <c r="CG434" s="14"/>
      <c r="CH434" s="14"/>
      <c r="CI434" s="14"/>
      <c r="CJ434" s="14"/>
      <c r="CK434" s="14"/>
      <c r="CL434" s="14"/>
      <c r="CM434" s="14"/>
      <c r="CN434" s="14"/>
      <c r="CO434" s="14"/>
      <c r="CP434" s="14"/>
      <c r="CQ434" s="14"/>
      <c r="CR434" s="14"/>
      <c r="CS434" s="14"/>
      <c r="CT434" s="14"/>
      <c r="CU434" s="14"/>
      <c r="CV434" s="14"/>
      <c r="CW434" s="14"/>
      <c r="CX434" s="14"/>
      <c r="CY434" s="14"/>
      <c r="CZ434" s="14"/>
      <c r="DA434" s="14"/>
      <c r="DB434" s="14"/>
      <c r="DC434" s="14"/>
      <c r="DD434" s="14"/>
      <c r="DE434" s="14"/>
      <c r="DF434" s="14"/>
      <c r="DG434" s="14"/>
      <c r="DH434" s="14"/>
      <c r="DI434" s="14"/>
      <c r="DJ434" s="14"/>
      <c r="DK434" s="14"/>
      <c r="DL434" s="14"/>
      <c r="DM434" s="14"/>
      <c r="DN434" s="14"/>
      <c r="DO434" s="14"/>
      <c r="DP434" s="14"/>
      <c r="DQ434" s="14"/>
      <c r="DR434" s="14"/>
      <c r="DS434" s="14"/>
      <c r="DT434" s="14"/>
      <c r="DU434" s="14"/>
      <c r="DV434" s="14"/>
      <c r="DW434" s="14"/>
      <c r="DX434" s="14"/>
      <c r="DY434" s="14"/>
      <c r="DZ434" s="14"/>
      <c r="EA434" s="14"/>
      <c r="EB434" s="14"/>
    </row>
    <row r="435" spans="4:132"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14"/>
      <c r="BQ435" s="14"/>
      <c r="BR435" s="14"/>
      <c r="BS435" s="14"/>
      <c r="BT435" s="14"/>
      <c r="BU435" s="14"/>
      <c r="BV435" s="14"/>
      <c r="BW435" s="14"/>
      <c r="BX435" s="14"/>
      <c r="BY435" s="14"/>
      <c r="BZ435" s="14"/>
      <c r="CA435" s="14"/>
      <c r="CB435" s="14"/>
      <c r="CC435" s="14"/>
      <c r="CD435" s="14"/>
      <c r="CE435" s="14"/>
      <c r="CF435" s="14"/>
      <c r="CG435" s="14"/>
      <c r="CH435" s="14"/>
      <c r="CI435" s="14"/>
      <c r="CJ435" s="14"/>
      <c r="CK435" s="14"/>
      <c r="CL435" s="14"/>
      <c r="CM435" s="14"/>
      <c r="CN435" s="14"/>
      <c r="CO435" s="14"/>
      <c r="CP435" s="14"/>
      <c r="CQ435" s="14"/>
      <c r="CR435" s="14"/>
      <c r="CS435" s="14"/>
      <c r="CT435" s="14"/>
      <c r="CU435" s="14"/>
      <c r="CV435" s="14"/>
      <c r="CW435" s="14"/>
      <c r="CX435" s="14"/>
      <c r="CY435" s="14"/>
      <c r="CZ435" s="14"/>
      <c r="DA435" s="14"/>
      <c r="DB435" s="14"/>
      <c r="DC435" s="14"/>
      <c r="DD435" s="14"/>
      <c r="DE435" s="14"/>
      <c r="DF435" s="14"/>
      <c r="DG435" s="14"/>
      <c r="DH435" s="14"/>
      <c r="DI435" s="14"/>
      <c r="DJ435" s="14"/>
      <c r="DK435" s="14"/>
      <c r="DL435" s="14"/>
      <c r="DM435" s="14"/>
      <c r="DN435" s="14"/>
      <c r="DO435" s="14"/>
      <c r="DP435" s="14"/>
      <c r="DQ435" s="14"/>
      <c r="DR435" s="14"/>
      <c r="DS435" s="14"/>
      <c r="DT435" s="14"/>
      <c r="DU435" s="14"/>
      <c r="DV435" s="14"/>
      <c r="DW435" s="14"/>
      <c r="DX435" s="14"/>
      <c r="DY435" s="14"/>
      <c r="DZ435" s="14"/>
      <c r="EA435" s="14"/>
      <c r="EB435" s="14"/>
    </row>
    <row r="436" spans="4:132"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14"/>
      <c r="BQ436" s="14"/>
      <c r="BR436" s="14"/>
      <c r="BS436" s="14"/>
      <c r="BT436" s="14"/>
      <c r="BU436" s="14"/>
      <c r="BV436" s="14"/>
      <c r="BW436" s="14"/>
      <c r="BX436" s="14"/>
      <c r="BY436" s="14"/>
      <c r="BZ436" s="14"/>
      <c r="CA436" s="14"/>
      <c r="CB436" s="14"/>
      <c r="CC436" s="14"/>
      <c r="CD436" s="14"/>
      <c r="CE436" s="14"/>
      <c r="CF436" s="14"/>
      <c r="CG436" s="14"/>
      <c r="CH436" s="14"/>
      <c r="CI436" s="14"/>
      <c r="CJ436" s="14"/>
      <c r="CK436" s="14"/>
      <c r="CL436" s="14"/>
      <c r="CM436" s="14"/>
      <c r="CN436" s="14"/>
      <c r="CO436" s="14"/>
      <c r="CP436" s="14"/>
      <c r="CQ436" s="14"/>
      <c r="CR436" s="14"/>
      <c r="CS436" s="14"/>
      <c r="CT436" s="14"/>
      <c r="CU436" s="14"/>
      <c r="CV436" s="14"/>
      <c r="CW436" s="14"/>
      <c r="CX436" s="14"/>
      <c r="CY436" s="14"/>
      <c r="CZ436" s="14"/>
      <c r="DA436" s="14"/>
      <c r="DB436" s="14"/>
      <c r="DC436" s="14"/>
      <c r="DD436" s="14"/>
      <c r="DE436" s="14"/>
      <c r="DF436" s="14"/>
      <c r="DG436" s="14"/>
      <c r="DH436" s="14"/>
      <c r="DI436" s="14"/>
      <c r="DJ436" s="14"/>
      <c r="DK436" s="14"/>
      <c r="DL436" s="14"/>
      <c r="DM436" s="14"/>
      <c r="DN436" s="14"/>
      <c r="DO436" s="14"/>
      <c r="DP436" s="14"/>
      <c r="DQ436" s="14"/>
      <c r="DR436" s="14"/>
      <c r="DS436" s="14"/>
      <c r="DT436" s="14"/>
      <c r="DU436" s="14"/>
      <c r="DV436" s="14"/>
      <c r="DW436" s="14"/>
      <c r="DX436" s="14"/>
      <c r="DY436" s="14"/>
      <c r="DZ436" s="14"/>
      <c r="EA436" s="14"/>
      <c r="EB436" s="14"/>
    </row>
    <row r="437" spans="4:132"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14"/>
      <c r="BQ437" s="14"/>
      <c r="BR437" s="14"/>
      <c r="BS437" s="14"/>
      <c r="BT437" s="14"/>
      <c r="BU437" s="14"/>
      <c r="BV437" s="14"/>
      <c r="BW437" s="14"/>
      <c r="BX437" s="14"/>
      <c r="BY437" s="14"/>
      <c r="BZ437" s="14"/>
      <c r="CA437" s="14"/>
      <c r="CB437" s="14"/>
      <c r="CC437" s="14"/>
      <c r="CD437" s="14"/>
      <c r="CE437" s="14"/>
      <c r="CF437" s="14"/>
      <c r="CG437" s="14"/>
      <c r="CH437" s="14"/>
      <c r="CI437" s="14"/>
      <c r="CJ437" s="14"/>
      <c r="CK437" s="14"/>
      <c r="CL437" s="14"/>
      <c r="CM437" s="14"/>
      <c r="CN437" s="14"/>
      <c r="CO437" s="14"/>
      <c r="CP437" s="14"/>
      <c r="CQ437" s="14"/>
      <c r="CR437" s="14"/>
      <c r="CS437" s="14"/>
      <c r="CT437" s="14"/>
      <c r="CU437" s="14"/>
      <c r="CV437" s="14"/>
      <c r="CW437" s="14"/>
      <c r="CX437" s="14"/>
      <c r="CY437" s="14"/>
      <c r="CZ437" s="14"/>
      <c r="DA437" s="14"/>
      <c r="DB437" s="14"/>
      <c r="DC437" s="14"/>
      <c r="DD437" s="14"/>
      <c r="DE437" s="14"/>
      <c r="DF437" s="14"/>
      <c r="DG437" s="14"/>
      <c r="DH437" s="14"/>
      <c r="DI437" s="14"/>
      <c r="DJ437" s="14"/>
      <c r="DK437" s="14"/>
      <c r="DL437" s="14"/>
      <c r="DM437" s="14"/>
      <c r="DN437" s="14"/>
      <c r="DO437" s="14"/>
      <c r="DP437" s="14"/>
      <c r="DQ437" s="14"/>
      <c r="DR437" s="14"/>
      <c r="DS437" s="14"/>
      <c r="DT437" s="14"/>
      <c r="DU437" s="14"/>
      <c r="DV437" s="14"/>
      <c r="DW437" s="14"/>
      <c r="DX437" s="14"/>
      <c r="DY437" s="14"/>
      <c r="DZ437" s="14"/>
      <c r="EA437" s="14"/>
      <c r="EB437" s="14"/>
    </row>
    <row r="438" spans="4:132"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14"/>
      <c r="BQ438" s="14"/>
      <c r="BR438" s="14"/>
      <c r="BS438" s="14"/>
      <c r="BT438" s="14"/>
      <c r="BU438" s="14"/>
      <c r="BV438" s="14"/>
      <c r="BW438" s="14"/>
      <c r="BX438" s="14"/>
      <c r="BY438" s="14"/>
      <c r="BZ438" s="14"/>
      <c r="CA438" s="14"/>
      <c r="CB438" s="14"/>
      <c r="CC438" s="14"/>
      <c r="CD438" s="14"/>
      <c r="CE438" s="14"/>
      <c r="CF438" s="14"/>
      <c r="CG438" s="14"/>
      <c r="CH438" s="14"/>
      <c r="CI438" s="14"/>
      <c r="CJ438" s="14"/>
      <c r="CK438" s="14"/>
      <c r="CL438" s="14"/>
      <c r="CM438" s="14"/>
      <c r="CN438" s="14"/>
      <c r="CO438" s="14"/>
      <c r="CP438" s="14"/>
      <c r="CQ438" s="14"/>
      <c r="CR438" s="14"/>
      <c r="CS438" s="14"/>
      <c r="CT438" s="14"/>
      <c r="CU438" s="14"/>
      <c r="CV438" s="14"/>
      <c r="CW438" s="14"/>
      <c r="CX438" s="14"/>
      <c r="CY438" s="14"/>
      <c r="CZ438" s="14"/>
      <c r="DA438" s="14"/>
      <c r="DB438" s="14"/>
      <c r="DC438" s="14"/>
      <c r="DD438" s="14"/>
      <c r="DE438" s="14"/>
      <c r="DF438" s="14"/>
      <c r="DG438" s="14"/>
      <c r="DH438" s="14"/>
      <c r="DI438" s="14"/>
      <c r="DJ438" s="14"/>
      <c r="DK438" s="14"/>
      <c r="DL438" s="14"/>
      <c r="DM438" s="14"/>
      <c r="DN438" s="14"/>
      <c r="DO438" s="14"/>
      <c r="DP438" s="14"/>
      <c r="DQ438" s="14"/>
      <c r="DR438" s="14"/>
      <c r="DS438" s="14"/>
      <c r="DT438" s="14"/>
      <c r="DU438" s="14"/>
      <c r="DV438" s="14"/>
      <c r="DW438" s="14"/>
      <c r="DX438" s="14"/>
      <c r="DY438" s="14"/>
      <c r="DZ438" s="14"/>
      <c r="EA438" s="14"/>
      <c r="EB438" s="14"/>
    </row>
    <row r="439" spans="4:132"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14"/>
      <c r="BQ439" s="14"/>
      <c r="BR439" s="14"/>
      <c r="BS439" s="14"/>
      <c r="BT439" s="14"/>
      <c r="BU439" s="14"/>
      <c r="BV439" s="14"/>
      <c r="BW439" s="14"/>
      <c r="BX439" s="14"/>
      <c r="BY439" s="14"/>
      <c r="BZ439" s="14"/>
      <c r="CA439" s="14"/>
      <c r="CB439" s="14"/>
      <c r="CC439" s="14"/>
      <c r="CD439" s="14"/>
      <c r="CE439" s="14"/>
      <c r="CF439" s="14"/>
      <c r="CG439" s="14"/>
      <c r="CH439" s="14"/>
      <c r="CI439" s="14"/>
      <c r="CJ439" s="14"/>
      <c r="CK439" s="14"/>
      <c r="CL439" s="14"/>
      <c r="CM439" s="14"/>
      <c r="CN439" s="14"/>
      <c r="CO439" s="14"/>
      <c r="CP439" s="14"/>
      <c r="CQ439" s="14"/>
      <c r="CR439" s="14"/>
      <c r="CS439" s="14"/>
      <c r="CT439" s="14"/>
      <c r="CU439" s="14"/>
      <c r="CV439" s="14"/>
      <c r="CW439" s="14"/>
      <c r="CX439" s="14"/>
      <c r="CY439" s="14"/>
      <c r="CZ439" s="14"/>
      <c r="DA439" s="14"/>
      <c r="DB439" s="14"/>
      <c r="DC439" s="14"/>
      <c r="DD439" s="14"/>
      <c r="DE439" s="14"/>
      <c r="DF439" s="14"/>
      <c r="DG439" s="14"/>
      <c r="DH439" s="14"/>
      <c r="DI439" s="14"/>
      <c r="DJ439" s="14"/>
      <c r="DK439" s="14"/>
      <c r="DL439" s="14"/>
      <c r="DM439" s="14"/>
      <c r="DN439" s="14"/>
      <c r="DO439" s="14"/>
      <c r="DP439" s="14"/>
      <c r="DQ439" s="14"/>
      <c r="DR439" s="14"/>
      <c r="DS439" s="14"/>
      <c r="DT439" s="14"/>
      <c r="DU439" s="14"/>
      <c r="DV439" s="14"/>
      <c r="DW439" s="14"/>
      <c r="DX439" s="14"/>
      <c r="DY439" s="14"/>
      <c r="DZ439" s="14"/>
      <c r="EA439" s="14"/>
      <c r="EB439" s="14"/>
    </row>
    <row r="440" spans="4:132"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14"/>
      <c r="BQ440" s="14"/>
      <c r="BR440" s="14"/>
      <c r="BS440" s="14"/>
      <c r="BT440" s="14"/>
      <c r="BU440" s="14"/>
      <c r="BV440" s="14"/>
      <c r="BW440" s="14"/>
      <c r="BX440" s="14"/>
      <c r="BY440" s="14"/>
      <c r="BZ440" s="14"/>
      <c r="CA440" s="14"/>
      <c r="CB440" s="14"/>
      <c r="CC440" s="14"/>
      <c r="CD440" s="14"/>
      <c r="CE440" s="14"/>
      <c r="CF440" s="14"/>
      <c r="CG440" s="14"/>
      <c r="CH440" s="14"/>
      <c r="CI440" s="14"/>
      <c r="CJ440" s="14"/>
      <c r="CK440" s="14"/>
      <c r="CL440" s="14"/>
      <c r="CM440" s="14"/>
      <c r="CN440" s="14"/>
      <c r="CO440" s="14"/>
      <c r="CP440" s="14"/>
      <c r="CQ440" s="14"/>
      <c r="CR440" s="14"/>
      <c r="CS440" s="14"/>
      <c r="CT440" s="14"/>
      <c r="CU440" s="14"/>
      <c r="CV440" s="14"/>
      <c r="CW440" s="14"/>
      <c r="CX440" s="14"/>
      <c r="CY440" s="14"/>
      <c r="CZ440" s="14"/>
      <c r="DA440" s="14"/>
      <c r="DB440" s="14"/>
      <c r="DC440" s="14"/>
      <c r="DD440" s="14"/>
      <c r="DE440" s="14"/>
      <c r="DF440" s="14"/>
      <c r="DG440" s="14"/>
      <c r="DH440" s="14"/>
      <c r="DI440" s="14"/>
      <c r="DJ440" s="14"/>
      <c r="DK440" s="14"/>
      <c r="DL440" s="14"/>
      <c r="DM440" s="14"/>
      <c r="DN440" s="14"/>
      <c r="DO440" s="14"/>
      <c r="DP440" s="14"/>
      <c r="DQ440" s="14"/>
      <c r="DR440" s="14"/>
      <c r="DS440" s="14"/>
      <c r="DT440" s="14"/>
      <c r="DU440" s="14"/>
      <c r="DV440" s="14"/>
      <c r="DW440" s="14"/>
      <c r="DX440" s="14"/>
      <c r="DY440" s="14"/>
      <c r="DZ440" s="14"/>
      <c r="EA440" s="14"/>
      <c r="EB440" s="14"/>
    </row>
    <row r="441" spans="4:132"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14"/>
      <c r="BQ441" s="14"/>
      <c r="BR441" s="14"/>
      <c r="BS441" s="14"/>
      <c r="BT441" s="14"/>
      <c r="BU441" s="14"/>
      <c r="BV441" s="14"/>
      <c r="BW441" s="14"/>
      <c r="BX441" s="14"/>
      <c r="BY441" s="14"/>
      <c r="BZ441" s="14"/>
      <c r="CA441" s="14"/>
      <c r="CB441" s="14"/>
      <c r="CC441" s="14"/>
      <c r="CD441" s="14"/>
      <c r="CE441" s="14"/>
      <c r="CF441" s="14"/>
      <c r="CG441" s="14"/>
      <c r="CH441" s="14"/>
      <c r="CI441" s="14"/>
      <c r="CJ441" s="14"/>
      <c r="CK441" s="14"/>
      <c r="CL441" s="14"/>
      <c r="CM441" s="14"/>
      <c r="CN441" s="14"/>
      <c r="CO441" s="14"/>
      <c r="CP441" s="14"/>
      <c r="CQ441" s="14"/>
      <c r="CR441" s="14"/>
      <c r="CS441" s="14"/>
      <c r="CT441" s="14"/>
      <c r="CU441" s="14"/>
      <c r="CV441" s="14"/>
      <c r="CW441" s="14"/>
      <c r="CX441" s="14"/>
      <c r="CY441" s="14"/>
      <c r="CZ441" s="14"/>
      <c r="DA441" s="14"/>
      <c r="DB441" s="14"/>
      <c r="DC441" s="14"/>
      <c r="DD441" s="14"/>
      <c r="DE441" s="14"/>
      <c r="DF441" s="14"/>
      <c r="DG441" s="14"/>
      <c r="DH441" s="14"/>
      <c r="DI441" s="14"/>
      <c r="DJ441" s="14"/>
      <c r="DK441" s="14"/>
      <c r="DL441" s="14"/>
      <c r="DM441" s="14"/>
      <c r="DN441" s="14"/>
      <c r="DO441" s="14"/>
      <c r="DP441" s="14"/>
      <c r="DQ441" s="14"/>
      <c r="DR441" s="14"/>
      <c r="DS441" s="14"/>
      <c r="DT441" s="14"/>
      <c r="DU441" s="14"/>
      <c r="DV441" s="14"/>
      <c r="DW441" s="14"/>
      <c r="DX441" s="14"/>
      <c r="DY441" s="14"/>
      <c r="DZ441" s="14"/>
      <c r="EA441" s="14"/>
      <c r="EB441" s="14"/>
    </row>
    <row r="442" spans="4:132"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14"/>
      <c r="BQ442" s="14"/>
      <c r="BR442" s="14"/>
      <c r="BS442" s="14"/>
      <c r="BT442" s="14"/>
      <c r="BU442" s="14"/>
      <c r="BV442" s="14"/>
      <c r="BW442" s="14"/>
      <c r="BX442" s="14"/>
      <c r="BY442" s="14"/>
      <c r="BZ442" s="14"/>
      <c r="CA442" s="14"/>
      <c r="CB442" s="14"/>
      <c r="CC442" s="14"/>
      <c r="CD442" s="14"/>
      <c r="CE442" s="14"/>
      <c r="CF442" s="14"/>
      <c r="CG442" s="14"/>
      <c r="CH442" s="14"/>
      <c r="CI442" s="14"/>
      <c r="CJ442" s="14"/>
      <c r="CK442" s="14"/>
      <c r="CL442" s="14"/>
      <c r="CM442" s="14"/>
      <c r="CN442" s="14"/>
      <c r="CO442" s="14"/>
      <c r="CP442" s="14"/>
      <c r="CQ442" s="14"/>
      <c r="CR442" s="14"/>
      <c r="CS442" s="14"/>
      <c r="CT442" s="14"/>
      <c r="CU442" s="14"/>
      <c r="CV442" s="14"/>
      <c r="CW442" s="14"/>
      <c r="CX442" s="14"/>
      <c r="CY442" s="14"/>
      <c r="CZ442" s="14"/>
      <c r="DA442" s="14"/>
      <c r="DB442" s="14"/>
      <c r="DC442" s="14"/>
      <c r="DD442" s="14"/>
      <c r="DE442" s="14"/>
      <c r="DF442" s="14"/>
      <c r="DG442" s="14"/>
      <c r="DH442" s="14"/>
      <c r="DI442" s="14"/>
      <c r="DJ442" s="14"/>
      <c r="DK442" s="14"/>
      <c r="DL442" s="14"/>
      <c r="DM442" s="14"/>
      <c r="DN442" s="14"/>
      <c r="DO442" s="14"/>
      <c r="DP442" s="14"/>
      <c r="DQ442" s="14"/>
      <c r="DR442" s="14"/>
      <c r="DS442" s="14"/>
      <c r="DT442" s="14"/>
      <c r="DU442" s="14"/>
      <c r="DV442" s="14"/>
      <c r="DW442" s="14"/>
      <c r="DX442" s="14"/>
      <c r="DY442" s="14"/>
      <c r="DZ442" s="14"/>
      <c r="EA442" s="14"/>
      <c r="EB442" s="14"/>
    </row>
    <row r="443" spans="4:132"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14"/>
      <c r="BQ443" s="14"/>
      <c r="BR443" s="14"/>
      <c r="BS443" s="14"/>
      <c r="BT443" s="14"/>
      <c r="BU443" s="14"/>
      <c r="BV443" s="14"/>
      <c r="BW443" s="14"/>
      <c r="BX443" s="14"/>
      <c r="BY443" s="14"/>
      <c r="BZ443" s="14"/>
      <c r="CA443" s="14"/>
      <c r="CB443" s="14"/>
      <c r="CC443" s="14"/>
      <c r="CD443" s="14"/>
      <c r="CE443" s="14"/>
      <c r="CF443" s="14"/>
      <c r="CG443" s="14"/>
      <c r="CH443" s="14"/>
      <c r="CI443" s="14"/>
      <c r="CJ443" s="14"/>
      <c r="CK443" s="14"/>
      <c r="CL443" s="14"/>
      <c r="CM443" s="14"/>
      <c r="CN443" s="14"/>
      <c r="CO443" s="14"/>
      <c r="CP443" s="14"/>
      <c r="CQ443" s="14"/>
      <c r="CR443" s="14"/>
      <c r="CS443" s="14"/>
      <c r="CT443" s="14"/>
      <c r="CU443" s="14"/>
      <c r="CV443" s="14"/>
      <c r="CW443" s="14"/>
      <c r="CX443" s="14"/>
      <c r="CY443" s="14"/>
      <c r="CZ443" s="14"/>
      <c r="DA443" s="14"/>
      <c r="DB443" s="14"/>
      <c r="DC443" s="14"/>
      <c r="DD443" s="14"/>
      <c r="DE443" s="14"/>
      <c r="DF443" s="14"/>
      <c r="DG443" s="14"/>
      <c r="DH443" s="14"/>
      <c r="DI443" s="14"/>
      <c r="DJ443" s="14"/>
      <c r="DK443" s="14"/>
      <c r="DL443" s="14"/>
      <c r="DM443" s="14"/>
      <c r="DN443" s="14"/>
      <c r="DO443" s="14"/>
      <c r="DP443" s="14"/>
      <c r="DQ443" s="14"/>
      <c r="DR443" s="14"/>
      <c r="DS443" s="14"/>
      <c r="DT443" s="14"/>
      <c r="DU443" s="14"/>
      <c r="DV443" s="14"/>
      <c r="DW443" s="14"/>
      <c r="DX443" s="14"/>
      <c r="DY443" s="14"/>
      <c r="DZ443" s="14"/>
      <c r="EA443" s="14"/>
      <c r="EB443" s="14"/>
    </row>
    <row r="444" spans="4:132"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14"/>
      <c r="BQ444" s="14"/>
      <c r="BR444" s="14"/>
      <c r="BS444" s="14"/>
      <c r="BT444" s="14"/>
      <c r="BU444" s="14"/>
      <c r="BV444" s="14"/>
      <c r="BW444" s="14"/>
      <c r="BX444" s="14"/>
      <c r="BY444" s="14"/>
      <c r="BZ444" s="14"/>
      <c r="CA444" s="14"/>
      <c r="CB444" s="14"/>
      <c r="CC444" s="14"/>
      <c r="CD444" s="14"/>
      <c r="CE444" s="14"/>
      <c r="CF444" s="14"/>
      <c r="CG444" s="14"/>
      <c r="CH444" s="14"/>
      <c r="CI444" s="14"/>
      <c r="CJ444" s="14"/>
      <c r="CK444" s="14"/>
      <c r="CL444" s="14"/>
      <c r="CM444" s="14"/>
      <c r="CN444" s="14"/>
      <c r="CO444" s="14"/>
      <c r="CP444" s="14"/>
      <c r="CQ444" s="14"/>
      <c r="CR444" s="14"/>
      <c r="CS444" s="14"/>
      <c r="CT444" s="14"/>
      <c r="CU444" s="14"/>
      <c r="CV444" s="14"/>
      <c r="CW444" s="14"/>
      <c r="CX444" s="14"/>
      <c r="CY444" s="14"/>
      <c r="CZ444" s="14"/>
      <c r="DA444" s="14"/>
      <c r="DB444" s="14"/>
      <c r="DC444" s="14"/>
      <c r="DD444" s="14"/>
      <c r="DE444" s="14"/>
      <c r="DF444" s="14"/>
      <c r="DG444" s="14"/>
      <c r="DH444" s="14"/>
      <c r="DI444" s="14"/>
      <c r="DJ444" s="14"/>
      <c r="DK444" s="14"/>
      <c r="DL444" s="14"/>
      <c r="DM444" s="14"/>
      <c r="DN444" s="14"/>
      <c r="DO444" s="14"/>
      <c r="DP444" s="14"/>
      <c r="DQ444" s="14"/>
      <c r="DR444" s="14"/>
      <c r="DS444" s="14"/>
      <c r="DT444" s="14"/>
      <c r="DU444" s="14"/>
      <c r="DV444" s="14"/>
      <c r="DW444" s="14"/>
      <c r="DX444" s="14"/>
      <c r="DY444" s="14"/>
      <c r="DZ444" s="14"/>
      <c r="EA444" s="14"/>
      <c r="EB444" s="14"/>
    </row>
    <row r="445" spans="4:132"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14"/>
      <c r="BQ445" s="14"/>
      <c r="BR445" s="14"/>
      <c r="BS445" s="14"/>
      <c r="BT445" s="14"/>
      <c r="BU445" s="14"/>
      <c r="BV445" s="14"/>
      <c r="BW445" s="14"/>
      <c r="BX445" s="14"/>
      <c r="BY445" s="14"/>
      <c r="BZ445" s="14"/>
      <c r="CA445" s="14"/>
      <c r="CB445" s="14"/>
      <c r="CC445" s="14"/>
      <c r="CD445" s="14"/>
      <c r="CE445" s="14"/>
      <c r="CF445" s="14"/>
      <c r="CG445" s="14"/>
      <c r="CH445" s="14"/>
      <c r="CI445" s="14"/>
      <c r="CJ445" s="14"/>
      <c r="CK445" s="14"/>
      <c r="CL445" s="14"/>
      <c r="CM445" s="14"/>
      <c r="CN445" s="14"/>
      <c r="CO445" s="14"/>
      <c r="CP445" s="14"/>
      <c r="CQ445" s="14"/>
      <c r="CR445" s="14"/>
      <c r="CS445" s="14"/>
      <c r="CT445" s="14"/>
      <c r="CU445" s="14"/>
      <c r="CV445" s="14"/>
      <c r="CW445" s="14"/>
      <c r="CX445" s="14"/>
      <c r="CY445" s="14"/>
      <c r="CZ445" s="14"/>
      <c r="DA445" s="14"/>
      <c r="DB445" s="14"/>
      <c r="DC445" s="14"/>
      <c r="DD445" s="14"/>
      <c r="DE445" s="14"/>
      <c r="DF445" s="14"/>
      <c r="DG445" s="14"/>
      <c r="DH445" s="14"/>
      <c r="DI445" s="14"/>
      <c r="DJ445" s="14"/>
      <c r="DK445" s="14"/>
      <c r="DL445" s="14"/>
      <c r="DM445" s="14"/>
      <c r="DN445" s="14"/>
      <c r="DO445" s="14"/>
      <c r="DP445" s="14"/>
      <c r="DQ445" s="14"/>
      <c r="DR445" s="14"/>
      <c r="DS445" s="14"/>
      <c r="DT445" s="14"/>
      <c r="DU445" s="14"/>
      <c r="DV445" s="14"/>
      <c r="DW445" s="14"/>
      <c r="DX445" s="14"/>
      <c r="DY445" s="14"/>
      <c r="DZ445" s="14"/>
      <c r="EA445" s="14"/>
      <c r="EB445" s="14"/>
    </row>
    <row r="446" spans="4:132"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14"/>
      <c r="BQ446" s="14"/>
      <c r="BR446" s="14"/>
      <c r="BS446" s="14"/>
      <c r="BT446" s="14"/>
      <c r="BU446" s="14"/>
      <c r="BV446" s="14"/>
      <c r="BW446" s="14"/>
      <c r="BX446" s="14"/>
      <c r="BY446" s="14"/>
      <c r="BZ446" s="14"/>
      <c r="CA446" s="14"/>
      <c r="CB446" s="14"/>
      <c r="CC446" s="14"/>
      <c r="CD446" s="14"/>
      <c r="CE446" s="14"/>
      <c r="CF446" s="14"/>
      <c r="CG446" s="14"/>
      <c r="CH446" s="14"/>
      <c r="CI446" s="14"/>
      <c r="CJ446" s="14"/>
      <c r="CK446" s="14"/>
      <c r="CL446" s="14"/>
      <c r="CM446" s="14"/>
      <c r="CN446" s="14"/>
      <c r="CO446" s="14"/>
      <c r="CP446" s="14"/>
      <c r="CQ446" s="14"/>
      <c r="CR446" s="14"/>
      <c r="CS446" s="14"/>
      <c r="CT446" s="14"/>
      <c r="CU446" s="14"/>
      <c r="CV446" s="14"/>
      <c r="CW446" s="14"/>
      <c r="CX446" s="14"/>
      <c r="CY446" s="14"/>
      <c r="CZ446" s="14"/>
      <c r="DA446" s="14"/>
      <c r="DB446" s="14"/>
      <c r="DC446" s="14"/>
      <c r="DD446" s="14"/>
      <c r="DE446" s="14"/>
      <c r="DF446" s="14"/>
      <c r="DG446" s="14"/>
      <c r="DH446" s="14"/>
      <c r="DI446" s="14"/>
      <c r="DJ446" s="14"/>
      <c r="DK446" s="14"/>
      <c r="DL446" s="14"/>
      <c r="DM446" s="14"/>
      <c r="DN446" s="14"/>
      <c r="DO446" s="14"/>
      <c r="DP446" s="14"/>
      <c r="DQ446" s="14"/>
      <c r="DR446" s="14"/>
      <c r="DS446" s="14"/>
      <c r="DT446" s="14"/>
      <c r="DU446" s="14"/>
      <c r="DV446" s="14"/>
      <c r="DW446" s="14"/>
      <c r="DX446" s="14"/>
      <c r="DY446" s="14"/>
      <c r="DZ446" s="14"/>
      <c r="EA446" s="14"/>
      <c r="EB446" s="14"/>
    </row>
    <row r="447" spans="4:132"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14"/>
      <c r="BQ447" s="14"/>
      <c r="BR447" s="14"/>
      <c r="BS447" s="14"/>
      <c r="BT447" s="14"/>
      <c r="BU447" s="14"/>
      <c r="BV447" s="14"/>
      <c r="BW447" s="14"/>
      <c r="BX447" s="14"/>
      <c r="BY447" s="14"/>
      <c r="BZ447" s="14"/>
      <c r="CA447" s="14"/>
      <c r="CB447" s="14"/>
      <c r="CC447" s="14"/>
      <c r="CD447" s="14"/>
      <c r="CE447" s="14"/>
      <c r="CF447" s="14"/>
      <c r="CG447" s="14"/>
      <c r="CH447" s="14"/>
      <c r="CI447" s="14"/>
      <c r="CJ447" s="14"/>
      <c r="CK447" s="14"/>
      <c r="CL447" s="14"/>
      <c r="CM447" s="14"/>
      <c r="CN447" s="14"/>
      <c r="CO447" s="14"/>
      <c r="CP447" s="14"/>
      <c r="CQ447" s="14"/>
      <c r="CR447" s="14"/>
      <c r="CS447" s="14"/>
      <c r="CT447" s="14"/>
      <c r="CU447" s="14"/>
      <c r="CV447" s="14"/>
      <c r="CW447" s="14"/>
      <c r="CX447" s="14"/>
      <c r="CY447" s="14"/>
      <c r="CZ447" s="14"/>
      <c r="DA447" s="14"/>
      <c r="DB447" s="14"/>
      <c r="DC447" s="14"/>
      <c r="DD447" s="14"/>
      <c r="DE447" s="14"/>
      <c r="DF447" s="14"/>
      <c r="DG447" s="14"/>
      <c r="DH447" s="14"/>
      <c r="DI447" s="14"/>
      <c r="DJ447" s="14"/>
      <c r="DK447" s="14"/>
      <c r="DL447" s="14"/>
      <c r="DM447" s="14"/>
      <c r="DN447" s="14"/>
      <c r="DO447" s="14"/>
      <c r="DP447" s="14"/>
      <c r="DQ447" s="14"/>
      <c r="DR447" s="14"/>
      <c r="DS447" s="14"/>
      <c r="DT447" s="14"/>
      <c r="DU447" s="14"/>
      <c r="DV447" s="14"/>
      <c r="DW447" s="14"/>
      <c r="DX447" s="14"/>
      <c r="DY447" s="14"/>
      <c r="DZ447" s="14"/>
      <c r="EA447" s="14"/>
      <c r="EB447" s="14"/>
    </row>
    <row r="448" spans="4:132"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14"/>
      <c r="BQ448" s="14"/>
      <c r="BR448" s="14"/>
      <c r="BS448" s="14"/>
      <c r="BT448" s="14"/>
      <c r="BU448" s="14"/>
      <c r="BV448" s="14"/>
      <c r="BW448" s="14"/>
      <c r="BX448" s="14"/>
      <c r="BY448" s="14"/>
      <c r="BZ448" s="14"/>
      <c r="CA448" s="14"/>
      <c r="CB448" s="14"/>
      <c r="CC448" s="14"/>
      <c r="CD448" s="14"/>
      <c r="CE448" s="14"/>
      <c r="CF448" s="14"/>
      <c r="CG448" s="14"/>
      <c r="CH448" s="14"/>
      <c r="CI448" s="14"/>
      <c r="CJ448" s="14"/>
      <c r="CK448" s="14"/>
      <c r="CL448" s="14"/>
      <c r="CM448" s="14"/>
      <c r="CN448" s="14"/>
      <c r="CO448" s="14"/>
      <c r="CP448" s="14"/>
      <c r="CQ448" s="14"/>
      <c r="CR448" s="14"/>
      <c r="CS448" s="14"/>
      <c r="CT448" s="14"/>
      <c r="CU448" s="14"/>
      <c r="CV448" s="14"/>
      <c r="CW448" s="14"/>
      <c r="CX448" s="14"/>
      <c r="CY448" s="14"/>
      <c r="CZ448" s="14"/>
      <c r="DA448" s="14"/>
      <c r="DB448" s="14"/>
      <c r="DC448" s="14"/>
      <c r="DD448" s="14"/>
      <c r="DE448" s="14"/>
      <c r="DF448" s="14"/>
      <c r="DG448" s="14"/>
      <c r="DH448" s="14"/>
      <c r="DI448" s="14"/>
      <c r="DJ448" s="14"/>
      <c r="DK448" s="14"/>
      <c r="DL448" s="14"/>
      <c r="DM448" s="14"/>
      <c r="DN448" s="14"/>
      <c r="DO448" s="14"/>
      <c r="DP448" s="14"/>
      <c r="DQ448" s="14"/>
      <c r="DR448" s="14"/>
      <c r="DS448" s="14"/>
      <c r="DT448" s="14"/>
      <c r="DU448" s="14"/>
      <c r="DV448" s="14"/>
      <c r="DW448" s="14"/>
      <c r="DX448" s="14"/>
      <c r="DY448" s="14"/>
      <c r="DZ448" s="14"/>
      <c r="EA448" s="14"/>
      <c r="EB448" s="14"/>
    </row>
    <row r="449" spans="4:132"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14"/>
      <c r="BQ449" s="14"/>
      <c r="BR449" s="14"/>
      <c r="BS449" s="14"/>
      <c r="BT449" s="14"/>
      <c r="BU449" s="14"/>
      <c r="BV449" s="14"/>
      <c r="BW449" s="14"/>
      <c r="BX449" s="14"/>
      <c r="BY449" s="14"/>
      <c r="BZ449" s="14"/>
      <c r="CA449" s="14"/>
      <c r="CB449" s="14"/>
      <c r="CC449" s="14"/>
      <c r="CD449" s="14"/>
      <c r="CE449" s="14"/>
      <c r="CF449" s="14"/>
      <c r="CG449" s="14"/>
      <c r="CH449" s="14"/>
      <c r="CI449" s="14"/>
      <c r="CJ449" s="14"/>
      <c r="CK449" s="14"/>
      <c r="CL449" s="14"/>
      <c r="CM449" s="14"/>
      <c r="CN449" s="14"/>
      <c r="CO449" s="14"/>
      <c r="CP449" s="14"/>
      <c r="CQ449" s="14"/>
      <c r="CR449" s="14"/>
      <c r="CS449" s="14"/>
      <c r="CT449" s="14"/>
      <c r="CU449" s="14"/>
      <c r="CV449" s="14"/>
      <c r="CW449" s="14"/>
      <c r="CX449" s="14"/>
      <c r="CY449" s="14"/>
      <c r="CZ449" s="14"/>
      <c r="DA449" s="14"/>
      <c r="DB449" s="14"/>
      <c r="DC449" s="14"/>
      <c r="DD449" s="14"/>
      <c r="DE449" s="14"/>
      <c r="DF449" s="14"/>
      <c r="DG449" s="14"/>
      <c r="DH449" s="14"/>
      <c r="DI449" s="14"/>
      <c r="DJ449" s="14"/>
      <c r="DK449" s="14"/>
      <c r="DL449" s="14"/>
      <c r="DM449" s="14"/>
      <c r="DN449" s="14"/>
      <c r="DO449" s="14"/>
      <c r="DP449" s="14"/>
      <c r="DQ449" s="14"/>
      <c r="DR449" s="14"/>
      <c r="DS449" s="14"/>
      <c r="DT449" s="14"/>
      <c r="DU449" s="14"/>
      <c r="DV449" s="14"/>
      <c r="DW449" s="14"/>
      <c r="DX449" s="14"/>
      <c r="DY449" s="14"/>
      <c r="DZ449" s="14"/>
      <c r="EA449" s="14"/>
      <c r="EB449" s="14"/>
    </row>
    <row r="450" spans="4:132"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14"/>
      <c r="BQ450" s="14"/>
      <c r="BR450" s="14"/>
      <c r="BS450" s="14"/>
      <c r="BT450" s="14"/>
      <c r="BU450" s="14"/>
      <c r="BV450" s="14"/>
      <c r="BW450" s="14"/>
      <c r="BX450" s="14"/>
      <c r="BY450" s="14"/>
      <c r="BZ450" s="14"/>
      <c r="CA450" s="14"/>
      <c r="CB450" s="14"/>
      <c r="CC450" s="14"/>
      <c r="CD450" s="14"/>
      <c r="CE450" s="14"/>
      <c r="CF450" s="14"/>
      <c r="CG450" s="14"/>
      <c r="CH450" s="14"/>
      <c r="CI450" s="14"/>
      <c r="CJ450" s="14"/>
      <c r="CK450" s="14"/>
      <c r="CL450" s="14"/>
      <c r="CM450" s="14"/>
      <c r="CN450" s="14"/>
      <c r="CO450" s="14"/>
      <c r="CP450" s="14"/>
      <c r="CQ450" s="14"/>
      <c r="CR450" s="14"/>
      <c r="CS450" s="14"/>
      <c r="CT450" s="14"/>
      <c r="CU450" s="14"/>
      <c r="CV450" s="14"/>
      <c r="CW450" s="14"/>
      <c r="CX450" s="14"/>
      <c r="CY450" s="14"/>
      <c r="CZ450" s="14"/>
      <c r="DA450" s="14"/>
      <c r="DB450" s="14"/>
      <c r="DC450" s="14"/>
      <c r="DD450" s="14"/>
      <c r="DE450" s="14"/>
      <c r="DF450" s="14"/>
      <c r="DG450" s="14"/>
      <c r="DH450" s="14"/>
      <c r="DI450" s="14"/>
      <c r="DJ450" s="14"/>
      <c r="DK450" s="14"/>
      <c r="DL450" s="14"/>
      <c r="DM450" s="14"/>
      <c r="DN450" s="14"/>
      <c r="DO450" s="14"/>
      <c r="DP450" s="14"/>
      <c r="DQ450" s="14"/>
      <c r="DR450" s="14"/>
      <c r="DS450" s="14"/>
      <c r="DT450" s="14"/>
      <c r="DU450" s="14"/>
      <c r="DV450" s="14"/>
      <c r="DW450" s="14"/>
      <c r="DX450" s="14"/>
      <c r="DY450" s="14"/>
      <c r="DZ450" s="14"/>
      <c r="EA450" s="14"/>
      <c r="EB450" s="14"/>
    </row>
    <row r="451" spans="4:132"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14"/>
      <c r="BQ451" s="14"/>
      <c r="BR451" s="14"/>
      <c r="BS451" s="14"/>
      <c r="BT451" s="14"/>
      <c r="BU451" s="14"/>
      <c r="BV451" s="14"/>
      <c r="BW451" s="14"/>
      <c r="BX451" s="14"/>
      <c r="BY451" s="14"/>
      <c r="BZ451" s="14"/>
      <c r="CA451" s="14"/>
      <c r="CB451" s="14"/>
      <c r="CC451" s="14"/>
      <c r="CD451" s="14"/>
      <c r="CE451" s="14"/>
      <c r="CF451" s="14"/>
      <c r="CG451" s="14"/>
      <c r="CH451" s="14"/>
      <c r="CI451" s="14"/>
      <c r="CJ451" s="14"/>
      <c r="CK451" s="14"/>
      <c r="CL451" s="14"/>
      <c r="CM451" s="14"/>
      <c r="CN451" s="14"/>
      <c r="CO451" s="14"/>
      <c r="CP451" s="14"/>
      <c r="CQ451" s="14"/>
      <c r="CR451" s="14"/>
      <c r="CS451" s="14"/>
      <c r="CT451" s="14"/>
      <c r="CU451" s="14"/>
      <c r="CV451" s="14"/>
      <c r="CW451" s="14"/>
      <c r="CX451" s="14"/>
      <c r="CY451" s="14"/>
      <c r="CZ451" s="14"/>
      <c r="DA451" s="14"/>
      <c r="DB451" s="14"/>
      <c r="DC451" s="14"/>
      <c r="DD451" s="14"/>
      <c r="DE451" s="14"/>
      <c r="DF451" s="14"/>
      <c r="DG451" s="14"/>
      <c r="DH451" s="14"/>
      <c r="DI451" s="14"/>
      <c r="DJ451" s="14"/>
      <c r="DK451" s="14"/>
      <c r="DL451" s="14"/>
      <c r="DM451" s="14"/>
      <c r="DN451" s="14"/>
      <c r="DO451" s="14"/>
      <c r="DP451" s="14"/>
      <c r="DQ451" s="14"/>
      <c r="DR451" s="14"/>
      <c r="DS451" s="14"/>
      <c r="DT451" s="14"/>
      <c r="DU451" s="14"/>
      <c r="DV451" s="14"/>
      <c r="DW451" s="14"/>
      <c r="DX451" s="14"/>
      <c r="DY451" s="14"/>
      <c r="DZ451" s="14"/>
      <c r="EA451" s="14"/>
      <c r="EB451" s="14"/>
    </row>
    <row r="452" spans="4:132"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14"/>
      <c r="CC452" s="14"/>
      <c r="CD452" s="14"/>
      <c r="CE452" s="14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</row>
    <row r="453" spans="4:132"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14"/>
      <c r="BQ453" s="14"/>
      <c r="BR453" s="14"/>
      <c r="BS453" s="14"/>
      <c r="BT453" s="14"/>
      <c r="BU453" s="14"/>
      <c r="BV453" s="14"/>
      <c r="BW453" s="14"/>
      <c r="BX453" s="14"/>
      <c r="BY453" s="14"/>
      <c r="BZ453" s="14"/>
      <c r="CA453" s="14"/>
      <c r="CB453" s="14"/>
      <c r="CC453" s="14"/>
      <c r="CD453" s="14"/>
      <c r="CE453" s="14"/>
      <c r="CF453" s="14"/>
      <c r="CG453" s="14"/>
      <c r="CH453" s="14"/>
      <c r="CI453" s="14"/>
      <c r="CJ453" s="14"/>
      <c r="CK453" s="14"/>
      <c r="CL453" s="14"/>
      <c r="CM453" s="14"/>
      <c r="CN453" s="14"/>
      <c r="CO453" s="14"/>
      <c r="CP453" s="14"/>
      <c r="CQ453" s="14"/>
      <c r="CR453" s="14"/>
      <c r="CS453" s="14"/>
      <c r="CT453" s="14"/>
      <c r="CU453" s="14"/>
      <c r="CV453" s="14"/>
      <c r="CW453" s="14"/>
      <c r="CX453" s="14"/>
      <c r="CY453" s="14"/>
      <c r="CZ453" s="14"/>
      <c r="DA453" s="14"/>
      <c r="DB453" s="14"/>
      <c r="DC453" s="14"/>
      <c r="DD453" s="14"/>
      <c r="DE453" s="14"/>
      <c r="DF453" s="14"/>
      <c r="DG453" s="14"/>
      <c r="DH453" s="14"/>
      <c r="DI453" s="14"/>
      <c r="DJ453" s="14"/>
      <c r="DK453" s="14"/>
      <c r="DL453" s="14"/>
      <c r="DM453" s="14"/>
      <c r="DN453" s="14"/>
      <c r="DO453" s="14"/>
      <c r="DP453" s="14"/>
      <c r="DQ453" s="14"/>
      <c r="DR453" s="14"/>
      <c r="DS453" s="14"/>
      <c r="DT453" s="14"/>
      <c r="DU453" s="14"/>
      <c r="DV453" s="14"/>
      <c r="DW453" s="14"/>
      <c r="DX453" s="14"/>
      <c r="DY453" s="14"/>
      <c r="DZ453" s="14"/>
      <c r="EA453" s="14"/>
      <c r="EB453" s="14"/>
    </row>
    <row r="454" spans="4:132"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14"/>
      <c r="BQ454" s="14"/>
      <c r="BR454" s="14"/>
      <c r="BS454" s="14"/>
      <c r="BT454" s="14"/>
      <c r="BU454" s="14"/>
      <c r="BV454" s="14"/>
      <c r="BW454" s="14"/>
      <c r="BX454" s="14"/>
      <c r="BY454" s="14"/>
      <c r="BZ454" s="14"/>
      <c r="CA454" s="14"/>
      <c r="CB454" s="14"/>
      <c r="CC454" s="14"/>
      <c r="CD454" s="14"/>
      <c r="CE454" s="14"/>
      <c r="CF454" s="14"/>
      <c r="CG454" s="14"/>
      <c r="CH454" s="14"/>
      <c r="CI454" s="14"/>
      <c r="CJ454" s="14"/>
      <c r="CK454" s="14"/>
      <c r="CL454" s="14"/>
      <c r="CM454" s="14"/>
      <c r="CN454" s="14"/>
      <c r="CO454" s="14"/>
      <c r="CP454" s="14"/>
      <c r="CQ454" s="14"/>
      <c r="CR454" s="14"/>
      <c r="CS454" s="14"/>
      <c r="CT454" s="14"/>
      <c r="CU454" s="14"/>
      <c r="CV454" s="14"/>
      <c r="CW454" s="14"/>
      <c r="CX454" s="14"/>
      <c r="CY454" s="14"/>
      <c r="CZ454" s="14"/>
      <c r="DA454" s="14"/>
      <c r="DB454" s="14"/>
      <c r="DC454" s="14"/>
      <c r="DD454" s="14"/>
      <c r="DE454" s="14"/>
      <c r="DF454" s="14"/>
      <c r="DG454" s="14"/>
      <c r="DH454" s="14"/>
      <c r="DI454" s="14"/>
      <c r="DJ454" s="14"/>
      <c r="DK454" s="14"/>
      <c r="DL454" s="14"/>
      <c r="DM454" s="14"/>
      <c r="DN454" s="14"/>
      <c r="DO454" s="14"/>
      <c r="DP454" s="14"/>
      <c r="DQ454" s="14"/>
      <c r="DR454" s="14"/>
      <c r="DS454" s="14"/>
      <c r="DT454" s="14"/>
      <c r="DU454" s="14"/>
      <c r="DV454" s="14"/>
      <c r="DW454" s="14"/>
      <c r="DX454" s="14"/>
      <c r="DY454" s="14"/>
      <c r="DZ454" s="14"/>
      <c r="EA454" s="14"/>
      <c r="EB454" s="14"/>
    </row>
    <row r="455" spans="4:132"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14"/>
      <c r="BQ455" s="14"/>
      <c r="BR455" s="14"/>
      <c r="BS455" s="14"/>
      <c r="BT455" s="14"/>
      <c r="BU455" s="14"/>
      <c r="BV455" s="14"/>
      <c r="BW455" s="14"/>
      <c r="BX455" s="14"/>
      <c r="BY455" s="14"/>
      <c r="BZ455" s="14"/>
      <c r="CA455" s="14"/>
      <c r="CB455" s="14"/>
      <c r="CC455" s="14"/>
      <c r="CD455" s="14"/>
      <c r="CE455" s="14"/>
      <c r="CF455" s="14"/>
      <c r="CG455" s="14"/>
      <c r="CH455" s="14"/>
      <c r="CI455" s="14"/>
      <c r="CJ455" s="14"/>
      <c r="CK455" s="14"/>
      <c r="CL455" s="14"/>
      <c r="CM455" s="14"/>
      <c r="CN455" s="14"/>
      <c r="CO455" s="14"/>
      <c r="CP455" s="14"/>
      <c r="CQ455" s="14"/>
      <c r="CR455" s="14"/>
      <c r="CS455" s="14"/>
      <c r="CT455" s="14"/>
      <c r="CU455" s="14"/>
      <c r="CV455" s="14"/>
      <c r="CW455" s="14"/>
      <c r="CX455" s="14"/>
      <c r="CY455" s="14"/>
      <c r="CZ455" s="14"/>
      <c r="DA455" s="14"/>
      <c r="DB455" s="14"/>
      <c r="DC455" s="14"/>
      <c r="DD455" s="14"/>
      <c r="DE455" s="14"/>
      <c r="DF455" s="14"/>
      <c r="DG455" s="14"/>
      <c r="DH455" s="14"/>
      <c r="DI455" s="14"/>
      <c r="DJ455" s="14"/>
      <c r="DK455" s="14"/>
      <c r="DL455" s="14"/>
      <c r="DM455" s="14"/>
      <c r="DN455" s="14"/>
      <c r="DO455" s="14"/>
      <c r="DP455" s="14"/>
      <c r="DQ455" s="14"/>
      <c r="DR455" s="14"/>
      <c r="DS455" s="14"/>
      <c r="DT455" s="14"/>
      <c r="DU455" s="14"/>
      <c r="DV455" s="14"/>
      <c r="DW455" s="14"/>
      <c r="DX455" s="14"/>
      <c r="DY455" s="14"/>
      <c r="DZ455" s="14"/>
      <c r="EA455" s="14"/>
      <c r="EB455" s="14"/>
    </row>
    <row r="456" spans="4:132"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14"/>
      <c r="BQ456" s="14"/>
      <c r="BR456" s="14"/>
      <c r="BS456" s="14"/>
      <c r="BT456" s="14"/>
      <c r="BU456" s="14"/>
      <c r="BV456" s="14"/>
      <c r="BW456" s="14"/>
      <c r="BX456" s="14"/>
      <c r="BY456" s="14"/>
      <c r="BZ456" s="14"/>
      <c r="CA456" s="14"/>
      <c r="CB456" s="14"/>
      <c r="CC456" s="14"/>
      <c r="CD456" s="14"/>
      <c r="CE456" s="14"/>
      <c r="CF456" s="14"/>
      <c r="CG456" s="14"/>
      <c r="CH456" s="14"/>
      <c r="CI456" s="14"/>
      <c r="CJ456" s="14"/>
      <c r="CK456" s="14"/>
      <c r="CL456" s="14"/>
      <c r="CM456" s="14"/>
      <c r="CN456" s="14"/>
      <c r="CO456" s="14"/>
      <c r="CP456" s="14"/>
      <c r="CQ456" s="14"/>
      <c r="CR456" s="14"/>
      <c r="CS456" s="14"/>
      <c r="CT456" s="14"/>
      <c r="CU456" s="14"/>
      <c r="CV456" s="14"/>
      <c r="CW456" s="14"/>
      <c r="CX456" s="14"/>
      <c r="CY456" s="14"/>
      <c r="CZ456" s="14"/>
      <c r="DA456" s="14"/>
      <c r="DB456" s="14"/>
      <c r="DC456" s="14"/>
      <c r="DD456" s="14"/>
      <c r="DE456" s="14"/>
      <c r="DF456" s="14"/>
      <c r="DG456" s="14"/>
      <c r="DH456" s="14"/>
      <c r="DI456" s="14"/>
      <c r="DJ456" s="14"/>
      <c r="DK456" s="14"/>
      <c r="DL456" s="14"/>
      <c r="DM456" s="14"/>
      <c r="DN456" s="14"/>
      <c r="DO456" s="14"/>
      <c r="DP456" s="14"/>
      <c r="DQ456" s="14"/>
      <c r="DR456" s="14"/>
      <c r="DS456" s="14"/>
      <c r="DT456" s="14"/>
      <c r="DU456" s="14"/>
      <c r="DV456" s="14"/>
      <c r="DW456" s="14"/>
      <c r="DX456" s="14"/>
      <c r="DY456" s="14"/>
      <c r="DZ456" s="14"/>
      <c r="EA456" s="14"/>
      <c r="EB456" s="14"/>
    </row>
    <row r="457" spans="4:132"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14"/>
      <c r="BQ457" s="14"/>
      <c r="BR457" s="14"/>
      <c r="BS457" s="14"/>
      <c r="BT457" s="14"/>
      <c r="BU457" s="14"/>
      <c r="BV457" s="14"/>
      <c r="BW457" s="14"/>
      <c r="BX457" s="14"/>
      <c r="BY457" s="14"/>
      <c r="BZ457" s="14"/>
      <c r="CA457" s="14"/>
      <c r="CB457" s="14"/>
      <c r="CC457" s="14"/>
      <c r="CD457" s="14"/>
      <c r="CE457" s="14"/>
      <c r="CF457" s="14"/>
      <c r="CG457" s="14"/>
      <c r="CH457" s="14"/>
      <c r="CI457" s="14"/>
      <c r="CJ457" s="14"/>
      <c r="CK457" s="14"/>
      <c r="CL457" s="14"/>
      <c r="CM457" s="14"/>
      <c r="CN457" s="14"/>
      <c r="CO457" s="14"/>
      <c r="CP457" s="14"/>
      <c r="CQ457" s="14"/>
      <c r="CR457" s="14"/>
      <c r="CS457" s="14"/>
      <c r="CT457" s="14"/>
      <c r="CU457" s="14"/>
      <c r="CV457" s="14"/>
      <c r="CW457" s="14"/>
      <c r="CX457" s="14"/>
      <c r="CY457" s="14"/>
      <c r="CZ457" s="14"/>
      <c r="DA457" s="14"/>
      <c r="DB457" s="14"/>
      <c r="DC457" s="14"/>
      <c r="DD457" s="14"/>
      <c r="DE457" s="14"/>
      <c r="DF457" s="14"/>
      <c r="DG457" s="14"/>
      <c r="DH457" s="14"/>
      <c r="DI457" s="14"/>
      <c r="DJ457" s="14"/>
      <c r="DK457" s="14"/>
      <c r="DL457" s="14"/>
      <c r="DM457" s="14"/>
      <c r="DN457" s="14"/>
      <c r="DO457" s="14"/>
      <c r="DP457" s="14"/>
      <c r="DQ457" s="14"/>
      <c r="DR457" s="14"/>
      <c r="DS457" s="14"/>
      <c r="DT457" s="14"/>
      <c r="DU457" s="14"/>
      <c r="DV457" s="14"/>
      <c r="DW457" s="14"/>
      <c r="DX457" s="14"/>
      <c r="DY457" s="14"/>
      <c r="DZ457" s="14"/>
      <c r="EA457" s="14"/>
      <c r="EB457" s="14"/>
    </row>
    <row r="458" spans="4:132"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14"/>
      <c r="BQ458" s="14"/>
      <c r="BR458" s="14"/>
      <c r="BS458" s="14"/>
      <c r="BT458" s="14"/>
      <c r="BU458" s="14"/>
      <c r="BV458" s="14"/>
      <c r="BW458" s="14"/>
      <c r="BX458" s="14"/>
      <c r="BY458" s="14"/>
      <c r="BZ458" s="14"/>
      <c r="CA458" s="14"/>
      <c r="CB458" s="14"/>
      <c r="CC458" s="14"/>
      <c r="CD458" s="14"/>
      <c r="CE458" s="14"/>
      <c r="CF458" s="14"/>
      <c r="CG458" s="14"/>
      <c r="CH458" s="14"/>
      <c r="CI458" s="14"/>
      <c r="CJ458" s="14"/>
      <c r="CK458" s="14"/>
      <c r="CL458" s="14"/>
      <c r="CM458" s="14"/>
      <c r="CN458" s="14"/>
      <c r="CO458" s="14"/>
      <c r="CP458" s="14"/>
      <c r="CQ458" s="14"/>
      <c r="CR458" s="14"/>
      <c r="CS458" s="14"/>
      <c r="CT458" s="14"/>
      <c r="CU458" s="14"/>
      <c r="CV458" s="14"/>
      <c r="CW458" s="14"/>
      <c r="CX458" s="14"/>
      <c r="CY458" s="14"/>
      <c r="CZ458" s="14"/>
      <c r="DA458" s="14"/>
      <c r="DB458" s="14"/>
      <c r="DC458" s="14"/>
      <c r="DD458" s="14"/>
      <c r="DE458" s="14"/>
      <c r="DF458" s="14"/>
      <c r="DG458" s="14"/>
      <c r="DH458" s="14"/>
      <c r="DI458" s="14"/>
      <c r="DJ458" s="14"/>
      <c r="DK458" s="14"/>
      <c r="DL458" s="14"/>
      <c r="DM458" s="14"/>
      <c r="DN458" s="14"/>
      <c r="DO458" s="14"/>
      <c r="DP458" s="14"/>
      <c r="DQ458" s="14"/>
      <c r="DR458" s="14"/>
      <c r="DS458" s="14"/>
      <c r="DT458" s="14"/>
      <c r="DU458" s="14"/>
      <c r="DV458" s="14"/>
      <c r="DW458" s="14"/>
      <c r="DX458" s="14"/>
      <c r="DY458" s="14"/>
      <c r="DZ458" s="14"/>
      <c r="EA458" s="14"/>
      <c r="EB458" s="14"/>
    </row>
    <row r="459" spans="4:132"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14"/>
      <c r="BQ459" s="14"/>
      <c r="BR459" s="14"/>
      <c r="BS459" s="14"/>
      <c r="BT459" s="14"/>
      <c r="BU459" s="14"/>
      <c r="BV459" s="14"/>
      <c r="BW459" s="14"/>
      <c r="BX459" s="14"/>
      <c r="BY459" s="14"/>
      <c r="BZ459" s="14"/>
      <c r="CA459" s="14"/>
      <c r="CB459" s="14"/>
      <c r="CC459" s="14"/>
      <c r="CD459" s="14"/>
      <c r="CE459" s="14"/>
      <c r="CF459" s="14"/>
      <c r="CG459" s="14"/>
      <c r="CH459" s="14"/>
      <c r="CI459" s="14"/>
      <c r="CJ459" s="14"/>
      <c r="CK459" s="14"/>
      <c r="CL459" s="14"/>
      <c r="CM459" s="14"/>
      <c r="CN459" s="14"/>
      <c r="CO459" s="14"/>
      <c r="CP459" s="14"/>
      <c r="CQ459" s="14"/>
      <c r="CR459" s="14"/>
      <c r="CS459" s="14"/>
      <c r="CT459" s="14"/>
      <c r="CU459" s="14"/>
      <c r="CV459" s="14"/>
      <c r="CW459" s="14"/>
      <c r="CX459" s="14"/>
      <c r="CY459" s="14"/>
      <c r="CZ459" s="14"/>
      <c r="DA459" s="14"/>
      <c r="DB459" s="14"/>
      <c r="DC459" s="14"/>
      <c r="DD459" s="14"/>
      <c r="DE459" s="14"/>
      <c r="DF459" s="14"/>
      <c r="DG459" s="14"/>
      <c r="DH459" s="14"/>
      <c r="DI459" s="14"/>
      <c r="DJ459" s="14"/>
      <c r="DK459" s="14"/>
      <c r="DL459" s="14"/>
      <c r="DM459" s="14"/>
      <c r="DN459" s="14"/>
      <c r="DO459" s="14"/>
      <c r="DP459" s="14"/>
      <c r="DQ459" s="14"/>
      <c r="DR459" s="14"/>
      <c r="DS459" s="14"/>
      <c r="DT459" s="14"/>
      <c r="DU459" s="14"/>
      <c r="DV459" s="14"/>
      <c r="DW459" s="14"/>
      <c r="DX459" s="14"/>
      <c r="DY459" s="14"/>
      <c r="DZ459" s="14"/>
      <c r="EA459" s="14"/>
      <c r="EB459" s="14"/>
    </row>
    <row r="460" spans="4:132"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14"/>
      <c r="BQ460" s="14"/>
      <c r="BR460" s="14"/>
      <c r="BS460" s="14"/>
      <c r="BT460" s="14"/>
      <c r="BU460" s="14"/>
      <c r="BV460" s="14"/>
      <c r="BW460" s="14"/>
      <c r="BX460" s="14"/>
      <c r="BY460" s="14"/>
      <c r="BZ460" s="14"/>
      <c r="CA460" s="14"/>
      <c r="CB460" s="14"/>
      <c r="CC460" s="14"/>
      <c r="CD460" s="14"/>
      <c r="CE460" s="14"/>
      <c r="CF460" s="14"/>
      <c r="CG460" s="14"/>
      <c r="CH460" s="14"/>
      <c r="CI460" s="14"/>
      <c r="CJ460" s="14"/>
      <c r="CK460" s="14"/>
      <c r="CL460" s="14"/>
      <c r="CM460" s="14"/>
      <c r="CN460" s="14"/>
      <c r="CO460" s="14"/>
      <c r="CP460" s="14"/>
      <c r="CQ460" s="14"/>
      <c r="CR460" s="14"/>
      <c r="CS460" s="14"/>
      <c r="CT460" s="14"/>
      <c r="CU460" s="14"/>
      <c r="CV460" s="14"/>
      <c r="CW460" s="14"/>
      <c r="CX460" s="14"/>
      <c r="CY460" s="14"/>
      <c r="CZ460" s="14"/>
      <c r="DA460" s="14"/>
      <c r="DB460" s="14"/>
      <c r="DC460" s="14"/>
      <c r="DD460" s="14"/>
      <c r="DE460" s="14"/>
      <c r="DF460" s="14"/>
      <c r="DG460" s="14"/>
      <c r="DH460" s="14"/>
      <c r="DI460" s="14"/>
      <c r="DJ460" s="14"/>
      <c r="DK460" s="14"/>
      <c r="DL460" s="14"/>
      <c r="DM460" s="14"/>
      <c r="DN460" s="14"/>
      <c r="DO460" s="14"/>
      <c r="DP460" s="14"/>
      <c r="DQ460" s="14"/>
      <c r="DR460" s="14"/>
      <c r="DS460" s="14"/>
      <c r="DT460" s="14"/>
      <c r="DU460" s="14"/>
      <c r="DV460" s="14"/>
      <c r="DW460" s="14"/>
      <c r="DX460" s="14"/>
      <c r="DY460" s="14"/>
      <c r="DZ460" s="14"/>
      <c r="EA460" s="14"/>
      <c r="EB460" s="14"/>
    </row>
    <row r="461" spans="4:132"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14"/>
      <c r="BQ461" s="14"/>
      <c r="BR461" s="14"/>
      <c r="BS461" s="14"/>
      <c r="BT461" s="14"/>
      <c r="BU461" s="14"/>
      <c r="BV461" s="14"/>
      <c r="BW461" s="14"/>
      <c r="BX461" s="14"/>
      <c r="BY461" s="14"/>
      <c r="BZ461" s="14"/>
      <c r="CA461" s="14"/>
      <c r="CB461" s="14"/>
      <c r="CC461" s="14"/>
      <c r="CD461" s="14"/>
      <c r="CE461" s="14"/>
      <c r="CF461" s="14"/>
      <c r="CG461" s="14"/>
      <c r="CH461" s="14"/>
      <c r="CI461" s="14"/>
      <c r="CJ461" s="14"/>
      <c r="CK461" s="14"/>
      <c r="CL461" s="14"/>
      <c r="CM461" s="14"/>
      <c r="CN461" s="14"/>
      <c r="CO461" s="14"/>
      <c r="CP461" s="14"/>
      <c r="CQ461" s="14"/>
      <c r="CR461" s="14"/>
      <c r="CS461" s="14"/>
      <c r="CT461" s="14"/>
      <c r="CU461" s="14"/>
      <c r="CV461" s="14"/>
      <c r="CW461" s="14"/>
      <c r="CX461" s="14"/>
      <c r="CY461" s="14"/>
      <c r="CZ461" s="14"/>
      <c r="DA461" s="14"/>
      <c r="DB461" s="14"/>
      <c r="DC461" s="14"/>
      <c r="DD461" s="14"/>
      <c r="DE461" s="14"/>
      <c r="DF461" s="14"/>
      <c r="DG461" s="14"/>
      <c r="DH461" s="14"/>
      <c r="DI461" s="14"/>
      <c r="DJ461" s="14"/>
      <c r="DK461" s="14"/>
      <c r="DL461" s="14"/>
      <c r="DM461" s="14"/>
      <c r="DN461" s="14"/>
      <c r="DO461" s="14"/>
      <c r="DP461" s="14"/>
      <c r="DQ461" s="14"/>
      <c r="DR461" s="14"/>
      <c r="DS461" s="14"/>
      <c r="DT461" s="14"/>
      <c r="DU461" s="14"/>
      <c r="DV461" s="14"/>
      <c r="DW461" s="14"/>
      <c r="DX461" s="14"/>
      <c r="DY461" s="14"/>
      <c r="DZ461" s="14"/>
      <c r="EA461" s="14"/>
      <c r="EB461" s="14"/>
    </row>
    <row r="462" spans="4:132"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14"/>
      <c r="BQ462" s="14"/>
      <c r="BR462" s="14"/>
      <c r="BS462" s="14"/>
      <c r="BT462" s="14"/>
      <c r="BU462" s="14"/>
      <c r="BV462" s="14"/>
      <c r="BW462" s="14"/>
      <c r="BX462" s="14"/>
      <c r="BY462" s="14"/>
      <c r="BZ462" s="14"/>
      <c r="CA462" s="14"/>
      <c r="CB462" s="14"/>
      <c r="CC462" s="14"/>
      <c r="CD462" s="14"/>
      <c r="CE462" s="14"/>
      <c r="CF462" s="14"/>
      <c r="CG462" s="14"/>
      <c r="CH462" s="14"/>
      <c r="CI462" s="14"/>
      <c r="CJ462" s="14"/>
      <c r="CK462" s="14"/>
      <c r="CL462" s="14"/>
      <c r="CM462" s="14"/>
      <c r="CN462" s="14"/>
      <c r="CO462" s="14"/>
      <c r="CP462" s="14"/>
      <c r="CQ462" s="14"/>
      <c r="CR462" s="14"/>
      <c r="CS462" s="14"/>
      <c r="CT462" s="14"/>
      <c r="CU462" s="14"/>
      <c r="CV462" s="14"/>
      <c r="CW462" s="14"/>
      <c r="CX462" s="14"/>
      <c r="CY462" s="14"/>
      <c r="CZ462" s="14"/>
      <c r="DA462" s="14"/>
      <c r="DB462" s="14"/>
      <c r="DC462" s="14"/>
      <c r="DD462" s="14"/>
      <c r="DE462" s="14"/>
      <c r="DF462" s="14"/>
      <c r="DG462" s="14"/>
      <c r="DH462" s="14"/>
      <c r="DI462" s="14"/>
      <c r="DJ462" s="14"/>
      <c r="DK462" s="14"/>
      <c r="DL462" s="14"/>
      <c r="DM462" s="14"/>
      <c r="DN462" s="14"/>
      <c r="DO462" s="14"/>
      <c r="DP462" s="14"/>
      <c r="DQ462" s="14"/>
      <c r="DR462" s="14"/>
      <c r="DS462" s="14"/>
      <c r="DT462" s="14"/>
      <c r="DU462" s="14"/>
      <c r="DV462" s="14"/>
      <c r="DW462" s="14"/>
      <c r="DX462" s="14"/>
      <c r="DY462" s="14"/>
      <c r="DZ462" s="14"/>
      <c r="EA462" s="14"/>
      <c r="EB462" s="14"/>
    </row>
    <row r="463" spans="4:132"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14"/>
      <c r="BQ463" s="14"/>
      <c r="BR463" s="14"/>
      <c r="BS463" s="14"/>
      <c r="BT463" s="14"/>
      <c r="BU463" s="14"/>
      <c r="BV463" s="14"/>
      <c r="BW463" s="14"/>
      <c r="BX463" s="14"/>
      <c r="BY463" s="14"/>
      <c r="BZ463" s="14"/>
      <c r="CA463" s="14"/>
      <c r="CB463" s="14"/>
      <c r="CC463" s="14"/>
      <c r="CD463" s="14"/>
      <c r="CE463" s="14"/>
      <c r="CF463" s="14"/>
      <c r="CG463" s="14"/>
      <c r="CH463" s="14"/>
      <c r="CI463" s="14"/>
      <c r="CJ463" s="14"/>
      <c r="CK463" s="14"/>
      <c r="CL463" s="14"/>
      <c r="CM463" s="14"/>
      <c r="CN463" s="14"/>
      <c r="CO463" s="14"/>
      <c r="CP463" s="14"/>
      <c r="CQ463" s="14"/>
      <c r="CR463" s="14"/>
      <c r="CS463" s="14"/>
      <c r="CT463" s="14"/>
      <c r="CU463" s="14"/>
      <c r="CV463" s="14"/>
      <c r="CW463" s="14"/>
      <c r="CX463" s="14"/>
      <c r="CY463" s="14"/>
      <c r="CZ463" s="14"/>
      <c r="DA463" s="14"/>
      <c r="DB463" s="14"/>
      <c r="DC463" s="14"/>
      <c r="DD463" s="14"/>
      <c r="DE463" s="14"/>
      <c r="DF463" s="14"/>
      <c r="DG463" s="14"/>
      <c r="DH463" s="14"/>
      <c r="DI463" s="14"/>
      <c r="DJ463" s="14"/>
      <c r="DK463" s="14"/>
      <c r="DL463" s="14"/>
      <c r="DM463" s="14"/>
      <c r="DN463" s="14"/>
      <c r="DO463" s="14"/>
      <c r="DP463" s="14"/>
      <c r="DQ463" s="14"/>
      <c r="DR463" s="14"/>
      <c r="DS463" s="14"/>
      <c r="DT463" s="14"/>
      <c r="DU463" s="14"/>
      <c r="DV463" s="14"/>
      <c r="DW463" s="14"/>
      <c r="DX463" s="14"/>
      <c r="DY463" s="14"/>
      <c r="DZ463" s="14"/>
      <c r="EA463" s="14"/>
      <c r="EB463" s="14"/>
    </row>
    <row r="464" spans="4:132"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14"/>
      <c r="BQ464" s="14"/>
      <c r="BR464" s="14"/>
      <c r="BS464" s="14"/>
      <c r="BT464" s="14"/>
      <c r="BU464" s="14"/>
      <c r="BV464" s="14"/>
      <c r="BW464" s="14"/>
      <c r="BX464" s="14"/>
      <c r="BY464" s="14"/>
      <c r="BZ464" s="14"/>
      <c r="CA464" s="14"/>
      <c r="CB464" s="14"/>
      <c r="CC464" s="14"/>
      <c r="CD464" s="14"/>
      <c r="CE464" s="14"/>
      <c r="CF464" s="14"/>
      <c r="CG464" s="14"/>
      <c r="CH464" s="14"/>
      <c r="CI464" s="14"/>
      <c r="CJ464" s="14"/>
      <c r="CK464" s="14"/>
      <c r="CL464" s="14"/>
      <c r="CM464" s="14"/>
      <c r="CN464" s="14"/>
      <c r="CO464" s="14"/>
      <c r="CP464" s="14"/>
      <c r="CQ464" s="14"/>
      <c r="CR464" s="14"/>
      <c r="CS464" s="14"/>
      <c r="CT464" s="14"/>
      <c r="CU464" s="14"/>
      <c r="CV464" s="14"/>
      <c r="CW464" s="14"/>
      <c r="CX464" s="14"/>
      <c r="CY464" s="14"/>
      <c r="CZ464" s="14"/>
      <c r="DA464" s="14"/>
      <c r="DB464" s="14"/>
      <c r="DC464" s="14"/>
      <c r="DD464" s="14"/>
      <c r="DE464" s="14"/>
      <c r="DF464" s="14"/>
      <c r="DG464" s="14"/>
      <c r="DH464" s="14"/>
      <c r="DI464" s="14"/>
      <c r="DJ464" s="14"/>
      <c r="DK464" s="14"/>
      <c r="DL464" s="14"/>
      <c r="DM464" s="14"/>
      <c r="DN464" s="14"/>
      <c r="DO464" s="14"/>
      <c r="DP464" s="14"/>
      <c r="DQ464" s="14"/>
      <c r="DR464" s="14"/>
      <c r="DS464" s="14"/>
      <c r="DT464" s="14"/>
      <c r="DU464" s="14"/>
      <c r="DV464" s="14"/>
      <c r="DW464" s="14"/>
      <c r="DX464" s="14"/>
      <c r="DY464" s="14"/>
      <c r="DZ464" s="14"/>
      <c r="EA464" s="14"/>
      <c r="EB464" s="14"/>
    </row>
    <row r="465" spans="4:132"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14"/>
      <c r="BQ465" s="14"/>
      <c r="BR465" s="14"/>
      <c r="BS465" s="14"/>
      <c r="BT465" s="14"/>
      <c r="BU465" s="14"/>
      <c r="BV465" s="14"/>
      <c r="BW465" s="14"/>
      <c r="BX465" s="14"/>
      <c r="BY465" s="14"/>
      <c r="BZ465" s="14"/>
      <c r="CA465" s="14"/>
      <c r="CB465" s="14"/>
      <c r="CC465" s="14"/>
      <c r="CD465" s="14"/>
      <c r="CE465" s="14"/>
      <c r="CF465" s="14"/>
      <c r="CG465" s="14"/>
      <c r="CH465" s="14"/>
      <c r="CI465" s="14"/>
      <c r="CJ465" s="14"/>
      <c r="CK465" s="14"/>
      <c r="CL465" s="14"/>
      <c r="CM465" s="14"/>
      <c r="CN465" s="14"/>
      <c r="CO465" s="14"/>
      <c r="CP465" s="14"/>
      <c r="CQ465" s="14"/>
      <c r="CR465" s="14"/>
      <c r="CS465" s="14"/>
      <c r="CT465" s="14"/>
      <c r="CU465" s="14"/>
      <c r="CV465" s="14"/>
      <c r="CW465" s="14"/>
      <c r="CX465" s="14"/>
      <c r="CY465" s="14"/>
      <c r="CZ465" s="14"/>
      <c r="DA465" s="14"/>
      <c r="DB465" s="14"/>
      <c r="DC465" s="14"/>
      <c r="DD465" s="14"/>
      <c r="DE465" s="14"/>
      <c r="DF465" s="14"/>
      <c r="DG465" s="14"/>
      <c r="DH465" s="14"/>
      <c r="DI465" s="14"/>
      <c r="DJ465" s="14"/>
      <c r="DK465" s="14"/>
      <c r="DL465" s="14"/>
      <c r="DM465" s="14"/>
      <c r="DN465" s="14"/>
      <c r="DO465" s="14"/>
      <c r="DP465" s="14"/>
      <c r="DQ465" s="14"/>
      <c r="DR465" s="14"/>
      <c r="DS465" s="14"/>
      <c r="DT465" s="14"/>
      <c r="DU465" s="14"/>
      <c r="DV465" s="14"/>
      <c r="DW465" s="14"/>
      <c r="DX465" s="14"/>
      <c r="DY465" s="14"/>
      <c r="DZ465" s="14"/>
      <c r="EA465" s="14"/>
      <c r="EB465" s="14"/>
    </row>
    <row r="466" spans="4:132"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14"/>
      <c r="BQ466" s="14"/>
      <c r="BR466" s="14"/>
      <c r="BS466" s="14"/>
      <c r="BT466" s="14"/>
      <c r="BU466" s="14"/>
      <c r="BV466" s="14"/>
      <c r="BW466" s="14"/>
      <c r="BX466" s="14"/>
      <c r="BY466" s="14"/>
      <c r="BZ466" s="14"/>
      <c r="CA466" s="14"/>
      <c r="CB466" s="14"/>
      <c r="CC466" s="14"/>
      <c r="CD466" s="14"/>
      <c r="CE466" s="14"/>
      <c r="CF466" s="14"/>
      <c r="CG466" s="14"/>
      <c r="CH466" s="14"/>
      <c r="CI466" s="14"/>
      <c r="CJ466" s="14"/>
      <c r="CK466" s="14"/>
      <c r="CL466" s="14"/>
      <c r="CM466" s="14"/>
      <c r="CN466" s="14"/>
      <c r="CO466" s="14"/>
      <c r="CP466" s="14"/>
      <c r="CQ466" s="14"/>
      <c r="CR466" s="14"/>
      <c r="CS466" s="14"/>
      <c r="CT466" s="14"/>
      <c r="CU466" s="14"/>
      <c r="CV466" s="14"/>
      <c r="CW466" s="14"/>
      <c r="CX466" s="14"/>
      <c r="CY466" s="14"/>
      <c r="CZ466" s="14"/>
      <c r="DA466" s="14"/>
      <c r="DB466" s="14"/>
      <c r="DC466" s="14"/>
      <c r="DD466" s="14"/>
      <c r="DE466" s="14"/>
      <c r="DF466" s="14"/>
      <c r="DG466" s="14"/>
      <c r="DH466" s="14"/>
      <c r="DI466" s="14"/>
      <c r="DJ466" s="14"/>
      <c r="DK466" s="14"/>
      <c r="DL466" s="14"/>
      <c r="DM466" s="14"/>
      <c r="DN466" s="14"/>
      <c r="DO466" s="14"/>
      <c r="DP466" s="14"/>
      <c r="DQ466" s="14"/>
      <c r="DR466" s="14"/>
      <c r="DS466" s="14"/>
      <c r="DT466" s="14"/>
      <c r="DU466" s="14"/>
      <c r="DV466" s="14"/>
      <c r="DW466" s="14"/>
      <c r="DX466" s="14"/>
      <c r="DY466" s="14"/>
      <c r="DZ466" s="14"/>
      <c r="EA466" s="14"/>
      <c r="EB466" s="14"/>
    </row>
    <row r="467" spans="4:132"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14"/>
      <c r="BQ467" s="14"/>
      <c r="BR467" s="14"/>
      <c r="BS467" s="14"/>
      <c r="BT467" s="14"/>
      <c r="BU467" s="14"/>
      <c r="BV467" s="14"/>
      <c r="BW467" s="14"/>
      <c r="BX467" s="14"/>
      <c r="BY467" s="14"/>
      <c r="BZ467" s="14"/>
      <c r="CA467" s="14"/>
      <c r="CB467" s="14"/>
      <c r="CC467" s="14"/>
      <c r="CD467" s="14"/>
      <c r="CE467" s="14"/>
      <c r="CF467" s="14"/>
      <c r="CG467" s="14"/>
      <c r="CH467" s="14"/>
      <c r="CI467" s="14"/>
      <c r="CJ467" s="14"/>
      <c r="CK467" s="14"/>
      <c r="CL467" s="14"/>
      <c r="CM467" s="14"/>
      <c r="CN467" s="14"/>
      <c r="CO467" s="14"/>
      <c r="CP467" s="14"/>
      <c r="CQ467" s="14"/>
      <c r="CR467" s="14"/>
      <c r="CS467" s="14"/>
      <c r="CT467" s="14"/>
      <c r="CU467" s="14"/>
      <c r="CV467" s="14"/>
      <c r="CW467" s="14"/>
      <c r="CX467" s="14"/>
      <c r="CY467" s="14"/>
      <c r="CZ467" s="14"/>
      <c r="DA467" s="14"/>
      <c r="DB467" s="14"/>
      <c r="DC467" s="14"/>
      <c r="DD467" s="14"/>
      <c r="DE467" s="14"/>
      <c r="DF467" s="14"/>
      <c r="DG467" s="14"/>
      <c r="DH467" s="14"/>
      <c r="DI467" s="14"/>
      <c r="DJ467" s="14"/>
      <c r="DK467" s="14"/>
      <c r="DL467" s="14"/>
      <c r="DM467" s="14"/>
      <c r="DN467" s="14"/>
      <c r="DO467" s="14"/>
      <c r="DP467" s="14"/>
      <c r="DQ467" s="14"/>
      <c r="DR467" s="14"/>
      <c r="DS467" s="14"/>
      <c r="DT467" s="14"/>
      <c r="DU467" s="14"/>
      <c r="DV467" s="14"/>
      <c r="DW467" s="14"/>
      <c r="DX467" s="14"/>
      <c r="DY467" s="14"/>
      <c r="DZ467" s="14"/>
      <c r="EA467" s="14"/>
      <c r="EB467" s="14"/>
    </row>
    <row r="468" spans="4:132"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14"/>
      <c r="BQ468" s="14"/>
      <c r="BR468" s="14"/>
      <c r="BS468" s="14"/>
      <c r="BT468" s="14"/>
      <c r="BU468" s="14"/>
      <c r="BV468" s="14"/>
      <c r="BW468" s="14"/>
      <c r="BX468" s="14"/>
      <c r="BY468" s="14"/>
      <c r="BZ468" s="14"/>
      <c r="CA468" s="14"/>
      <c r="CB468" s="14"/>
      <c r="CC468" s="14"/>
      <c r="CD468" s="14"/>
      <c r="CE468" s="14"/>
      <c r="CF468" s="14"/>
      <c r="CG468" s="14"/>
      <c r="CH468" s="14"/>
      <c r="CI468" s="14"/>
      <c r="CJ468" s="14"/>
      <c r="CK468" s="14"/>
      <c r="CL468" s="14"/>
      <c r="CM468" s="14"/>
      <c r="CN468" s="14"/>
      <c r="CO468" s="14"/>
      <c r="CP468" s="14"/>
      <c r="CQ468" s="14"/>
      <c r="CR468" s="14"/>
      <c r="CS468" s="14"/>
      <c r="CT468" s="14"/>
      <c r="CU468" s="14"/>
      <c r="CV468" s="14"/>
      <c r="CW468" s="14"/>
      <c r="CX468" s="14"/>
      <c r="CY468" s="14"/>
      <c r="CZ468" s="14"/>
      <c r="DA468" s="14"/>
      <c r="DB468" s="14"/>
      <c r="DC468" s="14"/>
      <c r="DD468" s="14"/>
      <c r="DE468" s="14"/>
      <c r="DF468" s="14"/>
      <c r="DG468" s="14"/>
      <c r="DH468" s="14"/>
      <c r="DI468" s="14"/>
      <c r="DJ468" s="14"/>
      <c r="DK468" s="14"/>
      <c r="DL468" s="14"/>
      <c r="DM468" s="14"/>
      <c r="DN468" s="14"/>
      <c r="DO468" s="14"/>
      <c r="DP468" s="14"/>
      <c r="DQ468" s="14"/>
      <c r="DR468" s="14"/>
      <c r="DS468" s="14"/>
      <c r="DT468" s="14"/>
      <c r="DU468" s="14"/>
      <c r="DV468" s="14"/>
      <c r="DW468" s="14"/>
      <c r="DX468" s="14"/>
      <c r="DY468" s="14"/>
      <c r="DZ468" s="14"/>
      <c r="EA468" s="14"/>
      <c r="EB468" s="14"/>
    </row>
    <row r="469" spans="4:132"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14"/>
      <c r="BQ469" s="14"/>
      <c r="BR469" s="14"/>
      <c r="BS469" s="14"/>
      <c r="BT469" s="14"/>
      <c r="BU469" s="14"/>
      <c r="BV469" s="14"/>
      <c r="BW469" s="14"/>
      <c r="BX469" s="14"/>
      <c r="BY469" s="14"/>
      <c r="BZ469" s="14"/>
      <c r="CA469" s="14"/>
      <c r="CB469" s="14"/>
      <c r="CC469" s="14"/>
      <c r="CD469" s="14"/>
      <c r="CE469" s="14"/>
      <c r="CF469" s="14"/>
      <c r="CG469" s="14"/>
      <c r="CH469" s="14"/>
      <c r="CI469" s="14"/>
      <c r="CJ469" s="14"/>
      <c r="CK469" s="14"/>
      <c r="CL469" s="14"/>
      <c r="CM469" s="14"/>
      <c r="CN469" s="14"/>
      <c r="CO469" s="14"/>
      <c r="CP469" s="14"/>
      <c r="CQ469" s="14"/>
      <c r="CR469" s="14"/>
      <c r="CS469" s="14"/>
      <c r="CT469" s="14"/>
      <c r="CU469" s="14"/>
      <c r="CV469" s="14"/>
      <c r="CW469" s="14"/>
      <c r="CX469" s="14"/>
      <c r="CY469" s="14"/>
      <c r="CZ469" s="14"/>
      <c r="DA469" s="14"/>
      <c r="DB469" s="14"/>
      <c r="DC469" s="14"/>
      <c r="DD469" s="14"/>
      <c r="DE469" s="14"/>
      <c r="DF469" s="14"/>
      <c r="DG469" s="14"/>
      <c r="DH469" s="14"/>
      <c r="DI469" s="14"/>
      <c r="DJ469" s="14"/>
      <c r="DK469" s="14"/>
      <c r="DL469" s="14"/>
      <c r="DM469" s="14"/>
      <c r="DN469" s="14"/>
      <c r="DO469" s="14"/>
      <c r="DP469" s="14"/>
      <c r="DQ469" s="14"/>
      <c r="DR469" s="14"/>
      <c r="DS469" s="14"/>
      <c r="DT469" s="14"/>
      <c r="DU469" s="14"/>
      <c r="DV469" s="14"/>
      <c r="DW469" s="14"/>
      <c r="DX469" s="14"/>
      <c r="DY469" s="14"/>
      <c r="DZ469" s="14"/>
      <c r="EA469" s="14"/>
      <c r="EB469" s="14"/>
    </row>
    <row r="470" spans="4:132"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14"/>
      <c r="BQ470" s="14"/>
      <c r="BR470" s="14"/>
      <c r="BS470" s="14"/>
      <c r="BT470" s="14"/>
      <c r="BU470" s="14"/>
      <c r="BV470" s="14"/>
      <c r="BW470" s="14"/>
      <c r="BX470" s="14"/>
      <c r="BY470" s="14"/>
      <c r="BZ470" s="14"/>
      <c r="CA470" s="14"/>
      <c r="CB470" s="14"/>
      <c r="CC470" s="14"/>
      <c r="CD470" s="14"/>
      <c r="CE470" s="14"/>
      <c r="CF470" s="14"/>
      <c r="CG470" s="14"/>
      <c r="CH470" s="14"/>
      <c r="CI470" s="14"/>
      <c r="CJ470" s="14"/>
      <c r="CK470" s="14"/>
      <c r="CL470" s="14"/>
      <c r="CM470" s="14"/>
      <c r="CN470" s="14"/>
      <c r="CO470" s="14"/>
      <c r="CP470" s="14"/>
      <c r="CQ470" s="14"/>
      <c r="CR470" s="14"/>
      <c r="CS470" s="14"/>
      <c r="CT470" s="14"/>
      <c r="CU470" s="14"/>
      <c r="CV470" s="14"/>
      <c r="CW470" s="14"/>
      <c r="CX470" s="14"/>
      <c r="CY470" s="14"/>
      <c r="CZ470" s="14"/>
      <c r="DA470" s="14"/>
      <c r="DB470" s="14"/>
      <c r="DC470" s="14"/>
      <c r="DD470" s="14"/>
      <c r="DE470" s="14"/>
      <c r="DF470" s="14"/>
      <c r="DG470" s="14"/>
      <c r="DH470" s="14"/>
      <c r="DI470" s="14"/>
      <c r="DJ470" s="14"/>
      <c r="DK470" s="14"/>
      <c r="DL470" s="14"/>
      <c r="DM470" s="14"/>
      <c r="DN470" s="14"/>
      <c r="DO470" s="14"/>
      <c r="DP470" s="14"/>
      <c r="DQ470" s="14"/>
      <c r="DR470" s="14"/>
      <c r="DS470" s="14"/>
      <c r="DT470" s="14"/>
      <c r="DU470" s="14"/>
      <c r="DV470" s="14"/>
      <c r="DW470" s="14"/>
      <c r="DX470" s="14"/>
      <c r="DY470" s="14"/>
      <c r="DZ470" s="14"/>
      <c r="EA470" s="14"/>
      <c r="EB470" s="14"/>
    </row>
    <row r="471" spans="4:132"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14"/>
      <c r="BQ471" s="14"/>
      <c r="BR471" s="14"/>
      <c r="BS471" s="14"/>
      <c r="BT471" s="14"/>
      <c r="BU471" s="14"/>
      <c r="BV471" s="14"/>
      <c r="BW471" s="14"/>
      <c r="BX471" s="14"/>
      <c r="BY471" s="14"/>
      <c r="BZ471" s="14"/>
      <c r="CA471" s="14"/>
      <c r="CB471" s="14"/>
      <c r="CC471" s="14"/>
      <c r="CD471" s="14"/>
      <c r="CE471" s="14"/>
      <c r="CF471" s="14"/>
      <c r="CG471" s="14"/>
      <c r="CH471" s="14"/>
      <c r="CI471" s="14"/>
      <c r="CJ471" s="14"/>
      <c r="CK471" s="14"/>
      <c r="CL471" s="14"/>
      <c r="CM471" s="14"/>
      <c r="CN471" s="14"/>
      <c r="CO471" s="14"/>
      <c r="CP471" s="14"/>
      <c r="CQ471" s="14"/>
      <c r="CR471" s="14"/>
      <c r="CS471" s="14"/>
      <c r="CT471" s="14"/>
      <c r="CU471" s="14"/>
      <c r="CV471" s="14"/>
      <c r="CW471" s="14"/>
      <c r="CX471" s="14"/>
      <c r="CY471" s="14"/>
      <c r="CZ471" s="14"/>
      <c r="DA471" s="14"/>
      <c r="DB471" s="14"/>
      <c r="DC471" s="14"/>
      <c r="DD471" s="14"/>
      <c r="DE471" s="14"/>
      <c r="DF471" s="14"/>
      <c r="DG471" s="14"/>
      <c r="DH471" s="14"/>
      <c r="DI471" s="14"/>
      <c r="DJ471" s="14"/>
      <c r="DK471" s="14"/>
      <c r="DL471" s="14"/>
      <c r="DM471" s="14"/>
      <c r="DN471" s="14"/>
      <c r="DO471" s="14"/>
      <c r="DP471" s="14"/>
      <c r="DQ471" s="14"/>
      <c r="DR471" s="14"/>
      <c r="DS471" s="14"/>
      <c r="DT471" s="14"/>
      <c r="DU471" s="14"/>
      <c r="DV471" s="14"/>
      <c r="DW471" s="14"/>
      <c r="DX471" s="14"/>
      <c r="DY471" s="14"/>
      <c r="DZ471" s="14"/>
      <c r="EA471" s="14"/>
      <c r="EB471" s="14"/>
    </row>
    <row r="472" spans="4:132"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14"/>
      <c r="BQ472" s="14"/>
      <c r="BR472" s="14"/>
      <c r="BS472" s="14"/>
      <c r="BT472" s="14"/>
      <c r="BU472" s="14"/>
      <c r="BV472" s="14"/>
      <c r="BW472" s="14"/>
      <c r="BX472" s="14"/>
      <c r="BY472" s="14"/>
      <c r="BZ472" s="14"/>
      <c r="CA472" s="14"/>
      <c r="CB472" s="14"/>
      <c r="CC472" s="14"/>
      <c r="CD472" s="14"/>
      <c r="CE472" s="14"/>
      <c r="CF472" s="14"/>
      <c r="CG472" s="14"/>
      <c r="CH472" s="14"/>
      <c r="CI472" s="14"/>
      <c r="CJ472" s="14"/>
      <c r="CK472" s="14"/>
      <c r="CL472" s="14"/>
      <c r="CM472" s="14"/>
      <c r="CN472" s="14"/>
      <c r="CO472" s="14"/>
      <c r="CP472" s="14"/>
      <c r="CQ472" s="14"/>
      <c r="CR472" s="14"/>
      <c r="CS472" s="14"/>
      <c r="CT472" s="14"/>
      <c r="CU472" s="14"/>
      <c r="CV472" s="14"/>
      <c r="CW472" s="14"/>
      <c r="CX472" s="14"/>
      <c r="CY472" s="14"/>
      <c r="CZ472" s="14"/>
      <c r="DA472" s="14"/>
      <c r="DB472" s="14"/>
      <c r="DC472" s="14"/>
      <c r="DD472" s="14"/>
      <c r="DE472" s="14"/>
      <c r="DF472" s="14"/>
      <c r="DG472" s="14"/>
      <c r="DH472" s="14"/>
      <c r="DI472" s="14"/>
      <c r="DJ472" s="14"/>
      <c r="DK472" s="14"/>
      <c r="DL472" s="14"/>
      <c r="DM472" s="14"/>
      <c r="DN472" s="14"/>
      <c r="DO472" s="14"/>
      <c r="DP472" s="14"/>
      <c r="DQ472" s="14"/>
      <c r="DR472" s="14"/>
      <c r="DS472" s="14"/>
      <c r="DT472" s="14"/>
      <c r="DU472" s="14"/>
      <c r="DV472" s="14"/>
      <c r="DW472" s="14"/>
      <c r="DX472" s="14"/>
      <c r="DY472" s="14"/>
      <c r="DZ472" s="14"/>
      <c r="EA472" s="14"/>
      <c r="EB472" s="14"/>
    </row>
    <row r="473" spans="4:132"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14"/>
      <c r="BQ473" s="14"/>
      <c r="BR473" s="14"/>
      <c r="BS473" s="14"/>
      <c r="BT473" s="14"/>
      <c r="BU473" s="14"/>
      <c r="BV473" s="14"/>
      <c r="BW473" s="14"/>
      <c r="BX473" s="14"/>
      <c r="BY473" s="14"/>
      <c r="BZ473" s="14"/>
      <c r="CA473" s="14"/>
      <c r="CB473" s="14"/>
      <c r="CC473" s="14"/>
      <c r="CD473" s="14"/>
      <c r="CE473" s="14"/>
      <c r="CF473" s="14"/>
      <c r="CG473" s="14"/>
      <c r="CH473" s="14"/>
      <c r="CI473" s="14"/>
      <c r="CJ473" s="14"/>
      <c r="CK473" s="14"/>
      <c r="CL473" s="14"/>
      <c r="CM473" s="14"/>
      <c r="CN473" s="14"/>
      <c r="CO473" s="14"/>
      <c r="CP473" s="14"/>
      <c r="CQ473" s="14"/>
      <c r="CR473" s="14"/>
      <c r="CS473" s="14"/>
      <c r="CT473" s="14"/>
      <c r="CU473" s="14"/>
      <c r="CV473" s="14"/>
      <c r="CW473" s="14"/>
      <c r="CX473" s="14"/>
      <c r="CY473" s="14"/>
      <c r="CZ473" s="14"/>
      <c r="DA473" s="14"/>
      <c r="DB473" s="14"/>
      <c r="DC473" s="14"/>
      <c r="DD473" s="14"/>
      <c r="DE473" s="14"/>
      <c r="DF473" s="14"/>
      <c r="DG473" s="14"/>
      <c r="DH473" s="14"/>
      <c r="DI473" s="14"/>
      <c r="DJ473" s="14"/>
      <c r="DK473" s="14"/>
      <c r="DL473" s="14"/>
      <c r="DM473" s="14"/>
      <c r="DN473" s="14"/>
      <c r="DO473" s="14"/>
      <c r="DP473" s="14"/>
      <c r="DQ473" s="14"/>
      <c r="DR473" s="14"/>
      <c r="DS473" s="14"/>
      <c r="DT473" s="14"/>
      <c r="DU473" s="14"/>
      <c r="DV473" s="14"/>
      <c r="DW473" s="14"/>
      <c r="DX473" s="14"/>
      <c r="DY473" s="14"/>
      <c r="DZ473" s="14"/>
      <c r="EA473" s="14"/>
      <c r="EB473" s="14"/>
    </row>
    <row r="474" spans="4:132"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14"/>
      <c r="BQ474" s="14"/>
      <c r="BR474" s="14"/>
      <c r="BS474" s="14"/>
      <c r="BT474" s="14"/>
      <c r="BU474" s="14"/>
      <c r="BV474" s="14"/>
      <c r="BW474" s="14"/>
      <c r="BX474" s="14"/>
      <c r="BY474" s="14"/>
      <c r="BZ474" s="14"/>
      <c r="CA474" s="14"/>
      <c r="CB474" s="14"/>
      <c r="CC474" s="14"/>
      <c r="CD474" s="14"/>
      <c r="CE474" s="14"/>
      <c r="CF474" s="14"/>
      <c r="CG474" s="14"/>
      <c r="CH474" s="14"/>
      <c r="CI474" s="14"/>
      <c r="CJ474" s="14"/>
      <c r="CK474" s="14"/>
      <c r="CL474" s="14"/>
      <c r="CM474" s="14"/>
      <c r="CN474" s="14"/>
      <c r="CO474" s="14"/>
      <c r="CP474" s="14"/>
      <c r="CQ474" s="14"/>
      <c r="CR474" s="14"/>
      <c r="CS474" s="14"/>
      <c r="CT474" s="14"/>
      <c r="CU474" s="14"/>
      <c r="CV474" s="14"/>
      <c r="CW474" s="14"/>
      <c r="CX474" s="14"/>
      <c r="CY474" s="14"/>
      <c r="CZ474" s="14"/>
      <c r="DA474" s="14"/>
      <c r="DB474" s="14"/>
      <c r="DC474" s="14"/>
      <c r="DD474" s="14"/>
      <c r="DE474" s="14"/>
      <c r="DF474" s="14"/>
      <c r="DG474" s="14"/>
      <c r="DH474" s="14"/>
      <c r="DI474" s="14"/>
      <c r="DJ474" s="14"/>
      <c r="DK474" s="14"/>
      <c r="DL474" s="14"/>
      <c r="DM474" s="14"/>
      <c r="DN474" s="14"/>
      <c r="DO474" s="14"/>
      <c r="DP474" s="14"/>
      <c r="DQ474" s="14"/>
      <c r="DR474" s="14"/>
      <c r="DS474" s="14"/>
      <c r="DT474" s="14"/>
      <c r="DU474" s="14"/>
      <c r="DV474" s="14"/>
      <c r="DW474" s="14"/>
      <c r="DX474" s="14"/>
      <c r="DY474" s="14"/>
      <c r="DZ474" s="14"/>
      <c r="EA474" s="14"/>
      <c r="EB474" s="14"/>
    </row>
    <row r="475" spans="4:132"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14"/>
      <c r="BQ475" s="14"/>
      <c r="BR475" s="14"/>
      <c r="BS475" s="14"/>
      <c r="BT475" s="14"/>
      <c r="BU475" s="14"/>
      <c r="BV475" s="14"/>
      <c r="BW475" s="14"/>
      <c r="BX475" s="14"/>
      <c r="BY475" s="14"/>
      <c r="BZ475" s="14"/>
      <c r="CA475" s="14"/>
      <c r="CB475" s="14"/>
      <c r="CC475" s="14"/>
      <c r="CD475" s="14"/>
      <c r="CE475" s="14"/>
      <c r="CF475" s="14"/>
      <c r="CG475" s="14"/>
      <c r="CH475" s="14"/>
      <c r="CI475" s="14"/>
      <c r="CJ475" s="14"/>
      <c r="CK475" s="14"/>
      <c r="CL475" s="14"/>
      <c r="CM475" s="14"/>
      <c r="CN475" s="14"/>
      <c r="CO475" s="14"/>
      <c r="CP475" s="14"/>
      <c r="CQ475" s="14"/>
      <c r="CR475" s="14"/>
      <c r="CS475" s="14"/>
      <c r="CT475" s="14"/>
      <c r="CU475" s="14"/>
      <c r="CV475" s="14"/>
      <c r="CW475" s="14"/>
      <c r="CX475" s="14"/>
      <c r="CY475" s="14"/>
      <c r="CZ475" s="14"/>
      <c r="DA475" s="14"/>
      <c r="DB475" s="14"/>
      <c r="DC475" s="14"/>
      <c r="DD475" s="14"/>
      <c r="DE475" s="14"/>
      <c r="DF475" s="14"/>
      <c r="DG475" s="14"/>
      <c r="DH475" s="14"/>
      <c r="DI475" s="14"/>
      <c r="DJ475" s="14"/>
      <c r="DK475" s="14"/>
      <c r="DL475" s="14"/>
      <c r="DM475" s="14"/>
      <c r="DN475" s="14"/>
      <c r="DO475" s="14"/>
      <c r="DP475" s="14"/>
      <c r="DQ475" s="14"/>
      <c r="DR475" s="14"/>
      <c r="DS475" s="14"/>
      <c r="DT475" s="14"/>
      <c r="DU475" s="14"/>
      <c r="DV475" s="14"/>
      <c r="DW475" s="14"/>
      <c r="DX475" s="14"/>
      <c r="DY475" s="14"/>
      <c r="DZ475" s="14"/>
      <c r="EA475" s="14"/>
      <c r="EB475" s="14"/>
    </row>
    <row r="476" spans="4:132"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14"/>
      <c r="BQ476" s="14"/>
      <c r="BR476" s="14"/>
      <c r="BS476" s="14"/>
      <c r="BT476" s="14"/>
      <c r="BU476" s="14"/>
      <c r="BV476" s="14"/>
      <c r="BW476" s="14"/>
      <c r="BX476" s="14"/>
      <c r="BY476" s="14"/>
      <c r="BZ476" s="14"/>
      <c r="CA476" s="14"/>
      <c r="CB476" s="14"/>
      <c r="CC476" s="14"/>
      <c r="CD476" s="14"/>
      <c r="CE476" s="14"/>
      <c r="CF476" s="14"/>
      <c r="CG476" s="14"/>
      <c r="CH476" s="14"/>
      <c r="CI476" s="14"/>
      <c r="CJ476" s="14"/>
      <c r="CK476" s="14"/>
      <c r="CL476" s="14"/>
      <c r="CM476" s="14"/>
      <c r="CN476" s="14"/>
      <c r="CO476" s="14"/>
      <c r="CP476" s="14"/>
      <c r="CQ476" s="14"/>
      <c r="CR476" s="14"/>
      <c r="CS476" s="14"/>
      <c r="CT476" s="14"/>
      <c r="CU476" s="14"/>
      <c r="CV476" s="14"/>
      <c r="CW476" s="14"/>
      <c r="CX476" s="14"/>
      <c r="CY476" s="14"/>
      <c r="CZ476" s="14"/>
      <c r="DA476" s="14"/>
      <c r="DB476" s="14"/>
      <c r="DC476" s="14"/>
      <c r="DD476" s="14"/>
      <c r="DE476" s="14"/>
      <c r="DF476" s="14"/>
      <c r="DG476" s="14"/>
      <c r="DH476" s="14"/>
      <c r="DI476" s="14"/>
      <c r="DJ476" s="14"/>
      <c r="DK476" s="14"/>
      <c r="DL476" s="14"/>
      <c r="DM476" s="14"/>
      <c r="DN476" s="14"/>
      <c r="DO476" s="14"/>
      <c r="DP476" s="14"/>
      <c r="DQ476" s="14"/>
      <c r="DR476" s="14"/>
      <c r="DS476" s="14"/>
      <c r="DT476" s="14"/>
      <c r="DU476" s="14"/>
      <c r="DV476" s="14"/>
      <c r="DW476" s="14"/>
      <c r="DX476" s="14"/>
      <c r="DY476" s="14"/>
      <c r="DZ476" s="14"/>
      <c r="EA476" s="14"/>
      <c r="EB476" s="14"/>
    </row>
    <row r="477" spans="4:132"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14"/>
      <c r="BQ477" s="14"/>
      <c r="BR477" s="14"/>
      <c r="BS477" s="14"/>
      <c r="BT477" s="14"/>
      <c r="BU477" s="14"/>
      <c r="BV477" s="14"/>
      <c r="BW477" s="14"/>
      <c r="BX477" s="14"/>
      <c r="BY477" s="14"/>
      <c r="BZ477" s="14"/>
      <c r="CA477" s="14"/>
      <c r="CB477" s="14"/>
      <c r="CC477" s="14"/>
      <c r="CD477" s="14"/>
      <c r="CE477" s="14"/>
      <c r="CF477" s="14"/>
      <c r="CG477" s="14"/>
      <c r="CH477" s="14"/>
      <c r="CI477" s="14"/>
      <c r="CJ477" s="14"/>
      <c r="CK477" s="14"/>
      <c r="CL477" s="14"/>
      <c r="CM477" s="14"/>
      <c r="CN477" s="14"/>
      <c r="CO477" s="14"/>
      <c r="CP477" s="14"/>
      <c r="CQ477" s="14"/>
      <c r="CR477" s="14"/>
      <c r="CS477" s="14"/>
      <c r="CT477" s="14"/>
      <c r="CU477" s="14"/>
      <c r="CV477" s="14"/>
      <c r="CW477" s="14"/>
      <c r="CX477" s="14"/>
      <c r="CY477" s="14"/>
      <c r="CZ477" s="14"/>
      <c r="DA477" s="14"/>
      <c r="DB477" s="14"/>
      <c r="DC477" s="14"/>
      <c r="DD477" s="14"/>
      <c r="DE477" s="14"/>
      <c r="DF477" s="14"/>
      <c r="DG477" s="14"/>
      <c r="DH477" s="14"/>
      <c r="DI477" s="14"/>
      <c r="DJ477" s="14"/>
      <c r="DK477" s="14"/>
      <c r="DL477" s="14"/>
      <c r="DM477" s="14"/>
      <c r="DN477" s="14"/>
      <c r="DO477" s="14"/>
      <c r="DP477" s="14"/>
      <c r="DQ477" s="14"/>
      <c r="DR477" s="14"/>
      <c r="DS477" s="14"/>
      <c r="DT477" s="14"/>
      <c r="DU477" s="14"/>
      <c r="DV477" s="14"/>
      <c r="DW477" s="14"/>
      <c r="DX477" s="14"/>
      <c r="DY477" s="14"/>
      <c r="DZ477" s="14"/>
      <c r="EA477" s="14"/>
      <c r="EB477" s="14"/>
    </row>
    <row r="478" spans="4:132"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14"/>
      <c r="BQ478" s="14"/>
      <c r="BR478" s="14"/>
      <c r="BS478" s="14"/>
      <c r="BT478" s="14"/>
      <c r="BU478" s="14"/>
      <c r="BV478" s="14"/>
      <c r="BW478" s="14"/>
      <c r="BX478" s="14"/>
      <c r="BY478" s="14"/>
      <c r="BZ478" s="14"/>
      <c r="CA478" s="14"/>
      <c r="CB478" s="14"/>
      <c r="CC478" s="14"/>
      <c r="CD478" s="14"/>
      <c r="CE478" s="14"/>
      <c r="CF478" s="14"/>
      <c r="CG478" s="14"/>
      <c r="CH478" s="14"/>
      <c r="CI478" s="14"/>
      <c r="CJ478" s="14"/>
      <c r="CK478" s="14"/>
      <c r="CL478" s="14"/>
      <c r="CM478" s="14"/>
      <c r="CN478" s="14"/>
      <c r="CO478" s="14"/>
      <c r="CP478" s="14"/>
      <c r="CQ478" s="14"/>
      <c r="CR478" s="14"/>
      <c r="CS478" s="14"/>
      <c r="CT478" s="14"/>
      <c r="CU478" s="14"/>
      <c r="CV478" s="14"/>
      <c r="CW478" s="14"/>
      <c r="CX478" s="14"/>
      <c r="CY478" s="14"/>
      <c r="CZ478" s="14"/>
      <c r="DA478" s="14"/>
      <c r="DB478" s="14"/>
      <c r="DC478" s="14"/>
      <c r="DD478" s="14"/>
      <c r="DE478" s="14"/>
      <c r="DF478" s="14"/>
      <c r="DG478" s="14"/>
      <c r="DH478" s="14"/>
      <c r="DI478" s="14"/>
      <c r="DJ478" s="14"/>
      <c r="DK478" s="14"/>
      <c r="DL478" s="14"/>
      <c r="DM478" s="14"/>
      <c r="DN478" s="14"/>
      <c r="DO478" s="14"/>
      <c r="DP478" s="14"/>
      <c r="DQ478" s="14"/>
      <c r="DR478" s="14"/>
      <c r="DS478" s="14"/>
      <c r="DT478" s="14"/>
      <c r="DU478" s="14"/>
      <c r="DV478" s="14"/>
      <c r="DW478" s="14"/>
      <c r="DX478" s="14"/>
      <c r="DY478" s="14"/>
      <c r="DZ478" s="14"/>
      <c r="EA478" s="14"/>
      <c r="EB478" s="14"/>
    </row>
    <row r="479" spans="4:132"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/>
      <c r="BM479" s="40"/>
      <c r="BN479" s="40"/>
      <c r="BO479" s="40"/>
      <c r="BP479" s="14"/>
      <c r="BQ479" s="14"/>
      <c r="BR479" s="14"/>
      <c r="BS479" s="14"/>
      <c r="BT479" s="14"/>
      <c r="BU479" s="14"/>
      <c r="BV479" s="14"/>
      <c r="BW479" s="14"/>
      <c r="BX479" s="14"/>
      <c r="BY479" s="14"/>
      <c r="BZ479" s="14"/>
      <c r="CA479" s="14"/>
      <c r="CB479" s="14"/>
      <c r="CC479" s="14"/>
      <c r="CD479" s="14"/>
      <c r="CE479" s="14"/>
      <c r="CF479" s="14"/>
      <c r="CG479" s="14"/>
      <c r="CH479" s="14"/>
      <c r="CI479" s="14"/>
      <c r="CJ479" s="14"/>
      <c r="CK479" s="14"/>
      <c r="CL479" s="14"/>
      <c r="CM479" s="14"/>
      <c r="CN479" s="14"/>
      <c r="CO479" s="14"/>
      <c r="CP479" s="14"/>
      <c r="CQ479" s="14"/>
      <c r="CR479" s="14"/>
      <c r="CS479" s="14"/>
      <c r="CT479" s="14"/>
      <c r="CU479" s="14"/>
      <c r="CV479" s="14"/>
      <c r="CW479" s="14"/>
      <c r="CX479" s="14"/>
      <c r="CY479" s="14"/>
      <c r="CZ479" s="14"/>
      <c r="DA479" s="14"/>
      <c r="DB479" s="14"/>
      <c r="DC479" s="14"/>
      <c r="DD479" s="14"/>
      <c r="DE479" s="14"/>
      <c r="DF479" s="14"/>
      <c r="DG479" s="14"/>
      <c r="DH479" s="14"/>
      <c r="DI479" s="14"/>
      <c r="DJ479" s="14"/>
      <c r="DK479" s="14"/>
      <c r="DL479" s="14"/>
      <c r="DM479" s="14"/>
      <c r="DN479" s="14"/>
      <c r="DO479" s="14"/>
      <c r="DP479" s="14"/>
      <c r="DQ479" s="14"/>
      <c r="DR479" s="14"/>
      <c r="DS479" s="14"/>
      <c r="DT479" s="14"/>
      <c r="DU479" s="14"/>
      <c r="DV479" s="14"/>
      <c r="DW479" s="14"/>
      <c r="DX479" s="14"/>
      <c r="DY479" s="14"/>
      <c r="DZ479" s="14"/>
      <c r="EA479" s="14"/>
      <c r="EB479" s="14"/>
    </row>
    <row r="480" spans="4:132"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14"/>
      <c r="BQ480" s="14"/>
      <c r="BR480" s="14"/>
      <c r="BS480" s="14"/>
      <c r="BT480" s="14"/>
      <c r="BU480" s="14"/>
      <c r="BV480" s="14"/>
      <c r="BW480" s="14"/>
      <c r="BX480" s="14"/>
      <c r="BY480" s="14"/>
      <c r="BZ480" s="14"/>
      <c r="CA480" s="14"/>
      <c r="CB480" s="14"/>
      <c r="CC480" s="14"/>
      <c r="CD480" s="14"/>
      <c r="CE480" s="14"/>
      <c r="CF480" s="14"/>
      <c r="CG480" s="14"/>
      <c r="CH480" s="14"/>
      <c r="CI480" s="14"/>
      <c r="CJ480" s="14"/>
      <c r="CK480" s="14"/>
      <c r="CL480" s="14"/>
      <c r="CM480" s="14"/>
      <c r="CN480" s="14"/>
      <c r="CO480" s="14"/>
      <c r="CP480" s="14"/>
      <c r="CQ480" s="14"/>
      <c r="CR480" s="14"/>
      <c r="CS480" s="14"/>
      <c r="CT480" s="14"/>
      <c r="CU480" s="14"/>
      <c r="CV480" s="14"/>
      <c r="CW480" s="14"/>
      <c r="CX480" s="14"/>
      <c r="CY480" s="14"/>
      <c r="CZ480" s="14"/>
      <c r="DA480" s="14"/>
      <c r="DB480" s="14"/>
      <c r="DC480" s="14"/>
      <c r="DD480" s="14"/>
      <c r="DE480" s="14"/>
      <c r="DF480" s="14"/>
      <c r="DG480" s="14"/>
      <c r="DH480" s="14"/>
      <c r="DI480" s="14"/>
      <c r="DJ480" s="14"/>
      <c r="DK480" s="14"/>
      <c r="DL480" s="14"/>
      <c r="DM480" s="14"/>
      <c r="DN480" s="14"/>
      <c r="DO480" s="14"/>
      <c r="DP480" s="14"/>
      <c r="DQ480" s="14"/>
      <c r="DR480" s="14"/>
      <c r="DS480" s="14"/>
      <c r="DT480" s="14"/>
      <c r="DU480" s="14"/>
      <c r="DV480" s="14"/>
      <c r="DW480" s="14"/>
      <c r="DX480" s="14"/>
      <c r="DY480" s="14"/>
      <c r="DZ480" s="14"/>
      <c r="EA480" s="14"/>
      <c r="EB480" s="14"/>
    </row>
    <row r="481" spans="4:132"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14"/>
      <c r="BQ481" s="14"/>
      <c r="BR481" s="14"/>
      <c r="BS481" s="14"/>
      <c r="BT481" s="14"/>
      <c r="BU481" s="14"/>
      <c r="BV481" s="14"/>
      <c r="BW481" s="14"/>
      <c r="BX481" s="14"/>
      <c r="BY481" s="14"/>
      <c r="BZ481" s="14"/>
      <c r="CA481" s="14"/>
      <c r="CB481" s="14"/>
      <c r="CC481" s="14"/>
      <c r="CD481" s="14"/>
      <c r="CE481" s="14"/>
      <c r="CF481" s="14"/>
      <c r="CG481" s="14"/>
      <c r="CH481" s="14"/>
      <c r="CI481" s="14"/>
      <c r="CJ481" s="14"/>
      <c r="CK481" s="14"/>
      <c r="CL481" s="14"/>
      <c r="CM481" s="14"/>
      <c r="CN481" s="14"/>
      <c r="CO481" s="14"/>
      <c r="CP481" s="14"/>
      <c r="CQ481" s="14"/>
      <c r="CR481" s="14"/>
      <c r="CS481" s="14"/>
      <c r="CT481" s="14"/>
      <c r="CU481" s="14"/>
      <c r="CV481" s="14"/>
      <c r="CW481" s="14"/>
      <c r="CX481" s="14"/>
      <c r="CY481" s="14"/>
      <c r="CZ481" s="14"/>
      <c r="DA481" s="14"/>
      <c r="DB481" s="14"/>
      <c r="DC481" s="14"/>
      <c r="DD481" s="14"/>
      <c r="DE481" s="14"/>
      <c r="DF481" s="14"/>
      <c r="DG481" s="14"/>
      <c r="DH481" s="14"/>
      <c r="DI481" s="14"/>
      <c r="DJ481" s="14"/>
      <c r="DK481" s="14"/>
      <c r="DL481" s="14"/>
      <c r="DM481" s="14"/>
      <c r="DN481" s="14"/>
      <c r="DO481" s="14"/>
      <c r="DP481" s="14"/>
      <c r="DQ481" s="14"/>
      <c r="DR481" s="14"/>
      <c r="DS481" s="14"/>
      <c r="DT481" s="14"/>
      <c r="DU481" s="14"/>
      <c r="DV481" s="14"/>
      <c r="DW481" s="14"/>
      <c r="DX481" s="14"/>
      <c r="DY481" s="14"/>
      <c r="DZ481" s="14"/>
      <c r="EA481" s="14"/>
      <c r="EB481" s="14"/>
    </row>
    <row r="482" spans="4:132"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14"/>
      <c r="BQ482" s="14"/>
      <c r="BR482" s="14"/>
      <c r="BS482" s="14"/>
      <c r="BT482" s="14"/>
      <c r="BU482" s="14"/>
      <c r="BV482" s="14"/>
      <c r="BW482" s="14"/>
      <c r="BX482" s="14"/>
      <c r="BY482" s="14"/>
      <c r="BZ482" s="14"/>
      <c r="CA482" s="14"/>
      <c r="CB482" s="14"/>
      <c r="CC482" s="14"/>
      <c r="CD482" s="14"/>
      <c r="CE482" s="14"/>
      <c r="CF482" s="14"/>
      <c r="CG482" s="14"/>
      <c r="CH482" s="14"/>
      <c r="CI482" s="14"/>
      <c r="CJ482" s="14"/>
      <c r="CK482" s="14"/>
      <c r="CL482" s="14"/>
      <c r="CM482" s="14"/>
      <c r="CN482" s="14"/>
      <c r="CO482" s="14"/>
      <c r="CP482" s="14"/>
      <c r="CQ482" s="14"/>
      <c r="CR482" s="14"/>
      <c r="CS482" s="14"/>
      <c r="CT482" s="14"/>
      <c r="CU482" s="14"/>
      <c r="CV482" s="14"/>
      <c r="CW482" s="14"/>
      <c r="CX482" s="14"/>
      <c r="CY482" s="14"/>
      <c r="CZ482" s="14"/>
      <c r="DA482" s="14"/>
      <c r="DB482" s="14"/>
      <c r="DC482" s="14"/>
      <c r="DD482" s="14"/>
      <c r="DE482" s="14"/>
      <c r="DF482" s="14"/>
      <c r="DG482" s="14"/>
      <c r="DH482" s="14"/>
      <c r="DI482" s="14"/>
      <c r="DJ482" s="14"/>
      <c r="DK482" s="14"/>
      <c r="DL482" s="14"/>
      <c r="DM482" s="14"/>
      <c r="DN482" s="14"/>
      <c r="DO482" s="14"/>
      <c r="DP482" s="14"/>
      <c r="DQ482" s="14"/>
      <c r="DR482" s="14"/>
      <c r="DS482" s="14"/>
      <c r="DT482" s="14"/>
      <c r="DU482" s="14"/>
      <c r="DV482" s="14"/>
      <c r="DW482" s="14"/>
      <c r="DX482" s="14"/>
      <c r="DY482" s="14"/>
      <c r="DZ482" s="14"/>
      <c r="EA482" s="14"/>
      <c r="EB482" s="14"/>
    </row>
    <row r="483" spans="4:132"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14"/>
      <c r="BQ483" s="14"/>
      <c r="BR483" s="14"/>
      <c r="BS483" s="14"/>
      <c r="BT483" s="14"/>
      <c r="BU483" s="14"/>
      <c r="BV483" s="14"/>
      <c r="BW483" s="14"/>
      <c r="BX483" s="14"/>
      <c r="BY483" s="14"/>
      <c r="BZ483" s="14"/>
      <c r="CA483" s="14"/>
      <c r="CB483" s="14"/>
      <c r="CC483" s="14"/>
      <c r="CD483" s="14"/>
      <c r="CE483" s="14"/>
      <c r="CF483" s="14"/>
      <c r="CG483" s="14"/>
      <c r="CH483" s="14"/>
      <c r="CI483" s="14"/>
      <c r="CJ483" s="14"/>
      <c r="CK483" s="14"/>
      <c r="CL483" s="14"/>
      <c r="CM483" s="14"/>
      <c r="CN483" s="14"/>
      <c r="CO483" s="14"/>
      <c r="CP483" s="14"/>
      <c r="CQ483" s="14"/>
      <c r="CR483" s="14"/>
      <c r="CS483" s="14"/>
      <c r="CT483" s="14"/>
      <c r="CU483" s="14"/>
      <c r="CV483" s="14"/>
      <c r="CW483" s="14"/>
      <c r="CX483" s="14"/>
      <c r="CY483" s="14"/>
      <c r="CZ483" s="14"/>
      <c r="DA483" s="14"/>
      <c r="DB483" s="14"/>
      <c r="DC483" s="14"/>
      <c r="DD483" s="14"/>
      <c r="DE483" s="14"/>
      <c r="DF483" s="14"/>
      <c r="DG483" s="14"/>
      <c r="DH483" s="14"/>
      <c r="DI483" s="14"/>
      <c r="DJ483" s="14"/>
      <c r="DK483" s="14"/>
      <c r="DL483" s="14"/>
      <c r="DM483" s="14"/>
      <c r="DN483" s="14"/>
      <c r="DO483" s="14"/>
      <c r="DP483" s="14"/>
      <c r="DQ483" s="14"/>
      <c r="DR483" s="14"/>
      <c r="DS483" s="14"/>
      <c r="DT483" s="14"/>
      <c r="DU483" s="14"/>
      <c r="DV483" s="14"/>
      <c r="DW483" s="14"/>
      <c r="DX483" s="14"/>
      <c r="DY483" s="14"/>
      <c r="DZ483" s="14"/>
      <c r="EA483" s="14"/>
      <c r="EB483" s="14"/>
    </row>
    <row r="484" spans="4:132"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14"/>
      <c r="BQ484" s="14"/>
      <c r="BR484" s="14"/>
      <c r="BS484" s="14"/>
      <c r="BT484" s="14"/>
      <c r="BU484" s="14"/>
      <c r="BV484" s="14"/>
      <c r="BW484" s="14"/>
      <c r="BX484" s="14"/>
      <c r="BY484" s="14"/>
      <c r="BZ484" s="14"/>
      <c r="CA484" s="14"/>
      <c r="CB484" s="14"/>
      <c r="CC484" s="14"/>
      <c r="CD484" s="14"/>
      <c r="CE484" s="14"/>
      <c r="CF484" s="14"/>
      <c r="CG484" s="14"/>
      <c r="CH484" s="14"/>
      <c r="CI484" s="14"/>
      <c r="CJ484" s="14"/>
      <c r="CK484" s="14"/>
      <c r="CL484" s="14"/>
      <c r="CM484" s="14"/>
      <c r="CN484" s="14"/>
      <c r="CO484" s="14"/>
      <c r="CP484" s="14"/>
      <c r="CQ484" s="14"/>
      <c r="CR484" s="14"/>
      <c r="CS484" s="14"/>
      <c r="CT484" s="14"/>
      <c r="CU484" s="14"/>
      <c r="CV484" s="14"/>
      <c r="CW484" s="14"/>
      <c r="CX484" s="14"/>
      <c r="CY484" s="14"/>
      <c r="CZ484" s="14"/>
      <c r="DA484" s="14"/>
      <c r="DB484" s="14"/>
      <c r="DC484" s="14"/>
      <c r="DD484" s="14"/>
      <c r="DE484" s="14"/>
      <c r="DF484" s="14"/>
      <c r="DG484" s="14"/>
      <c r="DH484" s="14"/>
      <c r="DI484" s="14"/>
      <c r="DJ484" s="14"/>
      <c r="DK484" s="14"/>
      <c r="DL484" s="14"/>
      <c r="DM484" s="14"/>
      <c r="DN484" s="14"/>
      <c r="DO484" s="14"/>
      <c r="DP484" s="14"/>
      <c r="DQ484" s="14"/>
      <c r="DR484" s="14"/>
      <c r="DS484" s="14"/>
      <c r="DT484" s="14"/>
      <c r="DU484" s="14"/>
      <c r="DV484" s="14"/>
      <c r="DW484" s="14"/>
      <c r="DX484" s="14"/>
      <c r="DY484" s="14"/>
      <c r="DZ484" s="14"/>
      <c r="EA484" s="14"/>
      <c r="EB484" s="14"/>
    </row>
    <row r="485" spans="4:132"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14"/>
      <c r="BQ485" s="14"/>
      <c r="BR485" s="14"/>
      <c r="BS485" s="14"/>
      <c r="BT485" s="14"/>
      <c r="BU485" s="14"/>
      <c r="BV485" s="14"/>
      <c r="BW485" s="14"/>
      <c r="BX485" s="14"/>
      <c r="BY485" s="14"/>
      <c r="BZ485" s="14"/>
      <c r="CA485" s="14"/>
      <c r="CB485" s="14"/>
      <c r="CC485" s="14"/>
      <c r="CD485" s="14"/>
      <c r="CE485" s="14"/>
      <c r="CF485" s="14"/>
      <c r="CG485" s="14"/>
      <c r="CH485" s="14"/>
      <c r="CI485" s="14"/>
      <c r="CJ485" s="14"/>
      <c r="CK485" s="14"/>
      <c r="CL485" s="14"/>
      <c r="CM485" s="14"/>
      <c r="CN485" s="14"/>
      <c r="CO485" s="14"/>
      <c r="CP485" s="14"/>
      <c r="CQ485" s="14"/>
      <c r="CR485" s="14"/>
      <c r="CS485" s="14"/>
      <c r="CT485" s="14"/>
      <c r="CU485" s="14"/>
      <c r="CV485" s="14"/>
      <c r="CW485" s="14"/>
      <c r="CX485" s="14"/>
      <c r="CY485" s="14"/>
      <c r="CZ485" s="14"/>
      <c r="DA485" s="14"/>
      <c r="DB485" s="14"/>
      <c r="DC485" s="14"/>
      <c r="DD485" s="14"/>
      <c r="DE485" s="14"/>
      <c r="DF485" s="14"/>
      <c r="DG485" s="14"/>
      <c r="DH485" s="14"/>
      <c r="DI485" s="14"/>
      <c r="DJ485" s="14"/>
      <c r="DK485" s="14"/>
      <c r="DL485" s="14"/>
      <c r="DM485" s="14"/>
      <c r="DN485" s="14"/>
      <c r="DO485" s="14"/>
      <c r="DP485" s="14"/>
      <c r="DQ485" s="14"/>
      <c r="DR485" s="14"/>
      <c r="DS485" s="14"/>
      <c r="DT485" s="14"/>
      <c r="DU485" s="14"/>
      <c r="DV485" s="14"/>
      <c r="DW485" s="14"/>
      <c r="DX485" s="14"/>
      <c r="DY485" s="14"/>
      <c r="DZ485" s="14"/>
      <c r="EA485" s="14"/>
      <c r="EB485" s="14"/>
    </row>
    <row r="486" spans="4:132"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14"/>
      <c r="BQ486" s="14"/>
      <c r="BR486" s="14"/>
      <c r="BS486" s="14"/>
      <c r="BT486" s="14"/>
      <c r="BU486" s="14"/>
      <c r="BV486" s="14"/>
      <c r="BW486" s="14"/>
      <c r="BX486" s="14"/>
      <c r="BY486" s="14"/>
      <c r="BZ486" s="14"/>
      <c r="CA486" s="14"/>
      <c r="CB486" s="14"/>
      <c r="CC486" s="14"/>
      <c r="CD486" s="14"/>
      <c r="CE486" s="14"/>
      <c r="CF486" s="14"/>
      <c r="CG486" s="14"/>
      <c r="CH486" s="14"/>
      <c r="CI486" s="14"/>
      <c r="CJ486" s="14"/>
      <c r="CK486" s="14"/>
      <c r="CL486" s="14"/>
      <c r="CM486" s="14"/>
      <c r="CN486" s="14"/>
      <c r="CO486" s="14"/>
      <c r="CP486" s="14"/>
      <c r="CQ486" s="14"/>
      <c r="CR486" s="14"/>
      <c r="CS486" s="14"/>
      <c r="CT486" s="14"/>
      <c r="CU486" s="14"/>
      <c r="CV486" s="14"/>
      <c r="CW486" s="14"/>
      <c r="CX486" s="14"/>
      <c r="CY486" s="14"/>
      <c r="CZ486" s="14"/>
      <c r="DA486" s="14"/>
      <c r="DB486" s="14"/>
      <c r="DC486" s="14"/>
      <c r="DD486" s="14"/>
      <c r="DE486" s="14"/>
      <c r="DF486" s="14"/>
      <c r="DG486" s="14"/>
      <c r="DH486" s="14"/>
      <c r="DI486" s="14"/>
      <c r="DJ486" s="14"/>
      <c r="DK486" s="14"/>
      <c r="DL486" s="14"/>
      <c r="DM486" s="14"/>
      <c r="DN486" s="14"/>
      <c r="DO486" s="14"/>
      <c r="DP486" s="14"/>
      <c r="DQ486" s="14"/>
      <c r="DR486" s="14"/>
      <c r="DS486" s="14"/>
      <c r="DT486" s="14"/>
      <c r="DU486" s="14"/>
      <c r="DV486" s="14"/>
      <c r="DW486" s="14"/>
      <c r="DX486" s="14"/>
      <c r="DY486" s="14"/>
      <c r="DZ486" s="14"/>
      <c r="EA486" s="14"/>
      <c r="EB486" s="14"/>
    </row>
    <row r="487" spans="4:132"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14"/>
      <c r="BQ487" s="14"/>
      <c r="BR487" s="14"/>
      <c r="BS487" s="14"/>
      <c r="BT487" s="14"/>
      <c r="BU487" s="14"/>
      <c r="BV487" s="14"/>
      <c r="BW487" s="14"/>
      <c r="BX487" s="14"/>
      <c r="BY487" s="14"/>
      <c r="BZ487" s="14"/>
      <c r="CA487" s="14"/>
      <c r="CB487" s="14"/>
      <c r="CC487" s="14"/>
      <c r="CD487" s="14"/>
      <c r="CE487" s="14"/>
      <c r="CF487" s="14"/>
      <c r="CG487" s="14"/>
      <c r="CH487" s="14"/>
      <c r="CI487" s="14"/>
      <c r="CJ487" s="14"/>
      <c r="CK487" s="14"/>
      <c r="CL487" s="14"/>
      <c r="CM487" s="14"/>
      <c r="CN487" s="14"/>
      <c r="CO487" s="14"/>
      <c r="CP487" s="14"/>
      <c r="CQ487" s="14"/>
      <c r="CR487" s="14"/>
      <c r="CS487" s="14"/>
      <c r="CT487" s="14"/>
      <c r="CU487" s="14"/>
      <c r="CV487" s="14"/>
      <c r="CW487" s="14"/>
      <c r="CX487" s="14"/>
      <c r="CY487" s="14"/>
      <c r="CZ487" s="14"/>
      <c r="DA487" s="14"/>
      <c r="DB487" s="14"/>
      <c r="DC487" s="14"/>
      <c r="DD487" s="14"/>
      <c r="DE487" s="14"/>
      <c r="DF487" s="14"/>
      <c r="DG487" s="14"/>
      <c r="DH487" s="14"/>
      <c r="DI487" s="14"/>
      <c r="DJ487" s="14"/>
      <c r="DK487" s="14"/>
      <c r="DL487" s="14"/>
      <c r="DM487" s="14"/>
      <c r="DN487" s="14"/>
      <c r="DO487" s="14"/>
      <c r="DP487" s="14"/>
      <c r="DQ487" s="14"/>
      <c r="DR487" s="14"/>
      <c r="DS487" s="14"/>
      <c r="DT487" s="14"/>
      <c r="DU487" s="14"/>
      <c r="DV487" s="14"/>
      <c r="DW487" s="14"/>
      <c r="DX487" s="14"/>
      <c r="DY487" s="14"/>
      <c r="DZ487" s="14"/>
      <c r="EA487" s="14"/>
      <c r="EB487" s="14"/>
    </row>
    <row r="488" spans="4:132"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14"/>
      <c r="BQ488" s="14"/>
      <c r="BR488" s="14"/>
      <c r="BS488" s="14"/>
      <c r="BT488" s="14"/>
      <c r="BU488" s="14"/>
      <c r="BV488" s="14"/>
      <c r="BW488" s="14"/>
      <c r="BX488" s="14"/>
      <c r="BY488" s="14"/>
      <c r="BZ488" s="14"/>
      <c r="CA488" s="14"/>
      <c r="CB488" s="14"/>
      <c r="CC488" s="14"/>
      <c r="CD488" s="14"/>
      <c r="CE488" s="14"/>
      <c r="CF488" s="14"/>
      <c r="CG488" s="14"/>
      <c r="CH488" s="14"/>
      <c r="CI488" s="14"/>
      <c r="CJ488" s="14"/>
      <c r="CK488" s="14"/>
      <c r="CL488" s="14"/>
      <c r="CM488" s="14"/>
      <c r="CN488" s="14"/>
      <c r="CO488" s="14"/>
      <c r="CP488" s="14"/>
      <c r="CQ488" s="14"/>
      <c r="CR488" s="14"/>
      <c r="CS488" s="14"/>
      <c r="CT488" s="14"/>
      <c r="CU488" s="14"/>
      <c r="CV488" s="14"/>
      <c r="CW488" s="14"/>
      <c r="CX488" s="14"/>
      <c r="CY488" s="14"/>
      <c r="CZ488" s="14"/>
      <c r="DA488" s="14"/>
      <c r="DB488" s="14"/>
      <c r="DC488" s="14"/>
      <c r="DD488" s="14"/>
      <c r="DE488" s="14"/>
      <c r="DF488" s="14"/>
      <c r="DG488" s="14"/>
      <c r="DH488" s="14"/>
      <c r="DI488" s="14"/>
      <c r="DJ488" s="14"/>
      <c r="DK488" s="14"/>
      <c r="DL488" s="14"/>
      <c r="DM488" s="14"/>
      <c r="DN488" s="14"/>
      <c r="DO488" s="14"/>
      <c r="DP488" s="14"/>
      <c r="DQ488" s="14"/>
      <c r="DR488" s="14"/>
      <c r="DS488" s="14"/>
      <c r="DT488" s="14"/>
      <c r="DU488" s="14"/>
      <c r="DV488" s="14"/>
      <c r="DW488" s="14"/>
      <c r="DX488" s="14"/>
      <c r="DY488" s="14"/>
      <c r="DZ488" s="14"/>
      <c r="EA488" s="14"/>
      <c r="EB488" s="14"/>
    </row>
    <row r="489" spans="4:132"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14"/>
      <c r="BQ489" s="14"/>
      <c r="BR489" s="14"/>
      <c r="BS489" s="14"/>
      <c r="BT489" s="14"/>
      <c r="BU489" s="14"/>
      <c r="BV489" s="14"/>
      <c r="BW489" s="14"/>
      <c r="BX489" s="14"/>
      <c r="BY489" s="14"/>
      <c r="BZ489" s="14"/>
      <c r="CA489" s="14"/>
      <c r="CB489" s="14"/>
      <c r="CC489" s="14"/>
      <c r="CD489" s="14"/>
      <c r="CE489" s="14"/>
      <c r="CF489" s="14"/>
      <c r="CG489" s="14"/>
      <c r="CH489" s="14"/>
      <c r="CI489" s="14"/>
      <c r="CJ489" s="14"/>
      <c r="CK489" s="14"/>
      <c r="CL489" s="14"/>
      <c r="CM489" s="14"/>
      <c r="CN489" s="14"/>
      <c r="CO489" s="14"/>
      <c r="CP489" s="14"/>
      <c r="CQ489" s="14"/>
      <c r="CR489" s="14"/>
      <c r="CS489" s="14"/>
      <c r="CT489" s="14"/>
      <c r="CU489" s="14"/>
      <c r="CV489" s="14"/>
      <c r="CW489" s="14"/>
      <c r="CX489" s="14"/>
      <c r="CY489" s="14"/>
      <c r="CZ489" s="14"/>
      <c r="DA489" s="14"/>
      <c r="DB489" s="14"/>
      <c r="DC489" s="14"/>
      <c r="DD489" s="14"/>
      <c r="DE489" s="14"/>
      <c r="DF489" s="14"/>
      <c r="DG489" s="14"/>
      <c r="DH489" s="14"/>
      <c r="DI489" s="14"/>
      <c r="DJ489" s="14"/>
      <c r="DK489" s="14"/>
      <c r="DL489" s="14"/>
      <c r="DM489" s="14"/>
      <c r="DN489" s="14"/>
      <c r="DO489" s="14"/>
      <c r="DP489" s="14"/>
      <c r="DQ489" s="14"/>
      <c r="DR489" s="14"/>
      <c r="DS489" s="14"/>
      <c r="DT489" s="14"/>
      <c r="DU489" s="14"/>
      <c r="DV489" s="14"/>
      <c r="DW489" s="14"/>
      <c r="DX489" s="14"/>
      <c r="DY489" s="14"/>
      <c r="DZ489" s="14"/>
      <c r="EA489" s="14"/>
      <c r="EB489" s="14"/>
    </row>
    <row r="490" spans="4:132"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14"/>
      <c r="BQ490" s="14"/>
      <c r="BR490" s="14"/>
      <c r="BS490" s="14"/>
      <c r="BT490" s="14"/>
      <c r="BU490" s="14"/>
      <c r="BV490" s="14"/>
      <c r="BW490" s="14"/>
      <c r="BX490" s="14"/>
      <c r="BY490" s="14"/>
      <c r="BZ490" s="14"/>
      <c r="CA490" s="14"/>
      <c r="CB490" s="14"/>
      <c r="CC490" s="14"/>
      <c r="CD490" s="14"/>
      <c r="CE490" s="14"/>
      <c r="CF490" s="14"/>
      <c r="CG490" s="14"/>
      <c r="CH490" s="14"/>
      <c r="CI490" s="14"/>
      <c r="CJ490" s="14"/>
      <c r="CK490" s="14"/>
      <c r="CL490" s="14"/>
      <c r="CM490" s="14"/>
      <c r="CN490" s="14"/>
      <c r="CO490" s="14"/>
      <c r="CP490" s="14"/>
      <c r="CQ490" s="14"/>
      <c r="CR490" s="14"/>
      <c r="CS490" s="14"/>
      <c r="CT490" s="14"/>
      <c r="CU490" s="14"/>
      <c r="CV490" s="14"/>
      <c r="CW490" s="14"/>
      <c r="CX490" s="14"/>
      <c r="CY490" s="14"/>
      <c r="CZ490" s="14"/>
      <c r="DA490" s="14"/>
      <c r="DB490" s="14"/>
      <c r="DC490" s="14"/>
      <c r="DD490" s="14"/>
      <c r="DE490" s="14"/>
      <c r="DF490" s="14"/>
      <c r="DG490" s="14"/>
      <c r="DH490" s="14"/>
      <c r="DI490" s="14"/>
      <c r="DJ490" s="14"/>
      <c r="DK490" s="14"/>
      <c r="DL490" s="14"/>
      <c r="DM490" s="14"/>
      <c r="DN490" s="14"/>
      <c r="DO490" s="14"/>
      <c r="DP490" s="14"/>
      <c r="DQ490" s="14"/>
      <c r="DR490" s="14"/>
      <c r="DS490" s="14"/>
      <c r="DT490" s="14"/>
      <c r="DU490" s="14"/>
      <c r="DV490" s="14"/>
      <c r="DW490" s="14"/>
      <c r="DX490" s="14"/>
      <c r="DY490" s="14"/>
      <c r="DZ490" s="14"/>
      <c r="EA490" s="14"/>
      <c r="EB490" s="14"/>
    </row>
    <row r="491" spans="4:132"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14"/>
      <c r="BQ491" s="14"/>
      <c r="BR491" s="14"/>
      <c r="BS491" s="14"/>
      <c r="BT491" s="14"/>
      <c r="BU491" s="14"/>
      <c r="BV491" s="14"/>
      <c r="BW491" s="14"/>
      <c r="BX491" s="14"/>
      <c r="BY491" s="14"/>
      <c r="BZ491" s="14"/>
      <c r="CA491" s="14"/>
      <c r="CB491" s="14"/>
      <c r="CC491" s="14"/>
      <c r="CD491" s="14"/>
      <c r="CE491" s="14"/>
      <c r="CF491" s="14"/>
      <c r="CG491" s="14"/>
      <c r="CH491" s="14"/>
      <c r="CI491" s="14"/>
      <c r="CJ491" s="14"/>
      <c r="CK491" s="14"/>
      <c r="CL491" s="14"/>
      <c r="CM491" s="14"/>
      <c r="CN491" s="14"/>
      <c r="CO491" s="14"/>
      <c r="CP491" s="14"/>
      <c r="CQ491" s="14"/>
      <c r="CR491" s="14"/>
      <c r="CS491" s="14"/>
      <c r="CT491" s="14"/>
      <c r="CU491" s="14"/>
      <c r="CV491" s="14"/>
      <c r="CW491" s="14"/>
      <c r="CX491" s="14"/>
      <c r="CY491" s="14"/>
      <c r="CZ491" s="14"/>
      <c r="DA491" s="14"/>
      <c r="DB491" s="14"/>
      <c r="DC491" s="14"/>
      <c r="DD491" s="14"/>
      <c r="DE491" s="14"/>
      <c r="DF491" s="14"/>
      <c r="DG491" s="14"/>
      <c r="DH491" s="14"/>
      <c r="DI491" s="14"/>
      <c r="DJ491" s="14"/>
      <c r="DK491" s="14"/>
      <c r="DL491" s="14"/>
      <c r="DM491" s="14"/>
      <c r="DN491" s="14"/>
      <c r="DO491" s="14"/>
      <c r="DP491" s="14"/>
      <c r="DQ491" s="14"/>
      <c r="DR491" s="14"/>
      <c r="DS491" s="14"/>
      <c r="DT491" s="14"/>
      <c r="DU491" s="14"/>
      <c r="DV491" s="14"/>
      <c r="DW491" s="14"/>
      <c r="DX491" s="14"/>
      <c r="DY491" s="14"/>
      <c r="DZ491" s="14"/>
      <c r="EA491" s="14"/>
      <c r="EB491" s="14"/>
    </row>
    <row r="492" spans="4:132"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  <c r="BK492" s="40"/>
      <c r="BL492" s="40"/>
      <c r="BM492" s="40"/>
      <c r="BN492" s="40"/>
      <c r="BO492" s="40"/>
      <c r="BP492" s="14"/>
      <c r="BQ492" s="14"/>
      <c r="BR492" s="14"/>
      <c r="BS492" s="14"/>
      <c r="BT492" s="14"/>
      <c r="BU492" s="14"/>
      <c r="BV492" s="14"/>
      <c r="BW492" s="14"/>
      <c r="BX492" s="14"/>
      <c r="BY492" s="14"/>
      <c r="BZ492" s="14"/>
      <c r="CA492" s="14"/>
      <c r="CB492" s="14"/>
      <c r="CC492" s="14"/>
      <c r="CD492" s="14"/>
      <c r="CE492" s="14"/>
      <c r="CF492" s="14"/>
      <c r="CG492" s="14"/>
      <c r="CH492" s="14"/>
      <c r="CI492" s="14"/>
      <c r="CJ492" s="14"/>
      <c r="CK492" s="14"/>
      <c r="CL492" s="14"/>
      <c r="CM492" s="14"/>
      <c r="CN492" s="14"/>
      <c r="CO492" s="14"/>
      <c r="CP492" s="14"/>
      <c r="CQ492" s="14"/>
      <c r="CR492" s="14"/>
      <c r="CS492" s="14"/>
      <c r="CT492" s="14"/>
      <c r="CU492" s="14"/>
      <c r="CV492" s="14"/>
      <c r="CW492" s="14"/>
      <c r="CX492" s="14"/>
      <c r="CY492" s="14"/>
      <c r="CZ492" s="14"/>
      <c r="DA492" s="14"/>
      <c r="DB492" s="14"/>
      <c r="DC492" s="14"/>
      <c r="DD492" s="14"/>
      <c r="DE492" s="14"/>
      <c r="DF492" s="14"/>
      <c r="DG492" s="14"/>
      <c r="DH492" s="14"/>
      <c r="DI492" s="14"/>
      <c r="DJ492" s="14"/>
      <c r="DK492" s="14"/>
      <c r="DL492" s="14"/>
      <c r="DM492" s="14"/>
      <c r="DN492" s="14"/>
      <c r="DO492" s="14"/>
      <c r="DP492" s="14"/>
      <c r="DQ492" s="14"/>
      <c r="DR492" s="14"/>
      <c r="DS492" s="14"/>
      <c r="DT492" s="14"/>
      <c r="DU492" s="14"/>
      <c r="DV492" s="14"/>
      <c r="DW492" s="14"/>
      <c r="DX492" s="14"/>
      <c r="DY492" s="14"/>
      <c r="DZ492" s="14"/>
      <c r="EA492" s="14"/>
      <c r="EB492" s="14"/>
    </row>
    <row r="493" spans="4:132"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14"/>
      <c r="BQ493" s="14"/>
      <c r="BR493" s="14"/>
      <c r="BS493" s="14"/>
      <c r="BT493" s="14"/>
      <c r="BU493" s="14"/>
      <c r="BV493" s="14"/>
      <c r="BW493" s="14"/>
      <c r="BX493" s="14"/>
      <c r="BY493" s="14"/>
      <c r="BZ493" s="14"/>
      <c r="CA493" s="14"/>
      <c r="CB493" s="14"/>
      <c r="CC493" s="14"/>
      <c r="CD493" s="14"/>
      <c r="CE493" s="14"/>
      <c r="CF493" s="14"/>
      <c r="CG493" s="14"/>
      <c r="CH493" s="14"/>
      <c r="CI493" s="14"/>
      <c r="CJ493" s="14"/>
      <c r="CK493" s="14"/>
      <c r="CL493" s="14"/>
      <c r="CM493" s="14"/>
      <c r="CN493" s="14"/>
      <c r="CO493" s="14"/>
      <c r="CP493" s="14"/>
      <c r="CQ493" s="14"/>
      <c r="CR493" s="14"/>
      <c r="CS493" s="14"/>
      <c r="CT493" s="14"/>
      <c r="CU493" s="14"/>
      <c r="CV493" s="14"/>
      <c r="CW493" s="14"/>
      <c r="CX493" s="14"/>
      <c r="CY493" s="14"/>
      <c r="CZ493" s="14"/>
      <c r="DA493" s="14"/>
      <c r="DB493" s="14"/>
      <c r="DC493" s="14"/>
      <c r="DD493" s="14"/>
      <c r="DE493" s="14"/>
      <c r="DF493" s="14"/>
      <c r="DG493" s="14"/>
      <c r="DH493" s="14"/>
      <c r="DI493" s="14"/>
      <c r="DJ493" s="14"/>
      <c r="DK493" s="14"/>
      <c r="DL493" s="14"/>
      <c r="DM493" s="14"/>
      <c r="DN493" s="14"/>
      <c r="DO493" s="14"/>
      <c r="DP493" s="14"/>
      <c r="DQ493" s="14"/>
      <c r="DR493" s="14"/>
      <c r="DS493" s="14"/>
      <c r="DT493" s="14"/>
      <c r="DU493" s="14"/>
      <c r="DV493" s="14"/>
      <c r="DW493" s="14"/>
      <c r="DX493" s="14"/>
      <c r="DY493" s="14"/>
      <c r="DZ493" s="14"/>
      <c r="EA493" s="14"/>
      <c r="EB493" s="14"/>
    </row>
    <row r="494" spans="4:132"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14"/>
      <c r="BQ494" s="14"/>
      <c r="BR494" s="14"/>
      <c r="BS494" s="14"/>
      <c r="BT494" s="14"/>
      <c r="BU494" s="14"/>
      <c r="BV494" s="14"/>
      <c r="BW494" s="14"/>
      <c r="BX494" s="14"/>
      <c r="BY494" s="14"/>
      <c r="BZ494" s="14"/>
      <c r="CA494" s="14"/>
      <c r="CB494" s="14"/>
      <c r="CC494" s="14"/>
      <c r="CD494" s="14"/>
      <c r="CE494" s="14"/>
      <c r="CF494" s="14"/>
      <c r="CG494" s="14"/>
      <c r="CH494" s="14"/>
      <c r="CI494" s="14"/>
      <c r="CJ494" s="14"/>
      <c r="CK494" s="14"/>
      <c r="CL494" s="14"/>
      <c r="CM494" s="14"/>
      <c r="CN494" s="14"/>
      <c r="CO494" s="14"/>
      <c r="CP494" s="14"/>
      <c r="CQ494" s="14"/>
      <c r="CR494" s="14"/>
      <c r="CS494" s="14"/>
      <c r="CT494" s="14"/>
      <c r="CU494" s="14"/>
      <c r="CV494" s="14"/>
      <c r="CW494" s="14"/>
      <c r="CX494" s="14"/>
      <c r="CY494" s="14"/>
      <c r="CZ494" s="14"/>
      <c r="DA494" s="14"/>
      <c r="DB494" s="14"/>
      <c r="DC494" s="14"/>
      <c r="DD494" s="14"/>
      <c r="DE494" s="14"/>
      <c r="DF494" s="14"/>
      <c r="DG494" s="14"/>
      <c r="DH494" s="14"/>
      <c r="DI494" s="14"/>
      <c r="DJ494" s="14"/>
      <c r="DK494" s="14"/>
      <c r="DL494" s="14"/>
      <c r="DM494" s="14"/>
      <c r="DN494" s="14"/>
      <c r="DO494" s="14"/>
      <c r="DP494" s="14"/>
      <c r="DQ494" s="14"/>
      <c r="DR494" s="14"/>
      <c r="DS494" s="14"/>
      <c r="DT494" s="14"/>
      <c r="DU494" s="14"/>
      <c r="DV494" s="14"/>
      <c r="DW494" s="14"/>
      <c r="DX494" s="14"/>
      <c r="DY494" s="14"/>
      <c r="DZ494" s="14"/>
      <c r="EA494" s="14"/>
      <c r="EB494" s="14"/>
    </row>
    <row r="495" spans="4:132"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14"/>
      <c r="BQ495" s="14"/>
      <c r="BR495" s="14"/>
      <c r="BS495" s="14"/>
      <c r="BT495" s="14"/>
      <c r="BU495" s="14"/>
      <c r="BV495" s="14"/>
      <c r="BW495" s="14"/>
      <c r="BX495" s="14"/>
      <c r="BY495" s="14"/>
      <c r="BZ495" s="14"/>
      <c r="CA495" s="14"/>
      <c r="CB495" s="14"/>
      <c r="CC495" s="14"/>
      <c r="CD495" s="14"/>
      <c r="CE495" s="14"/>
      <c r="CF495" s="14"/>
      <c r="CG495" s="14"/>
      <c r="CH495" s="14"/>
      <c r="CI495" s="14"/>
      <c r="CJ495" s="14"/>
      <c r="CK495" s="14"/>
      <c r="CL495" s="14"/>
      <c r="CM495" s="14"/>
      <c r="CN495" s="14"/>
      <c r="CO495" s="14"/>
      <c r="CP495" s="14"/>
      <c r="CQ495" s="14"/>
      <c r="CR495" s="14"/>
      <c r="CS495" s="14"/>
      <c r="CT495" s="14"/>
      <c r="CU495" s="14"/>
      <c r="CV495" s="14"/>
      <c r="CW495" s="14"/>
      <c r="CX495" s="14"/>
      <c r="CY495" s="14"/>
      <c r="CZ495" s="14"/>
      <c r="DA495" s="14"/>
      <c r="DB495" s="14"/>
      <c r="DC495" s="14"/>
      <c r="DD495" s="14"/>
      <c r="DE495" s="14"/>
      <c r="DF495" s="14"/>
      <c r="DG495" s="14"/>
      <c r="DH495" s="14"/>
      <c r="DI495" s="14"/>
      <c r="DJ495" s="14"/>
      <c r="DK495" s="14"/>
      <c r="DL495" s="14"/>
      <c r="DM495" s="14"/>
      <c r="DN495" s="14"/>
      <c r="DO495" s="14"/>
      <c r="DP495" s="14"/>
      <c r="DQ495" s="14"/>
      <c r="DR495" s="14"/>
      <c r="DS495" s="14"/>
      <c r="DT495" s="14"/>
      <c r="DU495" s="14"/>
      <c r="DV495" s="14"/>
      <c r="DW495" s="14"/>
      <c r="DX495" s="14"/>
      <c r="DY495" s="14"/>
      <c r="DZ495" s="14"/>
      <c r="EA495" s="14"/>
      <c r="EB495" s="14"/>
    </row>
    <row r="496" spans="4:132"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14"/>
      <c r="BQ496" s="14"/>
      <c r="BR496" s="14"/>
      <c r="BS496" s="14"/>
      <c r="BT496" s="14"/>
      <c r="BU496" s="14"/>
      <c r="BV496" s="14"/>
      <c r="BW496" s="14"/>
      <c r="BX496" s="14"/>
      <c r="BY496" s="14"/>
      <c r="BZ496" s="14"/>
      <c r="CA496" s="14"/>
      <c r="CB496" s="14"/>
      <c r="CC496" s="14"/>
      <c r="CD496" s="14"/>
      <c r="CE496" s="14"/>
      <c r="CF496" s="14"/>
      <c r="CG496" s="14"/>
      <c r="CH496" s="14"/>
      <c r="CI496" s="14"/>
      <c r="CJ496" s="14"/>
      <c r="CK496" s="14"/>
      <c r="CL496" s="14"/>
      <c r="CM496" s="14"/>
      <c r="CN496" s="14"/>
      <c r="CO496" s="14"/>
      <c r="CP496" s="14"/>
      <c r="CQ496" s="14"/>
      <c r="CR496" s="14"/>
      <c r="CS496" s="14"/>
      <c r="CT496" s="14"/>
      <c r="CU496" s="14"/>
      <c r="CV496" s="14"/>
      <c r="CW496" s="14"/>
      <c r="CX496" s="14"/>
      <c r="CY496" s="14"/>
      <c r="CZ496" s="14"/>
      <c r="DA496" s="14"/>
      <c r="DB496" s="14"/>
      <c r="DC496" s="14"/>
      <c r="DD496" s="14"/>
      <c r="DE496" s="14"/>
      <c r="DF496" s="14"/>
      <c r="DG496" s="14"/>
      <c r="DH496" s="14"/>
      <c r="DI496" s="14"/>
      <c r="DJ496" s="14"/>
      <c r="DK496" s="14"/>
      <c r="DL496" s="14"/>
      <c r="DM496" s="14"/>
      <c r="DN496" s="14"/>
      <c r="DO496" s="14"/>
      <c r="DP496" s="14"/>
      <c r="DQ496" s="14"/>
      <c r="DR496" s="14"/>
      <c r="DS496" s="14"/>
      <c r="DT496" s="14"/>
      <c r="DU496" s="14"/>
      <c r="DV496" s="14"/>
      <c r="DW496" s="14"/>
      <c r="DX496" s="14"/>
      <c r="DY496" s="14"/>
      <c r="DZ496" s="14"/>
      <c r="EA496" s="14"/>
      <c r="EB496" s="14"/>
    </row>
    <row r="497" spans="4:132"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14"/>
      <c r="BQ497" s="14"/>
      <c r="BR497" s="14"/>
      <c r="BS497" s="14"/>
      <c r="BT497" s="14"/>
      <c r="BU497" s="14"/>
      <c r="BV497" s="14"/>
      <c r="BW497" s="14"/>
      <c r="BX497" s="14"/>
      <c r="BY497" s="14"/>
      <c r="BZ497" s="14"/>
      <c r="CA497" s="14"/>
      <c r="CB497" s="14"/>
      <c r="CC497" s="14"/>
      <c r="CD497" s="14"/>
      <c r="CE497" s="14"/>
      <c r="CF497" s="14"/>
      <c r="CG497" s="14"/>
      <c r="CH497" s="14"/>
      <c r="CI497" s="14"/>
      <c r="CJ497" s="14"/>
      <c r="CK497" s="14"/>
      <c r="CL497" s="14"/>
      <c r="CM497" s="14"/>
      <c r="CN497" s="14"/>
      <c r="CO497" s="14"/>
      <c r="CP497" s="14"/>
      <c r="CQ497" s="14"/>
      <c r="CR497" s="14"/>
      <c r="CS497" s="14"/>
      <c r="CT497" s="14"/>
      <c r="CU497" s="14"/>
      <c r="CV497" s="14"/>
      <c r="CW497" s="14"/>
      <c r="CX497" s="14"/>
      <c r="CY497" s="14"/>
      <c r="CZ497" s="14"/>
      <c r="DA497" s="14"/>
      <c r="DB497" s="14"/>
      <c r="DC497" s="14"/>
      <c r="DD497" s="14"/>
      <c r="DE497" s="14"/>
      <c r="DF497" s="14"/>
      <c r="DG497" s="14"/>
      <c r="DH497" s="14"/>
      <c r="DI497" s="14"/>
      <c r="DJ497" s="14"/>
      <c r="DK497" s="14"/>
      <c r="DL497" s="14"/>
      <c r="DM497" s="14"/>
      <c r="DN497" s="14"/>
      <c r="DO497" s="14"/>
      <c r="DP497" s="14"/>
      <c r="DQ497" s="14"/>
      <c r="DR497" s="14"/>
      <c r="DS497" s="14"/>
      <c r="DT497" s="14"/>
      <c r="DU497" s="14"/>
      <c r="DV497" s="14"/>
      <c r="DW497" s="14"/>
      <c r="DX497" s="14"/>
      <c r="DY497" s="14"/>
      <c r="DZ497" s="14"/>
      <c r="EA497" s="14"/>
      <c r="EB497" s="14"/>
    </row>
    <row r="498" spans="4:132"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14"/>
      <c r="BQ498" s="14"/>
      <c r="BR498" s="14"/>
      <c r="BS498" s="14"/>
      <c r="BT498" s="14"/>
      <c r="BU498" s="14"/>
      <c r="BV498" s="14"/>
      <c r="BW498" s="14"/>
      <c r="BX498" s="14"/>
      <c r="BY498" s="14"/>
      <c r="BZ498" s="14"/>
      <c r="CA498" s="14"/>
      <c r="CB498" s="14"/>
      <c r="CC498" s="14"/>
      <c r="CD498" s="14"/>
      <c r="CE498" s="14"/>
      <c r="CF498" s="14"/>
      <c r="CG498" s="14"/>
      <c r="CH498" s="14"/>
      <c r="CI498" s="14"/>
      <c r="CJ498" s="14"/>
      <c r="CK498" s="14"/>
      <c r="CL498" s="14"/>
      <c r="CM498" s="14"/>
      <c r="CN498" s="14"/>
      <c r="CO498" s="14"/>
      <c r="CP498" s="14"/>
      <c r="CQ498" s="14"/>
      <c r="CR498" s="14"/>
      <c r="CS498" s="14"/>
      <c r="CT498" s="14"/>
      <c r="CU498" s="14"/>
      <c r="CV498" s="14"/>
      <c r="CW498" s="14"/>
      <c r="CX498" s="14"/>
      <c r="CY498" s="14"/>
      <c r="CZ498" s="14"/>
      <c r="DA498" s="14"/>
      <c r="DB498" s="14"/>
      <c r="DC498" s="14"/>
      <c r="DD498" s="14"/>
      <c r="DE498" s="14"/>
      <c r="DF498" s="14"/>
      <c r="DG498" s="14"/>
      <c r="DH498" s="14"/>
      <c r="DI498" s="14"/>
      <c r="DJ498" s="14"/>
      <c r="DK498" s="14"/>
      <c r="DL498" s="14"/>
      <c r="DM498" s="14"/>
      <c r="DN498" s="14"/>
      <c r="DO498" s="14"/>
      <c r="DP498" s="14"/>
      <c r="DQ498" s="14"/>
      <c r="DR498" s="14"/>
      <c r="DS498" s="14"/>
      <c r="DT498" s="14"/>
      <c r="DU498" s="14"/>
      <c r="DV498" s="14"/>
      <c r="DW498" s="14"/>
      <c r="DX498" s="14"/>
      <c r="DY498" s="14"/>
      <c r="DZ498" s="14"/>
      <c r="EA498" s="14"/>
      <c r="EB498" s="14"/>
    </row>
    <row r="499" spans="4:132"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14"/>
      <c r="BQ499" s="14"/>
      <c r="BR499" s="14"/>
      <c r="BS499" s="14"/>
      <c r="BT499" s="14"/>
      <c r="BU499" s="14"/>
      <c r="BV499" s="14"/>
      <c r="BW499" s="14"/>
      <c r="BX499" s="14"/>
      <c r="BY499" s="14"/>
      <c r="BZ499" s="14"/>
      <c r="CA499" s="14"/>
      <c r="CB499" s="14"/>
      <c r="CC499" s="14"/>
      <c r="CD499" s="14"/>
      <c r="CE499" s="14"/>
      <c r="CF499" s="14"/>
      <c r="CG499" s="14"/>
      <c r="CH499" s="14"/>
      <c r="CI499" s="14"/>
      <c r="CJ499" s="14"/>
      <c r="CK499" s="14"/>
      <c r="CL499" s="14"/>
      <c r="CM499" s="14"/>
      <c r="CN499" s="14"/>
      <c r="CO499" s="14"/>
      <c r="CP499" s="14"/>
      <c r="CQ499" s="14"/>
      <c r="CR499" s="14"/>
      <c r="CS499" s="14"/>
      <c r="CT499" s="14"/>
      <c r="CU499" s="14"/>
      <c r="CV499" s="14"/>
      <c r="CW499" s="14"/>
      <c r="CX499" s="14"/>
      <c r="CY499" s="14"/>
      <c r="CZ499" s="14"/>
      <c r="DA499" s="14"/>
      <c r="DB499" s="14"/>
      <c r="DC499" s="14"/>
      <c r="DD499" s="14"/>
      <c r="DE499" s="14"/>
      <c r="DF499" s="14"/>
      <c r="DG499" s="14"/>
      <c r="DH499" s="14"/>
      <c r="DI499" s="14"/>
      <c r="DJ499" s="14"/>
      <c r="DK499" s="14"/>
      <c r="DL499" s="14"/>
      <c r="DM499" s="14"/>
      <c r="DN499" s="14"/>
      <c r="DO499" s="14"/>
      <c r="DP499" s="14"/>
      <c r="DQ499" s="14"/>
      <c r="DR499" s="14"/>
      <c r="DS499" s="14"/>
      <c r="DT499" s="14"/>
      <c r="DU499" s="14"/>
      <c r="DV499" s="14"/>
      <c r="DW499" s="14"/>
      <c r="DX499" s="14"/>
      <c r="DY499" s="14"/>
      <c r="DZ499" s="14"/>
      <c r="EA499" s="14"/>
      <c r="EB499" s="14"/>
    </row>
    <row r="500" spans="4:132"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14"/>
      <c r="BQ500" s="14"/>
      <c r="BR500" s="14"/>
      <c r="BS500" s="14"/>
      <c r="BT500" s="14"/>
      <c r="BU500" s="14"/>
      <c r="BV500" s="14"/>
      <c r="BW500" s="14"/>
      <c r="BX500" s="14"/>
      <c r="BY500" s="14"/>
      <c r="BZ500" s="14"/>
      <c r="CA500" s="14"/>
      <c r="CB500" s="14"/>
      <c r="CC500" s="14"/>
      <c r="CD500" s="14"/>
      <c r="CE500" s="14"/>
      <c r="CF500" s="14"/>
      <c r="CG500" s="14"/>
      <c r="CH500" s="14"/>
      <c r="CI500" s="14"/>
      <c r="CJ500" s="14"/>
      <c r="CK500" s="14"/>
      <c r="CL500" s="14"/>
      <c r="CM500" s="14"/>
      <c r="CN500" s="14"/>
      <c r="CO500" s="14"/>
      <c r="CP500" s="14"/>
      <c r="CQ500" s="14"/>
      <c r="CR500" s="14"/>
      <c r="CS500" s="14"/>
      <c r="CT500" s="14"/>
      <c r="CU500" s="14"/>
      <c r="CV500" s="14"/>
      <c r="CW500" s="14"/>
      <c r="CX500" s="14"/>
      <c r="CY500" s="14"/>
      <c r="CZ500" s="14"/>
      <c r="DA500" s="14"/>
      <c r="DB500" s="14"/>
      <c r="DC500" s="14"/>
      <c r="DD500" s="14"/>
      <c r="DE500" s="14"/>
      <c r="DF500" s="14"/>
      <c r="DG500" s="14"/>
      <c r="DH500" s="14"/>
      <c r="DI500" s="14"/>
      <c r="DJ500" s="14"/>
      <c r="DK500" s="14"/>
      <c r="DL500" s="14"/>
      <c r="DM500" s="14"/>
      <c r="DN500" s="14"/>
      <c r="DO500" s="14"/>
      <c r="DP500" s="14"/>
      <c r="DQ500" s="14"/>
      <c r="DR500" s="14"/>
      <c r="DS500" s="14"/>
      <c r="DT500" s="14"/>
      <c r="DU500" s="14"/>
      <c r="DV500" s="14"/>
      <c r="DW500" s="14"/>
      <c r="DX500" s="14"/>
      <c r="DY500" s="14"/>
      <c r="DZ500" s="14"/>
      <c r="EA500" s="14"/>
      <c r="EB500" s="14"/>
    </row>
    <row r="501" spans="4:132"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  <c r="BK501" s="40"/>
      <c r="BL501" s="40"/>
      <c r="BM501" s="40"/>
      <c r="BN501" s="40"/>
      <c r="BO501" s="40"/>
      <c r="BP501" s="14"/>
      <c r="BQ501" s="14"/>
      <c r="BR501" s="14"/>
      <c r="BS501" s="14"/>
      <c r="BT501" s="14"/>
      <c r="BU501" s="14"/>
      <c r="BV501" s="14"/>
      <c r="BW501" s="14"/>
      <c r="BX501" s="14"/>
      <c r="BY501" s="14"/>
      <c r="BZ501" s="14"/>
      <c r="CA501" s="14"/>
      <c r="CB501" s="14"/>
      <c r="CC501" s="14"/>
      <c r="CD501" s="14"/>
      <c r="CE501" s="14"/>
      <c r="CF501" s="14"/>
      <c r="CG501" s="14"/>
      <c r="CH501" s="14"/>
      <c r="CI501" s="14"/>
      <c r="CJ501" s="14"/>
      <c r="CK501" s="14"/>
      <c r="CL501" s="14"/>
      <c r="CM501" s="14"/>
      <c r="CN501" s="14"/>
      <c r="CO501" s="14"/>
      <c r="CP501" s="14"/>
      <c r="CQ501" s="14"/>
      <c r="CR501" s="14"/>
      <c r="CS501" s="14"/>
      <c r="CT501" s="14"/>
      <c r="CU501" s="14"/>
      <c r="CV501" s="14"/>
      <c r="CW501" s="14"/>
      <c r="CX501" s="14"/>
      <c r="CY501" s="14"/>
      <c r="CZ501" s="14"/>
      <c r="DA501" s="14"/>
      <c r="DB501" s="14"/>
      <c r="DC501" s="14"/>
      <c r="DD501" s="14"/>
      <c r="DE501" s="14"/>
      <c r="DF501" s="14"/>
      <c r="DG501" s="14"/>
      <c r="DH501" s="14"/>
      <c r="DI501" s="14"/>
      <c r="DJ501" s="14"/>
      <c r="DK501" s="14"/>
      <c r="DL501" s="14"/>
      <c r="DM501" s="14"/>
      <c r="DN501" s="14"/>
      <c r="DO501" s="14"/>
      <c r="DP501" s="14"/>
      <c r="DQ501" s="14"/>
      <c r="DR501" s="14"/>
      <c r="DS501" s="14"/>
      <c r="DT501" s="14"/>
      <c r="DU501" s="14"/>
      <c r="DV501" s="14"/>
      <c r="DW501" s="14"/>
      <c r="DX501" s="14"/>
      <c r="DY501" s="14"/>
      <c r="DZ501" s="14"/>
      <c r="EA501" s="14"/>
      <c r="EB501" s="14"/>
    </row>
    <row r="502" spans="4:132"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14"/>
      <c r="BQ502" s="14"/>
      <c r="BR502" s="14"/>
      <c r="BS502" s="14"/>
      <c r="BT502" s="14"/>
      <c r="BU502" s="14"/>
      <c r="BV502" s="14"/>
      <c r="BW502" s="14"/>
      <c r="BX502" s="14"/>
      <c r="BY502" s="14"/>
      <c r="BZ502" s="14"/>
      <c r="CA502" s="14"/>
      <c r="CB502" s="14"/>
      <c r="CC502" s="14"/>
      <c r="CD502" s="14"/>
      <c r="CE502" s="14"/>
      <c r="CF502" s="14"/>
      <c r="CG502" s="14"/>
      <c r="CH502" s="14"/>
      <c r="CI502" s="14"/>
      <c r="CJ502" s="14"/>
      <c r="CK502" s="14"/>
      <c r="CL502" s="14"/>
      <c r="CM502" s="14"/>
      <c r="CN502" s="14"/>
      <c r="CO502" s="14"/>
      <c r="CP502" s="14"/>
      <c r="CQ502" s="14"/>
      <c r="CR502" s="14"/>
      <c r="CS502" s="14"/>
      <c r="CT502" s="14"/>
      <c r="CU502" s="14"/>
      <c r="CV502" s="14"/>
      <c r="CW502" s="14"/>
      <c r="CX502" s="14"/>
      <c r="CY502" s="14"/>
      <c r="CZ502" s="14"/>
      <c r="DA502" s="14"/>
      <c r="DB502" s="14"/>
      <c r="DC502" s="14"/>
      <c r="DD502" s="14"/>
      <c r="DE502" s="14"/>
      <c r="DF502" s="14"/>
      <c r="DG502" s="14"/>
      <c r="DH502" s="14"/>
      <c r="DI502" s="14"/>
      <c r="DJ502" s="14"/>
      <c r="DK502" s="14"/>
      <c r="DL502" s="14"/>
      <c r="DM502" s="14"/>
      <c r="DN502" s="14"/>
      <c r="DO502" s="14"/>
      <c r="DP502" s="14"/>
      <c r="DQ502" s="14"/>
      <c r="DR502" s="14"/>
      <c r="DS502" s="14"/>
      <c r="DT502" s="14"/>
      <c r="DU502" s="14"/>
      <c r="DV502" s="14"/>
      <c r="DW502" s="14"/>
      <c r="DX502" s="14"/>
      <c r="DY502" s="14"/>
      <c r="DZ502" s="14"/>
      <c r="EA502" s="14"/>
      <c r="EB502" s="14"/>
    </row>
    <row r="503" spans="4:132"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14"/>
      <c r="BQ503" s="14"/>
      <c r="BR503" s="14"/>
      <c r="BS503" s="14"/>
      <c r="BT503" s="14"/>
      <c r="BU503" s="14"/>
      <c r="BV503" s="14"/>
      <c r="BW503" s="14"/>
      <c r="BX503" s="14"/>
      <c r="BY503" s="14"/>
      <c r="BZ503" s="14"/>
      <c r="CA503" s="14"/>
      <c r="CB503" s="14"/>
      <c r="CC503" s="14"/>
      <c r="CD503" s="14"/>
      <c r="CE503" s="14"/>
      <c r="CF503" s="14"/>
      <c r="CG503" s="14"/>
      <c r="CH503" s="14"/>
      <c r="CI503" s="14"/>
      <c r="CJ503" s="14"/>
      <c r="CK503" s="14"/>
      <c r="CL503" s="14"/>
      <c r="CM503" s="14"/>
      <c r="CN503" s="14"/>
      <c r="CO503" s="14"/>
      <c r="CP503" s="14"/>
      <c r="CQ503" s="14"/>
      <c r="CR503" s="14"/>
      <c r="CS503" s="14"/>
      <c r="CT503" s="14"/>
      <c r="CU503" s="14"/>
      <c r="CV503" s="14"/>
      <c r="CW503" s="14"/>
      <c r="CX503" s="14"/>
      <c r="CY503" s="14"/>
      <c r="CZ503" s="14"/>
      <c r="DA503" s="14"/>
      <c r="DB503" s="14"/>
      <c r="DC503" s="14"/>
      <c r="DD503" s="14"/>
      <c r="DE503" s="14"/>
      <c r="DF503" s="14"/>
      <c r="DG503" s="14"/>
      <c r="DH503" s="14"/>
      <c r="DI503" s="14"/>
      <c r="DJ503" s="14"/>
      <c r="DK503" s="14"/>
      <c r="DL503" s="14"/>
      <c r="DM503" s="14"/>
      <c r="DN503" s="14"/>
      <c r="DO503" s="14"/>
      <c r="DP503" s="14"/>
      <c r="DQ503" s="14"/>
      <c r="DR503" s="14"/>
      <c r="DS503" s="14"/>
      <c r="DT503" s="14"/>
      <c r="DU503" s="14"/>
      <c r="DV503" s="14"/>
      <c r="DW503" s="14"/>
      <c r="DX503" s="14"/>
      <c r="DY503" s="14"/>
      <c r="DZ503" s="14"/>
      <c r="EA503" s="14"/>
      <c r="EB503" s="14"/>
    </row>
    <row r="504" spans="4:132"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14"/>
      <c r="BQ504" s="14"/>
      <c r="BR504" s="14"/>
      <c r="BS504" s="14"/>
      <c r="BT504" s="14"/>
      <c r="BU504" s="14"/>
      <c r="BV504" s="14"/>
      <c r="BW504" s="14"/>
      <c r="BX504" s="14"/>
      <c r="BY504" s="14"/>
      <c r="BZ504" s="14"/>
      <c r="CA504" s="14"/>
      <c r="CB504" s="14"/>
      <c r="CC504" s="14"/>
      <c r="CD504" s="14"/>
      <c r="CE504" s="14"/>
      <c r="CF504" s="14"/>
      <c r="CG504" s="14"/>
      <c r="CH504" s="14"/>
      <c r="CI504" s="14"/>
      <c r="CJ504" s="14"/>
      <c r="CK504" s="14"/>
      <c r="CL504" s="14"/>
      <c r="CM504" s="14"/>
      <c r="CN504" s="14"/>
      <c r="CO504" s="14"/>
      <c r="CP504" s="14"/>
      <c r="CQ504" s="14"/>
      <c r="CR504" s="14"/>
      <c r="CS504" s="14"/>
      <c r="CT504" s="14"/>
      <c r="CU504" s="14"/>
      <c r="CV504" s="14"/>
      <c r="CW504" s="14"/>
      <c r="CX504" s="14"/>
      <c r="CY504" s="14"/>
      <c r="CZ504" s="14"/>
      <c r="DA504" s="14"/>
      <c r="DB504" s="14"/>
      <c r="DC504" s="14"/>
      <c r="DD504" s="14"/>
      <c r="DE504" s="14"/>
      <c r="DF504" s="14"/>
      <c r="DG504" s="14"/>
      <c r="DH504" s="14"/>
      <c r="DI504" s="14"/>
      <c r="DJ504" s="14"/>
      <c r="DK504" s="14"/>
      <c r="DL504" s="14"/>
      <c r="DM504" s="14"/>
      <c r="DN504" s="14"/>
      <c r="DO504" s="14"/>
      <c r="DP504" s="14"/>
      <c r="DQ504" s="14"/>
      <c r="DR504" s="14"/>
      <c r="DS504" s="14"/>
      <c r="DT504" s="14"/>
      <c r="DU504" s="14"/>
      <c r="DV504" s="14"/>
      <c r="DW504" s="14"/>
      <c r="DX504" s="14"/>
      <c r="DY504" s="14"/>
      <c r="DZ504" s="14"/>
      <c r="EA504" s="14"/>
      <c r="EB504" s="14"/>
    </row>
    <row r="505" spans="4:132"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14"/>
      <c r="BQ505" s="14"/>
      <c r="BR505" s="14"/>
      <c r="BS505" s="14"/>
      <c r="BT505" s="14"/>
      <c r="BU505" s="14"/>
      <c r="BV505" s="14"/>
      <c r="BW505" s="14"/>
      <c r="BX505" s="14"/>
      <c r="BY505" s="14"/>
      <c r="BZ505" s="14"/>
      <c r="CA505" s="14"/>
      <c r="CB505" s="14"/>
      <c r="CC505" s="14"/>
      <c r="CD505" s="14"/>
      <c r="CE505" s="14"/>
      <c r="CF505" s="14"/>
      <c r="CG505" s="14"/>
      <c r="CH505" s="14"/>
      <c r="CI505" s="14"/>
      <c r="CJ505" s="14"/>
      <c r="CK505" s="14"/>
      <c r="CL505" s="14"/>
      <c r="CM505" s="14"/>
      <c r="CN505" s="14"/>
      <c r="CO505" s="14"/>
      <c r="CP505" s="14"/>
      <c r="CQ505" s="14"/>
      <c r="CR505" s="14"/>
      <c r="CS505" s="14"/>
      <c r="CT505" s="14"/>
      <c r="CU505" s="14"/>
      <c r="CV505" s="14"/>
      <c r="CW505" s="14"/>
      <c r="CX505" s="14"/>
      <c r="CY505" s="14"/>
      <c r="CZ505" s="14"/>
      <c r="DA505" s="14"/>
      <c r="DB505" s="14"/>
      <c r="DC505" s="14"/>
      <c r="DD505" s="14"/>
      <c r="DE505" s="14"/>
      <c r="DF505" s="14"/>
      <c r="DG505" s="14"/>
      <c r="DH505" s="14"/>
      <c r="DI505" s="14"/>
      <c r="DJ505" s="14"/>
      <c r="DK505" s="14"/>
      <c r="DL505" s="14"/>
      <c r="DM505" s="14"/>
      <c r="DN505" s="14"/>
      <c r="DO505" s="14"/>
      <c r="DP505" s="14"/>
      <c r="DQ505" s="14"/>
      <c r="DR505" s="14"/>
      <c r="DS505" s="14"/>
      <c r="DT505" s="14"/>
      <c r="DU505" s="14"/>
      <c r="DV505" s="14"/>
      <c r="DW505" s="14"/>
      <c r="DX505" s="14"/>
      <c r="DY505" s="14"/>
      <c r="DZ505" s="14"/>
      <c r="EA505" s="14"/>
      <c r="EB505" s="14"/>
    </row>
    <row r="506" spans="4:132"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14"/>
      <c r="CC506" s="14"/>
      <c r="CD506" s="14"/>
      <c r="CE506" s="14"/>
      <c r="CF506" s="14"/>
      <c r="CG506" s="14"/>
      <c r="CH506" s="14"/>
      <c r="CI506" s="14"/>
      <c r="CJ506" s="14"/>
      <c r="CK506" s="14"/>
      <c r="CL506" s="14"/>
      <c r="CM506" s="14"/>
      <c r="CN506" s="14"/>
      <c r="CO506" s="14"/>
      <c r="CP506" s="14"/>
      <c r="CQ506" s="14"/>
      <c r="CR506" s="14"/>
      <c r="CS506" s="14"/>
      <c r="CT506" s="14"/>
      <c r="CU506" s="14"/>
      <c r="CV506" s="14"/>
      <c r="CW506" s="14"/>
      <c r="CX506" s="14"/>
      <c r="CY506" s="14"/>
      <c r="CZ506" s="14"/>
      <c r="DA506" s="14"/>
      <c r="DB506" s="14"/>
      <c r="DC506" s="14"/>
      <c r="DD506" s="14"/>
      <c r="DE506" s="14"/>
      <c r="DF506" s="14"/>
      <c r="DG506" s="14"/>
      <c r="DH506" s="14"/>
      <c r="DI506" s="14"/>
      <c r="DJ506" s="14"/>
      <c r="DK506" s="14"/>
      <c r="DL506" s="14"/>
      <c r="DM506" s="14"/>
      <c r="DN506" s="14"/>
      <c r="DO506" s="14"/>
      <c r="DP506" s="14"/>
      <c r="DQ506" s="14"/>
      <c r="DR506" s="14"/>
      <c r="DS506" s="14"/>
      <c r="DT506" s="14"/>
      <c r="DU506" s="14"/>
      <c r="DV506" s="14"/>
      <c r="DW506" s="14"/>
      <c r="DX506" s="14"/>
      <c r="DY506" s="14"/>
      <c r="DZ506" s="14"/>
      <c r="EA506" s="14"/>
      <c r="EB506" s="14"/>
    </row>
    <row r="507" spans="4:132"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/>
      <c r="BN507" s="40"/>
      <c r="BO507" s="40"/>
      <c r="BP507" s="14"/>
      <c r="BQ507" s="14"/>
      <c r="BR507" s="14"/>
      <c r="BS507" s="14"/>
      <c r="BT507" s="14"/>
      <c r="BU507" s="14"/>
      <c r="BV507" s="14"/>
      <c r="BW507" s="14"/>
      <c r="BX507" s="14"/>
      <c r="BY507" s="14"/>
      <c r="BZ507" s="14"/>
      <c r="CA507" s="14"/>
      <c r="CB507" s="14"/>
      <c r="CC507" s="14"/>
      <c r="CD507" s="14"/>
      <c r="CE507" s="14"/>
      <c r="CF507" s="14"/>
      <c r="CG507" s="14"/>
      <c r="CH507" s="14"/>
      <c r="CI507" s="14"/>
      <c r="CJ507" s="14"/>
      <c r="CK507" s="14"/>
      <c r="CL507" s="14"/>
      <c r="CM507" s="14"/>
      <c r="CN507" s="14"/>
      <c r="CO507" s="14"/>
      <c r="CP507" s="14"/>
      <c r="CQ507" s="14"/>
      <c r="CR507" s="14"/>
      <c r="CS507" s="14"/>
      <c r="CT507" s="14"/>
      <c r="CU507" s="14"/>
      <c r="CV507" s="14"/>
      <c r="CW507" s="14"/>
      <c r="CX507" s="14"/>
      <c r="CY507" s="14"/>
      <c r="CZ507" s="14"/>
      <c r="DA507" s="14"/>
      <c r="DB507" s="14"/>
      <c r="DC507" s="14"/>
      <c r="DD507" s="14"/>
      <c r="DE507" s="14"/>
      <c r="DF507" s="14"/>
      <c r="DG507" s="14"/>
      <c r="DH507" s="14"/>
      <c r="DI507" s="14"/>
      <c r="DJ507" s="14"/>
      <c r="DK507" s="14"/>
      <c r="DL507" s="14"/>
      <c r="DM507" s="14"/>
      <c r="DN507" s="14"/>
      <c r="DO507" s="14"/>
      <c r="DP507" s="14"/>
      <c r="DQ507" s="14"/>
      <c r="DR507" s="14"/>
      <c r="DS507" s="14"/>
      <c r="DT507" s="14"/>
      <c r="DU507" s="14"/>
      <c r="DV507" s="14"/>
      <c r="DW507" s="14"/>
      <c r="DX507" s="14"/>
      <c r="DY507" s="14"/>
      <c r="DZ507" s="14"/>
      <c r="EA507" s="14"/>
      <c r="EB507" s="14"/>
    </row>
    <row r="508" spans="4:132"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14"/>
      <c r="BQ508" s="14"/>
      <c r="BR508" s="14"/>
      <c r="BS508" s="14"/>
      <c r="BT508" s="14"/>
      <c r="BU508" s="14"/>
      <c r="BV508" s="14"/>
      <c r="BW508" s="14"/>
      <c r="BX508" s="14"/>
      <c r="BY508" s="14"/>
      <c r="BZ508" s="14"/>
      <c r="CA508" s="14"/>
      <c r="CB508" s="14"/>
      <c r="CC508" s="14"/>
      <c r="CD508" s="14"/>
      <c r="CE508" s="14"/>
      <c r="CF508" s="14"/>
      <c r="CG508" s="14"/>
      <c r="CH508" s="14"/>
      <c r="CI508" s="14"/>
      <c r="CJ508" s="14"/>
      <c r="CK508" s="14"/>
      <c r="CL508" s="14"/>
      <c r="CM508" s="14"/>
      <c r="CN508" s="14"/>
      <c r="CO508" s="14"/>
      <c r="CP508" s="14"/>
      <c r="CQ508" s="14"/>
      <c r="CR508" s="14"/>
      <c r="CS508" s="14"/>
      <c r="CT508" s="14"/>
      <c r="CU508" s="14"/>
      <c r="CV508" s="14"/>
      <c r="CW508" s="14"/>
      <c r="CX508" s="14"/>
      <c r="CY508" s="14"/>
      <c r="CZ508" s="14"/>
      <c r="DA508" s="14"/>
      <c r="DB508" s="14"/>
      <c r="DC508" s="14"/>
      <c r="DD508" s="14"/>
      <c r="DE508" s="14"/>
      <c r="DF508" s="14"/>
      <c r="DG508" s="14"/>
      <c r="DH508" s="14"/>
      <c r="DI508" s="14"/>
      <c r="DJ508" s="14"/>
      <c r="DK508" s="14"/>
      <c r="DL508" s="14"/>
      <c r="DM508" s="14"/>
      <c r="DN508" s="14"/>
      <c r="DO508" s="14"/>
      <c r="DP508" s="14"/>
      <c r="DQ508" s="14"/>
      <c r="DR508" s="14"/>
      <c r="DS508" s="14"/>
      <c r="DT508" s="14"/>
      <c r="DU508" s="14"/>
      <c r="DV508" s="14"/>
      <c r="DW508" s="14"/>
      <c r="DX508" s="14"/>
      <c r="DY508" s="14"/>
      <c r="DZ508" s="14"/>
      <c r="EA508" s="14"/>
      <c r="EB508" s="14"/>
    </row>
    <row r="509" spans="4:132"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14"/>
      <c r="BQ509" s="14"/>
      <c r="BR509" s="14"/>
      <c r="BS509" s="14"/>
      <c r="BT509" s="14"/>
      <c r="BU509" s="14"/>
      <c r="BV509" s="14"/>
      <c r="BW509" s="14"/>
      <c r="BX509" s="14"/>
      <c r="BY509" s="14"/>
      <c r="BZ509" s="14"/>
      <c r="CA509" s="14"/>
      <c r="CB509" s="14"/>
      <c r="CC509" s="14"/>
      <c r="CD509" s="14"/>
      <c r="CE509" s="14"/>
      <c r="CF509" s="14"/>
      <c r="CG509" s="14"/>
      <c r="CH509" s="14"/>
      <c r="CI509" s="14"/>
      <c r="CJ509" s="14"/>
      <c r="CK509" s="14"/>
      <c r="CL509" s="14"/>
      <c r="CM509" s="14"/>
      <c r="CN509" s="14"/>
      <c r="CO509" s="14"/>
      <c r="CP509" s="14"/>
      <c r="CQ509" s="14"/>
      <c r="CR509" s="14"/>
      <c r="CS509" s="14"/>
      <c r="CT509" s="14"/>
      <c r="CU509" s="14"/>
      <c r="CV509" s="14"/>
      <c r="CW509" s="14"/>
      <c r="CX509" s="14"/>
      <c r="CY509" s="14"/>
      <c r="CZ509" s="14"/>
      <c r="DA509" s="14"/>
      <c r="DB509" s="14"/>
      <c r="DC509" s="14"/>
      <c r="DD509" s="14"/>
      <c r="DE509" s="14"/>
      <c r="DF509" s="14"/>
      <c r="DG509" s="14"/>
      <c r="DH509" s="14"/>
      <c r="DI509" s="14"/>
      <c r="DJ509" s="14"/>
      <c r="DK509" s="14"/>
      <c r="DL509" s="14"/>
      <c r="DM509" s="14"/>
      <c r="DN509" s="14"/>
      <c r="DO509" s="14"/>
      <c r="DP509" s="14"/>
      <c r="DQ509" s="14"/>
      <c r="DR509" s="14"/>
      <c r="DS509" s="14"/>
      <c r="DT509" s="14"/>
      <c r="DU509" s="14"/>
      <c r="DV509" s="14"/>
      <c r="DW509" s="14"/>
      <c r="DX509" s="14"/>
      <c r="DY509" s="14"/>
      <c r="DZ509" s="14"/>
      <c r="EA509" s="14"/>
      <c r="EB509" s="14"/>
    </row>
    <row r="510" spans="4:132"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14"/>
      <c r="BQ510" s="14"/>
      <c r="BR510" s="14"/>
      <c r="BS510" s="14"/>
      <c r="BT510" s="14"/>
      <c r="BU510" s="14"/>
      <c r="BV510" s="14"/>
      <c r="BW510" s="14"/>
      <c r="BX510" s="14"/>
      <c r="BY510" s="14"/>
      <c r="BZ510" s="14"/>
      <c r="CA510" s="14"/>
      <c r="CB510" s="14"/>
      <c r="CC510" s="14"/>
      <c r="CD510" s="14"/>
      <c r="CE510" s="14"/>
      <c r="CF510" s="14"/>
      <c r="CG510" s="14"/>
      <c r="CH510" s="14"/>
      <c r="CI510" s="14"/>
      <c r="CJ510" s="14"/>
      <c r="CK510" s="14"/>
      <c r="CL510" s="14"/>
      <c r="CM510" s="14"/>
      <c r="CN510" s="14"/>
      <c r="CO510" s="14"/>
      <c r="CP510" s="14"/>
      <c r="CQ510" s="14"/>
      <c r="CR510" s="14"/>
      <c r="CS510" s="14"/>
      <c r="CT510" s="14"/>
      <c r="CU510" s="14"/>
      <c r="CV510" s="14"/>
      <c r="CW510" s="14"/>
      <c r="CX510" s="14"/>
      <c r="CY510" s="14"/>
      <c r="CZ510" s="14"/>
      <c r="DA510" s="14"/>
      <c r="DB510" s="14"/>
      <c r="DC510" s="14"/>
      <c r="DD510" s="14"/>
      <c r="DE510" s="14"/>
      <c r="DF510" s="14"/>
      <c r="DG510" s="14"/>
      <c r="DH510" s="14"/>
      <c r="DI510" s="14"/>
      <c r="DJ510" s="14"/>
      <c r="DK510" s="14"/>
      <c r="DL510" s="14"/>
      <c r="DM510" s="14"/>
      <c r="DN510" s="14"/>
      <c r="DO510" s="14"/>
      <c r="DP510" s="14"/>
      <c r="DQ510" s="14"/>
      <c r="DR510" s="14"/>
      <c r="DS510" s="14"/>
      <c r="DT510" s="14"/>
      <c r="DU510" s="14"/>
      <c r="DV510" s="14"/>
      <c r="DW510" s="14"/>
      <c r="DX510" s="14"/>
      <c r="DY510" s="14"/>
      <c r="DZ510" s="14"/>
      <c r="EA510" s="14"/>
      <c r="EB510" s="14"/>
    </row>
    <row r="511" spans="4:132"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14"/>
      <c r="BQ511" s="14"/>
      <c r="BR511" s="14"/>
      <c r="BS511" s="14"/>
      <c r="BT511" s="14"/>
      <c r="BU511" s="14"/>
      <c r="BV511" s="14"/>
      <c r="BW511" s="14"/>
      <c r="BX511" s="14"/>
      <c r="BY511" s="14"/>
      <c r="BZ511" s="14"/>
      <c r="CA511" s="14"/>
      <c r="CB511" s="14"/>
      <c r="CC511" s="14"/>
      <c r="CD511" s="14"/>
      <c r="CE511" s="14"/>
      <c r="CF511" s="14"/>
      <c r="CG511" s="14"/>
      <c r="CH511" s="14"/>
      <c r="CI511" s="14"/>
      <c r="CJ511" s="14"/>
      <c r="CK511" s="14"/>
      <c r="CL511" s="14"/>
      <c r="CM511" s="14"/>
      <c r="CN511" s="14"/>
      <c r="CO511" s="14"/>
      <c r="CP511" s="14"/>
      <c r="CQ511" s="14"/>
      <c r="CR511" s="14"/>
      <c r="CS511" s="14"/>
      <c r="CT511" s="14"/>
      <c r="CU511" s="14"/>
      <c r="CV511" s="14"/>
      <c r="CW511" s="14"/>
      <c r="CX511" s="14"/>
      <c r="CY511" s="14"/>
      <c r="CZ511" s="14"/>
      <c r="DA511" s="14"/>
      <c r="DB511" s="14"/>
      <c r="DC511" s="14"/>
      <c r="DD511" s="14"/>
      <c r="DE511" s="14"/>
      <c r="DF511" s="14"/>
      <c r="DG511" s="14"/>
      <c r="DH511" s="14"/>
      <c r="DI511" s="14"/>
      <c r="DJ511" s="14"/>
      <c r="DK511" s="14"/>
      <c r="DL511" s="14"/>
      <c r="DM511" s="14"/>
      <c r="DN511" s="14"/>
      <c r="DO511" s="14"/>
      <c r="DP511" s="14"/>
      <c r="DQ511" s="14"/>
      <c r="DR511" s="14"/>
      <c r="DS511" s="14"/>
      <c r="DT511" s="14"/>
      <c r="DU511" s="14"/>
      <c r="DV511" s="14"/>
      <c r="DW511" s="14"/>
      <c r="DX511" s="14"/>
      <c r="DY511" s="14"/>
      <c r="DZ511" s="14"/>
      <c r="EA511" s="14"/>
      <c r="EB511" s="14"/>
    </row>
    <row r="512" spans="4:132"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14"/>
      <c r="BQ512" s="14"/>
      <c r="BR512" s="14"/>
      <c r="BS512" s="14"/>
      <c r="BT512" s="14"/>
      <c r="BU512" s="14"/>
      <c r="BV512" s="14"/>
      <c r="BW512" s="14"/>
      <c r="BX512" s="14"/>
      <c r="BY512" s="14"/>
      <c r="BZ512" s="14"/>
      <c r="CA512" s="14"/>
      <c r="CB512" s="14"/>
      <c r="CC512" s="14"/>
      <c r="CD512" s="14"/>
      <c r="CE512" s="14"/>
      <c r="CF512" s="14"/>
      <c r="CG512" s="14"/>
      <c r="CH512" s="14"/>
      <c r="CI512" s="14"/>
      <c r="CJ512" s="14"/>
      <c r="CK512" s="14"/>
      <c r="CL512" s="14"/>
      <c r="CM512" s="14"/>
      <c r="CN512" s="14"/>
      <c r="CO512" s="14"/>
      <c r="CP512" s="14"/>
      <c r="CQ512" s="14"/>
      <c r="CR512" s="14"/>
      <c r="CS512" s="14"/>
      <c r="CT512" s="14"/>
      <c r="CU512" s="14"/>
      <c r="CV512" s="14"/>
      <c r="CW512" s="14"/>
      <c r="CX512" s="14"/>
      <c r="CY512" s="14"/>
      <c r="CZ512" s="14"/>
      <c r="DA512" s="14"/>
      <c r="DB512" s="14"/>
      <c r="DC512" s="14"/>
      <c r="DD512" s="14"/>
      <c r="DE512" s="14"/>
      <c r="DF512" s="14"/>
      <c r="DG512" s="14"/>
      <c r="DH512" s="14"/>
      <c r="DI512" s="14"/>
      <c r="DJ512" s="14"/>
      <c r="DK512" s="14"/>
      <c r="DL512" s="14"/>
      <c r="DM512" s="14"/>
      <c r="DN512" s="14"/>
      <c r="DO512" s="14"/>
      <c r="DP512" s="14"/>
      <c r="DQ512" s="14"/>
      <c r="DR512" s="14"/>
      <c r="DS512" s="14"/>
      <c r="DT512" s="14"/>
      <c r="DU512" s="14"/>
      <c r="DV512" s="14"/>
      <c r="DW512" s="14"/>
      <c r="DX512" s="14"/>
      <c r="DY512" s="14"/>
      <c r="DZ512" s="14"/>
      <c r="EA512" s="14"/>
      <c r="EB512" s="14"/>
    </row>
    <row r="513" spans="4:132"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14"/>
      <c r="BQ513" s="14"/>
      <c r="BR513" s="14"/>
      <c r="BS513" s="14"/>
      <c r="BT513" s="14"/>
      <c r="BU513" s="14"/>
      <c r="BV513" s="14"/>
      <c r="BW513" s="14"/>
      <c r="BX513" s="14"/>
      <c r="BY513" s="14"/>
      <c r="BZ513" s="14"/>
      <c r="CA513" s="14"/>
      <c r="CB513" s="14"/>
      <c r="CC513" s="14"/>
      <c r="CD513" s="14"/>
      <c r="CE513" s="14"/>
      <c r="CF513" s="14"/>
      <c r="CG513" s="14"/>
      <c r="CH513" s="14"/>
      <c r="CI513" s="14"/>
      <c r="CJ513" s="14"/>
      <c r="CK513" s="14"/>
      <c r="CL513" s="14"/>
      <c r="CM513" s="14"/>
      <c r="CN513" s="14"/>
      <c r="CO513" s="14"/>
      <c r="CP513" s="14"/>
      <c r="CQ513" s="14"/>
      <c r="CR513" s="14"/>
      <c r="CS513" s="14"/>
      <c r="CT513" s="14"/>
      <c r="CU513" s="14"/>
      <c r="CV513" s="14"/>
      <c r="CW513" s="14"/>
      <c r="CX513" s="14"/>
      <c r="CY513" s="14"/>
      <c r="CZ513" s="14"/>
      <c r="DA513" s="14"/>
      <c r="DB513" s="14"/>
      <c r="DC513" s="14"/>
      <c r="DD513" s="14"/>
      <c r="DE513" s="14"/>
      <c r="DF513" s="14"/>
      <c r="DG513" s="14"/>
      <c r="DH513" s="14"/>
      <c r="DI513" s="14"/>
      <c r="DJ513" s="14"/>
      <c r="DK513" s="14"/>
      <c r="DL513" s="14"/>
      <c r="DM513" s="14"/>
      <c r="DN513" s="14"/>
      <c r="DO513" s="14"/>
      <c r="DP513" s="14"/>
      <c r="DQ513" s="14"/>
      <c r="DR513" s="14"/>
      <c r="DS513" s="14"/>
      <c r="DT513" s="14"/>
      <c r="DU513" s="14"/>
      <c r="DV513" s="14"/>
      <c r="DW513" s="14"/>
      <c r="DX513" s="14"/>
      <c r="DY513" s="14"/>
      <c r="DZ513" s="14"/>
      <c r="EA513" s="14"/>
      <c r="EB513" s="14"/>
    </row>
    <row r="514" spans="4:132"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/>
      <c r="BM514" s="40"/>
      <c r="BN514" s="40"/>
      <c r="BO514" s="40"/>
      <c r="BP514" s="14"/>
      <c r="BQ514" s="14"/>
      <c r="BR514" s="14"/>
      <c r="BS514" s="14"/>
      <c r="BT514" s="14"/>
      <c r="BU514" s="14"/>
      <c r="BV514" s="14"/>
      <c r="BW514" s="14"/>
      <c r="BX514" s="14"/>
      <c r="BY514" s="14"/>
      <c r="BZ514" s="14"/>
      <c r="CA514" s="14"/>
      <c r="CB514" s="14"/>
      <c r="CC514" s="14"/>
      <c r="CD514" s="14"/>
      <c r="CE514" s="14"/>
      <c r="CF514" s="14"/>
      <c r="CG514" s="14"/>
      <c r="CH514" s="14"/>
      <c r="CI514" s="14"/>
      <c r="CJ514" s="14"/>
      <c r="CK514" s="14"/>
      <c r="CL514" s="14"/>
      <c r="CM514" s="14"/>
      <c r="CN514" s="14"/>
      <c r="CO514" s="14"/>
      <c r="CP514" s="14"/>
      <c r="CQ514" s="14"/>
      <c r="CR514" s="14"/>
      <c r="CS514" s="14"/>
      <c r="CT514" s="14"/>
      <c r="CU514" s="14"/>
      <c r="CV514" s="14"/>
      <c r="CW514" s="14"/>
      <c r="CX514" s="14"/>
      <c r="CY514" s="14"/>
      <c r="CZ514" s="14"/>
      <c r="DA514" s="14"/>
      <c r="DB514" s="14"/>
      <c r="DC514" s="14"/>
      <c r="DD514" s="14"/>
      <c r="DE514" s="14"/>
      <c r="DF514" s="14"/>
      <c r="DG514" s="14"/>
      <c r="DH514" s="14"/>
      <c r="DI514" s="14"/>
      <c r="DJ514" s="14"/>
      <c r="DK514" s="14"/>
      <c r="DL514" s="14"/>
      <c r="DM514" s="14"/>
      <c r="DN514" s="14"/>
      <c r="DO514" s="14"/>
      <c r="DP514" s="14"/>
      <c r="DQ514" s="14"/>
      <c r="DR514" s="14"/>
      <c r="DS514" s="14"/>
      <c r="DT514" s="14"/>
      <c r="DU514" s="14"/>
      <c r="DV514" s="14"/>
      <c r="DW514" s="14"/>
      <c r="DX514" s="14"/>
      <c r="DY514" s="14"/>
      <c r="DZ514" s="14"/>
      <c r="EA514" s="14"/>
      <c r="EB514" s="14"/>
    </row>
    <row r="515" spans="4:132"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14"/>
      <c r="BQ515" s="14"/>
      <c r="BR515" s="14"/>
      <c r="BS515" s="14"/>
      <c r="BT515" s="14"/>
      <c r="BU515" s="14"/>
      <c r="BV515" s="14"/>
      <c r="BW515" s="14"/>
      <c r="BX515" s="14"/>
      <c r="BY515" s="14"/>
      <c r="BZ515" s="14"/>
      <c r="CA515" s="14"/>
      <c r="CB515" s="14"/>
      <c r="CC515" s="14"/>
      <c r="CD515" s="14"/>
      <c r="CE515" s="14"/>
      <c r="CF515" s="14"/>
      <c r="CG515" s="14"/>
      <c r="CH515" s="14"/>
      <c r="CI515" s="14"/>
      <c r="CJ515" s="14"/>
      <c r="CK515" s="14"/>
      <c r="CL515" s="14"/>
      <c r="CM515" s="14"/>
      <c r="CN515" s="14"/>
      <c r="CO515" s="14"/>
      <c r="CP515" s="14"/>
      <c r="CQ515" s="14"/>
      <c r="CR515" s="14"/>
      <c r="CS515" s="14"/>
      <c r="CT515" s="14"/>
      <c r="CU515" s="14"/>
      <c r="CV515" s="14"/>
      <c r="CW515" s="14"/>
      <c r="CX515" s="14"/>
      <c r="CY515" s="14"/>
      <c r="CZ515" s="14"/>
      <c r="DA515" s="14"/>
      <c r="DB515" s="14"/>
      <c r="DC515" s="14"/>
      <c r="DD515" s="14"/>
      <c r="DE515" s="14"/>
      <c r="DF515" s="14"/>
      <c r="DG515" s="14"/>
      <c r="DH515" s="14"/>
      <c r="DI515" s="14"/>
      <c r="DJ515" s="14"/>
      <c r="DK515" s="14"/>
      <c r="DL515" s="14"/>
      <c r="DM515" s="14"/>
      <c r="DN515" s="14"/>
      <c r="DO515" s="14"/>
      <c r="DP515" s="14"/>
      <c r="DQ515" s="14"/>
      <c r="DR515" s="14"/>
      <c r="DS515" s="14"/>
      <c r="DT515" s="14"/>
      <c r="DU515" s="14"/>
      <c r="DV515" s="14"/>
      <c r="DW515" s="14"/>
      <c r="DX515" s="14"/>
      <c r="DY515" s="14"/>
      <c r="DZ515" s="14"/>
      <c r="EA515" s="14"/>
      <c r="EB515" s="14"/>
    </row>
    <row r="516" spans="4:132"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  <c r="BK516" s="40"/>
      <c r="BL516" s="40"/>
      <c r="BM516" s="40"/>
      <c r="BN516" s="40"/>
      <c r="BO516" s="40"/>
      <c r="BP516" s="14"/>
      <c r="BQ516" s="14"/>
      <c r="BR516" s="14"/>
      <c r="BS516" s="14"/>
      <c r="BT516" s="14"/>
      <c r="BU516" s="14"/>
      <c r="BV516" s="14"/>
      <c r="BW516" s="14"/>
      <c r="BX516" s="14"/>
      <c r="BY516" s="14"/>
      <c r="BZ516" s="14"/>
      <c r="CA516" s="14"/>
      <c r="CB516" s="14"/>
      <c r="CC516" s="14"/>
      <c r="CD516" s="14"/>
      <c r="CE516" s="14"/>
      <c r="CF516" s="14"/>
      <c r="CG516" s="14"/>
      <c r="CH516" s="14"/>
      <c r="CI516" s="14"/>
      <c r="CJ516" s="14"/>
      <c r="CK516" s="14"/>
      <c r="CL516" s="14"/>
      <c r="CM516" s="14"/>
      <c r="CN516" s="14"/>
      <c r="CO516" s="14"/>
      <c r="CP516" s="14"/>
      <c r="CQ516" s="14"/>
      <c r="CR516" s="14"/>
      <c r="CS516" s="14"/>
      <c r="CT516" s="14"/>
      <c r="CU516" s="14"/>
      <c r="CV516" s="14"/>
      <c r="CW516" s="14"/>
      <c r="CX516" s="14"/>
      <c r="CY516" s="14"/>
      <c r="CZ516" s="14"/>
      <c r="DA516" s="14"/>
      <c r="DB516" s="14"/>
      <c r="DC516" s="14"/>
      <c r="DD516" s="14"/>
      <c r="DE516" s="14"/>
      <c r="DF516" s="14"/>
      <c r="DG516" s="14"/>
      <c r="DH516" s="14"/>
      <c r="DI516" s="14"/>
      <c r="DJ516" s="14"/>
      <c r="DK516" s="14"/>
      <c r="DL516" s="14"/>
      <c r="DM516" s="14"/>
      <c r="DN516" s="14"/>
      <c r="DO516" s="14"/>
      <c r="DP516" s="14"/>
      <c r="DQ516" s="14"/>
      <c r="DR516" s="14"/>
      <c r="DS516" s="14"/>
      <c r="DT516" s="14"/>
      <c r="DU516" s="14"/>
      <c r="DV516" s="14"/>
      <c r="DW516" s="14"/>
      <c r="DX516" s="14"/>
      <c r="DY516" s="14"/>
      <c r="DZ516" s="14"/>
      <c r="EA516" s="14"/>
      <c r="EB516" s="14"/>
    </row>
    <row r="517" spans="4:132"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14"/>
      <c r="BQ517" s="14"/>
      <c r="BR517" s="14"/>
      <c r="BS517" s="14"/>
      <c r="BT517" s="14"/>
      <c r="BU517" s="14"/>
      <c r="BV517" s="14"/>
      <c r="BW517" s="14"/>
      <c r="BX517" s="14"/>
      <c r="BY517" s="14"/>
      <c r="BZ517" s="14"/>
      <c r="CA517" s="14"/>
      <c r="CB517" s="14"/>
      <c r="CC517" s="14"/>
      <c r="CD517" s="14"/>
      <c r="CE517" s="14"/>
      <c r="CF517" s="14"/>
      <c r="CG517" s="14"/>
      <c r="CH517" s="14"/>
      <c r="CI517" s="14"/>
      <c r="CJ517" s="14"/>
      <c r="CK517" s="14"/>
      <c r="CL517" s="14"/>
      <c r="CM517" s="14"/>
      <c r="CN517" s="14"/>
      <c r="CO517" s="14"/>
      <c r="CP517" s="14"/>
      <c r="CQ517" s="14"/>
      <c r="CR517" s="14"/>
      <c r="CS517" s="14"/>
      <c r="CT517" s="14"/>
      <c r="CU517" s="14"/>
      <c r="CV517" s="14"/>
      <c r="CW517" s="14"/>
      <c r="CX517" s="14"/>
      <c r="CY517" s="14"/>
      <c r="CZ517" s="14"/>
      <c r="DA517" s="14"/>
      <c r="DB517" s="14"/>
      <c r="DC517" s="14"/>
      <c r="DD517" s="14"/>
      <c r="DE517" s="14"/>
      <c r="DF517" s="14"/>
      <c r="DG517" s="14"/>
      <c r="DH517" s="14"/>
      <c r="DI517" s="14"/>
      <c r="DJ517" s="14"/>
      <c r="DK517" s="14"/>
      <c r="DL517" s="14"/>
      <c r="DM517" s="14"/>
      <c r="DN517" s="14"/>
      <c r="DO517" s="14"/>
      <c r="DP517" s="14"/>
      <c r="DQ517" s="14"/>
      <c r="DR517" s="14"/>
      <c r="DS517" s="14"/>
      <c r="DT517" s="14"/>
      <c r="DU517" s="14"/>
      <c r="DV517" s="14"/>
      <c r="DW517" s="14"/>
      <c r="DX517" s="14"/>
      <c r="DY517" s="14"/>
      <c r="DZ517" s="14"/>
      <c r="EA517" s="14"/>
      <c r="EB517" s="14"/>
    </row>
    <row r="518" spans="4:132"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/>
      <c r="BM518" s="40"/>
      <c r="BN518" s="40"/>
      <c r="BO518" s="40"/>
      <c r="BP518" s="14"/>
      <c r="BQ518" s="14"/>
      <c r="BR518" s="14"/>
      <c r="BS518" s="14"/>
      <c r="BT518" s="14"/>
      <c r="BU518" s="14"/>
      <c r="BV518" s="14"/>
      <c r="BW518" s="14"/>
      <c r="BX518" s="14"/>
      <c r="BY518" s="14"/>
      <c r="BZ518" s="14"/>
      <c r="CA518" s="14"/>
      <c r="CB518" s="14"/>
      <c r="CC518" s="14"/>
      <c r="CD518" s="14"/>
      <c r="CE518" s="14"/>
      <c r="CF518" s="14"/>
      <c r="CG518" s="14"/>
      <c r="CH518" s="14"/>
      <c r="CI518" s="14"/>
      <c r="CJ518" s="14"/>
      <c r="CK518" s="14"/>
      <c r="CL518" s="14"/>
      <c r="CM518" s="14"/>
      <c r="CN518" s="14"/>
      <c r="CO518" s="14"/>
      <c r="CP518" s="14"/>
      <c r="CQ518" s="14"/>
      <c r="CR518" s="14"/>
      <c r="CS518" s="14"/>
      <c r="CT518" s="14"/>
      <c r="CU518" s="14"/>
      <c r="CV518" s="14"/>
      <c r="CW518" s="14"/>
      <c r="CX518" s="14"/>
      <c r="CY518" s="14"/>
      <c r="CZ518" s="14"/>
      <c r="DA518" s="14"/>
      <c r="DB518" s="14"/>
      <c r="DC518" s="14"/>
      <c r="DD518" s="14"/>
      <c r="DE518" s="14"/>
      <c r="DF518" s="14"/>
      <c r="DG518" s="14"/>
      <c r="DH518" s="14"/>
      <c r="DI518" s="14"/>
      <c r="DJ518" s="14"/>
      <c r="DK518" s="14"/>
      <c r="DL518" s="14"/>
      <c r="DM518" s="14"/>
      <c r="DN518" s="14"/>
      <c r="DO518" s="14"/>
      <c r="DP518" s="14"/>
      <c r="DQ518" s="14"/>
      <c r="DR518" s="14"/>
      <c r="DS518" s="14"/>
      <c r="DT518" s="14"/>
      <c r="DU518" s="14"/>
      <c r="DV518" s="14"/>
      <c r="DW518" s="14"/>
      <c r="DX518" s="14"/>
      <c r="DY518" s="14"/>
      <c r="DZ518" s="14"/>
      <c r="EA518" s="14"/>
      <c r="EB518" s="14"/>
    </row>
    <row r="519" spans="4:132"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14"/>
      <c r="BQ519" s="14"/>
      <c r="BR519" s="14"/>
      <c r="BS519" s="14"/>
      <c r="BT519" s="14"/>
      <c r="BU519" s="14"/>
      <c r="BV519" s="14"/>
      <c r="BW519" s="14"/>
      <c r="BX519" s="14"/>
      <c r="BY519" s="14"/>
      <c r="BZ519" s="14"/>
      <c r="CA519" s="14"/>
      <c r="CB519" s="14"/>
      <c r="CC519" s="14"/>
      <c r="CD519" s="14"/>
      <c r="CE519" s="14"/>
      <c r="CF519" s="14"/>
      <c r="CG519" s="14"/>
      <c r="CH519" s="14"/>
      <c r="CI519" s="14"/>
      <c r="CJ519" s="14"/>
      <c r="CK519" s="14"/>
      <c r="CL519" s="14"/>
      <c r="CM519" s="14"/>
      <c r="CN519" s="14"/>
      <c r="CO519" s="14"/>
      <c r="CP519" s="14"/>
      <c r="CQ519" s="14"/>
      <c r="CR519" s="14"/>
      <c r="CS519" s="14"/>
      <c r="CT519" s="14"/>
      <c r="CU519" s="14"/>
      <c r="CV519" s="14"/>
      <c r="CW519" s="14"/>
      <c r="CX519" s="14"/>
      <c r="CY519" s="14"/>
      <c r="CZ519" s="14"/>
      <c r="DA519" s="14"/>
      <c r="DB519" s="14"/>
      <c r="DC519" s="14"/>
      <c r="DD519" s="14"/>
      <c r="DE519" s="14"/>
      <c r="DF519" s="14"/>
      <c r="DG519" s="14"/>
      <c r="DH519" s="14"/>
      <c r="DI519" s="14"/>
      <c r="DJ519" s="14"/>
      <c r="DK519" s="14"/>
      <c r="DL519" s="14"/>
      <c r="DM519" s="14"/>
      <c r="DN519" s="14"/>
      <c r="DO519" s="14"/>
      <c r="DP519" s="14"/>
      <c r="DQ519" s="14"/>
      <c r="DR519" s="14"/>
      <c r="DS519" s="14"/>
      <c r="DT519" s="14"/>
      <c r="DU519" s="14"/>
      <c r="DV519" s="14"/>
      <c r="DW519" s="14"/>
      <c r="DX519" s="14"/>
      <c r="DY519" s="14"/>
      <c r="DZ519" s="14"/>
      <c r="EA519" s="14"/>
      <c r="EB519" s="14"/>
    </row>
    <row r="520" spans="4:132"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14"/>
      <c r="BQ520" s="14"/>
      <c r="BR520" s="14"/>
      <c r="BS520" s="14"/>
      <c r="BT520" s="14"/>
      <c r="BU520" s="14"/>
      <c r="BV520" s="14"/>
      <c r="BW520" s="14"/>
      <c r="BX520" s="14"/>
      <c r="BY520" s="14"/>
      <c r="BZ520" s="14"/>
      <c r="CA520" s="14"/>
      <c r="CB520" s="14"/>
      <c r="CC520" s="14"/>
      <c r="CD520" s="14"/>
      <c r="CE520" s="14"/>
      <c r="CF520" s="14"/>
      <c r="CG520" s="14"/>
      <c r="CH520" s="14"/>
      <c r="CI520" s="14"/>
      <c r="CJ520" s="14"/>
      <c r="CK520" s="14"/>
      <c r="CL520" s="14"/>
      <c r="CM520" s="14"/>
      <c r="CN520" s="14"/>
      <c r="CO520" s="14"/>
      <c r="CP520" s="14"/>
      <c r="CQ520" s="14"/>
      <c r="CR520" s="14"/>
      <c r="CS520" s="14"/>
      <c r="CT520" s="14"/>
      <c r="CU520" s="14"/>
      <c r="CV520" s="14"/>
      <c r="CW520" s="14"/>
      <c r="CX520" s="14"/>
      <c r="CY520" s="14"/>
      <c r="CZ520" s="14"/>
      <c r="DA520" s="14"/>
      <c r="DB520" s="14"/>
      <c r="DC520" s="14"/>
      <c r="DD520" s="14"/>
      <c r="DE520" s="14"/>
      <c r="DF520" s="14"/>
      <c r="DG520" s="14"/>
      <c r="DH520" s="14"/>
      <c r="DI520" s="14"/>
      <c r="DJ520" s="14"/>
      <c r="DK520" s="14"/>
      <c r="DL520" s="14"/>
      <c r="DM520" s="14"/>
      <c r="DN520" s="14"/>
      <c r="DO520" s="14"/>
      <c r="DP520" s="14"/>
      <c r="DQ520" s="14"/>
      <c r="DR520" s="14"/>
      <c r="DS520" s="14"/>
      <c r="DT520" s="14"/>
      <c r="DU520" s="14"/>
      <c r="DV520" s="14"/>
      <c r="DW520" s="14"/>
      <c r="DX520" s="14"/>
      <c r="DY520" s="14"/>
      <c r="DZ520" s="14"/>
      <c r="EA520" s="14"/>
      <c r="EB520" s="14"/>
    </row>
    <row r="521" spans="4:132"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14"/>
      <c r="BQ521" s="14"/>
      <c r="BR521" s="14"/>
      <c r="BS521" s="14"/>
      <c r="BT521" s="14"/>
      <c r="BU521" s="14"/>
      <c r="BV521" s="14"/>
      <c r="BW521" s="14"/>
      <c r="BX521" s="14"/>
      <c r="BY521" s="14"/>
      <c r="BZ521" s="14"/>
      <c r="CA521" s="14"/>
      <c r="CB521" s="14"/>
      <c r="CC521" s="14"/>
      <c r="CD521" s="14"/>
      <c r="CE521" s="14"/>
      <c r="CF521" s="14"/>
      <c r="CG521" s="14"/>
      <c r="CH521" s="14"/>
      <c r="CI521" s="14"/>
      <c r="CJ521" s="14"/>
      <c r="CK521" s="14"/>
      <c r="CL521" s="14"/>
      <c r="CM521" s="14"/>
      <c r="CN521" s="14"/>
      <c r="CO521" s="14"/>
      <c r="CP521" s="14"/>
      <c r="CQ521" s="14"/>
      <c r="CR521" s="14"/>
      <c r="CS521" s="14"/>
      <c r="CT521" s="14"/>
      <c r="CU521" s="14"/>
      <c r="CV521" s="14"/>
      <c r="CW521" s="14"/>
      <c r="CX521" s="14"/>
      <c r="CY521" s="14"/>
      <c r="CZ521" s="14"/>
      <c r="DA521" s="14"/>
      <c r="DB521" s="14"/>
      <c r="DC521" s="14"/>
      <c r="DD521" s="14"/>
      <c r="DE521" s="14"/>
      <c r="DF521" s="14"/>
      <c r="DG521" s="14"/>
      <c r="DH521" s="14"/>
      <c r="DI521" s="14"/>
      <c r="DJ521" s="14"/>
      <c r="DK521" s="14"/>
      <c r="DL521" s="14"/>
      <c r="DM521" s="14"/>
      <c r="DN521" s="14"/>
      <c r="DO521" s="14"/>
      <c r="DP521" s="14"/>
      <c r="DQ521" s="14"/>
      <c r="DR521" s="14"/>
      <c r="DS521" s="14"/>
      <c r="DT521" s="14"/>
      <c r="DU521" s="14"/>
      <c r="DV521" s="14"/>
      <c r="DW521" s="14"/>
      <c r="DX521" s="14"/>
      <c r="DY521" s="14"/>
      <c r="DZ521" s="14"/>
      <c r="EA521" s="14"/>
      <c r="EB521" s="14"/>
    </row>
    <row r="522" spans="4:132"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14"/>
      <c r="BQ522" s="14"/>
      <c r="BR522" s="14"/>
      <c r="BS522" s="14"/>
      <c r="BT522" s="14"/>
      <c r="BU522" s="14"/>
      <c r="BV522" s="14"/>
      <c r="BW522" s="14"/>
      <c r="BX522" s="14"/>
      <c r="BY522" s="14"/>
      <c r="BZ522" s="14"/>
      <c r="CA522" s="14"/>
      <c r="CB522" s="14"/>
      <c r="CC522" s="14"/>
      <c r="CD522" s="14"/>
      <c r="CE522" s="14"/>
      <c r="CF522" s="14"/>
      <c r="CG522" s="14"/>
      <c r="CH522" s="14"/>
      <c r="CI522" s="14"/>
      <c r="CJ522" s="14"/>
      <c r="CK522" s="14"/>
      <c r="CL522" s="14"/>
      <c r="CM522" s="14"/>
      <c r="CN522" s="14"/>
      <c r="CO522" s="14"/>
      <c r="CP522" s="14"/>
      <c r="CQ522" s="14"/>
      <c r="CR522" s="14"/>
      <c r="CS522" s="14"/>
      <c r="CT522" s="14"/>
      <c r="CU522" s="14"/>
      <c r="CV522" s="14"/>
      <c r="CW522" s="14"/>
      <c r="CX522" s="14"/>
      <c r="CY522" s="14"/>
      <c r="CZ522" s="14"/>
      <c r="DA522" s="14"/>
      <c r="DB522" s="14"/>
      <c r="DC522" s="14"/>
      <c r="DD522" s="14"/>
      <c r="DE522" s="14"/>
      <c r="DF522" s="14"/>
      <c r="DG522" s="14"/>
      <c r="DH522" s="14"/>
      <c r="DI522" s="14"/>
      <c r="DJ522" s="14"/>
      <c r="DK522" s="14"/>
      <c r="DL522" s="14"/>
      <c r="DM522" s="14"/>
      <c r="DN522" s="14"/>
      <c r="DO522" s="14"/>
      <c r="DP522" s="14"/>
      <c r="DQ522" s="14"/>
      <c r="DR522" s="14"/>
      <c r="DS522" s="14"/>
      <c r="DT522" s="14"/>
      <c r="DU522" s="14"/>
      <c r="DV522" s="14"/>
      <c r="DW522" s="14"/>
      <c r="DX522" s="14"/>
      <c r="DY522" s="14"/>
      <c r="DZ522" s="14"/>
      <c r="EA522" s="14"/>
      <c r="EB522" s="14"/>
    </row>
    <row r="523" spans="4:132"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14"/>
      <c r="BQ523" s="14"/>
      <c r="BR523" s="14"/>
      <c r="BS523" s="14"/>
      <c r="BT523" s="14"/>
      <c r="BU523" s="14"/>
      <c r="BV523" s="14"/>
      <c r="BW523" s="14"/>
      <c r="BX523" s="14"/>
      <c r="BY523" s="14"/>
      <c r="BZ523" s="14"/>
      <c r="CA523" s="14"/>
      <c r="CB523" s="14"/>
      <c r="CC523" s="14"/>
      <c r="CD523" s="14"/>
      <c r="CE523" s="14"/>
      <c r="CF523" s="14"/>
      <c r="CG523" s="14"/>
      <c r="CH523" s="14"/>
      <c r="CI523" s="14"/>
      <c r="CJ523" s="14"/>
      <c r="CK523" s="14"/>
      <c r="CL523" s="14"/>
      <c r="CM523" s="14"/>
      <c r="CN523" s="14"/>
      <c r="CO523" s="14"/>
      <c r="CP523" s="14"/>
      <c r="CQ523" s="14"/>
      <c r="CR523" s="14"/>
      <c r="CS523" s="14"/>
      <c r="CT523" s="14"/>
      <c r="CU523" s="14"/>
      <c r="CV523" s="14"/>
      <c r="CW523" s="14"/>
      <c r="CX523" s="14"/>
      <c r="CY523" s="14"/>
      <c r="CZ523" s="14"/>
      <c r="DA523" s="14"/>
      <c r="DB523" s="14"/>
      <c r="DC523" s="14"/>
      <c r="DD523" s="14"/>
      <c r="DE523" s="14"/>
      <c r="DF523" s="14"/>
      <c r="DG523" s="14"/>
      <c r="DH523" s="14"/>
      <c r="DI523" s="14"/>
      <c r="DJ523" s="14"/>
      <c r="DK523" s="14"/>
      <c r="DL523" s="14"/>
      <c r="DM523" s="14"/>
      <c r="DN523" s="14"/>
      <c r="DO523" s="14"/>
      <c r="DP523" s="14"/>
      <c r="DQ523" s="14"/>
      <c r="DR523" s="14"/>
      <c r="DS523" s="14"/>
      <c r="DT523" s="14"/>
      <c r="DU523" s="14"/>
      <c r="DV523" s="14"/>
      <c r="DW523" s="14"/>
      <c r="DX523" s="14"/>
      <c r="DY523" s="14"/>
      <c r="DZ523" s="14"/>
      <c r="EA523" s="14"/>
      <c r="EB523" s="14"/>
    </row>
    <row r="524" spans="4:132">
      <c r="D524" s="40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14"/>
      <c r="BQ524" s="14"/>
      <c r="BR524" s="14"/>
      <c r="BS524" s="14"/>
      <c r="BT524" s="14"/>
      <c r="BU524" s="14"/>
      <c r="BV524" s="14"/>
      <c r="BW524" s="14"/>
      <c r="BX524" s="14"/>
      <c r="BY524" s="14"/>
      <c r="BZ524" s="14"/>
      <c r="CA524" s="14"/>
      <c r="CB524" s="14"/>
      <c r="CC524" s="14"/>
      <c r="CD524" s="14"/>
      <c r="CE524" s="14"/>
      <c r="CF524" s="14"/>
      <c r="CG524" s="14"/>
      <c r="CH524" s="14"/>
      <c r="CI524" s="14"/>
      <c r="CJ524" s="14"/>
      <c r="CK524" s="14"/>
      <c r="CL524" s="14"/>
      <c r="CM524" s="14"/>
      <c r="CN524" s="14"/>
      <c r="CO524" s="14"/>
      <c r="CP524" s="14"/>
      <c r="CQ524" s="14"/>
      <c r="CR524" s="14"/>
      <c r="CS524" s="14"/>
      <c r="CT524" s="14"/>
      <c r="CU524" s="14"/>
      <c r="CV524" s="14"/>
      <c r="CW524" s="14"/>
      <c r="CX524" s="14"/>
      <c r="CY524" s="14"/>
      <c r="CZ524" s="14"/>
      <c r="DA524" s="14"/>
      <c r="DB524" s="14"/>
      <c r="DC524" s="14"/>
      <c r="DD524" s="14"/>
      <c r="DE524" s="14"/>
      <c r="DF524" s="14"/>
      <c r="DG524" s="14"/>
      <c r="DH524" s="14"/>
      <c r="DI524" s="14"/>
      <c r="DJ524" s="14"/>
      <c r="DK524" s="14"/>
      <c r="DL524" s="14"/>
      <c r="DM524" s="14"/>
      <c r="DN524" s="14"/>
      <c r="DO524" s="14"/>
      <c r="DP524" s="14"/>
      <c r="DQ524" s="14"/>
      <c r="DR524" s="14"/>
      <c r="DS524" s="14"/>
      <c r="DT524" s="14"/>
      <c r="DU524" s="14"/>
      <c r="DV524" s="14"/>
      <c r="DW524" s="14"/>
      <c r="DX524" s="14"/>
      <c r="DY524" s="14"/>
      <c r="DZ524" s="14"/>
      <c r="EA524" s="14"/>
      <c r="EB524" s="14"/>
    </row>
    <row r="525" spans="4:132">
      <c r="D525" s="40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14"/>
      <c r="BQ525" s="14"/>
      <c r="BR525" s="14"/>
      <c r="BS525" s="14"/>
      <c r="BT525" s="14"/>
      <c r="BU525" s="14"/>
      <c r="BV525" s="14"/>
      <c r="BW525" s="14"/>
      <c r="BX525" s="14"/>
      <c r="BY525" s="14"/>
      <c r="BZ525" s="14"/>
      <c r="CA525" s="14"/>
      <c r="CB525" s="14"/>
      <c r="CC525" s="14"/>
      <c r="CD525" s="14"/>
      <c r="CE525" s="14"/>
      <c r="CF525" s="14"/>
      <c r="CG525" s="14"/>
      <c r="CH525" s="14"/>
      <c r="CI525" s="14"/>
      <c r="CJ525" s="14"/>
      <c r="CK525" s="14"/>
      <c r="CL525" s="14"/>
      <c r="CM525" s="14"/>
      <c r="CN525" s="14"/>
      <c r="CO525" s="14"/>
      <c r="CP525" s="14"/>
      <c r="CQ525" s="14"/>
      <c r="CR525" s="14"/>
      <c r="CS525" s="14"/>
      <c r="CT525" s="14"/>
      <c r="CU525" s="14"/>
      <c r="CV525" s="14"/>
      <c r="CW525" s="14"/>
      <c r="CX525" s="14"/>
      <c r="CY525" s="14"/>
      <c r="CZ525" s="14"/>
      <c r="DA525" s="14"/>
      <c r="DB525" s="14"/>
      <c r="DC525" s="14"/>
      <c r="DD525" s="14"/>
      <c r="DE525" s="14"/>
      <c r="DF525" s="14"/>
      <c r="DG525" s="14"/>
      <c r="DH525" s="14"/>
      <c r="DI525" s="14"/>
      <c r="DJ525" s="14"/>
      <c r="DK525" s="14"/>
      <c r="DL525" s="14"/>
      <c r="DM525" s="14"/>
      <c r="DN525" s="14"/>
      <c r="DO525" s="14"/>
      <c r="DP525" s="14"/>
      <c r="DQ525" s="14"/>
      <c r="DR525" s="14"/>
      <c r="DS525" s="14"/>
      <c r="DT525" s="14"/>
      <c r="DU525" s="14"/>
      <c r="DV525" s="14"/>
      <c r="DW525" s="14"/>
      <c r="DX525" s="14"/>
      <c r="DY525" s="14"/>
      <c r="DZ525" s="14"/>
      <c r="EA525" s="14"/>
      <c r="EB525" s="14"/>
    </row>
    <row r="526" spans="4:132">
      <c r="D526" s="40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14"/>
      <c r="BQ526" s="14"/>
      <c r="BR526" s="14"/>
      <c r="BS526" s="14"/>
      <c r="BT526" s="14"/>
      <c r="BU526" s="14"/>
      <c r="BV526" s="14"/>
      <c r="BW526" s="14"/>
      <c r="BX526" s="14"/>
      <c r="BY526" s="14"/>
      <c r="BZ526" s="14"/>
      <c r="CA526" s="14"/>
      <c r="CB526" s="14"/>
      <c r="CC526" s="14"/>
      <c r="CD526" s="14"/>
      <c r="CE526" s="14"/>
      <c r="CF526" s="14"/>
      <c r="CG526" s="14"/>
      <c r="CH526" s="14"/>
      <c r="CI526" s="14"/>
      <c r="CJ526" s="14"/>
      <c r="CK526" s="14"/>
      <c r="CL526" s="14"/>
      <c r="CM526" s="14"/>
      <c r="CN526" s="14"/>
      <c r="CO526" s="14"/>
      <c r="CP526" s="14"/>
      <c r="CQ526" s="14"/>
      <c r="CR526" s="14"/>
      <c r="CS526" s="14"/>
      <c r="CT526" s="14"/>
      <c r="CU526" s="14"/>
      <c r="CV526" s="14"/>
      <c r="CW526" s="14"/>
      <c r="CX526" s="14"/>
      <c r="CY526" s="14"/>
      <c r="CZ526" s="14"/>
      <c r="DA526" s="14"/>
      <c r="DB526" s="14"/>
      <c r="DC526" s="14"/>
      <c r="DD526" s="14"/>
      <c r="DE526" s="14"/>
      <c r="DF526" s="14"/>
      <c r="DG526" s="14"/>
      <c r="DH526" s="14"/>
      <c r="DI526" s="14"/>
      <c r="DJ526" s="14"/>
      <c r="DK526" s="14"/>
      <c r="DL526" s="14"/>
      <c r="DM526" s="14"/>
      <c r="DN526" s="14"/>
      <c r="DO526" s="14"/>
      <c r="DP526" s="14"/>
      <c r="DQ526" s="14"/>
      <c r="DR526" s="14"/>
      <c r="DS526" s="14"/>
      <c r="DT526" s="14"/>
      <c r="DU526" s="14"/>
      <c r="DV526" s="14"/>
      <c r="DW526" s="14"/>
      <c r="DX526" s="14"/>
      <c r="DY526" s="14"/>
      <c r="DZ526" s="14"/>
      <c r="EA526" s="14"/>
      <c r="EB526" s="14"/>
    </row>
    <row r="527" spans="4:132">
      <c r="D527" s="40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14"/>
      <c r="BQ527" s="14"/>
      <c r="BR527" s="14"/>
      <c r="BS527" s="14"/>
      <c r="BT527" s="14"/>
      <c r="BU527" s="14"/>
      <c r="BV527" s="14"/>
      <c r="BW527" s="14"/>
      <c r="BX527" s="14"/>
      <c r="BY527" s="14"/>
      <c r="BZ527" s="14"/>
      <c r="CA527" s="14"/>
      <c r="CB527" s="14"/>
      <c r="CC527" s="14"/>
      <c r="CD527" s="14"/>
      <c r="CE527" s="14"/>
      <c r="CF527" s="14"/>
      <c r="CG527" s="14"/>
      <c r="CH527" s="14"/>
      <c r="CI527" s="14"/>
      <c r="CJ527" s="14"/>
      <c r="CK527" s="14"/>
      <c r="CL527" s="14"/>
      <c r="CM527" s="14"/>
      <c r="CN527" s="14"/>
      <c r="CO527" s="14"/>
      <c r="CP527" s="14"/>
      <c r="CQ527" s="14"/>
      <c r="CR527" s="14"/>
      <c r="CS527" s="14"/>
      <c r="CT527" s="14"/>
      <c r="CU527" s="14"/>
      <c r="CV527" s="14"/>
      <c r="CW527" s="14"/>
      <c r="CX527" s="14"/>
      <c r="CY527" s="14"/>
      <c r="CZ527" s="14"/>
      <c r="DA527" s="14"/>
      <c r="DB527" s="14"/>
      <c r="DC527" s="14"/>
      <c r="DD527" s="14"/>
      <c r="DE527" s="14"/>
      <c r="DF527" s="14"/>
      <c r="DG527" s="14"/>
      <c r="DH527" s="14"/>
      <c r="DI527" s="14"/>
      <c r="DJ527" s="14"/>
      <c r="DK527" s="14"/>
      <c r="DL527" s="14"/>
      <c r="DM527" s="14"/>
      <c r="DN527" s="14"/>
      <c r="DO527" s="14"/>
      <c r="DP527" s="14"/>
      <c r="DQ527" s="14"/>
      <c r="DR527" s="14"/>
      <c r="DS527" s="14"/>
      <c r="DT527" s="14"/>
      <c r="DU527" s="14"/>
      <c r="DV527" s="14"/>
      <c r="DW527" s="14"/>
      <c r="DX527" s="14"/>
      <c r="DY527" s="14"/>
      <c r="DZ527" s="14"/>
      <c r="EA527" s="14"/>
      <c r="EB527" s="14"/>
    </row>
    <row r="528" spans="4:132">
      <c r="D528" s="40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14"/>
      <c r="BQ528" s="14"/>
      <c r="BR528" s="14"/>
      <c r="BS528" s="14"/>
      <c r="BT528" s="14"/>
      <c r="BU528" s="14"/>
      <c r="BV528" s="14"/>
      <c r="BW528" s="14"/>
      <c r="BX528" s="14"/>
      <c r="BY528" s="14"/>
      <c r="BZ528" s="14"/>
      <c r="CA528" s="14"/>
      <c r="CB528" s="14"/>
      <c r="CC528" s="14"/>
      <c r="CD528" s="14"/>
      <c r="CE528" s="14"/>
      <c r="CF528" s="14"/>
      <c r="CG528" s="14"/>
      <c r="CH528" s="14"/>
      <c r="CI528" s="14"/>
      <c r="CJ528" s="14"/>
      <c r="CK528" s="14"/>
      <c r="CL528" s="14"/>
      <c r="CM528" s="14"/>
      <c r="CN528" s="14"/>
      <c r="CO528" s="14"/>
      <c r="CP528" s="14"/>
      <c r="CQ528" s="14"/>
      <c r="CR528" s="14"/>
      <c r="CS528" s="14"/>
      <c r="CT528" s="14"/>
      <c r="CU528" s="14"/>
      <c r="CV528" s="14"/>
      <c r="CW528" s="14"/>
      <c r="CX528" s="14"/>
      <c r="CY528" s="14"/>
      <c r="CZ528" s="14"/>
      <c r="DA528" s="14"/>
      <c r="DB528" s="14"/>
      <c r="DC528" s="14"/>
      <c r="DD528" s="14"/>
      <c r="DE528" s="14"/>
      <c r="DF528" s="14"/>
      <c r="DG528" s="14"/>
      <c r="DH528" s="14"/>
      <c r="DI528" s="14"/>
      <c r="DJ528" s="14"/>
      <c r="DK528" s="14"/>
      <c r="DL528" s="14"/>
      <c r="DM528" s="14"/>
      <c r="DN528" s="14"/>
      <c r="DO528" s="14"/>
      <c r="DP528" s="14"/>
      <c r="DQ528" s="14"/>
      <c r="DR528" s="14"/>
      <c r="DS528" s="14"/>
      <c r="DT528" s="14"/>
      <c r="DU528" s="14"/>
      <c r="DV528" s="14"/>
      <c r="DW528" s="14"/>
      <c r="DX528" s="14"/>
      <c r="DY528" s="14"/>
      <c r="DZ528" s="14"/>
      <c r="EA528" s="14"/>
      <c r="EB528" s="14"/>
    </row>
    <row r="529" spans="4:132">
      <c r="D529" s="40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  <c r="S529" s="40"/>
      <c r="T529" s="40"/>
      <c r="U529" s="40"/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14"/>
      <c r="BQ529" s="14"/>
      <c r="BR529" s="14"/>
      <c r="BS529" s="14"/>
      <c r="BT529" s="14"/>
      <c r="BU529" s="14"/>
      <c r="BV529" s="14"/>
      <c r="BW529" s="14"/>
      <c r="BX529" s="14"/>
      <c r="BY529" s="14"/>
      <c r="BZ529" s="14"/>
      <c r="CA529" s="14"/>
      <c r="CB529" s="14"/>
      <c r="CC529" s="14"/>
      <c r="CD529" s="14"/>
      <c r="CE529" s="14"/>
      <c r="CF529" s="14"/>
      <c r="CG529" s="14"/>
      <c r="CH529" s="14"/>
      <c r="CI529" s="14"/>
      <c r="CJ529" s="14"/>
      <c r="CK529" s="14"/>
      <c r="CL529" s="14"/>
      <c r="CM529" s="14"/>
      <c r="CN529" s="14"/>
      <c r="CO529" s="14"/>
      <c r="CP529" s="14"/>
      <c r="CQ529" s="14"/>
      <c r="CR529" s="14"/>
      <c r="CS529" s="14"/>
      <c r="CT529" s="14"/>
      <c r="CU529" s="14"/>
      <c r="CV529" s="14"/>
      <c r="CW529" s="14"/>
      <c r="CX529" s="14"/>
      <c r="CY529" s="14"/>
      <c r="CZ529" s="14"/>
      <c r="DA529" s="14"/>
      <c r="DB529" s="14"/>
      <c r="DC529" s="14"/>
      <c r="DD529" s="14"/>
      <c r="DE529" s="14"/>
      <c r="DF529" s="14"/>
      <c r="DG529" s="14"/>
      <c r="DH529" s="14"/>
      <c r="DI529" s="14"/>
      <c r="DJ529" s="14"/>
      <c r="DK529" s="14"/>
      <c r="DL529" s="14"/>
      <c r="DM529" s="14"/>
      <c r="DN529" s="14"/>
      <c r="DO529" s="14"/>
      <c r="DP529" s="14"/>
      <c r="DQ529" s="14"/>
      <c r="DR529" s="14"/>
      <c r="DS529" s="14"/>
      <c r="DT529" s="14"/>
      <c r="DU529" s="14"/>
      <c r="DV529" s="14"/>
      <c r="DW529" s="14"/>
      <c r="DX529" s="14"/>
      <c r="DY529" s="14"/>
      <c r="DZ529" s="14"/>
      <c r="EA529" s="14"/>
      <c r="EB529" s="14"/>
    </row>
    <row r="530" spans="4:132">
      <c r="D530" s="40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/>
      <c r="AU530" s="40"/>
      <c r="AV530" s="40"/>
      <c r="AW530" s="40"/>
      <c r="AX530" s="40"/>
      <c r="AY530" s="40"/>
      <c r="AZ530" s="40"/>
      <c r="BA530" s="40"/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14"/>
      <c r="BQ530" s="14"/>
      <c r="BR530" s="14"/>
      <c r="BS530" s="14"/>
      <c r="BT530" s="14"/>
      <c r="BU530" s="14"/>
      <c r="BV530" s="14"/>
      <c r="BW530" s="14"/>
      <c r="BX530" s="14"/>
      <c r="BY530" s="14"/>
      <c r="BZ530" s="14"/>
      <c r="CA530" s="14"/>
      <c r="CB530" s="14"/>
      <c r="CC530" s="14"/>
      <c r="CD530" s="14"/>
      <c r="CE530" s="14"/>
      <c r="CF530" s="14"/>
      <c r="CG530" s="14"/>
      <c r="CH530" s="14"/>
      <c r="CI530" s="14"/>
      <c r="CJ530" s="14"/>
      <c r="CK530" s="14"/>
      <c r="CL530" s="14"/>
      <c r="CM530" s="14"/>
      <c r="CN530" s="14"/>
      <c r="CO530" s="14"/>
      <c r="CP530" s="14"/>
      <c r="CQ530" s="14"/>
      <c r="CR530" s="14"/>
      <c r="CS530" s="14"/>
      <c r="CT530" s="14"/>
      <c r="CU530" s="14"/>
      <c r="CV530" s="14"/>
      <c r="CW530" s="14"/>
      <c r="CX530" s="14"/>
      <c r="CY530" s="14"/>
      <c r="CZ530" s="14"/>
      <c r="DA530" s="14"/>
      <c r="DB530" s="14"/>
      <c r="DC530" s="14"/>
      <c r="DD530" s="14"/>
      <c r="DE530" s="14"/>
      <c r="DF530" s="14"/>
      <c r="DG530" s="14"/>
      <c r="DH530" s="14"/>
      <c r="DI530" s="14"/>
      <c r="DJ530" s="14"/>
      <c r="DK530" s="14"/>
      <c r="DL530" s="14"/>
      <c r="DM530" s="14"/>
      <c r="DN530" s="14"/>
      <c r="DO530" s="14"/>
      <c r="DP530" s="14"/>
      <c r="DQ530" s="14"/>
      <c r="DR530" s="14"/>
      <c r="DS530" s="14"/>
      <c r="DT530" s="14"/>
      <c r="DU530" s="14"/>
      <c r="DV530" s="14"/>
      <c r="DW530" s="14"/>
      <c r="DX530" s="14"/>
      <c r="DY530" s="14"/>
      <c r="DZ530" s="14"/>
      <c r="EA530" s="14"/>
      <c r="EB530" s="14"/>
    </row>
    <row r="531" spans="4:132">
      <c r="D531" s="40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14"/>
      <c r="BQ531" s="14"/>
      <c r="BR531" s="14"/>
      <c r="BS531" s="14"/>
      <c r="BT531" s="14"/>
      <c r="BU531" s="14"/>
      <c r="BV531" s="14"/>
      <c r="BW531" s="14"/>
      <c r="BX531" s="14"/>
      <c r="BY531" s="14"/>
      <c r="BZ531" s="14"/>
      <c r="CA531" s="14"/>
      <c r="CB531" s="14"/>
      <c r="CC531" s="14"/>
      <c r="CD531" s="14"/>
      <c r="CE531" s="14"/>
      <c r="CF531" s="14"/>
      <c r="CG531" s="14"/>
      <c r="CH531" s="14"/>
      <c r="CI531" s="14"/>
      <c r="CJ531" s="14"/>
      <c r="CK531" s="14"/>
      <c r="CL531" s="14"/>
      <c r="CM531" s="14"/>
      <c r="CN531" s="14"/>
      <c r="CO531" s="14"/>
      <c r="CP531" s="14"/>
      <c r="CQ531" s="14"/>
      <c r="CR531" s="14"/>
      <c r="CS531" s="14"/>
      <c r="CT531" s="14"/>
      <c r="CU531" s="14"/>
      <c r="CV531" s="14"/>
      <c r="CW531" s="14"/>
      <c r="CX531" s="14"/>
      <c r="CY531" s="14"/>
      <c r="CZ531" s="14"/>
      <c r="DA531" s="14"/>
      <c r="DB531" s="14"/>
      <c r="DC531" s="14"/>
      <c r="DD531" s="14"/>
      <c r="DE531" s="14"/>
      <c r="DF531" s="14"/>
      <c r="DG531" s="14"/>
      <c r="DH531" s="14"/>
      <c r="DI531" s="14"/>
      <c r="DJ531" s="14"/>
      <c r="DK531" s="14"/>
      <c r="DL531" s="14"/>
      <c r="DM531" s="14"/>
      <c r="DN531" s="14"/>
      <c r="DO531" s="14"/>
      <c r="DP531" s="14"/>
      <c r="DQ531" s="14"/>
      <c r="DR531" s="14"/>
      <c r="DS531" s="14"/>
      <c r="DT531" s="14"/>
      <c r="DU531" s="14"/>
      <c r="DV531" s="14"/>
      <c r="DW531" s="14"/>
      <c r="DX531" s="14"/>
      <c r="DY531" s="14"/>
      <c r="DZ531" s="14"/>
      <c r="EA531" s="14"/>
      <c r="EB531" s="14"/>
    </row>
    <row r="532" spans="4:132">
      <c r="D532" s="40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14"/>
      <c r="BQ532" s="14"/>
      <c r="BR532" s="14"/>
      <c r="BS532" s="14"/>
      <c r="BT532" s="14"/>
      <c r="BU532" s="14"/>
      <c r="BV532" s="14"/>
      <c r="BW532" s="14"/>
      <c r="BX532" s="14"/>
      <c r="BY532" s="14"/>
      <c r="BZ532" s="14"/>
      <c r="CA532" s="14"/>
      <c r="CB532" s="14"/>
      <c r="CC532" s="14"/>
      <c r="CD532" s="14"/>
      <c r="CE532" s="14"/>
      <c r="CF532" s="14"/>
      <c r="CG532" s="14"/>
      <c r="CH532" s="14"/>
      <c r="CI532" s="14"/>
      <c r="CJ532" s="14"/>
      <c r="CK532" s="14"/>
      <c r="CL532" s="14"/>
      <c r="CM532" s="14"/>
      <c r="CN532" s="14"/>
      <c r="CO532" s="14"/>
      <c r="CP532" s="14"/>
      <c r="CQ532" s="14"/>
      <c r="CR532" s="14"/>
      <c r="CS532" s="14"/>
      <c r="CT532" s="14"/>
      <c r="CU532" s="14"/>
      <c r="CV532" s="14"/>
      <c r="CW532" s="14"/>
      <c r="CX532" s="14"/>
      <c r="CY532" s="14"/>
      <c r="CZ532" s="14"/>
      <c r="DA532" s="14"/>
      <c r="DB532" s="14"/>
      <c r="DC532" s="14"/>
      <c r="DD532" s="14"/>
      <c r="DE532" s="14"/>
      <c r="DF532" s="14"/>
      <c r="DG532" s="14"/>
      <c r="DH532" s="14"/>
      <c r="DI532" s="14"/>
      <c r="DJ532" s="14"/>
      <c r="DK532" s="14"/>
      <c r="DL532" s="14"/>
      <c r="DM532" s="14"/>
      <c r="DN532" s="14"/>
      <c r="DO532" s="14"/>
      <c r="DP532" s="14"/>
      <c r="DQ532" s="14"/>
      <c r="DR532" s="14"/>
      <c r="DS532" s="14"/>
      <c r="DT532" s="14"/>
      <c r="DU532" s="14"/>
      <c r="DV532" s="14"/>
      <c r="DW532" s="14"/>
      <c r="DX532" s="14"/>
      <c r="DY532" s="14"/>
      <c r="DZ532" s="14"/>
      <c r="EA532" s="14"/>
      <c r="EB532" s="14"/>
    </row>
    <row r="533" spans="4:132">
      <c r="D533" s="40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/>
      <c r="BM533" s="40"/>
      <c r="BN533" s="40"/>
      <c r="BO533" s="40"/>
      <c r="BP533" s="14"/>
      <c r="BQ533" s="14"/>
      <c r="BR533" s="14"/>
      <c r="BS533" s="14"/>
      <c r="BT533" s="14"/>
      <c r="BU533" s="14"/>
      <c r="BV533" s="14"/>
      <c r="BW533" s="14"/>
      <c r="BX533" s="14"/>
      <c r="BY533" s="14"/>
      <c r="BZ533" s="14"/>
      <c r="CA533" s="14"/>
      <c r="CB533" s="14"/>
      <c r="CC533" s="14"/>
      <c r="CD533" s="14"/>
      <c r="CE533" s="14"/>
      <c r="CF533" s="14"/>
      <c r="CG533" s="14"/>
      <c r="CH533" s="14"/>
      <c r="CI533" s="14"/>
      <c r="CJ533" s="14"/>
      <c r="CK533" s="14"/>
      <c r="CL533" s="14"/>
      <c r="CM533" s="14"/>
      <c r="CN533" s="14"/>
      <c r="CO533" s="14"/>
      <c r="CP533" s="14"/>
      <c r="CQ533" s="14"/>
      <c r="CR533" s="14"/>
      <c r="CS533" s="14"/>
      <c r="CT533" s="14"/>
      <c r="CU533" s="14"/>
      <c r="CV533" s="14"/>
      <c r="CW533" s="14"/>
      <c r="CX533" s="14"/>
      <c r="CY533" s="14"/>
      <c r="CZ533" s="14"/>
      <c r="DA533" s="14"/>
      <c r="DB533" s="14"/>
      <c r="DC533" s="14"/>
      <c r="DD533" s="14"/>
      <c r="DE533" s="14"/>
      <c r="DF533" s="14"/>
      <c r="DG533" s="14"/>
      <c r="DH533" s="14"/>
      <c r="DI533" s="14"/>
      <c r="DJ533" s="14"/>
      <c r="DK533" s="14"/>
      <c r="DL533" s="14"/>
      <c r="DM533" s="14"/>
      <c r="DN533" s="14"/>
      <c r="DO533" s="14"/>
      <c r="DP533" s="14"/>
      <c r="DQ533" s="14"/>
      <c r="DR533" s="14"/>
      <c r="DS533" s="14"/>
      <c r="DT533" s="14"/>
      <c r="DU533" s="14"/>
      <c r="DV533" s="14"/>
      <c r="DW533" s="14"/>
      <c r="DX533" s="14"/>
      <c r="DY533" s="14"/>
      <c r="DZ533" s="14"/>
      <c r="EA533" s="14"/>
      <c r="EB533" s="14"/>
    </row>
    <row r="534" spans="4:132">
      <c r="D534" s="40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14"/>
      <c r="BQ534" s="14"/>
      <c r="BR534" s="14"/>
      <c r="BS534" s="14"/>
      <c r="BT534" s="14"/>
      <c r="BU534" s="14"/>
      <c r="BV534" s="14"/>
      <c r="BW534" s="14"/>
      <c r="BX534" s="14"/>
      <c r="BY534" s="14"/>
      <c r="BZ534" s="14"/>
      <c r="CA534" s="14"/>
      <c r="CB534" s="14"/>
      <c r="CC534" s="14"/>
      <c r="CD534" s="14"/>
      <c r="CE534" s="14"/>
      <c r="CF534" s="14"/>
      <c r="CG534" s="14"/>
      <c r="CH534" s="14"/>
      <c r="CI534" s="14"/>
      <c r="CJ534" s="14"/>
      <c r="CK534" s="14"/>
      <c r="CL534" s="14"/>
      <c r="CM534" s="14"/>
      <c r="CN534" s="14"/>
      <c r="CO534" s="14"/>
      <c r="CP534" s="14"/>
      <c r="CQ534" s="14"/>
      <c r="CR534" s="14"/>
      <c r="CS534" s="14"/>
      <c r="CT534" s="14"/>
      <c r="CU534" s="14"/>
      <c r="CV534" s="14"/>
      <c r="CW534" s="14"/>
      <c r="CX534" s="14"/>
      <c r="CY534" s="14"/>
      <c r="CZ534" s="14"/>
      <c r="DA534" s="14"/>
      <c r="DB534" s="14"/>
      <c r="DC534" s="14"/>
      <c r="DD534" s="14"/>
      <c r="DE534" s="14"/>
      <c r="DF534" s="14"/>
      <c r="DG534" s="14"/>
      <c r="DH534" s="14"/>
      <c r="DI534" s="14"/>
      <c r="DJ534" s="14"/>
      <c r="DK534" s="14"/>
      <c r="DL534" s="14"/>
      <c r="DM534" s="14"/>
      <c r="DN534" s="14"/>
      <c r="DO534" s="14"/>
      <c r="DP534" s="14"/>
      <c r="DQ534" s="14"/>
      <c r="DR534" s="14"/>
      <c r="DS534" s="14"/>
      <c r="DT534" s="14"/>
      <c r="DU534" s="14"/>
      <c r="DV534" s="14"/>
      <c r="DW534" s="14"/>
      <c r="DX534" s="14"/>
      <c r="DY534" s="14"/>
      <c r="DZ534" s="14"/>
      <c r="EA534" s="14"/>
      <c r="EB534" s="14"/>
    </row>
    <row r="535" spans="4:132">
      <c r="D535" s="40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14"/>
      <c r="BQ535" s="14"/>
      <c r="BR535" s="14"/>
      <c r="BS535" s="14"/>
      <c r="BT535" s="14"/>
      <c r="BU535" s="14"/>
      <c r="BV535" s="14"/>
      <c r="BW535" s="14"/>
      <c r="BX535" s="14"/>
      <c r="BY535" s="14"/>
      <c r="BZ535" s="14"/>
      <c r="CA535" s="14"/>
      <c r="CB535" s="14"/>
      <c r="CC535" s="14"/>
      <c r="CD535" s="14"/>
      <c r="CE535" s="14"/>
      <c r="CF535" s="14"/>
      <c r="CG535" s="14"/>
      <c r="CH535" s="14"/>
      <c r="CI535" s="14"/>
      <c r="CJ535" s="14"/>
      <c r="CK535" s="14"/>
      <c r="CL535" s="14"/>
      <c r="CM535" s="14"/>
      <c r="CN535" s="14"/>
      <c r="CO535" s="14"/>
      <c r="CP535" s="14"/>
      <c r="CQ535" s="14"/>
      <c r="CR535" s="14"/>
      <c r="CS535" s="14"/>
      <c r="CT535" s="14"/>
      <c r="CU535" s="14"/>
      <c r="CV535" s="14"/>
      <c r="CW535" s="14"/>
      <c r="CX535" s="14"/>
      <c r="CY535" s="14"/>
      <c r="CZ535" s="14"/>
      <c r="DA535" s="14"/>
      <c r="DB535" s="14"/>
      <c r="DC535" s="14"/>
      <c r="DD535" s="14"/>
      <c r="DE535" s="14"/>
      <c r="DF535" s="14"/>
      <c r="DG535" s="14"/>
      <c r="DH535" s="14"/>
      <c r="DI535" s="14"/>
      <c r="DJ535" s="14"/>
      <c r="DK535" s="14"/>
      <c r="DL535" s="14"/>
      <c r="DM535" s="14"/>
      <c r="DN535" s="14"/>
      <c r="DO535" s="14"/>
      <c r="DP535" s="14"/>
      <c r="DQ535" s="14"/>
      <c r="DR535" s="14"/>
      <c r="DS535" s="14"/>
      <c r="DT535" s="14"/>
      <c r="DU535" s="14"/>
      <c r="DV535" s="14"/>
      <c r="DW535" s="14"/>
      <c r="DX535" s="14"/>
      <c r="DY535" s="14"/>
      <c r="DZ535" s="14"/>
      <c r="EA535" s="14"/>
      <c r="EB535" s="14"/>
    </row>
    <row r="536" spans="4:132">
      <c r="D536" s="40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14"/>
      <c r="BQ536" s="14"/>
      <c r="BR536" s="14"/>
      <c r="BS536" s="14"/>
      <c r="BT536" s="14"/>
      <c r="BU536" s="14"/>
      <c r="BV536" s="14"/>
      <c r="BW536" s="14"/>
      <c r="BX536" s="14"/>
      <c r="BY536" s="14"/>
      <c r="BZ536" s="14"/>
      <c r="CA536" s="14"/>
      <c r="CB536" s="14"/>
      <c r="CC536" s="14"/>
      <c r="CD536" s="14"/>
      <c r="CE536" s="14"/>
      <c r="CF536" s="14"/>
      <c r="CG536" s="14"/>
      <c r="CH536" s="14"/>
      <c r="CI536" s="14"/>
      <c r="CJ536" s="14"/>
      <c r="CK536" s="14"/>
      <c r="CL536" s="14"/>
      <c r="CM536" s="14"/>
      <c r="CN536" s="14"/>
      <c r="CO536" s="14"/>
      <c r="CP536" s="14"/>
      <c r="CQ536" s="14"/>
      <c r="CR536" s="14"/>
      <c r="CS536" s="14"/>
      <c r="CT536" s="14"/>
      <c r="CU536" s="14"/>
      <c r="CV536" s="14"/>
      <c r="CW536" s="14"/>
      <c r="CX536" s="14"/>
      <c r="CY536" s="14"/>
      <c r="CZ536" s="14"/>
      <c r="DA536" s="14"/>
      <c r="DB536" s="14"/>
      <c r="DC536" s="14"/>
      <c r="DD536" s="14"/>
      <c r="DE536" s="14"/>
      <c r="DF536" s="14"/>
      <c r="DG536" s="14"/>
      <c r="DH536" s="14"/>
      <c r="DI536" s="14"/>
      <c r="DJ536" s="14"/>
      <c r="DK536" s="14"/>
      <c r="DL536" s="14"/>
      <c r="DM536" s="14"/>
      <c r="DN536" s="14"/>
      <c r="DO536" s="14"/>
      <c r="DP536" s="14"/>
      <c r="DQ536" s="14"/>
      <c r="DR536" s="14"/>
      <c r="DS536" s="14"/>
      <c r="DT536" s="14"/>
      <c r="DU536" s="14"/>
      <c r="DV536" s="14"/>
      <c r="DW536" s="14"/>
      <c r="DX536" s="14"/>
      <c r="DY536" s="14"/>
      <c r="DZ536" s="14"/>
      <c r="EA536" s="14"/>
      <c r="EB536" s="14"/>
    </row>
    <row r="537" spans="4:132">
      <c r="D537" s="40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/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14"/>
      <c r="BQ537" s="14"/>
      <c r="BR537" s="14"/>
      <c r="BS537" s="14"/>
      <c r="BT537" s="14"/>
      <c r="BU537" s="14"/>
      <c r="BV537" s="14"/>
      <c r="BW537" s="14"/>
      <c r="BX537" s="14"/>
      <c r="BY537" s="14"/>
      <c r="BZ537" s="14"/>
      <c r="CA537" s="14"/>
      <c r="CB537" s="14"/>
      <c r="CC537" s="14"/>
      <c r="CD537" s="14"/>
      <c r="CE537" s="14"/>
      <c r="CF537" s="14"/>
      <c r="CG537" s="14"/>
      <c r="CH537" s="14"/>
      <c r="CI537" s="14"/>
      <c r="CJ537" s="14"/>
      <c r="CK537" s="14"/>
      <c r="CL537" s="14"/>
      <c r="CM537" s="14"/>
      <c r="CN537" s="14"/>
      <c r="CO537" s="14"/>
      <c r="CP537" s="14"/>
      <c r="CQ537" s="14"/>
      <c r="CR537" s="14"/>
      <c r="CS537" s="14"/>
      <c r="CT537" s="14"/>
      <c r="CU537" s="14"/>
      <c r="CV537" s="14"/>
      <c r="CW537" s="14"/>
      <c r="CX537" s="14"/>
      <c r="CY537" s="14"/>
      <c r="CZ537" s="14"/>
      <c r="DA537" s="14"/>
      <c r="DB537" s="14"/>
      <c r="DC537" s="14"/>
      <c r="DD537" s="14"/>
      <c r="DE537" s="14"/>
      <c r="DF537" s="14"/>
      <c r="DG537" s="14"/>
      <c r="DH537" s="14"/>
      <c r="DI537" s="14"/>
      <c r="DJ537" s="14"/>
      <c r="DK537" s="14"/>
      <c r="DL537" s="14"/>
      <c r="DM537" s="14"/>
      <c r="DN537" s="14"/>
      <c r="DO537" s="14"/>
      <c r="DP537" s="14"/>
      <c r="DQ537" s="14"/>
      <c r="DR537" s="14"/>
      <c r="DS537" s="14"/>
      <c r="DT537" s="14"/>
      <c r="DU537" s="14"/>
      <c r="DV537" s="14"/>
      <c r="DW537" s="14"/>
      <c r="DX537" s="14"/>
      <c r="DY537" s="14"/>
      <c r="DZ537" s="14"/>
      <c r="EA537" s="14"/>
      <c r="EB537" s="14"/>
    </row>
    <row r="538" spans="4:132"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14"/>
      <c r="BQ538" s="14"/>
      <c r="BR538" s="14"/>
      <c r="BS538" s="14"/>
      <c r="BT538" s="14"/>
      <c r="BU538" s="14"/>
      <c r="BV538" s="14"/>
      <c r="BW538" s="14"/>
      <c r="BX538" s="14"/>
      <c r="BY538" s="14"/>
      <c r="BZ538" s="14"/>
      <c r="CA538" s="14"/>
      <c r="CB538" s="14"/>
      <c r="CC538" s="14"/>
      <c r="CD538" s="14"/>
      <c r="CE538" s="14"/>
      <c r="CF538" s="14"/>
      <c r="CG538" s="14"/>
      <c r="CH538" s="14"/>
      <c r="CI538" s="14"/>
      <c r="CJ538" s="14"/>
      <c r="CK538" s="14"/>
      <c r="CL538" s="14"/>
      <c r="CM538" s="14"/>
      <c r="CN538" s="14"/>
      <c r="CO538" s="14"/>
      <c r="CP538" s="14"/>
      <c r="CQ538" s="14"/>
      <c r="CR538" s="14"/>
      <c r="CS538" s="14"/>
      <c r="CT538" s="14"/>
      <c r="CU538" s="14"/>
      <c r="CV538" s="14"/>
      <c r="CW538" s="14"/>
      <c r="CX538" s="14"/>
      <c r="CY538" s="14"/>
      <c r="CZ538" s="14"/>
      <c r="DA538" s="14"/>
      <c r="DB538" s="14"/>
      <c r="DC538" s="14"/>
      <c r="DD538" s="14"/>
      <c r="DE538" s="14"/>
      <c r="DF538" s="14"/>
      <c r="DG538" s="14"/>
      <c r="DH538" s="14"/>
      <c r="DI538" s="14"/>
      <c r="DJ538" s="14"/>
      <c r="DK538" s="14"/>
      <c r="DL538" s="14"/>
      <c r="DM538" s="14"/>
      <c r="DN538" s="14"/>
      <c r="DO538" s="14"/>
      <c r="DP538" s="14"/>
      <c r="DQ538" s="14"/>
      <c r="DR538" s="14"/>
      <c r="DS538" s="14"/>
      <c r="DT538" s="14"/>
      <c r="DU538" s="14"/>
      <c r="DV538" s="14"/>
      <c r="DW538" s="14"/>
      <c r="DX538" s="14"/>
      <c r="DY538" s="14"/>
      <c r="DZ538" s="14"/>
      <c r="EA538" s="14"/>
      <c r="EB538" s="14"/>
    </row>
    <row r="539" spans="4:132"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14"/>
      <c r="BQ539" s="14"/>
      <c r="BR539" s="14"/>
      <c r="BS539" s="14"/>
      <c r="BT539" s="14"/>
      <c r="BU539" s="14"/>
      <c r="BV539" s="14"/>
      <c r="BW539" s="14"/>
      <c r="BX539" s="14"/>
      <c r="BY539" s="14"/>
      <c r="BZ539" s="14"/>
      <c r="CA539" s="14"/>
      <c r="CB539" s="14"/>
      <c r="CC539" s="14"/>
      <c r="CD539" s="14"/>
      <c r="CE539" s="14"/>
      <c r="CF539" s="14"/>
      <c r="CG539" s="14"/>
      <c r="CH539" s="14"/>
      <c r="CI539" s="14"/>
      <c r="CJ539" s="14"/>
      <c r="CK539" s="14"/>
      <c r="CL539" s="14"/>
      <c r="CM539" s="14"/>
      <c r="CN539" s="14"/>
      <c r="CO539" s="14"/>
      <c r="CP539" s="14"/>
      <c r="CQ539" s="14"/>
      <c r="CR539" s="14"/>
      <c r="CS539" s="14"/>
      <c r="CT539" s="14"/>
      <c r="CU539" s="14"/>
      <c r="CV539" s="14"/>
      <c r="CW539" s="14"/>
      <c r="CX539" s="14"/>
      <c r="CY539" s="14"/>
      <c r="CZ539" s="14"/>
      <c r="DA539" s="14"/>
      <c r="DB539" s="14"/>
      <c r="DC539" s="14"/>
      <c r="DD539" s="14"/>
      <c r="DE539" s="14"/>
      <c r="DF539" s="14"/>
      <c r="DG539" s="14"/>
      <c r="DH539" s="14"/>
      <c r="DI539" s="14"/>
      <c r="DJ539" s="14"/>
      <c r="DK539" s="14"/>
      <c r="DL539" s="14"/>
      <c r="DM539" s="14"/>
      <c r="DN539" s="14"/>
      <c r="DO539" s="14"/>
      <c r="DP539" s="14"/>
      <c r="DQ539" s="14"/>
      <c r="DR539" s="14"/>
      <c r="DS539" s="14"/>
      <c r="DT539" s="14"/>
      <c r="DU539" s="14"/>
      <c r="DV539" s="14"/>
      <c r="DW539" s="14"/>
      <c r="DX539" s="14"/>
      <c r="DY539" s="14"/>
      <c r="DZ539" s="14"/>
      <c r="EA539" s="14"/>
      <c r="EB539" s="14"/>
    </row>
    <row r="540" spans="4:132">
      <c r="D540" s="40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14"/>
      <c r="BQ540" s="14"/>
      <c r="BR540" s="14"/>
      <c r="BS540" s="14"/>
      <c r="BT540" s="14"/>
      <c r="BU540" s="14"/>
      <c r="BV540" s="14"/>
      <c r="BW540" s="14"/>
      <c r="BX540" s="14"/>
      <c r="BY540" s="14"/>
      <c r="BZ540" s="14"/>
      <c r="CA540" s="14"/>
      <c r="CB540" s="14"/>
      <c r="CC540" s="14"/>
      <c r="CD540" s="14"/>
      <c r="CE540" s="14"/>
      <c r="CF540" s="14"/>
      <c r="CG540" s="14"/>
      <c r="CH540" s="14"/>
      <c r="CI540" s="14"/>
      <c r="CJ540" s="14"/>
      <c r="CK540" s="14"/>
      <c r="CL540" s="14"/>
      <c r="CM540" s="14"/>
      <c r="CN540" s="14"/>
      <c r="CO540" s="14"/>
      <c r="CP540" s="14"/>
      <c r="CQ540" s="14"/>
      <c r="CR540" s="14"/>
      <c r="CS540" s="14"/>
      <c r="CT540" s="14"/>
      <c r="CU540" s="14"/>
      <c r="CV540" s="14"/>
      <c r="CW540" s="14"/>
      <c r="CX540" s="14"/>
      <c r="CY540" s="14"/>
      <c r="CZ540" s="14"/>
      <c r="DA540" s="14"/>
      <c r="DB540" s="14"/>
      <c r="DC540" s="14"/>
      <c r="DD540" s="14"/>
      <c r="DE540" s="14"/>
      <c r="DF540" s="14"/>
      <c r="DG540" s="14"/>
      <c r="DH540" s="14"/>
      <c r="DI540" s="14"/>
      <c r="DJ540" s="14"/>
      <c r="DK540" s="14"/>
      <c r="DL540" s="14"/>
      <c r="DM540" s="14"/>
      <c r="DN540" s="14"/>
      <c r="DO540" s="14"/>
      <c r="DP540" s="14"/>
      <c r="DQ540" s="14"/>
      <c r="DR540" s="14"/>
      <c r="DS540" s="14"/>
      <c r="DT540" s="14"/>
      <c r="DU540" s="14"/>
      <c r="DV540" s="14"/>
      <c r="DW540" s="14"/>
      <c r="DX540" s="14"/>
      <c r="DY540" s="14"/>
      <c r="DZ540" s="14"/>
      <c r="EA540" s="14"/>
      <c r="EB540" s="14"/>
    </row>
    <row r="541" spans="4:132">
      <c r="D541" s="40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14"/>
      <c r="BQ541" s="14"/>
      <c r="BR541" s="14"/>
      <c r="BS541" s="14"/>
      <c r="BT541" s="14"/>
      <c r="BU541" s="14"/>
      <c r="BV541" s="14"/>
      <c r="BW541" s="14"/>
      <c r="BX541" s="14"/>
      <c r="BY541" s="14"/>
      <c r="BZ541" s="14"/>
      <c r="CA541" s="14"/>
      <c r="CB541" s="14"/>
      <c r="CC541" s="14"/>
      <c r="CD541" s="14"/>
      <c r="CE541" s="14"/>
      <c r="CF541" s="14"/>
      <c r="CG541" s="14"/>
      <c r="CH541" s="14"/>
      <c r="CI541" s="14"/>
      <c r="CJ541" s="14"/>
      <c r="CK541" s="14"/>
      <c r="CL541" s="14"/>
      <c r="CM541" s="14"/>
      <c r="CN541" s="14"/>
      <c r="CO541" s="14"/>
      <c r="CP541" s="14"/>
      <c r="CQ541" s="14"/>
      <c r="CR541" s="14"/>
      <c r="CS541" s="14"/>
      <c r="CT541" s="14"/>
      <c r="CU541" s="14"/>
      <c r="CV541" s="14"/>
      <c r="CW541" s="14"/>
      <c r="CX541" s="14"/>
      <c r="CY541" s="14"/>
      <c r="CZ541" s="14"/>
      <c r="DA541" s="14"/>
      <c r="DB541" s="14"/>
      <c r="DC541" s="14"/>
      <c r="DD541" s="14"/>
      <c r="DE541" s="14"/>
      <c r="DF541" s="14"/>
      <c r="DG541" s="14"/>
      <c r="DH541" s="14"/>
      <c r="DI541" s="14"/>
      <c r="DJ541" s="14"/>
      <c r="DK541" s="14"/>
      <c r="DL541" s="14"/>
      <c r="DM541" s="14"/>
      <c r="DN541" s="14"/>
      <c r="DO541" s="14"/>
      <c r="DP541" s="14"/>
      <c r="DQ541" s="14"/>
      <c r="DR541" s="14"/>
      <c r="DS541" s="14"/>
      <c r="DT541" s="14"/>
      <c r="DU541" s="14"/>
      <c r="DV541" s="14"/>
      <c r="DW541" s="14"/>
      <c r="DX541" s="14"/>
      <c r="DY541" s="14"/>
      <c r="DZ541" s="14"/>
      <c r="EA541" s="14"/>
      <c r="EB541" s="14"/>
    </row>
    <row r="542" spans="4:132">
      <c r="D542" s="40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14"/>
      <c r="BQ542" s="14"/>
      <c r="BR542" s="14"/>
      <c r="BS542" s="14"/>
      <c r="BT542" s="14"/>
      <c r="BU542" s="14"/>
      <c r="BV542" s="14"/>
      <c r="BW542" s="14"/>
      <c r="BX542" s="14"/>
      <c r="BY542" s="14"/>
      <c r="BZ542" s="14"/>
      <c r="CA542" s="14"/>
      <c r="CB542" s="14"/>
      <c r="CC542" s="14"/>
      <c r="CD542" s="14"/>
      <c r="CE542" s="14"/>
      <c r="CF542" s="14"/>
      <c r="CG542" s="14"/>
      <c r="CH542" s="14"/>
      <c r="CI542" s="14"/>
      <c r="CJ542" s="14"/>
      <c r="CK542" s="14"/>
      <c r="CL542" s="14"/>
      <c r="CM542" s="14"/>
      <c r="CN542" s="14"/>
      <c r="CO542" s="14"/>
      <c r="CP542" s="14"/>
      <c r="CQ542" s="14"/>
      <c r="CR542" s="14"/>
      <c r="CS542" s="14"/>
      <c r="CT542" s="14"/>
      <c r="CU542" s="14"/>
      <c r="CV542" s="14"/>
      <c r="CW542" s="14"/>
      <c r="CX542" s="14"/>
      <c r="CY542" s="14"/>
      <c r="CZ542" s="14"/>
      <c r="DA542" s="14"/>
      <c r="DB542" s="14"/>
      <c r="DC542" s="14"/>
      <c r="DD542" s="14"/>
      <c r="DE542" s="14"/>
      <c r="DF542" s="14"/>
      <c r="DG542" s="14"/>
      <c r="DH542" s="14"/>
      <c r="DI542" s="14"/>
      <c r="DJ542" s="14"/>
      <c r="DK542" s="14"/>
      <c r="DL542" s="14"/>
      <c r="DM542" s="14"/>
      <c r="DN542" s="14"/>
      <c r="DO542" s="14"/>
      <c r="DP542" s="14"/>
      <c r="DQ542" s="14"/>
      <c r="DR542" s="14"/>
      <c r="DS542" s="14"/>
      <c r="DT542" s="14"/>
      <c r="DU542" s="14"/>
      <c r="DV542" s="14"/>
      <c r="DW542" s="14"/>
      <c r="DX542" s="14"/>
      <c r="DY542" s="14"/>
      <c r="DZ542" s="14"/>
      <c r="EA542" s="14"/>
      <c r="EB542" s="14"/>
    </row>
    <row r="543" spans="4:132">
      <c r="D543" s="40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14"/>
      <c r="BQ543" s="14"/>
      <c r="BR543" s="14"/>
      <c r="BS543" s="14"/>
      <c r="BT543" s="14"/>
      <c r="BU543" s="14"/>
      <c r="BV543" s="14"/>
      <c r="BW543" s="14"/>
      <c r="BX543" s="14"/>
      <c r="BY543" s="14"/>
      <c r="BZ543" s="14"/>
      <c r="CA543" s="14"/>
      <c r="CB543" s="14"/>
      <c r="CC543" s="14"/>
      <c r="CD543" s="14"/>
      <c r="CE543" s="14"/>
      <c r="CF543" s="14"/>
      <c r="CG543" s="14"/>
      <c r="CH543" s="14"/>
      <c r="CI543" s="14"/>
      <c r="CJ543" s="14"/>
      <c r="CK543" s="14"/>
      <c r="CL543" s="14"/>
      <c r="CM543" s="14"/>
      <c r="CN543" s="14"/>
      <c r="CO543" s="14"/>
      <c r="CP543" s="14"/>
      <c r="CQ543" s="14"/>
      <c r="CR543" s="14"/>
      <c r="CS543" s="14"/>
      <c r="CT543" s="14"/>
      <c r="CU543" s="14"/>
      <c r="CV543" s="14"/>
      <c r="CW543" s="14"/>
      <c r="CX543" s="14"/>
      <c r="CY543" s="14"/>
      <c r="CZ543" s="14"/>
      <c r="DA543" s="14"/>
      <c r="DB543" s="14"/>
      <c r="DC543" s="14"/>
      <c r="DD543" s="14"/>
      <c r="DE543" s="14"/>
      <c r="DF543" s="14"/>
      <c r="DG543" s="14"/>
      <c r="DH543" s="14"/>
      <c r="DI543" s="14"/>
      <c r="DJ543" s="14"/>
      <c r="DK543" s="14"/>
      <c r="DL543" s="14"/>
      <c r="DM543" s="14"/>
      <c r="DN543" s="14"/>
      <c r="DO543" s="14"/>
      <c r="DP543" s="14"/>
      <c r="DQ543" s="14"/>
      <c r="DR543" s="14"/>
      <c r="DS543" s="14"/>
      <c r="DT543" s="14"/>
      <c r="DU543" s="14"/>
      <c r="DV543" s="14"/>
      <c r="DW543" s="14"/>
      <c r="DX543" s="14"/>
      <c r="DY543" s="14"/>
      <c r="DZ543" s="14"/>
      <c r="EA543" s="14"/>
      <c r="EB543" s="14"/>
    </row>
    <row r="544" spans="4:132">
      <c r="D544" s="40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14"/>
      <c r="BQ544" s="14"/>
      <c r="BR544" s="14"/>
      <c r="BS544" s="14"/>
      <c r="BT544" s="14"/>
      <c r="BU544" s="14"/>
      <c r="BV544" s="14"/>
      <c r="BW544" s="14"/>
      <c r="BX544" s="14"/>
      <c r="BY544" s="14"/>
      <c r="BZ544" s="14"/>
      <c r="CA544" s="14"/>
      <c r="CB544" s="14"/>
      <c r="CC544" s="14"/>
      <c r="CD544" s="14"/>
      <c r="CE544" s="14"/>
      <c r="CF544" s="14"/>
      <c r="CG544" s="14"/>
      <c r="CH544" s="14"/>
      <c r="CI544" s="14"/>
      <c r="CJ544" s="14"/>
      <c r="CK544" s="14"/>
      <c r="CL544" s="14"/>
      <c r="CM544" s="14"/>
      <c r="CN544" s="14"/>
      <c r="CO544" s="14"/>
      <c r="CP544" s="14"/>
      <c r="CQ544" s="14"/>
      <c r="CR544" s="14"/>
      <c r="CS544" s="14"/>
      <c r="CT544" s="14"/>
      <c r="CU544" s="14"/>
      <c r="CV544" s="14"/>
      <c r="CW544" s="14"/>
      <c r="CX544" s="14"/>
      <c r="CY544" s="14"/>
      <c r="CZ544" s="14"/>
      <c r="DA544" s="14"/>
      <c r="DB544" s="14"/>
      <c r="DC544" s="14"/>
      <c r="DD544" s="14"/>
      <c r="DE544" s="14"/>
      <c r="DF544" s="14"/>
      <c r="DG544" s="14"/>
      <c r="DH544" s="14"/>
      <c r="DI544" s="14"/>
      <c r="DJ544" s="14"/>
      <c r="DK544" s="14"/>
      <c r="DL544" s="14"/>
      <c r="DM544" s="14"/>
      <c r="DN544" s="14"/>
      <c r="DO544" s="14"/>
      <c r="DP544" s="14"/>
      <c r="DQ544" s="14"/>
      <c r="DR544" s="14"/>
      <c r="DS544" s="14"/>
      <c r="DT544" s="14"/>
      <c r="DU544" s="14"/>
      <c r="DV544" s="14"/>
      <c r="DW544" s="14"/>
      <c r="DX544" s="14"/>
      <c r="DY544" s="14"/>
      <c r="DZ544" s="14"/>
      <c r="EA544" s="14"/>
      <c r="EB544" s="14"/>
    </row>
    <row r="545" spans="4:132">
      <c r="D545" s="40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14"/>
      <c r="BQ545" s="14"/>
      <c r="BR545" s="14"/>
      <c r="BS545" s="14"/>
      <c r="BT545" s="14"/>
      <c r="BU545" s="14"/>
      <c r="BV545" s="14"/>
      <c r="BW545" s="14"/>
      <c r="BX545" s="14"/>
      <c r="BY545" s="14"/>
      <c r="BZ545" s="14"/>
      <c r="CA545" s="14"/>
      <c r="CB545" s="14"/>
      <c r="CC545" s="14"/>
      <c r="CD545" s="14"/>
      <c r="CE545" s="14"/>
      <c r="CF545" s="14"/>
      <c r="CG545" s="14"/>
      <c r="CH545" s="14"/>
      <c r="CI545" s="14"/>
      <c r="CJ545" s="14"/>
      <c r="CK545" s="14"/>
      <c r="CL545" s="14"/>
      <c r="CM545" s="14"/>
      <c r="CN545" s="14"/>
      <c r="CO545" s="14"/>
      <c r="CP545" s="14"/>
      <c r="CQ545" s="14"/>
      <c r="CR545" s="14"/>
      <c r="CS545" s="14"/>
      <c r="CT545" s="14"/>
      <c r="CU545" s="14"/>
      <c r="CV545" s="14"/>
      <c r="CW545" s="14"/>
      <c r="CX545" s="14"/>
      <c r="CY545" s="14"/>
      <c r="CZ545" s="14"/>
      <c r="DA545" s="14"/>
      <c r="DB545" s="14"/>
      <c r="DC545" s="14"/>
      <c r="DD545" s="14"/>
      <c r="DE545" s="14"/>
      <c r="DF545" s="14"/>
      <c r="DG545" s="14"/>
      <c r="DH545" s="14"/>
      <c r="DI545" s="14"/>
      <c r="DJ545" s="14"/>
      <c r="DK545" s="14"/>
      <c r="DL545" s="14"/>
      <c r="DM545" s="14"/>
      <c r="DN545" s="14"/>
      <c r="DO545" s="14"/>
      <c r="DP545" s="14"/>
      <c r="DQ545" s="14"/>
      <c r="DR545" s="14"/>
      <c r="DS545" s="14"/>
      <c r="DT545" s="14"/>
      <c r="DU545" s="14"/>
      <c r="DV545" s="14"/>
      <c r="DW545" s="14"/>
      <c r="DX545" s="14"/>
      <c r="DY545" s="14"/>
      <c r="DZ545" s="14"/>
      <c r="EA545" s="14"/>
      <c r="EB545" s="14"/>
    </row>
    <row r="546" spans="4:132">
      <c r="D546" s="40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14"/>
      <c r="BQ546" s="14"/>
      <c r="BR546" s="14"/>
      <c r="BS546" s="14"/>
      <c r="BT546" s="14"/>
      <c r="BU546" s="14"/>
      <c r="BV546" s="14"/>
      <c r="BW546" s="14"/>
      <c r="BX546" s="14"/>
      <c r="BY546" s="14"/>
      <c r="BZ546" s="14"/>
      <c r="CA546" s="14"/>
      <c r="CB546" s="14"/>
      <c r="CC546" s="14"/>
      <c r="CD546" s="14"/>
      <c r="CE546" s="14"/>
      <c r="CF546" s="14"/>
      <c r="CG546" s="14"/>
      <c r="CH546" s="14"/>
      <c r="CI546" s="14"/>
      <c r="CJ546" s="14"/>
      <c r="CK546" s="14"/>
      <c r="CL546" s="14"/>
      <c r="CM546" s="14"/>
      <c r="CN546" s="14"/>
      <c r="CO546" s="14"/>
      <c r="CP546" s="14"/>
      <c r="CQ546" s="14"/>
      <c r="CR546" s="14"/>
      <c r="CS546" s="14"/>
      <c r="CT546" s="14"/>
      <c r="CU546" s="14"/>
      <c r="CV546" s="14"/>
      <c r="CW546" s="14"/>
      <c r="CX546" s="14"/>
      <c r="CY546" s="14"/>
      <c r="CZ546" s="14"/>
      <c r="DA546" s="14"/>
      <c r="DB546" s="14"/>
      <c r="DC546" s="14"/>
      <c r="DD546" s="14"/>
      <c r="DE546" s="14"/>
      <c r="DF546" s="14"/>
      <c r="DG546" s="14"/>
      <c r="DH546" s="14"/>
      <c r="DI546" s="14"/>
      <c r="DJ546" s="14"/>
      <c r="DK546" s="14"/>
      <c r="DL546" s="14"/>
      <c r="DM546" s="14"/>
      <c r="DN546" s="14"/>
      <c r="DO546" s="14"/>
      <c r="DP546" s="14"/>
      <c r="DQ546" s="14"/>
      <c r="DR546" s="14"/>
      <c r="DS546" s="14"/>
      <c r="DT546" s="14"/>
      <c r="DU546" s="14"/>
      <c r="DV546" s="14"/>
      <c r="DW546" s="14"/>
      <c r="DX546" s="14"/>
      <c r="DY546" s="14"/>
      <c r="DZ546" s="14"/>
      <c r="EA546" s="14"/>
      <c r="EB546" s="14"/>
    </row>
    <row r="547" spans="4:132">
      <c r="D547" s="40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14"/>
      <c r="BQ547" s="14"/>
      <c r="BR547" s="14"/>
      <c r="BS547" s="14"/>
      <c r="BT547" s="14"/>
      <c r="BU547" s="14"/>
      <c r="BV547" s="14"/>
      <c r="BW547" s="14"/>
      <c r="BX547" s="14"/>
      <c r="BY547" s="14"/>
      <c r="BZ547" s="14"/>
      <c r="CA547" s="14"/>
      <c r="CB547" s="14"/>
      <c r="CC547" s="14"/>
      <c r="CD547" s="14"/>
      <c r="CE547" s="14"/>
      <c r="CF547" s="14"/>
      <c r="CG547" s="14"/>
      <c r="CH547" s="14"/>
      <c r="CI547" s="14"/>
      <c r="CJ547" s="14"/>
      <c r="CK547" s="14"/>
      <c r="CL547" s="14"/>
      <c r="CM547" s="14"/>
      <c r="CN547" s="14"/>
      <c r="CO547" s="14"/>
      <c r="CP547" s="14"/>
      <c r="CQ547" s="14"/>
      <c r="CR547" s="14"/>
      <c r="CS547" s="14"/>
      <c r="CT547" s="14"/>
      <c r="CU547" s="14"/>
      <c r="CV547" s="14"/>
      <c r="CW547" s="14"/>
      <c r="CX547" s="14"/>
      <c r="CY547" s="14"/>
      <c r="CZ547" s="14"/>
      <c r="DA547" s="14"/>
      <c r="DB547" s="14"/>
      <c r="DC547" s="14"/>
      <c r="DD547" s="14"/>
      <c r="DE547" s="14"/>
      <c r="DF547" s="14"/>
      <c r="DG547" s="14"/>
      <c r="DH547" s="14"/>
      <c r="DI547" s="14"/>
      <c r="DJ547" s="14"/>
      <c r="DK547" s="14"/>
      <c r="DL547" s="14"/>
      <c r="DM547" s="14"/>
      <c r="DN547" s="14"/>
      <c r="DO547" s="14"/>
      <c r="DP547" s="14"/>
      <c r="DQ547" s="14"/>
      <c r="DR547" s="14"/>
      <c r="DS547" s="14"/>
      <c r="DT547" s="14"/>
      <c r="DU547" s="14"/>
      <c r="DV547" s="14"/>
      <c r="DW547" s="14"/>
      <c r="DX547" s="14"/>
      <c r="DY547" s="14"/>
      <c r="DZ547" s="14"/>
      <c r="EA547" s="14"/>
      <c r="EB547" s="14"/>
    </row>
    <row r="548" spans="4:132">
      <c r="D548" s="40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14"/>
      <c r="BQ548" s="14"/>
      <c r="BR548" s="14"/>
      <c r="BS548" s="14"/>
      <c r="BT548" s="14"/>
      <c r="BU548" s="14"/>
      <c r="BV548" s="14"/>
      <c r="BW548" s="14"/>
      <c r="BX548" s="14"/>
      <c r="BY548" s="14"/>
      <c r="BZ548" s="14"/>
      <c r="CA548" s="14"/>
      <c r="CB548" s="14"/>
      <c r="CC548" s="14"/>
      <c r="CD548" s="14"/>
      <c r="CE548" s="14"/>
      <c r="CF548" s="14"/>
      <c r="CG548" s="14"/>
      <c r="CH548" s="14"/>
      <c r="CI548" s="14"/>
      <c r="CJ548" s="14"/>
      <c r="CK548" s="14"/>
      <c r="CL548" s="14"/>
      <c r="CM548" s="14"/>
      <c r="CN548" s="14"/>
      <c r="CO548" s="14"/>
      <c r="CP548" s="14"/>
      <c r="CQ548" s="14"/>
      <c r="CR548" s="14"/>
      <c r="CS548" s="14"/>
      <c r="CT548" s="14"/>
      <c r="CU548" s="14"/>
      <c r="CV548" s="14"/>
      <c r="CW548" s="14"/>
      <c r="CX548" s="14"/>
      <c r="CY548" s="14"/>
      <c r="CZ548" s="14"/>
      <c r="DA548" s="14"/>
      <c r="DB548" s="14"/>
      <c r="DC548" s="14"/>
      <c r="DD548" s="14"/>
      <c r="DE548" s="14"/>
      <c r="DF548" s="14"/>
      <c r="DG548" s="14"/>
      <c r="DH548" s="14"/>
      <c r="DI548" s="14"/>
      <c r="DJ548" s="14"/>
      <c r="DK548" s="14"/>
      <c r="DL548" s="14"/>
      <c r="DM548" s="14"/>
      <c r="DN548" s="14"/>
      <c r="DO548" s="14"/>
      <c r="DP548" s="14"/>
      <c r="DQ548" s="14"/>
      <c r="DR548" s="14"/>
      <c r="DS548" s="14"/>
      <c r="DT548" s="14"/>
      <c r="DU548" s="14"/>
      <c r="DV548" s="14"/>
      <c r="DW548" s="14"/>
      <c r="DX548" s="14"/>
      <c r="DY548" s="14"/>
      <c r="DZ548" s="14"/>
      <c r="EA548" s="14"/>
      <c r="EB548" s="14"/>
    </row>
    <row r="549" spans="4:132">
      <c r="D549" s="40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14"/>
      <c r="BQ549" s="14"/>
      <c r="BR549" s="14"/>
      <c r="BS549" s="14"/>
      <c r="BT549" s="14"/>
      <c r="BU549" s="14"/>
      <c r="BV549" s="14"/>
      <c r="BW549" s="14"/>
      <c r="BX549" s="14"/>
      <c r="BY549" s="14"/>
      <c r="BZ549" s="14"/>
      <c r="CA549" s="14"/>
      <c r="CB549" s="14"/>
      <c r="CC549" s="14"/>
      <c r="CD549" s="14"/>
      <c r="CE549" s="14"/>
      <c r="CF549" s="14"/>
      <c r="CG549" s="14"/>
      <c r="CH549" s="14"/>
      <c r="CI549" s="14"/>
      <c r="CJ549" s="14"/>
      <c r="CK549" s="14"/>
      <c r="CL549" s="14"/>
      <c r="CM549" s="14"/>
      <c r="CN549" s="14"/>
      <c r="CO549" s="14"/>
      <c r="CP549" s="14"/>
      <c r="CQ549" s="14"/>
      <c r="CR549" s="14"/>
      <c r="CS549" s="14"/>
      <c r="CT549" s="14"/>
      <c r="CU549" s="14"/>
      <c r="CV549" s="14"/>
      <c r="CW549" s="14"/>
      <c r="CX549" s="14"/>
      <c r="CY549" s="14"/>
      <c r="CZ549" s="14"/>
      <c r="DA549" s="14"/>
      <c r="DB549" s="14"/>
      <c r="DC549" s="14"/>
      <c r="DD549" s="14"/>
      <c r="DE549" s="14"/>
      <c r="DF549" s="14"/>
      <c r="DG549" s="14"/>
      <c r="DH549" s="14"/>
      <c r="DI549" s="14"/>
      <c r="DJ549" s="14"/>
      <c r="DK549" s="14"/>
      <c r="DL549" s="14"/>
      <c r="DM549" s="14"/>
      <c r="DN549" s="14"/>
      <c r="DO549" s="14"/>
      <c r="DP549" s="14"/>
      <c r="DQ549" s="14"/>
      <c r="DR549" s="14"/>
      <c r="DS549" s="14"/>
      <c r="DT549" s="14"/>
      <c r="DU549" s="14"/>
      <c r="DV549" s="14"/>
      <c r="DW549" s="14"/>
      <c r="DX549" s="14"/>
      <c r="DY549" s="14"/>
      <c r="DZ549" s="14"/>
      <c r="EA549" s="14"/>
      <c r="EB549" s="14"/>
    </row>
    <row r="550" spans="4:132">
      <c r="D550" s="40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14"/>
      <c r="BQ550" s="14"/>
      <c r="BR550" s="14"/>
      <c r="BS550" s="14"/>
      <c r="BT550" s="14"/>
      <c r="BU550" s="14"/>
      <c r="BV550" s="14"/>
      <c r="BW550" s="14"/>
      <c r="BX550" s="14"/>
      <c r="BY550" s="14"/>
      <c r="BZ550" s="14"/>
      <c r="CA550" s="14"/>
      <c r="CB550" s="14"/>
      <c r="CC550" s="14"/>
      <c r="CD550" s="14"/>
      <c r="CE550" s="14"/>
      <c r="CF550" s="14"/>
      <c r="CG550" s="14"/>
      <c r="CH550" s="14"/>
      <c r="CI550" s="14"/>
      <c r="CJ550" s="14"/>
      <c r="CK550" s="14"/>
      <c r="CL550" s="14"/>
      <c r="CM550" s="14"/>
      <c r="CN550" s="14"/>
      <c r="CO550" s="14"/>
      <c r="CP550" s="14"/>
      <c r="CQ550" s="14"/>
      <c r="CR550" s="14"/>
      <c r="CS550" s="14"/>
      <c r="CT550" s="14"/>
      <c r="CU550" s="14"/>
      <c r="CV550" s="14"/>
      <c r="CW550" s="14"/>
      <c r="CX550" s="14"/>
      <c r="CY550" s="14"/>
      <c r="CZ550" s="14"/>
      <c r="DA550" s="14"/>
      <c r="DB550" s="14"/>
      <c r="DC550" s="14"/>
      <c r="DD550" s="14"/>
      <c r="DE550" s="14"/>
      <c r="DF550" s="14"/>
      <c r="DG550" s="14"/>
      <c r="DH550" s="14"/>
      <c r="DI550" s="14"/>
      <c r="DJ550" s="14"/>
      <c r="DK550" s="14"/>
      <c r="DL550" s="14"/>
      <c r="DM550" s="14"/>
      <c r="DN550" s="14"/>
      <c r="DO550" s="14"/>
      <c r="DP550" s="14"/>
      <c r="DQ550" s="14"/>
      <c r="DR550" s="14"/>
      <c r="DS550" s="14"/>
      <c r="DT550" s="14"/>
      <c r="DU550" s="14"/>
      <c r="DV550" s="14"/>
      <c r="DW550" s="14"/>
      <c r="DX550" s="14"/>
      <c r="DY550" s="14"/>
      <c r="DZ550" s="14"/>
      <c r="EA550" s="14"/>
      <c r="EB550" s="14"/>
    </row>
    <row r="551" spans="4:132">
      <c r="D551" s="40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14"/>
      <c r="BQ551" s="14"/>
      <c r="BR551" s="14"/>
      <c r="BS551" s="14"/>
      <c r="BT551" s="14"/>
      <c r="BU551" s="14"/>
      <c r="BV551" s="14"/>
      <c r="BW551" s="14"/>
      <c r="BX551" s="14"/>
      <c r="BY551" s="14"/>
      <c r="BZ551" s="14"/>
      <c r="CA551" s="14"/>
      <c r="CB551" s="14"/>
      <c r="CC551" s="14"/>
      <c r="CD551" s="14"/>
      <c r="CE551" s="14"/>
      <c r="CF551" s="14"/>
      <c r="CG551" s="14"/>
      <c r="CH551" s="14"/>
      <c r="CI551" s="14"/>
      <c r="CJ551" s="14"/>
      <c r="CK551" s="14"/>
      <c r="CL551" s="14"/>
      <c r="CM551" s="14"/>
      <c r="CN551" s="14"/>
      <c r="CO551" s="14"/>
      <c r="CP551" s="14"/>
      <c r="CQ551" s="14"/>
      <c r="CR551" s="14"/>
      <c r="CS551" s="14"/>
      <c r="CT551" s="14"/>
      <c r="CU551" s="14"/>
      <c r="CV551" s="14"/>
      <c r="CW551" s="14"/>
      <c r="CX551" s="14"/>
      <c r="CY551" s="14"/>
      <c r="CZ551" s="14"/>
      <c r="DA551" s="14"/>
      <c r="DB551" s="14"/>
      <c r="DC551" s="14"/>
      <c r="DD551" s="14"/>
      <c r="DE551" s="14"/>
      <c r="DF551" s="14"/>
      <c r="DG551" s="14"/>
      <c r="DH551" s="14"/>
      <c r="DI551" s="14"/>
      <c r="DJ551" s="14"/>
      <c r="DK551" s="14"/>
      <c r="DL551" s="14"/>
      <c r="DM551" s="14"/>
      <c r="DN551" s="14"/>
      <c r="DO551" s="14"/>
      <c r="DP551" s="14"/>
      <c r="DQ551" s="14"/>
      <c r="DR551" s="14"/>
      <c r="DS551" s="14"/>
      <c r="DT551" s="14"/>
      <c r="DU551" s="14"/>
      <c r="DV551" s="14"/>
      <c r="DW551" s="14"/>
      <c r="DX551" s="14"/>
      <c r="DY551" s="14"/>
      <c r="DZ551" s="14"/>
      <c r="EA551" s="14"/>
      <c r="EB551" s="14"/>
    </row>
    <row r="552" spans="4:132">
      <c r="D552" s="40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  <c r="S552" s="40"/>
      <c r="T552" s="40"/>
      <c r="U552" s="40"/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14"/>
      <c r="BQ552" s="14"/>
      <c r="BR552" s="14"/>
      <c r="BS552" s="14"/>
      <c r="BT552" s="14"/>
      <c r="BU552" s="14"/>
      <c r="BV552" s="14"/>
      <c r="BW552" s="14"/>
      <c r="BX552" s="14"/>
      <c r="BY552" s="14"/>
      <c r="BZ552" s="14"/>
      <c r="CA552" s="14"/>
      <c r="CB552" s="14"/>
      <c r="CC552" s="14"/>
      <c r="CD552" s="14"/>
      <c r="CE552" s="14"/>
      <c r="CF552" s="14"/>
      <c r="CG552" s="14"/>
      <c r="CH552" s="14"/>
      <c r="CI552" s="14"/>
      <c r="CJ552" s="14"/>
      <c r="CK552" s="14"/>
      <c r="CL552" s="14"/>
      <c r="CM552" s="14"/>
      <c r="CN552" s="14"/>
      <c r="CO552" s="14"/>
      <c r="CP552" s="14"/>
      <c r="CQ552" s="14"/>
      <c r="CR552" s="14"/>
      <c r="CS552" s="14"/>
      <c r="CT552" s="14"/>
      <c r="CU552" s="14"/>
      <c r="CV552" s="14"/>
      <c r="CW552" s="14"/>
      <c r="CX552" s="14"/>
      <c r="CY552" s="14"/>
      <c r="CZ552" s="14"/>
      <c r="DA552" s="14"/>
      <c r="DB552" s="14"/>
      <c r="DC552" s="14"/>
      <c r="DD552" s="14"/>
      <c r="DE552" s="14"/>
      <c r="DF552" s="14"/>
      <c r="DG552" s="14"/>
      <c r="DH552" s="14"/>
      <c r="DI552" s="14"/>
      <c r="DJ552" s="14"/>
      <c r="DK552" s="14"/>
      <c r="DL552" s="14"/>
      <c r="DM552" s="14"/>
      <c r="DN552" s="14"/>
      <c r="DO552" s="14"/>
      <c r="DP552" s="14"/>
      <c r="DQ552" s="14"/>
      <c r="DR552" s="14"/>
      <c r="DS552" s="14"/>
      <c r="DT552" s="14"/>
      <c r="DU552" s="14"/>
      <c r="DV552" s="14"/>
      <c r="DW552" s="14"/>
      <c r="DX552" s="14"/>
      <c r="DY552" s="14"/>
      <c r="DZ552" s="14"/>
      <c r="EA552" s="14"/>
      <c r="EB552" s="14"/>
    </row>
    <row r="553" spans="4:132">
      <c r="D553" s="40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/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/>
      <c r="BM553" s="40"/>
      <c r="BN553" s="40"/>
      <c r="BO553" s="40"/>
      <c r="BP553" s="14"/>
      <c r="BQ553" s="14"/>
      <c r="BR553" s="14"/>
      <c r="BS553" s="14"/>
      <c r="BT553" s="14"/>
      <c r="BU553" s="14"/>
      <c r="BV553" s="14"/>
      <c r="BW553" s="14"/>
      <c r="BX553" s="14"/>
      <c r="BY553" s="14"/>
      <c r="BZ553" s="14"/>
      <c r="CA553" s="14"/>
      <c r="CB553" s="14"/>
      <c r="CC553" s="14"/>
      <c r="CD553" s="14"/>
      <c r="CE553" s="14"/>
      <c r="CF553" s="14"/>
      <c r="CG553" s="14"/>
      <c r="CH553" s="14"/>
      <c r="CI553" s="14"/>
      <c r="CJ553" s="14"/>
      <c r="CK553" s="14"/>
      <c r="CL553" s="14"/>
      <c r="CM553" s="14"/>
      <c r="CN553" s="14"/>
      <c r="CO553" s="14"/>
      <c r="CP553" s="14"/>
      <c r="CQ553" s="14"/>
      <c r="CR553" s="14"/>
      <c r="CS553" s="14"/>
      <c r="CT553" s="14"/>
      <c r="CU553" s="14"/>
      <c r="CV553" s="14"/>
      <c r="CW553" s="14"/>
      <c r="CX553" s="14"/>
      <c r="CY553" s="14"/>
      <c r="CZ553" s="14"/>
      <c r="DA553" s="14"/>
      <c r="DB553" s="14"/>
      <c r="DC553" s="14"/>
      <c r="DD553" s="14"/>
      <c r="DE553" s="14"/>
      <c r="DF553" s="14"/>
      <c r="DG553" s="14"/>
      <c r="DH553" s="14"/>
      <c r="DI553" s="14"/>
      <c r="DJ553" s="14"/>
      <c r="DK553" s="14"/>
      <c r="DL553" s="14"/>
      <c r="DM553" s="14"/>
      <c r="DN553" s="14"/>
      <c r="DO553" s="14"/>
      <c r="DP553" s="14"/>
      <c r="DQ553" s="14"/>
      <c r="DR553" s="14"/>
      <c r="DS553" s="14"/>
      <c r="DT553" s="14"/>
      <c r="DU553" s="14"/>
      <c r="DV553" s="14"/>
      <c r="DW553" s="14"/>
      <c r="DX553" s="14"/>
      <c r="DY553" s="14"/>
      <c r="DZ553" s="14"/>
      <c r="EA553" s="14"/>
      <c r="EB553" s="14"/>
    </row>
    <row r="554" spans="4:132">
      <c r="D554" s="40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14"/>
      <c r="BQ554" s="14"/>
      <c r="BR554" s="14"/>
      <c r="BS554" s="14"/>
      <c r="BT554" s="14"/>
      <c r="BU554" s="14"/>
      <c r="BV554" s="14"/>
      <c r="BW554" s="14"/>
      <c r="BX554" s="14"/>
      <c r="BY554" s="14"/>
      <c r="BZ554" s="14"/>
      <c r="CA554" s="14"/>
      <c r="CB554" s="14"/>
      <c r="CC554" s="14"/>
      <c r="CD554" s="14"/>
      <c r="CE554" s="14"/>
      <c r="CF554" s="14"/>
      <c r="CG554" s="14"/>
      <c r="CH554" s="14"/>
      <c r="CI554" s="14"/>
      <c r="CJ554" s="14"/>
      <c r="CK554" s="14"/>
      <c r="CL554" s="14"/>
      <c r="CM554" s="14"/>
      <c r="CN554" s="14"/>
      <c r="CO554" s="14"/>
      <c r="CP554" s="14"/>
      <c r="CQ554" s="14"/>
      <c r="CR554" s="14"/>
      <c r="CS554" s="14"/>
      <c r="CT554" s="14"/>
      <c r="CU554" s="14"/>
      <c r="CV554" s="14"/>
      <c r="CW554" s="14"/>
      <c r="CX554" s="14"/>
      <c r="CY554" s="14"/>
      <c r="CZ554" s="14"/>
      <c r="DA554" s="14"/>
      <c r="DB554" s="14"/>
      <c r="DC554" s="14"/>
      <c r="DD554" s="14"/>
      <c r="DE554" s="14"/>
      <c r="DF554" s="14"/>
      <c r="DG554" s="14"/>
      <c r="DH554" s="14"/>
      <c r="DI554" s="14"/>
      <c r="DJ554" s="14"/>
      <c r="DK554" s="14"/>
      <c r="DL554" s="14"/>
      <c r="DM554" s="14"/>
      <c r="DN554" s="14"/>
      <c r="DO554" s="14"/>
      <c r="DP554" s="14"/>
      <c r="DQ554" s="14"/>
      <c r="DR554" s="14"/>
      <c r="DS554" s="14"/>
      <c r="DT554" s="14"/>
      <c r="DU554" s="14"/>
      <c r="DV554" s="14"/>
      <c r="DW554" s="14"/>
      <c r="DX554" s="14"/>
      <c r="DY554" s="14"/>
      <c r="DZ554" s="14"/>
      <c r="EA554" s="14"/>
      <c r="EB554" s="14"/>
    </row>
    <row r="555" spans="4:132">
      <c r="D555" s="40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14"/>
      <c r="BQ555" s="14"/>
      <c r="BR555" s="14"/>
      <c r="BS555" s="14"/>
      <c r="BT555" s="14"/>
      <c r="BU555" s="14"/>
      <c r="BV555" s="14"/>
      <c r="BW555" s="14"/>
      <c r="BX555" s="14"/>
      <c r="BY555" s="14"/>
      <c r="BZ555" s="14"/>
      <c r="CA555" s="14"/>
      <c r="CB555" s="14"/>
      <c r="CC555" s="14"/>
      <c r="CD555" s="14"/>
      <c r="CE555" s="14"/>
      <c r="CF555" s="14"/>
      <c r="CG555" s="14"/>
      <c r="CH555" s="14"/>
      <c r="CI555" s="14"/>
      <c r="CJ555" s="14"/>
      <c r="CK555" s="14"/>
      <c r="CL555" s="14"/>
      <c r="CM555" s="14"/>
      <c r="CN555" s="14"/>
      <c r="CO555" s="14"/>
      <c r="CP555" s="14"/>
      <c r="CQ555" s="14"/>
      <c r="CR555" s="14"/>
      <c r="CS555" s="14"/>
      <c r="CT555" s="14"/>
      <c r="CU555" s="14"/>
      <c r="CV555" s="14"/>
      <c r="CW555" s="14"/>
      <c r="CX555" s="14"/>
      <c r="CY555" s="14"/>
      <c r="CZ555" s="14"/>
      <c r="DA555" s="14"/>
      <c r="DB555" s="14"/>
      <c r="DC555" s="14"/>
      <c r="DD555" s="14"/>
      <c r="DE555" s="14"/>
      <c r="DF555" s="14"/>
      <c r="DG555" s="14"/>
      <c r="DH555" s="14"/>
      <c r="DI555" s="14"/>
      <c r="DJ555" s="14"/>
      <c r="DK555" s="14"/>
      <c r="DL555" s="14"/>
      <c r="DM555" s="14"/>
      <c r="DN555" s="14"/>
      <c r="DO555" s="14"/>
      <c r="DP555" s="14"/>
      <c r="DQ555" s="14"/>
      <c r="DR555" s="14"/>
      <c r="DS555" s="14"/>
      <c r="DT555" s="14"/>
      <c r="DU555" s="14"/>
      <c r="DV555" s="14"/>
      <c r="DW555" s="14"/>
      <c r="DX555" s="14"/>
      <c r="DY555" s="14"/>
      <c r="DZ555" s="14"/>
      <c r="EA555" s="14"/>
      <c r="EB555" s="14"/>
    </row>
    <row r="556" spans="4:132">
      <c r="D556" s="40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14"/>
      <c r="BQ556" s="14"/>
      <c r="BR556" s="14"/>
      <c r="BS556" s="14"/>
      <c r="BT556" s="14"/>
      <c r="BU556" s="14"/>
      <c r="BV556" s="14"/>
      <c r="BW556" s="14"/>
      <c r="BX556" s="14"/>
      <c r="BY556" s="14"/>
      <c r="BZ556" s="14"/>
      <c r="CA556" s="14"/>
      <c r="CB556" s="14"/>
      <c r="CC556" s="14"/>
      <c r="CD556" s="14"/>
      <c r="CE556" s="14"/>
      <c r="CF556" s="14"/>
      <c r="CG556" s="14"/>
      <c r="CH556" s="14"/>
      <c r="CI556" s="14"/>
      <c r="CJ556" s="14"/>
      <c r="CK556" s="14"/>
      <c r="CL556" s="14"/>
      <c r="CM556" s="14"/>
      <c r="CN556" s="14"/>
      <c r="CO556" s="14"/>
      <c r="CP556" s="14"/>
      <c r="CQ556" s="14"/>
      <c r="CR556" s="14"/>
      <c r="CS556" s="14"/>
      <c r="CT556" s="14"/>
      <c r="CU556" s="14"/>
      <c r="CV556" s="14"/>
      <c r="CW556" s="14"/>
      <c r="CX556" s="14"/>
      <c r="CY556" s="14"/>
      <c r="CZ556" s="14"/>
      <c r="DA556" s="14"/>
      <c r="DB556" s="14"/>
      <c r="DC556" s="14"/>
      <c r="DD556" s="14"/>
      <c r="DE556" s="14"/>
      <c r="DF556" s="14"/>
      <c r="DG556" s="14"/>
      <c r="DH556" s="14"/>
      <c r="DI556" s="14"/>
      <c r="DJ556" s="14"/>
      <c r="DK556" s="14"/>
      <c r="DL556" s="14"/>
      <c r="DM556" s="14"/>
      <c r="DN556" s="14"/>
      <c r="DO556" s="14"/>
      <c r="DP556" s="14"/>
      <c r="DQ556" s="14"/>
      <c r="DR556" s="14"/>
      <c r="DS556" s="14"/>
      <c r="DT556" s="14"/>
      <c r="DU556" s="14"/>
      <c r="DV556" s="14"/>
      <c r="DW556" s="14"/>
      <c r="DX556" s="14"/>
      <c r="DY556" s="14"/>
      <c r="DZ556" s="14"/>
      <c r="EA556" s="14"/>
      <c r="EB556" s="14"/>
    </row>
    <row r="557" spans="4:132">
      <c r="D557" s="40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/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14"/>
      <c r="BQ557" s="14"/>
      <c r="BR557" s="14"/>
      <c r="BS557" s="14"/>
      <c r="BT557" s="14"/>
      <c r="BU557" s="14"/>
      <c r="BV557" s="14"/>
      <c r="BW557" s="14"/>
      <c r="BX557" s="14"/>
      <c r="BY557" s="14"/>
      <c r="BZ557" s="14"/>
      <c r="CA557" s="14"/>
      <c r="CB557" s="14"/>
      <c r="CC557" s="14"/>
      <c r="CD557" s="14"/>
      <c r="CE557" s="14"/>
      <c r="CF557" s="14"/>
      <c r="CG557" s="14"/>
      <c r="CH557" s="14"/>
      <c r="CI557" s="14"/>
      <c r="CJ557" s="14"/>
      <c r="CK557" s="14"/>
      <c r="CL557" s="14"/>
      <c r="CM557" s="14"/>
      <c r="CN557" s="14"/>
      <c r="CO557" s="14"/>
      <c r="CP557" s="14"/>
      <c r="CQ557" s="14"/>
      <c r="CR557" s="14"/>
      <c r="CS557" s="14"/>
      <c r="CT557" s="14"/>
      <c r="CU557" s="14"/>
      <c r="CV557" s="14"/>
      <c r="CW557" s="14"/>
      <c r="CX557" s="14"/>
      <c r="CY557" s="14"/>
      <c r="CZ557" s="14"/>
      <c r="DA557" s="14"/>
      <c r="DB557" s="14"/>
      <c r="DC557" s="14"/>
      <c r="DD557" s="14"/>
      <c r="DE557" s="14"/>
      <c r="DF557" s="14"/>
      <c r="DG557" s="14"/>
      <c r="DH557" s="14"/>
      <c r="DI557" s="14"/>
      <c r="DJ557" s="14"/>
      <c r="DK557" s="14"/>
      <c r="DL557" s="14"/>
      <c r="DM557" s="14"/>
      <c r="DN557" s="14"/>
      <c r="DO557" s="14"/>
      <c r="DP557" s="14"/>
      <c r="DQ557" s="14"/>
      <c r="DR557" s="14"/>
      <c r="DS557" s="14"/>
      <c r="DT557" s="14"/>
      <c r="DU557" s="14"/>
      <c r="DV557" s="14"/>
      <c r="DW557" s="14"/>
      <c r="DX557" s="14"/>
      <c r="DY557" s="14"/>
      <c r="DZ557" s="14"/>
      <c r="EA557" s="14"/>
      <c r="EB557" s="14"/>
    </row>
    <row r="558" spans="4:132">
      <c r="D558" s="40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14"/>
      <c r="BQ558" s="14"/>
      <c r="BR558" s="14"/>
      <c r="BS558" s="14"/>
      <c r="BT558" s="14"/>
      <c r="BU558" s="14"/>
      <c r="BV558" s="14"/>
      <c r="BW558" s="14"/>
      <c r="BX558" s="14"/>
      <c r="BY558" s="14"/>
      <c r="BZ558" s="14"/>
      <c r="CA558" s="14"/>
      <c r="CB558" s="14"/>
      <c r="CC558" s="14"/>
      <c r="CD558" s="14"/>
      <c r="CE558" s="14"/>
      <c r="CF558" s="14"/>
      <c r="CG558" s="14"/>
      <c r="CH558" s="14"/>
      <c r="CI558" s="14"/>
      <c r="CJ558" s="14"/>
      <c r="CK558" s="14"/>
      <c r="CL558" s="14"/>
      <c r="CM558" s="14"/>
      <c r="CN558" s="14"/>
      <c r="CO558" s="14"/>
      <c r="CP558" s="14"/>
      <c r="CQ558" s="14"/>
      <c r="CR558" s="14"/>
      <c r="CS558" s="14"/>
      <c r="CT558" s="14"/>
      <c r="CU558" s="14"/>
      <c r="CV558" s="14"/>
      <c r="CW558" s="14"/>
      <c r="CX558" s="14"/>
      <c r="CY558" s="14"/>
      <c r="CZ558" s="14"/>
      <c r="DA558" s="14"/>
      <c r="DB558" s="14"/>
      <c r="DC558" s="14"/>
      <c r="DD558" s="14"/>
      <c r="DE558" s="14"/>
      <c r="DF558" s="14"/>
      <c r="DG558" s="14"/>
      <c r="DH558" s="14"/>
      <c r="DI558" s="14"/>
      <c r="DJ558" s="14"/>
      <c r="DK558" s="14"/>
      <c r="DL558" s="14"/>
      <c r="DM558" s="14"/>
      <c r="DN558" s="14"/>
      <c r="DO558" s="14"/>
      <c r="DP558" s="14"/>
      <c r="DQ558" s="14"/>
      <c r="DR558" s="14"/>
      <c r="DS558" s="14"/>
      <c r="DT558" s="14"/>
      <c r="DU558" s="14"/>
      <c r="DV558" s="14"/>
      <c r="DW558" s="14"/>
      <c r="DX558" s="14"/>
      <c r="DY558" s="14"/>
      <c r="DZ558" s="14"/>
      <c r="EA558" s="14"/>
      <c r="EB558" s="14"/>
    </row>
    <row r="559" spans="4:132">
      <c r="D559" s="40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14"/>
      <c r="BQ559" s="14"/>
      <c r="BR559" s="14"/>
      <c r="BS559" s="14"/>
      <c r="BT559" s="14"/>
      <c r="BU559" s="14"/>
      <c r="BV559" s="14"/>
      <c r="BW559" s="14"/>
      <c r="BX559" s="14"/>
      <c r="BY559" s="14"/>
      <c r="BZ559" s="14"/>
      <c r="CA559" s="14"/>
      <c r="CB559" s="14"/>
      <c r="CC559" s="14"/>
      <c r="CD559" s="14"/>
      <c r="CE559" s="14"/>
      <c r="CF559" s="14"/>
      <c r="CG559" s="14"/>
      <c r="CH559" s="14"/>
      <c r="CI559" s="14"/>
      <c r="CJ559" s="14"/>
      <c r="CK559" s="14"/>
      <c r="CL559" s="14"/>
      <c r="CM559" s="14"/>
      <c r="CN559" s="14"/>
      <c r="CO559" s="14"/>
      <c r="CP559" s="14"/>
      <c r="CQ559" s="14"/>
      <c r="CR559" s="14"/>
      <c r="CS559" s="14"/>
      <c r="CT559" s="14"/>
      <c r="CU559" s="14"/>
      <c r="CV559" s="14"/>
      <c r="CW559" s="14"/>
      <c r="CX559" s="14"/>
      <c r="CY559" s="14"/>
      <c r="CZ559" s="14"/>
      <c r="DA559" s="14"/>
      <c r="DB559" s="14"/>
      <c r="DC559" s="14"/>
      <c r="DD559" s="14"/>
      <c r="DE559" s="14"/>
      <c r="DF559" s="14"/>
      <c r="DG559" s="14"/>
      <c r="DH559" s="14"/>
      <c r="DI559" s="14"/>
      <c r="DJ559" s="14"/>
      <c r="DK559" s="14"/>
      <c r="DL559" s="14"/>
      <c r="DM559" s="14"/>
      <c r="DN559" s="14"/>
      <c r="DO559" s="14"/>
      <c r="DP559" s="14"/>
      <c r="DQ559" s="14"/>
      <c r="DR559" s="14"/>
      <c r="DS559" s="14"/>
      <c r="DT559" s="14"/>
      <c r="DU559" s="14"/>
      <c r="DV559" s="14"/>
      <c r="DW559" s="14"/>
      <c r="DX559" s="14"/>
      <c r="DY559" s="14"/>
      <c r="DZ559" s="14"/>
      <c r="EA559" s="14"/>
      <c r="EB559" s="14"/>
    </row>
    <row r="560" spans="4:132">
      <c r="D560" s="40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14"/>
      <c r="BQ560" s="14"/>
      <c r="BR560" s="14"/>
      <c r="BS560" s="14"/>
      <c r="BT560" s="14"/>
      <c r="BU560" s="14"/>
      <c r="BV560" s="14"/>
      <c r="BW560" s="14"/>
      <c r="BX560" s="14"/>
      <c r="BY560" s="14"/>
      <c r="BZ560" s="14"/>
      <c r="CA560" s="14"/>
      <c r="CB560" s="14"/>
      <c r="CC560" s="14"/>
      <c r="CD560" s="14"/>
      <c r="CE560" s="14"/>
      <c r="CF560" s="14"/>
      <c r="CG560" s="14"/>
      <c r="CH560" s="14"/>
      <c r="CI560" s="14"/>
      <c r="CJ560" s="14"/>
      <c r="CK560" s="14"/>
      <c r="CL560" s="14"/>
      <c r="CM560" s="14"/>
      <c r="CN560" s="14"/>
      <c r="CO560" s="14"/>
      <c r="CP560" s="14"/>
      <c r="CQ560" s="14"/>
      <c r="CR560" s="14"/>
      <c r="CS560" s="14"/>
      <c r="CT560" s="14"/>
      <c r="CU560" s="14"/>
      <c r="CV560" s="14"/>
      <c r="CW560" s="14"/>
      <c r="CX560" s="14"/>
      <c r="CY560" s="14"/>
      <c r="CZ560" s="14"/>
      <c r="DA560" s="14"/>
      <c r="DB560" s="14"/>
      <c r="DC560" s="14"/>
      <c r="DD560" s="14"/>
      <c r="DE560" s="14"/>
      <c r="DF560" s="14"/>
      <c r="DG560" s="14"/>
      <c r="DH560" s="14"/>
      <c r="DI560" s="14"/>
      <c r="DJ560" s="14"/>
      <c r="DK560" s="14"/>
      <c r="DL560" s="14"/>
      <c r="DM560" s="14"/>
      <c r="DN560" s="14"/>
      <c r="DO560" s="14"/>
      <c r="DP560" s="14"/>
      <c r="DQ560" s="14"/>
      <c r="DR560" s="14"/>
      <c r="DS560" s="14"/>
      <c r="DT560" s="14"/>
      <c r="DU560" s="14"/>
      <c r="DV560" s="14"/>
      <c r="DW560" s="14"/>
      <c r="DX560" s="14"/>
      <c r="DY560" s="14"/>
      <c r="DZ560" s="14"/>
      <c r="EA560" s="14"/>
      <c r="EB560" s="14"/>
    </row>
    <row r="561" spans="4:132">
      <c r="D561" s="40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14"/>
      <c r="BQ561" s="14"/>
      <c r="BR561" s="14"/>
      <c r="BS561" s="14"/>
      <c r="BT561" s="14"/>
      <c r="BU561" s="14"/>
      <c r="BV561" s="14"/>
      <c r="BW561" s="14"/>
      <c r="BX561" s="14"/>
      <c r="BY561" s="14"/>
      <c r="BZ561" s="14"/>
      <c r="CA561" s="14"/>
      <c r="CB561" s="14"/>
      <c r="CC561" s="14"/>
      <c r="CD561" s="14"/>
      <c r="CE561" s="14"/>
      <c r="CF561" s="14"/>
      <c r="CG561" s="14"/>
      <c r="CH561" s="14"/>
      <c r="CI561" s="14"/>
      <c r="CJ561" s="14"/>
      <c r="CK561" s="14"/>
      <c r="CL561" s="14"/>
      <c r="CM561" s="14"/>
      <c r="CN561" s="14"/>
      <c r="CO561" s="14"/>
      <c r="CP561" s="14"/>
      <c r="CQ561" s="14"/>
      <c r="CR561" s="14"/>
      <c r="CS561" s="14"/>
      <c r="CT561" s="14"/>
      <c r="CU561" s="14"/>
      <c r="CV561" s="14"/>
      <c r="CW561" s="14"/>
      <c r="CX561" s="14"/>
      <c r="CY561" s="14"/>
      <c r="CZ561" s="14"/>
      <c r="DA561" s="14"/>
      <c r="DB561" s="14"/>
      <c r="DC561" s="14"/>
      <c r="DD561" s="14"/>
      <c r="DE561" s="14"/>
      <c r="DF561" s="14"/>
      <c r="DG561" s="14"/>
      <c r="DH561" s="14"/>
      <c r="DI561" s="14"/>
      <c r="DJ561" s="14"/>
      <c r="DK561" s="14"/>
      <c r="DL561" s="14"/>
      <c r="DM561" s="14"/>
      <c r="DN561" s="14"/>
      <c r="DO561" s="14"/>
      <c r="DP561" s="14"/>
      <c r="DQ561" s="14"/>
      <c r="DR561" s="14"/>
      <c r="DS561" s="14"/>
      <c r="DT561" s="14"/>
      <c r="DU561" s="14"/>
      <c r="DV561" s="14"/>
      <c r="DW561" s="14"/>
      <c r="DX561" s="14"/>
      <c r="DY561" s="14"/>
      <c r="DZ561" s="14"/>
      <c r="EA561" s="14"/>
      <c r="EB561" s="14"/>
    </row>
    <row r="562" spans="4:132">
      <c r="D562" s="40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14"/>
      <c r="BQ562" s="14"/>
      <c r="BR562" s="14"/>
      <c r="BS562" s="14"/>
      <c r="BT562" s="14"/>
      <c r="BU562" s="14"/>
      <c r="BV562" s="14"/>
      <c r="BW562" s="14"/>
      <c r="BX562" s="14"/>
      <c r="BY562" s="14"/>
      <c r="BZ562" s="14"/>
      <c r="CA562" s="14"/>
      <c r="CB562" s="14"/>
      <c r="CC562" s="14"/>
      <c r="CD562" s="14"/>
      <c r="CE562" s="14"/>
      <c r="CF562" s="14"/>
      <c r="CG562" s="14"/>
      <c r="CH562" s="14"/>
      <c r="CI562" s="14"/>
      <c r="CJ562" s="14"/>
      <c r="CK562" s="14"/>
      <c r="CL562" s="14"/>
      <c r="CM562" s="14"/>
      <c r="CN562" s="14"/>
      <c r="CO562" s="14"/>
      <c r="CP562" s="14"/>
      <c r="CQ562" s="14"/>
      <c r="CR562" s="14"/>
      <c r="CS562" s="14"/>
      <c r="CT562" s="14"/>
      <c r="CU562" s="14"/>
      <c r="CV562" s="14"/>
      <c r="CW562" s="14"/>
      <c r="CX562" s="14"/>
      <c r="CY562" s="14"/>
      <c r="CZ562" s="14"/>
      <c r="DA562" s="14"/>
      <c r="DB562" s="14"/>
      <c r="DC562" s="14"/>
      <c r="DD562" s="14"/>
      <c r="DE562" s="14"/>
      <c r="DF562" s="14"/>
      <c r="DG562" s="14"/>
      <c r="DH562" s="14"/>
      <c r="DI562" s="14"/>
      <c r="DJ562" s="14"/>
      <c r="DK562" s="14"/>
      <c r="DL562" s="14"/>
      <c r="DM562" s="14"/>
      <c r="DN562" s="14"/>
      <c r="DO562" s="14"/>
      <c r="DP562" s="14"/>
      <c r="DQ562" s="14"/>
      <c r="DR562" s="14"/>
      <c r="DS562" s="14"/>
      <c r="DT562" s="14"/>
      <c r="DU562" s="14"/>
      <c r="DV562" s="14"/>
      <c r="DW562" s="14"/>
      <c r="DX562" s="14"/>
      <c r="DY562" s="14"/>
      <c r="DZ562" s="14"/>
      <c r="EA562" s="14"/>
      <c r="EB562" s="14"/>
    </row>
    <row r="563" spans="4:132">
      <c r="D563" s="40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14"/>
      <c r="BQ563" s="14"/>
      <c r="BR563" s="14"/>
      <c r="BS563" s="14"/>
      <c r="BT563" s="14"/>
      <c r="BU563" s="14"/>
      <c r="BV563" s="14"/>
      <c r="BW563" s="14"/>
      <c r="BX563" s="14"/>
      <c r="BY563" s="14"/>
      <c r="BZ563" s="14"/>
      <c r="CA563" s="14"/>
      <c r="CB563" s="14"/>
      <c r="CC563" s="14"/>
      <c r="CD563" s="14"/>
      <c r="CE563" s="14"/>
      <c r="CF563" s="14"/>
      <c r="CG563" s="14"/>
      <c r="CH563" s="14"/>
      <c r="CI563" s="14"/>
      <c r="CJ563" s="14"/>
      <c r="CK563" s="14"/>
      <c r="CL563" s="14"/>
      <c r="CM563" s="14"/>
      <c r="CN563" s="14"/>
      <c r="CO563" s="14"/>
      <c r="CP563" s="14"/>
      <c r="CQ563" s="14"/>
      <c r="CR563" s="14"/>
      <c r="CS563" s="14"/>
      <c r="CT563" s="14"/>
      <c r="CU563" s="14"/>
      <c r="CV563" s="14"/>
      <c r="CW563" s="14"/>
      <c r="CX563" s="14"/>
      <c r="CY563" s="14"/>
      <c r="CZ563" s="14"/>
      <c r="DA563" s="14"/>
      <c r="DB563" s="14"/>
      <c r="DC563" s="14"/>
      <c r="DD563" s="14"/>
      <c r="DE563" s="14"/>
      <c r="DF563" s="14"/>
      <c r="DG563" s="14"/>
      <c r="DH563" s="14"/>
      <c r="DI563" s="14"/>
      <c r="DJ563" s="14"/>
      <c r="DK563" s="14"/>
      <c r="DL563" s="14"/>
      <c r="DM563" s="14"/>
      <c r="DN563" s="14"/>
      <c r="DO563" s="14"/>
      <c r="DP563" s="14"/>
      <c r="DQ563" s="14"/>
      <c r="DR563" s="14"/>
      <c r="DS563" s="14"/>
      <c r="DT563" s="14"/>
      <c r="DU563" s="14"/>
      <c r="DV563" s="14"/>
      <c r="DW563" s="14"/>
      <c r="DX563" s="14"/>
      <c r="DY563" s="14"/>
      <c r="DZ563" s="14"/>
      <c r="EA563" s="14"/>
      <c r="EB563" s="14"/>
    </row>
    <row r="564" spans="4:132">
      <c r="D564" s="40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14"/>
      <c r="BQ564" s="14"/>
      <c r="BR564" s="14"/>
      <c r="BS564" s="14"/>
      <c r="BT564" s="14"/>
      <c r="BU564" s="14"/>
      <c r="BV564" s="14"/>
      <c r="BW564" s="14"/>
      <c r="BX564" s="14"/>
      <c r="BY564" s="14"/>
      <c r="BZ564" s="14"/>
      <c r="CA564" s="14"/>
      <c r="CB564" s="14"/>
      <c r="CC564" s="14"/>
      <c r="CD564" s="14"/>
      <c r="CE564" s="14"/>
      <c r="CF564" s="14"/>
      <c r="CG564" s="14"/>
      <c r="CH564" s="14"/>
      <c r="CI564" s="14"/>
      <c r="CJ564" s="14"/>
      <c r="CK564" s="14"/>
      <c r="CL564" s="14"/>
      <c r="CM564" s="14"/>
      <c r="CN564" s="14"/>
      <c r="CO564" s="14"/>
      <c r="CP564" s="14"/>
      <c r="CQ564" s="14"/>
      <c r="CR564" s="14"/>
      <c r="CS564" s="14"/>
      <c r="CT564" s="14"/>
      <c r="CU564" s="14"/>
      <c r="CV564" s="14"/>
      <c r="CW564" s="14"/>
      <c r="CX564" s="14"/>
      <c r="CY564" s="14"/>
      <c r="CZ564" s="14"/>
      <c r="DA564" s="14"/>
      <c r="DB564" s="14"/>
      <c r="DC564" s="14"/>
      <c r="DD564" s="14"/>
      <c r="DE564" s="14"/>
      <c r="DF564" s="14"/>
      <c r="DG564" s="14"/>
      <c r="DH564" s="14"/>
      <c r="DI564" s="14"/>
      <c r="DJ564" s="14"/>
      <c r="DK564" s="14"/>
      <c r="DL564" s="14"/>
      <c r="DM564" s="14"/>
      <c r="DN564" s="14"/>
      <c r="DO564" s="14"/>
      <c r="DP564" s="14"/>
      <c r="DQ564" s="14"/>
      <c r="DR564" s="14"/>
      <c r="DS564" s="14"/>
      <c r="DT564" s="14"/>
      <c r="DU564" s="14"/>
      <c r="DV564" s="14"/>
      <c r="DW564" s="14"/>
      <c r="DX564" s="14"/>
      <c r="DY564" s="14"/>
      <c r="DZ564" s="14"/>
      <c r="EA564" s="14"/>
      <c r="EB564" s="14"/>
    </row>
    <row r="565" spans="4:132">
      <c r="D565" s="40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14"/>
      <c r="BQ565" s="14"/>
      <c r="BR565" s="14"/>
      <c r="BS565" s="14"/>
      <c r="BT565" s="14"/>
      <c r="BU565" s="14"/>
      <c r="BV565" s="14"/>
      <c r="BW565" s="14"/>
      <c r="BX565" s="14"/>
      <c r="BY565" s="14"/>
      <c r="BZ565" s="14"/>
      <c r="CA565" s="14"/>
      <c r="CB565" s="14"/>
      <c r="CC565" s="14"/>
      <c r="CD565" s="14"/>
      <c r="CE565" s="14"/>
      <c r="CF565" s="14"/>
      <c r="CG565" s="14"/>
      <c r="CH565" s="14"/>
      <c r="CI565" s="14"/>
      <c r="CJ565" s="14"/>
      <c r="CK565" s="14"/>
      <c r="CL565" s="14"/>
      <c r="CM565" s="14"/>
      <c r="CN565" s="14"/>
      <c r="CO565" s="14"/>
      <c r="CP565" s="14"/>
      <c r="CQ565" s="14"/>
      <c r="CR565" s="14"/>
      <c r="CS565" s="14"/>
      <c r="CT565" s="14"/>
      <c r="CU565" s="14"/>
      <c r="CV565" s="14"/>
      <c r="CW565" s="14"/>
      <c r="CX565" s="14"/>
      <c r="CY565" s="14"/>
      <c r="CZ565" s="14"/>
      <c r="DA565" s="14"/>
      <c r="DB565" s="14"/>
      <c r="DC565" s="14"/>
      <c r="DD565" s="14"/>
      <c r="DE565" s="14"/>
      <c r="DF565" s="14"/>
      <c r="DG565" s="14"/>
      <c r="DH565" s="14"/>
      <c r="DI565" s="14"/>
      <c r="DJ565" s="14"/>
      <c r="DK565" s="14"/>
      <c r="DL565" s="14"/>
      <c r="DM565" s="14"/>
      <c r="DN565" s="14"/>
      <c r="DO565" s="14"/>
      <c r="DP565" s="14"/>
      <c r="DQ565" s="14"/>
      <c r="DR565" s="14"/>
      <c r="DS565" s="14"/>
      <c r="DT565" s="14"/>
      <c r="DU565" s="14"/>
      <c r="DV565" s="14"/>
      <c r="DW565" s="14"/>
      <c r="DX565" s="14"/>
      <c r="DY565" s="14"/>
      <c r="DZ565" s="14"/>
      <c r="EA565" s="14"/>
      <c r="EB565" s="14"/>
    </row>
    <row r="566" spans="4:132">
      <c r="D566" s="40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/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14"/>
      <c r="BQ566" s="14"/>
      <c r="BR566" s="14"/>
      <c r="BS566" s="14"/>
      <c r="BT566" s="14"/>
      <c r="BU566" s="14"/>
      <c r="BV566" s="14"/>
      <c r="BW566" s="14"/>
      <c r="BX566" s="14"/>
      <c r="BY566" s="14"/>
      <c r="BZ566" s="14"/>
      <c r="CA566" s="14"/>
      <c r="CB566" s="14"/>
      <c r="CC566" s="14"/>
      <c r="CD566" s="14"/>
      <c r="CE566" s="14"/>
      <c r="CF566" s="14"/>
      <c r="CG566" s="14"/>
      <c r="CH566" s="14"/>
      <c r="CI566" s="14"/>
      <c r="CJ566" s="14"/>
      <c r="CK566" s="14"/>
      <c r="CL566" s="14"/>
      <c r="CM566" s="14"/>
      <c r="CN566" s="14"/>
      <c r="CO566" s="14"/>
      <c r="CP566" s="14"/>
      <c r="CQ566" s="14"/>
      <c r="CR566" s="14"/>
      <c r="CS566" s="14"/>
      <c r="CT566" s="14"/>
      <c r="CU566" s="14"/>
      <c r="CV566" s="14"/>
      <c r="CW566" s="14"/>
      <c r="CX566" s="14"/>
      <c r="CY566" s="14"/>
      <c r="CZ566" s="14"/>
      <c r="DA566" s="14"/>
      <c r="DB566" s="14"/>
      <c r="DC566" s="14"/>
      <c r="DD566" s="14"/>
      <c r="DE566" s="14"/>
      <c r="DF566" s="14"/>
      <c r="DG566" s="14"/>
      <c r="DH566" s="14"/>
      <c r="DI566" s="14"/>
      <c r="DJ566" s="14"/>
      <c r="DK566" s="14"/>
      <c r="DL566" s="14"/>
      <c r="DM566" s="14"/>
      <c r="DN566" s="14"/>
      <c r="DO566" s="14"/>
      <c r="DP566" s="14"/>
      <c r="DQ566" s="14"/>
      <c r="DR566" s="14"/>
      <c r="DS566" s="14"/>
      <c r="DT566" s="14"/>
      <c r="DU566" s="14"/>
      <c r="DV566" s="14"/>
      <c r="DW566" s="14"/>
      <c r="DX566" s="14"/>
      <c r="DY566" s="14"/>
      <c r="DZ566" s="14"/>
      <c r="EA566" s="14"/>
      <c r="EB566" s="14"/>
    </row>
    <row r="567" spans="4:132">
      <c r="D567" s="40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14"/>
      <c r="BQ567" s="14"/>
      <c r="BR567" s="14"/>
      <c r="BS567" s="14"/>
      <c r="BT567" s="14"/>
      <c r="BU567" s="14"/>
      <c r="BV567" s="14"/>
      <c r="BW567" s="14"/>
      <c r="BX567" s="14"/>
      <c r="BY567" s="14"/>
      <c r="BZ567" s="14"/>
      <c r="CA567" s="14"/>
      <c r="CB567" s="14"/>
      <c r="CC567" s="14"/>
      <c r="CD567" s="14"/>
      <c r="CE567" s="14"/>
      <c r="CF567" s="14"/>
      <c r="CG567" s="14"/>
      <c r="CH567" s="14"/>
      <c r="CI567" s="14"/>
      <c r="CJ567" s="14"/>
      <c r="CK567" s="14"/>
      <c r="CL567" s="14"/>
      <c r="CM567" s="14"/>
      <c r="CN567" s="14"/>
      <c r="CO567" s="14"/>
      <c r="CP567" s="14"/>
      <c r="CQ567" s="14"/>
      <c r="CR567" s="14"/>
      <c r="CS567" s="14"/>
      <c r="CT567" s="14"/>
      <c r="CU567" s="14"/>
      <c r="CV567" s="14"/>
      <c r="CW567" s="14"/>
      <c r="CX567" s="14"/>
      <c r="CY567" s="14"/>
      <c r="CZ567" s="14"/>
      <c r="DA567" s="14"/>
      <c r="DB567" s="14"/>
      <c r="DC567" s="14"/>
      <c r="DD567" s="14"/>
      <c r="DE567" s="14"/>
      <c r="DF567" s="14"/>
      <c r="DG567" s="14"/>
      <c r="DH567" s="14"/>
      <c r="DI567" s="14"/>
      <c r="DJ567" s="14"/>
      <c r="DK567" s="14"/>
      <c r="DL567" s="14"/>
      <c r="DM567" s="14"/>
      <c r="DN567" s="14"/>
      <c r="DO567" s="14"/>
      <c r="DP567" s="14"/>
      <c r="DQ567" s="14"/>
      <c r="DR567" s="14"/>
      <c r="DS567" s="14"/>
      <c r="DT567" s="14"/>
      <c r="DU567" s="14"/>
      <c r="DV567" s="14"/>
      <c r="DW567" s="14"/>
      <c r="DX567" s="14"/>
      <c r="DY567" s="14"/>
      <c r="DZ567" s="14"/>
      <c r="EA567" s="14"/>
      <c r="EB567" s="14"/>
    </row>
    <row r="568" spans="4:132">
      <c r="D568" s="40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14"/>
      <c r="BQ568" s="14"/>
      <c r="BR568" s="14"/>
      <c r="BS568" s="14"/>
      <c r="BT568" s="14"/>
      <c r="BU568" s="14"/>
      <c r="BV568" s="14"/>
      <c r="BW568" s="14"/>
      <c r="BX568" s="14"/>
      <c r="BY568" s="14"/>
      <c r="BZ568" s="14"/>
      <c r="CA568" s="14"/>
      <c r="CB568" s="14"/>
      <c r="CC568" s="14"/>
      <c r="CD568" s="14"/>
      <c r="CE568" s="14"/>
      <c r="CF568" s="14"/>
      <c r="CG568" s="14"/>
      <c r="CH568" s="14"/>
      <c r="CI568" s="14"/>
      <c r="CJ568" s="14"/>
      <c r="CK568" s="14"/>
      <c r="CL568" s="14"/>
      <c r="CM568" s="14"/>
      <c r="CN568" s="14"/>
      <c r="CO568" s="14"/>
      <c r="CP568" s="14"/>
      <c r="CQ568" s="14"/>
      <c r="CR568" s="14"/>
      <c r="CS568" s="14"/>
      <c r="CT568" s="14"/>
      <c r="CU568" s="14"/>
      <c r="CV568" s="14"/>
      <c r="CW568" s="14"/>
      <c r="CX568" s="14"/>
      <c r="CY568" s="14"/>
      <c r="CZ568" s="14"/>
      <c r="DA568" s="14"/>
      <c r="DB568" s="14"/>
      <c r="DC568" s="14"/>
      <c r="DD568" s="14"/>
      <c r="DE568" s="14"/>
      <c r="DF568" s="14"/>
      <c r="DG568" s="14"/>
      <c r="DH568" s="14"/>
      <c r="DI568" s="14"/>
      <c r="DJ568" s="14"/>
      <c r="DK568" s="14"/>
      <c r="DL568" s="14"/>
      <c r="DM568" s="14"/>
      <c r="DN568" s="14"/>
      <c r="DO568" s="14"/>
      <c r="DP568" s="14"/>
      <c r="DQ568" s="14"/>
      <c r="DR568" s="14"/>
      <c r="DS568" s="14"/>
      <c r="DT568" s="14"/>
      <c r="DU568" s="14"/>
      <c r="DV568" s="14"/>
      <c r="DW568" s="14"/>
      <c r="DX568" s="14"/>
      <c r="DY568" s="14"/>
      <c r="DZ568" s="14"/>
      <c r="EA568" s="14"/>
      <c r="EB568" s="14"/>
    </row>
    <row r="569" spans="4:132"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14"/>
      <c r="BQ569" s="14"/>
      <c r="BR569" s="14"/>
      <c r="BS569" s="14"/>
      <c r="BT569" s="14"/>
      <c r="BU569" s="14"/>
      <c r="BV569" s="14"/>
      <c r="BW569" s="14"/>
      <c r="BX569" s="14"/>
      <c r="BY569" s="14"/>
      <c r="BZ569" s="14"/>
      <c r="CA569" s="14"/>
      <c r="CB569" s="14"/>
      <c r="CC569" s="14"/>
      <c r="CD569" s="14"/>
      <c r="CE569" s="14"/>
      <c r="CF569" s="14"/>
      <c r="CG569" s="14"/>
      <c r="CH569" s="14"/>
      <c r="CI569" s="14"/>
      <c r="CJ569" s="14"/>
      <c r="CK569" s="14"/>
      <c r="CL569" s="14"/>
      <c r="CM569" s="14"/>
      <c r="CN569" s="14"/>
      <c r="CO569" s="14"/>
      <c r="CP569" s="14"/>
      <c r="CQ569" s="14"/>
      <c r="CR569" s="14"/>
      <c r="CS569" s="14"/>
      <c r="CT569" s="14"/>
      <c r="CU569" s="14"/>
      <c r="CV569" s="14"/>
      <c r="CW569" s="14"/>
      <c r="CX569" s="14"/>
      <c r="CY569" s="14"/>
      <c r="CZ569" s="14"/>
      <c r="DA569" s="14"/>
      <c r="DB569" s="14"/>
      <c r="DC569" s="14"/>
      <c r="DD569" s="14"/>
      <c r="DE569" s="14"/>
      <c r="DF569" s="14"/>
      <c r="DG569" s="14"/>
      <c r="DH569" s="14"/>
      <c r="DI569" s="14"/>
      <c r="DJ569" s="14"/>
      <c r="DK569" s="14"/>
      <c r="DL569" s="14"/>
      <c r="DM569" s="14"/>
      <c r="DN569" s="14"/>
      <c r="DO569" s="14"/>
      <c r="DP569" s="14"/>
      <c r="DQ569" s="14"/>
      <c r="DR569" s="14"/>
      <c r="DS569" s="14"/>
      <c r="DT569" s="14"/>
      <c r="DU569" s="14"/>
      <c r="DV569" s="14"/>
      <c r="DW569" s="14"/>
      <c r="DX569" s="14"/>
      <c r="DY569" s="14"/>
      <c r="DZ569" s="14"/>
      <c r="EA569" s="14"/>
      <c r="EB569" s="14"/>
    </row>
    <row r="570" spans="4:132"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14"/>
      <c r="BQ570" s="14"/>
      <c r="BR570" s="14"/>
      <c r="BS570" s="14"/>
      <c r="BT570" s="14"/>
      <c r="BU570" s="14"/>
      <c r="BV570" s="14"/>
      <c r="BW570" s="14"/>
      <c r="BX570" s="14"/>
      <c r="BY570" s="14"/>
      <c r="BZ570" s="14"/>
      <c r="CA570" s="14"/>
      <c r="CB570" s="14"/>
      <c r="CC570" s="14"/>
      <c r="CD570" s="14"/>
      <c r="CE570" s="14"/>
      <c r="CF570" s="14"/>
      <c r="CG570" s="14"/>
      <c r="CH570" s="14"/>
      <c r="CI570" s="14"/>
      <c r="CJ570" s="14"/>
      <c r="CK570" s="14"/>
      <c r="CL570" s="14"/>
      <c r="CM570" s="14"/>
      <c r="CN570" s="14"/>
      <c r="CO570" s="14"/>
      <c r="CP570" s="14"/>
      <c r="CQ570" s="14"/>
      <c r="CR570" s="14"/>
      <c r="CS570" s="14"/>
      <c r="CT570" s="14"/>
      <c r="CU570" s="14"/>
      <c r="CV570" s="14"/>
      <c r="CW570" s="14"/>
      <c r="CX570" s="14"/>
      <c r="CY570" s="14"/>
      <c r="CZ570" s="14"/>
      <c r="DA570" s="14"/>
      <c r="DB570" s="14"/>
      <c r="DC570" s="14"/>
      <c r="DD570" s="14"/>
      <c r="DE570" s="14"/>
      <c r="DF570" s="14"/>
      <c r="DG570" s="14"/>
      <c r="DH570" s="14"/>
      <c r="DI570" s="14"/>
      <c r="DJ570" s="14"/>
      <c r="DK570" s="14"/>
      <c r="DL570" s="14"/>
      <c r="DM570" s="14"/>
      <c r="DN570" s="14"/>
      <c r="DO570" s="14"/>
      <c r="DP570" s="14"/>
      <c r="DQ570" s="14"/>
      <c r="DR570" s="14"/>
      <c r="DS570" s="14"/>
      <c r="DT570" s="14"/>
      <c r="DU570" s="14"/>
      <c r="DV570" s="14"/>
      <c r="DW570" s="14"/>
      <c r="DX570" s="14"/>
      <c r="DY570" s="14"/>
      <c r="DZ570" s="14"/>
      <c r="EA570" s="14"/>
      <c r="EB570" s="14"/>
    </row>
    <row r="571" spans="4:132">
      <c r="D571" s="40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14"/>
      <c r="BQ571" s="14"/>
      <c r="BR571" s="14"/>
      <c r="BS571" s="14"/>
      <c r="BT571" s="14"/>
      <c r="BU571" s="14"/>
      <c r="BV571" s="14"/>
      <c r="BW571" s="14"/>
      <c r="BX571" s="14"/>
      <c r="BY571" s="14"/>
      <c r="BZ571" s="14"/>
      <c r="CA571" s="14"/>
      <c r="CB571" s="14"/>
      <c r="CC571" s="14"/>
      <c r="CD571" s="14"/>
      <c r="CE571" s="14"/>
      <c r="CF571" s="14"/>
      <c r="CG571" s="14"/>
      <c r="CH571" s="14"/>
      <c r="CI571" s="14"/>
      <c r="CJ571" s="14"/>
      <c r="CK571" s="14"/>
      <c r="CL571" s="14"/>
      <c r="CM571" s="14"/>
      <c r="CN571" s="14"/>
      <c r="CO571" s="14"/>
      <c r="CP571" s="14"/>
      <c r="CQ571" s="14"/>
      <c r="CR571" s="14"/>
      <c r="CS571" s="14"/>
      <c r="CT571" s="14"/>
      <c r="CU571" s="14"/>
      <c r="CV571" s="14"/>
      <c r="CW571" s="14"/>
      <c r="CX571" s="14"/>
      <c r="CY571" s="14"/>
      <c r="CZ571" s="14"/>
      <c r="DA571" s="14"/>
      <c r="DB571" s="14"/>
      <c r="DC571" s="14"/>
      <c r="DD571" s="14"/>
      <c r="DE571" s="14"/>
      <c r="DF571" s="14"/>
      <c r="DG571" s="14"/>
      <c r="DH571" s="14"/>
      <c r="DI571" s="14"/>
      <c r="DJ571" s="14"/>
      <c r="DK571" s="14"/>
      <c r="DL571" s="14"/>
      <c r="DM571" s="14"/>
      <c r="DN571" s="14"/>
      <c r="DO571" s="14"/>
      <c r="DP571" s="14"/>
      <c r="DQ571" s="14"/>
      <c r="DR571" s="14"/>
      <c r="DS571" s="14"/>
      <c r="DT571" s="14"/>
      <c r="DU571" s="14"/>
      <c r="DV571" s="14"/>
      <c r="DW571" s="14"/>
      <c r="DX571" s="14"/>
      <c r="DY571" s="14"/>
      <c r="DZ571" s="14"/>
      <c r="EA571" s="14"/>
      <c r="EB571" s="14"/>
    </row>
    <row r="572" spans="4:132">
      <c r="D572" s="40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14"/>
      <c r="BQ572" s="14"/>
      <c r="BR572" s="14"/>
      <c r="BS572" s="14"/>
      <c r="BT572" s="14"/>
      <c r="BU572" s="14"/>
      <c r="BV572" s="14"/>
      <c r="BW572" s="14"/>
      <c r="BX572" s="14"/>
      <c r="BY572" s="14"/>
      <c r="BZ572" s="14"/>
      <c r="CA572" s="14"/>
      <c r="CB572" s="14"/>
      <c r="CC572" s="14"/>
      <c r="CD572" s="14"/>
      <c r="CE572" s="14"/>
      <c r="CF572" s="14"/>
      <c r="CG572" s="14"/>
      <c r="CH572" s="14"/>
      <c r="CI572" s="14"/>
      <c r="CJ572" s="14"/>
      <c r="CK572" s="14"/>
      <c r="CL572" s="14"/>
      <c r="CM572" s="14"/>
      <c r="CN572" s="14"/>
      <c r="CO572" s="14"/>
      <c r="CP572" s="14"/>
      <c r="CQ572" s="14"/>
      <c r="CR572" s="14"/>
      <c r="CS572" s="14"/>
      <c r="CT572" s="14"/>
      <c r="CU572" s="14"/>
      <c r="CV572" s="14"/>
      <c r="CW572" s="14"/>
      <c r="CX572" s="14"/>
      <c r="CY572" s="14"/>
      <c r="CZ572" s="14"/>
      <c r="DA572" s="14"/>
      <c r="DB572" s="14"/>
      <c r="DC572" s="14"/>
      <c r="DD572" s="14"/>
      <c r="DE572" s="14"/>
      <c r="DF572" s="14"/>
      <c r="DG572" s="14"/>
      <c r="DH572" s="14"/>
      <c r="DI572" s="14"/>
      <c r="DJ572" s="14"/>
      <c r="DK572" s="14"/>
      <c r="DL572" s="14"/>
      <c r="DM572" s="14"/>
      <c r="DN572" s="14"/>
      <c r="DO572" s="14"/>
      <c r="DP572" s="14"/>
      <c r="DQ572" s="14"/>
      <c r="DR572" s="14"/>
      <c r="DS572" s="14"/>
      <c r="DT572" s="14"/>
      <c r="DU572" s="14"/>
      <c r="DV572" s="14"/>
      <c r="DW572" s="14"/>
      <c r="DX572" s="14"/>
      <c r="DY572" s="14"/>
      <c r="DZ572" s="14"/>
      <c r="EA572" s="14"/>
      <c r="EB572" s="14"/>
    </row>
    <row r="573" spans="4:132">
      <c r="D573" s="40"/>
      <c r="E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14"/>
      <c r="BQ573" s="14"/>
      <c r="BR573" s="14"/>
      <c r="BS573" s="14"/>
      <c r="BT573" s="14"/>
      <c r="BU573" s="14"/>
      <c r="BV573" s="14"/>
      <c r="BW573" s="14"/>
      <c r="BX573" s="14"/>
      <c r="BY573" s="14"/>
      <c r="BZ573" s="14"/>
      <c r="CA573" s="14"/>
      <c r="CB573" s="14"/>
      <c r="CC573" s="14"/>
      <c r="CD573" s="14"/>
      <c r="CE573" s="14"/>
      <c r="CF573" s="14"/>
      <c r="CG573" s="14"/>
      <c r="CH573" s="14"/>
      <c r="CI573" s="14"/>
      <c r="CJ573" s="14"/>
      <c r="CK573" s="14"/>
      <c r="CL573" s="14"/>
      <c r="CM573" s="14"/>
      <c r="CN573" s="14"/>
      <c r="CO573" s="14"/>
      <c r="CP573" s="14"/>
      <c r="CQ573" s="14"/>
      <c r="CR573" s="14"/>
      <c r="CS573" s="14"/>
      <c r="CT573" s="14"/>
      <c r="CU573" s="14"/>
      <c r="CV573" s="14"/>
      <c r="CW573" s="14"/>
      <c r="CX573" s="14"/>
      <c r="CY573" s="14"/>
      <c r="CZ573" s="14"/>
      <c r="DA573" s="14"/>
      <c r="DB573" s="14"/>
      <c r="DC573" s="14"/>
      <c r="DD573" s="14"/>
      <c r="DE573" s="14"/>
      <c r="DF573" s="14"/>
      <c r="DG573" s="14"/>
      <c r="DH573" s="14"/>
      <c r="DI573" s="14"/>
      <c r="DJ573" s="14"/>
      <c r="DK573" s="14"/>
      <c r="DL573" s="14"/>
      <c r="DM573" s="14"/>
      <c r="DN573" s="14"/>
      <c r="DO573" s="14"/>
      <c r="DP573" s="14"/>
      <c r="DQ573" s="14"/>
      <c r="DR573" s="14"/>
      <c r="DS573" s="14"/>
      <c r="DT573" s="14"/>
      <c r="DU573" s="14"/>
      <c r="DV573" s="14"/>
      <c r="DW573" s="14"/>
      <c r="DX573" s="14"/>
      <c r="DY573" s="14"/>
      <c r="DZ573" s="14"/>
      <c r="EA573" s="14"/>
      <c r="EB573" s="14"/>
    </row>
    <row r="574" spans="4:132">
      <c r="D574" s="40"/>
      <c r="E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/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/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14"/>
      <c r="BQ574" s="14"/>
      <c r="BR574" s="14"/>
      <c r="BS574" s="14"/>
      <c r="BT574" s="14"/>
      <c r="BU574" s="14"/>
      <c r="BV574" s="14"/>
      <c r="BW574" s="14"/>
      <c r="BX574" s="14"/>
      <c r="BY574" s="14"/>
      <c r="BZ574" s="14"/>
      <c r="CA574" s="14"/>
      <c r="CB574" s="14"/>
      <c r="CC574" s="14"/>
      <c r="CD574" s="14"/>
      <c r="CE574" s="14"/>
      <c r="CF574" s="14"/>
      <c r="CG574" s="14"/>
      <c r="CH574" s="14"/>
      <c r="CI574" s="14"/>
      <c r="CJ574" s="14"/>
      <c r="CK574" s="14"/>
      <c r="CL574" s="14"/>
      <c r="CM574" s="14"/>
      <c r="CN574" s="14"/>
      <c r="CO574" s="14"/>
      <c r="CP574" s="14"/>
      <c r="CQ574" s="14"/>
      <c r="CR574" s="14"/>
      <c r="CS574" s="14"/>
      <c r="CT574" s="14"/>
      <c r="CU574" s="14"/>
      <c r="CV574" s="14"/>
      <c r="CW574" s="14"/>
      <c r="CX574" s="14"/>
      <c r="CY574" s="14"/>
      <c r="CZ574" s="14"/>
      <c r="DA574" s="14"/>
      <c r="DB574" s="14"/>
      <c r="DC574" s="14"/>
      <c r="DD574" s="14"/>
      <c r="DE574" s="14"/>
      <c r="DF574" s="14"/>
      <c r="DG574" s="14"/>
      <c r="DH574" s="14"/>
      <c r="DI574" s="14"/>
      <c r="DJ574" s="14"/>
      <c r="DK574" s="14"/>
      <c r="DL574" s="14"/>
      <c r="DM574" s="14"/>
      <c r="DN574" s="14"/>
      <c r="DO574" s="14"/>
      <c r="DP574" s="14"/>
      <c r="DQ574" s="14"/>
      <c r="DR574" s="14"/>
      <c r="DS574" s="14"/>
      <c r="DT574" s="14"/>
      <c r="DU574" s="14"/>
      <c r="DV574" s="14"/>
      <c r="DW574" s="14"/>
      <c r="DX574" s="14"/>
      <c r="DY574" s="14"/>
      <c r="DZ574" s="14"/>
      <c r="EA574" s="14"/>
      <c r="EB574" s="14"/>
    </row>
    <row r="575" spans="4:132">
      <c r="D575" s="40"/>
      <c r="E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  <c r="S575" s="40"/>
      <c r="T575" s="40"/>
      <c r="U575" s="40"/>
      <c r="V575" s="40"/>
      <c r="W575" s="40"/>
      <c r="X575" s="40"/>
      <c r="Y575" s="40"/>
      <c r="Z575" s="40"/>
      <c r="AA575" s="40"/>
      <c r="AB575" s="40"/>
      <c r="AC575" s="40"/>
      <c r="AD575" s="40"/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14"/>
      <c r="BQ575" s="14"/>
      <c r="BR575" s="14"/>
      <c r="BS575" s="14"/>
      <c r="BT575" s="14"/>
      <c r="BU575" s="14"/>
      <c r="BV575" s="14"/>
      <c r="BW575" s="14"/>
      <c r="BX575" s="14"/>
      <c r="BY575" s="14"/>
      <c r="BZ575" s="14"/>
      <c r="CA575" s="14"/>
      <c r="CB575" s="14"/>
      <c r="CC575" s="14"/>
      <c r="CD575" s="14"/>
      <c r="CE575" s="14"/>
      <c r="CF575" s="14"/>
      <c r="CG575" s="14"/>
      <c r="CH575" s="14"/>
      <c r="CI575" s="14"/>
      <c r="CJ575" s="14"/>
      <c r="CK575" s="14"/>
      <c r="CL575" s="14"/>
      <c r="CM575" s="14"/>
      <c r="CN575" s="14"/>
      <c r="CO575" s="14"/>
      <c r="CP575" s="14"/>
      <c r="CQ575" s="14"/>
      <c r="CR575" s="14"/>
      <c r="CS575" s="14"/>
      <c r="CT575" s="14"/>
      <c r="CU575" s="14"/>
      <c r="CV575" s="14"/>
      <c r="CW575" s="14"/>
      <c r="CX575" s="14"/>
      <c r="CY575" s="14"/>
      <c r="CZ575" s="14"/>
      <c r="DA575" s="14"/>
      <c r="DB575" s="14"/>
      <c r="DC575" s="14"/>
      <c r="DD575" s="14"/>
      <c r="DE575" s="14"/>
      <c r="DF575" s="14"/>
      <c r="DG575" s="14"/>
      <c r="DH575" s="14"/>
      <c r="DI575" s="14"/>
      <c r="DJ575" s="14"/>
      <c r="DK575" s="14"/>
      <c r="DL575" s="14"/>
      <c r="DM575" s="14"/>
      <c r="DN575" s="14"/>
      <c r="DO575" s="14"/>
      <c r="DP575" s="14"/>
      <c r="DQ575" s="14"/>
      <c r="DR575" s="14"/>
      <c r="DS575" s="14"/>
      <c r="DT575" s="14"/>
      <c r="DU575" s="14"/>
      <c r="DV575" s="14"/>
      <c r="DW575" s="14"/>
      <c r="DX575" s="14"/>
      <c r="DY575" s="14"/>
      <c r="DZ575" s="14"/>
      <c r="EA575" s="14"/>
      <c r="EB575" s="14"/>
    </row>
    <row r="576" spans="4:132">
      <c r="D576" s="40"/>
      <c r="E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14"/>
      <c r="BQ576" s="14"/>
      <c r="BR576" s="14"/>
      <c r="BS576" s="14"/>
      <c r="BT576" s="14"/>
      <c r="BU576" s="14"/>
      <c r="BV576" s="14"/>
      <c r="BW576" s="14"/>
      <c r="BX576" s="14"/>
      <c r="BY576" s="14"/>
      <c r="BZ576" s="14"/>
      <c r="CA576" s="14"/>
      <c r="CB576" s="14"/>
      <c r="CC576" s="14"/>
      <c r="CD576" s="14"/>
      <c r="CE576" s="14"/>
      <c r="CF576" s="14"/>
      <c r="CG576" s="14"/>
      <c r="CH576" s="14"/>
      <c r="CI576" s="14"/>
      <c r="CJ576" s="14"/>
      <c r="CK576" s="14"/>
      <c r="CL576" s="14"/>
      <c r="CM576" s="14"/>
      <c r="CN576" s="14"/>
      <c r="CO576" s="14"/>
      <c r="CP576" s="14"/>
      <c r="CQ576" s="14"/>
      <c r="CR576" s="14"/>
      <c r="CS576" s="14"/>
      <c r="CT576" s="14"/>
      <c r="CU576" s="14"/>
      <c r="CV576" s="14"/>
      <c r="CW576" s="14"/>
      <c r="CX576" s="14"/>
      <c r="CY576" s="14"/>
      <c r="CZ576" s="14"/>
      <c r="DA576" s="14"/>
      <c r="DB576" s="14"/>
      <c r="DC576" s="14"/>
      <c r="DD576" s="14"/>
      <c r="DE576" s="14"/>
      <c r="DF576" s="14"/>
      <c r="DG576" s="14"/>
      <c r="DH576" s="14"/>
      <c r="DI576" s="14"/>
      <c r="DJ576" s="14"/>
      <c r="DK576" s="14"/>
      <c r="DL576" s="14"/>
      <c r="DM576" s="14"/>
      <c r="DN576" s="14"/>
      <c r="DO576" s="14"/>
      <c r="DP576" s="14"/>
      <c r="DQ576" s="14"/>
      <c r="DR576" s="14"/>
      <c r="DS576" s="14"/>
      <c r="DT576" s="14"/>
      <c r="DU576" s="14"/>
      <c r="DV576" s="14"/>
      <c r="DW576" s="14"/>
      <c r="DX576" s="14"/>
      <c r="DY576" s="14"/>
      <c r="DZ576" s="14"/>
      <c r="EA576" s="14"/>
      <c r="EB576" s="14"/>
    </row>
    <row r="577" spans="4:132">
      <c r="D577" s="40"/>
      <c r="E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  <c r="S577" s="40"/>
      <c r="T577" s="40"/>
      <c r="U577" s="40"/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14"/>
      <c r="BQ577" s="14"/>
      <c r="BR577" s="14"/>
      <c r="BS577" s="14"/>
      <c r="BT577" s="14"/>
      <c r="BU577" s="14"/>
      <c r="BV577" s="14"/>
      <c r="BW577" s="14"/>
      <c r="BX577" s="14"/>
      <c r="BY577" s="14"/>
      <c r="BZ577" s="14"/>
      <c r="CA577" s="14"/>
      <c r="CB577" s="14"/>
      <c r="CC577" s="14"/>
      <c r="CD577" s="14"/>
      <c r="CE577" s="14"/>
      <c r="CF577" s="14"/>
      <c r="CG577" s="14"/>
      <c r="CH577" s="14"/>
      <c r="CI577" s="14"/>
      <c r="CJ577" s="14"/>
      <c r="CK577" s="14"/>
      <c r="CL577" s="14"/>
      <c r="CM577" s="14"/>
      <c r="CN577" s="14"/>
      <c r="CO577" s="14"/>
      <c r="CP577" s="14"/>
      <c r="CQ577" s="14"/>
      <c r="CR577" s="14"/>
      <c r="CS577" s="14"/>
      <c r="CT577" s="14"/>
      <c r="CU577" s="14"/>
      <c r="CV577" s="14"/>
      <c r="CW577" s="14"/>
      <c r="CX577" s="14"/>
      <c r="CY577" s="14"/>
      <c r="CZ577" s="14"/>
      <c r="DA577" s="14"/>
      <c r="DB577" s="14"/>
      <c r="DC577" s="14"/>
      <c r="DD577" s="14"/>
      <c r="DE577" s="14"/>
      <c r="DF577" s="14"/>
      <c r="DG577" s="14"/>
      <c r="DH577" s="14"/>
      <c r="DI577" s="14"/>
      <c r="DJ577" s="14"/>
      <c r="DK577" s="14"/>
      <c r="DL577" s="14"/>
      <c r="DM577" s="14"/>
      <c r="DN577" s="14"/>
      <c r="DO577" s="14"/>
      <c r="DP577" s="14"/>
      <c r="DQ577" s="14"/>
      <c r="DR577" s="14"/>
      <c r="DS577" s="14"/>
      <c r="DT577" s="14"/>
      <c r="DU577" s="14"/>
      <c r="DV577" s="14"/>
      <c r="DW577" s="14"/>
      <c r="DX577" s="14"/>
      <c r="DY577" s="14"/>
      <c r="DZ577" s="14"/>
      <c r="EA577" s="14"/>
      <c r="EB577" s="14"/>
    </row>
    <row r="578" spans="4:132">
      <c r="D578" s="40"/>
      <c r="E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14"/>
      <c r="BQ578" s="14"/>
      <c r="BR578" s="14"/>
      <c r="BS578" s="14"/>
      <c r="BT578" s="14"/>
      <c r="BU578" s="14"/>
      <c r="BV578" s="14"/>
      <c r="BW578" s="14"/>
      <c r="BX578" s="14"/>
      <c r="BY578" s="14"/>
      <c r="BZ578" s="14"/>
      <c r="CA578" s="14"/>
      <c r="CB578" s="14"/>
      <c r="CC578" s="14"/>
      <c r="CD578" s="14"/>
      <c r="CE578" s="14"/>
      <c r="CF578" s="14"/>
      <c r="CG578" s="14"/>
      <c r="CH578" s="14"/>
      <c r="CI578" s="14"/>
      <c r="CJ578" s="14"/>
      <c r="CK578" s="14"/>
      <c r="CL578" s="14"/>
      <c r="CM578" s="14"/>
      <c r="CN578" s="14"/>
      <c r="CO578" s="14"/>
      <c r="CP578" s="14"/>
      <c r="CQ578" s="14"/>
      <c r="CR578" s="14"/>
      <c r="CS578" s="14"/>
      <c r="CT578" s="14"/>
      <c r="CU578" s="14"/>
      <c r="CV578" s="14"/>
      <c r="CW578" s="14"/>
      <c r="CX578" s="14"/>
      <c r="CY578" s="14"/>
      <c r="CZ578" s="14"/>
      <c r="DA578" s="14"/>
      <c r="DB578" s="14"/>
      <c r="DC578" s="14"/>
      <c r="DD578" s="14"/>
      <c r="DE578" s="14"/>
      <c r="DF578" s="14"/>
      <c r="DG578" s="14"/>
      <c r="DH578" s="14"/>
      <c r="DI578" s="14"/>
      <c r="DJ578" s="14"/>
      <c r="DK578" s="14"/>
      <c r="DL578" s="14"/>
      <c r="DM578" s="14"/>
      <c r="DN578" s="14"/>
      <c r="DO578" s="14"/>
      <c r="DP578" s="14"/>
      <c r="DQ578" s="14"/>
      <c r="DR578" s="14"/>
      <c r="DS578" s="14"/>
      <c r="DT578" s="14"/>
      <c r="DU578" s="14"/>
      <c r="DV578" s="14"/>
      <c r="DW578" s="14"/>
      <c r="DX578" s="14"/>
      <c r="DY578" s="14"/>
      <c r="DZ578" s="14"/>
      <c r="EA578" s="14"/>
      <c r="EB578" s="14"/>
    </row>
    <row r="579" spans="4:132">
      <c r="D579" s="40"/>
      <c r="E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/>
      <c r="BP579" s="14"/>
      <c r="BQ579" s="14"/>
      <c r="BR579" s="14"/>
      <c r="BS579" s="14"/>
      <c r="BT579" s="14"/>
      <c r="BU579" s="14"/>
      <c r="BV579" s="14"/>
      <c r="BW579" s="14"/>
      <c r="BX579" s="14"/>
      <c r="BY579" s="14"/>
      <c r="BZ579" s="14"/>
      <c r="CA579" s="14"/>
      <c r="CB579" s="14"/>
      <c r="CC579" s="14"/>
      <c r="CD579" s="14"/>
      <c r="CE579" s="14"/>
      <c r="CF579" s="14"/>
      <c r="CG579" s="14"/>
      <c r="CH579" s="14"/>
      <c r="CI579" s="14"/>
      <c r="CJ579" s="14"/>
      <c r="CK579" s="14"/>
      <c r="CL579" s="14"/>
      <c r="CM579" s="14"/>
      <c r="CN579" s="14"/>
      <c r="CO579" s="14"/>
      <c r="CP579" s="14"/>
      <c r="CQ579" s="14"/>
      <c r="CR579" s="14"/>
      <c r="CS579" s="14"/>
      <c r="CT579" s="14"/>
      <c r="CU579" s="14"/>
      <c r="CV579" s="14"/>
      <c r="CW579" s="14"/>
      <c r="CX579" s="14"/>
      <c r="CY579" s="14"/>
      <c r="CZ579" s="14"/>
      <c r="DA579" s="14"/>
      <c r="DB579" s="14"/>
      <c r="DC579" s="14"/>
      <c r="DD579" s="14"/>
      <c r="DE579" s="14"/>
      <c r="DF579" s="14"/>
      <c r="DG579" s="14"/>
      <c r="DH579" s="14"/>
      <c r="DI579" s="14"/>
      <c r="DJ579" s="14"/>
      <c r="DK579" s="14"/>
      <c r="DL579" s="14"/>
      <c r="DM579" s="14"/>
      <c r="DN579" s="14"/>
      <c r="DO579" s="14"/>
      <c r="DP579" s="14"/>
      <c r="DQ579" s="14"/>
      <c r="DR579" s="14"/>
      <c r="DS579" s="14"/>
      <c r="DT579" s="14"/>
      <c r="DU579" s="14"/>
      <c r="DV579" s="14"/>
      <c r="DW579" s="14"/>
      <c r="DX579" s="14"/>
      <c r="DY579" s="14"/>
      <c r="DZ579" s="14"/>
      <c r="EA579" s="14"/>
      <c r="EB579" s="14"/>
    </row>
    <row r="580" spans="4:132">
      <c r="D580" s="40"/>
      <c r="E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/>
      <c r="BI580" s="40"/>
      <c r="BJ580" s="40"/>
      <c r="BK580" s="40"/>
      <c r="BL580" s="40"/>
      <c r="BM580" s="40"/>
      <c r="BN580" s="40"/>
      <c r="BO580" s="40"/>
      <c r="BP580" s="14"/>
      <c r="BQ580" s="14"/>
      <c r="BR580" s="14"/>
      <c r="BS580" s="14"/>
      <c r="BT580" s="14"/>
      <c r="BU580" s="14"/>
      <c r="BV580" s="14"/>
      <c r="BW580" s="14"/>
      <c r="BX580" s="14"/>
      <c r="BY580" s="14"/>
      <c r="BZ580" s="14"/>
      <c r="CA580" s="14"/>
      <c r="CB580" s="14"/>
      <c r="CC580" s="14"/>
      <c r="CD580" s="14"/>
      <c r="CE580" s="14"/>
      <c r="CF580" s="14"/>
      <c r="CG580" s="14"/>
      <c r="CH580" s="14"/>
      <c r="CI580" s="14"/>
      <c r="CJ580" s="14"/>
      <c r="CK580" s="14"/>
      <c r="CL580" s="14"/>
      <c r="CM580" s="14"/>
      <c r="CN580" s="14"/>
      <c r="CO580" s="14"/>
      <c r="CP580" s="14"/>
      <c r="CQ580" s="14"/>
      <c r="CR580" s="14"/>
      <c r="CS580" s="14"/>
      <c r="CT580" s="14"/>
      <c r="CU580" s="14"/>
      <c r="CV580" s="14"/>
      <c r="CW580" s="14"/>
      <c r="CX580" s="14"/>
      <c r="CY580" s="14"/>
      <c r="CZ580" s="14"/>
      <c r="DA580" s="14"/>
      <c r="DB580" s="14"/>
      <c r="DC580" s="14"/>
      <c r="DD580" s="14"/>
      <c r="DE580" s="14"/>
      <c r="DF580" s="14"/>
      <c r="DG580" s="14"/>
      <c r="DH580" s="14"/>
      <c r="DI580" s="14"/>
      <c r="DJ580" s="14"/>
      <c r="DK580" s="14"/>
      <c r="DL580" s="14"/>
      <c r="DM580" s="14"/>
      <c r="DN580" s="14"/>
      <c r="DO580" s="14"/>
      <c r="DP580" s="14"/>
      <c r="DQ580" s="14"/>
      <c r="DR580" s="14"/>
      <c r="DS580" s="14"/>
      <c r="DT580" s="14"/>
      <c r="DU580" s="14"/>
      <c r="DV580" s="14"/>
      <c r="DW580" s="14"/>
      <c r="DX580" s="14"/>
      <c r="DY580" s="14"/>
      <c r="DZ580" s="14"/>
      <c r="EA580" s="14"/>
      <c r="EB580" s="14"/>
    </row>
    <row r="581" spans="4:132">
      <c r="D581" s="40"/>
      <c r="E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14"/>
      <c r="BQ581" s="14"/>
      <c r="BR581" s="14"/>
      <c r="BS581" s="14"/>
      <c r="BT581" s="14"/>
      <c r="BU581" s="14"/>
      <c r="BV581" s="14"/>
      <c r="BW581" s="14"/>
      <c r="BX581" s="14"/>
      <c r="BY581" s="14"/>
      <c r="BZ581" s="14"/>
      <c r="CA581" s="14"/>
      <c r="CB581" s="14"/>
      <c r="CC581" s="14"/>
      <c r="CD581" s="14"/>
      <c r="CE581" s="14"/>
      <c r="CF581" s="14"/>
      <c r="CG581" s="14"/>
      <c r="CH581" s="14"/>
      <c r="CI581" s="14"/>
      <c r="CJ581" s="14"/>
      <c r="CK581" s="14"/>
      <c r="CL581" s="14"/>
      <c r="CM581" s="14"/>
      <c r="CN581" s="14"/>
      <c r="CO581" s="14"/>
      <c r="CP581" s="14"/>
      <c r="CQ581" s="14"/>
      <c r="CR581" s="14"/>
      <c r="CS581" s="14"/>
      <c r="CT581" s="14"/>
      <c r="CU581" s="14"/>
      <c r="CV581" s="14"/>
      <c r="CW581" s="14"/>
      <c r="CX581" s="14"/>
      <c r="CY581" s="14"/>
      <c r="CZ581" s="14"/>
      <c r="DA581" s="14"/>
      <c r="DB581" s="14"/>
      <c r="DC581" s="14"/>
      <c r="DD581" s="14"/>
      <c r="DE581" s="14"/>
      <c r="DF581" s="14"/>
      <c r="DG581" s="14"/>
      <c r="DH581" s="14"/>
      <c r="DI581" s="14"/>
      <c r="DJ581" s="14"/>
      <c r="DK581" s="14"/>
      <c r="DL581" s="14"/>
      <c r="DM581" s="14"/>
      <c r="DN581" s="14"/>
      <c r="DO581" s="14"/>
      <c r="DP581" s="14"/>
      <c r="DQ581" s="14"/>
      <c r="DR581" s="14"/>
      <c r="DS581" s="14"/>
      <c r="DT581" s="14"/>
      <c r="DU581" s="14"/>
      <c r="DV581" s="14"/>
      <c r="DW581" s="14"/>
      <c r="DX581" s="14"/>
      <c r="DY581" s="14"/>
      <c r="DZ581" s="14"/>
      <c r="EA581" s="14"/>
      <c r="EB581" s="14"/>
    </row>
    <row r="582" spans="4:132">
      <c r="D582" s="40"/>
      <c r="E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/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14"/>
      <c r="BQ582" s="14"/>
      <c r="BR582" s="14"/>
      <c r="BS582" s="14"/>
      <c r="BT582" s="14"/>
      <c r="BU582" s="14"/>
      <c r="BV582" s="14"/>
      <c r="BW582" s="14"/>
      <c r="BX582" s="14"/>
      <c r="BY582" s="14"/>
      <c r="BZ582" s="14"/>
      <c r="CA582" s="14"/>
      <c r="CB582" s="14"/>
      <c r="CC582" s="14"/>
      <c r="CD582" s="14"/>
      <c r="CE582" s="14"/>
      <c r="CF582" s="14"/>
      <c r="CG582" s="14"/>
      <c r="CH582" s="14"/>
      <c r="CI582" s="14"/>
      <c r="CJ582" s="14"/>
      <c r="CK582" s="14"/>
      <c r="CL582" s="14"/>
      <c r="CM582" s="14"/>
      <c r="CN582" s="14"/>
      <c r="CO582" s="14"/>
      <c r="CP582" s="14"/>
      <c r="CQ582" s="14"/>
      <c r="CR582" s="14"/>
      <c r="CS582" s="14"/>
      <c r="CT582" s="14"/>
      <c r="CU582" s="14"/>
      <c r="CV582" s="14"/>
      <c r="CW582" s="14"/>
      <c r="CX582" s="14"/>
      <c r="CY582" s="14"/>
      <c r="CZ582" s="14"/>
      <c r="DA582" s="14"/>
      <c r="DB582" s="14"/>
      <c r="DC582" s="14"/>
      <c r="DD582" s="14"/>
      <c r="DE582" s="14"/>
      <c r="DF582" s="14"/>
      <c r="DG582" s="14"/>
      <c r="DH582" s="14"/>
      <c r="DI582" s="14"/>
      <c r="DJ582" s="14"/>
      <c r="DK582" s="14"/>
      <c r="DL582" s="14"/>
      <c r="DM582" s="14"/>
      <c r="DN582" s="14"/>
      <c r="DO582" s="14"/>
      <c r="DP582" s="14"/>
      <c r="DQ582" s="14"/>
      <c r="DR582" s="14"/>
      <c r="DS582" s="14"/>
      <c r="DT582" s="14"/>
      <c r="DU582" s="14"/>
      <c r="DV582" s="14"/>
      <c r="DW582" s="14"/>
      <c r="DX582" s="14"/>
      <c r="DY582" s="14"/>
      <c r="DZ582" s="14"/>
      <c r="EA582" s="14"/>
      <c r="EB582" s="14"/>
    </row>
    <row r="583" spans="4:132">
      <c r="D583" s="40"/>
      <c r="E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14"/>
      <c r="BQ583" s="14"/>
      <c r="BR583" s="14"/>
      <c r="BS583" s="14"/>
      <c r="BT583" s="14"/>
      <c r="BU583" s="14"/>
      <c r="BV583" s="14"/>
      <c r="BW583" s="14"/>
      <c r="BX583" s="14"/>
      <c r="BY583" s="14"/>
      <c r="BZ583" s="14"/>
      <c r="CA583" s="14"/>
      <c r="CB583" s="14"/>
      <c r="CC583" s="14"/>
      <c r="CD583" s="14"/>
      <c r="CE583" s="14"/>
      <c r="CF583" s="14"/>
      <c r="CG583" s="14"/>
      <c r="CH583" s="14"/>
      <c r="CI583" s="14"/>
      <c r="CJ583" s="14"/>
      <c r="CK583" s="14"/>
      <c r="CL583" s="14"/>
      <c r="CM583" s="14"/>
      <c r="CN583" s="14"/>
      <c r="CO583" s="14"/>
      <c r="CP583" s="14"/>
      <c r="CQ583" s="14"/>
      <c r="CR583" s="14"/>
      <c r="CS583" s="14"/>
      <c r="CT583" s="14"/>
      <c r="CU583" s="14"/>
      <c r="CV583" s="14"/>
      <c r="CW583" s="14"/>
      <c r="CX583" s="14"/>
      <c r="CY583" s="14"/>
      <c r="CZ583" s="14"/>
      <c r="DA583" s="14"/>
      <c r="DB583" s="14"/>
      <c r="DC583" s="14"/>
      <c r="DD583" s="14"/>
      <c r="DE583" s="14"/>
      <c r="DF583" s="14"/>
      <c r="DG583" s="14"/>
      <c r="DH583" s="14"/>
      <c r="DI583" s="14"/>
      <c r="DJ583" s="14"/>
      <c r="DK583" s="14"/>
      <c r="DL583" s="14"/>
      <c r="DM583" s="14"/>
      <c r="DN583" s="14"/>
      <c r="DO583" s="14"/>
      <c r="DP583" s="14"/>
      <c r="DQ583" s="14"/>
      <c r="DR583" s="14"/>
      <c r="DS583" s="14"/>
      <c r="DT583" s="14"/>
      <c r="DU583" s="14"/>
      <c r="DV583" s="14"/>
      <c r="DW583" s="14"/>
      <c r="DX583" s="14"/>
      <c r="DY583" s="14"/>
      <c r="DZ583" s="14"/>
      <c r="EA583" s="14"/>
      <c r="EB583" s="14"/>
    </row>
    <row r="584" spans="4:132">
      <c r="D584" s="40"/>
      <c r="E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14"/>
      <c r="BQ584" s="14"/>
      <c r="BR584" s="14"/>
      <c r="BS584" s="14"/>
      <c r="BT584" s="14"/>
      <c r="BU584" s="14"/>
      <c r="BV584" s="14"/>
      <c r="BW584" s="14"/>
      <c r="BX584" s="14"/>
      <c r="BY584" s="14"/>
      <c r="BZ584" s="14"/>
      <c r="CA584" s="14"/>
      <c r="CB584" s="14"/>
      <c r="CC584" s="14"/>
      <c r="CD584" s="14"/>
      <c r="CE584" s="14"/>
      <c r="CF584" s="14"/>
      <c r="CG584" s="14"/>
      <c r="CH584" s="14"/>
      <c r="CI584" s="14"/>
      <c r="CJ584" s="14"/>
      <c r="CK584" s="14"/>
      <c r="CL584" s="14"/>
      <c r="CM584" s="14"/>
      <c r="CN584" s="14"/>
      <c r="CO584" s="14"/>
      <c r="CP584" s="14"/>
      <c r="CQ584" s="14"/>
      <c r="CR584" s="14"/>
      <c r="CS584" s="14"/>
      <c r="CT584" s="14"/>
      <c r="CU584" s="14"/>
      <c r="CV584" s="14"/>
      <c r="CW584" s="14"/>
      <c r="CX584" s="14"/>
      <c r="CY584" s="14"/>
      <c r="CZ584" s="14"/>
      <c r="DA584" s="14"/>
      <c r="DB584" s="14"/>
      <c r="DC584" s="14"/>
      <c r="DD584" s="14"/>
      <c r="DE584" s="14"/>
      <c r="DF584" s="14"/>
      <c r="DG584" s="14"/>
      <c r="DH584" s="14"/>
      <c r="DI584" s="14"/>
      <c r="DJ584" s="14"/>
      <c r="DK584" s="14"/>
      <c r="DL584" s="14"/>
      <c r="DM584" s="14"/>
      <c r="DN584" s="14"/>
      <c r="DO584" s="14"/>
      <c r="DP584" s="14"/>
      <c r="DQ584" s="14"/>
      <c r="DR584" s="14"/>
      <c r="DS584" s="14"/>
      <c r="DT584" s="14"/>
      <c r="DU584" s="14"/>
      <c r="DV584" s="14"/>
      <c r="DW584" s="14"/>
      <c r="DX584" s="14"/>
      <c r="DY584" s="14"/>
      <c r="DZ584" s="14"/>
      <c r="EA584" s="14"/>
      <c r="EB584" s="14"/>
    </row>
    <row r="585" spans="4:132">
      <c r="D585" s="40"/>
      <c r="E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14"/>
      <c r="BQ585" s="14"/>
      <c r="BR585" s="14"/>
      <c r="BS585" s="14"/>
      <c r="BT585" s="14"/>
      <c r="BU585" s="14"/>
      <c r="BV585" s="14"/>
      <c r="BW585" s="14"/>
      <c r="BX585" s="14"/>
      <c r="BY585" s="14"/>
      <c r="BZ585" s="14"/>
      <c r="CA585" s="14"/>
      <c r="CB585" s="14"/>
      <c r="CC585" s="14"/>
      <c r="CD585" s="14"/>
      <c r="CE585" s="14"/>
      <c r="CF585" s="14"/>
      <c r="CG585" s="14"/>
      <c r="CH585" s="14"/>
      <c r="CI585" s="14"/>
      <c r="CJ585" s="14"/>
      <c r="CK585" s="14"/>
      <c r="CL585" s="14"/>
      <c r="CM585" s="14"/>
      <c r="CN585" s="14"/>
      <c r="CO585" s="14"/>
      <c r="CP585" s="14"/>
      <c r="CQ585" s="14"/>
      <c r="CR585" s="14"/>
      <c r="CS585" s="14"/>
      <c r="CT585" s="14"/>
      <c r="CU585" s="14"/>
      <c r="CV585" s="14"/>
      <c r="CW585" s="14"/>
      <c r="CX585" s="14"/>
      <c r="CY585" s="14"/>
      <c r="CZ585" s="14"/>
      <c r="DA585" s="14"/>
      <c r="DB585" s="14"/>
      <c r="DC585" s="14"/>
      <c r="DD585" s="14"/>
      <c r="DE585" s="14"/>
      <c r="DF585" s="14"/>
      <c r="DG585" s="14"/>
      <c r="DH585" s="14"/>
      <c r="DI585" s="14"/>
      <c r="DJ585" s="14"/>
      <c r="DK585" s="14"/>
      <c r="DL585" s="14"/>
      <c r="DM585" s="14"/>
      <c r="DN585" s="14"/>
      <c r="DO585" s="14"/>
      <c r="DP585" s="14"/>
      <c r="DQ585" s="14"/>
      <c r="DR585" s="14"/>
      <c r="DS585" s="14"/>
      <c r="DT585" s="14"/>
      <c r="DU585" s="14"/>
      <c r="DV585" s="14"/>
      <c r="DW585" s="14"/>
      <c r="DX585" s="14"/>
      <c r="DY585" s="14"/>
      <c r="DZ585" s="14"/>
      <c r="EA585" s="14"/>
      <c r="EB585" s="14"/>
    </row>
    <row r="586" spans="4:132">
      <c r="D586" s="41"/>
      <c r="E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14"/>
      <c r="BQ586" s="14"/>
      <c r="BR586" s="14"/>
      <c r="BS586" s="14"/>
      <c r="BT586" s="14"/>
      <c r="BU586" s="14"/>
      <c r="BV586" s="14"/>
      <c r="BW586" s="14"/>
      <c r="BX586" s="14"/>
      <c r="BY586" s="14"/>
      <c r="BZ586" s="14"/>
      <c r="CA586" s="14"/>
      <c r="CB586" s="14"/>
      <c r="CC586" s="14"/>
      <c r="CD586" s="14"/>
      <c r="CE586" s="14"/>
      <c r="CF586" s="14"/>
      <c r="CG586" s="14"/>
      <c r="CH586" s="14"/>
      <c r="CI586" s="14"/>
      <c r="CJ586" s="14"/>
      <c r="CK586" s="14"/>
      <c r="CL586" s="14"/>
      <c r="CM586" s="14"/>
      <c r="CN586" s="14"/>
      <c r="CO586" s="14"/>
      <c r="CP586" s="14"/>
      <c r="CQ586" s="14"/>
      <c r="CR586" s="14"/>
      <c r="CS586" s="14"/>
      <c r="CT586" s="14"/>
      <c r="CU586" s="14"/>
      <c r="CV586" s="14"/>
      <c r="CW586" s="14"/>
      <c r="CX586" s="14"/>
      <c r="CY586" s="14"/>
      <c r="CZ586" s="14"/>
      <c r="DA586" s="14"/>
      <c r="DB586" s="14"/>
      <c r="DC586" s="14"/>
      <c r="DD586" s="14"/>
      <c r="DE586" s="14"/>
      <c r="DF586" s="14"/>
      <c r="DG586" s="14"/>
      <c r="DH586" s="14"/>
      <c r="DI586" s="14"/>
      <c r="DJ586" s="14"/>
      <c r="DK586" s="14"/>
      <c r="DL586" s="14"/>
      <c r="DM586" s="14"/>
      <c r="DN586" s="14"/>
      <c r="DO586" s="14"/>
      <c r="DP586" s="14"/>
      <c r="DQ586" s="14"/>
      <c r="DR586" s="14"/>
      <c r="DS586" s="14"/>
      <c r="DT586" s="14"/>
      <c r="DU586" s="14"/>
      <c r="DV586" s="14"/>
      <c r="DW586" s="14"/>
      <c r="DX586" s="14"/>
      <c r="DY586" s="14"/>
      <c r="DZ586" s="14"/>
      <c r="EA586" s="14"/>
      <c r="EB586" s="14"/>
    </row>
    <row r="587" spans="4:132">
      <c r="D587" s="40"/>
      <c r="E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14"/>
      <c r="BQ587" s="14"/>
      <c r="BR587" s="14"/>
      <c r="BS587" s="14"/>
      <c r="BT587" s="14"/>
      <c r="BU587" s="14"/>
      <c r="BV587" s="14"/>
      <c r="BW587" s="14"/>
      <c r="BX587" s="14"/>
      <c r="BY587" s="14"/>
      <c r="BZ587" s="14"/>
      <c r="CA587" s="14"/>
      <c r="CB587" s="14"/>
      <c r="CC587" s="14"/>
      <c r="CD587" s="14"/>
      <c r="CE587" s="14"/>
      <c r="CF587" s="14"/>
      <c r="CG587" s="14"/>
      <c r="CH587" s="14"/>
      <c r="CI587" s="14"/>
      <c r="CJ587" s="14"/>
      <c r="CK587" s="14"/>
      <c r="CL587" s="14"/>
      <c r="CM587" s="14"/>
      <c r="CN587" s="14"/>
      <c r="CO587" s="14"/>
      <c r="CP587" s="14"/>
      <c r="CQ587" s="14"/>
      <c r="CR587" s="14"/>
      <c r="CS587" s="14"/>
      <c r="CT587" s="14"/>
      <c r="CU587" s="14"/>
      <c r="CV587" s="14"/>
      <c r="CW587" s="14"/>
      <c r="CX587" s="14"/>
      <c r="CY587" s="14"/>
      <c r="CZ587" s="14"/>
      <c r="DA587" s="14"/>
      <c r="DB587" s="14"/>
      <c r="DC587" s="14"/>
      <c r="DD587" s="14"/>
      <c r="DE587" s="14"/>
      <c r="DF587" s="14"/>
      <c r="DG587" s="14"/>
      <c r="DH587" s="14"/>
      <c r="DI587" s="14"/>
      <c r="DJ587" s="14"/>
      <c r="DK587" s="14"/>
      <c r="DL587" s="14"/>
      <c r="DM587" s="14"/>
      <c r="DN587" s="14"/>
      <c r="DO587" s="14"/>
      <c r="DP587" s="14"/>
      <c r="DQ587" s="14"/>
      <c r="DR587" s="14"/>
      <c r="DS587" s="14"/>
      <c r="DT587" s="14"/>
      <c r="DU587" s="14"/>
      <c r="DV587" s="14"/>
      <c r="DW587" s="14"/>
      <c r="DX587" s="14"/>
      <c r="DY587" s="14"/>
      <c r="DZ587" s="14"/>
      <c r="EA587" s="14"/>
      <c r="EB587" s="14"/>
    </row>
    <row r="588" spans="4:132">
      <c r="D588" s="40"/>
      <c r="E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14"/>
      <c r="BQ588" s="14"/>
      <c r="BR588" s="14"/>
      <c r="BS588" s="14"/>
      <c r="BT588" s="14"/>
      <c r="BU588" s="14"/>
      <c r="BV588" s="14"/>
      <c r="BW588" s="14"/>
      <c r="BX588" s="14"/>
      <c r="BY588" s="14"/>
      <c r="BZ588" s="14"/>
      <c r="CA588" s="14"/>
      <c r="CB588" s="14"/>
      <c r="CC588" s="14"/>
      <c r="CD588" s="14"/>
      <c r="CE588" s="14"/>
      <c r="CF588" s="14"/>
      <c r="CG588" s="14"/>
      <c r="CH588" s="14"/>
      <c r="CI588" s="14"/>
      <c r="CJ588" s="14"/>
      <c r="CK588" s="14"/>
      <c r="CL588" s="14"/>
      <c r="CM588" s="14"/>
      <c r="CN588" s="14"/>
      <c r="CO588" s="14"/>
      <c r="CP588" s="14"/>
      <c r="CQ588" s="14"/>
      <c r="CR588" s="14"/>
      <c r="CS588" s="14"/>
      <c r="CT588" s="14"/>
      <c r="CU588" s="14"/>
      <c r="CV588" s="14"/>
      <c r="CW588" s="14"/>
      <c r="CX588" s="14"/>
      <c r="CY588" s="14"/>
      <c r="CZ588" s="14"/>
      <c r="DA588" s="14"/>
      <c r="DB588" s="14"/>
      <c r="DC588" s="14"/>
      <c r="DD588" s="14"/>
      <c r="DE588" s="14"/>
      <c r="DF588" s="14"/>
      <c r="DG588" s="14"/>
      <c r="DH588" s="14"/>
      <c r="DI588" s="14"/>
      <c r="DJ588" s="14"/>
      <c r="DK588" s="14"/>
      <c r="DL588" s="14"/>
      <c r="DM588" s="14"/>
      <c r="DN588" s="14"/>
      <c r="DO588" s="14"/>
      <c r="DP588" s="14"/>
      <c r="DQ588" s="14"/>
      <c r="DR588" s="14"/>
      <c r="DS588" s="14"/>
      <c r="DT588" s="14"/>
      <c r="DU588" s="14"/>
      <c r="DV588" s="14"/>
      <c r="DW588" s="14"/>
      <c r="DX588" s="14"/>
      <c r="DY588" s="14"/>
      <c r="DZ588" s="14"/>
      <c r="EA588" s="14"/>
      <c r="EB588" s="14"/>
    </row>
    <row r="589" spans="4:132">
      <c r="D589" s="40"/>
      <c r="E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/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14"/>
      <c r="BQ589" s="14"/>
      <c r="BR589" s="14"/>
      <c r="BS589" s="14"/>
      <c r="BT589" s="14"/>
      <c r="BU589" s="14"/>
      <c r="BV589" s="14"/>
      <c r="BW589" s="14"/>
      <c r="BX589" s="14"/>
      <c r="BY589" s="14"/>
      <c r="BZ589" s="14"/>
      <c r="CA589" s="14"/>
      <c r="CB589" s="14"/>
      <c r="CC589" s="14"/>
      <c r="CD589" s="14"/>
      <c r="CE589" s="14"/>
      <c r="CF589" s="14"/>
      <c r="CG589" s="14"/>
      <c r="CH589" s="14"/>
      <c r="CI589" s="14"/>
      <c r="CJ589" s="14"/>
      <c r="CK589" s="14"/>
      <c r="CL589" s="14"/>
      <c r="CM589" s="14"/>
      <c r="CN589" s="14"/>
      <c r="CO589" s="14"/>
      <c r="CP589" s="14"/>
      <c r="CQ589" s="14"/>
      <c r="CR589" s="14"/>
      <c r="CS589" s="14"/>
      <c r="CT589" s="14"/>
      <c r="CU589" s="14"/>
      <c r="CV589" s="14"/>
      <c r="CW589" s="14"/>
      <c r="CX589" s="14"/>
      <c r="CY589" s="14"/>
      <c r="CZ589" s="14"/>
      <c r="DA589" s="14"/>
      <c r="DB589" s="14"/>
      <c r="DC589" s="14"/>
      <c r="DD589" s="14"/>
      <c r="DE589" s="14"/>
      <c r="DF589" s="14"/>
      <c r="DG589" s="14"/>
      <c r="DH589" s="14"/>
      <c r="DI589" s="14"/>
      <c r="DJ589" s="14"/>
      <c r="DK589" s="14"/>
      <c r="DL589" s="14"/>
      <c r="DM589" s="14"/>
      <c r="DN589" s="14"/>
      <c r="DO589" s="14"/>
      <c r="DP589" s="14"/>
      <c r="DQ589" s="14"/>
      <c r="DR589" s="14"/>
      <c r="DS589" s="14"/>
      <c r="DT589" s="14"/>
      <c r="DU589" s="14"/>
      <c r="DV589" s="14"/>
      <c r="DW589" s="14"/>
      <c r="DX589" s="14"/>
      <c r="DY589" s="14"/>
      <c r="DZ589" s="14"/>
      <c r="EA589" s="14"/>
      <c r="EB589" s="14"/>
    </row>
    <row r="590" spans="4:132">
      <c r="D590" s="40"/>
      <c r="E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14"/>
      <c r="BQ590" s="14"/>
      <c r="BR590" s="14"/>
      <c r="BS590" s="14"/>
      <c r="BT590" s="14"/>
      <c r="BU590" s="14"/>
      <c r="BV590" s="14"/>
      <c r="BW590" s="14"/>
      <c r="BX590" s="14"/>
      <c r="BY590" s="14"/>
      <c r="BZ590" s="14"/>
      <c r="CA590" s="14"/>
      <c r="CB590" s="14"/>
      <c r="CC590" s="14"/>
      <c r="CD590" s="14"/>
      <c r="CE590" s="14"/>
      <c r="CF590" s="14"/>
      <c r="CG590" s="14"/>
      <c r="CH590" s="14"/>
      <c r="CI590" s="14"/>
      <c r="CJ590" s="14"/>
      <c r="CK590" s="14"/>
      <c r="CL590" s="14"/>
      <c r="CM590" s="14"/>
      <c r="CN590" s="14"/>
      <c r="CO590" s="14"/>
      <c r="CP590" s="14"/>
      <c r="CQ590" s="14"/>
      <c r="CR590" s="14"/>
      <c r="CS590" s="14"/>
      <c r="CT590" s="14"/>
      <c r="CU590" s="14"/>
      <c r="CV590" s="14"/>
      <c r="CW590" s="14"/>
      <c r="CX590" s="14"/>
      <c r="CY590" s="14"/>
      <c r="CZ590" s="14"/>
      <c r="DA590" s="14"/>
      <c r="DB590" s="14"/>
      <c r="DC590" s="14"/>
      <c r="DD590" s="14"/>
      <c r="DE590" s="14"/>
      <c r="DF590" s="14"/>
      <c r="DG590" s="14"/>
      <c r="DH590" s="14"/>
      <c r="DI590" s="14"/>
      <c r="DJ590" s="14"/>
      <c r="DK590" s="14"/>
      <c r="DL590" s="14"/>
      <c r="DM590" s="14"/>
      <c r="DN590" s="14"/>
      <c r="DO590" s="14"/>
      <c r="DP590" s="14"/>
      <c r="DQ590" s="14"/>
      <c r="DR590" s="14"/>
      <c r="DS590" s="14"/>
      <c r="DT590" s="14"/>
      <c r="DU590" s="14"/>
      <c r="DV590" s="14"/>
      <c r="DW590" s="14"/>
      <c r="DX590" s="14"/>
      <c r="DY590" s="14"/>
      <c r="DZ590" s="14"/>
      <c r="EA590" s="14"/>
      <c r="EB590" s="14"/>
    </row>
    <row r="591" spans="4:132">
      <c r="D591" s="40"/>
      <c r="E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14"/>
      <c r="BQ591" s="14"/>
      <c r="BR591" s="14"/>
      <c r="BS591" s="14"/>
      <c r="BT591" s="14"/>
      <c r="BU591" s="14"/>
      <c r="BV591" s="14"/>
      <c r="BW591" s="14"/>
      <c r="BX591" s="14"/>
      <c r="BY591" s="14"/>
      <c r="BZ591" s="14"/>
      <c r="CA591" s="14"/>
      <c r="CB591" s="14"/>
      <c r="CC591" s="14"/>
      <c r="CD591" s="14"/>
      <c r="CE591" s="14"/>
      <c r="CF591" s="14"/>
      <c r="CG591" s="14"/>
      <c r="CH591" s="14"/>
      <c r="CI591" s="14"/>
      <c r="CJ591" s="14"/>
      <c r="CK591" s="14"/>
      <c r="CL591" s="14"/>
      <c r="CM591" s="14"/>
      <c r="CN591" s="14"/>
      <c r="CO591" s="14"/>
      <c r="CP591" s="14"/>
      <c r="CQ591" s="14"/>
      <c r="CR591" s="14"/>
      <c r="CS591" s="14"/>
      <c r="CT591" s="14"/>
      <c r="CU591" s="14"/>
      <c r="CV591" s="14"/>
      <c r="CW591" s="14"/>
      <c r="CX591" s="14"/>
      <c r="CY591" s="14"/>
      <c r="CZ591" s="14"/>
      <c r="DA591" s="14"/>
      <c r="DB591" s="14"/>
      <c r="DC591" s="14"/>
      <c r="DD591" s="14"/>
      <c r="DE591" s="14"/>
      <c r="DF591" s="14"/>
      <c r="DG591" s="14"/>
      <c r="DH591" s="14"/>
      <c r="DI591" s="14"/>
      <c r="DJ591" s="14"/>
      <c r="DK591" s="14"/>
      <c r="DL591" s="14"/>
      <c r="DM591" s="14"/>
      <c r="DN591" s="14"/>
      <c r="DO591" s="14"/>
      <c r="DP591" s="14"/>
      <c r="DQ591" s="14"/>
      <c r="DR591" s="14"/>
      <c r="DS591" s="14"/>
      <c r="DT591" s="14"/>
      <c r="DU591" s="14"/>
      <c r="DV591" s="14"/>
      <c r="DW591" s="14"/>
      <c r="DX591" s="14"/>
      <c r="DY591" s="14"/>
      <c r="DZ591" s="14"/>
      <c r="EA591" s="14"/>
      <c r="EB591" s="14"/>
    </row>
    <row r="592" spans="4:132">
      <c r="D592" s="40"/>
      <c r="E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14"/>
      <c r="BQ592" s="14"/>
      <c r="BR592" s="14"/>
      <c r="BS592" s="14"/>
      <c r="BT592" s="14"/>
      <c r="BU592" s="14"/>
      <c r="BV592" s="14"/>
      <c r="BW592" s="14"/>
      <c r="BX592" s="14"/>
      <c r="BY592" s="14"/>
      <c r="BZ592" s="14"/>
      <c r="CA592" s="14"/>
      <c r="CB592" s="14"/>
      <c r="CC592" s="14"/>
      <c r="CD592" s="14"/>
      <c r="CE592" s="14"/>
      <c r="CF592" s="14"/>
      <c r="CG592" s="14"/>
      <c r="CH592" s="14"/>
      <c r="CI592" s="14"/>
      <c r="CJ592" s="14"/>
      <c r="CK592" s="14"/>
      <c r="CL592" s="14"/>
      <c r="CM592" s="14"/>
      <c r="CN592" s="14"/>
      <c r="CO592" s="14"/>
      <c r="CP592" s="14"/>
      <c r="CQ592" s="14"/>
      <c r="CR592" s="14"/>
      <c r="CS592" s="14"/>
      <c r="CT592" s="14"/>
      <c r="CU592" s="14"/>
      <c r="CV592" s="14"/>
      <c r="CW592" s="14"/>
      <c r="CX592" s="14"/>
      <c r="CY592" s="14"/>
      <c r="CZ592" s="14"/>
      <c r="DA592" s="14"/>
      <c r="DB592" s="14"/>
      <c r="DC592" s="14"/>
      <c r="DD592" s="14"/>
      <c r="DE592" s="14"/>
      <c r="DF592" s="14"/>
      <c r="DG592" s="14"/>
      <c r="DH592" s="14"/>
      <c r="DI592" s="14"/>
      <c r="DJ592" s="14"/>
      <c r="DK592" s="14"/>
      <c r="DL592" s="14"/>
      <c r="DM592" s="14"/>
      <c r="DN592" s="14"/>
      <c r="DO592" s="14"/>
      <c r="DP592" s="14"/>
      <c r="DQ592" s="14"/>
      <c r="DR592" s="14"/>
      <c r="DS592" s="14"/>
      <c r="DT592" s="14"/>
      <c r="DU592" s="14"/>
      <c r="DV592" s="14"/>
      <c r="DW592" s="14"/>
      <c r="DX592" s="14"/>
      <c r="DY592" s="14"/>
      <c r="DZ592" s="14"/>
      <c r="EA592" s="14"/>
      <c r="EB592" s="14"/>
    </row>
    <row r="593" spans="4:132">
      <c r="D593" s="40"/>
      <c r="E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14"/>
      <c r="BQ593" s="14"/>
      <c r="BR593" s="14"/>
      <c r="BS593" s="14"/>
      <c r="BT593" s="14"/>
      <c r="BU593" s="14"/>
      <c r="BV593" s="14"/>
      <c r="BW593" s="14"/>
      <c r="BX593" s="14"/>
      <c r="BY593" s="14"/>
      <c r="BZ593" s="14"/>
      <c r="CA593" s="14"/>
      <c r="CB593" s="14"/>
      <c r="CC593" s="14"/>
      <c r="CD593" s="14"/>
      <c r="CE593" s="14"/>
      <c r="CF593" s="14"/>
      <c r="CG593" s="14"/>
      <c r="CH593" s="14"/>
      <c r="CI593" s="14"/>
      <c r="CJ593" s="14"/>
      <c r="CK593" s="14"/>
      <c r="CL593" s="14"/>
      <c r="CM593" s="14"/>
      <c r="CN593" s="14"/>
      <c r="CO593" s="14"/>
      <c r="CP593" s="14"/>
      <c r="CQ593" s="14"/>
      <c r="CR593" s="14"/>
      <c r="CS593" s="14"/>
      <c r="CT593" s="14"/>
      <c r="CU593" s="14"/>
      <c r="CV593" s="14"/>
      <c r="CW593" s="14"/>
      <c r="CX593" s="14"/>
      <c r="CY593" s="14"/>
      <c r="CZ593" s="14"/>
      <c r="DA593" s="14"/>
      <c r="DB593" s="14"/>
      <c r="DC593" s="14"/>
      <c r="DD593" s="14"/>
      <c r="DE593" s="14"/>
      <c r="DF593" s="14"/>
      <c r="DG593" s="14"/>
      <c r="DH593" s="14"/>
      <c r="DI593" s="14"/>
      <c r="DJ593" s="14"/>
      <c r="DK593" s="14"/>
      <c r="DL593" s="14"/>
      <c r="DM593" s="14"/>
      <c r="DN593" s="14"/>
      <c r="DO593" s="14"/>
      <c r="DP593" s="14"/>
      <c r="DQ593" s="14"/>
      <c r="DR593" s="14"/>
      <c r="DS593" s="14"/>
      <c r="DT593" s="14"/>
      <c r="DU593" s="14"/>
      <c r="DV593" s="14"/>
      <c r="DW593" s="14"/>
      <c r="DX593" s="14"/>
      <c r="DY593" s="14"/>
      <c r="DZ593" s="14"/>
      <c r="EA593" s="14"/>
      <c r="EB593" s="14"/>
    </row>
    <row r="594" spans="4:132">
      <c r="D594" s="40"/>
      <c r="E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14"/>
      <c r="BQ594" s="14"/>
      <c r="BR594" s="14"/>
      <c r="BS594" s="14"/>
      <c r="BT594" s="14"/>
      <c r="BU594" s="14"/>
      <c r="BV594" s="14"/>
      <c r="BW594" s="14"/>
      <c r="BX594" s="14"/>
      <c r="BY594" s="14"/>
      <c r="BZ594" s="14"/>
      <c r="CA594" s="14"/>
      <c r="CB594" s="14"/>
      <c r="CC594" s="14"/>
      <c r="CD594" s="14"/>
      <c r="CE594" s="14"/>
      <c r="CF594" s="14"/>
      <c r="CG594" s="14"/>
      <c r="CH594" s="14"/>
      <c r="CI594" s="14"/>
      <c r="CJ594" s="14"/>
      <c r="CK594" s="14"/>
      <c r="CL594" s="14"/>
      <c r="CM594" s="14"/>
      <c r="CN594" s="14"/>
      <c r="CO594" s="14"/>
      <c r="CP594" s="14"/>
      <c r="CQ594" s="14"/>
      <c r="CR594" s="14"/>
      <c r="CS594" s="14"/>
      <c r="CT594" s="14"/>
      <c r="CU594" s="14"/>
      <c r="CV594" s="14"/>
      <c r="CW594" s="14"/>
      <c r="CX594" s="14"/>
      <c r="CY594" s="14"/>
      <c r="CZ594" s="14"/>
      <c r="DA594" s="14"/>
      <c r="DB594" s="14"/>
      <c r="DC594" s="14"/>
      <c r="DD594" s="14"/>
      <c r="DE594" s="14"/>
      <c r="DF594" s="14"/>
      <c r="DG594" s="14"/>
      <c r="DH594" s="14"/>
      <c r="DI594" s="14"/>
      <c r="DJ594" s="14"/>
      <c r="DK594" s="14"/>
      <c r="DL594" s="14"/>
      <c r="DM594" s="14"/>
      <c r="DN594" s="14"/>
      <c r="DO594" s="14"/>
      <c r="DP594" s="14"/>
      <c r="DQ594" s="14"/>
      <c r="DR594" s="14"/>
      <c r="DS594" s="14"/>
      <c r="DT594" s="14"/>
      <c r="DU594" s="14"/>
      <c r="DV594" s="14"/>
      <c r="DW594" s="14"/>
      <c r="DX594" s="14"/>
      <c r="DY594" s="14"/>
      <c r="DZ594" s="14"/>
      <c r="EA594" s="14"/>
      <c r="EB594" s="14"/>
    </row>
    <row r="595" spans="4:132">
      <c r="D595" s="40"/>
      <c r="E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/>
      <c r="AG595" s="40"/>
      <c r="AH595" s="40"/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14"/>
      <c r="BQ595" s="14"/>
      <c r="BR595" s="14"/>
      <c r="BS595" s="14"/>
      <c r="BT595" s="14"/>
      <c r="BU595" s="14"/>
      <c r="BV595" s="14"/>
      <c r="BW595" s="14"/>
      <c r="BX595" s="14"/>
      <c r="BY595" s="14"/>
      <c r="BZ595" s="14"/>
      <c r="CA595" s="14"/>
      <c r="CB595" s="14"/>
      <c r="CC595" s="14"/>
      <c r="CD595" s="14"/>
      <c r="CE595" s="14"/>
      <c r="CF595" s="14"/>
      <c r="CG595" s="14"/>
      <c r="CH595" s="14"/>
      <c r="CI595" s="14"/>
      <c r="CJ595" s="14"/>
      <c r="CK595" s="14"/>
      <c r="CL595" s="14"/>
      <c r="CM595" s="14"/>
      <c r="CN595" s="14"/>
      <c r="CO595" s="14"/>
      <c r="CP595" s="14"/>
      <c r="CQ595" s="14"/>
      <c r="CR595" s="14"/>
      <c r="CS595" s="14"/>
      <c r="CT595" s="14"/>
      <c r="CU595" s="14"/>
      <c r="CV595" s="14"/>
      <c r="CW595" s="14"/>
      <c r="CX595" s="14"/>
      <c r="CY595" s="14"/>
      <c r="CZ595" s="14"/>
      <c r="DA595" s="14"/>
      <c r="DB595" s="14"/>
      <c r="DC595" s="14"/>
      <c r="DD595" s="14"/>
      <c r="DE595" s="14"/>
      <c r="DF595" s="14"/>
      <c r="DG595" s="14"/>
      <c r="DH595" s="14"/>
      <c r="DI595" s="14"/>
      <c r="DJ595" s="14"/>
      <c r="DK595" s="14"/>
      <c r="DL595" s="14"/>
      <c r="DM595" s="14"/>
      <c r="DN595" s="14"/>
      <c r="DO595" s="14"/>
      <c r="DP595" s="14"/>
      <c r="DQ595" s="14"/>
      <c r="DR595" s="14"/>
      <c r="DS595" s="14"/>
      <c r="DT595" s="14"/>
      <c r="DU595" s="14"/>
      <c r="DV595" s="14"/>
      <c r="DW595" s="14"/>
      <c r="DX595" s="14"/>
      <c r="DY595" s="14"/>
      <c r="DZ595" s="14"/>
      <c r="EA595" s="14"/>
      <c r="EB595" s="14"/>
    </row>
    <row r="596" spans="4:132">
      <c r="D596" s="40"/>
      <c r="E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14"/>
      <c r="BQ596" s="14"/>
      <c r="BR596" s="14"/>
      <c r="BS596" s="14"/>
      <c r="BT596" s="14"/>
      <c r="BU596" s="14"/>
      <c r="BV596" s="14"/>
      <c r="BW596" s="14"/>
      <c r="BX596" s="14"/>
      <c r="BY596" s="14"/>
      <c r="BZ596" s="14"/>
      <c r="CA596" s="14"/>
      <c r="CB596" s="14"/>
      <c r="CC596" s="14"/>
      <c r="CD596" s="14"/>
      <c r="CE596" s="14"/>
      <c r="CF596" s="14"/>
      <c r="CG596" s="14"/>
      <c r="CH596" s="14"/>
      <c r="CI596" s="14"/>
      <c r="CJ596" s="14"/>
      <c r="CK596" s="14"/>
      <c r="CL596" s="14"/>
      <c r="CM596" s="14"/>
      <c r="CN596" s="14"/>
      <c r="CO596" s="14"/>
      <c r="CP596" s="14"/>
      <c r="CQ596" s="14"/>
      <c r="CR596" s="14"/>
      <c r="CS596" s="14"/>
      <c r="CT596" s="14"/>
      <c r="CU596" s="14"/>
      <c r="CV596" s="14"/>
      <c r="CW596" s="14"/>
      <c r="CX596" s="14"/>
      <c r="CY596" s="14"/>
      <c r="CZ596" s="14"/>
      <c r="DA596" s="14"/>
      <c r="DB596" s="14"/>
      <c r="DC596" s="14"/>
      <c r="DD596" s="14"/>
      <c r="DE596" s="14"/>
      <c r="DF596" s="14"/>
      <c r="DG596" s="14"/>
      <c r="DH596" s="14"/>
      <c r="DI596" s="14"/>
      <c r="DJ596" s="14"/>
      <c r="DK596" s="14"/>
      <c r="DL596" s="14"/>
      <c r="DM596" s="14"/>
      <c r="DN596" s="14"/>
      <c r="DO596" s="14"/>
      <c r="DP596" s="14"/>
      <c r="DQ596" s="14"/>
      <c r="DR596" s="14"/>
      <c r="DS596" s="14"/>
      <c r="DT596" s="14"/>
      <c r="DU596" s="14"/>
      <c r="DV596" s="14"/>
      <c r="DW596" s="14"/>
      <c r="DX596" s="14"/>
      <c r="DY596" s="14"/>
      <c r="DZ596" s="14"/>
      <c r="EA596" s="14"/>
      <c r="EB596" s="14"/>
    </row>
    <row r="597" spans="4:132">
      <c r="D597" s="40"/>
      <c r="E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14"/>
      <c r="BQ597" s="14"/>
      <c r="BR597" s="14"/>
      <c r="BS597" s="14"/>
      <c r="BT597" s="14"/>
      <c r="BU597" s="14"/>
      <c r="BV597" s="14"/>
      <c r="BW597" s="14"/>
      <c r="BX597" s="14"/>
      <c r="BY597" s="14"/>
      <c r="BZ597" s="14"/>
      <c r="CA597" s="14"/>
      <c r="CB597" s="14"/>
      <c r="CC597" s="14"/>
      <c r="CD597" s="14"/>
      <c r="CE597" s="14"/>
      <c r="CF597" s="14"/>
      <c r="CG597" s="14"/>
      <c r="CH597" s="14"/>
      <c r="CI597" s="14"/>
      <c r="CJ597" s="14"/>
      <c r="CK597" s="14"/>
      <c r="CL597" s="14"/>
      <c r="CM597" s="14"/>
      <c r="CN597" s="14"/>
      <c r="CO597" s="14"/>
      <c r="CP597" s="14"/>
      <c r="CQ597" s="14"/>
      <c r="CR597" s="14"/>
      <c r="CS597" s="14"/>
      <c r="CT597" s="14"/>
      <c r="CU597" s="14"/>
      <c r="CV597" s="14"/>
      <c r="CW597" s="14"/>
      <c r="CX597" s="14"/>
      <c r="CY597" s="14"/>
      <c r="CZ597" s="14"/>
      <c r="DA597" s="14"/>
      <c r="DB597" s="14"/>
      <c r="DC597" s="14"/>
      <c r="DD597" s="14"/>
      <c r="DE597" s="14"/>
      <c r="DF597" s="14"/>
      <c r="DG597" s="14"/>
      <c r="DH597" s="14"/>
      <c r="DI597" s="14"/>
      <c r="DJ597" s="14"/>
      <c r="DK597" s="14"/>
      <c r="DL597" s="14"/>
      <c r="DM597" s="14"/>
      <c r="DN597" s="14"/>
      <c r="DO597" s="14"/>
      <c r="DP597" s="14"/>
      <c r="DQ597" s="14"/>
      <c r="DR597" s="14"/>
      <c r="DS597" s="14"/>
      <c r="DT597" s="14"/>
      <c r="DU597" s="14"/>
      <c r="DV597" s="14"/>
      <c r="DW597" s="14"/>
      <c r="DX597" s="14"/>
      <c r="DY597" s="14"/>
      <c r="DZ597" s="14"/>
      <c r="EA597" s="14"/>
      <c r="EB597" s="14"/>
    </row>
    <row r="598" spans="4:132">
      <c r="D598" s="40"/>
      <c r="E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14"/>
      <c r="BQ598" s="14"/>
      <c r="BR598" s="14"/>
      <c r="BS598" s="14"/>
      <c r="BT598" s="14"/>
      <c r="BU598" s="14"/>
      <c r="BV598" s="14"/>
      <c r="BW598" s="14"/>
      <c r="BX598" s="14"/>
      <c r="BY598" s="14"/>
      <c r="BZ598" s="14"/>
      <c r="CA598" s="14"/>
      <c r="CB598" s="14"/>
      <c r="CC598" s="14"/>
      <c r="CD598" s="14"/>
      <c r="CE598" s="14"/>
      <c r="CF598" s="14"/>
      <c r="CG598" s="14"/>
      <c r="CH598" s="14"/>
      <c r="CI598" s="14"/>
      <c r="CJ598" s="14"/>
      <c r="CK598" s="14"/>
      <c r="CL598" s="14"/>
      <c r="CM598" s="14"/>
      <c r="CN598" s="14"/>
      <c r="CO598" s="14"/>
      <c r="CP598" s="14"/>
      <c r="CQ598" s="14"/>
      <c r="CR598" s="14"/>
      <c r="CS598" s="14"/>
      <c r="CT598" s="14"/>
      <c r="CU598" s="14"/>
      <c r="CV598" s="14"/>
      <c r="CW598" s="14"/>
      <c r="CX598" s="14"/>
      <c r="CY598" s="14"/>
      <c r="CZ598" s="14"/>
      <c r="DA598" s="14"/>
      <c r="DB598" s="14"/>
      <c r="DC598" s="14"/>
      <c r="DD598" s="14"/>
      <c r="DE598" s="14"/>
      <c r="DF598" s="14"/>
      <c r="DG598" s="14"/>
      <c r="DH598" s="14"/>
      <c r="DI598" s="14"/>
      <c r="DJ598" s="14"/>
      <c r="DK598" s="14"/>
      <c r="DL598" s="14"/>
      <c r="DM598" s="14"/>
      <c r="DN598" s="14"/>
      <c r="DO598" s="14"/>
      <c r="DP598" s="14"/>
      <c r="DQ598" s="14"/>
      <c r="DR598" s="14"/>
      <c r="DS598" s="14"/>
      <c r="DT598" s="14"/>
      <c r="DU598" s="14"/>
      <c r="DV598" s="14"/>
      <c r="DW598" s="14"/>
      <c r="DX598" s="14"/>
      <c r="DY598" s="14"/>
      <c r="DZ598" s="14"/>
      <c r="EA598" s="14"/>
      <c r="EB598" s="14"/>
    </row>
    <row r="599" spans="4:132">
      <c r="D599" s="40"/>
      <c r="E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14"/>
      <c r="BQ599" s="14"/>
      <c r="BR599" s="14"/>
      <c r="BS599" s="14"/>
      <c r="BT599" s="14"/>
      <c r="BU599" s="14"/>
      <c r="BV599" s="14"/>
      <c r="BW599" s="14"/>
      <c r="BX599" s="14"/>
      <c r="BY599" s="14"/>
      <c r="BZ599" s="14"/>
      <c r="CA599" s="14"/>
      <c r="CB599" s="14"/>
      <c r="CC599" s="14"/>
      <c r="CD599" s="14"/>
      <c r="CE599" s="14"/>
      <c r="CF599" s="14"/>
      <c r="CG599" s="14"/>
      <c r="CH599" s="14"/>
      <c r="CI599" s="14"/>
      <c r="CJ599" s="14"/>
      <c r="CK599" s="14"/>
      <c r="CL599" s="14"/>
      <c r="CM599" s="14"/>
      <c r="CN599" s="14"/>
      <c r="CO599" s="14"/>
      <c r="CP599" s="14"/>
      <c r="CQ599" s="14"/>
      <c r="CR599" s="14"/>
      <c r="CS599" s="14"/>
      <c r="CT599" s="14"/>
      <c r="CU599" s="14"/>
      <c r="CV599" s="14"/>
      <c r="CW599" s="14"/>
      <c r="CX599" s="14"/>
      <c r="CY599" s="14"/>
      <c r="CZ599" s="14"/>
      <c r="DA599" s="14"/>
      <c r="DB599" s="14"/>
      <c r="DC599" s="14"/>
      <c r="DD599" s="14"/>
      <c r="DE599" s="14"/>
      <c r="DF599" s="14"/>
      <c r="DG599" s="14"/>
      <c r="DH599" s="14"/>
      <c r="DI599" s="14"/>
      <c r="DJ599" s="14"/>
      <c r="DK599" s="14"/>
      <c r="DL599" s="14"/>
      <c r="DM599" s="14"/>
      <c r="DN599" s="14"/>
      <c r="DO599" s="14"/>
      <c r="DP599" s="14"/>
      <c r="DQ599" s="14"/>
      <c r="DR599" s="14"/>
      <c r="DS599" s="14"/>
      <c r="DT599" s="14"/>
      <c r="DU599" s="14"/>
      <c r="DV599" s="14"/>
      <c r="DW599" s="14"/>
      <c r="DX599" s="14"/>
      <c r="DY599" s="14"/>
      <c r="DZ599" s="14"/>
      <c r="EA599" s="14"/>
      <c r="EB599" s="14"/>
    </row>
    <row r="600" spans="4:132">
      <c r="D600" s="40"/>
      <c r="E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/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14"/>
      <c r="BQ600" s="14"/>
      <c r="BR600" s="14"/>
      <c r="BS600" s="14"/>
      <c r="BT600" s="14"/>
      <c r="BU600" s="14"/>
      <c r="BV600" s="14"/>
      <c r="BW600" s="14"/>
      <c r="BX600" s="14"/>
      <c r="BY600" s="14"/>
      <c r="BZ600" s="14"/>
      <c r="CA600" s="14"/>
      <c r="CB600" s="14"/>
      <c r="CC600" s="14"/>
      <c r="CD600" s="14"/>
      <c r="CE600" s="14"/>
      <c r="CF600" s="14"/>
      <c r="CG600" s="14"/>
      <c r="CH600" s="14"/>
      <c r="CI600" s="14"/>
      <c r="CJ600" s="14"/>
      <c r="CK600" s="14"/>
      <c r="CL600" s="14"/>
      <c r="CM600" s="14"/>
      <c r="CN600" s="14"/>
      <c r="CO600" s="14"/>
      <c r="CP600" s="14"/>
      <c r="CQ600" s="14"/>
      <c r="CR600" s="14"/>
      <c r="CS600" s="14"/>
      <c r="CT600" s="14"/>
      <c r="CU600" s="14"/>
      <c r="CV600" s="14"/>
      <c r="CW600" s="14"/>
      <c r="CX600" s="14"/>
      <c r="CY600" s="14"/>
      <c r="CZ600" s="14"/>
      <c r="DA600" s="14"/>
      <c r="DB600" s="14"/>
      <c r="DC600" s="14"/>
      <c r="DD600" s="14"/>
      <c r="DE600" s="14"/>
      <c r="DF600" s="14"/>
      <c r="DG600" s="14"/>
      <c r="DH600" s="14"/>
      <c r="DI600" s="14"/>
      <c r="DJ600" s="14"/>
      <c r="DK600" s="14"/>
      <c r="DL600" s="14"/>
      <c r="DM600" s="14"/>
      <c r="DN600" s="14"/>
      <c r="DO600" s="14"/>
      <c r="DP600" s="14"/>
      <c r="DQ600" s="14"/>
      <c r="DR600" s="14"/>
      <c r="DS600" s="14"/>
      <c r="DT600" s="14"/>
      <c r="DU600" s="14"/>
      <c r="DV600" s="14"/>
      <c r="DW600" s="14"/>
      <c r="DX600" s="14"/>
      <c r="DY600" s="14"/>
      <c r="DZ600" s="14"/>
      <c r="EA600" s="14"/>
      <c r="EB600" s="14"/>
    </row>
    <row r="601" spans="4:132">
      <c r="D601" s="40"/>
      <c r="E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/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14"/>
      <c r="BQ601" s="14"/>
      <c r="BR601" s="14"/>
      <c r="BS601" s="14"/>
      <c r="BT601" s="14"/>
      <c r="BU601" s="14"/>
      <c r="BV601" s="14"/>
      <c r="BW601" s="14"/>
      <c r="BX601" s="14"/>
      <c r="BY601" s="14"/>
      <c r="BZ601" s="14"/>
      <c r="CA601" s="14"/>
      <c r="CB601" s="14"/>
      <c r="CC601" s="14"/>
      <c r="CD601" s="14"/>
      <c r="CE601" s="14"/>
      <c r="CF601" s="14"/>
      <c r="CG601" s="14"/>
      <c r="CH601" s="14"/>
      <c r="CI601" s="14"/>
      <c r="CJ601" s="14"/>
      <c r="CK601" s="14"/>
      <c r="CL601" s="14"/>
      <c r="CM601" s="14"/>
      <c r="CN601" s="14"/>
      <c r="CO601" s="14"/>
      <c r="CP601" s="14"/>
      <c r="CQ601" s="14"/>
      <c r="CR601" s="14"/>
      <c r="CS601" s="14"/>
      <c r="CT601" s="14"/>
      <c r="CU601" s="14"/>
      <c r="CV601" s="14"/>
      <c r="CW601" s="14"/>
      <c r="CX601" s="14"/>
      <c r="CY601" s="14"/>
      <c r="CZ601" s="14"/>
      <c r="DA601" s="14"/>
      <c r="DB601" s="14"/>
      <c r="DC601" s="14"/>
      <c r="DD601" s="14"/>
      <c r="DE601" s="14"/>
      <c r="DF601" s="14"/>
      <c r="DG601" s="14"/>
      <c r="DH601" s="14"/>
      <c r="DI601" s="14"/>
      <c r="DJ601" s="14"/>
      <c r="DK601" s="14"/>
      <c r="DL601" s="14"/>
      <c r="DM601" s="14"/>
      <c r="DN601" s="14"/>
      <c r="DO601" s="14"/>
      <c r="DP601" s="14"/>
      <c r="DQ601" s="14"/>
      <c r="DR601" s="14"/>
      <c r="DS601" s="14"/>
      <c r="DT601" s="14"/>
      <c r="DU601" s="14"/>
      <c r="DV601" s="14"/>
      <c r="DW601" s="14"/>
      <c r="DX601" s="14"/>
      <c r="DY601" s="14"/>
      <c r="DZ601" s="14"/>
      <c r="EA601" s="14"/>
      <c r="EB601" s="14"/>
    </row>
    <row r="602" spans="4:132">
      <c r="D602" s="40"/>
      <c r="E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/>
      <c r="BM602" s="40"/>
      <c r="BN602" s="40"/>
      <c r="BO602" s="40"/>
      <c r="BP602" s="14"/>
      <c r="BQ602" s="14"/>
      <c r="BR602" s="14"/>
      <c r="BS602" s="14"/>
      <c r="BT602" s="14"/>
      <c r="BU602" s="14"/>
      <c r="BV602" s="14"/>
      <c r="BW602" s="14"/>
      <c r="BX602" s="14"/>
      <c r="BY602" s="14"/>
      <c r="BZ602" s="14"/>
      <c r="CA602" s="14"/>
      <c r="CB602" s="14"/>
      <c r="CC602" s="14"/>
      <c r="CD602" s="14"/>
      <c r="CE602" s="14"/>
      <c r="CF602" s="14"/>
      <c r="CG602" s="14"/>
      <c r="CH602" s="14"/>
      <c r="CI602" s="14"/>
      <c r="CJ602" s="14"/>
      <c r="CK602" s="14"/>
      <c r="CL602" s="14"/>
      <c r="CM602" s="14"/>
      <c r="CN602" s="14"/>
      <c r="CO602" s="14"/>
      <c r="CP602" s="14"/>
      <c r="CQ602" s="14"/>
      <c r="CR602" s="14"/>
      <c r="CS602" s="14"/>
      <c r="CT602" s="14"/>
      <c r="CU602" s="14"/>
      <c r="CV602" s="14"/>
      <c r="CW602" s="14"/>
      <c r="CX602" s="14"/>
      <c r="CY602" s="14"/>
      <c r="CZ602" s="14"/>
      <c r="DA602" s="14"/>
      <c r="DB602" s="14"/>
      <c r="DC602" s="14"/>
      <c r="DD602" s="14"/>
      <c r="DE602" s="14"/>
      <c r="DF602" s="14"/>
      <c r="DG602" s="14"/>
      <c r="DH602" s="14"/>
      <c r="DI602" s="14"/>
      <c r="DJ602" s="14"/>
      <c r="DK602" s="14"/>
      <c r="DL602" s="14"/>
      <c r="DM602" s="14"/>
      <c r="DN602" s="14"/>
      <c r="DO602" s="14"/>
      <c r="DP602" s="14"/>
      <c r="DQ602" s="14"/>
      <c r="DR602" s="14"/>
      <c r="DS602" s="14"/>
      <c r="DT602" s="14"/>
      <c r="DU602" s="14"/>
      <c r="DV602" s="14"/>
      <c r="DW602" s="14"/>
      <c r="DX602" s="14"/>
      <c r="DY602" s="14"/>
      <c r="DZ602" s="14"/>
      <c r="EA602" s="14"/>
      <c r="EB602" s="14"/>
    </row>
    <row r="603" spans="4:132">
      <c r="D603" s="40"/>
      <c r="E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14"/>
      <c r="BQ603" s="14"/>
      <c r="BR603" s="14"/>
      <c r="BS603" s="14"/>
      <c r="BT603" s="14"/>
      <c r="BU603" s="14"/>
      <c r="BV603" s="14"/>
      <c r="BW603" s="14"/>
      <c r="BX603" s="14"/>
      <c r="BY603" s="14"/>
      <c r="BZ603" s="14"/>
      <c r="CA603" s="14"/>
      <c r="CB603" s="14"/>
      <c r="CC603" s="14"/>
      <c r="CD603" s="14"/>
      <c r="CE603" s="14"/>
      <c r="CF603" s="14"/>
      <c r="CG603" s="14"/>
      <c r="CH603" s="14"/>
      <c r="CI603" s="14"/>
      <c r="CJ603" s="14"/>
      <c r="CK603" s="14"/>
      <c r="CL603" s="14"/>
      <c r="CM603" s="14"/>
      <c r="CN603" s="14"/>
      <c r="CO603" s="14"/>
      <c r="CP603" s="14"/>
      <c r="CQ603" s="14"/>
      <c r="CR603" s="14"/>
      <c r="CS603" s="14"/>
      <c r="CT603" s="14"/>
      <c r="CU603" s="14"/>
      <c r="CV603" s="14"/>
      <c r="CW603" s="14"/>
      <c r="CX603" s="14"/>
      <c r="CY603" s="14"/>
      <c r="CZ603" s="14"/>
      <c r="DA603" s="14"/>
      <c r="DB603" s="14"/>
      <c r="DC603" s="14"/>
      <c r="DD603" s="14"/>
      <c r="DE603" s="14"/>
      <c r="DF603" s="14"/>
      <c r="DG603" s="14"/>
      <c r="DH603" s="14"/>
      <c r="DI603" s="14"/>
      <c r="DJ603" s="14"/>
      <c r="DK603" s="14"/>
      <c r="DL603" s="14"/>
      <c r="DM603" s="14"/>
      <c r="DN603" s="14"/>
      <c r="DO603" s="14"/>
      <c r="DP603" s="14"/>
      <c r="DQ603" s="14"/>
      <c r="DR603" s="14"/>
      <c r="DS603" s="14"/>
      <c r="DT603" s="14"/>
      <c r="DU603" s="14"/>
      <c r="DV603" s="14"/>
      <c r="DW603" s="14"/>
      <c r="DX603" s="14"/>
      <c r="DY603" s="14"/>
      <c r="DZ603" s="14"/>
      <c r="EA603" s="14"/>
      <c r="EB603" s="14"/>
    </row>
    <row r="604" spans="4:132"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14"/>
      <c r="BQ604" s="14"/>
      <c r="BR604" s="14"/>
      <c r="BS604" s="14"/>
      <c r="BT604" s="14"/>
      <c r="BU604" s="14"/>
      <c r="BV604" s="14"/>
      <c r="BW604" s="14"/>
      <c r="BX604" s="14"/>
      <c r="BY604" s="14"/>
      <c r="BZ604" s="14"/>
      <c r="CA604" s="14"/>
      <c r="CB604" s="14"/>
      <c r="CC604" s="14"/>
      <c r="CD604" s="14"/>
      <c r="CE604" s="14"/>
      <c r="CF604" s="14"/>
      <c r="CG604" s="14"/>
      <c r="CH604" s="14"/>
      <c r="CI604" s="14"/>
      <c r="CJ604" s="14"/>
      <c r="CK604" s="14"/>
      <c r="CL604" s="14"/>
      <c r="CM604" s="14"/>
      <c r="CN604" s="14"/>
      <c r="CO604" s="14"/>
      <c r="CP604" s="14"/>
      <c r="CQ604" s="14"/>
      <c r="CR604" s="14"/>
      <c r="CS604" s="14"/>
      <c r="CT604" s="14"/>
      <c r="CU604" s="14"/>
      <c r="CV604" s="14"/>
      <c r="CW604" s="14"/>
      <c r="CX604" s="14"/>
      <c r="CY604" s="14"/>
      <c r="CZ604" s="14"/>
      <c r="DA604" s="14"/>
      <c r="DB604" s="14"/>
      <c r="DC604" s="14"/>
      <c r="DD604" s="14"/>
      <c r="DE604" s="14"/>
      <c r="DF604" s="14"/>
      <c r="DG604" s="14"/>
      <c r="DH604" s="14"/>
      <c r="DI604" s="14"/>
      <c r="DJ604" s="14"/>
      <c r="DK604" s="14"/>
      <c r="DL604" s="14"/>
      <c r="DM604" s="14"/>
      <c r="DN604" s="14"/>
      <c r="DO604" s="14"/>
      <c r="DP604" s="14"/>
      <c r="DQ604" s="14"/>
      <c r="DR604" s="14"/>
      <c r="DS604" s="14"/>
      <c r="DT604" s="14"/>
      <c r="DU604" s="14"/>
      <c r="DV604" s="14"/>
      <c r="DW604" s="14"/>
      <c r="DX604" s="14"/>
      <c r="DY604" s="14"/>
      <c r="DZ604" s="14"/>
      <c r="EA604" s="14"/>
      <c r="EB604" s="14"/>
    </row>
    <row r="605" spans="4:132"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14"/>
      <c r="BQ605" s="14"/>
      <c r="BR605" s="14"/>
      <c r="BS605" s="14"/>
      <c r="BT605" s="14"/>
      <c r="BU605" s="14"/>
      <c r="BV605" s="14"/>
      <c r="BW605" s="14"/>
      <c r="BX605" s="14"/>
      <c r="BY605" s="14"/>
      <c r="BZ605" s="14"/>
      <c r="CA605" s="14"/>
      <c r="CB605" s="14"/>
      <c r="CC605" s="14"/>
      <c r="CD605" s="14"/>
      <c r="CE605" s="14"/>
      <c r="CF605" s="14"/>
      <c r="CG605" s="14"/>
      <c r="CH605" s="14"/>
      <c r="CI605" s="14"/>
      <c r="CJ605" s="14"/>
      <c r="CK605" s="14"/>
      <c r="CL605" s="14"/>
      <c r="CM605" s="14"/>
      <c r="CN605" s="14"/>
      <c r="CO605" s="14"/>
      <c r="CP605" s="14"/>
      <c r="CQ605" s="14"/>
      <c r="CR605" s="14"/>
      <c r="CS605" s="14"/>
      <c r="CT605" s="14"/>
      <c r="CU605" s="14"/>
      <c r="CV605" s="14"/>
      <c r="CW605" s="14"/>
      <c r="CX605" s="14"/>
      <c r="CY605" s="14"/>
      <c r="CZ605" s="14"/>
      <c r="DA605" s="14"/>
      <c r="DB605" s="14"/>
      <c r="DC605" s="14"/>
      <c r="DD605" s="14"/>
      <c r="DE605" s="14"/>
      <c r="DF605" s="14"/>
      <c r="DG605" s="14"/>
      <c r="DH605" s="14"/>
      <c r="DI605" s="14"/>
      <c r="DJ605" s="14"/>
      <c r="DK605" s="14"/>
      <c r="DL605" s="14"/>
      <c r="DM605" s="14"/>
      <c r="DN605" s="14"/>
      <c r="DO605" s="14"/>
      <c r="DP605" s="14"/>
      <c r="DQ605" s="14"/>
      <c r="DR605" s="14"/>
      <c r="DS605" s="14"/>
      <c r="DT605" s="14"/>
      <c r="DU605" s="14"/>
      <c r="DV605" s="14"/>
      <c r="DW605" s="14"/>
      <c r="DX605" s="14"/>
      <c r="DY605" s="14"/>
      <c r="DZ605" s="14"/>
      <c r="EA605" s="14"/>
      <c r="EB605" s="14"/>
    </row>
    <row r="606" spans="4:132"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14"/>
      <c r="BQ606" s="14"/>
      <c r="BR606" s="14"/>
      <c r="BS606" s="14"/>
      <c r="BT606" s="14"/>
      <c r="BU606" s="14"/>
      <c r="BV606" s="14"/>
      <c r="BW606" s="14"/>
      <c r="BX606" s="14"/>
      <c r="BY606" s="14"/>
      <c r="BZ606" s="14"/>
      <c r="CA606" s="14"/>
      <c r="CB606" s="14"/>
      <c r="CC606" s="14"/>
      <c r="CD606" s="14"/>
      <c r="CE606" s="14"/>
      <c r="CF606" s="14"/>
      <c r="CG606" s="14"/>
      <c r="CH606" s="14"/>
      <c r="CI606" s="14"/>
      <c r="CJ606" s="14"/>
      <c r="CK606" s="14"/>
      <c r="CL606" s="14"/>
      <c r="CM606" s="14"/>
      <c r="CN606" s="14"/>
      <c r="CO606" s="14"/>
      <c r="CP606" s="14"/>
      <c r="CQ606" s="14"/>
      <c r="CR606" s="14"/>
      <c r="CS606" s="14"/>
      <c r="CT606" s="14"/>
      <c r="CU606" s="14"/>
      <c r="CV606" s="14"/>
      <c r="CW606" s="14"/>
      <c r="CX606" s="14"/>
      <c r="CY606" s="14"/>
      <c r="CZ606" s="14"/>
      <c r="DA606" s="14"/>
      <c r="DB606" s="14"/>
      <c r="DC606" s="14"/>
      <c r="DD606" s="14"/>
      <c r="DE606" s="14"/>
      <c r="DF606" s="14"/>
      <c r="DG606" s="14"/>
      <c r="DH606" s="14"/>
      <c r="DI606" s="14"/>
      <c r="DJ606" s="14"/>
      <c r="DK606" s="14"/>
      <c r="DL606" s="14"/>
      <c r="DM606" s="14"/>
      <c r="DN606" s="14"/>
      <c r="DO606" s="14"/>
      <c r="DP606" s="14"/>
      <c r="DQ606" s="14"/>
      <c r="DR606" s="14"/>
      <c r="DS606" s="14"/>
      <c r="DT606" s="14"/>
      <c r="DU606" s="14"/>
      <c r="DV606" s="14"/>
      <c r="DW606" s="14"/>
      <c r="DX606" s="14"/>
      <c r="DY606" s="14"/>
      <c r="DZ606" s="14"/>
      <c r="EA606" s="14"/>
      <c r="EB606" s="14"/>
    </row>
    <row r="607" spans="4:132">
      <c r="D607" s="40"/>
      <c r="E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14"/>
      <c r="BQ607" s="14"/>
      <c r="BR607" s="14"/>
      <c r="BS607" s="14"/>
      <c r="BT607" s="14"/>
      <c r="BU607" s="14"/>
      <c r="BV607" s="14"/>
      <c r="BW607" s="14"/>
      <c r="BX607" s="14"/>
      <c r="BY607" s="14"/>
      <c r="BZ607" s="14"/>
      <c r="CA607" s="14"/>
      <c r="CB607" s="14"/>
      <c r="CC607" s="14"/>
      <c r="CD607" s="14"/>
      <c r="CE607" s="14"/>
      <c r="CF607" s="14"/>
      <c r="CG607" s="14"/>
      <c r="CH607" s="14"/>
      <c r="CI607" s="14"/>
      <c r="CJ607" s="14"/>
      <c r="CK607" s="14"/>
      <c r="CL607" s="14"/>
      <c r="CM607" s="14"/>
      <c r="CN607" s="14"/>
      <c r="CO607" s="14"/>
      <c r="CP607" s="14"/>
      <c r="CQ607" s="14"/>
      <c r="CR607" s="14"/>
      <c r="CS607" s="14"/>
      <c r="CT607" s="14"/>
      <c r="CU607" s="14"/>
      <c r="CV607" s="14"/>
      <c r="CW607" s="14"/>
      <c r="CX607" s="14"/>
      <c r="CY607" s="14"/>
      <c r="CZ607" s="14"/>
      <c r="DA607" s="14"/>
      <c r="DB607" s="14"/>
      <c r="DC607" s="14"/>
      <c r="DD607" s="14"/>
      <c r="DE607" s="14"/>
      <c r="DF607" s="14"/>
      <c r="DG607" s="14"/>
      <c r="DH607" s="14"/>
      <c r="DI607" s="14"/>
      <c r="DJ607" s="14"/>
      <c r="DK607" s="14"/>
      <c r="DL607" s="14"/>
      <c r="DM607" s="14"/>
      <c r="DN607" s="14"/>
      <c r="DO607" s="14"/>
      <c r="DP607" s="14"/>
      <c r="DQ607" s="14"/>
      <c r="DR607" s="14"/>
      <c r="DS607" s="14"/>
      <c r="DT607" s="14"/>
      <c r="DU607" s="14"/>
      <c r="DV607" s="14"/>
      <c r="DW607" s="14"/>
      <c r="DX607" s="14"/>
      <c r="DY607" s="14"/>
      <c r="DZ607" s="14"/>
      <c r="EA607" s="14"/>
      <c r="EB607" s="14"/>
    </row>
    <row r="608" spans="4:132">
      <c r="D608" s="40"/>
      <c r="E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14"/>
      <c r="BQ608" s="14"/>
      <c r="BR608" s="14"/>
      <c r="BS608" s="14"/>
      <c r="BT608" s="14"/>
      <c r="BU608" s="14"/>
      <c r="BV608" s="14"/>
      <c r="BW608" s="14"/>
      <c r="BX608" s="14"/>
      <c r="BY608" s="14"/>
      <c r="BZ608" s="14"/>
      <c r="CA608" s="14"/>
      <c r="CB608" s="14"/>
      <c r="CC608" s="14"/>
      <c r="CD608" s="14"/>
      <c r="CE608" s="14"/>
      <c r="CF608" s="14"/>
      <c r="CG608" s="14"/>
      <c r="CH608" s="14"/>
      <c r="CI608" s="14"/>
      <c r="CJ608" s="14"/>
      <c r="CK608" s="14"/>
      <c r="CL608" s="14"/>
      <c r="CM608" s="14"/>
      <c r="CN608" s="14"/>
      <c r="CO608" s="14"/>
      <c r="CP608" s="14"/>
      <c r="CQ608" s="14"/>
      <c r="CR608" s="14"/>
      <c r="CS608" s="14"/>
      <c r="CT608" s="14"/>
      <c r="CU608" s="14"/>
      <c r="CV608" s="14"/>
      <c r="CW608" s="14"/>
      <c r="CX608" s="14"/>
      <c r="CY608" s="14"/>
      <c r="CZ608" s="14"/>
      <c r="DA608" s="14"/>
      <c r="DB608" s="14"/>
      <c r="DC608" s="14"/>
      <c r="DD608" s="14"/>
      <c r="DE608" s="14"/>
      <c r="DF608" s="14"/>
      <c r="DG608" s="14"/>
      <c r="DH608" s="14"/>
      <c r="DI608" s="14"/>
      <c r="DJ608" s="14"/>
      <c r="DK608" s="14"/>
      <c r="DL608" s="14"/>
      <c r="DM608" s="14"/>
      <c r="DN608" s="14"/>
      <c r="DO608" s="14"/>
      <c r="DP608" s="14"/>
      <c r="DQ608" s="14"/>
      <c r="DR608" s="14"/>
      <c r="DS608" s="14"/>
      <c r="DT608" s="14"/>
      <c r="DU608" s="14"/>
      <c r="DV608" s="14"/>
      <c r="DW608" s="14"/>
      <c r="DX608" s="14"/>
      <c r="DY608" s="14"/>
      <c r="DZ608" s="14"/>
      <c r="EA608" s="14"/>
      <c r="EB608" s="14"/>
    </row>
    <row r="609" spans="4:132">
      <c r="D609" s="40"/>
      <c r="E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14"/>
      <c r="BQ609" s="14"/>
      <c r="BR609" s="14"/>
      <c r="BS609" s="14"/>
      <c r="BT609" s="14"/>
      <c r="BU609" s="14"/>
      <c r="BV609" s="14"/>
      <c r="BW609" s="14"/>
      <c r="BX609" s="14"/>
      <c r="BY609" s="14"/>
      <c r="BZ609" s="14"/>
      <c r="CA609" s="14"/>
      <c r="CB609" s="14"/>
      <c r="CC609" s="14"/>
      <c r="CD609" s="14"/>
      <c r="CE609" s="14"/>
      <c r="CF609" s="14"/>
      <c r="CG609" s="14"/>
      <c r="CH609" s="14"/>
      <c r="CI609" s="14"/>
      <c r="CJ609" s="14"/>
      <c r="CK609" s="14"/>
      <c r="CL609" s="14"/>
      <c r="CM609" s="14"/>
      <c r="CN609" s="14"/>
      <c r="CO609" s="14"/>
      <c r="CP609" s="14"/>
      <c r="CQ609" s="14"/>
      <c r="CR609" s="14"/>
      <c r="CS609" s="14"/>
      <c r="CT609" s="14"/>
      <c r="CU609" s="14"/>
      <c r="CV609" s="14"/>
      <c r="CW609" s="14"/>
      <c r="CX609" s="14"/>
      <c r="CY609" s="14"/>
      <c r="CZ609" s="14"/>
      <c r="DA609" s="14"/>
      <c r="DB609" s="14"/>
      <c r="DC609" s="14"/>
      <c r="DD609" s="14"/>
      <c r="DE609" s="14"/>
      <c r="DF609" s="14"/>
      <c r="DG609" s="14"/>
      <c r="DH609" s="14"/>
      <c r="DI609" s="14"/>
      <c r="DJ609" s="14"/>
      <c r="DK609" s="14"/>
      <c r="DL609" s="14"/>
      <c r="DM609" s="14"/>
      <c r="DN609" s="14"/>
      <c r="DO609" s="14"/>
      <c r="DP609" s="14"/>
      <c r="DQ609" s="14"/>
      <c r="DR609" s="14"/>
      <c r="DS609" s="14"/>
      <c r="DT609" s="14"/>
      <c r="DU609" s="14"/>
      <c r="DV609" s="14"/>
      <c r="DW609" s="14"/>
      <c r="DX609" s="14"/>
      <c r="DY609" s="14"/>
      <c r="DZ609" s="14"/>
      <c r="EA609" s="14"/>
      <c r="EB609" s="14"/>
    </row>
    <row r="610" spans="4:132">
      <c r="D610" s="40"/>
      <c r="E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14"/>
      <c r="BQ610" s="14"/>
      <c r="BR610" s="14"/>
      <c r="BS610" s="14"/>
      <c r="BT610" s="14"/>
      <c r="BU610" s="14"/>
      <c r="BV610" s="14"/>
      <c r="BW610" s="14"/>
      <c r="BX610" s="14"/>
      <c r="BY610" s="14"/>
      <c r="BZ610" s="14"/>
      <c r="CA610" s="14"/>
      <c r="CB610" s="14"/>
      <c r="CC610" s="14"/>
      <c r="CD610" s="14"/>
      <c r="CE610" s="14"/>
      <c r="CF610" s="14"/>
      <c r="CG610" s="14"/>
      <c r="CH610" s="14"/>
      <c r="CI610" s="14"/>
      <c r="CJ610" s="14"/>
      <c r="CK610" s="14"/>
      <c r="CL610" s="14"/>
      <c r="CM610" s="14"/>
      <c r="CN610" s="14"/>
      <c r="CO610" s="14"/>
      <c r="CP610" s="14"/>
      <c r="CQ610" s="14"/>
      <c r="CR610" s="14"/>
      <c r="CS610" s="14"/>
      <c r="CT610" s="14"/>
      <c r="CU610" s="14"/>
      <c r="CV610" s="14"/>
      <c r="CW610" s="14"/>
      <c r="CX610" s="14"/>
      <c r="CY610" s="14"/>
      <c r="CZ610" s="14"/>
      <c r="DA610" s="14"/>
      <c r="DB610" s="14"/>
      <c r="DC610" s="14"/>
      <c r="DD610" s="14"/>
      <c r="DE610" s="14"/>
      <c r="DF610" s="14"/>
      <c r="DG610" s="14"/>
      <c r="DH610" s="14"/>
      <c r="DI610" s="14"/>
      <c r="DJ610" s="14"/>
      <c r="DK610" s="14"/>
      <c r="DL610" s="14"/>
      <c r="DM610" s="14"/>
      <c r="DN610" s="14"/>
      <c r="DO610" s="14"/>
      <c r="DP610" s="14"/>
      <c r="DQ610" s="14"/>
      <c r="DR610" s="14"/>
      <c r="DS610" s="14"/>
      <c r="DT610" s="14"/>
      <c r="DU610" s="14"/>
      <c r="DV610" s="14"/>
      <c r="DW610" s="14"/>
      <c r="DX610" s="14"/>
      <c r="DY610" s="14"/>
      <c r="DZ610" s="14"/>
      <c r="EA610" s="14"/>
      <c r="EB610" s="14"/>
    </row>
    <row r="611" spans="4:132">
      <c r="D611" s="40"/>
      <c r="E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14"/>
      <c r="BQ611" s="14"/>
      <c r="BR611" s="14"/>
      <c r="BS611" s="14"/>
      <c r="BT611" s="14"/>
      <c r="BU611" s="14"/>
      <c r="BV611" s="14"/>
      <c r="BW611" s="14"/>
      <c r="BX611" s="14"/>
      <c r="BY611" s="14"/>
      <c r="BZ611" s="14"/>
      <c r="CA611" s="14"/>
      <c r="CB611" s="14"/>
      <c r="CC611" s="14"/>
      <c r="CD611" s="14"/>
      <c r="CE611" s="14"/>
      <c r="CF611" s="14"/>
      <c r="CG611" s="14"/>
      <c r="CH611" s="14"/>
      <c r="CI611" s="14"/>
      <c r="CJ611" s="14"/>
      <c r="CK611" s="14"/>
      <c r="CL611" s="14"/>
      <c r="CM611" s="14"/>
      <c r="CN611" s="14"/>
      <c r="CO611" s="14"/>
      <c r="CP611" s="14"/>
      <c r="CQ611" s="14"/>
      <c r="CR611" s="14"/>
      <c r="CS611" s="14"/>
      <c r="CT611" s="14"/>
      <c r="CU611" s="14"/>
      <c r="CV611" s="14"/>
      <c r="CW611" s="14"/>
      <c r="CX611" s="14"/>
      <c r="CY611" s="14"/>
      <c r="CZ611" s="14"/>
      <c r="DA611" s="14"/>
      <c r="DB611" s="14"/>
      <c r="DC611" s="14"/>
      <c r="DD611" s="14"/>
      <c r="DE611" s="14"/>
      <c r="DF611" s="14"/>
      <c r="DG611" s="14"/>
      <c r="DH611" s="14"/>
      <c r="DI611" s="14"/>
      <c r="DJ611" s="14"/>
      <c r="DK611" s="14"/>
      <c r="DL611" s="14"/>
      <c r="DM611" s="14"/>
      <c r="DN611" s="14"/>
      <c r="DO611" s="14"/>
      <c r="DP611" s="14"/>
      <c r="DQ611" s="14"/>
      <c r="DR611" s="14"/>
      <c r="DS611" s="14"/>
      <c r="DT611" s="14"/>
      <c r="DU611" s="14"/>
      <c r="DV611" s="14"/>
      <c r="DW611" s="14"/>
      <c r="DX611" s="14"/>
      <c r="DY611" s="14"/>
      <c r="DZ611" s="14"/>
      <c r="EA611" s="14"/>
      <c r="EB611" s="14"/>
    </row>
    <row r="612" spans="4:132">
      <c r="D612" s="40"/>
      <c r="E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/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14"/>
      <c r="BQ612" s="14"/>
      <c r="BR612" s="14"/>
      <c r="BS612" s="14"/>
      <c r="BT612" s="14"/>
      <c r="BU612" s="14"/>
      <c r="BV612" s="14"/>
      <c r="BW612" s="14"/>
      <c r="BX612" s="14"/>
      <c r="BY612" s="14"/>
      <c r="BZ612" s="14"/>
      <c r="CA612" s="14"/>
      <c r="CB612" s="14"/>
      <c r="CC612" s="14"/>
      <c r="CD612" s="14"/>
      <c r="CE612" s="14"/>
      <c r="CF612" s="14"/>
      <c r="CG612" s="14"/>
      <c r="CH612" s="14"/>
      <c r="CI612" s="14"/>
      <c r="CJ612" s="14"/>
      <c r="CK612" s="14"/>
      <c r="CL612" s="14"/>
      <c r="CM612" s="14"/>
      <c r="CN612" s="14"/>
      <c r="CO612" s="14"/>
      <c r="CP612" s="14"/>
      <c r="CQ612" s="14"/>
      <c r="CR612" s="14"/>
      <c r="CS612" s="14"/>
      <c r="CT612" s="14"/>
      <c r="CU612" s="14"/>
      <c r="CV612" s="14"/>
      <c r="CW612" s="14"/>
      <c r="CX612" s="14"/>
      <c r="CY612" s="14"/>
      <c r="CZ612" s="14"/>
      <c r="DA612" s="14"/>
      <c r="DB612" s="14"/>
      <c r="DC612" s="14"/>
      <c r="DD612" s="14"/>
      <c r="DE612" s="14"/>
      <c r="DF612" s="14"/>
      <c r="DG612" s="14"/>
      <c r="DH612" s="14"/>
      <c r="DI612" s="14"/>
      <c r="DJ612" s="14"/>
      <c r="DK612" s="14"/>
      <c r="DL612" s="14"/>
      <c r="DM612" s="14"/>
      <c r="DN612" s="14"/>
      <c r="DO612" s="14"/>
      <c r="DP612" s="14"/>
      <c r="DQ612" s="14"/>
      <c r="DR612" s="14"/>
      <c r="DS612" s="14"/>
      <c r="DT612" s="14"/>
      <c r="DU612" s="14"/>
      <c r="DV612" s="14"/>
      <c r="DW612" s="14"/>
      <c r="DX612" s="14"/>
      <c r="DY612" s="14"/>
      <c r="DZ612" s="14"/>
      <c r="EA612" s="14"/>
      <c r="EB612" s="14"/>
    </row>
    <row r="613" spans="4:132">
      <c r="D613" s="40"/>
      <c r="E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14"/>
      <c r="BQ613" s="14"/>
      <c r="BR613" s="14"/>
      <c r="BS613" s="14"/>
      <c r="BT613" s="14"/>
      <c r="BU613" s="14"/>
      <c r="BV613" s="14"/>
      <c r="BW613" s="14"/>
      <c r="BX613" s="14"/>
      <c r="BY613" s="14"/>
      <c r="BZ613" s="14"/>
      <c r="CA613" s="14"/>
      <c r="CB613" s="14"/>
      <c r="CC613" s="14"/>
      <c r="CD613" s="14"/>
      <c r="CE613" s="14"/>
      <c r="CF613" s="14"/>
      <c r="CG613" s="14"/>
      <c r="CH613" s="14"/>
      <c r="CI613" s="14"/>
      <c r="CJ613" s="14"/>
      <c r="CK613" s="14"/>
      <c r="CL613" s="14"/>
      <c r="CM613" s="14"/>
      <c r="CN613" s="14"/>
      <c r="CO613" s="14"/>
      <c r="CP613" s="14"/>
      <c r="CQ613" s="14"/>
      <c r="CR613" s="14"/>
      <c r="CS613" s="14"/>
      <c r="CT613" s="14"/>
      <c r="CU613" s="14"/>
      <c r="CV613" s="14"/>
      <c r="CW613" s="14"/>
      <c r="CX613" s="14"/>
      <c r="CY613" s="14"/>
      <c r="CZ613" s="14"/>
      <c r="DA613" s="14"/>
      <c r="DB613" s="14"/>
      <c r="DC613" s="14"/>
      <c r="DD613" s="14"/>
      <c r="DE613" s="14"/>
      <c r="DF613" s="14"/>
      <c r="DG613" s="14"/>
      <c r="DH613" s="14"/>
      <c r="DI613" s="14"/>
      <c r="DJ613" s="14"/>
      <c r="DK613" s="14"/>
      <c r="DL613" s="14"/>
      <c r="DM613" s="14"/>
      <c r="DN613" s="14"/>
      <c r="DO613" s="14"/>
      <c r="DP613" s="14"/>
      <c r="DQ613" s="14"/>
      <c r="DR613" s="14"/>
      <c r="DS613" s="14"/>
      <c r="DT613" s="14"/>
      <c r="DU613" s="14"/>
      <c r="DV613" s="14"/>
      <c r="DW613" s="14"/>
      <c r="DX613" s="14"/>
      <c r="DY613" s="14"/>
      <c r="DZ613" s="14"/>
      <c r="EA613" s="14"/>
      <c r="EB613" s="14"/>
    </row>
    <row r="614" spans="4:132">
      <c r="D614" s="40"/>
      <c r="E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14"/>
      <c r="BQ614" s="14"/>
      <c r="BR614" s="14"/>
      <c r="BS614" s="14"/>
      <c r="BT614" s="14"/>
      <c r="BU614" s="14"/>
      <c r="BV614" s="14"/>
      <c r="BW614" s="14"/>
      <c r="BX614" s="14"/>
      <c r="BY614" s="14"/>
      <c r="BZ614" s="14"/>
      <c r="CA614" s="14"/>
      <c r="CB614" s="14"/>
      <c r="CC614" s="14"/>
      <c r="CD614" s="14"/>
      <c r="CE614" s="14"/>
      <c r="CF614" s="14"/>
      <c r="CG614" s="14"/>
      <c r="CH614" s="14"/>
      <c r="CI614" s="14"/>
      <c r="CJ614" s="14"/>
      <c r="CK614" s="14"/>
      <c r="CL614" s="14"/>
      <c r="CM614" s="14"/>
      <c r="CN614" s="14"/>
      <c r="CO614" s="14"/>
      <c r="CP614" s="14"/>
      <c r="CQ614" s="14"/>
      <c r="CR614" s="14"/>
      <c r="CS614" s="14"/>
      <c r="CT614" s="14"/>
      <c r="CU614" s="14"/>
      <c r="CV614" s="14"/>
      <c r="CW614" s="14"/>
      <c r="CX614" s="14"/>
      <c r="CY614" s="14"/>
      <c r="CZ614" s="14"/>
      <c r="DA614" s="14"/>
      <c r="DB614" s="14"/>
      <c r="DC614" s="14"/>
      <c r="DD614" s="14"/>
      <c r="DE614" s="14"/>
      <c r="DF614" s="14"/>
      <c r="DG614" s="14"/>
      <c r="DH614" s="14"/>
      <c r="DI614" s="14"/>
      <c r="DJ614" s="14"/>
      <c r="DK614" s="14"/>
      <c r="DL614" s="14"/>
      <c r="DM614" s="14"/>
      <c r="DN614" s="14"/>
      <c r="DO614" s="14"/>
      <c r="DP614" s="14"/>
      <c r="DQ614" s="14"/>
      <c r="DR614" s="14"/>
      <c r="DS614" s="14"/>
      <c r="DT614" s="14"/>
      <c r="DU614" s="14"/>
      <c r="DV614" s="14"/>
      <c r="DW614" s="14"/>
      <c r="DX614" s="14"/>
      <c r="DY614" s="14"/>
      <c r="DZ614" s="14"/>
      <c r="EA614" s="14"/>
      <c r="EB614" s="14"/>
    </row>
    <row r="615" spans="4:132">
      <c r="D615" s="40"/>
      <c r="E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14"/>
      <c r="BQ615" s="14"/>
      <c r="BR615" s="14"/>
      <c r="BS615" s="14"/>
      <c r="BT615" s="14"/>
      <c r="BU615" s="14"/>
      <c r="BV615" s="14"/>
      <c r="BW615" s="14"/>
      <c r="BX615" s="14"/>
      <c r="BY615" s="14"/>
      <c r="BZ615" s="14"/>
      <c r="CA615" s="14"/>
      <c r="CB615" s="14"/>
      <c r="CC615" s="14"/>
      <c r="CD615" s="14"/>
      <c r="CE615" s="14"/>
      <c r="CF615" s="14"/>
      <c r="CG615" s="14"/>
      <c r="CH615" s="14"/>
      <c r="CI615" s="14"/>
      <c r="CJ615" s="14"/>
      <c r="CK615" s="14"/>
      <c r="CL615" s="14"/>
      <c r="CM615" s="14"/>
      <c r="CN615" s="14"/>
      <c r="CO615" s="14"/>
      <c r="CP615" s="14"/>
      <c r="CQ615" s="14"/>
      <c r="CR615" s="14"/>
      <c r="CS615" s="14"/>
      <c r="CT615" s="14"/>
      <c r="CU615" s="14"/>
      <c r="CV615" s="14"/>
      <c r="CW615" s="14"/>
      <c r="CX615" s="14"/>
      <c r="CY615" s="14"/>
      <c r="CZ615" s="14"/>
      <c r="DA615" s="14"/>
      <c r="DB615" s="14"/>
      <c r="DC615" s="14"/>
      <c r="DD615" s="14"/>
      <c r="DE615" s="14"/>
      <c r="DF615" s="14"/>
      <c r="DG615" s="14"/>
      <c r="DH615" s="14"/>
      <c r="DI615" s="14"/>
      <c r="DJ615" s="14"/>
      <c r="DK615" s="14"/>
      <c r="DL615" s="14"/>
      <c r="DM615" s="14"/>
      <c r="DN615" s="14"/>
      <c r="DO615" s="14"/>
      <c r="DP615" s="14"/>
      <c r="DQ615" s="14"/>
      <c r="DR615" s="14"/>
      <c r="DS615" s="14"/>
      <c r="DT615" s="14"/>
      <c r="DU615" s="14"/>
      <c r="DV615" s="14"/>
      <c r="DW615" s="14"/>
      <c r="DX615" s="14"/>
      <c r="DY615" s="14"/>
      <c r="DZ615" s="14"/>
      <c r="EA615" s="14"/>
      <c r="EB615" s="14"/>
    </row>
    <row r="616" spans="4:132">
      <c r="D616" s="40"/>
      <c r="E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14"/>
      <c r="BQ616" s="14"/>
      <c r="BR616" s="14"/>
      <c r="BS616" s="14"/>
      <c r="BT616" s="14"/>
      <c r="BU616" s="14"/>
      <c r="BV616" s="14"/>
      <c r="BW616" s="14"/>
      <c r="BX616" s="14"/>
      <c r="BY616" s="14"/>
      <c r="BZ616" s="14"/>
      <c r="CA616" s="14"/>
      <c r="CB616" s="14"/>
      <c r="CC616" s="14"/>
      <c r="CD616" s="14"/>
      <c r="CE616" s="14"/>
      <c r="CF616" s="14"/>
      <c r="CG616" s="14"/>
      <c r="CH616" s="14"/>
      <c r="CI616" s="14"/>
      <c r="CJ616" s="14"/>
      <c r="CK616" s="14"/>
      <c r="CL616" s="14"/>
      <c r="CM616" s="14"/>
      <c r="CN616" s="14"/>
      <c r="CO616" s="14"/>
      <c r="CP616" s="14"/>
      <c r="CQ616" s="14"/>
      <c r="CR616" s="14"/>
      <c r="CS616" s="14"/>
      <c r="CT616" s="14"/>
      <c r="CU616" s="14"/>
      <c r="CV616" s="14"/>
      <c r="CW616" s="14"/>
      <c r="CX616" s="14"/>
      <c r="CY616" s="14"/>
      <c r="CZ616" s="14"/>
      <c r="DA616" s="14"/>
      <c r="DB616" s="14"/>
      <c r="DC616" s="14"/>
      <c r="DD616" s="14"/>
      <c r="DE616" s="14"/>
      <c r="DF616" s="14"/>
      <c r="DG616" s="14"/>
      <c r="DH616" s="14"/>
      <c r="DI616" s="14"/>
      <c r="DJ616" s="14"/>
      <c r="DK616" s="14"/>
      <c r="DL616" s="14"/>
      <c r="DM616" s="14"/>
      <c r="DN616" s="14"/>
      <c r="DO616" s="14"/>
      <c r="DP616" s="14"/>
      <c r="DQ616" s="14"/>
      <c r="DR616" s="14"/>
      <c r="DS616" s="14"/>
      <c r="DT616" s="14"/>
      <c r="DU616" s="14"/>
      <c r="DV616" s="14"/>
      <c r="DW616" s="14"/>
      <c r="DX616" s="14"/>
      <c r="DY616" s="14"/>
      <c r="DZ616" s="14"/>
      <c r="EA616" s="14"/>
      <c r="EB616" s="14"/>
    </row>
    <row r="617" spans="4:132">
      <c r="D617" s="40"/>
      <c r="E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14"/>
      <c r="BQ617" s="14"/>
      <c r="BR617" s="14"/>
      <c r="BS617" s="14"/>
      <c r="BT617" s="14"/>
      <c r="BU617" s="14"/>
      <c r="BV617" s="14"/>
      <c r="BW617" s="14"/>
      <c r="BX617" s="14"/>
      <c r="BY617" s="14"/>
      <c r="BZ617" s="14"/>
      <c r="CA617" s="14"/>
      <c r="CB617" s="14"/>
      <c r="CC617" s="14"/>
      <c r="CD617" s="14"/>
      <c r="CE617" s="14"/>
      <c r="CF617" s="14"/>
      <c r="CG617" s="14"/>
      <c r="CH617" s="14"/>
      <c r="CI617" s="14"/>
      <c r="CJ617" s="14"/>
      <c r="CK617" s="14"/>
      <c r="CL617" s="14"/>
      <c r="CM617" s="14"/>
      <c r="CN617" s="14"/>
      <c r="CO617" s="14"/>
      <c r="CP617" s="14"/>
      <c r="CQ617" s="14"/>
      <c r="CR617" s="14"/>
      <c r="CS617" s="14"/>
      <c r="CT617" s="14"/>
      <c r="CU617" s="14"/>
      <c r="CV617" s="14"/>
      <c r="CW617" s="14"/>
      <c r="CX617" s="14"/>
      <c r="CY617" s="14"/>
      <c r="CZ617" s="14"/>
      <c r="DA617" s="14"/>
      <c r="DB617" s="14"/>
      <c r="DC617" s="14"/>
      <c r="DD617" s="14"/>
      <c r="DE617" s="14"/>
      <c r="DF617" s="14"/>
      <c r="DG617" s="14"/>
      <c r="DH617" s="14"/>
      <c r="DI617" s="14"/>
      <c r="DJ617" s="14"/>
      <c r="DK617" s="14"/>
      <c r="DL617" s="14"/>
      <c r="DM617" s="14"/>
      <c r="DN617" s="14"/>
      <c r="DO617" s="14"/>
      <c r="DP617" s="14"/>
      <c r="DQ617" s="14"/>
      <c r="DR617" s="14"/>
      <c r="DS617" s="14"/>
      <c r="DT617" s="14"/>
      <c r="DU617" s="14"/>
      <c r="DV617" s="14"/>
      <c r="DW617" s="14"/>
      <c r="DX617" s="14"/>
      <c r="DY617" s="14"/>
      <c r="DZ617" s="14"/>
      <c r="EA617" s="14"/>
      <c r="EB617" s="14"/>
    </row>
    <row r="618" spans="4:132">
      <c r="D618" s="40"/>
      <c r="E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14"/>
      <c r="BQ618" s="14"/>
      <c r="BR618" s="14"/>
      <c r="BS618" s="14"/>
      <c r="BT618" s="14"/>
      <c r="BU618" s="14"/>
      <c r="BV618" s="14"/>
      <c r="BW618" s="14"/>
      <c r="BX618" s="14"/>
      <c r="BY618" s="14"/>
      <c r="BZ618" s="14"/>
      <c r="CA618" s="14"/>
      <c r="CB618" s="14"/>
      <c r="CC618" s="14"/>
      <c r="CD618" s="14"/>
      <c r="CE618" s="14"/>
      <c r="CF618" s="14"/>
      <c r="CG618" s="14"/>
      <c r="CH618" s="14"/>
      <c r="CI618" s="14"/>
      <c r="CJ618" s="14"/>
      <c r="CK618" s="14"/>
      <c r="CL618" s="14"/>
      <c r="CM618" s="14"/>
      <c r="CN618" s="14"/>
      <c r="CO618" s="14"/>
      <c r="CP618" s="14"/>
      <c r="CQ618" s="14"/>
      <c r="CR618" s="14"/>
      <c r="CS618" s="14"/>
      <c r="CT618" s="14"/>
      <c r="CU618" s="14"/>
      <c r="CV618" s="14"/>
      <c r="CW618" s="14"/>
      <c r="CX618" s="14"/>
      <c r="CY618" s="14"/>
      <c r="CZ618" s="14"/>
      <c r="DA618" s="14"/>
      <c r="DB618" s="14"/>
      <c r="DC618" s="14"/>
      <c r="DD618" s="14"/>
      <c r="DE618" s="14"/>
      <c r="DF618" s="14"/>
      <c r="DG618" s="14"/>
      <c r="DH618" s="14"/>
      <c r="DI618" s="14"/>
      <c r="DJ618" s="14"/>
      <c r="DK618" s="14"/>
      <c r="DL618" s="14"/>
      <c r="DM618" s="14"/>
      <c r="DN618" s="14"/>
      <c r="DO618" s="14"/>
      <c r="DP618" s="14"/>
      <c r="DQ618" s="14"/>
      <c r="DR618" s="14"/>
      <c r="DS618" s="14"/>
      <c r="DT618" s="14"/>
      <c r="DU618" s="14"/>
      <c r="DV618" s="14"/>
      <c r="DW618" s="14"/>
      <c r="DX618" s="14"/>
      <c r="DY618" s="14"/>
      <c r="DZ618" s="14"/>
      <c r="EA618" s="14"/>
      <c r="EB618" s="14"/>
    </row>
    <row r="619" spans="4:132">
      <c r="D619" s="40"/>
      <c r="E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14"/>
      <c r="BQ619" s="14"/>
      <c r="BR619" s="14"/>
      <c r="BS619" s="14"/>
      <c r="BT619" s="14"/>
      <c r="BU619" s="14"/>
      <c r="BV619" s="14"/>
      <c r="BW619" s="14"/>
      <c r="BX619" s="14"/>
      <c r="BY619" s="14"/>
      <c r="BZ619" s="14"/>
      <c r="CA619" s="14"/>
      <c r="CB619" s="14"/>
      <c r="CC619" s="14"/>
      <c r="CD619" s="14"/>
      <c r="CE619" s="14"/>
      <c r="CF619" s="14"/>
      <c r="CG619" s="14"/>
      <c r="CH619" s="14"/>
      <c r="CI619" s="14"/>
      <c r="CJ619" s="14"/>
      <c r="CK619" s="14"/>
      <c r="CL619" s="14"/>
      <c r="CM619" s="14"/>
      <c r="CN619" s="14"/>
      <c r="CO619" s="14"/>
      <c r="CP619" s="14"/>
      <c r="CQ619" s="14"/>
      <c r="CR619" s="14"/>
      <c r="CS619" s="14"/>
      <c r="CT619" s="14"/>
      <c r="CU619" s="14"/>
      <c r="CV619" s="14"/>
      <c r="CW619" s="14"/>
      <c r="CX619" s="14"/>
      <c r="CY619" s="14"/>
      <c r="CZ619" s="14"/>
      <c r="DA619" s="14"/>
      <c r="DB619" s="14"/>
      <c r="DC619" s="14"/>
      <c r="DD619" s="14"/>
      <c r="DE619" s="14"/>
      <c r="DF619" s="14"/>
      <c r="DG619" s="14"/>
      <c r="DH619" s="14"/>
      <c r="DI619" s="14"/>
      <c r="DJ619" s="14"/>
      <c r="DK619" s="14"/>
      <c r="DL619" s="14"/>
      <c r="DM619" s="14"/>
      <c r="DN619" s="14"/>
      <c r="DO619" s="14"/>
      <c r="DP619" s="14"/>
      <c r="DQ619" s="14"/>
      <c r="DR619" s="14"/>
      <c r="DS619" s="14"/>
      <c r="DT619" s="14"/>
      <c r="DU619" s="14"/>
      <c r="DV619" s="14"/>
      <c r="DW619" s="14"/>
      <c r="DX619" s="14"/>
      <c r="DY619" s="14"/>
      <c r="DZ619" s="14"/>
      <c r="EA619" s="14"/>
      <c r="EB619" s="14"/>
    </row>
    <row r="620" spans="4:132">
      <c r="D620" s="40"/>
      <c r="E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14"/>
      <c r="BQ620" s="14"/>
      <c r="BR620" s="14"/>
      <c r="BS620" s="14"/>
      <c r="BT620" s="14"/>
      <c r="BU620" s="14"/>
      <c r="BV620" s="14"/>
      <c r="BW620" s="14"/>
      <c r="BX620" s="14"/>
      <c r="BY620" s="14"/>
      <c r="BZ620" s="14"/>
      <c r="CA620" s="14"/>
      <c r="CB620" s="14"/>
      <c r="CC620" s="14"/>
      <c r="CD620" s="14"/>
      <c r="CE620" s="14"/>
      <c r="CF620" s="14"/>
      <c r="CG620" s="14"/>
      <c r="CH620" s="14"/>
      <c r="CI620" s="14"/>
      <c r="CJ620" s="14"/>
      <c r="CK620" s="14"/>
      <c r="CL620" s="14"/>
      <c r="CM620" s="14"/>
      <c r="CN620" s="14"/>
      <c r="CO620" s="14"/>
      <c r="CP620" s="14"/>
      <c r="CQ620" s="14"/>
      <c r="CR620" s="14"/>
      <c r="CS620" s="14"/>
      <c r="CT620" s="14"/>
      <c r="CU620" s="14"/>
      <c r="CV620" s="14"/>
      <c r="CW620" s="14"/>
      <c r="CX620" s="14"/>
      <c r="CY620" s="14"/>
      <c r="CZ620" s="14"/>
      <c r="DA620" s="14"/>
      <c r="DB620" s="14"/>
      <c r="DC620" s="14"/>
      <c r="DD620" s="14"/>
      <c r="DE620" s="14"/>
      <c r="DF620" s="14"/>
      <c r="DG620" s="14"/>
      <c r="DH620" s="14"/>
      <c r="DI620" s="14"/>
      <c r="DJ620" s="14"/>
      <c r="DK620" s="14"/>
      <c r="DL620" s="14"/>
      <c r="DM620" s="14"/>
      <c r="DN620" s="14"/>
      <c r="DO620" s="14"/>
      <c r="DP620" s="14"/>
      <c r="DQ620" s="14"/>
      <c r="DR620" s="14"/>
      <c r="DS620" s="14"/>
      <c r="DT620" s="14"/>
      <c r="DU620" s="14"/>
      <c r="DV620" s="14"/>
      <c r="DW620" s="14"/>
      <c r="DX620" s="14"/>
      <c r="DY620" s="14"/>
      <c r="DZ620" s="14"/>
      <c r="EA620" s="14"/>
      <c r="EB620" s="14"/>
    </row>
    <row r="621" spans="4:132">
      <c r="D621" s="40"/>
      <c r="E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14"/>
      <c r="BQ621" s="14"/>
      <c r="BR621" s="14"/>
      <c r="BS621" s="14"/>
      <c r="BT621" s="14"/>
      <c r="BU621" s="14"/>
      <c r="BV621" s="14"/>
      <c r="BW621" s="14"/>
      <c r="BX621" s="14"/>
      <c r="BY621" s="14"/>
      <c r="BZ621" s="14"/>
      <c r="CA621" s="14"/>
      <c r="CB621" s="14"/>
      <c r="CC621" s="14"/>
      <c r="CD621" s="14"/>
      <c r="CE621" s="14"/>
      <c r="CF621" s="14"/>
      <c r="CG621" s="14"/>
      <c r="CH621" s="14"/>
      <c r="CI621" s="14"/>
      <c r="CJ621" s="14"/>
      <c r="CK621" s="14"/>
      <c r="CL621" s="14"/>
      <c r="CM621" s="14"/>
      <c r="CN621" s="14"/>
      <c r="CO621" s="14"/>
      <c r="CP621" s="14"/>
      <c r="CQ621" s="14"/>
      <c r="CR621" s="14"/>
      <c r="CS621" s="14"/>
      <c r="CT621" s="14"/>
      <c r="CU621" s="14"/>
      <c r="CV621" s="14"/>
      <c r="CW621" s="14"/>
      <c r="CX621" s="14"/>
      <c r="CY621" s="14"/>
      <c r="CZ621" s="14"/>
      <c r="DA621" s="14"/>
      <c r="DB621" s="14"/>
      <c r="DC621" s="14"/>
      <c r="DD621" s="14"/>
      <c r="DE621" s="14"/>
      <c r="DF621" s="14"/>
      <c r="DG621" s="14"/>
      <c r="DH621" s="14"/>
      <c r="DI621" s="14"/>
      <c r="DJ621" s="14"/>
      <c r="DK621" s="14"/>
      <c r="DL621" s="14"/>
      <c r="DM621" s="14"/>
      <c r="DN621" s="14"/>
      <c r="DO621" s="14"/>
      <c r="DP621" s="14"/>
      <c r="DQ621" s="14"/>
      <c r="DR621" s="14"/>
      <c r="DS621" s="14"/>
      <c r="DT621" s="14"/>
      <c r="DU621" s="14"/>
      <c r="DV621" s="14"/>
      <c r="DW621" s="14"/>
      <c r="DX621" s="14"/>
      <c r="DY621" s="14"/>
      <c r="DZ621" s="14"/>
      <c r="EA621" s="14"/>
      <c r="EB621" s="14"/>
    </row>
    <row r="622" spans="4:132">
      <c r="D622" s="40"/>
      <c r="E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14"/>
      <c r="BQ622" s="14"/>
      <c r="BR622" s="14"/>
      <c r="BS622" s="14"/>
      <c r="BT622" s="14"/>
      <c r="BU622" s="14"/>
      <c r="BV622" s="14"/>
      <c r="BW622" s="14"/>
      <c r="BX622" s="14"/>
      <c r="BY622" s="14"/>
      <c r="BZ622" s="14"/>
      <c r="CA622" s="14"/>
      <c r="CB622" s="14"/>
      <c r="CC622" s="14"/>
      <c r="CD622" s="14"/>
      <c r="CE622" s="14"/>
      <c r="CF622" s="14"/>
      <c r="CG622" s="14"/>
      <c r="CH622" s="14"/>
      <c r="CI622" s="14"/>
      <c r="CJ622" s="14"/>
      <c r="CK622" s="14"/>
      <c r="CL622" s="14"/>
      <c r="CM622" s="14"/>
      <c r="CN622" s="14"/>
      <c r="CO622" s="14"/>
      <c r="CP622" s="14"/>
      <c r="CQ622" s="14"/>
      <c r="CR622" s="14"/>
      <c r="CS622" s="14"/>
      <c r="CT622" s="14"/>
      <c r="CU622" s="14"/>
      <c r="CV622" s="14"/>
      <c r="CW622" s="14"/>
      <c r="CX622" s="14"/>
      <c r="CY622" s="14"/>
      <c r="CZ622" s="14"/>
      <c r="DA622" s="14"/>
      <c r="DB622" s="14"/>
      <c r="DC622" s="14"/>
      <c r="DD622" s="14"/>
      <c r="DE622" s="14"/>
      <c r="DF622" s="14"/>
      <c r="DG622" s="14"/>
      <c r="DH622" s="14"/>
      <c r="DI622" s="14"/>
      <c r="DJ622" s="14"/>
      <c r="DK622" s="14"/>
      <c r="DL622" s="14"/>
      <c r="DM622" s="14"/>
      <c r="DN622" s="14"/>
      <c r="DO622" s="14"/>
      <c r="DP622" s="14"/>
      <c r="DQ622" s="14"/>
      <c r="DR622" s="14"/>
      <c r="DS622" s="14"/>
      <c r="DT622" s="14"/>
      <c r="DU622" s="14"/>
      <c r="DV622" s="14"/>
      <c r="DW622" s="14"/>
      <c r="DX622" s="14"/>
      <c r="DY622" s="14"/>
      <c r="DZ622" s="14"/>
      <c r="EA622" s="14"/>
      <c r="EB622" s="14"/>
    </row>
  </sheetData>
  <mergeCells count="1">
    <mergeCell ref="A1:AC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2:B10"/>
  <sheetViews>
    <sheetView workbookViewId="0">
      <selection activeCell="F15" sqref="F15"/>
    </sheetView>
  </sheetViews>
  <sheetFormatPr defaultRowHeight="14.4"/>
  <cols>
    <col min="1" max="1" width="42.33203125" customWidth="1"/>
    <col min="2" max="2" width="17" customWidth="1"/>
  </cols>
  <sheetData>
    <row r="2" spans="1:2">
      <c r="A2" s="9" t="s">
        <v>24</v>
      </c>
      <c r="B2" t="s">
        <v>3</v>
      </c>
    </row>
    <row r="4" spans="1:2">
      <c r="A4" s="9" t="s">
        <v>64</v>
      </c>
      <c r="B4" t="s">
        <v>348</v>
      </c>
    </row>
    <row r="5" spans="1:2">
      <c r="A5" s="10" t="s">
        <v>178</v>
      </c>
      <c r="B5">
        <v>116</v>
      </c>
    </row>
    <row r="6" spans="1:2">
      <c r="A6" s="10" t="s">
        <v>180</v>
      </c>
      <c r="B6">
        <v>133</v>
      </c>
    </row>
    <row r="7" spans="1:2">
      <c r="A7" s="10" t="s">
        <v>181</v>
      </c>
      <c r="B7">
        <v>125</v>
      </c>
    </row>
    <row r="8" spans="1:2">
      <c r="A8" s="10" t="s">
        <v>206</v>
      </c>
      <c r="B8">
        <v>134</v>
      </c>
    </row>
    <row r="9" spans="1:2">
      <c r="A9" s="10" t="s">
        <v>262</v>
      </c>
      <c r="B9">
        <v>120</v>
      </c>
    </row>
    <row r="10" spans="1:2">
      <c r="A10" s="10" t="s">
        <v>67</v>
      </c>
      <c r="B10">
        <v>628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/>
  <dimension ref="A1:B129"/>
  <sheetViews>
    <sheetView workbookViewId="0">
      <selection activeCell="F15" sqref="F15"/>
    </sheetView>
  </sheetViews>
  <sheetFormatPr defaultRowHeight="14.4"/>
  <cols>
    <col min="1" max="1" width="50.5546875" bestFit="1" customWidth="1"/>
    <col min="2" max="2" width="17" bestFit="1" customWidth="1"/>
  </cols>
  <sheetData>
    <row r="1" spans="1:2">
      <c r="A1" s="9" t="s">
        <v>24</v>
      </c>
      <c r="B1" t="s">
        <v>349</v>
      </c>
    </row>
    <row r="3" spans="1:2">
      <c r="A3" s="9" t="s">
        <v>64</v>
      </c>
      <c r="B3" t="s">
        <v>348</v>
      </c>
    </row>
    <row r="4" spans="1:2">
      <c r="A4" s="10" t="s">
        <v>89</v>
      </c>
      <c r="B4">
        <v>137</v>
      </c>
    </row>
    <row r="5" spans="1:2">
      <c r="A5" s="10" t="s">
        <v>91</v>
      </c>
      <c r="B5">
        <v>22</v>
      </c>
    </row>
    <row r="6" spans="1:2">
      <c r="A6" s="10" t="s">
        <v>92</v>
      </c>
      <c r="B6">
        <v>2</v>
      </c>
    </row>
    <row r="7" spans="1:2">
      <c r="A7" s="10" t="s">
        <v>95</v>
      </c>
      <c r="B7">
        <v>2</v>
      </c>
    </row>
    <row r="8" spans="1:2">
      <c r="A8" s="10" t="s">
        <v>96</v>
      </c>
      <c r="B8">
        <v>2</v>
      </c>
    </row>
    <row r="9" spans="1:2">
      <c r="A9" s="10" t="s">
        <v>99</v>
      </c>
      <c r="B9">
        <v>1</v>
      </c>
    </row>
    <row r="10" spans="1:2">
      <c r="A10" s="10" t="s">
        <v>101</v>
      </c>
      <c r="B10">
        <v>60</v>
      </c>
    </row>
    <row r="11" spans="1:2">
      <c r="A11" s="10" t="s">
        <v>102</v>
      </c>
      <c r="B11">
        <v>23</v>
      </c>
    </row>
    <row r="12" spans="1:2">
      <c r="A12" s="10" t="s">
        <v>333</v>
      </c>
      <c r="B12">
        <v>1</v>
      </c>
    </row>
    <row r="13" spans="1:2">
      <c r="A13" s="10" t="s">
        <v>108</v>
      </c>
      <c r="B13">
        <v>12</v>
      </c>
    </row>
    <row r="14" spans="1:2">
      <c r="A14" s="10" t="s">
        <v>263</v>
      </c>
      <c r="B14">
        <v>16</v>
      </c>
    </row>
    <row r="15" spans="1:2">
      <c r="A15" s="10" t="s">
        <v>109</v>
      </c>
      <c r="B15">
        <v>27</v>
      </c>
    </row>
    <row r="16" spans="1:2">
      <c r="A16" s="10" t="s">
        <v>111</v>
      </c>
      <c r="B16">
        <v>2</v>
      </c>
    </row>
    <row r="17" spans="1:2">
      <c r="A17" s="10" t="s">
        <v>112</v>
      </c>
      <c r="B17">
        <v>6</v>
      </c>
    </row>
    <row r="18" spans="1:2">
      <c r="A18" s="10" t="s">
        <v>113</v>
      </c>
      <c r="B18">
        <v>6</v>
      </c>
    </row>
    <row r="19" spans="1:2">
      <c r="A19" s="10" t="s">
        <v>114</v>
      </c>
      <c r="B19">
        <v>1</v>
      </c>
    </row>
    <row r="20" spans="1:2">
      <c r="A20" s="10" t="s">
        <v>115</v>
      </c>
      <c r="B20">
        <v>1</v>
      </c>
    </row>
    <row r="21" spans="1:2">
      <c r="A21" s="10" t="s">
        <v>117</v>
      </c>
      <c r="B21">
        <v>9</v>
      </c>
    </row>
    <row r="22" spans="1:2">
      <c r="A22" s="10" t="s">
        <v>120</v>
      </c>
      <c r="B22">
        <v>25</v>
      </c>
    </row>
    <row r="23" spans="1:2">
      <c r="A23" s="10" t="s">
        <v>125</v>
      </c>
      <c r="B23">
        <v>2</v>
      </c>
    </row>
    <row r="24" spans="1:2">
      <c r="A24" s="10" t="s">
        <v>127</v>
      </c>
      <c r="B24">
        <v>2</v>
      </c>
    </row>
    <row r="25" spans="1:2">
      <c r="A25" s="10" t="s">
        <v>128</v>
      </c>
      <c r="B25">
        <v>4</v>
      </c>
    </row>
    <row r="26" spans="1:2">
      <c r="A26" s="10" t="s">
        <v>129</v>
      </c>
      <c r="B26">
        <v>1</v>
      </c>
    </row>
    <row r="27" spans="1:2">
      <c r="A27" s="10" t="s">
        <v>130</v>
      </c>
      <c r="B27">
        <v>11</v>
      </c>
    </row>
    <row r="28" spans="1:2">
      <c r="A28" s="10" t="s">
        <v>132</v>
      </c>
      <c r="B28">
        <v>4</v>
      </c>
    </row>
    <row r="29" spans="1:2">
      <c r="A29" s="10" t="s">
        <v>28</v>
      </c>
      <c r="B29">
        <v>63</v>
      </c>
    </row>
    <row r="30" spans="1:2">
      <c r="A30" s="10" t="s">
        <v>74</v>
      </c>
      <c r="B30">
        <v>33</v>
      </c>
    </row>
    <row r="31" spans="1:2">
      <c r="A31" s="10" t="s">
        <v>133</v>
      </c>
      <c r="B31">
        <v>22</v>
      </c>
    </row>
    <row r="32" spans="1:2">
      <c r="A32" s="10" t="s">
        <v>134</v>
      </c>
      <c r="B32">
        <v>4</v>
      </c>
    </row>
    <row r="33" spans="1:2">
      <c r="A33" s="10" t="s">
        <v>265</v>
      </c>
      <c r="B33">
        <v>2</v>
      </c>
    </row>
    <row r="34" spans="1:2">
      <c r="A34" s="10" t="s">
        <v>304</v>
      </c>
      <c r="B34">
        <v>4</v>
      </c>
    </row>
    <row r="35" spans="1:2">
      <c r="A35" s="10" t="s">
        <v>148</v>
      </c>
      <c r="B35">
        <v>2</v>
      </c>
    </row>
    <row r="36" spans="1:2">
      <c r="A36" s="10" t="s">
        <v>266</v>
      </c>
      <c r="B36">
        <v>10</v>
      </c>
    </row>
    <row r="37" spans="1:2">
      <c r="A37" s="10" t="s">
        <v>149</v>
      </c>
      <c r="B37">
        <v>56</v>
      </c>
    </row>
    <row r="38" spans="1:2">
      <c r="A38" s="10" t="s">
        <v>150</v>
      </c>
      <c r="B38">
        <v>105</v>
      </c>
    </row>
    <row r="39" spans="1:2">
      <c r="A39" s="10" t="s">
        <v>326</v>
      </c>
      <c r="B39">
        <v>2</v>
      </c>
    </row>
    <row r="40" spans="1:2">
      <c r="A40" s="10" t="s">
        <v>152</v>
      </c>
      <c r="B40">
        <v>8</v>
      </c>
    </row>
    <row r="41" spans="1:2">
      <c r="A41" s="10" t="s">
        <v>153</v>
      </c>
      <c r="B41">
        <v>107</v>
      </c>
    </row>
    <row r="42" spans="1:2">
      <c r="A42" s="10" t="s">
        <v>154</v>
      </c>
      <c r="B42">
        <v>92</v>
      </c>
    </row>
    <row r="43" spans="1:2">
      <c r="A43" s="10" t="s">
        <v>156</v>
      </c>
      <c r="B43">
        <v>16</v>
      </c>
    </row>
    <row r="44" spans="1:2">
      <c r="A44" s="10" t="s">
        <v>257</v>
      </c>
      <c r="B44">
        <v>210</v>
      </c>
    </row>
    <row r="45" spans="1:2">
      <c r="A45" s="10" t="s">
        <v>157</v>
      </c>
      <c r="B45">
        <v>22</v>
      </c>
    </row>
    <row r="46" spans="1:2">
      <c r="A46" s="10" t="s">
        <v>158</v>
      </c>
      <c r="B46">
        <v>140</v>
      </c>
    </row>
    <row r="47" spans="1:2">
      <c r="A47" s="10" t="s">
        <v>160</v>
      </c>
      <c r="B47">
        <v>1</v>
      </c>
    </row>
    <row r="48" spans="1:2">
      <c r="A48" s="10" t="s">
        <v>301</v>
      </c>
      <c r="B48">
        <v>8</v>
      </c>
    </row>
    <row r="49" spans="1:2">
      <c r="A49" s="10" t="s">
        <v>162</v>
      </c>
      <c r="B49">
        <v>77</v>
      </c>
    </row>
    <row r="50" spans="1:2">
      <c r="A50" s="10" t="s">
        <v>163</v>
      </c>
      <c r="B50">
        <v>10</v>
      </c>
    </row>
    <row r="51" spans="1:2">
      <c r="A51" s="10" t="s">
        <v>164</v>
      </c>
      <c r="B51">
        <v>8</v>
      </c>
    </row>
    <row r="52" spans="1:2">
      <c r="A52" s="10" t="s">
        <v>264</v>
      </c>
      <c r="B52">
        <v>53</v>
      </c>
    </row>
    <row r="53" spans="1:2">
      <c r="A53" s="10" t="s">
        <v>173</v>
      </c>
      <c r="B53">
        <v>147</v>
      </c>
    </row>
    <row r="54" spans="1:2">
      <c r="A54" s="10" t="s">
        <v>174</v>
      </c>
      <c r="B54">
        <v>2</v>
      </c>
    </row>
    <row r="55" spans="1:2">
      <c r="A55" s="10" t="s">
        <v>175</v>
      </c>
      <c r="B55">
        <v>4</v>
      </c>
    </row>
    <row r="56" spans="1:2">
      <c r="A56" s="10" t="s">
        <v>176</v>
      </c>
      <c r="B56">
        <v>1</v>
      </c>
    </row>
    <row r="57" spans="1:2">
      <c r="A57" s="10" t="s">
        <v>295</v>
      </c>
      <c r="B57">
        <v>1</v>
      </c>
    </row>
    <row r="58" spans="1:2">
      <c r="A58" s="10" t="s">
        <v>296</v>
      </c>
      <c r="B58">
        <v>81</v>
      </c>
    </row>
    <row r="59" spans="1:2">
      <c r="A59" s="10" t="s">
        <v>177</v>
      </c>
      <c r="B59">
        <v>187</v>
      </c>
    </row>
    <row r="60" spans="1:2">
      <c r="A60" s="10" t="s">
        <v>178</v>
      </c>
      <c r="B60">
        <v>228</v>
      </c>
    </row>
    <row r="61" spans="1:2">
      <c r="A61" s="10" t="s">
        <v>179</v>
      </c>
      <c r="B61">
        <v>175</v>
      </c>
    </row>
    <row r="62" spans="1:2">
      <c r="A62" s="10" t="s">
        <v>180</v>
      </c>
      <c r="B62">
        <v>247</v>
      </c>
    </row>
    <row r="63" spans="1:2">
      <c r="A63" s="10" t="s">
        <v>181</v>
      </c>
      <c r="B63">
        <v>233</v>
      </c>
    </row>
    <row r="64" spans="1:2">
      <c r="A64" s="10" t="s">
        <v>340</v>
      </c>
      <c r="B64">
        <v>12</v>
      </c>
    </row>
    <row r="65" spans="1:2">
      <c r="A65" s="10" t="s">
        <v>183</v>
      </c>
      <c r="B65">
        <v>16</v>
      </c>
    </row>
    <row r="66" spans="1:2">
      <c r="A66" s="10" t="s">
        <v>184</v>
      </c>
      <c r="B66">
        <v>10</v>
      </c>
    </row>
    <row r="67" spans="1:2">
      <c r="A67" s="10" t="s">
        <v>300</v>
      </c>
      <c r="B67">
        <v>2</v>
      </c>
    </row>
    <row r="68" spans="1:2">
      <c r="A68" s="10" t="s">
        <v>185</v>
      </c>
      <c r="B68">
        <v>76</v>
      </c>
    </row>
    <row r="69" spans="1:2">
      <c r="A69" s="10" t="s">
        <v>186</v>
      </c>
      <c r="B69">
        <v>140</v>
      </c>
    </row>
    <row r="70" spans="1:2">
      <c r="A70" s="10" t="s">
        <v>188</v>
      </c>
      <c r="B70">
        <v>6</v>
      </c>
    </row>
    <row r="71" spans="1:2">
      <c r="A71" s="10" t="s">
        <v>189</v>
      </c>
      <c r="B71">
        <v>15</v>
      </c>
    </row>
    <row r="72" spans="1:2">
      <c r="A72" s="10" t="s">
        <v>190</v>
      </c>
      <c r="B72">
        <v>29</v>
      </c>
    </row>
    <row r="73" spans="1:2">
      <c r="A73" s="10" t="s">
        <v>192</v>
      </c>
      <c r="B73">
        <v>104</v>
      </c>
    </row>
    <row r="74" spans="1:2">
      <c r="A74" s="10" t="s">
        <v>193</v>
      </c>
      <c r="B74">
        <v>18</v>
      </c>
    </row>
    <row r="75" spans="1:2">
      <c r="A75" s="10" t="s">
        <v>194</v>
      </c>
      <c r="B75">
        <v>2</v>
      </c>
    </row>
    <row r="76" spans="1:2">
      <c r="A76" s="10" t="s">
        <v>196</v>
      </c>
      <c r="B76">
        <v>2</v>
      </c>
    </row>
    <row r="77" spans="1:2">
      <c r="A77" s="10" t="s">
        <v>198</v>
      </c>
      <c r="B77">
        <v>2</v>
      </c>
    </row>
    <row r="78" spans="1:2">
      <c r="A78" s="10" t="s">
        <v>201</v>
      </c>
      <c r="B78">
        <v>14</v>
      </c>
    </row>
    <row r="79" spans="1:2">
      <c r="A79" s="10" t="s">
        <v>202</v>
      </c>
      <c r="B79">
        <v>8</v>
      </c>
    </row>
    <row r="80" spans="1:2">
      <c r="A80" s="10" t="s">
        <v>204</v>
      </c>
      <c r="B80">
        <v>2</v>
      </c>
    </row>
    <row r="81" spans="1:2">
      <c r="A81" s="10" t="s">
        <v>294</v>
      </c>
      <c r="B81">
        <v>6</v>
      </c>
    </row>
    <row r="82" spans="1:2">
      <c r="A82" s="10" t="s">
        <v>206</v>
      </c>
      <c r="B82">
        <v>276</v>
      </c>
    </row>
    <row r="83" spans="1:2">
      <c r="A83" s="10" t="s">
        <v>262</v>
      </c>
      <c r="B83">
        <v>233</v>
      </c>
    </row>
    <row r="84" spans="1:2">
      <c r="A84" s="10" t="s">
        <v>207</v>
      </c>
      <c r="B84">
        <v>6</v>
      </c>
    </row>
    <row r="85" spans="1:2">
      <c r="A85" s="10" t="s">
        <v>210</v>
      </c>
      <c r="B85">
        <v>9</v>
      </c>
    </row>
    <row r="86" spans="1:2">
      <c r="A86" s="10" t="s">
        <v>215</v>
      </c>
      <c r="B86">
        <v>4</v>
      </c>
    </row>
    <row r="87" spans="1:2">
      <c r="A87" s="10" t="s">
        <v>216</v>
      </c>
      <c r="B87">
        <v>2</v>
      </c>
    </row>
    <row r="88" spans="1:2">
      <c r="A88" s="10" t="s">
        <v>217</v>
      </c>
      <c r="B88">
        <v>60</v>
      </c>
    </row>
    <row r="89" spans="1:2">
      <c r="A89" s="10" t="s">
        <v>218</v>
      </c>
      <c r="B89">
        <v>1</v>
      </c>
    </row>
    <row r="90" spans="1:2">
      <c r="A90" s="10" t="s">
        <v>336</v>
      </c>
      <c r="B90">
        <v>5</v>
      </c>
    </row>
    <row r="91" spans="1:2">
      <c r="A91" s="10" t="s">
        <v>221</v>
      </c>
      <c r="B91">
        <v>24</v>
      </c>
    </row>
    <row r="92" spans="1:2">
      <c r="A92" s="10" t="s">
        <v>223</v>
      </c>
      <c r="B92">
        <v>2</v>
      </c>
    </row>
    <row r="93" spans="1:2">
      <c r="A93" s="10" t="s">
        <v>308</v>
      </c>
      <c r="B93">
        <v>31</v>
      </c>
    </row>
    <row r="94" spans="1:2">
      <c r="A94" s="10" t="s">
        <v>224</v>
      </c>
      <c r="B94">
        <v>4</v>
      </c>
    </row>
    <row r="95" spans="1:2">
      <c r="A95" s="10" t="s">
        <v>225</v>
      </c>
      <c r="B95">
        <v>35</v>
      </c>
    </row>
    <row r="96" spans="1:2">
      <c r="A96" s="10" t="s">
        <v>307</v>
      </c>
      <c r="B96">
        <v>33</v>
      </c>
    </row>
    <row r="97" spans="1:2">
      <c r="A97" s="10" t="s">
        <v>320</v>
      </c>
      <c r="B97">
        <v>12</v>
      </c>
    </row>
    <row r="98" spans="1:2">
      <c r="A98" s="10" t="s">
        <v>226</v>
      </c>
      <c r="B98">
        <v>1</v>
      </c>
    </row>
    <row r="99" spans="1:2">
      <c r="A99" s="10" t="s">
        <v>227</v>
      </c>
      <c r="B99">
        <v>2</v>
      </c>
    </row>
    <row r="100" spans="1:2">
      <c r="A100" s="10" t="s">
        <v>228</v>
      </c>
      <c r="B100">
        <v>2</v>
      </c>
    </row>
    <row r="101" spans="1:2">
      <c r="A101" s="10" t="s">
        <v>230</v>
      </c>
      <c r="B101">
        <v>2</v>
      </c>
    </row>
    <row r="102" spans="1:2">
      <c r="A102" s="10" t="s">
        <v>232</v>
      </c>
      <c r="B102">
        <v>2</v>
      </c>
    </row>
    <row r="103" spans="1:2">
      <c r="A103" s="10" t="s">
        <v>233</v>
      </c>
      <c r="B103">
        <v>4</v>
      </c>
    </row>
    <row r="104" spans="1:2">
      <c r="A104" s="10" t="s">
        <v>234</v>
      </c>
      <c r="B104">
        <v>4</v>
      </c>
    </row>
    <row r="105" spans="1:2">
      <c r="A105" s="10" t="s">
        <v>235</v>
      </c>
      <c r="B105">
        <v>25</v>
      </c>
    </row>
    <row r="106" spans="1:2">
      <c r="A106" s="10" t="s">
        <v>237</v>
      </c>
      <c r="B106">
        <v>79</v>
      </c>
    </row>
    <row r="107" spans="1:2">
      <c r="A107" s="10" t="s">
        <v>238</v>
      </c>
      <c r="B107">
        <v>20</v>
      </c>
    </row>
    <row r="108" spans="1:2">
      <c r="A108" s="10" t="s">
        <v>239</v>
      </c>
      <c r="B108">
        <v>15</v>
      </c>
    </row>
    <row r="109" spans="1:2">
      <c r="A109" s="10" t="s">
        <v>240</v>
      </c>
      <c r="B109">
        <v>12</v>
      </c>
    </row>
    <row r="110" spans="1:2">
      <c r="A110" s="10" t="s">
        <v>241</v>
      </c>
      <c r="B110">
        <v>9</v>
      </c>
    </row>
    <row r="111" spans="1:2">
      <c r="A111" s="10" t="s">
        <v>242</v>
      </c>
      <c r="B111">
        <v>46</v>
      </c>
    </row>
    <row r="112" spans="1:2">
      <c r="A112" s="10" t="s">
        <v>243</v>
      </c>
      <c r="B112">
        <v>2</v>
      </c>
    </row>
    <row r="113" spans="1:2">
      <c r="A113" s="10" t="s">
        <v>245</v>
      </c>
      <c r="B113">
        <v>15</v>
      </c>
    </row>
    <row r="114" spans="1:2">
      <c r="A114" s="10" t="s">
        <v>259</v>
      </c>
      <c r="B114">
        <v>12</v>
      </c>
    </row>
    <row r="115" spans="1:2">
      <c r="A115" s="10" t="s">
        <v>247</v>
      </c>
      <c r="B115">
        <v>15</v>
      </c>
    </row>
    <row r="116" spans="1:2">
      <c r="A116" s="10" t="s">
        <v>248</v>
      </c>
      <c r="B116">
        <v>11</v>
      </c>
    </row>
    <row r="117" spans="1:2">
      <c r="A117" s="10" t="s">
        <v>249</v>
      </c>
      <c r="B117">
        <v>9</v>
      </c>
    </row>
    <row r="118" spans="1:2">
      <c r="A118" s="10" t="s">
        <v>250</v>
      </c>
      <c r="B118">
        <v>39</v>
      </c>
    </row>
    <row r="119" spans="1:2">
      <c r="A119" s="10" t="s">
        <v>251</v>
      </c>
      <c r="B119">
        <v>2</v>
      </c>
    </row>
    <row r="120" spans="1:2">
      <c r="A120" s="10" t="s">
        <v>252</v>
      </c>
      <c r="B120">
        <v>2</v>
      </c>
    </row>
    <row r="121" spans="1:2">
      <c r="A121" s="10" t="s">
        <v>254</v>
      </c>
      <c r="B121">
        <v>5</v>
      </c>
    </row>
    <row r="122" spans="1:2">
      <c r="A122" s="10" t="s">
        <v>261</v>
      </c>
      <c r="B122">
        <v>11</v>
      </c>
    </row>
    <row r="123" spans="1:2">
      <c r="A123" s="10" t="s">
        <v>299</v>
      </c>
      <c r="B123">
        <v>3</v>
      </c>
    </row>
    <row r="124" spans="1:2">
      <c r="A124" s="10" t="s">
        <v>260</v>
      </c>
      <c r="B124">
        <v>2</v>
      </c>
    </row>
    <row r="125" spans="1:2">
      <c r="A125" s="10" t="s">
        <v>331</v>
      </c>
      <c r="B125">
        <v>8</v>
      </c>
    </row>
    <row r="126" spans="1:2">
      <c r="A126" s="10" t="s">
        <v>66</v>
      </c>
    </row>
    <row r="127" spans="1:2">
      <c r="A127" s="10" t="s">
        <v>319</v>
      </c>
      <c r="B127">
        <v>2</v>
      </c>
    </row>
    <row r="128" spans="1:2">
      <c r="A128" s="10" t="s">
        <v>131</v>
      </c>
      <c r="B128">
        <v>2</v>
      </c>
    </row>
    <row r="129" spans="1:2">
      <c r="A129" s="10" t="s">
        <v>67</v>
      </c>
      <c r="B129">
        <v>4304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/>
  <dimension ref="A3:B7"/>
  <sheetViews>
    <sheetView workbookViewId="0">
      <selection activeCell="F15" sqref="F15"/>
    </sheetView>
  </sheetViews>
  <sheetFormatPr defaultRowHeight="14.4"/>
  <cols>
    <col min="1" max="1" width="18" bestFit="1" customWidth="1"/>
    <col min="2" max="2" width="17" bestFit="1" customWidth="1"/>
  </cols>
  <sheetData>
    <row r="3" spans="1:2">
      <c r="A3" s="9" t="s">
        <v>64</v>
      </c>
      <c r="B3" t="s">
        <v>348</v>
      </c>
    </row>
    <row r="4" spans="1:2">
      <c r="A4" s="10" t="s">
        <v>1</v>
      </c>
      <c r="B4" s="46">
        <v>0.47444237918215615</v>
      </c>
    </row>
    <row r="5" spans="1:2">
      <c r="A5" s="10" t="s">
        <v>3</v>
      </c>
      <c r="B5" s="46">
        <v>0.52555762081784385</v>
      </c>
    </row>
    <row r="6" spans="1:2">
      <c r="A6" s="10" t="s">
        <v>66</v>
      </c>
      <c r="B6" s="46">
        <v>0</v>
      </c>
    </row>
    <row r="7" spans="1:2">
      <c r="A7" s="10" t="s">
        <v>67</v>
      </c>
      <c r="B7" s="46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1"/>
  <dimension ref="A3:B9"/>
  <sheetViews>
    <sheetView workbookViewId="0">
      <selection activeCell="E21" sqref="E21"/>
    </sheetView>
  </sheetViews>
  <sheetFormatPr defaultRowHeight="14.4"/>
  <cols>
    <col min="1" max="1" width="20.33203125" customWidth="1"/>
    <col min="2" max="2" width="17" bestFit="1" customWidth="1"/>
  </cols>
  <sheetData>
    <row r="3" spans="1:2">
      <c r="A3" s="9" t="s">
        <v>64</v>
      </c>
      <c r="B3" t="s">
        <v>348</v>
      </c>
    </row>
    <row r="4" spans="1:2">
      <c r="A4" s="10" t="s">
        <v>50</v>
      </c>
      <c r="B4">
        <v>136</v>
      </c>
    </row>
    <row r="5" spans="1:2">
      <c r="A5" s="10" t="s">
        <v>63</v>
      </c>
      <c r="B5">
        <v>178</v>
      </c>
    </row>
    <row r="6" spans="1:2">
      <c r="A6" s="10" t="s">
        <v>269</v>
      </c>
      <c r="B6">
        <v>217</v>
      </c>
    </row>
    <row r="7" spans="1:2">
      <c r="A7" s="10" t="s">
        <v>272</v>
      </c>
      <c r="B7">
        <v>227</v>
      </c>
    </row>
    <row r="8" spans="1:2">
      <c r="A8" s="10" t="s">
        <v>279</v>
      </c>
      <c r="B8">
        <v>153</v>
      </c>
    </row>
    <row r="9" spans="1:2">
      <c r="A9" s="10" t="s">
        <v>67</v>
      </c>
      <c r="B9">
        <v>911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>
    <tabColor rgb="FF44546A"/>
  </sheetPr>
  <dimension ref="A1:XFD1048576"/>
  <sheetViews>
    <sheetView showGridLines="0" topLeftCell="B1" zoomScale="50" zoomScaleNormal="50" zoomScaleSheetLayoutView="50" workbookViewId="0">
      <selection activeCell="E4" sqref="E4:G4"/>
    </sheetView>
  </sheetViews>
  <sheetFormatPr defaultColWidth="0" defaultRowHeight="14.4" zeroHeight="1"/>
  <cols>
    <col min="1" max="1" width="7.5546875" hidden="1" customWidth="1"/>
    <col min="2" max="2" width="14.6640625" style="14" customWidth="1"/>
    <col min="3" max="3" width="4" style="12" customWidth="1"/>
    <col min="4" max="4" width="30.6640625" style="12" bestFit="1" customWidth="1"/>
    <col min="5" max="5" width="10.44140625" style="12" customWidth="1"/>
    <col min="6" max="6" width="9.109375" style="12" hidden="1" customWidth="1"/>
    <col min="7" max="7" width="9.109375" style="12" customWidth="1"/>
    <col min="8" max="8" width="14" style="12" customWidth="1"/>
    <col min="9" max="10" width="9.109375" style="12" customWidth="1"/>
    <col min="11" max="11" width="2.5546875" style="12" customWidth="1"/>
    <col min="12" max="12" width="31.5546875" style="12" bestFit="1" customWidth="1"/>
    <col min="13" max="13" width="20.33203125" style="12" customWidth="1"/>
    <col min="14" max="14" width="28.33203125" style="12" customWidth="1"/>
    <col min="15" max="15" width="12.88671875" style="12" customWidth="1"/>
    <col min="16" max="16" width="19.44140625" style="12" bestFit="1" customWidth="1"/>
    <col min="17" max="17" width="19.5546875" style="12" bestFit="1" customWidth="1"/>
    <col min="18" max="18" width="7.88671875" style="12" customWidth="1"/>
    <col min="19" max="19" width="14.44140625" style="14" customWidth="1"/>
    <col min="20" max="20" width="8" customWidth="1"/>
    <col min="21" max="21" width="9.109375" hidden="1" customWidth="1"/>
    <col min="22" max="22" width="13.6640625" hidden="1" customWidth="1"/>
    <col min="23" max="23" width="18" hidden="1" customWidth="1"/>
    <col min="24" max="26" width="9.109375" style="12" hidden="1" customWidth="1"/>
    <col min="27" max="27" width="8.44140625" hidden="1" customWidth="1"/>
    <col min="28" max="16383" width="9.109375" style="12" hidden="1"/>
    <col min="16384" max="16384" width="3.33203125" style="13" customWidth="1"/>
  </cols>
  <sheetData>
    <row r="1" spans="1:27 16384:16384" s="11" customFormat="1" ht="63.75" customHeight="1">
      <c r="A1"/>
      <c r="B1" s="14"/>
      <c r="C1" s="80" t="s">
        <v>0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14"/>
      <c r="T1"/>
      <c r="U1" t="s">
        <v>1</v>
      </c>
      <c r="V1"/>
      <c r="W1" t="s">
        <v>2</v>
      </c>
      <c r="AA1" t="s">
        <v>84</v>
      </c>
      <c r="XFD1" s="13"/>
    </row>
    <row r="2" spans="1:27 16384:16384" s="11" customFormat="1" ht="18">
      <c r="A2"/>
      <c r="B2" s="14"/>
      <c r="C2" s="25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5"/>
      <c r="P2" s="25"/>
      <c r="Q2" s="25"/>
      <c r="R2" s="25"/>
      <c r="S2" s="14"/>
      <c r="T2"/>
      <c r="U2" t="s">
        <v>3</v>
      </c>
      <c r="V2"/>
      <c r="W2" t="s">
        <v>4</v>
      </c>
      <c r="AA2" t="s">
        <v>88</v>
      </c>
      <c r="XFD2" s="13"/>
    </row>
    <row r="3" spans="1:27 16384:16384" s="11" customFormat="1" ht="21">
      <c r="A3"/>
      <c r="B3" s="14"/>
      <c r="C3" s="25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8"/>
      <c r="S3" s="16"/>
      <c r="T3"/>
      <c r="U3"/>
      <c r="V3"/>
      <c r="W3"/>
      <c r="AA3" t="s">
        <v>85</v>
      </c>
      <c r="XFD3" s="13"/>
    </row>
    <row r="4" spans="1:27 16384:16384" s="11" customFormat="1" ht="20.25" customHeight="1">
      <c r="A4"/>
      <c r="B4" s="14"/>
      <c r="C4" s="29"/>
      <c r="D4" s="30" t="s">
        <v>371</v>
      </c>
      <c r="E4" s="86"/>
      <c r="F4" s="87"/>
      <c r="G4" s="87"/>
      <c r="H4" s="39"/>
      <c r="I4" s="82" t="str">
        <f>IFERROR(VLOOKUP($E$4,'BD COLABORADORES'!A:E,5,FALSE),"NÃO ENCONTRADO")</f>
        <v>NÃO ENCONTRADO</v>
      </c>
      <c r="J4" s="82"/>
      <c r="K4" s="82"/>
      <c r="L4" s="82"/>
      <c r="M4" s="82"/>
      <c r="N4" s="82"/>
      <c r="O4" s="31"/>
      <c r="P4" s="31" t="s">
        <v>5</v>
      </c>
      <c r="Q4" s="76" t="str">
        <f>IFERROR(VLOOKUP($E$4,'BD COLABORADORES'!A:E,7,FALSE),"")</f>
        <v/>
      </c>
      <c r="R4" s="32"/>
      <c r="S4" s="16"/>
      <c r="T4"/>
      <c r="U4"/>
      <c r="V4"/>
      <c r="W4"/>
      <c r="AA4"/>
      <c r="XFD4" s="13"/>
    </row>
    <row r="5" spans="1:27 16384:16384" s="11" customFormat="1" ht="24.75" customHeight="1">
      <c r="A5"/>
      <c r="B5" s="14"/>
      <c r="C5" s="29"/>
      <c r="D5" s="30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2"/>
      <c r="S5" s="16"/>
      <c r="T5"/>
      <c r="U5"/>
      <c r="V5"/>
      <c r="W5"/>
      <c r="AA5"/>
      <c r="XFD5" s="13"/>
    </row>
    <row r="6" spans="1:27 16384:16384" s="11" customFormat="1" ht="18.75" customHeight="1">
      <c r="A6"/>
      <c r="B6" s="14"/>
      <c r="C6" s="29"/>
      <c r="D6" s="30" t="s">
        <v>6</v>
      </c>
      <c r="E6" s="82" t="str">
        <f>IFERROR(VLOOKUP($E$4,'BD COLABORADORES'!A:E,2,FALSE),"")</f>
        <v/>
      </c>
      <c r="F6" s="82"/>
      <c r="G6" s="82"/>
      <c r="H6" s="31"/>
      <c r="I6" s="31"/>
      <c r="J6" s="31"/>
      <c r="K6" s="31"/>
      <c r="L6" s="31"/>
      <c r="M6" s="31"/>
      <c r="N6" s="31"/>
      <c r="O6" s="31"/>
      <c r="P6" s="31"/>
      <c r="Q6" s="31"/>
      <c r="R6" s="32"/>
      <c r="S6" s="16"/>
      <c r="T6"/>
      <c r="U6" t="s">
        <v>80</v>
      </c>
      <c r="V6"/>
      <c r="W6"/>
      <c r="AA6"/>
      <c r="XFD6" s="13"/>
    </row>
    <row r="7" spans="1:27 16384:16384" s="11" customFormat="1" ht="24.75" customHeight="1">
      <c r="A7"/>
      <c r="B7" s="14"/>
      <c r="C7" s="29"/>
      <c r="D7" s="30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2"/>
      <c r="S7" s="16"/>
      <c r="T7"/>
      <c r="U7" t="s">
        <v>81</v>
      </c>
      <c r="V7"/>
      <c r="W7"/>
      <c r="AA7"/>
      <c r="XFD7" s="13"/>
    </row>
    <row r="8" spans="1:27 16384:16384" s="11" customFormat="1" ht="21" customHeight="1">
      <c r="A8"/>
      <c r="B8" s="14"/>
      <c r="C8" s="29"/>
      <c r="D8" s="30" t="s">
        <v>7</v>
      </c>
      <c r="E8" s="84"/>
      <c r="F8" s="84"/>
      <c r="G8" s="84"/>
      <c r="H8" s="84"/>
      <c r="I8" s="31"/>
      <c r="J8" s="31"/>
      <c r="K8" s="31"/>
      <c r="L8" s="31" t="s">
        <v>8</v>
      </c>
      <c r="M8" s="82" t="str">
        <f>IFERROR(VLOOKUP(PAINEL!E8,'BD MOVIMENTAÇÃO'!A:G,3,FALSE),"NÃO ENCONTRADO")</f>
        <v>NÃO ENCONTRADO</v>
      </c>
      <c r="N8" s="82"/>
      <c r="O8" s="31"/>
      <c r="P8" s="33" t="s">
        <v>9</v>
      </c>
      <c r="Q8" s="77"/>
      <c r="R8" s="32"/>
      <c r="S8" s="16"/>
      <c r="T8"/>
      <c r="U8" t="s">
        <v>82</v>
      </c>
      <c r="V8"/>
      <c r="W8"/>
      <c r="AA8"/>
      <c r="XFD8" s="13"/>
    </row>
    <row r="9" spans="1:27 16384:16384" s="11" customFormat="1" ht="18" customHeight="1">
      <c r="A9"/>
      <c r="B9" s="14"/>
      <c r="C9" s="29"/>
      <c r="D9" s="31"/>
      <c r="E9" s="31"/>
      <c r="F9" s="31"/>
      <c r="G9" s="31"/>
      <c r="H9" s="31" t="s">
        <v>342</v>
      </c>
      <c r="I9" s="31"/>
      <c r="J9" s="31"/>
      <c r="K9" s="31"/>
      <c r="L9" s="31"/>
      <c r="M9" s="31"/>
      <c r="N9" s="31"/>
      <c r="O9" s="31"/>
      <c r="P9" s="31"/>
      <c r="Q9" s="36"/>
      <c r="R9" s="32"/>
      <c r="S9" s="16"/>
      <c r="T9"/>
      <c r="U9"/>
      <c r="V9"/>
      <c r="W9"/>
      <c r="AA9"/>
      <c r="XFD9" s="13"/>
    </row>
    <row r="10" spans="1:27 16384:16384" s="11" customFormat="1" ht="20.25" customHeight="1">
      <c r="A10"/>
      <c r="B10" s="14"/>
      <c r="C10" s="29"/>
      <c r="D10" s="30" t="s">
        <v>10</v>
      </c>
      <c r="E10" s="81"/>
      <c r="F10" s="81"/>
      <c r="G10" s="81"/>
      <c r="H10" s="31"/>
      <c r="I10" s="31"/>
      <c r="J10" s="31"/>
      <c r="K10" s="31"/>
      <c r="L10" s="31" t="s">
        <v>22</v>
      </c>
      <c r="M10" s="81"/>
      <c r="N10" s="81"/>
      <c r="O10" s="31"/>
      <c r="P10" s="33" t="s">
        <v>11</v>
      </c>
      <c r="Q10" s="74"/>
      <c r="R10" s="32"/>
      <c r="S10" s="16"/>
      <c r="T10"/>
      <c r="U10"/>
      <c r="V10"/>
      <c r="W10"/>
      <c r="AA10"/>
      <c r="XFD10" s="13"/>
    </row>
    <row r="11" spans="1:27 16384:16384" s="11" customFormat="1" ht="15.75" customHeight="1">
      <c r="A11"/>
      <c r="B11" s="14"/>
      <c r="C11" s="29"/>
      <c r="D11" s="30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8"/>
      <c r="R11" s="32"/>
      <c r="S11" s="16"/>
      <c r="T11"/>
      <c r="U11"/>
      <c r="V11"/>
      <c r="W11"/>
      <c r="AA11"/>
      <c r="XFD11" s="13"/>
    </row>
    <row r="12" spans="1:27 16384:16384" s="11" customFormat="1" ht="15.75" customHeight="1">
      <c r="A12"/>
      <c r="B12" s="14"/>
      <c r="C12" s="29"/>
      <c r="D12" s="30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4"/>
      <c r="S12" s="16"/>
      <c r="T12"/>
      <c r="U12"/>
      <c r="V12"/>
      <c r="W12"/>
      <c r="AA12"/>
      <c r="XFD12" s="13"/>
    </row>
    <row r="13" spans="1:27 16384:16384" s="11" customFormat="1" ht="23.4">
      <c r="A13"/>
      <c r="B13" s="14"/>
      <c r="C13" s="29"/>
      <c r="D13" s="30" t="s">
        <v>12</v>
      </c>
      <c r="E13" s="85"/>
      <c r="F13" s="85"/>
      <c r="G13" s="85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4"/>
      <c r="S13" s="16"/>
      <c r="T13"/>
      <c r="U13"/>
      <c r="V13"/>
      <c r="W13"/>
      <c r="AA13"/>
      <c r="XFD13" s="13"/>
    </row>
    <row r="14" spans="1:27 16384:16384" s="11" customFormat="1" ht="23.4">
      <c r="A14"/>
      <c r="B14" s="14"/>
      <c r="C14" s="25"/>
      <c r="D14" s="30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4"/>
      <c r="S14" s="16"/>
      <c r="T14"/>
      <c r="U14"/>
      <c r="V14"/>
      <c r="W14"/>
      <c r="AA14"/>
      <c r="XFD14" s="13"/>
    </row>
    <row r="15" spans="1:27 16384:16384" s="11" customFormat="1" ht="23.4">
      <c r="A15"/>
      <c r="B15" s="14"/>
      <c r="C15" s="25"/>
      <c r="D15" s="30" t="s">
        <v>13</v>
      </c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31"/>
      <c r="P15" s="31"/>
      <c r="Q15" s="31"/>
      <c r="R15" s="34"/>
      <c r="S15" s="16"/>
      <c r="T15"/>
      <c r="U15"/>
      <c r="V15"/>
      <c r="W15"/>
      <c r="AA15"/>
      <c r="XFD15" s="13"/>
    </row>
    <row r="16" spans="1:27 16384:16384" s="11" customFormat="1" ht="23.4">
      <c r="A16"/>
      <c r="B16" s="14"/>
      <c r="C16" s="25"/>
      <c r="D16" s="35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4"/>
      <c r="S16" s="16"/>
      <c r="T16"/>
      <c r="U16"/>
      <c r="V16"/>
      <c r="W16"/>
      <c r="AA16"/>
      <c r="XFD16" s="13"/>
    </row>
    <row r="17" spans="1:27 16384:16384" s="11" customFormat="1" ht="23.4">
      <c r="A17"/>
      <c r="B17" s="14"/>
      <c r="C17" s="25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4"/>
      <c r="S17" s="16"/>
      <c r="T17" s="75"/>
      <c r="U17"/>
      <c r="V17"/>
      <c r="W17"/>
      <c r="AA17"/>
      <c r="XFD17" s="13"/>
    </row>
    <row r="18" spans="1:27 16384:16384" s="11" customFormat="1" ht="23.4">
      <c r="A18"/>
      <c r="B18" s="14"/>
      <c r="C18" s="25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4"/>
      <c r="S18" s="16"/>
      <c r="T18"/>
      <c r="U18"/>
      <c r="V18"/>
      <c r="W18"/>
      <c r="AA18"/>
      <c r="XFD18" s="13"/>
    </row>
    <row r="19" spans="1:27 16384:16384" s="11" customFormat="1" ht="23.4">
      <c r="A19"/>
      <c r="B19" s="14"/>
      <c r="C19" s="25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4"/>
      <c r="S19" s="14"/>
      <c r="T19"/>
      <c r="U19"/>
      <c r="V19"/>
      <c r="W19"/>
      <c r="AA19"/>
      <c r="XFD19" s="13"/>
    </row>
    <row r="20" spans="1:27 16384:16384" s="11" customFormat="1" ht="21">
      <c r="A20"/>
      <c r="B20" s="14"/>
      <c r="C20" s="25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8"/>
      <c r="S20" s="14"/>
      <c r="T20"/>
      <c r="U20"/>
      <c r="V20"/>
      <c r="W20"/>
      <c r="AA20"/>
      <c r="XFD20" s="13"/>
    </row>
    <row r="21" spans="1:27 16384:16384" s="14" customFormat="1" ht="110.25" hidden="1" customHeight="1"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</row>
    <row r="22" spans="1:27 16384:16384" customFormat="1" hidden="1">
      <c r="B22" s="14"/>
      <c r="S22" s="14"/>
    </row>
    <row r="23" spans="1:27 16384:16384" customFormat="1" hidden="1">
      <c r="B23" s="14"/>
      <c r="S23" s="14"/>
    </row>
    <row r="24" spans="1:27 16384:16384" customFormat="1" hidden="1">
      <c r="B24" s="14"/>
      <c r="S24" s="14"/>
    </row>
    <row r="25" spans="1:27 16384:16384" customFormat="1" hidden="1">
      <c r="B25" s="14"/>
      <c r="S25" s="14"/>
    </row>
    <row r="26" spans="1:27 16384:16384" customFormat="1" hidden="1">
      <c r="B26" s="14"/>
      <c r="S26" s="14"/>
    </row>
    <row r="27" spans="1:27 16384:16384" customFormat="1" hidden="1">
      <c r="B27" s="14"/>
      <c r="S27" s="14"/>
    </row>
    <row r="28" spans="1:27 16384:16384" customFormat="1" hidden="1">
      <c r="B28" s="14"/>
      <c r="S28" s="14"/>
    </row>
    <row r="29" spans="1:27 16384:16384" customFormat="1" hidden="1">
      <c r="B29" s="14"/>
      <c r="S29" s="14"/>
    </row>
    <row r="30" spans="1:27 16384:16384" customFormat="1" hidden="1">
      <c r="B30" s="14"/>
      <c r="S30" s="14"/>
    </row>
    <row r="31" spans="1:27 16384:16384" customFormat="1" hidden="1">
      <c r="B31" s="14"/>
      <c r="S31" s="14"/>
    </row>
    <row r="32" spans="1:27 16384:16384" customFormat="1" hidden="1">
      <c r="B32" s="14"/>
      <c r="S32" s="14"/>
    </row>
    <row r="33" spans="2:19" customFormat="1" hidden="1">
      <c r="B33" s="14"/>
      <c r="S33" s="14"/>
    </row>
    <row r="34" spans="2:19" customFormat="1" hidden="1">
      <c r="B34" s="14"/>
      <c r="S34" s="14"/>
    </row>
    <row r="35" spans="2:19" customFormat="1" hidden="1">
      <c r="B35" s="14"/>
      <c r="S35" s="14"/>
    </row>
    <row r="36" spans="2:19" customFormat="1" hidden="1">
      <c r="B36" s="14"/>
      <c r="S36" s="14"/>
    </row>
    <row r="37" spans="2:19" customFormat="1" hidden="1">
      <c r="B37" s="14"/>
      <c r="S37" s="14"/>
    </row>
    <row r="38" spans="2:19" customFormat="1" hidden="1">
      <c r="B38" s="14"/>
      <c r="S38" s="14"/>
    </row>
    <row r="39" spans="2:19" customFormat="1" hidden="1">
      <c r="B39" s="14"/>
      <c r="S39" s="14"/>
    </row>
    <row r="40" spans="2:19" customFormat="1" ht="21.75" hidden="1" customHeight="1">
      <c r="B40" s="14"/>
      <c r="S40" s="14"/>
    </row>
    <row r="41" spans="2:19" customFormat="1" hidden="1">
      <c r="B41" s="14"/>
      <c r="S41" s="14"/>
    </row>
    <row r="42" spans="2:19" customFormat="1" hidden="1">
      <c r="B42" s="14"/>
      <c r="S42" s="14"/>
    </row>
    <row r="43" spans="2:19" customFormat="1" hidden="1">
      <c r="B43" s="14"/>
      <c r="S43" s="14"/>
    </row>
    <row r="44" spans="2:19" customFormat="1" hidden="1">
      <c r="B44" s="14"/>
      <c r="S44" s="14"/>
    </row>
    <row r="45" spans="2:19" customFormat="1" hidden="1">
      <c r="B45" s="14"/>
      <c r="S45" s="14"/>
    </row>
    <row r="46" spans="2:19" customFormat="1" hidden="1">
      <c r="B46" s="14"/>
      <c r="S46" s="14"/>
    </row>
    <row r="47" spans="2:19" customFormat="1" hidden="1">
      <c r="B47" s="14"/>
      <c r="S47" s="14"/>
    </row>
    <row r="48" spans="2:19" customFormat="1" hidden="1">
      <c r="B48" s="14"/>
      <c r="S48" s="14"/>
    </row>
    <row r="49" spans="2:19" customFormat="1" hidden="1">
      <c r="B49" s="14"/>
      <c r="S49" s="14"/>
    </row>
    <row r="50" spans="2:19" customFormat="1" hidden="1">
      <c r="B50" s="14"/>
      <c r="S50" s="14"/>
    </row>
    <row r="51" spans="2:19" customFormat="1" hidden="1">
      <c r="B51" s="14"/>
      <c r="S51" s="14"/>
    </row>
    <row r="52" spans="2:19" customFormat="1" hidden="1">
      <c r="B52" s="14"/>
      <c r="S52" s="14"/>
    </row>
    <row r="53" spans="2:19" customFormat="1" hidden="1">
      <c r="B53" s="14"/>
      <c r="S53" s="14"/>
    </row>
    <row r="1048551" ht="255.75" hidden="1" customHeight="1"/>
    <row r="1048552" ht="250.5" hidden="1" customHeight="1"/>
    <row r="1048553" ht="276.75" hidden="1" customHeight="1"/>
    <row r="1048554" ht="276.75" hidden="1" customHeight="1"/>
    <row r="1048555" ht="276.75" hidden="1" customHeight="1"/>
    <row r="1048556" ht="204.75" hidden="1" customHeight="1"/>
    <row r="1048557" ht="276.75" hidden="1" customHeight="1"/>
    <row r="1048558" ht="228" hidden="1" customHeight="1"/>
    <row r="1048559" ht="233.25" hidden="1" customHeight="1"/>
    <row r="1048560" ht="245.25" hidden="1" customHeight="1"/>
    <row r="1048561" spans="1:27" ht="139.5" hidden="1" customHeight="1"/>
    <row r="1048562" spans="1:27" ht="145.5" hidden="1" customHeight="1"/>
    <row r="1048563" spans="1:27" ht="143.25" hidden="1" customHeight="1"/>
    <row r="1048564" spans="1:27" ht="117.75" hidden="1" customHeight="1"/>
    <row r="1048565" spans="1:27" ht="117" hidden="1" customHeight="1"/>
    <row r="1048566" spans="1:27" ht="81.75" hidden="1" customHeight="1"/>
    <row r="1048567" spans="1:27" ht="108" hidden="1" customHeight="1"/>
    <row r="1048568" spans="1:27" ht="231" hidden="1" customHeight="1"/>
    <row r="1048569" spans="1:27" ht="161.25" hidden="1" customHeight="1"/>
    <row r="1048570" spans="1:27" ht="206.25" hidden="1" customHeight="1"/>
    <row r="1048571" spans="1:27" ht="167.25" hidden="1" customHeight="1"/>
    <row r="1048572" spans="1:27" ht="108" hidden="1" customHeight="1"/>
    <row r="1048574" spans="1:27" ht="99.75" hidden="1" customHeight="1"/>
    <row r="1048575" spans="1:27" ht="75" hidden="1" customHeight="1"/>
    <row r="1048576" spans="1:27" s="13" customFormat="1" ht="18" customHeight="1">
      <c r="A1048576"/>
      <c r="B1048576" s="14"/>
      <c r="C1048576" s="14"/>
      <c r="D1048576" s="14"/>
      <c r="E1048576" s="14"/>
      <c r="F1048576" s="14"/>
      <c r="G1048576" s="14"/>
      <c r="H1048576" s="14"/>
      <c r="I1048576" s="14"/>
      <c r="J1048576" s="14"/>
      <c r="K1048576" s="14"/>
      <c r="L1048576" s="14"/>
      <c r="M1048576" s="14"/>
      <c r="N1048576" s="14"/>
      <c r="O1048576" s="14"/>
      <c r="P1048576" s="14"/>
      <c r="Q1048576" s="14"/>
      <c r="R1048576" s="14"/>
      <c r="S1048576" s="14"/>
      <c r="T1048576"/>
      <c r="U1048576"/>
      <c r="V1048576"/>
      <c r="W1048576"/>
      <c r="AA1048576"/>
    </row>
  </sheetData>
  <sheetProtection algorithmName="SHA-512" hashValue="3je967kZUziDGNB5JHvkKLSJmxH8Rbk8IEP5NIuGBMkg7iOhKXy/b2/w7YWoHq6Gqi2b1jA09koigrj4f4RP7Q==" saltValue="WuDNGPOk0G7LRy616+sYxw==" spinCount="100000" sheet="1" selectLockedCells="1"/>
  <protectedRanges>
    <protectedRange sqref="M8 I4:I5" name="Intervalo1"/>
  </protectedRanges>
  <dataConsolidate function="varp"/>
  <mergeCells count="10">
    <mergeCell ref="C1:R1"/>
    <mergeCell ref="M10:N10"/>
    <mergeCell ref="I4:N4"/>
    <mergeCell ref="E15:N15"/>
    <mergeCell ref="M8:N8"/>
    <mergeCell ref="E10:G10"/>
    <mergeCell ref="E8:H8"/>
    <mergeCell ref="E13:G13"/>
    <mergeCell ref="E6:G6"/>
    <mergeCell ref="E4:G4"/>
  </mergeCells>
  <conditionalFormatting sqref="I4:N4">
    <cfRule type="cellIs" dxfId="2245" priority="17" operator="equal">
      <formula>"NÃO ENCONTRADO"</formula>
    </cfRule>
  </conditionalFormatting>
  <conditionalFormatting sqref="E6">
    <cfRule type="cellIs" dxfId="2244" priority="16" operator="equal">
      <formula>"NÃO ENCONTRADO"</formula>
    </cfRule>
  </conditionalFormatting>
  <conditionalFormatting sqref="M8:N8">
    <cfRule type="cellIs" dxfId="2243" priority="14" operator="equal">
      <formula>"NÃO ENCONTRADO"</formula>
    </cfRule>
    <cfRule type="cellIs" dxfId="2242" priority="15" operator="equal">
      <formula>"NÃO ENCONTRADO"</formula>
    </cfRule>
  </conditionalFormatting>
  <conditionalFormatting sqref="E13">
    <cfRule type="cellIs" dxfId="2241" priority="12" operator="equal">
      <formula>"SAIDA"</formula>
    </cfRule>
    <cfRule type="cellIs" dxfId="2240" priority="13" operator="equal">
      <formula>"ENTRADA"</formula>
    </cfRule>
  </conditionalFormatting>
  <conditionalFormatting sqref="E10:G10">
    <cfRule type="cellIs" dxfId="2239" priority="10" operator="equal">
      <formula>"NÃO REALIZADO"</formula>
    </cfRule>
    <cfRule type="cellIs" dxfId="2238" priority="11" operator="equal">
      <formula>"REALIZADO"</formula>
    </cfRule>
  </conditionalFormatting>
  <conditionalFormatting sqref="Q10">
    <cfRule type="duplicateValues" dxfId="2237" priority="3"/>
  </conditionalFormatting>
  <dataValidations count="3">
    <dataValidation type="list" allowBlank="1" showInputMessage="1" showErrorMessage="1" sqref="E13" xr:uid="{00000000-0002-0000-0500-000000000000}">
      <formula1>$U$1:$U$2</formula1>
    </dataValidation>
    <dataValidation type="list" allowBlank="1" showInputMessage="1" showErrorMessage="1" sqref="E10:G10" xr:uid="{00000000-0002-0000-0500-000001000000}">
      <formula1>$W$1:$W$2</formula1>
    </dataValidation>
    <dataValidation type="list" allowBlank="1" showInputMessage="1" showErrorMessage="1" sqref="E15:N15" xr:uid="{00000000-0002-0000-0500-000002000000}">
      <formula1>$U$6:$U$8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3000000}">
          <x14:formula1>
            <xm:f>'BD DASH'!$P$9:$P$15</xm:f>
          </x14:formula1>
          <xm:sqref>M10:N10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>
    <tabColor theme="2" tint="-0.499984740745262"/>
  </sheetPr>
  <dimension ref="A1:X7013"/>
  <sheetViews>
    <sheetView tabSelected="1" zoomScale="70" zoomScaleNormal="70" zoomScaleSheetLayoutView="90" workbookViewId="0">
      <selection activeCell="A9" sqref="A9"/>
    </sheetView>
  </sheetViews>
  <sheetFormatPr defaultColWidth="255.5546875" defaultRowHeight="13.8"/>
  <cols>
    <col min="1" max="1" width="19.6640625" style="49" customWidth="1"/>
    <col min="2" max="2" width="45" style="69" customWidth="1"/>
    <col min="3" max="3" width="15.88671875" style="69" bestFit="1" customWidth="1"/>
    <col min="4" max="4" width="14.44140625" style="69" bestFit="1" customWidth="1"/>
    <col min="5" max="5" width="27.44140625" style="69" bestFit="1" customWidth="1"/>
    <col min="6" max="6" width="58.5546875" style="69" bestFit="1" customWidth="1"/>
    <col min="7" max="7" width="13" style="69" bestFit="1" customWidth="1"/>
    <col min="8" max="8" width="21.6640625" style="69" bestFit="1" customWidth="1"/>
    <col min="9" max="9" width="31.5546875" style="69" bestFit="1" customWidth="1"/>
    <col min="10" max="10" width="13.44140625" style="70" bestFit="1" customWidth="1"/>
    <col min="11" max="11" width="24.5546875" style="69" bestFit="1" customWidth="1"/>
    <col min="12" max="12" width="61.44140625" style="69" bestFit="1" customWidth="1"/>
    <col min="13" max="16384" width="255.5546875" style="49"/>
  </cols>
  <sheetData>
    <row r="1" spans="1:12" ht="15.6">
      <c r="A1" s="47" t="s">
        <v>371</v>
      </c>
      <c r="B1" s="47" t="s">
        <v>15</v>
      </c>
      <c r="C1" s="47" t="s">
        <v>16</v>
      </c>
      <c r="D1" s="47" t="s">
        <v>17</v>
      </c>
      <c r="E1" s="47" t="s">
        <v>18</v>
      </c>
      <c r="F1" s="47" t="s">
        <v>19</v>
      </c>
      <c r="G1" s="47" t="s">
        <v>20</v>
      </c>
      <c r="H1" s="47" t="s">
        <v>21</v>
      </c>
      <c r="I1" s="47" t="s">
        <v>22</v>
      </c>
      <c r="J1" s="48" t="s">
        <v>23</v>
      </c>
      <c r="K1" s="47" t="s">
        <v>24</v>
      </c>
      <c r="L1" s="47" t="s">
        <v>13</v>
      </c>
    </row>
    <row r="2" spans="1:12">
      <c r="A2" s="49">
        <v>1234</v>
      </c>
      <c r="B2" s="50" t="s">
        <v>386</v>
      </c>
      <c r="C2" s="50" t="s">
        <v>62</v>
      </c>
      <c r="D2" s="50" t="s">
        <v>27</v>
      </c>
      <c r="E2" s="50">
        <v>50036280</v>
      </c>
      <c r="F2" s="50" t="s">
        <v>152</v>
      </c>
      <c r="G2" s="50">
        <v>1</v>
      </c>
      <c r="H2" s="50" t="s">
        <v>2</v>
      </c>
      <c r="I2" s="50" t="s">
        <v>292</v>
      </c>
      <c r="J2" s="51">
        <v>46065</v>
      </c>
      <c r="K2" s="50" t="s">
        <v>1</v>
      </c>
      <c r="L2" s="50" t="s">
        <v>80</v>
      </c>
    </row>
    <row r="3" spans="1:12">
      <c r="A3" s="49">
        <v>1235</v>
      </c>
      <c r="B3" s="50" t="e">
        <v>#N/A</v>
      </c>
      <c r="C3" s="50"/>
      <c r="D3" s="50"/>
      <c r="E3" s="50"/>
      <c r="F3" s="50"/>
      <c r="G3" s="50"/>
      <c r="H3" s="50"/>
      <c r="I3" s="50"/>
      <c r="J3" s="51"/>
      <c r="K3" s="50"/>
      <c r="L3" s="50"/>
    </row>
    <row r="4" spans="1:12">
      <c r="A4" s="49">
        <v>1236</v>
      </c>
      <c r="B4" s="50" t="s">
        <v>385</v>
      </c>
      <c r="C4" s="50" t="s">
        <v>56</v>
      </c>
      <c r="D4" s="50" t="s">
        <v>41</v>
      </c>
      <c r="E4" s="50">
        <v>50038854</v>
      </c>
      <c r="F4" s="50" t="s">
        <v>101</v>
      </c>
      <c r="G4" s="50">
        <v>1</v>
      </c>
      <c r="H4" s="50" t="s">
        <v>2</v>
      </c>
      <c r="I4" s="50" t="s">
        <v>289</v>
      </c>
      <c r="J4" s="51">
        <v>46119</v>
      </c>
      <c r="K4" s="50" t="s">
        <v>1</v>
      </c>
      <c r="L4" s="50"/>
    </row>
    <row r="5" spans="1:12">
      <c r="A5" s="49">
        <v>1237</v>
      </c>
      <c r="B5" s="50" t="s">
        <v>399</v>
      </c>
      <c r="C5" s="50" t="s">
        <v>51</v>
      </c>
      <c r="D5" s="50" t="s">
        <v>27</v>
      </c>
      <c r="E5" s="50">
        <v>50046617</v>
      </c>
      <c r="F5" s="50" t="s">
        <v>365</v>
      </c>
      <c r="G5" s="50">
        <v>1</v>
      </c>
      <c r="H5" s="50" t="s">
        <v>2</v>
      </c>
      <c r="I5" s="50" t="s">
        <v>293</v>
      </c>
      <c r="J5" s="51">
        <v>46119</v>
      </c>
      <c r="K5" s="50" t="s">
        <v>1</v>
      </c>
      <c r="L5" s="50" t="s">
        <v>80</v>
      </c>
    </row>
    <row r="6" spans="1:12">
      <c r="A6" s="49">
        <v>1238</v>
      </c>
      <c r="B6" s="50" t="s">
        <v>345</v>
      </c>
      <c r="C6" s="50" t="s">
        <v>62</v>
      </c>
      <c r="D6" s="50" t="s">
        <v>27</v>
      </c>
      <c r="E6" s="50">
        <v>50038841</v>
      </c>
      <c r="F6" s="50" t="s">
        <v>180</v>
      </c>
      <c r="G6" s="50">
        <v>1</v>
      </c>
      <c r="H6" s="50" t="s">
        <v>2</v>
      </c>
      <c r="I6" s="50" t="s">
        <v>293</v>
      </c>
      <c r="J6" s="51">
        <v>46119</v>
      </c>
      <c r="K6" s="50" t="s">
        <v>1</v>
      </c>
      <c r="L6" s="50" t="s">
        <v>80</v>
      </c>
    </row>
    <row r="7" spans="1:12">
      <c r="B7" s="50" t="s">
        <v>43</v>
      </c>
      <c r="C7" s="50" t="s">
        <v>51</v>
      </c>
      <c r="D7" s="50" t="s">
        <v>27</v>
      </c>
      <c r="E7" s="50">
        <v>50001740</v>
      </c>
      <c r="F7" s="50" t="s">
        <v>294</v>
      </c>
      <c r="G7" s="50">
        <v>1</v>
      </c>
      <c r="H7" s="50" t="s">
        <v>2</v>
      </c>
      <c r="I7" s="50" t="s">
        <v>293</v>
      </c>
      <c r="J7" s="51">
        <v>46119</v>
      </c>
      <c r="K7" s="50" t="s">
        <v>1</v>
      </c>
      <c r="L7" s="50" t="s">
        <v>80</v>
      </c>
    </row>
    <row r="8" spans="1:12">
      <c r="B8" s="50" t="s">
        <v>345</v>
      </c>
      <c r="C8" s="50" t="s">
        <v>62</v>
      </c>
      <c r="D8" s="50" t="s">
        <v>27</v>
      </c>
      <c r="E8" s="50">
        <v>50041195</v>
      </c>
      <c r="F8" s="50" t="s">
        <v>206</v>
      </c>
      <c r="G8" s="50">
        <v>1</v>
      </c>
      <c r="H8" s="50" t="s">
        <v>2</v>
      </c>
      <c r="I8" s="50" t="s">
        <v>293</v>
      </c>
      <c r="J8" s="51">
        <v>46119</v>
      </c>
      <c r="K8" s="50" t="s">
        <v>1</v>
      </c>
      <c r="L8" s="50" t="s">
        <v>80</v>
      </c>
    </row>
    <row r="9" spans="1:12">
      <c r="B9" s="50" t="s">
        <v>277</v>
      </c>
      <c r="C9" s="50" t="s">
        <v>62</v>
      </c>
      <c r="D9" s="50" t="s">
        <v>27</v>
      </c>
      <c r="E9" s="50">
        <v>50043471</v>
      </c>
      <c r="F9" s="50" t="s">
        <v>257</v>
      </c>
      <c r="G9" s="50">
        <v>1</v>
      </c>
      <c r="H9" s="50" t="s">
        <v>2</v>
      </c>
      <c r="I9" s="50" t="s">
        <v>292</v>
      </c>
      <c r="J9" s="51">
        <v>46119</v>
      </c>
      <c r="K9" s="50" t="s">
        <v>1</v>
      </c>
      <c r="L9" s="50" t="s">
        <v>80</v>
      </c>
    </row>
    <row r="10" spans="1:12">
      <c r="B10" s="50" t="s">
        <v>474</v>
      </c>
      <c r="C10" s="50" t="s">
        <v>51</v>
      </c>
      <c r="D10" s="50" t="s">
        <v>27</v>
      </c>
      <c r="E10" s="50">
        <v>50003297</v>
      </c>
      <c r="F10" s="50" t="s">
        <v>158</v>
      </c>
      <c r="G10" s="50">
        <v>1</v>
      </c>
      <c r="H10" s="50" t="s">
        <v>2</v>
      </c>
      <c r="I10" s="50" t="s">
        <v>292</v>
      </c>
      <c r="J10" s="51">
        <v>46119</v>
      </c>
      <c r="K10" s="50" t="s">
        <v>1</v>
      </c>
      <c r="L10" s="50" t="s">
        <v>80</v>
      </c>
    </row>
    <row r="11" spans="1:12">
      <c r="B11" s="50" t="s">
        <v>345</v>
      </c>
      <c r="C11" s="50" t="s">
        <v>62</v>
      </c>
      <c r="D11" s="50" t="s">
        <v>27</v>
      </c>
      <c r="E11" s="50">
        <v>50038841</v>
      </c>
      <c r="F11" s="50" t="s">
        <v>180</v>
      </c>
      <c r="G11" s="50">
        <v>1</v>
      </c>
      <c r="H11" s="50" t="s">
        <v>2</v>
      </c>
      <c r="I11" s="50" t="s">
        <v>293</v>
      </c>
      <c r="J11" s="51">
        <v>46119</v>
      </c>
      <c r="K11" s="50" t="s">
        <v>3</v>
      </c>
      <c r="L11" s="50" t="s">
        <v>80</v>
      </c>
    </row>
    <row r="12" spans="1:12">
      <c r="B12" s="50" t="s">
        <v>461</v>
      </c>
      <c r="C12" s="50" t="s">
        <v>26</v>
      </c>
      <c r="D12" s="50" t="s">
        <v>39</v>
      </c>
      <c r="E12" s="50">
        <v>50001995</v>
      </c>
      <c r="F12" s="50" t="s">
        <v>185</v>
      </c>
      <c r="G12" s="50">
        <v>1</v>
      </c>
      <c r="H12" s="50" t="s">
        <v>2</v>
      </c>
      <c r="I12" s="50" t="s">
        <v>293</v>
      </c>
      <c r="J12" s="51">
        <v>46119</v>
      </c>
      <c r="K12" s="50" t="s">
        <v>1</v>
      </c>
      <c r="L12" s="50" t="s">
        <v>80</v>
      </c>
    </row>
    <row r="13" spans="1:12">
      <c r="B13" s="50" t="s">
        <v>463</v>
      </c>
      <c r="C13" s="50" t="s">
        <v>56</v>
      </c>
      <c r="D13" s="50" t="s">
        <v>27</v>
      </c>
      <c r="E13" s="50">
        <v>50038549</v>
      </c>
      <c r="F13" s="50" t="s">
        <v>173</v>
      </c>
      <c r="G13" s="50">
        <v>1</v>
      </c>
      <c r="H13" s="50" t="s">
        <v>2</v>
      </c>
      <c r="I13" s="50" t="s">
        <v>293</v>
      </c>
      <c r="J13" s="51">
        <v>46119</v>
      </c>
      <c r="K13" s="50" t="s">
        <v>1</v>
      </c>
      <c r="L13" s="50" t="s">
        <v>80</v>
      </c>
    </row>
    <row r="14" spans="1:12">
      <c r="B14" s="50" t="s">
        <v>461</v>
      </c>
      <c r="C14" s="50" t="s">
        <v>26</v>
      </c>
      <c r="D14" s="50" t="s">
        <v>39</v>
      </c>
      <c r="E14" s="50">
        <v>50038517</v>
      </c>
      <c r="F14" s="50" t="s">
        <v>181</v>
      </c>
      <c r="G14" s="50">
        <v>1</v>
      </c>
      <c r="H14" s="50" t="s">
        <v>2</v>
      </c>
      <c r="I14" s="50" t="s">
        <v>293</v>
      </c>
      <c r="J14" s="51">
        <v>46119</v>
      </c>
      <c r="K14" s="50" t="s">
        <v>1</v>
      </c>
      <c r="L14" s="50" t="s">
        <v>80</v>
      </c>
    </row>
    <row r="15" spans="1:12">
      <c r="B15" s="50" t="s">
        <v>399</v>
      </c>
      <c r="C15" s="50" t="s">
        <v>51</v>
      </c>
      <c r="D15" s="50" t="s">
        <v>27</v>
      </c>
      <c r="E15" s="50">
        <v>50046617</v>
      </c>
      <c r="F15" s="50" t="s">
        <v>365</v>
      </c>
      <c r="G15" s="50">
        <v>1</v>
      </c>
      <c r="H15" s="50" t="s">
        <v>2</v>
      </c>
      <c r="I15" s="50" t="s">
        <v>293</v>
      </c>
      <c r="J15" s="51">
        <v>46119</v>
      </c>
      <c r="K15" s="50" t="s">
        <v>3</v>
      </c>
      <c r="L15" s="50" t="s">
        <v>80</v>
      </c>
    </row>
    <row r="16" spans="1:12">
      <c r="B16" s="50" t="s">
        <v>458</v>
      </c>
      <c r="C16" s="50" t="s">
        <v>26</v>
      </c>
      <c r="D16" s="50" t="s">
        <v>27</v>
      </c>
      <c r="E16" s="50">
        <v>50046617</v>
      </c>
      <c r="F16" s="50" t="s">
        <v>365</v>
      </c>
      <c r="G16" s="50">
        <v>1</v>
      </c>
      <c r="H16" s="50" t="s">
        <v>2</v>
      </c>
      <c r="I16" s="50" t="s">
        <v>293</v>
      </c>
      <c r="J16" s="51">
        <v>46119</v>
      </c>
      <c r="K16" s="50" t="s">
        <v>1</v>
      </c>
      <c r="L16" s="50" t="s">
        <v>80</v>
      </c>
    </row>
    <row r="17" spans="2:12">
      <c r="B17" s="50" t="s">
        <v>385</v>
      </c>
      <c r="C17" s="50" t="s">
        <v>56</v>
      </c>
      <c r="D17" s="50" t="s">
        <v>41</v>
      </c>
      <c r="E17" s="50">
        <v>50003296</v>
      </c>
      <c r="F17" s="50" t="s">
        <v>157</v>
      </c>
      <c r="G17" s="50">
        <v>1</v>
      </c>
      <c r="H17" s="50" t="s">
        <v>2</v>
      </c>
      <c r="I17" s="50" t="s">
        <v>293</v>
      </c>
      <c r="J17" s="51">
        <v>46119</v>
      </c>
      <c r="K17" s="50" t="s">
        <v>3</v>
      </c>
      <c r="L17" s="50" t="s">
        <v>80</v>
      </c>
    </row>
    <row r="18" spans="2:12">
      <c r="B18" s="50" t="s">
        <v>461</v>
      </c>
      <c r="C18" s="50" t="s">
        <v>26</v>
      </c>
      <c r="D18" s="50" t="s">
        <v>39</v>
      </c>
      <c r="E18" s="50">
        <v>50038517</v>
      </c>
      <c r="F18" s="50" t="s">
        <v>181</v>
      </c>
      <c r="G18" s="50">
        <v>1</v>
      </c>
      <c r="H18" s="50" t="s">
        <v>2</v>
      </c>
      <c r="I18" s="50" t="s">
        <v>293</v>
      </c>
      <c r="J18" s="51">
        <v>46119</v>
      </c>
      <c r="K18" s="50" t="s">
        <v>3</v>
      </c>
      <c r="L18" s="50" t="s">
        <v>80</v>
      </c>
    </row>
    <row r="19" spans="2:12">
      <c r="B19" s="50" t="s">
        <v>461</v>
      </c>
      <c r="C19" s="50" t="s">
        <v>26</v>
      </c>
      <c r="D19" s="50" t="s">
        <v>39</v>
      </c>
      <c r="E19" s="50">
        <v>50001995</v>
      </c>
      <c r="F19" s="50" t="s">
        <v>185</v>
      </c>
      <c r="G19" s="50">
        <v>1</v>
      </c>
      <c r="H19" s="50" t="s">
        <v>2</v>
      </c>
      <c r="I19" s="50" t="s">
        <v>293</v>
      </c>
      <c r="J19" s="51">
        <v>46119</v>
      </c>
      <c r="K19" s="50" t="s">
        <v>3</v>
      </c>
      <c r="L19" s="50" t="s">
        <v>80</v>
      </c>
    </row>
    <row r="20" spans="2:12">
      <c r="B20" s="50" t="s">
        <v>444</v>
      </c>
      <c r="C20" s="50" t="s">
        <v>51</v>
      </c>
      <c r="D20" s="50" t="s">
        <v>27</v>
      </c>
      <c r="E20" s="50">
        <v>50038841</v>
      </c>
      <c r="F20" s="50" t="s">
        <v>180</v>
      </c>
      <c r="G20" s="50">
        <v>1</v>
      </c>
      <c r="H20" s="50" t="s">
        <v>2</v>
      </c>
      <c r="I20" s="50" t="s">
        <v>293</v>
      </c>
      <c r="J20" s="51">
        <v>46119</v>
      </c>
      <c r="K20" s="50" t="s">
        <v>1</v>
      </c>
      <c r="L20" s="50" t="s">
        <v>80</v>
      </c>
    </row>
    <row r="21" spans="2:12">
      <c r="B21" s="50" t="s">
        <v>385</v>
      </c>
      <c r="C21" s="50" t="s">
        <v>56</v>
      </c>
      <c r="D21" s="50" t="s">
        <v>41</v>
      </c>
      <c r="E21" s="50">
        <v>50003296</v>
      </c>
      <c r="F21" s="50" t="s">
        <v>157</v>
      </c>
      <c r="G21" s="50">
        <v>1</v>
      </c>
      <c r="H21" s="50" t="s">
        <v>2</v>
      </c>
      <c r="I21" s="50" t="s">
        <v>293</v>
      </c>
      <c r="J21" s="51">
        <v>46119</v>
      </c>
      <c r="K21" s="50" t="s">
        <v>1</v>
      </c>
      <c r="L21" s="50" t="s">
        <v>80</v>
      </c>
    </row>
    <row r="22" spans="2:12">
      <c r="B22" s="50" t="s">
        <v>444</v>
      </c>
      <c r="C22" s="50" t="s">
        <v>51</v>
      </c>
      <c r="D22" s="50" t="s">
        <v>27</v>
      </c>
      <c r="E22" s="50">
        <v>50038841</v>
      </c>
      <c r="F22" s="50" t="s">
        <v>180</v>
      </c>
      <c r="G22" s="50">
        <v>1</v>
      </c>
      <c r="H22" s="50" t="s">
        <v>2</v>
      </c>
      <c r="I22" s="50" t="s">
        <v>293</v>
      </c>
      <c r="J22" s="51">
        <v>46119</v>
      </c>
      <c r="K22" s="50" t="s">
        <v>3</v>
      </c>
      <c r="L22" s="50" t="s">
        <v>80</v>
      </c>
    </row>
    <row r="23" spans="2:12">
      <c r="B23" s="50" t="s">
        <v>385</v>
      </c>
      <c r="C23" s="50" t="s">
        <v>56</v>
      </c>
      <c r="D23" s="50" t="s">
        <v>41</v>
      </c>
      <c r="E23" s="50">
        <v>50038854</v>
      </c>
      <c r="F23" s="50" t="s">
        <v>101</v>
      </c>
      <c r="G23" s="50">
        <v>1</v>
      </c>
      <c r="H23" s="50" t="s">
        <v>2</v>
      </c>
      <c r="I23" s="50" t="s">
        <v>297</v>
      </c>
      <c r="J23" s="51">
        <v>46119</v>
      </c>
      <c r="K23" s="50" t="s">
        <v>3</v>
      </c>
      <c r="L23" s="50" t="s">
        <v>80</v>
      </c>
    </row>
    <row r="24" spans="2:12">
      <c r="B24" s="50" t="s">
        <v>385</v>
      </c>
      <c r="C24" s="50" t="s">
        <v>56</v>
      </c>
      <c r="D24" s="50" t="s">
        <v>41</v>
      </c>
      <c r="E24" s="50">
        <v>50003296</v>
      </c>
      <c r="F24" s="50" t="s">
        <v>157</v>
      </c>
      <c r="G24" s="50">
        <v>1</v>
      </c>
      <c r="H24" s="50" t="s">
        <v>2</v>
      </c>
      <c r="I24" s="50" t="s">
        <v>297</v>
      </c>
      <c r="J24" s="51">
        <v>46119</v>
      </c>
      <c r="K24" s="50" t="s">
        <v>3</v>
      </c>
      <c r="L24" s="50" t="s">
        <v>80</v>
      </c>
    </row>
    <row r="25" spans="2:12">
      <c r="B25" s="50" t="s">
        <v>474</v>
      </c>
      <c r="C25" s="50" t="s">
        <v>51</v>
      </c>
      <c r="D25" s="50" t="s">
        <v>27</v>
      </c>
      <c r="E25" s="50">
        <v>50003297</v>
      </c>
      <c r="F25" s="50" t="s">
        <v>158</v>
      </c>
      <c r="G25" s="50">
        <v>1</v>
      </c>
      <c r="H25" s="50" t="s">
        <v>2</v>
      </c>
      <c r="I25" s="50" t="s">
        <v>288</v>
      </c>
      <c r="J25" s="51">
        <v>46119</v>
      </c>
      <c r="K25" s="50" t="s">
        <v>3</v>
      </c>
      <c r="L25" s="50" t="s">
        <v>80</v>
      </c>
    </row>
    <row r="26" spans="2:12">
      <c r="B26" s="50" t="s">
        <v>458</v>
      </c>
      <c r="C26" s="50" t="s">
        <v>26</v>
      </c>
      <c r="D26" s="50" t="s">
        <v>27</v>
      </c>
      <c r="E26" s="50">
        <v>50046617</v>
      </c>
      <c r="F26" s="50" t="s">
        <v>365</v>
      </c>
      <c r="G26" s="50">
        <v>1</v>
      </c>
      <c r="H26" s="50" t="s">
        <v>2</v>
      </c>
      <c r="I26" s="50" t="s">
        <v>288</v>
      </c>
      <c r="J26" s="51">
        <v>46119</v>
      </c>
      <c r="K26" s="50" t="s">
        <v>3</v>
      </c>
      <c r="L26" s="50" t="s">
        <v>80</v>
      </c>
    </row>
    <row r="27" spans="2:12">
      <c r="B27" s="50" t="s">
        <v>345</v>
      </c>
      <c r="C27" s="50" t="s">
        <v>62</v>
      </c>
      <c r="D27" s="50" t="s">
        <v>27</v>
      </c>
      <c r="E27" s="50">
        <v>50041195</v>
      </c>
      <c r="F27" s="50" t="s">
        <v>206</v>
      </c>
      <c r="G27" s="50">
        <v>1</v>
      </c>
      <c r="H27" s="50" t="s">
        <v>2</v>
      </c>
      <c r="I27" s="50" t="s">
        <v>288</v>
      </c>
      <c r="J27" s="51">
        <v>46119</v>
      </c>
      <c r="K27" s="50" t="s">
        <v>3</v>
      </c>
      <c r="L27" s="50" t="s">
        <v>80</v>
      </c>
    </row>
    <row r="28" spans="2:12">
      <c r="B28" s="50" t="s">
        <v>278</v>
      </c>
      <c r="C28" s="50" t="s">
        <v>62</v>
      </c>
      <c r="D28" s="50" t="s">
        <v>27</v>
      </c>
      <c r="E28" s="50">
        <v>50038662</v>
      </c>
      <c r="F28" s="50" t="s">
        <v>193</v>
      </c>
      <c r="G28" s="50">
        <v>1</v>
      </c>
      <c r="H28" s="50" t="s">
        <v>2</v>
      </c>
      <c r="I28" s="50" t="s">
        <v>288</v>
      </c>
      <c r="J28" s="51">
        <v>46119</v>
      </c>
      <c r="K28" s="50" t="s">
        <v>1</v>
      </c>
      <c r="L28" s="50" t="s">
        <v>80</v>
      </c>
    </row>
    <row r="29" spans="2:12">
      <c r="B29" s="50" t="s">
        <v>458</v>
      </c>
      <c r="C29" s="50" t="s">
        <v>26</v>
      </c>
      <c r="D29" s="50" t="s">
        <v>27</v>
      </c>
      <c r="E29" s="50">
        <v>50046617</v>
      </c>
      <c r="F29" s="50" t="s">
        <v>365</v>
      </c>
      <c r="G29" s="50">
        <v>1</v>
      </c>
      <c r="H29" s="50" t="s">
        <v>2</v>
      </c>
      <c r="I29" s="50" t="s">
        <v>288</v>
      </c>
      <c r="J29" s="51">
        <v>46119</v>
      </c>
      <c r="K29" s="50" t="s">
        <v>3</v>
      </c>
      <c r="L29" s="50" t="s">
        <v>80</v>
      </c>
    </row>
    <row r="30" spans="2:12">
      <c r="B30" s="50" t="s">
        <v>444</v>
      </c>
      <c r="C30" s="50" t="s">
        <v>51</v>
      </c>
      <c r="D30" s="50" t="s">
        <v>27</v>
      </c>
      <c r="E30" s="50">
        <v>50046617</v>
      </c>
      <c r="F30" s="50" t="s">
        <v>365</v>
      </c>
      <c r="G30" s="50">
        <v>1</v>
      </c>
      <c r="H30" s="50" t="s">
        <v>2</v>
      </c>
      <c r="I30" s="50" t="s">
        <v>288</v>
      </c>
      <c r="J30" s="51">
        <v>46119</v>
      </c>
      <c r="K30" s="50" t="s">
        <v>1</v>
      </c>
      <c r="L30" s="50" t="s">
        <v>80</v>
      </c>
    </row>
    <row r="31" spans="2:12">
      <c r="B31" s="50" t="s">
        <v>277</v>
      </c>
      <c r="C31" s="50" t="s">
        <v>62</v>
      </c>
      <c r="D31" s="50" t="s">
        <v>27</v>
      </c>
      <c r="E31" s="50">
        <v>50043471</v>
      </c>
      <c r="F31" s="50" t="s">
        <v>257</v>
      </c>
      <c r="G31" s="50">
        <v>1</v>
      </c>
      <c r="H31" s="50" t="s">
        <v>2</v>
      </c>
      <c r="I31" s="50" t="s">
        <v>288</v>
      </c>
      <c r="J31" s="51">
        <v>46119</v>
      </c>
      <c r="K31" s="50" t="s">
        <v>3</v>
      </c>
      <c r="L31" s="50" t="s">
        <v>80</v>
      </c>
    </row>
    <row r="32" spans="2:12">
      <c r="B32" s="50" t="s">
        <v>444</v>
      </c>
      <c r="C32" s="50" t="s">
        <v>51</v>
      </c>
      <c r="D32" s="50" t="s">
        <v>27</v>
      </c>
      <c r="E32" s="50">
        <v>50046617</v>
      </c>
      <c r="F32" s="50" t="s">
        <v>365</v>
      </c>
      <c r="G32" s="50">
        <v>1</v>
      </c>
      <c r="H32" s="50" t="s">
        <v>2</v>
      </c>
      <c r="I32" s="50" t="s">
        <v>288</v>
      </c>
      <c r="J32" s="51">
        <v>46119</v>
      </c>
      <c r="K32" s="50" t="s">
        <v>3</v>
      </c>
      <c r="L32" s="50" t="s">
        <v>80</v>
      </c>
    </row>
    <row r="33" spans="2:12">
      <c r="B33" s="50" t="s">
        <v>399</v>
      </c>
      <c r="C33" s="50" t="s">
        <v>51</v>
      </c>
      <c r="D33" s="50" t="s">
        <v>27</v>
      </c>
      <c r="E33" s="50">
        <v>50046617</v>
      </c>
      <c r="F33" s="50" t="s">
        <v>365</v>
      </c>
      <c r="G33" s="50">
        <v>1</v>
      </c>
      <c r="H33" s="50" t="s">
        <v>2</v>
      </c>
      <c r="I33" s="50" t="s">
        <v>288</v>
      </c>
      <c r="J33" s="51">
        <v>46119</v>
      </c>
      <c r="K33" s="50" t="s">
        <v>1</v>
      </c>
      <c r="L33" s="50" t="s">
        <v>80</v>
      </c>
    </row>
    <row r="34" spans="2:12">
      <c r="B34" s="50" t="s">
        <v>399</v>
      </c>
      <c r="C34" s="50" t="s">
        <v>51</v>
      </c>
      <c r="D34" s="50" t="s">
        <v>27</v>
      </c>
      <c r="E34" s="50">
        <v>50039065</v>
      </c>
      <c r="F34" s="50" t="s">
        <v>186</v>
      </c>
      <c r="G34" s="50">
        <v>1</v>
      </c>
      <c r="H34" s="50" t="s">
        <v>2</v>
      </c>
      <c r="I34" s="50" t="s">
        <v>288</v>
      </c>
      <c r="J34" s="51">
        <v>46119</v>
      </c>
      <c r="K34" s="50" t="s">
        <v>1</v>
      </c>
      <c r="L34" s="50" t="s">
        <v>80</v>
      </c>
    </row>
    <row r="35" spans="2:12">
      <c r="B35" s="50" t="s">
        <v>463</v>
      </c>
      <c r="C35" s="50" t="s">
        <v>56</v>
      </c>
      <c r="D35" s="50" t="s">
        <v>27</v>
      </c>
      <c r="E35" s="50">
        <v>50038549</v>
      </c>
      <c r="F35" s="50" t="s">
        <v>173</v>
      </c>
      <c r="G35" s="50">
        <v>1</v>
      </c>
      <c r="H35" s="50" t="s">
        <v>2</v>
      </c>
      <c r="I35" s="50" t="s">
        <v>288</v>
      </c>
      <c r="J35" s="51">
        <v>46119</v>
      </c>
      <c r="K35" s="50" t="s">
        <v>3</v>
      </c>
      <c r="L35" s="50" t="s">
        <v>80</v>
      </c>
    </row>
    <row r="36" spans="2:12">
      <c r="B36" s="50" t="s">
        <v>278</v>
      </c>
      <c r="C36" s="50" t="s">
        <v>62</v>
      </c>
      <c r="D36" s="50" t="s">
        <v>27</v>
      </c>
      <c r="E36" s="50">
        <v>50038662</v>
      </c>
      <c r="F36" s="50" t="s">
        <v>193</v>
      </c>
      <c r="G36" s="50">
        <v>1</v>
      </c>
      <c r="H36" s="50" t="s">
        <v>2</v>
      </c>
      <c r="I36" s="50" t="s">
        <v>288</v>
      </c>
      <c r="J36" s="51">
        <v>46119</v>
      </c>
      <c r="K36" s="50" t="s">
        <v>3</v>
      </c>
      <c r="L36" s="50" t="s">
        <v>80</v>
      </c>
    </row>
    <row r="37" spans="2:12">
      <c r="B37" s="50" t="s">
        <v>399</v>
      </c>
      <c r="C37" s="50" t="s">
        <v>51</v>
      </c>
      <c r="D37" s="50" t="s">
        <v>27</v>
      </c>
      <c r="E37" s="50">
        <v>50046617</v>
      </c>
      <c r="F37" s="50" t="s">
        <v>365</v>
      </c>
      <c r="G37" s="50">
        <v>1</v>
      </c>
      <c r="H37" s="50" t="s">
        <v>2</v>
      </c>
      <c r="I37" s="50" t="s">
        <v>288</v>
      </c>
      <c r="J37" s="51">
        <v>46119</v>
      </c>
      <c r="K37" s="50" t="s">
        <v>3</v>
      </c>
      <c r="L37" s="50" t="s">
        <v>80</v>
      </c>
    </row>
    <row r="38" spans="2:12">
      <c r="B38" s="50" t="s">
        <v>399</v>
      </c>
      <c r="C38" s="50" t="s">
        <v>51</v>
      </c>
      <c r="D38" s="50" t="s">
        <v>27</v>
      </c>
      <c r="E38" s="50">
        <v>50039065</v>
      </c>
      <c r="F38" s="50" t="s">
        <v>186</v>
      </c>
      <c r="G38" s="50">
        <v>1</v>
      </c>
      <c r="H38" s="50" t="s">
        <v>2</v>
      </c>
      <c r="I38" s="50" t="s">
        <v>288</v>
      </c>
      <c r="J38" s="51">
        <v>46119</v>
      </c>
      <c r="K38" s="50" t="s">
        <v>3</v>
      </c>
      <c r="L38" s="50" t="s">
        <v>80</v>
      </c>
    </row>
    <row r="39" spans="2:12">
      <c r="B39" s="50" t="s">
        <v>43</v>
      </c>
      <c r="C39" s="50" t="s">
        <v>51</v>
      </c>
      <c r="D39" s="50" t="s">
        <v>27</v>
      </c>
      <c r="E39" s="50">
        <v>50001740</v>
      </c>
      <c r="F39" s="50" t="s">
        <v>294</v>
      </c>
      <c r="G39" s="50">
        <v>1</v>
      </c>
      <c r="H39" s="50" t="s">
        <v>2</v>
      </c>
      <c r="I39" s="50" t="s">
        <v>288</v>
      </c>
      <c r="J39" s="51">
        <v>46119</v>
      </c>
      <c r="K39" s="50" t="s">
        <v>3</v>
      </c>
      <c r="L39" s="50" t="s">
        <v>80</v>
      </c>
    </row>
    <row r="40" spans="2:12">
      <c r="B40" s="50" t="s">
        <v>446</v>
      </c>
      <c r="C40" s="50" t="s">
        <v>56</v>
      </c>
      <c r="D40" s="50" t="s">
        <v>27</v>
      </c>
      <c r="E40" s="50">
        <v>50041195</v>
      </c>
      <c r="F40" s="50" t="s">
        <v>206</v>
      </c>
      <c r="G40" s="50">
        <v>1</v>
      </c>
      <c r="H40" s="50" t="s">
        <v>2</v>
      </c>
      <c r="I40" s="50" t="s">
        <v>290</v>
      </c>
      <c r="J40" s="51">
        <v>46118</v>
      </c>
      <c r="K40" s="50" t="s">
        <v>1</v>
      </c>
      <c r="L40" s="50" t="s">
        <v>80</v>
      </c>
    </row>
    <row r="41" spans="2:12">
      <c r="B41" s="50" t="s">
        <v>278</v>
      </c>
      <c r="C41" s="50" t="s">
        <v>62</v>
      </c>
      <c r="D41" s="50" t="s">
        <v>27</v>
      </c>
      <c r="E41" s="50">
        <v>50038662</v>
      </c>
      <c r="F41" s="50" t="s">
        <v>193</v>
      </c>
      <c r="G41" s="50">
        <v>1</v>
      </c>
      <c r="H41" s="50" t="s">
        <v>2</v>
      </c>
      <c r="I41" s="50" t="s">
        <v>290</v>
      </c>
      <c r="J41" s="51">
        <v>46118</v>
      </c>
      <c r="K41" s="50" t="s">
        <v>1</v>
      </c>
      <c r="L41" s="50" t="s">
        <v>80</v>
      </c>
    </row>
    <row r="42" spans="2:12">
      <c r="B42" s="50" t="s">
        <v>25</v>
      </c>
      <c r="C42" s="50" t="s">
        <v>26</v>
      </c>
      <c r="D42" s="50" t="s">
        <v>27</v>
      </c>
      <c r="E42" s="50">
        <v>50046658</v>
      </c>
      <c r="F42" s="50" t="s">
        <v>376</v>
      </c>
      <c r="G42" s="50">
        <v>1</v>
      </c>
      <c r="H42" s="50" t="s">
        <v>2</v>
      </c>
      <c r="I42" s="50" t="s">
        <v>290</v>
      </c>
      <c r="J42" s="51">
        <v>46118</v>
      </c>
      <c r="K42" s="50" t="s">
        <v>1</v>
      </c>
      <c r="L42" s="50" t="s">
        <v>80</v>
      </c>
    </row>
    <row r="43" spans="2:12">
      <c r="B43" s="50" t="s">
        <v>25</v>
      </c>
      <c r="C43" s="50" t="s">
        <v>26</v>
      </c>
      <c r="D43" s="50" t="s">
        <v>27</v>
      </c>
      <c r="E43" s="50">
        <v>50046658</v>
      </c>
      <c r="F43" s="50" t="s">
        <v>376</v>
      </c>
      <c r="G43" s="50">
        <v>1</v>
      </c>
      <c r="H43" s="50" t="s">
        <v>2</v>
      </c>
      <c r="I43" s="50" t="s">
        <v>290</v>
      </c>
      <c r="J43" s="51">
        <v>46118</v>
      </c>
      <c r="K43" s="50" t="s">
        <v>3</v>
      </c>
      <c r="L43" s="50" t="s">
        <v>80</v>
      </c>
    </row>
    <row r="44" spans="2:12">
      <c r="B44" s="50" t="s">
        <v>439</v>
      </c>
      <c r="C44" s="50" t="s">
        <v>62</v>
      </c>
      <c r="D44" s="50" t="s">
        <v>27</v>
      </c>
      <c r="E44" s="50">
        <v>50003297</v>
      </c>
      <c r="F44" s="50" t="s">
        <v>158</v>
      </c>
      <c r="G44" s="50">
        <v>1</v>
      </c>
      <c r="H44" s="50" t="s">
        <v>2</v>
      </c>
      <c r="I44" s="50" t="s">
        <v>290</v>
      </c>
      <c r="J44" s="51">
        <v>46118</v>
      </c>
      <c r="K44" s="50" t="s">
        <v>3</v>
      </c>
      <c r="L44" s="50" t="s">
        <v>80</v>
      </c>
    </row>
    <row r="45" spans="2:12">
      <c r="B45" s="50" t="s">
        <v>446</v>
      </c>
      <c r="C45" s="50" t="s">
        <v>56</v>
      </c>
      <c r="D45" s="50" t="s">
        <v>27</v>
      </c>
      <c r="E45" s="50">
        <v>50036298</v>
      </c>
      <c r="F45" s="50" t="s">
        <v>102</v>
      </c>
      <c r="G45" s="50">
        <v>1</v>
      </c>
      <c r="H45" s="50" t="s">
        <v>2</v>
      </c>
      <c r="I45" s="50" t="s">
        <v>290</v>
      </c>
      <c r="J45" s="51">
        <v>46118</v>
      </c>
      <c r="K45" s="50" t="s">
        <v>1</v>
      </c>
      <c r="L45" s="50" t="s">
        <v>80</v>
      </c>
    </row>
    <row r="46" spans="2:12">
      <c r="B46" s="50" t="s">
        <v>278</v>
      </c>
      <c r="C46" s="50" t="s">
        <v>62</v>
      </c>
      <c r="D46" s="50" t="s">
        <v>27</v>
      </c>
      <c r="E46" s="50">
        <v>50038662</v>
      </c>
      <c r="F46" s="50" t="s">
        <v>193</v>
      </c>
      <c r="G46" s="50">
        <v>1</v>
      </c>
      <c r="H46" s="50" t="s">
        <v>2</v>
      </c>
      <c r="I46" s="50" t="s">
        <v>290</v>
      </c>
      <c r="J46" s="51">
        <v>46118</v>
      </c>
      <c r="K46" s="50" t="s">
        <v>3</v>
      </c>
      <c r="L46" s="50" t="s">
        <v>80</v>
      </c>
    </row>
    <row r="47" spans="2:12">
      <c r="B47" s="50" t="s">
        <v>427</v>
      </c>
      <c r="C47" s="50" t="s">
        <v>26</v>
      </c>
      <c r="D47" s="50" t="s">
        <v>27</v>
      </c>
      <c r="E47" s="50">
        <v>50032781</v>
      </c>
      <c r="F47" s="50" t="s">
        <v>237</v>
      </c>
      <c r="G47" s="50">
        <v>1</v>
      </c>
      <c r="H47" s="50" t="s">
        <v>2</v>
      </c>
      <c r="I47" s="50" t="s">
        <v>290</v>
      </c>
      <c r="J47" s="51">
        <v>46118</v>
      </c>
      <c r="K47" s="50" t="s">
        <v>3</v>
      </c>
      <c r="L47" s="50" t="s">
        <v>80</v>
      </c>
    </row>
    <row r="48" spans="2:12">
      <c r="B48" s="50" t="s">
        <v>427</v>
      </c>
      <c r="C48" s="50" t="s">
        <v>26</v>
      </c>
      <c r="D48" s="50" t="s">
        <v>27</v>
      </c>
      <c r="E48" s="50">
        <v>50039718</v>
      </c>
      <c r="F48" s="50" t="s">
        <v>149</v>
      </c>
      <c r="G48" s="50">
        <v>1</v>
      </c>
      <c r="H48" s="50" t="s">
        <v>2</v>
      </c>
      <c r="I48" s="50" t="s">
        <v>290</v>
      </c>
      <c r="J48" s="51">
        <v>46118</v>
      </c>
      <c r="K48" s="50" t="s">
        <v>3</v>
      </c>
      <c r="L48" s="50" t="s">
        <v>80</v>
      </c>
    </row>
    <row r="49" spans="2:12">
      <c r="B49" s="50" t="s">
        <v>427</v>
      </c>
      <c r="C49" s="50" t="s">
        <v>26</v>
      </c>
      <c r="D49" s="50" t="s">
        <v>27</v>
      </c>
      <c r="E49" s="50">
        <v>50022878</v>
      </c>
      <c r="F49" s="50" t="s">
        <v>296</v>
      </c>
      <c r="G49" s="50">
        <v>1</v>
      </c>
      <c r="H49" s="50" t="s">
        <v>2</v>
      </c>
      <c r="I49" s="50" t="s">
        <v>297</v>
      </c>
      <c r="J49" s="51">
        <v>46118</v>
      </c>
      <c r="K49" s="50" t="s">
        <v>1</v>
      </c>
      <c r="L49" s="50" t="s">
        <v>80</v>
      </c>
    </row>
    <row r="50" spans="2:12">
      <c r="B50" s="50" t="s">
        <v>478</v>
      </c>
      <c r="C50" s="50" t="s">
        <v>51</v>
      </c>
      <c r="D50" s="50" t="s">
        <v>27</v>
      </c>
      <c r="E50" s="50">
        <v>50036297</v>
      </c>
      <c r="F50" s="50" t="s">
        <v>189</v>
      </c>
      <c r="G50" s="50">
        <v>1</v>
      </c>
      <c r="H50" s="50" t="s">
        <v>2</v>
      </c>
      <c r="I50" s="50" t="s">
        <v>297</v>
      </c>
      <c r="J50" s="51">
        <v>46118</v>
      </c>
      <c r="K50" s="50" t="s">
        <v>3</v>
      </c>
      <c r="L50" s="50" t="s">
        <v>80</v>
      </c>
    </row>
    <row r="51" spans="2:12">
      <c r="B51" s="50" t="s">
        <v>427</v>
      </c>
      <c r="C51" s="50" t="s">
        <v>26</v>
      </c>
      <c r="D51" s="50" t="s">
        <v>27</v>
      </c>
      <c r="E51" s="50">
        <v>50022878</v>
      </c>
      <c r="F51" s="50" t="s">
        <v>296</v>
      </c>
      <c r="G51" s="50">
        <v>1</v>
      </c>
      <c r="H51" s="50" t="s">
        <v>2</v>
      </c>
      <c r="I51" s="50" t="s">
        <v>297</v>
      </c>
      <c r="J51" s="51">
        <v>46118</v>
      </c>
      <c r="K51" s="50" t="s">
        <v>3</v>
      </c>
      <c r="L51" s="50" t="s">
        <v>80</v>
      </c>
    </row>
    <row r="52" spans="2:12">
      <c r="B52" s="50" t="s">
        <v>396</v>
      </c>
      <c r="C52" s="50" t="s">
        <v>26</v>
      </c>
      <c r="D52" s="50" t="s">
        <v>41</v>
      </c>
      <c r="E52" s="50">
        <v>50038841</v>
      </c>
      <c r="F52" s="50" t="s">
        <v>180</v>
      </c>
      <c r="G52" s="50">
        <v>1</v>
      </c>
      <c r="H52" s="50" t="s">
        <v>2</v>
      </c>
      <c r="I52" s="50" t="s">
        <v>297</v>
      </c>
      <c r="J52" s="51">
        <v>46118</v>
      </c>
      <c r="K52" s="50" t="s">
        <v>3</v>
      </c>
      <c r="L52" s="50" t="s">
        <v>80</v>
      </c>
    </row>
    <row r="53" spans="2:12">
      <c r="B53" s="50" t="s">
        <v>446</v>
      </c>
      <c r="C53" s="50" t="s">
        <v>56</v>
      </c>
      <c r="D53" s="50" t="s">
        <v>27</v>
      </c>
      <c r="E53" s="50">
        <v>50041195</v>
      </c>
      <c r="F53" s="50" t="s">
        <v>206</v>
      </c>
      <c r="G53" s="50">
        <v>1</v>
      </c>
      <c r="H53" s="50" t="s">
        <v>2</v>
      </c>
      <c r="I53" s="50" t="s">
        <v>297</v>
      </c>
      <c r="J53" s="51">
        <v>46118</v>
      </c>
      <c r="K53" s="50" t="s">
        <v>3</v>
      </c>
      <c r="L53" s="50" t="s">
        <v>80</v>
      </c>
    </row>
    <row r="54" spans="2:12">
      <c r="B54" s="50" t="s">
        <v>411</v>
      </c>
      <c r="C54" s="50" t="s">
        <v>26</v>
      </c>
      <c r="D54" s="50" t="s">
        <v>27</v>
      </c>
      <c r="E54" s="50">
        <v>50041195</v>
      </c>
      <c r="F54" s="50" t="s">
        <v>206</v>
      </c>
      <c r="G54" s="50">
        <v>1</v>
      </c>
      <c r="H54" s="50" t="s">
        <v>2</v>
      </c>
      <c r="I54" s="50" t="s">
        <v>297</v>
      </c>
      <c r="J54" s="51">
        <v>46118</v>
      </c>
      <c r="K54" s="50" t="s">
        <v>1</v>
      </c>
      <c r="L54" s="50" t="s">
        <v>80</v>
      </c>
    </row>
    <row r="55" spans="2:12">
      <c r="B55" s="50" t="s">
        <v>481</v>
      </c>
      <c r="C55" s="50" t="s">
        <v>26</v>
      </c>
      <c r="D55" s="50" t="s">
        <v>27</v>
      </c>
      <c r="E55" s="50">
        <v>50038549</v>
      </c>
      <c r="F55" s="50" t="s">
        <v>173</v>
      </c>
      <c r="G55" s="50">
        <v>1</v>
      </c>
      <c r="H55" s="50" t="s">
        <v>2</v>
      </c>
      <c r="I55" s="50" t="s">
        <v>297</v>
      </c>
      <c r="J55" s="51">
        <v>46118</v>
      </c>
      <c r="K55" s="50" t="s">
        <v>3</v>
      </c>
      <c r="L55" s="50" t="s">
        <v>80</v>
      </c>
    </row>
    <row r="56" spans="2:12">
      <c r="B56" s="50" t="s">
        <v>411</v>
      </c>
      <c r="C56" s="50" t="s">
        <v>26</v>
      </c>
      <c r="D56" s="50" t="s">
        <v>27</v>
      </c>
      <c r="E56" s="50">
        <v>50041195</v>
      </c>
      <c r="F56" s="50" t="s">
        <v>206</v>
      </c>
      <c r="G56" s="50">
        <v>1</v>
      </c>
      <c r="H56" s="50" t="s">
        <v>2</v>
      </c>
      <c r="I56" s="50" t="s">
        <v>297</v>
      </c>
      <c r="J56" s="51">
        <v>46118</v>
      </c>
      <c r="K56" s="50" t="s">
        <v>3</v>
      </c>
      <c r="L56" s="50" t="s">
        <v>80</v>
      </c>
    </row>
    <row r="57" spans="2:12">
      <c r="B57" s="50" t="s">
        <v>446</v>
      </c>
      <c r="C57" s="50" t="s">
        <v>56</v>
      </c>
      <c r="D57" s="50" t="s">
        <v>27</v>
      </c>
      <c r="E57" s="50">
        <v>50036298</v>
      </c>
      <c r="F57" s="50" t="s">
        <v>102</v>
      </c>
      <c r="G57" s="50">
        <v>1</v>
      </c>
      <c r="H57" s="50" t="s">
        <v>2</v>
      </c>
      <c r="I57" s="50" t="s">
        <v>297</v>
      </c>
      <c r="J57" s="51">
        <v>46118</v>
      </c>
      <c r="K57" s="50" t="s">
        <v>3</v>
      </c>
      <c r="L57" s="50" t="s">
        <v>80</v>
      </c>
    </row>
    <row r="58" spans="2:12">
      <c r="B58" s="50" t="s">
        <v>277</v>
      </c>
      <c r="C58" s="50" t="s">
        <v>62</v>
      </c>
      <c r="D58" s="50" t="s">
        <v>27</v>
      </c>
      <c r="E58" s="50">
        <v>50043471</v>
      </c>
      <c r="F58" s="50" t="s">
        <v>257</v>
      </c>
      <c r="G58" s="50">
        <v>1</v>
      </c>
      <c r="H58" s="50" t="s">
        <v>2</v>
      </c>
      <c r="I58" s="50" t="s">
        <v>297</v>
      </c>
      <c r="J58" s="51">
        <v>46118</v>
      </c>
      <c r="K58" s="50" t="s">
        <v>3</v>
      </c>
      <c r="L58" s="50" t="s">
        <v>80</v>
      </c>
    </row>
    <row r="59" spans="2:12">
      <c r="B59" s="50" t="s">
        <v>420</v>
      </c>
      <c r="C59" s="50" t="s">
        <v>26</v>
      </c>
      <c r="D59" s="50" t="s">
        <v>41</v>
      </c>
      <c r="E59" s="50">
        <v>50041653</v>
      </c>
      <c r="F59" s="50" t="s">
        <v>201</v>
      </c>
      <c r="G59" s="50">
        <v>1</v>
      </c>
      <c r="H59" s="50" t="s">
        <v>2</v>
      </c>
      <c r="I59" s="50" t="s">
        <v>297</v>
      </c>
      <c r="J59" s="51">
        <v>46118</v>
      </c>
      <c r="K59" s="50" t="s">
        <v>3</v>
      </c>
      <c r="L59" s="50" t="s">
        <v>80</v>
      </c>
    </row>
    <row r="60" spans="2:12">
      <c r="B60" s="50" t="s">
        <v>396</v>
      </c>
      <c r="C60" s="50" t="s">
        <v>26</v>
      </c>
      <c r="D60" s="50" t="s">
        <v>41</v>
      </c>
      <c r="E60" s="50">
        <v>50046617</v>
      </c>
      <c r="F60" s="50" t="s">
        <v>365</v>
      </c>
      <c r="G60" s="50">
        <v>1</v>
      </c>
      <c r="H60" s="50" t="s">
        <v>2</v>
      </c>
      <c r="I60" s="50" t="s">
        <v>289</v>
      </c>
      <c r="J60" s="51">
        <v>46117</v>
      </c>
      <c r="K60" s="50" t="s">
        <v>1</v>
      </c>
      <c r="L60" s="50" t="s">
        <v>80</v>
      </c>
    </row>
    <row r="61" spans="2:12">
      <c r="B61" s="50" t="s">
        <v>412</v>
      </c>
      <c r="C61" s="50" t="s">
        <v>51</v>
      </c>
      <c r="D61" s="50" t="s">
        <v>41</v>
      </c>
      <c r="E61" s="50">
        <v>50003297</v>
      </c>
      <c r="F61" s="50" t="s">
        <v>158</v>
      </c>
      <c r="G61" s="50">
        <v>1</v>
      </c>
      <c r="H61" s="50" t="s">
        <v>2</v>
      </c>
      <c r="I61" s="50" t="s">
        <v>289</v>
      </c>
      <c r="J61" s="51">
        <v>46117</v>
      </c>
      <c r="K61" s="50" t="s">
        <v>1</v>
      </c>
      <c r="L61" s="50" t="s">
        <v>80</v>
      </c>
    </row>
    <row r="62" spans="2:12">
      <c r="B62" s="50" t="s">
        <v>396</v>
      </c>
      <c r="C62" s="50" t="s">
        <v>26</v>
      </c>
      <c r="D62" s="50" t="s">
        <v>41</v>
      </c>
      <c r="E62" s="50">
        <v>50046617</v>
      </c>
      <c r="F62" s="50" t="s">
        <v>365</v>
      </c>
      <c r="G62" s="50">
        <v>1</v>
      </c>
      <c r="H62" s="50" t="s">
        <v>2</v>
      </c>
      <c r="I62" s="50" t="s">
        <v>289</v>
      </c>
      <c r="J62" s="51">
        <v>46117</v>
      </c>
      <c r="K62" s="50" t="s">
        <v>3</v>
      </c>
      <c r="L62" s="50" t="s">
        <v>80</v>
      </c>
    </row>
    <row r="63" spans="2:12">
      <c r="B63" s="50" t="s">
        <v>412</v>
      </c>
      <c r="C63" s="50" t="s">
        <v>51</v>
      </c>
      <c r="D63" s="50" t="s">
        <v>41</v>
      </c>
      <c r="E63" s="50">
        <v>50003297</v>
      </c>
      <c r="F63" s="50" t="s">
        <v>158</v>
      </c>
      <c r="G63" s="50">
        <v>1</v>
      </c>
      <c r="H63" s="50" t="s">
        <v>2</v>
      </c>
      <c r="I63" s="50" t="s">
        <v>289</v>
      </c>
      <c r="J63" s="51">
        <v>46117</v>
      </c>
      <c r="K63" s="50" t="s">
        <v>3</v>
      </c>
      <c r="L63" s="50" t="s">
        <v>80</v>
      </c>
    </row>
    <row r="64" spans="2:12">
      <c r="B64" s="50" t="s">
        <v>397</v>
      </c>
      <c r="C64" s="50" t="s">
        <v>26</v>
      </c>
      <c r="D64" s="50" t="s">
        <v>41</v>
      </c>
      <c r="E64" s="50">
        <v>50037922</v>
      </c>
      <c r="F64" s="50" t="s">
        <v>117</v>
      </c>
      <c r="G64" s="50">
        <v>1</v>
      </c>
      <c r="H64" s="50" t="s">
        <v>2</v>
      </c>
      <c r="I64" s="50" t="s">
        <v>289</v>
      </c>
      <c r="J64" s="51">
        <v>46117</v>
      </c>
      <c r="K64" s="50" t="s">
        <v>1</v>
      </c>
      <c r="L64" s="50" t="s">
        <v>80</v>
      </c>
    </row>
    <row r="65" spans="2:12" ht="14.4">
      <c r="B65" s="50" t="s">
        <v>368</v>
      </c>
      <c r="C65" s="4" t="s">
        <v>51</v>
      </c>
      <c r="D65" s="50" t="s">
        <v>39</v>
      </c>
      <c r="E65" s="50">
        <v>50041195</v>
      </c>
      <c r="F65" s="50" t="s">
        <v>206</v>
      </c>
      <c r="G65" s="50">
        <v>1</v>
      </c>
      <c r="H65" s="50" t="s">
        <v>2</v>
      </c>
      <c r="I65" s="50" t="s">
        <v>289</v>
      </c>
      <c r="J65" s="51">
        <v>46117</v>
      </c>
      <c r="K65" s="50" t="s">
        <v>1</v>
      </c>
      <c r="L65" s="50" t="s">
        <v>80</v>
      </c>
    </row>
    <row r="66" spans="2:12">
      <c r="B66" s="50" t="s">
        <v>471</v>
      </c>
      <c r="C66" s="50" t="s">
        <v>26</v>
      </c>
      <c r="D66" s="50" t="s">
        <v>39</v>
      </c>
      <c r="E66" s="50">
        <v>50046617</v>
      </c>
      <c r="F66" s="50" t="s">
        <v>365</v>
      </c>
      <c r="G66" s="50">
        <v>1</v>
      </c>
      <c r="H66" s="50" t="s">
        <v>2</v>
      </c>
      <c r="I66" s="50" t="s">
        <v>289</v>
      </c>
      <c r="J66" s="51">
        <v>46117</v>
      </c>
      <c r="K66" s="50" t="s">
        <v>1</v>
      </c>
      <c r="L66" s="50" t="s">
        <v>80</v>
      </c>
    </row>
    <row r="67" spans="2:12">
      <c r="B67" s="50" t="s">
        <v>397</v>
      </c>
      <c r="C67" s="50" t="s">
        <v>26</v>
      </c>
      <c r="D67" s="50" t="s">
        <v>41</v>
      </c>
      <c r="E67" s="50">
        <v>50037922</v>
      </c>
      <c r="F67" s="50" t="s">
        <v>117</v>
      </c>
      <c r="G67" s="50">
        <v>1</v>
      </c>
      <c r="H67" s="50" t="s">
        <v>2</v>
      </c>
      <c r="I67" s="50" t="s">
        <v>289</v>
      </c>
      <c r="J67" s="51">
        <v>46117</v>
      </c>
      <c r="K67" s="50" t="s">
        <v>3</v>
      </c>
      <c r="L67" s="50" t="s">
        <v>80</v>
      </c>
    </row>
    <row r="68" spans="2:12" ht="14.4">
      <c r="B68" s="50" t="s">
        <v>368</v>
      </c>
      <c r="C68" s="4" t="s">
        <v>51</v>
      </c>
      <c r="D68" s="50" t="s">
        <v>39</v>
      </c>
      <c r="E68" s="50">
        <v>50041195</v>
      </c>
      <c r="F68" s="50" t="s">
        <v>206</v>
      </c>
      <c r="G68" s="50">
        <v>1</v>
      </c>
      <c r="H68" s="50" t="s">
        <v>2</v>
      </c>
      <c r="I68" s="50" t="s">
        <v>289</v>
      </c>
      <c r="J68" s="51">
        <v>46116</v>
      </c>
      <c r="K68" s="50" t="s">
        <v>3</v>
      </c>
      <c r="L68" s="50" t="s">
        <v>80</v>
      </c>
    </row>
    <row r="69" spans="2:12">
      <c r="B69" s="50" t="s">
        <v>471</v>
      </c>
      <c r="C69" s="50" t="s">
        <v>26</v>
      </c>
      <c r="D69" s="50" t="s">
        <v>39</v>
      </c>
      <c r="E69" s="50">
        <v>50046617</v>
      </c>
      <c r="F69" s="50" t="s">
        <v>365</v>
      </c>
      <c r="G69" s="50">
        <v>1</v>
      </c>
      <c r="H69" s="50" t="s">
        <v>2</v>
      </c>
      <c r="I69" s="50" t="s">
        <v>289</v>
      </c>
      <c r="J69" s="51">
        <v>46116</v>
      </c>
      <c r="K69" s="50" t="s">
        <v>3</v>
      </c>
      <c r="L69" s="50" t="s">
        <v>80</v>
      </c>
    </row>
    <row r="70" spans="2:12">
      <c r="B70" s="50" t="s">
        <v>396</v>
      </c>
      <c r="C70" s="50" t="s">
        <v>26</v>
      </c>
      <c r="D70" s="50" t="s">
        <v>41</v>
      </c>
      <c r="E70" s="50">
        <v>50046617</v>
      </c>
      <c r="F70" s="50" t="s">
        <v>365</v>
      </c>
      <c r="G70" s="50">
        <v>1</v>
      </c>
      <c r="H70" s="50" t="s">
        <v>2</v>
      </c>
      <c r="I70" s="50" t="s">
        <v>289</v>
      </c>
      <c r="J70" s="51">
        <v>46116</v>
      </c>
      <c r="K70" s="50" t="s">
        <v>1</v>
      </c>
      <c r="L70" s="50" t="s">
        <v>80</v>
      </c>
    </row>
    <row r="71" spans="2:12">
      <c r="B71" s="50" t="s">
        <v>427</v>
      </c>
      <c r="C71" s="50" t="s">
        <v>26</v>
      </c>
      <c r="D71" s="50" t="s">
        <v>27</v>
      </c>
      <c r="E71" s="50">
        <v>50038549</v>
      </c>
      <c r="F71" s="50" t="s">
        <v>173</v>
      </c>
      <c r="G71" s="50">
        <v>1</v>
      </c>
      <c r="H71" s="50" t="s">
        <v>2</v>
      </c>
      <c r="I71" s="50" t="s">
        <v>289</v>
      </c>
      <c r="J71" s="51">
        <v>46116</v>
      </c>
      <c r="K71" s="50" t="s">
        <v>1</v>
      </c>
      <c r="L71" s="50" t="s">
        <v>80</v>
      </c>
    </row>
    <row r="72" spans="2:12">
      <c r="B72" s="50" t="s">
        <v>278</v>
      </c>
      <c r="C72" s="50" t="s">
        <v>62</v>
      </c>
      <c r="D72" s="50" t="s">
        <v>27</v>
      </c>
      <c r="E72" s="50">
        <v>50041195</v>
      </c>
      <c r="F72" s="50" t="s">
        <v>206</v>
      </c>
      <c r="G72" s="50">
        <v>1</v>
      </c>
      <c r="H72" s="50" t="s">
        <v>2</v>
      </c>
      <c r="I72" s="50" t="s">
        <v>289</v>
      </c>
      <c r="J72" s="51">
        <v>46116</v>
      </c>
      <c r="K72" s="50" t="s">
        <v>1</v>
      </c>
      <c r="L72" s="50" t="s">
        <v>80</v>
      </c>
    </row>
    <row r="73" spans="2:12">
      <c r="B73" s="50" t="s">
        <v>412</v>
      </c>
      <c r="C73" s="50" t="s">
        <v>51</v>
      </c>
      <c r="D73" s="50" t="s">
        <v>41</v>
      </c>
      <c r="E73" s="50">
        <v>50003297</v>
      </c>
      <c r="F73" s="50" t="s">
        <v>158</v>
      </c>
      <c r="G73" s="50">
        <v>1</v>
      </c>
      <c r="H73" s="50" t="s">
        <v>2</v>
      </c>
      <c r="I73" s="50" t="s">
        <v>289</v>
      </c>
      <c r="J73" s="51">
        <v>46116</v>
      </c>
      <c r="K73" s="50" t="s">
        <v>1</v>
      </c>
      <c r="L73" s="50" t="s">
        <v>80</v>
      </c>
    </row>
    <row r="74" spans="2:12">
      <c r="B74" s="50" t="s">
        <v>465</v>
      </c>
      <c r="C74" s="50" t="s">
        <v>26</v>
      </c>
      <c r="D74" s="50" t="s">
        <v>27</v>
      </c>
      <c r="E74" s="50">
        <v>50087654</v>
      </c>
      <c r="F74" s="50" t="s">
        <v>378</v>
      </c>
      <c r="G74" s="50">
        <v>1</v>
      </c>
      <c r="H74" s="50" t="s">
        <v>2</v>
      </c>
      <c r="I74" s="50" t="s">
        <v>289</v>
      </c>
      <c r="J74" s="51">
        <v>46116</v>
      </c>
      <c r="K74" s="50" t="s">
        <v>1</v>
      </c>
      <c r="L74" s="50" t="s">
        <v>80</v>
      </c>
    </row>
    <row r="75" spans="2:12">
      <c r="B75" s="50" t="s">
        <v>427</v>
      </c>
      <c r="C75" s="50" t="s">
        <v>26</v>
      </c>
      <c r="D75" s="50" t="s">
        <v>27</v>
      </c>
      <c r="E75" s="50">
        <v>50038549</v>
      </c>
      <c r="F75" s="50" t="s">
        <v>173</v>
      </c>
      <c r="G75" s="50">
        <v>1</v>
      </c>
      <c r="H75" s="50" t="s">
        <v>2</v>
      </c>
      <c r="I75" s="50" t="s">
        <v>289</v>
      </c>
      <c r="J75" s="51">
        <v>46116</v>
      </c>
      <c r="K75" s="50" t="s">
        <v>3</v>
      </c>
      <c r="L75" s="50" t="s">
        <v>80</v>
      </c>
    </row>
    <row r="76" spans="2:12">
      <c r="B76" s="50" t="s">
        <v>278</v>
      </c>
      <c r="C76" s="50" t="s">
        <v>62</v>
      </c>
      <c r="D76" s="50" t="s">
        <v>27</v>
      </c>
      <c r="E76" s="50">
        <v>50041195</v>
      </c>
      <c r="F76" s="50" t="s">
        <v>206</v>
      </c>
      <c r="G76" s="50">
        <v>1</v>
      </c>
      <c r="H76" s="50" t="s">
        <v>2</v>
      </c>
      <c r="I76" s="50" t="s">
        <v>289</v>
      </c>
      <c r="J76" s="51">
        <v>46116</v>
      </c>
      <c r="K76" s="50" t="s">
        <v>3</v>
      </c>
      <c r="L76" s="50" t="s">
        <v>80</v>
      </c>
    </row>
    <row r="77" spans="2:12">
      <c r="B77" s="50" t="s">
        <v>412</v>
      </c>
      <c r="C77" s="50" t="s">
        <v>51</v>
      </c>
      <c r="D77" s="50" t="s">
        <v>41</v>
      </c>
      <c r="E77" s="50">
        <v>50003297</v>
      </c>
      <c r="F77" s="50" t="s">
        <v>158</v>
      </c>
      <c r="G77" s="50">
        <v>1</v>
      </c>
      <c r="H77" s="50" t="s">
        <v>2</v>
      </c>
      <c r="I77" s="50" t="s">
        <v>289</v>
      </c>
      <c r="J77" s="51">
        <v>46116</v>
      </c>
      <c r="K77" s="50" t="s">
        <v>3</v>
      </c>
      <c r="L77" s="50" t="s">
        <v>80</v>
      </c>
    </row>
    <row r="78" spans="2:12">
      <c r="B78" s="50" t="s">
        <v>453</v>
      </c>
      <c r="C78" s="50" t="s">
        <v>51</v>
      </c>
      <c r="D78" s="50" t="s">
        <v>41</v>
      </c>
      <c r="E78" s="50">
        <v>50043471</v>
      </c>
      <c r="F78" s="50" t="s">
        <v>257</v>
      </c>
      <c r="G78" s="50">
        <v>1</v>
      </c>
      <c r="H78" s="50" t="s">
        <v>2</v>
      </c>
      <c r="I78" s="50" t="s">
        <v>289</v>
      </c>
      <c r="J78" s="51">
        <v>46116</v>
      </c>
      <c r="K78" s="50" t="s">
        <v>1</v>
      </c>
      <c r="L78" s="50"/>
    </row>
    <row r="79" spans="2:12">
      <c r="B79" s="50" t="s">
        <v>453</v>
      </c>
      <c r="C79" s="50" t="s">
        <v>51</v>
      </c>
      <c r="D79" s="50" t="s">
        <v>41</v>
      </c>
      <c r="E79" s="50">
        <v>50043471</v>
      </c>
      <c r="F79" s="50" t="s">
        <v>257</v>
      </c>
      <c r="G79" s="50">
        <v>1</v>
      </c>
      <c r="H79" s="50" t="s">
        <v>2</v>
      </c>
      <c r="I79" s="50" t="s">
        <v>289</v>
      </c>
      <c r="J79" s="51">
        <v>46116</v>
      </c>
      <c r="K79" s="50" t="s">
        <v>3</v>
      </c>
      <c r="L79" s="50" t="s">
        <v>80</v>
      </c>
    </row>
    <row r="80" spans="2:12">
      <c r="B80" s="50" t="s">
        <v>465</v>
      </c>
      <c r="C80" s="50" t="s">
        <v>26</v>
      </c>
      <c r="D80" s="50" t="s">
        <v>27</v>
      </c>
      <c r="E80" s="50">
        <v>50087654</v>
      </c>
      <c r="F80" s="50" t="s">
        <v>378</v>
      </c>
      <c r="G80" s="50">
        <v>1</v>
      </c>
      <c r="H80" s="50" t="s">
        <v>2</v>
      </c>
      <c r="I80" s="50" t="s">
        <v>289</v>
      </c>
      <c r="J80" s="51">
        <v>46116</v>
      </c>
      <c r="K80" s="50" t="s">
        <v>3</v>
      </c>
      <c r="L80" s="50" t="s">
        <v>80</v>
      </c>
    </row>
    <row r="81" spans="2:12">
      <c r="B81" s="50" t="s">
        <v>422</v>
      </c>
      <c r="C81" s="50" t="s">
        <v>26</v>
      </c>
      <c r="D81" s="50" t="s">
        <v>41</v>
      </c>
      <c r="E81" s="50">
        <v>50038517</v>
      </c>
      <c r="F81" s="50" t="s">
        <v>181</v>
      </c>
      <c r="G81" s="50">
        <v>1</v>
      </c>
      <c r="H81" s="50" t="s">
        <v>2</v>
      </c>
      <c r="I81" s="50" t="s">
        <v>289</v>
      </c>
      <c r="J81" s="51">
        <v>46116</v>
      </c>
      <c r="K81" s="50" t="s">
        <v>3</v>
      </c>
      <c r="L81" s="50" t="s">
        <v>80</v>
      </c>
    </row>
    <row r="82" spans="2:12">
      <c r="B82" s="50" t="s">
        <v>396</v>
      </c>
      <c r="C82" s="50" t="s">
        <v>26</v>
      </c>
      <c r="D82" s="50" t="s">
        <v>41</v>
      </c>
      <c r="E82" s="50">
        <v>50046617</v>
      </c>
      <c r="F82" s="50" t="s">
        <v>365</v>
      </c>
      <c r="G82" s="50">
        <v>1</v>
      </c>
      <c r="H82" s="50" t="s">
        <v>2</v>
      </c>
      <c r="I82" s="50" t="s">
        <v>289</v>
      </c>
      <c r="J82" s="51">
        <v>46116</v>
      </c>
      <c r="K82" s="50" t="s">
        <v>3</v>
      </c>
      <c r="L82" s="50" t="s">
        <v>80</v>
      </c>
    </row>
    <row r="83" spans="2:12">
      <c r="B83" s="50" t="s">
        <v>417</v>
      </c>
      <c r="C83" s="50" t="s">
        <v>51</v>
      </c>
      <c r="D83" s="50" t="s">
        <v>41</v>
      </c>
      <c r="E83" s="50">
        <v>50046617</v>
      </c>
      <c r="F83" s="50" t="s">
        <v>365</v>
      </c>
      <c r="G83" s="50">
        <v>1</v>
      </c>
      <c r="H83" s="50" t="s">
        <v>2</v>
      </c>
      <c r="I83" s="50" t="s">
        <v>289</v>
      </c>
      <c r="J83" s="51">
        <v>46116</v>
      </c>
      <c r="K83" s="50" t="s">
        <v>1</v>
      </c>
      <c r="L83" s="50"/>
    </row>
    <row r="84" spans="2:12">
      <c r="B84" s="50" t="s">
        <v>459</v>
      </c>
      <c r="C84" s="50" t="s">
        <v>51</v>
      </c>
      <c r="D84" s="50" t="s">
        <v>41</v>
      </c>
      <c r="E84" s="50">
        <v>50003296</v>
      </c>
      <c r="F84" s="50" t="s">
        <v>157</v>
      </c>
      <c r="G84" s="50">
        <v>1</v>
      </c>
      <c r="H84" s="50" t="s">
        <v>2</v>
      </c>
      <c r="I84" s="50" t="s">
        <v>289</v>
      </c>
      <c r="J84" s="51">
        <v>46116</v>
      </c>
      <c r="K84" s="50" t="s">
        <v>1</v>
      </c>
      <c r="L84" s="50"/>
    </row>
    <row r="85" spans="2:12">
      <c r="B85" s="50" t="s">
        <v>417</v>
      </c>
      <c r="C85" s="50" t="s">
        <v>51</v>
      </c>
      <c r="D85" s="50" t="s">
        <v>41</v>
      </c>
      <c r="E85" s="50">
        <v>50046617</v>
      </c>
      <c r="F85" s="50" t="s">
        <v>365</v>
      </c>
      <c r="G85" s="50">
        <v>1</v>
      </c>
      <c r="H85" s="50" t="s">
        <v>2</v>
      </c>
      <c r="I85" s="50" t="s">
        <v>289</v>
      </c>
      <c r="J85" s="51">
        <v>46116</v>
      </c>
      <c r="K85" s="50" t="s">
        <v>3</v>
      </c>
      <c r="L85" s="50" t="s">
        <v>80</v>
      </c>
    </row>
    <row r="86" spans="2:12">
      <c r="B86" s="50" t="s">
        <v>459</v>
      </c>
      <c r="C86" s="50" t="s">
        <v>51</v>
      </c>
      <c r="D86" s="50" t="s">
        <v>41</v>
      </c>
      <c r="E86" s="50">
        <v>50003296</v>
      </c>
      <c r="F86" s="50" t="s">
        <v>157</v>
      </c>
      <c r="G86" s="50">
        <v>1</v>
      </c>
      <c r="H86" s="50" t="s">
        <v>2</v>
      </c>
      <c r="I86" s="50" t="s">
        <v>289</v>
      </c>
      <c r="J86" s="51">
        <v>46116</v>
      </c>
      <c r="K86" s="50" t="s">
        <v>3</v>
      </c>
      <c r="L86" s="50" t="s">
        <v>80</v>
      </c>
    </row>
    <row r="87" spans="2:12">
      <c r="B87" s="50" t="s">
        <v>430</v>
      </c>
      <c r="C87" s="50" t="s">
        <v>61</v>
      </c>
      <c r="D87" s="50" t="s">
        <v>39</v>
      </c>
      <c r="E87" s="50">
        <v>50046617</v>
      </c>
      <c r="F87" s="50" t="s">
        <v>365</v>
      </c>
      <c r="G87" s="50">
        <v>1</v>
      </c>
      <c r="H87" s="50" t="s">
        <v>2</v>
      </c>
      <c r="I87" s="50" t="s">
        <v>292</v>
      </c>
      <c r="J87" s="51">
        <v>46114</v>
      </c>
      <c r="K87" s="50" t="s">
        <v>3</v>
      </c>
      <c r="L87" s="50" t="s">
        <v>80</v>
      </c>
    </row>
    <row r="88" spans="2:12">
      <c r="B88" s="50" t="s">
        <v>431</v>
      </c>
      <c r="C88" s="50" t="s">
        <v>51</v>
      </c>
      <c r="D88" s="50" t="s">
        <v>39</v>
      </c>
      <c r="E88" s="50">
        <v>50038517</v>
      </c>
      <c r="F88" s="50" t="s">
        <v>181</v>
      </c>
      <c r="G88" s="50">
        <v>1</v>
      </c>
      <c r="H88" s="50" t="s">
        <v>2</v>
      </c>
      <c r="I88" s="50" t="s">
        <v>292</v>
      </c>
      <c r="J88" s="51">
        <v>46114</v>
      </c>
      <c r="K88" s="50" t="s">
        <v>3</v>
      </c>
      <c r="L88" s="50" t="s">
        <v>80</v>
      </c>
    </row>
    <row r="89" spans="2:12">
      <c r="B89" s="50" t="s">
        <v>406</v>
      </c>
      <c r="C89" s="50" t="s">
        <v>26</v>
      </c>
      <c r="D89" s="50" t="s">
        <v>27</v>
      </c>
      <c r="E89" s="50">
        <v>50003297</v>
      </c>
      <c r="F89" s="50" t="s">
        <v>158</v>
      </c>
      <c r="G89" s="50">
        <v>1</v>
      </c>
      <c r="H89" s="50" t="s">
        <v>2</v>
      </c>
      <c r="I89" s="50" t="s">
        <v>292</v>
      </c>
      <c r="J89" s="51">
        <v>46114</v>
      </c>
      <c r="K89" s="50" t="s">
        <v>1</v>
      </c>
      <c r="L89" s="50" t="s">
        <v>80</v>
      </c>
    </row>
    <row r="90" spans="2:12">
      <c r="B90" s="50" t="s">
        <v>420</v>
      </c>
      <c r="C90" s="50" t="s">
        <v>26</v>
      </c>
      <c r="D90" s="50" t="s">
        <v>41</v>
      </c>
      <c r="E90" s="50">
        <v>50003296</v>
      </c>
      <c r="F90" s="50" t="s">
        <v>157</v>
      </c>
      <c r="G90" s="50">
        <v>1</v>
      </c>
      <c r="H90" s="50" t="s">
        <v>2</v>
      </c>
      <c r="I90" s="50" t="s">
        <v>292</v>
      </c>
      <c r="J90" s="51">
        <v>46114</v>
      </c>
      <c r="K90" s="50" t="s">
        <v>1</v>
      </c>
      <c r="L90" s="50" t="s">
        <v>80</v>
      </c>
    </row>
    <row r="91" spans="2:12">
      <c r="B91" s="50" t="s">
        <v>355</v>
      </c>
      <c r="C91" s="50" t="s">
        <v>56</v>
      </c>
      <c r="D91" s="50" t="s">
        <v>41</v>
      </c>
      <c r="E91" s="50">
        <v>50041195</v>
      </c>
      <c r="F91" s="50" t="s">
        <v>206</v>
      </c>
      <c r="G91" s="50">
        <v>1</v>
      </c>
      <c r="H91" s="50" t="s">
        <v>2</v>
      </c>
      <c r="I91" s="50" t="s">
        <v>292</v>
      </c>
      <c r="J91" s="51">
        <v>46114</v>
      </c>
      <c r="K91" s="50" t="s">
        <v>1</v>
      </c>
      <c r="L91" s="50" t="s">
        <v>80</v>
      </c>
    </row>
    <row r="92" spans="2:12">
      <c r="B92" s="50" t="s">
        <v>406</v>
      </c>
      <c r="C92" s="50" t="s">
        <v>26</v>
      </c>
      <c r="D92" s="50" t="s">
        <v>27</v>
      </c>
      <c r="E92" s="50">
        <v>50046617</v>
      </c>
      <c r="F92" s="50" t="s">
        <v>365</v>
      </c>
      <c r="G92" s="50">
        <v>1</v>
      </c>
      <c r="H92" s="50" t="s">
        <v>2</v>
      </c>
      <c r="I92" s="50" t="s">
        <v>292</v>
      </c>
      <c r="J92" s="51">
        <v>46114</v>
      </c>
      <c r="K92" s="50" t="s">
        <v>1</v>
      </c>
      <c r="L92" s="50" t="s">
        <v>80</v>
      </c>
    </row>
    <row r="93" spans="2:12">
      <c r="B93" s="50" t="s">
        <v>483</v>
      </c>
      <c r="C93" s="50" t="s">
        <v>62</v>
      </c>
      <c r="D93" s="50" t="s">
        <v>27</v>
      </c>
      <c r="E93" s="50">
        <v>50038517</v>
      </c>
      <c r="F93" s="50" t="s">
        <v>181</v>
      </c>
      <c r="G93" s="50">
        <v>1</v>
      </c>
      <c r="H93" s="50" t="s">
        <v>2</v>
      </c>
      <c r="I93" s="50" t="s">
        <v>292</v>
      </c>
      <c r="J93" s="51">
        <v>46114</v>
      </c>
      <c r="K93" s="50" t="s">
        <v>1</v>
      </c>
      <c r="L93" s="50" t="s">
        <v>80</v>
      </c>
    </row>
    <row r="94" spans="2:12">
      <c r="B94" s="50" t="s">
        <v>278</v>
      </c>
      <c r="C94" s="50" t="s">
        <v>62</v>
      </c>
      <c r="D94" s="50" t="s">
        <v>27</v>
      </c>
      <c r="E94" s="50">
        <v>50041124</v>
      </c>
      <c r="F94" s="50" t="s">
        <v>202</v>
      </c>
      <c r="G94" s="50">
        <v>1</v>
      </c>
      <c r="H94" s="50" t="s">
        <v>2</v>
      </c>
      <c r="I94" s="50" t="s">
        <v>292</v>
      </c>
      <c r="J94" s="51">
        <v>46114</v>
      </c>
      <c r="K94" s="50" t="s">
        <v>1</v>
      </c>
      <c r="L94" s="50" t="s">
        <v>80</v>
      </c>
    </row>
    <row r="95" spans="2:12">
      <c r="B95" s="50" t="s">
        <v>471</v>
      </c>
      <c r="C95" s="50" t="s">
        <v>26</v>
      </c>
      <c r="D95" s="50" t="s">
        <v>39</v>
      </c>
      <c r="E95" s="50">
        <v>50038846</v>
      </c>
      <c r="F95" s="50" t="s">
        <v>182</v>
      </c>
      <c r="G95" s="50">
        <v>1</v>
      </c>
      <c r="H95" s="50" t="s">
        <v>2</v>
      </c>
      <c r="I95" s="50" t="s">
        <v>292</v>
      </c>
      <c r="J95" s="51">
        <v>46114</v>
      </c>
      <c r="K95" s="50" t="s">
        <v>3</v>
      </c>
      <c r="L95" s="50" t="s">
        <v>80</v>
      </c>
    </row>
    <row r="96" spans="2:12">
      <c r="B96" s="50" t="s">
        <v>413</v>
      </c>
      <c r="C96" s="50" t="s">
        <v>51</v>
      </c>
      <c r="D96" s="50" t="s">
        <v>39</v>
      </c>
      <c r="E96" s="50">
        <v>50038195</v>
      </c>
      <c r="F96" s="50" t="s">
        <v>239</v>
      </c>
      <c r="G96" s="50">
        <v>1</v>
      </c>
      <c r="H96" s="50" t="s">
        <v>2</v>
      </c>
      <c r="I96" s="50" t="s">
        <v>292</v>
      </c>
      <c r="J96" s="51">
        <v>46114</v>
      </c>
      <c r="K96" s="50" t="s">
        <v>3</v>
      </c>
      <c r="L96" s="50" t="s">
        <v>80</v>
      </c>
    </row>
    <row r="97" spans="2:12">
      <c r="B97" s="50" t="s">
        <v>413</v>
      </c>
      <c r="C97" s="50" t="s">
        <v>51</v>
      </c>
      <c r="D97" s="50" t="s">
        <v>39</v>
      </c>
      <c r="E97" s="50">
        <v>50043471</v>
      </c>
      <c r="F97" s="50" t="s">
        <v>257</v>
      </c>
      <c r="G97" s="50">
        <v>1</v>
      </c>
      <c r="H97" s="50" t="s">
        <v>2</v>
      </c>
      <c r="I97" s="50" t="s">
        <v>292</v>
      </c>
      <c r="J97" s="51">
        <v>46114</v>
      </c>
      <c r="K97" s="50" t="s">
        <v>3</v>
      </c>
      <c r="L97" s="50" t="s">
        <v>80</v>
      </c>
    </row>
    <row r="98" spans="2:12">
      <c r="B98" s="50" t="s">
        <v>399</v>
      </c>
      <c r="C98" s="50" t="s">
        <v>51</v>
      </c>
      <c r="D98" s="50" t="s">
        <v>27</v>
      </c>
      <c r="E98" s="50">
        <v>50043471</v>
      </c>
      <c r="F98" s="50" t="s">
        <v>257</v>
      </c>
      <c r="G98" s="50">
        <v>1</v>
      </c>
      <c r="H98" s="50" t="s">
        <v>2</v>
      </c>
      <c r="I98" s="50" t="s">
        <v>292</v>
      </c>
      <c r="J98" s="51">
        <v>46114</v>
      </c>
      <c r="K98" s="50" t="s">
        <v>1</v>
      </c>
      <c r="L98" s="50" t="s">
        <v>80</v>
      </c>
    </row>
    <row r="99" spans="2:12">
      <c r="B99" s="50" t="s">
        <v>399</v>
      </c>
      <c r="C99" s="50" t="s">
        <v>51</v>
      </c>
      <c r="D99" s="50" t="s">
        <v>27</v>
      </c>
      <c r="E99" s="50">
        <v>50043471</v>
      </c>
      <c r="F99" s="50" t="s">
        <v>257</v>
      </c>
      <c r="G99" s="50">
        <v>1</v>
      </c>
      <c r="H99" s="50" t="s">
        <v>2</v>
      </c>
      <c r="I99" s="50" t="s">
        <v>292</v>
      </c>
      <c r="J99" s="51">
        <v>46114</v>
      </c>
      <c r="K99" s="50" t="s">
        <v>3</v>
      </c>
      <c r="L99" s="50" t="s">
        <v>80</v>
      </c>
    </row>
    <row r="100" spans="2:12">
      <c r="B100" s="50" t="s">
        <v>399</v>
      </c>
      <c r="C100" s="50" t="s">
        <v>51</v>
      </c>
      <c r="D100" s="50" t="s">
        <v>27</v>
      </c>
      <c r="E100" s="50">
        <v>50039065</v>
      </c>
      <c r="F100" s="50" t="s">
        <v>186</v>
      </c>
      <c r="G100" s="50">
        <v>1</v>
      </c>
      <c r="H100" s="50" t="s">
        <v>2</v>
      </c>
      <c r="I100" s="50" t="s">
        <v>292</v>
      </c>
      <c r="J100" s="51">
        <v>46114</v>
      </c>
      <c r="K100" s="50" t="s">
        <v>1</v>
      </c>
      <c r="L100" s="50" t="s">
        <v>80</v>
      </c>
    </row>
    <row r="101" spans="2:12">
      <c r="B101" s="50" t="s">
        <v>444</v>
      </c>
      <c r="C101" s="50" t="s">
        <v>51</v>
      </c>
      <c r="D101" s="50" t="s">
        <v>27</v>
      </c>
      <c r="E101" s="50">
        <v>50038841</v>
      </c>
      <c r="F101" s="50" t="s">
        <v>180</v>
      </c>
      <c r="G101" s="50">
        <v>1</v>
      </c>
      <c r="H101" s="50" t="s">
        <v>2</v>
      </c>
      <c r="I101" s="50" t="s">
        <v>292</v>
      </c>
      <c r="J101" s="51">
        <v>46114</v>
      </c>
      <c r="K101" s="50" t="s">
        <v>1</v>
      </c>
      <c r="L101" s="50" t="s">
        <v>80</v>
      </c>
    </row>
    <row r="102" spans="2:12">
      <c r="B102" s="50" t="s">
        <v>399</v>
      </c>
      <c r="C102" s="50" t="s">
        <v>51</v>
      </c>
      <c r="D102" s="50" t="s">
        <v>27</v>
      </c>
      <c r="E102" s="50">
        <v>50038841</v>
      </c>
      <c r="F102" s="50" t="s">
        <v>180</v>
      </c>
      <c r="G102" s="50">
        <v>1</v>
      </c>
      <c r="H102" s="50" t="s">
        <v>2</v>
      </c>
      <c r="I102" s="50" t="s">
        <v>292</v>
      </c>
      <c r="J102" s="51">
        <v>46114</v>
      </c>
      <c r="K102" s="50" t="s">
        <v>1</v>
      </c>
      <c r="L102" s="50" t="s">
        <v>80</v>
      </c>
    </row>
    <row r="103" spans="2:12">
      <c r="B103" s="50" t="s">
        <v>420</v>
      </c>
      <c r="C103" s="50" t="s">
        <v>26</v>
      </c>
      <c r="D103" s="50" t="s">
        <v>41</v>
      </c>
      <c r="E103" s="50">
        <v>50032781</v>
      </c>
      <c r="F103" s="50" t="s">
        <v>237</v>
      </c>
      <c r="G103" s="50">
        <v>1</v>
      </c>
      <c r="H103" s="50" t="s">
        <v>2</v>
      </c>
      <c r="I103" s="50" t="s">
        <v>288</v>
      </c>
      <c r="J103" s="51">
        <v>46114</v>
      </c>
      <c r="K103" s="50" t="s">
        <v>1</v>
      </c>
      <c r="L103" s="50" t="s">
        <v>80</v>
      </c>
    </row>
    <row r="104" spans="2:12">
      <c r="B104" s="50" t="s">
        <v>420</v>
      </c>
      <c r="C104" s="50" t="s">
        <v>26</v>
      </c>
      <c r="D104" s="50" t="s">
        <v>41</v>
      </c>
      <c r="E104" s="50">
        <v>50032781</v>
      </c>
      <c r="F104" s="50" t="s">
        <v>237</v>
      </c>
      <c r="G104" s="50">
        <v>1</v>
      </c>
      <c r="H104" s="50" t="s">
        <v>2</v>
      </c>
      <c r="I104" s="50" t="s">
        <v>288</v>
      </c>
      <c r="J104" s="51">
        <v>46114</v>
      </c>
      <c r="K104" s="50" t="s">
        <v>3</v>
      </c>
      <c r="L104" s="50" t="s">
        <v>80</v>
      </c>
    </row>
    <row r="105" spans="2:12">
      <c r="B105" s="50" t="s">
        <v>399</v>
      </c>
      <c r="C105" s="50" t="s">
        <v>51</v>
      </c>
      <c r="D105" s="50" t="s">
        <v>27</v>
      </c>
      <c r="E105" s="50">
        <v>50038841</v>
      </c>
      <c r="F105" s="50" t="s">
        <v>180</v>
      </c>
      <c r="G105" s="50">
        <v>1</v>
      </c>
      <c r="H105" s="50" t="s">
        <v>2</v>
      </c>
      <c r="I105" s="50" t="s">
        <v>288</v>
      </c>
      <c r="J105" s="51">
        <v>46114</v>
      </c>
      <c r="K105" s="50" t="s">
        <v>3</v>
      </c>
      <c r="L105" s="50" t="s">
        <v>80</v>
      </c>
    </row>
    <row r="106" spans="2:12">
      <c r="B106" s="50" t="s">
        <v>399</v>
      </c>
      <c r="C106" s="50" t="s">
        <v>51</v>
      </c>
      <c r="D106" s="50" t="s">
        <v>27</v>
      </c>
      <c r="E106" s="50">
        <v>50039065</v>
      </c>
      <c r="F106" s="50" t="s">
        <v>186</v>
      </c>
      <c r="G106" s="50">
        <v>1</v>
      </c>
      <c r="H106" s="50" t="s">
        <v>2</v>
      </c>
      <c r="I106" s="50" t="s">
        <v>288</v>
      </c>
      <c r="J106" s="51">
        <v>46114</v>
      </c>
      <c r="K106" s="50" t="s">
        <v>3</v>
      </c>
      <c r="L106" s="50" t="s">
        <v>80</v>
      </c>
    </row>
    <row r="107" spans="2:12">
      <c r="B107" s="50" t="s">
        <v>406</v>
      </c>
      <c r="C107" s="50" t="s">
        <v>26</v>
      </c>
      <c r="D107" s="50" t="s">
        <v>27</v>
      </c>
      <c r="E107" s="50">
        <v>50003297</v>
      </c>
      <c r="F107" s="50" t="s">
        <v>158</v>
      </c>
      <c r="G107" s="50">
        <v>1</v>
      </c>
      <c r="H107" s="50" t="s">
        <v>2</v>
      </c>
      <c r="I107" s="50" t="s">
        <v>288</v>
      </c>
      <c r="J107" s="51">
        <v>46114</v>
      </c>
      <c r="K107" s="50" t="s">
        <v>3</v>
      </c>
      <c r="L107" s="50" t="s">
        <v>80</v>
      </c>
    </row>
    <row r="108" spans="2:12">
      <c r="B108" s="50" t="s">
        <v>428</v>
      </c>
      <c r="C108" s="50" t="s">
        <v>26</v>
      </c>
      <c r="D108" s="50" t="s">
        <v>27</v>
      </c>
      <c r="E108" s="50">
        <v>50022878</v>
      </c>
      <c r="F108" s="50" t="s">
        <v>296</v>
      </c>
      <c r="G108" s="50">
        <v>1</v>
      </c>
      <c r="H108" s="50" t="s">
        <v>2</v>
      </c>
      <c r="I108" s="50" t="s">
        <v>288</v>
      </c>
      <c r="J108" s="51">
        <v>46114</v>
      </c>
      <c r="K108" s="50" t="s">
        <v>1</v>
      </c>
      <c r="L108" s="50" t="s">
        <v>80</v>
      </c>
    </row>
    <row r="109" spans="2:12">
      <c r="B109" s="50" t="s">
        <v>406</v>
      </c>
      <c r="C109" s="50" t="s">
        <v>26</v>
      </c>
      <c r="D109" s="50" t="s">
        <v>27</v>
      </c>
      <c r="E109" s="50">
        <v>50046617</v>
      </c>
      <c r="F109" s="50" t="s">
        <v>365</v>
      </c>
      <c r="G109" s="50">
        <v>1</v>
      </c>
      <c r="H109" s="50" t="s">
        <v>2</v>
      </c>
      <c r="I109" s="50" t="s">
        <v>288</v>
      </c>
      <c r="J109" s="51">
        <v>46114</v>
      </c>
      <c r="K109" s="50" t="s">
        <v>3</v>
      </c>
      <c r="L109" s="50" t="s">
        <v>80</v>
      </c>
    </row>
    <row r="110" spans="2:12">
      <c r="B110" s="50" t="s">
        <v>386</v>
      </c>
      <c r="C110" s="50" t="s">
        <v>26</v>
      </c>
      <c r="D110" s="50" t="s">
        <v>27</v>
      </c>
      <c r="E110" s="50">
        <v>50001740</v>
      </c>
      <c r="F110" s="50" t="s">
        <v>294</v>
      </c>
      <c r="G110" s="50">
        <v>1</v>
      </c>
      <c r="H110" s="50" t="s">
        <v>2</v>
      </c>
      <c r="I110" s="50" t="s">
        <v>288</v>
      </c>
      <c r="J110" s="51">
        <v>46114</v>
      </c>
      <c r="K110" s="50" t="s">
        <v>3</v>
      </c>
      <c r="L110" s="50" t="s">
        <v>80</v>
      </c>
    </row>
    <row r="111" spans="2:12">
      <c r="B111" s="50" t="s">
        <v>386</v>
      </c>
      <c r="C111" s="50" t="s">
        <v>26</v>
      </c>
      <c r="D111" s="50" t="s">
        <v>27</v>
      </c>
      <c r="E111" s="50">
        <v>50037952</v>
      </c>
      <c r="F111" s="50" t="s">
        <v>245</v>
      </c>
      <c r="G111" s="50">
        <v>1</v>
      </c>
      <c r="H111" s="50" t="s">
        <v>2</v>
      </c>
      <c r="I111" s="50" t="s">
        <v>288</v>
      </c>
      <c r="J111" s="51">
        <v>46114</v>
      </c>
      <c r="K111" s="50" t="s">
        <v>3</v>
      </c>
      <c r="L111" s="50" t="s">
        <v>80</v>
      </c>
    </row>
    <row r="112" spans="2:12">
      <c r="B112" s="50" t="s">
        <v>278</v>
      </c>
      <c r="C112" s="50" t="s">
        <v>62</v>
      </c>
      <c r="D112" s="50" t="s">
        <v>27</v>
      </c>
      <c r="E112" s="50">
        <v>50041124</v>
      </c>
      <c r="F112" s="50" t="s">
        <v>202</v>
      </c>
      <c r="G112" s="50">
        <v>1</v>
      </c>
      <c r="H112" s="50" t="s">
        <v>2</v>
      </c>
      <c r="I112" s="50" t="s">
        <v>288</v>
      </c>
      <c r="J112" s="51">
        <v>46114</v>
      </c>
      <c r="K112" s="50" t="s">
        <v>3</v>
      </c>
      <c r="L112" s="50" t="s">
        <v>80</v>
      </c>
    </row>
    <row r="113" spans="2:12">
      <c r="B113" s="50" t="s">
        <v>483</v>
      </c>
      <c r="C113" s="50" t="s">
        <v>62</v>
      </c>
      <c r="D113" s="50" t="s">
        <v>27</v>
      </c>
      <c r="E113" s="50">
        <v>50038517</v>
      </c>
      <c r="F113" s="50" t="s">
        <v>181</v>
      </c>
      <c r="G113" s="50">
        <v>1</v>
      </c>
      <c r="H113" s="50" t="s">
        <v>2</v>
      </c>
      <c r="I113" s="50" t="s">
        <v>288</v>
      </c>
      <c r="J113" s="51">
        <v>46114</v>
      </c>
      <c r="K113" s="50" t="s">
        <v>3</v>
      </c>
      <c r="L113" s="50" t="s">
        <v>80</v>
      </c>
    </row>
    <row r="114" spans="2:12">
      <c r="B114" s="50" t="s">
        <v>450</v>
      </c>
      <c r="C114" s="50" t="s">
        <v>61</v>
      </c>
      <c r="D114" s="50" t="s">
        <v>39</v>
      </c>
      <c r="E114" s="50">
        <v>5044523</v>
      </c>
      <c r="F114" s="50" t="s">
        <v>359</v>
      </c>
      <c r="G114" s="50">
        <v>1</v>
      </c>
      <c r="H114" s="50" t="s">
        <v>2</v>
      </c>
      <c r="I114" s="50" t="s">
        <v>288</v>
      </c>
      <c r="J114" s="51">
        <v>46114</v>
      </c>
      <c r="K114" s="50" t="s">
        <v>3</v>
      </c>
      <c r="L114" s="50" t="s">
        <v>80</v>
      </c>
    </row>
    <row r="115" spans="2:12">
      <c r="B115" s="50" t="s">
        <v>420</v>
      </c>
      <c r="C115" s="50" t="s">
        <v>26</v>
      </c>
      <c r="D115" s="50" t="s">
        <v>41</v>
      </c>
      <c r="E115" s="50">
        <v>50003296</v>
      </c>
      <c r="F115" s="50" t="s">
        <v>157</v>
      </c>
      <c r="G115" s="50">
        <v>1</v>
      </c>
      <c r="H115" s="50" t="s">
        <v>2</v>
      </c>
      <c r="I115" s="50" t="s">
        <v>288</v>
      </c>
      <c r="J115" s="51">
        <v>46114</v>
      </c>
      <c r="K115" s="50" t="s">
        <v>3</v>
      </c>
      <c r="L115" s="50" t="s">
        <v>80</v>
      </c>
    </row>
    <row r="116" spans="2:12">
      <c r="B116" s="50" t="s">
        <v>355</v>
      </c>
      <c r="C116" s="50" t="s">
        <v>56</v>
      </c>
      <c r="D116" s="50" t="s">
        <v>41</v>
      </c>
      <c r="E116" s="50">
        <v>50041195</v>
      </c>
      <c r="F116" s="50" t="s">
        <v>206</v>
      </c>
      <c r="G116" s="50">
        <v>1</v>
      </c>
      <c r="H116" s="50" t="s">
        <v>2</v>
      </c>
      <c r="I116" s="50" t="s">
        <v>288</v>
      </c>
      <c r="J116" s="51">
        <v>46114</v>
      </c>
      <c r="K116" s="50" t="s">
        <v>3</v>
      </c>
      <c r="L116" s="50" t="s">
        <v>80</v>
      </c>
    </row>
    <row r="117" spans="2:12">
      <c r="B117" s="50" t="s">
        <v>428</v>
      </c>
      <c r="C117" s="50" t="s">
        <v>26</v>
      </c>
      <c r="D117" s="50" t="s">
        <v>27</v>
      </c>
      <c r="E117" s="50">
        <v>50022878</v>
      </c>
      <c r="F117" s="50" t="s">
        <v>296</v>
      </c>
      <c r="G117" s="50">
        <v>1</v>
      </c>
      <c r="H117" s="50" t="s">
        <v>2</v>
      </c>
      <c r="I117" s="50" t="s">
        <v>288</v>
      </c>
      <c r="J117" s="51">
        <v>46114</v>
      </c>
      <c r="K117" s="50" t="s">
        <v>3</v>
      </c>
      <c r="L117" s="50" t="s">
        <v>80</v>
      </c>
    </row>
    <row r="118" spans="2:12">
      <c r="B118" s="50" t="s">
        <v>413</v>
      </c>
      <c r="C118" s="50" t="s">
        <v>51</v>
      </c>
      <c r="D118" s="50" t="s">
        <v>39</v>
      </c>
      <c r="E118" s="50">
        <v>50046617</v>
      </c>
      <c r="F118" s="50" t="s">
        <v>365</v>
      </c>
      <c r="G118" s="50">
        <v>1</v>
      </c>
      <c r="H118" s="50" t="s">
        <v>2</v>
      </c>
      <c r="I118" s="50" t="s">
        <v>289</v>
      </c>
      <c r="J118" s="51">
        <v>46113</v>
      </c>
      <c r="K118" s="50" t="s">
        <v>1</v>
      </c>
      <c r="L118" s="50" t="s">
        <v>80</v>
      </c>
    </row>
    <row r="119" spans="2:12">
      <c r="B119" s="50" t="s">
        <v>471</v>
      </c>
      <c r="C119" s="50" t="s">
        <v>26</v>
      </c>
      <c r="D119" s="50" t="s">
        <v>39</v>
      </c>
      <c r="E119" s="50">
        <v>50038517</v>
      </c>
      <c r="F119" s="50" t="s">
        <v>181</v>
      </c>
      <c r="G119" s="50">
        <v>1</v>
      </c>
      <c r="H119" s="50" t="s">
        <v>2</v>
      </c>
      <c r="I119" s="50" t="s">
        <v>289</v>
      </c>
      <c r="J119" s="51">
        <v>46113</v>
      </c>
      <c r="K119" s="50" t="s">
        <v>1</v>
      </c>
      <c r="L119" s="50" t="s">
        <v>80</v>
      </c>
    </row>
    <row r="120" spans="2:12">
      <c r="B120" s="50" t="s">
        <v>345</v>
      </c>
      <c r="C120" s="50" t="s">
        <v>56</v>
      </c>
      <c r="D120" s="50" t="s">
        <v>27</v>
      </c>
      <c r="E120" s="50">
        <v>50038549</v>
      </c>
      <c r="F120" s="50" t="s">
        <v>173</v>
      </c>
      <c r="G120" s="50">
        <v>1</v>
      </c>
      <c r="H120" s="50" t="s">
        <v>2</v>
      </c>
      <c r="I120" s="50" t="s">
        <v>289</v>
      </c>
      <c r="J120" s="51">
        <v>46113</v>
      </c>
      <c r="K120" s="50" t="s">
        <v>1</v>
      </c>
      <c r="L120" s="50" t="s">
        <v>80</v>
      </c>
    </row>
    <row r="121" spans="2:12">
      <c r="B121" s="50" t="s">
        <v>413</v>
      </c>
      <c r="C121" s="50" t="s">
        <v>51</v>
      </c>
      <c r="D121" s="50" t="s">
        <v>39</v>
      </c>
      <c r="E121" s="50">
        <v>50046617</v>
      </c>
      <c r="F121" s="50" t="s">
        <v>365</v>
      </c>
      <c r="G121" s="50">
        <v>1</v>
      </c>
      <c r="H121" s="50" t="s">
        <v>2</v>
      </c>
      <c r="I121" s="50" t="s">
        <v>289</v>
      </c>
      <c r="J121" s="51">
        <v>46113</v>
      </c>
      <c r="K121" s="50" t="s">
        <v>1</v>
      </c>
      <c r="L121" s="50" t="s">
        <v>80</v>
      </c>
    </row>
    <row r="122" spans="2:12">
      <c r="B122" s="50" t="s">
        <v>413</v>
      </c>
      <c r="C122" s="50" t="s">
        <v>51</v>
      </c>
      <c r="D122" s="50" t="s">
        <v>39</v>
      </c>
      <c r="E122" s="50">
        <v>50046617</v>
      </c>
      <c r="F122" s="50" t="s">
        <v>365</v>
      </c>
      <c r="G122" s="50">
        <v>1</v>
      </c>
      <c r="H122" s="50" t="s">
        <v>2</v>
      </c>
      <c r="I122" s="50" t="s">
        <v>293</v>
      </c>
      <c r="J122" s="51">
        <v>46113</v>
      </c>
      <c r="K122" s="50" t="s">
        <v>3</v>
      </c>
      <c r="L122" s="50" t="s">
        <v>80</v>
      </c>
    </row>
    <row r="123" spans="2:12">
      <c r="B123" s="50" t="s">
        <v>483</v>
      </c>
      <c r="C123" s="50" t="s">
        <v>62</v>
      </c>
      <c r="D123" s="50" t="s">
        <v>27</v>
      </c>
      <c r="E123" s="50">
        <v>50010031</v>
      </c>
      <c r="F123" s="50" t="s">
        <v>89</v>
      </c>
      <c r="G123" s="50">
        <v>1</v>
      </c>
      <c r="H123" s="50" t="s">
        <v>2</v>
      </c>
      <c r="I123" s="50" t="s">
        <v>293</v>
      </c>
      <c r="J123" s="51">
        <v>46113</v>
      </c>
      <c r="K123" s="50" t="s">
        <v>1</v>
      </c>
      <c r="L123" s="50" t="s">
        <v>332</v>
      </c>
    </row>
    <row r="124" spans="2:12">
      <c r="B124" s="50" t="s">
        <v>386</v>
      </c>
      <c r="C124" s="50" t="s">
        <v>62</v>
      </c>
      <c r="D124" s="50" t="s">
        <v>27</v>
      </c>
      <c r="E124" s="50">
        <v>50038662</v>
      </c>
      <c r="F124" s="50" t="s">
        <v>193</v>
      </c>
      <c r="G124" s="50">
        <v>1</v>
      </c>
      <c r="H124" s="50" t="s">
        <v>2</v>
      </c>
      <c r="I124" s="50" t="s">
        <v>293</v>
      </c>
      <c r="J124" s="51">
        <v>46113</v>
      </c>
      <c r="K124" s="50" t="s">
        <v>1</v>
      </c>
      <c r="L124" s="50" t="s">
        <v>80</v>
      </c>
    </row>
    <row r="125" spans="2:12">
      <c r="B125" s="50" t="s">
        <v>345</v>
      </c>
      <c r="C125" s="50" t="s">
        <v>62</v>
      </c>
      <c r="D125" s="50" t="s">
        <v>27</v>
      </c>
      <c r="E125" s="50">
        <v>50003296</v>
      </c>
      <c r="F125" s="50" t="s">
        <v>157</v>
      </c>
      <c r="G125" s="50">
        <v>1</v>
      </c>
      <c r="H125" s="50" t="s">
        <v>2</v>
      </c>
      <c r="I125" s="50" t="s">
        <v>293</v>
      </c>
      <c r="J125" s="51">
        <v>46113</v>
      </c>
      <c r="K125" s="50" t="s">
        <v>1</v>
      </c>
      <c r="L125" s="50" t="s">
        <v>80</v>
      </c>
    </row>
    <row r="126" spans="2:12">
      <c r="B126" s="50" t="s">
        <v>438</v>
      </c>
      <c r="C126" s="50" t="s">
        <v>51</v>
      </c>
      <c r="D126" s="50" t="s">
        <v>27</v>
      </c>
      <c r="E126" s="50">
        <v>50038841</v>
      </c>
      <c r="F126" s="50" t="s">
        <v>180</v>
      </c>
      <c r="G126" s="50">
        <v>1</v>
      </c>
      <c r="H126" s="50" t="s">
        <v>2</v>
      </c>
      <c r="I126" s="50" t="s">
        <v>293</v>
      </c>
      <c r="J126" s="51">
        <v>46113</v>
      </c>
      <c r="K126" s="50" t="s">
        <v>1</v>
      </c>
      <c r="L126" s="50" t="s">
        <v>80</v>
      </c>
    </row>
    <row r="127" spans="2:12">
      <c r="B127" s="50" t="s">
        <v>438</v>
      </c>
      <c r="C127" s="50" t="s">
        <v>51</v>
      </c>
      <c r="D127" s="50" t="s">
        <v>27</v>
      </c>
      <c r="E127" s="50">
        <v>50041195</v>
      </c>
      <c r="F127" s="50" t="s">
        <v>206</v>
      </c>
      <c r="G127" s="50">
        <v>1</v>
      </c>
      <c r="H127" s="50" t="s">
        <v>2</v>
      </c>
      <c r="I127" s="50" t="s">
        <v>293</v>
      </c>
      <c r="J127" s="51">
        <v>46113</v>
      </c>
      <c r="K127" s="50" t="s">
        <v>1</v>
      </c>
      <c r="L127" s="50" t="s">
        <v>80</v>
      </c>
    </row>
    <row r="128" spans="2:12">
      <c r="B128" s="50" t="s">
        <v>438</v>
      </c>
      <c r="C128" s="50" t="s">
        <v>51</v>
      </c>
      <c r="D128" s="50" t="s">
        <v>27</v>
      </c>
      <c r="E128" s="50">
        <v>50003297</v>
      </c>
      <c r="F128" s="50" t="s">
        <v>158</v>
      </c>
      <c r="G128" s="50">
        <v>1</v>
      </c>
      <c r="H128" s="50" t="s">
        <v>2</v>
      </c>
      <c r="I128" s="50" t="s">
        <v>293</v>
      </c>
      <c r="J128" s="51">
        <v>46113</v>
      </c>
      <c r="K128" s="50" t="s">
        <v>1</v>
      </c>
      <c r="L128" s="50" t="s">
        <v>80</v>
      </c>
    </row>
    <row r="129" spans="2:12">
      <c r="B129" s="50" t="s">
        <v>413</v>
      </c>
      <c r="C129" s="50" t="s">
        <v>51</v>
      </c>
      <c r="D129" s="50" t="s">
        <v>39</v>
      </c>
      <c r="E129" s="50">
        <v>50046658</v>
      </c>
      <c r="F129" s="50" t="s">
        <v>376</v>
      </c>
      <c r="G129" s="50">
        <v>1</v>
      </c>
      <c r="H129" s="50" t="s">
        <v>2</v>
      </c>
      <c r="I129" s="50" t="s">
        <v>293</v>
      </c>
      <c r="J129" s="51">
        <v>46113</v>
      </c>
      <c r="K129" s="50" t="s">
        <v>1</v>
      </c>
      <c r="L129" s="50" t="s">
        <v>80</v>
      </c>
    </row>
    <row r="130" spans="2:12">
      <c r="B130" s="50" t="s">
        <v>406</v>
      </c>
      <c r="C130" s="50" t="s">
        <v>26</v>
      </c>
      <c r="D130" s="50" t="s">
        <v>27</v>
      </c>
      <c r="E130" s="50">
        <v>50022878</v>
      </c>
      <c r="F130" s="50" t="s">
        <v>296</v>
      </c>
      <c r="G130" s="50">
        <v>1</v>
      </c>
      <c r="H130" s="50" t="s">
        <v>2</v>
      </c>
      <c r="I130" s="50" t="s">
        <v>293</v>
      </c>
      <c r="J130" s="51">
        <v>46113</v>
      </c>
      <c r="K130" s="50" t="s">
        <v>1</v>
      </c>
      <c r="L130" s="50" t="s">
        <v>80</v>
      </c>
    </row>
    <row r="131" spans="2:12">
      <c r="B131" s="50" t="s">
        <v>471</v>
      </c>
      <c r="C131" s="50" t="s">
        <v>26</v>
      </c>
      <c r="D131" s="50" t="s">
        <v>39</v>
      </c>
      <c r="E131" s="50">
        <v>50038517</v>
      </c>
      <c r="F131" s="50" t="s">
        <v>181</v>
      </c>
      <c r="G131" s="50">
        <v>1</v>
      </c>
      <c r="H131" s="50" t="s">
        <v>2</v>
      </c>
      <c r="I131" s="50" t="s">
        <v>293</v>
      </c>
      <c r="J131" s="51">
        <v>46113</v>
      </c>
      <c r="K131" s="50" t="s">
        <v>3</v>
      </c>
      <c r="L131" s="50" t="s">
        <v>80</v>
      </c>
    </row>
    <row r="132" spans="2:12">
      <c r="B132" s="50" t="s">
        <v>418</v>
      </c>
      <c r="C132" s="50" t="s">
        <v>26</v>
      </c>
      <c r="D132" s="50" t="s">
        <v>27</v>
      </c>
      <c r="E132" s="50">
        <v>50038517</v>
      </c>
      <c r="F132" s="50" t="s">
        <v>181</v>
      </c>
      <c r="G132" s="50">
        <v>1</v>
      </c>
      <c r="H132" s="50" t="s">
        <v>2</v>
      </c>
      <c r="I132" s="50" t="s">
        <v>293</v>
      </c>
      <c r="J132" s="51">
        <v>46113</v>
      </c>
      <c r="K132" s="50" t="s">
        <v>1</v>
      </c>
      <c r="L132" s="50" t="s">
        <v>80</v>
      </c>
    </row>
    <row r="133" spans="2:12">
      <c r="B133" s="50" t="s">
        <v>471</v>
      </c>
      <c r="C133" s="50" t="s">
        <v>26</v>
      </c>
      <c r="D133" s="50" t="s">
        <v>39</v>
      </c>
      <c r="E133" s="50">
        <v>50038518</v>
      </c>
      <c r="F133" s="50" t="s">
        <v>340</v>
      </c>
      <c r="G133" s="50">
        <v>1</v>
      </c>
      <c r="H133" s="50" t="s">
        <v>2</v>
      </c>
      <c r="I133" s="50" t="s">
        <v>293</v>
      </c>
      <c r="J133" s="51">
        <v>46113</v>
      </c>
      <c r="K133" s="50" t="s">
        <v>1</v>
      </c>
      <c r="L133" s="50" t="s">
        <v>350</v>
      </c>
    </row>
    <row r="134" spans="2:12">
      <c r="B134" s="50" t="s">
        <v>394</v>
      </c>
      <c r="C134" s="50" t="s">
        <v>51</v>
      </c>
      <c r="D134" s="50" t="s">
        <v>27</v>
      </c>
      <c r="E134" s="50">
        <v>50032781</v>
      </c>
      <c r="F134" s="50" t="s">
        <v>237</v>
      </c>
      <c r="G134" s="50">
        <v>1</v>
      </c>
      <c r="H134" s="50" t="s">
        <v>2</v>
      </c>
      <c r="I134" s="50" t="s">
        <v>293</v>
      </c>
      <c r="J134" s="51">
        <v>46113</v>
      </c>
      <c r="K134" s="50" t="s">
        <v>1</v>
      </c>
      <c r="L134" s="50" t="s">
        <v>80</v>
      </c>
    </row>
    <row r="135" spans="2:12">
      <c r="B135" s="50" t="s">
        <v>316</v>
      </c>
      <c r="C135" s="50" t="s">
        <v>51</v>
      </c>
      <c r="D135" s="50" t="s">
        <v>27</v>
      </c>
      <c r="E135" s="50">
        <v>50032781</v>
      </c>
      <c r="F135" s="50" t="s">
        <v>237</v>
      </c>
      <c r="G135" s="50">
        <v>1</v>
      </c>
      <c r="H135" s="50" t="s">
        <v>2</v>
      </c>
      <c r="I135" s="50" t="s">
        <v>293</v>
      </c>
      <c r="J135" s="51">
        <v>46113</v>
      </c>
      <c r="K135" s="50" t="s">
        <v>1</v>
      </c>
      <c r="L135" s="50" t="s">
        <v>80</v>
      </c>
    </row>
    <row r="136" spans="2:12">
      <c r="B136" s="50" t="s">
        <v>345</v>
      </c>
      <c r="C136" s="50" t="s">
        <v>56</v>
      </c>
      <c r="D136" s="50" t="s">
        <v>27</v>
      </c>
      <c r="E136" s="50">
        <v>50038549</v>
      </c>
      <c r="F136" s="50" t="s">
        <v>173</v>
      </c>
      <c r="G136" s="50">
        <v>1</v>
      </c>
      <c r="H136" s="50" t="s">
        <v>2</v>
      </c>
      <c r="I136" s="50" t="s">
        <v>293</v>
      </c>
      <c r="J136" s="51">
        <v>46113</v>
      </c>
      <c r="K136" s="50" t="s">
        <v>3</v>
      </c>
      <c r="L136" s="50" t="s">
        <v>80</v>
      </c>
    </row>
    <row r="137" spans="2:12">
      <c r="B137" s="50" t="s">
        <v>413</v>
      </c>
      <c r="C137" s="50" t="s">
        <v>51</v>
      </c>
      <c r="D137" s="50" t="s">
        <v>39</v>
      </c>
      <c r="E137" s="50">
        <v>50046658</v>
      </c>
      <c r="F137" s="50" t="s">
        <v>376</v>
      </c>
      <c r="G137" s="50">
        <v>1</v>
      </c>
      <c r="H137" s="50" t="s">
        <v>2</v>
      </c>
      <c r="I137" s="50" t="s">
        <v>293</v>
      </c>
      <c r="J137" s="51">
        <v>46113</v>
      </c>
      <c r="K137" s="50" t="s">
        <v>3</v>
      </c>
      <c r="L137" s="50" t="s">
        <v>80</v>
      </c>
    </row>
    <row r="138" spans="2:12">
      <c r="B138" s="50" t="s">
        <v>471</v>
      </c>
      <c r="C138" s="50" t="s">
        <v>26</v>
      </c>
      <c r="D138" s="50" t="s">
        <v>39</v>
      </c>
      <c r="E138" s="50">
        <v>50038518</v>
      </c>
      <c r="F138" s="50" t="s">
        <v>340</v>
      </c>
      <c r="G138" s="50">
        <v>1</v>
      </c>
      <c r="H138" s="50" t="s">
        <v>2</v>
      </c>
      <c r="I138" s="50" t="s">
        <v>293</v>
      </c>
      <c r="J138" s="51">
        <v>46113</v>
      </c>
      <c r="K138" s="50" t="s">
        <v>3</v>
      </c>
      <c r="L138" s="50" t="s">
        <v>80</v>
      </c>
    </row>
    <row r="139" spans="2:12">
      <c r="B139" s="50" t="s">
        <v>345</v>
      </c>
      <c r="C139" s="50" t="s">
        <v>62</v>
      </c>
      <c r="D139" s="50" t="s">
        <v>27</v>
      </c>
      <c r="E139" s="50">
        <v>50020624</v>
      </c>
      <c r="F139" s="50" t="s">
        <v>217</v>
      </c>
      <c r="G139" s="50">
        <v>1</v>
      </c>
      <c r="H139" s="50" t="s">
        <v>2</v>
      </c>
      <c r="I139" s="50" t="s">
        <v>293</v>
      </c>
      <c r="J139" s="51">
        <v>46113</v>
      </c>
      <c r="K139" s="50" t="s">
        <v>1</v>
      </c>
      <c r="L139" s="50" t="s">
        <v>80</v>
      </c>
    </row>
    <row r="140" spans="2:12">
      <c r="B140" s="50" t="s">
        <v>418</v>
      </c>
      <c r="C140" s="50" t="s">
        <v>26</v>
      </c>
      <c r="D140" s="50" t="s">
        <v>27</v>
      </c>
      <c r="E140" s="50">
        <v>50038517</v>
      </c>
      <c r="F140" s="50" t="s">
        <v>181</v>
      </c>
      <c r="G140" s="50">
        <v>1</v>
      </c>
      <c r="H140" s="50" t="s">
        <v>2</v>
      </c>
      <c r="I140" s="50" t="s">
        <v>293</v>
      </c>
      <c r="J140" s="51">
        <v>46113</v>
      </c>
      <c r="K140" s="50" t="s">
        <v>3</v>
      </c>
      <c r="L140" s="50" t="s">
        <v>80</v>
      </c>
    </row>
    <row r="141" spans="2:12">
      <c r="B141" s="50" t="s">
        <v>394</v>
      </c>
      <c r="C141" s="50" t="s">
        <v>51</v>
      </c>
      <c r="D141" s="50" t="s">
        <v>27</v>
      </c>
      <c r="E141" s="50">
        <v>50022878</v>
      </c>
      <c r="F141" s="50" t="s">
        <v>296</v>
      </c>
      <c r="G141" s="50">
        <v>1</v>
      </c>
      <c r="H141" s="50" t="s">
        <v>2</v>
      </c>
      <c r="I141" s="50" t="s">
        <v>293</v>
      </c>
      <c r="J141" s="51">
        <v>46113</v>
      </c>
      <c r="K141" s="50" t="s">
        <v>1</v>
      </c>
      <c r="L141" s="50" t="s">
        <v>80</v>
      </c>
    </row>
    <row r="142" spans="2:12">
      <c r="B142" s="50" t="s">
        <v>406</v>
      </c>
      <c r="C142" s="50" t="s">
        <v>26</v>
      </c>
      <c r="D142" s="50" t="s">
        <v>27</v>
      </c>
      <c r="E142" s="50">
        <v>50022878</v>
      </c>
      <c r="F142" s="50" t="s">
        <v>296</v>
      </c>
      <c r="G142" s="50">
        <v>1</v>
      </c>
      <c r="H142" s="50" t="s">
        <v>2</v>
      </c>
      <c r="I142" s="50" t="s">
        <v>293</v>
      </c>
      <c r="J142" s="51">
        <v>46113</v>
      </c>
      <c r="K142" s="50" t="s">
        <v>3</v>
      </c>
      <c r="L142" s="50" t="s">
        <v>80</v>
      </c>
    </row>
    <row r="143" spans="2:12">
      <c r="B143" s="50" t="s">
        <v>428</v>
      </c>
      <c r="C143" s="50" t="s">
        <v>26</v>
      </c>
      <c r="D143" s="50" t="s">
        <v>27</v>
      </c>
      <c r="E143" s="50">
        <v>50022878</v>
      </c>
      <c r="F143" s="50" t="s">
        <v>296</v>
      </c>
      <c r="G143" s="50">
        <v>1</v>
      </c>
      <c r="H143" s="50" t="s">
        <v>2</v>
      </c>
      <c r="I143" s="50" t="s">
        <v>293</v>
      </c>
      <c r="J143" s="51">
        <v>46113</v>
      </c>
      <c r="K143" s="50" t="s">
        <v>1</v>
      </c>
      <c r="L143" s="50" t="s">
        <v>80</v>
      </c>
    </row>
    <row r="144" spans="2:12">
      <c r="B144" s="50" t="s">
        <v>450</v>
      </c>
      <c r="C144" s="50" t="s">
        <v>61</v>
      </c>
      <c r="D144" s="50" t="s">
        <v>39</v>
      </c>
      <c r="E144" s="50">
        <v>50038517</v>
      </c>
      <c r="F144" s="50" t="s">
        <v>181</v>
      </c>
      <c r="G144" s="50">
        <v>1</v>
      </c>
      <c r="H144" s="50" t="s">
        <v>2</v>
      </c>
      <c r="I144" s="50" t="s">
        <v>292</v>
      </c>
      <c r="J144" s="51">
        <v>46113</v>
      </c>
      <c r="K144" s="50" t="s">
        <v>1</v>
      </c>
      <c r="L144" s="50" t="s">
        <v>80</v>
      </c>
    </row>
    <row r="145" spans="2:12">
      <c r="B145" s="50" t="s">
        <v>316</v>
      </c>
      <c r="C145" s="50" t="s">
        <v>51</v>
      </c>
      <c r="D145" s="50" t="s">
        <v>27</v>
      </c>
      <c r="E145" s="50">
        <v>50038518</v>
      </c>
      <c r="F145" s="50" t="s">
        <v>340</v>
      </c>
      <c r="G145" s="50">
        <v>1</v>
      </c>
      <c r="H145" s="50" t="s">
        <v>2</v>
      </c>
      <c r="I145" s="50" t="s">
        <v>288</v>
      </c>
      <c r="J145" s="51">
        <v>46113</v>
      </c>
      <c r="K145" s="50" t="s">
        <v>1</v>
      </c>
      <c r="L145" s="50" t="s">
        <v>80</v>
      </c>
    </row>
    <row r="146" spans="2:12">
      <c r="B146" s="50" t="s">
        <v>316</v>
      </c>
      <c r="C146" s="50" t="s">
        <v>51</v>
      </c>
      <c r="D146" s="50" t="s">
        <v>27</v>
      </c>
      <c r="E146" s="50">
        <v>50038195</v>
      </c>
      <c r="F146" s="50" t="s">
        <v>239</v>
      </c>
      <c r="G146" s="50">
        <v>1</v>
      </c>
      <c r="H146" s="50" t="s">
        <v>2</v>
      </c>
      <c r="I146" s="50" t="s">
        <v>288</v>
      </c>
      <c r="J146" s="51">
        <v>46113</v>
      </c>
      <c r="K146" s="50" t="s">
        <v>1</v>
      </c>
      <c r="L146" s="50" t="s">
        <v>80</v>
      </c>
    </row>
    <row r="147" spans="2:12">
      <c r="B147" s="50" t="s">
        <v>394</v>
      </c>
      <c r="C147" s="50" t="s">
        <v>51</v>
      </c>
      <c r="D147" s="50" t="s">
        <v>27</v>
      </c>
      <c r="E147" s="50">
        <v>50022878</v>
      </c>
      <c r="F147" s="50" t="s">
        <v>296</v>
      </c>
      <c r="G147" s="50">
        <v>1</v>
      </c>
      <c r="H147" s="50" t="s">
        <v>2</v>
      </c>
      <c r="I147" s="50" t="s">
        <v>288</v>
      </c>
      <c r="J147" s="51">
        <v>46113</v>
      </c>
      <c r="K147" s="50" t="s">
        <v>3</v>
      </c>
      <c r="L147" s="50" t="s">
        <v>80</v>
      </c>
    </row>
    <row r="148" spans="2:12">
      <c r="B148" s="50" t="s">
        <v>394</v>
      </c>
      <c r="C148" s="50" t="s">
        <v>51</v>
      </c>
      <c r="D148" s="50" t="s">
        <v>27</v>
      </c>
      <c r="E148" s="50">
        <v>50032781</v>
      </c>
      <c r="F148" s="50" t="s">
        <v>237</v>
      </c>
      <c r="G148" s="50">
        <v>1</v>
      </c>
      <c r="H148" s="50" t="s">
        <v>2</v>
      </c>
      <c r="I148" s="50" t="s">
        <v>288</v>
      </c>
      <c r="J148" s="51">
        <v>46113</v>
      </c>
      <c r="K148" s="50" t="s">
        <v>3</v>
      </c>
      <c r="L148" s="50" t="s">
        <v>80</v>
      </c>
    </row>
    <row r="149" spans="2:12">
      <c r="B149" s="50" t="s">
        <v>316</v>
      </c>
      <c r="C149" s="50" t="s">
        <v>51</v>
      </c>
      <c r="D149" s="50" t="s">
        <v>27</v>
      </c>
      <c r="E149" s="50">
        <v>50038518</v>
      </c>
      <c r="F149" s="50" t="s">
        <v>340</v>
      </c>
      <c r="G149" s="50">
        <v>1</v>
      </c>
      <c r="H149" s="50" t="s">
        <v>2</v>
      </c>
      <c r="I149" s="50" t="s">
        <v>297</v>
      </c>
      <c r="J149" s="51">
        <v>46113</v>
      </c>
      <c r="K149" s="50" t="s">
        <v>3</v>
      </c>
      <c r="L149" s="50" t="s">
        <v>80</v>
      </c>
    </row>
    <row r="150" spans="2:12">
      <c r="B150" s="50" t="s">
        <v>363</v>
      </c>
      <c r="C150" s="50" t="s">
        <v>26</v>
      </c>
      <c r="D150" s="50" t="s">
        <v>41</v>
      </c>
      <c r="E150" s="50">
        <v>50046617</v>
      </c>
      <c r="F150" s="50" t="s">
        <v>365</v>
      </c>
      <c r="G150" s="50">
        <v>1</v>
      </c>
      <c r="H150" s="50" t="s">
        <v>2</v>
      </c>
      <c r="I150" s="50" t="s">
        <v>297</v>
      </c>
      <c r="J150" s="51">
        <v>46113</v>
      </c>
      <c r="K150" s="50" t="s">
        <v>3</v>
      </c>
      <c r="L150" s="50" t="s">
        <v>80</v>
      </c>
    </row>
    <row r="151" spans="2:12">
      <c r="B151" s="50" t="s">
        <v>316</v>
      </c>
      <c r="C151" s="50" t="s">
        <v>51</v>
      </c>
      <c r="D151" s="50" t="s">
        <v>27</v>
      </c>
      <c r="E151" s="50">
        <v>50032781</v>
      </c>
      <c r="F151" s="50" t="s">
        <v>237</v>
      </c>
      <c r="G151" s="50">
        <v>1</v>
      </c>
      <c r="H151" s="50" t="s">
        <v>2</v>
      </c>
      <c r="I151" s="50" t="s">
        <v>297</v>
      </c>
      <c r="J151" s="51">
        <v>46113</v>
      </c>
      <c r="K151" s="50" t="s">
        <v>3</v>
      </c>
      <c r="L151" s="50" t="s">
        <v>80</v>
      </c>
    </row>
    <row r="152" spans="2:12">
      <c r="B152" s="50" t="s">
        <v>316</v>
      </c>
      <c r="C152" s="50" t="s">
        <v>51</v>
      </c>
      <c r="D152" s="50" t="s">
        <v>27</v>
      </c>
      <c r="E152" s="50">
        <v>50038195</v>
      </c>
      <c r="F152" s="50" t="s">
        <v>239</v>
      </c>
      <c r="G152" s="50">
        <v>1</v>
      </c>
      <c r="H152" s="50" t="s">
        <v>2</v>
      </c>
      <c r="I152" s="50" t="s">
        <v>297</v>
      </c>
      <c r="J152" s="51">
        <v>46113</v>
      </c>
      <c r="K152" s="50" t="s">
        <v>3</v>
      </c>
      <c r="L152" s="50" t="s">
        <v>80</v>
      </c>
    </row>
    <row r="153" spans="2:12">
      <c r="B153" s="50" t="s">
        <v>468</v>
      </c>
      <c r="C153" s="50" t="s">
        <v>56</v>
      </c>
      <c r="D153" s="50" t="s">
        <v>41</v>
      </c>
      <c r="E153" s="50">
        <v>50038549</v>
      </c>
      <c r="F153" s="50" t="s">
        <v>173</v>
      </c>
      <c r="G153" s="50">
        <v>1</v>
      </c>
      <c r="H153" s="50" t="s">
        <v>2</v>
      </c>
      <c r="I153" s="50" t="s">
        <v>297</v>
      </c>
      <c r="J153" s="51">
        <v>46113</v>
      </c>
      <c r="K153" s="50" t="s">
        <v>1</v>
      </c>
      <c r="L153" s="50" t="s">
        <v>80</v>
      </c>
    </row>
    <row r="154" spans="2:12">
      <c r="B154" s="50" t="s">
        <v>437</v>
      </c>
      <c r="C154" s="50" t="s">
        <v>51</v>
      </c>
      <c r="D154" s="50" t="s">
        <v>41</v>
      </c>
      <c r="E154" s="50">
        <v>50046617</v>
      </c>
      <c r="F154" s="50" t="s">
        <v>365</v>
      </c>
      <c r="G154" s="50">
        <v>1</v>
      </c>
      <c r="H154" s="50" t="s">
        <v>2</v>
      </c>
      <c r="I154" s="50" t="s">
        <v>297</v>
      </c>
      <c r="J154" s="51">
        <v>46113</v>
      </c>
      <c r="K154" s="50" t="s">
        <v>3</v>
      </c>
      <c r="L154" s="50" t="s">
        <v>80</v>
      </c>
    </row>
    <row r="155" spans="2:12">
      <c r="B155" s="50" t="s">
        <v>444</v>
      </c>
      <c r="C155" s="50" t="s">
        <v>51</v>
      </c>
      <c r="D155" s="50" t="s">
        <v>27</v>
      </c>
      <c r="E155" s="50">
        <v>50046617</v>
      </c>
      <c r="F155" s="50" t="s">
        <v>365</v>
      </c>
      <c r="G155" s="50">
        <v>1</v>
      </c>
      <c r="H155" s="50" t="s">
        <v>2</v>
      </c>
      <c r="I155" s="50" t="s">
        <v>297</v>
      </c>
      <c r="J155" s="51">
        <v>46113</v>
      </c>
      <c r="K155" s="50" t="s">
        <v>1</v>
      </c>
      <c r="L155" s="50" t="s">
        <v>80</v>
      </c>
    </row>
    <row r="156" spans="2:12">
      <c r="B156" s="50" t="s">
        <v>428</v>
      </c>
      <c r="C156" s="50" t="s">
        <v>26</v>
      </c>
      <c r="D156" s="50" t="s">
        <v>27</v>
      </c>
      <c r="E156" s="50">
        <v>50022878</v>
      </c>
      <c r="F156" s="50" t="s">
        <v>296</v>
      </c>
      <c r="G156" s="50">
        <v>1</v>
      </c>
      <c r="H156" s="50" t="s">
        <v>2</v>
      </c>
      <c r="I156" s="50" t="s">
        <v>297</v>
      </c>
      <c r="J156" s="51">
        <v>46113</v>
      </c>
      <c r="K156" s="50" t="s">
        <v>3</v>
      </c>
      <c r="L156" s="50" t="s">
        <v>80</v>
      </c>
    </row>
    <row r="157" spans="2:12">
      <c r="B157" s="50" t="s">
        <v>444</v>
      </c>
      <c r="C157" s="50" t="s">
        <v>51</v>
      </c>
      <c r="D157" s="50" t="s">
        <v>27</v>
      </c>
      <c r="E157" s="50">
        <v>50046617</v>
      </c>
      <c r="F157" s="50" t="s">
        <v>365</v>
      </c>
      <c r="G157" s="50">
        <v>1</v>
      </c>
      <c r="H157" s="50" t="s">
        <v>2</v>
      </c>
      <c r="I157" s="50" t="s">
        <v>297</v>
      </c>
      <c r="J157" s="51">
        <v>46113</v>
      </c>
      <c r="K157" s="50" t="s">
        <v>3</v>
      </c>
      <c r="L157" s="50" t="s">
        <v>80</v>
      </c>
    </row>
    <row r="158" spans="2:12">
      <c r="B158" s="50" t="s">
        <v>363</v>
      </c>
      <c r="C158" s="50" t="s">
        <v>26</v>
      </c>
      <c r="D158" s="50" t="s">
        <v>41</v>
      </c>
      <c r="E158" s="50">
        <v>50046617</v>
      </c>
      <c r="F158" s="50" t="s">
        <v>365</v>
      </c>
      <c r="G158" s="50">
        <v>1</v>
      </c>
      <c r="H158" s="50" t="s">
        <v>2</v>
      </c>
      <c r="I158" s="50" t="s">
        <v>297</v>
      </c>
      <c r="J158" s="51">
        <v>46113</v>
      </c>
      <c r="K158" s="50" t="s">
        <v>1</v>
      </c>
      <c r="L158" s="50" t="s">
        <v>80</v>
      </c>
    </row>
    <row r="159" spans="2:12">
      <c r="B159" s="50" t="s">
        <v>345</v>
      </c>
      <c r="C159" s="50" t="s">
        <v>62</v>
      </c>
      <c r="D159" s="50" t="s">
        <v>27</v>
      </c>
      <c r="E159" s="50">
        <v>50003296</v>
      </c>
      <c r="F159" s="50" t="s">
        <v>157</v>
      </c>
      <c r="G159" s="50">
        <v>1</v>
      </c>
      <c r="H159" s="50" t="s">
        <v>2</v>
      </c>
      <c r="I159" s="50" t="s">
        <v>288</v>
      </c>
      <c r="J159" s="51">
        <v>46113</v>
      </c>
      <c r="K159" s="50" t="s">
        <v>3</v>
      </c>
      <c r="L159" s="50" t="s">
        <v>80</v>
      </c>
    </row>
    <row r="160" spans="2:12">
      <c r="B160" s="50" t="s">
        <v>345</v>
      </c>
      <c r="C160" s="50" t="s">
        <v>62</v>
      </c>
      <c r="D160" s="50" t="s">
        <v>27</v>
      </c>
      <c r="E160" s="50">
        <v>50020624</v>
      </c>
      <c r="F160" s="50" t="s">
        <v>217</v>
      </c>
      <c r="G160" s="50">
        <v>1</v>
      </c>
      <c r="H160" s="50" t="s">
        <v>2</v>
      </c>
      <c r="I160" s="50" t="s">
        <v>288</v>
      </c>
      <c r="J160" s="51">
        <v>46113</v>
      </c>
      <c r="K160" s="50" t="s">
        <v>3</v>
      </c>
      <c r="L160" s="50" t="s">
        <v>80</v>
      </c>
    </row>
    <row r="161" spans="2:12">
      <c r="B161" s="50" t="s">
        <v>483</v>
      </c>
      <c r="C161" s="50" t="s">
        <v>62</v>
      </c>
      <c r="D161" s="50" t="s">
        <v>27</v>
      </c>
      <c r="E161" s="50">
        <v>50010031</v>
      </c>
      <c r="F161" s="50" t="s">
        <v>89</v>
      </c>
      <c r="G161" s="50">
        <v>1</v>
      </c>
      <c r="H161" s="50" t="s">
        <v>2</v>
      </c>
      <c r="I161" s="50" t="s">
        <v>288</v>
      </c>
      <c r="J161" s="51">
        <v>46113</v>
      </c>
      <c r="K161" s="50" t="s">
        <v>3</v>
      </c>
      <c r="L161" s="50" t="s">
        <v>80</v>
      </c>
    </row>
    <row r="162" spans="2:12">
      <c r="B162" s="50" t="s">
        <v>386</v>
      </c>
      <c r="C162" s="50" t="s">
        <v>62</v>
      </c>
      <c r="D162" s="50" t="s">
        <v>27</v>
      </c>
      <c r="E162" s="50">
        <v>50038662</v>
      </c>
      <c r="F162" s="50" t="s">
        <v>193</v>
      </c>
      <c r="G162" s="50">
        <v>1</v>
      </c>
      <c r="H162" s="50" t="s">
        <v>2</v>
      </c>
      <c r="I162" s="50" t="s">
        <v>288</v>
      </c>
      <c r="J162" s="51">
        <v>46113</v>
      </c>
      <c r="K162" s="50" t="s">
        <v>3</v>
      </c>
      <c r="L162" s="50" t="s">
        <v>80</v>
      </c>
    </row>
    <row r="163" spans="2:12">
      <c r="B163" s="50" t="s">
        <v>363</v>
      </c>
      <c r="C163" s="50" t="s">
        <v>26</v>
      </c>
      <c r="D163" s="50" t="s">
        <v>41</v>
      </c>
      <c r="E163" s="50">
        <v>50046617</v>
      </c>
      <c r="F163" s="50" t="s">
        <v>365</v>
      </c>
      <c r="G163" s="50">
        <v>1</v>
      </c>
      <c r="H163" s="50" t="s">
        <v>2</v>
      </c>
      <c r="I163" s="50" t="s">
        <v>288</v>
      </c>
      <c r="J163" s="51">
        <v>46113</v>
      </c>
      <c r="K163" s="50" t="s">
        <v>3</v>
      </c>
      <c r="L163" s="50" t="s">
        <v>80</v>
      </c>
    </row>
    <row r="164" spans="2:12">
      <c r="B164" s="50" t="s">
        <v>468</v>
      </c>
      <c r="C164" s="50" t="s">
        <v>56</v>
      </c>
      <c r="D164" s="50" t="s">
        <v>41</v>
      </c>
      <c r="E164" s="50">
        <v>50038549</v>
      </c>
      <c r="F164" s="50" t="s">
        <v>173</v>
      </c>
      <c r="G164" s="50">
        <v>1</v>
      </c>
      <c r="H164" s="50" t="s">
        <v>2</v>
      </c>
      <c r="I164" s="50" t="s">
        <v>288</v>
      </c>
      <c r="J164" s="51">
        <v>46113</v>
      </c>
      <c r="K164" s="50" t="s">
        <v>3</v>
      </c>
      <c r="L164" s="50" t="s">
        <v>80</v>
      </c>
    </row>
    <row r="165" spans="2:12">
      <c r="B165" s="50" t="s">
        <v>450</v>
      </c>
      <c r="C165" s="50" t="s">
        <v>61</v>
      </c>
      <c r="D165" s="50" t="s">
        <v>39</v>
      </c>
      <c r="E165" s="50">
        <v>50038517</v>
      </c>
      <c r="F165" s="50" t="s">
        <v>181</v>
      </c>
      <c r="G165" s="50">
        <v>1</v>
      </c>
      <c r="H165" s="50" t="s">
        <v>2</v>
      </c>
      <c r="I165" s="50" t="s">
        <v>288</v>
      </c>
      <c r="J165" s="51">
        <v>46113</v>
      </c>
      <c r="K165" s="50" t="s">
        <v>3</v>
      </c>
      <c r="L165" s="50" t="s">
        <v>80</v>
      </c>
    </row>
    <row r="166" spans="2:12">
      <c r="B166" s="50" t="s">
        <v>438</v>
      </c>
      <c r="C166" s="50" t="s">
        <v>51</v>
      </c>
      <c r="D166" s="50" t="s">
        <v>27</v>
      </c>
      <c r="E166" s="50">
        <v>50038841</v>
      </c>
      <c r="F166" s="50" t="s">
        <v>180</v>
      </c>
      <c r="G166" s="50">
        <v>1</v>
      </c>
      <c r="H166" s="50" t="s">
        <v>2</v>
      </c>
      <c r="I166" s="50" t="s">
        <v>288</v>
      </c>
      <c r="J166" s="51">
        <v>46113</v>
      </c>
      <c r="K166" s="50" t="s">
        <v>3</v>
      </c>
      <c r="L166" s="50" t="s">
        <v>80</v>
      </c>
    </row>
    <row r="167" spans="2:12">
      <c r="B167" s="50" t="s">
        <v>438</v>
      </c>
      <c r="C167" s="50" t="s">
        <v>51</v>
      </c>
      <c r="D167" s="50" t="s">
        <v>27</v>
      </c>
      <c r="E167" s="50">
        <v>50041195</v>
      </c>
      <c r="F167" s="50" t="s">
        <v>206</v>
      </c>
      <c r="G167" s="50">
        <v>1</v>
      </c>
      <c r="H167" s="50" t="s">
        <v>2</v>
      </c>
      <c r="I167" s="50" t="s">
        <v>288</v>
      </c>
      <c r="J167" s="51">
        <v>46113</v>
      </c>
      <c r="K167" s="50" t="s">
        <v>3</v>
      </c>
      <c r="L167" s="50" t="s">
        <v>80</v>
      </c>
    </row>
    <row r="168" spans="2:12">
      <c r="B168" s="50" t="s">
        <v>438</v>
      </c>
      <c r="C168" s="50" t="s">
        <v>51</v>
      </c>
      <c r="D168" s="50" t="s">
        <v>27</v>
      </c>
      <c r="E168" s="50">
        <v>50003297</v>
      </c>
      <c r="F168" s="50" t="s">
        <v>158</v>
      </c>
      <c r="G168" s="50">
        <v>1</v>
      </c>
      <c r="H168" s="50" t="s">
        <v>2</v>
      </c>
      <c r="I168" s="50" t="s">
        <v>288</v>
      </c>
      <c r="J168" s="51">
        <v>46113</v>
      </c>
      <c r="K168" s="50" t="s">
        <v>3</v>
      </c>
      <c r="L168" s="50" t="s">
        <v>80</v>
      </c>
    </row>
    <row r="169" spans="2:12">
      <c r="B169" s="50" t="s">
        <v>413</v>
      </c>
      <c r="C169" s="50" t="s">
        <v>51</v>
      </c>
      <c r="D169" s="50" t="s">
        <v>39</v>
      </c>
      <c r="E169" s="50">
        <v>50046617</v>
      </c>
      <c r="F169" s="50" t="s">
        <v>365</v>
      </c>
      <c r="G169" s="50">
        <v>1</v>
      </c>
      <c r="H169" s="50" t="s">
        <v>2</v>
      </c>
      <c r="I169" s="50" t="s">
        <v>289</v>
      </c>
      <c r="J169" s="51">
        <v>46112</v>
      </c>
      <c r="K169" s="50" t="s">
        <v>1</v>
      </c>
      <c r="L169" s="50" t="s">
        <v>80</v>
      </c>
    </row>
    <row r="170" spans="2:12">
      <c r="B170" s="50" t="s">
        <v>413</v>
      </c>
      <c r="C170" s="50" t="s">
        <v>51</v>
      </c>
      <c r="D170" s="50" t="s">
        <v>39</v>
      </c>
      <c r="E170" s="50">
        <v>50046617</v>
      </c>
      <c r="F170" s="50" t="s">
        <v>365</v>
      </c>
      <c r="G170" s="50">
        <v>1</v>
      </c>
      <c r="H170" s="50" t="s">
        <v>2</v>
      </c>
      <c r="I170" s="50" t="s">
        <v>289</v>
      </c>
      <c r="J170" s="51">
        <v>46112</v>
      </c>
      <c r="K170" s="50" t="s">
        <v>3</v>
      </c>
      <c r="L170" s="50" t="s">
        <v>80</v>
      </c>
    </row>
    <row r="171" spans="2:12">
      <c r="B171" s="50" t="s">
        <v>474</v>
      </c>
      <c r="C171" s="50" t="s">
        <v>51</v>
      </c>
      <c r="D171" s="50" t="s">
        <v>27</v>
      </c>
      <c r="E171" s="50">
        <v>50043471</v>
      </c>
      <c r="F171" s="50" t="s">
        <v>257</v>
      </c>
      <c r="G171" s="50">
        <v>1</v>
      </c>
      <c r="H171" s="50" t="s">
        <v>2</v>
      </c>
      <c r="I171" s="50" t="s">
        <v>289</v>
      </c>
      <c r="J171" s="51">
        <v>46112</v>
      </c>
      <c r="K171" s="50" t="s">
        <v>1</v>
      </c>
      <c r="L171" s="50" t="s">
        <v>80</v>
      </c>
    </row>
    <row r="172" spans="2:12">
      <c r="B172" s="50" t="s">
        <v>345</v>
      </c>
      <c r="C172" s="50" t="s">
        <v>62</v>
      </c>
      <c r="D172" s="50" t="s">
        <v>27</v>
      </c>
      <c r="E172" s="50">
        <v>50003297</v>
      </c>
      <c r="F172" s="50" t="s">
        <v>158</v>
      </c>
      <c r="G172" s="50">
        <v>1</v>
      </c>
      <c r="H172" s="50" t="s">
        <v>2</v>
      </c>
      <c r="I172" s="50" t="s">
        <v>289</v>
      </c>
      <c r="J172" s="51">
        <v>46112</v>
      </c>
      <c r="K172" s="50" t="s">
        <v>1</v>
      </c>
      <c r="L172" s="50" t="s">
        <v>80</v>
      </c>
    </row>
    <row r="173" spans="2:12">
      <c r="B173" s="50" t="s">
        <v>438</v>
      </c>
      <c r="C173" s="50" t="s">
        <v>51</v>
      </c>
      <c r="D173" s="50" t="s">
        <v>27</v>
      </c>
      <c r="E173" s="50">
        <v>50041195</v>
      </c>
      <c r="F173" s="50" t="s">
        <v>206</v>
      </c>
      <c r="G173" s="50">
        <v>1</v>
      </c>
      <c r="H173" s="50" t="s">
        <v>2</v>
      </c>
      <c r="I173" s="50" t="s">
        <v>289</v>
      </c>
      <c r="J173" s="51">
        <v>46112</v>
      </c>
      <c r="K173" s="50" t="s">
        <v>1</v>
      </c>
      <c r="L173" s="50" t="s">
        <v>80</v>
      </c>
    </row>
    <row r="174" spans="2:12">
      <c r="B174" s="50" t="s">
        <v>399</v>
      </c>
      <c r="C174" s="50" t="s">
        <v>51</v>
      </c>
      <c r="D174" s="50" t="s">
        <v>27</v>
      </c>
      <c r="E174" s="50">
        <v>50046617</v>
      </c>
      <c r="F174" s="50" t="s">
        <v>365</v>
      </c>
      <c r="G174" s="50">
        <v>1</v>
      </c>
      <c r="H174" s="50" t="s">
        <v>2</v>
      </c>
      <c r="I174" s="50" t="s">
        <v>289</v>
      </c>
      <c r="J174" s="51">
        <v>46112</v>
      </c>
      <c r="K174" s="50" t="s">
        <v>1</v>
      </c>
      <c r="L174" s="50" t="s">
        <v>80</v>
      </c>
    </row>
    <row r="175" spans="2:12">
      <c r="B175" s="50" t="s">
        <v>409</v>
      </c>
      <c r="C175" s="50" t="s">
        <v>51</v>
      </c>
      <c r="D175" s="50" t="s">
        <v>27</v>
      </c>
      <c r="E175" s="50">
        <v>50036086</v>
      </c>
      <c r="F175" s="50" t="s">
        <v>28</v>
      </c>
      <c r="G175" s="50">
        <v>1</v>
      </c>
      <c r="H175" s="50" t="s">
        <v>2</v>
      </c>
      <c r="I175" s="50" t="s">
        <v>292</v>
      </c>
      <c r="J175" s="51">
        <v>46112</v>
      </c>
      <c r="K175" s="50" t="s">
        <v>1</v>
      </c>
      <c r="L175" s="50" t="s">
        <v>80</v>
      </c>
    </row>
    <row r="176" spans="2:12">
      <c r="B176" s="50" t="s">
        <v>345</v>
      </c>
      <c r="C176" s="50" t="s">
        <v>62</v>
      </c>
      <c r="D176" s="50" t="s">
        <v>27</v>
      </c>
      <c r="E176" s="50">
        <v>50026357</v>
      </c>
      <c r="F176" s="50" t="s">
        <v>192</v>
      </c>
      <c r="G176" s="50">
        <v>1</v>
      </c>
      <c r="H176" s="50" t="s">
        <v>2</v>
      </c>
      <c r="I176" s="50" t="s">
        <v>292</v>
      </c>
      <c r="J176" s="51">
        <v>46112</v>
      </c>
      <c r="K176" s="50" t="s">
        <v>1</v>
      </c>
      <c r="L176" s="50" t="s">
        <v>80</v>
      </c>
    </row>
    <row r="177" spans="2:12">
      <c r="B177" s="50" t="s">
        <v>466</v>
      </c>
      <c r="C177" s="50" t="s">
        <v>62</v>
      </c>
      <c r="D177" s="50" t="s">
        <v>27</v>
      </c>
      <c r="E177" s="50">
        <v>50038662</v>
      </c>
      <c r="F177" s="50" t="s">
        <v>193</v>
      </c>
      <c r="G177" s="50">
        <v>1</v>
      </c>
      <c r="H177" s="50" t="s">
        <v>2</v>
      </c>
      <c r="I177" s="50" t="s">
        <v>293</v>
      </c>
      <c r="J177" s="51">
        <v>46112</v>
      </c>
      <c r="K177" s="50" t="s">
        <v>1</v>
      </c>
      <c r="L177" s="50" t="s">
        <v>80</v>
      </c>
    </row>
    <row r="178" spans="2:12">
      <c r="B178" s="50" t="s">
        <v>363</v>
      </c>
      <c r="C178" s="50" t="s">
        <v>26</v>
      </c>
      <c r="D178" s="50" t="s">
        <v>41</v>
      </c>
      <c r="E178" s="50">
        <v>50020624</v>
      </c>
      <c r="F178" s="50" t="s">
        <v>217</v>
      </c>
      <c r="G178" s="50">
        <v>1</v>
      </c>
      <c r="H178" s="50" t="s">
        <v>2</v>
      </c>
      <c r="I178" s="50" t="s">
        <v>293</v>
      </c>
      <c r="J178" s="51">
        <v>46112</v>
      </c>
      <c r="K178" s="50" t="s">
        <v>1</v>
      </c>
      <c r="L178" s="50" t="s">
        <v>80</v>
      </c>
    </row>
    <row r="179" spans="2:12">
      <c r="B179" s="50" t="s">
        <v>316</v>
      </c>
      <c r="C179" s="50" t="s">
        <v>56</v>
      </c>
      <c r="D179" s="50" t="s">
        <v>27</v>
      </c>
      <c r="E179" s="50">
        <v>50003296</v>
      </c>
      <c r="F179" s="50" t="s">
        <v>157</v>
      </c>
      <c r="G179" s="50">
        <v>1</v>
      </c>
      <c r="H179" s="50" t="s">
        <v>2</v>
      </c>
      <c r="I179" s="50" t="s">
        <v>293</v>
      </c>
      <c r="J179" s="51">
        <v>46112</v>
      </c>
      <c r="K179" s="50" t="s">
        <v>1</v>
      </c>
      <c r="L179" s="50" t="s">
        <v>80</v>
      </c>
    </row>
    <row r="180" spans="2:12">
      <c r="B180" s="50" t="s">
        <v>316</v>
      </c>
      <c r="C180" s="50" t="s">
        <v>56</v>
      </c>
      <c r="D180" s="50" t="s">
        <v>27</v>
      </c>
      <c r="E180" s="50">
        <v>50038518</v>
      </c>
      <c r="F180" s="50" t="s">
        <v>340</v>
      </c>
      <c r="G180" s="50">
        <v>1</v>
      </c>
      <c r="H180" s="50" t="s">
        <v>2</v>
      </c>
      <c r="I180" s="50" t="s">
        <v>293</v>
      </c>
      <c r="J180" s="51">
        <v>46112</v>
      </c>
      <c r="K180" s="50" t="s">
        <v>1</v>
      </c>
      <c r="L180" s="50" t="s">
        <v>80</v>
      </c>
    </row>
    <row r="181" spans="2:12">
      <c r="B181" s="50" t="s">
        <v>409</v>
      </c>
      <c r="C181" s="50" t="s">
        <v>51</v>
      </c>
      <c r="D181" s="50" t="s">
        <v>27</v>
      </c>
      <c r="E181" s="50">
        <v>50036086</v>
      </c>
      <c r="F181" s="50" t="s">
        <v>28</v>
      </c>
      <c r="G181" s="50">
        <v>1</v>
      </c>
      <c r="H181" s="50" t="s">
        <v>2</v>
      </c>
      <c r="I181" s="50" t="s">
        <v>293</v>
      </c>
      <c r="J181" s="51">
        <v>46112</v>
      </c>
      <c r="K181" s="50" t="s">
        <v>3</v>
      </c>
      <c r="L181" s="50" t="s">
        <v>80</v>
      </c>
    </row>
    <row r="182" spans="2:12">
      <c r="B182" s="50" t="s">
        <v>399</v>
      </c>
      <c r="C182" s="50" t="s">
        <v>51</v>
      </c>
      <c r="D182" s="50" t="s">
        <v>27</v>
      </c>
      <c r="E182" s="50">
        <v>50046617</v>
      </c>
      <c r="F182" s="50" t="s">
        <v>365</v>
      </c>
      <c r="G182" s="50">
        <v>1</v>
      </c>
      <c r="H182" s="50" t="s">
        <v>2</v>
      </c>
      <c r="I182" s="50" t="s">
        <v>293</v>
      </c>
      <c r="J182" s="51">
        <v>46112</v>
      </c>
      <c r="K182" s="50" t="s">
        <v>3</v>
      </c>
      <c r="L182" s="50" t="s">
        <v>80</v>
      </c>
    </row>
    <row r="183" spans="2:12">
      <c r="B183" s="50" t="s">
        <v>438</v>
      </c>
      <c r="C183" s="50" t="s">
        <v>51</v>
      </c>
      <c r="D183" s="50" t="s">
        <v>27</v>
      </c>
      <c r="E183" s="50">
        <v>50041195</v>
      </c>
      <c r="F183" s="50" t="s">
        <v>206</v>
      </c>
      <c r="G183" s="50">
        <v>1</v>
      </c>
      <c r="H183" s="50" t="s">
        <v>2</v>
      </c>
      <c r="I183" s="50" t="s">
        <v>293</v>
      </c>
      <c r="J183" s="51">
        <v>46112</v>
      </c>
      <c r="K183" s="50" t="s">
        <v>3</v>
      </c>
      <c r="L183" s="50" t="s">
        <v>80</v>
      </c>
    </row>
    <row r="184" spans="2:12">
      <c r="B184" s="50" t="s">
        <v>363</v>
      </c>
      <c r="C184" s="50" t="s">
        <v>26</v>
      </c>
      <c r="D184" s="50" t="s">
        <v>41</v>
      </c>
      <c r="E184" s="50">
        <v>50020624</v>
      </c>
      <c r="F184" s="50" t="s">
        <v>217</v>
      </c>
      <c r="G184" s="50">
        <v>1</v>
      </c>
      <c r="H184" s="50" t="s">
        <v>2</v>
      </c>
      <c r="I184" s="50" t="s">
        <v>297</v>
      </c>
      <c r="J184" s="51">
        <v>46112</v>
      </c>
      <c r="K184" s="50" t="s">
        <v>3</v>
      </c>
      <c r="L184" s="50" t="s">
        <v>80</v>
      </c>
    </row>
    <row r="185" spans="2:12">
      <c r="B185" s="50" t="s">
        <v>420</v>
      </c>
      <c r="C185" s="50" t="s">
        <v>26</v>
      </c>
      <c r="D185" s="50" t="s">
        <v>41</v>
      </c>
      <c r="E185" s="50">
        <v>50043151</v>
      </c>
      <c r="F185" s="50" t="s">
        <v>331</v>
      </c>
      <c r="G185" s="50">
        <v>1</v>
      </c>
      <c r="H185" s="50" t="s">
        <v>2</v>
      </c>
      <c r="I185" s="50" t="s">
        <v>297</v>
      </c>
      <c r="J185" s="51">
        <v>46112</v>
      </c>
      <c r="K185" s="50" t="s">
        <v>3</v>
      </c>
      <c r="L185" s="50" t="s">
        <v>80</v>
      </c>
    </row>
    <row r="186" spans="2:12">
      <c r="B186" s="50" t="s">
        <v>345</v>
      </c>
      <c r="C186" s="50" t="s">
        <v>62</v>
      </c>
      <c r="D186" s="50" t="s">
        <v>27</v>
      </c>
      <c r="E186" s="50">
        <v>50020623</v>
      </c>
      <c r="F186" s="50" t="s">
        <v>217</v>
      </c>
      <c r="G186" s="50">
        <v>1</v>
      </c>
      <c r="H186" s="50" t="s">
        <v>2</v>
      </c>
      <c r="I186" s="50" t="s">
        <v>297</v>
      </c>
      <c r="J186" s="51">
        <v>46112</v>
      </c>
      <c r="K186" s="50" t="s">
        <v>3</v>
      </c>
      <c r="L186" s="50" t="s">
        <v>80</v>
      </c>
    </row>
    <row r="187" spans="2:12">
      <c r="B187" s="50" t="s">
        <v>345</v>
      </c>
      <c r="C187" s="50" t="s">
        <v>62</v>
      </c>
      <c r="D187" s="50" t="s">
        <v>27</v>
      </c>
      <c r="E187" s="50">
        <v>50026357</v>
      </c>
      <c r="F187" s="50" t="s">
        <v>192</v>
      </c>
      <c r="G187" s="50">
        <v>1</v>
      </c>
      <c r="H187" s="50" t="s">
        <v>2</v>
      </c>
      <c r="I187" s="50" t="s">
        <v>297</v>
      </c>
      <c r="J187" s="51">
        <v>46112</v>
      </c>
      <c r="K187" s="50" t="s">
        <v>3</v>
      </c>
      <c r="L187" s="50" t="s">
        <v>80</v>
      </c>
    </row>
    <row r="188" spans="2:12">
      <c r="B188" s="50" t="s">
        <v>466</v>
      </c>
      <c r="C188" s="50" t="s">
        <v>62</v>
      </c>
      <c r="D188" s="50" t="s">
        <v>27</v>
      </c>
      <c r="E188" s="50">
        <v>50041194</v>
      </c>
      <c r="F188" s="50" t="s">
        <v>249</v>
      </c>
      <c r="G188" s="50">
        <v>1</v>
      </c>
      <c r="H188" s="50" t="s">
        <v>2</v>
      </c>
      <c r="I188" s="50" t="s">
        <v>297</v>
      </c>
      <c r="J188" s="51">
        <v>46112</v>
      </c>
      <c r="K188" s="50" t="s">
        <v>1</v>
      </c>
      <c r="L188" s="50" t="s">
        <v>80</v>
      </c>
    </row>
    <row r="189" spans="2:12">
      <c r="B189" s="50" t="s">
        <v>345</v>
      </c>
      <c r="C189" s="50" t="s">
        <v>62</v>
      </c>
      <c r="D189" s="50" t="s">
        <v>27</v>
      </c>
      <c r="E189" s="50">
        <v>50003297</v>
      </c>
      <c r="F189" s="50" t="s">
        <v>158</v>
      </c>
      <c r="G189" s="50">
        <v>1</v>
      </c>
      <c r="H189" s="50" t="s">
        <v>2</v>
      </c>
      <c r="I189" s="50" t="s">
        <v>297</v>
      </c>
      <c r="J189" s="51">
        <v>46112</v>
      </c>
      <c r="K189" s="50" t="s">
        <v>3</v>
      </c>
      <c r="L189" s="50" t="s">
        <v>80</v>
      </c>
    </row>
    <row r="190" spans="2:12">
      <c r="B190" s="50" t="s">
        <v>466</v>
      </c>
      <c r="C190" s="50" t="s">
        <v>62</v>
      </c>
      <c r="D190" s="50" t="s">
        <v>27</v>
      </c>
      <c r="E190" s="50">
        <v>50041194</v>
      </c>
      <c r="F190" s="50" t="s">
        <v>249</v>
      </c>
      <c r="G190" s="50">
        <v>1</v>
      </c>
      <c r="H190" s="50" t="s">
        <v>2</v>
      </c>
      <c r="I190" s="50" t="s">
        <v>297</v>
      </c>
      <c r="J190" s="51">
        <v>46112</v>
      </c>
      <c r="K190" s="50" t="s">
        <v>3</v>
      </c>
      <c r="L190" s="50" t="s">
        <v>80</v>
      </c>
    </row>
    <row r="191" spans="2:12">
      <c r="B191" s="50" t="s">
        <v>466</v>
      </c>
      <c r="C191" s="50" t="s">
        <v>62</v>
      </c>
      <c r="D191" s="50" t="s">
        <v>27</v>
      </c>
      <c r="E191" s="50">
        <v>50038662</v>
      </c>
      <c r="F191" s="50" t="s">
        <v>193</v>
      </c>
      <c r="G191" s="50">
        <v>1</v>
      </c>
      <c r="H191" s="50" t="s">
        <v>2</v>
      </c>
      <c r="I191" s="50" t="s">
        <v>297</v>
      </c>
      <c r="J191" s="51">
        <v>46112</v>
      </c>
      <c r="K191" s="50" t="s">
        <v>3</v>
      </c>
      <c r="L191" s="50" t="s">
        <v>80</v>
      </c>
    </row>
    <row r="192" spans="2:12">
      <c r="B192" s="50" t="s">
        <v>474</v>
      </c>
      <c r="C192" s="50" t="s">
        <v>51</v>
      </c>
      <c r="D192" s="50" t="s">
        <v>27</v>
      </c>
      <c r="E192" s="50">
        <v>50043471</v>
      </c>
      <c r="F192" s="50" t="s">
        <v>257</v>
      </c>
      <c r="G192" s="50">
        <v>1</v>
      </c>
      <c r="H192" s="50" t="s">
        <v>2</v>
      </c>
      <c r="I192" s="50" t="s">
        <v>297</v>
      </c>
      <c r="J192" s="51">
        <v>46112</v>
      </c>
      <c r="K192" s="50" t="s">
        <v>3</v>
      </c>
      <c r="L192" s="50" t="s">
        <v>80</v>
      </c>
    </row>
    <row r="193" spans="2:12">
      <c r="B193" s="50" t="s">
        <v>316</v>
      </c>
      <c r="C193" s="50" t="s">
        <v>56</v>
      </c>
      <c r="D193" s="50" t="s">
        <v>27</v>
      </c>
      <c r="E193" s="50">
        <v>50003296</v>
      </c>
      <c r="F193" s="50" t="s">
        <v>157</v>
      </c>
      <c r="G193" s="50">
        <v>1</v>
      </c>
      <c r="H193" s="50" t="s">
        <v>2</v>
      </c>
      <c r="I193" s="50" t="s">
        <v>297</v>
      </c>
      <c r="J193" s="51">
        <v>46112</v>
      </c>
      <c r="K193" s="50" t="s">
        <v>3</v>
      </c>
      <c r="L193" s="50" t="s">
        <v>80</v>
      </c>
    </row>
    <row r="194" spans="2:12">
      <c r="B194" s="50" t="s">
        <v>316</v>
      </c>
      <c r="C194" s="50" t="s">
        <v>56</v>
      </c>
      <c r="D194" s="50" t="s">
        <v>27</v>
      </c>
      <c r="E194" s="50">
        <v>50038518</v>
      </c>
      <c r="F194" s="50" t="s">
        <v>340</v>
      </c>
      <c r="G194" s="50">
        <v>1</v>
      </c>
      <c r="H194" s="50" t="s">
        <v>2</v>
      </c>
      <c r="I194" s="50" t="s">
        <v>297</v>
      </c>
      <c r="J194" s="51">
        <v>46112</v>
      </c>
      <c r="K194" s="50" t="s">
        <v>3</v>
      </c>
      <c r="L194" s="50" t="s">
        <v>80</v>
      </c>
    </row>
    <row r="195" spans="2:12">
      <c r="B195" s="50" t="s">
        <v>422</v>
      </c>
      <c r="C195" s="50" t="s">
        <v>26</v>
      </c>
      <c r="D195" s="50" t="s">
        <v>41</v>
      </c>
      <c r="E195" s="50">
        <v>50037905</v>
      </c>
      <c r="F195" s="50" t="s">
        <v>150</v>
      </c>
      <c r="G195" s="50">
        <v>1</v>
      </c>
      <c r="H195" s="50" t="s">
        <v>2</v>
      </c>
      <c r="I195" s="50" t="s">
        <v>288</v>
      </c>
      <c r="J195" s="51">
        <v>46112</v>
      </c>
      <c r="K195" s="50" t="s">
        <v>3</v>
      </c>
      <c r="L195" s="50" t="s">
        <v>80</v>
      </c>
    </row>
    <row r="196" spans="2:12">
      <c r="B196" s="50" t="s">
        <v>385</v>
      </c>
      <c r="C196" s="50" t="s">
        <v>56</v>
      </c>
      <c r="D196" s="50" t="s">
        <v>41</v>
      </c>
      <c r="E196" s="50">
        <v>50036298</v>
      </c>
      <c r="F196" s="50" t="s">
        <v>102</v>
      </c>
      <c r="G196" s="50">
        <v>1</v>
      </c>
      <c r="H196" s="50" t="s">
        <v>2</v>
      </c>
      <c r="I196" s="50" t="s">
        <v>289</v>
      </c>
      <c r="J196" s="51">
        <v>46111</v>
      </c>
      <c r="K196" s="50" t="s">
        <v>1</v>
      </c>
      <c r="L196" s="50" t="s">
        <v>80</v>
      </c>
    </row>
    <row r="197" spans="2:12">
      <c r="B197" s="50" t="s">
        <v>394</v>
      </c>
      <c r="C197" s="50" t="s">
        <v>51</v>
      </c>
      <c r="D197" s="50" t="s">
        <v>27</v>
      </c>
      <c r="E197" s="50">
        <v>50022878</v>
      </c>
      <c r="F197" s="50" t="s">
        <v>296</v>
      </c>
      <c r="G197" s="50">
        <v>1</v>
      </c>
      <c r="H197" s="50" t="s">
        <v>2</v>
      </c>
      <c r="I197" s="50" t="s">
        <v>293</v>
      </c>
      <c r="J197" s="51">
        <v>46111</v>
      </c>
      <c r="K197" s="50" t="s">
        <v>1</v>
      </c>
      <c r="L197" s="50" t="s">
        <v>80</v>
      </c>
    </row>
    <row r="198" spans="2:12">
      <c r="B198" s="50" t="s">
        <v>394</v>
      </c>
      <c r="C198" s="50" t="s">
        <v>51</v>
      </c>
      <c r="D198" s="50" t="s">
        <v>27</v>
      </c>
      <c r="E198" s="50">
        <v>50043471</v>
      </c>
      <c r="F198" s="50" t="s">
        <v>257</v>
      </c>
      <c r="G198" s="50">
        <v>1</v>
      </c>
      <c r="H198" s="50" t="s">
        <v>2</v>
      </c>
      <c r="I198" s="50" t="s">
        <v>293</v>
      </c>
      <c r="J198" s="51">
        <v>46111</v>
      </c>
      <c r="K198" s="50" t="s">
        <v>1</v>
      </c>
      <c r="L198" s="50" t="s">
        <v>80</v>
      </c>
    </row>
    <row r="199" spans="2:12">
      <c r="B199" s="50" t="s">
        <v>345</v>
      </c>
      <c r="C199" s="50" t="s">
        <v>62</v>
      </c>
      <c r="D199" s="50" t="s">
        <v>27</v>
      </c>
      <c r="E199" s="50">
        <v>50020623</v>
      </c>
      <c r="F199" s="50" t="s">
        <v>217</v>
      </c>
      <c r="G199" s="50">
        <v>1</v>
      </c>
      <c r="H199" s="50" t="s">
        <v>2</v>
      </c>
      <c r="I199" s="50" t="s">
        <v>293</v>
      </c>
      <c r="J199" s="51">
        <v>46111</v>
      </c>
      <c r="K199" s="50" t="s">
        <v>1</v>
      </c>
      <c r="L199" s="50" t="s">
        <v>80</v>
      </c>
    </row>
    <row r="200" spans="2:12">
      <c r="B200" s="50" t="s">
        <v>345</v>
      </c>
      <c r="C200" s="50" t="s">
        <v>62</v>
      </c>
      <c r="D200" s="50" t="s">
        <v>27</v>
      </c>
      <c r="E200" s="50">
        <v>50041195</v>
      </c>
      <c r="F200" s="50" t="s">
        <v>206</v>
      </c>
      <c r="G200" s="50">
        <v>1</v>
      </c>
      <c r="H200" s="50" t="s">
        <v>2</v>
      </c>
      <c r="I200" s="50" t="s">
        <v>293</v>
      </c>
      <c r="J200" s="51">
        <v>46111</v>
      </c>
      <c r="K200" s="50" t="s">
        <v>1</v>
      </c>
      <c r="L200" s="50" t="s">
        <v>80</v>
      </c>
    </row>
    <row r="201" spans="2:12">
      <c r="B201" s="50" t="s">
        <v>439</v>
      </c>
      <c r="C201" s="50" t="s">
        <v>62</v>
      </c>
      <c r="D201" s="50" t="s">
        <v>27</v>
      </c>
      <c r="E201" s="50">
        <v>50026357</v>
      </c>
      <c r="F201" s="50" t="s">
        <v>192</v>
      </c>
      <c r="G201" s="50">
        <v>1</v>
      </c>
      <c r="H201" s="50" t="s">
        <v>2</v>
      </c>
      <c r="I201" s="50" t="s">
        <v>293</v>
      </c>
      <c r="J201" s="51">
        <v>46111</v>
      </c>
      <c r="K201" s="50" t="s">
        <v>1</v>
      </c>
      <c r="L201" s="50" t="s">
        <v>80</v>
      </c>
    </row>
    <row r="202" spans="2:12">
      <c r="B202" s="50" t="s">
        <v>345</v>
      </c>
      <c r="C202" s="50" t="s">
        <v>62</v>
      </c>
      <c r="D202" s="50" t="s">
        <v>27</v>
      </c>
      <c r="E202" s="50">
        <v>50026357</v>
      </c>
      <c r="F202" s="50" t="s">
        <v>192</v>
      </c>
      <c r="G202" s="50">
        <v>1</v>
      </c>
      <c r="H202" s="50" t="s">
        <v>2</v>
      </c>
      <c r="I202" s="50" t="s">
        <v>293</v>
      </c>
      <c r="J202" s="51">
        <v>46111</v>
      </c>
      <c r="K202" s="50" t="s">
        <v>1</v>
      </c>
      <c r="L202" s="50" t="s">
        <v>80</v>
      </c>
    </row>
    <row r="203" spans="2:12">
      <c r="B203" s="50" t="s">
        <v>413</v>
      </c>
      <c r="C203" s="50" t="s">
        <v>51</v>
      </c>
      <c r="D203" s="50" t="s">
        <v>39</v>
      </c>
      <c r="E203" s="50">
        <v>50046617</v>
      </c>
      <c r="F203" s="50" t="s">
        <v>365</v>
      </c>
      <c r="G203" s="50">
        <v>1</v>
      </c>
      <c r="H203" s="50" t="s">
        <v>2</v>
      </c>
      <c r="I203" s="50" t="s">
        <v>293</v>
      </c>
      <c r="J203" s="51">
        <v>46111</v>
      </c>
      <c r="K203" s="50" t="s">
        <v>3</v>
      </c>
      <c r="L203" s="50" t="s">
        <v>80</v>
      </c>
    </row>
    <row r="204" spans="2:12">
      <c r="B204" s="50" t="s">
        <v>399</v>
      </c>
      <c r="C204" s="50" t="s">
        <v>51</v>
      </c>
      <c r="D204" s="50" t="s">
        <v>27</v>
      </c>
      <c r="E204" s="50">
        <v>50046617</v>
      </c>
      <c r="F204" s="50" t="s">
        <v>365</v>
      </c>
      <c r="G204" s="50">
        <v>1</v>
      </c>
      <c r="H204" s="50" t="s">
        <v>2</v>
      </c>
      <c r="I204" s="50" t="s">
        <v>293</v>
      </c>
      <c r="J204" s="51">
        <v>46111</v>
      </c>
      <c r="K204" s="50" t="s">
        <v>1</v>
      </c>
      <c r="L204" s="50" t="s">
        <v>80</v>
      </c>
    </row>
    <row r="205" spans="2:12">
      <c r="B205" s="50" t="s">
        <v>399</v>
      </c>
      <c r="C205" s="50" t="s">
        <v>51</v>
      </c>
      <c r="D205" s="50" t="s">
        <v>27</v>
      </c>
      <c r="E205" s="50">
        <v>50003297</v>
      </c>
      <c r="F205" s="50" t="s">
        <v>158</v>
      </c>
      <c r="G205" s="50">
        <v>1</v>
      </c>
      <c r="H205" s="50" t="s">
        <v>2</v>
      </c>
      <c r="I205" s="50" t="s">
        <v>293</v>
      </c>
      <c r="J205" s="51">
        <v>46111</v>
      </c>
      <c r="K205" s="50" t="s">
        <v>1</v>
      </c>
      <c r="L205" s="50" t="s">
        <v>80</v>
      </c>
    </row>
    <row r="206" spans="2:12">
      <c r="B206" s="50" t="s">
        <v>478</v>
      </c>
      <c r="C206" s="50" t="s">
        <v>51</v>
      </c>
      <c r="D206" s="50" t="s">
        <v>27</v>
      </c>
      <c r="E206" s="50">
        <v>50010031</v>
      </c>
      <c r="F206" s="50" t="s">
        <v>89</v>
      </c>
      <c r="G206" s="50">
        <v>1</v>
      </c>
      <c r="H206" s="50" t="s">
        <v>2</v>
      </c>
      <c r="I206" s="50" t="s">
        <v>293</v>
      </c>
      <c r="J206" s="51">
        <v>46111</v>
      </c>
      <c r="K206" s="50" t="s">
        <v>1</v>
      </c>
      <c r="L206" s="50" t="s">
        <v>80</v>
      </c>
    </row>
    <row r="207" spans="2:12">
      <c r="B207" s="50" t="s">
        <v>277</v>
      </c>
      <c r="C207" s="50" t="s">
        <v>62</v>
      </c>
      <c r="D207" s="50" t="s">
        <v>27</v>
      </c>
      <c r="E207" s="50">
        <v>50038518</v>
      </c>
      <c r="F207" s="50" t="s">
        <v>340</v>
      </c>
      <c r="G207" s="50">
        <v>1</v>
      </c>
      <c r="H207" s="50" t="s">
        <v>2</v>
      </c>
      <c r="I207" s="50" t="s">
        <v>293</v>
      </c>
      <c r="J207" s="51">
        <v>46111</v>
      </c>
      <c r="K207" s="50" t="s">
        <v>1</v>
      </c>
      <c r="L207" s="50" t="s">
        <v>80</v>
      </c>
    </row>
    <row r="208" spans="2:12">
      <c r="B208" s="50" t="s">
        <v>427</v>
      </c>
      <c r="C208" s="50" t="s">
        <v>26</v>
      </c>
      <c r="D208" s="50" t="s">
        <v>27</v>
      </c>
      <c r="E208" s="50">
        <v>50038518</v>
      </c>
      <c r="F208" s="50" t="s">
        <v>340</v>
      </c>
      <c r="G208" s="50">
        <v>1</v>
      </c>
      <c r="H208" s="50" t="s">
        <v>2</v>
      </c>
      <c r="I208" s="50" t="s">
        <v>293</v>
      </c>
      <c r="J208" s="51">
        <v>46111</v>
      </c>
      <c r="K208" s="50" t="s">
        <v>3</v>
      </c>
      <c r="L208" s="50" t="s">
        <v>80</v>
      </c>
    </row>
    <row r="209" spans="2:12">
      <c r="B209" s="50" t="s">
        <v>363</v>
      </c>
      <c r="C209" s="50" t="s">
        <v>26</v>
      </c>
      <c r="D209" s="50" t="s">
        <v>41</v>
      </c>
      <c r="E209" s="50">
        <v>50032781</v>
      </c>
      <c r="F209" s="50" t="s">
        <v>237</v>
      </c>
      <c r="G209" s="50">
        <v>1</v>
      </c>
      <c r="H209" s="50" t="s">
        <v>2</v>
      </c>
      <c r="I209" s="50" t="s">
        <v>293</v>
      </c>
      <c r="J209" s="51">
        <v>46111</v>
      </c>
      <c r="K209" s="50" t="s">
        <v>1</v>
      </c>
      <c r="L209" s="50" t="s">
        <v>80</v>
      </c>
    </row>
    <row r="210" spans="2:12">
      <c r="B210" s="50" t="s">
        <v>394</v>
      </c>
      <c r="C210" s="50" t="s">
        <v>51</v>
      </c>
      <c r="D210" s="50" t="s">
        <v>27</v>
      </c>
      <c r="E210" s="50">
        <v>50022878</v>
      </c>
      <c r="F210" s="50" t="s">
        <v>296</v>
      </c>
      <c r="G210" s="50">
        <v>1</v>
      </c>
      <c r="H210" s="50" t="s">
        <v>2</v>
      </c>
      <c r="I210" s="50" t="s">
        <v>293</v>
      </c>
      <c r="J210" s="51">
        <v>46111</v>
      </c>
      <c r="K210" s="50" t="s">
        <v>3</v>
      </c>
      <c r="L210" s="50" t="s">
        <v>80</v>
      </c>
    </row>
    <row r="211" spans="2:12">
      <c r="B211" s="50" t="s">
        <v>345</v>
      </c>
      <c r="C211" s="50" t="s">
        <v>62</v>
      </c>
      <c r="D211" s="50" t="s">
        <v>27</v>
      </c>
      <c r="E211" s="50">
        <v>50026357</v>
      </c>
      <c r="F211" s="50" t="s">
        <v>192</v>
      </c>
      <c r="G211" s="50">
        <v>1</v>
      </c>
      <c r="H211" s="50" t="s">
        <v>2</v>
      </c>
      <c r="I211" s="50" t="s">
        <v>293</v>
      </c>
      <c r="J211" s="51">
        <v>46111</v>
      </c>
      <c r="K211" s="50" t="s">
        <v>3</v>
      </c>
      <c r="L211" s="50" t="s">
        <v>80</v>
      </c>
    </row>
    <row r="212" spans="2:12">
      <c r="B212" s="50" t="s">
        <v>399</v>
      </c>
      <c r="C212" s="50" t="s">
        <v>51</v>
      </c>
      <c r="D212" s="50" t="s">
        <v>27</v>
      </c>
      <c r="E212" s="50">
        <v>50039065</v>
      </c>
      <c r="F212" s="50" t="s">
        <v>186</v>
      </c>
      <c r="G212" s="50">
        <v>1</v>
      </c>
      <c r="H212" s="50" t="s">
        <v>2</v>
      </c>
      <c r="I212" s="50" t="s">
        <v>293</v>
      </c>
      <c r="J212" s="51">
        <v>46111</v>
      </c>
      <c r="K212" s="50" t="s">
        <v>1</v>
      </c>
      <c r="L212" s="50" t="s">
        <v>80</v>
      </c>
    </row>
    <row r="213" spans="2:12">
      <c r="B213" s="50" t="s">
        <v>394</v>
      </c>
      <c r="C213" s="50" t="s">
        <v>51</v>
      </c>
      <c r="D213" s="50" t="s">
        <v>27</v>
      </c>
      <c r="E213" s="50">
        <v>50043471</v>
      </c>
      <c r="F213" s="50" t="s">
        <v>257</v>
      </c>
      <c r="G213" s="50">
        <v>1</v>
      </c>
      <c r="H213" s="50" t="s">
        <v>2</v>
      </c>
      <c r="I213" s="50" t="s">
        <v>293</v>
      </c>
      <c r="J213" s="51">
        <v>46111</v>
      </c>
      <c r="K213" s="50" t="s">
        <v>3</v>
      </c>
      <c r="L213" s="50" t="s">
        <v>80</v>
      </c>
    </row>
    <row r="214" spans="2:12">
      <c r="B214" s="50" t="s">
        <v>316</v>
      </c>
      <c r="C214" s="50" t="s">
        <v>56</v>
      </c>
      <c r="D214" s="50" t="s">
        <v>27</v>
      </c>
      <c r="E214" s="50">
        <v>50038517</v>
      </c>
      <c r="F214" s="50" t="s">
        <v>181</v>
      </c>
      <c r="G214" s="50">
        <v>1</v>
      </c>
      <c r="H214" s="50" t="s">
        <v>2</v>
      </c>
      <c r="I214" s="50" t="s">
        <v>297</v>
      </c>
      <c r="J214" s="51">
        <v>46111</v>
      </c>
      <c r="K214" s="50" t="s">
        <v>1</v>
      </c>
      <c r="L214" s="50" t="s">
        <v>80</v>
      </c>
    </row>
    <row r="215" spans="2:12">
      <c r="B215" s="50" t="s">
        <v>394</v>
      </c>
      <c r="C215" s="50" t="s">
        <v>51</v>
      </c>
      <c r="D215" s="50" t="s">
        <v>27</v>
      </c>
      <c r="E215" s="50">
        <v>50022878</v>
      </c>
      <c r="F215" s="50" t="s">
        <v>296</v>
      </c>
      <c r="G215" s="50">
        <v>1</v>
      </c>
      <c r="H215" s="50" t="s">
        <v>2</v>
      </c>
      <c r="I215" s="50" t="s">
        <v>297</v>
      </c>
      <c r="J215" s="51">
        <v>46111</v>
      </c>
      <c r="K215" s="50" t="s">
        <v>1</v>
      </c>
      <c r="L215" s="50" t="s">
        <v>80</v>
      </c>
    </row>
    <row r="216" spans="2:12">
      <c r="B216" s="50" t="s">
        <v>483</v>
      </c>
      <c r="C216" s="50" t="s">
        <v>62</v>
      </c>
      <c r="D216" s="50" t="s">
        <v>27</v>
      </c>
      <c r="E216" s="50">
        <v>50038841</v>
      </c>
      <c r="F216" s="50" t="s">
        <v>180</v>
      </c>
      <c r="G216" s="50">
        <v>1</v>
      </c>
      <c r="H216" s="50" t="s">
        <v>2</v>
      </c>
      <c r="I216" s="50" t="s">
        <v>297</v>
      </c>
      <c r="J216" s="51">
        <v>46111</v>
      </c>
      <c r="K216" s="50" t="s">
        <v>3</v>
      </c>
      <c r="L216" s="50" t="s">
        <v>80</v>
      </c>
    </row>
    <row r="217" spans="2:12">
      <c r="B217" s="50" t="s">
        <v>394</v>
      </c>
      <c r="C217" s="50" t="s">
        <v>51</v>
      </c>
      <c r="D217" s="50" t="s">
        <v>27</v>
      </c>
      <c r="E217" s="50">
        <v>50022878</v>
      </c>
      <c r="F217" s="50" t="s">
        <v>296</v>
      </c>
      <c r="G217" s="50">
        <v>1</v>
      </c>
      <c r="H217" s="50" t="s">
        <v>2</v>
      </c>
      <c r="I217" s="50" t="s">
        <v>297</v>
      </c>
      <c r="J217" s="51">
        <v>46111</v>
      </c>
      <c r="K217" s="50" t="s">
        <v>3</v>
      </c>
      <c r="L217" s="50" t="s">
        <v>80</v>
      </c>
    </row>
    <row r="218" spans="2:12">
      <c r="B218" s="50" t="s">
        <v>277</v>
      </c>
      <c r="C218" s="50" t="s">
        <v>62</v>
      </c>
      <c r="D218" s="50" t="s">
        <v>27</v>
      </c>
      <c r="E218" s="50">
        <v>50038518</v>
      </c>
      <c r="F218" s="50" t="s">
        <v>340</v>
      </c>
      <c r="G218" s="50">
        <v>1</v>
      </c>
      <c r="H218" s="50" t="s">
        <v>2</v>
      </c>
      <c r="I218" s="50" t="s">
        <v>297</v>
      </c>
      <c r="J218" s="51">
        <v>46111</v>
      </c>
      <c r="K218" s="50" t="s">
        <v>3</v>
      </c>
      <c r="L218" s="50" t="s">
        <v>80</v>
      </c>
    </row>
    <row r="219" spans="2:12">
      <c r="B219" s="50" t="s">
        <v>363</v>
      </c>
      <c r="C219" s="50" t="s">
        <v>26</v>
      </c>
      <c r="D219" s="50" t="s">
        <v>41</v>
      </c>
      <c r="E219" s="50">
        <v>50032781</v>
      </c>
      <c r="F219" s="50" t="s">
        <v>237</v>
      </c>
      <c r="G219" s="50">
        <v>1</v>
      </c>
      <c r="H219" s="50" t="s">
        <v>2</v>
      </c>
      <c r="I219" s="50" t="s">
        <v>297</v>
      </c>
      <c r="J219" s="51">
        <v>46111</v>
      </c>
      <c r="K219" s="50" t="s">
        <v>3</v>
      </c>
      <c r="L219" s="50" t="s">
        <v>80</v>
      </c>
    </row>
    <row r="220" spans="2:12">
      <c r="B220" s="50" t="s">
        <v>399</v>
      </c>
      <c r="C220" s="50" t="s">
        <v>51</v>
      </c>
      <c r="D220" s="50" t="s">
        <v>27</v>
      </c>
      <c r="E220" s="50">
        <v>50039065</v>
      </c>
      <c r="F220" s="50" t="s">
        <v>186</v>
      </c>
      <c r="G220" s="50">
        <v>1</v>
      </c>
      <c r="H220" s="50" t="s">
        <v>2</v>
      </c>
      <c r="I220" s="50" t="s">
        <v>297</v>
      </c>
      <c r="J220" s="51">
        <v>46111</v>
      </c>
      <c r="K220" s="50" t="s">
        <v>3</v>
      </c>
      <c r="L220" s="50" t="s">
        <v>80</v>
      </c>
    </row>
    <row r="221" spans="2:12">
      <c r="B221" s="50" t="s">
        <v>399</v>
      </c>
      <c r="C221" s="50" t="s">
        <v>51</v>
      </c>
      <c r="D221" s="50" t="s">
        <v>27</v>
      </c>
      <c r="E221" s="50">
        <v>50046617</v>
      </c>
      <c r="F221" s="50" t="s">
        <v>365</v>
      </c>
      <c r="G221" s="50">
        <v>1</v>
      </c>
      <c r="H221" s="50" t="s">
        <v>2</v>
      </c>
      <c r="I221" s="50" t="s">
        <v>297</v>
      </c>
      <c r="J221" s="51">
        <v>46111</v>
      </c>
      <c r="K221" s="50" t="s">
        <v>3</v>
      </c>
      <c r="L221" s="50" t="s">
        <v>80</v>
      </c>
    </row>
    <row r="222" spans="2:12">
      <c r="B222" s="50" t="s">
        <v>399</v>
      </c>
      <c r="C222" s="50" t="s">
        <v>51</v>
      </c>
      <c r="D222" s="50" t="s">
        <v>27</v>
      </c>
      <c r="E222" s="50">
        <v>50003297</v>
      </c>
      <c r="F222" s="50" t="s">
        <v>158</v>
      </c>
      <c r="G222" s="50">
        <v>1</v>
      </c>
      <c r="H222" s="50" t="s">
        <v>2</v>
      </c>
      <c r="I222" s="50" t="s">
        <v>297</v>
      </c>
      <c r="J222" s="51">
        <v>46111</v>
      </c>
      <c r="K222" s="50" t="s">
        <v>3</v>
      </c>
      <c r="L222" s="50" t="s">
        <v>80</v>
      </c>
    </row>
    <row r="223" spans="2:12">
      <c r="B223" s="50" t="s">
        <v>385</v>
      </c>
      <c r="C223" s="50" t="s">
        <v>56</v>
      </c>
      <c r="D223" s="50" t="s">
        <v>41</v>
      </c>
      <c r="E223" s="50">
        <v>50036298</v>
      </c>
      <c r="F223" s="50" t="s">
        <v>102</v>
      </c>
      <c r="G223" s="50">
        <v>1</v>
      </c>
      <c r="H223" s="50" t="s">
        <v>2</v>
      </c>
      <c r="I223" s="50" t="s">
        <v>297</v>
      </c>
      <c r="J223" s="51">
        <v>46111</v>
      </c>
      <c r="K223" s="50" t="s">
        <v>3</v>
      </c>
      <c r="L223" s="50" t="s">
        <v>80</v>
      </c>
    </row>
    <row r="224" spans="2:12">
      <c r="B224" s="50" t="s">
        <v>463</v>
      </c>
      <c r="C224" s="50" t="s">
        <v>26</v>
      </c>
      <c r="D224" s="50" t="s">
        <v>27</v>
      </c>
      <c r="E224" s="50">
        <v>50001995</v>
      </c>
      <c r="F224" s="50" t="s">
        <v>185</v>
      </c>
      <c r="G224" s="50">
        <v>1</v>
      </c>
      <c r="H224" s="50" t="s">
        <v>2</v>
      </c>
      <c r="I224" s="50" t="s">
        <v>297</v>
      </c>
      <c r="J224" s="51">
        <v>37345</v>
      </c>
      <c r="K224" s="50" t="s">
        <v>3</v>
      </c>
      <c r="L224" s="50" t="s">
        <v>80</v>
      </c>
    </row>
    <row r="225" spans="2:12">
      <c r="B225" s="50" t="s">
        <v>345</v>
      </c>
      <c r="C225" s="50" t="s">
        <v>62</v>
      </c>
      <c r="D225" s="50" t="s">
        <v>27</v>
      </c>
      <c r="E225" s="50">
        <v>50020623</v>
      </c>
      <c r="F225" s="50" t="s">
        <v>217</v>
      </c>
      <c r="G225" s="50">
        <v>1</v>
      </c>
      <c r="H225" s="50" t="s">
        <v>2</v>
      </c>
      <c r="I225" s="50" t="s">
        <v>297</v>
      </c>
      <c r="J225" s="51">
        <v>46111</v>
      </c>
      <c r="K225" s="50" t="s">
        <v>3</v>
      </c>
      <c r="L225" s="50" t="s">
        <v>80</v>
      </c>
    </row>
    <row r="226" spans="2:12">
      <c r="B226" s="50" t="s">
        <v>345</v>
      </c>
      <c r="C226" s="50" t="s">
        <v>62</v>
      </c>
      <c r="D226" s="50" t="s">
        <v>27</v>
      </c>
      <c r="E226" s="50">
        <v>50041195</v>
      </c>
      <c r="F226" s="50" t="s">
        <v>206</v>
      </c>
      <c r="G226" s="50">
        <v>1</v>
      </c>
      <c r="H226" s="50" t="s">
        <v>2</v>
      </c>
      <c r="I226" s="50" t="s">
        <v>297</v>
      </c>
      <c r="J226" s="51">
        <v>46111</v>
      </c>
      <c r="K226" s="50" t="s">
        <v>3</v>
      </c>
      <c r="L226" s="50" t="s">
        <v>80</v>
      </c>
    </row>
    <row r="227" spans="2:12">
      <c r="B227" s="50" t="s">
        <v>478</v>
      </c>
      <c r="C227" s="50" t="s">
        <v>51</v>
      </c>
      <c r="D227" s="50" t="s">
        <v>27</v>
      </c>
      <c r="E227" s="50">
        <v>50010031</v>
      </c>
      <c r="F227" s="50" t="s">
        <v>89</v>
      </c>
      <c r="G227" s="50">
        <v>1</v>
      </c>
      <c r="H227" s="50" t="s">
        <v>2</v>
      </c>
      <c r="I227" s="50" t="s">
        <v>297</v>
      </c>
      <c r="J227" s="51">
        <v>46111</v>
      </c>
      <c r="K227" s="50" t="s">
        <v>3</v>
      </c>
      <c r="L227" s="50" t="s">
        <v>80</v>
      </c>
    </row>
    <row r="228" spans="2:12">
      <c r="B228" s="50" t="s">
        <v>316</v>
      </c>
      <c r="C228" s="50" t="s">
        <v>56</v>
      </c>
      <c r="D228" s="50" t="s">
        <v>27</v>
      </c>
      <c r="E228" s="50">
        <v>50038517</v>
      </c>
      <c r="F228" s="50" t="s">
        <v>181</v>
      </c>
      <c r="G228" s="50">
        <v>1</v>
      </c>
      <c r="H228" s="50" t="s">
        <v>2</v>
      </c>
      <c r="I228" s="50" t="s">
        <v>297</v>
      </c>
      <c r="J228" s="51">
        <v>46111</v>
      </c>
      <c r="K228" s="50" t="s">
        <v>3</v>
      </c>
      <c r="L228" s="50" t="s">
        <v>80</v>
      </c>
    </row>
    <row r="229" spans="2:12">
      <c r="B229" s="50" t="s">
        <v>439</v>
      </c>
      <c r="C229" s="50" t="s">
        <v>62</v>
      </c>
      <c r="D229" s="50" t="s">
        <v>27</v>
      </c>
      <c r="E229" s="50">
        <v>50026357</v>
      </c>
      <c r="F229" s="50" t="s">
        <v>192</v>
      </c>
      <c r="G229" s="50">
        <v>1</v>
      </c>
      <c r="H229" s="50" t="s">
        <v>2</v>
      </c>
      <c r="I229" s="50" t="s">
        <v>297</v>
      </c>
      <c r="J229" s="51">
        <v>46111</v>
      </c>
      <c r="K229" s="50" t="s">
        <v>3</v>
      </c>
      <c r="L229" s="50" t="s">
        <v>80</v>
      </c>
    </row>
    <row r="230" spans="2:12">
      <c r="B230" s="50" t="s">
        <v>59</v>
      </c>
      <c r="C230" s="50" t="s">
        <v>56</v>
      </c>
      <c r="D230" s="50" t="s">
        <v>41</v>
      </c>
      <c r="E230" s="50">
        <v>50037933</v>
      </c>
      <c r="F230" s="50" t="s">
        <v>250</v>
      </c>
      <c r="G230" s="50">
        <v>1</v>
      </c>
      <c r="H230" s="50" t="s">
        <v>2</v>
      </c>
      <c r="I230" s="50" t="s">
        <v>289</v>
      </c>
      <c r="J230" s="51">
        <v>46109</v>
      </c>
      <c r="K230" s="50" t="s">
        <v>1</v>
      </c>
      <c r="L230" s="50" t="s">
        <v>80</v>
      </c>
    </row>
    <row r="231" spans="2:12">
      <c r="B231" s="50" t="s">
        <v>59</v>
      </c>
      <c r="C231" s="50" t="s">
        <v>56</v>
      </c>
      <c r="D231" s="50" t="s">
        <v>41</v>
      </c>
      <c r="E231" s="50">
        <v>50037933</v>
      </c>
      <c r="F231" s="50" t="s">
        <v>250</v>
      </c>
      <c r="G231" s="50">
        <v>1</v>
      </c>
      <c r="H231" s="50" t="s">
        <v>2</v>
      </c>
      <c r="I231" s="50" t="s">
        <v>289</v>
      </c>
      <c r="J231" s="51">
        <v>46109</v>
      </c>
      <c r="K231" s="50" t="s">
        <v>3</v>
      </c>
      <c r="L231" s="50" t="s">
        <v>80</v>
      </c>
    </row>
    <row r="232" spans="2:12">
      <c r="B232" s="50" t="s">
        <v>428</v>
      </c>
      <c r="C232" s="50" t="s">
        <v>26</v>
      </c>
      <c r="D232" s="50" t="s">
        <v>27</v>
      </c>
      <c r="E232" s="50">
        <v>50041095</v>
      </c>
      <c r="F232" s="50" t="s">
        <v>248</v>
      </c>
      <c r="G232" s="50">
        <v>1</v>
      </c>
      <c r="H232" s="50" t="s">
        <v>2</v>
      </c>
      <c r="I232" s="50" t="s">
        <v>289</v>
      </c>
      <c r="J232" s="51">
        <v>46109</v>
      </c>
      <c r="K232" s="50" t="s">
        <v>1</v>
      </c>
      <c r="L232" s="50" t="s">
        <v>80</v>
      </c>
    </row>
    <row r="233" spans="2:12">
      <c r="B233" s="50" t="s">
        <v>270</v>
      </c>
      <c r="C233" s="50" t="s">
        <v>51</v>
      </c>
      <c r="D233" s="50" t="s">
        <v>27</v>
      </c>
      <c r="E233" s="50">
        <v>50032781</v>
      </c>
      <c r="F233" s="50" t="s">
        <v>237</v>
      </c>
      <c r="G233" s="50">
        <v>1</v>
      </c>
      <c r="H233" s="50" t="s">
        <v>2</v>
      </c>
      <c r="I233" s="50" t="s">
        <v>289</v>
      </c>
      <c r="J233" s="51">
        <v>46109</v>
      </c>
      <c r="K233" s="50" t="s">
        <v>1</v>
      </c>
      <c r="L233" s="50" t="s">
        <v>80</v>
      </c>
    </row>
    <row r="234" spans="2:12">
      <c r="B234" s="50" t="s">
        <v>270</v>
      </c>
      <c r="C234" s="50" t="s">
        <v>51</v>
      </c>
      <c r="D234" s="50" t="s">
        <v>27</v>
      </c>
      <c r="E234" s="50">
        <v>50032781</v>
      </c>
      <c r="F234" s="50" t="s">
        <v>237</v>
      </c>
      <c r="G234" s="50">
        <v>1</v>
      </c>
      <c r="H234" s="50" t="s">
        <v>2</v>
      </c>
      <c r="I234" s="50" t="s">
        <v>289</v>
      </c>
      <c r="J234" s="51">
        <v>46109</v>
      </c>
      <c r="K234" s="50" t="s">
        <v>3</v>
      </c>
      <c r="L234" s="50" t="s">
        <v>80</v>
      </c>
    </row>
    <row r="235" spans="2:12">
      <c r="B235" s="50" t="s">
        <v>428</v>
      </c>
      <c r="C235" s="50" t="s">
        <v>26</v>
      </c>
      <c r="D235" s="50" t="s">
        <v>27</v>
      </c>
      <c r="E235" s="50">
        <v>50041095</v>
      </c>
      <c r="F235" s="50" t="s">
        <v>248</v>
      </c>
      <c r="G235" s="50">
        <v>1</v>
      </c>
      <c r="H235" s="50" t="s">
        <v>2</v>
      </c>
      <c r="I235" s="50" t="s">
        <v>289</v>
      </c>
      <c r="J235" s="51">
        <v>46109</v>
      </c>
      <c r="K235" s="50" t="s">
        <v>3</v>
      </c>
      <c r="L235" s="50" t="s">
        <v>80</v>
      </c>
    </row>
    <row r="236" spans="2:12">
      <c r="B236" s="50" t="s">
        <v>428</v>
      </c>
      <c r="C236" s="50" t="s">
        <v>26</v>
      </c>
      <c r="D236" s="50" t="s">
        <v>27</v>
      </c>
      <c r="E236" s="50">
        <v>50022878</v>
      </c>
      <c r="F236" s="50" t="s">
        <v>296</v>
      </c>
      <c r="G236" s="50">
        <v>1</v>
      </c>
      <c r="H236" s="50" t="s">
        <v>4</v>
      </c>
      <c r="I236" s="50" t="s">
        <v>289</v>
      </c>
      <c r="J236" s="51">
        <v>46108</v>
      </c>
      <c r="K236" s="50" t="s">
        <v>1</v>
      </c>
      <c r="L236" s="50" t="s">
        <v>80</v>
      </c>
    </row>
    <row r="237" spans="2:12">
      <c r="B237" s="50" t="s">
        <v>465</v>
      </c>
      <c r="C237" s="50" t="s">
        <v>26</v>
      </c>
      <c r="D237" s="50" t="s">
        <v>27</v>
      </c>
      <c r="E237" s="50">
        <v>50001995</v>
      </c>
      <c r="F237" s="50" t="s">
        <v>185</v>
      </c>
      <c r="G237" s="50">
        <v>1</v>
      </c>
      <c r="H237" s="50" t="s">
        <v>2</v>
      </c>
      <c r="I237" s="50" t="s">
        <v>289</v>
      </c>
      <c r="J237" s="51">
        <v>46108</v>
      </c>
      <c r="K237" s="50" t="s">
        <v>1</v>
      </c>
      <c r="L237" s="50" t="s">
        <v>80</v>
      </c>
    </row>
    <row r="238" spans="2:12">
      <c r="B238" s="50" t="s">
        <v>394</v>
      </c>
      <c r="C238" s="50" t="s">
        <v>51</v>
      </c>
      <c r="D238" s="50" t="s">
        <v>27</v>
      </c>
      <c r="E238" s="50">
        <v>50036086</v>
      </c>
      <c r="F238" s="50" t="s">
        <v>28</v>
      </c>
      <c r="G238" s="50">
        <v>1</v>
      </c>
      <c r="H238" s="50" t="s">
        <v>2</v>
      </c>
      <c r="I238" s="50" t="s">
        <v>289</v>
      </c>
      <c r="J238" s="51">
        <v>46108</v>
      </c>
      <c r="K238" s="50" t="s">
        <v>1</v>
      </c>
      <c r="L238" s="50" t="s">
        <v>80</v>
      </c>
    </row>
    <row r="239" spans="2:12">
      <c r="B239" s="50" t="s">
        <v>394</v>
      </c>
      <c r="C239" s="50" t="s">
        <v>51</v>
      </c>
      <c r="D239" s="50" t="s">
        <v>27</v>
      </c>
      <c r="E239" s="50">
        <v>50038842</v>
      </c>
      <c r="F239" s="50" t="s">
        <v>133</v>
      </c>
      <c r="G239" s="50">
        <v>1</v>
      </c>
      <c r="H239" s="50" t="s">
        <v>2</v>
      </c>
      <c r="I239" s="50" t="s">
        <v>289</v>
      </c>
      <c r="J239" s="51">
        <v>46108</v>
      </c>
      <c r="K239" s="50" t="s">
        <v>1</v>
      </c>
      <c r="L239" s="50" t="s">
        <v>80</v>
      </c>
    </row>
    <row r="240" spans="2:12">
      <c r="B240" s="50" t="s">
        <v>474</v>
      </c>
      <c r="C240" s="50" t="s">
        <v>51</v>
      </c>
      <c r="D240" s="50" t="s">
        <v>27</v>
      </c>
      <c r="E240" s="50">
        <v>50046617</v>
      </c>
      <c r="F240" s="50" t="s">
        <v>365</v>
      </c>
      <c r="G240" s="50">
        <v>1</v>
      </c>
      <c r="H240" s="50" t="s">
        <v>2</v>
      </c>
      <c r="I240" s="50" t="s">
        <v>289</v>
      </c>
      <c r="J240" s="51">
        <v>46108</v>
      </c>
      <c r="K240" s="50" t="s">
        <v>1</v>
      </c>
      <c r="L240" s="50" t="s">
        <v>80</v>
      </c>
    </row>
    <row r="241" spans="2:12">
      <c r="B241" s="50" t="s">
        <v>363</v>
      </c>
      <c r="C241" s="50" t="s">
        <v>26</v>
      </c>
      <c r="D241" s="50" t="s">
        <v>41</v>
      </c>
      <c r="E241" s="50">
        <v>50032781</v>
      </c>
      <c r="F241" s="50" t="s">
        <v>237</v>
      </c>
      <c r="G241" s="50">
        <v>1</v>
      </c>
      <c r="H241" s="50" t="s">
        <v>2</v>
      </c>
      <c r="I241" s="50" t="s">
        <v>289</v>
      </c>
      <c r="J241" s="51">
        <v>46108</v>
      </c>
      <c r="K241" s="50" t="s">
        <v>1</v>
      </c>
      <c r="L241" s="50" t="s">
        <v>80</v>
      </c>
    </row>
    <row r="242" spans="2:12">
      <c r="B242" s="50" t="s">
        <v>363</v>
      </c>
      <c r="C242" s="50" t="s">
        <v>26</v>
      </c>
      <c r="D242" s="50" t="s">
        <v>41</v>
      </c>
      <c r="E242" s="50">
        <v>50043471</v>
      </c>
      <c r="F242" s="50" t="s">
        <v>257</v>
      </c>
      <c r="G242" s="50">
        <v>1</v>
      </c>
      <c r="H242" s="50" t="s">
        <v>2</v>
      </c>
      <c r="I242" s="50" t="s">
        <v>289</v>
      </c>
      <c r="J242" s="51">
        <v>46108</v>
      </c>
      <c r="K242" s="50" t="s">
        <v>1</v>
      </c>
      <c r="L242" s="50" t="s">
        <v>80</v>
      </c>
    </row>
    <row r="243" spans="2:12">
      <c r="B243" s="50" t="s">
        <v>385</v>
      </c>
      <c r="C243" s="50" t="s">
        <v>56</v>
      </c>
      <c r="D243" s="50" t="s">
        <v>41</v>
      </c>
      <c r="E243" s="50">
        <v>50020623</v>
      </c>
      <c r="F243" s="50" t="s">
        <v>217</v>
      </c>
      <c r="G243" s="50">
        <v>1</v>
      </c>
      <c r="H243" s="50" t="s">
        <v>2</v>
      </c>
      <c r="I243" s="50" t="s">
        <v>289</v>
      </c>
      <c r="J243" s="51">
        <v>46108</v>
      </c>
      <c r="K243" s="50" t="s">
        <v>1</v>
      </c>
      <c r="L243" s="50" t="s">
        <v>80</v>
      </c>
    </row>
    <row r="244" spans="2:12">
      <c r="B244" s="50" t="s">
        <v>385</v>
      </c>
      <c r="C244" s="50" t="s">
        <v>56</v>
      </c>
      <c r="D244" s="50" t="s">
        <v>41</v>
      </c>
      <c r="E244" s="50">
        <v>50003297</v>
      </c>
      <c r="F244" s="50" t="s">
        <v>158</v>
      </c>
      <c r="G244" s="50">
        <v>1</v>
      </c>
      <c r="H244" s="50" t="s">
        <v>2</v>
      </c>
      <c r="I244" s="50" t="s">
        <v>289</v>
      </c>
      <c r="J244" s="51">
        <v>46108</v>
      </c>
      <c r="K244" s="50" t="s">
        <v>1</v>
      </c>
      <c r="L244" s="50" t="s">
        <v>80</v>
      </c>
    </row>
    <row r="245" spans="2:12">
      <c r="B245" s="50" t="s">
        <v>385</v>
      </c>
      <c r="C245" s="50" t="s">
        <v>56</v>
      </c>
      <c r="D245" s="50" t="s">
        <v>41</v>
      </c>
      <c r="E245" s="50">
        <v>50036298</v>
      </c>
      <c r="F245" s="50" t="s">
        <v>102</v>
      </c>
      <c r="G245" s="50">
        <v>1</v>
      </c>
      <c r="H245" s="50" t="s">
        <v>2</v>
      </c>
      <c r="I245" s="50" t="s">
        <v>289</v>
      </c>
      <c r="J245" s="51">
        <v>46108</v>
      </c>
      <c r="K245" s="50" t="s">
        <v>1</v>
      </c>
      <c r="L245" s="50" t="s">
        <v>80</v>
      </c>
    </row>
    <row r="246" spans="2:12">
      <c r="B246" s="50" t="s">
        <v>399</v>
      </c>
      <c r="C246" s="50" t="s">
        <v>51</v>
      </c>
      <c r="D246" s="50" t="s">
        <v>27</v>
      </c>
      <c r="E246" s="50">
        <v>50039065</v>
      </c>
      <c r="F246" s="50" t="s">
        <v>186</v>
      </c>
      <c r="G246" s="50">
        <v>1</v>
      </c>
      <c r="H246" s="50" t="s">
        <v>2</v>
      </c>
      <c r="I246" s="50" t="s">
        <v>289</v>
      </c>
      <c r="J246" s="51">
        <v>46108</v>
      </c>
      <c r="K246" s="50" t="s">
        <v>1</v>
      </c>
      <c r="L246" s="50" t="s">
        <v>80</v>
      </c>
    </row>
    <row r="247" spans="2:12">
      <c r="B247" s="50" t="s">
        <v>399</v>
      </c>
      <c r="C247" s="50" t="s">
        <v>51</v>
      </c>
      <c r="D247" s="50" t="s">
        <v>27</v>
      </c>
      <c r="E247" s="50">
        <v>50004486</v>
      </c>
      <c r="F247" s="50" t="s">
        <v>221</v>
      </c>
      <c r="G247" s="50">
        <v>1</v>
      </c>
      <c r="H247" s="50" t="s">
        <v>2</v>
      </c>
      <c r="I247" s="50" t="s">
        <v>289</v>
      </c>
      <c r="J247" s="51">
        <v>46108</v>
      </c>
      <c r="K247" s="50" t="s">
        <v>1</v>
      </c>
      <c r="L247" s="50" t="s">
        <v>80</v>
      </c>
    </row>
    <row r="248" spans="2:12">
      <c r="B248" s="50" t="s">
        <v>399</v>
      </c>
      <c r="C248" s="50" t="s">
        <v>51</v>
      </c>
      <c r="D248" s="50" t="s">
        <v>27</v>
      </c>
      <c r="E248" s="50">
        <v>50038841</v>
      </c>
      <c r="F248" s="50" t="s">
        <v>180</v>
      </c>
      <c r="G248" s="50">
        <v>1</v>
      </c>
      <c r="H248" s="50" t="s">
        <v>2</v>
      </c>
      <c r="I248" s="50" t="s">
        <v>289</v>
      </c>
      <c r="J248" s="51">
        <v>46108</v>
      </c>
      <c r="K248" s="50" t="s">
        <v>1</v>
      </c>
      <c r="L248" s="50" t="s">
        <v>80</v>
      </c>
    </row>
    <row r="249" spans="2:12">
      <c r="B249" s="50" t="s">
        <v>439</v>
      </c>
      <c r="C249" s="50" t="s">
        <v>62</v>
      </c>
      <c r="D249" s="50" t="s">
        <v>27</v>
      </c>
      <c r="E249" s="50">
        <v>50026357</v>
      </c>
      <c r="F249" s="50" t="s">
        <v>192</v>
      </c>
      <c r="G249" s="50">
        <v>1</v>
      </c>
      <c r="H249" s="50" t="s">
        <v>2</v>
      </c>
      <c r="I249" s="50" t="s">
        <v>292</v>
      </c>
      <c r="J249" s="51">
        <v>46108</v>
      </c>
      <c r="K249" s="50" t="s">
        <v>1</v>
      </c>
      <c r="L249" s="50" t="s">
        <v>80</v>
      </c>
    </row>
    <row r="250" spans="2:12">
      <c r="B250" s="50" t="s">
        <v>483</v>
      </c>
      <c r="C250" s="50" t="s">
        <v>62</v>
      </c>
      <c r="D250" s="50" t="s">
        <v>27</v>
      </c>
      <c r="E250" s="50">
        <v>50003296</v>
      </c>
      <c r="F250" s="50" t="s">
        <v>157</v>
      </c>
      <c r="G250" s="50">
        <v>1</v>
      </c>
      <c r="H250" s="50" t="s">
        <v>2</v>
      </c>
      <c r="I250" s="50" t="s">
        <v>292</v>
      </c>
      <c r="J250" s="51">
        <v>46108</v>
      </c>
      <c r="K250" s="50" t="s">
        <v>1</v>
      </c>
      <c r="L250" s="50" t="s">
        <v>80</v>
      </c>
    </row>
    <row r="251" spans="2:12">
      <c r="B251" s="50" t="s">
        <v>422</v>
      </c>
      <c r="C251" s="50" t="s">
        <v>26</v>
      </c>
      <c r="D251" s="50" t="s">
        <v>41</v>
      </c>
      <c r="E251" s="50">
        <v>50037905</v>
      </c>
      <c r="F251" s="50" t="s">
        <v>150</v>
      </c>
      <c r="G251" s="50">
        <v>1</v>
      </c>
      <c r="H251" s="50" t="s">
        <v>2</v>
      </c>
      <c r="I251" s="50" t="s">
        <v>292</v>
      </c>
      <c r="J251" s="51">
        <v>46108</v>
      </c>
      <c r="K251" s="50" t="s">
        <v>1</v>
      </c>
      <c r="L251" s="50" t="s">
        <v>80</v>
      </c>
    </row>
    <row r="252" spans="2:12">
      <c r="B252" s="50" t="s">
        <v>385</v>
      </c>
      <c r="C252" s="50" t="s">
        <v>56</v>
      </c>
      <c r="D252" s="50" t="s">
        <v>41</v>
      </c>
      <c r="E252" s="50">
        <v>50020623</v>
      </c>
      <c r="F252" s="50" t="s">
        <v>217</v>
      </c>
      <c r="G252" s="50">
        <v>1</v>
      </c>
      <c r="H252" s="50" t="s">
        <v>2</v>
      </c>
      <c r="I252" s="50" t="s">
        <v>288</v>
      </c>
      <c r="J252" s="51">
        <v>46108</v>
      </c>
      <c r="K252" s="50" t="s">
        <v>3</v>
      </c>
      <c r="L252" s="50" t="s">
        <v>80</v>
      </c>
    </row>
    <row r="253" spans="2:12">
      <c r="B253" s="50" t="s">
        <v>385</v>
      </c>
      <c r="C253" s="50" t="s">
        <v>56</v>
      </c>
      <c r="D253" s="50" t="s">
        <v>41</v>
      </c>
      <c r="E253" s="50">
        <v>50003297</v>
      </c>
      <c r="F253" s="50" t="s">
        <v>158</v>
      </c>
      <c r="G253" s="50">
        <v>1</v>
      </c>
      <c r="H253" s="50" t="s">
        <v>2</v>
      </c>
      <c r="I253" s="50" t="s">
        <v>288</v>
      </c>
      <c r="J253" s="51">
        <v>46108</v>
      </c>
      <c r="K253" s="50" t="s">
        <v>3</v>
      </c>
      <c r="L253" s="50" t="s">
        <v>80</v>
      </c>
    </row>
    <row r="254" spans="2:12">
      <c r="B254" s="50" t="s">
        <v>399</v>
      </c>
      <c r="C254" s="50" t="s">
        <v>51</v>
      </c>
      <c r="D254" s="50" t="s">
        <v>27</v>
      </c>
      <c r="E254" s="50">
        <v>50003297</v>
      </c>
      <c r="F254" s="50" t="s">
        <v>158</v>
      </c>
      <c r="G254" s="50">
        <v>1</v>
      </c>
      <c r="H254" s="50" t="s">
        <v>2</v>
      </c>
      <c r="I254" s="50" t="s">
        <v>288</v>
      </c>
      <c r="J254" s="51">
        <v>46108</v>
      </c>
      <c r="K254" s="50" t="s">
        <v>1</v>
      </c>
      <c r="L254" s="50" t="s">
        <v>80</v>
      </c>
    </row>
    <row r="255" spans="2:12">
      <c r="B255" s="50" t="s">
        <v>481</v>
      </c>
      <c r="C255" s="50" t="s">
        <v>56</v>
      </c>
      <c r="D255" s="50" t="s">
        <v>27</v>
      </c>
      <c r="E255" s="50">
        <v>50028220</v>
      </c>
      <c r="F255" s="50" t="s">
        <v>242</v>
      </c>
      <c r="G255" s="50">
        <v>1</v>
      </c>
      <c r="H255" s="50" t="s">
        <v>2</v>
      </c>
      <c r="I255" s="50" t="s">
        <v>288</v>
      </c>
      <c r="J255" s="51">
        <v>46108</v>
      </c>
      <c r="K255" s="50" t="s">
        <v>1</v>
      </c>
      <c r="L255" s="50" t="s">
        <v>80</v>
      </c>
    </row>
    <row r="256" spans="2:12">
      <c r="B256" s="50" t="s">
        <v>465</v>
      </c>
      <c r="C256" s="50" t="s">
        <v>26</v>
      </c>
      <c r="D256" s="50" t="s">
        <v>27</v>
      </c>
      <c r="E256" s="50">
        <v>50010031</v>
      </c>
      <c r="F256" s="50" t="s">
        <v>89</v>
      </c>
      <c r="G256" s="50">
        <v>1</v>
      </c>
      <c r="H256" s="50" t="s">
        <v>2</v>
      </c>
      <c r="I256" s="50" t="s">
        <v>288</v>
      </c>
      <c r="J256" s="51">
        <v>46108</v>
      </c>
      <c r="K256" s="50" t="s">
        <v>1</v>
      </c>
      <c r="L256" s="50" t="s">
        <v>80</v>
      </c>
    </row>
    <row r="257" spans="2:12">
      <c r="B257" s="50" t="s">
        <v>399</v>
      </c>
      <c r="C257" s="50" t="s">
        <v>51</v>
      </c>
      <c r="D257" s="50" t="s">
        <v>27</v>
      </c>
      <c r="E257" s="50">
        <v>50039065</v>
      </c>
      <c r="F257" s="50" t="s">
        <v>186</v>
      </c>
      <c r="G257" s="50">
        <v>1</v>
      </c>
      <c r="H257" s="50" t="s">
        <v>2</v>
      </c>
      <c r="I257" s="50" t="s">
        <v>288</v>
      </c>
      <c r="J257" s="51">
        <v>46108</v>
      </c>
      <c r="K257" s="50" t="s">
        <v>3</v>
      </c>
      <c r="L257" s="50" t="s">
        <v>80</v>
      </c>
    </row>
    <row r="258" spans="2:12">
      <c r="B258" s="50" t="s">
        <v>399</v>
      </c>
      <c r="C258" s="50" t="s">
        <v>51</v>
      </c>
      <c r="D258" s="50" t="s">
        <v>27</v>
      </c>
      <c r="E258" s="50">
        <v>50004486</v>
      </c>
      <c r="F258" s="50" t="s">
        <v>221</v>
      </c>
      <c r="G258" s="50">
        <v>1</v>
      </c>
      <c r="H258" s="50" t="s">
        <v>2</v>
      </c>
      <c r="I258" s="50" t="s">
        <v>288</v>
      </c>
      <c r="J258" s="51">
        <v>46108</v>
      </c>
      <c r="K258" s="50" t="s">
        <v>3</v>
      </c>
      <c r="L258" s="50" t="s">
        <v>80</v>
      </c>
    </row>
    <row r="259" spans="2:12">
      <c r="B259" s="50" t="s">
        <v>399</v>
      </c>
      <c r="C259" s="50" t="s">
        <v>51</v>
      </c>
      <c r="D259" s="50" t="s">
        <v>27</v>
      </c>
      <c r="E259" s="50">
        <v>50003297</v>
      </c>
      <c r="F259" s="50" t="s">
        <v>158</v>
      </c>
      <c r="G259" s="50">
        <v>1</v>
      </c>
      <c r="H259" s="50" t="s">
        <v>2</v>
      </c>
      <c r="I259" s="50" t="s">
        <v>288</v>
      </c>
      <c r="J259" s="51">
        <v>46108</v>
      </c>
      <c r="K259" s="50" t="s">
        <v>3</v>
      </c>
      <c r="L259" s="50" t="s">
        <v>80</v>
      </c>
    </row>
    <row r="260" spans="2:12">
      <c r="B260" s="50" t="s">
        <v>399</v>
      </c>
      <c r="C260" s="50" t="s">
        <v>51</v>
      </c>
      <c r="D260" s="50" t="s">
        <v>27</v>
      </c>
      <c r="E260" s="50">
        <v>50038841</v>
      </c>
      <c r="F260" s="50" t="s">
        <v>180</v>
      </c>
      <c r="G260" s="50">
        <v>1</v>
      </c>
      <c r="H260" s="50" t="s">
        <v>2</v>
      </c>
      <c r="I260" s="50" t="s">
        <v>288</v>
      </c>
      <c r="J260" s="51">
        <v>46108</v>
      </c>
      <c r="K260" s="50" t="s">
        <v>3</v>
      </c>
      <c r="L260" s="50" t="s">
        <v>80</v>
      </c>
    </row>
    <row r="261" spans="2:12">
      <c r="B261" s="50" t="s">
        <v>428</v>
      </c>
      <c r="C261" s="50" t="s">
        <v>26</v>
      </c>
      <c r="D261" s="50" t="s">
        <v>27</v>
      </c>
      <c r="E261" s="50">
        <v>50022878</v>
      </c>
      <c r="F261" s="50" t="s">
        <v>296</v>
      </c>
      <c r="G261" s="50">
        <v>1</v>
      </c>
      <c r="H261" s="50" t="s">
        <v>2</v>
      </c>
      <c r="I261" s="50" t="s">
        <v>288</v>
      </c>
      <c r="J261" s="51">
        <v>46108</v>
      </c>
      <c r="K261" s="50" t="s">
        <v>3</v>
      </c>
      <c r="L261" s="50" t="s">
        <v>80</v>
      </c>
    </row>
    <row r="262" spans="2:12">
      <c r="B262" s="50" t="s">
        <v>481</v>
      </c>
      <c r="C262" s="50" t="s">
        <v>56</v>
      </c>
      <c r="D262" s="50" t="s">
        <v>27</v>
      </c>
      <c r="E262" s="50">
        <v>50028220</v>
      </c>
      <c r="F262" s="50" t="s">
        <v>242</v>
      </c>
      <c r="G262" s="50">
        <v>1</v>
      </c>
      <c r="H262" s="50" t="s">
        <v>2</v>
      </c>
      <c r="I262" s="50" t="s">
        <v>288</v>
      </c>
      <c r="J262" s="51">
        <v>46108</v>
      </c>
      <c r="K262" s="50" t="s">
        <v>3</v>
      </c>
      <c r="L262" s="50" t="s">
        <v>80</v>
      </c>
    </row>
    <row r="263" spans="2:12">
      <c r="B263" s="50" t="s">
        <v>474</v>
      </c>
      <c r="C263" s="50" t="s">
        <v>51</v>
      </c>
      <c r="D263" s="50" t="s">
        <v>27</v>
      </c>
      <c r="E263" s="50">
        <v>50032781</v>
      </c>
      <c r="F263" s="50" t="s">
        <v>237</v>
      </c>
      <c r="G263" s="50">
        <v>1</v>
      </c>
      <c r="H263" s="50" t="s">
        <v>2</v>
      </c>
      <c r="I263" s="50" t="s">
        <v>288</v>
      </c>
      <c r="J263" s="51">
        <v>46108</v>
      </c>
      <c r="K263" s="50" t="s">
        <v>1</v>
      </c>
      <c r="L263" s="50" t="s">
        <v>80</v>
      </c>
    </row>
    <row r="264" spans="2:12">
      <c r="B264" s="50" t="s">
        <v>465</v>
      </c>
      <c r="C264" s="50" t="s">
        <v>26</v>
      </c>
      <c r="D264" s="50" t="s">
        <v>27</v>
      </c>
      <c r="E264" s="50">
        <v>50010031</v>
      </c>
      <c r="F264" s="50" t="s">
        <v>89</v>
      </c>
      <c r="G264" s="50">
        <v>1</v>
      </c>
      <c r="H264" s="50" t="s">
        <v>2</v>
      </c>
      <c r="I264" s="50" t="s">
        <v>288</v>
      </c>
      <c r="J264" s="51">
        <v>46108</v>
      </c>
      <c r="K264" s="50" t="s">
        <v>1</v>
      </c>
      <c r="L264" s="50" t="s">
        <v>80</v>
      </c>
    </row>
    <row r="265" spans="2:12">
      <c r="B265" s="50" t="s">
        <v>278</v>
      </c>
      <c r="C265" s="50" t="s">
        <v>62</v>
      </c>
      <c r="D265" s="50" t="s">
        <v>27</v>
      </c>
      <c r="E265" s="50">
        <v>50038662</v>
      </c>
      <c r="F265" s="50" t="s">
        <v>193</v>
      </c>
      <c r="G265" s="50">
        <v>1</v>
      </c>
      <c r="H265" s="50" t="s">
        <v>2</v>
      </c>
      <c r="I265" s="50" t="s">
        <v>288</v>
      </c>
      <c r="J265" s="51">
        <v>46108</v>
      </c>
      <c r="K265" s="50" t="s">
        <v>1</v>
      </c>
      <c r="L265" s="50" t="s">
        <v>80</v>
      </c>
    </row>
    <row r="266" spans="2:12">
      <c r="B266" s="50" t="s">
        <v>363</v>
      </c>
      <c r="C266" s="50" t="s">
        <v>26</v>
      </c>
      <c r="D266" s="50" t="s">
        <v>41</v>
      </c>
      <c r="E266" s="50">
        <v>50032781</v>
      </c>
      <c r="F266" s="50" t="s">
        <v>237</v>
      </c>
      <c r="G266" s="50">
        <v>1</v>
      </c>
      <c r="H266" s="50" t="s">
        <v>2</v>
      </c>
      <c r="I266" s="50" t="s">
        <v>288</v>
      </c>
      <c r="J266" s="51">
        <v>46108</v>
      </c>
      <c r="K266" s="50" t="s">
        <v>3</v>
      </c>
      <c r="L266" s="50" t="s">
        <v>80</v>
      </c>
    </row>
    <row r="267" spans="2:12">
      <c r="B267" s="50" t="s">
        <v>385</v>
      </c>
      <c r="C267" s="50" t="s">
        <v>56</v>
      </c>
      <c r="D267" s="50" t="s">
        <v>41</v>
      </c>
      <c r="E267" s="50">
        <v>50036298</v>
      </c>
      <c r="F267" s="50" t="s">
        <v>102</v>
      </c>
      <c r="G267" s="50">
        <v>1</v>
      </c>
      <c r="H267" s="50" t="s">
        <v>2</v>
      </c>
      <c r="I267" s="50" t="s">
        <v>288</v>
      </c>
      <c r="J267" s="51">
        <v>46108</v>
      </c>
      <c r="K267" s="50" t="s">
        <v>3</v>
      </c>
      <c r="L267" s="50" t="s">
        <v>80</v>
      </c>
    </row>
    <row r="268" spans="2:12">
      <c r="B268" s="50" t="s">
        <v>483</v>
      </c>
      <c r="C268" s="50" t="s">
        <v>62</v>
      </c>
      <c r="D268" s="50" t="s">
        <v>27</v>
      </c>
      <c r="E268" s="50">
        <v>50003296</v>
      </c>
      <c r="F268" s="50" t="s">
        <v>157</v>
      </c>
      <c r="G268" s="50">
        <v>1</v>
      </c>
      <c r="H268" s="50" t="s">
        <v>2</v>
      </c>
      <c r="I268" s="50" t="s">
        <v>288</v>
      </c>
      <c r="J268" s="51">
        <v>46108</v>
      </c>
      <c r="K268" s="50" t="s">
        <v>3</v>
      </c>
      <c r="L268" s="50" t="s">
        <v>80</v>
      </c>
    </row>
    <row r="269" spans="2:12">
      <c r="B269" s="50" t="s">
        <v>278</v>
      </c>
      <c r="C269" s="50" t="s">
        <v>62</v>
      </c>
      <c r="D269" s="50" t="s">
        <v>27</v>
      </c>
      <c r="E269" s="50">
        <v>50038662</v>
      </c>
      <c r="F269" s="50" t="s">
        <v>193</v>
      </c>
      <c r="G269" s="50">
        <v>1</v>
      </c>
      <c r="H269" s="50" t="s">
        <v>2</v>
      </c>
      <c r="I269" s="50" t="s">
        <v>288</v>
      </c>
      <c r="J269" s="51">
        <v>46108</v>
      </c>
      <c r="K269" s="50" t="s">
        <v>3</v>
      </c>
      <c r="L269" s="50" t="s">
        <v>80</v>
      </c>
    </row>
    <row r="270" spans="2:12">
      <c r="B270" s="50" t="s">
        <v>474</v>
      </c>
      <c r="C270" s="50" t="s">
        <v>51</v>
      </c>
      <c r="D270" s="50" t="s">
        <v>27</v>
      </c>
      <c r="E270" s="50">
        <v>50046617</v>
      </c>
      <c r="F270" s="50" t="s">
        <v>365</v>
      </c>
      <c r="G270" s="50">
        <v>1</v>
      </c>
      <c r="H270" s="50" t="s">
        <v>2</v>
      </c>
      <c r="I270" s="50" t="s">
        <v>288</v>
      </c>
      <c r="J270" s="51">
        <v>46108</v>
      </c>
      <c r="K270" s="50" t="s">
        <v>3</v>
      </c>
      <c r="L270" s="50" t="s">
        <v>80</v>
      </c>
    </row>
    <row r="271" spans="2:12">
      <c r="B271" s="50" t="s">
        <v>363</v>
      </c>
      <c r="C271" s="50" t="s">
        <v>26</v>
      </c>
      <c r="D271" s="50" t="s">
        <v>41</v>
      </c>
      <c r="E271" s="50">
        <v>50043471</v>
      </c>
      <c r="F271" s="50" t="s">
        <v>257</v>
      </c>
      <c r="G271" s="50">
        <v>1</v>
      </c>
      <c r="H271" s="50" t="s">
        <v>2</v>
      </c>
      <c r="I271" s="50" t="s">
        <v>288</v>
      </c>
      <c r="J271" s="51">
        <v>46108</v>
      </c>
      <c r="K271" s="50" t="s">
        <v>3</v>
      </c>
      <c r="L271" s="50" t="s">
        <v>80</v>
      </c>
    </row>
    <row r="272" spans="2:12">
      <c r="B272" s="50" t="s">
        <v>422</v>
      </c>
      <c r="C272" s="50" t="s">
        <v>26</v>
      </c>
      <c r="D272" s="50" t="s">
        <v>41</v>
      </c>
      <c r="E272" s="50">
        <v>50037905</v>
      </c>
      <c r="F272" s="50" t="s">
        <v>150</v>
      </c>
      <c r="G272" s="50">
        <v>1</v>
      </c>
      <c r="H272" s="50" t="s">
        <v>2</v>
      </c>
      <c r="I272" s="50" t="s">
        <v>288</v>
      </c>
      <c r="J272" s="51">
        <v>46108</v>
      </c>
      <c r="K272" s="50" t="s">
        <v>3</v>
      </c>
      <c r="L272" s="50" t="s">
        <v>80</v>
      </c>
    </row>
    <row r="273" spans="2:12">
      <c r="B273" s="50" t="s">
        <v>439</v>
      </c>
      <c r="C273" s="50" t="s">
        <v>62</v>
      </c>
      <c r="D273" s="50" t="s">
        <v>27</v>
      </c>
      <c r="E273" s="50">
        <v>50026357</v>
      </c>
      <c r="F273" s="50" t="s">
        <v>192</v>
      </c>
      <c r="G273" s="50">
        <v>1</v>
      </c>
      <c r="H273" s="50" t="s">
        <v>2</v>
      </c>
      <c r="I273" s="50" t="s">
        <v>288</v>
      </c>
      <c r="J273" s="51">
        <v>46108</v>
      </c>
      <c r="K273" s="50" t="s">
        <v>3</v>
      </c>
      <c r="L273" s="50" t="s">
        <v>80</v>
      </c>
    </row>
    <row r="274" spans="2:12">
      <c r="B274" s="50" t="s">
        <v>465</v>
      </c>
      <c r="C274" s="50" t="s">
        <v>26</v>
      </c>
      <c r="D274" s="50" t="s">
        <v>27</v>
      </c>
      <c r="E274" s="50">
        <v>50001995</v>
      </c>
      <c r="F274" s="50" t="s">
        <v>185</v>
      </c>
      <c r="G274" s="50">
        <v>1</v>
      </c>
      <c r="H274" s="50" t="s">
        <v>2</v>
      </c>
      <c r="I274" s="50" t="s">
        <v>288</v>
      </c>
      <c r="J274" s="51">
        <v>46108</v>
      </c>
      <c r="K274" s="50" t="s">
        <v>3</v>
      </c>
      <c r="L274" s="50" t="s">
        <v>80</v>
      </c>
    </row>
    <row r="275" spans="2:12">
      <c r="B275" s="50" t="s">
        <v>394</v>
      </c>
      <c r="C275" s="50" t="s">
        <v>51</v>
      </c>
      <c r="D275" s="50" t="s">
        <v>27</v>
      </c>
      <c r="E275" s="50">
        <v>50036086</v>
      </c>
      <c r="F275" s="50" t="s">
        <v>28</v>
      </c>
      <c r="G275" s="50">
        <v>1</v>
      </c>
      <c r="H275" s="50" t="s">
        <v>2</v>
      </c>
      <c r="I275" s="50" t="s">
        <v>288</v>
      </c>
      <c r="J275" s="51">
        <v>46108</v>
      </c>
      <c r="K275" s="50" t="s">
        <v>3</v>
      </c>
      <c r="L275" s="50" t="s">
        <v>80</v>
      </c>
    </row>
    <row r="276" spans="2:12">
      <c r="B276" s="50" t="s">
        <v>394</v>
      </c>
      <c r="C276" s="50" t="s">
        <v>51</v>
      </c>
      <c r="D276" s="50" t="s">
        <v>27</v>
      </c>
      <c r="E276" s="50">
        <v>50038842</v>
      </c>
      <c r="F276" s="50" t="s">
        <v>133</v>
      </c>
      <c r="G276" s="50">
        <v>1</v>
      </c>
      <c r="H276" s="50" t="s">
        <v>2</v>
      </c>
      <c r="I276" s="50" t="s">
        <v>288</v>
      </c>
      <c r="J276" s="51">
        <v>46108</v>
      </c>
      <c r="K276" s="50" t="s">
        <v>3</v>
      </c>
      <c r="L276" s="50" t="s">
        <v>80</v>
      </c>
    </row>
    <row r="277" spans="2:12">
      <c r="B277" s="50" t="s">
        <v>463</v>
      </c>
      <c r="C277" s="50" t="s">
        <v>356</v>
      </c>
      <c r="D277" s="50" t="s">
        <v>27</v>
      </c>
      <c r="E277" s="50">
        <v>50036332</v>
      </c>
      <c r="F277" s="50" t="s">
        <v>188</v>
      </c>
      <c r="G277" s="50">
        <v>1</v>
      </c>
      <c r="H277" s="50" t="s">
        <v>2</v>
      </c>
      <c r="I277" s="50" t="s">
        <v>292</v>
      </c>
      <c r="J277" s="51">
        <v>46107</v>
      </c>
      <c r="K277" s="50" t="s">
        <v>1</v>
      </c>
      <c r="L277" s="50" t="s">
        <v>80</v>
      </c>
    </row>
    <row r="278" spans="2:12">
      <c r="B278" s="50" t="s">
        <v>439</v>
      </c>
      <c r="C278" s="50" t="s">
        <v>62</v>
      </c>
      <c r="D278" s="50" t="s">
        <v>27</v>
      </c>
      <c r="E278" s="50">
        <v>50026357</v>
      </c>
      <c r="F278" s="50" t="s">
        <v>192</v>
      </c>
      <c r="G278" s="50">
        <v>1</v>
      </c>
      <c r="H278" s="50" t="s">
        <v>2</v>
      </c>
      <c r="I278" s="50" t="s">
        <v>292</v>
      </c>
      <c r="J278" s="51">
        <v>46107</v>
      </c>
      <c r="K278" s="50" t="s">
        <v>1</v>
      </c>
      <c r="L278" s="50" t="s">
        <v>80</v>
      </c>
    </row>
    <row r="279" spans="2:12">
      <c r="B279" s="50" t="s">
        <v>430</v>
      </c>
      <c r="C279" s="50" t="s">
        <v>61</v>
      </c>
      <c r="D279" s="50" t="s">
        <v>39</v>
      </c>
      <c r="E279" s="50">
        <v>50018168</v>
      </c>
      <c r="F279" s="50" t="s">
        <v>251</v>
      </c>
      <c r="G279" s="50">
        <v>1</v>
      </c>
      <c r="H279" s="50" t="s">
        <v>2</v>
      </c>
      <c r="I279" s="50" t="s">
        <v>292</v>
      </c>
      <c r="J279" s="51">
        <v>46107</v>
      </c>
      <c r="K279" s="50" t="s">
        <v>3</v>
      </c>
      <c r="L279" s="50" t="s">
        <v>80</v>
      </c>
    </row>
    <row r="280" spans="2:12">
      <c r="B280" s="50" t="s">
        <v>463</v>
      </c>
      <c r="C280" s="50" t="s">
        <v>356</v>
      </c>
      <c r="D280" s="50" t="s">
        <v>27</v>
      </c>
      <c r="E280" s="50">
        <v>50036332</v>
      </c>
      <c r="F280" s="50" t="s">
        <v>188</v>
      </c>
      <c r="G280" s="50">
        <v>1</v>
      </c>
      <c r="H280" s="50" t="s">
        <v>2</v>
      </c>
      <c r="I280" s="50" t="s">
        <v>292</v>
      </c>
      <c r="J280" s="51">
        <v>46107</v>
      </c>
      <c r="K280" s="50" t="s">
        <v>3</v>
      </c>
      <c r="L280" s="50" t="s">
        <v>80</v>
      </c>
    </row>
    <row r="281" spans="2:12">
      <c r="B281" s="50" t="s">
        <v>465</v>
      </c>
      <c r="C281" s="50" t="s">
        <v>26</v>
      </c>
      <c r="D281" s="50" t="s">
        <v>27</v>
      </c>
      <c r="E281" s="50">
        <v>50003297</v>
      </c>
      <c r="F281" s="50" t="s">
        <v>158</v>
      </c>
      <c r="G281" s="50">
        <v>1</v>
      </c>
      <c r="H281" s="50" t="s">
        <v>2</v>
      </c>
      <c r="I281" s="50" t="s">
        <v>292</v>
      </c>
      <c r="J281" s="51">
        <v>46107</v>
      </c>
      <c r="K281" s="50" t="s">
        <v>3</v>
      </c>
      <c r="L281" s="50" t="s">
        <v>80</v>
      </c>
    </row>
    <row r="282" spans="2:12">
      <c r="B282" s="50" t="s">
        <v>54</v>
      </c>
      <c r="C282" s="50" t="s">
        <v>51</v>
      </c>
      <c r="D282" s="50" t="s">
        <v>41</v>
      </c>
      <c r="E282" s="50">
        <v>50038854</v>
      </c>
      <c r="F282" s="50" t="s">
        <v>101</v>
      </c>
      <c r="G282" s="50">
        <v>1</v>
      </c>
      <c r="H282" s="50" t="s">
        <v>2</v>
      </c>
      <c r="I282" s="50" t="s">
        <v>292</v>
      </c>
      <c r="J282" s="51">
        <v>46107</v>
      </c>
      <c r="K282" s="50" t="s">
        <v>1</v>
      </c>
      <c r="L282" s="50" t="s">
        <v>80</v>
      </c>
    </row>
    <row r="283" spans="2:12">
      <c r="B283" s="50" t="s">
        <v>54</v>
      </c>
      <c r="C283" s="50" t="s">
        <v>51</v>
      </c>
      <c r="D283" s="50" t="s">
        <v>41</v>
      </c>
      <c r="E283" s="50">
        <v>50038854</v>
      </c>
      <c r="F283" s="50" t="s">
        <v>101</v>
      </c>
      <c r="G283" s="50">
        <v>1</v>
      </c>
      <c r="H283" s="50" t="s">
        <v>2</v>
      </c>
      <c r="I283" s="50" t="s">
        <v>291</v>
      </c>
      <c r="J283" s="51">
        <v>46107</v>
      </c>
      <c r="K283" s="50" t="s">
        <v>3</v>
      </c>
      <c r="L283" s="50" t="s">
        <v>80</v>
      </c>
    </row>
    <row r="284" spans="2:12">
      <c r="B284" s="50" t="s">
        <v>386</v>
      </c>
      <c r="C284" s="50" t="s">
        <v>62</v>
      </c>
      <c r="D284" s="50" t="s">
        <v>27</v>
      </c>
      <c r="E284" s="50">
        <v>50038518</v>
      </c>
      <c r="F284" s="50" t="s">
        <v>340</v>
      </c>
      <c r="G284" s="50">
        <v>1</v>
      </c>
      <c r="H284" s="50" t="s">
        <v>2</v>
      </c>
      <c r="I284" s="50" t="s">
        <v>291</v>
      </c>
      <c r="J284" s="51">
        <v>46107</v>
      </c>
      <c r="K284" s="50" t="s">
        <v>1</v>
      </c>
      <c r="L284" s="50" t="s">
        <v>80</v>
      </c>
    </row>
    <row r="285" spans="2:12">
      <c r="B285" s="50" t="s">
        <v>280</v>
      </c>
      <c r="C285" s="50" t="s">
        <v>62</v>
      </c>
      <c r="D285" s="50" t="s">
        <v>27</v>
      </c>
      <c r="E285" s="50">
        <v>50041194</v>
      </c>
      <c r="F285" s="50" t="s">
        <v>249</v>
      </c>
      <c r="G285" s="50">
        <v>1</v>
      </c>
      <c r="H285" s="50" t="s">
        <v>2</v>
      </c>
      <c r="I285" s="50" t="s">
        <v>288</v>
      </c>
      <c r="J285" s="51">
        <v>46107</v>
      </c>
      <c r="K285" s="50" t="s">
        <v>3</v>
      </c>
      <c r="L285" s="50" t="s">
        <v>80</v>
      </c>
    </row>
    <row r="286" spans="2:12">
      <c r="B286" s="50" t="s">
        <v>442</v>
      </c>
      <c r="C286" s="50" t="s">
        <v>61</v>
      </c>
      <c r="D286" s="50" t="s">
        <v>41</v>
      </c>
      <c r="E286" s="50">
        <v>50038841</v>
      </c>
      <c r="F286" s="50" t="s">
        <v>180</v>
      </c>
      <c r="G286" s="50">
        <v>1</v>
      </c>
      <c r="H286" s="50" t="s">
        <v>2</v>
      </c>
      <c r="I286" s="50" t="s">
        <v>288</v>
      </c>
      <c r="J286" s="51">
        <v>46107</v>
      </c>
      <c r="K286" s="50" t="s">
        <v>3</v>
      </c>
      <c r="L286" s="50" t="s">
        <v>80</v>
      </c>
    </row>
    <row r="287" spans="2:12">
      <c r="B287" s="50" t="s">
        <v>399</v>
      </c>
      <c r="C287" s="50" t="s">
        <v>51</v>
      </c>
      <c r="D287" s="50" t="s">
        <v>27</v>
      </c>
      <c r="E287" s="50">
        <v>50003296</v>
      </c>
      <c r="F287" s="50" t="s">
        <v>157</v>
      </c>
      <c r="G287" s="50">
        <v>1</v>
      </c>
      <c r="H287" s="50" t="s">
        <v>2</v>
      </c>
      <c r="I287" s="50" t="s">
        <v>288</v>
      </c>
      <c r="J287" s="51">
        <v>46107</v>
      </c>
      <c r="K287" s="50" t="s">
        <v>3</v>
      </c>
      <c r="L287" s="50" t="s">
        <v>80</v>
      </c>
    </row>
    <row r="288" spans="2:12">
      <c r="B288" s="50" t="s">
        <v>399</v>
      </c>
      <c r="C288" s="50" t="s">
        <v>51</v>
      </c>
      <c r="D288" s="50" t="s">
        <v>27</v>
      </c>
      <c r="E288" s="50">
        <v>50037903</v>
      </c>
      <c r="F288" s="50" t="s">
        <v>183</v>
      </c>
      <c r="G288" s="50">
        <v>1</v>
      </c>
      <c r="H288" s="50" t="s">
        <v>2</v>
      </c>
      <c r="I288" s="50" t="s">
        <v>288</v>
      </c>
      <c r="J288" s="51">
        <v>46107</v>
      </c>
      <c r="K288" s="50" t="s">
        <v>3</v>
      </c>
      <c r="L288" s="50" t="s">
        <v>80</v>
      </c>
    </row>
    <row r="289" spans="2:12">
      <c r="B289" s="50" t="s">
        <v>399</v>
      </c>
      <c r="C289" s="50" t="s">
        <v>51</v>
      </c>
      <c r="D289" s="50" t="s">
        <v>27</v>
      </c>
      <c r="E289" s="50">
        <v>50010031</v>
      </c>
      <c r="F289" s="50" t="s">
        <v>89</v>
      </c>
      <c r="G289" s="50">
        <v>1</v>
      </c>
      <c r="H289" s="50" t="s">
        <v>2</v>
      </c>
      <c r="I289" s="50" t="s">
        <v>288</v>
      </c>
      <c r="J289" s="51">
        <v>46107</v>
      </c>
      <c r="K289" s="50" t="s">
        <v>3</v>
      </c>
      <c r="L289" s="50" t="s">
        <v>80</v>
      </c>
    </row>
    <row r="290" spans="2:12">
      <c r="B290" s="50" t="s">
        <v>399</v>
      </c>
      <c r="C290" s="50" t="s">
        <v>51</v>
      </c>
      <c r="D290" s="50" t="s">
        <v>27</v>
      </c>
      <c r="E290" s="50">
        <v>50004486</v>
      </c>
      <c r="F290" s="50" t="s">
        <v>221</v>
      </c>
      <c r="G290" s="50">
        <v>1</v>
      </c>
      <c r="H290" s="50" t="s">
        <v>2</v>
      </c>
      <c r="I290" s="50" t="s">
        <v>288</v>
      </c>
      <c r="J290" s="51">
        <v>46107</v>
      </c>
      <c r="K290" s="50" t="s">
        <v>3</v>
      </c>
      <c r="L290" s="50" t="s">
        <v>80</v>
      </c>
    </row>
    <row r="291" spans="2:12">
      <c r="B291" s="50" t="s">
        <v>399</v>
      </c>
      <c r="C291" s="50" t="s">
        <v>51</v>
      </c>
      <c r="D291" s="50" t="s">
        <v>27</v>
      </c>
      <c r="E291" s="50">
        <v>50039065</v>
      </c>
      <c r="F291" s="50" t="s">
        <v>186</v>
      </c>
      <c r="G291" s="50">
        <v>1</v>
      </c>
      <c r="H291" s="50" t="s">
        <v>2</v>
      </c>
      <c r="I291" s="50" t="s">
        <v>288</v>
      </c>
      <c r="J291" s="51">
        <v>46107</v>
      </c>
      <c r="K291" s="50" t="s">
        <v>3</v>
      </c>
      <c r="L291" s="50" t="s">
        <v>80</v>
      </c>
    </row>
    <row r="292" spans="2:12">
      <c r="B292" s="50" t="s">
        <v>386</v>
      </c>
      <c r="C292" s="50" t="s">
        <v>62</v>
      </c>
      <c r="D292" s="50" t="s">
        <v>27</v>
      </c>
      <c r="E292" s="50">
        <v>50003297</v>
      </c>
      <c r="F292" s="50" t="s">
        <v>158</v>
      </c>
      <c r="G292" s="50">
        <v>1</v>
      </c>
      <c r="H292" s="50" t="s">
        <v>2</v>
      </c>
      <c r="I292" s="50" t="s">
        <v>288</v>
      </c>
      <c r="J292" s="51">
        <v>46107</v>
      </c>
      <c r="K292" s="50" t="s">
        <v>3</v>
      </c>
      <c r="L292" s="50" t="s">
        <v>80</v>
      </c>
    </row>
    <row r="293" spans="2:12">
      <c r="B293" s="50" t="s">
        <v>386</v>
      </c>
      <c r="C293" s="50" t="s">
        <v>62</v>
      </c>
      <c r="D293" s="50" t="s">
        <v>27</v>
      </c>
      <c r="E293" s="50">
        <v>50038518</v>
      </c>
      <c r="F293" s="50" t="s">
        <v>340</v>
      </c>
      <c r="G293" s="50">
        <v>1</v>
      </c>
      <c r="H293" s="50" t="s">
        <v>2</v>
      </c>
      <c r="I293" s="50" t="s">
        <v>288</v>
      </c>
      <c r="J293" s="51">
        <v>46107</v>
      </c>
      <c r="K293" s="50" t="s">
        <v>3</v>
      </c>
      <c r="L293" s="50" t="s">
        <v>80</v>
      </c>
    </row>
    <row r="294" spans="2:12">
      <c r="B294" s="50" t="s">
        <v>483</v>
      </c>
      <c r="C294" s="50" t="s">
        <v>62</v>
      </c>
      <c r="D294" s="50" t="s">
        <v>27</v>
      </c>
      <c r="E294" s="50">
        <v>50046617</v>
      </c>
      <c r="F294" s="50" t="s">
        <v>365</v>
      </c>
      <c r="G294" s="50">
        <v>1</v>
      </c>
      <c r="H294" s="50" t="s">
        <v>2</v>
      </c>
      <c r="I294" s="50" t="s">
        <v>288</v>
      </c>
      <c r="J294" s="51">
        <v>46107</v>
      </c>
      <c r="K294" s="50" t="s">
        <v>3</v>
      </c>
      <c r="L294" s="50" t="s">
        <v>80</v>
      </c>
    </row>
    <row r="295" spans="2:12">
      <c r="B295" s="50" t="s">
        <v>472</v>
      </c>
      <c r="C295" s="50" t="s">
        <v>51</v>
      </c>
      <c r="D295" s="50" t="s">
        <v>41</v>
      </c>
      <c r="E295" s="50">
        <v>50038517</v>
      </c>
      <c r="F295" s="50" t="s">
        <v>181</v>
      </c>
      <c r="G295" s="50">
        <v>1</v>
      </c>
      <c r="H295" s="50" t="s">
        <v>2</v>
      </c>
      <c r="I295" s="50" t="s">
        <v>288</v>
      </c>
      <c r="J295" s="51">
        <v>46107</v>
      </c>
      <c r="K295" s="50" t="s">
        <v>3</v>
      </c>
      <c r="L295" s="50" t="s">
        <v>80</v>
      </c>
    </row>
    <row r="296" spans="2:12">
      <c r="B296" s="50" t="s">
        <v>345</v>
      </c>
      <c r="C296" s="50" t="s">
        <v>62</v>
      </c>
      <c r="D296" s="50" t="s">
        <v>27</v>
      </c>
      <c r="E296" s="50">
        <v>50043471</v>
      </c>
      <c r="F296" s="50" t="s">
        <v>257</v>
      </c>
      <c r="G296" s="50">
        <v>1</v>
      </c>
      <c r="H296" s="50" t="s">
        <v>2</v>
      </c>
      <c r="I296" s="50" t="s">
        <v>288</v>
      </c>
      <c r="J296" s="51">
        <v>46107</v>
      </c>
      <c r="K296" s="50" t="s">
        <v>3</v>
      </c>
      <c r="L296" s="50" t="s">
        <v>80</v>
      </c>
    </row>
    <row r="297" spans="2:12">
      <c r="B297" s="50" t="s">
        <v>474</v>
      </c>
      <c r="C297" s="50" t="s">
        <v>51</v>
      </c>
      <c r="D297" s="50" t="s">
        <v>27</v>
      </c>
      <c r="E297" s="50">
        <v>50041195</v>
      </c>
      <c r="F297" s="50" t="s">
        <v>206</v>
      </c>
      <c r="G297" s="50">
        <v>1</v>
      </c>
      <c r="H297" s="50" t="s">
        <v>2</v>
      </c>
      <c r="I297" s="50" t="s">
        <v>288</v>
      </c>
      <c r="J297" s="51">
        <v>46107</v>
      </c>
      <c r="K297" s="50" t="s">
        <v>3</v>
      </c>
      <c r="L297" s="50" t="s">
        <v>80</v>
      </c>
    </row>
    <row r="298" spans="2:12">
      <c r="B298" s="50" t="s">
        <v>439</v>
      </c>
      <c r="C298" s="50" t="s">
        <v>62</v>
      </c>
      <c r="D298" s="50" t="s">
        <v>27</v>
      </c>
      <c r="E298" s="50">
        <v>50026357</v>
      </c>
      <c r="F298" s="50" t="s">
        <v>192</v>
      </c>
      <c r="G298" s="50">
        <v>1</v>
      </c>
      <c r="H298" s="50" t="s">
        <v>2</v>
      </c>
      <c r="I298" s="50" t="s">
        <v>288</v>
      </c>
      <c r="J298" s="51">
        <v>46107</v>
      </c>
      <c r="K298" s="50" t="s">
        <v>3</v>
      </c>
      <c r="L298" s="50" t="s">
        <v>80</v>
      </c>
    </row>
    <row r="299" spans="2:12">
      <c r="B299" s="50" t="s">
        <v>438</v>
      </c>
      <c r="C299" s="50" t="s">
        <v>51</v>
      </c>
      <c r="D299" s="50" t="s">
        <v>27</v>
      </c>
      <c r="E299" s="50">
        <v>50041195</v>
      </c>
      <c r="F299" s="50" t="s">
        <v>206</v>
      </c>
      <c r="G299" s="50">
        <v>1</v>
      </c>
      <c r="H299" s="50" t="s">
        <v>2</v>
      </c>
      <c r="I299" s="50" t="s">
        <v>292</v>
      </c>
      <c r="J299" s="51">
        <v>46106</v>
      </c>
      <c r="K299" s="50" t="s">
        <v>1</v>
      </c>
      <c r="L299" s="50" t="s">
        <v>80</v>
      </c>
    </row>
    <row r="300" spans="2:12">
      <c r="B300" s="50" t="s">
        <v>463</v>
      </c>
      <c r="C300" s="50" t="s">
        <v>356</v>
      </c>
      <c r="D300" s="50" t="s">
        <v>27</v>
      </c>
      <c r="E300" s="50">
        <v>50039718</v>
      </c>
      <c r="F300" s="50" t="s">
        <v>149</v>
      </c>
      <c r="G300" s="50">
        <v>1</v>
      </c>
      <c r="H300" s="50" t="s">
        <v>2</v>
      </c>
      <c r="I300" s="50" t="s">
        <v>292</v>
      </c>
      <c r="J300" s="51">
        <v>46106</v>
      </c>
      <c r="K300" s="50" t="s">
        <v>1</v>
      </c>
      <c r="L300" s="50" t="s">
        <v>80</v>
      </c>
    </row>
    <row r="301" spans="2:12">
      <c r="B301" s="50" t="s">
        <v>440</v>
      </c>
      <c r="C301" s="50">
        <v>0</v>
      </c>
      <c r="D301" s="50" t="s">
        <v>27</v>
      </c>
      <c r="E301" s="50">
        <v>50026357</v>
      </c>
      <c r="F301" s="50" t="s">
        <v>192</v>
      </c>
      <c r="G301" s="50">
        <v>1</v>
      </c>
      <c r="H301" s="50" t="s">
        <v>2</v>
      </c>
      <c r="I301" s="50" t="s">
        <v>292</v>
      </c>
      <c r="J301" s="51">
        <v>46106</v>
      </c>
      <c r="K301" s="50" t="s">
        <v>1</v>
      </c>
      <c r="L301" s="50" t="s">
        <v>80</v>
      </c>
    </row>
    <row r="302" spans="2:12">
      <c r="B302" s="50" t="s">
        <v>423</v>
      </c>
      <c r="C302" s="50" t="s">
        <v>62</v>
      </c>
      <c r="D302" s="50" t="s">
        <v>27</v>
      </c>
      <c r="E302" s="50">
        <v>50020623</v>
      </c>
      <c r="F302" s="50" t="s">
        <v>217</v>
      </c>
      <c r="G302" s="50">
        <v>1</v>
      </c>
      <c r="H302" s="50" t="s">
        <v>2</v>
      </c>
      <c r="I302" s="50" t="s">
        <v>292</v>
      </c>
      <c r="J302" s="51">
        <v>46106</v>
      </c>
      <c r="K302" s="50" t="s">
        <v>1</v>
      </c>
      <c r="L302" s="50" t="s">
        <v>80</v>
      </c>
    </row>
    <row r="303" spans="2:12">
      <c r="B303" s="50" t="s">
        <v>423</v>
      </c>
      <c r="C303" s="50" t="s">
        <v>62</v>
      </c>
      <c r="D303" s="50" t="s">
        <v>27</v>
      </c>
      <c r="E303" s="50">
        <v>50003297</v>
      </c>
      <c r="F303" s="50" t="s">
        <v>158</v>
      </c>
      <c r="G303" s="50">
        <v>1</v>
      </c>
      <c r="H303" s="50" t="s">
        <v>2</v>
      </c>
      <c r="I303" s="50" t="s">
        <v>292</v>
      </c>
      <c r="J303" s="51">
        <v>46106</v>
      </c>
      <c r="K303" s="50" t="s">
        <v>1</v>
      </c>
      <c r="L303" s="50" t="s">
        <v>80</v>
      </c>
    </row>
    <row r="304" spans="2:12">
      <c r="B304" s="50" t="s">
        <v>363</v>
      </c>
      <c r="C304" s="50" t="s">
        <v>26</v>
      </c>
      <c r="D304" s="50" t="s">
        <v>41</v>
      </c>
      <c r="E304" s="50">
        <v>50038517</v>
      </c>
      <c r="F304" s="50" t="s">
        <v>181</v>
      </c>
      <c r="G304" s="50">
        <v>1</v>
      </c>
      <c r="H304" s="50" t="s">
        <v>2</v>
      </c>
      <c r="I304" s="50" t="s">
        <v>292</v>
      </c>
      <c r="J304" s="51">
        <v>46106</v>
      </c>
      <c r="K304" s="50" t="s">
        <v>1</v>
      </c>
      <c r="L304" s="50" t="s">
        <v>80</v>
      </c>
    </row>
    <row r="305" spans="2:12">
      <c r="B305" s="50" t="s">
        <v>363</v>
      </c>
      <c r="C305" s="50" t="s">
        <v>26</v>
      </c>
      <c r="D305" s="50" t="s">
        <v>41</v>
      </c>
      <c r="E305" s="50">
        <v>50038517</v>
      </c>
      <c r="F305" s="50" t="s">
        <v>181</v>
      </c>
      <c r="G305" s="50">
        <v>1</v>
      </c>
      <c r="H305" s="50" t="s">
        <v>2</v>
      </c>
      <c r="I305" s="50" t="s">
        <v>291</v>
      </c>
      <c r="J305" s="51">
        <v>46106</v>
      </c>
      <c r="K305" s="50" t="s">
        <v>3</v>
      </c>
      <c r="L305" s="50" t="s">
        <v>80</v>
      </c>
    </row>
    <row r="306" spans="2:12">
      <c r="B306" s="50" t="s">
        <v>316</v>
      </c>
      <c r="C306" s="50" t="s">
        <v>51</v>
      </c>
      <c r="D306" s="50" t="s">
        <v>27</v>
      </c>
      <c r="E306" s="50">
        <v>50038517</v>
      </c>
      <c r="F306" s="50" t="s">
        <v>181</v>
      </c>
      <c r="G306" s="50">
        <v>1</v>
      </c>
      <c r="H306" s="50" t="s">
        <v>2</v>
      </c>
      <c r="I306" s="50" t="s">
        <v>291</v>
      </c>
      <c r="J306" s="51">
        <v>46106</v>
      </c>
      <c r="K306" s="50" t="s">
        <v>1</v>
      </c>
      <c r="L306" s="50" t="s">
        <v>80</v>
      </c>
    </row>
    <row r="307" spans="2:12">
      <c r="B307" s="50" t="s">
        <v>389</v>
      </c>
      <c r="C307" s="50" t="s">
        <v>56</v>
      </c>
      <c r="D307" s="50" t="s">
        <v>27</v>
      </c>
      <c r="E307" s="50">
        <v>50003297</v>
      </c>
      <c r="F307" s="50" t="s">
        <v>158</v>
      </c>
      <c r="G307" s="50">
        <v>1</v>
      </c>
      <c r="H307" s="50" t="s">
        <v>2</v>
      </c>
      <c r="I307" s="50" t="s">
        <v>291</v>
      </c>
      <c r="J307" s="51">
        <v>46106</v>
      </c>
      <c r="K307" s="50" t="s">
        <v>1</v>
      </c>
      <c r="L307" s="50" t="s">
        <v>80</v>
      </c>
    </row>
    <row r="308" spans="2:12">
      <c r="B308" s="50" t="s">
        <v>423</v>
      </c>
      <c r="C308" s="50" t="s">
        <v>62</v>
      </c>
      <c r="D308" s="50" t="s">
        <v>27</v>
      </c>
      <c r="E308" s="50">
        <v>50020623</v>
      </c>
      <c r="F308" s="50" t="s">
        <v>217</v>
      </c>
      <c r="G308" s="50">
        <v>1</v>
      </c>
      <c r="H308" s="50" t="s">
        <v>2</v>
      </c>
      <c r="I308" s="50" t="s">
        <v>291</v>
      </c>
      <c r="J308" s="51">
        <v>46106</v>
      </c>
      <c r="K308" s="50" t="s">
        <v>3</v>
      </c>
      <c r="L308" s="50" t="s">
        <v>80</v>
      </c>
    </row>
    <row r="309" spans="2:12">
      <c r="B309" s="50" t="s">
        <v>423</v>
      </c>
      <c r="C309" s="50" t="s">
        <v>62</v>
      </c>
      <c r="D309" s="50" t="s">
        <v>27</v>
      </c>
      <c r="E309" s="50">
        <v>50003297</v>
      </c>
      <c r="F309" s="50" t="s">
        <v>158</v>
      </c>
      <c r="G309" s="50">
        <v>1</v>
      </c>
      <c r="H309" s="50" t="s">
        <v>2</v>
      </c>
      <c r="I309" s="50" t="s">
        <v>291</v>
      </c>
      <c r="J309" s="51">
        <v>46106</v>
      </c>
      <c r="K309" s="50" t="s">
        <v>3</v>
      </c>
      <c r="L309" s="50" t="s">
        <v>80</v>
      </c>
    </row>
    <row r="310" spans="2:12">
      <c r="B310" s="50" t="s">
        <v>465</v>
      </c>
      <c r="C310" s="50" t="s">
        <v>26</v>
      </c>
      <c r="D310" s="50" t="s">
        <v>27</v>
      </c>
      <c r="E310" s="50">
        <v>50001995</v>
      </c>
      <c r="F310" s="50" t="s">
        <v>185</v>
      </c>
      <c r="G310" s="50">
        <v>1</v>
      </c>
      <c r="H310" s="50" t="s">
        <v>2</v>
      </c>
      <c r="I310" s="50" t="s">
        <v>291</v>
      </c>
      <c r="J310" s="51">
        <v>46106</v>
      </c>
      <c r="K310" s="50" t="s">
        <v>3</v>
      </c>
      <c r="L310" s="50" t="s">
        <v>80</v>
      </c>
    </row>
    <row r="311" spans="2:12">
      <c r="B311" s="50" t="s">
        <v>389</v>
      </c>
      <c r="C311" s="50" t="s">
        <v>56</v>
      </c>
      <c r="D311" s="50" t="s">
        <v>27</v>
      </c>
      <c r="E311" s="50">
        <v>50003297</v>
      </c>
      <c r="F311" s="50" t="s">
        <v>158</v>
      </c>
      <c r="G311" s="50">
        <v>1</v>
      </c>
      <c r="H311" s="50" t="s">
        <v>2</v>
      </c>
      <c r="I311" s="50" t="s">
        <v>291</v>
      </c>
      <c r="J311" s="51">
        <v>46106</v>
      </c>
      <c r="K311" s="50" t="s">
        <v>3</v>
      </c>
      <c r="L311" s="50" t="s">
        <v>80</v>
      </c>
    </row>
    <row r="312" spans="2:12">
      <c r="B312" s="50" t="s">
        <v>471</v>
      </c>
      <c r="C312" s="50" t="s">
        <v>26</v>
      </c>
      <c r="D312" s="50" t="s">
        <v>39</v>
      </c>
      <c r="E312" s="50">
        <v>50010031</v>
      </c>
      <c r="F312" s="50" t="s">
        <v>89</v>
      </c>
      <c r="G312" s="50">
        <v>1</v>
      </c>
      <c r="H312" s="50" t="s">
        <v>2</v>
      </c>
      <c r="I312" s="50" t="s">
        <v>291</v>
      </c>
      <c r="J312" s="51">
        <v>46106</v>
      </c>
      <c r="K312" s="50" t="s">
        <v>3</v>
      </c>
      <c r="L312" s="50" t="s">
        <v>80</v>
      </c>
    </row>
    <row r="313" spans="2:12">
      <c r="B313" s="50" t="s">
        <v>440</v>
      </c>
      <c r="C313" s="50">
        <v>0</v>
      </c>
      <c r="D313" s="50" t="s">
        <v>27</v>
      </c>
      <c r="E313" s="50">
        <v>50026357</v>
      </c>
      <c r="F313" s="50" t="s">
        <v>192</v>
      </c>
      <c r="G313" s="50">
        <v>1</v>
      </c>
      <c r="H313" s="50" t="s">
        <v>2</v>
      </c>
      <c r="I313" s="50" t="s">
        <v>291</v>
      </c>
      <c r="J313" s="51">
        <v>46106</v>
      </c>
      <c r="K313" s="50" t="s">
        <v>3</v>
      </c>
      <c r="L313" s="50" t="s">
        <v>80</v>
      </c>
    </row>
    <row r="314" spans="2:12">
      <c r="B314" s="50" t="s">
        <v>463</v>
      </c>
      <c r="C314" s="50" t="s">
        <v>356</v>
      </c>
      <c r="D314" s="50" t="s">
        <v>27</v>
      </c>
      <c r="E314" s="50">
        <v>50039718</v>
      </c>
      <c r="F314" s="50" t="s">
        <v>149</v>
      </c>
      <c r="G314" s="50">
        <v>1</v>
      </c>
      <c r="H314" s="50" t="s">
        <v>2</v>
      </c>
      <c r="I314" s="50" t="s">
        <v>291</v>
      </c>
      <c r="J314" s="51">
        <v>46106</v>
      </c>
      <c r="K314" s="50" t="s">
        <v>3</v>
      </c>
      <c r="L314" s="50" t="s">
        <v>80</v>
      </c>
    </row>
    <row r="315" spans="2:12">
      <c r="B315" s="50" t="s">
        <v>385</v>
      </c>
      <c r="C315" s="50" t="s">
        <v>56</v>
      </c>
      <c r="D315" s="50" t="s">
        <v>41</v>
      </c>
      <c r="E315" s="50">
        <v>50003297</v>
      </c>
      <c r="F315" s="50" t="s">
        <v>158</v>
      </c>
      <c r="G315" s="50">
        <v>1</v>
      </c>
      <c r="H315" s="50" t="s">
        <v>2</v>
      </c>
      <c r="I315" s="50" t="s">
        <v>291</v>
      </c>
      <c r="J315" s="51">
        <v>46106</v>
      </c>
      <c r="K315" s="50" t="s">
        <v>1</v>
      </c>
      <c r="L315" s="50" t="s">
        <v>80</v>
      </c>
    </row>
    <row r="316" spans="2:12">
      <c r="B316" s="50" t="s">
        <v>385</v>
      </c>
      <c r="C316" s="50" t="s">
        <v>56</v>
      </c>
      <c r="D316" s="50" t="s">
        <v>41</v>
      </c>
      <c r="E316" s="50">
        <v>50020623</v>
      </c>
      <c r="F316" s="50" t="s">
        <v>217</v>
      </c>
      <c r="G316" s="50">
        <v>1</v>
      </c>
      <c r="H316" s="50" t="s">
        <v>2</v>
      </c>
      <c r="I316" s="50" t="s">
        <v>291</v>
      </c>
      <c r="J316" s="51">
        <v>46106</v>
      </c>
      <c r="K316" s="50" t="s">
        <v>1</v>
      </c>
      <c r="L316" s="50" t="s">
        <v>80</v>
      </c>
    </row>
    <row r="317" spans="2:12">
      <c r="B317" s="50" t="s">
        <v>478</v>
      </c>
      <c r="C317" s="50" t="s">
        <v>51</v>
      </c>
      <c r="D317" s="50" t="s">
        <v>27</v>
      </c>
      <c r="E317" s="50">
        <v>50010031</v>
      </c>
      <c r="F317" s="50" t="s">
        <v>89</v>
      </c>
      <c r="G317" s="50">
        <v>1</v>
      </c>
      <c r="H317" s="50" t="s">
        <v>2</v>
      </c>
      <c r="I317" s="50" t="s">
        <v>291</v>
      </c>
      <c r="J317" s="51">
        <v>46106</v>
      </c>
      <c r="K317" s="50" t="s">
        <v>1</v>
      </c>
      <c r="L317" s="50" t="s">
        <v>80</v>
      </c>
    </row>
    <row r="318" spans="2:12">
      <c r="B318" s="50" t="s">
        <v>385</v>
      </c>
      <c r="C318" s="50" t="s">
        <v>56</v>
      </c>
      <c r="D318" s="50" t="s">
        <v>41</v>
      </c>
      <c r="E318" s="50">
        <v>50020623</v>
      </c>
      <c r="F318" s="50" t="s">
        <v>217</v>
      </c>
      <c r="G318" s="50">
        <v>1</v>
      </c>
      <c r="H318" s="50" t="s">
        <v>2</v>
      </c>
      <c r="I318" s="50" t="s">
        <v>288</v>
      </c>
      <c r="J318" s="51">
        <v>46106</v>
      </c>
      <c r="K318" s="50" t="s">
        <v>3</v>
      </c>
      <c r="L318" s="50" t="s">
        <v>80</v>
      </c>
    </row>
    <row r="319" spans="2:12">
      <c r="B319" s="50" t="s">
        <v>385</v>
      </c>
      <c r="C319" s="50" t="s">
        <v>56</v>
      </c>
      <c r="D319" s="50" t="s">
        <v>41</v>
      </c>
      <c r="E319" s="50">
        <v>50003297</v>
      </c>
      <c r="F319" s="50" t="s">
        <v>158</v>
      </c>
      <c r="G319" s="50">
        <v>1</v>
      </c>
      <c r="H319" s="50" t="s">
        <v>2</v>
      </c>
      <c r="I319" s="50" t="s">
        <v>297</v>
      </c>
      <c r="J319" s="51">
        <v>46106</v>
      </c>
      <c r="K319" s="50" t="s">
        <v>3</v>
      </c>
      <c r="L319" s="50" t="s">
        <v>80</v>
      </c>
    </row>
    <row r="320" spans="2:12">
      <c r="B320" s="50" t="s">
        <v>316</v>
      </c>
      <c r="C320" s="50" t="s">
        <v>51</v>
      </c>
      <c r="D320" s="50" t="s">
        <v>27</v>
      </c>
      <c r="E320" s="50">
        <v>50038517</v>
      </c>
      <c r="F320" s="50" t="s">
        <v>181</v>
      </c>
      <c r="G320" s="50">
        <v>1</v>
      </c>
      <c r="H320" s="50" t="s">
        <v>2</v>
      </c>
      <c r="I320" s="50" t="s">
        <v>288</v>
      </c>
      <c r="J320" s="51">
        <v>46106</v>
      </c>
      <c r="K320" s="50" t="s">
        <v>3</v>
      </c>
      <c r="L320" s="50" t="s">
        <v>80</v>
      </c>
    </row>
    <row r="321" spans="2:12">
      <c r="B321" s="50" t="s">
        <v>386</v>
      </c>
      <c r="C321" s="50" t="s">
        <v>62</v>
      </c>
      <c r="D321" s="50" t="s">
        <v>27</v>
      </c>
      <c r="E321" s="50">
        <v>50003296</v>
      </c>
      <c r="F321" s="50" t="s">
        <v>157</v>
      </c>
      <c r="G321" s="50">
        <v>1</v>
      </c>
      <c r="H321" s="50" t="s">
        <v>2</v>
      </c>
      <c r="I321" s="50" t="s">
        <v>297</v>
      </c>
      <c r="J321" s="51">
        <v>46106</v>
      </c>
      <c r="K321" s="50" t="s">
        <v>1</v>
      </c>
      <c r="L321" s="50" t="s">
        <v>80</v>
      </c>
    </row>
    <row r="322" spans="2:12">
      <c r="B322" s="50" t="s">
        <v>478</v>
      </c>
      <c r="C322" s="50" t="s">
        <v>51</v>
      </c>
      <c r="D322" s="50" t="s">
        <v>27</v>
      </c>
      <c r="E322" s="50">
        <v>50010031</v>
      </c>
      <c r="F322" s="50" t="s">
        <v>89</v>
      </c>
      <c r="G322" s="50">
        <v>1</v>
      </c>
      <c r="H322" s="50" t="s">
        <v>2</v>
      </c>
      <c r="I322" s="50" t="s">
        <v>288</v>
      </c>
      <c r="J322" s="51">
        <v>46106</v>
      </c>
      <c r="K322" s="50" t="s">
        <v>3</v>
      </c>
      <c r="L322" s="50" t="s">
        <v>80</v>
      </c>
    </row>
    <row r="323" spans="2:12">
      <c r="B323" s="50" t="s">
        <v>386</v>
      </c>
      <c r="C323" s="50" t="s">
        <v>62</v>
      </c>
      <c r="D323" s="50" t="s">
        <v>27</v>
      </c>
      <c r="E323" s="50">
        <v>50003296</v>
      </c>
      <c r="F323" s="50" t="s">
        <v>157</v>
      </c>
      <c r="G323" s="50">
        <v>1</v>
      </c>
      <c r="H323" s="50" t="s">
        <v>2</v>
      </c>
      <c r="I323" s="50"/>
      <c r="J323" s="51">
        <v>46106</v>
      </c>
      <c r="K323" s="50" t="s">
        <v>3</v>
      </c>
      <c r="L323" s="50" t="s">
        <v>80</v>
      </c>
    </row>
    <row r="324" spans="2:12">
      <c r="B324" s="50" t="s">
        <v>386</v>
      </c>
      <c r="C324" s="50" t="s">
        <v>62</v>
      </c>
      <c r="D324" s="50" t="s">
        <v>27</v>
      </c>
      <c r="E324" s="50">
        <v>50026357</v>
      </c>
      <c r="F324" s="50" t="s">
        <v>192</v>
      </c>
      <c r="G324" s="50">
        <v>1</v>
      </c>
      <c r="H324" s="50" t="s">
        <v>2</v>
      </c>
      <c r="I324" s="50" t="s">
        <v>297</v>
      </c>
      <c r="J324" s="51">
        <v>46106</v>
      </c>
      <c r="K324" s="50" t="s">
        <v>1</v>
      </c>
      <c r="L324" s="50" t="s">
        <v>80</v>
      </c>
    </row>
    <row r="325" spans="2:12">
      <c r="B325" s="50" t="s">
        <v>386</v>
      </c>
      <c r="C325" s="50" t="s">
        <v>62</v>
      </c>
      <c r="D325" s="50" t="s">
        <v>27</v>
      </c>
      <c r="E325" s="50">
        <v>50026357</v>
      </c>
      <c r="F325" s="50" t="s">
        <v>192</v>
      </c>
      <c r="G325" s="50">
        <v>1</v>
      </c>
      <c r="H325" s="50" t="s">
        <v>2</v>
      </c>
      <c r="I325" s="50" t="s">
        <v>297</v>
      </c>
      <c r="J325" s="51">
        <v>46106</v>
      </c>
      <c r="K325" s="50" t="s">
        <v>3</v>
      </c>
      <c r="L325" s="50" t="s">
        <v>80</v>
      </c>
    </row>
    <row r="326" spans="2:12">
      <c r="B326" s="50" t="s">
        <v>386</v>
      </c>
      <c r="C326" s="50" t="s">
        <v>62</v>
      </c>
      <c r="D326" s="50" t="s">
        <v>27</v>
      </c>
      <c r="E326" s="50">
        <v>50046617</v>
      </c>
      <c r="F326" s="50" t="s">
        <v>365</v>
      </c>
      <c r="G326" s="50">
        <v>1</v>
      </c>
      <c r="H326" s="50" t="s">
        <v>2</v>
      </c>
      <c r="I326" s="50" t="s">
        <v>288</v>
      </c>
      <c r="J326" s="51">
        <v>46106</v>
      </c>
      <c r="K326" s="50" t="s">
        <v>3</v>
      </c>
      <c r="L326" s="50" t="s">
        <v>80</v>
      </c>
    </row>
    <row r="327" spans="2:12">
      <c r="B327" s="50" t="s">
        <v>382</v>
      </c>
      <c r="C327" s="50" t="s">
        <v>51</v>
      </c>
      <c r="D327" s="50" t="s">
        <v>41</v>
      </c>
      <c r="E327" s="50">
        <v>50010031</v>
      </c>
      <c r="F327" s="50" t="s">
        <v>89</v>
      </c>
      <c r="G327" s="50">
        <v>1</v>
      </c>
      <c r="H327" s="50" t="s">
        <v>2</v>
      </c>
      <c r="I327" s="50" t="s">
        <v>288</v>
      </c>
      <c r="J327" s="51">
        <v>46106</v>
      </c>
      <c r="K327" s="50" t="s">
        <v>1</v>
      </c>
      <c r="L327" s="50" t="s">
        <v>80</v>
      </c>
    </row>
    <row r="328" spans="2:12">
      <c r="B328" s="50" t="s">
        <v>438</v>
      </c>
      <c r="C328" s="50" t="s">
        <v>51</v>
      </c>
      <c r="D328" s="50" t="s">
        <v>27</v>
      </c>
      <c r="E328" s="50">
        <v>50041195</v>
      </c>
      <c r="F328" s="50" t="s">
        <v>206</v>
      </c>
      <c r="G328" s="50">
        <v>1</v>
      </c>
      <c r="H328" s="50" t="s">
        <v>2</v>
      </c>
      <c r="I328" s="50" t="s">
        <v>288</v>
      </c>
      <c r="J328" s="51">
        <v>46106</v>
      </c>
      <c r="K328" s="50" t="s">
        <v>3</v>
      </c>
      <c r="L328" s="50" t="s">
        <v>80</v>
      </c>
    </row>
    <row r="329" spans="2:12">
      <c r="B329" s="50" t="s">
        <v>382</v>
      </c>
      <c r="C329" s="50" t="s">
        <v>51</v>
      </c>
      <c r="D329" s="50" t="s">
        <v>41</v>
      </c>
      <c r="E329" s="50">
        <v>50010031</v>
      </c>
      <c r="F329" s="50" t="s">
        <v>89</v>
      </c>
      <c r="G329" s="50">
        <v>1</v>
      </c>
      <c r="H329" s="50" t="s">
        <v>2</v>
      </c>
      <c r="I329" s="50" t="s">
        <v>288</v>
      </c>
      <c r="J329" s="51">
        <v>46106</v>
      </c>
      <c r="K329" s="50" t="s">
        <v>3</v>
      </c>
      <c r="L329" s="50" t="s">
        <v>80</v>
      </c>
    </row>
    <row r="330" spans="2:12">
      <c r="B330" s="50" t="s">
        <v>439</v>
      </c>
      <c r="C330" s="50" t="s">
        <v>62</v>
      </c>
      <c r="D330" s="50" t="s">
        <v>27</v>
      </c>
      <c r="E330" s="50">
        <v>50020623</v>
      </c>
      <c r="F330" s="50" t="s">
        <v>217</v>
      </c>
      <c r="G330" s="50">
        <v>1</v>
      </c>
      <c r="H330" s="50" t="s">
        <v>2</v>
      </c>
      <c r="I330" s="50" t="s">
        <v>289</v>
      </c>
      <c r="J330" s="51">
        <v>46105</v>
      </c>
      <c r="K330" s="50" t="s">
        <v>1</v>
      </c>
      <c r="L330" s="50" t="s">
        <v>80</v>
      </c>
    </row>
    <row r="331" spans="2:12">
      <c r="B331" s="50" t="s">
        <v>409</v>
      </c>
      <c r="C331" s="50" t="s">
        <v>51</v>
      </c>
      <c r="D331" s="50" t="s">
        <v>27</v>
      </c>
      <c r="E331" s="50">
        <v>50041195</v>
      </c>
      <c r="F331" s="50" t="s">
        <v>206</v>
      </c>
      <c r="G331" s="50">
        <v>1</v>
      </c>
      <c r="H331" s="50" t="s">
        <v>2</v>
      </c>
      <c r="I331" s="50" t="s">
        <v>289</v>
      </c>
      <c r="J331" s="51">
        <v>46105</v>
      </c>
      <c r="K331" s="50" t="s">
        <v>1</v>
      </c>
      <c r="L331" s="50" t="s">
        <v>80</v>
      </c>
    </row>
    <row r="332" spans="2:12">
      <c r="B332" s="50" t="s">
        <v>414</v>
      </c>
      <c r="C332" s="50" t="s">
        <v>56</v>
      </c>
      <c r="D332" s="50" t="s">
        <v>27</v>
      </c>
      <c r="E332" s="50">
        <v>50038991</v>
      </c>
      <c r="F332" s="50" t="s">
        <v>108</v>
      </c>
      <c r="G332" s="50">
        <v>1</v>
      </c>
      <c r="H332" s="50" t="s">
        <v>2</v>
      </c>
      <c r="I332" s="50" t="s">
        <v>289</v>
      </c>
      <c r="J332" s="51">
        <v>46105</v>
      </c>
      <c r="K332" s="50" t="s">
        <v>1</v>
      </c>
      <c r="L332" s="50" t="s">
        <v>80</v>
      </c>
    </row>
    <row r="333" spans="2:12">
      <c r="B333" s="50" t="s">
        <v>347</v>
      </c>
      <c r="C333" s="50" t="s">
        <v>26</v>
      </c>
      <c r="D333" s="50" t="s">
        <v>41</v>
      </c>
      <c r="E333" s="50">
        <v>50037895</v>
      </c>
      <c r="F333" s="50" t="s">
        <v>226</v>
      </c>
      <c r="G333" s="50">
        <v>1</v>
      </c>
      <c r="H333" s="50" t="s">
        <v>2</v>
      </c>
      <c r="I333" s="50" t="s">
        <v>289</v>
      </c>
      <c r="J333" s="51">
        <v>46105</v>
      </c>
      <c r="K333" s="50" t="s">
        <v>1</v>
      </c>
      <c r="L333" s="50" t="s">
        <v>81</v>
      </c>
    </row>
    <row r="334" spans="2:12">
      <c r="B334" s="50" t="s">
        <v>483</v>
      </c>
      <c r="C334" s="50" t="s">
        <v>62</v>
      </c>
      <c r="D334" s="50" t="s">
        <v>27</v>
      </c>
      <c r="E334" s="50">
        <v>50038518</v>
      </c>
      <c r="F334" s="50" t="s">
        <v>340</v>
      </c>
      <c r="G334" s="50">
        <v>1</v>
      </c>
      <c r="H334" s="50" t="s">
        <v>2</v>
      </c>
      <c r="I334" s="50" t="s">
        <v>289</v>
      </c>
      <c r="J334" s="51">
        <v>46105</v>
      </c>
      <c r="K334" s="50" t="s">
        <v>1</v>
      </c>
      <c r="L334" s="50" t="s">
        <v>80</v>
      </c>
    </row>
    <row r="335" spans="2:12">
      <c r="B335" s="50" t="s">
        <v>399</v>
      </c>
      <c r="C335" s="50" t="s">
        <v>51</v>
      </c>
      <c r="D335" s="50" t="s">
        <v>27</v>
      </c>
      <c r="E335" s="50">
        <v>50036280</v>
      </c>
      <c r="F335" s="50" t="s">
        <v>152</v>
      </c>
      <c r="G335" s="50">
        <v>1</v>
      </c>
      <c r="H335" s="50" t="s">
        <v>2</v>
      </c>
      <c r="I335" s="50" t="s">
        <v>289</v>
      </c>
      <c r="J335" s="51">
        <v>46105</v>
      </c>
      <c r="K335" s="50" t="s">
        <v>1</v>
      </c>
      <c r="L335" s="50" t="s">
        <v>80</v>
      </c>
    </row>
    <row r="336" spans="2:12">
      <c r="B336" s="50" t="s">
        <v>399</v>
      </c>
      <c r="C336" s="50" t="s">
        <v>51</v>
      </c>
      <c r="D336" s="50" t="s">
        <v>27</v>
      </c>
      <c r="E336" s="50">
        <v>50038517</v>
      </c>
      <c r="F336" s="50" t="s">
        <v>181</v>
      </c>
      <c r="G336" s="50">
        <v>1</v>
      </c>
      <c r="H336" s="50" t="s">
        <v>2</v>
      </c>
      <c r="I336" s="50" t="s">
        <v>289</v>
      </c>
      <c r="J336" s="51">
        <v>46105</v>
      </c>
      <c r="K336" s="50" t="s">
        <v>1</v>
      </c>
      <c r="L336" s="50" t="s">
        <v>80</v>
      </c>
    </row>
    <row r="337" spans="2:12">
      <c r="B337" s="50" t="s">
        <v>363</v>
      </c>
      <c r="C337" s="50" t="s">
        <v>26</v>
      </c>
      <c r="D337" s="50" t="s">
        <v>41</v>
      </c>
      <c r="E337" s="50">
        <v>50003297</v>
      </c>
      <c r="F337" s="50" t="s">
        <v>158</v>
      </c>
      <c r="G337" s="50">
        <v>1</v>
      </c>
      <c r="H337" s="50" t="s">
        <v>2</v>
      </c>
      <c r="I337" s="50" t="s">
        <v>289</v>
      </c>
      <c r="J337" s="51">
        <v>46105</v>
      </c>
      <c r="K337" s="50" t="s">
        <v>1</v>
      </c>
      <c r="L337" s="50" t="s">
        <v>80</v>
      </c>
    </row>
    <row r="338" spans="2:12">
      <c r="B338" s="50" t="s">
        <v>316</v>
      </c>
      <c r="C338" s="50" t="s">
        <v>56</v>
      </c>
      <c r="D338" s="50" t="s">
        <v>27</v>
      </c>
      <c r="E338" s="50">
        <v>50046617</v>
      </c>
      <c r="F338" s="50" t="s">
        <v>365</v>
      </c>
      <c r="G338" s="50">
        <v>1</v>
      </c>
      <c r="H338" s="50" t="s">
        <v>2</v>
      </c>
      <c r="I338" s="50" t="s">
        <v>289</v>
      </c>
      <c r="J338" s="51">
        <v>46105</v>
      </c>
      <c r="K338" s="50" t="s">
        <v>1</v>
      </c>
      <c r="L338" s="50" t="s">
        <v>80</v>
      </c>
    </row>
    <row r="339" spans="2:12">
      <c r="B339" s="50" t="s">
        <v>399</v>
      </c>
      <c r="C339" s="50" t="s">
        <v>51</v>
      </c>
      <c r="D339" s="50" t="s">
        <v>27</v>
      </c>
      <c r="E339" s="50">
        <v>50039065</v>
      </c>
      <c r="F339" s="50" t="s">
        <v>186</v>
      </c>
      <c r="G339" s="50">
        <v>1</v>
      </c>
      <c r="H339" s="50" t="s">
        <v>2</v>
      </c>
      <c r="I339" s="50" t="s">
        <v>289</v>
      </c>
      <c r="J339" s="51">
        <v>46105</v>
      </c>
      <c r="K339" s="50" t="s">
        <v>1</v>
      </c>
      <c r="L339" s="50" t="s">
        <v>80</v>
      </c>
    </row>
    <row r="340" spans="2:12">
      <c r="B340" s="50" t="s">
        <v>438</v>
      </c>
      <c r="C340" s="50" t="s">
        <v>51</v>
      </c>
      <c r="D340" s="50" t="s">
        <v>27</v>
      </c>
      <c r="E340" s="50">
        <v>50041195</v>
      </c>
      <c r="F340" s="50" t="s">
        <v>206</v>
      </c>
      <c r="G340" s="50">
        <v>1</v>
      </c>
      <c r="H340" s="50" t="s">
        <v>2</v>
      </c>
      <c r="I340" s="50" t="s">
        <v>289</v>
      </c>
      <c r="J340" s="51">
        <v>46105</v>
      </c>
      <c r="K340" s="50" t="s">
        <v>1</v>
      </c>
      <c r="L340" s="50" t="s">
        <v>80</v>
      </c>
    </row>
    <row r="341" spans="2:12">
      <c r="B341" s="50" t="s">
        <v>414</v>
      </c>
      <c r="C341" s="50" t="s">
        <v>56</v>
      </c>
      <c r="D341" s="50" t="s">
        <v>27</v>
      </c>
      <c r="E341" s="50">
        <v>50038991</v>
      </c>
      <c r="F341" s="50" t="s">
        <v>108</v>
      </c>
      <c r="G341" s="50">
        <v>1</v>
      </c>
      <c r="H341" s="50" t="s">
        <v>2</v>
      </c>
      <c r="I341" s="50" t="s">
        <v>292</v>
      </c>
      <c r="J341" s="51">
        <v>46105</v>
      </c>
      <c r="K341" s="50" t="s">
        <v>3</v>
      </c>
      <c r="L341" s="50" t="s">
        <v>80</v>
      </c>
    </row>
    <row r="342" spans="2:12">
      <c r="B342" s="50" t="s">
        <v>347</v>
      </c>
      <c r="C342" s="50" t="s">
        <v>26</v>
      </c>
      <c r="D342" s="50" t="s">
        <v>41</v>
      </c>
      <c r="E342" s="50">
        <v>50037895</v>
      </c>
      <c r="F342" s="50" t="s">
        <v>226</v>
      </c>
      <c r="G342" s="50">
        <v>1</v>
      </c>
      <c r="H342" s="50" t="s">
        <v>2</v>
      </c>
      <c r="I342" s="50" t="s">
        <v>292</v>
      </c>
      <c r="J342" s="51">
        <v>46105</v>
      </c>
      <c r="K342" s="50" t="s">
        <v>3</v>
      </c>
      <c r="L342" s="50" t="s">
        <v>80</v>
      </c>
    </row>
    <row r="343" spans="2:12">
      <c r="B343" s="50" t="s">
        <v>277</v>
      </c>
      <c r="C343" s="50" t="s">
        <v>62</v>
      </c>
      <c r="D343" s="50" t="s">
        <v>27</v>
      </c>
      <c r="E343" s="50">
        <v>50043471</v>
      </c>
      <c r="F343" s="50" t="s">
        <v>257</v>
      </c>
      <c r="G343" s="50">
        <v>1</v>
      </c>
      <c r="H343" s="50" t="s">
        <v>2</v>
      </c>
      <c r="I343" s="50" t="s">
        <v>292</v>
      </c>
      <c r="J343" s="51">
        <v>46105</v>
      </c>
      <c r="K343" s="50" t="s">
        <v>1</v>
      </c>
      <c r="L343" s="50" t="s">
        <v>80</v>
      </c>
    </row>
    <row r="344" spans="2:12">
      <c r="B344" s="50" t="s">
        <v>394</v>
      </c>
      <c r="C344" s="50" t="s">
        <v>51</v>
      </c>
      <c r="D344" s="50" t="s">
        <v>27</v>
      </c>
      <c r="E344" s="50">
        <v>50003298</v>
      </c>
      <c r="F344" s="50" t="s">
        <v>99</v>
      </c>
      <c r="G344" s="50">
        <v>1</v>
      </c>
      <c r="H344" s="50" t="s">
        <v>2</v>
      </c>
      <c r="I344" s="50" t="s">
        <v>292</v>
      </c>
      <c r="J344" s="51">
        <v>46105</v>
      </c>
      <c r="K344" s="50" t="s">
        <v>1</v>
      </c>
      <c r="L344" s="50" t="s">
        <v>80</v>
      </c>
    </row>
    <row r="345" spans="2:12">
      <c r="B345" s="50" t="s">
        <v>394</v>
      </c>
      <c r="C345" s="50" t="s">
        <v>51</v>
      </c>
      <c r="D345" s="50" t="s">
        <v>27</v>
      </c>
      <c r="E345" s="50">
        <v>50039718</v>
      </c>
      <c r="F345" s="50" t="s">
        <v>149</v>
      </c>
      <c r="G345" s="50">
        <v>1</v>
      </c>
      <c r="H345" s="50" t="s">
        <v>2</v>
      </c>
      <c r="I345" s="50" t="s">
        <v>292</v>
      </c>
      <c r="J345" s="51">
        <v>46105</v>
      </c>
      <c r="K345" s="50" t="s">
        <v>1</v>
      </c>
      <c r="L345" s="50" t="s">
        <v>80</v>
      </c>
    </row>
    <row r="346" spans="2:12">
      <c r="B346" s="50" t="s">
        <v>396</v>
      </c>
      <c r="C346" s="50" t="s">
        <v>26</v>
      </c>
      <c r="D346" s="50" t="s">
        <v>27</v>
      </c>
      <c r="E346" s="50">
        <v>50010031</v>
      </c>
      <c r="F346" s="50" t="s">
        <v>89</v>
      </c>
      <c r="G346" s="50">
        <v>1</v>
      </c>
      <c r="H346" s="50" t="s">
        <v>2</v>
      </c>
      <c r="I346" s="50" t="s">
        <v>292</v>
      </c>
      <c r="J346" s="51">
        <v>46105</v>
      </c>
      <c r="K346" s="50" t="s">
        <v>1</v>
      </c>
      <c r="L346" s="50" t="s">
        <v>80</v>
      </c>
    </row>
    <row r="347" spans="2:12">
      <c r="B347" s="50" t="s">
        <v>389</v>
      </c>
      <c r="C347" s="50" t="s">
        <v>56</v>
      </c>
      <c r="D347" s="50" t="s">
        <v>27</v>
      </c>
      <c r="E347" s="50">
        <v>50026357</v>
      </c>
      <c r="F347" s="50" t="s">
        <v>192</v>
      </c>
      <c r="G347" s="50">
        <v>1</v>
      </c>
      <c r="H347" s="50" t="s">
        <v>2</v>
      </c>
      <c r="I347" s="50" t="s">
        <v>292</v>
      </c>
      <c r="J347" s="51">
        <v>46105</v>
      </c>
      <c r="K347" s="50" t="s">
        <v>1</v>
      </c>
      <c r="L347" s="50" t="s">
        <v>80</v>
      </c>
    </row>
    <row r="348" spans="2:12">
      <c r="B348" s="50" t="s">
        <v>471</v>
      </c>
      <c r="C348" s="50" t="s">
        <v>26</v>
      </c>
      <c r="D348" s="50" t="s">
        <v>39</v>
      </c>
      <c r="E348" s="50">
        <v>50039718</v>
      </c>
      <c r="F348" s="50" t="s">
        <v>149</v>
      </c>
      <c r="G348" s="50">
        <v>1</v>
      </c>
      <c r="H348" s="50" t="s">
        <v>2</v>
      </c>
      <c r="I348" s="50" t="s">
        <v>292</v>
      </c>
      <c r="J348" s="51">
        <v>46105</v>
      </c>
      <c r="K348" s="50" t="s">
        <v>1</v>
      </c>
      <c r="L348" s="50" t="s">
        <v>80</v>
      </c>
    </row>
    <row r="349" spans="2:12">
      <c r="B349" s="50" t="s">
        <v>471</v>
      </c>
      <c r="C349" s="50" t="s">
        <v>26</v>
      </c>
      <c r="D349" s="50" t="s">
        <v>39</v>
      </c>
      <c r="E349" s="50">
        <v>50032781</v>
      </c>
      <c r="F349" s="50" t="s">
        <v>237</v>
      </c>
      <c r="G349" s="50">
        <v>1</v>
      </c>
      <c r="H349" s="50" t="s">
        <v>2</v>
      </c>
      <c r="I349" s="50" t="s">
        <v>291</v>
      </c>
      <c r="J349" s="51">
        <v>46105</v>
      </c>
      <c r="K349" s="50" t="s">
        <v>1</v>
      </c>
      <c r="L349" s="50" t="s">
        <v>80</v>
      </c>
    </row>
    <row r="350" spans="2:12">
      <c r="B350" s="50" t="s">
        <v>471</v>
      </c>
      <c r="C350" s="50" t="s">
        <v>26</v>
      </c>
      <c r="D350" s="50" t="s">
        <v>39</v>
      </c>
      <c r="E350" s="50">
        <v>50039718</v>
      </c>
      <c r="F350" s="50" t="s">
        <v>149</v>
      </c>
      <c r="G350" s="50">
        <v>1</v>
      </c>
      <c r="H350" s="50" t="s">
        <v>2</v>
      </c>
      <c r="I350" s="50" t="s">
        <v>291</v>
      </c>
      <c r="J350" s="51">
        <v>46105</v>
      </c>
      <c r="K350" s="50" t="s">
        <v>3</v>
      </c>
      <c r="L350" s="50" t="s">
        <v>80</v>
      </c>
    </row>
    <row r="351" spans="2:12">
      <c r="B351" s="50" t="s">
        <v>471</v>
      </c>
      <c r="C351" s="50" t="s">
        <v>26</v>
      </c>
      <c r="D351" s="50" t="s">
        <v>39</v>
      </c>
      <c r="E351" s="50">
        <v>50032781</v>
      </c>
      <c r="F351" s="50" t="s">
        <v>237</v>
      </c>
      <c r="G351" s="50">
        <v>1</v>
      </c>
      <c r="H351" s="50" t="s">
        <v>2</v>
      </c>
      <c r="I351" s="50" t="s">
        <v>291</v>
      </c>
      <c r="J351" s="51">
        <v>46105</v>
      </c>
      <c r="K351" s="50" t="s">
        <v>3</v>
      </c>
      <c r="L351" s="50" t="s">
        <v>80</v>
      </c>
    </row>
    <row r="352" spans="2:12">
      <c r="B352" s="50" t="s">
        <v>389</v>
      </c>
      <c r="C352" s="50" t="s">
        <v>56</v>
      </c>
      <c r="D352" s="50" t="s">
        <v>27</v>
      </c>
      <c r="E352" s="50">
        <v>50026357</v>
      </c>
      <c r="F352" s="50" t="s">
        <v>192</v>
      </c>
      <c r="G352" s="50">
        <v>1</v>
      </c>
      <c r="H352" s="50" t="s">
        <v>2</v>
      </c>
      <c r="I352" s="50" t="s">
        <v>291</v>
      </c>
      <c r="J352" s="51">
        <v>46105</v>
      </c>
      <c r="K352" s="50" t="s">
        <v>1</v>
      </c>
      <c r="L352" s="50" t="s">
        <v>80</v>
      </c>
    </row>
    <row r="353" spans="2:12">
      <c r="B353" s="50" t="s">
        <v>439</v>
      </c>
      <c r="C353" s="50" t="s">
        <v>62</v>
      </c>
      <c r="D353" s="50" t="s">
        <v>27</v>
      </c>
      <c r="E353" s="50">
        <v>50020623</v>
      </c>
      <c r="F353" s="50" t="s">
        <v>217</v>
      </c>
      <c r="G353" s="50">
        <v>1</v>
      </c>
      <c r="H353" s="50" t="s">
        <v>2</v>
      </c>
      <c r="I353" s="50" t="s">
        <v>291</v>
      </c>
      <c r="J353" s="51">
        <v>46105</v>
      </c>
      <c r="K353" s="50" t="s">
        <v>3</v>
      </c>
      <c r="L353" s="50" t="s">
        <v>80</v>
      </c>
    </row>
    <row r="354" spans="2:12">
      <c r="B354" s="50" t="s">
        <v>409</v>
      </c>
      <c r="C354" s="50" t="s">
        <v>51</v>
      </c>
      <c r="D354" s="50" t="s">
        <v>27</v>
      </c>
      <c r="E354" s="50">
        <v>50041195</v>
      </c>
      <c r="F354" s="50" t="s">
        <v>206</v>
      </c>
      <c r="G354" s="50">
        <v>1</v>
      </c>
      <c r="H354" s="50" t="s">
        <v>2</v>
      </c>
      <c r="I354" s="50" t="s">
        <v>292</v>
      </c>
      <c r="J354" s="51">
        <v>46105</v>
      </c>
      <c r="K354" s="50" t="s">
        <v>3</v>
      </c>
      <c r="L354" s="50" t="s">
        <v>80</v>
      </c>
    </row>
    <row r="355" spans="2:12">
      <c r="B355" s="50" t="s">
        <v>394</v>
      </c>
      <c r="C355" s="50" t="s">
        <v>51</v>
      </c>
      <c r="D355" s="50" t="s">
        <v>27</v>
      </c>
      <c r="E355" s="50">
        <v>50003298</v>
      </c>
      <c r="F355" s="50" t="s">
        <v>99</v>
      </c>
      <c r="G355" s="50">
        <v>1</v>
      </c>
      <c r="H355" s="50" t="s">
        <v>2</v>
      </c>
      <c r="I355" s="50" t="s">
        <v>291</v>
      </c>
      <c r="J355" s="51">
        <v>46105</v>
      </c>
      <c r="K355" s="50" t="s">
        <v>3</v>
      </c>
      <c r="L355" s="50" t="s">
        <v>80</v>
      </c>
    </row>
    <row r="356" spans="2:12">
      <c r="B356" s="50" t="s">
        <v>394</v>
      </c>
      <c r="C356" s="50" t="s">
        <v>51</v>
      </c>
      <c r="D356" s="50" t="s">
        <v>27</v>
      </c>
      <c r="E356" s="50">
        <v>50039718</v>
      </c>
      <c r="F356" s="50" t="s">
        <v>149</v>
      </c>
      <c r="G356" s="50">
        <v>1</v>
      </c>
      <c r="H356" s="50" t="s">
        <v>2</v>
      </c>
      <c r="I356" s="50" t="s">
        <v>291</v>
      </c>
      <c r="J356" s="51">
        <v>46105</v>
      </c>
      <c r="K356" s="50" t="s">
        <v>3</v>
      </c>
      <c r="L356" s="50" t="s">
        <v>80</v>
      </c>
    </row>
    <row r="357" spans="2:12">
      <c r="B357" s="50" t="s">
        <v>394</v>
      </c>
      <c r="C357" s="50" t="s">
        <v>51</v>
      </c>
      <c r="D357" s="50" t="s">
        <v>27</v>
      </c>
      <c r="E357" s="50">
        <v>50022878</v>
      </c>
      <c r="F357" s="50" t="s">
        <v>296</v>
      </c>
      <c r="G357" s="50">
        <v>1</v>
      </c>
      <c r="H357" s="50" t="s">
        <v>2</v>
      </c>
      <c r="I357" s="50" t="s">
        <v>288</v>
      </c>
      <c r="J357" s="51">
        <v>46105</v>
      </c>
      <c r="K357" s="50" t="s">
        <v>1</v>
      </c>
      <c r="L357" s="50" t="s">
        <v>80</v>
      </c>
    </row>
    <row r="358" spans="2:12">
      <c r="B358" s="50" t="s">
        <v>394</v>
      </c>
      <c r="C358" s="50" t="s">
        <v>51</v>
      </c>
      <c r="D358" s="50" t="s">
        <v>27</v>
      </c>
      <c r="E358" s="50">
        <v>50022878</v>
      </c>
      <c r="F358" s="50" t="s">
        <v>296</v>
      </c>
      <c r="G358" s="50">
        <v>1</v>
      </c>
      <c r="H358" s="50" t="s">
        <v>2</v>
      </c>
      <c r="I358" s="50" t="s">
        <v>288</v>
      </c>
      <c r="J358" s="51">
        <v>46105</v>
      </c>
      <c r="K358" s="50" t="s">
        <v>3</v>
      </c>
      <c r="L358" s="50" t="s">
        <v>80</v>
      </c>
    </row>
    <row r="359" spans="2:12">
      <c r="B359" s="50" t="s">
        <v>409</v>
      </c>
      <c r="C359" s="50" t="s">
        <v>51</v>
      </c>
      <c r="D359" s="50" t="s">
        <v>27</v>
      </c>
      <c r="E359" s="50">
        <v>50038841</v>
      </c>
      <c r="F359" s="50" t="s">
        <v>180</v>
      </c>
      <c r="G359" s="50">
        <v>1</v>
      </c>
      <c r="H359" s="50" t="s">
        <v>2</v>
      </c>
      <c r="I359" s="50" t="s">
        <v>288</v>
      </c>
      <c r="J359" s="51">
        <v>46105</v>
      </c>
      <c r="K359" s="50" t="s">
        <v>1</v>
      </c>
      <c r="L359" s="50" t="s">
        <v>80</v>
      </c>
    </row>
    <row r="360" spans="2:12">
      <c r="B360" s="50" t="s">
        <v>483</v>
      </c>
      <c r="C360" s="50" t="s">
        <v>62</v>
      </c>
      <c r="D360" s="50" t="s">
        <v>27</v>
      </c>
      <c r="E360" s="50">
        <v>50038518</v>
      </c>
      <c r="F360" s="50" t="s">
        <v>340</v>
      </c>
      <c r="G360" s="50">
        <v>1</v>
      </c>
      <c r="H360" s="50" t="s">
        <v>2</v>
      </c>
      <c r="I360" s="50" t="s">
        <v>288</v>
      </c>
      <c r="J360" s="51">
        <v>46105</v>
      </c>
      <c r="K360" s="50" t="s">
        <v>3</v>
      </c>
      <c r="L360" s="50" t="s">
        <v>80</v>
      </c>
    </row>
    <row r="361" spans="2:12">
      <c r="B361" s="50" t="s">
        <v>409</v>
      </c>
      <c r="C361" s="50" t="s">
        <v>51</v>
      </c>
      <c r="D361" s="50" t="s">
        <v>27</v>
      </c>
      <c r="E361" s="50">
        <v>50038841</v>
      </c>
      <c r="F361" s="50" t="s">
        <v>180</v>
      </c>
      <c r="G361" s="50">
        <v>1</v>
      </c>
      <c r="H361" s="50" t="s">
        <v>2</v>
      </c>
      <c r="I361" s="50" t="s">
        <v>290</v>
      </c>
      <c r="J361" s="51">
        <v>46105</v>
      </c>
      <c r="K361" s="50" t="s">
        <v>3</v>
      </c>
      <c r="L361" s="50" t="s">
        <v>80</v>
      </c>
    </row>
    <row r="362" spans="2:12">
      <c r="B362" s="50" t="s">
        <v>399</v>
      </c>
      <c r="C362" s="50" t="s">
        <v>51</v>
      </c>
      <c r="D362" s="50" t="s">
        <v>27</v>
      </c>
      <c r="E362" s="50">
        <v>50036280</v>
      </c>
      <c r="F362" s="50" t="s">
        <v>152</v>
      </c>
      <c r="G362" s="50">
        <v>1</v>
      </c>
      <c r="H362" s="50" t="s">
        <v>2</v>
      </c>
      <c r="I362" s="50" t="s">
        <v>288</v>
      </c>
      <c r="J362" s="51">
        <v>46105</v>
      </c>
      <c r="K362" s="50" t="s">
        <v>3</v>
      </c>
      <c r="L362" s="50" t="s">
        <v>80</v>
      </c>
    </row>
    <row r="363" spans="2:12">
      <c r="B363" s="50" t="s">
        <v>399</v>
      </c>
      <c r="C363" s="50" t="s">
        <v>51</v>
      </c>
      <c r="D363" s="50" t="s">
        <v>27</v>
      </c>
      <c r="E363" s="50">
        <v>50038517</v>
      </c>
      <c r="F363" s="50" t="s">
        <v>181</v>
      </c>
      <c r="G363" s="50">
        <v>1</v>
      </c>
      <c r="H363" s="50" t="s">
        <v>2</v>
      </c>
      <c r="I363" s="50" t="s">
        <v>288</v>
      </c>
      <c r="J363" s="51">
        <v>46105</v>
      </c>
      <c r="K363" s="50" t="s">
        <v>3</v>
      </c>
      <c r="L363" s="50" t="s">
        <v>80</v>
      </c>
    </row>
    <row r="364" spans="2:12">
      <c r="B364" s="50" t="s">
        <v>363</v>
      </c>
      <c r="C364" s="50" t="s">
        <v>26</v>
      </c>
      <c r="D364" s="50" t="s">
        <v>41</v>
      </c>
      <c r="E364" s="50">
        <v>50003297</v>
      </c>
      <c r="F364" s="50" t="s">
        <v>158</v>
      </c>
      <c r="G364" s="50">
        <v>1</v>
      </c>
      <c r="H364" s="50" t="s">
        <v>2</v>
      </c>
      <c r="I364" s="50" t="s">
        <v>288</v>
      </c>
      <c r="J364" s="51">
        <v>46105</v>
      </c>
      <c r="K364" s="50" t="s">
        <v>3</v>
      </c>
      <c r="L364" s="50" t="s">
        <v>80</v>
      </c>
    </row>
    <row r="365" spans="2:12">
      <c r="B365" s="50" t="s">
        <v>277</v>
      </c>
      <c r="C365" s="50" t="s">
        <v>62</v>
      </c>
      <c r="D365" s="50" t="s">
        <v>27</v>
      </c>
      <c r="E365" s="50">
        <v>50043471</v>
      </c>
      <c r="F365" s="50" t="s">
        <v>257</v>
      </c>
      <c r="G365" s="50">
        <v>1</v>
      </c>
      <c r="H365" s="50" t="s">
        <v>2</v>
      </c>
      <c r="I365" s="50" t="s">
        <v>288</v>
      </c>
      <c r="J365" s="51">
        <v>46105</v>
      </c>
      <c r="K365" s="50" t="s">
        <v>3</v>
      </c>
      <c r="L365" s="50" t="s">
        <v>80</v>
      </c>
    </row>
    <row r="366" spans="2:12">
      <c r="B366" s="50" t="s">
        <v>389</v>
      </c>
      <c r="C366" s="50" t="s">
        <v>56</v>
      </c>
      <c r="D366" s="50" t="s">
        <v>27</v>
      </c>
      <c r="E366" s="50">
        <v>50026357</v>
      </c>
      <c r="F366" s="50" t="s">
        <v>192</v>
      </c>
      <c r="G366" s="50">
        <v>1</v>
      </c>
      <c r="H366" s="50" t="s">
        <v>2</v>
      </c>
      <c r="I366" s="50" t="s">
        <v>288</v>
      </c>
      <c r="J366" s="51">
        <v>46105</v>
      </c>
      <c r="K366" s="50" t="s">
        <v>3</v>
      </c>
      <c r="L366" s="50" t="s">
        <v>80</v>
      </c>
    </row>
    <row r="367" spans="2:12">
      <c r="B367" s="50" t="s">
        <v>316</v>
      </c>
      <c r="C367" s="50" t="s">
        <v>56</v>
      </c>
      <c r="D367" s="50" t="s">
        <v>27</v>
      </c>
      <c r="E367" s="50">
        <v>50046617</v>
      </c>
      <c r="F367" s="50" t="s">
        <v>365</v>
      </c>
      <c r="G367" s="50">
        <v>1</v>
      </c>
      <c r="H367" s="50" t="s">
        <v>2</v>
      </c>
      <c r="I367" s="50" t="s">
        <v>288</v>
      </c>
      <c r="J367" s="51">
        <v>46105</v>
      </c>
      <c r="K367" s="50" t="s">
        <v>3</v>
      </c>
      <c r="L367" s="50" t="s">
        <v>80</v>
      </c>
    </row>
    <row r="368" spans="2:12">
      <c r="B368" s="50" t="s">
        <v>399</v>
      </c>
      <c r="C368" s="50" t="s">
        <v>51</v>
      </c>
      <c r="D368" s="50" t="s">
        <v>27</v>
      </c>
      <c r="E368" s="50">
        <v>50039065</v>
      </c>
      <c r="F368" s="50" t="s">
        <v>186</v>
      </c>
      <c r="G368" s="50">
        <v>1</v>
      </c>
      <c r="H368" s="50" t="s">
        <v>2</v>
      </c>
      <c r="I368" s="50" t="s">
        <v>288</v>
      </c>
      <c r="J368" s="51">
        <v>46105</v>
      </c>
      <c r="K368" s="50" t="s">
        <v>3</v>
      </c>
      <c r="L368" s="50" t="s">
        <v>80</v>
      </c>
    </row>
    <row r="369" spans="2:12">
      <c r="B369" s="50" t="s">
        <v>396</v>
      </c>
      <c r="C369" s="50" t="s">
        <v>26</v>
      </c>
      <c r="D369" s="50" t="s">
        <v>27</v>
      </c>
      <c r="E369" s="50">
        <v>50010031</v>
      </c>
      <c r="F369" s="50" t="s">
        <v>89</v>
      </c>
      <c r="G369" s="50">
        <v>1</v>
      </c>
      <c r="H369" s="50" t="s">
        <v>2</v>
      </c>
      <c r="I369" s="50" t="s">
        <v>288</v>
      </c>
      <c r="J369" s="51">
        <v>46105</v>
      </c>
      <c r="K369" s="50" t="s">
        <v>3</v>
      </c>
      <c r="L369" s="50" t="s">
        <v>80</v>
      </c>
    </row>
    <row r="370" spans="2:12">
      <c r="B370" s="50" t="s">
        <v>438</v>
      </c>
      <c r="C370" s="50" t="s">
        <v>51</v>
      </c>
      <c r="D370" s="50" t="s">
        <v>27</v>
      </c>
      <c r="E370" s="50">
        <v>50041195</v>
      </c>
      <c r="F370" s="50" t="s">
        <v>206</v>
      </c>
      <c r="G370" s="50">
        <v>1</v>
      </c>
      <c r="H370" s="50" t="s">
        <v>2</v>
      </c>
      <c r="I370" s="50" t="s">
        <v>288</v>
      </c>
      <c r="J370" s="51">
        <v>46105</v>
      </c>
      <c r="K370" s="50" t="s">
        <v>3</v>
      </c>
      <c r="L370" s="50" t="s">
        <v>80</v>
      </c>
    </row>
    <row r="371" spans="2:12">
      <c r="B371" s="50" t="s">
        <v>471</v>
      </c>
      <c r="C371" s="50" t="s">
        <v>26</v>
      </c>
      <c r="D371" s="50" t="s">
        <v>39</v>
      </c>
      <c r="E371" s="50">
        <v>50046617</v>
      </c>
      <c r="F371" s="50" t="s">
        <v>365</v>
      </c>
      <c r="G371" s="50">
        <v>1</v>
      </c>
      <c r="H371" s="50" t="s">
        <v>2</v>
      </c>
      <c r="I371" s="50" t="s">
        <v>291</v>
      </c>
      <c r="J371" s="51">
        <v>46104</v>
      </c>
      <c r="K371" s="50" t="s">
        <v>3</v>
      </c>
      <c r="L371" s="50" t="s">
        <v>80</v>
      </c>
    </row>
    <row r="372" spans="2:12">
      <c r="B372" s="50" t="s">
        <v>273</v>
      </c>
      <c r="C372" s="50" t="s">
        <v>274</v>
      </c>
      <c r="D372" s="50" t="s">
        <v>27</v>
      </c>
      <c r="E372" s="50">
        <v>50046617</v>
      </c>
      <c r="F372" s="50" t="s">
        <v>365</v>
      </c>
      <c r="G372" s="50">
        <v>1</v>
      </c>
      <c r="H372" s="50" t="s">
        <v>2</v>
      </c>
      <c r="I372" s="50" t="s">
        <v>291</v>
      </c>
      <c r="J372" s="51">
        <v>46104</v>
      </c>
      <c r="K372" s="50" t="s">
        <v>1</v>
      </c>
      <c r="L372" s="50" t="s">
        <v>80</v>
      </c>
    </row>
    <row r="373" spans="2:12">
      <c r="B373" s="50" t="s">
        <v>316</v>
      </c>
      <c r="C373" s="50" t="s">
        <v>51</v>
      </c>
      <c r="D373" s="50" t="s">
        <v>27</v>
      </c>
      <c r="E373" s="50">
        <v>50043471</v>
      </c>
      <c r="F373" s="50" t="s">
        <v>257</v>
      </c>
      <c r="G373" s="50">
        <v>1</v>
      </c>
      <c r="H373" s="50" t="s">
        <v>2</v>
      </c>
      <c r="I373" s="50" t="s">
        <v>291</v>
      </c>
      <c r="J373" s="51">
        <v>46104</v>
      </c>
      <c r="K373" s="50" t="s">
        <v>1</v>
      </c>
      <c r="L373" s="50" t="s">
        <v>80</v>
      </c>
    </row>
    <row r="374" spans="2:12">
      <c r="B374" s="50" t="s">
        <v>396</v>
      </c>
      <c r="C374" s="50" t="s">
        <v>26</v>
      </c>
      <c r="D374" s="50" t="s">
        <v>27</v>
      </c>
      <c r="E374" s="50">
        <v>50038518</v>
      </c>
      <c r="F374" s="50" t="s">
        <v>340</v>
      </c>
      <c r="G374" s="50">
        <v>1</v>
      </c>
      <c r="H374" s="50" t="s">
        <v>2</v>
      </c>
      <c r="I374" s="50" t="s">
        <v>291</v>
      </c>
      <c r="J374" s="51">
        <v>46104</v>
      </c>
      <c r="K374" s="50" t="s">
        <v>3</v>
      </c>
      <c r="L374" s="50" t="s">
        <v>80</v>
      </c>
    </row>
    <row r="375" spans="2:12">
      <c r="B375" s="50" t="s">
        <v>427</v>
      </c>
      <c r="C375" s="50" t="s">
        <v>26</v>
      </c>
      <c r="D375" s="50" t="s">
        <v>27</v>
      </c>
      <c r="E375" s="50">
        <v>50036332</v>
      </c>
      <c r="F375" s="50" t="s">
        <v>188</v>
      </c>
      <c r="G375" s="50">
        <v>1</v>
      </c>
      <c r="H375" s="50" t="s">
        <v>2</v>
      </c>
      <c r="I375" s="50" t="s">
        <v>291</v>
      </c>
      <c r="J375" s="51">
        <v>46104</v>
      </c>
      <c r="K375" s="50" t="s">
        <v>3</v>
      </c>
      <c r="L375" s="50" t="s">
        <v>80</v>
      </c>
    </row>
    <row r="376" spans="2:12">
      <c r="B376" s="50" t="s">
        <v>316</v>
      </c>
      <c r="C376" s="50" t="s">
        <v>51</v>
      </c>
      <c r="D376" s="50" t="s">
        <v>27</v>
      </c>
      <c r="E376" s="50">
        <v>50043471</v>
      </c>
      <c r="F376" s="50" t="s">
        <v>257</v>
      </c>
      <c r="G376" s="50">
        <v>1</v>
      </c>
      <c r="H376" s="50" t="s">
        <v>2</v>
      </c>
      <c r="I376" s="50" t="s">
        <v>291</v>
      </c>
      <c r="J376" s="51">
        <v>46104</v>
      </c>
      <c r="K376" s="50" t="s">
        <v>3</v>
      </c>
      <c r="L376" s="50" t="s">
        <v>80</v>
      </c>
    </row>
    <row r="377" spans="2:12">
      <c r="B377" s="50" t="s">
        <v>316</v>
      </c>
      <c r="C377" s="50" t="s">
        <v>51</v>
      </c>
      <c r="D377" s="50" t="s">
        <v>27</v>
      </c>
      <c r="E377" s="50">
        <v>50038518</v>
      </c>
      <c r="F377" s="50" t="s">
        <v>340</v>
      </c>
      <c r="G377" s="50">
        <v>1</v>
      </c>
      <c r="H377" s="50" t="s">
        <v>2</v>
      </c>
      <c r="I377" s="50" t="s">
        <v>291</v>
      </c>
      <c r="J377" s="51">
        <v>46104</v>
      </c>
      <c r="K377" s="50" t="s">
        <v>1</v>
      </c>
      <c r="L377" s="50" t="s">
        <v>80</v>
      </c>
    </row>
    <row r="378" spans="2:12">
      <c r="B378" s="50" t="s">
        <v>316</v>
      </c>
      <c r="C378" s="50" t="s">
        <v>51</v>
      </c>
      <c r="D378" s="50" t="s">
        <v>27</v>
      </c>
      <c r="E378" s="50">
        <v>50038518</v>
      </c>
      <c r="F378" s="50" t="s">
        <v>340</v>
      </c>
      <c r="G378" s="50">
        <v>1</v>
      </c>
      <c r="H378" s="50" t="s">
        <v>2</v>
      </c>
      <c r="I378" s="50" t="s">
        <v>291</v>
      </c>
      <c r="J378" s="51">
        <v>46104</v>
      </c>
      <c r="K378" s="50" t="s">
        <v>3</v>
      </c>
      <c r="L378" s="50" t="s">
        <v>80</v>
      </c>
    </row>
    <row r="379" spans="2:12">
      <c r="B379" s="50" t="s">
        <v>418</v>
      </c>
      <c r="C379" s="50" t="s">
        <v>26</v>
      </c>
      <c r="D379" s="50" t="s">
        <v>27</v>
      </c>
      <c r="E379" s="50">
        <v>50022878</v>
      </c>
      <c r="F379" s="50" t="s">
        <v>296</v>
      </c>
      <c r="G379" s="50">
        <v>1</v>
      </c>
      <c r="H379" s="50" t="s">
        <v>2</v>
      </c>
      <c r="I379" s="50" t="s">
        <v>291</v>
      </c>
      <c r="J379" s="51">
        <v>46104</v>
      </c>
      <c r="K379" s="50" t="s">
        <v>3</v>
      </c>
      <c r="L379" s="50" t="s">
        <v>80</v>
      </c>
    </row>
    <row r="380" spans="2:12">
      <c r="B380" s="50" t="s">
        <v>422</v>
      </c>
      <c r="C380" s="50" t="s">
        <v>26</v>
      </c>
      <c r="D380" s="50" t="s">
        <v>41</v>
      </c>
      <c r="E380" s="50">
        <v>50046617</v>
      </c>
      <c r="F380" s="50" t="s">
        <v>365</v>
      </c>
      <c r="G380" s="50">
        <v>1</v>
      </c>
      <c r="H380" s="50" t="s">
        <v>2</v>
      </c>
      <c r="I380" s="50" t="s">
        <v>291</v>
      </c>
      <c r="J380" s="51">
        <v>46104</v>
      </c>
      <c r="K380" s="50" t="s">
        <v>1</v>
      </c>
      <c r="L380" s="50" t="s">
        <v>80</v>
      </c>
    </row>
    <row r="381" spans="2:12">
      <c r="B381" s="50" t="s">
        <v>396</v>
      </c>
      <c r="C381" s="50" t="s">
        <v>26</v>
      </c>
      <c r="D381" s="50" t="s">
        <v>27</v>
      </c>
      <c r="E381" s="50">
        <v>50038518</v>
      </c>
      <c r="F381" s="50" t="s">
        <v>340</v>
      </c>
      <c r="G381" s="50">
        <v>1</v>
      </c>
      <c r="H381" s="50" t="s">
        <v>2</v>
      </c>
      <c r="I381" s="50" t="s">
        <v>291</v>
      </c>
      <c r="J381" s="51">
        <v>46104</v>
      </c>
      <c r="K381" s="50" t="s">
        <v>1</v>
      </c>
      <c r="L381" s="50" t="s">
        <v>80</v>
      </c>
    </row>
    <row r="382" spans="2:12">
      <c r="B382" s="50" t="s">
        <v>273</v>
      </c>
      <c r="C382" s="50" t="s">
        <v>274</v>
      </c>
      <c r="D382" s="50" t="s">
        <v>27</v>
      </c>
      <c r="E382" s="50">
        <v>50046617</v>
      </c>
      <c r="F382" s="50" t="s">
        <v>365</v>
      </c>
      <c r="G382" s="50">
        <v>1</v>
      </c>
      <c r="H382" s="50" t="s">
        <v>2</v>
      </c>
      <c r="I382" s="50" t="s">
        <v>291</v>
      </c>
      <c r="J382" s="51">
        <v>46104</v>
      </c>
      <c r="K382" s="50" t="s">
        <v>3</v>
      </c>
      <c r="L382" s="50" t="s">
        <v>80</v>
      </c>
    </row>
    <row r="383" spans="2:12">
      <c r="B383" s="50" t="s">
        <v>396</v>
      </c>
      <c r="C383" s="50" t="s">
        <v>26</v>
      </c>
      <c r="D383" s="50" t="s">
        <v>27</v>
      </c>
      <c r="E383" s="50">
        <v>50038518</v>
      </c>
      <c r="F383" s="50" t="s">
        <v>340</v>
      </c>
      <c r="G383" s="50">
        <v>1</v>
      </c>
      <c r="H383" s="50" t="s">
        <v>2</v>
      </c>
      <c r="I383" s="50" t="s">
        <v>297</v>
      </c>
      <c r="J383" s="51">
        <v>46104</v>
      </c>
      <c r="K383" s="50" t="s">
        <v>3</v>
      </c>
      <c r="L383" s="50" t="s">
        <v>80</v>
      </c>
    </row>
    <row r="384" spans="2:12">
      <c r="B384" s="50" t="s">
        <v>422</v>
      </c>
      <c r="C384" s="50" t="s">
        <v>26</v>
      </c>
      <c r="D384" s="50" t="s">
        <v>41</v>
      </c>
      <c r="E384" s="50">
        <v>50046617</v>
      </c>
      <c r="F384" s="50" t="s">
        <v>365</v>
      </c>
      <c r="G384" s="50">
        <v>1</v>
      </c>
      <c r="H384" s="50" t="s">
        <v>2</v>
      </c>
      <c r="I384" s="50" t="s">
        <v>297</v>
      </c>
      <c r="J384" s="51">
        <v>46104</v>
      </c>
      <c r="K384" s="50" t="s">
        <v>3</v>
      </c>
      <c r="L384" s="50" t="s">
        <v>80</v>
      </c>
    </row>
    <row r="385" spans="2:12">
      <c r="B385" s="50" t="s">
        <v>406</v>
      </c>
      <c r="C385" s="50" t="s">
        <v>26</v>
      </c>
      <c r="D385" s="50" t="s">
        <v>27</v>
      </c>
      <c r="E385" s="50">
        <v>50042283</v>
      </c>
      <c r="F385" s="50" t="s">
        <v>247</v>
      </c>
      <c r="G385" s="50">
        <v>1</v>
      </c>
      <c r="H385" s="50" t="s">
        <v>2</v>
      </c>
      <c r="I385" s="50" t="s">
        <v>297</v>
      </c>
      <c r="J385" s="51">
        <v>46104</v>
      </c>
      <c r="K385" s="50" t="s">
        <v>3</v>
      </c>
      <c r="L385" s="50" t="s">
        <v>80</v>
      </c>
    </row>
    <row r="386" spans="2:12">
      <c r="B386" s="50" t="s">
        <v>399</v>
      </c>
      <c r="C386" s="50" t="s">
        <v>51</v>
      </c>
      <c r="D386" s="50" t="s">
        <v>27</v>
      </c>
      <c r="E386" s="50">
        <v>50003296</v>
      </c>
      <c r="F386" s="50" t="s">
        <v>157</v>
      </c>
      <c r="G386" s="50">
        <v>1</v>
      </c>
      <c r="H386" s="50" t="s">
        <v>2</v>
      </c>
      <c r="I386" s="50" t="s">
        <v>297</v>
      </c>
      <c r="J386" s="51">
        <v>46104</v>
      </c>
      <c r="K386" s="50" t="s">
        <v>3</v>
      </c>
      <c r="L386" s="50" t="s">
        <v>80</v>
      </c>
    </row>
    <row r="387" spans="2:12">
      <c r="B387" s="50" t="s">
        <v>399</v>
      </c>
      <c r="C387" s="50" t="s">
        <v>51</v>
      </c>
      <c r="D387" s="50" t="s">
        <v>27</v>
      </c>
      <c r="E387" s="50">
        <v>50004486</v>
      </c>
      <c r="F387" s="50" t="s">
        <v>221</v>
      </c>
      <c r="G387" s="50">
        <v>1</v>
      </c>
      <c r="H387" s="50" t="s">
        <v>2</v>
      </c>
      <c r="I387" s="50" t="s">
        <v>297</v>
      </c>
      <c r="J387" s="51">
        <v>46104</v>
      </c>
      <c r="K387" s="50" t="s">
        <v>3</v>
      </c>
      <c r="L387" s="50" t="s">
        <v>80</v>
      </c>
    </row>
    <row r="388" spans="2:12">
      <c r="B388" s="50" t="s">
        <v>399</v>
      </c>
      <c r="C388" s="50" t="s">
        <v>51</v>
      </c>
      <c r="D388" s="50" t="s">
        <v>27</v>
      </c>
      <c r="E388" s="50">
        <v>50038517</v>
      </c>
      <c r="F388" s="50" t="s">
        <v>181</v>
      </c>
      <c r="G388" s="50">
        <v>1</v>
      </c>
      <c r="H388" s="50" t="s">
        <v>2</v>
      </c>
      <c r="I388" s="50" t="s">
        <v>297</v>
      </c>
      <c r="J388" s="51" t="s">
        <v>373</v>
      </c>
      <c r="K388" s="50" t="s">
        <v>3</v>
      </c>
      <c r="L388" s="50" t="s">
        <v>80</v>
      </c>
    </row>
    <row r="389" spans="2:12">
      <c r="B389" s="50" t="s">
        <v>399</v>
      </c>
      <c r="C389" s="50" t="s">
        <v>51</v>
      </c>
      <c r="D389" s="50" t="s">
        <v>27</v>
      </c>
      <c r="E389" s="50">
        <v>50039065</v>
      </c>
      <c r="F389" s="50" t="s">
        <v>186</v>
      </c>
      <c r="G389" s="50">
        <v>1</v>
      </c>
      <c r="H389" s="50" t="s">
        <v>2</v>
      </c>
      <c r="I389" s="50" t="s">
        <v>297</v>
      </c>
      <c r="J389" s="51" t="s">
        <v>372</v>
      </c>
      <c r="K389" s="50" t="s">
        <v>3</v>
      </c>
      <c r="L389" s="50" t="s">
        <v>80</v>
      </c>
    </row>
    <row r="390" spans="2:12">
      <c r="B390" s="50" t="s">
        <v>363</v>
      </c>
      <c r="C390" s="50" t="s">
        <v>26</v>
      </c>
      <c r="D390" s="50" t="s">
        <v>41</v>
      </c>
      <c r="E390" s="50">
        <v>50036297</v>
      </c>
      <c r="F390" s="50" t="s">
        <v>189</v>
      </c>
      <c r="G390" s="50">
        <v>1</v>
      </c>
      <c r="H390" s="50" t="s">
        <v>2</v>
      </c>
      <c r="I390" s="50" t="s">
        <v>297</v>
      </c>
      <c r="J390" s="51">
        <v>46104</v>
      </c>
      <c r="K390" s="50" t="s">
        <v>3</v>
      </c>
      <c r="L390" s="50" t="s">
        <v>80</v>
      </c>
    </row>
    <row r="391" spans="2:12">
      <c r="B391" s="50" t="s">
        <v>423</v>
      </c>
      <c r="C391" s="50" t="s">
        <v>62</v>
      </c>
      <c r="D391" s="50" t="s">
        <v>27</v>
      </c>
      <c r="E391" s="50">
        <v>50037892</v>
      </c>
      <c r="F391" s="50" t="s">
        <v>178</v>
      </c>
      <c r="G391" s="50">
        <v>1</v>
      </c>
      <c r="H391" s="50" t="s">
        <v>2</v>
      </c>
      <c r="I391" s="50" t="s">
        <v>297</v>
      </c>
      <c r="J391" s="51">
        <v>46104</v>
      </c>
      <c r="K391" s="50" t="s">
        <v>3</v>
      </c>
      <c r="L391" s="50" t="s">
        <v>80</v>
      </c>
    </row>
    <row r="392" spans="2:12">
      <c r="B392" s="50" t="s">
        <v>407</v>
      </c>
      <c r="C392" s="50" t="s">
        <v>26</v>
      </c>
      <c r="D392" s="50" t="s">
        <v>39</v>
      </c>
      <c r="E392" s="50">
        <v>50037933</v>
      </c>
      <c r="F392" s="50" t="s">
        <v>250</v>
      </c>
      <c r="G392" s="50">
        <v>1</v>
      </c>
      <c r="H392" s="50" t="s">
        <v>2</v>
      </c>
      <c r="I392" s="50" t="s">
        <v>289</v>
      </c>
      <c r="J392" s="51">
        <v>46102</v>
      </c>
      <c r="K392" s="50" t="s">
        <v>1</v>
      </c>
      <c r="L392" s="50"/>
    </row>
    <row r="393" spans="2:12" ht="41.25" customHeight="1">
      <c r="B393" s="50" t="s">
        <v>407</v>
      </c>
      <c r="C393" s="50" t="s">
        <v>26</v>
      </c>
      <c r="D393" s="50" t="s">
        <v>39</v>
      </c>
      <c r="E393" s="50">
        <v>50037905</v>
      </c>
      <c r="F393" s="50" t="s">
        <v>150</v>
      </c>
      <c r="G393" s="50">
        <v>1</v>
      </c>
      <c r="H393" s="50" t="s">
        <v>2</v>
      </c>
      <c r="I393" s="50" t="s">
        <v>289</v>
      </c>
      <c r="J393" s="51">
        <v>46102</v>
      </c>
      <c r="K393" s="50" t="s">
        <v>1</v>
      </c>
      <c r="L393" s="50"/>
    </row>
    <row r="394" spans="2:12">
      <c r="B394" s="50" t="s">
        <v>407</v>
      </c>
      <c r="C394" s="50" t="s">
        <v>26</v>
      </c>
      <c r="D394" s="50" t="s">
        <v>39</v>
      </c>
      <c r="E394" s="50">
        <v>50037933</v>
      </c>
      <c r="F394" s="50" t="s">
        <v>250</v>
      </c>
      <c r="G394" s="50">
        <v>1</v>
      </c>
      <c r="H394" s="50" t="s">
        <v>2</v>
      </c>
      <c r="I394" s="50" t="s">
        <v>289</v>
      </c>
      <c r="J394" s="51">
        <v>46102</v>
      </c>
      <c r="K394" s="50" t="s">
        <v>3</v>
      </c>
      <c r="L394" s="50"/>
    </row>
    <row r="395" spans="2:12">
      <c r="B395" s="50" t="s">
        <v>407</v>
      </c>
      <c r="C395" s="50" t="s">
        <v>26</v>
      </c>
      <c r="D395" s="50" t="s">
        <v>39</v>
      </c>
      <c r="E395" s="50">
        <v>50037905</v>
      </c>
      <c r="F395" s="50" t="s">
        <v>150</v>
      </c>
      <c r="G395" s="50">
        <v>1</v>
      </c>
      <c r="H395" s="50" t="s">
        <v>2</v>
      </c>
      <c r="I395" s="50" t="s">
        <v>289</v>
      </c>
      <c r="J395" s="51">
        <v>46102</v>
      </c>
      <c r="K395" s="50" t="s">
        <v>3</v>
      </c>
      <c r="L395" s="50"/>
    </row>
    <row r="396" spans="2:12">
      <c r="B396" s="50" t="s">
        <v>345</v>
      </c>
      <c r="C396" s="50" t="s">
        <v>62</v>
      </c>
      <c r="D396" s="50" t="s">
        <v>27</v>
      </c>
      <c r="E396" s="50">
        <v>50038841</v>
      </c>
      <c r="F396" s="50" t="s">
        <v>180</v>
      </c>
      <c r="G396" s="50">
        <v>1</v>
      </c>
      <c r="H396" s="50" t="s">
        <v>2</v>
      </c>
      <c r="I396" s="50" t="s">
        <v>289</v>
      </c>
      <c r="J396" s="51">
        <v>46101</v>
      </c>
      <c r="K396" s="50" t="s">
        <v>1</v>
      </c>
      <c r="L396" s="50"/>
    </row>
    <row r="397" spans="2:12">
      <c r="B397" s="50" t="s">
        <v>399</v>
      </c>
      <c r="C397" s="50" t="s">
        <v>51</v>
      </c>
      <c r="D397" s="50" t="s">
        <v>27</v>
      </c>
      <c r="E397" s="50">
        <v>50039065</v>
      </c>
      <c r="F397" s="50" t="s">
        <v>186</v>
      </c>
      <c r="G397" s="50">
        <v>1</v>
      </c>
      <c r="H397" s="50" t="s">
        <v>2</v>
      </c>
      <c r="I397" s="50" t="s">
        <v>289</v>
      </c>
      <c r="J397" s="51">
        <v>46101</v>
      </c>
      <c r="K397" s="50" t="s">
        <v>1</v>
      </c>
      <c r="L397" s="50"/>
    </row>
    <row r="398" spans="2:12">
      <c r="B398" s="50" t="s">
        <v>483</v>
      </c>
      <c r="C398" s="50" t="s">
        <v>62</v>
      </c>
      <c r="D398" s="50" t="s">
        <v>27</v>
      </c>
      <c r="E398" s="50">
        <v>50026357</v>
      </c>
      <c r="F398" s="50" t="s">
        <v>192</v>
      </c>
      <c r="G398" s="50">
        <v>1</v>
      </c>
      <c r="H398" s="50" t="s">
        <v>2</v>
      </c>
      <c r="I398" s="50" t="s">
        <v>289</v>
      </c>
      <c r="J398" s="51">
        <v>46101</v>
      </c>
      <c r="K398" s="50" t="s">
        <v>1</v>
      </c>
      <c r="L398" s="50"/>
    </row>
    <row r="399" spans="2:12">
      <c r="B399" s="50" t="s">
        <v>386</v>
      </c>
      <c r="C399" s="50" t="s">
        <v>62</v>
      </c>
      <c r="D399" s="50" t="s">
        <v>27</v>
      </c>
      <c r="E399" s="50">
        <v>50038618</v>
      </c>
      <c r="F399" s="50" t="s">
        <v>241</v>
      </c>
      <c r="G399" s="50">
        <v>1</v>
      </c>
      <c r="H399" s="50" t="s">
        <v>2</v>
      </c>
      <c r="I399" s="50" t="s">
        <v>289</v>
      </c>
      <c r="J399" s="51">
        <v>46101</v>
      </c>
      <c r="K399" s="50" t="s">
        <v>1</v>
      </c>
      <c r="L399" s="50"/>
    </row>
    <row r="400" spans="2:12">
      <c r="B400" s="50" t="s">
        <v>386</v>
      </c>
      <c r="C400" s="50" t="s">
        <v>62</v>
      </c>
      <c r="D400" s="50" t="s">
        <v>27</v>
      </c>
      <c r="E400" s="50">
        <v>50028220</v>
      </c>
      <c r="F400" s="50" t="s">
        <v>242</v>
      </c>
      <c r="G400" s="50">
        <v>1</v>
      </c>
      <c r="H400" s="50" t="s">
        <v>2</v>
      </c>
      <c r="I400" s="50" t="s">
        <v>289</v>
      </c>
      <c r="J400" s="51">
        <v>46101</v>
      </c>
      <c r="K400" s="50" t="s">
        <v>1</v>
      </c>
      <c r="L400" s="50"/>
    </row>
    <row r="401" spans="2:12">
      <c r="B401" s="50" t="s">
        <v>386</v>
      </c>
      <c r="C401" s="50" t="s">
        <v>62</v>
      </c>
      <c r="D401" s="50" t="s">
        <v>27</v>
      </c>
      <c r="E401" s="50">
        <v>50038840</v>
      </c>
      <c r="F401" s="50" t="s">
        <v>235</v>
      </c>
      <c r="G401" s="50">
        <v>1</v>
      </c>
      <c r="H401" s="50" t="s">
        <v>2</v>
      </c>
      <c r="I401" s="50" t="s">
        <v>289</v>
      </c>
      <c r="J401" s="51">
        <v>46101</v>
      </c>
      <c r="K401" s="50" t="s">
        <v>1</v>
      </c>
      <c r="L401" s="50"/>
    </row>
    <row r="402" spans="2:12">
      <c r="B402" s="50" t="s">
        <v>25</v>
      </c>
      <c r="C402" s="50" t="s">
        <v>26</v>
      </c>
      <c r="D402" s="50" t="s">
        <v>27</v>
      </c>
      <c r="E402" s="50">
        <v>50037961</v>
      </c>
      <c r="F402" s="50" t="s">
        <v>113</v>
      </c>
      <c r="G402" s="50">
        <v>1</v>
      </c>
      <c r="H402" s="50" t="s">
        <v>2</v>
      </c>
      <c r="I402" s="50" t="s">
        <v>289</v>
      </c>
      <c r="J402" s="51">
        <v>46101</v>
      </c>
      <c r="K402" s="50" t="s">
        <v>1</v>
      </c>
      <c r="L402" s="50"/>
    </row>
    <row r="403" spans="2:12" ht="66.75" customHeight="1">
      <c r="B403" s="50" t="s">
        <v>25</v>
      </c>
      <c r="C403" s="50" t="s">
        <v>26</v>
      </c>
      <c r="D403" s="50" t="s">
        <v>27</v>
      </c>
      <c r="E403" s="50">
        <v>50037960</v>
      </c>
      <c r="F403" s="50" t="s">
        <v>112</v>
      </c>
      <c r="G403" s="50">
        <v>1</v>
      </c>
      <c r="H403" s="50" t="s">
        <v>2</v>
      </c>
      <c r="I403" s="50" t="s">
        <v>289</v>
      </c>
      <c r="J403" s="51">
        <v>46101</v>
      </c>
      <c r="K403" s="50" t="s">
        <v>1</v>
      </c>
      <c r="L403" s="50"/>
    </row>
    <row r="404" spans="2:12" ht="66.75" customHeight="1">
      <c r="B404" s="50" t="s">
        <v>399</v>
      </c>
      <c r="C404" s="50" t="s">
        <v>51</v>
      </c>
      <c r="D404" s="50" t="s">
        <v>27</v>
      </c>
      <c r="E404" s="50">
        <v>50003173</v>
      </c>
      <c r="F404" s="50" t="s">
        <v>74</v>
      </c>
      <c r="G404" s="50">
        <v>1</v>
      </c>
      <c r="H404" s="50" t="s">
        <v>2</v>
      </c>
      <c r="I404" s="50" t="s">
        <v>289</v>
      </c>
      <c r="J404" s="51">
        <v>46101</v>
      </c>
      <c r="K404" s="50" t="s">
        <v>1</v>
      </c>
      <c r="L404" s="50"/>
    </row>
    <row r="405" spans="2:12" ht="66.75" customHeight="1">
      <c r="B405" s="50" t="s">
        <v>399</v>
      </c>
      <c r="C405" s="50" t="s">
        <v>51</v>
      </c>
      <c r="D405" s="50" t="s">
        <v>27</v>
      </c>
      <c r="E405" s="50">
        <v>50004486</v>
      </c>
      <c r="F405" s="50" t="s">
        <v>221</v>
      </c>
      <c r="G405" s="50">
        <v>1</v>
      </c>
      <c r="H405" s="50" t="s">
        <v>2</v>
      </c>
      <c r="I405" s="50" t="s">
        <v>289</v>
      </c>
      <c r="J405" s="51">
        <v>46101</v>
      </c>
      <c r="K405" s="50" t="s">
        <v>1</v>
      </c>
      <c r="L405" s="50"/>
    </row>
    <row r="406" spans="2:12" ht="66.75" customHeight="1">
      <c r="B406" s="50" t="s">
        <v>399</v>
      </c>
      <c r="C406" s="50" t="s">
        <v>51</v>
      </c>
      <c r="D406" s="50" t="s">
        <v>27</v>
      </c>
      <c r="E406" s="50">
        <v>50038517</v>
      </c>
      <c r="F406" s="50" t="s">
        <v>181</v>
      </c>
      <c r="G406" s="50">
        <v>1</v>
      </c>
      <c r="H406" s="50" t="s">
        <v>2</v>
      </c>
      <c r="I406" s="50" t="s">
        <v>289</v>
      </c>
      <c r="J406" s="51">
        <v>46101</v>
      </c>
      <c r="K406" s="50" t="s">
        <v>1</v>
      </c>
      <c r="L406" s="50"/>
    </row>
    <row r="407" spans="2:12" ht="66.75" customHeight="1">
      <c r="B407" s="50" t="s">
        <v>386</v>
      </c>
      <c r="C407" s="50" t="s">
        <v>62</v>
      </c>
      <c r="D407" s="50" t="s">
        <v>27</v>
      </c>
      <c r="E407" s="50">
        <v>50032781</v>
      </c>
      <c r="F407" s="50" t="s">
        <v>237</v>
      </c>
      <c r="G407" s="50">
        <v>1</v>
      </c>
      <c r="H407" s="50" t="s">
        <v>2</v>
      </c>
      <c r="I407" s="50" t="s">
        <v>289</v>
      </c>
      <c r="J407" s="51">
        <v>46101</v>
      </c>
      <c r="K407" s="50" t="s">
        <v>1</v>
      </c>
      <c r="L407" s="50"/>
    </row>
    <row r="408" spans="2:12">
      <c r="B408" s="50" t="s">
        <v>442</v>
      </c>
      <c r="C408" s="50" t="s">
        <v>61</v>
      </c>
      <c r="D408" s="50" t="s">
        <v>41</v>
      </c>
      <c r="E408" s="50">
        <v>50003296</v>
      </c>
      <c r="F408" s="50" t="s">
        <v>157</v>
      </c>
      <c r="G408" s="50">
        <v>1</v>
      </c>
      <c r="H408" s="50" t="s">
        <v>2</v>
      </c>
      <c r="I408" s="50" t="s">
        <v>289</v>
      </c>
      <c r="J408" s="51">
        <v>46101</v>
      </c>
      <c r="K408" s="50" t="s">
        <v>1</v>
      </c>
      <c r="L408" s="50" t="s">
        <v>80</v>
      </c>
    </row>
    <row r="409" spans="2:12">
      <c r="B409" s="50" t="s">
        <v>442</v>
      </c>
      <c r="C409" s="50" t="s">
        <v>61</v>
      </c>
      <c r="D409" s="50" t="s">
        <v>41</v>
      </c>
      <c r="E409" s="50">
        <v>50046617</v>
      </c>
      <c r="F409" s="50" t="s">
        <v>365</v>
      </c>
      <c r="G409" s="50">
        <v>1</v>
      </c>
      <c r="H409" s="50" t="s">
        <v>2</v>
      </c>
      <c r="I409" s="50" t="s">
        <v>289</v>
      </c>
      <c r="J409" s="51">
        <v>46101</v>
      </c>
      <c r="K409" s="50" t="s">
        <v>1</v>
      </c>
      <c r="L409" s="50" t="s">
        <v>80</v>
      </c>
    </row>
    <row r="410" spans="2:12">
      <c r="B410" s="50" t="s">
        <v>442</v>
      </c>
      <c r="C410" s="50" t="s">
        <v>61</v>
      </c>
      <c r="D410" s="50" t="s">
        <v>41</v>
      </c>
      <c r="E410" s="50">
        <v>50032781</v>
      </c>
      <c r="F410" s="50" t="s">
        <v>237</v>
      </c>
      <c r="G410" s="50">
        <v>1</v>
      </c>
      <c r="H410" s="50" t="s">
        <v>2</v>
      </c>
      <c r="I410" s="50" t="s">
        <v>289</v>
      </c>
      <c r="J410" s="51">
        <v>46101</v>
      </c>
      <c r="K410" s="50" t="s">
        <v>1</v>
      </c>
      <c r="L410" s="50" t="s">
        <v>80</v>
      </c>
    </row>
    <row r="411" spans="2:12">
      <c r="B411" s="50" t="s">
        <v>442</v>
      </c>
      <c r="C411" s="50" t="s">
        <v>61</v>
      </c>
      <c r="D411" s="50" t="s">
        <v>41</v>
      </c>
      <c r="E411" s="50">
        <v>50003296</v>
      </c>
      <c r="F411" s="50" t="s">
        <v>157</v>
      </c>
      <c r="G411" s="50">
        <v>1</v>
      </c>
      <c r="H411" s="50" t="s">
        <v>2</v>
      </c>
      <c r="I411" s="50" t="s">
        <v>289</v>
      </c>
      <c r="J411" s="51">
        <v>46101</v>
      </c>
      <c r="K411" s="50" t="s">
        <v>3</v>
      </c>
      <c r="L411" s="50" t="s">
        <v>80</v>
      </c>
    </row>
    <row r="412" spans="2:12">
      <c r="B412" s="50" t="s">
        <v>442</v>
      </c>
      <c r="C412" s="50" t="s">
        <v>61</v>
      </c>
      <c r="D412" s="50" t="s">
        <v>41</v>
      </c>
      <c r="E412" s="50">
        <v>50046617</v>
      </c>
      <c r="F412" s="50" t="s">
        <v>365</v>
      </c>
      <c r="G412" s="50">
        <v>1</v>
      </c>
      <c r="H412" s="50" t="s">
        <v>2</v>
      </c>
      <c r="I412" s="50" t="s">
        <v>289</v>
      </c>
      <c r="J412" s="51">
        <v>46101</v>
      </c>
      <c r="K412" s="50" t="s">
        <v>3</v>
      </c>
      <c r="L412" s="50" t="s">
        <v>80</v>
      </c>
    </row>
    <row r="413" spans="2:12">
      <c r="B413" s="50" t="s">
        <v>442</v>
      </c>
      <c r="C413" s="50" t="s">
        <v>61</v>
      </c>
      <c r="D413" s="50" t="s">
        <v>41</v>
      </c>
      <c r="E413" s="50">
        <v>50032781</v>
      </c>
      <c r="F413" s="50" t="s">
        <v>237</v>
      </c>
      <c r="G413" s="50">
        <v>1</v>
      </c>
      <c r="H413" s="50" t="s">
        <v>2</v>
      </c>
      <c r="I413" s="50" t="s">
        <v>289</v>
      </c>
      <c r="J413" s="51">
        <v>46101</v>
      </c>
      <c r="K413" s="50" t="s">
        <v>3</v>
      </c>
      <c r="L413" s="50" t="s">
        <v>80</v>
      </c>
    </row>
    <row r="414" spans="2:12">
      <c r="B414" s="50" t="s">
        <v>273</v>
      </c>
      <c r="C414" s="50" t="s">
        <v>274</v>
      </c>
      <c r="D414" s="50" t="s">
        <v>27</v>
      </c>
      <c r="E414" s="50">
        <v>50018168</v>
      </c>
      <c r="F414" s="50" t="s">
        <v>251</v>
      </c>
      <c r="G414" s="50">
        <v>1</v>
      </c>
      <c r="H414" s="50" t="s">
        <v>2</v>
      </c>
      <c r="I414" s="50" t="s">
        <v>291</v>
      </c>
      <c r="J414" s="51">
        <v>46101</v>
      </c>
      <c r="K414" s="50" t="s">
        <v>1</v>
      </c>
      <c r="L414" s="50" t="s">
        <v>80</v>
      </c>
    </row>
    <row r="415" spans="2:12">
      <c r="B415" s="50" t="s">
        <v>273</v>
      </c>
      <c r="C415" s="50" t="s">
        <v>274</v>
      </c>
      <c r="D415" s="50" t="s">
        <v>27</v>
      </c>
      <c r="E415" s="50">
        <v>50042002</v>
      </c>
      <c r="F415" s="50" t="s">
        <v>299</v>
      </c>
      <c r="G415" s="50">
        <v>1</v>
      </c>
      <c r="H415" s="50" t="s">
        <v>2</v>
      </c>
      <c r="I415" s="50" t="s">
        <v>291</v>
      </c>
      <c r="J415" s="51">
        <v>46101</v>
      </c>
      <c r="K415" s="50" t="s">
        <v>1</v>
      </c>
      <c r="L415" s="50" t="s">
        <v>80</v>
      </c>
    </row>
    <row r="416" spans="2:12">
      <c r="B416" s="50" t="s">
        <v>386</v>
      </c>
      <c r="C416" s="50" t="s">
        <v>62</v>
      </c>
      <c r="D416" s="50" t="s">
        <v>27</v>
      </c>
      <c r="E416" s="50">
        <v>50038618</v>
      </c>
      <c r="F416" s="50" t="s">
        <v>241</v>
      </c>
      <c r="G416" s="50">
        <v>1</v>
      </c>
      <c r="H416" s="50" t="s">
        <v>2</v>
      </c>
      <c r="I416" s="50" t="s">
        <v>291</v>
      </c>
      <c r="J416" s="51">
        <v>46101</v>
      </c>
      <c r="K416" s="50" t="s">
        <v>3</v>
      </c>
      <c r="L416" s="50" t="s">
        <v>80</v>
      </c>
    </row>
    <row r="417" spans="2:12">
      <c r="B417" s="50" t="s">
        <v>386</v>
      </c>
      <c r="C417" s="50" t="s">
        <v>62</v>
      </c>
      <c r="D417" s="50" t="s">
        <v>27</v>
      </c>
      <c r="E417" s="50">
        <v>50028220</v>
      </c>
      <c r="F417" s="50" t="s">
        <v>242</v>
      </c>
      <c r="G417" s="50">
        <v>1</v>
      </c>
      <c r="H417" s="50" t="s">
        <v>2</v>
      </c>
      <c r="I417" s="50" t="s">
        <v>291</v>
      </c>
      <c r="J417" s="51">
        <v>46101</v>
      </c>
      <c r="K417" s="50" t="s">
        <v>3</v>
      </c>
      <c r="L417" s="50" t="s">
        <v>80</v>
      </c>
    </row>
    <row r="418" spans="2:12">
      <c r="B418" s="50" t="s">
        <v>386</v>
      </c>
      <c r="C418" s="50" t="s">
        <v>62</v>
      </c>
      <c r="D418" s="50" t="s">
        <v>27</v>
      </c>
      <c r="E418" s="50">
        <v>50038840</v>
      </c>
      <c r="F418" s="50" t="s">
        <v>235</v>
      </c>
      <c r="G418" s="50">
        <v>1</v>
      </c>
      <c r="H418" s="50" t="s">
        <v>2</v>
      </c>
      <c r="I418" s="50" t="s">
        <v>291</v>
      </c>
      <c r="J418" s="51">
        <v>46101</v>
      </c>
      <c r="K418" s="50" t="s">
        <v>3</v>
      </c>
      <c r="L418" s="50" t="s">
        <v>80</v>
      </c>
    </row>
    <row r="419" spans="2:12">
      <c r="B419" s="50" t="s">
        <v>25</v>
      </c>
      <c r="C419" s="50" t="s">
        <v>26</v>
      </c>
      <c r="D419" s="50" t="s">
        <v>27</v>
      </c>
      <c r="E419" s="50">
        <v>50037961</v>
      </c>
      <c r="F419" s="50" t="s">
        <v>113</v>
      </c>
      <c r="G419" s="50">
        <v>1</v>
      </c>
      <c r="H419" s="50" t="s">
        <v>2</v>
      </c>
      <c r="I419" s="50" t="s">
        <v>291</v>
      </c>
      <c r="J419" s="51">
        <v>46101</v>
      </c>
      <c r="K419" s="50" t="s">
        <v>3</v>
      </c>
      <c r="L419" s="50" t="s">
        <v>80</v>
      </c>
    </row>
    <row r="420" spans="2:12">
      <c r="B420" s="50" t="s">
        <v>25</v>
      </c>
      <c r="C420" s="50" t="s">
        <v>26</v>
      </c>
      <c r="D420" s="50" t="s">
        <v>27</v>
      </c>
      <c r="E420" s="50">
        <v>50037960</v>
      </c>
      <c r="F420" s="50" t="s">
        <v>112</v>
      </c>
      <c r="G420" s="50">
        <v>1</v>
      </c>
      <c r="H420" s="50" t="s">
        <v>2</v>
      </c>
      <c r="I420" s="50" t="s">
        <v>291</v>
      </c>
      <c r="J420" s="51">
        <v>46101</v>
      </c>
      <c r="K420" s="50" t="s">
        <v>3</v>
      </c>
      <c r="L420" s="50" t="s">
        <v>80</v>
      </c>
    </row>
    <row r="421" spans="2:12">
      <c r="B421" s="50" t="s">
        <v>422</v>
      </c>
      <c r="C421" s="50" t="s">
        <v>26</v>
      </c>
      <c r="D421" s="50" t="s">
        <v>41</v>
      </c>
      <c r="E421" s="50">
        <v>50037905</v>
      </c>
      <c r="F421" s="50" t="s">
        <v>150</v>
      </c>
      <c r="G421" s="50">
        <v>1</v>
      </c>
      <c r="H421" s="50" t="s">
        <v>2</v>
      </c>
      <c r="I421" s="50" t="s">
        <v>291</v>
      </c>
      <c r="J421" s="51">
        <v>46101</v>
      </c>
      <c r="K421" s="50" t="s">
        <v>1</v>
      </c>
      <c r="L421" s="50" t="s">
        <v>80</v>
      </c>
    </row>
    <row r="422" spans="2:12">
      <c r="B422" s="50" t="s">
        <v>399</v>
      </c>
      <c r="C422" s="50" t="s">
        <v>51</v>
      </c>
      <c r="D422" s="50" t="s">
        <v>27</v>
      </c>
      <c r="E422" s="50">
        <v>50037903</v>
      </c>
      <c r="F422" s="50" t="s">
        <v>183</v>
      </c>
      <c r="G422" s="50">
        <v>1</v>
      </c>
      <c r="H422" s="50" t="s">
        <v>2</v>
      </c>
      <c r="I422" s="50" t="s">
        <v>291</v>
      </c>
      <c r="J422" s="51">
        <v>46101</v>
      </c>
      <c r="K422" s="50" t="s">
        <v>1</v>
      </c>
      <c r="L422" s="50" t="s">
        <v>80</v>
      </c>
    </row>
    <row r="423" spans="2:12">
      <c r="B423" s="50" t="s">
        <v>386</v>
      </c>
      <c r="C423" s="50" t="s">
        <v>62</v>
      </c>
      <c r="D423" s="50" t="s">
        <v>27</v>
      </c>
      <c r="E423" s="50">
        <v>50032781</v>
      </c>
      <c r="F423" s="50" t="s">
        <v>237</v>
      </c>
      <c r="G423" s="50">
        <v>1</v>
      </c>
      <c r="H423" s="50" t="s">
        <v>2</v>
      </c>
      <c r="I423" s="50" t="s">
        <v>291</v>
      </c>
      <c r="J423" s="51">
        <v>46101</v>
      </c>
      <c r="K423" s="50" t="s">
        <v>3</v>
      </c>
      <c r="L423" s="50" t="s">
        <v>80</v>
      </c>
    </row>
    <row r="424" spans="2:12">
      <c r="B424" s="50" t="s">
        <v>399</v>
      </c>
      <c r="C424" s="50" t="s">
        <v>51</v>
      </c>
      <c r="D424" s="50" t="s">
        <v>27</v>
      </c>
      <c r="E424" s="50">
        <v>50003173</v>
      </c>
      <c r="F424" s="50" t="s">
        <v>74</v>
      </c>
      <c r="G424" s="50">
        <v>1</v>
      </c>
      <c r="H424" s="50" t="s">
        <v>2</v>
      </c>
      <c r="I424" s="50" t="s">
        <v>291</v>
      </c>
      <c r="J424" s="51">
        <v>46101</v>
      </c>
      <c r="K424" s="50" t="s">
        <v>3</v>
      </c>
      <c r="L424" s="50" t="s">
        <v>80</v>
      </c>
    </row>
    <row r="425" spans="2:12">
      <c r="B425" s="50" t="s">
        <v>442</v>
      </c>
      <c r="C425" s="50" t="s">
        <v>61</v>
      </c>
      <c r="D425" s="50" t="s">
        <v>41</v>
      </c>
      <c r="E425" s="50">
        <v>50039718</v>
      </c>
      <c r="F425" s="50" t="s">
        <v>149</v>
      </c>
      <c r="G425" s="50">
        <v>1</v>
      </c>
      <c r="H425" s="50" t="s">
        <v>2</v>
      </c>
      <c r="I425" s="50" t="s">
        <v>291</v>
      </c>
      <c r="J425" s="51">
        <v>46101</v>
      </c>
      <c r="K425" s="50" t="s">
        <v>1</v>
      </c>
      <c r="L425" s="50" t="s">
        <v>80</v>
      </c>
    </row>
    <row r="426" spans="2:12">
      <c r="B426" s="50" t="s">
        <v>439</v>
      </c>
      <c r="C426" s="50" t="s">
        <v>62</v>
      </c>
      <c r="D426" s="50" t="s">
        <v>27</v>
      </c>
      <c r="E426" s="50">
        <v>50020623</v>
      </c>
      <c r="F426" s="50" t="s">
        <v>217</v>
      </c>
      <c r="G426" s="50">
        <v>1</v>
      </c>
      <c r="H426" s="50" t="s">
        <v>2</v>
      </c>
      <c r="I426" s="50" t="s">
        <v>291</v>
      </c>
      <c r="J426" s="51">
        <v>46101</v>
      </c>
      <c r="K426" s="50" t="s">
        <v>1</v>
      </c>
      <c r="L426" s="50" t="s">
        <v>80</v>
      </c>
    </row>
    <row r="427" spans="2:12">
      <c r="B427" s="50" t="s">
        <v>439</v>
      </c>
      <c r="C427" s="50" t="s">
        <v>62</v>
      </c>
      <c r="D427" s="50" t="s">
        <v>27</v>
      </c>
      <c r="E427" s="50">
        <v>50020623</v>
      </c>
      <c r="F427" s="50" t="s">
        <v>217</v>
      </c>
      <c r="G427" s="50">
        <v>1</v>
      </c>
      <c r="H427" s="50" t="s">
        <v>2</v>
      </c>
      <c r="I427" s="50" t="s">
        <v>291</v>
      </c>
      <c r="J427" s="51">
        <v>46101</v>
      </c>
      <c r="K427" s="50" t="s">
        <v>3</v>
      </c>
      <c r="L427" s="50" t="s">
        <v>80</v>
      </c>
    </row>
    <row r="428" spans="2:12">
      <c r="B428" s="50" t="s">
        <v>273</v>
      </c>
      <c r="C428" s="50" t="s">
        <v>274</v>
      </c>
      <c r="D428" s="50" t="s">
        <v>27</v>
      </c>
      <c r="E428" s="50">
        <v>50042002</v>
      </c>
      <c r="F428" s="50" t="s">
        <v>299</v>
      </c>
      <c r="G428" s="50">
        <v>1</v>
      </c>
      <c r="H428" s="50" t="s">
        <v>2</v>
      </c>
      <c r="I428" s="50" t="s">
        <v>297</v>
      </c>
      <c r="J428" s="51">
        <v>46101</v>
      </c>
      <c r="K428" s="50" t="s">
        <v>3</v>
      </c>
      <c r="L428" s="50" t="s">
        <v>80</v>
      </c>
    </row>
    <row r="429" spans="2:12">
      <c r="B429" s="50" t="s">
        <v>273</v>
      </c>
      <c r="C429" s="50" t="s">
        <v>274</v>
      </c>
      <c r="D429" s="50" t="s">
        <v>27</v>
      </c>
      <c r="E429" s="50">
        <v>50018168</v>
      </c>
      <c r="F429" s="50" t="s">
        <v>251</v>
      </c>
      <c r="G429" s="50">
        <v>1</v>
      </c>
      <c r="H429" s="50" t="s">
        <v>2</v>
      </c>
      <c r="I429" s="50" t="s">
        <v>297</v>
      </c>
      <c r="J429" s="51">
        <v>46101</v>
      </c>
      <c r="K429" s="50" t="s">
        <v>3</v>
      </c>
      <c r="L429" s="50" t="s">
        <v>80</v>
      </c>
    </row>
    <row r="430" spans="2:12">
      <c r="B430" s="50" t="s">
        <v>483</v>
      </c>
      <c r="C430" s="50" t="s">
        <v>62</v>
      </c>
      <c r="D430" s="50" t="s">
        <v>27</v>
      </c>
      <c r="E430" s="50">
        <v>50026357</v>
      </c>
      <c r="F430" s="50" t="s">
        <v>192</v>
      </c>
      <c r="G430" s="50">
        <v>1</v>
      </c>
      <c r="H430" s="50" t="s">
        <v>2</v>
      </c>
      <c r="I430" s="50" t="s">
        <v>297</v>
      </c>
      <c r="J430" s="51">
        <v>46101</v>
      </c>
      <c r="K430" s="50" t="s">
        <v>3</v>
      </c>
      <c r="L430" s="50" t="s">
        <v>80</v>
      </c>
    </row>
    <row r="431" spans="2:12">
      <c r="B431" s="50" t="s">
        <v>270</v>
      </c>
      <c r="C431" s="50" t="s">
        <v>51</v>
      </c>
      <c r="D431" s="50" t="s">
        <v>27</v>
      </c>
      <c r="E431" s="50">
        <v>50037892</v>
      </c>
      <c r="F431" s="50" t="s">
        <v>178</v>
      </c>
      <c r="G431" s="50">
        <v>1</v>
      </c>
      <c r="H431" s="50" t="s">
        <v>2</v>
      </c>
      <c r="I431" s="50" t="s">
        <v>297</v>
      </c>
      <c r="J431" s="51">
        <v>46101</v>
      </c>
      <c r="K431" s="50" t="s">
        <v>3</v>
      </c>
      <c r="L431" s="50" t="s">
        <v>80</v>
      </c>
    </row>
    <row r="432" spans="2:12">
      <c r="B432" s="50" t="s">
        <v>455</v>
      </c>
      <c r="C432" s="50" t="s">
        <v>56</v>
      </c>
      <c r="D432" s="50" t="s">
        <v>41</v>
      </c>
      <c r="E432" s="50">
        <v>50043471</v>
      </c>
      <c r="F432" s="50" t="s">
        <v>257</v>
      </c>
      <c r="G432" s="50">
        <v>1</v>
      </c>
      <c r="H432" s="50" t="s">
        <v>2</v>
      </c>
      <c r="I432" s="50" t="s">
        <v>297</v>
      </c>
      <c r="J432" s="51">
        <v>46101</v>
      </c>
      <c r="K432" s="50" t="s">
        <v>1</v>
      </c>
      <c r="L432" s="50" t="s">
        <v>80</v>
      </c>
    </row>
    <row r="433" spans="2:12">
      <c r="B433" s="50" t="s">
        <v>455</v>
      </c>
      <c r="C433" s="50" t="s">
        <v>56</v>
      </c>
      <c r="D433" s="50" t="s">
        <v>41</v>
      </c>
      <c r="E433" s="50">
        <v>50043320</v>
      </c>
      <c r="F433" s="50" t="s">
        <v>264</v>
      </c>
      <c r="G433" s="50">
        <v>1</v>
      </c>
      <c r="H433" s="50" t="s">
        <v>2</v>
      </c>
      <c r="I433" s="50" t="s">
        <v>297</v>
      </c>
      <c r="J433" s="51">
        <v>46101</v>
      </c>
      <c r="K433" s="50" t="s">
        <v>1</v>
      </c>
      <c r="L433" s="50" t="s">
        <v>80</v>
      </c>
    </row>
    <row r="434" spans="2:12">
      <c r="B434" s="50" t="s">
        <v>442</v>
      </c>
      <c r="C434" s="50" t="s">
        <v>61</v>
      </c>
      <c r="D434" s="50" t="s">
        <v>41</v>
      </c>
      <c r="E434" s="50">
        <v>50039718</v>
      </c>
      <c r="F434" s="50" t="s">
        <v>149</v>
      </c>
      <c r="G434" s="50">
        <v>1</v>
      </c>
      <c r="H434" s="50" t="s">
        <v>2</v>
      </c>
      <c r="I434" s="50" t="s">
        <v>297</v>
      </c>
      <c r="J434" s="51">
        <v>46101</v>
      </c>
      <c r="K434" s="50" t="s">
        <v>3</v>
      </c>
      <c r="L434" s="50" t="s">
        <v>80</v>
      </c>
    </row>
    <row r="435" spans="2:12">
      <c r="B435" s="50" t="s">
        <v>422</v>
      </c>
      <c r="C435" s="50" t="s">
        <v>26</v>
      </c>
      <c r="D435" s="50" t="s">
        <v>41</v>
      </c>
      <c r="E435" s="50">
        <v>50037905</v>
      </c>
      <c r="F435" s="50" t="s">
        <v>150</v>
      </c>
      <c r="G435" s="50">
        <v>1</v>
      </c>
      <c r="H435" s="50" t="s">
        <v>2</v>
      </c>
      <c r="I435" s="50" t="s">
        <v>297</v>
      </c>
      <c r="J435" s="51">
        <v>46101</v>
      </c>
      <c r="K435" s="50" t="s">
        <v>3</v>
      </c>
      <c r="L435" s="50" t="s">
        <v>80</v>
      </c>
    </row>
    <row r="436" spans="2:12">
      <c r="B436" s="50" t="s">
        <v>399</v>
      </c>
      <c r="C436" s="50" t="s">
        <v>51</v>
      </c>
      <c r="D436" s="50" t="s">
        <v>27</v>
      </c>
      <c r="E436" s="50">
        <v>50037903</v>
      </c>
      <c r="F436" s="50" t="s">
        <v>183</v>
      </c>
      <c r="G436" s="50">
        <v>1</v>
      </c>
      <c r="H436" s="50" t="s">
        <v>2</v>
      </c>
      <c r="I436" s="50" t="s">
        <v>297</v>
      </c>
      <c r="J436" s="51">
        <v>46101</v>
      </c>
      <c r="K436" s="50" t="s">
        <v>3</v>
      </c>
      <c r="L436" s="50" t="s">
        <v>80</v>
      </c>
    </row>
    <row r="437" spans="2:12">
      <c r="B437" s="50" t="s">
        <v>399</v>
      </c>
      <c r="C437" s="50" t="s">
        <v>51</v>
      </c>
      <c r="D437" s="50" t="s">
        <v>27</v>
      </c>
      <c r="E437" s="50">
        <v>50039065</v>
      </c>
      <c r="F437" s="50" t="s">
        <v>186</v>
      </c>
      <c r="G437" s="50">
        <v>1</v>
      </c>
      <c r="H437" s="50" t="s">
        <v>2</v>
      </c>
      <c r="I437" s="50" t="s">
        <v>297</v>
      </c>
      <c r="J437" s="51">
        <v>46101</v>
      </c>
      <c r="K437" s="50" t="s">
        <v>3</v>
      </c>
      <c r="L437" s="50" t="s">
        <v>80</v>
      </c>
    </row>
    <row r="438" spans="2:12">
      <c r="B438" s="50" t="s">
        <v>399</v>
      </c>
      <c r="C438" s="50" t="s">
        <v>51</v>
      </c>
      <c r="D438" s="50" t="s">
        <v>27</v>
      </c>
      <c r="E438" s="50">
        <v>50004486</v>
      </c>
      <c r="F438" s="50" t="s">
        <v>221</v>
      </c>
      <c r="G438" s="50">
        <v>1</v>
      </c>
      <c r="H438" s="50" t="s">
        <v>2</v>
      </c>
      <c r="I438" s="50" t="s">
        <v>297</v>
      </c>
      <c r="J438" s="51">
        <v>46101</v>
      </c>
      <c r="K438" s="50" t="s">
        <v>3</v>
      </c>
      <c r="L438" s="50" t="s">
        <v>80</v>
      </c>
    </row>
    <row r="439" spans="2:12">
      <c r="B439" s="50" t="s">
        <v>399</v>
      </c>
      <c r="C439" s="50" t="s">
        <v>51</v>
      </c>
      <c r="D439" s="50" t="s">
        <v>27</v>
      </c>
      <c r="E439" s="50">
        <v>50038517</v>
      </c>
      <c r="F439" s="50" t="s">
        <v>181</v>
      </c>
      <c r="G439" s="50">
        <v>1</v>
      </c>
      <c r="H439" s="50" t="s">
        <v>2</v>
      </c>
      <c r="I439" s="50" t="s">
        <v>297</v>
      </c>
      <c r="J439" s="51">
        <v>46101</v>
      </c>
      <c r="K439" s="50" t="s">
        <v>3</v>
      </c>
      <c r="L439" s="50" t="s">
        <v>80</v>
      </c>
    </row>
    <row r="440" spans="2:12">
      <c r="B440" s="50" t="s">
        <v>345</v>
      </c>
      <c r="C440" s="50" t="s">
        <v>62</v>
      </c>
      <c r="D440" s="50" t="s">
        <v>27</v>
      </c>
      <c r="E440" s="50">
        <v>50038841</v>
      </c>
      <c r="F440" s="50" t="s">
        <v>180</v>
      </c>
      <c r="G440" s="50">
        <v>1</v>
      </c>
      <c r="H440" s="50" t="s">
        <v>2</v>
      </c>
      <c r="I440" s="50" t="s">
        <v>297</v>
      </c>
      <c r="J440" s="51">
        <v>46101</v>
      </c>
      <c r="K440" s="50" t="s">
        <v>3</v>
      </c>
      <c r="L440" s="50" t="s">
        <v>80</v>
      </c>
    </row>
    <row r="441" spans="2:12">
      <c r="B441" s="50" t="s">
        <v>427</v>
      </c>
      <c r="C441" s="50" t="s">
        <v>26</v>
      </c>
      <c r="D441" s="50" t="s">
        <v>27</v>
      </c>
      <c r="E441" s="50">
        <v>50003297</v>
      </c>
      <c r="F441" s="50" t="s">
        <v>158</v>
      </c>
      <c r="G441" s="50">
        <v>1</v>
      </c>
      <c r="H441" s="50" t="s">
        <v>2</v>
      </c>
      <c r="I441" s="50" t="s">
        <v>297</v>
      </c>
      <c r="J441" s="51">
        <v>46101</v>
      </c>
      <c r="K441" s="50" t="s">
        <v>3</v>
      </c>
      <c r="L441" s="50" t="s">
        <v>80</v>
      </c>
    </row>
    <row r="442" spans="2:12">
      <c r="B442" s="50" t="s">
        <v>427</v>
      </c>
      <c r="C442" s="50" t="s">
        <v>26</v>
      </c>
      <c r="D442" s="50" t="s">
        <v>27</v>
      </c>
      <c r="E442" s="50">
        <v>50038549</v>
      </c>
      <c r="F442" s="50" t="s">
        <v>173</v>
      </c>
      <c r="G442" s="50">
        <v>1</v>
      </c>
      <c r="H442" s="50" t="s">
        <v>2</v>
      </c>
      <c r="I442" s="50" t="s">
        <v>297</v>
      </c>
      <c r="J442" s="51">
        <v>46101</v>
      </c>
      <c r="K442" s="50" t="s">
        <v>3</v>
      </c>
      <c r="L442" s="50" t="s">
        <v>80</v>
      </c>
    </row>
    <row r="443" spans="2:12">
      <c r="B443" s="50" t="s">
        <v>455</v>
      </c>
      <c r="C443" s="50" t="s">
        <v>56</v>
      </c>
      <c r="D443" s="50" t="s">
        <v>41</v>
      </c>
      <c r="E443" s="50">
        <v>50043320</v>
      </c>
      <c r="F443" s="50" t="s">
        <v>264</v>
      </c>
      <c r="G443" s="50">
        <v>1</v>
      </c>
      <c r="H443" s="50" t="s">
        <v>2</v>
      </c>
      <c r="I443" s="50" t="s">
        <v>297</v>
      </c>
      <c r="J443" s="51">
        <v>46101</v>
      </c>
      <c r="K443" s="50" t="s">
        <v>3</v>
      </c>
      <c r="L443" s="50" t="s">
        <v>80</v>
      </c>
    </row>
    <row r="444" spans="2:12">
      <c r="B444" s="50" t="s">
        <v>455</v>
      </c>
      <c r="C444" s="50" t="s">
        <v>56</v>
      </c>
      <c r="D444" s="50" t="s">
        <v>41</v>
      </c>
      <c r="E444" s="50">
        <v>50043471</v>
      </c>
      <c r="F444" s="50" t="s">
        <v>257</v>
      </c>
      <c r="G444" s="50">
        <v>1</v>
      </c>
      <c r="H444" s="50" t="s">
        <v>2</v>
      </c>
      <c r="I444" s="50" t="s">
        <v>297</v>
      </c>
      <c r="J444" s="51">
        <v>46101</v>
      </c>
      <c r="K444" s="50" t="s">
        <v>3</v>
      </c>
      <c r="L444" s="50" t="s">
        <v>80</v>
      </c>
    </row>
    <row r="445" spans="2:12">
      <c r="B445" s="50" t="s">
        <v>386</v>
      </c>
      <c r="C445" s="50" t="s">
        <v>62</v>
      </c>
      <c r="D445" s="50" t="s">
        <v>27</v>
      </c>
      <c r="E445" s="50">
        <v>50026357</v>
      </c>
      <c r="F445" s="50" t="s">
        <v>192</v>
      </c>
      <c r="G445" s="50">
        <v>1</v>
      </c>
      <c r="H445" s="50" t="s">
        <v>2</v>
      </c>
      <c r="I445" s="50" t="s">
        <v>289</v>
      </c>
      <c r="J445" s="51">
        <v>46100</v>
      </c>
      <c r="K445" s="50" t="s">
        <v>1</v>
      </c>
      <c r="L445" s="50"/>
    </row>
    <row r="446" spans="2:12">
      <c r="B446" s="50" t="s">
        <v>466</v>
      </c>
      <c r="C446" s="50" t="s">
        <v>62</v>
      </c>
      <c r="D446" s="50" t="s">
        <v>27</v>
      </c>
      <c r="E446" s="50">
        <v>50041195</v>
      </c>
      <c r="F446" s="50" t="s">
        <v>206</v>
      </c>
      <c r="G446" s="50">
        <v>1</v>
      </c>
      <c r="H446" s="50" t="s">
        <v>2</v>
      </c>
      <c r="I446" s="50" t="s">
        <v>289</v>
      </c>
      <c r="J446" s="51">
        <v>46100</v>
      </c>
      <c r="K446" s="50" t="s">
        <v>1</v>
      </c>
      <c r="L446" s="50"/>
    </row>
    <row r="447" spans="2:12">
      <c r="B447" s="50" t="s">
        <v>478</v>
      </c>
      <c r="C447" s="50" t="s">
        <v>51</v>
      </c>
      <c r="D447" s="50" t="s">
        <v>27</v>
      </c>
      <c r="E447" s="50">
        <v>50038841</v>
      </c>
      <c r="F447" s="50" t="s">
        <v>180</v>
      </c>
      <c r="G447" s="50">
        <v>1</v>
      </c>
      <c r="H447" s="50" t="s">
        <v>2</v>
      </c>
      <c r="I447" s="50" t="s">
        <v>289</v>
      </c>
      <c r="J447" s="51">
        <v>46100</v>
      </c>
      <c r="K447" s="50" t="s">
        <v>1</v>
      </c>
      <c r="L447" s="50"/>
    </row>
    <row r="448" spans="2:12">
      <c r="B448" s="50" t="s">
        <v>345</v>
      </c>
      <c r="C448" s="50" t="s">
        <v>56</v>
      </c>
      <c r="D448" s="50" t="s">
        <v>27</v>
      </c>
      <c r="E448" s="50">
        <v>50002644</v>
      </c>
      <c r="F448" s="50" t="s">
        <v>91</v>
      </c>
      <c r="G448" s="50">
        <v>1</v>
      </c>
      <c r="H448" s="50" t="s">
        <v>2</v>
      </c>
      <c r="I448" s="50" t="s">
        <v>289</v>
      </c>
      <c r="J448" s="51">
        <v>46100</v>
      </c>
      <c r="K448" s="50" t="s">
        <v>1</v>
      </c>
      <c r="L448" s="50"/>
    </row>
    <row r="449" spans="2:12">
      <c r="B449" s="50" t="s">
        <v>25</v>
      </c>
      <c r="C449" s="50" t="s">
        <v>26</v>
      </c>
      <c r="D449" s="50" t="s">
        <v>27</v>
      </c>
      <c r="E449" s="50">
        <v>50036297</v>
      </c>
      <c r="F449" s="50" t="s">
        <v>189</v>
      </c>
      <c r="G449" s="50">
        <v>1</v>
      </c>
      <c r="H449" s="50" t="s">
        <v>2</v>
      </c>
      <c r="I449" s="50" t="s">
        <v>289</v>
      </c>
      <c r="J449" s="51">
        <v>46100</v>
      </c>
      <c r="K449" s="50" t="s">
        <v>1</v>
      </c>
      <c r="L449" s="50"/>
    </row>
    <row r="450" spans="2:12">
      <c r="B450" s="50" t="s">
        <v>25</v>
      </c>
      <c r="C450" s="50" t="s">
        <v>26</v>
      </c>
      <c r="D450" s="50" t="s">
        <v>27</v>
      </c>
      <c r="E450" s="50">
        <v>50036294</v>
      </c>
      <c r="F450" s="50" t="s">
        <v>131</v>
      </c>
      <c r="G450" s="50">
        <v>1</v>
      </c>
      <c r="H450" s="50" t="s">
        <v>2</v>
      </c>
      <c r="I450" s="50" t="s">
        <v>289</v>
      </c>
      <c r="J450" s="51">
        <v>46100</v>
      </c>
      <c r="K450" s="50" t="s">
        <v>1</v>
      </c>
      <c r="L450" s="50"/>
    </row>
    <row r="451" spans="2:12">
      <c r="B451" s="50" t="s">
        <v>25</v>
      </c>
      <c r="C451" s="50" t="s">
        <v>26</v>
      </c>
      <c r="D451" s="50" t="s">
        <v>27</v>
      </c>
      <c r="E451" s="50">
        <v>50037943</v>
      </c>
      <c r="F451" s="50" t="s">
        <v>227</v>
      </c>
      <c r="G451" s="50">
        <v>1</v>
      </c>
      <c r="H451" s="50" t="s">
        <v>2</v>
      </c>
      <c r="I451" s="50" t="s">
        <v>289</v>
      </c>
      <c r="J451" s="51">
        <v>46100</v>
      </c>
      <c r="K451" s="50" t="s">
        <v>1</v>
      </c>
      <c r="L451" s="50"/>
    </row>
    <row r="452" spans="2:12">
      <c r="B452" s="50" t="s">
        <v>345</v>
      </c>
      <c r="C452" s="50" t="s">
        <v>62</v>
      </c>
      <c r="D452" s="50" t="s">
        <v>27</v>
      </c>
      <c r="E452" s="50">
        <v>50003296</v>
      </c>
      <c r="F452" s="50" t="s">
        <v>157</v>
      </c>
      <c r="G452" s="50">
        <v>1</v>
      </c>
      <c r="H452" s="50" t="s">
        <v>2</v>
      </c>
      <c r="I452" s="50" t="s">
        <v>289</v>
      </c>
      <c r="J452" s="51">
        <v>46100</v>
      </c>
      <c r="K452" s="50" t="s">
        <v>1</v>
      </c>
      <c r="L452" s="50"/>
    </row>
    <row r="453" spans="2:12">
      <c r="B453" s="50" t="s">
        <v>345</v>
      </c>
      <c r="C453" s="50" t="s">
        <v>62</v>
      </c>
      <c r="D453" s="50" t="s">
        <v>27</v>
      </c>
      <c r="E453" s="50">
        <v>50038518</v>
      </c>
      <c r="F453" s="50" t="s">
        <v>340</v>
      </c>
      <c r="G453" s="50">
        <v>1</v>
      </c>
      <c r="H453" s="50" t="s">
        <v>2</v>
      </c>
      <c r="I453" s="50" t="s">
        <v>289</v>
      </c>
      <c r="J453" s="51">
        <v>46100</v>
      </c>
      <c r="K453" s="50" t="s">
        <v>1</v>
      </c>
      <c r="L453" s="50"/>
    </row>
    <row r="454" spans="2:12">
      <c r="B454" s="50" t="s">
        <v>481</v>
      </c>
      <c r="C454" s="50" t="s">
        <v>26</v>
      </c>
      <c r="D454" s="50" t="s">
        <v>27</v>
      </c>
      <c r="E454" s="50">
        <v>50038549</v>
      </c>
      <c r="F454" s="50" t="s">
        <v>173</v>
      </c>
      <c r="G454" s="50">
        <v>1</v>
      </c>
      <c r="H454" s="50" t="s">
        <v>2</v>
      </c>
      <c r="I454" s="50" t="s">
        <v>289</v>
      </c>
      <c r="J454" s="51">
        <v>46100</v>
      </c>
      <c r="K454" s="50" t="s">
        <v>1</v>
      </c>
      <c r="L454" s="50"/>
    </row>
    <row r="455" spans="2:12">
      <c r="B455" s="50" t="s">
        <v>418</v>
      </c>
      <c r="C455" s="50" t="s">
        <v>26</v>
      </c>
      <c r="D455" s="50" t="s">
        <v>27</v>
      </c>
      <c r="E455" s="50">
        <v>50038626</v>
      </c>
      <c r="F455" s="50" t="s">
        <v>190</v>
      </c>
      <c r="G455" s="50">
        <v>1</v>
      </c>
      <c r="H455" s="50" t="s">
        <v>2</v>
      </c>
      <c r="I455" s="50" t="s">
        <v>289</v>
      </c>
      <c r="J455" s="51">
        <v>46100</v>
      </c>
      <c r="K455" s="50" t="s">
        <v>1</v>
      </c>
      <c r="L455" s="50"/>
    </row>
    <row r="456" spans="2:12">
      <c r="B456" s="50" t="s">
        <v>418</v>
      </c>
      <c r="C456" s="50" t="s">
        <v>26</v>
      </c>
      <c r="D456" s="50" t="s">
        <v>27</v>
      </c>
      <c r="E456" s="50">
        <v>50039718</v>
      </c>
      <c r="F456" s="50" t="s">
        <v>149</v>
      </c>
      <c r="G456" s="50">
        <v>1</v>
      </c>
      <c r="H456" s="50" t="s">
        <v>2</v>
      </c>
      <c r="I456" s="50" t="s">
        <v>289</v>
      </c>
      <c r="J456" s="51">
        <v>46100</v>
      </c>
      <c r="K456" s="50" t="s">
        <v>1</v>
      </c>
      <c r="L456" s="50"/>
    </row>
    <row r="457" spans="2:12">
      <c r="B457" s="50" t="s">
        <v>399</v>
      </c>
      <c r="C457" s="50" t="s">
        <v>51</v>
      </c>
      <c r="D457" s="50" t="s">
        <v>27</v>
      </c>
      <c r="E457" s="50">
        <v>50038846</v>
      </c>
      <c r="F457" s="50" t="s">
        <v>182</v>
      </c>
      <c r="G457" s="50">
        <v>1</v>
      </c>
      <c r="H457" s="50" t="s">
        <v>2</v>
      </c>
      <c r="I457" s="50" t="s">
        <v>289</v>
      </c>
      <c r="J457" s="51">
        <v>46100</v>
      </c>
      <c r="K457" s="50" t="s">
        <v>1</v>
      </c>
      <c r="L457" s="50"/>
    </row>
    <row r="458" spans="2:12">
      <c r="B458" s="50" t="s">
        <v>399</v>
      </c>
      <c r="C458" s="50" t="s">
        <v>51</v>
      </c>
      <c r="D458" s="50" t="s">
        <v>27</v>
      </c>
      <c r="E458" s="50">
        <v>50004486</v>
      </c>
      <c r="F458" s="50" t="s">
        <v>221</v>
      </c>
      <c r="G458" s="50">
        <v>1</v>
      </c>
      <c r="H458" s="50" t="s">
        <v>2</v>
      </c>
      <c r="I458" s="50" t="s">
        <v>289</v>
      </c>
      <c r="J458" s="51">
        <v>46100</v>
      </c>
      <c r="K458" s="50" t="s">
        <v>1</v>
      </c>
      <c r="L458" s="50"/>
    </row>
    <row r="459" spans="2:12">
      <c r="B459" s="50" t="s">
        <v>399</v>
      </c>
      <c r="C459" s="50" t="s">
        <v>51</v>
      </c>
      <c r="D459" s="50" t="s">
        <v>27</v>
      </c>
      <c r="E459" s="50">
        <v>50010031</v>
      </c>
      <c r="F459" s="50" t="s">
        <v>89</v>
      </c>
      <c r="G459" s="50">
        <v>1</v>
      </c>
      <c r="H459" s="50" t="s">
        <v>2</v>
      </c>
      <c r="I459" s="50" t="s">
        <v>289</v>
      </c>
      <c r="J459" s="51">
        <v>46100</v>
      </c>
      <c r="K459" s="50" t="s">
        <v>1</v>
      </c>
      <c r="L459" s="50"/>
    </row>
    <row r="460" spans="2:12">
      <c r="B460" s="50" t="s">
        <v>399</v>
      </c>
      <c r="C460" s="50" t="s">
        <v>51</v>
      </c>
      <c r="D460" s="50" t="s">
        <v>27</v>
      </c>
      <c r="E460" s="50">
        <v>50039065</v>
      </c>
      <c r="F460" s="50" t="s">
        <v>186</v>
      </c>
      <c r="G460" s="50">
        <v>1</v>
      </c>
      <c r="H460" s="50" t="s">
        <v>2</v>
      </c>
      <c r="I460" s="50" t="s">
        <v>289</v>
      </c>
      <c r="J460" s="51">
        <v>46100</v>
      </c>
      <c r="K460" s="50" t="s">
        <v>1</v>
      </c>
      <c r="L460" s="50" t="s">
        <v>80</v>
      </c>
    </row>
    <row r="461" spans="2:12">
      <c r="B461" s="50" t="s">
        <v>25</v>
      </c>
      <c r="C461" s="50" t="s">
        <v>26</v>
      </c>
      <c r="D461" s="50" t="s">
        <v>27</v>
      </c>
      <c r="E461" s="50">
        <v>50036295</v>
      </c>
      <c r="F461" s="50" t="s">
        <v>132</v>
      </c>
      <c r="G461" s="50">
        <v>1</v>
      </c>
      <c r="H461" s="50" t="s">
        <v>2</v>
      </c>
      <c r="I461" s="50" t="s">
        <v>289</v>
      </c>
      <c r="J461" s="51">
        <v>46100</v>
      </c>
      <c r="K461" s="50" t="s">
        <v>1</v>
      </c>
      <c r="L461" s="50" t="s">
        <v>80</v>
      </c>
    </row>
    <row r="462" spans="2:12">
      <c r="B462" s="50" t="s">
        <v>386</v>
      </c>
      <c r="C462" s="50" t="s">
        <v>62</v>
      </c>
      <c r="D462" s="50" t="s">
        <v>27</v>
      </c>
      <c r="E462" s="50">
        <v>50037903</v>
      </c>
      <c r="F462" s="50" t="s">
        <v>183</v>
      </c>
      <c r="G462" s="50">
        <v>1</v>
      </c>
      <c r="H462" s="50" t="s">
        <v>2</v>
      </c>
      <c r="I462" s="50" t="s">
        <v>292</v>
      </c>
      <c r="J462" s="51">
        <v>46100</v>
      </c>
      <c r="K462" s="50" t="s">
        <v>1</v>
      </c>
      <c r="L462" s="50" t="s">
        <v>80</v>
      </c>
    </row>
    <row r="463" spans="2:12">
      <c r="B463" s="50" t="s">
        <v>439</v>
      </c>
      <c r="C463" s="50" t="s">
        <v>62</v>
      </c>
      <c r="D463" s="50" t="s">
        <v>27</v>
      </c>
      <c r="E463" s="50">
        <v>50020624</v>
      </c>
      <c r="F463" s="50" t="s">
        <v>217</v>
      </c>
      <c r="G463" s="50">
        <v>1</v>
      </c>
      <c r="H463" s="50" t="s">
        <v>2</v>
      </c>
      <c r="I463" s="50" t="s">
        <v>292</v>
      </c>
      <c r="J463" s="51">
        <v>46100</v>
      </c>
      <c r="K463" s="50" t="s">
        <v>1</v>
      </c>
      <c r="L463" s="50" t="s">
        <v>80</v>
      </c>
    </row>
    <row r="464" spans="2:12">
      <c r="B464" s="50" t="s">
        <v>439</v>
      </c>
      <c r="C464" s="50" t="s">
        <v>62</v>
      </c>
      <c r="D464" s="50" t="s">
        <v>27</v>
      </c>
      <c r="E464" s="50">
        <v>50043471</v>
      </c>
      <c r="F464" s="50" t="s">
        <v>257</v>
      </c>
      <c r="G464" s="50">
        <v>1</v>
      </c>
      <c r="H464" s="50" t="s">
        <v>2</v>
      </c>
      <c r="I464" s="50" t="s">
        <v>292</v>
      </c>
      <c r="J464" s="51">
        <v>46100</v>
      </c>
      <c r="K464" s="50" t="s">
        <v>1</v>
      </c>
      <c r="L464" s="50" t="s">
        <v>80</v>
      </c>
    </row>
    <row r="465" spans="2:12">
      <c r="B465" s="50" t="s">
        <v>25</v>
      </c>
      <c r="C465" s="50" t="s">
        <v>26</v>
      </c>
      <c r="D465" s="50" t="s">
        <v>27</v>
      </c>
      <c r="E465" s="50">
        <v>50036294</v>
      </c>
      <c r="F465" s="50" t="s">
        <v>131</v>
      </c>
      <c r="G465" s="50">
        <v>1</v>
      </c>
      <c r="H465" s="50" t="s">
        <v>2</v>
      </c>
      <c r="I465" s="50" t="s">
        <v>289</v>
      </c>
      <c r="J465" s="51">
        <v>46100</v>
      </c>
      <c r="K465" s="50" t="s">
        <v>3</v>
      </c>
      <c r="L465" s="50"/>
    </row>
    <row r="466" spans="2:12">
      <c r="B466" s="50" t="s">
        <v>25</v>
      </c>
      <c r="C466" s="50" t="s">
        <v>26</v>
      </c>
      <c r="D466" s="50" t="s">
        <v>27</v>
      </c>
      <c r="E466" s="50">
        <v>50036295</v>
      </c>
      <c r="F466" s="50" t="s">
        <v>132</v>
      </c>
      <c r="G466" s="50">
        <v>1</v>
      </c>
      <c r="H466" s="50" t="s">
        <v>2</v>
      </c>
      <c r="I466" s="50" t="s">
        <v>289</v>
      </c>
      <c r="J466" s="51">
        <v>46100</v>
      </c>
      <c r="K466" s="50" t="s">
        <v>3</v>
      </c>
      <c r="L466" s="50"/>
    </row>
    <row r="467" spans="2:12">
      <c r="B467" s="50" t="s">
        <v>386</v>
      </c>
      <c r="C467" s="50" t="s">
        <v>26</v>
      </c>
      <c r="D467" s="50" t="s">
        <v>27</v>
      </c>
      <c r="E467" s="50">
        <v>50037952</v>
      </c>
      <c r="F467" s="50" t="s">
        <v>245</v>
      </c>
      <c r="G467" s="50">
        <v>1</v>
      </c>
      <c r="H467" s="50" t="s">
        <v>2</v>
      </c>
      <c r="I467" s="50" t="s">
        <v>291</v>
      </c>
      <c r="J467" s="51">
        <v>46100</v>
      </c>
      <c r="K467" s="50" t="s">
        <v>1</v>
      </c>
      <c r="L467" s="50" t="s">
        <v>80</v>
      </c>
    </row>
    <row r="468" spans="2:12">
      <c r="B468" s="50" t="s">
        <v>386</v>
      </c>
      <c r="C468" s="50" t="s">
        <v>26</v>
      </c>
      <c r="D468" s="50" t="s">
        <v>27</v>
      </c>
      <c r="E468" s="50">
        <v>50001740</v>
      </c>
      <c r="F468" s="50" t="s">
        <v>294</v>
      </c>
      <c r="G468" s="50">
        <v>1</v>
      </c>
      <c r="H468" s="50" t="s">
        <v>2</v>
      </c>
      <c r="I468" s="50" t="s">
        <v>291</v>
      </c>
      <c r="J468" s="51">
        <v>46100</v>
      </c>
      <c r="K468" s="50" t="s">
        <v>1</v>
      </c>
      <c r="L468" s="50" t="s">
        <v>80</v>
      </c>
    </row>
    <row r="469" spans="2:12">
      <c r="B469" s="50" t="s">
        <v>386</v>
      </c>
      <c r="C469" s="50" t="s">
        <v>62</v>
      </c>
      <c r="D469" s="50" t="s">
        <v>27</v>
      </c>
      <c r="E469" s="50">
        <v>50026357</v>
      </c>
      <c r="F469" s="50" t="s">
        <v>192</v>
      </c>
      <c r="G469" s="50">
        <v>1</v>
      </c>
      <c r="H469" s="50" t="s">
        <v>2</v>
      </c>
      <c r="I469" s="50" t="s">
        <v>291</v>
      </c>
      <c r="J469" s="51">
        <v>46100</v>
      </c>
      <c r="K469" s="50" t="s">
        <v>3</v>
      </c>
      <c r="L469" s="50" t="s">
        <v>80</v>
      </c>
    </row>
    <row r="470" spans="2:12">
      <c r="B470" s="50" t="s">
        <v>466</v>
      </c>
      <c r="C470" s="50" t="s">
        <v>62</v>
      </c>
      <c r="D470" s="50" t="s">
        <v>27</v>
      </c>
      <c r="E470" s="50">
        <v>50041195</v>
      </c>
      <c r="F470" s="50" t="s">
        <v>206</v>
      </c>
      <c r="G470" s="50">
        <v>1</v>
      </c>
      <c r="H470" s="50" t="s">
        <v>2</v>
      </c>
      <c r="I470" s="50" t="s">
        <v>291</v>
      </c>
      <c r="J470" s="51">
        <v>46100</v>
      </c>
      <c r="K470" s="50" t="s">
        <v>3</v>
      </c>
      <c r="L470" s="50" t="s">
        <v>80</v>
      </c>
    </row>
    <row r="471" spans="2:12">
      <c r="B471" s="50" t="s">
        <v>277</v>
      </c>
      <c r="C471" s="50" t="s">
        <v>62</v>
      </c>
      <c r="D471" s="50" t="s">
        <v>27</v>
      </c>
      <c r="E471" s="50">
        <v>50038854</v>
      </c>
      <c r="F471" s="50" t="s">
        <v>101</v>
      </c>
      <c r="G471" s="50">
        <v>1</v>
      </c>
      <c r="H471" s="50" t="s">
        <v>2</v>
      </c>
      <c r="I471" s="50" t="s">
        <v>291</v>
      </c>
      <c r="J471" s="51">
        <v>46100</v>
      </c>
      <c r="K471" s="50" t="s">
        <v>1</v>
      </c>
      <c r="L471" s="50" t="s">
        <v>80</v>
      </c>
    </row>
    <row r="472" spans="2:12">
      <c r="B472" s="50" t="s">
        <v>439</v>
      </c>
      <c r="C472" s="50" t="s">
        <v>62</v>
      </c>
      <c r="D472" s="50" t="s">
        <v>27</v>
      </c>
      <c r="E472" s="50">
        <v>50020624</v>
      </c>
      <c r="F472" s="50" t="s">
        <v>217</v>
      </c>
      <c r="G472" s="50">
        <v>1</v>
      </c>
      <c r="H472" s="50" t="s">
        <v>2</v>
      </c>
      <c r="I472" s="50" t="s">
        <v>291</v>
      </c>
      <c r="J472" s="51">
        <v>46100</v>
      </c>
      <c r="K472" s="50" t="s">
        <v>3</v>
      </c>
      <c r="L472" s="50" t="s">
        <v>80</v>
      </c>
    </row>
    <row r="473" spans="2:12">
      <c r="B473" s="50" t="s">
        <v>277</v>
      </c>
      <c r="C473" s="50" t="s">
        <v>62</v>
      </c>
      <c r="D473" s="50" t="s">
        <v>27</v>
      </c>
      <c r="E473" s="50">
        <v>50038854</v>
      </c>
      <c r="F473" s="50" t="s">
        <v>101</v>
      </c>
      <c r="G473" s="50">
        <v>1</v>
      </c>
      <c r="H473" s="50" t="s">
        <v>2</v>
      </c>
      <c r="I473" s="50" t="s">
        <v>291</v>
      </c>
      <c r="J473" s="51">
        <v>46100</v>
      </c>
      <c r="K473" s="50" t="s">
        <v>3</v>
      </c>
      <c r="L473" s="50" t="s">
        <v>80</v>
      </c>
    </row>
    <row r="474" spans="2:12">
      <c r="B474" s="50" t="s">
        <v>386</v>
      </c>
      <c r="C474" s="50" t="s">
        <v>62</v>
      </c>
      <c r="D474" s="50" t="s">
        <v>27</v>
      </c>
      <c r="E474" s="50">
        <v>50037903</v>
      </c>
      <c r="F474" s="50" t="s">
        <v>183</v>
      </c>
      <c r="G474" s="50">
        <v>1</v>
      </c>
      <c r="H474" s="50" t="s">
        <v>2</v>
      </c>
      <c r="I474" s="50" t="s">
        <v>291</v>
      </c>
      <c r="J474" s="51">
        <v>46100</v>
      </c>
      <c r="K474" s="50" t="s">
        <v>3</v>
      </c>
      <c r="L474" s="50" t="s">
        <v>80</v>
      </c>
    </row>
    <row r="475" spans="2:12">
      <c r="B475" s="50" t="s">
        <v>478</v>
      </c>
      <c r="C475" s="50" t="s">
        <v>51</v>
      </c>
      <c r="D475" s="50" t="s">
        <v>27</v>
      </c>
      <c r="E475" s="50">
        <v>50038841</v>
      </c>
      <c r="F475" s="50" t="s">
        <v>180</v>
      </c>
      <c r="G475" s="50">
        <v>1</v>
      </c>
      <c r="H475" s="50" t="s">
        <v>2</v>
      </c>
      <c r="I475" s="50" t="s">
        <v>291</v>
      </c>
      <c r="J475" s="51">
        <v>46100</v>
      </c>
      <c r="K475" s="50" t="s">
        <v>3</v>
      </c>
      <c r="L475" s="50" t="s">
        <v>80</v>
      </c>
    </row>
    <row r="476" spans="2:12">
      <c r="B476" s="50" t="s">
        <v>345</v>
      </c>
      <c r="C476" s="50" t="s">
        <v>56</v>
      </c>
      <c r="D476" s="50" t="s">
        <v>27</v>
      </c>
      <c r="E476" s="50">
        <v>50002644</v>
      </c>
      <c r="F476" s="50" t="s">
        <v>91</v>
      </c>
      <c r="G476" s="50">
        <v>1</v>
      </c>
      <c r="H476" s="50" t="s">
        <v>2</v>
      </c>
      <c r="I476" s="50" t="s">
        <v>288</v>
      </c>
      <c r="J476" s="51">
        <v>46100</v>
      </c>
      <c r="K476" s="50" t="s">
        <v>3</v>
      </c>
      <c r="L476" s="50" t="s">
        <v>80</v>
      </c>
    </row>
    <row r="477" spans="2:12">
      <c r="B477" s="50" t="s">
        <v>25</v>
      </c>
      <c r="C477" s="50" t="s">
        <v>26</v>
      </c>
      <c r="D477" s="50" t="s">
        <v>27</v>
      </c>
      <c r="E477" s="50">
        <v>50036297</v>
      </c>
      <c r="F477" s="50" t="s">
        <v>189</v>
      </c>
      <c r="G477" s="50">
        <v>1</v>
      </c>
      <c r="H477" s="50" t="s">
        <v>2</v>
      </c>
      <c r="I477" s="50" t="s">
        <v>288</v>
      </c>
      <c r="J477" s="51">
        <v>46100</v>
      </c>
      <c r="K477" s="50" t="s">
        <v>3</v>
      </c>
      <c r="L477" s="50" t="s">
        <v>80</v>
      </c>
    </row>
    <row r="478" spans="2:12">
      <c r="B478" s="50" t="s">
        <v>439</v>
      </c>
      <c r="C478" s="50" t="s">
        <v>62</v>
      </c>
      <c r="D478" s="50" t="s">
        <v>27</v>
      </c>
      <c r="E478" s="50">
        <v>50043471</v>
      </c>
      <c r="F478" s="50" t="s">
        <v>257</v>
      </c>
      <c r="G478" s="50">
        <v>1</v>
      </c>
      <c r="H478" s="50" t="s">
        <v>2</v>
      </c>
      <c r="I478" s="50" t="s">
        <v>288</v>
      </c>
      <c r="J478" s="51">
        <v>46100</v>
      </c>
      <c r="K478" s="50" t="s">
        <v>3</v>
      </c>
      <c r="L478" s="50" t="s">
        <v>80</v>
      </c>
    </row>
    <row r="479" spans="2:12">
      <c r="B479" s="50" t="s">
        <v>345</v>
      </c>
      <c r="C479" s="50" t="s">
        <v>56</v>
      </c>
      <c r="D479" s="50" t="s">
        <v>27</v>
      </c>
      <c r="E479" s="50">
        <v>50040694</v>
      </c>
      <c r="F479" s="50" t="s">
        <v>96</v>
      </c>
      <c r="G479" s="50">
        <v>1</v>
      </c>
      <c r="H479" s="50" t="s">
        <v>2</v>
      </c>
      <c r="I479" s="50" t="s">
        <v>288</v>
      </c>
      <c r="J479" s="51">
        <v>46100</v>
      </c>
      <c r="K479" s="50" t="s">
        <v>3</v>
      </c>
      <c r="L479" s="50" t="s">
        <v>80</v>
      </c>
    </row>
    <row r="480" spans="2:12">
      <c r="B480" s="50" t="s">
        <v>25</v>
      </c>
      <c r="C480" s="50" t="s">
        <v>26</v>
      </c>
      <c r="D480" s="50" t="s">
        <v>27</v>
      </c>
      <c r="E480" s="50">
        <v>50037943</v>
      </c>
      <c r="F480" s="50" t="s">
        <v>227</v>
      </c>
      <c r="G480" s="50">
        <v>1</v>
      </c>
      <c r="H480" s="50" t="s">
        <v>2</v>
      </c>
      <c r="I480" s="50" t="s">
        <v>288</v>
      </c>
      <c r="J480" s="51">
        <v>46100</v>
      </c>
      <c r="K480" s="50" t="s">
        <v>3</v>
      </c>
      <c r="L480" s="50" t="s">
        <v>80</v>
      </c>
    </row>
    <row r="481" spans="2:12">
      <c r="B481" s="50" t="s">
        <v>345</v>
      </c>
      <c r="C481" s="50" t="s">
        <v>62</v>
      </c>
      <c r="D481" s="50" t="s">
        <v>27</v>
      </c>
      <c r="E481" s="50">
        <v>50003296</v>
      </c>
      <c r="F481" s="50" t="s">
        <v>157</v>
      </c>
      <c r="G481" s="50">
        <v>1</v>
      </c>
      <c r="H481" s="50" t="s">
        <v>2</v>
      </c>
      <c r="I481" s="50" t="s">
        <v>288</v>
      </c>
      <c r="J481" s="51">
        <v>46100</v>
      </c>
      <c r="K481" s="50" t="s">
        <v>3</v>
      </c>
      <c r="L481" s="50" t="s">
        <v>80</v>
      </c>
    </row>
    <row r="482" spans="2:12">
      <c r="B482" s="50" t="s">
        <v>345</v>
      </c>
      <c r="C482" s="50" t="s">
        <v>62</v>
      </c>
      <c r="D482" s="50" t="s">
        <v>27</v>
      </c>
      <c r="E482" s="50">
        <v>50038518</v>
      </c>
      <c r="F482" s="50" t="s">
        <v>340</v>
      </c>
      <c r="G482" s="50">
        <v>1</v>
      </c>
      <c r="H482" s="50" t="s">
        <v>2</v>
      </c>
      <c r="I482" s="50" t="s">
        <v>288</v>
      </c>
      <c r="J482" s="51">
        <v>46100</v>
      </c>
      <c r="K482" s="50" t="s">
        <v>3</v>
      </c>
      <c r="L482" s="50" t="s">
        <v>80</v>
      </c>
    </row>
    <row r="483" spans="2:12">
      <c r="B483" s="50" t="s">
        <v>481</v>
      </c>
      <c r="C483" s="50" t="s">
        <v>26</v>
      </c>
      <c r="D483" s="50" t="s">
        <v>27</v>
      </c>
      <c r="E483" s="50">
        <v>50038549</v>
      </c>
      <c r="F483" s="50" t="s">
        <v>173</v>
      </c>
      <c r="G483" s="50">
        <v>1</v>
      </c>
      <c r="H483" s="50" t="s">
        <v>2</v>
      </c>
      <c r="I483" s="50" t="s">
        <v>288</v>
      </c>
      <c r="J483" s="51">
        <v>46100</v>
      </c>
      <c r="K483" s="50" t="s">
        <v>3</v>
      </c>
      <c r="L483" s="50" t="s">
        <v>80</v>
      </c>
    </row>
    <row r="484" spans="2:12">
      <c r="B484" s="50" t="s">
        <v>418</v>
      </c>
      <c r="C484" s="50" t="s">
        <v>26</v>
      </c>
      <c r="D484" s="50" t="s">
        <v>27</v>
      </c>
      <c r="E484" s="50">
        <v>50038626</v>
      </c>
      <c r="F484" s="50" t="s">
        <v>190</v>
      </c>
      <c r="G484" s="50">
        <v>1</v>
      </c>
      <c r="H484" s="50" t="s">
        <v>2</v>
      </c>
      <c r="I484" s="50" t="s">
        <v>288</v>
      </c>
      <c r="J484" s="51">
        <v>46100</v>
      </c>
      <c r="K484" s="50" t="s">
        <v>3</v>
      </c>
      <c r="L484" s="50" t="s">
        <v>80</v>
      </c>
    </row>
    <row r="485" spans="2:12">
      <c r="B485" s="50" t="s">
        <v>418</v>
      </c>
      <c r="C485" s="50" t="s">
        <v>26</v>
      </c>
      <c r="D485" s="50" t="s">
        <v>27</v>
      </c>
      <c r="E485" s="50">
        <v>50039718</v>
      </c>
      <c r="F485" s="50" t="s">
        <v>149</v>
      </c>
      <c r="G485" s="50">
        <v>1</v>
      </c>
      <c r="H485" s="50" t="s">
        <v>2</v>
      </c>
      <c r="I485" s="50" t="s">
        <v>288</v>
      </c>
      <c r="J485" s="51">
        <v>46100</v>
      </c>
      <c r="K485" s="50" t="s">
        <v>3</v>
      </c>
      <c r="L485" s="50" t="s">
        <v>80</v>
      </c>
    </row>
    <row r="486" spans="2:12">
      <c r="B486" s="50" t="s">
        <v>399</v>
      </c>
      <c r="C486" s="50" t="s">
        <v>51</v>
      </c>
      <c r="D486" s="50" t="s">
        <v>27</v>
      </c>
      <c r="E486" s="50">
        <v>50038846</v>
      </c>
      <c r="F486" s="50" t="s">
        <v>182</v>
      </c>
      <c r="G486" s="50">
        <v>1</v>
      </c>
      <c r="H486" s="50" t="s">
        <v>2</v>
      </c>
      <c r="I486" s="50" t="s">
        <v>288</v>
      </c>
      <c r="J486" s="51">
        <v>46100</v>
      </c>
      <c r="K486" s="50" t="s">
        <v>3</v>
      </c>
      <c r="L486" s="50" t="s">
        <v>80</v>
      </c>
    </row>
    <row r="487" spans="2:12" ht="13.5" customHeight="1">
      <c r="B487" s="50" t="s">
        <v>399</v>
      </c>
      <c r="C487" s="50" t="s">
        <v>51</v>
      </c>
      <c r="D487" s="50" t="s">
        <v>27</v>
      </c>
      <c r="E487" s="50">
        <v>50004486</v>
      </c>
      <c r="F487" s="50" t="s">
        <v>221</v>
      </c>
      <c r="G487" s="50">
        <v>1</v>
      </c>
      <c r="H487" s="50" t="s">
        <v>2</v>
      </c>
      <c r="I487" s="50" t="s">
        <v>288</v>
      </c>
      <c r="J487" s="51">
        <v>46100</v>
      </c>
      <c r="K487" s="50" t="s">
        <v>3</v>
      </c>
      <c r="L487" s="50" t="s">
        <v>80</v>
      </c>
    </row>
    <row r="488" spans="2:12">
      <c r="B488" s="50" t="s">
        <v>399</v>
      </c>
      <c r="C488" s="50" t="s">
        <v>51</v>
      </c>
      <c r="D488" s="50" t="s">
        <v>27</v>
      </c>
      <c r="E488" s="50">
        <v>50010031</v>
      </c>
      <c r="F488" s="50" t="s">
        <v>89</v>
      </c>
      <c r="G488" s="50">
        <v>1</v>
      </c>
      <c r="H488" s="50" t="s">
        <v>2</v>
      </c>
      <c r="I488" s="50" t="s">
        <v>288</v>
      </c>
      <c r="J488" s="51">
        <v>46100</v>
      </c>
      <c r="K488" s="50" t="s">
        <v>3</v>
      </c>
      <c r="L488" s="50" t="s">
        <v>80</v>
      </c>
    </row>
    <row r="489" spans="2:12">
      <c r="B489" s="50" t="s">
        <v>399</v>
      </c>
      <c r="C489" s="50" t="s">
        <v>51</v>
      </c>
      <c r="D489" s="50" t="s">
        <v>27</v>
      </c>
      <c r="E489" s="50">
        <v>50039065</v>
      </c>
      <c r="F489" s="50" t="s">
        <v>186</v>
      </c>
      <c r="G489" s="50">
        <v>1</v>
      </c>
      <c r="H489" s="50" t="s">
        <v>2</v>
      </c>
      <c r="I489" s="50" t="s">
        <v>288</v>
      </c>
      <c r="J489" s="51">
        <v>46100</v>
      </c>
      <c r="K489" s="50" t="s">
        <v>3</v>
      </c>
      <c r="L489" s="50" t="s">
        <v>80</v>
      </c>
    </row>
    <row r="490" spans="2:12">
      <c r="B490" s="50" t="s">
        <v>386</v>
      </c>
      <c r="C490" s="50" t="s">
        <v>26</v>
      </c>
      <c r="D490" s="50" t="s">
        <v>27</v>
      </c>
      <c r="E490" s="50">
        <v>50001740</v>
      </c>
      <c r="F490" s="50" t="s">
        <v>294</v>
      </c>
      <c r="G490" s="50">
        <v>1</v>
      </c>
      <c r="H490" s="50" t="s">
        <v>2</v>
      </c>
      <c r="I490" s="50" t="s">
        <v>288</v>
      </c>
      <c r="J490" s="51">
        <v>46100</v>
      </c>
      <c r="K490" s="50" t="s">
        <v>3</v>
      </c>
      <c r="L490" s="50" t="s">
        <v>80</v>
      </c>
    </row>
    <row r="491" spans="2:12">
      <c r="B491" s="50" t="s">
        <v>386</v>
      </c>
      <c r="C491" s="50" t="s">
        <v>26</v>
      </c>
      <c r="D491" s="50" t="s">
        <v>27</v>
      </c>
      <c r="E491" s="50">
        <v>50037952</v>
      </c>
      <c r="F491" s="50" t="s">
        <v>245</v>
      </c>
      <c r="G491" s="50">
        <v>1</v>
      </c>
      <c r="H491" s="50" t="s">
        <v>2</v>
      </c>
      <c r="I491" s="50" t="s">
        <v>288</v>
      </c>
      <c r="J491" s="51">
        <v>46100</v>
      </c>
      <c r="K491" s="50" t="s">
        <v>3</v>
      </c>
      <c r="L491" s="50" t="s">
        <v>80</v>
      </c>
    </row>
    <row r="492" spans="2:12">
      <c r="B492" s="50" t="s">
        <v>474</v>
      </c>
      <c r="C492" s="50" t="s">
        <v>51</v>
      </c>
      <c r="D492" s="50" t="s">
        <v>27</v>
      </c>
      <c r="E492" s="50">
        <v>50010031</v>
      </c>
      <c r="F492" s="50" t="s">
        <v>89</v>
      </c>
      <c r="G492" s="50">
        <v>1</v>
      </c>
      <c r="H492" s="50" t="s">
        <v>2</v>
      </c>
      <c r="I492" s="50" t="s">
        <v>293</v>
      </c>
      <c r="J492" s="51">
        <v>46099</v>
      </c>
      <c r="K492" s="50" t="s">
        <v>324</v>
      </c>
      <c r="L492" s="50" t="s">
        <v>80</v>
      </c>
    </row>
    <row r="493" spans="2:12">
      <c r="B493" s="50" t="s">
        <v>363</v>
      </c>
      <c r="C493" s="50" t="s">
        <v>26</v>
      </c>
      <c r="D493" s="50" t="s">
        <v>41</v>
      </c>
      <c r="E493" s="50">
        <v>50003173</v>
      </c>
      <c r="F493" s="50" t="s">
        <v>74</v>
      </c>
      <c r="G493" s="50">
        <v>1</v>
      </c>
      <c r="H493" s="50" t="s">
        <v>2</v>
      </c>
      <c r="I493" s="50" t="s">
        <v>293</v>
      </c>
      <c r="J493" s="51">
        <v>46099</v>
      </c>
      <c r="K493" s="50" t="s">
        <v>324</v>
      </c>
      <c r="L493" s="50" t="s">
        <v>80</v>
      </c>
    </row>
    <row r="494" spans="2:12">
      <c r="B494" s="50" t="s">
        <v>278</v>
      </c>
      <c r="C494" s="50" t="s">
        <v>62</v>
      </c>
      <c r="D494" s="50" t="s">
        <v>27</v>
      </c>
      <c r="E494" s="50">
        <v>50041195</v>
      </c>
      <c r="F494" s="50" t="s">
        <v>206</v>
      </c>
      <c r="G494" s="50">
        <v>1</v>
      </c>
      <c r="H494" s="50" t="s">
        <v>2</v>
      </c>
      <c r="I494" s="50" t="s">
        <v>293</v>
      </c>
      <c r="J494" s="51">
        <v>46099</v>
      </c>
      <c r="K494" s="50" t="s">
        <v>324</v>
      </c>
      <c r="L494" s="50" t="s">
        <v>80</v>
      </c>
    </row>
    <row r="495" spans="2:12">
      <c r="B495" s="50" t="s">
        <v>463</v>
      </c>
      <c r="C495" s="50" t="s">
        <v>56</v>
      </c>
      <c r="D495" s="50" t="s">
        <v>27</v>
      </c>
      <c r="E495" s="50">
        <v>50003297</v>
      </c>
      <c r="F495" s="50" t="s">
        <v>158</v>
      </c>
      <c r="G495" s="50">
        <v>1</v>
      </c>
      <c r="H495" s="50" t="s">
        <v>2</v>
      </c>
      <c r="I495" s="50" t="s">
        <v>293</v>
      </c>
      <c r="J495" s="51">
        <v>46099</v>
      </c>
      <c r="K495" s="50" t="s">
        <v>324</v>
      </c>
      <c r="L495" s="50" t="s">
        <v>80</v>
      </c>
    </row>
    <row r="496" spans="2:12">
      <c r="B496" s="50" t="s">
        <v>455</v>
      </c>
      <c r="C496" s="50" t="s">
        <v>56</v>
      </c>
      <c r="D496" s="50" t="s">
        <v>41</v>
      </c>
      <c r="E496" s="50">
        <v>50038518</v>
      </c>
      <c r="F496" s="50" t="s">
        <v>340</v>
      </c>
      <c r="G496" s="50">
        <v>1</v>
      </c>
      <c r="H496" s="50" t="s">
        <v>2</v>
      </c>
      <c r="I496" s="50" t="s">
        <v>293</v>
      </c>
      <c r="J496" s="51">
        <v>46099</v>
      </c>
      <c r="K496" s="50" t="s">
        <v>324</v>
      </c>
      <c r="L496" s="50" t="s">
        <v>80</v>
      </c>
    </row>
    <row r="497" spans="2:12">
      <c r="B497" s="50" t="s">
        <v>25</v>
      </c>
      <c r="C497" s="50" t="s">
        <v>26</v>
      </c>
      <c r="D497" s="50" t="s">
        <v>27</v>
      </c>
      <c r="E497" s="50">
        <v>50039718</v>
      </c>
      <c r="F497" s="50" t="s">
        <v>149</v>
      </c>
      <c r="G497" s="50">
        <v>1</v>
      </c>
      <c r="H497" s="50" t="s">
        <v>2</v>
      </c>
      <c r="I497" s="50" t="s">
        <v>293</v>
      </c>
      <c r="J497" s="51">
        <v>46099</v>
      </c>
      <c r="K497" s="50" t="s">
        <v>324</v>
      </c>
      <c r="L497" s="50" t="s">
        <v>80</v>
      </c>
    </row>
    <row r="498" spans="2:12">
      <c r="B498" s="50" t="s">
        <v>399</v>
      </c>
      <c r="C498" s="50" t="s">
        <v>51</v>
      </c>
      <c r="D498" s="50" t="s">
        <v>27</v>
      </c>
      <c r="E498" s="50">
        <v>50037903</v>
      </c>
      <c r="F498" s="50" t="s">
        <v>183</v>
      </c>
      <c r="G498" s="50">
        <v>1</v>
      </c>
      <c r="H498" s="50" t="s">
        <v>2</v>
      </c>
      <c r="I498" s="50" t="s">
        <v>293</v>
      </c>
      <c r="J498" s="51">
        <v>46099</v>
      </c>
      <c r="K498" s="50" t="s">
        <v>324</v>
      </c>
      <c r="L498" s="50" t="s">
        <v>80</v>
      </c>
    </row>
    <row r="499" spans="2:12">
      <c r="B499" s="50" t="s">
        <v>399</v>
      </c>
      <c r="C499" s="50" t="s">
        <v>51</v>
      </c>
      <c r="D499" s="50" t="s">
        <v>27</v>
      </c>
      <c r="E499" s="50">
        <v>50004486</v>
      </c>
      <c r="F499" s="50" t="s">
        <v>221</v>
      </c>
      <c r="G499" s="50">
        <v>1</v>
      </c>
      <c r="H499" s="50" t="s">
        <v>2</v>
      </c>
      <c r="I499" s="50" t="s">
        <v>293</v>
      </c>
      <c r="J499" s="51">
        <v>46099</v>
      </c>
      <c r="K499" s="50" t="s">
        <v>324</v>
      </c>
      <c r="L499" s="50" t="s">
        <v>80</v>
      </c>
    </row>
    <row r="500" spans="2:12">
      <c r="B500" s="50" t="s">
        <v>399</v>
      </c>
      <c r="C500" s="50" t="s">
        <v>51</v>
      </c>
      <c r="D500" s="50" t="s">
        <v>27</v>
      </c>
      <c r="E500" s="50">
        <v>50046617</v>
      </c>
      <c r="F500" s="50" t="s">
        <v>365</v>
      </c>
      <c r="G500" s="50">
        <v>1</v>
      </c>
      <c r="H500" s="50" t="s">
        <v>2</v>
      </c>
      <c r="I500" s="50" t="s">
        <v>293</v>
      </c>
      <c r="J500" s="51">
        <v>46099</v>
      </c>
      <c r="K500" s="50" t="s">
        <v>324</v>
      </c>
      <c r="L500" s="50" t="s">
        <v>80</v>
      </c>
    </row>
    <row r="501" spans="2:12">
      <c r="B501" s="50" t="s">
        <v>399</v>
      </c>
      <c r="C501" s="50" t="s">
        <v>51</v>
      </c>
      <c r="D501" s="50" t="s">
        <v>27</v>
      </c>
      <c r="E501" s="50">
        <v>50039065</v>
      </c>
      <c r="F501" s="50" t="s">
        <v>186</v>
      </c>
      <c r="G501" s="50">
        <v>1</v>
      </c>
      <c r="H501" s="50" t="s">
        <v>2</v>
      </c>
      <c r="I501" s="50" t="s">
        <v>293</v>
      </c>
      <c r="J501" s="51">
        <v>46099</v>
      </c>
      <c r="K501" s="50" t="s">
        <v>324</v>
      </c>
      <c r="L501" s="50" t="s">
        <v>80</v>
      </c>
    </row>
    <row r="502" spans="2:12">
      <c r="B502" s="50" t="s">
        <v>386</v>
      </c>
      <c r="C502" s="50" t="s">
        <v>62</v>
      </c>
      <c r="D502" s="50" t="s">
        <v>27</v>
      </c>
      <c r="E502" s="50">
        <v>50038517</v>
      </c>
      <c r="F502" s="50" t="s">
        <v>181</v>
      </c>
      <c r="G502" s="50">
        <v>1</v>
      </c>
      <c r="H502" s="50" t="s">
        <v>2</v>
      </c>
      <c r="I502" s="50" t="s">
        <v>293</v>
      </c>
      <c r="J502" s="51">
        <v>46099</v>
      </c>
      <c r="K502" s="50" t="s">
        <v>324</v>
      </c>
      <c r="L502" s="50" t="s">
        <v>80</v>
      </c>
    </row>
    <row r="503" spans="2:12">
      <c r="B503" s="50" t="s">
        <v>483</v>
      </c>
      <c r="C503" s="50" t="s">
        <v>62</v>
      </c>
      <c r="D503" s="50" t="s">
        <v>27</v>
      </c>
      <c r="E503" s="50">
        <v>50037903</v>
      </c>
      <c r="F503" s="50" t="s">
        <v>183</v>
      </c>
      <c r="G503" s="50">
        <v>1</v>
      </c>
      <c r="H503" s="50" t="s">
        <v>2</v>
      </c>
      <c r="I503" s="50" t="s">
        <v>293</v>
      </c>
      <c r="J503" s="51">
        <v>46099</v>
      </c>
      <c r="K503" s="50" t="s">
        <v>324</v>
      </c>
      <c r="L503" s="50" t="s">
        <v>80</v>
      </c>
    </row>
    <row r="504" spans="2:12">
      <c r="B504" s="50" t="s">
        <v>54</v>
      </c>
      <c r="C504" s="50" t="s">
        <v>51</v>
      </c>
      <c r="D504" s="50" t="s">
        <v>41</v>
      </c>
      <c r="E504" s="50">
        <v>50003296</v>
      </c>
      <c r="F504" s="50" t="s">
        <v>157</v>
      </c>
      <c r="G504" s="50">
        <v>1</v>
      </c>
      <c r="H504" s="50" t="s">
        <v>2</v>
      </c>
      <c r="I504" s="50" t="s">
        <v>293</v>
      </c>
      <c r="J504" s="51">
        <v>46099</v>
      </c>
      <c r="K504" s="50" t="s">
        <v>324</v>
      </c>
      <c r="L504" s="50" t="s">
        <v>80</v>
      </c>
    </row>
    <row r="505" spans="2:12">
      <c r="B505" s="50" t="s">
        <v>25</v>
      </c>
      <c r="C505" s="50" t="s">
        <v>26</v>
      </c>
      <c r="D505" s="50" t="s">
        <v>27</v>
      </c>
      <c r="E505" s="50">
        <v>50036296</v>
      </c>
      <c r="F505" s="50" t="s">
        <v>109</v>
      </c>
      <c r="G505" s="50">
        <v>1</v>
      </c>
      <c r="H505" s="50" t="s">
        <v>2</v>
      </c>
      <c r="I505" s="50" t="s">
        <v>293</v>
      </c>
      <c r="J505" s="51">
        <v>46099</v>
      </c>
      <c r="K505" s="50" t="s">
        <v>3</v>
      </c>
      <c r="L505" s="50" t="s">
        <v>80</v>
      </c>
    </row>
    <row r="506" spans="2:12">
      <c r="B506" s="50" t="s">
        <v>406</v>
      </c>
      <c r="C506" s="50" t="s">
        <v>26</v>
      </c>
      <c r="D506" s="50" t="s">
        <v>27</v>
      </c>
      <c r="E506" s="50">
        <v>50038518</v>
      </c>
      <c r="F506" s="50" t="s">
        <v>340</v>
      </c>
      <c r="G506" s="50">
        <v>1</v>
      </c>
      <c r="H506" s="50" t="s">
        <v>2</v>
      </c>
      <c r="I506" s="50" t="s">
        <v>293</v>
      </c>
      <c r="J506" s="51">
        <v>46099</v>
      </c>
      <c r="K506" s="50" t="s">
        <v>1</v>
      </c>
      <c r="L506" s="50" t="s">
        <v>80</v>
      </c>
    </row>
    <row r="507" spans="2:12">
      <c r="B507" s="50" t="s">
        <v>455</v>
      </c>
      <c r="C507" s="50" t="s">
        <v>56</v>
      </c>
      <c r="D507" s="50" t="s">
        <v>41</v>
      </c>
      <c r="E507" s="50">
        <v>50038518</v>
      </c>
      <c r="F507" s="50" t="s">
        <v>340</v>
      </c>
      <c r="G507" s="50">
        <v>1</v>
      </c>
      <c r="H507" s="50" t="s">
        <v>2</v>
      </c>
      <c r="I507" s="50" t="s">
        <v>291</v>
      </c>
      <c r="J507" s="51">
        <v>46099</v>
      </c>
      <c r="K507" s="50" t="s">
        <v>3</v>
      </c>
      <c r="L507" s="50" t="s">
        <v>80</v>
      </c>
    </row>
    <row r="508" spans="2:12">
      <c r="B508" s="50" t="s">
        <v>463</v>
      </c>
      <c r="C508" s="50" t="s">
        <v>56</v>
      </c>
      <c r="D508" s="50" t="s">
        <v>27</v>
      </c>
      <c r="E508" s="50">
        <v>50003297</v>
      </c>
      <c r="F508" s="50" t="s">
        <v>158</v>
      </c>
      <c r="G508" s="50">
        <v>1</v>
      </c>
      <c r="H508" s="50" t="s">
        <v>2</v>
      </c>
      <c r="I508" s="50" t="s">
        <v>291</v>
      </c>
      <c r="J508" s="51">
        <v>46099</v>
      </c>
      <c r="K508" s="50" t="s">
        <v>3</v>
      </c>
      <c r="L508" s="50" t="s">
        <v>80</v>
      </c>
    </row>
    <row r="509" spans="2:12">
      <c r="B509" s="50" t="s">
        <v>483</v>
      </c>
      <c r="C509" s="50" t="s">
        <v>62</v>
      </c>
      <c r="D509" s="50" t="s">
        <v>27</v>
      </c>
      <c r="E509" s="50">
        <v>50037903</v>
      </c>
      <c r="F509" s="50" t="s">
        <v>183</v>
      </c>
      <c r="G509" s="50">
        <v>1</v>
      </c>
      <c r="H509" s="50" t="s">
        <v>2</v>
      </c>
      <c r="I509" s="50" t="s">
        <v>291</v>
      </c>
      <c r="J509" s="51">
        <v>46099</v>
      </c>
      <c r="K509" s="50" t="s">
        <v>3</v>
      </c>
      <c r="L509" s="50" t="s">
        <v>80</v>
      </c>
    </row>
    <row r="510" spans="2:12">
      <c r="B510" s="50" t="s">
        <v>25</v>
      </c>
      <c r="C510" s="50" t="s">
        <v>26</v>
      </c>
      <c r="D510" s="50" t="s">
        <v>27</v>
      </c>
      <c r="E510" s="50">
        <v>50039718</v>
      </c>
      <c r="F510" s="50" t="s">
        <v>149</v>
      </c>
      <c r="G510" s="50">
        <v>1</v>
      </c>
      <c r="H510" s="50" t="s">
        <v>2</v>
      </c>
      <c r="I510" s="50" t="s">
        <v>291</v>
      </c>
      <c r="J510" s="51">
        <v>46099</v>
      </c>
      <c r="K510" s="50" t="s">
        <v>3</v>
      </c>
      <c r="L510" s="50" t="s">
        <v>80</v>
      </c>
    </row>
    <row r="511" spans="2:12">
      <c r="B511" s="50" t="s">
        <v>363</v>
      </c>
      <c r="C511" s="50" t="s">
        <v>26</v>
      </c>
      <c r="D511" s="50" t="s">
        <v>41</v>
      </c>
      <c r="E511" s="50">
        <v>50003173</v>
      </c>
      <c r="F511" s="50" t="s">
        <v>74</v>
      </c>
      <c r="G511" s="50">
        <v>1</v>
      </c>
      <c r="H511" s="50" t="s">
        <v>2</v>
      </c>
      <c r="I511" s="50" t="s">
        <v>291</v>
      </c>
      <c r="J511" s="51">
        <v>46099</v>
      </c>
      <c r="K511" s="50" t="s">
        <v>3</v>
      </c>
      <c r="L511" s="50" t="s">
        <v>80</v>
      </c>
    </row>
    <row r="512" spans="2:12">
      <c r="B512" s="50" t="s">
        <v>478</v>
      </c>
      <c r="C512" s="50" t="s">
        <v>51</v>
      </c>
      <c r="D512" s="50" t="s">
        <v>27</v>
      </c>
      <c r="E512" s="50">
        <v>50041195</v>
      </c>
      <c r="F512" s="50" t="s">
        <v>206</v>
      </c>
      <c r="G512" s="50">
        <v>1</v>
      </c>
      <c r="H512" s="50" t="s">
        <v>2</v>
      </c>
      <c r="I512" s="50" t="s">
        <v>291</v>
      </c>
      <c r="J512" s="51">
        <v>46099</v>
      </c>
      <c r="K512" s="50" t="s">
        <v>1</v>
      </c>
      <c r="L512" s="50" t="s">
        <v>80</v>
      </c>
    </row>
    <row r="513" spans="2:12">
      <c r="B513" s="50" t="s">
        <v>278</v>
      </c>
      <c r="C513" s="50" t="s">
        <v>62</v>
      </c>
      <c r="D513" s="50" t="s">
        <v>27</v>
      </c>
      <c r="E513" s="50">
        <v>50041195</v>
      </c>
      <c r="F513" s="50" t="s">
        <v>206</v>
      </c>
      <c r="G513" s="50">
        <v>1</v>
      </c>
      <c r="H513" s="50" t="s">
        <v>2</v>
      </c>
      <c r="I513" s="50" t="s">
        <v>291</v>
      </c>
      <c r="J513" s="51">
        <v>46099</v>
      </c>
      <c r="K513" s="50" t="s">
        <v>3</v>
      </c>
      <c r="L513" s="50" t="s">
        <v>80</v>
      </c>
    </row>
    <row r="514" spans="2:12">
      <c r="B514" s="50" t="s">
        <v>478</v>
      </c>
      <c r="C514" s="50" t="s">
        <v>51</v>
      </c>
      <c r="D514" s="50" t="s">
        <v>27</v>
      </c>
      <c r="E514" s="50">
        <v>50032781</v>
      </c>
      <c r="F514" s="50" t="s">
        <v>237</v>
      </c>
      <c r="G514" s="50">
        <v>1</v>
      </c>
      <c r="H514" s="50" t="s">
        <v>2</v>
      </c>
      <c r="I514" s="50" t="s">
        <v>291</v>
      </c>
      <c r="J514" s="51">
        <v>46099</v>
      </c>
      <c r="K514" s="50" t="s">
        <v>1</v>
      </c>
      <c r="L514" s="50" t="s">
        <v>80</v>
      </c>
    </row>
    <row r="515" spans="2:12">
      <c r="B515" s="50" t="s">
        <v>427</v>
      </c>
      <c r="C515" s="50" t="s">
        <v>26</v>
      </c>
      <c r="D515" s="50" t="s">
        <v>27</v>
      </c>
      <c r="E515" s="50">
        <v>50003297</v>
      </c>
      <c r="F515" s="50" t="s">
        <v>158</v>
      </c>
      <c r="G515" s="50">
        <v>1</v>
      </c>
      <c r="H515" s="50" t="s">
        <v>2</v>
      </c>
      <c r="I515" s="50" t="s">
        <v>288</v>
      </c>
      <c r="J515" s="51">
        <v>46099</v>
      </c>
      <c r="K515" s="50" t="s">
        <v>1</v>
      </c>
      <c r="L515" s="50" t="s">
        <v>80</v>
      </c>
    </row>
    <row r="516" spans="2:12">
      <c r="B516" s="50" t="s">
        <v>394</v>
      </c>
      <c r="C516" s="50" t="s">
        <v>51</v>
      </c>
      <c r="D516" s="50" t="s">
        <v>27</v>
      </c>
      <c r="E516" s="50">
        <v>50022878</v>
      </c>
      <c r="F516" s="50" t="s">
        <v>296</v>
      </c>
      <c r="G516" s="50">
        <v>1</v>
      </c>
      <c r="H516" s="50" t="s">
        <v>2</v>
      </c>
      <c r="I516" s="50" t="s">
        <v>288</v>
      </c>
      <c r="J516" s="51">
        <v>46099</v>
      </c>
      <c r="K516" s="50" t="s">
        <v>1</v>
      </c>
      <c r="L516" s="50" t="s">
        <v>80</v>
      </c>
    </row>
    <row r="517" spans="2:12">
      <c r="B517" s="50" t="s">
        <v>406</v>
      </c>
      <c r="C517" s="50" t="s">
        <v>26</v>
      </c>
      <c r="D517" s="50" t="s">
        <v>27</v>
      </c>
      <c r="E517" s="50">
        <v>50038518</v>
      </c>
      <c r="F517" s="50" t="s">
        <v>340</v>
      </c>
      <c r="G517" s="50">
        <v>1</v>
      </c>
      <c r="H517" s="50" t="s">
        <v>2</v>
      </c>
      <c r="I517" s="50" t="s">
        <v>288</v>
      </c>
      <c r="J517" s="51">
        <v>46099</v>
      </c>
      <c r="K517" s="50" t="s">
        <v>3</v>
      </c>
      <c r="L517" s="50" t="s">
        <v>80</v>
      </c>
    </row>
    <row r="518" spans="2:12">
      <c r="B518" s="50" t="s">
        <v>478</v>
      </c>
      <c r="C518" s="50" t="s">
        <v>51</v>
      </c>
      <c r="D518" s="50" t="s">
        <v>27</v>
      </c>
      <c r="E518" s="50">
        <v>50032781</v>
      </c>
      <c r="F518" s="50" t="s">
        <v>237</v>
      </c>
      <c r="G518" s="50">
        <v>1</v>
      </c>
      <c r="H518" s="50" t="s">
        <v>2</v>
      </c>
      <c r="I518" s="50" t="s">
        <v>288</v>
      </c>
      <c r="J518" s="51">
        <v>46099</v>
      </c>
      <c r="K518" s="50" t="s">
        <v>3</v>
      </c>
      <c r="L518" s="50" t="s">
        <v>80</v>
      </c>
    </row>
    <row r="519" spans="2:12">
      <c r="B519" s="50" t="s">
        <v>478</v>
      </c>
      <c r="C519" s="50" t="s">
        <v>51</v>
      </c>
      <c r="D519" s="50" t="s">
        <v>27</v>
      </c>
      <c r="E519" s="50">
        <v>50032781</v>
      </c>
      <c r="F519" s="50" t="s">
        <v>237</v>
      </c>
      <c r="G519" s="50">
        <v>1</v>
      </c>
      <c r="H519" s="50" t="s">
        <v>2</v>
      </c>
      <c r="I519" s="50" t="s">
        <v>288</v>
      </c>
      <c r="J519" s="51">
        <v>46099</v>
      </c>
      <c r="K519" s="50" t="s">
        <v>3</v>
      </c>
      <c r="L519" s="50" t="s">
        <v>80</v>
      </c>
    </row>
    <row r="520" spans="2:12">
      <c r="B520" s="50" t="s">
        <v>394</v>
      </c>
      <c r="C520" s="50" t="s">
        <v>51</v>
      </c>
      <c r="D520" s="50" t="s">
        <v>27</v>
      </c>
      <c r="E520" s="50">
        <v>50022878</v>
      </c>
      <c r="F520" s="50" t="s">
        <v>296</v>
      </c>
      <c r="G520" s="50">
        <v>1</v>
      </c>
      <c r="H520" s="50" t="s">
        <v>2</v>
      </c>
      <c r="I520" s="50" t="s">
        <v>288</v>
      </c>
      <c r="J520" s="51">
        <v>46099</v>
      </c>
      <c r="K520" s="50" t="s">
        <v>3</v>
      </c>
      <c r="L520" s="50" t="s">
        <v>80</v>
      </c>
    </row>
    <row r="521" spans="2:12">
      <c r="B521" s="50" t="s">
        <v>478</v>
      </c>
      <c r="C521" s="50" t="s">
        <v>51</v>
      </c>
      <c r="D521" s="50" t="s">
        <v>27</v>
      </c>
      <c r="E521" s="50">
        <v>50041195</v>
      </c>
      <c r="F521" s="50" t="s">
        <v>206</v>
      </c>
      <c r="G521" s="50">
        <v>1</v>
      </c>
      <c r="H521" s="50" t="s">
        <v>2</v>
      </c>
      <c r="I521" s="50" t="s">
        <v>288</v>
      </c>
      <c r="J521" s="51">
        <v>46099</v>
      </c>
      <c r="K521" s="50" t="s">
        <v>3</v>
      </c>
      <c r="L521" s="50" t="s">
        <v>80</v>
      </c>
    </row>
    <row r="522" spans="2:12">
      <c r="B522" s="50" t="s">
        <v>399</v>
      </c>
      <c r="C522" s="50" t="s">
        <v>51</v>
      </c>
      <c r="D522" s="50" t="s">
        <v>27</v>
      </c>
      <c r="E522" s="50">
        <v>50037903</v>
      </c>
      <c r="F522" s="50" t="s">
        <v>183</v>
      </c>
      <c r="G522" s="50">
        <v>1</v>
      </c>
      <c r="H522" s="50" t="s">
        <v>2</v>
      </c>
      <c r="I522" s="50" t="s">
        <v>288</v>
      </c>
      <c r="J522" s="51">
        <v>46099</v>
      </c>
      <c r="K522" s="50" t="s">
        <v>3</v>
      </c>
      <c r="L522" s="50" t="s">
        <v>80</v>
      </c>
    </row>
    <row r="523" spans="2:12">
      <c r="B523" s="50" t="s">
        <v>399</v>
      </c>
      <c r="C523" s="50" t="s">
        <v>51</v>
      </c>
      <c r="D523" s="50" t="s">
        <v>27</v>
      </c>
      <c r="E523" s="50">
        <v>50004486</v>
      </c>
      <c r="F523" s="50" t="s">
        <v>221</v>
      </c>
      <c r="G523" s="50">
        <v>1</v>
      </c>
      <c r="H523" s="50" t="s">
        <v>2</v>
      </c>
      <c r="I523" s="50" t="s">
        <v>288</v>
      </c>
      <c r="J523" s="51">
        <v>46099</v>
      </c>
      <c r="K523" s="50" t="s">
        <v>3</v>
      </c>
      <c r="L523" s="50" t="s">
        <v>80</v>
      </c>
    </row>
    <row r="524" spans="2:12">
      <c r="B524" s="50" t="s">
        <v>399</v>
      </c>
      <c r="C524" s="50" t="s">
        <v>51</v>
      </c>
      <c r="D524" s="50" t="s">
        <v>27</v>
      </c>
      <c r="E524" s="50">
        <v>50039065</v>
      </c>
      <c r="F524" s="50" t="s">
        <v>186</v>
      </c>
      <c r="G524" s="50">
        <v>1</v>
      </c>
      <c r="H524" s="50" t="s">
        <v>2</v>
      </c>
      <c r="I524" s="50" t="s">
        <v>288</v>
      </c>
      <c r="J524" s="51">
        <v>46099</v>
      </c>
      <c r="K524" s="50" t="s">
        <v>3</v>
      </c>
      <c r="L524" s="50" t="s">
        <v>80</v>
      </c>
    </row>
    <row r="525" spans="2:12">
      <c r="B525" s="50" t="s">
        <v>399</v>
      </c>
      <c r="C525" s="50" t="s">
        <v>51</v>
      </c>
      <c r="D525" s="50" t="s">
        <v>27</v>
      </c>
      <c r="E525" s="50">
        <v>50046617</v>
      </c>
      <c r="F525" s="50" t="s">
        <v>365</v>
      </c>
      <c r="G525" s="50">
        <v>1</v>
      </c>
      <c r="H525" s="50" t="s">
        <v>2</v>
      </c>
      <c r="I525" s="50" t="s">
        <v>288</v>
      </c>
      <c r="J525" s="51">
        <v>46099</v>
      </c>
      <c r="K525" s="50" t="s">
        <v>3</v>
      </c>
      <c r="L525" s="50" t="s">
        <v>80</v>
      </c>
    </row>
    <row r="526" spans="2:12">
      <c r="B526" s="50" t="s">
        <v>427</v>
      </c>
      <c r="C526" s="50" t="s">
        <v>26</v>
      </c>
      <c r="D526" s="50" t="s">
        <v>27</v>
      </c>
      <c r="E526" s="50">
        <v>50003297</v>
      </c>
      <c r="F526" s="50" t="s">
        <v>158</v>
      </c>
      <c r="G526" s="50">
        <v>1</v>
      </c>
      <c r="H526" s="50" t="s">
        <v>2</v>
      </c>
      <c r="I526" s="50" t="s">
        <v>288</v>
      </c>
      <c r="J526" s="51">
        <v>46099</v>
      </c>
      <c r="K526" s="50" t="s">
        <v>3</v>
      </c>
      <c r="L526" s="50" t="s">
        <v>80</v>
      </c>
    </row>
    <row r="527" spans="2:12">
      <c r="B527" s="50" t="s">
        <v>386</v>
      </c>
      <c r="C527" s="50" t="s">
        <v>62</v>
      </c>
      <c r="D527" s="50" t="s">
        <v>27</v>
      </c>
      <c r="E527" s="50">
        <v>50038517</v>
      </c>
      <c r="F527" s="50" t="s">
        <v>181</v>
      </c>
      <c r="G527" s="50">
        <v>1</v>
      </c>
      <c r="H527" s="50" t="s">
        <v>2</v>
      </c>
      <c r="I527" s="50" t="s">
        <v>292</v>
      </c>
      <c r="J527" s="51">
        <v>46099</v>
      </c>
      <c r="K527" s="50" t="s">
        <v>3</v>
      </c>
      <c r="L527" s="50" t="s">
        <v>80</v>
      </c>
    </row>
    <row r="528" spans="2:12">
      <c r="B528" s="50" t="s">
        <v>474</v>
      </c>
      <c r="C528" s="50" t="s">
        <v>51</v>
      </c>
      <c r="D528" s="50" t="s">
        <v>27</v>
      </c>
      <c r="E528" s="50">
        <v>50010031</v>
      </c>
      <c r="F528" s="50" t="s">
        <v>89</v>
      </c>
      <c r="G528" s="50">
        <v>1</v>
      </c>
      <c r="H528" s="50" t="s">
        <v>2</v>
      </c>
      <c r="I528" s="50" t="s">
        <v>288</v>
      </c>
      <c r="J528" s="51">
        <v>46099</v>
      </c>
      <c r="K528" s="50" t="s">
        <v>3</v>
      </c>
      <c r="L528" s="50" t="s">
        <v>80</v>
      </c>
    </row>
    <row r="529" spans="2:12">
      <c r="B529" s="50" t="s">
        <v>54</v>
      </c>
      <c r="C529" s="50" t="s">
        <v>51</v>
      </c>
      <c r="D529" s="50" t="s">
        <v>41</v>
      </c>
      <c r="E529" s="50">
        <v>50003296</v>
      </c>
      <c r="F529" s="50" t="s">
        <v>157</v>
      </c>
      <c r="G529" s="50">
        <v>1</v>
      </c>
      <c r="H529" s="50" t="s">
        <v>2</v>
      </c>
      <c r="I529" s="50" t="s">
        <v>288</v>
      </c>
      <c r="J529" s="51">
        <v>46099</v>
      </c>
      <c r="K529" s="50" t="s">
        <v>3</v>
      </c>
      <c r="L529" s="50" t="s">
        <v>80</v>
      </c>
    </row>
    <row r="530" spans="2:12">
      <c r="B530" s="50" t="s">
        <v>25</v>
      </c>
      <c r="C530" s="50" t="s">
        <v>26</v>
      </c>
      <c r="D530" s="50" t="s">
        <v>27</v>
      </c>
      <c r="E530" s="50">
        <v>50036255</v>
      </c>
      <c r="F530" s="50" t="s">
        <v>120</v>
      </c>
      <c r="G530" s="50">
        <v>1</v>
      </c>
      <c r="H530" s="50" t="s">
        <v>2</v>
      </c>
      <c r="I530" s="50" t="s">
        <v>293</v>
      </c>
      <c r="J530" s="51">
        <v>46098</v>
      </c>
      <c r="K530" s="50" t="s">
        <v>1</v>
      </c>
      <c r="L530" s="50" t="s">
        <v>80</v>
      </c>
    </row>
    <row r="531" spans="2:12">
      <c r="B531" s="50" t="s">
        <v>43</v>
      </c>
      <c r="C531" s="50" t="s">
        <v>26</v>
      </c>
      <c r="D531" s="50" t="s">
        <v>41</v>
      </c>
      <c r="E531" s="50">
        <v>50038626</v>
      </c>
      <c r="F531" s="50" t="s">
        <v>190</v>
      </c>
      <c r="G531" s="50">
        <v>1</v>
      </c>
      <c r="H531" s="50" t="s">
        <v>2</v>
      </c>
      <c r="I531" s="50" t="s">
        <v>293</v>
      </c>
      <c r="J531" s="51">
        <v>46098</v>
      </c>
      <c r="K531" s="50" t="s">
        <v>1</v>
      </c>
      <c r="L531" s="50" t="s">
        <v>80</v>
      </c>
    </row>
    <row r="532" spans="2:12">
      <c r="B532" s="50" t="s">
        <v>25</v>
      </c>
      <c r="C532" s="50" t="s">
        <v>26</v>
      </c>
      <c r="D532" s="50" t="s">
        <v>27</v>
      </c>
      <c r="E532" s="50">
        <v>50037926</v>
      </c>
      <c r="F532" s="50" t="s">
        <v>184</v>
      </c>
      <c r="G532" s="50">
        <v>1</v>
      </c>
      <c r="H532" s="50" t="s">
        <v>2</v>
      </c>
      <c r="I532" s="50" t="s">
        <v>293</v>
      </c>
      <c r="J532" s="51">
        <v>46098</v>
      </c>
      <c r="K532" s="50" t="s">
        <v>1</v>
      </c>
      <c r="L532" s="50" t="s">
        <v>80</v>
      </c>
    </row>
    <row r="533" spans="2:12">
      <c r="B533" s="50" t="s">
        <v>25</v>
      </c>
      <c r="C533" s="50" t="s">
        <v>26</v>
      </c>
      <c r="D533" s="50" t="s">
        <v>27</v>
      </c>
      <c r="E533" s="50">
        <v>50042003</v>
      </c>
      <c r="F533" s="50" t="s">
        <v>300</v>
      </c>
      <c r="G533" s="50">
        <v>1</v>
      </c>
      <c r="H533" s="50" t="s">
        <v>2</v>
      </c>
      <c r="I533" s="50" t="s">
        <v>293</v>
      </c>
      <c r="J533" s="51">
        <v>46098</v>
      </c>
      <c r="K533" s="50" t="s">
        <v>1</v>
      </c>
      <c r="L533" s="50" t="s">
        <v>80</v>
      </c>
    </row>
    <row r="534" spans="2:12">
      <c r="B534" s="50" t="s">
        <v>278</v>
      </c>
      <c r="C534" s="50" t="s">
        <v>62</v>
      </c>
      <c r="D534" s="50" t="s">
        <v>27</v>
      </c>
      <c r="E534" s="50">
        <v>50026357</v>
      </c>
      <c r="F534" s="50" t="s">
        <v>192</v>
      </c>
      <c r="G534" s="50">
        <v>1</v>
      </c>
      <c r="H534" s="50" t="s">
        <v>2</v>
      </c>
      <c r="I534" s="50" t="s">
        <v>293</v>
      </c>
      <c r="J534" s="51">
        <v>46098</v>
      </c>
      <c r="K534" s="50" t="s">
        <v>1</v>
      </c>
      <c r="L534" s="50" t="s">
        <v>80</v>
      </c>
    </row>
    <row r="535" spans="2:12">
      <c r="B535" s="50" t="s">
        <v>43</v>
      </c>
      <c r="C535" s="50" t="s">
        <v>26</v>
      </c>
      <c r="D535" s="50" t="s">
        <v>41</v>
      </c>
      <c r="E535" s="50">
        <v>50038626</v>
      </c>
      <c r="F535" s="50" t="s">
        <v>190</v>
      </c>
      <c r="G535" s="50">
        <v>1</v>
      </c>
      <c r="H535" s="50" t="s">
        <v>2</v>
      </c>
      <c r="I535" s="50" t="s">
        <v>293</v>
      </c>
      <c r="J535" s="51">
        <v>46098</v>
      </c>
      <c r="K535" s="50" t="s">
        <v>3</v>
      </c>
      <c r="L535" s="50" t="s">
        <v>80</v>
      </c>
    </row>
    <row r="536" spans="2:12">
      <c r="B536" s="50" t="s">
        <v>278</v>
      </c>
      <c r="C536" s="50" t="s">
        <v>62</v>
      </c>
      <c r="D536" s="50" t="s">
        <v>27</v>
      </c>
      <c r="E536" s="50">
        <v>50026357</v>
      </c>
      <c r="F536" s="50" t="s">
        <v>192</v>
      </c>
      <c r="G536" s="50">
        <v>1</v>
      </c>
      <c r="H536" s="50" t="s">
        <v>2</v>
      </c>
      <c r="I536" s="50" t="s">
        <v>293</v>
      </c>
      <c r="J536" s="51">
        <v>46098</v>
      </c>
      <c r="K536" s="50" t="s">
        <v>3</v>
      </c>
      <c r="L536" s="50" t="s">
        <v>80</v>
      </c>
    </row>
    <row r="537" spans="2:12">
      <c r="B537" s="50" t="s">
        <v>278</v>
      </c>
      <c r="C537" s="50" t="s">
        <v>62</v>
      </c>
      <c r="D537" s="50" t="s">
        <v>27</v>
      </c>
      <c r="E537" s="50">
        <v>50043471</v>
      </c>
      <c r="F537" s="50" t="s">
        <v>257</v>
      </c>
      <c r="G537" s="50">
        <v>1</v>
      </c>
      <c r="H537" s="50" t="s">
        <v>2</v>
      </c>
      <c r="I537" s="50" t="s">
        <v>293</v>
      </c>
      <c r="J537" s="51">
        <v>46098</v>
      </c>
      <c r="K537" s="50" t="s">
        <v>1</v>
      </c>
      <c r="L537" s="50" t="s">
        <v>80</v>
      </c>
    </row>
    <row r="538" spans="2:12">
      <c r="B538" s="50" t="s">
        <v>25</v>
      </c>
      <c r="C538" s="50" t="s">
        <v>26</v>
      </c>
      <c r="D538" s="50" t="s">
        <v>27</v>
      </c>
      <c r="E538" s="50">
        <v>50037926</v>
      </c>
      <c r="F538" s="50" t="s">
        <v>184</v>
      </c>
      <c r="G538" s="50">
        <v>1</v>
      </c>
      <c r="H538" s="50" t="s">
        <v>2</v>
      </c>
      <c r="I538" s="50" t="s">
        <v>293</v>
      </c>
      <c r="J538" s="51">
        <v>46098</v>
      </c>
      <c r="K538" s="50" t="s">
        <v>3</v>
      </c>
      <c r="L538" s="50" t="s">
        <v>80</v>
      </c>
    </row>
    <row r="539" spans="2:12">
      <c r="B539" s="50" t="s">
        <v>25</v>
      </c>
      <c r="C539" s="50" t="s">
        <v>26</v>
      </c>
      <c r="D539" s="50" t="s">
        <v>27</v>
      </c>
      <c r="E539" s="50">
        <v>50042003</v>
      </c>
      <c r="F539" s="50" t="s">
        <v>300</v>
      </c>
      <c r="G539" s="50">
        <v>1</v>
      </c>
      <c r="H539" s="50" t="s">
        <v>2</v>
      </c>
      <c r="I539" s="50" t="s">
        <v>293</v>
      </c>
      <c r="J539" s="51">
        <v>46098</v>
      </c>
      <c r="K539" s="50" t="s">
        <v>3</v>
      </c>
      <c r="L539" s="50" t="s">
        <v>80</v>
      </c>
    </row>
    <row r="540" spans="2:12">
      <c r="B540" s="50" t="s">
        <v>25</v>
      </c>
      <c r="C540" s="50" t="s">
        <v>26</v>
      </c>
      <c r="D540" s="50" t="s">
        <v>27</v>
      </c>
      <c r="E540" s="50">
        <v>50036255</v>
      </c>
      <c r="F540" s="50" t="s">
        <v>120</v>
      </c>
      <c r="G540" s="50">
        <v>1</v>
      </c>
      <c r="H540" s="50" t="s">
        <v>2</v>
      </c>
      <c r="I540" s="50" t="s">
        <v>293</v>
      </c>
      <c r="J540" s="51">
        <v>46098</v>
      </c>
      <c r="K540" s="50" t="s">
        <v>3</v>
      </c>
      <c r="L540" s="50" t="s">
        <v>80</v>
      </c>
    </row>
    <row r="541" spans="2:12">
      <c r="B541" s="50" t="s">
        <v>25</v>
      </c>
      <c r="C541" s="50" t="s">
        <v>26</v>
      </c>
      <c r="D541" s="50" t="s">
        <v>27</v>
      </c>
      <c r="E541" s="50">
        <v>50012902</v>
      </c>
      <c r="F541" s="50" t="s">
        <v>225</v>
      </c>
      <c r="G541" s="50">
        <v>1</v>
      </c>
      <c r="H541" s="50" t="s">
        <v>2</v>
      </c>
      <c r="I541" s="50" t="s">
        <v>293</v>
      </c>
      <c r="J541" s="51">
        <v>46098</v>
      </c>
      <c r="K541" s="50" t="s">
        <v>3</v>
      </c>
      <c r="L541" s="50" t="s">
        <v>80</v>
      </c>
    </row>
    <row r="542" spans="2:12">
      <c r="B542" s="50" t="s">
        <v>278</v>
      </c>
      <c r="C542" s="50" t="s">
        <v>62</v>
      </c>
      <c r="D542" s="50" t="s">
        <v>27</v>
      </c>
      <c r="E542" s="50">
        <v>50043471</v>
      </c>
      <c r="F542" s="50" t="s">
        <v>257</v>
      </c>
      <c r="G542" s="50">
        <v>1</v>
      </c>
      <c r="H542" s="50" t="s">
        <v>2</v>
      </c>
      <c r="I542" s="50" t="s">
        <v>293</v>
      </c>
      <c r="J542" s="51">
        <v>46098</v>
      </c>
      <c r="K542" s="50" t="s">
        <v>3</v>
      </c>
      <c r="L542" s="50" t="s">
        <v>80</v>
      </c>
    </row>
    <row r="543" spans="2:12">
      <c r="B543" s="50" t="s">
        <v>471</v>
      </c>
      <c r="C543" s="50" t="s">
        <v>26</v>
      </c>
      <c r="D543" s="50" t="s">
        <v>39</v>
      </c>
      <c r="E543" s="50">
        <v>50038549</v>
      </c>
      <c r="F543" s="50" t="s">
        <v>173</v>
      </c>
      <c r="G543" s="50">
        <v>1</v>
      </c>
      <c r="H543" s="50" t="s">
        <v>2</v>
      </c>
      <c r="I543" s="50" t="s">
        <v>291</v>
      </c>
      <c r="J543" s="51">
        <v>46098</v>
      </c>
      <c r="K543" s="50" t="s">
        <v>3</v>
      </c>
      <c r="L543" s="50" t="s">
        <v>80</v>
      </c>
    </row>
    <row r="544" spans="2:12">
      <c r="B544" s="50" t="s">
        <v>345</v>
      </c>
      <c r="C544" s="50" t="s">
        <v>62</v>
      </c>
      <c r="D544" s="50" t="s">
        <v>27</v>
      </c>
      <c r="E544" s="50">
        <v>50003296</v>
      </c>
      <c r="F544" s="50" t="s">
        <v>157</v>
      </c>
      <c r="G544" s="50">
        <v>1</v>
      </c>
      <c r="H544" s="50" t="s">
        <v>2</v>
      </c>
      <c r="I544" s="50" t="s">
        <v>291</v>
      </c>
      <c r="J544" s="51">
        <v>46098</v>
      </c>
      <c r="K544" s="50" t="s">
        <v>1</v>
      </c>
      <c r="L544" s="50" t="s">
        <v>80</v>
      </c>
    </row>
    <row r="545" spans="2:12">
      <c r="B545" s="50" t="s">
        <v>345</v>
      </c>
      <c r="C545" s="50" t="s">
        <v>62</v>
      </c>
      <c r="D545" s="50" t="s">
        <v>27</v>
      </c>
      <c r="E545" s="50">
        <v>50020624</v>
      </c>
      <c r="F545" s="50" t="s">
        <v>217</v>
      </c>
      <c r="G545" s="50">
        <v>1</v>
      </c>
      <c r="H545" s="50" t="s">
        <v>2</v>
      </c>
      <c r="I545" s="50" t="s">
        <v>291</v>
      </c>
      <c r="J545" s="51">
        <v>46098</v>
      </c>
      <c r="K545" s="50" t="s">
        <v>1</v>
      </c>
      <c r="L545" s="50" t="s">
        <v>80</v>
      </c>
    </row>
    <row r="546" spans="2:12">
      <c r="B546" s="50" t="s">
        <v>345</v>
      </c>
      <c r="C546" s="50" t="s">
        <v>62</v>
      </c>
      <c r="D546" s="50" t="s">
        <v>27</v>
      </c>
      <c r="E546" s="50">
        <v>50037892</v>
      </c>
      <c r="F546" s="50" t="s">
        <v>178</v>
      </c>
      <c r="G546" s="50">
        <v>1</v>
      </c>
      <c r="H546" s="50" t="s">
        <v>2</v>
      </c>
      <c r="I546" s="50" t="s">
        <v>291</v>
      </c>
      <c r="J546" s="51">
        <v>46098</v>
      </c>
      <c r="K546" s="50" t="s">
        <v>1</v>
      </c>
      <c r="L546" s="50" t="s">
        <v>80</v>
      </c>
    </row>
    <row r="547" spans="2:12">
      <c r="B547" s="50" t="s">
        <v>407</v>
      </c>
      <c r="C547" s="50" t="s">
        <v>26</v>
      </c>
      <c r="D547" s="50" t="s">
        <v>39</v>
      </c>
      <c r="E547" s="50">
        <v>50042283</v>
      </c>
      <c r="F547" s="50" t="s">
        <v>247</v>
      </c>
      <c r="G547" s="50">
        <v>1</v>
      </c>
      <c r="H547" s="50" t="s">
        <v>2</v>
      </c>
      <c r="I547" s="50" t="s">
        <v>291</v>
      </c>
      <c r="J547" s="51">
        <v>46098</v>
      </c>
      <c r="K547" s="50" t="s">
        <v>3</v>
      </c>
      <c r="L547" s="50" t="s">
        <v>80</v>
      </c>
    </row>
    <row r="548" spans="2:12">
      <c r="B548" s="50" t="s">
        <v>345</v>
      </c>
      <c r="C548" s="50" t="s">
        <v>62</v>
      </c>
      <c r="D548" s="50" t="s">
        <v>27</v>
      </c>
      <c r="E548" s="50">
        <v>50020624</v>
      </c>
      <c r="F548" s="50" t="s">
        <v>217</v>
      </c>
      <c r="G548" s="50">
        <v>1</v>
      </c>
      <c r="H548" s="50" t="s">
        <v>2</v>
      </c>
      <c r="I548" s="50" t="s">
        <v>291</v>
      </c>
      <c r="J548" s="51">
        <v>46098</v>
      </c>
      <c r="K548" s="50" t="s">
        <v>3</v>
      </c>
      <c r="L548" s="50" t="s">
        <v>80</v>
      </c>
    </row>
    <row r="549" spans="2:12">
      <c r="B549" s="50" t="s">
        <v>345</v>
      </c>
      <c r="C549" s="50" t="s">
        <v>62</v>
      </c>
      <c r="D549" s="50" t="s">
        <v>27</v>
      </c>
      <c r="E549" s="50">
        <v>50003296</v>
      </c>
      <c r="F549" s="50" t="s">
        <v>157</v>
      </c>
      <c r="G549" s="50">
        <v>1</v>
      </c>
      <c r="H549" s="50" t="s">
        <v>2</v>
      </c>
      <c r="I549" s="50" t="s">
        <v>291</v>
      </c>
      <c r="J549" s="51">
        <v>46098</v>
      </c>
      <c r="K549" s="50" t="s">
        <v>3</v>
      </c>
      <c r="L549" s="50" t="s">
        <v>80</v>
      </c>
    </row>
    <row r="550" spans="2:12">
      <c r="B550" s="50" t="s">
        <v>345</v>
      </c>
      <c r="C550" s="50" t="s">
        <v>62</v>
      </c>
      <c r="D550" s="50" t="s">
        <v>27</v>
      </c>
      <c r="E550" s="50">
        <v>50037892</v>
      </c>
      <c r="F550" s="50" t="s">
        <v>178</v>
      </c>
      <c r="G550" s="50">
        <v>1</v>
      </c>
      <c r="H550" s="50" t="s">
        <v>2</v>
      </c>
      <c r="I550" s="50" t="s">
        <v>291</v>
      </c>
      <c r="J550" s="51">
        <v>46098</v>
      </c>
      <c r="K550" s="50" t="s">
        <v>3</v>
      </c>
      <c r="L550" s="50" t="s">
        <v>80</v>
      </c>
    </row>
    <row r="551" spans="2:12">
      <c r="B551" s="50" t="s">
        <v>280</v>
      </c>
      <c r="C551" s="50" t="s">
        <v>62</v>
      </c>
      <c r="D551" s="50" t="s">
        <v>27</v>
      </c>
      <c r="E551" s="50">
        <v>50026357</v>
      </c>
      <c r="F551" s="50" t="s">
        <v>192</v>
      </c>
      <c r="G551" s="50">
        <v>1</v>
      </c>
      <c r="H551" s="50" t="s">
        <v>2</v>
      </c>
      <c r="I551" s="50" t="s">
        <v>291</v>
      </c>
      <c r="J551" s="51">
        <v>46095</v>
      </c>
      <c r="K551" s="50" t="s">
        <v>3</v>
      </c>
      <c r="L551" s="50" t="s">
        <v>80</v>
      </c>
    </row>
    <row r="552" spans="2:12">
      <c r="B552" s="50" t="s">
        <v>280</v>
      </c>
      <c r="C552" s="50" t="s">
        <v>62</v>
      </c>
      <c r="D552" s="50" t="s">
        <v>27</v>
      </c>
      <c r="E552" s="50">
        <v>50037892</v>
      </c>
      <c r="F552" s="50" t="s">
        <v>178</v>
      </c>
      <c r="G552" s="50">
        <v>1</v>
      </c>
      <c r="H552" s="50" t="s">
        <v>2</v>
      </c>
      <c r="I552" s="50" t="s">
        <v>291</v>
      </c>
      <c r="J552" s="51">
        <v>46095</v>
      </c>
      <c r="K552" s="50" t="s">
        <v>1</v>
      </c>
      <c r="L552" s="50" t="s">
        <v>80</v>
      </c>
    </row>
    <row r="553" spans="2:12">
      <c r="B553" s="50" t="s">
        <v>280</v>
      </c>
      <c r="C553" s="50" t="s">
        <v>62</v>
      </c>
      <c r="D553" s="50" t="s">
        <v>27</v>
      </c>
      <c r="E553" s="50">
        <v>50037892</v>
      </c>
      <c r="F553" s="50" t="s">
        <v>178</v>
      </c>
      <c r="G553" s="50">
        <v>1</v>
      </c>
      <c r="H553" s="50" t="s">
        <v>2</v>
      </c>
      <c r="I553" s="50" t="s">
        <v>291</v>
      </c>
      <c r="J553" s="51">
        <v>46095</v>
      </c>
      <c r="K553" s="50" t="s">
        <v>3</v>
      </c>
      <c r="L553" s="50" t="s">
        <v>80</v>
      </c>
    </row>
    <row r="554" spans="2:12">
      <c r="B554" s="50" t="s">
        <v>432</v>
      </c>
      <c r="C554" s="50" t="s">
        <v>26</v>
      </c>
      <c r="D554" s="50" t="s">
        <v>36</v>
      </c>
      <c r="E554" s="50">
        <v>50001995</v>
      </c>
      <c r="F554" s="50" t="s">
        <v>185</v>
      </c>
      <c r="G554" s="50">
        <v>1</v>
      </c>
      <c r="H554" s="50" t="s">
        <v>2</v>
      </c>
      <c r="I554" s="50" t="s">
        <v>291</v>
      </c>
      <c r="J554" s="51">
        <v>46094</v>
      </c>
      <c r="K554" s="50" t="s">
        <v>1</v>
      </c>
      <c r="L554" s="50" t="s">
        <v>80</v>
      </c>
    </row>
    <row r="555" spans="2:12">
      <c r="B555" s="50" t="s">
        <v>432</v>
      </c>
      <c r="C555" s="50" t="s">
        <v>26</v>
      </c>
      <c r="D555" s="50" t="s">
        <v>36</v>
      </c>
      <c r="E555" s="50">
        <v>50001995</v>
      </c>
      <c r="F555" s="50" t="s">
        <v>185</v>
      </c>
      <c r="G555" s="50">
        <v>1</v>
      </c>
      <c r="H555" s="50" t="s">
        <v>2</v>
      </c>
      <c r="I555" s="50" t="s">
        <v>291</v>
      </c>
      <c r="J555" s="51">
        <v>46094</v>
      </c>
      <c r="K555" s="50" t="s">
        <v>3</v>
      </c>
      <c r="L555" s="50" t="s">
        <v>80</v>
      </c>
    </row>
    <row r="556" spans="2:12">
      <c r="B556" s="50" t="s">
        <v>363</v>
      </c>
      <c r="C556" s="50" t="s">
        <v>26</v>
      </c>
      <c r="D556" s="50" t="s">
        <v>41</v>
      </c>
      <c r="E556" s="50">
        <v>50004486</v>
      </c>
      <c r="F556" s="50" t="s">
        <v>221</v>
      </c>
      <c r="G556" s="50">
        <v>1</v>
      </c>
      <c r="H556" s="50" t="s">
        <v>2</v>
      </c>
      <c r="I556" s="50" t="s">
        <v>291</v>
      </c>
      <c r="J556" s="51">
        <v>46094</v>
      </c>
      <c r="K556" s="50" t="s">
        <v>1</v>
      </c>
      <c r="L556" s="50" t="s">
        <v>80</v>
      </c>
    </row>
    <row r="557" spans="2:12">
      <c r="B557" s="50" t="s">
        <v>363</v>
      </c>
      <c r="C557" s="50" t="s">
        <v>26</v>
      </c>
      <c r="D557" s="50" t="s">
        <v>41</v>
      </c>
      <c r="E557" s="50">
        <v>50004486</v>
      </c>
      <c r="F557" s="50" t="s">
        <v>221</v>
      </c>
      <c r="G557" s="50">
        <v>1</v>
      </c>
      <c r="H557" s="50" t="s">
        <v>2</v>
      </c>
      <c r="I557" s="50" t="s">
        <v>291</v>
      </c>
      <c r="J557" s="51">
        <v>46094</v>
      </c>
      <c r="K557" s="50" t="s">
        <v>3</v>
      </c>
      <c r="L557" s="50" t="s">
        <v>80</v>
      </c>
    </row>
    <row r="558" spans="2:12">
      <c r="B558" s="50" t="s">
        <v>385</v>
      </c>
      <c r="C558" s="50" t="s">
        <v>56</v>
      </c>
      <c r="D558" s="50" t="s">
        <v>41</v>
      </c>
      <c r="E558" s="50">
        <v>50036298</v>
      </c>
      <c r="F558" s="50" t="s">
        <v>102</v>
      </c>
      <c r="G558" s="50">
        <v>1</v>
      </c>
      <c r="H558" s="50" t="s">
        <v>2</v>
      </c>
      <c r="I558" s="50" t="s">
        <v>291</v>
      </c>
      <c r="J558" s="51">
        <v>46094</v>
      </c>
      <c r="K558" s="50" t="s">
        <v>1</v>
      </c>
      <c r="L558" s="50" t="s">
        <v>80</v>
      </c>
    </row>
    <row r="559" spans="2:12">
      <c r="B559" s="50" t="s">
        <v>385</v>
      </c>
      <c r="C559" s="50" t="s">
        <v>56</v>
      </c>
      <c r="D559" s="50" t="s">
        <v>41</v>
      </c>
      <c r="E559" s="50">
        <v>50036298</v>
      </c>
      <c r="F559" s="50" t="s">
        <v>102</v>
      </c>
      <c r="G559" s="50">
        <v>1</v>
      </c>
      <c r="H559" s="50" t="s">
        <v>2</v>
      </c>
      <c r="I559" s="50" t="s">
        <v>291</v>
      </c>
      <c r="J559" s="51">
        <v>46094</v>
      </c>
      <c r="K559" s="50" t="s">
        <v>3</v>
      </c>
      <c r="L559" s="50" t="s">
        <v>80</v>
      </c>
    </row>
    <row r="560" spans="2:12">
      <c r="B560" s="50" t="s">
        <v>363</v>
      </c>
      <c r="C560" s="50" t="s">
        <v>26</v>
      </c>
      <c r="D560" s="50" t="s">
        <v>41</v>
      </c>
      <c r="E560" s="50">
        <v>50039065</v>
      </c>
      <c r="F560" s="50" t="s">
        <v>186</v>
      </c>
      <c r="G560" s="50">
        <v>1</v>
      </c>
      <c r="H560" s="50" t="s">
        <v>2</v>
      </c>
      <c r="I560" s="50" t="s">
        <v>291</v>
      </c>
      <c r="J560" s="51">
        <v>46094</v>
      </c>
      <c r="K560" s="50" t="s">
        <v>1</v>
      </c>
      <c r="L560" s="50" t="s">
        <v>80</v>
      </c>
    </row>
    <row r="561" spans="2:12">
      <c r="B561" s="50" t="s">
        <v>363</v>
      </c>
      <c r="C561" s="50" t="s">
        <v>26</v>
      </c>
      <c r="D561" s="50" t="s">
        <v>41</v>
      </c>
      <c r="E561" s="50">
        <v>50039065</v>
      </c>
      <c r="F561" s="50" t="s">
        <v>186</v>
      </c>
      <c r="G561" s="50">
        <v>1</v>
      </c>
      <c r="H561" s="50" t="s">
        <v>2</v>
      </c>
      <c r="I561" s="50" t="s">
        <v>291</v>
      </c>
      <c r="J561" s="51">
        <v>46094</v>
      </c>
      <c r="K561" s="50" t="s">
        <v>3</v>
      </c>
      <c r="L561" s="50" t="s">
        <v>80</v>
      </c>
    </row>
    <row r="562" spans="2:12" ht="12" customHeight="1">
      <c r="B562" s="50" t="s">
        <v>427</v>
      </c>
      <c r="C562" s="50" t="s">
        <v>26</v>
      </c>
      <c r="D562" s="50" t="s">
        <v>27</v>
      </c>
      <c r="E562" s="50">
        <v>50038549</v>
      </c>
      <c r="F562" s="50" t="s">
        <v>173</v>
      </c>
      <c r="G562" s="50">
        <v>1</v>
      </c>
      <c r="H562" s="50" t="s">
        <v>2</v>
      </c>
      <c r="I562" s="50" t="s">
        <v>291</v>
      </c>
      <c r="J562" s="51">
        <v>46094</v>
      </c>
      <c r="K562" s="50" t="s">
        <v>1</v>
      </c>
      <c r="L562" s="50" t="s">
        <v>80</v>
      </c>
    </row>
    <row r="563" spans="2:12">
      <c r="B563" s="50" t="s">
        <v>427</v>
      </c>
      <c r="C563" s="50" t="s">
        <v>26</v>
      </c>
      <c r="D563" s="50" t="s">
        <v>27</v>
      </c>
      <c r="E563" s="50">
        <v>50038549</v>
      </c>
      <c r="F563" s="50" t="s">
        <v>173</v>
      </c>
      <c r="G563" s="50">
        <v>1</v>
      </c>
      <c r="H563" s="50" t="s">
        <v>2</v>
      </c>
      <c r="I563" s="50" t="s">
        <v>291</v>
      </c>
      <c r="J563" s="51">
        <v>46094</v>
      </c>
      <c r="K563" s="50" t="s">
        <v>3</v>
      </c>
      <c r="L563" s="50" t="s">
        <v>80</v>
      </c>
    </row>
    <row r="564" spans="2:12">
      <c r="B564" s="50" t="s">
        <v>438</v>
      </c>
      <c r="C564" s="50" t="s">
        <v>51</v>
      </c>
      <c r="D564" s="50" t="s">
        <v>27</v>
      </c>
      <c r="E564" s="50">
        <v>50041195</v>
      </c>
      <c r="F564" s="50" t="s">
        <v>206</v>
      </c>
      <c r="G564" s="50">
        <v>1</v>
      </c>
      <c r="H564" s="50" t="s">
        <v>2</v>
      </c>
      <c r="I564" s="50" t="s">
        <v>291</v>
      </c>
      <c r="J564" s="51">
        <v>46094</v>
      </c>
      <c r="K564" s="50" t="s">
        <v>1</v>
      </c>
      <c r="L564" s="50" t="s">
        <v>80</v>
      </c>
    </row>
    <row r="565" spans="2:12">
      <c r="B565" s="50" t="s">
        <v>438</v>
      </c>
      <c r="C565" s="50" t="s">
        <v>51</v>
      </c>
      <c r="D565" s="50" t="s">
        <v>27</v>
      </c>
      <c r="E565" s="50">
        <v>50041195</v>
      </c>
      <c r="F565" s="50" t="s">
        <v>206</v>
      </c>
      <c r="G565" s="50">
        <v>1</v>
      </c>
      <c r="H565" s="50" t="s">
        <v>2</v>
      </c>
      <c r="I565" s="50" t="s">
        <v>291</v>
      </c>
      <c r="J565" s="51">
        <v>46094</v>
      </c>
      <c r="K565" s="50" t="s">
        <v>3</v>
      </c>
      <c r="L565" s="50" t="s">
        <v>80</v>
      </c>
    </row>
    <row r="566" spans="2:12">
      <c r="B566" s="50" t="s">
        <v>438</v>
      </c>
      <c r="C566" s="50" t="s">
        <v>51</v>
      </c>
      <c r="D566" s="50" t="s">
        <v>27</v>
      </c>
      <c r="E566" s="50">
        <v>50003297</v>
      </c>
      <c r="F566" s="50" t="s">
        <v>158</v>
      </c>
      <c r="G566" s="50">
        <v>1</v>
      </c>
      <c r="H566" s="50" t="s">
        <v>2</v>
      </c>
      <c r="I566" s="50" t="s">
        <v>291</v>
      </c>
      <c r="J566" s="51">
        <v>46094</v>
      </c>
      <c r="K566" s="50" t="s">
        <v>1</v>
      </c>
      <c r="L566" s="50" t="s">
        <v>80</v>
      </c>
    </row>
    <row r="567" spans="2:12">
      <c r="B567" s="50" t="s">
        <v>438</v>
      </c>
      <c r="C567" s="50" t="s">
        <v>51</v>
      </c>
      <c r="D567" s="50" t="s">
        <v>27</v>
      </c>
      <c r="E567" s="50">
        <v>50003297</v>
      </c>
      <c r="F567" s="50" t="s">
        <v>158</v>
      </c>
      <c r="G567" s="50">
        <v>1</v>
      </c>
      <c r="H567" s="50" t="s">
        <v>2</v>
      </c>
      <c r="I567" s="50" t="s">
        <v>291</v>
      </c>
      <c r="J567" s="51">
        <v>46094</v>
      </c>
      <c r="K567" s="50" t="s">
        <v>3</v>
      </c>
      <c r="L567" s="50" t="s">
        <v>80</v>
      </c>
    </row>
    <row r="568" spans="2:12">
      <c r="B568" s="50" t="s">
        <v>438</v>
      </c>
      <c r="C568" s="50" t="s">
        <v>51</v>
      </c>
      <c r="D568" s="50" t="s">
        <v>27</v>
      </c>
      <c r="E568" s="50">
        <v>50046617</v>
      </c>
      <c r="F568" s="50" t="s">
        <v>365</v>
      </c>
      <c r="G568" s="50">
        <v>1</v>
      </c>
      <c r="H568" s="50" t="s">
        <v>2</v>
      </c>
      <c r="I568" s="50" t="s">
        <v>291</v>
      </c>
      <c r="J568" s="51">
        <v>46094</v>
      </c>
      <c r="K568" s="50" t="s">
        <v>1</v>
      </c>
      <c r="L568" s="50" t="s">
        <v>80</v>
      </c>
    </row>
    <row r="569" spans="2:12">
      <c r="B569" s="50" t="s">
        <v>438</v>
      </c>
      <c r="C569" s="50" t="s">
        <v>51</v>
      </c>
      <c r="D569" s="50" t="s">
        <v>27</v>
      </c>
      <c r="E569" s="50">
        <v>50046617</v>
      </c>
      <c r="F569" s="50" t="s">
        <v>365</v>
      </c>
      <c r="G569" s="50">
        <v>1</v>
      </c>
      <c r="H569" s="50" t="s">
        <v>2</v>
      </c>
      <c r="I569" s="50" t="s">
        <v>291</v>
      </c>
      <c r="J569" s="51">
        <v>46094</v>
      </c>
      <c r="K569" s="50" t="s">
        <v>3</v>
      </c>
      <c r="L569" s="50" t="s">
        <v>80</v>
      </c>
    </row>
    <row r="570" spans="2:12">
      <c r="B570" s="50" t="s">
        <v>399</v>
      </c>
      <c r="C570" s="50" t="s">
        <v>51</v>
      </c>
      <c r="D570" s="50" t="s">
        <v>27</v>
      </c>
      <c r="E570" s="50">
        <v>50038841</v>
      </c>
      <c r="F570" s="50" t="s">
        <v>180</v>
      </c>
      <c r="G570" s="50">
        <v>1</v>
      </c>
      <c r="H570" s="50" t="s">
        <v>2</v>
      </c>
      <c r="I570" s="50" t="s">
        <v>293</v>
      </c>
      <c r="J570" s="51">
        <v>46097</v>
      </c>
      <c r="K570" s="50" t="s">
        <v>1</v>
      </c>
      <c r="L570" s="50" t="s">
        <v>80</v>
      </c>
    </row>
    <row r="571" spans="2:12">
      <c r="B571" s="50" t="s">
        <v>399</v>
      </c>
      <c r="C571" s="50" t="s">
        <v>51</v>
      </c>
      <c r="D571" s="50" t="s">
        <v>27</v>
      </c>
      <c r="E571" s="50">
        <v>50039065</v>
      </c>
      <c r="F571" s="50" t="s">
        <v>186</v>
      </c>
      <c r="G571" s="50">
        <v>1</v>
      </c>
      <c r="H571" s="50" t="s">
        <v>2</v>
      </c>
      <c r="I571" s="50" t="s">
        <v>293</v>
      </c>
      <c r="J571" s="51">
        <v>46097</v>
      </c>
      <c r="K571" s="50" t="s">
        <v>1</v>
      </c>
      <c r="L571" s="50" t="s">
        <v>80</v>
      </c>
    </row>
    <row r="572" spans="2:12">
      <c r="B572" s="50" t="s">
        <v>399</v>
      </c>
      <c r="C572" s="50" t="s">
        <v>51</v>
      </c>
      <c r="D572" s="50" t="s">
        <v>27</v>
      </c>
      <c r="E572" s="50">
        <v>50004486</v>
      </c>
      <c r="F572" s="50" t="s">
        <v>221</v>
      </c>
      <c r="G572" s="50">
        <v>1</v>
      </c>
      <c r="H572" s="50" t="s">
        <v>2</v>
      </c>
      <c r="I572" s="50" t="s">
        <v>293</v>
      </c>
      <c r="J572" s="51">
        <v>46097</v>
      </c>
      <c r="K572" s="50" t="s">
        <v>1</v>
      </c>
      <c r="L572" s="50" t="s">
        <v>80</v>
      </c>
    </row>
    <row r="573" spans="2:12">
      <c r="B573" s="50" t="s">
        <v>481</v>
      </c>
      <c r="C573" s="50" t="s">
        <v>56</v>
      </c>
      <c r="D573" s="50" t="s">
        <v>27</v>
      </c>
      <c r="E573" s="50">
        <v>50041195</v>
      </c>
      <c r="F573" s="50" t="s">
        <v>206</v>
      </c>
      <c r="G573" s="50">
        <v>1</v>
      </c>
      <c r="H573" s="50" t="s">
        <v>2</v>
      </c>
      <c r="I573" s="50" t="s">
        <v>293</v>
      </c>
      <c r="J573" s="51">
        <v>46097</v>
      </c>
      <c r="K573" s="50" t="s">
        <v>1</v>
      </c>
      <c r="L573" s="50" t="s">
        <v>80</v>
      </c>
    </row>
    <row r="574" spans="2:12">
      <c r="B574" s="50" t="s">
        <v>394</v>
      </c>
      <c r="C574" s="50" t="s">
        <v>51</v>
      </c>
      <c r="D574" s="50" t="s">
        <v>27</v>
      </c>
      <c r="E574" s="50">
        <v>50046617</v>
      </c>
      <c r="F574" s="50" t="s">
        <v>365</v>
      </c>
      <c r="G574" s="50">
        <v>1</v>
      </c>
      <c r="H574" s="50" t="s">
        <v>2</v>
      </c>
      <c r="I574" s="50" t="s">
        <v>291</v>
      </c>
      <c r="J574" s="51">
        <v>46097</v>
      </c>
      <c r="K574" s="50" t="s">
        <v>1</v>
      </c>
      <c r="L574" s="50" t="s">
        <v>80</v>
      </c>
    </row>
    <row r="575" spans="2:12">
      <c r="B575" s="50" t="s">
        <v>394</v>
      </c>
      <c r="C575" s="50" t="s">
        <v>51</v>
      </c>
      <c r="D575" s="50" t="s">
        <v>27</v>
      </c>
      <c r="E575" s="50"/>
      <c r="F575" s="50"/>
      <c r="G575" s="50"/>
      <c r="H575" s="50" t="s">
        <v>2</v>
      </c>
      <c r="I575" s="50" t="s">
        <v>291</v>
      </c>
      <c r="J575" s="51">
        <v>46097</v>
      </c>
      <c r="K575" s="50" t="s">
        <v>3</v>
      </c>
      <c r="L575" s="50" t="s">
        <v>80</v>
      </c>
    </row>
    <row r="576" spans="2:12">
      <c r="B576" s="50" t="s">
        <v>410</v>
      </c>
      <c r="C576" s="50" t="s">
        <v>51</v>
      </c>
      <c r="D576" s="50" t="s">
        <v>27</v>
      </c>
      <c r="E576" s="50"/>
      <c r="F576" s="50"/>
      <c r="G576" s="50"/>
      <c r="H576" s="50" t="s">
        <v>2</v>
      </c>
      <c r="I576" s="50" t="s">
        <v>291</v>
      </c>
      <c r="J576" s="51">
        <v>46097</v>
      </c>
      <c r="K576" s="50" t="s">
        <v>3</v>
      </c>
      <c r="L576" s="50" t="s">
        <v>80</v>
      </c>
    </row>
    <row r="577" spans="2:12">
      <c r="B577" s="50" t="e">
        <v>#N/A</v>
      </c>
      <c r="C577" s="50" t="s">
        <v>327</v>
      </c>
      <c r="D577" s="50" t="s">
        <v>327</v>
      </c>
      <c r="E577" s="50"/>
      <c r="F577" s="50"/>
      <c r="G577" s="50"/>
      <c r="H577" s="50"/>
      <c r="I577" s="50"/>
      <c r="J577" s="51"/>
      <c r="K577" s="50"/>
      <c r="L577" s="50"/>
    </row>
    <row r="578" spans="2:12">
      <c r="B578" s="50" t="s">
        <v>386</v>
      </c>
      <c r="C578" s="50" t="s">
        <v>26</v>
      </c>
      <c r="D578" s="50" t="s">
        <v>27</v>
      </c>
      <c r="E578" s="50"/>
      <c r="F578" s="50"/>
      <c r="G578" s="50"/>
      <c r="H578" s="50" t="s">
        <v>2</v>
      </c>
      <c r="I578" s="50" t="s">
        <v>291</v>
      </c>
      <c r="J578" s="51">
        <v>46097</v>
      </c>
      <c r="K578" s="50" t="s">
        <v>1</v>
      </c>
      <c r="L578" s="50" t="s">
        <v>80</v>
      </c>
    </row>
    <row r="579" spans="2:12">
      <c r="B579" s="50" t="s">
        <v>363</v>
      </c>
      <c r="C579" s="50" t="s">
        <v>26</v>
      </c>
      <c r="D579" s="50" t="s">
        <v>41</v>
      </c>
      <c r="E579" s="50"/>
      <c r="F579" s="50"/>
      <c r="G579" s="50"/>
      <c r="H579" s="50" t="s">
        <v>2</v>
      </c>
      <c r="I579" s="50" t="s">
        <v>291</v>
      </c>
      <c r="J579" s="51">
        <v>46097</v>
      </c>
      <c r="K579" s="50" t="s">
        <v>3</v>
      </c>
      <c r="L579" s="50" t="s">
        <v>80</v>
      </c>
    </row>
    <row r="580" spans="2:12">
      <c r="B580" s="50" t="s">
        <v>483</v>
      </c>
      <c r="C580" s="50" t="s">
        <v>62</v>
      </c>
      <c r="D580" s="50" t="s">
        <v>27</v>
      </c>
      <c r="E580" s="50"/>
      <c r="F580" s="50"/>
      <c r="G580" s="50"/>
      <c r="H580" s="50" t="s">
        <v>2</v>
      </c>
      <c r="I580" s="50" t="s">
        <v>291</v>
      </c>
      <c r="J580" s="51">
        <v>46097</v>
      </c>
      <c r="K580" s="50" t="s">
        <v>1</v>
      </c>
      <c r="L580" s="50" t="s">
        <v>80</v>
      </c>
    </row>
    <row r="581" spans="2:12">
      <c r="B581" s="50" t="s">
        <v>478</v>
      </c>
      <c r="C581" s="50" t="s">
        <v>51</v>
      </c>
      <c r="D581" s="50" t="s">
        <v>27</v>
      </c>
      <c r="E581" s="50"/>
      <c r="F581" s="50"/>
      <c r="G581" s="50"/>
      <c r="H581" s="50" t="s">
        <v>2</v>
      </c>
      <c r="I581" s="50" t="s">
        <v>291</v>
      </c>
      <c r="J581" s="51">
        <v>46097</v>
      </c>
      <c r="K581" s="50" t="s">
        <v>3</v>
      </c>
      <c r="L581" s="50" t="s">
        <v>80</v>
      </c>
    </row>
    <row r="582" spans="2:12">
      <c r="B582" s="50" t="s">
        <v>386</v>
      </c>
      <c r="C582" s="50" t="s">
        <v>26</v>
      </c>
      <c r="D582" s="50" t="s">
        <v>27</v>
      </c>
      <c r="E582" s="50"/>
      <c r="F582" s="50"/>
      <c r="G582" s="50"/>
      <c r="H582" s="50" t="s">
        <v>2</v>
      </c>
      <c r="I582" s="50" t="s">
        <v>291</v>
      </c>
      <c r="J582" s="51">
        <v>46097</v>
      </c>
      <c r="K582" s="50" t="s">
        <v>3</v>
      </c>
      <c r="L582" s="50" t="s">
        <v>80</v>
      </c>
    </row>
    <row r="583" spans="2:12">
      <c r="B583" s="50" t="s">
        <v>385</v>
      </c>
      <c r="C583" s="50" t="s">
        <v>56</v>
      </c>
      <c r="D583" s="50" t="s">
        <v>41</v>
      </c>
      <c r="E583" s="50"/>
      <c r="F583" s="50"/>
      <c r="G583" s="50"/>
      <c r="H583" s="50" t="s">
        <v>2</v>
      </c>
      <c r="I583" s="50" t="s">
        <v>291</v>
      </c>
      <c r="J583" s="51">
        <v>46097</v>
      </c>
      <c r="K583" s="50" t="s">
        <v>3</v>
      </c>
      <c r="L583" s="50" t="s">
        <v>80</v>
      </c>
    </row>
    <row r="584" spans="2:12">
      <c r="B584" s="50" t="s">
        <v>409</v>
      </c>
      <c r="C584" s="50" t="s">
        <v>51</v>
      </c>
      <c r="D584" s="50" t="s">
        <v>27</v>
      </c>
      <c r="E584" s="50"/>
      <c r="F584" s="50"/>
      <c r="G584" s="50"/>
      <c r="H584" s="50" t="s">
        <v>2</v>
      </c>
      <c r="I584" s="50" t="s">
        <v>291</v>
      </c>
      <c r="J584" s="51">
        <v>46097</v>
      </c>
      <c r="K584" s="50" t="s">
        <v>3</v>
      </c>
      <c r="L584" s="50" t="s">
        <v>80</v>
      </c>
    </row>
    <row r="585" spans="2:12">
      <c r="B585" s="50" t="s">
        <v>420</v>
      </c>
      <c r="C585" s="50" t="s">
        <v>26</v>
      </c>
      <c r="D585" s="50" t="s">
        <v>41</v>
      </c>
      <c r="E585" s="50"/>
      <c r="F585" s="50"/>
      <c r="G585" s="50"/>
      <c r="H585" s="50" t="s">
        <v>2</v>
      </c>
      <c r="I585" s="50" t="s">
        <v>297</v>
      </c>
      <c r="J585" s="51">
        <v>46097</v>
      </c>
      <c r="K585" s="50" t="s">
        <v>3</v>
      </c>
      <c r="L585" s="50" t="s">
        <v>80</v>
      </c>
    </row>
    <row r="586" spans="2:12" ht="14.4">
      <c r="B586" s="50" t="s">
        <v>463</v>
      </c>
      <c r="C586" s="4"/>
      <c r="D586" s="50" t="s">
        <v>27</v>
      </c>
      <c r="E586" s="50">
        <v>50037903</v>
      </c>
      <c r="F586" s="50" t="s">
        <v>183</v>
      </c>
      <c r="G586" s="50">
        <v>1</v>
      </c>
      <c r="H586" s="50" t="s">
        <v>2</v>
      </c>
      <c r="I586" s="50" t="s">
        <v>297</v>
      </c>
      <c r="J586" s="51">
        <v>46097</v>
      </c>
      <c r="K586" s="50" t="s">
        <v>1</v>
      </c>
      <c r="L586" s="50" t="s">
        <v>80</v>
      </c>
    </row>
    <row r="587" spans="2:12">
      <c r="B587" s="50" t="s">
        <v>463</v>
      </c>
      <c r="C587" s="50" t="s">
        <v>56</v>
      </c>
      <c r="D587" s="50" t="s">
        <v>27</v>
      </c>
      <c r="E587" s="50">
        <v>50037903</v>
      </c>
      <c r="F587" s="50" t="s">
        <v>183</v>
      </c>
      <c r="G587" s="50">
        <v>1</v>
      </c>
      <c r="H587" s="50" t="s">
        <v>2</v>
      </c>
      <c r="I587" s="50" t="s">
        <v>297</v>
      </c>
      <c r="J587" s="51">
        <v>46097</v>
      </c>
      <c r="K587" s="50" t="s">
        <v>3</v>
      </c>
      <c r="L587" s="50" t="s">
        <v>80</v>
      </c>
    </row>
    <row r="588" spans="2:12">
      <c r="B588" s="50" t="s">
        <v>345</v>
      </c>
      <c r="C588" s="50" t="s">
        <v>62</v>
      </c>
      <c r="D588" s="50" t="s">
        <v>27</v>
      </c>
      <c r="E588" s="50">
        <v>50020624</v>
      </c>
      <c r="F588" s="50" t="s">
        <v>217</v>
      </c>
      <c r="G588" s="50">
        <v>1</v>
      </c>
      <c r="H588" s="50" t="s">
        <v>2</v>
      </c>
      <c r="I588" s="50" t="s">
        <v>297</v>
      </c>
      <c r="J588" s="51">
        <v>46097</v>
      </c>
      <c r="K588" s="50" t="s">
        <v>3</v>
      </c>
      <c r="L588" s="50" t="s">
        <v>80</v>
      </c>
    </row>
    <row r="589" spans="2:12">
      <c r="B589" s="50" t="s">
        <v>399</v>
      </c>
      <c r="C589" s="50" t="s">
        <v>51</v>
      </c>
      <c r="D589" s="50" t="s">
        <v>27</v>
      </c>
      <c r="E589" s="50">
        <v>50004486</v>
      </c>
      <c r="F589" s="50" t="s">
        <v>221</v>
      </c>
      <c r="G589" s="50">
        <v>1</v>
      </c>
      <c r="H589" s="50" t="s">
        <v>2</v>
      </c>
      <c r="I589" s="50" t="s">
        <v>297</v>
      </c>
      <c r="J589" s="51">
        <v>46097</v>
      </c>
      <c r="K589" s="50" t="s">
        <v>3</v>
      </c>
      <c r="L589" s="50" t="s">
        <v>80</v>
      </c>
    </row>
    <row r="590" spans="2:12">
      <c r="B590" s="50" t="s">
        <v>399</v>
      </c>
      <c r="C590" s="50" t="s">
        <v>51</v>
      </c>
      <c r="D590" s="50" t="s">
        <v>27</v>
      </c>
      <c r="E590" s="50">
        <v>50043471</v>
      </c>
      <c r="F590" s="50" t="s">
        <v>257</v>
      </c>
      <c r="G590" s="50">
        <v>1</v>
      </c>
      <c r="H590" s="50" t="s">
        <v>2</v>
      </c>
      <c r="I590" s="50" t="s">
        <v>297</v>
      </c>
      <c r="J590" s="51">
        <v>46097</v>
      </c>
      <c r="K590" s="50" t="s">
        <v>3</v>
      </c>
      <c r="L590" s="50" t="s">
        <v>80</v>
      </c>
    </row>
    <row r="591" spans="2:12">
      <c r="B591" s="50" t="s">
        <v>399</v>
      </c>
      <c r="C591" s="50" t="s">
        <v>51</v>
      </c>
      <c r="D591" s="50" t="s">
        <v>27</v>
      </c>
      <c r="E591" s="50">
        <v>50004486</v>
      </c>
      <c r="F591" s="50" t="s">
        <v>221</v>
      </c>
      <c r="G591" s="50">
        <v>1</v>
      </c>
      <c r="H591" s="50" t="s">
        <v>2</v>
      </c>
      <c r="I591" s="50" t="s">
        <v>297</v>
      </c>
      <c r="J591" s="51" t="s">
        <v>370</v>
      </c>
      <c r="K591" s="50" t="s">
        <v>3</v>
      </c>
      <c r="L591" s="50" t="s">
        <v>80</v>
      </c>
    </row>
    <row r="592" spans="2:12">
      <c r="B592" s="50" t="s">
        <v>399</v>
      </c>
      <c r="C592" s="50" t="s">
        <v>51</v>
      </c>
      <c r="D592" s="50" t="s">
        <v>27</v>
      </c>
      <c r="E592" s="50">
        <v>50039065</v>
      </c>
      <c r="F592" s="50" t="s">
        <v>186</v>
      </c>
      <c r="G592" s="50">
        <v>1</v>
      </c>
      <c r="H592" s="50" t="s">
        <v>2</v>
      </c>
      <c r="I592" s="50" t="s">
        <v>297</v>
      </c>
      <c r="J592" s="51">
        <v>46097</v>
      </c>
      <c r="K592" s="50" t="s">
        <v>3</v>
      </c>
      <c r="L592" s="50" t="s">
        <v>80</v>
      </c>
    </row>
    <row r="593" spans="2:12">
      <c r="B593" s="50" t="s">
        <v>399</v>
      </c>
      <c r="C593" s="50" t="s">
        <v>51</v>
      </c>
      <c r="D593" s="50" t="s">
        <v>27</v>
      </c>
      <c r="E593" s="50">
        <v>50038841</v>
      </c>
      <c r="F593" s="50" t="s">
        <v>180</v>
      </c>
      <c r="G593" s="50">
        <v>1</v>
      </c>
      <c r="H593" s="50" t="s">
        <v>2</v>
      </c>
      <c r="I593" s="50" t="s">
        <v>297</v>
      </c>
      <c r="J593" s="51">
        <v>46097</v>
      </c>
      <c r="K593" s="50" t="s">
        <v>3</v>
      </c>
      <c r="L593" s="50" t="s">
        <v>80</v>
      </c>
    </row>
    <row r="594" spans="2:12">
      <c r="B594" s="50" t="s">
        <v>481</v>
      </c>
      <c r="C594" s="50" t="s">
        <v>56</v>
      </c>
      <c r="D594" s="50" t="s">
        <v>27</v>
      </c>
      <c r="E594" s="50">
        <v>50041195</v>
      </c>
      <c r="F594" s="50" t="s">
        <v>206</v>
      </c>
      <c r="G594" s="50">
        <v>1</v>
      </c>
      <c r="H594" s="50" t="s">
        <v>2</v>
      </c>
      <c r="I594" s="50" t="s">
        <v>297</v>
      </c>
      <c r="J594" s="51">
        <v>46097</v>
      </c>
      <c r="K594" s="50" t="s">
        <v>3</v>
      </c>
      <c r="L594" s="50" t="s">
        <v>80</v>
      </c>
    </row>
    <row r="595" spans="2:12">
      <c r="B595" s="50" t="s">
        <v>422</v>
      </c>
      <c r="C595" s="50" t="s">
        <v>26</v>
      </c>
      <c r="D595" s="50" t="s">
        <v>41</v>
      </c>
      <c r="E595" s="50">
        <v>50037905</v>
      </c>
      <c r="F595" s="50" t="s">
        <v>150</v>
      </c>
      <c r="G595" s="50">
        <v>1</v>
      </c>
      <c r="H595" s="50" t="s">
        <v>2</v>
      </c>
      <c r="I595" s="50" t="s">
        <v>297</v>
      </c>
      <c r="J595" s="51">
        <v>46097</v>
      </c>
      <c r="K595" s="50" t="s">
        <v>3</v>
      </c>
      <c r="L595" s="50" t="s">
        <v>80</v>
      </c>
    </row>
    <row r="596" spans="2:12">
      <c r="B596" s="50" t="s">
        <v>469</v>
      </c>
      <c r="C596" s="50" t="s">
        <v>26</v>
      </c>
      <c r="D596" s="50" t="s">
        <v>39</v>
      </c>
      <c r="E596" s="50">
        <v>50037905</v>
      </c>
      <c r="F596" s="50" t="s">
        <v>150</v>
      </c>
      <c r="G596" s="50">
        <v>1</v>
      </c>
      <c r="H596" s="50" t="s">
        <v>2</v>
      </c>
      <c r="I596" s="50" t="s">
        <v>289</v>
      </c>
      <c r="J596" s="51">
        <v>46096</v>
      </c>
      <c r="K596" s="50" t="s">
        <v>1</v>
      </c>
      <c r="L596" s="50" t="s">
        <v>80</v>
      </c>
    </row>
    <row r="597" spans="2:12">
      <c r="B597" s="50" t="s">
        <v>469</v>
      </c>
      <c r="C597" s="50" t="s">
        <v>26</v>
      </c>
      <c r="D597" s="50" t="s">
        <v>39</v>
      </c>
      <c r="E597" s="50">
        <v>50037905</v>
      </c>
      <c r="F597" s="50" t="s">
        <v>150</v>
      </c>
      <c r="G597" s="50">
        <v>1</v>
      </c>
      <c r="H597" s="50" t="s">
        <v>2</v>
      </c>
      <c r="I597" s="50" t="s">
        <v>289</v>
      </c>
      <c r="J597" s="51">
        <v>46096</v>
      </c>
      <c r="K597" s="50" t="s">
        <v>3</v>
      </c>
      <c r="L597" s="50" t="s">
        <v>80</v>
      </c>
    </row>
    <row r="598" spans="2:12">
      <c r="B598" s="50" t="e">
        <v>#N/A</v>
      </c>
      <c r="C598" s="50" t="s">
        <v>369</v>
      </c>
      <c r="D598" s="50" t="s">
        <v>39</v>
      </c>
      <c r="E598" s="50">
        <v>50037905</v>
      </c>
      <c r="F598" s="50" t="s">
        <v>150</v>
      </c>
      <c r="G598" s="50">
        <v>1</v>
      </c>
      <c r="H598" s="50" t="s">
        <v>2</v>
      </c>
      <c r="I598" s="50" t="s">
        <v>289</v>
      </c>
      <c r="J598" s="51">
        <v>46096</v>
      </c>
      <c r="K598" s="50" t="s">
        <v>1</v>
      </c>
      <c r="L598" s="50" t="s">
        <v>80</v>
      </c>
    </row>
    <row r="599" spans="2:12">
      <c r="B599" s="50" t="s">
        <v>413</v>
      </c>
      <c r="C599" s="50" t="s">
        <v>51</v>
      </c>
      <c r="D599" s="50" t="s">
        <v>39</v>
      </c>
      <c r="E599" s="50">
        <v>50037892</v>
      </c>
      <c r="F599" s="50" t="s">
        <v>178</v>
      </c>
      <c r="G599" s="50">
        <v>1</v>
      </c>
      <c r="H599" s="50" t="s">
        <v>2</v>
      </c>
      <c r="I599" s="50" t="s">
        <v>289</v>
      </c>
      <c r="J599" s="51">
        <v>46095</v>
      </c>
      <c r="K599" s="50" t="s">
        <v>1</v>
      </c>
      <c r="L599" s="50" t="s">
        <v>80</v>
      </c>
    </row>
    <row r="600" spans="2:12">
      <c r="B600" s="50" t="s">
        <v>413</v>
      </c>
      <c r="C600" s="50" t="s">
        <v>51</v>
      </c>
      <c r="D600" s="50" t="s">
        <v>39</v>
      </c>
      <c r="E600" s="50">
        <v>50037892</v>
      </c>
      <c r="F600" s="50" t="s">
        <v>178</v>
      </c>
      <c r="G600" s="50">
        <v>1</v>
      </c>
      <c r="H600" s="50" t="s">
        <v>2</v>
      </c>
      <c r="I600" s="50" t="s">
        <v>289</v>
      </c>
      <c r="J600" s="51">
        <v>46095</v>
      </c>
      <c r="K600" s="50" t="s">
        <v>3</v>
      </c>
      <c r="L600" s="50" t="s">
        <v>80</v>
      </c>
    </row>
    <row r="601" spans="2:12">
      <c r="B601" s="50" t="s">
        <v>413</v>
      </c>
      <c r="C601" s="50" t="s">
        <v>51</v>
      </c>
      <c r="D601" s="50" t="s">
        <v>39</v>
      </c>
      <c r="E601" s="50">
        <v>50010031</v>
      </c>
      <c r="F601" s="50" t="s">
        <v>361</v>
      </c>
      <c r="G601" s="50">
        <v>1</v>
      </c>
      <c r="H601" s="50" t="s">
        <v>2</v>
      </c>
      <c r="I601" s="50" t="s">
        <v>289</v>
      </c>
      <c r="J601" s="51">
        <v>46094</v>
      </c>
      <c r="K601" s="50" t="s">
        <v>1</v>
      </c>
      <c r="L601" s="50" t="s">
        <v>80</v>
      </c>
    </row>
    <row r="602" spans="2:12">
      <c r="B602" s="50" t="s">
        <v>413</v>
      </c>
      <c r="C602" s="50" t="s">
        <v>51</v>
      </c>
      <c r="D602" s="50" t="s">
        <v>39</v>
      </c>
      <c r="E602" s="50">
        <v>50010031</v>
      </c>
      <c r="F602" s="50" t="s">
        <v>361</v>
      </c>
      <c r="G602" s="50">
        <v>1</v>
      </c>
      <c r="H602" s="50" t="s">
        <v>2</v>
      </c>
      <c r="I602" s="50" t="s">
        <v>289</v>
      </c>
      <c r="J602" s="51">
        <v>46094</v>
      </c>
      <c r="K602" s="50" t="s">
        <v>3</v>
      </c>
      <c r="L602" s="50" t="s">
        <v>80</v>
      </c>
    </row>
    <row r="603" spans="2:12">
      <c r="B603" s="50" t="s">
        <v>388</v>
      </c>
      <c r="C603" s="50" t="s">
        <v>56</v>
      </c>
      <c r="D603" s="50" t="s">
        <v>39</v>
      </c>
      <c r="E603" s="50">
        <v>50036298</v>
      </c>
      <c r="F603" s="50" t="s">
        <v>102</v>
      </c>
      <c r="G603" s="50">
        <v>1</v>
      </c>
      <c r="H603" s="50" t="s">
        <v>2</v>
      </c>
      <c r="I603" s="50" t="s">
        <v>289</v>
      </c>
      <c r="J603" s="51">
        <v>46094</v>
      </c>
      <c r="K603" s="50" t="s">
        <v>3</v>
      </c>
      <c r="L603" s="50" t="s">
        <v>80</v>
      </c>
    </row>
    <row r="604" spans="2:12">
      <c r="B604" s="50" t="s">
        <v>388</v>
      </c>
      <c r="C604" s="50" t="s">
        <v>56</v>
      </c>
      <c r="D604" s="50" t="s">
        <v>39</v>
      </c>
      <c r="E604" s="50">
        <v>50028220</v>
      </c>
      <c r="F604" s="50" t="s">
        <v>242</v>
      </c>
      <c r="G604" s="50">
        <v>1</v>
      </c>
      <c r="H604" s="50" t="s">
        <v>2</v>
      </c>
      <c r="I604" s="50" t="s">
        <v>289</v>
      </c>
      <c r="J604" s="51">
        <v>46094</v>
      </c>
      <c r="K604" s="50" t="s">
        <v>3</v>
      </c>
      <c r="L604" s="50" t="s">
        <v>80</v>
      </c>
    </row>
    <row r="605" spans="2:12">
      <c r="B605" s="50" t="s">
        <v>347</v>
      </c>
      <c r="C605" s="50" t="s">
        <v>26</v>
      </c>
      <c r="D605" s="50" t="s">
        <v>39</v>
      </c>
      <c r="E605" s="50">
        <v>50038549</v>
      </c>
      <c r="F605" s="50" t="s">
        <v>173</v>
      </c>
      <c r="G605" s="50">
        <v>1</v>
      </c>
      <c r="H605" s="50" t="s">
        <v>2</v>
      </c>
      <c r="I605" s="50" t="s">
        <v>289</v>
      </c>
      <c r="J605" s="51">
        <v>46094</v>
      </c>
      <c r="K605" s="50" t="s">
        <v>1</v>
      </c>
      <c r="L605" s="50" t="s">
        <v>80</v>
      </c>
    </row>
    <row r="606" spans="2:12">
      <c r="B606" s="50" t="s">
        <v>347</v>
      </c>
      <c r="C606" s="50" t="s">
        <v>26</v>
      </c>
      <c r="D606" s="50" t="s">
        <v>39</v>
      </c>
      <c r="E606" s="50">
        <v>50038549</v>
      </c>
      <c r="F606" s="50" t="s">
        <v>173</v>
      </c>
      <c r="G606" s="50">
        <v>1</v>
      </c>
      <c r="H606" s="50" t="s">
        <v>2</v>
      </c>
      <c r="I606" s="50" t="s">
        <v>289</v>
      </c>
      <c r="J606" s="51">
        <v>46094</v>
      </c>
      <c r="K606" s="50" t="s">
        <v>3</v>
      </c>
      <c r="L606" s="50" t="s">
        <v>80</v>
      </c>
    </row>
    <row r="607" spans="2:12">
      <c r="B607" s="50" t="s">
        <v>25</v>
      </c>
      <c r="C607" s="50" t="s">
        <v>26</v>
      </c>
      <c r="D607" s="50" t="s">
        <v>27</v>
      </c>
      <c r="E607" s="50">
        <v>50012902</v>
      </c>
      <c r="F607" s="50" t="s">
        <v>225</v>
      </c>
      <c r="G607" s="50">
        <v>1</v>
      </c>
      <c r="H607" s="50" t="s">
        <v>2</v>
      </c>
      <c r="I607" s="50" t="s">
        <v>289</v>
      </c>
      <c r="J607" s="51">
        <v>46094</v>
      </c>
      <c r="K607" s="50" t="s">
        <v>1</v>
      </c>
      <c r="L607" s="50" t="s">
        <v>80</v>
      </c>
    </row>
    <row r="608" spans="2:12">
      <c r="B608" s="50" t="s">
        <v>367</v>
      </c>
      <c r="C608" s="50" t="s">
        <v>56</v>
      </c>
      <c r="D608" s="50" t="s">
        <v>27</v>
      </c>
      <c r="E608" s="50">
        <v>50038600</v>
      </c>
      <c r="F608" s="50" t="s">
        <v>100</v>
      </c>
      <c r="G608" s="50">
        <v>1</v>
      </c>
      <c r="H608" s="50" t="s">
        <v>2</v>
      </c>
      <c r="I608" s="50" t="s">
        <v>289</v>
      </c>
      <c r="J608" s="51">
        <v>46094</v>
      </c>
      <c r="K608" s="50" t="s">
        <v>1</v>
      </c>
      <c r="L608" s="50" t="s">
        <v>80</v>
      </c>
    </row>
    <row r="609" spans="2:12">
      <c r="B609" s="50" t="s">
        <v>25</v>
      </c>
      <c r="C609" s="50" t="s">
        <v>26</v>
      </c>
      <c r="D609" s="50" t="s">
        <v>27</v>
      </c>
      <c r="E609" s="50">
        <v>50036255</v>
      </c>
      <c r="F609" s="50" t="s">
        <v>120</v>
      </c>
      <c r="G609" s="50">
        <v>1</v>
      </c>
      <c r="H609" s="50" t="s">
        <v>2</v>
      </c>
      <c r="I609" s="50" t="s">
        <v>289</v>
      </c>
      <c r="J609" s="51">
        <v>46094</v>
      </c>
      <c r="K609" s="50" t="s">
        <v>1</v>
      </c>
      <c r="L609" s="50" t="s">
        <v>80</v>
      </c>
    </row>
    <row r="610" spans="2:12">
      <c r="B610" s="50" t="s">
        <v>458</v>
      </c>
      <c r="C610" s="50" t="s">
        <v>26</v>
      </c>
      <c r="D610" s="50" t="s">
        <v>27</v>
      </c>
      <c r="E610" s="50">
        <v>50001740</v>
      </c>
      <c r="F610" s="50" t="s">
        <v>294</v>
      </c>
      <c r="G610" s="50">
        <v>1</v>
      </c>
      <c r="H610" s="50" t="s">
        <v>2</v>
      </c>
      <c r="I610" s="50" t="s">
        <v>289</v>
      </c>
      <c r="J610" s="51">
        <v>46094</v>
      </c>
      <c r="K610" s="50" t="s">
        <v>1</v>
      </c>
      <c r="L610" s="50" t="s">
        <v>80</v>
      </c>
    </row>
    <row r="611" spans="2:12">
      <c r="B611" s="50" t="s">
        <v>399</v>
      </c>
      <c r="C611" s="50" t="s">
        <v>51</v>
      </c>
      <c r="D611" s="50" t="s">
        <v>27</v>
      </c>
      <c r="E611" s="50">
        <v>50037903</v>
      </c>
      <c r="F611" s="50" t="s">
        <v>183</v>
      </c>
      <c r="G611" s="50">
        <v>1</v>
      </c>
      <c r="H611" s="50" t="s">
        <v>2</v>
      </c>
      <c r="I611" s="50" t="s">
        <v>289</v>
      </c>
      <c r="J611" s="51">
        <v>46094</v>
      </c>
      <c r="K611" s="50" t="s">
        <v>1</v>
      </c>
      <c r="L611" s="50" t="s">
        <v>80</v>
      </c>
    </row>
    <row r="612" spans="2:12">
      <c r="B612" s="50" t="s">
        <v>363</v>
      </c>
      <c r="C612" s="50" t="s">
        <v>26</v>
      </c>
      <c r="D612" s="50" t="s">
        <v>41</v>
      </c>
      <c r="E612" s="50">
        <v>50004486</v>
      </c>
      <c r="F612" s="50" t="s">
        <v>221</v>
      </c>
      <c r="G612" s="50">
        <v>1</v>
      </c>
      <c r="H612" s="50" t="s">
        <v>2</v>
      </c>
      <c r="I612" s="50" t="s">
        <v>289</v>
      </c>
      <c r="J612" s="51">
        <v>46094</v>
      </c>
      <c r="K612" s="50" t="s">
        <v>1</v>
      </c>
      <c r="L612" s="50" t="s">
        <v>80</v>
      </c>
    </row>
    <row r="613" spans="2:12">
      <c r="B613" s="50" t="s">
        <v>363</v>
      </c>
      <c r="C613" s="50" t="s">
        <v>26</v>
      </c>
      <c r="D613" s="50" t="s">
        <v>41</v>
      </c>
      <c r="E613" s="50">
        <v>50039065</v>
      </c>
      <c r="F613" s="50" t="s">
        <v>186</v>
      </c>
      <c r="G613" s="50">
        <v>1</v>
      </c>
      <c r="H613" s="50" t="s">
        <v>2</v>
      </c>
      <c r="I613" s="50" t="s">
        <v>289</v>
      </c>
      <c r="J613" s="51">
        <v>46094</v>
      </c>
      <c r="K613" s="50" t="s">
        <v>1</v>
      </c>
      <c r="L613" s="50" t="s">
        <v>80</v>
      </c>
    </row>
    <row r="614" spans="2:12">
      <c r="B614" s="50" t="s">
        <v>438</v>
      </c>
      <c r="C614" s="50" t="s">
        <v>51</v>
      </c>
      <c r="D614" s="50" t="s">
        <v>27</v>
      </c>
      <c r="E614" s="50">
        <v>50041195</v>
      </c>
      <c r="F614" s="50" t="s">
        <v>206</v>
      </c>
      <c r="G614" s="50">
        <v>1</v>
      </c>
      <c r="H614" s="50" t="s">
        <v>2</v>
      </c>
      <c r="I614" s="50" t="s">
        <v>289</v>
      </c>
      <c r="J614" s="51">
        <v>46094</v>
      </c>
      <c r="K614" s="50" t="s">
        <v>1</v>
      </c>
      <c r="L614" s="50" t="s">
        <v>80</v>
      </c>
    </row>
    <row r="615" spans="2:12">
      <c r="B615" s="50" t="s">
        <v>438</v>
      </c>
      <c r="C615" s="50" t="s">
        <v>51</v>
      </c>
      <c r="D615" s="50" t="s">
        <v>27</v>
      </c>
      <c r="E615" s="50">
        <v>50003297</v>
      </c>
      <c r="F615" s="50" t="s">
        <v>158</v>
      </c>
      <c r="G615" s="50">
        <v>1</v>
      </c>
      <c r="H615" s="50" t="s">
        <v>2</v>
      </c>
      <c r="I615" s="50" t="s">
        <v>289</v>
      </c>
      <c r="J615" s="51">
        <v>46094</v>
      </c>
      <c r="K615" s="50" t="s">
        <v>1</v>
      </c>
      <c r="L615" s="50" t="s">
        <v>80</v>
      </c>
    </row>
    <row r="616" spans="2:12">
      <c r="B616" s="50" t="s">
        <v>438</v>
      </c>
      <c r="C616" s="50" t="s">
        <v>51</v>
      </c>
      <c r="D616" s="50" t="s">
        <v>27</v>
      </c>
      <c r="E616" s="50">
        <v>50046617</v>
      </c>
      <c r="F616" s="50" t="s">
        <v>365</v>
      </c>
      <c r="G616" s="50">
        <v>1</v>
      </c>
      <c r="H616" s="50" t="s">
        <v>2</v>
      </c>
      <c r="I616" s="50" t="s">
        <v>289</v>
      </c>
      <c r="J616" s="51">
        <v>46094</v>
      </c>
      <c r="K616" s="50" t="s">
        <v>1</v>
      </c>
      <c r="L616" s="50" t="s">
        <v>80</v>
      </c>
    </row>
    <row r="617" spans="2:12">
      <c r="B617" s="50" t="s">
        <v>345</v>
      </c>
      <c r="C617" s="50" t="s">
        <v>62</v>
      </c>
      <c r="D617" s="50" t="s">
        <v>27</v>
      </c>
      <c r="E617" s="50">
        <v>50043471</v>
      </c>
      <c r="F617" s="50" t="s">
        <v>257</v>
      </c>
      <c r="G617" s="50">
        <v>1</v>
      </c>
      <c r="H617" s="50" t="s">
        <v>2</v>
      </c>
      <c r="I617" s="50" t="s">
        <v>289</v>
      </c>
      <c r="J617" s="51">
        <v>46094</v>
      </c>
      <c r="K617" s="50" t="s">
        <v>1</v>
      </c>
      <c r="L617" s="50" t="s">
        <v>80</v>
      </c>
    </row>
    <row r="618" spans="2:12">
      <c r="B618" s="50" t="s">
        <v>345</v>
      </c>
      <c r="C618" s="50" t="s">
        <v>62</v>
      </c>
      <c r="D618" s="50" t="s">
        <v>27</v>
      </c>
      <c r="E618" s="50">
        <v>50020623</v>
      </c>
      <c r="F618" s="50" t="s">
        <v>217</v>
      </c>
      <c r="G618" s="50">
        <v>1</v>
      </c>
      <c r="H618" s="50" t="s">
        <v>2</v>
      </c>
      <c r="I618" s="50" t="s">
        <v>289</v>
      </c>
      <c r="J618" s="51">
        <v>46094</v>
      </c>
      <c r="K618" s="50" t="s">
        <v>1</v>
      </c>
      <c r="L618" s="50" t="s">
        <v>80</v>
      </c>
    </row>
    <row r="619" spans="2:12">
      <c r="B619" s="50" t="s">
        <v>345</v>
      </c>
      <c r="C619" s="50" t="s">
        <v>62</v>
      </c>
      <c r="D619" s="50" t="s">
        <v>27</v>
      </c>
      <c r="E619" s="50">
        <v>50037892</v>
      </c>
      <c r="F619" s="50" t="s">
        <v>178</v>
      </c>
      <c r="G619" s="50">
        <v>1</v>
      </c>
      <c r="H619" s="50" t="s">
        <v>2</v>
      </c>
      <c r="I619" s="50" t="s">
        <v>289</v>
      </c>
      <c r="J619" s="51">
        <v>46094</v>
      </c>
      <c r="K619" s="50" t="s">
        <v>1</v>
      </c>
      <c r="L619" s="50" t="s">
        <v>80</v>
      </c>
    </row>
    <row r="620" spans="2:12">
      <c r="B620" s="50" t="s">
        <v>25</v>
      </c>
      <c r="C620" s="50" t="s">
        <v>26</v>
      </c>
      <c r="D620" s="50" t="s">
        <v>27</v>
      </c>
      <c r="E620" s="50">
        <v>50012902</v>
      </c>
      <c r="F620" s="50" t="s">
        <v>225</v>
      </c>
      <c r="G620" s="50">
        <v>1</v>
      </c>
      <c r="H620" s="50" t="s">
        <v>2</v>
      </c>
      <c r="I620" s="50" t="s">
        <v>291</v>
      </c>
      <c r="J620" s="51">
        <v>46094</v>
      </c>
      <c r="K620" s="50" t="s">
        <v>3</v>
      </c>
      <c r="L620" s="50" t="s">
        <v>80</v>
      </c>
    </row>
    <row r="621" spans="2:12">
      <c r="B621" s="50" t="s">
        <v>367</v>
      </c>
      <c r="C621" s="50" t="s">
        <v>56</v>
      </c>
      <c r="D621" s="50" t="s">
        <v>27</v>
      </c>
      <c r="E621" s="50">
        <v>50038600</v>
      </c>
      <c r="F621" s="50" t="s">
        <v>100</v>
      </c>
      <c r="G621" s="50">
        <v>1</v>
      </c>
      <c r="H621" s="50" t="s">
        <v>2</v>
      </c>
      <c r="I621" s="50" t="s">
        <v>291</v>
      </c>
      <c r="J621" s="51">
        <v>46094</v>
      </c>
      <c r="K621" s="50" t="s">
        <v>3</v>
      </c>
      <c r="L621" s="50" t="s">
        <v>80</v>
      </c>
    </row>
    <row r="622" spans="2:12">
      <c r="B622" s="50" t="s">
        <v>406</v>
      </c>
      <c r="C622" s="50" t="s">
        <v>26</v>
      </c>
      <c r="D622" s="50" t="s">
        <v>27</v>
      </c>
      <c r="E622" s="50">
        <v>50022878</v>
      </c>
      <c r="F622" s="50" t="s">
        <v>296</v>
      </c>
      <c r="G622" s="50">
        <v>1</v>
      </c>
      <c r="H622" s="50" t="s">
        <v>2</v>
      </c>
      <c r="I622" s="50" t="s">
        <v>291</v>
      </c>
      <c r="J622" s="51">
        <v>46094</v>
      </c>
      <c r="K622" s="50" t="s">
        <v>1</v>
      </c>
      <c r="L622" s="50" t="s">
        <v>80</v>
      </c>
    </row>
    <row r="623" spans="2:12">
      <c r="B623" s="50" t="s">
        <v>25</v>
      </c>
      <c r="C623" s="50" t="s">
        <v>26</v>
      </c>
      <c r="D623" s="50" t="s">
        <v>27</v>
      </c>
      <c r="E623" s="50">
        <v>50036255</v>
      </c>
      <c r="F623" s="50" t="s">
        <v>120</v>
      </c>
      <c r="G623" s="50">
        <v>1</v>
      </c>
      <c r="H623" s="50" t="s">
        <v>2</v>
      </c>
      <c r="I623" s="50" t="s">
        <v>291</v>
      </c>
      <c r="J623" s="51">
        <v>46094</v>
      </c>
      <c r="K623" s="50" t="s">
        <v>3</v>
      </c>
      <c r="L623" s="50" t="s">
        <v>80</v>
      </c>
    </row>
    <row r="624" spans="2:12">
      <c r="B624" s="50" t="s">
        <v>474</v>
      </c>
      <c r="C624" s="50" t="s">
        <v>51</v>
      </c>
      <c r="D624" s="50" t="s">
        <v>27</v>
      </c>
      <c r="E624" s="50">
        <v>50003296</v>
      </c>
      <c r="F624" s="50" t="s">
        <v>157</v>
      </c>
      <c r="G624" s="50">
        <v>1</v>
      </c>
      <c r="H624" s="50" t="s">
        <v>2</v>
      </c>
      <c r="I624" s="50" t="s">
        <v>291</v>
      </c>
      <c r="J624" s="51">
        <v>46094</v>
      </c>
      <c r="K624" s="50" t="s">
        <v>1</v>
      </c>
      <c r="L624" s="50" t="s">
        <v>80</v>
      </c>
    </row>
    <row r="625" spans="2:12">
      <c r="B625" s="50" t="s">
        <v>474</v>
      </c>
      <c r="C625" s="50" t="s">
        <v>51</v>
      </c>
      <c r="D625" s="50" t="s">
        <v>27</v>
      </c>
      <c r="E625" s="50">
        <v>50003296</v>
      </c>
      <c r="F625" s="50" t="s">
        <v>157</v>
      </c>
      <c r="G625" s="50">
        <v>1</v>
      </c>
      <c r="H625" s="50" t="s">
        <v>2</v>
      </c>
      <c r="I625" s="50" t="s">
        <v>291</v>
      </c>
      <c r="J625" s="51">
        <v>46094</v>
      </c>
      <c r="K625" s="50" t="s">
        <v>3</v>
      </c>
      <c r="L625" s="50" t="s">
        <v>80</v>
      </c>
    </row>
    <row r="626" spans="2:12">
      <c r="B626" s="50" t="s">
        <v>406</v>
      </c>
      <c r="C626" s="50" t="s">
        <v>26</v>
      </c>
      <c r="D626" s="50" t="s">
        <v>27</v>
      </c>
      <c r="E626" s="50">
        <v>50022878</v>
      </c>
      <c r="F626" s="50" t="s">
        <v>296</v>
      </c>
      <c r="G626" s="50">
        <v>1</v>
      </c>
      <c r="H626" s="50" t="s">
        <v>2</v>
      </c>
      <c r="I626" s="50" t="s">
        <v>291</v>
      </c>
      <c r="J626" s="51">
        <v>46094</v>
      </c>
      <c r="K626" s="50" t="s">
        <v>3</v>
      </c>
      <c r="L626" s="50" t="s">
        <v>80</v>
      </c>
    </row>
    <row r="627" spans="2:12">
      <c r="B627" s="50" t="s">
        <v>458</v>
      </c>
      <c r="C627" s="50" t="s">
        <v>26</v>
      </c>
      <c r="D627" s="50" t="s">
        <v>27</v>
      </c>
      <c r="E627" s="50">
        <v>50001740</v>
      </c>
      <c r="F627" s="50" t="s">
        <v>294</v>
      </c>
      <c r="G627" s="50">
        <v>1</v>
      </c>
      <c r="H627" s="50" t="s">
        <v>2</v>
      </c>
      <c r="I627" s="50" t="s">
        <v>291</v>
      </c>
      <c r="J627" s="51">
        <v>46094</v>
      </c>
      <c r="K627" s="50" t="s">
        <v>3</v>
      </c>
      <c r="L627" s="50" t="s">
        <v>80</v>
      </c>
    </row>
    <row r="628" spans="2:12">
      <c r="B628" s="50" t="s">
        <v>443</v>
      </c>
      <c r="C628" s="50" t="s">
        <v>56</v>
      </c>
      <c r="D628" s="50" t="s">
        <v>36</v>
      </c>
      <c r="E628" s="50">
        <v>50022923</v>
      </c>
      <c r="F628" s="50" t="s">
        <v>196</v>
      </c>
      <c r="G628" s="50">
        <v>1</v>
      </c>
      <c r="H628" s="50" t="s">
        <v>2</v>
      </c>
      <c r="I628" s="50" t="s">
        <v>291</v>
      </c>
      <c r="J628" s="51">
        <v>46094</v>
      </c>
      <c r="K628" s="50" t="s">
        <v>1</v>
      </c>
      <c r="L628" s="50" t="s">
        <v>80</v>
      </c>
    </row>
    <row r="629" spans="2:12">
      <c r="B629" s="50" t="s">
        <v>468</v>
      </c>
      <c r="C629" s="50" t="s">
        <v>56</v>
      </c>
      <c r="D629" s="50" t="s">
        <v>41</v>
      </c>
      <c r="E629" s="50">
        <v>50038549</v>
      </c>
      <c r="F629" s="50" t="s">
        <v>173</v>
      </c>
      <c r="G629" s="50">
        <v>1</v>
      </c>
      <c r="H629" s="50" t="s">
        <v>2</v>
      </c>
      <c r="I629" s="50" t="s">
        <v>291</v>
      </c>
      <c r="J629" s="51">
        <v>46094</v>
      </c>
      <c r="K629" s="50" t="s">
        <v>1</v>
      </c>
      <c r="L629" s="50" t="s">
        <v>80</v>
      </c>
    </row>
    <row r="630" spans="2:12">
      <c r="B630" s="50" t="s">
        <v>385</v>
      </c>
      <c r="C630" s="50" t="s">
        <v>56</v>
      </c>
      <c r="D630" s="50" t="s">
        <v>41</v>
      </c>
      <c r="E630" s="50">
        <v>50036298</v>
      </c>
      <c r="F630" s="50" t="s">
        <v>102</v>
      </c>
      <c r="G630" s="50">
        <v>1</v>
      </c>
      <c r="H630" s="50" t="s">
        <v>2</v>
      </c>
      <c r="I630" s="50" t="s">
        <v>291</v>
      </c>
      <c r="J630" s="51">
        <v>46094</v>
      </c>
      <c r="K630" s="50" t="s">
        <v>1</v>
      </c>
      <c r="L630" s="50" t="s">
        <v>80</v>
      </c>
    </row>
    <row r="631" spans="2:12">
      <c r="B631" s="50" t="s">
        <v>394</v>
      </c>
      <c r="C631" s="50" t="s">
        <v>51</v>
      </c>
      <c r="D631" s="50" t="s">
        <v>27</v>
      </c>
      <c r="E631" s="50">
        <v>50003296</v>
      </c>
      <c r="F631" s="50" t="s">
        <v>157</v>
      </c>
      <c r="G631" s="50">
        <v>1</v>
      </c>
      <c r="H631" s="50" t="s">
        <v>2</v>
      </c>
      <c r="I631" s="50" t="s">
        <v>291</v>
      </c>
      <c r="J631" s="51">
        <v>46094</v>
      </c>
      <c r="K631" s="50" t="s">
        <v>1</v>
      </c>
      <c r="L631" s="50" t="s">
        <v>80</v>
      </c>
    </row>
    <row r="632" spans="2:12">
      <c r="B632" s="50" t="s">
        <v>399</v>
      </c>
      <c r="C632" s="50" t="s">
        <v>51</v>
      </c>
      <c r="D632" s="50" t="s">
        <v>27</v>
      </c>
      <c r="E632" s="50">
        <v>50037903</v>
      </c>
      <c r="F632" s="50" t="s">
        <v>183</v>
      </c>
      <c r="G632" s="50">
        <v>1</v>
      </c>
      <c r="H632" s="50" t="s">
        <v>2</v>
      </c>
      <c r="I632" s="50" t="s">
        <v>291</v>
      </c>
      <c r="J632" s="51">
        <v>46094</v>
      </c>
      <c r="K632" s="50" t="s">
        <v>3</v>
      </c>
      <c r="L632" s="50" t="s">
        <v>80</v>
      </c>
    </row>
    <row r="633" spans="2:12">
      <c r="B633" s="50" t="s">
        <v>394</v>
      </c>
      <c r="C633" s="50" t="s">
        <v>51</v>
      </c>
      <c r="D633" s="50" t="s">
        <v>27</v>
      </c>
      <c r="E633" s="50">
        <v>50003296</v>
      </c>
      <c r="F633" s="50" t="s">
        <v>157</v>
      </c>
      <c r="G633" s="50">
        <v>1</v>
      </c>
      <c r="H633" s="50" t="s">
        <v>2</v>
      </c>
      <c r="I633" s="50" t="s">
        <v>291</v>
      </c>
      <c r="J633" s="51">
        <v>46094</v>
      </c>
      <c r="K633" s="50" t="s">
        <v>3</v>
      </c>
      <c r="L633" s="50" t="s">
        <v>80</v>
      </c>
    </row>
    <row r="634" spans="2:12">
      <c r="B634" s="50" t="s">
        <v>363</v>
      </c>
      <c r="C634" s="50" t="s">
        <v>26</v>
      </c>
      <c r="D634" s="50" t="s">
        <v>41</v>
      </c>
      <c r="E634" s="50">
        <v>50004486</v>
      </c>
      <c r="F634" s="50" t="s">
        <v>221</v>
      </c>
      <c r="G634" s="50">
        <v>1</v>
      </c>
      <c r="H634" s="50" t="s">
        <v>2</v>
      </c>
      <c r="I634" s="50" t="s">
        <v>288</v>
      </c>
      <c r="J634" s="51">
        <v>46094</v>
      </c>
      <c r="K634" s="50" t="s">
        <v>3</v>
      </c>
      <c r="L634" s="50" t="s">
        <v>80</v>
      </c>
    </row>
    <row r="635" spans="2:12">
      <c r="B635" s="50" t="s">
        <v>385</v>
      </c>
      <c r="C635" s="50" t="s">
        <v>56</v>
      </c>
      <c r="D635" s="50" t="s">
        <v>41</v>
      </c>
      <c r="E635" s="50">
        <v>50036298</v>
      </c>
      <c r="F635" s="50" t="s">
        <v>102</v>
      </c>
      <c r="G635" s="50">
        <v>1</v>
      </c>
      <c r="H635" s="50" t="s">
        <v>2</v>
      </c>
      <c r="I635" s="50" t="s">
        <v>288</v>
      </c>
      <c r="J635" s="51">
        <v>46094</v>
      </c>
      <c r="K635" s="50" t="s">
        <v>3</v>
      </c>
      <c r="L635" s="50" t="s">
        <v>80</v>
      </c>
    </row>
    <row r="636" spans="2:12">
      <c r="B636" s="50" t="s">
        <v>363</v>
      </c>
      <c r="C636" s="50" t="s">
        <v>26</v>
      </c>
      <c r="D636" s="50" t="s">
        <v>41</v>
      </c>
      <c r="E636" s="50">
        <v>50039065</v>
      </c>
      <c r="F636" s="50" t="s">
        <v>186</v>
      </c>
      <c r="G636" s="50">
        <v>1</v>
      </c>
      <c r="H636" s="50" t="s">
        <v>2</v>
      </c>
      <c r="I636" s="50" t="s">
        <v>288</v>
      </c>
      <c r="J636" s="51">
        <v>46094</v>
      </c>
      <c r="K636" s="50" t="s">
        <v>3</v>
      </c>
      <c r="L636" s="50" t="s">
        <v>80</v>
      </c>
    </row>
    <row r="637" spans="2:12">
      <c r="B637" s="50" t="s">
        <v>438</v>
      </c>
      <c r="C637" s="50" t="s">
        <v>51</v>
      </c>
      <c r="D637" s="50" t="s">
        <v>27</v>
      </c>
      <c r="E637" s="50">
        <v>50041195</v>
      </c>
      <c r="F637" s="50" t="s">
        <v>206</v>
      </c>
      <c r="G637" s="50">
        <v>1</v>
      </c>
      <c r="H637" s="50" t="s">
        <v>2</v>
      </c>
      <c r="I637" s="50" t="s">
        <v>288</v>
      </c>
      <c r="J637" s="51">
        <v>46094</v>
      </c>
      <c r="K637" s="50" t="s">
        <v>3</v>
      </c>
      <c r="L637" s="50" t="s">
        <v>80</v>
      </c>
    </row>
    <row r="638" spans="2:12">
      <c r="B638" s="50" t="s">
        <v>438</v>
      </c>
      <c r="C638" s="50" t="s">
        <v>51</v>
      </c>
      <c r="D638" s="50" t="s">
        <v>27</v>
      </c>
      <c r="E638" s="50">
        <v>50003297</v>
      </c>
      <c r="F638" s="50" t="s">
        <v>158</v>
      </c>
      <c r="G638" s="50">
        <v>1</v>
      </c>
      <c r="H638" s="50" t="s">
        <v>2</v>
      </c>
      <c r="I638" s="50" t="s">
        <v>288</v>
      </c>
      <c r="J638" s="51">
        <v>46094</v>
      </c>
      <c r="K638" s="50" t="s">
        <v>3</v>
      </c>
      <c r="L638" s="50" t="s">
        <v>80</v>
      </c>
    </row>
    <row r="639" spans="2:12">
      <c r="B639" s="50" t="s">
        <v>438</v>
      </c>
      <c r="C639" s="50" t="s">
        <v>51</v>
      </c>
      <c r="D639" s="50" t="s">
        <v>27</v>
      </c>
      <c r="E639" s="50">
        <v>50046617</v>
      </c>
      <c r="F639" s="50" t="s">
        <v>365</v>
      </c>
      <c r="G639" s="50">
        <v>1</v>
      </c>
      <c r="H639" s="50" t="s">
        <v>2</v>
      </c>
      <c r="I639" s="50" t="s">
        <v>290</v>
      </c>
      <c r="J639" s="51">
        <v>46094</v>
      </c>
      <c r="K639" s="50" t="s">
        <v>3</v>
      </c>
      <c r="L639" s="50" t="s">
        <v>80</v>
      </c>
    </row>
    <row r="640" spans="2:12">
      <c r="B640" s="50" t="s">
        <v>345</v>
      </c>
      <c r="C640" s="50" t="s">
        <v>62</v>
      </c>
      <c r="D640" s="50" t="s">
        <v>27</v>
      </c>
      <c r="E640" s="50">
        <v>50043471</v>
      </c>
      <c r="F640" s="50" t="s">
        <v>257</v>
      </c>
      <c r="G640" s="50">
        <v>1</v>
      </c>
      <c r="H640" s="50" t="s">
        <v>2</v>
      </c>
      <c r="I640" s="50" t="s">
        <v>288</v>
      </c>
      <c r="J640" s="51">
        <v>46094</v>
      </c>
      <c r="K640" s="50" t="s">
        <v>3</v>
      </c>
      <c r="L640" s="50" t="s">
        <v>80</v>
      </c>
    </row>
    <row r="641" spans="2:12">
      <c r="B641" s="50" t="s">
        <v>345</v>
      </c>
      <c r="C641" s="50" t="s">
        <v>62</v>
      </c>
      <c r="D641" s="50" t="s">
        <v>27</v>
      </c>
      <c r="E641" s="50">
        <v>50020623</v>
      </c>
      <c r="F641" s="50" t="s">
        <v>217</v>
      </c>
      <c r="G641" s="50">
        <v>1</v>
      </c>
      <c r="H641" s="50" t="s">
        <v>2</v>
      </c>
      <c r="I641" s="50" t="s">
        <v>288</v>
      </c>
      <c r="J641" s="51">
        <v>46094</v>
      </c>
      <c r="K641" s="50" t="s">
        <v>3</v>
      </c>
      <c r="L641" s="50" t="s">
        <v>80</v>
      </c>
    </row>
    <row r="642" spans="2:12">
      <c r="B642" s="50" t="s">
        <v>345</v>
      </c>
      <c r="C642" s="50" t="s">
        <v>62</v>
      </c>
      <c r="D642" s="50" t="s">
        <v>27</v>
      </c>
      <c r="E642" s="50">
        <v>50037892</v>
      </c>
      <c r="F642" s="50" t="s">
        <v>178</v>
      </c>
      <c r="G642" s="50">
        <v>1</v>
      </c>
      <c r="H642" s="50" t="s">
        <v>2</v>
      </c>
      <c r="I642" s="50" t="s">
        <v>288</v>
      </c>
      <c r="J642" s="51">
        <v>46094</v>
      </c>
      <c r="K642" s="50" t="s">
        <v>3</v>
      </c>
      <c r="L642" s="50" t="s">
        <v>80</v>
      </c>
    </row>
    <row r="643" spans="2:12">
      <c r="B643" s="50" t="s">
        <v>422</v>
      </c>
      <c r="C643" s="50" t="s">
        <v>26</v>
      </c>
      <c r="D643" s="50" t="s">
        <v>41</v>
      </c>
      <c r="E643" s="50">
        <v>50037905</v>
      </c>
      <c r="F643" s="50" t="s">
        <v>150</v>
      </c>
      <c r="G643" s="50">
        <v>1</v>
      </c>
      <c r="H643" s="50" t="s">
        <v>2</v>
      </c>
      <c r="I643" s="50" t="s">
        <v>288</v>
      </c>
      <c r="J643" s="51">
        <v>46094</v>
      </c>
      <c r="K643" s="50" t="s">
        <v>3</v>
      </c>
      <c r="L643" s="50" t="s">
        <v>80</v>
      </c>
    </row>
    <row r="644" spans="2:12">
      <c r="B644" s="50" t="s">
        <v>468</v>
      </c>
      <c r="C644" s="50" t="s">
        <v>56</v>
      </c>
      <c r="D644" s="50" t="s">
        <v>41</v>
      </c>
      <c r="E644" s="50">
        <v>50038549</v>
      </c>
      <c r="F644" s="50" t="s">
        <v>173</v>
      </c>
      <c r="G644" s="50">
        <v>1</v>
      </c>
      <c r="H644" s="50" t="s">
        <v>2</v>
      </c>
      <c r="I644" s="50" t="s">
        <v>288</v>
      </c>
      <c r="J644" s="51">
        <v>46094</v>
      </c>
      <c r="K644" s="50" t="s">
        <v>3</v>
      </c>
      <c r="L644" s="50" t="s">
        <v>80</v>
      </c>
    </row>
    <row r="645" spans="2:12">
      <c r="B645" s="50" t="s">
        <v>443</v>
      </c>
      <c r="C645" s="50" t="s">
        <v>56</v>
      </c>
      <c r="D645" s="50" t="s">
        <v>36</v>
      </c>
      <c r="E645" s="50">
        <v>50022923</v>
      </c>
      <c r="F645" s="50" t="s">
        <v>196</v>
      </c>
      <c r="G645" s="50">
        <v>1</v>
      </c>
      <c r="H645" s="50" t="s">
        <v>2</v>
      </c>
      <c r="I645" s="50" t="s">
        <v>288</v>
      </c>
      <c r="J645" s="51">
        <v>46094</v>
      </c>
      <c r="K645" s="50" t="s">
        <v>3</v>
      </c>
      <c r="L645" s="50" t="s">
        <v>80</v>
      </c>
    </row>
    <row r="646" spans="2:12">
      <c r="B646" s="50" t="s">
        <v>469</v>
      </c>
      <c r="C646" s="50" t="s">
        <v>26</v>
      </c>
      <c r="D646" s="50" t="s">
        <v>39</v>
      </c>
      <c r="E646" s="50">
        <v>50028220</v>
      </c>
      <c r="F646" s="50" t="s">
        <v>242</v>
      </c>
      <c r="G646" s="50">
        <v>1</v>
      </c>
      <c r="H646" s="50" t="s">
        <v>2</v>
      </c>
      <c r="I646" s="50" t="s">
        <v>289</v>
      </c>
      <c r="J646" s="51">
        <v>46093</v>
      </c>
      <c r="K646" s="50" t="s">
        <v>3</v>
      </c>
      <c r="L646" s="50"/>
    </row>
    <row r="647" spans="2:12">
      <c r="B647" s="50" t="s">
        <v>461</v>
      </c>
      <c r="C647" s="50" t="s">
        <v>26</v>
      </c>
      <c r="D647" s="50" t="s">
        <v>39</v>
      </c>
      <c r="E647" s="50">
        <v>50042283</v>
      </c>
      <c r="F647" s="50" t="s">
        <v>247</v>
      </c>
      <c r="G647" s="50">
        <v>1</v>
      </c>
      <c r="H647" s="50" t="s">
        <v>2</v>
      </c>
      <c r="I647" s="50" t="s">
        <v>289</v>
      </c>
      <c r="J647" s="51">
        <v>46093</v>
      </c>
      <c r="K647" s="50" t="s">
        <v>1</v>
      </c>
      <c r="L647" s="50"/>
    </row>
    <row r="648" spans="2:12">
      <c r="B648" s="50" t="s">
        <v>474</v>
      </c>
      <c r="C648" s="50" t="s">
        <v>51</v>
      </c>
      <c r="D648" s="50" t="s">
        <v>27</v>
      </c>
      <c r="E648" s="50">
        <v>50043471</v>
      </c>
      <c r="F648" s="50" t="s">
        <v>257</v>
      </c>
      <c r="G648" s="50">
        <v>1</v>
      </c>
      <c r="H648" s="50" t="s">
        <v>2</v>
      </c>
      <c r="I648" s="50" t="s">
        <v>289</v>
      </c>
      <c r="J648" s="51">
        <v>46093</v>
      </c>
      <c r="K648" s="50" t="s">
        <v>1</v>
      </c>
      <c r="L648" s="50"/>
    </row>
    <row r="649" spans="2:12">
      <c r="B649" s="50" t="s">
        <v>461</v>
      </c>
      <c r="C649" s="50" t="s">
        <v>26</v>
      </c>
      <c r="D649" s="50" t="s">
        <v>39</v>
      </c>
      <c r="E649" s="50">
        <v>50042283</v>
      </c>
      <c r="F649" s="50" t="s">
        <v>247</v>
      </c>
      <c r="G649" s="50">
        <v>1</v>
      </c>
      <c r="H649" s="50" t="s">
        <v>2</v>
      </c>
      <c r="I649" s="50" t="s">
        <v>289</v>
      </c>
      <c r="J649" s="51">
        <v>46093</v>
      </c>
      <c r="K649" s="50" t="s">
        <v>3</v>
      </c>
      <c r="L649" s="50"/>
    </row>
    <row r="650" spans="2:12">
      <c r="B650" s="50" t="s">
        <v>345</v>
      </c>
      <c r="C650" s="50" t="s">
        <v>62</v>
      </c>
      <c r="D650" s="50" t="s">
        <v>27</v>
      </c>
      <c r="E650" s="50">
        <v>50038518</v>
      </c>
      <c r="F650" s="50" t="s">
        <v>340</v>
      </c>
      <c r="G650" s="50">
        <v>1</v>
      </c>
      <c r="H650" s="50" t="s">
        <v>2</v>
      </c>
      <c r="I650" s="50" t="s">
        <v>289</v>
      </c>
      <c r="J650" s="51">
        <v>46093</v>
      </c>
      <c r="K650" s="50" t="s">
        <v>1</v>
      </c>
      <c r="L650" s="50" t="s">
        <v>80</v>
      </c>
    </row>
    <row r="651" spans="2:12">
      <c r="B651" s="50" t="s">
        <v>471</v>
      </c>
      <c r="C651" s="50" t="s">
        <v>26</v>
      </c>
      <c r="D651" s="50" t="s">
        <v>39</v>
      </c>
      <c r="E651" s="50">
        <v>50037892</v>
      </c>
      <c r="F651" s="50" t="s">
        <v>178</v>
      </c>
      <c r="G651" s="50">
        <v>1</v>
      </c>
      <c r="H651" s="50" t="s">
        <v>2</v>
      </c>
      <c r="I651" s="50" t="s">
        <v>289</v>
      </c>
      <c r="J651" s="51">
        <v>46093</v>
      </c>
      <c r="K651" s="50" t="s">
        <v>1</v>
      </c>
      <c r="L651" s="50" t="s">
        <v>80</v>
      </c>
    </row>
    <row r="652" spans="2:12">
      <c r="B652" s="50" t="s">
        <v>474</v>
      </c>
      <c r="C652" s="50" t="s">
        <v>51</v>
      </c>
      <c r="D652" s="50" t="s">
        <v>27</v>
      </c>
      <c r="E652" s="50">
        <v>50046617</v>
      </c>
      <c r="F652" s="50" t="s">
        <v>365</v>
      </c>
      <c r="G652" s="50">
        <v>1</v>
      </c>
      <c r="H652" s="50" t="s">
        <v>2</v>
      </c>
      <c r="I652" s="50" t="s">
        <v>289</v>
      </c>
      <c r="J652" s="51">
        <v>46093</v>
      </c>
      <c r="K652" s="50" t="s">
        <v>1</v>
      </c>
      <c r="L652" s="50" t="s">
        <v>80</v>
      </c>
    </row>
    <row r="653" spans="2:12">
      <c r="B653" s="50" t="s">
        <v>399</v>
      </c>
      <c r="C653" s="50" t="s">
        <v>51</v>
      </c>
      <c r="D653" s="50" t="s">
        <v>27</v>
      </c>
      <c r="E653" s="50">
        <v>50039065</v>
      </c>
      <c r="F653" s="50" t="s">
        <v>186</v>
      </c>
      <c r="G653" s="50">
        <v>1</v>
      </c>
      <c r="H653" s="50" t="s">
        <v>2</v>
      </c>
      <c r="I653" s="50" t="s">
        <v>289</v>
      </c>
      <c r="J653" s="51">
        <v>46093</v>
      </c>
      <c r="K653" s="50" t="s">
        <v>1</v>
      </c>
      <c r="L653" s="50" t="s">
        <v>80</v>
      </c>
    </row>
    <row r="654" spans="2:12">
      <c r="B654" s="50" t="s">
        <v>399</v>
      </c>
      <c r="C654" s="50" t="s">
        <v>51</v>
      </c>
      <c r="D654" s="50" t="s">
        <v>27</v>
      </c>
      <c r="E654" s="50">
        <v>50004486</v>
      </c>
      <c r="F654" s="50" t="s">
        <v>221</v>
      </c>
      <c r="G654" s="50">
        <v>1</v>
      </c>
      <c r="H654" s="50" t="s">
        <v>2</v>
      </c>
      <c r="I654" s="50" t="s">
        <v>289</v>
      </c>
      <c r="J654" s="51">
        <v>46093</v>
      </c>
      <c r="K654" s="50" t="s">
        <v>1</v>
      </c>
      <c r="L654" s="50" t="s">
        <v>80</v>
      </c>
    </row>
    <row r="655" spans="2:12">
      <c r="B655" s="50" t="s">
        <v>399</v>
      </c>
      <c r="C655" s="50" t="s">
        <v>51</v>
      </c>
      <c r="D655" s="50" t="s">
        <v>27</v>
      </c>
      <c r="E655" s="50">
        <v>50038517</v>
      </c>
      <c r="F655" s="50" t="s">
        <v>181</v>
      </c>
      <c r="G655" s="50">
        <v>1</v>
      </c>
      <c r="H655" s="50" t="s">
        <v>2</v>
      </c>
      <c r="I655" s="50" t="s">
        <v>289</v>
      </c>
      <c r="J655" s="51">
        <v>46093</v>
      </c>
      <c r="K655" s="50" t="s">
        <v>1</v>
      </c>
      <c r="L655" s="50" t="s">
        <v>80</v>
      </c>
    </row>
    <row r="656" spans="2:12">
      <c r="B656" s="50" t="s">
        <v>316</v>
      </c>
      <c r="C656" s="50" t="s">
        <v>56</v>
      </c>
      <c r="D656" s="50" t="s">
        <v>27</v>
      </c>
      <c r="E656" s="50">
        <v>50003296</v>
      </c>
      <c r="F656" s="50" t="s">
        <v>157</v>
      </c>
      <c r="G656" s="50">
        <v>1</v>
      </c>
      <c r="H656" s="50" t="s">
        <v>2</v>
      </c>
      <c r="I656" s="50" t="s">
        <v>289</v>
      </c>
      <c r="J656" s="51">
        <v>46093</v>
      </c>
      <c r="K656" s="50" t="s">
        <v>1</v>
      </c>
      <c r="L656" s="50" t="s">
        <v>80</v>
      </c>
    </row>
    <row r="657" spans="2:12">
      <c r="B657" s="50" t="s">
        <v>427</v>
      </c>
      <c r="C657" s="50" t="s">
        <v>26</v>
      </c>
      <c r="D657" s="50" t="s">
        <v>27</v>
      </c>
      <c r="E657" s="50">
        <v>50042283</v>
      </c>
      <c r="F657" s="50" t="s">
        <v>247</v>
      </c>
      <c r="G657" s="50">
        <v>1</v>
      </c>
      <c r="H657" s="50" t="s">
        <v>2</v>
      </c>
      <c r="I657" s="50" t="s">
        <v>289</v>
      </c>
      <c r="J657" s="51">
        <v>46093</v>
      </c>
      <c r="K657" s="50" t="s">
        <v>1</v>
      </c>
      <c r="L657" s="50" t="s">
        <v>80</v>
      </c>
    </row>
    <row r="658" spans="2:12">
      <c r="B658" s="50" t="s">
        <v>474</v>
      </c>
      <c r="C658" s="50" t="s">
        <v>51</v>
      </c>
      <c r="D658" s="50" t="s">
        <v>27</v>
      </c>
      <c r="E658" s="50">
        <v>50041195</v>
      </c>
      <c r="F658" s="50" t="s">
        <v>206</v>
      </c>
      <c r="G658" s="50">
        <v>1</v>
      </c>
      <c r="H658" s="50" t="s">
        <v>2</v>
      </c>
      <c r="I658" s="50" t="s">
        <v>292</v>
      </c>
      <c r="J658" s="51">
        <v>46093</v>
      </c>
      <c r="K658" s="50" t="s">
        <v>1</v>
      </c>
      <c r="L658" s="50" t="s">
        <v>80</v>
      </c>
    </row>
    <row r="659" spans="2:12">
      <c r="B659" s="50" t="s">
        <v>474</v>
      </c>
      <c r="C659" s="50" t="s">
        <v>51</v>
      </c>
      <c r="D659" s="50" t="s">
        <v>27</v>
      </c>
      <c r="E659" s="50">
        <v>50041195</v>
      </c>
      <c r="F659" s="50" t="s">
        <v>206</v>
      </c>
      <c r="G659" s="50">
        <v>1</v>
      </c>
      <c r="H659" s="50" t="s">
        <v>2</v>
      </c>
      <c r="I659" s="50" t="s">
        <v>292</v>
      </c>
      <c r="J659" s="51">
        <v>46093</v>
      </c>
      <c r="K659" s="50" t="s">
        <v>3</v>
      </c>
      <c r="L659" s="50" t="s">
        <v>80</v>
      </c>
    </row>
    <row r="660" spans="2:12">
      <c r="B660" s="50" t="s">
        <v>483</v>
      </c>
      <c r="C660" s="50" t="s">
        <v>62</v>
      </c>
      <c r="D660" s="50" t="s">
        <v>27</v>
      </c>
      <c r="E660" s="50">
        <v>50038841</v>
      </c>
      <c r="F660" s="50" t="s">
        <v>180</v>
      </c>
      <c r="G660" s="50">
        <v>1</v>
      </c>
      <c r="H660" s="50" t="s">
        <v>2</v>
      </c>
      <c r="I660" s="50" t="s">
        <v>292</v>
      </c>
      <c r="J660" s="51">
        <v>46093</v>
      </c>
      <c r="K660" s="50" t="s">
        <v>1</v>
      </c>
      <c r="L660" s="50" t="s">
        <v>80</v>
      </c>
    </row>
    <row r="661" spans="2:12">
      <c r="B661" s="50" t="s">
        <v>481</v>
      </c>
      <c r="C661" s="50" t="s">
        <v>56</v>
      </c>
      <c r="D661" s="50" t="s">
        <v>27</v>
      </c>
      <c r="E661" s="50">
        <v>50010031</v>
      </c>
      <c r="F661" s="50" t="s">
        <v>89</v>
      </c>
      <c r="G661" s="50">
        <v>1</v>
      </c>
      <c r="H661" s="50" t="s">
        <v>2</v>
      </c>
      <c r="I661" s="50" t="s">
        <v>292</v>
      </c>
      <c r="J661" s="51">
        <v>46093</v>
      </c>
      <c r="K661" s="50" t="s">
        <v>1</v>
      </c>
      <c r="L661" s="50" t="s">
        <v>80</v>
      </c>
    </row>
    <row r="662" spans="2:12">
      <c r="B662" s="50" t="s">
        <v>368</v>
      </c>
      <c r="C662" s="50" t="s">
        <v>51</v>
      </c>
      <c r="D662" s="50">
        <v>0</v>
      </c>
      <c r="E662" s="50">
        <v>50020624</v>
      </c>
      <c r="F662" s="50" t="s">
        <v>217</v>
      </c>
      <c r="G662" s="50">
        <v>1</v>
      </c>
      <c r="H662" s="50" t="s">
        <v>2</v>
      </c>
      <c r="I662" s="50" t="s">
        <v>291</v>
      </c>
      <c r="J662" s="51">
        <v>46093</v>
      </c>
      <c r="K662" s="50" t="s">
        <v>1</v>
      </c>
      <c r="L662" s="50" t="s">
        <v>80</v>
      </c>
    </row>
    <row r="663" spans="2:12">
      <c r="B663" s="50" t="s">
        <v>368</v>
      </c>
      <c r="C663" s="50" t="s">
        <v>51</v>
      </c>
      <c r="D663" s="50">
        <v>0</v>
      </c>
      <c r="E663" s="50">
        <v>50020624</v>
      </c>
      <c r="F663" s="50" t="s">
        <v>217</v>
      </c>
      <c r="G663" s="50">
        <v>1</v>
      </c>
      <c r="H663" s="50" t="s">
        <v>2</v>
      </c>
      <c r="I663" s="50" t="s">
        <v>291</v>
      </c>
      <c r="J663" s="51">
        <v>46093</v>
      </c>
      <c r="K663" s="50" t="s">
        <v>3</v>
      </c>
      <c r="L663" s="50" t="s">
        <v>80</v>
      </c>
    </row>
    <row r="664" spans="2:12">
      <c r="B664" s="50" t="s">
        <v>385</v>
      </c>
      <c r="C664" s="50" t="s">
        <v>56</v>
      </c>
      <c r="D664" s="50" t="s">
        <v>41</v>
      </c>
      <c r="E664" s="50">
        <v>50036298</v>
      </c>
      <c r="F664" s="50" t="s">
        <v>102</v>
      </c>
      <c r="G664" s="50">
        <v>1</v>
      </c>
      <c r="H664" s="50" t="s">
        <v>2</v>
      </c>
      <c r="I664" s="50" t="s">
        <v>291</v>
      </c>
      <c r="J664" s="51">
        <v>46093</v>
      </c>
      <c r="K664" s="50" t="s">
        <v>1</v>
      </c>
      <c r="L664" s="50" t="s">
        <v>80</v>
      </c>
    </row>
    <row r="665" spans="2:12">
      <c r="B665" s="50" t="s">
        <v>345</v>
      </c>
      <c r="C665" s="50" t="s">
        <v>62</v>
      </c>
      <c r="D665" s="50" t="s">
        <v>27</v>
      </c>
      <c r="E665" s="50">
        <v>50038518</v>
      </c>
      <c r="F665" s="50" t="s">
        <v>340</v>
      </c>
      <c r="G665" s="50">
        <v>1</v>
      </c>
      <c r="H665" s="50" t="s">
        <v>2</v>
      </c>
      <c r="I665" s="50" t="s">
        <v>291</v>
      </c>
      <c r="J665" s="51">
        <v>46093</v>
      </c>
      <c r="K665" s="50" t="s">
        <v>3</v>
      </c>
      <c r="L665" s="50" t="s">
        <v>80</v>
      </c>
    </row>
    <row r="666" spans="2:12">
      <c r="B666" s="50" t="s">
        <v>471</v>
      </c>
      <c r="C666" s="50" t="s">
        <v>26</v>
      </c>
      <c r="D666" s="50" t="s">
        <v>39</v>
      </c>
      <c r="E666" s="50">
        <v>50037892</v>
      </c>
      <c r="F666" s="50" t="s">
        <v>178</v>
      </c>
      <c r="G666" s="50">
        <v>1</v>
      </c>
      <c r="H666" s="50" t="s">
        <v>2</v>
      </c>
      <c r="I666" s="50" t="s">
        <v>291</v>
      </c>
      <c r="J666" s="51">
        <v>46093</v>
      </c>
      <c r="K666" s="50" t="s">
        <v>3</v>
      </c>
      <c r="L666" s="50" t="s">
        <v>80</v>
      </c>
    </row>
    <row r="667" spans="2:12">
      <c r="B667" s="50" t="s">
        <v>418</v>
      </c>
      <c r="C667" s="50" t="s">
        <v>26</v>
      </c>
      <c r="D667" s="50" t="s">
        <v>27</v>
      </c>
      <c r="E667" s="50">
        <v>50022878</v>
      </c>
      <c r="F667" s="50" t="s">
        <v>296</v>
      </c>
      <c r="G667" s="50">
        <v>1</v>
      </c>
      <c r="H667" s="50" t="s">
        <v>2</v>
      </c>
      <c r="I667" s="50" t="s">
        <v>291</v>
      </c>
      <c r="J667" s="51">
        <v>46093</v>
      </c>
      <c r="K667" s="50" t="s">
        <v>1</v>
      </c>
      <c r="L667" s="50" t="s">
        <v>80</v>
      </c>
    </row>
    <row r="668" spans="2:12">
      <c r="B668" s="50" t="s">
        <v>418</v>
      </c>
      <c r="C668" s="50" t="s">
        <v>26</v>
      </c>
      <c r="D668" s="50" t="s">
        <v>27</v>
      </c>
      <c r="E668" s="50">
        <v>50022878</v>
      </c>
      <c r="F668" s="50" t="s">
        <v>296</v>
      </c>
      <c r="G668" s="50">
        <v>1</v>
      </c>
      <c r="H668" s="50" t="s">
        <v>2</v>
      </c>
      <c r="I668" s="50" t="s">
        <v>291</v>
      </c>
      <c r="J668" s="51">
        <v>46093</v>
      </c>
      <c r="K668" s="50" t="s">
        <v>3</v>
      </c>
      <c r="L668" s="50" t="s">
        <v>80</v>
      </c>
    </row>
    <row r="669" spans="2:12">
      <c r="B669" s="50" t="s">
        <v>439</v>
      </c>
      <c r="C669" s="50" t="s">
        <v>62</v>
      </c>
      <c r="D669" s="50" t="s">
        <v>27</v>
      </c>
      <c r="E669" s="50">
        <v>50036086</v>
      </c>
      <c r="F669" s="50" t="s">
        <v>28</v>
      </c>
      <c r="G669" s="50">
        <v>1</v>
      </c>
      <c r="H669" s="50" t="s">
        <v>2</v>
      </c>
      <c r="I669" s="50" t="s">
        <v>290</v>
      </c>
      <c r="J669" s="51">
        <v>46093</v>
      </c>
      <c r="K669" s="50" t="s">
        <v>1</v>
      </c>
      <c r="L669" s="50" t="s">
        <v>80</v>
      </c>
    </row>
    <row r="670" spans="2:12">
      <c r="B670" s="50" t="s">
        <v>366</v>
      </c>
      <c r="C670" s="50" t="s">
        <v>56</v>
      </c>
      <c r="D670" s="50" t="s">
        <v>27</v>
      </c>
      <c r="E670" s="50">
        <v>50003297</v>
      </c>
      <c r="F670" s="50" t="s">
        <v>158</v>
      </c>
      <c r="G670" s="50">
        <v>1</v>
      </c>
      <c r="H670" s="50" t="s">
        <v>2</v>
      </c>
      <c r="I670" s="50" t="s">
        <v>288</v>
      </c>
      <c r="J670" s="51">
        <v>46093</v>
      </c>
      <c r="K670" s="50" t="s">
        <v>1</v>
      </c>
      <c r="L670" s="50" t="s">
        <v>80</v>
      </c>
    </row>
    <row r="671" spans="2:12">
      <c r="B671" s="50" t="s">
        <v>483</v>
      </c>
      <c r="C671" s="50" t="s">
        <v>62</v>
      </c>
      <c r="D671" s="50" t="s">
        <v>27</v>
      </c>
      <c r="E671" s="50">
        <v>50038841</v>
      </c>
      <c r="F671" s="50" t="s">
        <v>180</v>
      </c>
      <c r="G671" s="50">
        <v>1</v>
      </c>
      <c r="H671" s="50" t="s">
        <v>2</v>
      </c>
      <c r="I671" s="50" t="s">
        <v>288</v>
      </c>
      <c r="J671" s="51">
        <v>46093</v>
      </c>
      <c r="K671" s="50" t="s">
        <v>3</v>
      </c>
      <c r="L671" s="50" t="s">
        <v>80</v>
      </c>
    </row>
    <row r="672" spans="2:12">
      <c r="B672" s="50" t="s">
        <v>474</v>
      </c>
      <c r="C672" s="50" t="s">
        <v>51</v>
      </c>
      <c r="D672" s="50" t="s">
        <v>27</v>
      </c>
      <c r="E672" s="50">
        <v>50046617</v>
      </c>
      <c r="F672" s="50" t="s">
        <v>365</v>
      </c>
      <c r="G672" s="50">
        <v>1</v>
      </c>
      <c r="H672" s="50" t="s">
        <v>2</v>
      </c>
      <c r="I672" s="50" t="s">
        <v>288</v>
      </c>
      <c r="J672" s="51">
        <v>46093</v>
      </c>
      <c r="K672" s="50" t="s">
        <v>3</v>
      </c>
      <c r="L672" s="50" t="s">
        <v>80</v>
      </c>
    </row>
    <row r="673" spans="2:12">
      <c r="B673" s="50" t="s">
        <v>481</v>
      </c>
      <c r="C673" s="50" t="s">
        <v>56</v>
      </c>
      <c r="D673" s="50" t="s">
        <v>27</v>
      </c>
      <c r="E673" s="50">
        <v>50010031</v>
      </c>
      <c r="F673" s="50" t="s">
        <v>89</v>
      </c>
      <c r="G673" s="50">
        <v>1</v>
      </c>
      <c r="H673" s="50" t="s">
        <v>2</v>
      </c>
      <c r="I673" s="50" t="s">
        <v>288</v>
      </c>
      <c r="J673" s="51">
        <v>46093</v>
      </c>
      <c r="K673" s="50" t="s">
        <v>3</v>
      </c>
      <c r="L673" s="50" t="s">
        <v>80</v>
      </c>
    </row>
    <row r="674" spans="2:12">
      <c r="B674" s="50" t="s">
        <v>366</v>
      </c>
      <c r="C674" s="50" t="s">
        <v>56</v>
      </c>
      <c r="D674" s="50" t="s">
        <v>27</v>
      </c>
      <c r="E674" s="50">
        <v>50003297</v>
      </c>
      <c r="F674" s="50" t="s">
        <v>158</v>
      </c>
      <c r="G674" s="50">
        <v>1</v>
      </c>
      <c r="H674" s="50" t="s">
        <v>2</v>
      </c>
      <c r="I674" s="50" t="s">
        <v>288</v>
      </c>
      <c r="J674" s="51">
        <v>46093</v>
      </c>
      <c r="K674" s="50" t="s">
        <v>3</v>
      </c>
      <c r="L674" s="50" t="s">
        <v>80</v>
      </c>
    </row>
    <row r="675" spans="2:12">
      <c r="B675" s="50" t="s">
        <v>399</v>
      </c>
      <c r="C675" s="50" t="s">
        <v>51</v>
      </c>
      <c r="D675" s="50" t="s">
        <v>27</v>
      </c>
      <c r="E675" s="50">
        <v>50039065</v>
      </c>
      <c r="F675" s="50" t="s">
        <v>186</v>
      </c>
      <c r="G675" s="50">
        <v>1</v>
      </c>
      <c r="H675" s="50" t="s">
        <v>2</v>
      </c>
      <c r="I675" s="50" t="s">
        <v>288</v>
      </c>
      <c r="J675" s="51">
        <v>46093</v>
      </c>
      <c r="K675" s="50" t="s">
        <v>3</v>
      </c>
      <c r="L675" s="50" t="s">
        <v>80</v>
      </c>
    </row>
    <row r="676" spans="2:12">
      <c r="B676" s="50" t="s">
        <v>399</v>
      </c>
      <c r="C676" s="50" t="s">
        <v>51</v>
      </c>
      <c r="D676" s="50" t="s">
        <v>27</v>
      </c>
      <c r="E676" s="50">
        <v>50004486</v>
      </c>
      <c r="F676" s="50" t="s">
        <v>221</v>
      </c>
      <c r="G676" s="50">
        <v>1</v>
      </c>
      <c r="H676" s="50" t="s">
        <v>2</v>
      </c>
      <c r="I676" s="50" t="s">
        <v>288</v>
      </c>
      <c r="J676" s="51">
        <v>46093</v>
      </c>
      <c r="K676" s="50" t="s">
        <v>3</v>
      </c>
      <c r="L676" s="50" t="s">
        <v>80</v>
      </c>
    </row>
    <row r="677" spans="2:12">
      <c r="B677" s="50" t="s">
        <v>399</v>
      </c>
      <c r="C677" s="50" t="s">
        <v>51</v>
      </c>
      <c r="D677" s="50" t="s">
        <v>27</v>
      </c>
      <c r="E677" s="50">
        <v>50038517</v>
      </c>
      <c r="F677" s="50" t="s">
        <v>181</v>
      </c>
      <c r="G677" s="50">
        <v>1</v>
      </c>
      <c r="H677" s="50" t="s">
        <v>2</v>
      </c>
      <c r="I677" s="50" t="s">
        <v>288</v>
      </c>
      <c r="J677" s="51">
        <v>46093</v>
      </c>
      <c r="K677" s="50" t="s">
        <v>3</v>
      </c>
      <c r="L677" s="50" t="s">
        <v>80</v>
      </c>
    </row>
    <row r="678" spans="2:12">
      <c r="B678" s="50" t="s">
        <v>316</v>
      </c>
      <c r="C678" s="50" t="s">
        <v>56</v>
      </c>
      <c r="D678" s="50" t="s">
        <v>27</v>
      </c>
      <c r="E678" s="50">
        <v>50003296</v>
      </c>
      <c r="F678" s="50" t="s">
        <v>157</v>
      </c>
      <c r="G678" s="50">
        <v>1</v>
      </c>
      <c r="H678" s="50" t="s">
        <v>2</v>
      </c>
      <c r="I678" s="50" t="s">
        <v>288</v>
      </c>
      <c r="J678" s="51">
        <v>46093</v>
      </c>
      <c r="K678" s="50" t="s">
        <v>3</v>
      </c>
      <c r="L678" s="50" t="s">
        <v>80</v>
      </c>
    </row>
    <row r="679" spans="2:12">
      <c r="B679" s="50" t="s">
        <v>427</v>
      </c>
      <c r="C679" s="50" t="s">
        <v>26</v>
      </c>
      <c r="D679" s="50" t="s">
        <v>27</v>
      </c>
      <c r="E679" s="50">
        <v>50042283</v>
      </c>
      <c r="F679" s="50" t="s">
        <v>247</v>
      </c>
      <c r="G679" s="50">
        <v>1</v>
      </c>
      <c r="H679" s="50" t="s">
        <v>2</v>
      </c>
      <c r="I679" s="50" t="s">
        <v>288</v>
      </c>
      <c r="J679" s="51">
        <v>46093</v>
      </c>
      <c r="K679" s="50" t="s">
        <v>3</v>
      </c>
      <c r="L679" s="50" t="s">
        <v>80</v>
      </c>
    </row>
    <row r="680" spans="2:12">
      <c r="B680" s="50" t="s">
        <v>458</v>
      </c>
      <c r="C680" s="50" t="s">
        <v>26</v>
      </c>
      <c r="D680" s="50" t="s">
        <v>27</v>
      </c>
      <c r="E680" s="50">
        <v>50003173</v>
      </c>
      <c r="F680" s="50" t="s">
        <v>74</v>
      </c>
      <c r="G680" s="50">
        <v>1</v>
      </c>
      <c r="H680" s="50" t="s">
        <v>2</v>
      </c>
      <c r="I680" s="50" t="s">
        <v>288</v>
      </c>
      <c r="J680" s="51">
        <v>46093</v>
      </c>
      <c r="K680" s="50" t="s">
        <v>3</v>
      </c>
      <c r="L680" s="50" t="s">
        <v>80</v>
      </c>
    </row>
    <row r="681" spans="2:12">
      <c r="B681" s="50" t="s">
        <v>439</v>
      </c>
      <c r="C681" s="50" t="s">
        <v>62</v>
      </c>
      <c r="D681" s="50" t="s">
        <v>27</v>
      </c>
      <c r="E681" s="50">
        <v>50036086</v>
      </c>
      <c r="F681" s="50" t="s">
        <v>28</v>
      </c>
      <c r="G681" s="50">
        <v>1</v>
      </c>
      <c r="H681" s="50" t="s">
        <v>2</v>
      </c>
      <c r="I681" s="50" t="s">
        <v>288</v>
      </c>
      <c r="J681" s="51">
        <v>46093</v>
      </c>
      <c r="K681" s="50" t="s">
        <v>3</v>
      </c>
      <c r="L681" s="50" t="s">
        <v>80</v>
      </c>
    </row>
    <row r="682" spans="2:12">
      <c r="B682" s="50" t="s">
        <v>474</v>
      </c>
      <c r="C682" s="50" t="s">
        <v>51</v>
      </c>
      <c r="D682" s="50" t="s">
        <v>27</v>
      </c>
      <c r="E682" s="50">
        <v>50041195</v>
      </c>
      <c r="F682" s="50" t="s">
        <v>206</v>
      </c>
      <c r="G682" s="50">
        <v>1</v>
      </c>
      <c r="H682" s="50" t="s">
        <v>2</v>
      </c>
      <c r="I682" s="50" t="s">
        <v>288</v>
      </c>
      <c r="J682" s="51">
        <v>46093</v>
      </c>
      <c r="K682" s="50" t="s">
        <v>3</v>
      </c>
      <c r="L682" s="50" t="s">
        <v>80</v>
      </c>
    </row>
    <row r="683" spans="2:12">
      <c r="B683" s="50" t="s">
        <v>474</v>
      </c>
      <c r="C683" s="50" t="s">
        <v>51</v>
      </c>
      <c r="D683" s="50" t="s">
        <v>27</v>
      </c>
      <c r="E683" s="50">
        <v>50043471</v>
      </c>
      <c r="F683" s="50" t="s">
        <v>257</v>
      </c>
      <c r="G683" s="50">
        <v>1</v>
      </c>
      <c r="H683" s="50" t="s">
        <v>2</v>
      </c>
      <c r="I683" s="50" t="s">
        <v>288</v>
      </c>
      <c r="J683" s="51">
        <v>46093</v>
      </c>
      <c r="K683" s="50" t="s">
        <v>3</v>
      </c>
      <c r="L683" s="50" t="s">
        <v>80</v>
      </c>
    </row>
    <row r="684" spans="2:12">
      <c r="B684" s="50" t="s">
        <v>385</v>
      </c>
      <c r="C684" s="50" t="s">
        <v>56</v>
      </c>
      <c r="D684" s="50" t="s">
        <v>41</v>
      </c>
      <c r="E684" s="50">
        <v>50036298</v>
      </c>
      <c r="F684" s="50" t="s">
        <v>102</v>
      </c>
      <c r="G684" s="50">
        <v>1</v>
      </c>
      <c r="H684" s="50" t="s">
        <v>2</v>
      </c>
      <c r="I684" s="50" t="s">
        <v>288</v>
      </c>
      <c r="J684" s="51">
        <v>46093</v>
      </c>
      <c r="K684" s="50" t="s">
        <v>3</v>
      </c>
      <c r="L684" s="50" t="s">
        <v>80</v>
      </c>
    </row>
    <row r="685" spans="2:12">
      <c r="B685" s="50" t="s">
        <v>469</v>
      </c>
      <c r="C685" s="50" t="s">
        <v>26</v>
      </c>
      <c r="D685" s="50" t="s">
        <v>39</v>
      </c>
      <c r="E685" s="50">
        <v>50041195</v>
      </c>
      <c r="F685" s="50" t="s">
        <v>206</v>
      </c>
      <c r="G685" s="50">
        <v>1</v>
      </c>
      <c r="H685" s="50" t="s">
        <v>2</v>
      </c>
      <c r="I685" s="50" t="s">
        <v>289</v>
      </c>
      <c r="J685" s="51">
        <v>46092</v>
      </c>
      <c r="K685" s="50" t="s">
        <v>3</v>
      </c>
      <c r="L685" s="50" t="s">
        <v>80</v>
      </c>
    </row>
    <row r="686" spans="2:12">
      <c r="B686" s="50" t="s">
        <v>439</v>
      </c>
      <c r="C686" s="50" t="s">
        <v>62</v>
      </c>
      <c r="D686" s="50" t="s">
        <v>27</v>
      </c>
      <c r="E686" s="50">
        <v>50026357</v>
      </c>
      <c r="F686" s="50" t="s">
        <v>192</v>
      </c>
      <c r="G686" s="50">
        <v>1</v>
      </c>
      <c r="H686" s="50" t="s">
        <v>2</v>
      </c>
      <c r="I686" s="50" t="s">
        <v>292</v>
      </c>
      <c r="J686" s="51">
        <v>46092</v>
      </c>
      <c r="K686" s="50" t="s">
        <v>1</v>
      </c>
      <c r="L686" s="50" t="s">
        <v>80</v>
      </c>
    </row>
    <row r="687" spans="2:12">
      <c r="B687" s="50" t="s">
        <v>345</v>
      </c>
      <c r="C687" s="50" t="s">
        <v>62</v>
      </c>
      <c r="D687" s="50" t="s">
        <v>27</v>
      </c>
      <c r="E687" s="50">
        <v>50038517</v>
      </c>
      <c r="F687" s="50" t="s">
        <v>181</v>
      </c>
      <c r="G687" s="50">
        <v>1</v>
      </c>
      <c r="H687" s="50" t="s">
        <v>2</v>
      </c>
      <c r="I687" s="50" t="s">
        <v>292</v>
      </c>
      <c r="J687" s="51">
        <v>46092</v>
      </c>
      <c r="K687" s="50" t="s">
        <v>1</v>
      </c>
      <c r="L687" s="50" t="s">
        <v>80</v>
      </c>
    </row>
    <row r="688" spans="2:12">
      <c r="B688" s="50" t="s">
        <v>394</v>
      </c>
      <c r="C688" s="50" t="s">
        <v>51</v>
      </c>
      <c r="D688" s="50" t="s">
        <v>27</v>
      </c>
      <c r="E688" s="50">
        <v>50003296</v>
      </c>
      <c r="F688" s="50" t="s">
        <v>157</v>
      </c>
      <c r="G688" s="50">
        <v>1</v>
      </c>
      <c r="H688" s="50" t="s">
        <v>2</v>
      </c>
      <c r="I688" s="50" t="s">
        <v>291</v>
      </c>
      <c r="J688" s="51">
        <v>46092</v>
      </c>
      <c r="K688" s="50" t="s">
        <v>3</v>
      </c>
      <c r="L688" s="50" t="s">
        <v>80</v>
      </c>
    </row>
    <row r="689" spans="2:12">
      <c r="B689" s="50" t="s">
        <v>316</v>
      </c>
      <c r="C689" s="50" t="s">
        <v>56</v>
      </c>
      <c r="D689" s="50" t="s">
        <v>27</v>
      </c>
      <c r="E689" s="50">
        <v>50046617</v>
      </c>
      <c r="F689" s="50" t="s">
        <v>365</v>
      </c>
      <c r="G689" s="50">
        <v>1</v>
      </c>
      <c r="H689" s="50" t="s">
        <v>2</v>
      </c>
      <c r="I689" s="50" t="s">
        <v>291</v>
      </c>
      <c r="J689" s="51">
        <v>46092</v>
      </c>
      <c r="K689" s="50" t="s">
        <v>1</v>
      </c>
      <c r="L689" s="50" t="s">
        <v>80</v>
      </c>
    </row>
    <row r="690" spans="2:12">
      <c r="B690" s="50" t="s">
        <v>316</v>
      </c>
      <c r="C690" s="50" t="s">
        <v>56</v>
      </c>
      <c r="D690" s="50" t="s">
        <v>27</v>
      </c>
      <c r="E690" s="50">
        <v>50046617</v>
      </c>
      <c r="F690" s="50" t="s">
        <v>365</v>
      </c>
      <c r="G690" s="50">
        <v>1</v>
      </c>
      <c r="H690" s="50" t="s">
        <v>2</v>
      </c>
      <c r="I690" s="50" t="s">
        <v>291</v>
      </c>
      <c r="J690" s="51">
        <v>46092</v>
      </c>
      <c r="K690" s="50" t="s">
        <v>3</v>
      </c>
      <c r="L690" s="50" t="s">
        <v>80</v>
      </c>
    </row>
    <row r="691" spans="2:12">
      <c r="B691" s="50" t="s">
        <v>412</v>
      </c>
      <c r="C691" s="50" t="s">
        <v>51</v>
      </c>
      <c r="D691" s="50" t="s">
        <v>41</v>
      </c>
      <c r="E691" s="50">
        <v>50020624</v>
      </c>
      <c r="F691" s="50" t="s">
        <v>217</v>
      </c>
      <c r="G691" s="50">
        <v>1</v>
      </c>
      <c r="H691" s="50" t="s">
        <v>2</v>
      </c>
      <c r="I691" s="50" t="s">
        <v>291</v>
      </c>
      <c r="J691" s="51">
        <v>46092</v>
      </c>
      <c r="K691" s="50" t="s">
        <v>1</v>
      </c>
      <c r="L691" s="50" t="s">
        <v>80</v>
      </c>
    </row>
    <row r="692" spans="2:12">
      <c r="B692" s="50" t="s">
        <v>422</v>
      </c>
      <c r="C692" s="50" t="s">
        <v>26</v>
      </c>
      <c r="D692" s="50" t="s">
        <v>41</v>
      </c>
      <c r="E692" s="50">
        <v>50012902</v>
      </c>
      <c r="F692" s="50" t="s">
        <v>225</v>
      </c>
      <c r="G692" s="50">
        <v>1</v>
      </c>
      <c r="H692" s="50" t="s">
        <v>2</v>
      </c>
      <c r="I692" s="50" t="s">
        <v>291</v>
      </c>
      <c r="J692" s="51">
        <v>46092</v>
      </c>
      <c r="K692" s="50" t="s">
        <v>1</v>
      </c>
      <c r="L692" s="50" t="s">
        <v>80</v>
      </c>
    </row>
    <row r="693" spans="2:12">
      <c r="B693" s="50" t="s">
        <v>316</v>
      </c>
      <c r="C693" s="50" t="s">
        <v>56</v>
      </c>
      <c r="D693" s="50" t="s">
        <v>27</v>
      </c>
      <c r="E693" s="50">
        <v>50003297</v>
      </c>
      <c r="F693" s="50" t="s">
        <v>158</v>
      </c>
      <c r="G693" s="50">
        <v>1</v>
      </c>
      <c r="H693" s="50" t="s">
        <v>2</v>
      </c>
      <c r="I693" s="50" t="s">
        <v>291</v>
      </c>
      <c r="J693" s="51">
        <v>46092</v>
      </c>
      <c r="K693" s="50" t="s">
        <v>3</v>
      </c>
      <c r="L693" s="50" t="s">
        <v>80</v>
      </c>
    </row>
    <row r="694" spans="2:12">
      <c r="B694" s="50" t="s">
        <v>412</v>
      </c>
      <c r="C694" s="50" t="s">
        <v>51</v>
      </c>
      <c r="D694" s="50" t="s">
        <v>41</v>
      </c>
      <c r="E694" s="50">
        <v>50020624</v>
      </c>
      <c r="F694" s="50" t="s">
        <v>217</v>
      </c>
      <c r="G694" s="50">
        <v>1</v>
      </c>
      <c r="H694" s="50" t="s">
        <v>2</v>
      </c>
      <c r="I694" s="50" t="s">
        <v>291</v>
      </c>
      <c r="J694" s="51">
        <v>46092</v>
      </c>
      <c r="K694" s="50" t="s">
        <v>3</v>
      </c>
      <c r="L694" s="50" t="s">
        <v>80</v>
      </c>
    </row>
    <row r="695" spans="2:12">
      <c r="B695" s="50" t="s">
        <v>385</v>
      </c>
      <c r="C695" s="50" t="s">
        <v>56</v>
      </c>
      <c r="D695" s="50" t="s">
        <v>41</v>
      </c>
      <c r="E695" s="50">
        <v>50036298</v>
      </c>
      <c r="F695" s="50" t="s">
        <v>102</v>
      </c>
      <c r="G695" s="50">
        <v>1</v>
      </c>
      <c r="H695" s="50" t="s">
        <v>2</v>
      </c>
      <c r="I695" s="50" t="s">
        <v>291</v>
      </c>
      <c r="J695" s="51">
        <v>46092</v>
      </c>
      <c r="K695" s="50" t="s">
        <v>1</v>
      </c>
      <c r="L695" s="50" t="s">
        <v>80</v>
      </c>
    </row>
    <row r="696" spans="2:12">
      <c r="B696" s="50" t="s">
        <v>463</v>
      </c>
      <c r="C696" s="50" t="s">
        <v>56</v>
      </c>
      <c r="D696" s="50" t="s">
        <v>27</v>
      </c>
      <c r="E696" s="50">
        <v>50003297</v>
      </c>
      <c r="F696" s="50" t="s">
        <v>158</v>
      </c>
      <c r="G696" s="50">
        <v>1</v>
      </c>
      <c r="H696" s="50" t="s">
        <v>2</v>
      </c>
      <c r="I696" s="50" t="s">
        <v>291</v>
      </c>
      <c r="J696" s="51">
        <v>46092</v>
      </c>
      <c r="K696" s="50" t="s">
        <v>1</v>
      </c>
      <c r="L696" s="50" t="s">
        <v>80</v>
      </c>
    </row>
    <row r="697" spans="2:12">
      <c r="B697" s="50" t="s">
        <v>278</v>
      </c>
      <c r="C697" s="50" t="s">
        <v>62</v>
      </c>
      <c r="D697" s="50" t="s">
        <v>27</v>
      </c>
      <c r="E697" s="50">
        <v>50038662</v>
      </c>
      <c r="F697" s="50" t="s">
        <v>193</v>
      </c>
      <c r="G697" s="50">
        <v>1</v>
      </c>
      <c r="H697" s="50" t="s">
        <v>2</v>
      </c>
      <c r="I697" s="50" t="s">
        <v>291</v>
      </c>
      <c r="J697" s="51">
        <v>46092</v>
      </c>
      <c r="K697" s="50" t="s">
        <v>1</v>
      </c>
      <c r="L697" s="50" t="s">
        <v>80</v>
      </c>
    </row>
    <row r="698" spans="2:12">
      <c r="B698" s="50" t="s">
        <v>466</v>
      </c>
      <c r="C698" s="50" t="s">
        <v>62</v>
      </c>
      <c r="D698" s="50" t="s">
        <v>27</v>
      </c>
      <c r="E698" s="50">
        <v>50040133</v>
      </c>
      <c r="F698" s="50" t="s">
        <v>92</v>
      </c>
      <c r="G698" s="50">
        <v>1</v>
      </c>
      <c r="H698" s="50" t="s">
        <v>2</v>
      </c>
      <c r="I698" s="50" t="s">
        <v>291</v>
      </c>
      <c r="J698" s="51">
        <v>46092</v>
      </c>
      <c r="K698" s="50" t="s">
        <v>1</v>
      </c>
      <c r="L698" s="50" t="s">
        <v>80</v>
      </c>
    </row>
    <row r="699" spans="2:12">
      <c r="B699" s="50" t="s">
        <v>422</v>
      </c>
      <c r="C699" s="50" t="s">
        <v>26</v>
      </c>
      <c r="D699" s="50" t="s">
        <v>41</v>
      </c>
      <c r="E699" s="50">
        <v>50012902</v>
      </c>
      <c r="F699" s="50" t="s">
        <v>225</v>
      </c>
      <c r="G699" s="50">
        <v>1</v>
      </c>
      <c r="H699" s="50" t="s">
        <v>2</v>
      </c>
      <c r="I699" s="50" t="s">
        <v>297</v>
      </c>
      <c r="J699" s="51">
        <v>46092</v>
      </c>
      <c r="K699" s="50" t="s">
        <v>3</v>
      </c>
      <c r="L699" s="50" t="s">
        <v>80</v>
      </c>
    </row>
    <row r="700" spans="2:12">
      <c r="B700" s="50" t="s">
        <v>439</v>
      </c>
      <c r="C700" s="50" t="s">
        <v>62</v>
      </c>
      <c r="D700" s="50" t="s">
        <v>27</v>
      </c>
      <c r="E700" s="50">
        <v>50026357</v>
      </c>
      <c r="F700" s="50" t="s">
        <v>192</v>
      </c>
      <c r="G700" s="50">
        <v>1</v>
      </c>
      <c r="H700" s="50" t="s">
        <v>2</v>
      </c>
      <c r="I700" s="50" t="s">
        <v>297</v>
      </c>
      <c r="J700" s="51">
        <v>46092</v>
      </c>
      <c r="K700" s="50" t="s">
        <v>3</v>
      </c>
      <c r="L700" s="50" t="s">
        <v>80</v>
      </c>
    </row>
    <row r="701" spans="2:12">
      <c r="B701" s="50" t="s">
        <v>466</v>
      </c>
      <c r="C701" s="50" t="s">
        <v>62</v>
      </c>
      <c r="D701" s="50" t="s">
        <v>27</v>
      </c>
      <c r="E701" s="50">
        <v>50040133</v>
      </c>
      <c r="F701" s="50" t="s">
        <v>92</v>
      </c>
      <c r="G701" s="50">
        <v>1</v>
      </c>
      <c r="H701" s="50" t="s">
        <v>2</v>
      </c>
      <c r="I701" s="50" t="s">
        <v>297</v>
      </c>
      <c r="J701" s="51">
        <v>46092</v>
      </c>
      <c r="K701" s="50" t="s">
        <v>3</v>
      </c>
      <c r="L701" s="50" t="s">
        <v>80</v>
      </c>
    </row>
    <row r="702" spans="2:12">
      <c r="B702" s="50" t="s">
        <v>396</v>
      </c>
      <c r="C702" s="50" t="s">
        <v>26</v>
      </c>
      <c r="D702" s="50" t="s">
        <v>41</v>
      </c>
      <c r="E702" s="50">
        <v>50044003</v>
      </c>
      <c r="F702" s="50" t="s">
        <v>263</v>
      </c>
      <c r="G702" s="50">
        <v>1</v>
      </c>
      <c r="H702" s="50" t="s">
        <v>2</v>
      </c>
      <c r="I702" s="50" t="s">
        <v>288</v>
      </c>
      <c r="J702" s="51">
        <v>46092</v>
      </c>
      <c r="K702" s="50" t="s">
        <v>3</v>
      </c>
      <c r="L702" s="50" t="s">
        <v>80</v>
      </c>
    </row>
    <row r="703" spans="2:12">
      <c r="B703" s="50" t="s">
        <v>474</v>
      </c>
      <c r="C703" s="50" t="s">
        <v>51</v>
      </c>
      <c r="D703" s="50" t="s">
        <v>27</v>
      </c>
      <c r="E703" s="50">
        <v>50043471</v>
      </c>
      <c r="F703" s="50" t="s">
        <v>257</v>
      </c>
      <c r="G703" s="50">
        <v>1</v>
      </c>
      <c r="H703" s="50" t="s">
        <v>2</v>
      </c>
      <c r="I703" s="50" t="s">
        <v>288</v>
      </c>
      <c r="J703" s="51">
        <v>46092</v>
      </c>
      <c r="K703" s="50" t="s">
        <v>3</v>
      </c>
      <c r="L703" s="50" t="s">
        <v>80</v>
      </c>
    </row>
    <row r="704" spans="2:12">
      <c r="B704" s="50" t="s">
        <v>278</v>
      </c>
      <c r="C704" s="50" t="s">
        <v>62</v>
      </c>
      <c r="D704" s="50" t="s">
        <v>27</v>
      </c>
      <c r="E704" s="50">
        <v>50038662</v>
      </c>
      <c r="F704" s="50" t="s">
        <v>193</v>
      </c>
      <c r="G704" s="50">
        <v>1</v>
      </c>
      <c r="H704" s="50" t="s">
        <v>2</v>
      </c>
      <c r="I704" s="50" t="s">
        <v>288</v>
      </c>
      <c r="J704" s="51">
        <v>46092</v>
      </c>
      <c r="K704" s="50" t="s">
        <v>3</v>
      </c>
      <c r="L704" s="50" t="s">
        <v>80</v>
      </c>
    </row>
    <row r="705" spans="2:12">
      <c r="B705" s="50" t="s">
        <v>463</v>
      </c>
      <c r="C705" s="50" t="s">
        <v>56</v>
      </c>
      <c r="D705" s="50" t="s">
        <v>27</v>
      </c>
      <c r="E705" s="50">
        <v>50003297</v>
      </c>
      <c r="F705" s="50" t="s">
        <v>158</v>
      </c>
      <c r="G705" s="50">
        <v>1</v>
      </c>
      <c r="H705" s="50" t="s">
        <v>2</v>
      </c>
      <c r="I705" s="50" t="s">
        <v>288</v>
      </c>
      <c r="J705" s="51">
        <v>46092</v>
      </c>
      <c r="K705" s="50" t="s">
        <v>3</v>
      </c>
      <c r="L705" s="50" t="s">
        <v>80</v>
      </c>
    </row>
    <row r="706" spans="2:12">
      <c r="B706" s="50" t="s">
        <v>399</v>
      </c>
      <c r="C706" s="50" t="s">
        <v>51</v>
      </c>
      <c r="D706" s="50" t="s">
        <v>27</v>
      </c>
      <c r="E706" s="50">
        <v>50004486</v>
      </c>
      <c r="F706" s="50" t="s">
        <v>221</v>
      </c>
      <c r="G706" s="50">
        <v>1</v>
      </c>
      <c r="H706" s="50" t="s">
        <v>2</v>
      </c>
      <c r="I706" s="50" t="s">
        <v>288</v>
      </c>
      <c r="J706" s="51">
        <v>46092</v>
      </c>
      <c r="K706" s="50" t="s">
        <v>3</v>
      </c>
      <c r="L706" s="50" t="s">
        <v>80</v>
      </c>
    </row>
    <row r="707" spans="2:12">
      <c r="B707" s="50" t="s">
        <v>399</v>
      </c>
      <c r="C707" s="50" t="s">
        <v>51</v>
      </c>
      <c r="D707" s="50" t="s">
        <v>27</v>
      </c>
      <c r="E707" s="50">
        <v>50039065</v>
      </c>
      <c r="F707" s="50" t="s">
        <v>186</v>
      </c>
      <c r="G707" s="50">
        <v>1</v>
      </c>
      <c r="H707" s="50" t="s">
        <v>2</v>
      </c>
      <c r="I707" s="50" t="s">
        <v>288</v>
      </c>
      <c r="J707" s="51">
        <v>46092</v>
      </c>
      <c r="K707" s="50" t="s">
        <v>3</v>
      </c>
      <c r="L707" s="50" t="s">
        <v>80</v>
      </c>
    </row>
    <row r="708" spans="2:12">
      <c r="B708" s="50" t="s">
        <v>399</v>
      </c>
      <c r="C708" s="50" t="s">
        <v>51</v>
      </c>
      <c r="D708" s="50" t="s">
        <v>27</v>
      </c>
      <c r="E708" s="50">
        <v>50037892</v>
      </c>
      <c r="F708" s="50" t="s">
        <v>178</v>
      </c>
      <c r="G708" s="50">
        <v>1</v>
      </c>
      <c r="H708" s="50" t="s">
        <v>2</v>
      </c>
      <c r="I708" s="50" t="s">
        <v>288</v>
      </c>
      <c r="J708" s="51">
        <v>46092</v>
      </c>
      <c r="K708" s="50" t="s">
        <v>3</v>
      </c>
      <c r="L708" s="50" t="s">
        <v>80</v>
      </c>
    </row>
    <row r="709" spans="2:12">
      <c r="B709" s="50" t="s">
        <v>345</v>
      </c>
      <c r="C709" s="50" t="s">
        <v>62</v>
      </c>
      <c r="D709" s="50" t="s">
        <v>27</v>
      </c>
      <c r="E709" s="50">
        <v>50020623</v>
      </c>
      <c r="F709" s="50" t="s">
        <v>217</v>
      </c>
      <c r="G709" s="50" t="s">
        <v>327</v>
      </c>
      <c r="H709" s="50" t="s">
        <v>2</v>
      </c>
      <c r="I709" s="50" t="s">
        <v>288</v>
      </c>
      <c r="J709" s="51">
        <v>46092</v>
      </c>
      <c r="K709" s="50" t="s">
        <v>3</v>
      </c>
      <c r="L709" s="50" t="s">
        <v>80</v>
      </c>
    </row>
    <row r="710" spans="2:12">
      <c r="B710" s="50" t="s">
        <v>345</v>
      </c>
      <c r="C710" s="50" t="s">
        <v>62</v>
      </c>
      <c r="D710" s="50" t="s">
        <v>27</v>
      </c>
      <c r="E710" s="50">
        <v>50038517</v>
      </c>
      <c r="F710" s="50" t="s">
        <v>181</v>
      </c>
      <c r="G710" s="50">
        <v>1</v>
      </c>
      <c r="H710" s="50" t="s">
        <v>2</v>
      </c>
      <c r="I710" s="50" t="s">
        <v>288</v>
      </c>
      <c r="J710" s="51">
        <v>46092</v>
      </c>
      <c r="K710" s="50" t="s">
        <v>3</v>
      </c>
      <c r="L710" s="50" t="s">
        <v>80</v>
      </c>
    </row>
    <row r="711" spans="2:12">
      <c r="B711" s="50" t="s">
        <v>385</v>
      </c>
      <c r="C711" s="50" t="s">
        <v>56</v>
      </c>
      <c r="D711" s="50" t="s">
        <v>41</v>
      </c>
      <c r="E711" s="50">
        <v>50036298</v>
      </c>
      <c r="F711" s="50" t="s">
        <v>102</v>
      </c>
      <c r="G711" s="50">
        <v>1</v>
      </c>
      <c r="H711" s="50" t="s">
        <v>2</v>
      </c>
      <c r="I711" s="50" t="s">
        <v>288</v>
      </c>
      <c r="J711" s="51">
        <v>46092</v>
      </c>
      <c r="K711" s="50" t="s">
        <v>3</v>
      </c>
      <c r="L711" s="50" t="s">
        <v>80</v>
      </c>
    </row>
    <row r="712" spans="2:12">
      <c r="B712" s="50" t="s">
        <v>438</v>
      </c>
      <c r="C712" s="50" t="s">
        <v>51</v>
      </c>
      <c r="D712" s="50" t="s">
        <v>27</v>
      </c>
      <c r="E712" s="50">
        <v>50041195</v>
      </c>
      <c r="F712" s="50" t="s">
        <v>206</v>
      </c>
      <c r="G712" s="50">
        <v>1</v>
      </c>
      <c r="H712" s="50" t="s">
        <v>2</v>
      </c>
      <c r="I712" s="50" t="s">
        <v>288</v>
      </c>
      <c r="J712" s="51">
        <v>46092</v>
      </c>
      <c r="K712" s="50" t="s">
        <v>3</v>
      </c>
      <c r="L712" s="50" t="s">
        <v>80</v>
      </c>
    </row>
    <row r="713" spans="2:12">
      <c r="B713" s="50" t="s">
        <v>399</v>
      </c>
      <c r="C713" s="50" t="s">
        <v>51</v>
      </c>
      <c r="D713" s="50" t="s">
        <v>27</v>
      </c>
      <c r="E713" s="50">
        <v>50037903</v>
      </c>
      <c r="F713" s="50" t="s">
        <v>183</v>
      </c>
      <c r="G713" s="50">
        <v>1</v>
      </c>
      <c r="H713" s="50" t="s">
        <v>2</v>
      </c>
      <c r="I713" s="50" t="s">
        <v>293</v>
      </c>
      <c r="J713" s="51">
        <v>46091</v>
      </c>
      <c r="K713" s="50" t="s">
        <v>1</v>
      </c>
      <c r="L713" s="50" t="s">
        <v>80</v>
      </c>
    </row>
    <row r="714" spans="2:12">
      <c r="B714" s="50" t="s">
        <v>483</v>
      </c>
      <c r="C714" s="50" t="s">
        <v>62</v>
      </c>
      <c r="D714" s="50" t="s">
        <v>27</v>
      </c>
      <c r="E714" s="50">
        <v>50043471</v>
      </c>
      <c r="F714" s="50" t="s">
        <v>257</v>
      </c>
      <c r="G714" s="50">
        <v>1</v>
      </c>
      <c r="H714" s="50" t="s">
        <v>2</v>
      </c>
      <c r="I714" s="50" t="s">
        <v>293</v>
      </c>
      <c r="J714" s="51">
        <v>46091</v>
      </c>
      <c r="K714" s="50" t="s">
        <v>1</v>
      </c>
      <c r="L714" s="50" t="s">
        <v>80</v>
      </c>
    </row>
    <row r="715" spans="2:12">
      <c r="B715" s="50" t="s">
        <v>345</v>
      </c>
      <c r="C715" s="50" t="s">
        <v>62</v>
      </c>
      <c r="D715" s="50" t="s">
        <v>27</v>
      </c>
      <c r="E715" s="50">
        <v>50030486</v>
      </c>
      <c r="F715" s="50" t="s">
        <v>153</v>
      </c>
      <c r="G715" s="50">
        <v>1</v>
      </c>
      <c r="H715" s="50" t="s">
        <v>2</v>
      </c>
      <c r="I715" s="50" t="s">
        <v>293</v>
      </c>
      <c r="J715" s="51">
        <v>46091</v>
      </c>
      <c r="K715" s="50" t="s">
        <v>1</v>
      </c>
      <c r="L715" s="50" t="s">
        <v>80</v>
      </c>
    </row>
    <row r="716" spans="2:12">
      <c r="B716" s="50" t="s">
        <v>345</v>
      </c>
      <c r="C716" s="50" t="s">
        <v>62</v>
      </c>
      <c r="D716" s="50" t="s">
        <v>27</v>
      </c>
      <c r="E716" s="50">
        <v>50020623</v>
      </c>
      <c r="F716" s="50" t="s">
        <v>217</v>
      </c>
      <c r="G716" s="50">
        <v>1</v>
      </c>
      <c r="H716" s="50" t="s">
        <v>2</v>
      </c>
      <c r="I716" s="50" t="s">
        <v>293</v>
      </c>
      <c r="J716" s="51">
        <v>46091</v>
      </c>
      <c r="K716" s="50" t="s">
        <v>1</v>
      </c>
      <c r="L716" s="50" t="s">
        <v>80</v>
      </c>
    </row>
    <row r="717" spans="2:12">
      <c r="B717" s="50" t="s">
        <v>438</v>
      </c>
      <c r="C717" s="50" t="s">
        <v>51</v>
      </c>
      <c r="D717" s="50" t="s">
        <v>27</v>
      </c>
      <c r="E717" s="50">
        <v>50041195</v>
      </c>
      <c r="F717" s="50" t="s">
        <v>206</v>
      </c>
      <c r="G717" s="50">
        <v>1</v>
      </c>
      <c r="H717" s="50" t="s">
        <v>2</v>
      </c>
      <c r="I717" s="50" t="s">
        <v>293</v>
      </c>
      <c r="J717" s="51">
        <v>46091</v>
      </c>
      <c r="K717" s="50" t="s">
        <v>1</v>
      </c>
      <c r="L717" s="50" t="s">
        <v>80</v>
      </c>
    </row>
    <row r="718" spans="2:12">
      <c r="B718" s="50" t="s">
        <v>474</v>
      </c>
      <c r="C718" s="50" t="s">
        <v>51</v>
      </c>
      <c r="D718" s="50" t="s">
        <v>27</v>
      </c>
      <c r="E718" s="50">
        <v>50003297</v>
      </c>
      <c r="F718" s="50" t="s">
        <v>158</v>
      </c>
      <c r="G718" s="50">
        <v>1</v>
      </c>
      <c r="H718" s="50" t="s">
        <v>2</v>
      </c>
      <c r="I718" s="50" t="s">
        <v>293</v>
      </c>
      <c r="J718" s="51">
        <v>46091</v>
      </c>
      <c r="K718" s="50" t="s">
        <v>1</v>
      </c>
      <c r="L718" s="50" t="s">
        <v>80</v>
      </c>
    </row>
    <row r="719" spans="2:12">
      <c r="B719" s="50" t="s">
        <v>270</v>
      </c>
      <c r="C719" s="50" t="s">
        <v>51</v>
      </c>
      <c r="D719" s="50" t="s">
        <v>27</v>
      </c>
      <c r="E719" s="50">
        <v>50038517</v>
      </c>
      <c r="F719" s="50" t="s">
        <v>181</v>
      </c>
      <c r="G719" s="50">
        <v>1</v>
      </c>
      <c r="H719" s="50" t="s">
        <v>2</v>
      </c>
      <c r="I719" s="50" t="s">
        <v>293</v>
      </c>
      <c r="J719" s="51">
        <v>46091</v>
      </c>
      <c r="K719" s="50" t="s">
        <v>1</v>
      </c>
      <c r="L719" s="50" t="s">
        <v>80</v>
      </c>
    </row>
    <row r="720" spans="2:12">
      <c r="B720" s="50" t="s">
        <v>413</v>
      </c>
      <c r="C720" s="50" t="s">
        <v>51</v>
      </c>
      <c r="D720" s="50" t="s">
        <v>39</v>
      </c>
      <c r="E720" s="50">
        <v>50038517</v>
      </c>
      <c r="F720" s="50" t="s">
        <v>181</v>
      </c>
      <c r="G720" s="50">
        <v>1</v>
      </c>
      <c r="H720" s="50" t="s">
        <v>2</v>
      </c>
      <c r="I720" s="50" t="s">
        <v>293</v>
      </c>
      <c r="J720" s="51">
        <v>46091</v>
      </c>
      <c r="K720" s="50" t="s">
        <v>3</v>
      </c>
      <c r="L720" s="50" t="s">
        <v>80</v>
      </c>
    </row>
    <row r="721" spans="2:12">
      <c r="B721" s="50" t="s">
        <v>427</v>
      </c>
      <c r="C721" s="50" t="s">
        <v>26</v>
      </c>
      <c r="D721" s="50" t="s">
        <v>27</v>
      </c>
      <c r="E721" s="50">
        <v>50022878</v>
      </c>
      <c r="F721" s="50" t="s">
        <v>296</v>
      </c>
      <c r="G721" s="50">
        <v>1</v>
      </c>
      <c r="H721" s="50" t="s">
        <v>2</v>
      </c>
      <c r="I721" s="50" t="s">
        <v>293</v>
      </c>
      <c r="J721" s="51">
        <v>46091</v>
      </c>
      <c r="K721" s="50" t="s">
        <v>1</v>
      </c>
      <c r="L721" s="50" t="s">
        <v>80</v>
      </c>
    </row>
    <row r="722" spans="2:12">
      <c r="B722" s="50" t="s">
        <v>54</v>
      </c>
      <c r="C722" s="50" t="s">
        <v>51</v>
      </c>
      <c r="D722" s="50" t="s">
        <v>41</v>
      </c>
      <c r="E722" s="50">
        <v>50010031</v>
      </c>
      <c r="F722" s="50" t="s">
        <v>89</v>
      </c>
      <c r="G722" s="50">
        <v>1</v>
      </c>
      <c r="H722" s="50" t="s">
        <v>2</v>
      </c>
      <c r="I722" s="50" t="s">
        <v>293</v>
      </c>
      <c r="J722" s="51">
        <v>46091</v>
      </c>
      <c r="K722" s="50" t="s">
        <v>1</v>
      </c>
      <c r="L722" s="50" t="s">
        <v>80</v>
      </c>
    </row>
    <row r="723" spans="2:12">
      <c r="B723" s="50" t="s">
        <v>345</v>
      </c>
      <c r="C723" s="50" t="s">
        <v>51</v>
      </c>
      <c r="D723" s="50" t="s">
        <v>36</v>
      </c>
      <c r="E723" s="50">
        <v>50038600</v>
      </c>
      <c r="F723" s="50" t="s">
        <v>100</v>
      </c>
      <c r="G723" s="50">
        <v>1</v>
      </c>
      <c r="H723" s="50" t="s">
        <v>2</v>
      </c>
      <c r="I723" s="50" t="s">
        <v>293</v>
      </c>
      <c r="J723" s="51">
        <v>46091</v>
      </c>
      <c r="K723" s="50" t="s">
        <v>1</v>
      </c>
      <c r="L723" s="50" t="s">
        <v>80</v>
      </c>
    </row>
    <row r="724" spans="2:12">
      <c r="B724" s="50" t="s">
        <v>270</v>
      </c>
      <c r="C724" s="50" t="s">
        <v>51</v>
      </c>
      <c r="D724" s="50" t="s">
        <v>27</v>
      </c>
      <c r="E724" s="50">
        <v>50038517</v>
      </c>
      <c r="F724" s="50" t="s">
        <v>181</v>
      </c>
      <c r="G724" s="50">
        <v>1</v>
      </c>
      <c r="H724" s="50" t="s">
        <v>2</v>
      </c>
      <c r="I724" s="50" t="s">
        <v>293</v>
      </c>
      <c r="J724" s="51">
        <v>46091</v>
      </c>
      <c r="K724" s="50" t="s">
        <v>3</v>
      </c>
      <c r="L724" s="50" t="s">
        <v>80</v>
      </c>
    </row>
    <row r="725" spans="2:12">
      <c r="B725" s="50" t="s">
        <v>427</v>
      </c>
      <c r="C725" s="50" t="s">
        <v>26</v>
      </c>
      <c r="D725" s="50" t="s">
        <v>27</v>
      </c>
      <c r="E725" s="50">
        <v>50022878</v>
      </c>
      <c r="F725" s="50" t="s">
        <v>296</v>
      </c>
      <c r="G725" s="50">
        <v>1</v>
      </c>
      <c r="H725" s="50" t="s">
        <v>2</v>
      </c>
      <c r="I725" s="50" t="s">
        <v>293</v>
      </c>
      <c r="J725" s="51">
        <v>46091</v>
      </c>
      <c r="K725" s="50" t="s">
        <v>3</v>
      </c>
      <c r="L725" s="50" t="s">
        <v>80</v>
      </c>
    </row>
    <row r="726" spans="2:12">
      <c r="B726" s="50" t="s">
        <v>474</v>
      </c>
      <c r="C726" s="50" t="s">
        <v>51</v>
      </c>
      <c r="D726" s="50" t="s">
        <v>27</v>
      </c>
      <c r="E726" s="50">
        <v>50003297</v>
      </c>
      <c r="F726" s="50" t="s">
        <v>158</v>
      </c>
      <c r="G726" s="50">
        <v>1</v>
      </c>
      <c r="H726" s="50" t="s">
        <v>2</v>
      </c>
      <c r="I726" s="50" t="s">
        <v>293</v>
      </c>
      <c r="J726" s="51">
        <v>46091</v>
      </c>
      <c r="K726" s="50" t="s">
        <v>3</v>
      </c>
      <c r="L726" s="50" t="s">
        <v>80</v>
      </c>
    </row>
    <row r="727" spans="2:12">
      <c r="B727" s="50" t="s">
        <v>345</v>
      </c>
      <c r="C727" s="50" t="s">
        <v>51</v>
      </c>
      <c r="D727" s="50" t="s">
        <v>36</v>
      </c>
      <c r="E727" s="50">
        <v>50038600</v>
      </c>
      <c r="F727" s="50" t="s">
        <v>100</v>
      </c>
      <c r="G727" s="50">
        <v>1</v>
      </c>
      <c r="H727" s="50" t="s">
        <v>2</v>
      </c>
      <c r="I727" s="50" t="s">
        <v>293</v>
      </c>
      <c r="J727" s="51">
        <v>46091</v>
      </c>
      <c r="K727" s="50" t="s">
        <v>3</v>
      </c>
      <c r="L727" s="50" t="s">
        <v>80</v>
      </c>
    </row>
    <row r="728" spans="2:12">
      <c r="B728" s="50" t="s">
        <v>481</v>
      </c>
      <c r="C728" s="50" t="s">
        <v>56</v>
      </c>
      <c r="D728" s="50" t="s">
        <v>27</v>
      </c>
      <c r="E728" s="50">
        <v>50038517</v>
      </c>
      <c r="F728" s="50" t="s">
        <v>181</v>
      </c>
      <c r="G728" s="50">
        <v>1</v>
      </c>
      <c r="H728" s="50" t="s">
        <v>2</v>
      </c>
      <c r="I728" s="50" t="s">
        <v>293</v>
      </c>
      <c r="J728" s="51">
        <v>46091</v>
      </c>
      <c r="K728" s="50" t="s">
        <v>1</v>
      </c>
      <c r="L728" s="50" t="s">
        <v>80</v>
      </c>
    </row>
    <row r="729" spans="2:12">
      <c r="B729" s="50" t="s">
        <v>481</v>
      </c>
      <c r="C729" s="50" t="s">
        <v>56</v>
      </c>
      <c r="D729" s="50" t="s">
        <v>27</v>
      </c>
      <c r="E729" s="50">
        <v>50003297</v>
      </c>
      <c r="F729" s="50" t="s">
        <v>158</v>
      </c>
      <c r="G729" s="50">
        <v>1</v>
      </c>
      <c r="H729" s="50" t="s">
        <v>2</v>
      </c>
      <c r="I729" s="50" t="s">
        <v>293</v>
      </c>
      <c r="J729" s="51">
        <v>46091</v>
      </c>
      <c r="K729" s="50" t="s">
        <v>1</v>
      </c>
      <c r="L729" s="50" t="s">
        <v>80</v>
      </c>
    </row>
    <row r="730" spans="2:12">
      <c r="B730" s="50" t="s">
        <v>399</v>
      </c>
      <c r="C730" s="50" t="s">
        <v>51</v>
      </c>
      <c r="D730" s="50" t="s">
        <v>27</v>
      </c>
      <c r="E730" s="50">
        <v>50037903</v>
      </c>
      <c r="F730" s="50" t="s">
        <v>183</v>
      </c>
      <c r="G730" s="50">
        <v>1</v>
      </c>
      <c r="H730" s="50" t="s">
        <v>2</v>
      </c>
      <c r="I730" s="50" t="s">
        <v>293</v>
      </c>
      <c r="J730" s="51">
        <v>46091</v>
      </c>
      <c r="K730" s="50" t="s">
        <v>3</v>
      </c>
      <c r="L730" s="50" t="s">
        <v>80</v>
      </c>
    </row>
    <row r="731" spans="2:12">
      <c r="B731" s="50" t="s">
        <v>397</v>
      </c>
      <c r="C731" s="50" t="s">
        <v>26</v>
      </c>
      <c r="D731" s="50" t="s">
        <v>41</v>
      </c>
      <c r="E731" s="50">
        <v>50003173</v>
      </c>
      <c r="F731" s="50" t="s">
        <v>74</v>
      </c>
      <c r="G731" s="50">
        <v>1</v>
      </c>
      <c r="H731" s="50" t="s">
        <v>2</v>
      </c>
      <c r="I731" s="50" t="s">
        <v>291</v>
      </c>
      <c r="J731" s="51">
        <v>46091</v>
      </c>
      <c r="K731" s="50" t="s">
        <v>1</v>
      </c>
      <c r="L731" s="50" t="s">
        <v>80</v>
      </c>
    </row>
    <row r="732" spans="2:12">
      <c r="B732" s="50" t="s">
        <v>397</v>
      </c>
      <c r="C732" s="50" t="s">
        <v>26</v>
      </c>
      <c r="D732" s="50" t="s">
        <v>41</v>
      </c>
      <c r="E732" s="50">
        <v>50036296</v>
      </c>
      <c r="F732" s="50" t="s">
        <v>109</v>
      </c>
      <c r="G732" s="50">
        <v>1</v>
      </c>
      <c r="H732" s="50" t="s">
        <v>2</v>
      </c>
      <c r="I732" s="50" t="s">
        <v>291</v>
      </c>
      <c r="J732" s="51">
        <v>46091</v>
      </c>
      <c r="K732" s="50" t="s">
        <v>1</v>
      </c>
      <c r="L732" s="50" t="s">
        <v>80</v>
      </c>
    </row>
    <row r="733" spans="2:12">
      <c r="B733" s="50" t="s">
        <v>466</v>
      </c>
      <c r="C733" s="50" t="s">
        <v>62</v>
      </c>
      <c r="D733" s="50" t="s">
        <v>27</v>
      </c>
      <c r="E733" s="50">
        <v>50041194</v>
      </c>
      <c r="F733" s="50" t="s">
        <v>249</v>
      </c>
      <c r="G733" s="50">
        <v>1</v>
      </c>
      <c r="H733" s="50" t="s">
        <v>2</v>
      </c>
      <c r="I733" s="50" t="s">
        <v>291</v>
      </c>
      <c r="J733" s="51">
        <v>46091</v>
      </c>
      <c r="K733" s="50" t="s">
        <v>1</v>
      </c>
      <c r="L733" s="50" t="s">
        <v>80</v>
      </c>
    </row>
    <row r="734" spans="2:12">
      <c r="B734" s="50" t="s">
        <v>345</v>
      </c>
      <c r="C734" s="50" t="s">
        <v>62</v>
      </c>
      <c r="D734" s="50" t="s">
        <v>27</v>
      </c>
      <c r="E734" s="50">
        <v>50020623</v>
      </c>
      <c r="F734" s="50" t="s">
        <v>217</v>
      </c>
      <c r="G734" s="50">
        <v>1</v>
      </c>
      <c r="H734" s="50" t="s">
        <v>2</v>
      </c>
      <c r="I734" s="50" t="s">
        <v>291</v>
      </c>
      <c r="J734" s="51">
        <v>46091</v>
      </c>
      <c r="K734" s="50" t="s">
        <v>3</v>
      </c>
      <c r="L734" s="50" t="s">
        <v>80</v>
      </c>
    </row>
    <row r="735" spans="2:12">
      <c r="B735" s="50" t="s">
        <v>397</v>
      </c>
      <c r="C735" s="50" t="s">
        <v>26</v>
      </c>
      <c r="D735" s="50" t="s">
        <v>41</v>
      </c>
      <c r="E735" s="50">
        <v>50003173</v>
      </c>
      <c r="F735" s="50" t="s">
        <v>74</v>
      </c>
      <c r="G735" s="50">
        <v>1</v>
      </c>
      <c r="H735" s="50" t="s">
        <v>2</v>
      </c>
      <c r="I735" s="50" t="s">
        <v>291</v>
      </c>
      <c r="J735" s="51">
        <v>46091</v>
      </c>
      <c r="K735" s="50" t="s">
        <v>3</v>
      </c>
      <c r="L735" s="50" t="s">
        <v>80</v>
      </c>
    </row>
    <row r="736" spans="2:12">
      <c r="B736" s="50" t="s">
        <v>483</v>
      </c>
      <c r="C736" s="50" t="s">
        <v>62</v>
      </c>
      <c r="D736" s="50" t="s">
        <v>27</v>
      </c>
      <c r="E736" s="50">
        <v>50043471</v>
      </c>
      <c r="F736" s="50" t="s">
        <v>257</v>
      </c>
      <c r="G736" s="50">
        <v>1</v>
      </c>
      <c r="H736" s="50" t="s">
        <v>2</v>
      </c>
      <c r="I736" s="50" t="s">
        <v>291</v>
      </c>
      <c r="J736" s="51">
        <v>46091</v>
      </c>
      <c r="K736" s="50" t="s">
        <v>3</v>
      </c>
      <c r="L736" s="50" t="s">
        <v>80</v>
      </c>
    </row>
    <row r="737" spans="2:12">
      <c r="B737" s="50" t="s">
        <v>397</v>
      </c>
      <c r="C737" s="50" t="s">
        <v>26</v>
      </c>
      <c r="D737" s="50" t="s">
        <v>41</v>
      </c>
      <c r="E737" s="50">
        <v>50036296</v>
      </c>
      <c r="F737" s="50" t="s">
        <v>109</v>
      </c>
      <c r="G737" s="50">
        <v>1</v>
      </c>
      <c r="H737" s="50" t="s">
        <v>2</v>
      </c>
      <c r="I737" s="50" t="s">
        <v>291</v>
      </c>
      <c r="J737" s="51">
        <v>46091</v>
      </c>
      <c r="K737" s="50" t="s">
        <v>3</v>
      </c>
      <c r="L737" s="50" t="s">
        <v>80</v>
      </c>
    </row>
    <row r="738" spans="2:12">
      <c r="B738" s="50" t="s">
        <v>439</v>
      </c>
      <c r="C738" s="50" t="s">
        <v>62</v>
      </c>
      <c r="D738" s="50" t="s">
        <v>27</v>
      </c>
      <c r="E738" s="50">
        <v>50036279</v>
      </c>
      <c r="F738" s="50" t="s">
        <v>133</v>
      </c>
      <c r="G738" s="50">
        <v>1</v>
      </c>
      <c r="H738" s="50" t="s">
        <v>2</v>
      </c>
      <c r="I738" s="50" t="s">
        <v>291</v>
      </c>
      <c r="J738" s="51">
        <v>46091</v>
      </c>
      <c r="K738" s="50" t="s">
        <v>1</v>
      </c>
      <c r="L738" s="50" t="s">
        <v>80</v>
      </c>
    </row>
    <row r="739" spans="2:12">
      <c r="B739" s="50" t="s">
        <v>463</v>
      </c>
      <c r="C739" s="50" t="s">
        <v>56</v>
      </c>
      <c r="D739" s="50" t="s">
        <v>27</v>
      </c>
      <c r="E739" s="50">
        <v>50043320</v>
      </c>
      <c r="F739" s="50" t="s">
        <v>264</v>
      </c>
      <c r="G739" s="50">
        <v>1</v>
      </c>
      <c r="H739" s="50" t="s">
        <v>2</v>
      </c>
      <c r="I739" s="50" t="s">
        <v>291</v>
      </c>
      <c r="J739" s="51">
        <v>46091</v>
      </c>
      <c r="K739" s="50" t="s">
        <v>1</v>
      </c>
      <c r="L739" s="50" t="s">
        <v>80</v>
      </c>
    </row>
    <row r="740" spans="2:12">
      <c r="B740" s="50" t="s">
        <v>463</v>
      </c>
      <c r="C740" s="50" t="s">
        <v>56</v>
      </c>
      <c r="D740" s="50" t="s">
        <v>27</v>
      </c>
      <c r="E740" s="50">
        <v>50043471</v>
      </c>
      <c r="F740" s="50" t="s">
        <v>257</v>
      </c>
      <c r="G740" s="50">
        <v>1</v>
      </c>
      <c r="H740" s="50" t="s">
        <v>2</v>
      </c>
      <c r="I740" s="50" t="s">
        <v>291</v>
      </c>
      <c r="J740" s="51">
        <v>46091</v>
      </c>
      <c r="K740" s="50" t="s">
        <v>1</v>
      </c>
      <c r="L740" s="50" t="s">
        <v>80</v>
      </c>
    </row>
    <row r="741" spans="2:12">
      <c r="B741" s="50" t="s">
        <v>382</v>
      </c>
      <c r="C741" s="50" t="s">
        <v>51</v>
      </c>
      <c r="D741" s="50" t="s">
        <v>41</v>
      </c>
      <c r="E741" s="50">
        <v>50036296</v>
      </c>
      <c r="F741" s="50" t="s">
        <v>109</v>
      </c>
      <c r="G741" s="50">
        <v>1</v>
      </c>
      <c r="H741" s="50" t="s">
        <v>2</v>
      </c>
      <c r="I741" s="50" t="s">
        <v>291</v>
      </c>
      <c r="J741" s="51">
        <v>46091</v>
      </c>
      <c r="K741" s="50" t="s">
        <v>1</v>
      </c>
      <c r="L741" s="50" t="s">
        <v>80</v>
      </c>
    </row>
    <row r="742" spans="2:12">
      <c r="B742" s="50" t="s">
        <v>382</v>
      </c>
      <c r="C742" s="50" t="s">
        <v>51</v>
      </c>
      <c r="D742" s="50" t="s">
        <v>41</v>
      </c>
      <c r="E742" s="50">
        <v>50036296</v>
      </c>
      <c r="F742" s="50" t="s">
        <v>109</v>
      </c>
      <c r="G742" s="50">
        <v>1</v>
      </c>
      <c r="H742" s="50" t="s">
        <v>2</v>
      </c>
      <c r="I742" s="50" t="s">
        <v>291</v>
      </c>
      <c r="J742" s="51">
        <v>46091</v>
      </c>
      <c r="K742" s="50" t="s">
        <v>3</v>
      </c>
      <c r="L742" s="50" t="s">
        <v>80</v>
      </c>
    </row>
    <row r="743" spans="2:12">
      <c r="B743" s="50" t="s">
        <v>316</v>
      </c>
      <c r="C743" s="50" t="s">
        <v>51</v>
      </c>
      <c r="D743" s="50" t="s">
        <v>27</v>
      </c>
      <c r="E743" s="50">
        <v>50032781</v>
      </c>
      <c r="F743" s="50" t="s">
        <v>237</v>
      </c>
      <c r="G743" s="50">
        <v>1</v>
      </c>
      <c r="H743" s="50" t="s">
        <v>2</v>
      </c>
      <c r="I743" s="50" t="s">
        <v>291</v>
      </c>
      <c r="J743" s="51">
        <v>46091</v>
      </c>
      <c r="K743" s="50" t="s">
        <v>1</v>
      </c>
      <c r="L743" s="50" t="s">
        <v>80</v>
      </c>
    </row>
    <row r="744" spans="2:12">
      <c r="B744" s="50" t="s">
        <v>345</v>
      </c>
      <c r="C744" s="50" t="s">
        <v>62</v>
      </c>
      <c r="D744" s="50" t="s">
        <v>27</v>
      </c>
      <c r="E744" s="50">
        <v>50030486</v>
      </c>
      <c r="F744" s="50" t="s">
        <v>153</v>
      </c>
      <c r="G744" s="50">
        <v>1</v>
      </c>
      <c r="H744" s="50" t="s">
        <v>2</v>
      </c>
      <c r="I744" s="50" t="s">
        <v>291</v>
      </c>
      <c r="J744" s="51">
        <v>46091</v>
      </c>
      <c r="K744" s="50" t="s">
        <v>3</v>
      </c>
      <c r="L744" s="50" t="s">
        <v>80</v>
      </c>
    </row>
    <row r="745" spans="2:12">
      <c r="B745" s="50" t="s">
        <v>316</v>
      </c>
      <c r="C745" s="50" t="s">
        <v>51</v>
      </c>
      <c r="D745" s="50" t="s">
        <v>27</v>
      </c>
      <c r="E745" s="50">
        <v>50032781</v>
      </c>
      <c r="F745" s="50" t="s">
        <v>237</v>
      </c>
      <c r="G745" s="50">
        <v>1</v>
      </c>
      <c r="H745" s="50" t="s">
        <v>2</v>
      </c>
      <c r="I745" s="50" t="s">
        <v>290</v>
      </c>
      <c r="J745" s="51">
        <v>46091</v>
      </c>
      <c r="K745" s="50" t="s">
        <v>3</v>
      </c>
      <c r="L745" s="50" t="s">
        <v>80</v>
      </c>
    </row>
    <row r="746" spans="2:12">
      <c r="B746" s="50" t="s">
        <v>481</v>
      </c>
      <c r="C746" s="50" t="s">
        <v>56</v>
      </c>
      <c r="D746" s="50" t="s">
        <v>27</v>
      </c>
      <c r="E746" s="50">
        <v>50038517</v>
      </c>
      <c r="F746" s="50" t="s">
        <v>181</v>
      </c>
      <c r="G746" s="50">
        <v>1</v>
      </c>
      <c r="H746" s="50" t="s">
        <v>2</v>
      </c>
      <c r="I746" s="50" t="s">
        <v>291</v>
      </c>
      <c r="J746" s="51">
        <v>46091</v>
      </c>
      <c r="K746" s="50" t="s">
        <v>3</v>
      </c>
      <c r="L746" s="50" t="s">
        <v>80</v>
      </c>
    </row>
    <row r="747" spans="2:12">
      <c r="B747" s="50" t="s">
        <v>439</v>
      </c>
      <c r="C747" s="50" t="s">
        <v>62</v>
      </c>
      <c r="D747" s="50" t="s">
        <v>27</v>
      </c>
      <c r="E747" s="50">
        <v>50036279</v>
      </c>
      <c r="F747" s="50" t="s">
        <v>133</v>
      </c>
      <c r="G747" s="50">
        <v>1</v>
      </c>
      <c r="H747" s="50" t="s">
        <v>2</v>
      </c>
      <c r="I747" s="50" t="s">
        <v>291</v>
      </c>
      <c r="J747" s="51">
        <v>46091</v>
      </c>
      <c r="K747" s="50" t="s">
        <v>3</v>
      </c>
      <c r="L747" s="50" t="s">
        <v>80</v>
      </c>
    </row>
    <row r="748" spans="2:12">
      <c r="B748" s="50" t="s">
        <v>399</v>
      </c>
      <c r="C748" s="50" t="s">
        <v>51</v>
      </c>
      <c r="D748" s="50" t="s">
        <v>27</v>
      </c>
      <c r="E748" s="50">
        <v>50039065</v>
      </c>
      <c r="F748" s="50" t="s">
        <v>186</v>
      </c>
      <c r="G748" s="50">
        <v>1</v>
      </c>
      <c r="H748" s="50" t="s">
        <v>2</v>
      </c>
      <c r="I748" s="50" t="s">
        <v>291</v>
      </c>
      <c r="J748" s="51">
        <v>46091</v>
      </c>
      <c r="K748" s="50" t="s">
        <v>3</v>
      </c>
      <c r="L748" s="50" t="s">
        <v>80</v>
      </c>
    </row>
    <row r="749" spans="2:12">
      <c r="B749" s="50" t="s">
        <v>399</v>
      </c>
      <c r="C749" s="50" t="s">
        <v>51</v>
      </c>
      <c r="D749" s="50" t="s">
        <v>27</v>
      </c>
      <c r="E749" s="50">
        <v>50037892</v>
      </c>
      <c r="F749" s="50" t="s">
        <v>178</v>
      </c>
      <c r="G749" s="50">
        <v>1</v>
      </c>
      <c r="H749" s="50" t="s">
        <v>2</v>
      </c>
      <c r="I749" s="50" t="s">
        <v>291</v>
      </c>
      <c r="J749" s="51">
        <v>46091</v>
      </c>
      <c r="K749" s="50" t="s">
        <v>3</v>
      </c>
      <c r="L749" s="50" t="s">
        <v>80</v>
      </c>
    </row>
    <row r="750" spans="2:12">
      <c r="B750" s="50" t="s">
        <v>438</v>
      </c>
      <c r="C750" s="50" t="s">
        <v>51</v>
      </c>
      <c r="D750" s="50" t="s">
        <v>27</v>
      </c>
      <c r="E750" s="50">
        <v>50041195</v>
      </c>
      <c r="F750" s="50" t="s">
        <v>206</v>
      </c>
      <c r="G750" s="50">
        <v>1</v>
      </c>
      <c r="H750" s="50" t="s">
        <v>2</v>
      </c>
      <c r="I750" s="50" t="s">
        <v>291</v>
      </c>
      <c r="J750" s="51">
        <v>46091</v>
      </c>
      <c r="K750" s="50" t="s">
        <v>3</v>
      </c>
      <c r="L750" s="50" t="s">
        <v>80</v>
      </c>
    </row>
    <row r="751" spans="2:12">
      <c r="B751" s="50" t="s">
        <v>481</v>
      </c>
      <c r="C751" s="50" t="s">
        <v>56</v>
      </c>
      <c r="D751" s="50" t="s">
        <v>27</v>
      </c>
      <c r="E751" s="50">
        <v>50003297</v>
      </c>
      <c r="F751" s="50" t="s">
        <v>158</v>
      </c>
      <c r="G751" s="50">
        <v>1</v>
      </c>
      <c r="H751" s="50" t="s">
        <v>2</v>
      </c>
      <c r="I751" s="50" t="s">
        <v>291</v>
      </c>
      <c r="J751" s="51">
        <v>46091</v>
      </c>
      <c r="K751" s="50" t="s">
        <v>3</v>
      </c>
      <c r="L751" s="50" t="s">
        <v>80</v>
      </c>
    </row>
    <row r="752" spans="2:12">
      <c r="B752" s="50" t="s">
        <v>54</v>
      </c>
      <c r="C752" s="50" t="s">
        <v>51</v>
      </c>
      <c r="D752" s="50" t="s">
        <v>41</v>
      </c>
      <c r="E752" s="50">
        <v>50010031</v>
      </c>
      <c r="F752" s="50" t="s">
        <v>89</v>
      </c>
      <c r="G752" s="50">
        <v>1</v>
      </c>
      <c r="H752" s="50" t="s">
        <v>2</v>
      </c>
      <c r="I752" s="50" t="s">
        <v>291</v>
      </c>
      <c r="J752" s="51">
        <v>46091</v>
      </c>
      <c r="K752" s="50" t="s">
        <v>3</v>
      </c>
      <c r="L752" s="50" t="s">
        <v>80</v>
      </c>
    </row>
    <row r="753" spans="2:12">
      <c r="B753" s="50" t="s">
        <v>463</v>
      </c>
      <c r="C753" s="50" t="s">
        <v>56</v>
      </c>
      <c r="D753" s="50" t="s">
        <v>27</v>
      </c>
      <c r="E753" s="50">
        <v>50043320</v>
      </c>
      <c r="F753" s="50" t="s">
        <v>264</v>
      </c>
      <c r="G753" s="50">
        <v>1</v>
      </c>
      <c r="H753" s="50" t="s">
        <v>2</v>
      </c>
      <c r="I753" s="50" t="s">
        <v>291</v>
      </c>
      <c r="J753" s="51">
        <v>46091</v>
      </c>
      <c r="K753" s="50" t="s">
        <v>3</v>
      </c>
      <c r="L753" s="50" t="s">
        <v>80</v>
      </c>
    </row>
    <row r="754" spans="2:12">
      <c r="B754" s="50" t="s">
        <v>463</v>
      </c>
      <c r="C754" s="50" t="s">
        <v>56</v>
      </c>
      <c r="D754" s="50" t="s">
        <v>27</v>
      </c>
      <c r="E754" s="50">
        <v>50043471</v>
      </c>
      <c r="F754" s="50" t="s">
        <v>257</v>
      </c>
      <c r="G754" s="50">
        <v>1</v>
      </c>
      <c r="H754" s="50" t="s">
        <v>2</v>
      </c>
      <c r="I754" s="50" t="s">
        <v>291</v>
      </c>
      <c r="J754" s="51">
        <v>46091</v>
      </c>
      <c r="K754" s="50" t="s">
        <v>3</v>
      </c>
      <c r="L754" s="50" t="s">
        <v>80</v>
      </c>
    </row>
    <row r="755" spans="2:12">
      <c r="B755" s="50" t="s">
        <v>461</v>
      </c>
      <c r="C755" s="50" t="s">
        <v>26</v>
      </c>
      <c r="D755" s="50" t="s">
        <v>39</v>
      </c>
      <c r="E755" s="50">
        <v>50043471</v>
      </c>
      <c r="F755" s="50" t="s">
        <v>257</v>
      </c>
      <c r="G755" s="50">
        <v>1</v>
      </c>
      <c r="H755" s="50" t="s">
        <v>2</v>
      </c>
      <c r="I755" s="50" t="s">
        <v>293</v>
      </c>
      <c r="J755" s="51">
        <v>46090</v>
      </c>
      <c r="K755" s="50" t="s">
        <v>1</v>
      </c>
      <c r="L755" s="50" t="s">
        <v>80</v>
      </c>
    </row>
    <row r="756" spans="2:12">
      <c r="B756" s="50" t="s">
        <v>54</v>
      </c>
      <c r="C756" s="50" t="s">
        <v>51</v>
      </c>
      <c r="D756" s="50" t="s">
        <v>41</v>
      </c>
      <c r="E756" s="50">
        <v>50037892</v>
      </c>
      <c r="F756" s="50" t="s">
        <v>178</v>
      </c>
      <c r="G756" s="50">
        <v>1</v>
      </c>
      <c r="H756" s="50" t="s">
        <v>2</v>
      </c>
      <c r="I756" s="50" t="s">
        <v>293</v>
      </c>
      <c r="J756" s="51">
        <v>46090</v>
      </c>
      <c r="K756" s="50" t="s">
        <v>1</v>
      </c>
      <c r="L756" s="50" t="s">
        <v>80</v>
      </c>
    </row>
    <row r="757" spans="2:12">
      <c r="B757" s="50" t="s">
        <v>399</v>
      </c>
      <c r="C757" s="50" t="s">
        <v>51</v>
      </c>
      <c r="D757" s="50" t="s">
        <v>27</v>
      </c>
      <c r="E757" s="50">
        <v>50043471</v>
      </c>
      <c r="F757" s="50" t="s">
        <v>257</v>
      </c>
      <c r="G757" s="50">
        <v>1</v>
      </c>
      <c r="H757" s="50" t="s">
        <v>2</v>
      </c>
      <c r="I757" s="50" t="s">
        <v>293</v>
      </c>
      <c r="J757" s="51">
        <v>46090</v>
      </c>
      <c r="K757" s="50" t="s">
        <v>1</v>
      </c>
      <c r="L757" s="50" t="s">
        <v>80</v>
      </c>
    </row>
    <row r="758" spans="2:12">
      <c r="B758" s="50" t="s">
        <v>399</v>
      </c>
      <c r="C758" s="50" t="s">
        <v>51</v>
      </c>
      <c r="D758" s="50" t="s">
        <v>27</v>
      </c>
      <c r="E758" s="50">
        <v>50038517</v>
      </c>
      <c r="F758" s="50" t="s">
        <v>181</v>
      </c>
      <c r="G758" s="50">
        <v>1</v>
      </c>
      <c r="H758" s="50" t="s">
        <v>2</v>
      </c>
      <c r="I758" s="50" t="s">
        <v>293</v>
      </c>
      <c r="J758" s="51">
        <v>46090</v>
      </c>
      <c r="K758" s="50" t="s">
        <v>1</v>
      </c>
      <c r="L758" s="50" t="s">
        <v>80</v>
      </c>
    </row>
    <row r="759" spans="2:12">
      <c r="B759" s="50" t="s">
        <v>54</v>
      </c>
      <c r="C759" s="50" t="s">
        <v>51</v>
      </c>
      <c r="D759" s="50" t="s">
        <v>41</v>
      </c>
      <c r="E759" s="50">
        <v>50039065</v>
      </c>
      <c r="F759" s="50" t="s">
        <v>186</v>
      </c>
      <c r="G759" s="50">
        <v>1</v>
      </c>
      <c r="H759" s="50" t="s">
        <v>2</v>
      </c>
      <c r="I759" s="50" t="s">
        <v>293</v>
      </c>
      <c r="J759" s="51">
        <v>46090</v>
      </c>
      <c r="K759" s="50" t="s">
        <v>1</v>
      </c>
      <c r="L759" s="50" t="s">
        <v>80</v>
      </c>
    </row>
    <row r="760" spans="2:12">
      <c r="B760" s="50" t="s">
        <v>463</v>
      </c>
      <c r="C760" s="50" t="s">
        <v>56</v>
      </c>
      <c r="D760" s="50" t="s">
        <v>27</v>
      </c>
      <c r="E760" s="50">
        <v>50003297</v>
      </c>
      <c r="F760" s="50" t="s">
        <v>158</v>
      </c>
      <c r="G760" s="50">
        <v>1</v>
      </c>
      <c r="H760" s="50" t="s">
        <v>2</v>
      </c>
      <c r="I760" s="50" t="s">
        <v>293</v>
      </c>
      <c r="J760" s="51">
        <v>46090</v>
      </c>
      <c r="K760" s="50" t="s">
        <v>1</v>
      </c>
      <c r="L760" s="50" t="s">
        <v>80</v>
      </c>
    </row>
    <row r="761" spans="2:12">
      <c r="B761" s="50" t="s">
        <v>483</v>
      </c>
      <c r="C761" s="50" t="s">
        <v>62</v>
      </c>
      <c r="D761" s="50" t="s">
        <v>27</v>
      </c>
      <c r="E761" s="50">
        <v>50010031</v>
      </c>
      <c r="F761" s="50" t="s">
        <v>89</v>
      </c>
      <c r="G761" s="50">
        <v>1</v>
      </c>
      <c r="H761" s="50" t="s">
        <v>2</v>
      </c>
      <c r="I761" s="50" t="s">
        <v>293</v>
      </c>
      <c r="J761" s="51">
        <v>46090</v>
      </c>
      <c r="K761" s="50" t="s">
        <v>1</v>
      </c>
      <c r="L761" s="50" t="s">
        <v>80</v>
      </c>
    </row>
    <row r="762" spans="2:12">
      <c r="B762" s="50" t="s">
        <v>463</v>
      </c>
      <c r="C762" s="50" t="s">
        <v>56</v>
      </c>
      <c r="D762" s="50" t="s">
        <v>27</v>
      </c>
      <c r="E762" s="50">
        <v>50003297</v>
      </c>
      <c r="F762" s="50" t="s">
        <v>158</v>
      </c>
      <c r="G762" s="50">
        <v>1</v>
      </c>
      <c r="H762" s="50" t="s">
        <v>2</v>
      </c>
      <c r="I762" s="50" t="s">
        <v>293</v>
      </c>
      <c r="J762" s="51">
        <v>46090</v>
      </c>
      <c r="K762" s="50" t="s">
        <v>3</v>
      </c>
      <c r="L762" s="50" t="s">
        <v>80</v>
      </c>
    </row>
    <row r="763" spans="2:12">
      <c r="B763" s="50" t="s">
        <v>461</v>
      </c>
      <c r="C763" s="50" t="s">
        <v>26</v>
      </c>
      <c r="D763" s="50" t="s">
        <v>39</v>
      </c>
      <c r="E763" s="50">
        <v>50029865</v>
      </c>
      <c r="F763" s="50" t="s">
        <v>162</v>
      </c>
      <c r="G763" s="50">
        <v>1</v>
      </c>
      <c r="H763" s="50" t="s">
        <v>2</v>
      </c>
      <c r="I763" s="50" t="s">
        <v>291</v>
      </c>
      <c r="J763" s="51">
        <v>46090</v>
      </c>
      <c r="K763" s="50" t="s">
        <v>3</v>
      </c>
      <c r="L763" s="50" t="s">
        <v>80</v>
      </c>
    </row>
    <row r="764" spans="2:12">
      <c r="B764" s="50" t="s">
        <v>461</v>
      </c>
      <c r="C764" s="50" t="s">
        <v>26</v>
      </c>
      <c r="D764" s="50" t="s">
        <v>39</v>
      </c>
      <c r="E764" s="50">
        <v>50043471</v>
      </c>
      <c r="F764" s="50" t="s">
        <v>257</v>
      </c>
      <c r="G764" s="50">
        <v>1</v>
      </c>
      <c r="H764" s="50" t="s">
        <v>2</v>
      </c>
      <c r="I764" s="50" t="s">
        <v>291</v>
      </c>
      <c r="J764" s="51">
        <v>46090</v>
      </c>
      <c r="K764" s="50" t="s">
        <v>3</v>
      </c>
      <c r="L764" s="50" t="s">
        <v>80</v>
      </c>
    </row>
    <row r="765" spans="2:12">
      <c r="B765" s="50" t="s">
        <v>277</v>
      </c>
      <c r="C765" s="50" t="s">
        <v>62</v>
      </c>
      <c r="D765" s="50" t="s">
        <v>27</v>
      </c>
      <c r="E765" s="50">
        <v>50026357</v>
      </c>
      <c r="F765" s="50" t="s">
        <v>192</v>
      </c>
      <c r="G765" s="50">
        <v>1</v>
      </c>
      <c r="H765" s="50" t="s">
        <v>2</v>
      </c>
      <c r="I765" s="50" t="s">
        <v>291</v>
      </c>
      <c r="J765" s="51">
        <v>46090</v>
      </c>
      <c r="K765" s="50" t="s">
        <v>3</v>
      </c>
      <c r="L765" s="50" t="s">
        <v>80</v>
      </c>
    </row>
    <row r="766" spans="2:12">
      <c r="B766" s="50" t="s">
        <v>394</v>
      </c>
      <c r="C766" s="50" t="s">
        <v>51</v>
      </c>
      <c r="D766" s="50" t="s">
        <v>27</v>
      </c>
      <c r="E766" s="50">
        <v>50022878</v>
      </c>
      <c r="F766" s="50" t="s">
        <v>296</v>
      </c>
      <c r="G766" s="50">
        <v>1</v>
      </c>
      <c r="H766" s="50" t="s">
        <v>2</v>
      </c>
      <c r="I766" s="50" t="s">
        <v>291</v>
      </c>
      <c r="J766" s="51">
        <v>46090</v>
      </c>
      <c r="K766" s="50" t="s">
        <v>1</v>
      </c>
      <c r="L766" s="50" t="s">
        <v>80</v>
      </c>
    </row>
    <row r="767" spans="2:12">
      <c r="B767" s="50" t="s">
        <v>483</v>
      </c>
      <c r="C767" s="50" t="s">
        <v>62</v>
      </c>
      <c r="D767" s="50" t="s">
        <v>27</v>
      </c>
      <c r="E767" s="50">
        <v>50020622</v>
      </c>
      <c r="F767" s="50" t="s">
        <v>217</v>
      </c>
      <c r="G767" s="50">
        <v>1</v>
      </c>
      <c r="H767" s="50" t="s">
        <v>2</v>
      </c>
      <c r="I767" s="50" t="s">
        <v>297</v>
      </c>
      <c r="J767" s="51">
        <v>46090</v>
      </c>
      <c r="K767" s="50" t="s">
        <v>1</v>
      </c>
      <c r="L767" s="50" t="s">
        <v>80</v>
      </c>
    </row>
    <row r="768" spans="2:12">
      <c r="B768" s="50" t="s">
        <v>481</v>
      </c>
      <c r="C768" s="50" t="s">
        <v>26</v>
      </c>
      <c r="D768" s="50" t="s">
        <v>27</v>
      </c>
      <c r="E768" s="50">
        <v>50043320</v>
      </c>
      <c r="F768" s="50" t="s">
        <v>264</v>
      </c>
      <c r="G768" s="50">
        <v>1</v>
      </c>
      <c r="H768" s="50" t="s">
        <v>2</v>
      </c>
      <c r="I768" s="50" t="s">
        <v>291</v>
      </c>
      <c r="J768" s="51">
        <v>46090</v>
      </c>
      <c r="K768" s="50" t="s">
        <v>1</v>
      </c>
      <c r="L768" s="50" t="s">
        <v>80</v>
      </c>
    </row>
    <row r="769" spans="2:12">
      <c r="B769" s="50" t="s">
        <v>394</v>
      </c>
      <c r="C769" s="50" t="s">
        <v>51</v>
      </c>
      <c r="D769" s="50" t="s">
        <v>27</v>
      </c>
      <c r="E769" s="50">
        <v>50022878</v>
      </c>
      <c r="F769" s="50" t="s">
        <v>296</v>
      </c>
      <c r="G769" s="50">
        <v>1</v>
      </c>
      <c r="H769" s="50" t="s">
        <v>2</v>
      </c>
      <c r="I769" s="50" t="s">
        <v>297</v>
      </c>
      <c r="J769" s="51">
        <v>46090</v>
      </c>
      <c r="K769" s="50" t="s">
        <v>3</v>
      </c>
      <c r="L769" s="50" t="s">
        <v>80</v>
      </c>
    </row>
    <row r="770" spans="2:12">
      <c r="B770" s="50" t="s">
        <v>483</v>
      </c>
      <c r="C770" s="50" t="s">
        <v>62</v>
      </c>
      <c r="D770" s="50" t="s">
        <v>27</v>
      </c>
      <c r="E770" s="50">
        <v>50020622</v>
      </c>
      <c r="F770" s="50" t="s">
        <v>217</v>
      </c>
      <c r="G770" s="50">
        <v>1</v>
      </c>
      <c r="H770" s="50" t="s">
        <v>2</v>
      </c>
      <c r="I770" s="50" t="s">
        <v>297</v>
      </c>
      <c r="J770" s="51">
        <v>46090</v>
      </c>
      <c r="K770" s="50" t="s">
        <v>3</v>
      </c>
      <c r="L770" s="50" t="s">
        <v>80</v>
      </c>
    </row>
    <row r="771" spans="2:12">
      <c r="B771" s="50" t="s">
        <v>483</v>
      </c>
      <c r="C771" s="50" t="s">
        <v>62</v>
      </c>
      <c r="D771" s="50" t="s">
        <v>27</v>
      </c>
      <c r="E771" s="50">
        <v>50036280</v>
      </c>
      <c r="F771" s="50" t="s">
        <v>152</v>
      </c>
      <c r="G771" s="50">
        <v>1</v>
      </c>
      <c r="H771" s="50" t="s">
        <v>2</v>
      </c>
      <c r="I771" s="50" t="s">
        <v>297</v>
      </c>
      <c r="J771" s="51">
        <v>46090</v>
      </c>
      <c r="K771" s="50" t="s">
        <v>3</v>
      </c>
      <c r="L771" s="50" t="s">
        <v>80</v>
      </c>
    </row>
    <row r="772" spans="2:12">
      <c r="B772" s="50" t="s">
        <v>481</v>
      </c>
      <c r="C772" s="50" t="s">
        <v>26</v>
      </c>
      <c r="D772" s="50" t="s">
        <v>27</v>
      </c>
      <c r="E772" s="50">
        <v>50043320</v>
      </c>
      <c r="F772" s="50" t="s">
        <v>264</v>
      </c>
      <c r="G772" s="50">
        <v>1</v>
      </c>
      <c r="H772" s="50" t="s">
        <v>2</v>
      </c>
      <c r="I772" s="50" t="s">
        <v>297</v>
      </c>
      <c r="J772" s="51">
        <v>46090</v>
      </c>
      <c r="K772" s="50" t="s">
        <v>3</v>
      </c>
      <c r="L772" s="50" t="s">
        <v>80</v>
      </c>
    </row>
    <row r="773" spans="2:12">
      <c r="B773" s="50" t="s">
        <v>399</v>
      </c>
      <c r="C773" s="50" t="s">
        <v>51</v>
      </c>
      <c r="D773" s="50" t="s">
        <v>27</v>
      </c>
      <c r="E773" s="50">
        <v>50043471</v>
      </c>
      <c r="F773" s="50" t="s">
        <v>257</v>
      </c>
      <c r="G773" s="50">
        <v>1</v>
      </c>
      <c r="H773" s="50" t="s">
        <v>2</v>
      </c>
      <c r="I773" s="50" t="s">
        <v>297</v>
      </c>
      <c r="J773" s="51">
        <v>46090</v>
      </c>
      <c r="K773" s="50" t="s">
        <v>3</v>
      </c>
      <c r="L773" s="50" t="s">
        <v>80</v>
      </c>
    </row>
    <row r="774" spans="2:12">
      <c r="B774" s="50" t="s">
        <v>438</v>
      </c>
      <c r="C774" s="50" t="s">
        <v>51</v>
      </c>
      <c r="D774" s="50" t="s">
        <v>27</v>
      </c>
      <c r="E774" s="50">
        <v>50043471</v>
      </c>
      <c r="F774" s="50" t="s">
        <v>257</v>
      </c>
      <c r="G774" s="50">
        <v>1</v>
      </c>
      <c r="H774" s="50" t="s">
        <v>2</v>
      </c>
      <c r="I774" s="50" t="s">
        <v>297</v>
      </c>
      <c r="J774" s="51">
        <v>46090</v>
      </c>
      <c r="K774" s="50" t="s">
        <v>1</v>
      </c>
      <c r="L774" s="50" t="s">
        <v>80</v>
      </c>
    </row>
    <row r="775" spans="2:12">
      <c r="B775" s="50" t="s">
        <v>438</v>
      </c>
      <c r="C775" s="50" t="s">
        <v>51</v>
      </c>
      <c r="D775" s="50" t="s">
        <v>27</v>
      </c>
      <c r="E775" s="50">
        <v>50043471</v>
      </c>
      <c r="F775" s="50" t="s">
        <v>257</v>
      </c>
      <c r="G775" s="50">
        <v>1</v>
      </c>
      <c r="H775" s="50" t="s">
        <v>2</v>
      </c>
      <c r="I775" s="50" t="s">
        <v>297</v>
      </c>
      <c r="J775" s="51">
        <v>46090</v>
      </c>
      <c r="K775" s="50" t="s">
        <v>3</v>
      </c>
      <c r="L775" s="50" t="s">
        <v>80</v>
      </c>
    </row>
    <row r="776" spans="2:12">
      <c r="B776" s="50" t="s">
        <v>54</v>
      </c>
      <c r="C776" s="50" t="s">
        <v>51</v>
      </c>
      <c r="D776" s="50" t="s">
        <v>41</v>
      </c>
      <c r="E776" s="50">
        <v>50037892</v>
      </c>
      <c r="F776" s="50" t="s">
        <v>178</v>
      </c>
      <c r="G776" s="50">
        <v>1</v>
      </c>
      <c r="H776" s="50" t="s">
        <v>2</v>
      </c>
      <c r="I776" s="50" t="s">
        <v>297</v>
      </c>
      <c r="J776" s="51">
        <v>46090</v>
      </c>
      <c r="K776" s="50" t="s">
        <v>3</v>
      </c>
      <c r="L776" s="50" t="s">
        <v>80</v>
      </c>
    </row>
    <row r="777" spans="2:12">
      <c r="B777" s="50" t="s">
        <v>54</v>
      </c>
      <c r="C777" s="50" t="s">
        <v>51</v>
      </c>
      <c r="D777" s="50" t="s">
        <v>41</v>
      </c>
      <c r="E777" s="50">
        <v>50039065</v>
      </c>
      <c r="F777" s="50" t="s">
        <v>186</v>
      </c>
      <c r="G777" s="50">
        <v>1</v>
      </c>
      <c r="H777" s="50" t="s">
        <v>2</v>
      </c>
      <c r="I777" s="50" t="s">
        <v>297</v>
      </c>
      <c r="J777" s="51">
        <v>46090</v>
      </c>
      <c r="K777" s="50" t="s">
        <v>3</v>
      </c>
      <c r="L777" s="50" t="s">
        <v>80</v>
      </c>
    </row>
    <row r="778" spans="2:12">
      <c r="B778" s="50" t="s">
        <v>483</v>
      </c>
      <c r="C778" s="50" t="s">
        <v>62</v>
      </c>
      <c r="D778" s="50" t="s">
        <v>27</v>
      </c>
      <c r="E778" s="50">
        <v>50010031</v>
      </c>
      <c r="F778" s="50" t="s">
        <v>89</v>
      </c>
      <c r="G778" s="50">
        <v>1</v>
      </c>
      <c r="H778" s="50" t="s">
        <v>2</v>
      </c>
      <c r="I778" s="50" t="s">
        <v>297</v>
      </c>
      <c r="J778" s="51">
        <v>46090</v>
      </c>
      <c r="K778" s="50" t="s">
        <v>3</v>
      </c>
      <c r="L778" s="50" t="s">
        <v>80</v>
      </c>
    </row>
    <row r="779" spans="2:12">
      <c r="B779" s="50" t="s">
        <v>382</v>
      </c>
      <c r="C779" s="50" t="s">
        <v>51</v>
      </c>
      <c r="D779" s="50" t="s">
        <v>41</v>
      </c>
      <c r="E779" s="50">
        <v>50038517</v>
      </c>
      <c r="F779" s="50" t="s">
        <v>181</v>
      </c>
      <c r="G779" s="50">
        <v>1</v>
      </c>
      <c r="H779" s="50" t="s">
        <v>2</v>
      </c>
      <c r="I779" s="50" t="s">
        <v>297</v>
      </c>
      <c r="J779" s="51">
        <v>46090</v>
      </c>
      <c r="K779" s="50" t="s">
        <v>1</v>
      </c>
      <c r="L779" s="50" t="s">
        <v>80</v>
      </c>
    </row>
    <row r="780" spans="2:12">
      <c r="B780" s="50" t="s">
        <v>399</v>
      </c>
      <c r="C780" s="50" t="s">
        <v>51</v>
      </c>
      <c r="D780" s="50" t="s">
        <v>27</v>
      </c>
      <c r="E780" s="50">
        <v>50038517</v>
      </c>
      <c r="F780" s="50" t="s">
        <v>181</v>
      </c>
      <c r="G780" s="50">
        <v>1</v>
      </c>
      <c r="H780" s="50" t="s">
        <v>2</v>
      </c>
      <c r="I780" s="50" t="s">
        <v>297</v>
      </c>
      <c r="J780" s="51">
        <v>46090</v>
      </c>
      <c r="K780" s="50" t="s">
        <v>3</v>
      </c>
      <c r="L780" s="50" t="s">
        <v>80</v>
      </c>
    </row>
    <row r="781" spans="2:12">
      <c r="B781" s="50" t="s">
        <v>382</v>
      </c>
      <c r="C781" s="50" t="s">
        <v>51</v>
      </c>
      <c r="D781" s="50" t="s">
        <v>41</v>
      </c>
      <c r="E781" s="50">
        <v>50038517</v>
      </c>
      <c r="F781" s="50" t="s">
        <v>181</v>
      </c>
      <c r="G781" s="50">
        <v>1</v>
      </c>
      <c r="H781" s="50" t="s">
        <v>2</v>
      </c>
      <c r="I781" s="50" t="s">
        <v>297</v>
      </c>
      <c r="J781" s="51">
        <v>46090</v>
      </c>
      <c r="K781" s="50" t="s">
        <v>3</v>
      </c>
      <c r="L781" s="50" t="s">
        <v>80</v>
      </c>
    </row>
    <row r="782" spans="2:12">
      <c r="B782" s="50" t="s">
        <v>345</v>
      </c>
      <c r="C782" s="50" t="s">
        <v>62</v>
      </c>
      <c r="D782" s="50" t="s">
        <v>27</v>
      </c>
      <c r="E782" s="50">
        <v>50046617</v>
      </c>
      <c r="F782" s="50" t="s">
        <v>365</v>
      </c>
      <c r="G782" s="50">
        <v>1</v>
      </c>
      <c r="H782" s="50" t="s">
        <v>2</v>
      </c>
      <c r="I782" s="50" t="s">
        <v>297</v>
      </c>
      <c r="J782" s="51">
        <v>46090</v>
      </c>
      <c r="K782" s="50" t="s">
        <v>3</v>
      </c>
      <c r="L782" s="50" t="s">
        <v>80</v>
      </c>
    </row>
    <row r="783" spans="2:12">
      <c r="B783" s="50" t="s">
        <v>422</v>
      </c>
      <c r="C783" s="50" t="s">
        <v>26</v>
      </c>
      <c r="D783" s="50" t="s">
        <v>41</v>
      </c>
      <c r="E783" s="50">
        <v>50036086</v>
      </c>
      <c r="F783" s="50" t="s">
        <v>28</v>
      </c>
      <c r="G783" s="50">
        <v>1</v>
      </c>
      <c r="H783" s="50" t="s">
        <v>2</v>
      </c>
      <c r="I783" s="50" t="s">
        <v>289</v>
      </c>
      <c r="J783" s="51">
        <v>46089</v>
      </c>
      <c r="K783" s="50" t="s">
        <v>1</v>
      </c>
      <c r="L783" s="50" t="s">
        <v>80</v>
      </c>
    </row>
    <row r="784" spans="2:12">
      <c r="B784" s="50" t="s">
        <v>422</v>
      </c>
      <c r="C784" s="50" t="s">
        <v>26</v>
      </c>
      <c r="D784" s="50" t="s">
        <v>41</v>
      </c>
      <c r="E784" s="50">
        <v>50036086</v>
      </c>
      <c r="F784" s="50" t="s">
        <v>28</v>
      </c>
      <c r="G784" s="50">
        <v>1</v>
      </c>
      <c r="H784" s="50" t="s">
        <v>2</v>
      </c>
      <c r="I784" s="50" t="s">
        <v>289</v>
      </c>
      <c r="J784" s="51">
        <v>46089</v>
      </c>
      <c r="K784" s="50" t="s">
        <v>3</v>
      </c>
      <c r="L784" s="50" t="s">
        <v>80</v>
      </c>
    </row>
    <row r="785" spans="2:12">
      <c r="B785" s="50" t="s">
        <v>422</v>
      </c>
      <c r="C785" s="50" t="s">
        <v>26</v>
      </c>
      <c r="D785" s="50" t="s">
        <v>41</v>
      </c>
      <c r="E785" s="50">
        <v>50046617</v>
      </c>
      <c r="F785" s="50" t="s">
        <v>365</v>
      </c>
      <c r="G785" s="50">
        <v>1</v>
      </c>
      <c r="H785" s="50" t="s">
        <v>2</v>
      </c>
      <c r="I785" s="50" t="s">
        <v>289</v>
      </c>
      <c r="J785" s="51">
        <v>46089</v>
      </c>
      <c r="K785" s="50" t="s">
        <v>1</v>
      </c>
      <c r="L785" s="50" t="s">
        <v>80</v>
      </c>
    </row>
    <row r="786" spans="2:12">
      <c r="B786" s="50" t="s">
        <v>422</v>
      </c>
      <c r="C786" s="50" t="s">
        <v>26</v>
      </c>
      <c r="D786" s="50" t="s">
        <v>41</v>
      </c>
      <c r="E786" s="50">
        <v>50046617</v>
      </c>
      <c r="F786" s="50" t="s">
        <v>365</v>
      </c>
      <c r="G786" s="50">
        <v>1</v>
      </c>
      <c r="H786" s="50" t="s">
        <v>2</v>
      </c>
      <c r="I786" s="50" t="s">
        <v>289</v>
      </c>
      <c r="J786" s="51">
        <v>46089</v>
      </c>
      <c r="K786" s="50" t="s">
        <v>3</v>
      </c>
      <c r="L786" s="50" t="s">
        <v>80</v>
      </c>
    </row>
    <row r="787" spans="2:12">
      <c r="B787" s="50" t="s">
        <v>463</v>
      </c>
      <c r="C787" s="50" t="s">
        <v>356</v>
      </c>
      <c r="D787" s="50" t="s">
        <v>27</v>
      </c>
      <c r="E787" s="50">
        <v>50010031</v>
      </c>
      <c r="F787" s="50" t="s">
        <v>89</v>
      </c>
      <c r="G787" s="50">
        <v>1</v>
      </c>
      <c r="H787" s="50" t="s">
        <v>2</v>
      </c>
      <c r="I787" s="50" t="s">
        <v>289</v>
      </c>
      <c r="J787" s="51">
        <v>46088</v>
      </c>
      <c r="K787" s="50" t="s">
        <v>1</v>
      </c>
      <c r="L787" s="50" t="s">
        <v>80</v>
      </c>
    </row>
    <row r="788" spans="2:12">
      <c r="B788" s="50" t="s">
        <v>407</v>
      </c>
      <c r="C788" s="50" t="s">
        <v>26</v>
      </c>
      <c r="D788" s="50" t="s">
        <v>39</v>
      </c>
      <c r="E788" s="50">
        <v>50037933</v>
      </c>
      <c r="F788" s="50" t="s">
        <v>250</v>
      </c>
      <c r="G788" s="50">
        <v>1</v>
      </c>
      <c r="H788" s="50" t="s">
        <v>2</v>
      </c>
      <c r="I788" s="50" t="s">
        <v>289</v>
      </c>
      <c r="J788" s="51">
        <v>46088</v>
      </c>
      <c r="K788" s="50" t="s">
        <v>3</v>
      </c>
      <c r="L788" s="50" t="s">
        <v>80</v>
      </c>
    </row>
    <row r="789" spans="2:12">
      <c r="B789" s="50" t="s">
        <v>437</v>
      </c>
      <c r="C789" s="50" t="s">
        <v>51</v>
      </c>
      <c r="D789" s="50" t="s">
        <v>41</v>
      </c>
      <c r="E789" s="50">
        <v>50036296</v>
      </c>
      <c r="F789" s="50" t="s">
        <v>109</v>
      </c>
      <c r="G789" s="50">
        <v>1</v>
      </c>
      <c r="H789" s="50" t="s">
        <v>2</v>
      </c>
      <c r="I789" s="50" t="s">
        <v>289</v>
      </c>
      <c r="J789" s="51">
        <v>46088</v>
      </c>
      <c r="K789" s="50" t="s">
        <v>1</v>
      </c>
      <c r="L789" s="50" t="s">
        <v>80</v>
      </c>
    </row>
    <row r="790" spans="2:12">
      <c r="B790" s="50" t="s">
        <v>463</v>
      </c>
      <c r="C790" s="50" t="s">
        <v>356</v>
      </c>
      <c r="D790" s="50" t="s">
        <v>27</v>
      </c>
      <c r="E790" s="50">
        <v>50010031</v>
      </c>
      <c r="F790" s="50" t="s">
        <v>89</v>
      </c>
      <c r="G790" s="50">
        <v>1</v>
      </c>
      <c r="H790" s="50" t="s">
        <v>2</v>
      </c>
      <c r="I790" s="50" t="s">
        <v>289</v>
      </c>
      <c r="J790" s="51">
        <v>46088</v>
      </c>
      <c r="K790" s="50" t="s">
        <v>3</v>
      </c>
      <c r="L790" s="50" t="s">
        <v>80</v>
      </c>
    </row>
    <row r="791" spans="2:12">
      <c r="B791" s="50" t="s">
        <v>466</v>
      </c>
      <c r="C791" s="50" t="s">
        <v>62</v>
      </c>
      <c r="D791" s="50" t="s">
        <v>27</v>
      </c>
      <c r="E791" s="50">
        <v>50041194</v>
      </c>
      <c r="F791" s="50" t="s">
        <v>249</v>
      </c>
      <c r="G791" s="50">
        <v>1</v>
      </c>
      <c r="H791" s="50" t="s">
        <v>2</v>
      </c>
      <c r="I791" s="50" t="s">
        <v>289</v>
      </c>
      <c r="J791" s="51">
        <v>46088</v>
      </c>
      <c r="K791" s="50" t="s">
        <v>1</v>
      </c>
      <c r="L791" s="50" t="s">
        <v>80</v>
      </c>
    </row>
    <row r="792" spans="2:12">
      <c r="B792" s="50" t="s">
        <v>422</v>
      </c>
      <c r="C792" s="50" t="s">
        <v>26</v>
      </c>
      <c r="D792" s="50" t="s">
        <v>41</v>
      </c>
      <c r="E792" s="50">
        <v>50012902</v>
      </c>
      <c r="F792" s="50" t="s">
        <v>225</v>
      </c>
      <c r="G792" s="50">
        <v>1</v>
      </c>
      <c r="H792" s="50" t="s">
        <v>2</v>
      </c>
      <c r="I792" s="50" t="s">
        <v>289</v>
      </c>
      <c r="J792" s="51">
        <v>46088</v>
      </c>
      <c r="K792" s="50" t="s">
        <v>1</v>
      </c>
      <c r="L792" s="50" t="s">
        <v>80</v>
      </c>
    </row>
    <row r="793" spans="2:12">
      <c r="B793" s="50" t="s">
        <v>422</v>
      </c>
      <c r="C793" s="50" t="s">
        <v>26</v>
      </c>
      <c r="D793" s="50" t="s">
        <v>41</v>
      </c>
      <c r="E793" s="50">
        <v>50046617</v>
      </c>
      <c r="F793" s="50" t="s">
        <v>365</v>
      </c>
      <c r="G793" s="50">
        <v>1</v>
      </c>
      <c r="H793" s="50" t="s">
        <v>2</v>
      </c>
      <c r="I793" s="50" t="s">
        <v>289</v>
      </c>
      <c r="J793" s="51">
        <v>46088</v>
      </c>
      <c r="K793" s="50" t="s">
        <v>1</v>
      </c>
      <c r="L793" s="50" t="s">
        <v>80</v>
      </c>
    </row>
    <row r="794" spans="2:12">
      <c r="B794" s="50" t="s">
        <v>437</v>
      </c>
      <c r="C794" s="50" t="s">
        <v>51</v>
      </c>
      <c r="D794" s="50" t="s">
        <v>41</v>
      </c>
      <c r="E794" s="50">
        <v>50036296</v>
      </c>
      <c r="F794" s="50" t="s">
        <v>109</v>
      </c>
      <c r="G794" s="50">
        <v>1</v>
      </c>
      <c r="H794" s="50" t="s">
        <v>2</v>
      </c>
      <c r="I794" s="50" t="s">
        <v>289</v>
      </c>
      <c r="J794" s="51">
        <v>46088</v>
      </c>
      <c r="K794" s="50" t="s">
        <v>3</v>
      </c>
      <c r="L794" s="50" t="s">
        <v>80</v>
      </c>
    </row>
    <row r="795" spans="2:12" ht="14.4">
      <c r="B795" s="50" t="s">
        <v>466</v>
      </c>
      <c r="C795" s="50" t="s">
        <v>62</v>
      </c>
      <c r="D795" s="50" t="s">
        <v>27</v>
      </c>
      <c r="E795" s="1">
        <v>50028220</v>
      </c>
      <c r="F795" s="1" t="s">
        <v>242</v>
      </c>
      <c r="G795" s="50">
        <v>1</v>
      </c>
      <c r="H795" s="50" t="s">
        <v>2</v>
      </c>
      <c r="I795" s="50" t="s">
        <v>289</v>
      </c>
      <c r="J795" s="51">
        <v>46088</v>
      </c>
      <c r="K795" s="50" t="s">
        <v>1</v>
      </c>
      <c r="L795" s="50" t="s">
        <v>80</v>
      </c>
    </row>
    <row r="796" spans="2:12" ht="14.4">
      <c r="B796" s="50" t="s">
        <v>483</v>
      </c>
      <c r="C796" s="50" t="s">
        <v>62</v>
      </c>
      <c r="D796" s="50" t="s">
        <v>27</v>
      </c>
      <c r="E796" s="1">
        <v>50038549</v>
      </c>
      <c r="F796" s="1" t="s">
        <v>173</v>
      </c>
      <c r="G796" s="50">
        <v>1</v>
      </c>
      <c r="H796" s="50" t="s">
        <v>2</v>
      </c>
      <c r="I796" s="50" t="s">
        <v>289</v>
      </c>
      <c r="J796" s="51">
        <v>46088</v>
      </c>
      <c r="K796" s="50" t="s">
        <v>1</v>
      </c>
      <c r="L796" s="50" t="s">
        <v>80</v>
      </c>
    </row>
    <row r="797" spans="2:12" ht="14.4">
      <c r="B797" s="50" t="s">
        <v>483</v>
      </c>
      <c r="C797" s="50" t="s">
        <v>62</v>
      </c>
      <c r="D797" s="50" t="s">
        <v>27</v>
      </c>
      <c r="E797" s="1">
        <v>50026357</v>
      </c>
      <c r="F797" s="1" t="s">
        <v>192</v>
      </c>
      <c r="G797" s="50">
        <v>1</v>
      </c>
      <c r="H797" s="50" t="s">
        <v>2</v>
      </c>
      <c r="I797" s="50" t="s">
        <v>289</v>
      </c>
      <c r="J797" s="51">
        <v>46088</v>
      </c>
      <c r="K797" s="50" t="s">
        <v>1</v>
      </c>
      <c r="L797" s="50" t="s">
        <v>80</v>
      </c>
    </row>
    <row r="798" spans="2:12" ht="14.4">
      <c r="B798" s="50" t="s">
        <v>466</v>
      </c>
      <c r="C798" s="50" t="s">
        <v>62</v>
      </c>
      <c r="D798" s="50" t="s">
        <v>27</v>
      </c>
      <c r="E798" s="1">
        <v>50028220</v>
      </c>
      <c r="F798" s="1" t="s">
        <v>242</v>
      </c>
      <c r="G798" s="50">
        <v>1</v>
      </c>
      <c r="H798" s="50" t="s">
        <v>2</v>
      </c>
      <c r="I798" s="50" t="s">
        <v>289</v>
      </c>
      <c r="J798" s="51">
        <v>46088</v>
      </c>
      <c r="K798" s="50" t="s">
        <v>3</v>
      </c>
      <c r="L798" s="50" t="s">
        <v>80</v>
      </c>
    </row>
    <row r="799" spans="2:12" ht="14.4">
      <c r="B799" s="50" t="s">
        <v>483</v>
      </c>
      <c r="C799" s="50" t="s">
        <v>62</v>
      </c>
      <c r="D799" s="50" t="s">
        <v>27</v>
      </c>
      <c r="E799" s="1">
        <v>50038549</v>
      </c>
      <c r="F799" s="1" t="s">
        <v>173</v>
      </c>
      <c r="G799" s="50">
        <v>1</v>
      </c>
      <c r="H799" s="50" t="s">
        <v>2</v>
      </c>
      <c r="I799" s="50" t="s">
        <v>289</v>
      </c>
      <c r="J799" s="51">
        <v>46088</v>
      </c>
      <c r="K799" s="50" t="s">
        <v>3</v>
      </c>
      <c r="L799" s="50" t="s">
        <v>80</v>
      </c>
    </row>
    <row r="800" spans="2:12" ht="14.4">
      <c r="B800" s="50" t="s">
        <v>483</v>
      </c>
      <c r="C800" s="50" t="s">
        <v>62</v>
      </c>
      <c r="D800" s="50" t="s">
        <v>27</v>
      </c>
      <c r="E800" s="1">
        <v>50026357</v>
      </c>
      <c r="F800" s="1" t="s">
        <v>192</v>
      </c>
      <c r="G800" s="50">
        <v>1</v>
      </c>
      <c r="H800" s="50" t="s">
        <v>2</v>
      </c>
      <c r="I800" s="50" t="s">
        <v>289</v>
      </c>
      <c r="J800" s="51">
        <v>46088</v>
      </c>
      <c r="K800" s="50" t="s">
        <v>3</v>
      </c>
      <c r="L800" s="50" t="s">
        <v>80</v>
      </c>
    </row>
    <row r="801" spans="2:12">
      <c r="B801" s="50" t="s">
        <v>466</v>
      </c>
      <c r="C801" s="50" t="s">
        <v>62</v>
      </c>
      <c r="D801" s="50" t="s">
        <v>27</v>
      </c>
      <c r="E801" s="50">
        <v>50041194</v>
      </c>
      <c r="F801" s="50" t="s">
        <v>249</v>
      </c>
      <c r="G801" s="50">
        <v>1</v>
      </c>
      <c r="H801" s="50" t="s">
        <v>2</v>
      </c>
      <c r="I801" s="50" t="s">
        <v>289</v>
      </c>
      <c r="J801" s="51">
        <v>46088</v>
      </c>
      <c r="K801" s="50" t="s">
        <v>3</v>
      </c>
      <c r="L801" s="50" t="s">
        <v>80</v>
      </c>
    </row>
    <row r="802" spans="2:12">
      <c r="B802" s="50" t="s">
        <v>422</v>
      </c>
      <c r="C802" s="50" t="s">
        <v>26</v>
      </c>
      <c r="D802" s="50" t="s">
        <v>41</v>
      </c>
      <c r="E802" s="50">
        <v>50012902</v>
      </c>
      <c r="F802" s="50" t="s">
        <v>225</v>
      </c>
      <c r="G802" s="50">
        <v>1</v>
      </c>
      <c r="H802" s="50" t="s">
        <v>2</v>
      </c>
      <c r="I802" s="50" t="s">
        <v>289</v>
      </c>
      <c r="J802" s="51">
        <v>46088</v>
      </c>
      <c r="K802" s="50" t="s">
        <v>3</v>
      </c>
      <c r="L802" s="50" t="s">
        <v>80</v>
      </c>
    </row>
    <row r="803" spans="2:12">
      <c r="B803" s="50" t="s">
        <v>466</v>
      </c>
      <c r="C803" s="50" t="s">
        <v>62</v>
      </c>
      <c r="D803" s="50" t="s">
        <v>27</v>
      </c>
      <c r="E803" s="50">
        <v>50037892</v>
      </c>
      <c r="F803" s="50" t="s">
        <v>178</v>
      </c>
      <c r="G803" s="50">
        <v>1</v>
      </c>
      <c r="H803" s="50" t="s">
        <v>2</v>
      </c>
      <c r="I803" s="50" t="s">
        <v>289</v>
      </c>
      <c r="J803" s="51">
        <v>46088</v>
      </c>
      <c r="K803" s="50" t="s">
        <v>1</v>
      </c>
      <c r="L803" s="50"/>
    </row>
    <row r="804" spans="2:12">
      <c r="B804" s="50" t="s">
        <v>422</v>
      </c>
      <c r="C804" s="50" t="s">
        <v>26</v>
      </c>
      <c r="D804" s="50" t="s">
        <v>41</v>
      </c>
      <c r="E804" s="50">
        <v>50046617</v>
      </c>
      <c r="F804" s="50" t="s">
        <v>365</v>
      </c>
      <c r="G804" s="50">
        <v>1</v>
      </c>
      <c r="H804" s="50" t="s">
        <v>2</v>
      </c>
      <c r="I804" s="50" t="s">
        <v>289</v>
      </c>
      <c r="J804" s="51">
        <v>46088</v>
      </c>
      <c r="K804" s="50" t="s">
        <v>3</v>
      </c>
      <c r="L804" s="50" t="s">
        <v>80</v>
      </c>
    </row>
    <row r="805" spans="2:12">
      <c r="B805" s="50" t="s">
        <v>466</v>
      </c>
      <c r="C805" s="50" t="s">
        <v>62</v>
      </c>
      <c r="D805" s="50" t="s">
        <v>27</v>
      </c>
      <c r="E805" s="50">
        <v>50037892</v>
      </c>
      <c r="F805" s="50" t="s">
        <v>178</v>
      </c>
      <c r="G805" s="50">
        <v>1</v>
      </c>
      <c r="H805" s="50" t="s">
        <v>2</v>
      </c>
      <c r="I805" s="50" t="s">
        <v>289</v>
      </c>
      <c r="J805" s="51">
        <v>46088</v>
      </c>
      <c r="K805" s="50" t="s">
        <v>3</v>
      </c>
      <c r="L805" s="50" t="s">
        <v>80</v>
      </c>
    </row>
    <row r="806" spans="2:12">
      <c r="B806" s="50" t="s">
        <v>43</v>
      </c>
      <c r="C806" s="50" t="s">
        <v>26</v>
      </c>
      <c r="D806" s="50" t="s">
        <v>41</v>
      </c>
      <c r="E806" s="50">
        <v>50036296</v>
      </c>
      <c r="F806" s="50" t="s">
        <v>109</v>
      </c>
      <c r="G806" s="50">
        <v>1</v>
      </c>
      <c r="H806" s="50" t="s">
        <v>2</v>
      </c>
      <c r="I806" s="50" t="s">
        <v>293</v>
      </c>
      <c r="J806" s="51">
        <v>46087</v>
      </c>
      <c r="K806" s="50" t="s">
        <v>1</v>
      </c>
      <c r="L806" s="50" t="s">
        <v>80</v>
      </c>
    </row>
    <row r="807" spans="2:12">
      <c r="B807" s="50" t="s">
        <v>483</v>
      </c>
      <c r="C807" s="50" t="s">
        <v>62</v>
      </c>
      <c r="D807" s="50" t="s">
        <v>27</v>
      </c>
      <c r="E807" s="50">
        <v>50010031</v>
      </c>
      <c r="F807" s="50" t="s">
        <v>89</v>
      </c>
      <c r="G807" s="50">
        <v>1</v>
      </c>
      <c r="H807" s="50" t="s">
        <v>2</v>
      </c>
      <c r="I807" s="50" t="s">
        <v>293</v>
      </c>
      <c r="J807" s="51">
        <v>46087</v>
      </c>
      <c r="K807" s="50" t="s">
        <v>1</v>
      </c>
      <c r="L807" s="50" t="s">
        <v>80</v>
      </c>
    </row>
    <row r="808" spans="2:12">
      <c r="B808" s="50" t="s">
        <v>466</v>
      </c>
      <c r="C808" s="50" t="s">
        <v>62</v>
      </c>
      <c r="D808" s="50" t="s">
        <v>27</v>
      </c>
      <c r="E808" s="50">
        <v>50026357</v>
      </c>
      <c r="F808" s="50" t="s">
        <v>192</v>
      </c>
      <c r="G808" s="50">
        <v>1</v>
      </c>
      <c r="H808" s="50" t="s">
        <v>2</v>
      </c>
      <c r="I808" s="50" t="s">
        <v>293</v>
      </c>
      <c r="J808" s="51">
        <v>46087</v>
      </c>
      <c r="K808" s="50" t="s">
        <v>1</v>
      </c>
      <c r="L808" s="50" t="s">
        <v>80</v>
      </c>
    </row>
    <row r="809" spans="2:12">
      <c r="B809" s="50" t="s">
        <v>278</v>
      </c>
      <c r="C809" s="50" t="s">
        <v>62</v>
      </c>
      <c r="D809" s="50" t="s">
        <v>27</v>
      </c>
      <c r="E809" s="50">
        <v>50043471</v>
      </c>
      <c r="F809" s="50" t="s">
        <v>257</v>
      </c>
      <c r="G809" s="50">
        <v>1</v>
      </c>
      <c r="H809" s="50" t="s">
        <v>2</v>
      </c>
      <c r="I809" s="50" t="s">
        <v>293</v>
      </c>
      <c r="J809" s="51">
        <v>46087</v>
      </c>
      <c r="K809" s="50" t="s">
        <v>1</v>
      </c>
      <c r="L809" s="50" t="s">
        <v>80</v>
      </c>
    </row>
    <row r="810" spans="2:12">
      <c r="B810" s="50" t="s">
        <v>278</v>
      </c>
      <c r="C810" s="50" t="s">
        <v>62</v>
      </c>
      <c r="D810" s="50" t="s">
        <v>27</v>
      </c>
      <c r="E810" s="50">
        <v>50038517</v>
      </c>
      <c r="F810" s="50" t="s">
        <v>181</v>
      </c>
      <c r="G810" s="50">
        <v>1</v>
      </c>
      <c r="H810" s="50" t="s">
        <v>2</v>
      </c>
      <c r="I810" s="50" t="s">
        <v>293</v>
      </c>
      <c r="J810" s="51">
        <v>46087</v>
      </c>
      <c r="K810" s="50" t="s">
        <v>1</v>
      </c>
      <c r="L810" s="50" t="s">
        <v>80</v>
      </c>
    </row>
    <row r="811" spans="2:12">
      <c r="B811" s="50" t="s">
        <v>427</v>
      </c>
      <c r="C811" s="50" t="s">
        <v>26</v>
      </c>
      <c r="D811" s="50" t="s">
        <v>27</v>
      </c>
      <c r="E811" s="50">
        <v>50042283</v>
      </c>
      <c r="F811" s="50" t="s">
        <v>247</v>
      </c>
      <c r="G811" s="50">
        <v>1</v>
      </c>
      <c r="H811" s="50" t="s">
        <v>2</v>
      </c>
      <c r="I811" s="50" t="s">
        <v>293</v>
      </c>
      <c r="J811" s="51">
        <v>46087</v>
      </c>
      <c r="K811" s="50" t="s">
        <v>1</v>
      </c>
      <c r="L811" s="50" t="s">
        <v>80</v>
      </c>
    </row>
    <row r="812" spans="2:12">
      <c r="B812" s="50" t="s">
        <v>463</v>
      </c>
      <c r="C812" s="50" t="s">
        <v>356</v>
      </c>
      <c r="D812" s="50" t="s">
        <v>27</v>
      </c>
      <c r="E812" s="50">
        <v>50037892</v>
      </c>
      <c r="F812" s="50" t="s">
        <v>178</v>
      </c>
      <c r="G812" s="50">
        <v>1</v>
      </c>
      <c r="H812" s="50" t="s">
        <v>2</v>
      </c>
      <c r="I812" s="50" t="s">
        <v>293</v>
      </c>
      <c r="J812" s="51">
        <v>46087</v>
      </c>
      <c r="K812" s="50" t="s">
        <v>1</v>
      </c>
      <c r="L812" s="50" t="s">
        <v>80</v>
      </c>
    </row>
    <row r="813" spans="2:12">
      <c r="B813" s="50" t="s">
        <v>43</v>
      </c>
      <c r="C813" s="50" t="s">
        <v>26</v>
      </c>
      <c r="D813" s="50" t="s">
        <v>41</v>
      </c>
      <c r="E813" s="50">
        <v>50036296</v>
      </c>
      <c r="F813" s="50" t="s">
        <v>109</v>
      </c>
      <c r="G813" s="50">
        <v>1</v>
      </c>
      <c r="H813" s="50" t="s">
        <v>2</v>
      </c>
      <c r="I813" s="50" t="s">
        <v>293</v>
      </c>
      <c r="J813" s="51">
        <v>46087</v>
      </c>
      <c r="K813" s="50" t="s">
        <v>3</v>
      </c>
      <c r="L813" s="50" t="s">
        <v>80</v>
      </c>
    </row>
    <row r="814" spans="2:12">
      <c r="B814" s="50" t="s">
        <v>463</v>
      </c>
      <c r="C814" s="50" t="s">
        <v>356</v>
      </c>
      <c r="D814" s="50" t="s">
        <v>27</v>
      </c>
      <c r="E814" s="50">
        <v>50037892</v>
      </c>
      <c r="F814" s="50" t="s">
        <v>178</v>
      </c>
      <c r="G814" s="50">
        <v>1</v>
      </c>
      <c r="H814" s="50" t="s">
        <v>2</v>
      </c>
      <c r="I814" s="50" t="s">
        <v>293</v>
      </c>
      <c r="J814" s="51">
        <v>46087</v>
      </c>
      <c r="K814" s="50" t="s">
        <v>3</v>
      </c>
      <c r="L814" s="50" t="s">
        <v>80</v>
      </c>
    </row>
    <row r="815" spans="2:12">
      <c r="B815" s="50" t="s">
        <v>463</v>
      </c>
      <c r="C815" s="50" t="s">
        <v>356</v>
      </c>
      <c r="D815" s="50" t="s">
        <v>27</v>
      </c>
      <c r="E815" s="50">
        <v>50022878</v>
      </c>
      <c r="F815" s="50" t="s">
        <v>296</v>
      </c>
      <c r="G815" s="50">
        <v>1</v>
      </c>
      <c r="H815" s="50" t="s">
        <v>2</v>
      </c>
      <c r="I815" s="50" t="s">
        <v>293</v>
      </c>
      <c r="J815" s="51">
        <v>46087</v>
      </c>
      <c r="K815" s="50" t="s">
        <v>1</v>
      </c>
      <c r="L815" s="50" t="s">
        <v>80</v>
      </c>
    </row>
    <row r="816" spans="2:12">
      <c r="B816" s="50" t="s">
        <v>385</v>
      </c>
      <c r="C816" s="50" t="s">
        <v>56</v>
      </c>
      <c r="D816" s="50" t="s">
        <v>41</v>
      </c>
      <c r="E816" s="50">
        <v>50036298</v>
      </c>
      <c r="F816" s="50" t="s">
        <v>102</v>
      </c>
      <c r="G816" s="50">
        <v>1</v>
      </c>
      <c r="H816" s="50" t="s">
        <v>2</v>
      </c>
      <c r="I816" s="50" t="s">
        <v>293</v>
      </c>
      <c r="J816" s="51">
        <v>46087</v>
      </c>
      <c r="K816" s="50" t="s">
        <v>1</v>
      </c>
      <c r="L816" s="50" t="s">
        <v>80</v>
      </c>
    </row>
    <row r="817" spans="2:12">
      <c r="B817" s="50" t="s">
        <v>438</v>
      </c>
      <c r="C817" s="50" t="s">
        <v>51</v>
      </c>
      <c r="D817" s="50" t="s">
        <v>27</v>
      </c>
      <c r="E817" s="50">
        <v>50041195</v>
      </c>
      <c r="F817" s="50" t="s">
        <v>206</v>
      </c>
      <c r="G817" s="50">
        <v>1</v>
      </c>
      <c r="H817" s="50" t="s">
        <v>2</v>
      </c>
      <c r="I817" s="50" t="s">
        <v>293</v>
      </c>
      <c r="J817" s="51">
        <v>46087</v>
      </c>
      <c r="K817" s="50" t="s">
        <v>1</v>
      </c>
      <c r="L817" s="50" t="s">
        <v>80</v>
      </c>
    </row>
    <row r="818" spans="2:12">
      <c r="B818" s="50" t="s">
        <v>386</v>
      </c>
      <c r="C818" s="50" t="s">
        <v>62</v>
      </c>
      <c r="D818" s="50" t="s">
        <v>27</v>
      </c>
      <c r="E818" s="50">
        <v>50003297</v>
      </c>
      <c r="F818" s="50" t="s">
        <v>158</v>
      </c>
      <c r="G818" s="50">
        <v>1</v>
      </c>
      <c r="H818" s="50" t="s">
        <v>2</v>
      </c>
      <c r="I818" s="50" t="s">
        <v>293</v>
      </c>
      <c r="J818" s="51">
        <v>46087</v>
      </c>
      <c r="K818" s="50" t="s">
        <v>1</v>
      </c>
      <c r="L818" s="50" t="s">
        <v>80</v>
      </c>
    </row>
    <row r="819" spans="2:12">
      <c r="B819" s="50" t="s">
        <v>469</v>
      </c>
      <c r="C819" s="50" t="s">
        <v>26</v>
      </c>
      <c r="D819" s="50" t="s">
        <v>39</v>
      </c>
      <c r="E819" s="50">
        <v>50032781</v>
      </c>
      <c r="F819" s="50" t="s">
        <v>237</v>
      </c>
      <c r="G819" s="50">
        <v>1</v>
      </c>
      <c r="H819" s="50" t="s">
        <v>2</v>
      </c>
      <c r="I819" s="50" t="s">
        <v>291</v>
      </c>
      <c r="J819" s="51">
        <v>46087</v>
      </c>
      <c r="K819" s="50" t="s">
        <v>3</v>
      </c>
      <c r="L819" s="50" t="s">
        <v>80</v>
      </c>
    </row>
    <row r="820" spans="2:12">
      <c r="B820" s="50" t="s">
        <v>399</v>
      </c>
      <c r="C820" s="50" t="s">
        <v>51</v>
      </c>
      <c r="D820" s="50" t="s">
        <v>27</v>
      </c>
      <c r="E820" s="50">
        <v>50037892</v>
      </c>
      <c r="F820" s="50" t="s">
        <v>178</v>
      </c>
      <c r="G820" s="50">
        <v>1</v>
      </c>
      <c r="H820" s="50" t="s">
        <v>2</v>
      </c>
      <c r="I820" s="50" t="s">
        <v>291</v>
      </c>
      <c r="J820" s="51">
        <v>46087</v>
      </c>
      <c r="K820" s="50" t="s">
        <v>1</v>
      </c>
      <c r="L820" s="50" t="s">
        <v>80</v>
      </c>
    </row>
    <row r="821" spans="2:12">
      <c r="B821" s="50" t="s">
        <v>399</v>
      </c>
      <c r="C821" s="50" t="s">
        <v>51</v>
      </c>
      <c r="D821" s="50" t="s">
        <v>27</v>
      </c>
      <c r="E821" s="50">
        <v>50039065</v>
      </c>
      <c r="F821" s="50" t="s">
        <v>186</v>
      </c>
      <c r="G821" s="50">
        <v>1</v>
      </c>
      <c r="H821" s="50" t="s">
        <v>2</v>
      </c>
      <c r="I821" s="50" t="s">
        <v>291</v>
      </c>
      <c r="J821" s="51">
        <v>46087</v>
      </c>
      <c r="K821" s="50" t="s">
        <v>1</v>
      </c>
      <c r="L821" s="50" t="s">
        <v>80</v>
      </c>
    </row>
    <row r="822" spans="2:12">
      <c r="B822" s="50" t="s">
        <v>463</v>
      </c>
      <c r="C822" s="50" t="s">
        <v>356</v>
      </c>
      <c r="D822" s="50" t="s">
        <v>27</v>
      </c>
      <c r="E822" s="50">
        <v>50022878</v>
      </c>
      <c r="F822" s="50" t="s">
        <v>296</v>
      </c>
      <c r="G822" s="50">
        <v>1</v>
      </c>
      <c r="H822" s="50" t="s">
        <v>2</v>
      </c>
      <c r="I822" s="50" t="s">
        <v>291</v>
      </c>
      <c r="J822" s="51">
        <v>46087</v>
      </c>
      <c r="K822" s="50" t="s">
        <v>3</v>
      </c>
      <c r="L822" s="50" t="s">
        <v>80</v>
      </c>
    </row>
    <row r="823" spans="2:12">
      <c r="B823" s="50" t="s">
        <v>316</v>
      </c>
      <c r="C823" s="50" t="s">
        <v>51</v>
      </c>
      <c r="D823" s="50" t="s">
        <v>27</v>
      </c>
      <c r="E823" s="50">
        <v>50037892</v>
      </c>
      <c r="F823" s="50" t="s">
        <v>178</v>
      </c>
      <c r="G823" s="50">
        <v>1</v>
      </c>
      <c r="H823" s="50" t="s">
        <v>2</v>
      </c>
      <c r="I823" s="50" t="s">
        <v>291</v>
      </c>
      <c r="J823" s="51">
        <v>46087</v>
      </c>
      <c r="K823" s="50" t="s">
        <v>1</v>
      </c>
      <c r="L823" s="50" t="s">
        <v>80</v>
      </c>
    </row>
    <row r="824" spans="2:12">
      <c r="B824" s="50" t="s">
        <v>270</v>
      </c>
      <c r="C824" s="50" t="s">
        <v>51</v>
      </c>
      <c r="D824" s="50" t="s">
        <v>27</v>
      </c>
      <c r="E824" s="50">
        <v>50037892</v>
      </c>
      <c r="F824" s="50" t="s">
        <v>178</v>
      </c>
      <c r="G824" s="50">
        <v>1</v>
      </c>
      <c r="H824" s="50" t="s">
        <v>2</v>
      </c>
      <c r="I824" s="50" t="s">
        <v>291</v>
      </c>
      <c r="J824" s="51">
        <v>46087</v>
      </c>
      <c r="K824" s="50" t="s">
        <v>1</v>
      </c>
      <c r="L824" s="50" t="s">
        <v>80</v>
      </c>
    </row>
    <row r="825" spans="2:12">
      <c r="B825" s="50" t="s">
        <v>386</v>
      </c>
      <c r="C825" s="50" t="s">
        <v>62</v>
      </c>
      <c r="D825" s="50" t="s">
        <v>27</v>
      </c>
      <c r="E825" s="50">
        <v>50003297</v>
      </c>
      <c r="F825" s="50" t="s">
        <v>158</v>
      </c>
      <c r="G825" s="50">
        <v>1</v>
      </c>
      <c r="H825" s="50" t="s">
        <v>2</v>
      </c>
      <c r="I825" s="50" t="s">
        <v>291</v>
      </c>
      <c r="J825" s="51">
        <v>46087</v>
      </c>
      <c r="K825" s="50" t="s">
        <v>3</v>
      </c>
      <c r="L825" s="50" t="s">
        <v>80</v>
      </c>
    </row>
    <row r="826" spans="2:12">
      <c r="B826" s="50" t="s">
        <v>412</v>
      </c>
      <c r="C826" s="50" t="s">
        <v>51</v>
      </c>
      <c r="D826" s="50" t="s">
        <v>41</v>
      </c>
      <c r="E826" s="50">
        <v>50003297</v>
      </c>
      <c r="F826" s="50" t="s">
        <v>158</v>
      </c>
      <c r="G826" s="50">
        <v>1</v>
      </c>
      <c r="H826" s="50" t="s">
        <v>2</v>
      </c>
      <c r="I826" s="50" t="s">
        <v>291</v>
      </c>
      <c r="J826" s="51">
        <v>46087</v>
      </c>
      <c r="K826" s="50" t="s">
        <v>1</v>
      </c>
      <c r="L826" s="50" t="s">
        <v>80</v>
      </c>
    </row>
    <row r="827" spans="2:12">
      <c r="B827" s="50" t="s">
        <v>367</v>
      </c>
      <c r="C827" s="50" t="s">
        <v>56</v>
      </c>
      <c r="D827" s="50" t="s">
        <v>27</v>
      </c>
      <c r="E827" s="50">
        <v>50029865</v>
      </c>
      <c r="F827" s="50" t="s">
        <v>162</v>
      </c>
      <c r="G827" s="50">
        <v>1</v>
      </c>
      <c r="H827" s="50" t="s">
        <v>2</v>
      </c>
      <c r="I827" s="50" t="s">
        <v>288</v>
      </c>
      <c r="J827" s="51">
        <v>46087</v>
      </c>
      <c r="K827" s="50" t="s">
        <v>3</v>
      </c>
      <c r="L827" s="50" t="s">
        <v>80</v>
      </c>
    </row>
    <row r="828" spans="2:12">
      <c r="B828" s="50" t="s">
        <v>421</v>
      </c>
      <c r="C828" s="50" t="s">
        <v>268</v>
      </c>
      <c r="D828" s="50" t="s">
        <v>27</v>
      </c>
      <c r="E828" s="50">
        <v>50043150</v>
      </c>
      <c r="F828" s="50" t="s">
        <v>259</v>
      </c>
      <c r="G828" s="50">
        <v>1</v>
      </c>
      <c r="H828" s="50" t="s">
        <v>2</v>
      </c>
      <c r="I828" s="50" t="s">
        <v>288</v>
      </c>
      <c r="J828" s="51">
        <v>46087</v>
      </c>
      <c r="K828" s="50" t="s">
        <v>1</v>
      </c>
      <c r="L828" s="50" t="s">
        <v>80</v>
      </c>
    </row>
    <row r="829" spans="2:12">
      <c r="B829" s="50" t="s">
        <v>466</v>
      </c>
      <c r="C829" s="50" t="s">
        <v>62</v>
      </c>
      <c r="D829" s="50" t="s">
        <v>27</v>
      </c>
      <c r="E829" s="50">
        <v>50026357</v>
      </c>
      <c r="F829" s="50" t="s">
        <v>192</v>
      </c>
      <c r="G829" s="50">
        <v>1</v>
      </c>
      <c r="H829" s="50" t="s">
        <v>2</v>
      </c>
      <c r="I829" s="50" t="s">
        <v>288</v>
      </c>
      <c r="J829" s="51">
        <v>46087</v>
      </c>
      <c r="K829" s="50" t="s">
        <v>3</v>
      </c>
      <c r="L829" s="50" t="s">
        <v>80</v>
      </c>
    </row>
    <row r="830" spans="2:12">
      <c r="B830" s="50" t="s">
        <v>399</v>
      </c>
      <c r="C830" s="50" t="s">
        <v>51</v>
      </c>
      <c r="D830" s="50" t="s">
        <v>27</v>
      </c>
      <c r="E830" s="50">
        <v>50037892</v>
      </c>
      <c r="F830" s="50" t="s">
        <v>178</v>
      </c>
      <c r="G830" s="50">
        <v>1</v>
      </c>
      <c r="H830" s="50" t="s">
        <v>2</v>
      </c>
      <c r="I830" s="50" t="s">
        <v>288</v>
      </c>
      <c r="J830" s="51">
        <v>46087</v>
      </c>
      <c r="K830" s="50" t="s">
        <v>3</v>
      </c>
      <c r="L830" s="50" t="s">
        <v>80</v>
      </c>
    </row>
    <row r="831" spans="2:12">
      <c r="B831" s="50" t="s">
        <v>399</v>
      </c>
      <c r="C831" s="50" t="s">
        <v>51</v>
      </c>
      <c r="D831" s="50" t="s">
        <v>27</v>
      </c>
      <c r="E831" s="50">
        <v>50039065</v>
      </c>
      <c r="F831" s="50" t="s">
        <v>186</v>
      </c>
      <c r="G831" s="50">
        <v>1</v>
      </c>
      <c r="H831" s="50" t="s">
        <v>2</v>
      </c>
      <c r="I831" s="50" t="s">
        <v>288</v>
      </c>
      <c r="J831" s="51">
        <v>46087</v>
      </c>
      <c r="K831" s="50" t="s">
        <v>3</v>
      </c>
      <c r="L831" s="50" t="s">
        <v>80</v>
      </c>
    </row>
    <row r="832" spans="2:12">
      <c r="B832" s="50" t="s">
        <v>421</v>
      </c>
      <c r="C832" s="50" t="s">
        <v>268</v>
      </c>
      <c r="D832" s="50" t="s">
        <v>27</v>
      </c>
      <c r="E832" s="50">
        <v>50043150</v>
      </c>
      <c r="F832" s="50" t="s">
        <v>259</v>
      </c>
      <c r="G832" s="50">
        <v>1</v>
      </c>
      <c r="H832" s="50" t="s">
        <v>2</v>
      </c>
      <c r="I832" s="50" t="s">
        <v>288</v>
      </c>
      <c r="J832" s="51">
        <v>46087</v>
      </c>
      <c r="K832" s="50" t="s">
        <v>3</v>
      </c>
      <c r="L832" s="50" t="s">
        <v>80</v>
      </c>
    </row>
    <row r="833" spans="2:12">
      <c r="B833" s="50" t="s">
        <v>385</v>
      </c>
      <c r="C833" s="50" t="s">
        <v>56</v>
      </c>
      <c r="D833" s="50" t="s">
        <v>41</v>
      </c>
      <c r="E833" s="50">
        <v>50036298</v>
      </c>
      <c r="F833" s="50" t="s">
        <v>102</v>
      </c>
      <c r="G833" s="50">
        <v>1</v>
      </c>
      <c r="H833" s="50" t="s">
        <v>2</v>
      </c>
      <c r="I833" s="50" t="s">
        <v>288</v>
      </c>
      <c r="J833" s="51">
        <v>46087</v>
      </c>
      <c r="K833" s="50" t="s">
        <v>3</v>
      </c>
      <c r="L833" s="50" t="s">
        <v>80</v>
      </c>
    </row>
    <row r="834" spans="2:12">
      <c r="B834" s="50" t="s">
        <v>316</v>
      </c>
      <c r="C834" s="50" t="s">
        <v>51</v>
      </c>
      <c r="D834" s="50" t="s">
        <v>27</v>
      </c>
      <c r="E834" s="50">
        <v>50037892</v>
      </c>
      <c r="F834" s="50" t="s">
        <v>178</v>
      </c>
      <c r="G834" s="50">
        <v>1</v>
      </c>
      <c r="H834" s="50" t="s">
        <v>2</v>
      </c>
      <c r="I834" s="50" t="s">
        <v>288</v>
      </c>
      <c r="J834" s="51">
        <v>46087</v>
      </c>
      <c r="K834" s="50" t="s">
        <v>3</v>
      </c>
      <c r="L834" s="50" t="s">
        <v>80</v>
      </c>
    </row>
    <row r="835" spans="2:12">
      <c r="B835" s="50" t="s">
        <v>412</v>
      </c>
      <c r="C835" s="50" t="s">
        <v>51</v>
      </c>
      <c r="D835" s="50" t="s">
        <v>41</v>
      </c>
      <c r="E835" s="50">
        <v>50003297</v>
      </c>
      <c r="F835" s="50" t="s">
        <v>158</v>
      </c>
      <c r="G835" s="50">
        <v>1</v>
      </c>
      <c r="H835" s="50" t="s">
        <v>2</v>
      </c>
      <c r="I835" s="50" t="s">
        <v>288</v>
      </c>
      <c r="J835" s="51">
        <v>46087</v>
      </c>
      <c r="K835" s="50" t="s">
        <v>3</v>
      </c>
      <c r="L835" s="50" t="s">
        <v>80</v>
      </c>
    </row>
    <row r="836" spans="2:12">
      <c r="B836" s="50" t="s">
        <v>427</v>
      </c>
      <c r="C836" s="50" t="s">
        <v>26</v>
      </c>
      <c r="D836" s="50" t="s">
        <v>27</v>
      </c>
      <c r="E836" s="50">
        <v>50042283</v>
      </c>
      <c r="F836" s="50" t="s">
        <v>247</v>
      </c>
      <c r="G836" s="50">
        <v>1</v>
      </c>
      <c r="H836" s="50" t="s">
        <v>2</v>
      </c>
      <c r="I836" s="50" t="s">
        <v>288</v>
      </c>
      <c r="J836" s="51">
        <v>46087</v>
      </c>
      <c r="K836" s="50" t="s">
        <v>3</v>
      </c>
      <c r="L836" s="50" t="s">
        <v>80</v>
      </c>
    </row>
    <row r="837" spans="2:12">
      <c r="B837" s="50" t="s">
        <v>316</v>
      </c>
      <c r="C837" s="50" t="s">
        <v>51</v>
      </c>
      <c r="D837" s="50" t="s">
        <v>27</v>
      </c>
      <c r="E837" s="50">
        <v>50037892</v>
      </c>
      <c r="F837" s="50" t="s">
        <v>178</v>
      </c>
      <c r="G837" s="50">
        <v>1</v>
      </c>
      <c r="H837" s="50" t="s">
        <v>2</v>
      </c>
      <c r="I837" s="50" t="s">
        <v>288</v>
      </c>
      <c r="J837" s="51">
        <v>46087</v>
      </c>
      <c r="K837" s="50" t="s">
        <v>3</v>
      </c>
      <c r="L837" s="50" t="s">
        <v>80</v>
      </c>
    </row>
    <row r="838" spans="2:12">
      <c r="B838" s="50" t="s">
        <v>270</v>
      </c>
      <c r="C838" s="50" t="s">
        <v>51</v>
      </c>
      <c r="D838" s="50" t="s">
        <v>27</v>
      </c>
      <c r="E838" s="50">
        <v>50037892</v>
      </c>
      <c r="F838" s="50" t="s">
        <v>178</v>
      </c>
      <c r="G838" s="50">
        <v>1</v>
      </c>
      <c r="H838" s="50" t="s">
        <v>2</v>
      </c>
      <c r="I838" s="50" t="s">
        <v>288</v>
      </c>
      <c r="J838" s="51">
        <v>46087</v>
      </c>
      <c r="K838" s="50" t="s">
        <v>3</v>
      </c>
      <c r="L838" s="50" t="s">
        <v>80</v>
      </c>
    </row>
    <row r="839" spans="2:12">
      <c r="B839" s="50" t="s">
        <v>483</v>
      </c>
      <c r="C839" s="50" t="s">
        <v>62</v>
      </c>
      <c r="D839" s="50" t="s">
        <v>27</v>
      </c>
      <c r="E839" s="50">
        <v>50010031</v>
      </c>
      <c r="F839" s="50" t="s">
        <v>89</v>
      </c>
      <c r="G839" s="50">
        <v>1</v>
      </c>
      <c r="H839" s="50" t="s">
        <v>2</v>
      </c>
      <c r="I839" s="50" t="s">
        <v>288</v>
      </c>
      <c r="J839" s="51">
        <v>46087</v>
      </c>
      <c r="K839" s="50" t="s">
        <v>3</v>
      </c>
      <c r="L839" s="50" t="s">
        <v>80</v>
      </c>
    </row>
    <row r="840" spans="2:12">
      <c r="B840" s="50" t="s">
        <v>422</v>
      </c>
      <c r="C840" s="50" t="s">
        <v>26</v>
      </c>
      <c r="D840" s="50" t="s">
        <v>27</v>
      </c>
      <c r="E840" s="50">
        <v>50037905</v>
      </c>
      <c r="F840" s="50" t="s">
        <v>150</v>
      </c>
      <c r="G840" s="50">
        <v>1</v>
      </c>
      <c r="H840" s="50" t="s">
        <v>2</v>
      </c>
      <c r="I840" s="50" t="s">
        <v>289</v>
      </c>
      <c r="J840" s="51">
        <v>46087</v>
      </c>
      <c r="K840" s="50" t="s">
        <v>324</v>
      </c>
      <c r="L840" s="50" t="s">
        <v>80</v>
      </c>
    </row>
    <row r="841" spans="2:12">
      <c r="B841" s="50" t="s">
        <v>278</v>
      </c>
      <c r="C841" s="50" t="s">
        <v>62</v>
      </c>
      <c r="D841" s="50" t="s">
        <v>27</v>
      </c>
      <c r="E841" s="50">
        <v>50043471</v>
      </c>
      <c r="F841" s="50" t="s">
        <v>257</v>
      </c>
      <c r="G841" s="50">
        <v>1</v>
      </c>
      <c r="H841" s="50" t="s">
        <v>2</v>
      </c>
      <c r="I841" s="50" t="s">
        <v>289</v>
      </c>
      <c r="J841" s="51">
        <v>46087</v>
      </c>
      <c r="K841" s="50" t="s">
        <v>3</v>
      </c>
      <c r="L841" s="50" t="s">
        <v>80</v>
      </c>
    </row>
    <row r="842" spans="2:12">
      <c r="B842" s="50" t="s">
        <v>278</v>
      </c>
      <c r="C842" s="50" t="s">
        <v>62</v>
      </c>
      <c r="D842" s="50" t="s">
        <v>27</v>
      </c>
      <c r="E842" s="50">
        <v>50038517</v>
      </c>
      <c r="F842" s="50" t="s">
        <v>181</v>
      </c>
      <c r="G842" s="50">
        <v>1</v>
      </c>
      <c r="H842" s="50" t="s">
        <v>2</v>
      </c>
      <c r="I842" s="50" t="s">
        <v>289</v>
      </c>
      <c r="J842" s="51">
        <v>46087</v>
      </c>
      <c r="K842" s="50" t="s">
        <v>3</v>
      </c>
      <c r="L842" s="50" t="s">
        <v>80</v>
      </c>
    </row>
    <row r="843" spans="2:12">
      <c r="B843" s="50" t="s">
        <v>438</v>
      </c>
      <c r="C843" s="50" t="s">
        <v>51</v>
      </c>
      <c r="D843" s="50" t="s">
        <v>27</v>
      </c>
      <c r="E843" s="50">
        <v>50041195</v>
      </c>
      <c r="F843" s="50" t="s">
        <v>206</v>
      </c>
      <c r="G843" s="50">
        <v>1</v>
      </c>
      <c r="H843" s="50" t="s">
        <v>2</v>
      </c>
      <c r="I843" s="50" t="s">
        <v>289</v>
      </c>
      <c r="J843" s="51">
        <v>46087</v>
      </c>
      <c r="K843" s="50" t="s">
        <v>3</v>
      </c>
      <c r="L843" s="50" t="s">
        <v>80</v>
      </c>
    </row>
    <row r="844" spans="2:12">
      <c r="B844" s="50" t="s">
        <v>422</v>
      </c>
      <c r="C844" s="50" t="s">
        <v>26</v>
      </c>
      <c r="D844" s="50" t="s">
        <v>27</v>
      </c>
      <c r="E844" s="50">
        <v>50037905</v>
      </c>
      <c r="F844" s="50" t="s">
        <v>150</v>
      </c>
      <c r="G844" s="50">
        <v>1</v>
      </c>
      <c r="H844" s="50" t="s">
        <v>2</v>
      </c>
      <c r="I844" s="50" t="s">
        <v>289</v>
      </c>
      <c r="J844" s="51">
        <v>46087</v>
      </c>
      <c r="K844" s="50" t="s">
        <v>3</v>
      </c>
      <c r="L844" s="50" t="s">
        <v>80</v>
      </c>
    </row>
    <row r="845" spans="2:12" ht="12" customHeight="1">
      <c r="B845" s="50" t="s">
        <v>438</v>
      </c>
      <c r="C845" s="50" t="s">
        <v>51</v>
      </c>
      <c r="D845" s="50" t="s">
        <v>36</v>
      </c>
      <c r="E845" s="50">
        <v>50041195</v>
      </c>
      <c r="F845" s="50" t="s">
        <v>206</v>
      </c>
      <c r="G845" s="50">
        <v>1</v>
      </c>
      <c r="H845" s="50" t="s">
        <v>2</v>
      </c>
      <c r="I845" s="50" t="s">
        <v>292</v>
      </c>
      <c r="J845" s="51">
        <v>46086</v>
      </c>
      <c r="K845" s="50" t="s">
        <v>324</v>
      </c>
      <c r="L845" s="50" t="s">
        <v>80</v>
      </c>
    </row>
    <row r="846" spans="2:12">
      <c r="B846" s="50" t="s">
        <v>399</v>
      </c>
      <c r="C846" s="50" t="s">
        <v>51</v>
      </c>
      <c r="D846" s="50" t="s">
        <v>27</v>
      </c>
      <c r="E846" s="50">
        <v>50039065</v>
      </c>
      <c r="F846" s="50" t="s">
        <v>186</v>
      </c>
      <c r="G846" s="50">
        <v>1</v>
      </c>
      <c r="H846" s="50" t="s">
        <v>2</v>
      </c>
      <c r="I846" s="50" t="s">
        <v>292</v>
      </c>
      <c r="J846" s="51">
        <v>46086</v>
      </c>
      <c r="K846" s="50" t="s">
        <v>1</v>
      </c>
      <c r="L846" s="50" t="s">
        <v>80</v>
      </c>
    </row>
    <row r="847" spans="2:12">
      <c r="B847" s="50" t="s">
        <v>399</v>
      </c>
      <c r="C847" s="50" t="s">
        <v>51</v>
      </c>
      <c r="D847" s="50" t="s">
        <v>27</v>
      </c>
      <c r="E847" s="50">
        <v>50046617</v>
      </c>
      <c r="F847" s="50" t="s">
        <v>365</v>
      </c>
      <c r="G847" s="50">
        <v>1</v>
      </c>
      <c r="H847" s="50" t="s">
        <v>2</v>
      </c>
      <c r="I847" s="50" t="s">
        <v>292</v>
      </c>
      <c r="J847" s="51">
        <v>46086</v>
      </c>
      <c r="K847" s="50" t="s">
        <v>1</v>
      </c>
      <c r="L847" s="50" t="s">
        <v>80</v>
      </c>
    </row>
    <row r="848" spans="2:12">
      <c r="B848" s="50" t="s">
        <v>427</v>
      </c>
      <c r="C848" s="50" t="s">
        <v>26</v>
      </c>
      <c r="D848" s="50" t="s">
        <v>27</v>
      </c>
      <c r="E848" s="50">
        <v>50012902</v>
      </c>
      <c r="F848" s="50" t="s">
        <v>225</v>
      </c>
      <c r="G848" s="50">
        <v>1</v>
      </c>
      <c r="H848" s="50" t="s">
        <v>2</v>
      </c>
      <c r="I848" s="50" t="s">
        <v>292</v>
      </c>
      <c r="J848" s="51">
        <v>46086</v>
      </c>
      <c r="K848" s="50" t="s">
        <v>1</v>
      </c>
      <c r="L848" s="50" t="s">
        <v>80</v>
      </c>
    </row>
    <row r="849" spans="2:12">
      <c r="B849" s="50" t="s">
        <v>427</v>
      </c>
      <c r="C849" s="50" t="s">
        <v>26</v>
      </c>
      <c r="D849" s="50" t="s">
        <v>27</v>
      </c>
      <c r="E849" s="50">
        <v>50012902</v>
      </c>
      <c r="F849" s="50" t="s">
        <v>225</v>
      </c>
      <c r="G849" s="50">
        <v>1</v>
      </c>
      <c r="H849" s="50" t="s">
        <v>2</v>
      </c>
      <c r="I849" s="50" t="s">
        <v>292</v>
      </c>
      <c r="J849" s="51">
        <v>46086</v>
      </c>
      <c r="K849" s="50" t="s">
        <v>3</v>
      </c>
      <c r="L849" s="50" t="s">
        <v>80</v>
      </c>
    </row>
    <row r="850" spans="2:12">
      <c r="B850" s="50" t="s">
        <v>278</v>
      </c>
      <c r="C850" s="50" t="s">
        <v>62</v>
      </c>
      <c r="D850" s="50" t="s">
        <v>27</v>
      </c>
      <c r="E850" s="50">
        <v>50038517</v>
      </c>
      <c r="F850" s="50" t="s">
        <v>181</v>
      </c>
      <c r="G850" s="50">
        <v>1</v>
      </c>
      <c r="H850" s="50" t="s">
        <v>2</v>
      </c>
      <c r="I850" s="50" t="s">
        <v>292</v>
      </c>
      <c r="J850" s="51">
        <v>46086</v>
      </c>
      <c r="K850" s="50" t="s">
        <v>1</v>
      </c>
      <c r="L850" s="50" t="s">
        <v>80</v>
      </c>
    </row>
    <row r="851" spans="2:12">
      <c r="B851" s="50" t="s">
        <v>54</v>
      </c>
      <c r="C851" s="50" t="s">
        <v>51</v>
      </c>
      <c r="D851" s="50" t="s">
        <v>41</v>
      </c>
      <c r="E851" s="50">
        <v>50037892</v>
      </c>
      <c r="F851" s="50" t="s">
        <v>178</v>
      </c>
      <c r="G851" s="50">
        <v>1</v>
      </c>
      <c r="H851" s="50" t="s">
        <v>2</v>
      </c>
      <c r="I851" s="50" t="s">
        <v>292</v>
      </c>
      <c r="J851" s="51">
        <v>46086</v>
      </c>
      <c r="K851" s="50" t="s">
        <v>1</v>
      </c>
      <c r="L851" s="50" t="s">
        <v>80</v>
      </c>
    </row>
    <row r="852" spans="2:12">
      <c r="B852" s="50" t="s">
        <v>54</v>
      </c>
      <c r="C852" s="50" t="s">
        <v>51</v>
      </c>
      <c r="D852" s="50" t="s">
        <v>41</v>
      </c>
      <c r="E852" s="50">
        <v>50043471</v>
      </c>
      <c r="F852" s="50" t="s">
        <v>257</v>
      </c>
      <c r="G852" s="50">
        <v>1</v>
      </c>
      <c r="H852" s="50" t="s">
        <v>2</v>
      </c>
      <c r="I852" s="50" t="s">
        <v>292</v>
      </c>
      <c r="J852" s="51">
        <v>46086</v>
      </c>
      <c r="K852" s="50" t="s">
        <v>1</v>
      </c>
      <c r="L852" s="50" t="s">
        <v>80</v>
      </c>
    </row>
    <row r="853" spans="2:12">
      <c r="B853" s="50" t="s">
        <v>483</v>
      </c>
      <c r="C853" s="50" t="s">
        <v>62</v>
      </c>
      <c r="D853" s="50" t="s">
        <v>27</v>
      </c>
      <c r="E853" s="50">
        <v>50010031</v>
      </c>
      <c r="F853" s="50" t="s">
        <v>89</v>
      </c>
      <c r="G853" s="50">
        <v>1</v>
      </c>
      <c r="H853" s="50" t="s">
        <v>2</v>
      </c>
      <c r="I853" s="50" t="s">
        <v>292</v>
      </c>
      <c r="J853" s="51">
        <v>46086</v>
      </c>
      <c r="K853" s="50" t="s">
        <v>1</v>
      </c>
      <c r="L853" s="50" t="s">
        <v>80</v>
      </c>
    </row>
    <row r="854" spans="2:12">
      <c r="B854" s="50" t="s">
        <v>427</v>
      </c>
      <c r="C854" s="50" t="s">
        <v>26</v>
      </c>
      <c r="D854" s="50" t="s">
        <v>27</v>
      </c>
      <c r="E854" s="50">
        <v>50038549</v>
      </c>
      <c r="F854" s="50" t="s">
        <v>173</v>
      </c>
      <c r="G854" s="50">
        <v>1</v>
      </c>
      <c r="H854" s="50" t="s">
        <v>2</v>
      </c>
      <c r="I854" s="50" t="s">
        <v>292</v>
      </c>
      <c r="J854" s="51">
        <v>46086</v>
      </c>
      <c r="K854" s="50" t="s">
        <v>1</v>
      </c>
      <c r="L854" s="50" t="s">
        <v>80</v>
      </c>
    </row>
    <row r="855" spans="2:12">
      <c r="B855" s="50" t="s">
        <v>399</v>
      </c>
      <c r="C855" s="50" t="s">
        <v>51</v>
      </c>
      <c r="D855" s="50" t="s">
        <v>27</v>
      </c>
      <c r="E855" s="50">
        <v>50012902</v>
      </c>
      <c r="F855" s="50" t="s">
        <v>225</v>
      </c>
      <c r="G855" s="50">
        <v>1</v>
      </c>
      <c r="H855" s="50" t="s">
        <v>2</v>
      </c>
      <c r="I855" s="50" t="s">
        <v>291</v>
      </c>
      <c r="J855" s="51">
        <v>46086</v>
      </c>
      <c r="K855" s="50" t="s">
        <v>1</v>
      </c>
      <c r="L855" s="50" t="s">
        <v>80</v>
      </c>
    </row>
    <row r="856" spans="2:12">
      <c r="B856" s="50" t="s">
        <v>25</v>
      </c>
      <c r="C856" s="50" t="s">
        <v>26</v>
      </c>
      <c r="D856" s="50" t="s">
        <v>27</v>
      </c>
      <c r="E856" s="50">
        <v>50036332</v>
      </c>
      <c r="F856" s="50" t="s">
        <v>188</v>
      </c>
      <c r="G856" s="50">
        <v>1</v>
      </c>
      <c r="H856" s="50" t="s">
        <v>2</v>
      </c>
      <c r="I856" s="50" t="s">
        <v>292</v>
      </c>
      <c r="J856" s="51">
        <v>46086</v>
      </c>
      <c r="K856" s="50" t="s">
        <v>1</v>
      </c>
      <c r="L856" s="50" t="s">
        <v>80</v>
      </c>
    </row>
    <row r="857" spans="2:12">
      <c r="B857" s="50" t="s">
        <v>427</v>
      </c>
      <c r="C857" s="50" t="s">
        <v>26</v>
      </c>
      <c r="D857" s="50" t="s">
        <v>27</v>
      </c>
      <c r="E857" s="50">
        <v>50026357</v>
      </c>
      <c r="F857" s="50" t="s">
        <v>192</v>
      </c>
      <c r="G857" s="50">
        <v>1</v>
      </c>
      <c r="H857" s="50" t="s">
        <v>2</v>
      </c>
      <c r="I857" s="50" t="s">
        <v>292</v>
      </c>
      <c r="J857" s="51">
        <v>46086</v>
      </c>
      <c r="K857" s="50" t="s">
        <v>1</v>
      </c>
      <c r="L857" s="50" t="s">
        <v>80</v>
      </c>
    </row>
    <row r="858" spans="2:12">
      <c r="B858" s="50" t="s">
        <v>385</v>
      </c>
      <c r="C858" s="50" t="s">
        <v>56</v>
      </c>
      <c r="D858" s="50" t="s">
        <v>41</v>
      </c>
      <c r="E858" s="50">
        <v>50036298</v>
      </c>
      <c r="F858" s="50" t="s">
        <v>102</v>
      </c>
      <c r="G858" s="50">
        <v>1</v>
      </c>
      <c r="H858" s="50" t="s">
        <v>2</v>
      </c>
      <c r="I858" s="50" t="s">
        <v>292</v>
      </c>
      <c r="J858" s="51">
        <v>46086</v>
      </c>
      <c r="K858" s="50" t="s">
        <v>1</v>
      </c>
      <c r="L858" s="50" t="s">
        <v>80</v>
      </c>
    </row>
    <row r="859" spans="2:12">
      <c r="B859" s="50" t="s">
        <v>481</v>
      </c>
      <c r="C859" s="50" t="s">
        <v>26</v>
      </c>
      <c r="D859" s="50" t="s">
        <v>27</v>
      </c>
      <c r="E859" s="50">
        <v>50037926</v>
      </c>
      <c r="F859" s="50" t="s">
        <v>184</v>
      </c>
      <c r="G859" s="50">
        <v>1</v>
      </c>
      <c r="H859" s="50" t="s">
        <v>2</v>
      </c>
      <c r="I859" s="50" t="s">
        <v>292</v>
      </c>
      <c r="J859" s="51">
        <v>46086</v>
      </c>
      <c r="K859" s="50" t="s">
        <v>1</v>
      </c>
      <c r="L859" s="50" t="s">
        <v>80</v>
      </c>
    </row>
    <row r="860" spans="2:12">
      <c r="B860" s="50" t="s">
        <v>427</v>
      </c>
      <c r="C860" s="50" t="s">
        <v>26</v>
      </c>
      <c r="D860" s="50" t="s">
        <v>27</v>
      </c>
      <c r="E860" s="50">
        <v>50042003</v>
      </c>
      <c r="F860" s="50" t="s">
        <v>300</v>
      </c>
      <c r="G860" s="50">
        <v>1</v>
      </c>
      <c r="H860" s="50" t="s">
        <v>2</v>
      </c>
      <c r="I860" s="50" t="s">
        <v>292</v>
      </c>
      <c r="J860" s="51">
        <v>46086</v>
      </c>
      <c r="K860" s="50" t="s">
        <v>1</v>
      </c>
      <c r="L860" s="50" t="s">
        <v>80</v>
      </c>
    </row>
    <row r="861" spans="2:12">
      <c r="B861" s="50" t="s">
        <v>25</v>
      </c>
      <c r="C861" s="50" t="s">
        <v>26</v>
      </c>
      <c r="D861" s="50" t="s">
        <v>27</v>
      </c>
      <c r="E861" s="50">
        <v>50036332</v>
      </c>
      <c r="F861" s="50" t="s">
        <v>188</v>
      </c>
      <c r="G861" s="50">
        <v>1</v>
      </c>
      <c r="H861" s="50" t="s">
        <v>2</v>
      </c>
      <c r="I861" s="50" t="s">
        <v>291</v>
      </c>
      <c r="J861" s="51">
        <v>46086</v>
      </c>
      <c r="K861" s="50" t="s">
        <v>334</v>
      </c>
      <c r="L861" s="50" t="s">
        <v>80</v>
      </c>
    </row>
    <row r="862" spans="2:12">
      <c r="B862" s="50" t="s">
        <v>427</v>
      </c>
      <c r="C862" s="50" t="s">
        <v>26</v>
      </c>
      <c r="D862" s="50" t="s">
        <v>27</v>
      </c>
      <c r="E862" s="50">
        <v>50026357</v>
      </c>
      <c r="F862" s="50" t="s">
        <v>192</v>
      </c>
      <c r="G862" s="50">
        <v>1</v>
      </c>
      <c r="H862" s="50" t="s">
        <v>2</v>
      </c>
      <c r="I862" s="50" t="s">
        <v>288</v>
      </c>
      <c r="J862" s="51">
        <v>46086</v>
      </c>
      <c r="K862" s="50" t="s">
        <v>3</v>
      </c>
      <c r="L862" s="50" t="s">
        <v>80</v>
      </c>
    </row>
    <row r="863" spans="2:12">
      <c r="B863" s="50" t="s">
        <v>385</v>
      </c>
      <c r="C863" s="50" t="s">
        <v>56</v>
      </c>
      <c r="D863" s="50" t="s">
        <v>41</v>
      </c>
      <c r="E863" s="50">
        <v>50036298</v>
      </c>
      <c r="F863" s="50" t="s">
        <v>102</v>
      </c>
      <c r="G863" s="50">
        <v>1</v>
      </c>
      <c r="H863" s="50" t="s">
        <v>2</v>
      </c>
      <c r="I863" s="50" t="s">
        <v>288</v>
      </c>
      <c r="J863" s="51">
        <v>46086</v>
      </c>
      <c r="K863" s="50" t="s">
        <v>3</v>
      </c>
      <c r="L863" s="50" t="s">
        <v>80</v>
      </c>
    </row>
    <row r="864" spans="2:12">
      <c r="B864" s="50" t="s">
        <v>481</v>
      </c>
      <c r="C864" s="50" t="s">
        <v>26</v>
      </c>
      <c r="D864" s="50" t="s">
        <v>27</v>
      </c>
      <c r="E864" s="50">
        <v>50037926</v>
      </c>
      <c r="F864" s="50" t="s">
        <v>184</v>
      </c>
      <c r="G864" s="50">
        <v>1</v>
      </c>
      <c r="H864" s="50" t="s">
        <v>2</v>
      </c>
      <c r="I864" s="50" t="s">
        <v>288</v>
      </c>
      <c r="J864" s="51">
        <v>46086</v>
      </c>
      <c r="K864" s="50" t="s">
        <v>3</v>
      </c>
      <c r="L864" s="50" t="s">
        <v>80</v>
      </c>
    </row>
    <row r="865" spans="2:12">
      <c r="B865" s="50" t="s">
        <v>427</v>
      </c>
      <c r="C865" s="50" t="s">
        <v>26</v>
      </c>
      <c r="D865" s="50" t="s">
        <v>27</v>
      </c>
      <c r="E865" s="50">
        <v>50042003</v>
      </c>
      <c r="F865" s="50" t="s">
        <v>300</v>
      </c>
      <c r="G865" s="50">
        <v>1</v>
      </c>
      <c r="H865" s="50" t="s">
        <v>2</v>
      </c>
      <c r="I865" s="50" t="s">
        <v>288</v>
      </c>
      <c r="J865" s="51">
        <v>46086</v>
      </c>
      <c r="K865" s="50" t="s">
        <v>3</v>
      </c>
      <c r="L865" s="50" t="s">
        <v>80</v>
      </c>
    </row>
    <row r="866" spans="2:12">
      <c r="B866" s="50" t="s">
        <v>466</v>
      </c>
      <c r="C866" s="50" t="s">
        <v>62</v>
      </c>
      <c r="D866" s="50" t="s">
        <v>27</v>
      </c>
      <c r="E866" s="50">
        <v>50026357</v>
      </c>
      <c r="F866" s="50" t="s">
        <v>192</v>
      </c>
      <c r="G866" s="50">
        <v>1</v>
      </c>
      <c r="H866" s="50" t="s">
        <v>2</v>
      </c>
      <c r="I866" s="50" t="s">
        <v>288</v>
      </c>
      <c r="J866" s="51">
        <v>46086</v>
      </c>
      <c r="K866" s="50" t="s">
        <v>1</v>
      </c>
      <c r="L866" s="50" t="s">
        <v>80</v>
      </c>
    </row>
    <row r="867" spans="2:12">
      <c r="B867" s="50" t="s">
        <v>466</v>
      </c>
      <c r="C867" s="50" t="s">
        <v>62</v>
      </c>
      <c r="D867" s="50" t="s">
        <v>27</v>
      </c>
      <c r="E867" s="50">
        <v>50030486</v>
      </c>
      <c r="F867" s="50" t="s">
        <v>153</v>
      </c>
      <c r="G867" s="50">
        <v>1</v>
      </c>
      <c r="H867" s="50" t="s">
        <v>2</v>
      </c>
      <c r="I867" s="50" t="s">
        <v>288</v>
      </c>
      <c r="J867" s="51">
        <v>46086</v>
      </c>
      <c r="K867" s="50" t="s">
        <v>3</v>
      </c>
      <c r="L867" s="50" t="s">
        <v>80</v>
      </c>
    </row>
    <row r="868" spans="2:12">
      <c r="B868" s="50" t="s">
        <v>278</v>
      </c>
      <c r="C868" s="50" t="s">
        <v>62</v>
      </c>
      <c r="D868" s="50" t="s">
        <v>27</v>
      </c>
      <c r="E868" s="50">
        <v>50038517</v>
      </c>
      <c r="F868" s="50" t="s">
        <v>181</v>
      </c>
      <c r="G868" s="50">
        <v>1</v>
      </c>
      <c r="H868" s="50" t="s">
        <v>2</v>
      </c>
      <c r="I868" s="50" t="s">
        <v>288</v>
      </c>
      <c r="J868" s="51">
        <v>46086</v>
      </c>
      <c r="K868" s="50" t="s">
        <v>3</v>
      </c>
      <c r="L868" s="50" t="s">
        <v>80</v>
      </c>
    </row>
    <row r="869" spans="2:12">
      <c r="B869" s="50" t="s">
        <v>363</v>
      </c>
      <c r="C869" s="50" t="s">
        <v>26</v>
      </c>
      <c r="D869" s="50" t="s">
        <v>41</v>
      </c>
      <c r="E869" s="50">
        <v>50030486</v>
      </c>
      <c r="F869" s="50" t="s">
        <v>153</v>
      </c>
      <c r="G869" s="50">
        <v>1</v>
      </c>
      <c r="H869" s="50" t="s">
        <v>2</v>
      </c>
      <c r="I869" s="50" t="s">
        <v>288</v>
      </c>
      <c r="J869" s="51">
        <v>46086</v>
      </c>
      <c r="K869" s="50" t="s">
        <v>1</v>
      </c>
      <c r="L869" s="50" t="s">
        <v>80</v>
      </c>
    </row>
    <row r="870" spans="2:12">
      <c r="B870" s="50" t="s">
        <v>466</v>
      </c>
      <c r="C870" s="50" t="s">
        <v>62</v>
      </c>
      <c r="D870" s="50" t="s">
        <v>27</v>
      </c>
      <c r="E870" s="50">
        <v>50026357</v>
      </c>
      <c r="F870" s="50" t="s">
        <v>192</v>
      </c>
      <c r="G870" s="50">
        <v>1</v>
      </c>
      <c r="H870" s="50" t="s">
        <v>2</v>
      </c>
      <c r="I870" s="50" t="s">
        <v>288</v>
      </c>
      <c r="J870" s="51">
        <v>46086</v>
      </c>
      <c r="K870" s="50" t="s">
        <v>3</v>
      </c>
      <c r="L870" s="50" t="s">
        <v>80</v>
      </c>
    </row>
    <row r="871" spans="2:12">
      <c r="B871" s="50" t="s">
        <v>363</v>
      </c>
      <c r="C871" s="50" t="s">
        <v>26</v>
      </c>
      <c r="D871" s="50" t="s">
        <v>41</v>
      </c>
      <c r="E871" s="50">
        <v>50038517</v>
      </c>
      <c r="F871" s="50" t="s">
        <v>181</v>
      </c>
      <c r="G871" s="50">
        <v>1</v>
      </c>
      <c r="H871" s="50" t="s">
        <v>2</v>
      </c>
      <c r="I871" s="50" t="s">
        <v>288</v>
      </c>
      <c r="J871" s="51">
        <v>46086</v>
      </c>
      <c r="K871" s="50" t="s">
        <v>3</v>
      </c>
      <c r="L871" s="50" t="s">
        <v>80</v>
      </c>
    </row>
    <row r="872" spans="2:12">
      <c r="B872" s="50" t="s">
        <v>363</v>
      </c>
      <c r="C872" s="50" t="s">
        <v>26</v>
      </c>
      <c r="D872" s="50" t="s">
        <v>41</v>
      </c>
      <c r="E872" s="50">
        <v>50030486</v>
      </c>
      <c r="F872" s="50" t="s">
        <v>153</v>
      </c>
      <c r="G872" s="50">
        <v>1</v>
      </c>
      <c r="H872" s="50" t="s">
        <v>2</v>
      </c>
      <c r="I872" s="50" t="s">
        <v>288</v>
      </c>
      <c r="J872" s="51">
        <v>46086</v>
      </c>
      <c r="K872" s="50" t="s">
        <v>3</v>
      </c>
      <c r="L872" s="50" t="s">
        <v>80</v>
      </c>
    </row>
    <row r="873" spans="2:12">
      <c r="B873" s="50" t="s">
        <v>438</v>
      </c>
      <c r="C873" s="50" t="s">
        <v>51</v>
      </c>
      <c r="D873" s="50" t="s">
        <v>36</v>
      </c>
      <c r="E873" s="50">
        <v>50041195</v>
      </c>
      <c r="F873" s="50" t="s">
        <v>206</v>
      </c>
      <c r="G873" s="50">
        <v>1</v>
      </c>
      <c r="H873" s="50" t="s">
        <v>2</v>
      </c>
      <c r="I873" s="50" t="s">
        <v>288</v>
      </c>
      <c r="J873" s="51">
        <v>46086</v>
      </c>
      <c r="K873" s="50" t="s">
        <v>3</v>
      </c>
      <c r="L873" s="50" t="s">
        <v>80</v>
      </c>
    </row>
    <row r="874" spans="2:12">
      <c r="B874" s="50" t="s">
        <v>483</v>
      </c>
      <c r="C874" s="50" t="s">
        <v>62</v>
      </c>
      <c r="D874" s="50" t="s">
        <v>27</v>
      </c>
      <c r="E874" s="50">
        <v>50010031</v>
      </c>
      <c r="F874" s="50" t="s">
        <v>89</v>
      </c>
      <c r="G874" s="50">
        <v>1</v>
      </c>
      <c r="H874" s="50" t="s">
        <v>2</v>
      </c>
      <c r="I874" s="50" t="s">
        <v>288</v>
      </c>
      <c r="J874" s="51">
        <v>46086</v>
      </c>
      <c r="K874" s="50" t="s">
        <v>3</v>
      </c>
      <c r="L874" s="50" t="s">
        <v>80</v>
      </c>
    </row>
    <row r="875" spans="2:12">
      <c r="B875" s="50" t="s">
        <v>399</v>
      </c>
      <c r="C875" s="50" t="s">
        <v>51</v>
      </c>
      <c r="D875" s="50" t="s">
        <v>27</v>
      </c>
      <c r="E875" s="50">
        <v>50012902</v>
      </c>
      <c r="F875" s="50" t="s">
        <v>225</v>
      </c>
      <c r="G875" s="50">
        <v>1</v>
      </c>
      <c r="H875" s="50" t="s">
        <v>2</v>
      </c>
      <c r="I875" s="50" t="s">
        <v>288</v>
      </c>
      <c r="J875" s="51">
        <v>46086</v>
      </c>
      <c r="K875" s="50" t="s">
        <v>3</v>
      </c>
      <c r="L875" s="50" t="s">
        <v>80</v>
      </c>
    </row>
    <row r="876" spans="2:12">
      <c r="B876" s="50" t="s">
        <v>399</v>
      </c>
      <c r="C876" s="50" t="s">
        <v>51</v>
      </c>
      <c r="D876" s="50" t="s">
        <v>27</v>
      </c>
      <c r="E876" s="50">
        <v>50039065</v>
      </c>
      <c r="F876" s="50" t="s">
        <v>186</v>
      </c>
      <c r="G876" s="50">
        <v>1</v>
      </c>
      <c r="H876" s="50" t="s">
        <v>2</v>
      </c>
      <c r="I876" s="50" t="s">
        <v>288</v>
      </c>
      <c r="J876" s="51">
        <v>46086</v>
      </c>
      <c r="K876" s="50" t="s">
        <v>3</v>
      </c>
      <c r="L876" s="50" t="s">
        <v>80</v>
      </c>
    </row>
    <row r="877" spans="2:12">
      <c r="B877" s="50" t="s">
        <v>399</v>
      </c>
      <c r="C877" s="50" t="s">
        <v>51</v>
      </c>
      <c r="D877" s="50" t="s">
        <v>27</v>
      </c>
      <c r="E877" s="50">
        <v>50046617</v>
      </c>
      <c r="F877" s="50" t="s">
        <v>365</v>
      </c>
      <c r="G877" s="50">
        <v>1</v>
      </c>
      <c r="H877" s="50" t="s">
        <v>2</v>
      </c>
      <c r="I877" s="50" t="s">
        <v>288</v>
      </c>
      <c r="J877" s="51">
        <v>46086</v>
      </c>
      <c r="K877" s="50" t="s">
        <v>3</v>
      </c>
      <c r="L877" s="50" t="s">
        <v>80</v>
      </c>
    </row>
    <row r="878" spans="2:12">
      <c r="B878" s="50" t="s">
        <v>427</v>
      </c>
      <c r="C878" s="50" t="s">
        <v>26</v>
      </c>
      <c r="D878" s="50" t="s">
        <v>27</v>
      </c>
      <c r="E878" s="50">
        <v>50038549</v>
      </c>
      <c r="F878" s="50" t="s">
        <v>173</v>
      </c>
      <c r="G878" s="50">
        <v>1</v>
      </c>
      <c r="H878" s="50" t="s">
        <v>2</v>
      </c>
      <c r="I878" s="50" t="s">
        <v>288</v>
      </c>
      <c r="J878" s="51">
        <v>46086</v>
      </c>
      <c r="K878" s="50" t="s">
        <v>3</v>
      </c>
      <c r="L878" s="50" t="s">
        <v>80</v>
      </c>
    </row>
    <row r="879" spans="2:12">
      <c r="B879" s="50" t="s">
        <v>54</v>
      </c>
      <c r="C879" s="50" t="s">
        <v>51</v>
      </c>
      <c r="D879" s="50" t="s">
        <v>41</v>
      </c>
      <c r="E879" s="50">
        <v>50037892</v>
      </c>
      <c r="F879" s="50" t="s">
        <v>178</v>
      </c>
      <c r="G879" s="50">
        <v>1</v>
      </c>
      <c r="H879" s="50" t="s">
        <v>2</v>
      </c>
      <c r="I879" s="50" t="s">
        <v>288</v>
      </c>
      <c r="J879" s="51">
        <v>46086</v>
      </c>
      <c r="K879" s="50" t="s">
        <v>3</v>
      </c>
      <c r="L879" s="50" t="s">
        <v>80</v>
      </c>
    </row>
    <row r="880" spans="2:12">
      <c r="B880" s="50" t="s">
        <v>54</v>
      </c>
      <c r="C880" s="50" t="s">
        <v>51</v>
      </c>
      <c r="D880" s="50" t="s">
        <v>41</v>
      </c>
      <c r="E880" s="50">
        <v>50043471</v>
      </c>
      <c r="F880" s="50" t="s">
        <v>257</v>
      </c>
      <c r="G880" s="50">
        <v>1</v>
      </c>
      <c r="H880" s="50" t="s">
        <v>2</v>
      </c>
      <c r="I880" s="50" t="s">
        <v>288</v>
      </c>
      <c r="J880" s="51">
        <v>46086</v>
      </c>
      <c r="K880" s="50" t="s">
        <v>3</v>
      </c>
      <c r="L880" s="50" t="s">
        <v>80</v>
      </c>
    </row>
    <row r="881" spans="2:12">
      <c r="B881" s="50" t="s">
        <v>394</v>
      </c>
      <c r="C881" s="50" t="s">
        <v>51</v>
      </c>
      <c r="D881" s="50" t="s">
        <v>27</v>
      </c>
      <c r="E881" s="50">
        <v>50037924</v>
      </c>
      <c r="F881" s="50" t="s">
        <v>261</v>
      </c>
      <c r="G881" s="50">
        <v>1</v>
      </c>
      <c r="H881" s="50" t="s">
        <v>2</v>
      </c>
      <c r="I881" s="50" t="s">
        <v>289</v>
      </c>
      <c r="J881" s="51">
        <v>46085</v>
      </c>
      <c r="K881" s="50" t="s">
        <v>1</v>
      </c>
      <c r="L881" s="50"/>
    </row>
    <row r="882" spans="2:12">
      <c r="B882" s="50" t="s">
        <v>277</v>
      </c>
      <c r="C882" s="50" t="s">
        <v>62</v>
      </c>
      <c r="D882" s="50" t="s">
        <v>27</v>
      </c>
      <c r="E882" s="50">
        <v>50003297</v>
      </c>
      <c r="F882" s="50" t="s">
        <v>158</v>
      </c>
      <c r="G882" s="50">
        <v>1</v>
      </c>
      <c r="H882" s="50" t="s">
        <v>2</v>
      </c>
      <c r="I882" s="50" t="s">
        <v>293</v>
      </c>
      <c r="J882" s="51">
        <v>46085</v>
      </c>
      <c r="K882" s="50" t="s">
        <v>1</v>
      </c>
      <c r="L882" s="50" t="s">
        <v>80</v>
      </c>
    </row>
    <row r="883" spans="2:12">
      <c r="B883" s="50" t="s">
        <v>345</v>
      </c>
      <c r="C883" s="50" t="s">
        <v>62</v>
      </c>
      <c r="D883" s="50" t="s">
        <v>27</v>
      </c>
      <c r="E883" s="50">
        <v>50038517</v>
      </c>
      <c r="F883" s="50" t="s">
        <v>181</v>
      </c>
      <c r="G883" s="50">
        <v>1</v>
      </c>
      <c r="H883" s="50" t="s">
        <v>2</v>
      </c>
      <c r="I883" s="50" t="s">
        <v>293</v>
      </c>
      <c r="J883" s="51">
        <v>46085</v>
      </c>
      <c r="K883" s="50" t="s">
        <v>1</v>
      </c>
      <c r="L883" s="50" t="s">
        <v>80</v>
      </c>
    </row>
    <row r="884" spans="2:12">
      <c r="B884" s="50" t="s">
        <v>394</v>
      </c>
      <c r="C884" s="50" t="s">
        <v>51</v>
      </c>
      <c r="D884" s="50" t="s">
        <v>27</v>
      </c>
      <c r="E884" s="50">
        <v>50001740</v>
      </c>
      <c r="F884" s="50" t="s">
        <v>294</v>
      </c>
      <c r="G884" s="50">
        <v>1</v>
      </c>
      <c r="H884" s="50" t="s">
        <v>2</v>
      </c>
      <c r="I884" s="50" t="s">
        <v>293</v>
      </c>
      <c r="J884" s="51">
        <v>46085</v>
      </c>
      <c r="K884" s="50" t="s">
        <v>1</v>
      </c>
      <c r="L884" s="50" t="s">
        <v>80</v>
      </c>
    </row>
    <row r="885" spans="2:12">
      <c r="B885" s="50" t="s">
        <v>277</v>
      </c>
      <c r="C885" s="50" t="s">
        <v>62</v>
      </c>
      <c r="D885" s="50" t="s">
        <v>27</v>
      </c>
      <c r="E885" s="50">
        <v>50037892</v>
      </c>
      <c r="F885" s="50" t="s">
        <v>178</v>
      </c>
      <c r="G885" s="50">
        <v>1</v>
      </c>
      <c r="H885" s="50" t="s">
        <v>2</v>
      </c>
      <c r="I885" s="50" t="s">
        <v>293</v>
      </c>
      <c r="J885" s="51">
        <v>46085</v>
      </c>
      <c r="K885" s="50" t="s">
        <v>1</v>
      </c>
      <c r="L885" s="50" t="s">
        <v>80</v>
      </c>
    </row>
    <row r="886" spans="2:12">
      <c r="B886" s="50" t="s">
        <v>483</v>
      </c>
      <c r="C886" s="50" t="s">
        <v>62</v>
      </c>
      <c r="D886" s="50" t="s">
        <v>27</v>
      </c>
      <c r="E886" s="50">
        <v>50010031</v>
      </c>
      <c r="F886" s="50" t="s">
        <v>89</v>
      </c>
      <c r="G886" s="50">
        <v>1</v>
      </c>
      <c r="H886" s="50" t="s">
        <v>2</v>
      </c>
      <c r="I886" s="50" t="s">
        <v>293</v>
      </c>
      <c r="J886" s="51">
        <v>46085</v>
      </c>
      <c r="K886" s="50" t="s">
        <v>1</v>
      </c>
      <c r="L886" s="50" t="s">
        <v>80</v>
      </c>
    </row>
    <row r="887" spans="2:12">
      <c r="B887" s="50" t="s">
        <v>399</v>
      </c>
      <c r="C887" s="50" t="s">
        <v>51</v>
      </c>
      <c r="D887" s="50" t="s">
        <v>27</v>
      </c>
      <c r="E887" s="50">
        <v>50046617</v>
      </c>
      <c r="F887" s="50" t="s">
        <v>365</v>
      </c>
      <c r="G887" s="50">
        <v>1</v>
      </c>
      <c r="H887" s="50" t="s">
        <v>2</v>
      </c>
      <c r="I887" s="50" t="s">
        <v>293</v>
      </c>
      <c r="J887" s="51">
        <v>46085</v>
      </c>
      <c r="K887" s="50" t="s">
        <v>1</v>
      </c>
      <c r="L887" s="50" t="s">
        <v>80</v>
      </c>
    </row>
    <row r="888" spans="2:12">
      <c r="B888" s="50" t="s">
        <v>394</v>
      </c>
      <c r="C888" s="50" t="s">
        <v>51</v>
      </c>
      <c r="D888" s="50" t="s">
        <v>27</v>
      </c>
      <c r="E888" s="50">
        <v>50046617</v>
      </c>
      <c r="F888" s="50" t="s">
        <v>365</v>
      </c>
      <c r="G888" s="50">
        <v>1</v>
      </c>
      <c r="H888" s="50" t="s">
        <v>2</v>
      </c>
      <c r="I888" s="50" t="s">
        <v>293</v>
      </c>
      <c r="J888" s="51">
        <v>46085</v>
      </c>
      <c r="K888" s="50" t="s">
        <v>1</v>
      </c>
      <c r="L888" s="50" t="s">
        <v>80</v>
      </c>
    </row>
    <row r="889" spans="2:12">
      <c r="B889" s="50" t="s">
        <v>394</v>
      </c>
      <c r="C889" s="50" t="s">
        <v>51</v>
      </c>
      <c r="D889" s="50" t="s">
        <v>27</v>
      </c>
      <c r="E889" s="50">
        <v>50046617</v>
      </c>
      <c r="F889" s="50" t="s">
        <v>365</v>
      </c>
      <c r="G889" s="50">
        <v>1</v>
      </c>
      <c r="H889" s="50" t="s">
        <v>2</v>
      </c>
      <c r="I889" s="50" t="s">
        <v>293</v>
      </c>
      <c r="J889" s="51">
        <v>46085</v>
      </c>
      <c r="K889" s="50" t="s">
        <v>1</v>
      </c>
      <c r="L889" s="50" t="s">
        <v>80</v>
      </c>
    </row>
    <row r="890" spans="2:12">
      <c r="B890" s="50" t="s">
        <v>386</v>
      </c>
      <c r="C890" s="50" t="s">
        <v>26</v>
      </c>
      <c r="D890" s="50" t="s">
        <v>27</v>
      </c>
      <c r="E890" s="50">
        <v>50038549</v>
      </c>
      <c r="F890" s="50" t="s">
        <v>173</v>
      </c>
      <c r="G890" s="50">
        <v>1</v>
      </c>
      <c r="H890" s="50" t="s">
        <v>2</v>
      </c>
      <c r="I890" s="50" t="s">
        <v>293</v>
      </c>
      <c r="J890" s="51">
        <v>46085</v>
      </c>
      <c r="K890" s="50" t="s">
        <v>1</v>
      </c>
      <c r="L890" s="50" t="s">
        <v>80</v>
      </c>
    </row>
    <row r="891" spans="2:12">
      <c r="B891" s="50" t="s">
        <v>427</v>
      </c>
      <c r="C891" s="50" t="s">
        <v>26</v>
      </c>
      <c r="D891" s="50" t="s">
        <v>27</v>
      </c>
      <c r="E891" s="50">
        <v>50038549</v>
      </c>
      <c r="F891" s="50" t="s">
        <v>173</v>
      </c>
      <c r="G891" s="50">
        <v>1</v>
      </c>
      <c r="H891" s="50" t="s">
        <v>2</v>
      </c>
      <c r="I891" s="50" t="s">
        <v>293</v>
      </c>
      <c r="J891" s="51">
        <v>46085</v>
      </c>
      <c r="K891" s="50" t="s">
        <v>1</v>
      </c>
      <c r="L891" s="50" t="s">
        <v>80</v>
      </c>
    </row>
    <row r="892" spans="2:12">
      <c r="B892" s="50" t="s">
        <v>481</v>
      </c>
      <c r="C892" s="50" t="s">
        <v>26</v>
      </c>
      <c r="D892" s="50" t="s">
        <v>27</v>
      </c>
      <c r="E892" s="50">
        <v>50012902</v>
      </c>
      <c r="F892" s="50" t="s">
        <v>225</v>
      </c>
      <c r="G892" s="50">
        <v>1</v>
      </c>
      <c r="H892" s="50" t="s">
        <v>2</v>
      </c>
      <c r="I892" s="50" t="s">
        <v>293</v>
      </c>
      <c r="J892" s="51">
        <v>46085</v>
      </c>
      <c r="K892" s="50" t="s">
        <v>1</v>
      </c>
      <c r="L892" s="50" t="s">
        <v>80</v>
      </c>
    </row>
    <row r="893" spans="2:12">
      <c r="B893" s="50" t="s">
        <v>366</v>
      </c>
      <c r="C893" s="50" t="s">
        <v>56</v>
      </c>
      <c r="D893" s="50" t="s">
        <v>27</v>
      </c>
      <c r="E893" s="50">
        <v>50043320</v>
      </c>
      <c r="F893" s="50" t="s">
        <v>264</v>
      </c>
      <c r="G893" s="50">
        <v>1</v>
      </c>
      <c r="H893" s="50" t="s">
        <v>2</v>
      </c>
      <c r="I893" s="50" t="s">
        <v>293</v>
      </c>
      <c r="J893" s="51">
        <v>46085</v>
      </c>
      <c r="K893" s="50" t="s">
        <v>1</v>
      </c>
      <c r="L893" s="50" t="s">
        <v>80</v>
      </c>
    </row>
    <row r="894" spans="2:12">
      <c r="B894" s="50" t="s">
        <v>474</v>
      </c>
      <c r="C894" s="50" t="s">
        <v>51</v>
      </c>
      <c r="D894" s="50" t="s">
        <v>27</v>
      </c>
      <c r="E894" s="50">
        <v>50043471</v>
      </c>
      <c r="F894" s="50" t="s">
        <v>257</v>
      </c>
      <c r="G894" s="50">
        <v>1</v>
      </c>
      <c r="H894" s="50" t="s">
        <v>2</v>
      </c>
      <c r="I894" s="50" t="s">
        <v>293</v>
      </c>
      <c r="J894" s="51">
        <v>46085</v>
      </c>
      <c r="K894" s="50" t="s">
        <v>1</v>
      </c>
      <c r="L894" s="50" t="s">
        <v>80</v>
      </c>
    </row>
    <row r="895" spans="2:12">
      <c r="B895" s="50" t="s">
        <v>474</v>
      </c>
      <c r="C895" s="50" t="s">
        <v>51</v>
      </c>
      <c r="D895" s="50" t="s">
        <v>27</v>
      </c>
      <c r="E895" s="50">
        <v>50037892</v>
      </c>
      <c r="F895" s="50" t="s">
        <v>178</v>
      </c>
      <c r="G895" s="50">
        <v>1</v>
      </c>
      <c r="H895" s="50" t="s">
        <v>2</v>
      </c>
      <c r="I895" s="50" t="s">
        <v>293</v>
      </c>
      <c r="J895" s="51">
        <v>46085</v>
      </c>
      <c r="K895" s="50" t="s">
        <v>1</v>
      </c>
      <c r="L895" s="50" t="s">
        <v>80</v>
      </c>
    </row>
    <row r="896" spans="2:12">
      <c r="B896" s="50" t="s">
        <v>469</v>
      </c>
      <c r="C896" s="50" t="s">
        <v>26</v>
      </c>
      <c r="D896" s="50" t="s">
        <v>39</v>
      </c>
      <c r="E896" s="50">
        <v>50041195</v>
      </c>
      <c r="F896" s="50" t="s">
        <v>206</v>
      </c>
      <c r="G896" s="50">
        <v>1</v>
      </c>
      <c r="H896" s="50" t="s">
        <v>2</v>
      </c>
      <c r="I896" s="50" t="s">
        <v>293</v>
      </c>
      <c r="J896" s="51">
        <v>46085</v>
      </c>
      <c r="K896" s="50" t="s">
        <v>3</v>
      </c>
      <c r="L896" s="50" t="s">
        <v>80</v>
      </c>
    </row>
    <row r="897" spans="2:12">
      <c r="B897" s="50" t="s">
        <v>474</v>
      </c>
      <c r="C897" s="50" t="s">
        <v>51</v>
      </c>
      <c r="D897" s="50" t="s">
        <v>27</v>
      </c>
      <c r="E897" s="50">
        <v>50043471</v>
      </c>
      <c r="F897" s="50" t="s">
        <v>257</v>
      </c>
      <c r="G897" s="50">
        <v>1</v>
      </c>
      <c r="H897" s="50" t="s">
        <v>2</v>
      </c>
      <c r="I897" s="50" t="s">
        <v>293</v>
      </c>
      <c r="J897" s="51">
        <v>46085</v>
      </c>
      <c r="K897" s="50" t="s">
        <v>3</v>
      </c>
      <c r="L897" s="50" t="s">
        <v>80</v>
      </c>
    </row>
    <row r="898" spans="2:12">
      <c r="B898" s="50" t="s">
        <v>474</v>
      </c>
      <c r="C898" s="50" t="s">
        <v>51</v>
      </c>
      <c r="D898" s="50" t="s">
        <v>27</v>
      </c>
      <c r="E898" s="50">
        <v>50037892</v>
      </c>
      <c r="F898" s="50" t="s">
        <v>178</v>
      </c>
      <c r="G898" s="50">
        <v>1</v>
      </c>
      <c r="H898" s="50" t="s">
        <v>2</v>
      </c>
      <c r="I898" s="50" t="s">
        <v>293</v>
      </c>
      <c r="J898" s="51">
        <v>46085</v>
      </c>
      <c r="K898" s="50" t="s">
        <v>3</v>
      </c>
      <c r="L898" s="50" t="s">
        <v>80</v>
      </c>
    </row>
    <row r="899" spans="2:12">
      <c r="B899" s="50" t="s">
        <v>471</v>
      </c>
      <c r="C899" s="50" t="s">
        <v>26</v>
      </c>
      <c r="D899" s="50" t="s">
        <v>39</v>
      </c>
      <c r="E899" s="50">
        <v>50041195</v>
      </c>
      <c r="F899" s="50" t="s">
        <v>206</v>
      </c>
      <c r="G899" s="50">
        <v>1</v>
      </c>
      <c r="H899" s="50" t="s">
        <v>2</v>
      </c>
      <c r="I899" s="50" t="s">
        <v>293</v>
      </c>
      <c r="J899" s="51">
        <v>46085</v>
      </c>
      <c r="K899" s="50" t="s">
        <v>1</v>
      </c>
      <c r="L899" s="50" t="s">
        <v>80</v>
      </c>
    </row>
    <row r="900" spans="2:12">
      <c r="B900" s="50" t="s">
        <v>345</v>
      </c>
      <c r="C900" s="50" t="s">
        <v>56</v>
      </c>
      <c r="D900" s="50" t="s">
        <v>27</v>
      </c>
      <c r="E900" s="50">
        <v>50038600</v>
      </c>
      <c r="F900" s="50" t="s">
        <v>100</v>
      </c>
      <c r="G900" s="50">
        <v>1</v>
      </c>
      <c r="H900" s="50" t="s">
        <v>2</v>
      </c>
      <c r="I900" s="50" t="s">
        <v>293</v>
      </c>
      <c r="J900" s="51">
        <v>46085</v>
      </c>
      <c r="K900" s="50" t="s">
        <v>1</v>
      </c>
      <c r="L900" s="50" t="s">
        <v>80</v>
      </c>
    </row>
    <row r="901" spans="2:12">
      <c r="B901" s="50" t="s">
        <v>471</v>
      </c>
      <c r="C901" s="50" t="s">
        <v>26</v>
      </c>
      <c r="D901" s="50" t="s">
        <v>39</v>
      </c>
      <c r="E901" s="50">
        <v>50041195</v>
      </c>
      <c r="F901" s="50" t="s">
        <v>206</v>
      </c>
      <c r="G901" s="50">
        <v>1</v>
      </c>
      <c r="H901" s="50" t="s">
        <v>2</v>
      </c>
      <c r="I901" s="50" t="s">
        <v>293</v>
      </c>
      <c r="J901" s="51">
        <v>46085</v>
      </c>
      <c r="K901" s="50" t="s">
        <v>3</v>
      </c>
      <c r="L901" s="50" t="s">
        <v>80</v>
      </c>
    </row>
    <row r="902" spans="2:12">
      <c r="B902" s="50" t="s">
        <v>412</v>
      </c>
      <c r="C902" s="50" t="s">
        <v>51</v>
      </c>
      <c r="D902" s="50" t="s">
        <v>41</v>
      </c>
      <c r="E902" s="50">
        <v>50043471</v>
      </c>
      <c r="F902" s="50" t="s">
        <v>257</v>
      </c>
      <c r="G902" s="50">
        <v>1</v>
      </c>
      <c r="H902" s="50" t="s">
        <v>2</v>
      </c>
      <c r="I902" s="50" t="s">
        <v>292</v>
      </c>
      <c r="J902" s="51">
        <v>46085</v>
      </c>
      <c r="K902" s="50" t="s">
        <v>1</v>
      </c>
      <c r="L902" s="50" t="s">
        <v>80</v>
      </c>
    </row>
    <row r="903" spans="2:12">
      <c r="B903" s="50" t="s">
        <v>481</v>
      </c>
      <c r="C903" s="50" t="s">
        <v>26</v>
      </c>
      <c r="D903" s="50" t="s">
        <v>27</v>
      </c>
      <c r="E903" s="50">
        <v>50012902</v>
      </c>
      <c r="F903" s="50" t="s">
        <v>225</v>
      </c>
      <c r="G903" s="50">
        <v>1</v>
      </c>
      <c r="H903" s="50" t="s">
        <v>2</v>
      </c>
      <c r="I903" s="50" t="s">
        <v>293</v>
      </c>
      <c r="J903" s="51">
        <v>46085</v>
      </c>
      <c r="K903" s="50" t="s">
        <v>3</v>
      </c>
      <c r="L903" s="50" t="s">
        <v>80</v>
      </c>
    </row>
    <row r="904" spans="2:12">
      <c r="B904" s="50" t="s">
        <v>399</v>
      </c>
      <c r="C904" s="50" t="s">
        <v>51</v>
      </c>
      <c r="D904" s="50" t="s">
        <v>27</v>
      </c>
      <c r="E904" s="50">
        <v>50046617</v>
      </c>
      <c r="F904" s="50" t="s">
        <v>365</v>
      </c>
      <c r="G904" s="50">
        <v>1</v>
      </c>
      <c r="H904" s="50" t="s">
        <v>2</v>
      </c>
      <c r="I904" s="50" t="s">
        <v>293</v>
      </c>
      <c r="J904" s="51">
        <v>46085</v>
      </c>
      <c r="K904" s="50" t="s">
        <v>3</v>
      </c>
      <c r="L904" s="50" t="s">
        <v>80</v>
      </c>
    </row>
    <row r="905" spans="2:12">
      <c r="B905" s="50" t="s">
        <v>427</v>
      </c>
      <c r="C905" s="50" t="s">
        <v>26</v>
      </c>
      <c r="D905" s="50" t="s">
        <v>27</v>
      </c>
      <c r="E905" s="50">
        <v>50043320</v>
      </c>
      <c r="F905" s="50" t="s">
        <v>264</v>
      </c>
      <c r="G905" s="50">
        <v>1</v>
      </c>
      <c r="H905" s="50" t="s">
        <v>2</v>
      </c>
      <c r="I905" s="50" t="s">
        <v>290</v>
      </c>
      <c r="J905" s="51">
        <v>46085</v>
      </c>
      <c r="K905" s="50" t="s">
        <v>3</v>
      </c>
      <c r="L905" s="50" t="s">
        <v>80</v>
      </c>
    </row>
    <row r="906" spans="2:12">
      <c r="B906" s="50" t="s">
        <v>427</v>
      </c>
      <c r="C906" s="50" t="s">
        <v>26</v>
      </c>
      <c r="D906" s="50" t="s">
        <v>27</v>
      </c>
      <c r="E906" s="50">
        <v>50043320</v>
      </c>
      <c r="F906" s="50" t="s">
        <v>264</v>
      </c>
      <c r="G906" s="50">
        <v>1</v>
      </c>
      <c r="H906" s="50" t="s">
        <v>2</v>
      </c>
      <c r="I906" s="50" t="s">
        <v>290</v>
      </c>
      <c r="J906" s="51">
        <v>46085</v>
      </c>
      <c r="K906" s="50" t="s">
        <v>1</v>
      </c>
      <c r="L906" s="50" t="s">
        <v>80</v>
      </c>
    </row>
    <row r="907" spans="2:12">
      <c r="B907" s="50" t="s">
        <v>385</v>
      </c>
      <c r="C907" s="50" t="s">
        <v>56</v>
      </c>
      <c r="D907" s="50" t="s">
        <v>41</v>
      </c>
      <c r="E907" s="50">
        <v>50036298</v>
      </c>
      <c r="F907" s="50" t="s">
        <v>102</v>
      </c>
      <c r="G907" s="50">
        <v>1</v>
      </c>
      <c r="H907" s="50" t="s">
        <v>2</v>
      </c>
      <c r="I907" s="50" t="s">
        <v>288</v>
      </c>
      <c r="J907" s="51">
        <v>46085</v>
      </c>
      <c r="K907" s="50" t="s">
        <v>1</v>
      </c>
      <c r="L907" s="50" t="s">
        <v>80</v>
      </c>
    </row>
    <row r="908" spans="2:12">
      <c r="B908" s="50" t="s">
        <v>366</v>
      </c>
      <c r="C908" s="50" t="s">
        <v>56</v>
      </c>
      <c r="D908" s="50" t="s">
        <v>27</v>
      </c>
      <c r="E908" s="50">
        <v>50036299</v>
      </c>
      <c r="F908" s="50" t="s">
        <v>163</v>
      </c>
      <c r="G908" s="50">
        <v>1</v>
      </c>
      <c r="H908" s="50" t="s">
        <v>2</v>
      </c>
      <c r="I908" s="50" t="s">
        <v>290</v>
      </c>
      <c r="J908" s="51">
        <v>46085</v>
      </c>
      <c r="K908" s="50" t="s">
        <v>1</v>
      </c>
      <c r="L908" s="50" t="s">
        <v>80</v>
      </c>
    </row>
    <row r="909" spans="2:12">
      <c r="B909" s="50" t="s">
        <v>366</v>
      </c>
      <c r="C909" s="50" t="s">
        <v>56</v>
      </c>
      <c r="D909" s="50" t="s">
        <v>27</v>
      </c>
      <c r="E909" s="50">
        <v>50036299</v>
      </c>
      <c r="F909" s="50" t="s">
        <v>163</v>
      </c>
      <c r="G909" s="50">
        <v>1</v>
      </c>
      <c r="H909" s="50" t="s">
        <v>2</v>
      </c>
      <c r="I909" s="50" t="s">
        <v>290</v>
      </c>
      <c r="J909" s="51">
        <v>46085</v>
      </c>
      <c r="K909" s="50" t="s">
        <v>1</v>
      </c>
      <c r="L909" s="50" t="s">
        <v>80</v>
      </c>
    </row>
    <row r="910" spans="2:12">
      <c r="B910" s="50" t="s">
        <v>366</v>
      </c>
      <c r="C910" s="50" t="s">
        <v>56</v>
      </c>
      <c r="D910" s="50" t="s">
        <v>27</v>
      </c>
      <c r="E910" s="50">
        <v>50041195</v>
      </c>
      <c r="F910" s="50" t="s">
        <v>206</v>
      </c>
      <c r="G910" s="50">
        <v>1</v>
      </c>
      <c r="H910" s="50" t="s">
        <v>2</v>
      </c>
      <c r="I910" s="50" t="s">
        <v>288</v>
      </c>
      <c r="J910" s="51">
        <v>46085</v>
      </c>
      <c r="K910" s="50" t="s">
        <v>1</v>
      </c>
      <c r="L910" s="50" t="s">
        <v>80</v>
      </c>
    </row>
    <row r="911" spans="2:12">
      <c r="B911" s="50" t="s">
        <v>409</v>
      </c>
      <c r="C911" s="50" t="s">
        <v>51</v>
      </c>
      <c r="D911" s="50" t="s">
        <v>27</v>
      </c>
      <c r="E911" s="50">
        <v>50022878</v>
      </c>
      <c r="F911" s="50" t="s">
        <v>296</v>
      </c>
      <c r="G911" s="50">
        <v>1</v>
      </c>
      <c r="H911" s="50" t="s">
        <v>2</v>
      </c>
      <c r="I911" s="50" t="s">
        <v>288</v>
      </c>
      <c r="J911" s="51">
        <v>46085</v>
      </c>
      <c r="K911" s="50" t="s">
        <v>1</v>
      </c>
      <c r="L911" s="50" t="s">
        <v>80</v>
      </c>
    </row>
    <row r="912" spans="2:12">
      <c r="B912" s="50" t="s">
        <v>409</v>
      </c>
      <c r="C912" s="50" t="s">
        <v>51</v>
      </c>
      <c r="D912" s="50" t="s">
        <v>27</v>
      </c>
      <c r="E912" s="50">
        <v>50022878</v>
      </c>
      <c r="F912" s="50" t="s">
        <v>296</v>
      </c>
      <c r="G912" s="50">
        <v>1</v>
      </c>
      <c r="H912" s="50" t="s">
        <v>2</v>
      </c>
      <c r="I912" s="50" t="s">
        <v>288</v>
      </c>
      <c r="J912" s="51">
        <v>46085</v>
      </c>
      <c r="K912" s="50" t="s">
        <v>3</v>
      </c>
      <c r="L912" s="50" t="s">
        <v>80</v>
      </c>
    </row>
    <row r="913" spans="2:12">
      <c r="B913" s="50" t="s">
        <v>458</v>
      </c>
      <c r="C913" s="50" t="s">
        <v>26</v>
      </c>
      <c r="D913" s="50" t="s">
        <v>27</v>
      </c>
      <c r="E913" s="50">
        <v>50022878</v>
      </c>
      <c r="F913" s="50" t="s">
        <v>296</v>
      </c>
      <c r="G913" s="50">
        <v>1</v>
      </c>
      <c r="H913" s="50" t="s">
        <v>2</v>
      </c>
      <c r="I913" s="50" t="s">
        <v>288</v>
      </c>
      <c r="J913" s="51">
        <v>46085</v>
      </c>
      <c r="K913" s="50" t="s">
        <v>1</v>
      </c>
      <c r="L913" s="50" t="s">
        <v>80</v>
      </c>
    </row>
    <row r="914" spans="2:12">
      <c r="B914" s="50" t="s">
        <v>458</v>
      </c>
      <c r="C914" s="50" t="s">
        <v>26</v>
      </c>
      <c r="D914" s="50" t="s">
        <v>27</v>
      </c>
      <c r="E914" s="50">
        <v>50022878</v>
      </c>
      <c r="F914" s="50" t="s">
        <v>296</v>
      </c>
      <c r="G914" s="50">
        <v>1</v>
      </c>
      <c r="H914" s="50" t="s">
        <v>2</v>
      </c>
      <c r="I914" s="50" t="s">
        <v>288</v>
      </c>
      <c r="J914" s="51">
        <v>46085</v>
      </c>
      <c r="K914" s="50" t="s">
        <v>3</v>
      </c>
      <c r="L914" s="50" t="s">
        <v>80</v>
      </c>
    </row>
    <row r="915" spans="2:12">
      <c r="B915" s="50" t="s">
        <v>345</v>
      </c>
      <c r="C915" s="50" t="s">
        <v>56</v>
      </c>
      <c r="D915" s="50" t="s">
        <v>27</v>
      </c>
      <c r="E915" s="50">
        <v>50038600</v>
      </c>
      <c r="F915" s="50" t="s">
        <v>100</v>
      </c>
      <c r="G915" s="50">
        <v>1</v>
      </c>
      <c r="H915" s="50" t="s">
        <v>2</v>
      </c>
      <c r="I915" s="50" t="s">
        <v>288</v>
      </c>
      <c r="J915" s="51">
        <v>46085</v>
      </c>
      <c r="K915" s="50" t="s">
        <v>3</v>
      </c>
      <c r="L915" s="50" t="s">
        <v>80</v>
      </c>
    </row>
    <row r="916" spans="2:12">
      <c r="B916" s="50" t="s">
        <v>394</v>
      </c>
      <c r="C916" s="50" t="s">
        <v>51</v>
      </c>
      <c r="D916" s="50" t="s">
        <v>27</v>
      </c>
      <c r="E916" s="50">
        <v>50046617</v>
      </c>
      <c r="F916" s="50" t="s">
        <v>365</v>
      </c>
      <c r="G916" s="50">
        <v>1</v>
      </c>
      <c r="H916" s="50" t="s">
        <v>2</v>
      </c>
      <c r="I916" s="50" t="s">
        <v>288</v>
      </c>
      <c r="J916" s="51">
        <v>46085</v>
      </c>
      <c r="K916" s="50" t="s">
        <v>3</v>
      </c>
      <c r="L916" s="50" t="s">
        <v>80</v>
      </c>
    </row>
    <row r="917" spans="2:12">
      <c r="B917" s="50" t="s">
        <v>394</v>
      </c>
      <c r="C917" s="50" t="s">
        <v>51</v>
      </c>
      <c r="D917" s="50" t="s">
        <v>27</v>
      </c>
      <c r="E917" s="50">
        <v>50046617</v>
      </c>
      <c r="F917" s="50" t="s">
        <v>365</v>
      </c>
      <c r="G917" s="50">
        <v>1</v>
      </c>
      <c r="H917" s="50" t="s">
        <v>2</v>
      </c>
      <c r="I917" s="50" t="s">
        <v>288</v>
      </c>
      <c r="J917" s="51">
        <v>46085</v>
      </c>
      <c r="K917" s="50" t="s">
        <v>3</v>
      </c>
      <c r="L917" s="50" t="s">
        <v>80</v>
      </c>
    </row>
    <row r="918" spans="2:12">
      <c r="B918" s="50" t="s">
        <v>316</v>
      </c>
      <c r="C918" s="50" t="s">
        <v>51</v>
      </c>
      <c r="D918" s="50" t="s">
        <v>27</v>
      </c>
      <c r="E918" s="50">
        <v>50046617</v>
      </c>
      <c r="F918" s="50" t="s">
        <v>365</v>
      </c>
      <c r="G918" s="50">
        <v>1</v>
      </c>
      <c r="H918" s="50" t="s">
        <v>2</v>
      </c>
      <c r="I918" s="50" t="s">
        <v>288</v>
      </c>
      <c r="J918" s="51">
        <v>46085</v>
      </c>
      <c r="K918" s="50" t="s">
        <v>1</v>
      </c>
      <c r="L918" s="50" t="s">
        <v>80</v>
      </c>
    </row>
    <row r="919" spans="2:12">
      <c r="B919" s="50" t="s">
        <v>316</v>
      </c>
      <c r="C919" s="50" t="s">
        <v>51</v>
      </c>
      <c r="D919" s="50" t="s">
        <v>27</v>
      </c>
      <c r="E919" s="50">
        <v>50046617</v>
      </c>
      <c r="F919" s="50" t="s">
        <v>365</v>
      </c>
      <c r="G919" s="50">
        <v>1</v>
      </c>
      <c r="H919" s="50" t="s">
        <v>2</v>
      </c>
      <c r="I919" s="50" t="s">
        <v>288</v>
      </c>
      <c r="J919" s="51">
        <v>46085</v>
      </c>
      <c r="K919" s="50" t="s">
        <v>3</v>
      </c>
      <c r="L919" s="50" t="s">
        <v>80</v>
      </c>
    </row>
    <row r="920" spans="2:12">
      <c r="B920" s="50" t="s">
        <v>366</v>
      </c>
      <c r="C920" s="50" t="s">
        <v>56</v>
      </c>
      <c r="D920" s="50" t="s">
        <v>27</v>
      </c>
      <c r="E920" s="50">
        <v>50043320</v>
      </c>
      <c r="F920" s="50" t="s">
        <v>264</v>
      </c>
      <c r="G920" s="50">
        <v>1</v>
      </c>
      <c r="H920" s="50" t="s">
        <v>2</v>
      </c>
      <c r="I920" s="50" t="s">
        <v>288</v>
      </c>
      <c r="J920" s="51">
        <v>46085</v>
      </c>
      <c r="K920" s="50" t="s">
        <v>3</v>
      </c>
      <c r="L920" s="50" t="s">
        <v>80</v>
      </c>
    </row>
    <row r="921" spans="2:12">
      <c r="B921" s="50" t="s">
        <v>366</v>
      </c>
      <c r="C921" s="50" t="s">
        <v>56</v>
      </c>
      <c r="D921" s="50" t="s">
        <v>27</v>
      </c>
      <c r="E921" s="50">
        <v>50041195</v>
      </c>
      <c r="F921" s="50" t="s">
        <v>206</v>
      </c>
      <c r="G921" s="50">
        <v>1</v>
      </c>
      <c r="H921" s="50" t="s">
        <v>2</v>
      </c>
      <c r="I921" s="50" t="s">
        <v>288</v>
      </c>
      <c r="J921" s="51">
        <v>46085</v>
      </c>
      <c r="K921" s="50" t="s">
        <v>3</v>
      </c>
      <c r="L921" s="50" t="s">
        <v>80</v>
      </c>
    </row>
    <row r="922" spans="2:12">
      <c r="B922" s="50" t="s">
        <v>345</v>
      </c>
      <c r="C922" s="50" t="s">
        <v>62</v>
      </c>
      <c r="D922" s="50" t="s">
        <v>27</v>
      </c>
      <c r="E922" s="50">
        <v>50041195</v>
      </c>
      <c r="F922" s="50" t="s">
        <v>206</v>
      </c>
      <c r="G922" s="50">
        <v>1</v>
      </c>
      <c r="H922" s="50" t="s">
        <v>2</v>
      </c>
      <c r="I922" s="50" t="s">
        <v>288</v>
      </c>
      <c r="J922" s="51">
        <v>46085</v>
      </c>
      <c r="K922" s="50" t="s">
        <v>1</v>
      </c>
      <c r="L922" s="50" t="s">
        <v>80</v>
      </c>
    </row>
    <row r="923" spans="2:12">
      <c r="B923" s="50" t="s">
        <v>385</v>
      </c>
      <c r="C923" s="50" t="s">
        <v>56</v>
      </c>
      <c r="D923" s="50" t="s">
        <v>41</v>
      </c>
      <c r="E923" s="50">
        <v>50036298</v>
      </c>
      <c r="F923" s="50" t="s">
        <v>102</v>
      </c>
      <c r="G923" s="50">
        <v>1</v>
      </c>
      <c r="H923" s="50" t="s">
        <v>2</v>
      </c>
      <c r="I923" s="50" t="s">
        <v>288</v>
      </c>
      <c r="J923" s="51">
        <v>46085</v>
      </c>
      <c r="K923" s="50" t="s">
        <v>3</v>
      </c>
      <c r="L923" s="50" t="s">
        <v>80</v>
      </c>
    </row>
    <row r="924" spans="2:12">
      <c r="B924" s="50" t="s">
        <v>412</v>
      </c>
      <c r="C924" s="50" t="s">
        <v>51</v>
      </c>
      <c r="D924" s="50" t="s">
        <v>41</v>
      </c>
      <c r="E924" s="50">
        <v>50043471</v>
      </c>
      <c r="F924" s="50" t="s">
        <v>257</v>
      </c>
      <c r="G924" s="50">
        <v>1</v>
      </c>
      <c r="H924" s="50" t="s">
        <v>2</v>
      </c>
      <c r="I924" s="50" t="s">
        <v>288</v>
      </c>
      <c r="J924" s="51">
        <v>46085</v>
      </c>
      <c r="K924" s="50" t="s">
        <v>3</v>
      </c>
      <c r="L924" s="50" t="s">
        <v>80</v>
      </c>
    </row>
    <row r="925" spans="2:12">
      <c r="B925" s="50" t="s">
        <v>277</v>
      </c>
      <c r="C925" s="50" t="s">
        <v>62</v>
      </c>
      <c r="D925" s="50" t="s">
        <v>27</v>
      </c>
      <c r="E925" s="50">
        <v>50003297</v>
      </c>
      <c r="F925" s="50" t="s">
        <v>158</v>
      </c>
      <c r="G925" s="50">
        <v>1</v>
      </c>
      <c r="H925" s="50" t="s">
        <v>2</v>
      </c>
      <c r="I925" s="50" t="s">
        <v>288</v>
      </c>
      <c r="J925" s="51">
        <v>46085</v>
      </c>
      <c r="K925" s="50" t="s">
        <v>3</v>
      </c>
      <c r="L925" s="50" t="s">
        <v>80</v>
      </c>
    </row>
    <row r="926" spans="2:12">
      <c r="B926" s="50" t="s">
        <v>277</v>
      </c>
      <c r="C926" s="50" t="s">
        <v>62</v>
      </c>
      <c r="D926" s="50" t="s">
        <v>27</v>
      </c>
      <c r="E926" s="50">
        <v>50037892</v>
      </c>
      <c r="F926" s="50" t="s">
        <v>178</v>
      </c>
      <c r="G926" s="50">
        <v>1</v>
      </c>
      <c r="H926" s="50" t="s">
        <v>2</v>
      </c>
      <c r="I926" s="50" t="s">
        <v>288</v>
      </c>
      <c r="J926" s="51">
        <v>46085</v>
      </c>
      <c r="K926" s="50" t="s">
        <v>3</v>
      </c>
      <c r="L926" s="50" t="s">
        <v>80</v>
      </c>
    </row>
    <row r="927" spans="2:12">
      <c r="B927" s="50" t="s">
        <v>483</v>
      </c>
      <c r="C927" s="50" t="s">
        <v>62</v>
      </c>
      <c r="D927" s="50" t="s">
        <v>27</v>
      </c>
      <c r="E927" s="50">
        <v>50010031</v>
      </c>
      <c r="F927" s="50" t="s">
        <v>89</v>
      </c>
      <c r="G927" s="50">
        <v>1</v>
      </c>
      <c r="H927" s="50" t="s">
        <v>2</v>
      </c>
      <c r="I927" s="50" t="s">
        <v>288</v>
      </c>
      <c r="J927" s="51">
        <v>46085</v>
      </c>
      <c r="K927" s="50" t="s">
        <v>3</v>
      </c>
      <c r="L927" s="50" t="s">
        <v>80</v>
      </c>
    </row>
    <row r="928" spans="2:12">
      <c r="B928" s="50" t="s">
        <v>278</v>
      </c>
      <c r="C928" s="50" t="s">
        <v>62</v>
      </c>
      <c r="D928" s="50" t="s">
        <v>27</v>
      </c>
      <c r="E928" s="50">
        <v>50030486</v>
      </c>
      <c r="F928" s="50" t="s">
        <v>153</v>
      </c>
      <c r="G928" s="50">
        <v>1</v>
      </c>
      <c r="H928" s="50" t="s">
        <v>2</v>
      </c>
      <c r="I928" s="50" t="s">
        <v>288</v>
      </c>
      <c r="J928" s="51">
        <v>46085</v>
      </c>
      <c r="K928" s="50" t="s">
        <v>3</v>
      </c>
      <c r="L928" s="50" t="s">
        <v>80</v>
      </c>
    </row>
    <row r="929" spans="2:12">
      <c r="B929" s="50" t="s">
        <v>386</v>
      </c>
      <c r="C929" s="50" t="s">
        <v>26</v>
      </c>
      <c r="D929" s="50" t="s">
        <v>27</v>
      </c>
      <c r="E929" s="50">
        <v>50038549</v>
      </c>
      <c r="F929" s="50" t="s">
        <v>173</v>
      </c>
      <c r="G929" s="50">
        <v>1</v>
      </c>
      <c r="H929" s="50" t="s">
        <v>2</v>
      </c>
      <c r="I929" s="50" t="s">
        <v>288</v>
      </c>
      <c r="J929" s="51">
        <v>46085</v>
      </c>
      <c r="K929" s="50" t="s">
        <v>3</v>
      </c>
      <c r="L929" s="50" t="s">
        <v>80</v>
      </c>
    </row>
    <row r="930" spans="2:12">
      <c r="B930" s="50" t="s">
        <v>394</v>
      </c>
      <c r="C930" s="50" t="s">
        <v>51</v>
      </c>
      <c r="D930" s="50" t="s">
        <v>27</v>
      </c>
      <c r="E930" s="50">
        <v>50037924</v>
      </c>
      <c r="F930" s="50" t="s">
        <v>261</v>
      </c>
      <c r="G930" s="50">
        <v>1</v>
      </c>
      <c r="H930" s="50" t="s">
        <v>2</v>
      </c>
      <c r="I930" s="50" t="s">
        <v>288</v>
      </c>
      <c r="J930" s="51">
        <v>46085</v>
      </c>
      <c r="K930" s="50" t="s">
        <v>3</v>
      </c>
      <c r="L930" s="50" t="s">
        <v>80</v>
      </c>
    </row>
    <row r="931" spans="2:12">
      <c r="B931" s="50" t="s">
        <v>394</v>
      </c>
      <c r="C931" s="50" t="s">
        <v>51</v>
      </c>
      <c r="D931" s="50" t="s">
        <v>27</v>
      </c>
      <c r="E931" s="50">
        <v>50001740</v>
      </c>
      <c r="F931" s="50" t="s">
        <v>294</v>
      </c>
      <c r="G931" s="50">
        <v>1</v>
      </c>
      <c r="H931" s="50" t="s">
        <v>2</v>
      </c>
      <c r="I931" s="50" t="s">
        <v>288</v>
      </c>
      <c r="J931" s="51">
        <v>46085</v>
      </c>
      <c r="K931" s="50" t="s">
        <v>3</v>
      </c>
      <c r="L931" s="50" t="s">
        <v>80</v>
      </c>
    </row>
    <row r="932" spans="2:12">
      <c r="B932" s="50" t="s">
        <v>427</v>
      </c>
      <c r="C932" s="50" t="s">
        <v>26</v>
      </c>
      <c r="D932" s="50" t="s">
        <v>27</v>
      </c>
      <c r="E932" s="50">
        <v>50038549</v>
      </c>
      <c r="F932" s="50" t="s">
        <v>173</v>
      </c>
      <c r="G932" s="50">
        <v>1</v>
      </c>
      <c r="H932" s="50" t="s">
        <v>2</v>
      </c>
      <c r="I932" s="50" t="s">
        <v>288</v>
      </c>
      <c r="J932" s="51">
        <v>46085</v>
      </c>
      <c r="K932" s="50" t="s">
        <v>3</v>
      </c>
      <c r="L932" s="50" t="s">
        <v>80</v>
      </c>
    </row>
    <row r="933" spans="2:12">
      <c r="B933" s="50" t="s">
        <v>345</v>
      </c>
      <c r="C933" s="50" t="s">
        <v>62</v>
      </c>
      <c r="D933" s="50" t="s">
        <v>27</v>
      </c>
      <c r="E933" s="50">
        <v>50038517</v>
      </c>
      <c r="F933" s="50" t="s">
        <v>181</v>
      </c>
      <c r="G933" s="50">
        <v>1</v>
      </c>
      <c r="H933" s="50" t="s">
        <v>2</v>
      </c>
      <c r="I933" s="50" t="s">
        <v>288</v>
      </c>
      <c r="J933" s="51">
        <v>46085</v>
      </c>
      <c r="K933" s="50" t="s">
        <v>3</v>
      </c>
      <c r="L933" s="50" t="s">
        <v>80</v>
      </c>
    </row>
    <row r="934" spans="2:12">
      <c r="B934" s="50" t="s">
        <v>345</v>
      </c>
      <c r="C934" s="50" t="s">
        <v>62</v>
      </c>
      <c r="D934" s="50" t="s">
        <v>27</v>
      </c>
      <c r="E934" s="50">
        <v>50041195</v>
      </c>
      <c r="F934" s="50" t="s">
        <v>206</v>
      </c>
      <c r="G934" s="50">
        <v>1</v>
      </c>
      <c r="H934" s="50" t="s">
        <v>2</v>
      </c>
      <c r="I934" s="50" t="s">
        <v>288</v>
      </c>
      <c r="J934" s="51">
        <v>46085</v>
      </c>
      <c r="K934" s="50" t="s">
        <v>3</v>
      </c>
      <c r="L934" s="50" t="s">
        <v>80</v>
      </c>
    </row>
    <row r="935" spans="2:12">
      <c r="B935" s="50" t="s">
        <v>316</v>
      </c>
      <c r="C935" s="50" t="s">
        <v>56</v>
      </c>
      <c r="D935" s="50" t="s">
        <v>27</v>
      </c>
      <c r="E935" s="50">
        <v>50038517</v>
      </c>
      <c r="F935" s="50" t="s">
        <v>181</v>
      </c>
      <c r="G935" s="50">
        <v>1</v>
      </c>
      <c r="H935" s="50" t="s">
        <v>2</v>
      </c>
      <c r="I935" s="50" t="s">
        <v>293</v>
      </c>
      <c r="J935" s="51">
        <v>46084</v>
      </c>
      <c r="K935" s="50" t="s">
        <v>1</v>
      </c>
      <c r="L935" s="50" t="s">
        <v>80</v>
      </c>
    </row>
    <row r="936" spans="2:12">
      <c r="B936" s="50" t="s">
        <v>474</v>
      </c>
      <c r="C936" s="50" t="s">
        <v>51</v>
      </c>
      <c r="D936" s="50" t="s">
        <v>27</v>
      </c>
      <c r="E936" s="50">
        <v>50003297</v>
      </c>
      <c r="F936" s="50" t="s">
        <v>158</v>
      </c>
      <c r="G936" s="50">
        <v>1</v>
      </c>
      <c r="H936" s="50" t="s">
        <v>2</v>
      </c>
      <c r="I936" s="50" t="s">
        <v>293</v>
      </c>
      <c r="J936" s="51">
        <v>46084</v>
      </c>
      <c r="K936" s="50" t="s">
        <v>1</v>
      </c>
      <c r="L936" s="50" t="s">
        <v>80</v>
      </c>
    </row>
    <row r="937" spans="2:12">
      <c r="B937" s="50" t="s">
        <v>386</v>
      </c>
      <c r="C937" s="50" t="s">
        <v>62</v>
      </c>
      <c r="D937" s="50" t="s">
        <v>27</v>
      </c>
      <c r="E937" s="50">
        <v>50010031</v>
      </c>
      <c r="F937" s="50" t="s">
        <v>89</v>
      </c>
      <c r="G937" s="50">
        <v>1</v>
      </c>
      <c r="H937" s="50" t="s">
        <v>2</v>
      </c>
      <c r="I937" s="50" t="s">
        <v>293</v>
      </c>
      <c r="J937" s="51">
        <v>46084</v>
      </c>
      <c r="K937" s="50" t="s">
        <v>1</v>
      </c>
      <c r="L937" s="50" t="s">
        <v>80</v>
      </c>
    </row>
    <row r="938" spans="2:12">
      <c r="B938" s="50" t="s">
        <v>386</v>
      </c>
      <c r="C938" s="50" t="s">
        <v>62</v>
      </c>
      <c r="D938" s="50" t="s">
        <v>27</v>
      </c>
      <c r="E938" s="50">
        <v>50041195</v>
      </c>
      <c r="F938" s="50" t="s">
        <v>206</v>
      </c>
      <c r="G938" s="50">
        <v>1</v>
      </c>
      <c r="H938" s="50" t="s">
        <v>2</v>
      </c>
      <c r="I938" s="50" t="s">
        <v>293</v>
      </c>
      <c r="J938" s="51">
        <v>46084</v>
      </c>
      <c r="K938" s="50" t="s">
        <v>1</v>
      </c>
      <c r="L938" s="50" t="s">
        <v>80</v>
      </c>
    </row>
    <row r="939" spans="2:12">
      <c r="B939" s="50" t="s">
        <v>399</v>
      </c>
      <c r="C939" s="50" t="s">
        <v>51</v>
      </c>
      <c r="D939" s="50" t="s">
        <v>27</v>
      </c>
      <c r="E939" s="50">
        <v>50038517</v>
      </c>
      <c r="F939" s="50" t="s">
        <v>181</v>
      </c>
      <c r="G939" s="50">
        <v>1</v>
      </c>
      <c r="H939" s="50" t="s">
        <v>2</v>
      </c>
      <c r="I939" s="50" t="s">
        <v>293</v>
      </c>
      <c r="J939" s="51">
        <v>46084</v>
      </c>
      <c r="K939" s="50" t="s">
        <v>1</v>
      </c>
      <c r="L939" s="50" t="s">
        <v>80</v>
      </c>
    </row>
    <row r="940" spans="2:12">
      <c r="B940" s="50" t="s">
        <v>386</v>
      </c>
      <c r="C940" s="50" t="s">
        <v>62</v>
      </c>
      <c r="D940" s="50" t="s">
        <v>27</v>
      </c>
      <c r="E940" s="50">
        <v>50030486</v>
      </c>
      <c r="F940" s="50" t="s">
        <v>153</v>
      </c>
      <c r="G940" s="50">
        <v>1</v>
      </c>
      <c r="H940" s="50" t="s">
        <v>2</v>
      </c>
      <c r="I940" s="50" t="s">
        <v>293</v>
      </c>
      <c r="J940" s="51">
        <v>46084</v>
      </c>
      <c r="K940" s="50" t="s">
        <v>1</v>
      </c>
      <c r="L940" s="50" t="s">
        <v>80</v>
      </c>
    </row>
    <row r="941" spans="2:12">
      <c r="B941" s="50" t="s">
        <v>363</v>
      </c>
      <c r="C941" s="50" t="s">
        <v>26</v>
      </c>
      <c r="D941" s="50" t="s">
        <v>41</v>
      </c>
      <c r="E941" s="50">
        <v>50039065</v>
      </c>
      <c r="F941" s="50" t="s">
        <v>186</v>
      </c>
      <c r="G941" s="50">
        <v>1</v>
      </c>
      <c r="H941" s="50" t="s">
        <v>2</v>
      </c>
      <c r="I941" s="50" t="s">
        <v>293</v>
      </c>
      <c r="J941" s="51">
        <v>46084</v>
      </c>
      <c r="K941" s="50" t="s">
        <v>1</v>
      </c>
      <c r="L941" s="50" t="s">
        <v>80</v>
      </c>
    </row>
    <row r="942" spans="2:12">
      <c r="B942" s="50" t="s">
        <v>280</v>
      </c>
      <c r="C942" s="50" t="s">
        <v>62</v>
      </c>
      <c r="D942" s="50" t="s">
        <v>27</v>
      </c>
      <c r="E942" s="50">
        <v>50043471</v>
      </c>
      <c r="F942" s="50" t="s">
        <v>257</v>
      </c>
      <c r="G942" s="50">
        <v>1</v>
      </c>
      <c r="H942" s="50" t="s">
        <v>2</v>
      </c>
      <c r="I942" s="50" t="s">
        <v>293</v>
      </c>
      <c r="J942" s="51">
        <v>46084</v>
      </c>
      <c r="K942" s="50" t="s">
        <v>1</v>
      </c>
      <c r="L942" s="50" t="s">
        <v>80</v>
      </c>
    </row>
    <row r="943" spans="2:12">
      <c r="B943" s="50" t="s">
        <v>469</v>
      </c>
      <c r="C943" s="50" t="s">
        <v>26</v>
      </c>
      <c r="D943" s="50" t="s">
        <v>39</v>
      </c>
      <c r="E943" s="50">
        <v>50038549</v>
      </c>
      <c r="F943" s="50" t="s">
        <v>173</v>
      </c>
      <c r="G943" s="50">
        <v>1</v>
      </c>
      <c r="H943" s="50" t="s">
        <v>2</v>
      </c>
      <c r="I943" s="50" t="s">
        <v>293</v>
      </c>
      <c r="J943" s="51">
        <v>46084</v>
      </c>
      <c r="K943" s="50" t="s">
        <v>3</v>
      </c>
      <c r="L943" s="50" t="s">
        <v>80</v>
      </c>
    </row>
    <row r="944" spans="2:12">
      <c r="B944" s="50" t="s">
        <v>483</v>
      </c>
      <c r="C944" s="50" t="s">
        <v>62</v>
      </c>
      <c r="D944" s="50" t="s">
        <v>27</v>
      </c>
      <c r="E944" s="50">
        <v>50038626</v>
      </c>
      <c r="F944" s="50" t="s">
        <v>190</v>
      </c>
      <c r="G944" s="50">
        <v>1</v>
      </c>
      <c r="H944" s="50" t="s">
        <v>2</v>
      </c>
      <c r="I944" s="50" t="s">
        <v>293</v>
      </c>
      <c r="J944" s="51">
        <v>46084</v>
      </c>
      <c r="K944" s="50" t="s">
        <v>3</v>
      </c>
      <c r="L944" s="50" t="s">
        <v>80</v>
      </c>
    </row>
    <row r="945" spans="2:12">
      <c r="B945" s="50" t="s">
        <v>280</v>
      </c>
      <c r="C945" s="50" t="s">
        <v>62</v>
      </c>
      <c r="D945" s="50" t="s">
        <v>27</v>
      </c>
      <c r="E945" s="50">
        <v>50043471</v>
      </c>
      <c r="F945" s="50" t="s">
        <v>257</v>
      </c>
      <c r="G945" s="50">
        <v>1</v>
      </c>
      <c r="H945" s="50" t="s">
        <v>2</v>
      </c>
      <c r="I945" s="50" t="s">
        <v>293</v>
      </c>
      <c r="J945" s="51">
        <v>46084</v>
      </c>
      <c r="K945" s="50" t="s">
        <v>3</v>
      </c>
      <c r="L945" s="50" t="s">
        <v>80</v>
      </c>
    </row>
    <row r="946" spans="2:12">
      <c r="B946" s="50" t="s">
        <v>474</v>
      </c>
      <c r="C946" s="50" t="s">
        <v>51</v>
      </c>
      <c r="D946" s="50" t="s">
        <v>27</v>
      </c>
      <c r="E946" s="50">
        <v>50003297</v>
      </c>
      <c r="F946" s="50" t="s">
        <v>158</v>
      </c>
      <c r="G946" s="50">
        <v>1</v>
      </c>
      <c r="H946" s="50" t="s">
        <v>2</v>
      </c>
      <c r="I946" s="50" t="s">
        <v>288</v>
      </c>
      <c r="J946" s="51">
        <v>46084</v>
      </c>
      <c r="K946" s="50" t="s">
        <v>3</v>
      </c>
      <c r="L946" s="50" t="s">
        <v>80</v>
      </c>
    </row>
    <row r="947" spans="2:12">
      <c r="B947" s="50" t="s">
        <v>399</v>
      </c>
      <c r="C947" s="50" t="s">
        <v>51</v>
      </c>
      <c r="D947" s="50" t="s">
        <v>27</v>
      </c>
      <c r="E947" s="50">
        <v>50038517</v>
      </c>
      <c r="F947" s="50" t="s">
        <v>181</v>
      </c>
      <c r="G947" s="50">
        <v>1</v>
      </c>
      <c r="H947" s="50" t="s">
        <v>2</v>
      </c>
      <c r="I947" s="50" t="s">
        <v>288</v>
      </c>
      <c r="J947" s="51">
        <v>46084</v>
      </c>
      <c r="K947" s="50" t="s">
        <v>3</v>
      </c>
      <c r="L947" s="50" t="s">
        <v>80</v>
      </c>
    </row>
    <row r="948" spans="2:12">
      <c r="B948" s="50" t="s">
        <v>363</v>
      </c>
      <c r="C948" s="50" t="s">
        <v>26</v>
      </c>
      <c r="D948" s="50" t="s">
        <v>41</v>
      </c>
      <c r="E948" s="50">
        <v>50039065</v>
      </c>
      <c r="F948" s="50" t="s">
        <v>186</v>
      </c>
      <c r="G948" s="50">
        <v>1</v>
      </c>
      <c r="H948" s="50" t="s">
        <v>2</v>
      </c>
      <c r="I948" s="50" t="s">
        <v>288</v>
      </c>
      <c r="J948" s="51">
        <v>46084</v>
      </c>
      <c r="K948" s="50" t="s">
        <v>3</v>
      </c>
      <c r="L948" s="50" t="s">
        <v>80</v>
      </c>
    </row>
    <row r="949" spans="2:12">
      <c r="B949" s="50" t="s">
        <v>483</v>
      </c>
      <c r="C949" s="50" t="s">
        <v>62</v>
      </c>
      <c r="D949" s="50" t="s">
        <v>27</v>
      </c>
      <c r="E949" s="50">
        <v>50026357</v>
      </c>
      <c r="F949" s="50" t="s">
        <v>192</v>
      </c>
      <c r="G949" s="50">
        <v>1</v>
      </c>
      <c r="H949" s="50" t="s">
        <v>2</v>
      </c>
      <c r="I949" s="50" t="s">
        <v>288</v>
      </c>
      <c r="J949" s="51">
        <v>46084</v>
      </c>
      <c r="K949" s="50" t="s">
        <v>3</v>
      </c>
      <c r="L949" s="50" t="s">
        <v>80</v>
      </c>
    </row>
    <row r="950" spans="2:12">
      <c r="B950" s="50" t="s">
        <v>394</v>
      </c>
      <c r="C950" s="50" t="s">
        <v>51</v>
      </c>
      <c r="D950" s="50" t="s">
        <v>27</v>
      </c>
      <c r="E950" s="50">
        <v>50038549</v>
      </c>
      <c r="F950" s="50" t="s">
        <v>173</v>
      </c>
      <c r="G950" s="50">
        <v>1</v>
      </c>
      <c r="H950" s="50" t="s">
        <v>2</v>
      </c>
      <c r="I950" s="50" t="s">
        <v>288</v>
      </c>
      <c r="J950" s="51">
        <v>46084</v>
      </c>
      <c r="K950" s="50" t="s">
        <v>3</v>
      </c>
      <c r="L950" s="50" t="s">
        <v>80</v>
      </c>
    </row>
    <row r="951" spans="2:12">
      <c r="B951" s="50" t="s">
        <v>316</v>
      </c>
      <c r="C951" s="50" t="s">
        <v>56</v>
      </c>
      <c r="D951" s="50" t="s">
        <v>27</v>
      </c>
      <c r="E951" s="50">
        <v>50038517</v>
      </c>
      <c r="F951" s="50" t="s">
        <v>181</v>
      </c>
      <c r="G951" s="50">
        <v>1</v>
      </c>
      <c r="H951" s="50" t="s">
        <v>2</v>
      </c>
      <c r="I951" s="50" t="s">
        <v>288</v>
      </c>
      <c r="J951" s="51">
        <v>46084</v>
      </c>
      <c r="K951" s="50" t="s">
        <v>3</v>
      </c>
      <c r="L951" s="50" t="s">
        <v>80</v>
      </c>
    </row>
    <row r="952" spans="2:12">
      <c r="B952" s="50" t="s">
        <v>345</v>
      </c>
      <c r="C952" s="50" t="s">
        <v>56</v>
      </c>
      <c r="D952" s="50" t="s">
        <v>27</v>
      </c>
      <c r="E952" s="50">
        <v>50038600</v>
      </c>
      <c r="F952" s="50" t="s">
        <v>100</v>
      </c>
      <c r="G952" s="50">
        <v>1</v>
      </c>
      <c r="H952" s="50" t="s">
        <v>2</v>
      </c>
      <c r="I952" s="50" t="s">
        <v>290</v>
      </c>
      <c r="J952" s="51">
        <v>46084</v>
      </c>
      <c r="K952" s="50" t="s">
        <v>3</v>
      </c>
      <c r="L952" s="50" t="s">
        <v>80</v>
      </c>
    </row>
    <row r="953" spans="2:12">
      <c r="B953" s="50" t="s">
        <v>427</v>
      </c>
      <c r="C953" s="50" t="s">
        <v>26</v>
      </c>
      <c r="D953" s="50" t="s">
        <v>27</v>
      </c>
      <c r="E953" s="50">
        <v>50037892</v>
      </c>
      <c r="F953" s="50" t="s">
        <v>178</v>
      </c>
      <c r="G953" s="50">
        <v>1</v>
      </c>
      <c r="H953" s="50" t="s">
        <v>2</v>
      </c>
      <c r="I953" s="50" t="s">
        <v>288</v>
      </c>
      <c r="J953" s="51">
        <v>46084</v>
      </c>
      <c r="K953" s="50" t="s">
        <v>3</v>
      </c>
      <c r="L953" s="50" t="s">
        <v>80</v>
      </c>
    </row>
    <row r="954" spans="2:12">
      <c r="B954" s="50" t="s">
        <v>427</v>
      </c>
      <c r="C954" s="50" t="s">
        <v>26</v>
      </c>
      <c r="D954" s="50" t="s">
        <v>27</v>
      </c>
      <c r="E954" s="50">
        <v>50046617</v>
      </c>
      <c r="F954" s="50" t="s">
        <v>365</v>
      </c>
      <c r="G954" s="50">
        <v>1</v>
      </c>
      <c r="H954" s="50" t="s">
        <v>2</v>
      </c>
      <c r="I954" s="50" t="s">
        <v>288</v>
      </c>
      <c r="J954" s="51">
        <v>46084</v>
      </c>
      <c r="K954" s="50" t="s">
        <v>3</v>
      </c>
      <c r="L954" s="50" t="s">
        <v>80</v>
      </c>
    </row>
    <row r="955" spans="2:12">
      <c r="B955" s="50" t="s">
        <v>386</v>
      </c>
      <c r="C955" s="50" t="s">
        <v>62</v>
      </c>
      <c r="D955" s="50" t="s">
        <v>27</v>
      </c>
      <c r="E955" s="50">
        <v>50010031</v>
      </c>
      <c r="F955" s="50" t="s">
        <v>89</v>
      </c>
      <c r="G955" s="50">
        <v>1</v>
      </c>
      <c r="H955" s="50" t="s">
        <v>2</v>
      </c>
      <c r="I955" s="50" t="s">
        <v>288</v>
      </c>
      <c r="J955" s="51">
        <v>46084</v>
      </c>
      <c r="K955" s="50" t="s">
        <v>3</v>
      </c>
      <c r="L955" s="50" t="s">
        <v>80</v>
      </c>
    </row>
    <row r="956" spans="2:12">
      <c r="B956" s="50" t="s">
        <v>386</v>
      </c>
      <c r="C956" s="50" t="s">
        <v>62</v>
      </c>
      <c r="D956" s="50" t="s">
        <v>27</v>
      </c>
      <c r="E956" s="50">
        <v>50030486</v>
      </c>
      <c r="F956" s="50" t="s">
        <v>153</v>
      </c>
      <c r="G956" s="50">
        <v>1</v>
      </c>
      <c r="H956" s="50" t="s">
        <v>2</v>
      </c>
      <c r="I956" s="50" t="s">
        <v>288</v>
      </c>
      <c r="J956" s="51">
        <v>46084</v>
      </c>
      <c r="K956" s="50" t="s">
        <v>3</v>
      </c>
      <c r="L956" s="50" t="s">
        <v>80</v>
      </c>
    </row>
    <row r="957" spans="2:12">
      <c r="B957" s="50" t="s">
        <v>386</v>
      </c>
      <c r="C957" s="50" t="s">
        <v>62</v>
      </c>
      <c r="D957" s="50" t="s">
        <v>27</v>
      </c>
      <c r="E957" s="50">
        <v>50041195</v>
      </c>
      <c r="F957" s="50" t="s">
        <v>206</v>
      </c>
      <c r="G957" s="50">
        <v>1</v>
      </c>
      <c r="H957" s="50" t="s">
        <v>2</v>
      </c>
      <c r="I957" s="50" t="s">
        <v>288</v>
      </c>
      <c r="J957" s="51">
        <v>46084</v>
      </c>
      <c r="K957" s="50" t="s">
        <v>3</v>
      </c>
      <c r="L957" s="50" t="s">
        <v>80</v>
      </c>
    </row>
    <row r="958" spans="2:12">
      <c r="B958" s="50" t="s">
        <v>458</v>
      </c>
      <c r="C958" s="50" t="s">
        <v>26</v>
      </c>
      <c r="D958" s="50" t="s">
        <v>27</v>
      </c>
      <c r="E958" s="50">
        <v>50012902</v>
      </c>
      <c r="F958" s="50" t="s">
        <v>225</v>
      </c>
      <c r="G958" s="50">
        <v>1</v>
      </c>
      <c r="H958" s="50" t="s">
        <v>2</v>
      </c>
      <c r="I958" s="50" t="s">
        <v>293</v>
      </c>
      <c r="J958" s="51">
        <v>46083</v>
      </c>
      <c r="K958" s="50" t="s">
        <v>1</v>
      </c>
      <c r="L958" s="50" t="s">
        <v>80</v>
      </c>
    </row>
    <row r="959" spans="2:12">
      <c r="B959" s="50" t="s">
        <v>471</v>
      </c>
      <c r="C959" s="50" t="s">
        <v>26</v>
      </c>
      <c r="D959" s="50" t="s">
        <v>39</v>
      </c>
      <c r="E959" s="50">
        <v>50037903</v>
      </c>
      <c r="F959" s="50" t="s">
        <v>183</v>
      </c>
      <c r="G959" s="50">
        <v>1</v>
      </c>
      <c r="H959" s="50" t="s">
        <v>2</v>
      </c>
      <c r="I959" s="50" t="s">
        <v>293</v>
      </c>
      <c r="J959" s="51">
        <v>46083</v>
      </c>
      <c r="K959" s="50" t="s">
        <v>1</v>
      </c>
      <c r="L959" s="50" t="s">
        <v>80</v>
      </c>
    </row>
    <row r="960" spans="2:12">
      <c r="B960" s="50" t="s">
        <v>469</v>
      </c>
      <c r="C960" s="50" t="s">
        <v>26</v>
      </c>
      <c r="D960" s="50" t="s">
        <v>39</v>
      </c>
      <c r="E960" s="50">
        <v>50037924</v>
      </c>
      <c r="F960" s="50" t="s">
        <v>261</v>
      </c>
      <c r="G960" s="50">
        <v>1</v>
      </c>
      <c r="H960" s="50" t="s">
        <v>2</v>
      </c>
      <c r="I960" s="50" t="s">
        <v>293</v>
      </c>
      <c r="J960" s="51">
        <v>46083</v>
      </c>
      <c r="K960" s="50" t="s">
        <v>1</v>
      </c>
      <c r="L960" s="50" t="s">
        <v>80</v>
      </c>
    </row>
    <row r="961" spans="2:12">
      <c r="B961" s="50" t="s">
        <v>466</v>
      </c>
      <c r="C961" s="50" t="s">
        <v>62</v>
      </c>
      <c r="D961" s="50" t="s">
        <v>27</v>
      </c>
      <c r="E961" s="50">
        <v>50043520</v>
      </c>
      <c r="F961" s="50" t="s">
        <v>266</v>
      </c>
      <c r="G961" s="50">
        <v>1</v>
      </c>
      <c r="H961" s="50" t="s">
        <v>2</v>
      </c>
      <c r="I961" s="50" t="s">
        <v>293</v>
      </c>
      <c r="J961" s="51">
        <v>46083</v>
      </c>
      <c r="K961" s="50" t="s">
        <v>1</v>
      </c>
      <c r="L961" s="50" t="s">
        <v>80</v>
      </c>
    </row>
    <row r="962" spans="2:12">
      <c r="B962" s="50" t="s">
        <v>385</v>
      </c>
      <c r="C962" s="50" t="s">
        <v>56</v>
      </c>
      <c r="D962" s="50" t="s">
        <v>41</v>
      </c>
      <c r="E962" s="50">
        <v>50036298</v>
      </c>
      <c r="F962" s="50" t="s">
        <v>102</v>
      </c>
      <c r="G962" s="50">
        <v>1</v>
      </c>
      <c r="H962" s="50" t="s">
        <v>2</v>
      </c>
      <c r="I962" s="50" t="s">
        <v>293</v>
      </c>
      <c r="J962" s="51">
        <v>46083</v>
      </c>
      <c r="K962" s="50" t="s">
        <v>1</v>
      </c>
      <c r="L962" s="50" t="s">
        <v>80</v>
      </c>
    </row>
    <row r="963" spans="2:12">
      <c r="B963" s="50" t="s">
        <v>458</v>
      </c>
      <c r="C963" s="50" t="s">
        <v>26</v>
      </c>
      <c r="D963" s="50" t="s">
        <v>27</v>
      </c>
      <c r="E963" s="50">
        <v>50012902</v>
      </c>
      <c r="F963" s="50" t="s">
        <v>225</v>
      </c>
      <c r="G963" s="50">
        <v>1</v>
      </c>
      <c r="H963" s="50" t="s">
        <v>2</v>
      </c>
      <c r="I963" s="50" t="s">
        <v>293</v>
      </c>
      <c r="J963" s="51">
        <v>46083</v>
      </c>
      <c r="K963" s="50" t="s">
        <v>3</v>
      </c>
      <c r="L963" s="50" t="s">
        <v>80</v>
      </c>
    </row>
    <row r="964" spans="2:12">
      <c r="B964" s="50" t="s">
        <v>471</v>
      </c>
      <c r="C964" s="50" t="s">
        <v>26</v>
      </c>
      <c r="D964" s="50" t="s">
        <v>39</v>
      </c>
      <c r="E964" s="50">
        <v>50037903</v>
      </c>
      <c r="F964" s="50" t="s">
        <v>183</v>
      </c>
      <c r="G964" s="50">
        <v>1</v>
      </c>
      <c r="H964" s="50" t="s">
        <v>2</v>
      </c>
      <c r="I964" s="50" t="s">
        <v>293</v>
      </c>
      <c r="J964" s="51">
        <v>46083</v>
      </c>
      <c r="K964" s="50" t="s">
        <v>3</v>
      </c>
      <c r="L964" s="50" t="s">
        <v>80</v>
      </c>
    </row>
    <row r="965" spans="2:12">
      <c r="B965" s="50" t="s">
        <v>273</v>
      </c>
      <c r="C965" s="50" t="s">
        <v>274</v>
      </c>
      <c r="D965" s="50" t="s">
        <v>27</v>
      </c>
      <c r="E965" s="50">
        <v>50042002</v>
      </c>
      <c r="F965" s="50" t="s">
        <v>299</v>
      </c>
      <c r="G965" s="50">
        <v>1</v>
      </c>
      <c r="H965" s="50" t="s">
        <v>2</v>
      </c>
      <c r="I965" s="50" t="s">
        <v>293</v>
      </c>
      <c r="J965" s="51">
        <v>46083</v>
      </c>
      <c r="K965" s="50" t="s">
        <v>1</v>
      </c>
      <c r="L965" s="50" t="s">
        <v>80</v>
      </c>
    </row>
    <row r="966" spans="2:12">
      <c r="B966" s="50" t="s">
        <v>345</v>
      </c>
      <c r="C966" s="50" t="s">
        <v>56</v>
      </c>
      <c r="D966" s="50" t="s">
        <v>27</v>
      </c>
      <c r="E966" s="50">
        <v>50038600</v>
      </c>
      <c r="F966" s="50" t="s">
        <v>100</v>
      </c>
      <c r="G966" s="50">
        <v>1</v>
      </c>
      <c r="H966" s="50" t="s">
        <v>2</v>
      </c>
      <c r="I966" s="50" t="s">
        <v>293</v>
      </c>
      <c r="J966" s="51">
        <v>46083</v>
      </c>
      <c r="K966" s="50" t="s">
        <v>1</v>
      </c>
      <c r="L966" s="50" t="s">
        <v>80</v>
      </c>
    </row>
    <row r="967" spans="2:12">
      <c r="B967" s="50" t="s">
        <v>420</v>
      </c>
      <c r="C967" s="50" t="s">
        <v>26</v>
      </c>
      <c r="D967" s="50" t="s">
        <v>41</v>
      </c>
      <c r="E967" s="50">
        <v>50001740</v>
      </c>
      <c r="F967" s="50" t="s">
        <v>294</v>
      </c>
      <c r="G967" s="50">
        <v>1</v>
      </c>
      <c r="H967" s="50" t="s">
        <v>2</v>
      </c>
      <c r="I967" s="50" t="s">
        <v>293</v>
      </c>
      <c r="J967" s="51">
        <v>46083</v>
      </c>
      <c r="K967" s="50" t="s">
        <v>1</v>
      </c>
      <c r="L967" s="50" t="s">
        <v>80</v>
      </c>
    </row>
    <row r="968" spans="2:12">
      <c r="B968" s="50" t="s">
        <v>469</v>
      </c>
      <c r="C968" s="50" t="s">
        <v>26</v>
      </c>
      <c r="D968" s="50" t="s">
        <v>39</v>
      </c>
      <c r="E968" s="50">
        <v>50037924</v>
      </c>
      <c r="F968" s="50" t="s">
        <v>261</v>
      </c>
      <c r="G968" s="50">
        <v>1</v>
      </c>
      <c r="H968" s="50" t="s">
        <v>2</v>
      </c>
      <c r="I968" s="50" t="s">
        <v>293</v>
      </c>
      <c r="J968" s="51">
        <v>46083</v>
      </c>
      <c r="K968" s="50" t="s">
        <v>3</v>
      </c>
      <c r="L968" s="50" t="s">
        <v>80</v>
      </c>
    </row>
    <row r="969" spans="2:12">
      <c r="B969" s="50" t="s">
        <v>469</v>
      </c>
      <c r="C969" s="50" t="s">
        <v>26</v>
      </c>
      <c r="D969" s="50" t="s">
        <v>39</v>
      </c>
      <c r="E969" s="50">
        <v>50041089</v>
      </c>
      <c r="F969" s="50" t="s">
        <v>254</v>
      </c>
      <c r="G969" s="50">
        <v>1</v>
      </c>
      <c r="H969" s="50" t="s">
        <v>2</v>
      </c>
      <c r="I969" s="50" t="s">
        <v>293</v>
      </c>
      <c r="J969" s="51">
        <v>46083</v>
      </c>
      <c r="K969" s="50" t="s">
        <v>1</v>
      </c>
      <c r="L969" s="50" t="s">
        <v>80</v>
      </c>
    </row>
    <row r="970" spans="2:12">
      <c r="B970" s="50" t="s">
        <v>385</v>
      </c>
      <c r="C970" s="50" t="s">
        <v>56</v>
      </c>
      <c r="D970" s="50" t="s">
        <v>41</v>
      </c>
      <c r="E970" s="50">
        <v>50036298</v>
      </c>
      <c r="F970" s="50" t="s">
        <v>102</v>
      </c>
      <c r="G970" s="50">
        <v>1</v>
      </c>
      <c r="H970" s="50" t="s">
        <v>2</v>
      </c>
      <c r="I970" s="50" t="s">
        <v>293</v>
      </c>
      <c r="J970" s="51">
        <v>46083</v>
      </c>
      <c r="K970" s="50" t="s">
        <v>3</v>
      </c>
      <c r="L970" s="50" t="s">
        <v>80</v>
      </c>
    </row>
    <row r="971" spans="2:12">
      <c r="B971" s="50" t="s">
        <v>345</v>
      </c>
      <c r="C971" s="50" t="s">
        <v>56</v>
      </c>
      <c r="D971" s="50" t="s">
        <v>27</v>
      </c>
      <c r="E971" s="50">
        <v>50038600</v>
      </c>
      <c r="F971" s="50" t="s">
        <v>100</v>
      </c>
      <c r="G971" s="50">
        <v>1</v>
      </c>
      <c r="H971" s="50" t="s">
        <v>2</v>
      </c>
      <c r="I971" s="50" t="s">
        <v>293</v>
      </c>
      <c r="J971" s="51">
        <v>46083</v>
      </c>
      <c r="K971" s="50" t="s">
        <v>3</v>
      </c>
      <c r="L971" s="50" t="s">
        <v>80</v>
      </c>
    </row>
    <row r="972" spans="2:12">
      <c r="B972" s="50" t="s">
        <v>466</v>
      </c>
      <c r="C972" s="50" t="s">
        <v>62</v>
      </c>
      <c r="D972" s="50" t="s">
        <v>27</v>
      </c>
      <c r="E972" s="50">
        <v>50043520</v>
      </c>
      <c r="F972" s="50" t="s">
        <v>266</v>
      </c>
      <c r="G972" s="50">
        <v>1</v>
      </c>
      <c r="H972" s="50" t="s">
        <v>2</v>
      </c>
      <c r="I972" s="50" t="s">
        <v>293</v>
      </c>
      <c r="J972" s="51">
        <v>46083</v>
      </c>
      <c r="K972" s="50" t="s">
        <v>3</v>
      </c>
      <c r="L972" s="50" t="s">
        <v>80</v>
      </c>
    </row>
    <row r="973" spans="2:12">
      <c r="B973" s="50" t="s">
        <v>469</v>
      </c>
      <c r="C973" s="50" t="s">
        <v>26</v>
      </c>
      <c r="D973" s="50" t="s">
        <v>39</v>
      </c>
      <c r="E973" s="50">
        <v>50041089</v>
      </c>
      <c r="F973" s="50" t="s">
        <v>254</v>
      </c>
      <c r="G973" s="50">
        <v>1</v>
      </c>
      <c r="H973" s="50" t="s">
        <v>2</v>
      </c>
      <c r="I973" s="50" t="s">
        <v>293</v>
      </c>
      <c r="J973" s="51">
        <v>46083</v>
      </c>
      <c r="K973" s="50" t="s">
        <v>3</v>
      </c>
      <c r="L973" s="50" t="s">
        <v>80</v>
      </c>
    </row>
    <row r="974" spans="2:12">
      <c r="B974" s="50" t="s">
        <v>420</v>
      </c>
      <c r="C974" s="50" t="s">
        <v>26</v>
      </c>
      <c r="D974" s="50" t="s">
        <v>41</v>
      </c>
      <c r="E974" s="50">
        <v>50001740</v>
      </c>
      <c r="F974" s="50" t="s">
        <v>294</v>
      </c>
      <c r="G974" s="50">
        <v>1</v>
      </c>
      <c r="H974" s="50" t="s">
        <v>2</v>
      </c>
      <c r="I974" s="50" t="s">
        <v>293</v>
      </c>
      <c r="J974" s="51">
        <v>46083</v>
      </c>
      <c r="K974" s="50" t="s">
        <v>3</v>
      </c>
      <c r="L974" s="50" t="s">
        <v>80</v>
      </c>
    </row>
    <row r="975" spans="2:12">
      <c r="B975" s="50" t="s">
        <v>273</v>
      </c>
      <c r="C975" s="50" t="s">
        <v>274</v>
      </c>
      <c r="D975" s="50" t="s">
        <v>27</v>
      </c>
      <c r="E975" s="50">
        <v>50042002</v>
      </c>
      <c r="F975" s="50" t="s">
        <v>299</v>
      </c>
      <c r="G975" s="50">
        <v>1</v>
      </c>
      <c r="H975" s="50" t="s">
        <v>4</v>
      </c>
      <c r="I975" s="50" t="s">
        <v>290</v>
      </c>
      <c r="J975" s="51">
        <v>46083</v>
      </c>
      <c r="K975" s="50" t="s">
        <v>3</v>
      </c>
      <c r="L975" s="50" t="s">
        <v>80</v>
      </c>
    </row>
    <row r="976" spans="2:12">
      <c r="B976" s="50" t="s">
        <v>273</v>
      </c>
      <c r="C976" s="50" t="s">
        <v>274</v>
      </c>
      <c r="D976" s="50" t="s">
        <v>27</v>
      </c>
      <c r="E976" s="50">
        <v>50042002</v>
      </c>
      <c r="F976" s="50" t="s">
        <v>299</v>
      </c>
      <c r="G976" s="50">
        <v>1</v>
      </c>
      <c r="H976" s="50" t="s">
        <v>2</v>
      </c>
      <c r="I976" s="50" t="s">
        <v>288</v>
      </c>
      <c r="J976" s="51">
        <v>46080</v>
      </c>
      <c r="K976" s="50" t="s">
        <v>1</v>
      </c>
      <c r="L976" s="50" t="s">
        <v>80</v>
      </c>
    </row>
    <row r="977" spans="2:12">
      <c r="B977" s="50" t="s">
        <v>278</v>
      </c>
      <c r="C977" s="50" t="s">
        <v>62</v>
      </c>
      <c r="D977" s="50" t="s">
        <v>27</v>
      </c>
      <c r="E977" s="50">
        <v>50040133</v>
      </c>
      <c r="F977" s="50" t="s">
        <v>92</v>
      </c>
      <c r="G977" s="50">
        <v>1</v>
      </c>
      <c r="H977" s="50" t="s">
        <v>2</v>
      </c>
      <c r="I977" s="50" t="s">
        <v>293</v>
      </c>
      <c r="J977" s="51">
        <v>46080</v>
      </c>
      <c r="K977" s="50" t="s">
        <v>1</v>
      </c>
      <c r="L977" s="50" t="s">
        <v>80</v>
      </c>
    </row>
    <row r="978" spans="2:12">
      <c r="B978" s="50" t="s">
        <v>345</v>
      </c>
      <c r="C978" s="50" t="s">
        <v>62</v>
      </c>
      <c r="D978" s="50" t="s">
        <v>27</v>
      </c>
      <c r="E978" s="50">
        <v>50038517</v>
      </c>
      <c r="F978" s="50" t="s">
        <v>181</v>
      </c>
      <c r="G978" s="50">
        <v>1</v>
      </c>
      <c r="H978" s="50" t="s">
        <v>2</v>
      </c>
      <c r="I978" s="50" t="s">
        <v>293</v>
      </c>
      <c r="J978" s="51">
        <v>46080</v>
      </c>
      <c r="K978" s="50" t="s">
        <v>1</v>
      </c>
      <c r="L978" s="50" t="s">
        <v>80</v>
      </c>
    </row>
    <row r="979" spans="2:12">
      <c r="B979" s="50" t="s">
        <v>345</v>
      </c>
      <c r="C979" s="50" t="s">
        <v>62</v>
      </c>
      <c r="D979" s="50" t="s">
        <v>27</v>
      </c>
      <c r="E979" s="50">
        <v>50041195</v>
      </c>
      <c r="F979" s="50" t="s">
        <v>206</v>
      </c>
      <c r="G979" s="50">
        <v>1</v>
      </c>
      <c r="H979" s="50" t="s">
        <v>2</v>
      </c>
      <c r="I979" s="50" t="s">
        <v>293</v>
      </c>
      <c r="J979" s="51">
        <v>46080</v>
      </c>
      <c r="K979" s="50" t="s">
        <v>1</v>
      </c>
      <c r="L979" s="50" t="s">
        <v>80</v>
      </c>
    </row>
    <row r="980" spans="2:12">
      <c r="B980" s="50" t="s">
        <v>439</v>
      </c>
      <c r="C980" s="50" t="s">
        <v>62</v>
      </c>
      <c r="D980" s="50" t="s">
        <v>27</v>
      </c>
      <c r="E980" s="50">
        <v>50028220</v>
      </c>
      <c r="F980" s="50" t="s">
        <v>242</v>
      </c>
      <c r="G980" s="50">
        <v>1</v>
      </c>
      <c r="H980" s="50" t="s">
        <v>2</v>
      </c>
      <c r="I980" s="50" t="s">
        <v>293</v>
      </c>
      <c r="J980" s="51">
        <v>46080</v>
      </c>
      <c r="K980" s="50" t="s">
        <v>1</v>
      </c>
      <c r="L980" s="50" t="s">
        <v>80</v>
      </c>
    </row>
    <row r="981" spans="2:12">
      <c r="B981" s="50" t="s">
        <v>394</v>
      </c>
      <c r="C981" s="50" t="s">
        <v>51</v>
      </c>
      <c r="D981" s="50" t="s">
        <v>27</v>
      </c>
      <c r="E981" s="50">
        <v>50022878</v>
      </c>
      <c r="F981" s="50" t="s">
        <v>296</v>
      </c>
      <c r="G981" s="50">
        <v>1</v>
      </c>
      <c r="H981" s="50" t="s">
        <v>2</v>
      </c>
      <c r="I981" s="50" t="s">
        <v>293</v>
      </c>
      <c r="J981" s="51">
        <v>46080</v>
      </c>
      <c r="K981" s="50" t="s">
        <v>1</v>
      </c>
      <c r="L981" s="50" t="s">
        <v>80</v>
      </c>
    </row>
    <row r="982" spans="2:12">
      <c r="B982" s="50" t="s">
        <v>469</v>
      </c>
      <c r="C982" s="50" t="s">
        <v>26</v>
      </c>
      <c r="D982" s="50" t="s">
        <v>39</v>
      </c>
      <c r="E982" s="50">
        <v>50038549</v>
      </c>
      <c r="F982" s="50" t="s">
        <v>173</v>
      </c>
      <c r="G982" s="50">
        <v>1</v>
      </c>
      <c r="H982" s="50" t="s">
        <v>2</v>
      </c>
      <c r="I982" s="50" t="s">
        <v>293</v>
      </c>
      <c r="J982" s="51">
        <v>46080</v>
      </c>
      <c r="K982" s="50" t="s">
        <v>3</v>
      </c>
      <c r="L982" s="50" t="s">
        <v>80</v>
      </c>
    </row>
    <row r="983" spans="2:12">
      <c r="B983" s="50" t="s">
        <v>394</v>
      </c>
      <c r="C983" s="50" t="s">
        <v>51</v>
      </c>
      <c r="D983" s="50" t="s">
        <v>27</v>
      </c>
      <c r="E983" s="50">
        <v>50022878</v>
      </c>
      <c r="F983" s="50" t="s">
        <v>296</v>
      </c>
      <c r="G983" s="50">
        <v>1</v>
      </c>
      <c r="H983" s="50" t="s">
        <v>2</v>
      </c>
      <c r="I983" s="50" t="s">
        <v>293</v>
      </c>
      <c r="J983" s="51">
        <v>46080</v>
      </c>
      <c r="K983" s="50" t="s">
        <v>3</v>
      </c>
      <c r="L983" s="50" t="s">
        <v>80</v>
      </c>
    </row>
    <row r="984" spans="2:12">
      <c r="B984" s="50" t="s">
        <v>394</v>
      </c>
      <c r="C984" s="50" t="s">
        <v>51</v>
      </c>
      <c r="D984" s="50" t="s">
        <v>27</v>
      </c>
      <c r="E984" s="50">
        <v>50043471</v>
      </c>
      <c r="F984" s="50" t="s">
        <v>257</v>
      </c>
      <c r="G984" s="50">
        <v>1</v>
      </c>
      <c r="H984" s="50" t="s">
        <v>2</v>
      </c>
      <c r="I984" s="50" t="s">
        <v>293</v>
      </c>
      <c r="J984" s="51">
        <v>46080</v>
      </c>
      <c r="K984" s="50" t="s">
        <v>1</v>
      </c>
      <c r="L984" s="50" t="s">
        <v>80</v>
      </c>
    </row>
    <row r="985" spans="2:12">
      <c r="B985" s="50" t="s">
        <v>431</v>
      </c>
      <c r="C985" s="50" t="s">
        <v>51</v>
      </c>
      <c r="D985" s="50" t="s">
        <v>39</v>
      </c>
      <c r="E985" s="50">
        <v>50030486</v>
      </c>
      <c r="F985" s="50" t="s">
        <v>153</v>
      </c>
      <c r="G985" s="50">
        <v>1</v>
      </c>
      <c r="H985" s="50" t="s">
        <v>2</v>
      </c>
      <c r="I985" s="50" t="s">
        <v>293</v>
      </c>
      <c r="J985" s="51">
        <v>46080</v>
      </c>
      <c r="K985" s="50" t="s">
        <v>3</v>
      </c>
      <c r="L985" s="50" t="s">
        <v>80</v>
      </c>
    </row>
    <row r="986" spans="2:12">
      <c r="B986" s="50" t="s">
        <v>468</v>
      </c>
      <c r="C986" s="50" t="s">
        <v>56</v>
      </c>
      <c r="D986" s="50" t="s">
        <v>41</v>
      </c>
      <c r="E986" s="50">
        <v>50046617</v>
      </c>
      <c r="F986" s="50" t="s">
        <v>365</v>
      </c>
      <c r="G986" s="50">
        <v>1</v>
      </c>
      <c r="H986" s="50" t="s">
        <v>2</v>
      </c>
      <c r="I986" s="50" t="s">
        <v>293</v>
      </c>
      <c r="J986" s="51">
        <v>46080</v>
      </c>
      <c r="K986" s="50" t="s">
        <v>1</v>
      </c>
      <c r="L986" s="50" t="s">
        <v>80</v>
      </c>
    </row>
    <row r="987" spans="2:12">
      <c r="B987" s="50" t="s">
        <v>316</v>
      </c>
      <c r="C987" s="50" t="s">
        <v>56</v>
      </c>
      <c r="D987" s="50" t="s">
        <v>27</v>
      </c>
      <c r="E987" s="50">
        <v>50046617</v>
      </c>
      <c r="F987" s="50" t="s">
        <v>365</v>
      </c>
      <c r="G987" s="50">
        <v>1</v>
      </c>
      <c r="H987" s="50" t="s">
        <v>2</v>
      </c>
      <c r="I987" s="50" t="s">
        <v>293</v>
      </c>
      <c r="J987" s="51">
        <v>46080</v>
      </c>
      <c r="K987" s="50" t="s">
        <v>1</v>
      </c>
      <c r="L987" s="50" t="s">
        <v>80</v>
      </c>
    </row>
    <row r="988" spans="2:12">
      <c r="B988" s="50" t="s">
        <v>394</v>
      </c>
      <c r="C988" s="50" t="s">
        <v>51</v>
      </c>
      <c r="D988" s="50" t="s">
        <v>27</v>
      </c>
      <c r="E988" s="50">
        <v>50010031</v>
      </c>
      <c r="F988" s="50" t="s">
        <v>89</v>
      </c>
      <c r="G988" s="50">
        <v>1</v>
      </c>
      <c r="H988" s="50" t="s">
        <v>2</v>
      </c>
      <c r="I988" s="50" t="s">
        <v>293</v>
      </c>
      <c r="J988" s="51">
        <v>46080</v>
      </c>
      <c r="K988" s="50" t="s">
        <v>1</v>
      </c>
      <c r="L988" s="50" t="s">
        <v>80</v>
      </c>
    </row>
    <row r="989" spans="2:12">
      <c r="B989" s="50" t="s">
        <v>439</v>
      </c>
      <c r="C989" s="50" t="s">
        <v>62</v>
      </c>
      <c r="D989" s="50" t="s">
        <v>27</v>
      </c>
      <c r="E989" s="50">
        <v>50028220</v>
      </c>
      <c r="F989" s="50" t="s">
        <v>242</v>
      </c>
      <c r="G989" s="50">
        <v>1</v>
      </c>
      <c r="H989" s="50" t="s">
        <v>2</v>
      </c>
      <c r="I989" s="50" t="s">
        <v>293</v>
      </c>
      <c r="J989" s="51">
        <v>46080</v>
      </c>
      <c r="K989" s="50" t="s">
        <v>3</v>
      </c>
      <c r="L989" s="50" t="s">
        <v>80</v>
      </c>
    </row>
    <row r="990" spans="2:12">
      <c r="B990" s="50" t="s">
        <v>385</v>
      </c>
      <c r="C990" s="50" t="s">
        <v>56</v>
      </c>
      <c r="D990" s="50" t="s">
        <v>41</v>
      </c>
      <c r="E990" s="50">
        <v>50036298</v>
      </c>
      <c r="F990" s="50" t="s">
        <v>102</v>
      </c>
      <c r="G990" s="50">
        <v>1</v>
      </c>
      <c r="H990" s="50" t="s">
        <v>2</v>
      </c>
      <c r="I990" s="50" t="s">
        <v>293</v>
      </c>
      <c r="J990" s="51">
        <v>46080</v>
      </c>
      <c r="K990" s="50" t="s">
        <v>1</v>
      </c>
      <c r="L990" s="50" t="s">
        <v>80</v>
      </c>
    </row>
    <row r="991" spans="2:12">
      <c r="B991" s="50" t="s">
        <v>278</v>
      </c>
      <c r="C991" s="50" t="s">
        <v>62</v>
      </c>
      <c r="D991" s="50" t="s">
        <v>27</v>
      </c>
      <c r="E991" s="50">
        <v>50038662</v>
      </c>
      <c r="F991" s="50" t="s">
        <v>193</v>
      </c>
      <c r="G991" s="50">
        <v>1</v>
      </c>
      <c r="H991" s="50" t="s">
        <v>2</v>
      </c>
      <c r="I991" s="50" t="s">
        <v>293</v>
      </c>
      <c r="J991" s="51">
        <v>46080</v>
      </c>
      <c r="K991" s="50" t="s">
        <v>1</v>
      </c>
      <c r="L991" s="50" t="s">
        <v>80</v>
      </c>
    </row>
    <row r="992" spans="2:12">
      <c r="B992" s="50" t="s">
        <v>481</v>
      </c>
      <c r="C992" s="50" t="s">
        <v>26</v>
      </c>
      <c r="D992" s="50" t="s">
        <v>27</v>
      </c>
      <c r="E992" s="50">
        <v>50022878</v>
      </c>
      <c r="F992" s="50" t="s">
        <v>296</v>
      </c>
      <c r="G992" s="50">
        <v>1</v>
      </c>
      <c r="H992" s="50" t="s">
        <v>2</v>
      </c>
      <c r="I992" s="50" t="s">
        <v>293</v>
      </c>
      <c r="J992" s="51">
        <v>46080</v>
      </c>
      <c r="K992" s="50" t="s">
        <v>1</v>
      </c>
      <c r="L992" s="50" t="s">
        <v>80</v>
      </c>
    </row>
    <row r="993" spans="2:12">
      <c r="B993" s="50" t="s">
        <v>472</v>
      </c>
      <c r="C993" s="50" t="s">
        <v>51</v>
      </c>
      <c r="D993" s="50" t="s">
        <v>41</v>
      </c>
      <c r="E993" s="50">
        <v>50037892</v>
      </c>
      <c r="F993" s="50" t="s">
        <v>178</v>
      </c>
      <c r="G993" s="50">
        <v>1</v>
      </c>
      <c r="H993" s="50" t="s">
        <v>2</v>
      </c>
      <c r="I993" s="50" t="s">
        <v>293</v>
      </c>
      <c r="J993" s="51">
        <v>46080</v>
      </c>
      <c r="K993" s="50" t="s">
        <v>1</v>
      </c>
      <c r="L993" s="50" t="s">
        <v>80</v>
      </c>
    </row>
    <row r="994" spans="2:12">
      <c r="B994" s="50" t="s">
        <v>437</v>
      </c>
      <c r="C994" s="50" t="s">
        <v>51</v>
      </c>
      <c r="D994" s="50" t="s">
        <v>41</v>
      </c>
      <c r="E994" s="50">
        <v>50003297</v>
      </c>
      <c r="F994" s="50" t="s">
        <v>158</v>
      </c>
      <c r="G994" s="50">
        <v>1</v>
      </c>
      <c r="H994" s="50" t="s">
        <v>2</v>
      </c>
      <c r="I994" s="50" t="s">
        <v>293</v>
      </c>
      <c r="J994" s="51">
        <v>46080</v>
      </c>
      <c r="K994" s="50" t="s">
        <v>1</v>
      </c>
      <c r="L994" s="50" t="s">
        <v>80</v>
      </c>
    </row>
    <row r="995" spans="2:12">
      <c r="B995" s="50" t="s">
        <v>437</v>
      </c>
      <c r="C995" s="50" t="s">
        <v>51</v>
      </c>
      <c r="D995" s="50" t="s">
        <v>41</v>
      </c>
      <c r="E995" s="50">
        <v>50037892</v>
      </c>
      <c r="F995" s="50" t="s">
        <v>178</v>
      </c>
      <c r="G995" s="50">
        <v>1</v>
      </c>
      <c r="H995" s="50" t="s">
        <v>2</v>
      </c>
      <c r="I995" s="50" t="s">
        <v>293</v>
      </c>
      <c r="J995" s="51">
        <v>46080</v>
      </c>
      <c r="K995" s="50" t="s">
        <v>1</v>
      </c>
      <c r="L995" s="50" t="s">
        <v>80</v>
      </c>
    </row>
    <row r="996" spans="2:12">
      <c r="B996" s="50" t="s">
        <v>468</v>
      </c>
      <c r="C996" s="50" t="s">
        <v>56</v>
      </c>
      <c r="D996" s="50" t="s">
        <v>41</v>
      </c>
      <c r="E996" s="50">
        <v>50046617</v>
      </c>
      <c r="F996" s="50" t="s">
        <v>365</v>
      </c>
      <c r="G996" s="50">
        <v>1</v>
      </c>
      <c r="H996" s="50" t="s">
        <v>2</v>
      </c>
      <c r="I996" s="50" t="s">
        <v>297</v>
      </c>
      <c r="J996" s="51">
        <v>46080</v>
      </c>
      <c r="K996" s="50" t="s">
        <v>3</v>
      </c>
      <c r="L996" s="50" t="s">
        <v>80</v>
      </c>
    </row>
    <row r="997" spans="2:12">
      <c r="B997" s="50" t="s">
        <v>481</v>
      </c>
      <c r="C997" s="50" t="s">
        <v>26</v>
      </c>
      <c r="D997" s="50" t="s">
        <v>27</v>
      </c>
      <c r="E997" s="50">
        <v>50022878</v>
      </c>
      <c r="F997" s="50" t="s">
        <v>296</v>
      </c>
      <c r="G997" s="50">
        <v>1</v>
      </c>
      <c r="H997" s="50" t="s">
        <v>2</v>
      </c>
      <c r="I997" s="50" t="s">
        <v>288</v>
      </c>
      <c r="J997" s="51">
        <v>46080</v>
      </c>
      <c r="K997" s="50" t="s">
        <v>3</v>
      </c>
      <c r="L997" s="50" t="s">
        <v>80</v>
      </c>
    </row>
    <row r="998" spans="2:12">
      <c r="B998" s="50" t="s">
        <v>396</v>
      </c>
      <c r="C998" s="50" t="s">
        <v>26</v>
      </c>
      <c r="D998" s="50" t="s">
        <v>27</v>
      </c>
      <c r="E998" s="50">
        <v>50032781</v>
      </c>
      <c r="F998" s="50" t="s">
        <v>237</v>
      </c>
      <c r="G998" s="50">
        <v>1</v>
      </c>
      <c r="H998" s="50" t="s">
        <v>2</v>
      </c>
      <c r="I998" s="50" t="s">
        <v>288</v>
      </c>
      <c r="J998" s="51">
        <v>46080</v>
      </c>
      <c r="K998" s="50" t="s">
        <v>1</v>
      </c>
      <c r="L998" s="50" t="s">
        <v>80</v>
      </c>
    </row>
    <row r="999" spans="2:12">
      <c r="B999" s="50" t="s">
        <v>316</v>
      </c>
      <c r="C999" s="50" t="s">
        <v>56</v>
      </c>
      <c r="D999" s="50" t="s">
        <v>27</v>
      </c>
      <c r="E999" s="50">
        <v>50046617</v>
      </c>
      <c r="F999" s="50" t="s">
        <v>365</v>
      </c>
      <c r="G999" s="50">
        <v>1</v>
      </c>
      <c r="H999" s="50" t="s">
        <v>2</v>
      </c>
      <c r="I999" s="50" t="s">
        <v>288</v>
      </c>
      <c r="J999" s="51">
        <v>46080</v>
      </c>
      <c r="K999" s="50" t="s">
        <v>3</v>
      </c>
      <c r="L999" s="50" t="s">
        <v>80</v>
      </c>
    </row>
    <row r="1000" spans="2:12">
      <c r="B1000" s="50" t="s">
        <v>437</v>
      </c>
      <c r="C1000" s="50" t="s">
        <v>51</v>
      </c>
      <c r="D1000" s="50" t="s">
        <v>41</v>
      </c>
      <c r="E1000" s="50">
        <v>50003297</v>
      </c>
      <c r="F1000" s="50" t="s">
        <v>158</v>
      </c>
      <c r="G1000" s="50">
        <v>1</v>
      </c>
      <c r="H1000" s="50" t="s">
        <v>2</v>
      </c>
      <c r="I1000" s="50" t="s">
        <v>288</v>
      </c>
      <c r="J1000" s="51">
        <v>46080</v>
      </c>
      <c r="K1000" s="50" t="s">
        <v>3</v>
      </c>
      <c r="L1000" s="50" t="s">
        <v>80</v>
      </c>
    </row>
    <row r="1001" spans="2:12">
      <c r="B1001" s="50" t="s">
        <v>394</v>
      </c>
      <c r="C1001" s="50" t="s">
        <v>51</v>
      </c>
      <c r="D1001" s="50" t="s">
        <v>27</v>
      </c>
      <c r="E1001" s="50">
        <v>50043471</v>
      </c>
      <c r="F1001" s="50" t="s">
        <v>257</v>
      </c>
      <c r="G1001" s="50">
        <v>1</v>
      </c>
      <c r="H1001" s="50" t="s">
        <v>2</v>
      </c>
      <c r="I1001" s="50" t="s">
        <v>288</v>
      </c>
      <c r="J1001" s="51">
        <v>46080</v>
      </c>
      <c r="K1001" s="50" t="s">
        <v>3</v>
      </c>
      <c r="L1001" s="50" t="s">
        <v>80</v>
      </c>
    </row>
    <row r="1002" spans="2:12">
      <c r="B1002" s="50" t="s">
        <v>394</v>
      </c>
      <c r="C1002" s="50" t="s">
        <v>51</v>
      </c>
      <c r="D1002" s="50" t="s">
        <v>27</v>
      </c>
      <c r="E1002" s="50">
        <v>50010031</v>
      </c>
      <c r="F1002" s="50" t="s">
        <v>89</v>
      </c>
      <c r="G1002" s="50">
        <v>1</v>
      </c>
      <c r="H1002" s="50" t="s">
        <v>2</v>
      </c>
      <c r="I1002" s="50" t="s">
        <v>288</v>
      </c>
      <c r="J1002" s="51">
        <v>46080</v>
      </c>
      <c r="K1002" s="50" t="s">
        <v>3</v>
      </c>
      <c r="L1002" s="50" t="s">
        <v>80</v>
      </c>
    </row>
    <row r="1003" spans="2:12">
      <c r="B1003" s="50" t="s">
        <v>446</v>
      </c>
      <c r="C1003" s="50" t="s">
        <v>56</v>
      </c>
      <c r="D1003" s="50" t="s">
        <v>27</v>
      </c>
      <c r="E1003" s="50">
        <v>50004486</v>
      </c>
      <c r="F1003" s="50" t="s">
        <v>221</v>
      </c>
      <c r="G1003" s="50">
        <v>1</v>
      </c>
      <c r="H1003" s="50" t="s">
        <v>2</v>
      </c>
      <c r="I1003" s="50" t="s">
        <v>288</v>
      </c>
      <c r="J1003" s="51">
        <v>46080</v>
      </c>
      <c r="K1003" s="50" t="s">
        <v>3</v>
      </c>
      <c r="L1003" s="50" t="s">
        <v>80</v>
      </c>
    </row>
    <row r="1004" spans="2:12">
      <c r="B1004" s="50" t="s">
        <v>278</v>
      </c>
      <c r="C1004" s="50" t="s">
        <v>62</v>
      </c>
      <c r="D1004" s="50" t="s">
        <v>27</v>
      </c>
      <c r="E1004" s="50">
        <v>50040133</v>
      </c>
      <c r="F1004" s="50" t="s">
        <v>92</v>
      </c>
      <c r="G1004" s="50">
        <v>1</v>
      </c>
      <c r="H1004" s="50" t="s">
        <v>2</v>
      </c>
      <c r="I1004" s="50" t="s">
        <v>288</v>
      </c>
      <c r="J1004" s="51">
        <v>46080</v>
      </c>
      <c r="K1004" s="50" t="s">
        <v>3</v>
      </c>
      <c r="L1004" s="50" t="s">
        <v>80</v>
      </c>
    </row>
    <row r="1005" spans="2:12">
      <c r="B1005" s="50" t="s">
        <v>278</v>
      </c>
      <c r="C1005" s="50" t="s">
        <v>62</v>
      </c>
      <c r="D1005" s="50" t="s">
        <v>27</v>
      </c>
      <c r="E1005" s="50">
        <v>50038662</v>
      </c>
      <c r="F1005" s="50" t="s">
        <v>193</v>
      </c>
      <c r="G1005" s="50">
        <v>1</v>
      </c>
      <c r="H1005" s="50" t="s">
        <v>2</v>
      </c>
      <c r="I1005" s="50" t="s">
        <v>288</v>
      </c>
      <c r="J1005" s="51">
        <v>46080</v>
      </c>
      <c r="K1005" s="50" t="s">
        <v>3</v>
      </c>
      <c r="L1005" s="50" t="s">
        <v>80</v>
      </c>
    </row>
    <row r="1006" spans="2:12">
      <c r="B1006" s="50" t="s">
        <v>278</v>
      </c>
      <c r="C1006" s="50" t="s">
        <v>62</v>
      </c>
      <c r="D1006" s="50" t="s">
        <v>27</v>
      </c>
      <c r="E1006" s="50">
        <v>50041194</v>
      </c>
      <c r="F1006" s="50" t="s">
        <v>249</v>
      </c>
      <c r="G1006" s="50">
        <v>1</v>
      </c>
      <c r="H1006" s="50" t="s">
        <v>2</v>
      </c>
      <c r="I1006" s="50" t="s">
        <v>288</v>
      </c>
      <c r="J1006" s="51">
        <v>46080</v>
      </c>
      <c r="K1006" s="50" t="s">
        <v>3</v>
      </c>
      <c r="L1006" s="50" t="s">
        <v>80</v>
      </c>
    </row>
    <row r="1007" spans="2:12">
      <c r="B1007" s="50" t="s">
        <v>446</v>
      </c>
      <c r="C1007" s="50" t="s">
        <v>56</v>
      </c>
      <c r="D1007" s="50" t="s">
        <v>27</v>
      </c>
      <c r="E1007" s="50">
        <v>50004486</v>
      </c>
      <c r="F1007" s="50" t="s">
        <v>221</v>
      </c>
      <c r="G1007" s="50">
        <v>1</v>
      </c>
      <c r="H1007" s="50" t="s">
        <v>2</v>
      </c>
      <c r="I1007" s="50" t="s">
        <v>288</v>
      </c>
      <c r="J1007" s="51">
        <v>46080</v>
      </c>
      <c r="K1007" s="50" t="s">
        <v>1</v>
      </c>
      <c r="L1007" s="50" t="s">
        <v>80</v>
      </c>
    </row>
    <row r="1008" spans="2:12">
      <c r="B1008" s="50" t="s">
        <v>446</v>
      </c>
      <c r="C1008" s="50" t="s">
        <v>56</v>
      </c>
      <c r="D1008" s="50" t="s">
        <v>27</v>
      </c>
      <c r="E1008" s="50">
        <v>50004486</v>
      </c>
      <c r="F1008" s="50" t="s">
        <v>221</v>
      </c>
      <c r="G1008" s="50">
        <v>1</v>
      </c>
      <c r="H1008" s="50" t="s">
        <v>2</v>
      </c>
      <c r="I1008" s="50" t="s">
        <v>288</v>
      </c>
      <c r="J1008" s="51">
        <v>46080</v>
      </c>
      <c r="K1008" s="50" t="s">
        <v>3</v>
      </c>
      <c r="L1008" s="50" t="s">
        <v>80</v>
      </c>
    </row>
    <row r="1009" spans="2:12">
      <c r="B1009" s="50" t="s">
        <v>396</v>
      </c>
      <c r="C1009" s="50" t="s">
        <v>26</v>
      </c>
      <c r="D1009" s="50" t="s">
        <v>27</v>
      </c>
      <c r="E1009" s="50">
        <v>50032781</v>
      </c>
      <c r="F1009" s="50" t="s">
        <v>237</v>
      </c>
      <c r="G1009" s="50">
        <v>1</v>
      </c>
      <c r="H1009" s="50" t="s">
        <v>2</v>
      </c>
      <c r="I1009" s="50" t="s">
        <v>288</v>
      </c>
      <c r="J1009" s="51">
        <v>46080</v>
      </c>
      <c r="K1009" s="50" t="s">
        <v>3</v>
      </c>
      <c r="L1009" s="50" t="s">
        <v>80</v>
      </c>
    </row>
    <row r="1010" spans="2:12">
      <c r="B1010" s="50" t="s">
        <v>396</v>
      </c>
      <c r="C1010" s="50" t="s">
        <v>26</v>
      </c>
      <c r="D1010" s="50" t="s">
        <v>27</v>
      </c>
      <c r="E1010" s="50">
        <v>50030486</v>
      </c>
      <c r="F1010" s="50" t="s">
        <v>153</v>
      </c>
      <c r="G1010" s="50">
        <v>1</v>
      </c>
      <c r="H1010" s="50" t="s">
        <v>2</v>
      </c>
      <c r="I1010" s="50" t="s">
        <v>288</v>
      </c>
      <c r="J1010" s="51">
        <v>46080</v>
      </c>
      <c r="K1010" s="50" t="s">
        <v>3</v>
      </c>
      <c r="L1010" s="50" t="s">
        <v>80</v>
      </c>
    </row>
    <row r="1011" spans="2:12">
      <c r="B1011" s="50" t="s">
        <v>437</v>
      </c>
      <c r="C1011" s="50" t="s">
        <v>51</v>
      </c>
      <c r="D1011" s="50" t="s">
        <v>41</v>
      </c>
      <c r="E1011" s="50">
        <v>50037892</v>
      </c>
      <c r="F1011" s="50" t="s">
        <v>178</v>
      </c>
      <c r="G1011" s="50">
        <v>1</v>
      </c>
      <c r="H1011" s="50" t="s">
        <v>2</v>
      </c>
      <c r="I1011" s="50" t="s">
        <v>288</v>
      </c>
      <c r="J1011" s="51">
        <v>46080</v>
      </c>
      <c r="K1011" s="50" t="s">
        <v>3</v>
      </c>
      <c r="L1011" s="50" t="s">
        <v>80</v>
      </c>
    </row>
    <row r="1012" spans="2:12">
      <c r="B1012" s="50" t="s">
        <v>345</v>
      </c>
      <c r="C1012" s="50" t="s">
        <v>62</v>
      </c>
      <c r="D1012" s="50" t="s">
        <v>27</v>
      </c>
      <c r="E1012" s="50">
        <v>50041195</v>
      </c>
      <c r="F1012" s="50" t="s">
        <v>206</v>
      </c>
      <c r="G1012" s="50">
        <v>1</v>
      </c>
      <c r="H1012" s="50" t="s">
        <v>2</v>
      </c>
      <c r="I1012" s="50" t="s">
        <v>288</v>
      </c>
      <c r="J1012" s="51">
        <v>46080</v>
      </c>
      <c r="K1012" s="50" t="s">
        <v>3</v>
      </c>
      <c r="L1012" s="50" t="s">
        <v>80</v>
      </c>
    </row>
    <row r="1013" spans="2:12">
      <c r="B1013" s="50" t="s">
        <v>345</v>
      </c>
      <c r="C1013" s="50" t="s">
        <v>62</v>
      </c>
      <c r="D1013" s="50" t="s">
        <v>27</v>
      </c>
      <c r="E1013" s="50">
        <v>50038517</v>
      </c>
      <c r="F1013" s="50" t="s">
        <v>181</v>
      </c>
      <c r="G1013" s="50">
        <v>1</v>
      </c>
      <c r="H1013" s="50" t="s">
        <v>2</v>
      </c>
      <c r="I1013" s="50" t="s">
        <v>288</v>
      </c>
      <c r="J1013" s="51">
        <v>46080</v>
      </c>
      <c r="K1013" s="50" t="s">
        <v>3</v>
      </c>
      <c r="L1013" s="50" t="s">
        <v>80</v>
      </c>
    </row>
    <row r="1014" spans="2:12">
      <c r="B1014" s="50" t="s">
        <v>385</v>
      </c>
      <c r="C1014" s="50" t="s">
        <v>56</v>
      </c>
      <c r="D1014" s="50" t="s">
        <v>41</v>
      </c>
      <c r="E1014" s="50">
        <v>50036298</v>
      </c>
      <c r="F1014" s="50" t="s">
        <v>102</v>
      </c>
      <c r="G1014" s="50">
        <v>1</v>
      </c>
      <c r="H1014" s="50" t="s">
        <v>2</v>
      </c>
      <c r="I1014" s="50" t="s">
        <v>288</v>
      </c>
      <c r="J1014" s="51">
        <v>46080</v>
      </c>
      <c r="K1014" s="50" t="s">
        <v>3</v>
      </c>
      <c r="L1014" s="50" t="s">
        <v>80</v>
      </c>
    </row>
    <row r="1015" spans="2:12">
      <c r="B1015" s="50" t="s">
        <v>273</v>
      </c>
      <c r="C1015" s="50" t="s">
        <v>274</v>
      </c>
      <c r="D1015" s="50" t="s">
        <v>27</v>
      </c>
      <c r="E1015" s="50">
        <v>50042002</v>
      </c>
      <c r="F1015" s="50" t="s">
        <v>299</v>
      </c>
      <c r="G1015" s="50">
        <v>1</v>
      </c>
      <c r="H1015" s="50" t="s">
        <v>2</v>
      </c>
      <c r="I1015" s="50" t="s">
        <v>288</v>
      </c>
      <c r="J1015" s="51">
        <v>46080</v>
      </c>
      <c r="K1015" s="50" t="s">
        <v>3</v>
      </c>
      <c r="L1015" s="50" t="s">
        <v>80</v>
      </c>
    </row>
    <row r="1016" spans="2:12">
      <c r="B1016" s="50" t="s">
        <v>345</v>
      </c>
      <c r="C1016" s="50" t="s">
        <v>62</v>
      </c>
      <c r="D1016" s="50" t="s">
        <v>27</v>
      </c>
      <c r="E1016" s="50">
        <v>50030486</v>
      </c>
      <c r="F1016" s="50" t="s">
        <v>153</v>
      </c>
      <c r="G1016" s="50">
        <v>1</v>
      </c>
      <c r="H1016" s="50" t="s">
        <v>2</v>
      </c>
      <c r="I1016" s="50" t="s">
        <v>292</v>
      </c>
      <c r="J1016" s="51">
        <v>46079</v>
      </c>
      <c r="K1016" s="50" t="s">
        <v>1</v>
      </c>
      <c r="L1016" s="50" t="s">
        <v>80</v>
      </c>
    </row>
    <row r="1017" spans="2:12">
      <c r="B1017" s="50" t="s">
        <v>427</v>
      </c>
      <c r="C1017" s="50" t="s">
        <v>26</v>
      </c>
      <c r="D1017" s="50" t="s">
        <v>27</v>
      </c>
      <c r="E1017" s="50">
        <v>50001995</v>
      </c>
      <c r="F1017" s="50" t="s">
        <v>185</v>
      </c>
      <c r="G1017" s="50">
        <v>1</v>
      </c>
      <c r="H1017" s="50" t="s">
        <v>2</v>
      </c>
      <c r="I1017" s="50" t="s">
        <v>289</v>
      </c>
      <c r="J1017" s="51">
        <v>46079</v>
      </c>
      <c r="K1017" s="50" t="s">
        <v>1</v>
      </c>
      <c r="L1017" s="50" t="s">
        <v>80</v>
      </c>
    </row>
    <row r="1018" spans="2:12">
      <c r="B1018" s="50" t="s">
        <v>478</v>
      </c>
      <c r="C1018" s="50" t="s">
        <v>51</v>
      </c>
      <c r="D1018" s="50" t="s">
        <v>27</v>
      </c>
      <c r="E1018" s="50">
        <v>50038517</v>
      </c>
      <c r="F1018" s="50" t="s">
        <v>181</v>
      </c>
      <c r="G1018" s="50">
        <v>1</v>
      </c>
      <c r="H1018" s="50" t="s">
        <v>2</v>
      </c>
      <c r="I1018" s="50" t="s">
        <v>292</v>
      </c>
      <c r="J1018" s="51">
        <v>46079</v>
      </c>
      <c r="K1018" s="50" t="s">
        <v>3</v>
      </c>
      <c r="L1018" s="50" t="s">
        <v>80</v>
      </c>
    </row>
    <row r="1019" spans="2:12">
      <c r="B1019" s="50" t="s">
        <v>363</v>
      </c>
      <c r="C1019" s="50" t="s">
        <v>26</v>
      </c>
      <c r="D1019" s="50" t="s">
        <v>41</v>
      </c>
      <c r="E1019" s="50">
        <v>50037892</v>
      </c>
      <c r="F1019" s="50" t="s">
        <v>178</v>
      </c>
      <c r="G1019" s="50">
        <v>1</v>
      </c>
      <c r="H1019" s="50" t="s">
        <v>2</v>
      </c>
      <c r="I1019" s="50" t="s">
        <v>292</v>
      </c>
      <c r="J1019" s="51">
        <v>46079</v>
      </c>
      <c r="K1019" s="50" t="s">
        <v>1</v>
      </c>
      <c r="L1019" s="50" t="s">
        <v>80</v>
      </c>
    </row>
    <row r="1020" spans="2:12">
      <c r="B1020" s="50" t="s">
        <v>461</v>
      </c>
      <c r="C1020" s="50" t="s">
        <v>26</v>
      </c>
      <c r="D1020" s="50" t="s">
        <v>39</v>
      </c>
      <c r="E1020" s="50">
        <v>50038517</v>
      </c>
      <c r="F1020" s="50" t="s">
        <v>181</v>
      </c>
      <c r="G1020" s="50">
        <v>1</v>
      </c>
      <c r="H1020" s="50" t="s">
        <v>2</v>
      </c>
      <c r="I1020" s="50" t="s">
        <v>292</v>
      </c>
      <c r="J1020" s="51">
        <v>46079</v>
      </c>
      <c r="K1020" s="50" t="s">
        <v>1</v>
      </c>
      <c r="L1020" s="50" t="s">
        <v>80</v>
      </c>
    </row>
    <row r="1021" spans="2:12">
      <c r="B1021" s="50" t="s">
        <v>466</v>
      </c>
      <c r="C1021" s="50" t="s">
        <v>62</v>
      </c>
      <c r="D1021" s="50" t="s">
        <v>27</v>
      </c>
      <c r="E1021" s="50">
        <v>50037892</v>
      </c>
      <c r="F1021" s="50" t="s">
        <v>178</v>
      </c>
      <c r="G1021" s="50">
        <v>1</v>
      </c>
      <c r="H1021" s="50" t="s">
        <v>2</v>
      </c>
      <c r="I1021" s="50" t="s">
        <v>292</v>
      </c>
      <c r="J1021" s="51">
        <v>46079</v>
      </c>
      <c r="K1021" s="50" t="s">
        <v>1</v>
      </c>
      <c r="L1021" s="50" t="s">
        <v>80</v>
      </c>
    </row>
    <row r="1022" spans="2:12">
      <c r="B1022" s="50" t="s">
        <v>461</v>
      </c>
      <c r="C1022" s="50" t="s">
        <v>26</v>
      </c>
      <c r="D1022" s="50" t="s">
        <v>39</v>
      </c>
      <c r="E1022" s="50">
        <v>50038517</v>
      </c>
      <c r="F1022" s="50" t="s">
        <v>181</v>
      </c>
      <c r="G1022" s="50">
        <v>1</v>
      </c>
      <c r="H1022" s="50" t="s">
        <v>2</v>
      </c>
      <c r="I1022" s="50" t="s">
        <v>292</v>
      </c>
      <c r="J1022" s="51">
        <v>46079</v>
      </c>
      <c r="K1022" s="50" t="s">
        <v>3</v>
      </c>
      <c r="L1022" s="50" t="s">
        <v>80</v>
      </c>
    </row>
    <row r="1023" spans="2:12">
      <c r="B1023" s="50" t="s">
        <v>466</v>
      </c>
      <c r="C1023" s="50" t="s">
        <v>62</v>
      </c>
      <c r="D1023" s="50" t="s">
        <v>27</v>
      </c>
      <c r="E1023" s="50">
        <v>50037892</v>
      </c>
      <c r="F1023" s="50" t="s">
        <v>178</v>
      </c>
      <c r="G1023" s="50">
        <v>1</v>
      </c>
      <c r="H1023" s="50" t="s">
        <v>2</v>
      </c>
      <c r="I1023" s="50" t="s">
        <v>292</v>
      </c>
      <c r="J1023" s="51">
        <v>46079</v>
      </c>
      <c r="K1023" s="50" t="s">
        <v>3</v>
      </c>
      <c r="L1023" s="50" t="s">
        <v>80</v>
      </c>
    </row>
    <row r="1024" spans="2:12">
      <c r="B1024" s="50" t="s">
        <v>273</v>
      </c>
      <c r="C1024" s="50" t="s">
        <v>274</v>
      </c>
      <c r="D1024" s="50" t="s">
        <v>27</v>
      </c>
      <c r="E1024" s="50">
        <v>50043151</v>
      </c>
      <c r="F1024" s="50" t="s">
        <v>331</v>
      </c>
      <c r="G1024" s="50">
        <v>1</v>
      </c>
      <c r="H1024" s="50" t="s">
        <v>2</v>
      </c>
      <c r="I1024" s="50" t="s">
        <v>292</v>
      </c>
      <c r="J1024" s="51">
        <v>46079</v>
      </c>
      <c r="K1024" s="50" t="s">
        <v>1</v>
      </c>
      <c r="L1024" s="50" t="s">
        <v>80</v>
      </c>
    </row>
    <row r="1025" spans="2:12">
      <c r="B1025" s="50" t="s">
        <v>347</v>
      </c>
      <c r="C1025" s="50" t="s">
        <v>26</v>
      </c>
      <c r="D1025" s="50" t="s">
        <v>41</v>
      </c>
      <c r="E1025" s="50">
        <v>50037905</v>
      </c>
      <c r="F1025" s="50" t="s">
        <v>150</v>
      </c>
      <c r="G1025" s="50">
        <v>1</v>
      </c>
      <c r="H1025" s="50" t="s">
        <v>2</v>
      </c>
      <c r="I1025" s="50" t="s">
        <v>292</v>
      </c>
      <c r="J1025" s="51">
        <v>46079</v>
      </c>
      <c r="K1025" s="50" t="s">
        <v>1</v>
      </c>
      <c r="L1025" s="50" t="s">
        <v>80</v>
      </c>
    </row>
    <row r="1026" spans="2:12">
      <c r="B1026" s="50" t="s">
        <v>389</v>
      </c>
      <c r="C1026" s="50" t="s">
        <v>56</v>
      </c>
      <c r="D1026" s="50" t="s">
        <v>27</v>
      </c>
      <c r="E1026" s="50">
        <v>50043320</v>
      </c>
      <c r="F1026" s="50" t="s">
        <v>264</v>
      </c>
      <c r="G1026" s="50">
        <v>1</v>
      </c>
      <c r="H1026" s="50" t="s">
        <v>2</v>
      </c>
      <c r="I1026" s="50" t="s">
        <v>292</v>
      </c>
      <c r="J1026" s="51">
        <v>46079</v>
      </c>
      <c r="K1026" s="50" t="s">
        <v>1</v>
      </c>
      <c r="L1026" s="50" t="s">
        <v>80</v>
      </c>
    </row>
    <row r="1027" spans="2:12">
      <c r="B1027" s="50" t="s">
        <v>389</v>
      </c>
      <c r="C1027" s="50" t="s">
        <v>56</v>
      </c>
      <c r="D1027" s="50" t="s">
        <v>27</v>
      </c>
      <c r="E1027" s="50">
        <v>50043471</v>
      </c>
      <c r="F1027" s="50" t="s">
        <v>257</v>
      </c>
      <c r="G1027" s="50">
        <v>1</v>
      </c>
      <c r="H1027" s="50" t="s">
        <v>2</v>
      </c>
      <c r="I1027" s="50" t="s">
        <v>292</v>
      </c>
      <c r="J1027" s="51">
        <v>46079</v>
      </c>
      <c r="K1027" s="50" t="s">
        <v>1</v>
      </c>
      <c r="L1027" s="50" t="s">
        <v>80</v>
      </c>
    </row>
    <row r="1028" spans="2:12">
      <c r="B1028" s="50" t="s">
        <v>402</v>
      </c>
      <c r="C1028" s="50" t="s">
        <v>56</v>
      </c>
      <c r="D1028" s="50" t="s">
        <v>39</v>
      </c>
      <c r="E1028" s="50">
        <v>50038517</v>
      </c>
      <c r="F1028" s="50" t="s">
        <v>181</v>
      </c>
      <c r="G1028" s="50">
        <v>1</v>
      </c>
      <c r="H1028" s="50" t="s">
        <v>2</v>
      </c>
      <c r="I1028" s="50" t="s">
        <v>292</v>
      </c>
      <c r="J1028" s="51">
        <v>46079</v>
      </c>
      <c r="K1028" s="50" t="s">
        <v>1</v>
      </c>
      <c r="L1028" s="50" t="s">
        <v>80</v>
      </c>
    </row>
    <row r="1029" spans="2:12">
      <c r="B1029" s="50" t="s">
        <v>402</v>
      </c>
      <c r="C1029" s="50" t="s">
        <v>56</v>
      </c>
      <c r="D1029" s="50" t="s">
        <v>39</v>
      </c>
      <c r="E1029" s="50">
        <v>50003297</v>
      </c>
      <c r="F1029" s="50" t="s">
        <v>158</v>
      </c>
      <c r="G1029" s="50">
        <v>1</v>
      </c>
      <c r="H1029" s="50" t="s">
        <v>2</v>
      </c>
      <c r="I1029" s="50" t="s">
        <v>292</v>
      </c>
      <c r="J1029" s="51">
        <v>46079</v>
      </c>
      <c r="K1029" s="50" t="s">
        <v>1</v>
      </c>
      <c r="L1029" s="50" t="s">
        <v>80</v>
      </c>
    </row>
    <row r="1030" spans="2:12">
      <c r="B1030" s="50" t="s">
        <v>273</v>
      </c>
      <c r="C1030" s="50" t="s">
        <v>274</v>
      </c>
      <c r="D1030" s="50" t="s">
        <v>27</v>
      </c>
      <c r="E1030" s="50">
        <v>50043151</v>
      </c>
      <c r="F1030" s="50" t="s">
        <v>331</v>
      </c>
      <c r="G1030" s="50">
        <v>1</v>
      </c>
      <c r="H1030" s="50" t="s">
        <v>2</v>
      </c>
      <c r="I1030" s="50" t="s">
        <v>292</v>
      </c>
      <c r="J1030" s="51">
        <v>46079</v>
      </c>
      <c r="K1030" s="50" t="s">
        <v>3</v>
      </c>
      <c r="L1030" s="50" t="s">
        <v>80</v>
      </c>
    </row>
    <row r="1031" spans="2:12">
      <c r="B1031" s="50" t="s">
        <v>347</v>
      </c>
      <c r="C1031" s="50" t="s">
        <v>26</v>
      </c>
      <c r="D1031" s="50" t="s">
        <v>41</v>
      </c>
      <c r="E1031" s="50">
        <v>50037905</v>
      </c>
      <c r="F1031" s="50" t="s">
        <v>150</v>
      </c>
      <c r="G1031" s="50">
        <v>1</v>
      </c>
      <c r="H1031" s="50" t="s">
        <v>2</v>
      </c>
      <c r="I1031" s="50" t="s">
        <v>292</v>
      </c>
      <c r="J1031" s="51">
        <v>46079</v>
      </c>
      <c r="K1031" s="50" t="s">
        <v>3</v>
      </c>
      <c r="L1031" s="50" t="s">
        <v>80</v>
      </c>
    </row>
    <row r="1032" spans="2:12">
      <c r="B1032" s="50" t="s">
        <v>427</v>
      </c>
      <c r="C1032" s="50" t="s">
        <v>26</v>
      </c>
      <c r="D1032" s="50" t="s">
        <v>27</v>
      </c>
      <c r="E1032" s="50">
        <v>50043151</v>
      </c>
      <c r="F1032" s="50" t="s">
        <v>331</v>
      </c>
      <c r="G1032" s="50">
        <v>1</v>
      </c>
      <c r="H1032" s="50" t="s">
        <v>2</v>
      </c>
      <c r="I1032" s="50" t="s">
        <v>292</v>
      </c>
      <c r="J1032" s="51">
        <v>46079</v>
      </c>
      <c r="K1032" s="50" t="s">
        <v>1</v>
      </c>
      <c r="L1032" s="50" t="s">
        <v>80</v>
      </c>
    </row>
    <row r="1033" spans="2:12">
      <c r="B1033" s="50" t="s">
        <v>427</v>
      </c>
      <c r="C1033" s="50" t="s">
        <v>26</v>
      </c>
      <c r="D1033" s="50" t="s">
        <v>27</v>
      </c>
      <c r="E1033" s="50">
        <v>50001995</v>
      </c>
      <c r="F1033" s="50" t="s">
        <v>185</v>
      </c>
      <c r="G1033" s="50">
        <v>1</v>
      </c>
      <c r="H1033" s="50" t="s">
        <v>2</v>
      </c>
      <c r="I1033" s="50" t="s">
        <v>289</v>
      </c>
      <c r="J1033" s="51">
        <v>46079</v>
      </c>
      <c r="K1033" s="50" t="s">
        <v>3</v>
      </c>
      <c r="L1033" s="50" t="s">
        <v>80</v>
      </c>
    </row>
    <row r="1034" spans="2:12">
      <c r="B1034" s="50" t="s">
        <v>345</v>
      </c>
      <c r="C1034" s="50" t="s">
        <v>62</v>
      </c>
      <c r="D1034" s="50" t="s">
        <v>27</v>
      </c>
      <c r="E1034" s="50">
        <v>50030486</v>
      </c>
      <c r="F1034" s="50" t="s">
        <v>153</v>
      </c>
      <c r="G1034" s="50">
        <v>1</v>
      </c>
      <c r="H1034" s="50" t="s">
        <v>2</v>
      </c>
      <c r="I1034" s="50" t="s">
        <v>289</v>
      </c>
      <c r="J1034" s="51">
        <v>46079</v>
      </c>
      <c r="K1034" s="50" t="s">
        <v>3</v>
      </c>
      <c r="L1034" s="50" t="s">
        <v>80</v>
      </c>
    </row>
    <row r="1035" spans="2:12">
      <c r="B1035" s="50" t="s">
        <v>402</v>
      </c>
      <c r="C1035" s="50" t="s">
        <v>56</v>
      </c>
      <c r="D1035" s="50" t="s">
        <v>39</v>
      </c>
      <c r="E1035" s="50">
        <v>50038517</v>
      </c>
      <c r="F1035" s="50" t="s">
        <v>181</v>
      </c>
      <c r="G1035" s="50">
        <v>1</v>
      </c>
      <c r="H1035" s="50" t="s">
        <v>2</v>
      </c>
      <c r="I1035" s="50" t="s">
        <v>292</v>
      </c>
      <c r="J1035" s="51">
        <v>46079</v>
      </c>
      <c r="K1035" s="50" t="s">
        <v>3</v>
      </c>
      <c r="L1035" s="50" t="s">
        <v>80</v>
      </c>
    </row>
    <row r="1036" spans="2:12">
      <c r="B1036" s="50" t="s">
        <v>402</v>
      </c>
      <c r="C1036" s="50" t="s">
        <v>56</v>
      </c>
      <c r="D1036" s="50" t="s">
        <v>39</v>
      </c>
      <c r="E1036" s="50">
        <v>50003297</v>
      </c>
      <c r="F1036" s="50" t="s">
        <v>158</v>
      </c>
      <c r="G1036" s="50">
        <v>1</v>
      </c>
      <c r="H1036" s="50" t="s">
        <v>2</v>
      </c>
      <c r="I1036" s="50" t="s">
        <v>292</v>
      </c>
      <c r="J1036" s="51">
        <v>46079</v>
      </c>
      <c r="K1036" s="50" t="s">
        <v>3</v>
      </c>
      <c r="L1036" s="50" t="s">
        <v>80</v>
      </c>
    </row>
    <row r="1037" spans="2:12">
      <c r="B1037" s="50" t="s">
        <v>396</v>
      </c>
      <c r="C1037" s="50" t="s">
        <v>26</v>
      </c>
      <c r="D1037" s="50" t="s">
        <v>27</v>
      </c>
      <c r="E1037" s="50">
        <v>50038517</v>
      </c>
      <c r="F1037" s="50" t="s">
        <v>181</v>
      </c>
      <c r="G1037" s="50">
        <v>1</v>
      </c>
      <c r="H1037" s="50" t="s">
        <v>2</v>
      </c>
      <c r="I1037" s="50" t="s">
        <v>292</v>
      </c>
      <c r="J1037" s="51">
        <v>46079</v>
      </c>
      <c r="K1037" s="50" t="s">
        <v>1</v>
      </c>
      <c r="L1037" s="50" t="s">
        <v>80</v>
      </c>
    </row>
    <row r="1038" spans="2:12">
      <c r="B1038" s="50" t="s">
        <v>478</v>
      </c>
      <c r="C1038" s="50" t="s">
        <v>51</v>
      </c>
      <c r="D1038" s="50" t="s">
        <v>27</v>
      </c>
      <c r="E1038" s="50">
        <v>50012902</v>
      </c>
      <c r="F1038" s="50" t="s">
        <v>225</v>
      </c>
      <c r="G1038" s="50">
        <v>1</v>
      </c>
      <c r="H1038" s="50" t="s">
        <v>2</v>
      </c>
      <c r="I1038" s="50" t="s">
        <v>292</v>
      </c>
      <c r="J1038" s="51">
        <v>46079</v>
      </c>
      <c r="K1038" s="50" t="s">
        <v>1</v>
      </c>
      <c r="L1038" s="50" t="s">
        <v>80</v>
      </c>
    </row>
    <row r="1039" spans="2:12">
      <c r="B1039" s="50" t="s">
        <v>427</v>
      </c>
      <c r="C1039" s="50" t="s">
        <v>26</v>
      </c>
      <c r="D1039" s="50" t="s">
        <v>27</v>
      </c>
      <c r="E1039" s="50">
        <v>50043151</v>
      </c>
      <c r="F1039" s="50" t="s">
        <v>331</v>
      </c>
      <c r="G1039" s="50">
        <v>1</v>
      </c>
      <c r="H1039" s="50" t="s">
        <v>2</v>
      </c>
      <c r="I1039" s="50" t="s">
        <v>292</v>
      </c>
      <c r="J1039" s="51">
        <v>46079</v>
      </c>
      <c r="K1039" s="50" t="s">
        <v>3</v>
      </c>
      <c r="L1039" s="50" t="s">
        <v>80</v>
      </c>
    </row>
    <row r="1040" spans="2:12">
      <c r="B1040" s="50" t="s">
        <v>363</v>
      </c>
      <c r="C1040" s="50" t="s">
        <v>26</v>
      </c>
      <c r="D1040" s="50" t="s">
        <v>41</v>
      </c>
      <c r="E1040" s="50">
        <v>50037892</v>
      </c>
      <c r="F1040" s="50" t="s">
        <v>178</v>
      </c>
      <c r="G1040" s="50">
        <v>1</v>
      </c>
      <c r="H1040" s="50" t="s">
        <v>2</v>
      </c>
      <c r="I1040" s="50" t="s">
        <v>291</v>
      </c>
      <c r="J1040" s="51">
        <v>46079</v>
      </c>
      <c r="K1040" s="50" t="s">
        <v>3</v>
      </c>
      <c r="L1040" s="50" t="s">
        <v>80</v>
      </c>
    </row>
    <row r="1041" spans="2:12">
      <c r="B1041" s="50" t="s">
        <v>410</v>
      </c>
      <c r="C1041" s="50" t="s">
        <v>51</v>
      </c>
      <c r="D1041" s="50" t="s">
        <v>27</v>
      </c>
      <c r="E1041" s="50">
        <v>50026357</v>
      </c>
      <c r="F1041" s="50" t="s">
        <v>192</v>
      </c>
      <c r="G1041" s="50">
        <v>1</v>
      </c>
      <c r="H1041" s="50" t="s">
        <v>2</v>
      </c>
      <c r="I1041" s="50" t="s">
        <v>291</v>
      </c>
      <c r="J1041" s="51">
        <v>46079</v>
      </c>
      <c r="K1041" s="50" t="s">
        <v>1</v>
      </c>
      <c r="L1041" s="50" t="s">
        <v>80</v>
      </c>
    </row>
    <row r="1042" spans="2:12">
      <c r="B1042" s="50" t="s">
        <v>427</v>
      </c>
      <c r="C1042" s="50" t="s">
        <v>26</v>
      </c>
      <c r="D1042" s="50" t="s">
        <v>27</v>
      </c>
      <c r="E1042" s="50">
        <v>50043151</v>
      </c>
      <c r="F1042" s="50" t="s">
        <v>331</v>
      </c>
      <c r="G1042" s="50">
        <v>1</v>
      </c>
      <c r="H1042" s="50" t="s">
        <v>2</v>
      </c>
      <c r="I1042" s="50" t="s">
        <v>291</v>
      </c>
      <c r="J1042" s="51">
        <v>46079</v>
      </c>
      <c r="K1042" s="50" t="s">
        <v>1</v>
      </c>
      <c r="L1042" s="50" t="s">
        <v>80</v>
      </c>
    </row>
    <row r="1043" spans="2:12">
      <c r="B1043" s="50" t="s">
        <v>437</v>
      </c>
      <c r="C1043" s="50" t="s">
        <v>51</v>
      </c>
      <c r="D1043" s="50" t="s">
        <v>41</v>
      </c>
      <c r="E1043" s="50">
        <v>50003297</v>
      </c>
      <c r="F1043" s="50" t="s">
        <v>158</v>
      </c>
      <c r="G1043" s="50">
        <v>1</v>
      </c>
      <c r="H1043" s="50" t="s">
        <v>2</v>
      </c>
      <c r="I1043" s="50" t="s">
        <v>291</v>
      </c>
      <c r="J1043" s="51">
        <v>46079</v>
      </c>
      <c r="K1043" s="50" t="s">
        <v>1</v>
      </c>
      <c r="L1043" s="50" t="s">
        <v>80</v>
      </c>
    </row>
    <row r="1044" spans="2:12">
      <c r="B1044" s="50" t="s">
        <v>483</v>
      </c>
      <c r="C1044" s="50" t="s">
        <v>62</v>
      </c>
      <c r="D1044" s="50" t="s">
        <v>27</v>
      </c>
      <c r="E1044" s="50">
        <v>50037892</v>
      </c>
      <c r="F1044" s="50" t="s">
        <v>178</v>
      </c>
      <c r="G1044" s="50">
        <v>1</v>
      </c>
      <c r="H1044" s="50" t="s">
        <v>2</v>
      </c>
      <c r="I1044" s="50" t="s">
        <v>291</v>
      </c>
      <c r="J1044" s="51">
        <v>46079</v>
      </c>
      <c r="K1044" s="50" t="s">
        <v>1</v>
      </c>
      <c r="L1044" s="50" t="s">
        <v>80</v>
      </c>
    </row>
    <row r="1045" spans="2:12">
      <c r="B1045" s="50" t="s">
        <v>427</v>
      </c>
      <c r="C1045" s="50" t="s">
        <v>26</v>
      </c>
      <c r="D1045" s="50" t="s">
        <v>27</v>
      </c>
      <c r="E1045" s="50">
        <v>50043151</v>
      </c>
      <c r="F1045" s="50" t="s">
        <v>331</v>
      </c>
      <c r="G1045" s="50">
        <v>1</v>
      </c>
      <c r="H1045" s="50" t="s">
        <v>2</v>
      </c>
      <c r="I1045" s="50" t="s">
        <v>291</v>
      </c>
      <c r="J1045" s="51">
        <v>46079</v>
      </c>
      <c r="K1045" s="50" t="s">
        <v>3</v>
      </c>
      <c r="L1045" s="50" t="s">
        <v>80</v>
      </c>
    </row>
    <row r="1046" spans="2:12">
      <c r="B1046" s="50" t="s">
        <v>439</v>
      </c>
      <c r="C1046" s="50" t="s">
        <v>62</v>
      </c>
      <c r="D1046" s="50" t="s">
        <v>27</v>
      </c>
      <c r="E1046" s="50">
        <v>50028220</v>
      </c>
      <c r="F1046" s="50" t="s">
        <v>242</v>
      </c>
      <c r="G1046" s="50">
        <v>1</v>
      </c>
      <c r="H1046" s="50" t="s">
        <v>2</v>
      </c>
      <c r="I1046" s="50" t="s">
        <v>291</v>
      </c>
      <c r="J1046" s="51">
        <v>46079</v>
      </c>
      <c r="K1046" s="50" t="s">
        <v>1</v>
      </c>
      <c r="L1046" s="50" t="s">
        <v>80</v>
      </c>
    </row>
    <row r="1047" spans="2:12">
      <c r="B1047" s="50" t="s">
        <v>389</v>
      </c>
      <c r="C1047" s="50" t="s">
        <v>56</v>
      </c>
      <c r="D1047" s="50" t="s">
        <v>27</v>
      </c>
      <c r="E1047" s="50">
        <v>50043320</v>
      </c>
      <c r="F1047" s="50" t="s">
        <v>264</v>
      </c>
      <c r="G1047" s="50">
        <v>1</v>
      </c>
      <c r="H1047" s="50" t="s">
        <v>2</v>
      </c>
      <c r="I1047" s="50" t="s">
        <v>291</v>
      </c>
      <c r="J1047" s="51">
        <v>46079</v>
      </c>
      <c r="K1047" s="50" t="s">
        <v>3</v>
      </c>
      <c r="L1047" s="50" t="s">
        <v>80</v>
      </c>
    </row>
    <row r="1048" spans="2:12">
      <c r="B1048" s="50" t="s">
        <v>389</v>
      </c>
      <c r="C1048" s="50" t="s">
        <v>56</v>
      </c>
      <c r="D1048" s="50" t="s">
        <v>27</v>
      </c>
      <c r="E1048" s="50">
        <v>50043471</v>
      </c>
      <c r="F1048" s="50" t="s">
        <v>257</v>
      </c>
      <c r="G1048" s="50">
        <v>1</v>
      </c>
      <c r="H1048" s="50" t="s">
        <v>2</v>
      </c>
      <c r="I1048" s="50" t="s">
        <v>291</v>
      </c>
      <c r="J1048" s="51">
        <v>46079</v>
      </c>
      <c r="K1048" s="50" t="s">
        <v>3</v>
      </c>
      <c r="L1048" s="50" t="s">
        <v>80</v>
      </c>
    </row>
    <row r="1049" spans="2:12">
      <c r="B1049" s="50" t="s">
        <v>394</v>
      </c>
      <c r="C1049" s="50" t="s">
        <v>51</v>
      </c>
      <c r="D1049" s="50" t="s">
        <v>27</v>
      </c>
      <c r="E1049" s="50">
        <v>50022878</v>
      </c>
      <c r="F1049" s="50" t="s">
        <v>296</v>
      </c>
      <c r="G1049" s="50">
        <v>1</v>
      </c>
      <c r="H1049" s="50" t="s">
        <v>2</v>
      </c>
      <c r="I1049" s="50" t="s">
        <v>291</v>
      </c>
      <c r="J1049" s="51">
        <v>46079</v>
      </c>
      <c r="K1049" s="50" t="s">
        <v>3</v>
      </c>
      <c r="L1049" s="50" t="s">
        <v>80</v>
      </c>
    </row>
    <row r="1050" spans="2:12">
      <c r="B1050" s="50" t="s">
        <v>419</v>
      </c>
      <c r="C1050" s="50" t="s">
        <v>51</v>
      </c>
      <c r="D1050" s="50" t="s">
        <v>41</v>
      </c>
      <c r="E1050" s="50">
        <v>50030486</v>
      </c>
      <c r="F1050" s="50" t="s">
        <v>153</v>
      </c>
      <c r="G1050" s="50">
        <v>1</v>
      </c>
      <c r="H1050" s="50" t="s">
        <v>2</v>
      </c>
      <c r="I1050" s="50" t="s">
        <v>291</v>
      </c>
      <c r="J1050" s="51">
        <v>46079</v>
      </c>
      <c r="K1050" s="50" t="s">
        <v>1</v>
      </c>
      <c r="L1050" s="50" t="s">
        <v>80</v>
      </c>
    </row>
    <row r="1051" spans="2:12">
      <c r="B1051" s="50" t="s">
        <v>278</v>
      </c>
      <c r="C1051" s="50" t="s">
        <v>62</v>
      </c>
      <c r="D1051" s="50" t="s">
        <v>27</v>
      </c>
      <c r="E1051" s="50">
        <v>50038662</v>
      </c>
      <c r="F1051" s="50" t="s">
        <v>193</v>
      </c>
      <c r="G1051" s="50">
        <v>1</v>
      </c>
      <c r="H1051" s="50" t="s">
        <v>2</v>
      </c>
      <c r="I1051" s="50" t="s">
        <v>291</v>
      </c>
      <c r="J1051" s="51">
        <v>46079</v>
      </c>
      <c r="K1051" s="50" t="s">
        <v>1</v>
      </c>
      <c r="L1051" s="50" t="s">
        <v>80</v>
      </c>
    </row>
    <row r="1052" spans="2:12">
      <c r="B1052" s="50" t="s">
        <v>419</v>
      </c>
      <c r="C1052" s="50" t="s">
        <v>51</v>
      </c>
      <c r="D1052" s="50" t="s">
        <v>41</v>
      </c>
      <c r="E1052" s="50">
        <v>50030486</v>
      </c>
      <c r="F1052" s="50" t="s">
        <v>153</v>
      </c>
      <c r="G1052" s="50">
        <v>1</v>
      </c>
      <c r="H1052" s="50" t="s">
        <v>2</v>
      </c>
      <c r="I1052" s="50" t="s">
        <v>291</v>
      </c>
      <c r="J1052" s="51">
        <v>46079</v>
      </c>
      <c r="K1052" s="50" t="s">
        <v>3</v>
      </c>
      <c r="L1052" s="50" t="s">
        <v>80</v>
      </c>
    </row>
    <row r="1053" spans="2:12">
      <c r="B1053" s="50" t="s">
        <v>419</v>
      </c>
      <c r="C1053" s="50" t="s">
        <v>51</v>
      </c>
      <c r="D1053" s="50" t="s">
        <v>41</v>
      </c>
      <c r="E1053" s="50">
        <v>50032781</v>
      </c>
      <c r="F1053" s="50" t="s">
        <v>237</v>
      </c>
      <c r="G1053" s="50">
        <v>1</v>
      </c>
      <c r="H1053" s="50" t="s">
        <v>2</v>
      </c>
      <c r="I1053" s="50" t="s">
        <v>291</v>
      </c>
      <c r="J1053" s="51">
        <v>46079</v>
      </c>
      <c r="K1053" s="50" t="s">
        <v>1</v>
      </c>
      <c r="L1053" s="50" t="s">
        <v>80</v>
      </c>
    </row>
    <row r="1054" spans="2:12">
      <c r="B1054" s="50" t="s">
        <v>419</v>
      </c>
      <c r="C1054" s="50" t="s">
        <v>51</v>
      </c>
      <c r="D1054" s="50" t="s">
        <v>41</v>
      </c>
      <c r="E1054" s="50">
        <v>50032781</v>
      </c>
      <c r="F1054" s="50" t="s">
        <v>237</v>
      </c>
      <c r="G1054" s="50">
        <v>1</v>
      </c>
      <c r="H1054" s="50" t="s">
        <v>2</v>
      </c>
      <c r="I1054" s="50" t="s">
        <v>291</v>
      </c>
      <c r="J1054" s="51">
        <v>46079</v>
      </c>
      <c r="K1054" s="50" t="s">
        <v>3</v>
      </c>
      <c r="L1054" s="50" t="s">
        <v>80</v>
      </c>
    </row>
    <row r="1055" spans="2:12">
      <c r="B1055" s="50" t="s">
        <v>410</v>
      </c>
      <c r="C1055" s="50" t="s">
        <v>51</v>
      </c>
      <c r="D1055" s="50" t="s">
        <v>27</v>
      </c>
      <c r="E1055" s="50">
        <v>50026357</v>
      </c>
      <c r="F1055" s="50" t="s">
        <v>192</v>
      </c>
      <c r="G1055" s="50">
        <v>1</v>
      </c>
      <c r="H1055" s="50" t="s">
        <v>2</v>
      </c>
      <c r="I1055" s="50" t="s">
        <v>291</v>
      </c>
      <c r="J1055" s="51">
        <v>46079</v>
      </c>
      <c r="K1055" s="50" t="s">
        <v>3</v>
      </c>
      <c r="L1055" s="50" t="s">
        <v>80</v>
      </c>
    </row>
    <row r="1056" spans="2:12">
      <c r="B1056" s="50" t="s">
        <v>396</v>
      </c>
      <c r="C1056" s="50" t="s">
        <v>26</v>
      </c>
      <c r="D1056" s="50" t="s">
        <v>27</v>
      </c>
      <c r="E1056" s="50">
        <v>50038517</v>
      </c>
      <c r="F1056" s="50" t="s">
        <v>181</v>
      </c>
      <c r="G1056" s="50">
        <v>1</v>
      </c>
      <c r="H1056" s="50" t="s">
        <v>2</v>
      </c>
      <c r="I1056" s="50" t="s">
        <v>291</v>
      </c>
      <c r="J1056" s="51">
        <v>46079</v>
      </c>
      <c r="K1056" s="50" t="s">
        <v>3</v>
      </c>
      <c r="L1056" s="50" t="s">
        <v>80</v>
      </c>
    </row>
    <row r="1057" spans="2:12">
      <c r="B1057" s="50" t="s">
        <v>478</v>
      </c>
      <c r="C1057" s="50" t="s">
        <v>51</v>
      </c>
      <c r="D1057" s="50" t="s">
        <v>27</v>
      </c>
      <c r="E1057" s="50">
        <v>50012902</v>
      </c>
      <c r="F1057" s="50" t="s">
        <v>225</v>
      </c>
      <c r="G1057" s="50">
        <v>1</v>
      </c>
      <c r="H1057" s="50" t="s">
        <v>2</v>
      </c>
      <c r="I1057" s="50" t="s">
        <v>291</v>
      </c>
      <c r="J1057" s="51">
        <v>46079</v>
      </c>
      <c r="K1057" s="50" t="s">
        <v>3</v>
      </c>
      <c r="L1057" s="50" t="s">
        <v>80</v>
      </c>
    </row>
    <row r="1058" spans="2:12">
      <c r="B1058" s="50" t="s">
        <v>439</v>
      </c>
      <c r="C1058" s="50" t="s">
        <v>62</v>
      </c>
      <c r="D1058" s="50" t="s">
        <v>27</v>
      </c>
      <c r="E1058" s="50">
        <v>50028220</v>
      </c>
      <c r="F1058" s="50" t="s">
        <v>242</v>
      </c>
      <c r="G1058" s="50">
        <v>1</v>
      </c>
      <c r="H1058" s="50" t="s">
        <v>2</v>
      </c>
      <c r="I1058" s="50" t="s">
        <v>291</v>
      </c>
      <c r="J1058" s="51">
        <v>46079</v>
      </c>
      <c r="K1058" s="50" t="s">
        <v>3</v>
      </c>
      <c r="L1058" s="50" t="s">
        <v>80</v>
      </c>
    </row>
    <row r="1059" spans="2:12">
      <c r="B1059" s="50" t="s">
        <v>437</v>
      </c>
      <c r="C1059" s="50" t="s">
        <v>51</v>
      </c>
      <c r="D1059" s="50" t="s">
        <v>41</v>
      </c>
      <c r="E1059" s="50">
        <v>50003297</v>
      </c>
      <c r="F1059" s="50" t="s">
        <v>158</v>
      </c>
      <c r="G1059" s="50">
        <v>1</v>
      </c>
      <c r="H1059" s="50" t="s">
        <v>2</v>
      </c>
      <c r="I1059" s="50" t="s">
        <v>291</v>
      </c>
      <c r="J1059" s="51">
        <v>46079</v>
      </c>
      <c r="K1059" s="50" t="s">
        <v>3</v>
      </c>
      <c r="L1059" s="50" t="s">
        <v>80</v>
      </c>
    </row>
    <row r="1060" spans="2:12">
      <c r="B1060" s="50" t="s">
        <v>402</v>
      </c>
      <c r="C1060" s="50" t="s">
        <v>26</v>
      </c>
      <c r="D1060" s="50" t="s">
        <v>36</v>
      </c>
      <c r="E1060" s="50">
        <v>50036086</v>
      </c>
      <c r="F1060" s="50" t="s">
        <v>28</v>
      </c>
      <c r="G1060" s="50">
        <v>1</v>
      </c>
      <c r="H1060" s="50" t="s">
        <v>2</v>
      </c>
      <c r="I1060" s="50" t="s">
        <v>291</v>
      </c>
      <c r="J1060" s="51">
        <v>46078</v>
      </c>
      <c r="K1060" s="50" t="s">
        <v>1</v>
      </c>
      <c r="L1060" s="50" t="s">
        <v>80</v>
      </c>
    </row>
    <row r="1061" spans="2:12">
      <c r="B1061" s="50" t="s">
        <v>402</v>
      </c>
      <c r="C1061" s="50" t="s">
        <v>26</v>
      </c>
      <c r="D1061" s="50" t="s">
        <v>36</v>
      </c>
      <c r="E1061" s="50">
        <v>50036086</v>
      </c>
      <c r="F1061" s="50" t="s">
        <v>28</v>
      </c>
      <c r="G1061" s="50">
        <v>1</v>
      </c>
      <c r="H1061" s="50" t="s">
        <v>2</v>
      </c>
      <c r="I1061" s="50" t="s">
        <v>291</v>
      </c>
      <c r="J1061" s="51">
        <v>46078</v>
      </c>
      <c r="K1061" s="50" t="s">
        <v>3</v>
      </c>
      <c r="L1061" s="50" t="s">
        <v>80</v>
      </c>
    </row>
    <row r="1062" spans="2:12">
      <c r="B1062" s="50" t="s">
        <v>411</v>
      </c>
      <c r="C1062" s="50" t="s">
        <v>26</v>
      </c>
      <c r="D1062" s="50" t="s">
        <v>27</v>
      </c>
      <c r="E1062" s="50">
        <v>50037905</v>
      </c>
      <c r="F1062" s="50" t="s">
        <v>150</v>
      </c>
      <c r="G1062" s="50">
        <v>1</v>
      </c>
      <c r="H1062" s="50" t="s">
        <v>2</v>
      </c>
      <c r="I1062" s="50" t="s">
        <v>291</v>
      </c>
      <c r="J1062" s="51">
        <v>46076</v>
      </c>
      <c r="K1062" s="50" t="s">
        <v>1</v>
      </c>
      <c r="L1062" s="50" t="s">
        <v>80</v>
      </c>
    </row>
    <row r="1063" spans="2:12">
      <c r="B1063" s="50" t="s">
        <v>411</v>
      </c>
      <c r="C1063" s="50" t="s">
        <v>26</v>
      </c>
      <c r="D1063" s="50" t="s">
        <v>27</v>
      </c>
      <c r="E1063" s="50">
        <v>50037905</v>
      </c>
      <c r="F1063" s="50" t="s">
        <v>150</v>
      </c>
      <c r="G1063" s="50">
        <v>1</v>
      </c>
      <c r="H1063" s="50" t="s">
        <v>2</v>
      </c>
      <c r="I1063" s="50" t="s">
        <v>291</v>
      </c>
      <c r="J1063" s="51">
        <v>46076</v>
      </c>
      <c r="K1063" s="50" t="s">
        <v>3</v>
      </c>
      <c r="L1063" s="50" t="s">
        <v>80</v>
      </c>
    </row>
    <row r="1064" spans="2:12">
      <c r="B1064" s="50" t="s">
        <v>412</v>
      </c>
      <c r="C1064" s="50" t="s">
        <v>51</v>
      </c>
      <c r="D1064" s="50" t="s">
        <v>41</v>
      </c>
      <c r="E1064" s="50">
        <v>50043471</v>
      </c>
      <c r="F1064" s="50" t="s">
        <v>257</v>
      </c>
      <c r="G1064" s="50">
        <v>1</v>
      </c>
      <c r="H1064" s="50" t="s">
        <v>2</v>
      </c>
      <c r="I1064" s="50" t="s">
        <v>291</v>
      </c>
      <c r="J1064" s="51">
        <v>46075</v>
      </c>
      <c r="K1064" s="50" t="s">
        <v>1</v>
      </c>
      <c r="L1064" s="50" t="s">
        <v>80</v>
      </c>
    </row>
    <row r="1065" spans="2:12">
      <c r="B1065" s="50" t="s">
        <v>412</v>
      </c>
      <c r="C1065" s="50" t="s">
        <v>51</v>
      </c>
      <c r="D1065" s="50" t="s">
        <v>41</v>
      </c>
      <c r="E1065" s="50">
        <v>50043471</v>
      </c>
      <c r="F1065" s="50" t="s">
        <v>257</v>
      </c>
      <c r="G1065" s="50">
        <v>1</v>
      </c>
      <c r="H1065" s="50" t="s">
        <v>2</v>
      </c>
      <c r="I1065" s="50" t="s">
        <v>291</v>
      </c>
      <c r="J1065" s="51">
        <v>46075</v>
      </c>
      <c r="K1065" s="50" t="s">
        <v>3</v>
      </c>
      <c r="L1065" s="50" t="s">
        <v>80</v>
      </c>
    </row>
    <row r="1066" spans="2:12">
      <c r="B1066" s="50" t="s">
        <v>355</v>
      </c>
      <c r="C1066" s="50" t="s">
        <v>56</v>
      </c>
      <c r="D1066" s="50" t="s">
        <v>41</v>
      </c>
      <c r="E1066" s="50">
        <v>50043320</v>
      </c>
      <c r="F1066" s="50" t="s">
        <v>264</v>
      </c>
      <c r="G1066" s="50">
        <v>1</v>
      </c>
      <c r="H1066" s="50" t="s">
        <v>2</v>
      </c>
      <c r="I1066" s="50" t="s">
        <v>291</v>
      </c>
      <c r="J1066" s="51">
        <v>46075</v>
      </c>
      <c r="K1066" s="50" t="s">
        <v>1</v>
      </c>
      <c r="L1066" s="50" t="s">
        <v>80</v>
      </c>
    </row>
    <row r="1067" spans="2:12">
      <c r="B1067" s="50" t="s">
        <v>355</v>
      </c>
      <c r="C1067" s="50" t="s">
        <v>56</v>
      </c>
      <c r="D1067" s="50" t="s">
        <v>41</v>
      </c>
      <c r="E1067" s="50">
        <v>50043320</v>
      </c>
      <c r="F1067" s="50" t="s">
        <v>264</v>
      </c>
      <c r="G1067" s="50">
        <v>1</v>
      </c>
      <c r="H1067" s="50" t="s">
        <v>2</v>
      </c>
      <c r="I1067" s="50" t="s">
        <v>291</v>
      </c>
      <c r="J1067" s="51">
        <v>46075</v>
      </c>
      <c r="K1067" s="50" t="s">
        <v>3</v>
      </c>
      <c r="L1067" s="50" t="s">
        <v>80</v>
      </c>
    </row>
    <row r="1068" spans="2:12">
      <c r="B1068" s="50" t="s">
        <v>402</v>
      </c>
      <c r="C1068" s="50" t="s">
        <v>56</v>
      </c>
      <c r="D1068" s="50" t="s">
        <v>39</v>
      </c>
      <c r="E1068" s="50">
        <v>50041195</v>
      </c>
      <c r="F1068" s="50" t="s">
        <v>206</v>
      </c>
      <c r="G1068" s="50">
        <v>1</v>
      </c>
      <c r="H1068" s="50" t="s">
        <v>2</v>
      </c>
      <c r="I1068" s="50" t="s">
        <v>291</v>
      </c>
      <c r="J1068" s="51">
        <v>46075</v>
      </c>
      <c r="K1068" s="50" t="s">
        <v>1</v>
      </c>
      <c r="L1068" s="50" t="s">
        <v>80</v>
      </c>
    </row>
    <row r="1069" spans="2:12">
      <c r="B1069" s="50" t="s">
        <v>402</v>
      </c>
      <c r="C1069" s="50" t="s">
        <v>56</v>
      </c>
      <c r="D1069" s="50" t="s">
        <v>39</v>
      </c>
      <c r="E1069" s="50">
        <v>50041195</v>
      </c>
      <c r="F1069" s="50" t="s">
        <v>206</v>
      </c>
      <c r="G1069" s="50">
        <v>1</v>
      </c>
      <c r="H1069" s="50" t="s">
        <v>2</v>
      </c>
      <c r="I1069" s="50" t="s">
        <v>291</v>
      </c>
      <c r="J1069" s="51">
        <v>46075</v>
      </c>
      <c r="K1069" s="50" t="s">
        <v>3</v>
      </c>
      <c r="L1069" s="50" t="s">
        <v>80</v>
      </c>
    </row>
    <row r="1070" spans="2:12">
      <c r="B1070" s="50" t="s">
        <v>402</v>
      </c>
      <c r="C1070" s="50" t="s">
        <v>56</v>
      </c>
      <c r="D1070" s="50" t="s">
        <v>39</v>
      </c>
      <c r="E1070" s="50">
        <v>50010031</v>
      </c>
      <c r="F1070" s="50" t="s">
        <v>89</v>
      </c>
      <c r="G1070" s="50">
        <v>1</v>
      </c>
      <c r="H1070" s="50" t="s">
        <v>2</v>
      </c>
      <c r="I1070" s="50" t="s">
        <v>291</v>
      </c>
      <c r="J1070" s="51">
        <v>46075</v>
      </c>
      <c r="K1070" s="50" t="s">
        <v>1</v>
      </c>
      <c r="L1070" s="50" t="s">
        <v>80</v>
      </c>
    </row>
    <row r="1071" spans="2:12">
      <c r="B1071" s="50" t="s">
        <v>402</v>
      </c>
      <c r="C1071" s="50" t="s">
        <v>56</v>
      </c>
      <c r="D1071" s="50" t="s">
        <v>39</v>
      </c>
      <c r="E1071" s="50">
        <v>50010031</v>
      </c>
      <c r="F1071" s="50" t="s">
        <v>89</v>
      </c>
      <c r="G1071" s="50">
        <v>1</v>
      </c>
      <c r="H1071" s="50" t="s">
        <v>2</v>
      </c>
      <c r="I1071" s="50" t="s">
        <v>291</v>
      </c>
      <c r="J1071" s="51">
        <v>46075</v>
      </c>
      <c r="K1071" s="50" t="s">
        <v>3</v>
      </c>
      <c r="L1071" s="50" t="s">
        <v>80</v>
      </c>
    </row>
    <row r="1072" spans="2:12">
      <c r="B1072" s="50" t="s">
        <v>353</v>
      </c>
      <c r="C1072" s="50" t="s">
        <v>51</v>
      </c>
      <c r="D1072" s="50" t="s">
        <v>39</v>
      </c>
      <c r="E1072" s="50">
        <v>50032781</v>
      </c>
      <c r="F1072" s="50" t="s">
        <v>237</v>
      </c>
      <c r="G1072" s="50">
        <v>1</v>
      </c>
      <c r="H1072" s="50" t="s">
        <v>2</v>
      </c>
      <c r="I1072" s="50" t="s">
        <v>291</v>
      </c>
      <c r="J1072" s="51">
        <v>46074</v>
      </c>
      <c r="K1072" s="50" t="s">
        <v>1</v>
      </c>
      <c r="L1072" s="50" t="s">
        <v>80</v>
      </c>
    </row>
    <row r="1073" spans="2:12">
      <c r="B1073" s="50" t="s">
        <v>353</v>
      </c>
      <c r="C1073" s="50" t="s">
        <v>51</v>
      </c>
      <c r="D1073" s="50" t="s">
        <v>39</v>
      </c>
      <c r="E1073" s="50">
        <v>50032781</v>
      </c>
      <c r="F1073" s="50" t="s">
        <v>237</v>
      </c>
      <c r="G1073" s="50">
        <v>1</v>
      </c>
      <c r="H1073" s="50" t="s">
        <v>2</v>
      </c>
      <c r="I1073" s="50" t="s">
        <v>291</v>
      </c>
      <c r="J1073" s="51">
        <v>46074</v>
      </c>
      <c r="K1073" s="50" t="s">
        <v>3</v>
      </c>
      <c r="L1073" s="50" t="s">
        <v>80</v>
      </c>
    </row>
    <row r="1074" spans="2:12">
      <c r="B1074" s="50" t="s">
        <v>410</v>
      </c>
      <c r="C1074" s="50" t="s">
        <v>51</v>
      </c>
      <c r="D1074" s="50" t="s">
        <v>27</v>
      </c>
      <c r="E1074" s="50">
        <v>50037892</v>
      </c>
      <c r="F1074" s="50" t="s">
        <v>178</v>
      </c>
      <c r="G1074" s="50">
        <v>1</v>
      </c>
      <c r="H1074" s="50" t="s">
        <v>2</v>
      </c>
      <c r="I1074" s="50" t="s">
        <v>291</v>
      </c>
      <c r="J1074" s="51">
        <v>46074</v>
      </c>
      <c r="K1074" s="50" t="s">
        <v>1</v>
      </c>
      <c r="L1074" s="50" t="s">
        <v>80</v>
      </c>
    </row>
    <row r="1075" spans="2:12">
      <c r="B1075" s="50" t="s">
        <v>410</v>
      </c>
      <c r="C1075" s="50" t="s">
        <v>51</v>
      </c>
      <c r="D1075" s="50" t="s">
        <v>27</v>
      </c>
      <c r="E1075" s="50">
        <v>50037892</v>
      </c>
      <c r="F1075" s="50" t="s">
        <v>178</v>
      </c>
      <c r="G1075" s="50">
        <v>1</v>
      </c>
      <c r="H1075" s="50" t="s">
        <v>2</v>
      </c>
      <c r="I1075" s="50" t="s">
        <v>291</v>
      </c>
      <c r="J1075" s="51">
        <v>46074</v>
      </c>
      <c r="K1075" s="50" t="s">
        <v>3</v>
      </c>
      <c r="L1075" s="50" t="s">
        <v>80</v>
      </c>
    </row>
    <row r="1076" spans="2:12">
      <c r="B1076" s="50" t="s">
        <v>474</v>
      </c>
      <c r="C1076" s="50" t="s">
        <v>51</v>
      </c>
      <c r="D1076" s="50" t="s">
        <v>27</v>
      </c>
      <c r="E1076" s="50">
        <v>50041195</v>
      </c>
      <c r="F1076" s="50" t="s">
        <v>206</v>
      </c>
      <c r="G1076" s="50">
        <v>1</v>
      </c>
      <c r="H1076" s="50" t="s">
        <v>2</v>
      </c>
      <c r="I1076" s="50" t="s">
        <v>291</v>
      </c>
      <c r="J1076" s="51">
        <v>46074</v>
      </c>
      <c r="K1076" s="50" t="s">
        <v>1</v>
      </c>
      <c r="L1076" s="50" t="s">
        <v>80</v>
      </c>
    </row>
    <row r="1077" spans="2:12">
      <c r="B1077" s="50" t="s">
        <v>474</v>
      </c>
      <c r="C1077" s="50" t="s">
        <v>51</v>
      </c>
      <c r="D1077" s="50" t="s">
        <v>27</v>
      </c>
      <c r="E1077" s="50">
        <v>50041195</v>
      </c>
      <c r="F1077" s="50" t="s">
        <v>206</v>
      </c>
      <c r="G1077" s="50">
        <v>1</v>
      </c>
      <c r="H1077" s="50" t="s">
        <v>2</v>
      </c>
      <c r="I1077" s="50" t="s">
        <v>291</v>
      </c>
      <c r="J1077" s="51">
        <v>46074</v>
      </c>
      <c r="K1077" s="50" t="s">
        <v>3</v>
      </c>
      <c r="L1077" s="50" t="s">
        <v>80</v>
      </c>
    </row>
    <row r="1078" spans="2:12">
      <c r="B1078" s="50" t="s">
        <v>458</v>
      </c>
      <c r="C1078" s="50" t="s">
        <v>26</v>
      </c>
      <c r="D1078" s="50" t="s">
        <v>27</v>
      </c>
      <c r="E1078" s="50">
        <v>50022878</v>
      </c>
      <c r="F1078" s="50" t="s">
        <v>296</v>
      </c>
      <c r="G1078" s="50">
        <v>1</v>
      </c>
      <c r="H1078" s="50" t="s">
        <v>2</v>
      </c>
      <c r="I1078" s="50" t="s">
        <v>291</v>
      </c>
      <c r="J1078" s="51">
        <v>46079</v>
      </c>
      <c r="K1078" s="50" t="s">
        <v>1</v>
      </c>
      <c r="L1078" s="50" t="s">
        <v>80</v>
      </c>
    </row>
    <row r="1079" spans="2:12">
      <c r="B1079" s="50" t="s">
        <v>483</v>
      </c>
      <c r="C1079" s="50" t="s">
        <v>62</v>
      </c>
      <c r="D1079" s="50" t="s">
        <v>27</v>
      </c>
      <c r="E1079" s="50">
        <v>50037892</v>
      </c>
      <c r="F1079" s="50" t="s">
        <v>178</v>
      </c>
      <c r="G1079" s="50">
        <v>1</v>
      </c>
      <c r="H1079" s="50" t="s">
        <v>2</v>
      </c>
      <c r="I1079" s="50" t="s">
        <v>291</v>
      </c>
      <c r="J1079" s="51">
        <v>46079</v>
      </c>
      <c r="K1079" s="50" t="s">
        <v>3</v>
      </c>
      <c r="L1079" s="50" t="s">
        <v>80</v>
      </c>
    </row>
    <row r="1080" spans="2:12">
      <c r="B1080" s="50" t="s">
        <v>278</v>
      </c>
      <c r="C1080" s="50" t="s">
        <v>62</v>
      </c>
      <c r="D1080" s="50" t="s">
        <v>27</v>
      </c>
      <c r="E1080" s="50">
        <v>50038662</v>
      </c>
      <c r="F1080" s="50" t="s">
        <v>193</v>
      </c>
      <c r="G1080" s="50">
        <v>1</v>
      </c>
      <c r="H1080" s="50" t="s">
        <v>2</v>
      </c>
      <c r="I1080" s="50" t="s">
        <v>291</v>
      </c>
      <c r="J1080" s="51">
        <v>46079</v>
      </c>
      <c r="K1080" s="50" t="s">
        <v>3</v>
      </c>
      <c r="L1080" s="50" t="s">
        <v>80</v>
      </c>
    </row>
    <row r="1081" spans="2:12">
      <c r="B1081" s="50" t="s">
        <v>458</v>
      </c>
      <c r="C1081" s="50" t="s">
        <v>26</v>
      </c>
      <c r="D1081" s="50" t="s">
        <v>27</v>
      </c>
      <c r="E1081" s="50">
        <v>50022878</v>
      </c>
      <c r="F1081" s="50" t="s">
        <v>296</v>
      </c>
      <c r="G1081" s="50">
        <v>1</v>
      </c>
      <c r="H1081" s="50" t="s">
        <v>2</v>
      </c>
      <c r="I1081" s="50" t="s">
        <v>291</v>
      </c>
      <c r="J1081" s="51">
        <v>46079</v>
      </c>
      <c r="K1081" s="50" t="s">
        <v>3</v>
      </c>
      <c r="L1081" s="50"/>
    </row>
    <row r="1082" spans="2:12">
      <c r="B1082" s="50" t="s">
        <v>463</v>
      </c>
      <c r="C1082" s="50" t="s">
        <v>356</v>
      </c>
      <c r="D1082" s="50" t="s">
        <v>27</v>
      </c>
      <c r="E1082" s="50">
        <v>50003173</v>
      </c>
      <c r="F1082" s="50" t="s">
        <v>74</v>
      </c>
      <c r="G1082" s="50">
        <v>1</v>
      </c>
      <c r="H1082" s="50" t="s">
        <v>2</v>
      </c>
      <c r="I1082" s="50" t="s">
        <v>289</v>
      </c>
      <c r="J1082" s="51">
        <v>46078</v>
      </c>
      <c r="K1082" s="50" t="s">
        <v>1</v>
      </c>
      <c r="L1082" s="50"/>
    </row>
    <row r="1083" spans="2:12">
      <c r="B1083" s="50" t="s">
        <v>461</v>
      </c>
      <c r="C1083" s="50" t="s">
        <v>26</v>
      </c>
      <c r="D1083" s="50" t="s">
        <v>39</v>
      </c>
      <c r="E1083" s="50">
        <v>50039065</v>
      </c>
      <c r="F1083" s="50" t="s">
        <v>186</v>
      </c>
      <c r="G1083" s="50">
        <v>1</v>
      </c>
      <c r="H1083" s="50" t="s">
        <v>2</v>
      </c>
      <c r="I1083" s="50" t="s">
        <v>289</v>
      </c>
      <c r="J1083" s="51">
        <v>46078</v>
      </c>
      <c r="K1083" s="50" t="s">
        <v>1</v>
      </c>
      <c r="L1083" s="50"/>
    </row>
    <row r="1084" spans="2:12">
      <c r="B1084" s="50" t="s">
        <v>407</v>
      </c>
      <c r="C1084" s="50" t="s">
        <v>26</v>
      </c>
      <c r="D1084" s="50" t="s">
        <v>39</v>
      </c>
      <c r="E1084" s="50">
        <v>50003297</v>
      </c>
      <c r="F1084" s="50" t="s">
        <v>158</v>
      </c>
      <c r="G1084" s="50">
        <v>1</v>
      </c>
      <c r="H1084" s="50" t="s">
        <v>2</v>
      </c>
      <c r="I1084" s="50" t="s">
        <v>289</v>
      </c>
      <c r="J1084" s="51">
        <v>46078</v>
      </c>
      <c r="K1084" s="50" t="s">
        <v>1</v>
      </c>
      <c r="L1084" s="50"/>
    </row>
    <row r="1085" spans="2:12">
      <c r="B1085" s="50" t="s">
        <v>478</v>
      </c>
      <c r="C1085" s="50" t="s">
        <v>51</v>
      </c>
      <c r="D1085" s="50" t="s">
        <v>27</v>
      </c>
      <c r="E1085" s="50">
        <v>50012902</v>
      </c>
      <c r="F1085" s="50" t="s">
        <v>225</v>
      </c>
      <c r="G1085" s="50">
        <v>1</v>
      </c>
      <c r="H1085" s="50" t="s">
        <v>2</v>
      </c>
      <c r="I1085" s="50" t="s">
        <v>289</v>
      </c>
      <c r="J1085" s="51">
        <v>46078</v>
      </c>
      <c r="K1085" s="50" t="s">
        <v>1</v>
      </c>
      <c r="L1085" s="50" t="s">
        <v>80</v>
      </c>
    </row>
    <row r="1086" spans="2:12">
      <c r="B1086" s="50" t="s">
        <v>483</v>
      </c>
      <c r="C1086" s="50" t="s">
        <v>62</v>
      </c>
      <c r="D1086" s="50" t="s">
        <v>27</v>
      </c>
      <c r="E1086" s="50">
        <v>50038626</v>
      </c>
      <c r="F1086" s="50" t="s">
        <v>190</v>
      </c>
      <c r="G1086" s="50">
        <v>1</v>
      </c>
      <c r="H1086" s="50" t="s">
        <v>2</v>
      </c>
      <c r="I1086" s="50" t="s">
        <v>289</v>
      </c>
      <c r="J1086" s="51">
        <v>46078</v>
      </c>
      <c r="K1086" s="50" t="s">
        <v>1</v>
      </c>
      <c r="L1086" s="50" t="s">
        <v>80</v>
      </c>
    </row>
    <row r="1087" spans="2:12">
      <c r="B1087" s="50" t="s">
        <v>446</v>
      </c>
      <c r="C1087" s="50" t="s">
        <v>56</v>
      </c>
      <c r="D1087" s="50" t="s">
        <v>27</v>
      </c>
      <c r="E1087" s="50">
        <v>50036086</v>
      </c>
      <c r="F1087" s="50" t="s">
        <v>28</v>
      </c>
      <c r="G1087" s="50">
        <v>1</v>
      </c>
      <c r="H1087" s="50" t="s">
        <v>2</v>
      </c>
      <c r="I1087" s="50" t="s">
        <v>293</v>
      </c>
      <c r="J1087" s="51">
        <v>46078</v>
      </c>
      <c r="K1087" s="50" t="s">
        <v>1</v>
      </c>
      <c r="L1087" s="50" t="s">
        <v>80</v>
      </c>
    </row>
    <row r="1088" spans="2:12">
      <c r="B1088" s="50" t="s">
        <v>483</v>
      </c>
      <c r="C1088" s="50" t="s">
        <v>62</v>
      </c>
      <c r="D1088" s="50" t="s">
        <v>27</v>
      </c>
      <c r="E1088" s="50">
        <v>50010031</v>
      </c>
      <c r="F1088" s="50" t="s">
        <v>89</v>
      </c>
      <c r="G1088" s="50">
        <v>1</v>
      </c>
      <c r="H1088" s="50" t="s">
        <v>2</v>
      </c>
      <c r="I1088" s="50" t="s">
        <v>293</v>
      </c>
      <c r="J1088" s="51">
        <v>46078</v>
      </c>
      <c r="K1088" s="50" t="s">
        <v>1</v>
      </c>
      <c r="L1088" s="50" t="s">
        <v>80</v>
      </c>
    </row>
    <row r="1089" spans="2:12">
      <c r="B1089" s="50" t="s">
        <v>483</v>
      </c>
      <c r="C1089" s="50" t="s">
        <v>62</v>
      </c>
      <c r="D1089" s="50" t="s">
        <v>27</v>
      </c>
      <c r="E1089" s="50">
        <v>50026357</v>
      </c>
      <c r="F1089" s="50" t="s">
        <v>192</v>
      </c>
      <c r="G1089" s="50">
        <v>1</v>
      </c>
      <c r="H1089" s="50" t="s">
        <v>2</v>
      </c>
      <c r="I1089" s="50" t="s">
        <v>293</v>
      </c>
      <c r="J1089" s="51">
        <v>46078</v>
      </c>
      <c r="K1089" s="50" t="s">
        <v>1</v>
      </c>
      <c r="L1089" s="50" t="s">
        <v>80</v>
      </c>
    </row>
    <row r="1090" spans="2:12">
      <c r="B1090" s="50" t="s">
        <v>458</v>
      </c>
      <c r="C1090" s="50" t="s">
        <v>26</v>
      </c>
      <c r="D1090" s="50" t="s">
        <v>27</v>
      </c>
      <c r="E1090" s="50">
        <v>50039718</v>
      </c>
      <c r="F1090" s="50" t="s">
        <v>149</v>
      </c>
      <c r="G1090" s="50">
        <v>1</v>
      </c>
      <c r="H1090" s="50" t="s">
        <v>2</v>
      </c>
      <c r="I1090" s="50" t="s">
        <v>293</v>
      </c>
      <c r="J1090" s="51">
        <v>46078</v>
      </c>
      <c r="K1090" s="50" t="s">
        <v>1</v>
      </c>
      <c r="L1090" s="50" t="s">
        <v>80</v>
      </c>
    </row>
    <row r="1091" spans="2:12">
      <c r="B1091" s="50" t="s">
        <v>345</v>
      </c>
      <c r="C1091" s="50" t="s">
        <v>62</v>
      </c>
      <c r="D1091" s="50" t="s">
        <v>27</v>
      </c>
      <c r="E1091" s="50">
        <v>50020624</v>
      </c>
      <c r="F1091" s="50" t="s">
        <v>217</v>
      </c>
      <c r="G1091" s="50">
        <v>1</v>
      </c>
      <c r="H1091" s="50" t="s">
        <v>2</v>
      </c>
      <c r="I1091" s="50" t="s">
        <v>293</v>
      </c>
      <c r="J1091" s="51">
        <v>46078</v>
      </c>
      <c r="K1091" s="50" t="s">
        <v>1</v>
      </c>
      <c r="L1091" s="50" t="s">
        <v>80</v>
      </c>
    </row>
    <row r="1092" spans="2:12">
      <c r="B1092" s="50" t="s">
        <v>345</v>
      </c>
      <c r="C1092" s="50" t="s">
        <v>62</v>
      </c>
      <c r="D1092" s="50" t="s">
        <v>27</v>
      </c>
      <c r="E1092" s="50">
        <v>50043471</v>
      </c>
      <c r="F1092" s="50" t="s">
        <v>257</v>
      </c>
      <c r="G1092" s="50">
        <v>1</v>
      </c>
      <c r="H1092" s="50" t="s">
        <v>2</v>
      </c>
      <c r="I1092" s="50" t="s">
        <v>293</v>
      </c>
      <c r="J1092" s="51">
        <v>46078</v>
      </c>
      <c r="K1092" s="50" t="s">
        <v>1</v>
      </c>
      <c r="L1092" s="50" t="s">
        <v>80</v>
      </c>
    </row>
    <row r="1093" spans="2:12">
      <c r="B1093" s="50" t="s">
        <v>345</v>
      </c>
      <c r="C1093" s="50" t="s">
        <v>62</v>
      </c>
      <c r="D1093" s="50" t="s">
        <v>27</v>
      </c>
      <c r="E1093" s="50">
        <v>50046617</v>
      </c>
      <c r="F1093" s="50" t="s">
        <v>365</v>
      </c>
      <c r="G1093" s="50">
        <v>1</v>
      </c>
      <c r="H1093" s="50" t="s">
        <v>2</v>
      </c>
      <c r="I1093" s="50" t="s">
        <v>293</v>
      </c>
      <c r="J1093" s="51">
        <v>46078</v>
      </c>
      <c r="K1093" s="50" t="s">
        <v>1</v>
      </c>
      <c r="L1093" s="50" t="s">
        <v>80</v>
      </c>
    </row>
    <row r="1094" spans="2:12">
      <c r="B1094" s="50" t="s">
        <v>277</v>
      </c>
      <c r="C1094" s="50" t="s">
        <v>62</v>
      </c>
      <c r="D1094" s="50" t="s">
        <v>27</v>
      </c>
      <c r="E1094" s="50">
        <v>50038517</v>
      </c>
      <c r="F1094" s="50" t="s">
        <v>181</v>
      </c>
      <c r="G1094" s="50">
        <v>1</v>
      </c>
      <c r="H1094" s="50" t="s">
        <v>2</v>
      </c>
      <c r="I1094" s="50" t="s">
        <v>293</v>
      </c>
      <c r="J1094" s="51">
        <v>46078</v>
      </c>
      <c r="K1094" s="50" t="s">
        <v>1</v>
      </c>
      <c r="L1094" s="50" t="s">
        <v>80</v>
      </c>
    </row>
    <row r="1095" spans="2:12">
      <c r="B1095" s="50" t="s">
        <v>385</v>
      </c>
      <c r="C1095" s="50" t="s">
        <v>56</v>
      </c>
      <c r="D1095" s="50" t="s">
        <v>41</v>
      </c>
      <c r="E1095" s="50">
        <v>50043320</v>
      </c>
      <c r="F1095" s="50" t="s">
        <v>264</v>
      </c>
      <c r="G1095" s="50">
        <v>1</v>
      </c>
      <c r="H1095" s="50" t="s">
        <v>2</v>
      </c>
      <c r="I1095" s="50" t="s">
        <v>293</v>
      </c>
      <c r="J1095" s="51">
        <v>46078</v>
      </c>
      <c r="K1095" s="50" t="s">
        <v>1</v>
      </c>
      <c r="L1095" s="50" t="s">
        <v>80</v>
      </c>
    </row>
    <row r="1096" spans="2:12">
      <c r="B1096" s="50" t="s">
        <v>386</v>
      </c>
      <c r="C1096" s="50" t="s">
        <v>62</v>
      </c>
      <c r="D1096" s="50" t="s">
        <v>27</v>
      </c>
      <c r="E1096" s="50">
        <v>50041195</v>
      </c>
      <c r="F1096" s="50" t="s">
        <v>206</v>
      </c>
      <c r="G1096" s="50">
        <v>1</v>
      </c>
      <c r="H1096" s="50" t="s">
        <v>2</v>
      </c>
      <c r="I1096" s="50" t="s">
        <v>293</v>
      </c>
      <c r="J1096" s="51">
        <v>46078</v>
      </c>
      <c r="K1096" s="50" t="s">
        <v>1</v>
      </c>
      <c r="L1096" s="50" t="s">
        <v>80</v>
      </c>
    </row>
    <row r="1097" spans="2:12">
      <c r="B1097" s="50" t="s">
        <v>316</v>
      </c>
      <c r="C1097" s="50" t="s">
        <v>56</v>
      </c>
      <c r="D1097" s="50" t="s">
        <v>27</v>
      </c>
      <c r="E1097" s="50">
        <v>50037892</v>
      </c>
      <c r="F1097" s="50" t="s">
        <v>178</v>
      </c>
      <c r="G1097" s="50">
        <v>1</v>
      </c>
      <c r="H1097" s="50" t="s">
        <v>2</v>
      </c>
      <c r="I1097" s="50" t="s">
        <v>293</v>
      </c>
      <c r="J1097" s="51">
        <v>46078</v>
      </c>
      <c r="K1097" s="50" t="s">
        <v>1</v>
      </c>
      <c r="L1097" s="50" t="s">
        <v>80</v>
      </c>
    </row>
    <row r="1098" spans="2:12">
      <c r="B1098" s="50" t="s">
        <v>461</v>
      </c>
      <c r="C1098" s="50" t="s">
        <v>26</v>
      </c>
      <c r="D1098" s="50" t="s">
        <v>39</v>
      </c>
      <c r="E1098" s="50">
        <v>50039065</v>
      </c>
      <c r="F1098" s="50" t="s">
        <v>186</v>
      </c>
      <c r="G1098" s="50">
        <v>1</v>
      </c>
      <c r="H1098" s="50" t="s">
        <v>2</v>
      </c>
      <c r="I1098" s="50" t="s">
        <v>293</v>
      </c>
      <c r="J1098" s="51">
        <v>46078</v>
      </c>
      <c r="K1098" s="50" t="s">
        <v>3</v>
      </c>
      <c r="L1098" s="50" t="s">
        <v>80</v>
      </c>
    </row>
    <row r="1099" spans="2:12">
      <c r="B1099" s="50" t="s">
        <v>407</v>
      </c>
      <c r="C1099" s="50" t="s">
        <v>26</v>
      </c>
      <c r="D1099" s="50" t="s">
        <v>39</v>
      </c>
      <c r="E1099" s="50">
        <v>50003297</v>
      </c>
      <c r="F1099" s="50" t="s">
        <v>158</v>
      </c>
      <c r="G1099" s="50">
        <v>1</v>
      </c>
      <c r="H1099" s="50" t="s">
        <v>2</v>
      </c>
      <c r="I1099" s="50" t="s">
        <v>293</v>
      </c>
      <c r="J1099" s="51">
        <v>46078</v>
      </c>
      <c r="K1099" s="50" t="s">
        <v>3</v>
      </c>
      <c r="L1099" s="50" t="s">
        <v>80</v>
      </c>
    </row>
    <row r="1100" spans="2:12">
      <c r="B1100" s="50" t="s">
        <v>277</v>
      </c>
      <c r="C1100" s="50" t="s">
        <v>62</v>
      </c>
      <c r="D1100" s="50" t="s">
        <v>27</v>
      </c>
      <c r="E1100" s="50">
        <v>50038517</v>
      </c>
      <c r="F1100" s="50" t="s">
        <v>181</v>
      </c>
      <c r="G1100" s="50">
        <v>1</v>
      </c>
      <c r="H1100" s="50" t="s">
        <v>2</v>
      </c>
      <c r="I1100" s="50" t="s">
        <v>293</v>
      </c>
      <c r="J1100" s="51">
        <v>46078</v>
      </c>
      <c r="K1100" s="50" t="s">
        <v>3</v>
      </c>
      <c r="L1100" s="50" t="s">
        <v>80</v>
      </c>
    </row>
    <row r="1101" spans="2:12">
      <c r="B1101" s="50" t="s">
        <v>363</v>
      </c>
      <c r="C1101" s="50" t="s">
        <v>26</v>
      </c>
      <c r="D1101" s="50" t="s">
        <v>41</v>
      </c>
      <c r="E1101" s="50">
        <v>50039065</v>
      </c>
      <c r="F1101" s="50" t="s">
        <v>186</v>
      </c>
      <c r="G1101" s="50">
        <v>1</v>
      </c>
      <c r="H1101" s="50" t="s">
        <v>2</v>
      </c>
      <c r="I1101" s="50" t="s">
        <v>293</v>
      </c>
      <c r="J1101" s="51">
        <v>46078</v>
      </c>
      <c r="K1101" s="50" t="s">
        <v>1</v>
      </c>
      <c r="L1101" s="50" t="s">
        <v>80</v>
      </c>
    </row>
    <row r="1102" spans="2:12">
      <c r="B1102" s="50" t="s">
        <v>363</v>
      </c>
      <c r="C1102" s="50" t="s">
        <v>26</v>
      </c>
      <c r="D1102" s="50" t="s">
        <v>41</v>
      </c>
      <c r="E1102" s="50">
        <v>50038517</v>
      </c>
      <c r="F1102" s="50" t="s">
        <v>181</v>
      </c>
      <c r="G1102" s="50">
        <v>1</v>
      </c>
      <c r="H1102" s="50" t="s">
        <v>2</v>
      </c>
      <c r="I1102" s="50" t="s">
        <v>293</v>
      </c>
      <c r="J1102" s="51">
        <v>46078</v>
      </c>
      <c r="K1102" s="50" t="s">
        <v>1</v>
      </c>
      <c r="L1102" s="50" t="s">
        <v>80</v>
      </c>
    </row>
    <row r="1103" spans="2:12">
      <c r="B1103" s="50" t="s">
        <v>386</v>
      </c>
      <c r="C1103" s="50" t="s">
        <v>62</v>
      </c>
      <c r="D1103" s="50" t="s">
        <v>27</v>
      </c>
      <c r="E1103" s="50">
        <v>50041195</v>
      </c>
      <c r="F1103" s="50" t="s">
        <v>206</v>
      </c>
      <c r="G1103" s="50">
        <v>1</v>
      </c>
      <c r="H1103" s="50" t="s">
        <v>2</v>
      </c>
      <c r="I1103" s="50" t="s">
        <v>292</v>
      </c>
      <c r="J1103" s="51">
        <v>46078</v>
      </c>
      <c r="K1103" s="50" t="s">
        <v>3</v>
      </c>
      <c r="L1103" s="50" t="s">
        <v>80</v>
      </c>
    </row>
    <row r="1104" spans="2:12">
      <c r="B1104" s="50" t="s">
        <v>385</v>
      </c>
      <c r="C1104" s="50" t="s">
        <v>56</v>
      </c>
      <c r="D1104" s="50" t="s">
        <v>41</v>
      </c>
      <c r="E1104" s="50">
        <v>50041195</v>
      </c>
      <c r="F1104" s="50" t="s">
        <v>206</v>
      </c>
      <c r="G1104" s="50">
        <v>1</v>
      </c>
      <c r="H1104" s="50" t="s">
        <v>2</v>
      </c>
      <c r="I1104" s="50" t="s">
        <v>292</v>
      </c>
      <c r="J1104" s="51">
        <v>46078</v>
      </c>
      <c r="K1104" s="50" t="s">
        <v>1</v>
      </c>
      <c r="L1104" s="50" t="s">
        <v>80</v>
      </c>
    </row>
    <row r="1105" spans="2:12">
      <c r="B1105" s="50" t="s">
        <v>458</v>
      </c>
      <c r="C1105" s="50" t="s">
        <v>26</v>
      </c>
      <c r="D1105" s="50" t="s">
        <v>27</v>
      </c>
      <c r="E1105" s="50">
        <v>50039718</v>
      </c>
      <c r="F1105" s="50" t="s">
        <v>149</v>
      </c>
      <c r="G1105" s="50">
        <v>1</v>
      </c>
      <c r="H1105" s="50" t="s">
        <v>2</v>
      </c>
      <c r="I1105" s="50" t="s">
        <v>293</v>
      </c>
      <c r="J1105" s="51">
        <v>46078</v>
      </c>
      <c r="K1105" s="50" t="s">
        <v>3</v>
      </c>
      <c r="L1105" s="50" t="s">
        <v>80</v>
      </c>
    </row>
    <row r="1106" spans="2:12">
      <c r="B1106" s="50" t="s">
        <v>347</v>
      </c>
      <c r="C1106" s="50" t="s">
        <v>26</v>
      </c>
      <c r="D1106" s="50" t="s">
        <v>41</v>
      </c>
      <c r="E1106" s="50">
        <v>50037905</v>
      </c>
      <c r="F1106" s="50" t="s">
        <v>150</v>
      </c>
      <c r="G1106" s="50">
        <v>1</v>
      </c>
      <c r="H1106" s="50" t="s">
        <v>2</v>
      </c>
      <c r="I1106" s="50" t="s">
        <v>293</v>
      </c>
      <c r="J1106" s="51">
        <v>46078</v>
      </c>
      <c r="K1106" s="50" t="s">
        <v>1</v>
      </c>
      <c r="L1106" s="50" t="s">
        <v>80</v>
      </c>
    </row>
    <row r="1107" spans="2:12">
      <c r="B1107" s="50" t="s">
        <v>316</v>
      </c>
      <c r="C1107" s="50" t="s">
        <v>56</v>
      </c>
      <c r="D1107" s="50" t="s">
        <v>27</v>
      </c>
      <c r="E1107" s="50">
        <v>50037892</v>
      </c>
      <c r="F1107" s="50" t="s">
        <v>178</v>
      </c>
      <c r="G1107" s="50">
        <v>1</v>
      </c>
      <c r="H1107" s="50" t="s">
        <v>2</v>
      </c>
      <c r="I1107" s="50" t="s">
        <v>293</v>
      </c>
      <c r="J1107" s="51">
        <v>46078</v>
      </c>
      <c r="K1107" s="50" t="s">
        <v>3</v>
      </c>
      <c r="L1107" s="50" t="s">
        <v>80</v>
      </c>
    </row>
    <row r="1108" spans="2:12">
      <c r="B1108" s="50" t="s">
        <v>270</v>
      </c>
      <c r="C1108" s="50" t="s">
        <v>51</v>
      </c>
      <c r="D1108" s="50" t="s">
        <v>27</v>
      </c>
      <c r="E1108" s="50">
        <v>50030486</v>
      </c>
      <c r="F1108" s="50" t="s">
        <v>153</v>
      </c>
      <c r="G1108" s="50">
        <v>1</v>
      </c>
      <c r="H1108" s="50" t="s">
        <v>2</v>
      </c>
      <c r="I1108" s="50" t="s">
        <v>293</v>
      </c>
      <c r="J1108" s="51">
        <v>46078</v>
      </c>
      <c r="K1108" s="50" t="s">
        <v>1</v>
      </c>
      <c r="L1108" s="50" t="s">
        <v>80</v>
      </c>
    </row>
    <row r="1109" spans="2:12">
      <c r="B1109" s="50" t="s">
        <v>446</v>
      </c>
      <c r="C1109" s="50" t="s">
        <v>56</v>
      </c>
      <c r="D1109" s="50" t="s">
        <v>27</v>
      </c>
      <c r="E1109" s="50">
        <v>50036086</v>
      </c>
      <c r="F1109" s="50" t="s">
        <v>28</v>
      </c>
      <c r="G1109" s="50">
        <v>1</v>
      </c>
      <c r="H1109" s="50" t="s">
        <v>2</v>
      </c>
      <c r="I1109" s="50" t="s">
        <v>293</v>
      </c>
      <c r="J1109" s="51">
        <v>46078</v>
      </c>
      <c r="K1109" s="50" t="s">
        <v>3</v>
      </c>
      <c r="L1109" s="50" t="s">
        <v>80</v>
      </c>
    </row>
    <row r="1110" spans="2:12">
      <c r="B1110" s="50" t="s">
        <v>270</v>
      </c>
      <c r="C1110" s="50" t="s">
        <v>51</v>
      </c>
      <c r="D1110" s="50" t="s">
        <v>27</v>
      </c>
      <c r="E1110" s="50">
        <v>50030486</v>
      </c>
      <c r="F1110" s="50" t="s">
        <v>153</v>
      </c>
      <c r="G1110" s="50">
        <v>1</v>
      </c>
      <c r="H1110" s="50" t="s">
        <v>2</v>
      </c>
      <c r="I1110" s="50" t="s">
        <v>293</v>
      </c>
      <c r="J1110" s="51">
        <v>46078</v>
      </c>
      <c r="K1110" s="50" t="s">
        <v>3</v>
      </c>
      <c r="L1110" s="50" t="s">
        <v>80</v>
      </c>
    </row>
    <row r="1111" spans="2:12">
      <c r="B1111" s="50" t="s">
        <v>412</v>
      </c>
      <c r="C1111" s="50" t="s">
        <v>51</v>
      </c>
      <c r="D1111" s="50" t="s">
        <v>41</v>
      </c>
      <c r="E1111" s="50">
        <v>50037892</v>
      </c>
      <c r="F1111" s="50" t="s">
        <v>178</v>
      </c>
      <c r="G1111" s="50">
        <v>1</v>
      </c>
      <c r="H1111" s="50" t="s">
        <v>2</v>
      </c>
      <c r="I1111" s="50" t="s">
        <v>293</v>
      </c>
      <c r="J1111" s="51">
        <v>46078</v>
      </c>
      <c r="K1111" s="50" t="s">
        <v>1</v>
      </c>
      <c r="L1111" s="50" t="s">
        <v>80</v>
      </c>
    </row>
    <row r="1112" spans="2:12">
      <c r="B1112" s="50" t="s">
        <v>347</v>
      </c>
      <c r="C1112" s="50" t="s">
        <v>26</v>
      </c>
      <c r="D1112" s="50" t="s">
        <v>41</v>
      </c>
      <c r="E1112" s="50">
        <v>50037905</v>
      </c>
      <c r="F1112" s="50" t="s">
        <v>150</v>
      </c>
      <c r="G1112" s="50">
        <v>1</v>
      </c>
      <c r="H1112" s="50" t="s">
        <v>2</v>
      </c>
      <c r="I1112" s="50" t="s">
        <v>292</v>
      </c>
      <c r="J1112" s="51">
        <v>46078</v>
      </c>
      <c r="K1112" s="50" t="s">
        <v>3</v>
      </c>
      <c r="L1112" s="50" t="s">
        <v>80</v>
      </c>
    </row>
    <row r="1113" spans="2:12">
      <c r="B1113" s="50" t="s">
        <v>483</v>
      </c>
      <c r="C1113" s="50" t="s">
        <v>62</v>
      </c>
      <c r="D1113" s="50" t="s">
        <v>27</v>
      </c>
      <c r="E1113" s="50">
        <v>50026357</v>
      </c>
      <c r="F1113" s="50" t="s">
        <v>192</v>
      </c>
      <c r="G1113" s="50">
        <v>1</v>
      </c>
      <c r="H1113" s="50" t="s">
        <v>2</v>
      </c>
      <c r="I1113" s="50" t="s">
        <v>292</v>
      </c>
      <c r="J1113" s="51">
        <v>46078</v>
      </c>
      <c r="K1113" s="50" t="s">
        <v>3</v>
      </c>
      <c r="L1113" s="50" t="s">
        <v>80</v>
      </c>
    </row>
    <row r="1114" spans="2:12">
      <c r="B1114" s="50" t="s">
        <v>270</v>
      </c>
      <c r="C1114" s="50" t="s">
        <v>51</v>
      </c>
      <c r="D1114" s="50" t="s">
        <v>27</v>
      </c>
      <c r="E1114" s="50">
        <v>50003297</v>
      </c>
      <c r="F1114" s="50" t="s">
        <v>158</v>
      </c>
      <c r="G1114" s="50">
        <v>1</v>
      </c>
      <c r="H1114" s="50" t="s">
        <v>2</v>
      </c>
      <c r="I1114" s="50" t="s">
        <v>292</v>
      </c>
      <c r="J1114" s="51">
        <v>46078</v>
      </c>
      <c r="K1114" s="50" t="s">
        <v>1</v>
      </c>
      <c r="L1114" s="50" t="s">
        <v>80</v>
      </c>
    </row>
    <row r="1115" spans="2:12">
      <c r="B1115" s="50" t="s">
        <v>463</v>
      </c>
      <c r="C1115" s="50" t="s">
        <v>356</v>
      </c>
      <c r="D1115" s="50" t="s">
        <v>27</v>
      </c>
      <c r="E1115" s="50">
        <v>50038854</v>
      </c>
      <c r="F1115" s="50" t="s">
        <v>101</v>
      </c>
      <c r="G1115" s="50">
        <v>1</v>
      </c>
      <c r="H1115" s="50" t="s">
        <v>2</v>
      </c>
      <c r="I1115" s="50" t="s">
        <v>290</v>
      </c>
      <c r="J1115" s="51">
        <v>46078</v>
      </c>
      <c r="K1115" s="50" t="s">
        <v>1</v>
      </c>
      <c r="L1115" s="50" t="s">
        <v>80</v>
      </c>
    </row>
    <row r="1116" spans="2:12">
      <c r="B1116" s="50" t="s">
        <v>463</v>
      </c>
      <c r="C1116" s="50" t="s">
        <v>356</v>
      </c>
      <c r="D1116" s="50" t="s">
        <v>27</v>
      </c>
      <c r="E1116" s="50">
        <v>50038854</v>
      </c>
      <c r="F1116" s="50" t="s">
        <v>101</v>
      </c>
      <c r="G1116" s="50">
        <v>1</v>
      </c>
      <c r="H1116" s="50" t="s">
        <v>2</v>
      </c>
      <c r="I1116" s="50" t="s">
        <v>290</v>
      </c>
      <c r="J1116" s="51">
        <v>46078</v>
      </c>
      <c r="K1116" s="50" t="s">
        <v>3</v>
      </c>
      <c r="L1116" s="50" t="s">
        <v>80</v>
      </c>
    </row>
    <row r="1117" spans="2:12">
      <c r="B1117" s="50" t="s">
        <v>270</v>
      </c>
      <c r="C1117" s="50" t="s">
        <v>51</v>
      </c>
      <c r="D1117" s="50" t="s">
        <v>27</v>
      </c>
      <c r="E1117" s="50">
        <v>50003297</v>
      </c>
      <c r="F1117" s="50" t="s">
        <v>158</v>
      </c>
      <c r="G1117" s="50">
        <v>1</v>
      </c>
      <c r="H1117" s="50" t="s">
        <v>2</v>
      </c>
      <c r="I1117" s="50" t="s">
        <v>291</v>
      </c>
      <c r="J1117" s="51">
        <v>46078</v>
      </c>
      <c r="K1117" s="50" t="s">
        <v>3</v>
      </c>
      <c r="L1117" s="50" t="s">
        <v>80</v>
      </c>
    </row>
    <row r="1118" spans="2:12">
      <c r="B1118" s="50" t="s">
        <v>437</v>
      </c>
      <c r="C1118" s="50" t="s">
        <v>51</v>
      </c>
      <c r="D1118" s="50" t="s">
        <v>41</v>
      </c>
      <c r="E1118" s="50">
        <v>50003297</v>
      </c>
      <c r="F1118" s="50" t="s">
        <v>158</v>
      </c>
      <c r="G1118" s="50">
        <v>1</v>
      </c>
      <c r="H1118" s="50" t="s">
        <v>2</v>
      </c>
      <c r="I1118" s="50" t="s">
        <v>291</v>
      </c>
      <c r="J1118" s="51">
        <v>46078</v>
      </c>
      <c r="K1118" s="50" t="s">
        <v>1</v>
      </c>
      <c r="L1118" s="50" t="s">
        <v>80</v>
      </c>
    </row>
    <row r="1119" spans="2:12">
      <c r="B1119" s="50" t="s">
        <v>439</v>
      </c>
      <c r="C1119" s="50" t="s">
        <v>62</v>
      </c>
      <c r="D1119" s="50" t="s">
        <v>27</v>
      </c>
      <c r="E1119" s="50">
        <v>50038549</v>
      </c>
      <c r="F1119" s="50" t="s">
        <v>173</v>
      </c>
      <c r="G1119" s="50">
        <v>1</v>
      </c>
      <c r="H1119" s="50" t="s">
        <v>2</v>
      </c>
      <c r="I1119" s="50" t="s">
        <v>291</v>
      </c>
      <c r="J1119" s="51">
        <v>46078</v>
      </c>
      <c r="K1119" s="50" t="s">
        <v>3</v>
      </c>
      <c r="L1119" s="50" t="s">
        <v>80</v>
      </c>
    </row>
    <row r="1120" spans="2:12">
      <c r="B1120" s="50" t="s">
        <v>345</v>
      </c>
      <c r="C1120" s="50" t="s">
        <v>62</v>
      </c>
      <c r="D1120" s="50" t="s">
        <v>27</v>
      </c>
      <c r="E1120" s="50">
        <v>50020624</v>
      </c>
      <c r="F1120" s="50" t="s">
        <v>217</v>
      </c>
      <c r="G1120" s="50">
        <v>1</v>
      </c>
      <c r="H1120" s="50" t="s">
        <v>2</v>
      </c>
      <c r="I1120" s="50" t="s">
        <v>291</v>
      </c>
      <c r="J1120" s="51">
        <v>46078</v>
      </c>
      <c r="K1120" s="50" t="s">
        <v>3</v>
      </c>
      <c r="L1120" s="50" t="s">
        <v>80</v>
      </c>
    </row>
    <row r="1121" spans="2:12">
      <c r="B1121" s="50" t="s">
        <v>345</v>
      </c>
      <c r="C1121" s="50" t="s">
        <v>62</v>
      </c>
      <c r="D1121" s="50" t="s">
        <v>27</v>
      </c>
      <c r="E1121" s="50">
        <v>50043471</v>
      </c>
      <c r="F1121" s="50" t="s">
        <v>257</v>
      </c>
      <c r="G1121" s="50">
        <v>1</v>
      </c>
      <c r="H1121" s="50" t="s">
        <v>2</v>
      </c>
      <c r="I1121" s="50" t="s">
        <v>291</v>
      </c>
      <c r="J1121" s="51">
        <v>46078</v>
      </c>
      <c r="K1121" s="50" t="s">
        <v>3</v>
      </c>
      <c r="L1121" s="50" t="s">
        <v>80</v>
      </c>
    </row>
    <row r="1122" spans="2:12">
      <c r="B1122" s="50" t="s">
        <v>345</v>
      </c>
      <c r="C1122" s="50" t="s">
        <v>62</v>
      </c>
      <c r="D1122" s="50" t="s">
        <v>27</v>
      </c>
      <c r="E1122" s="50">
        <v>50046617</v>
      </c>
      <c r="F1122" s="50" t="s">
        <v>365</v>
      </c>
      <c r="G1122" s="50">
        <v>1</v>
      </c>
      <c r="H1122" s="50" t="s">
        <v>2</v>
      </c>
      <c r="I1122" s="50" t="s">
        <v>291</v>
      </c>
      <c r="J1122" s="51">
        <v>46078</v>
      </c>
      <c r="K1122" s="50" t="s">
        <v>3</v>
      </c>
      <c r="L1122" s="50" t="s">
        <v>80</v>
      </c>
    </row>
    <row r="1123" spans="2:12">
      <c r="B1123" s="50" t="s">
        <v>478</v>
      </c>
      <c r="C1123" s="50" t="s">
        <v>51</v>
      </c>
      <c r="D1123" s="50" t="s">
        <v>27</v>
      </c>
      <c r="E1123" s="50">
        <v>50007151</v>
      </c>
      <c r="F1123" s="50" t="s">
        <v>223</v>
      </c>
      <c r="G1123" s="50">
        <v>1</v>
      </c>
      <c r="H1123" s="50" t="s">
        <v>2</v>
      </c>
      <c r="I1123" s="50" t="s">
        <v>291</v>
      </c>
      <c r="J1123" s="51">
        <v>46078</v>
      </c>
      <c r="K1123" s="50" t="s">
        <v>3</v>
      </c>
      <c r="L1123" s="50" t="s">
        <v>80</v>
      </c>
    </row>
    <row r="1124" spans="2:12">
      <c r="B1124" s="50" t="s">
        <v>478</v>
      </c>
      <c r="C1124" s="50" t="s">
        <v>51</v>
      </c>
      <c r="D1124" s="50" t="s">
        <v>27</v>
      </c>
      <c r="E1124" s="50">
        <v>50012902</v>
      </c>
      <c r="F1124" s="50" t="s">
        <v>225</v>
      </c>
      <c r="G1124" s="50">
        <v>1</v>
      </c>
      <c r="H1124" s="50" t="s">
        <v>2</v>
      </c>
      <c r="I1124" s="50" t="s">
        <v>291</v>
      </c>
      <c r="J1124" s="51">
        <v>46078</v>
      </c>
      <c r="K1124" s="50" t="s">
        <v>3</v>
      </c>
      <c r="L1124" s="50" t="s">
        <v>80</v>
      </c>
    </row>
    <row r="1125" spans="2:12">
      <c r="B1125" s="50" t="s">
        <v>437</v>
      </c>
      <c r="C1125" s="50" t="s">
        <v>51</v>
      </c>
      <c r="D1125" s="50" t="s">
        <v>41</v>
      </c>
      <c r="E1125" s="50">
        <v>50003297</v>
      </c>
      <c r="F1125" s="50" t="s">
        <v>158</v>
      </c>
      <c r="G1125" s="50">
        <v>1</v>
      </c>
      <c r="H1125" s="50" t="s">
        <v>2</v>
      </c>
      <c r="I1125" s="50" t="s">
        <v>291</v>
      </c>
      <c r="J1125" s="51">
        <v>46078</v>
      </c>
      <c r="K1125" s="50" t="s">
        <v>3</v>
      </c>
      <c r="L1125" s="50" t="s">
        <v>80</v>
      </c>
    </row>
    <row r="1126" spans="2:12">
      <c r="B1126" s="50" t="s">
        <v>439</v>
      </c>
      <c r="C1126" s="50" t="s">
        <v>62</v>
      </c>
      <c r="D1126" s="50" t="s">
        <v>27</v>
      </c>
      <c r="E1126" s="50">
        <v>50038549</v>
      </c>
      <c r="F1126" s="50" t="s">
        <v>173</v>
      </c>
      <c r="G1126" s="50">
        <v>1</v>
      </c>
      <c r="H1126" s="50" t="s">
        <v>2</v>
      </c>
      <c r="I1126" s="50" t="s">
        <v>291</v>
      </c>
      <c r="J1126" s="51">
        <v>46078</v>
      </c>
      <c r="K1126" s="50" t="s">
        <v>1</v>
      </c>
      <c r="L1126" s="50" t="s">
        <v>80</v>
      </c>
    </row>
    <row r="1127" spans="2:12">
      <c r="B1127" s="50" t="s">
        <v>422</v>
      </c>
      <c r="C1127" s="50" t="s">
        <v>26</v>
      </c>
      <c r="D1127" s="50" t="s">
        <v>27</v>
      </c>
      <c r="E1127" s="50">
        <v>50022878</v>
      </c>
      <c r="F1127" s="50" t="s">
        <v>296</v>
      </c>
      <c r="G1127" s="50">
        <v>1</v>
      </c>
      <c r="H1127" s="50" t="s">
        <v>2</v>
      </c>
      <c r="I1127" s="50" t="s">
        <v>291</v>
      </c>
      <c r="J1127" s="51">
        <v>46078</v>
      </c>
      <c r="K1127" s="50" t="s">
        <v>1</v>
      </c>
      <c r="L1127" s="50" t="s">
        <v>80</v>
      </c>
    </row>
    <row r="1128" spans="2:12">
      <c r="B1128" s="50" t="s">
        <v>439</v>
      </c>
      <c r="C1128" s="50" t="s">
        <v>62</v>
      </c>
      <c r="D1128" s="50" t="s">
        <v>27</v>
      </c>
      <c r="E1128" s="50">
        <v>50038549</v>
      </c>
      <c r="F1128" s="50" t="s">
        <v>173</v>
      </c>
      <c r="G1128" s="50">
        <v>1</v>
      </c>
      <c r="H1128" s="50" t="s">
        <v>2</v>
      </c>
      <c r="I1128" s="50" t="s">
        <v>291</v>
      </c>
      <c r="J1128" s="51">
        <v>46078</v>
      </c>
      <c r="K1128" s="50" t="s">
        <v>3</v>
      </c>
      <c r="L1128" s="50" t="s">
        <v>80</v>
      </c>
    </row>
    <row r="1129" spans="2:12">
      <c r="B1129" s="50" t="s">
        <v>463</v>
      </c>
      <c r="C1129" s="50" t="s">
        <v>356</v>
      </c>
      <c r="D1129" s="50" t="s">
        <v>27</v>
      </c>
      <c r="E1129" s="50">
        <v>50003173</v>
      </c>
      <c r="F1129" s="50" t="s">
        <v>74</v>
      </c>
      <c r="G1129" s="50">
        <v>1</v>
      </c>
      <c r="H1129" s="50" t="s">
        <v>2</v>
      </c>
      <c r="I1129" s="50" t="s">
        <v>291</v>
      </c>
      <c r="J1129" s="51">
        <v>46078</v>
      </c>
      <c r="K1129" s="50" t="s">
        <v>3</v>
      </c>
      <c r="L1129" s="50" t="s">
        <v>80</v>
      </c>
    </row>
    <row r="1130" spans="2:12">
      <c r="B1130" s="50" t="s">
        <v>483</v>
      </c>
      <c r="C1130" s="50" t="s">
        <v>62</v>
      </c>
      <c r="D1130" s="50" t="s">
        <v>27</v>
      </c>
      <c r="E1130" s="50">
        <v>50038626</v>
      </c>
      <c r="F1130" s="50" t="s">
        <v>190</v>
      </c>
      <c r="G1130" s="50">
        <v>1</v>
      </c>
      <c r="H1130" s="50" t="s">
        <v>2</v>
      </c>
      <c r="I1130" s="50" t="s">
        <v>291</v>
      </c>
      <c r="J1130" s="51">
        <v>46078</v>
      </c>
      <c r="K1130" s="50" t="s">
        <v>3</v>
      </c>
      <c r="L1130" s="50" t="s">
        <v>80</v>
      </c>
    </row>
    <row r="1131" spans="2:12">
      <c r="B1131" s="50" t="s">
        <v>412</v>
      </c>
      <c r="C1131" s="50" t="s">
        <v>51</v>
      </c>
      <c r="D1131" s="50" t="s">
        <v>41</v>
      </c>
      <c r="E1131" s="50">
        <v>50037892</v>
      </c>
      <c r="F1131" s="50" t="s">
        <v>178</v>
      </c>
      <c r="G1131" s="50">
        <v>1</v>
      </c>
      <c r="H1131" s="50" t="s">
        <v>2</v>
      </c>
      <c r="I1131" s="50" t="s">
        <v>291</v>
      </c>
      <c r="J1131" s="51">
        <v>46078</v>
      </c>
      <c r="K1131" s="50" t="s">
        <v>3</v>
      </c>
      <c r="L1131" s="50" t="s">
        <v>80</v>
      </c>
    </row>
    <row r="1132" spans="2:12">
      <c r="B1132" s="50" t="s">
        <v>385</v>
      </c>
      <c r="C1132" s="50" t="s">
        <v>56</v>
      </c>
      <c r="D1132" s="50" t="s">
        <v>41</v>
      </c>
      <c r="E1132" s="50">
        <v>50043320</v>
      </c>
      <c r="F1132" s="50" t="s">
        <v>264</v>
      </c>
      <c r="G1132" s="50">
        <v>1</v>
      </c>
      <c r="H1132" s="50" t="s">
        <v>2</v>
      </c>
      <c r="I1132" s="50" t="s">
        <v>291</v>
      </c>
      <c r="J1132" s="51">
        <v>46078</v>
      </c>
      <c r="K1132" s="50" t="s">
        <v>3</v>
      </c>
      <c r="L1132" s="50" t="s">
        <v>80</v>
      </c>
    </row>
    <row r="1133" spans="2:12">
      <c r="B1133" s="50" t="s">
        <v>483</v>
      </c>
      <c r="C1133" s="50" t="s">
        <v>62</v>
      </c>
      <c r="D1133" s="50" t="s">
        <v>27</v>
      </c>
      <c r="E1133" s="50">
        <v>50010031</v>
      </c>
      <c r="F1133" s="50" t="s">
        <v>89</v>
      </c>
      <c r="G1133" s="50">
        <v>1</v>
      </c>
      <c r="H1133" s="50" t="s">
        <v>2</v>
      </c>
      <c r="I1133" s="50" t="s">
        <v>291</v>
      </c>
      <c r="J1133" s="51">
        <v>46078</v>
      </c>
      <c r="K1133" s="50" t="s">
        <v>3</v>
      </c>
      <c r="L1133" s="50" t="s">
        <v>80</v>
      </c>
    </row>
    <row r="1134" spans="2:12">
      <c r="B1134" s="50" t="s">
        <v>363</v>
      </c>
      <c r="C1134" s="50" t="s">
        <v>26</v>
      </c>
      <c r="D1134" s="50" t="s">
        <v>41</v>
      </c>
      <c r="E1134" s="50">
        <v>50038517</v>
      </c>
      <c r="F1134" s="50" t="s">
        <v>181</v>
      </c>
      <c r="G1134" s="50">
        <v>1</v>
      </c>
      <c r="H1134" s="50" t="s">
        <v>2</v>
      </c>
      <c r="I1134" s="50" t="s">
        <v>291</v>
      </c>
      <c r="J1134" s="51">
        <v>46078</v>
      </c>
      <c r="K1134" s="50" t="s">
        <v>3</v>
      </c>
      <c r="L1134" s="50" t="s">
        <v>80</v>
      </c>
    </row>
    <row r="1135" spans="2:12">
      <c r="B1135" s="50" t="s">
        <v>363</v>
      </c>
      <c r="C1135" s="50" t="s">
        <v>26</v>
      </c>
      <c r="D1135" s="50" t="s">
        <v>41</v>
      </c>
      <c r="E1135" s="50">
        <v>50039065</v>
      </c>
      <c r="F1135" s="50" t="s">
        <v>186</v>
      </c>
      <c r="G1135" s="50">
        <v>1</v>
      </c>
      <c r="H1135" s="50" t="s">
        <v>2</v>
      </c>
      <c r="I1135" s="50" t="s">
        <v>291</v>
      </c>
      <c r="J1135" s="51">
        <v>46078</v>
      </c>
      <c r="K1135" s="50" t="s">
        <v>3</v>
      </c>
      <c r="L1135" s="50" t="s">
        <v>80</v>
      </c>
    </row>
    <row r="1136" spans="2:12">
      <c r="B1136" s="50" t="s">
        <v>385</v>
      </c>
      <c r="C1136" s="50" t="s">
        <v>56</v>
      </c>
      <c r="D1136" s="50" t="s">
        <v>41</v>
      </c>
      <c r="E1136" s="50">
        <v>50041195</v>
      </c>
      <c r="F1136" s="50" t="s">
        <v>206</v>
      </c>
      <c r="G1136" s="50">
        <v>1</v>
      </c>
      <c r="H1136" s="50" t="s">
        <v>2</v>
      </c>
      <c r="I1136" s="50" t="s">
        <v>291</v>
      </c>
      <c r="J1136" s="51">
        <v>46078</v>
      </c>
      <c r="K1136" s="50" t="s">
        <v>3</v>
      </c>
      <c r="L1136" s="50"/>
    </row>
    <row r="1137" spans="2:12">
      <c r="B1137" s="50" t="s">
        <v>422</v>
      </c>
      <c r="C1137" s="50" t="s">
        <v>26</v>
      </c>
      <c r="D1137" s="50" t="s">
        <v>27</v>
      </c>
      <c r="E1137" s="50">
        <v>50022878</v>
      </c>
      <c r="F1137" s="50" t="s">
        <v>296</v>
      </c>
      <c r="G1137" s="50">
        <v>1</v>
      </c>
      <c r="H1137" s="50" t="s">
        <v>2</v>
      </c>
      <c r="I1137" s="50" t="s">
        <v>291</v>
      </c>
      <c r="J1137" s="51">
        <v>46078</v>
      </c>
      <c r="K1137" s="50" t="s">
        <v>3</v>
      </c>
      <c r="L1137" s="50" t="s">
        <v>80</v>
      </c>
    </row>
    <row r="1138" spans="2:12">
      <c r="B1138" s="50" t="s">
        <v>471</v>
      </c>
      <c r="C1138" s="50" t="s">
        <v>26</v>
      </c>
      <c r="D1138" s="50" t="s">
        <v>39</v>
      </c>
      <c r="E1138" s="50">
        <v>50001995</v>
      </c>
      <c r="F1138" s="50" t="s">
        <v>185</v>
      </c>
      <c r="G1138" s="50">
        <v>1</v>
      </c>
      <c r="H1138" s="50" t="s">
        <v>2</v>
      </c>
      <c r="I1138" s="50" t="s">
        <v>289</v>
      </c>
      <c r="J1138" s="51">
        <v>46077</v>
      </c>
      <c r="K1138" s="50" t="s">
        <v>1</v>
      </c>
      <c r="L1138" s="50"/>
    </row>
    <row r="1139" spans="2:12">
      <c r="B1139" s="50" t="s">
        <v>471</v>
      </c>
      <c r="C1139" s="50" t="s">
        <v>26</v>
      </c>
      <c r="D1139" s="50" t="s">
        <v>39</v>
      </c>
      <c r="E1139" s="50">
        <v>50001995</v>
      </c>
      <c r="F1139" s="50" t="s">
        <v>185</v>
      </c>
      <c r="G1139" s="50">
        <v>1</v>
      </c>
      <c r="H1139" s="50" t="s">
        <v>2</v>
      </c>
      <c r="I1139" s="50" t="s">
        <v>289</v>
      </c>
      <c r="J1139" s="51">
        <v>46077</v>
      </c>
      <c r="K1139" s="50" t="s">
        <v>3</v>
      </c>
      <c r="L1139" s="50"/>
    </row>
    <row r="1140" spans="2:12">
      <c r="B1140" s="50" t="s">
        <v>461</v>
      </c>
      <c r="C1140" s="50" t="s">
        <v>26</v>
      </c>
      <c r="D1140" s="50" t="s">
        <v>39</v>
      </c>
      <c r="E1140" s="50">
        <v>50046617</v>
      </c>
      <c r="F1140" s="50" t="s">
        <v>365</v>
      </c>
      <c r="G1140" s="50">
        <v>1</v>
      </c>
      <c r="H1140" s="50" t="s">
        <v>2</v>
      </c>
      <c r="I1140" s="50" t="s">
        <v>289</v>
      </c>
      <c r="J1140" s="51">
        <v>46077</v>
      </c>
      <c r="K1140" s="50" t="s">
        <v>1</v>
      </c>
      <c r="L1140" s="50" t="s">
        <v>80</v>
      </c>
    </row>
    <row r="1141" spans="2:12">
      <c r="B1141" s="50" t="s">
        <v>461</v>
      </c>
      <c r="C1141" s="50" t="s">
        <v>26</v>
      </c>
      <c r="D1141" s="50" t="s">
        <v>39</v>
      </c>
      <c r="E1141" s="50">
        <v>50039065</v>
      </c>
      <c r="F1141" s="50" t="s">
        <v>186</v>
      </c>
      <c r="G1141" s="50">
        <v>1</v>
      </c>
      <c r="H1141" s="50" t="s">
        <v>2</v>
      </c>
      <c r="I1141" s="50" t="s">
        <v>289</v>
      </c>
      <c r="J1141" s="51">
        <v>46077</v>
      </c>
      <c r="K1141" s="50" t="s">
        <v>1</v>
      </c>
      <c r="L1141" s="50" t="s">
        <v>80</v>
      </c>
    </row>
    <row r="1142" spans="2:12">
      <c r="B1142" s="50" t="s">
        <v>461</v>
      </c>
      <c r="C1142" s="50" t="s">
        <v>26</v>
      </c>
      <c r="D1142" s="50" t="s">
        <v>39</v>
      </c>
      <c r="E1142" s="50">
        <v>50046617</v>
      </c>
      <c r="F1142" s="50" t="s">
        <v>365</v>
      </c>
      <c r="G1142" s="50">
        <v>1</v>
      </c>
      <c r="H1142" s="50" t="s">
        <v>2</v>
      </c>
      <c r="I1142" s="50" t="s">
        <v>289</v>
      </c>
      <c r="J1142" s="51">
        <v>46077</v>
      </c>
      <c r="K1142" s="50" t="s">
        <v>3</v>
      </c>
      <c r="L1142" s="50"/>
    </row>
    <row r="1143" spans="2:12">
      <c r="B1143" s="50" t="s">
        <v>461</v>
      </c>
      <c r="C1143" s="50" t="s">
        <v>26</v>
      </c>
      <c r="D1143" s="50" t="s">
        <v>39</v>
      </c>
      <c r="E1143" s="50">
        <v>50039065</v>
      </c>
      <c r="F1143" s="50" t="s">
        <v>186</v>
      </c>
      <c r="G1143" s="50">
        <v>1</v>
      </c>
      <c r="H1143" s="50" t="s">
        <v>2</v>
      </c>
      <c r="I1143" s="50" t="s">
        <v>289</v>
      </c>
      <c r="J1143" s="51">
        <v>46077</v>
      </c>
      <c r="K1143" s="50" t="s">
        <v>3</v>
      </c>
      <c r="L1143" s="50"/>
    </row>
    <row r="1144" spans="2:12">
      <c r="B1144" s="50" t="s">
        <v>25</v>
      </c>
      <c r="C1144" s="50" t="s">
        <v>26</v>
      </c>
      <c r="D1144" s="50" t="s">
        <v>27</v>
      </c>
      <c r="E1144" s="50">
        <v>50029865</v>
      </c>
      <c r="F1144" s="50" t="s">
        <v>162</v>
      </c>
      <c r="G1144" s="50">
        <v>1</v>
      </c>
      <c r="H1144" s="50" t="s">
        <v>2</v>
      </c>
      <c r="I1144" s="50" t="s">
        <v>289</v>
      </c>
      <c r="J1144" s="51">
        <v>46077</v>
      </c>
      <c r="K1144" s="50" t="s">
        <v>1</v>
      </c>
      <c r="L1144" s="50"/>
    </row>
    <row r="1145" spans="2:12">
      <c r="B1145" s="50" t="s">
        <v>418</v>
      </c>
      <c r="C1145" s="50" t="s">
        <v>26</v>
      </c>
      <c r="D1145" s="50" t="s">
        <v>27</v>
      </c>
      <c r="E1145" s="50">
        <v>50039065</v>
      </c>
      <c r="F1145" s="50" t="s">
        <v>186</v>
      </c>
      <c r="G1145" s="50">
        <v>1</v>
      </c>
      <c r="H1145" s="50" t="s">
        <v>2</v>
      </c>
      <c r="I1145" s="50" t="s">
        <v>289</v>
      </c>
      <c r="J1145" s="51">
        <v>46077</v>
      </c>
      <c r="K1145" s="50" t="s">
        <v>1</v>
      </c>
      <c r="L1145" s="50"/>
    </row>
    <row r="1146" spans="2:12">
      <c r="B1146" s="50" t="s">
        <v>471</v>
      </c>
      <c r="C1146" s="50" t="s">
        <v>26</v>
      </c>
      <c r="D1146" s="50" t="s">
        <v>39</v>
      </c>
      <c r="E1146" s="50">
        <v>50036296</v>
      </c>
      <c r="F1146" s="50" t="s">
        <v>109</v>
      </c>
      <c r="G1146" s="50">
        <v>1</v>
      </c>
      <c r="H1146" s="50" t="s">
        <v>2</v>
      </c>
      <c r="I1146" s="50" t="s">
        <v>289</v>
      </c>
      <c r="J1146" s="51">
        <v>46077</v>
      </c>
      <c r="K1146" s="50" t="s">
        <v>1</v>
      </c>
      <c r="L1146" s="50"/>
    </row>
    <row r="1147" spans="2:12">
      <c r="B1147" s="50" t="s">
        <v>471</v>
      </c>
      <c r="C1147" s="50" t="s">
        <v>26</v>
      </c>
      <c r="D1147" s="50" t="s">
        <v>39</v>
      </c>
      <c r="E1147" s="50">
        <v>50036086</v>
      </c>
      <c r="F1147" s="50" t="s">
        <v>28</v>
      </c>
      <c r="G1147" s="50">
        <v>1</v>
      </c>
      <c r="H1147" s="50" t="s">
        <v>2</v>
      </c>
      <c r="I1147" s="50" t="s">
        <v>289</v>
      </c>
      <c r="J1147" s="51">
        <v>46077</v>
      </c>
      <c r="K1147" s="50" t="s">
        <v>1</v>
      </c>
      <c r="L1147" s="50"/>
    </row>
    <row r="1148" spans="2:12">
      <c r="B1148" s="50" t="s">
        <v>471</v>
      </c>
      <c r="C1148" s="50" t="s">
        <v>26</v>
      </c>
      <c r="D1148" s="50" t="s">
        <v>39</v>
      </c>
      <c r="E1148" s="50">
        <v>50038842</v>
      </c>
      <c r="F1148" s="50" t="s">
        <v>133</v>
      </c>
      <c r="G1148" s="50">
        <v>1</v>
      </c>
      <c r="H1148" s="50" t="s">
        <v>2</v>
      </c>
      <c r="I1148" s="50" t="s">
        <v>289</v>
      </c>
      <c r="J1148" s="51">
        <v>46077</v>
      </c>
      <c r="K1148" s="50" t="s">
        <v>1</v>
      </c>
      <c r="L1148" s="50" t="s">
        <v>80</v>
      </c>
    </row>
    <row r="1149" spans="2:12">
      <c r="B1149" s="50" t="s">
        <v>402</v>
      </c>
      <c r="C1149" s="50" t="s">
        <v>56</v>
      </c>
      <c r="D1149" s="50" t="s">
        <v>39</v>
      </c>
      <c r="E1149" s="50">
        <v>50030486</v>
      </c>
      <c r="F1149" s="50" t="s">
        <v>153</v>
      </c>
      <c r="G1149" s="50">
        <v>1</v>
      </c>
      <c r="H1149" s="50" t="s">
        <v>2</v>
      </c>
      <c r="I1149" s="50" t="s">
        <v>289</v>
      </c>
      <c r="J1149" s="51">
        <v>46077</v>
      </c>
      <c r="K1149" s="50" t="s">
        <v>1</v>
      </c>
      <c r="L1149" s="50" t="s">
        <v>80</v>
      </c>
    </row>
    <row r="1150" spans="2:12">
      <c r="B1150" s="50" t="s">
        <v>427</v>
      </c>
      <c r="C1150" s="50" t="s">
        <v>26</v>
      </c>
      <c r="D1150" s="50" t="s">
        <v>27</v>
      </c>
      <c r="E1150" s="50">
        <v>50038549</v>
      </c>
      <c r="F1150" s="50" t="s">
        <v>173</v>
      </c>
      <c r="G1150" s="50">
        <v>1</v>
      </c>
      <c r="H1150" s="50" t="s">
        <v>2</v>
      </c>
      <c r="I1150" s="50" t="s">
        <v>292</v>
      </c>
      <c r="J1150" s="51">
        <v>46077</v>
      </c>
      <c r="K1150" s="50" t="s">
        <v>1</v>
      </c>
      <c r="L1150" s="50" t="s">
        <v>80</v>
      </c>
    </row>
    <row r="1151" spans="2:12">
      <c r="B1151" s="50" t="s">
        <v>345</v>
      </c>
      <c r="C1151" s="50" t="s">
        <v>62</v>
      </c>
      <c r="D1151" s="50" t="s">
        <v>27</v>
      </c>
      <c r="E1151" s="50">
        <v>50037892</v>
      </c>
      <c r="F1151" s="50" t="s">
        <v>178</v>
      </c>
      <c r="G1151" s="50">
        <v>1</v>
      </c>
      <c r="H1151" s="50" t="s">
        <v>2</v>
      </c>
      <c r="I1151" s="50" t="s">
        <v>292</v>
      </c>
      <c r="J1151" s="51">
        <v>46077</v>
      </c>
      <c r="K1151" s="50" t="s">
        <v>1</v>
      </c>
      <c r="L1151" s="50" t="s">
        <v>80</v>
      </c>
    </row>
    <row r="1152" spans="2:12">
      <c r="B1152" s="50" t="s">
        <v>483</v>
      </c>
      <c r="C1152" s="50" t="s">
        <v>62</v>
      </c>
      <c r="D1152" s="50" t="s">
        <v>27</v>
      </c>
      <c r="E1152" s="50">
        <v>50029865</v>
      </c>
      <c r="F1152" s="50" t="s">
        <v>162</v>
      </c>
      <c r="G1152" s="50">
        <v>1</v>
      </c>
      <c r="H1152" s="50" t="s">
        <v>2</v>
      </c>
      <c r="I1152" s="50" t="s">
        <v>292</v>
      </c>
      <c r="J1152" s="51">
        <v>46077</v>
      </c>
      <c r="K1152" s="50" t="s">
        <v>1</v>
      </c>
      <c r="L1152" s="50" t="s">
        <v>80</v>
      </c>
    </row>
    <row r="1153" spans="2:12">
      <c r="B1153" s="50" t="s">
        <v>483</v>
      </c>
      <c r="C1153" s="50" t="s">
        <v>62</v>
      </c>
      <c r="D1153" s="50" t="s">
        <v>27</v>
      </c>
      <c r="E1153" s="50">
        <v>50041195</v>
      </c>
      <c r="F1153" s="50" t="s">
        <v>206</v>
      </c>
      <c r="G1153" s="50">
        <v>1</v>
      </c>
      <c r="H1153" s="50" t="s">
        <v>2</v>
      </c>
      <c r="I1153" s="50" t="s">
        <v>292</v>
      </c>
      <c r="J1153" s="51">
        <v>46077</v>
      </c>
      <c r="K1153" s="50" t="s">
        <v>1</v>
      </c>
      <c r="L1153" s="50" t="s">
        <v>80</v>
      </c>
    </row>
    <row r="1154" spans="2:12">
      <c r="B1154" s="50" t="s">
        <v>483</v>
      </c>
      <c r="C1154" s="50" t="s">
        <v>62</v>
      </c>
      <c r="D1154" s="50" t="s">
        <v>27</v>
      </c>
      <c r="E1154" s="50">
        <v>50046617</v>
      </c>
      <c r="F1154" s="50" t="s">
        <v>365</v>
      </c>
      <c r="G1154" s="50">
        <v>1</v>
      </c>
      <c r="H1154" s="50" t="s">
        <v>2</v>
      </c>
      <c r="I1154" s="50" t="s">
        <v>292</v>
      </c>
      <c r="J1154" s="51">
        <v>46077</v>
      </c>
      <c r="K1154" s="50" t="s">
        <v>1</v>
      </c>
      <c r="L1154" s="50" t="s">
        <v>80</v>
      </c>
    </row>
    <row r="1155" spans="2:12">
      <c r="B1155" s="50" t="s">
        <v>483</v>
      </c>
      <c r="C1155" s="50" t="s">
        <v>62</v>
      </c>
      <c r="D1155" s="50" t="s">
        <v>27</v>
      </c>
      <c r="E1155" s="50">
        <v>50020623</v>
      </c>
      <c r="F1155" s="50" t="s">
        <v>217</v>
      </c>
      <c r="G1155" s="50">
        <v>1</v>
      </c>
      <c r="H1155" s="50" t="s">
        <v>2</v>
      </c>
      <c r="I1155" s="50" t="s">
        <v>292</v>
      </c>
      <c r="J1155" s="51">
        <v>46077</v>
      </c>
      <c r="K1155" s="50" t="s">
        <v>1</v>
      </c>
      <c r="L1155" s="50" t="s">
        <v>80</v>
      </c>
    </row>
    <row r="1156" spans="2:12">
      <c r="B1156" s="50" t="s">
        <v>418</v>
      </c>
      <c r="C1156" s="50" t="s">
        <v>26</v>
      </c>
      <c r="D1156" s="50" t="s">
        <v>27</v>
      </c>
      <c r="E1156" s="50">
        <v>50039065</v>
      </c>
      <c r="F1156" s="50" t="s">
        <v>186</v>
      </c>
      <c r="G1156" s="50">
        <v>1</v>
      </c>
      <c r="H1156" s="50" t="s">
        <v>2</v>
      </c>
      <c r="I1156" s="50" t="s">
        <v>293</v>
      </c>
      <c r="J1156" s="51">
        <v>46077</v>
      </c>
      <c r="K1156" s="50" t="s">
        <v>3</v>
      </c>
      <c r="L1156" s="50" t="s">
        <v>80</v>
      </c>
    </row>
    <row r="1157" spans="2:12">
      <c r="B1157" s="50" t="s">
        <v>280</v>
      </c>
      <c r="C1157" s="50" t="s">
        <v>62</v>
      </c>
      <c r="D1157" s="50" t="s">
        <v>27</v>
      </c>
      <c r="E1157" s="50">
        <v>50026357</v>
      </c>
      <c r="F1157" s="50" t="s">
        <v>192</v>
      </c>
      <c r="G1157" s="50">
        <v>1</v>
      </c>
      <c r="H1157" s="50" t="s">
        <v>2</v>
      </c>
      <c r="I1157" s="50" t="s">
        <v>293</v>
      </c>
      <c r="J1157" s="51">
        <v>46077</v>
      </c>
      <c r="K1157" s="50" t="s">
        <v>1</v>
      </c>
      <c r="L1157" s="50" t="s">
        <v>80</v>
      </c>
    </row>
    <row r="1158" spans="2:12">
      <c r="B1158" s="50" t="s">
        <v>483</v>
      </c>
      <c r="C1158" s="50" t="s">
        <v>62</v>
      </c>
      <c r="D1158" s="50" t="s">
        <v>27</v>
      </c>
      <c r="E1158" s="50">
        <v>50020623</v>
      </c>
      <c r="F1158" s="50" t="s">
        <v>217</v>
      </c>
      <c r="G1158" s="50">
        <v>1</v>
      </c>
      <c r="H1158" s="50" t="s">
        <v>2</v>
      </c>
      <c r="I1158" s="50" t="s">
        <v>293</v>
      </c>
      <c r="J1158" s="51">
        <v>46077</v>
      </c>
      <c r="K1158" s="50" t="s">
        <v>3</v>
      </c>
      <c r="L1158" s="50" t="s">
        <v>80</v>
      </c>
    </row>
    <row r="1159" spans="2:12">
      <c r="B1159" s="50" t="s">
        <v>483</v>
      </c>
      <c r="C1159" s="50" t="s">
        <v>62</v>
      </c>
      <c r="D1159" s="50" t="s">
        <v>27</v>
      </c>
      <c r="E1159" s="50">
        <v>50038549</v>
      </c>
      <c r="F1159" s="50" t="s">
        <v>173</v>
      </c>
      <c r="G1159" s="50">
        <v>1</v>
      </c>
      <c r="H1159" s="50" t="s">
        <v>2</v>
      </c>
      <c r="I1159" s="50" t="s">
        <v>293</v>
      </c>
      <c r="J1159" s="51">
        <v>46077</v>
      </c>
      <c r="K1159" s="50" t="s">
        <v>1</v>
      </c>
      <c r="L1159" s="50" t="s">
        <v>80</v>
      </c>
    </row>
    <row r="1160" spans="2:12">
      <c r="B1160" s="50" t="s">
        <v>471</v>
      </c>
      <c r="C1160" s="50" t="s">
        <v>26</v>
      </c>
      <c r="D1160" s="50" t="s">
        <v>39</v>
      </c>
      <c r="E1160" s="50">
        <v>50036296</v>
      </c>
      <c r="F1160" s="50" t="s">
        <v>109</v>
      </c>
      <c r="G1160" s="50">
        <v>1</v>
      </c>
      <c r="H1160" s="50" t="s">
        <v>2</v>
      </c>
      <c r="I1160" s="50" t="s">
        <v>293</v>
      </c>
      <c r="J1160" s="51">
        <v>46077</v>
      </c>
      <c r="K1160" s="50" t="s">
        <v>3</v>
      </c>
      <c r="L1160" s="50" t="s">
        <v>80</v>
      </c>
    </row>
    <row r="1161" spans="2:12">
      <c r="B1161" s="50" t="s">
        <v>471</v>
      </c>
      <c r="C1161" s="50" t="s">
        <v>26</v>
      </c>
      <c r="D1161" s="50" t="s">
        <v>39</v>
      </c>
      <c r="E1161" s="50">
        <v>50036086</v>
      </c>
      <c r="F1161" s="50" t="s">
        <v>28</v>
      </c>
      <c r="G1161" s="50">
        <v>1</v>
      </c>
      <c r="H1161" s="50" t="s">
        <v>2</v>
      </c>
      <c r="I1161" s="50" t="s">
        <v>293</v>
      </c>
      <c r="J1161" s="51">
        <v>46077</v>
      </c>
      <c r="K1161" s="50" t="s">
        <v>3</v>
      </c>
      <c r="L1161" s="50" t="s">
        <v>80</v>
      </c>
    </row>
    <row r="1162" spans="2:12">
      <c r="B1162" s="50" t="s">
        <v>59</v>
      </c>
      <c r="C1162" s="50" t="s">
        <v>56</v>
      </c>
      <c r="D1162" s="50" t="s">
        <v>41</v>
      </c>
      <c r="E1162" s="50">
        <v>50003173</v>
      </c>
      <c r="F1162" s="50" t="s">
        <v>74</v>
      </c>
      <c r="G1162" s="50">
        <v>1</v>
      </c>
      <c r="H1162" s="50" t="s">
        <v>2</v>
      </c>
      <c r="I1162" s="50" t="s">
        <v>293</v>
      </c>
      <c r="J1162" s="51">
        <v>46077</v>
      </c>
      <c r="K1162" s="50" t="s">
        <v>1</v>
      </c>
      <c r="L1162" s="50" t="s">
        <v>80</v>
      </c>
    </row>
    <row r="1163" spans="2:12">
      <c r="B1163" s="50" t="s">
        <v>471</v>
      </c>
      <c r="C1163" s="50" t="s">
        <v>26</v>
      </c>
      <c r="D1163" s="50" t="s">
        <v>39</v>
      </c>
      <c r="E1163" s="50">
        <v>50038842</v>
      </c>
      <c r="F1163" s="50" t="s">
        <v>133</v>
      </c>
      <c r="G1163" s="50">
        <v>1</v>
      </c>
      <c r="H1163" s="50" t="s">
        <v>2</v>
      </c>
      <c r="I1163" s="50" t="s">
        <v>293</v>
      </c>
      <c r="J1163" s="51">
        <v>46077</v>
      </c>
      <c r="K1163" s="50" t="s">
        <v>3</v>
      </c>
      <c r="L1163" s="50" t="s">
        <v>80</v>
      </c>
    </row>
    <row r="1164" spans="2:12">
      <c r="B1164" s="50" t="s">
        <v>402</v>
      </c>
      <c r="C1164" s="50" t="s">
        <v>56</v>
      </c>
      <c r="D1164" s="50" t="s">
        <v>39</v>
      </c>
      <c r="E1164" s="50">
        <v>50030486</v>
      </c>
      <c r="F1164" s="50" t="s">
        <v>153</v>
      </c>
      <c r="G1164" s="50">
        <v>1</v>
      </c>
      <c r="H1164" s="50" t="s">
        <v>2</v>
      </c>
      <c r="I1164" s="50" t="s">
        <v>293</v>
      </c>
      <c r="J1164" s="51">
        <v>46077</v>
      </c>
      <c r="K1164" s="50" t="s">
        <v>3</v>
      </c>
      <c r="L1164" s="50" t="s">
        <v>80</v>
      </c>
    </row>
    <row r="1165" spans="2:12">
      <c r="B1165" s="50" t="s">
        <v>474</v>
      </c>
      <c r="C1165" s="50" t="s">
        <v>51</v>
      </c>
      <c r="D1165" s="50" t="s">
        <v>27</v>
      </c>
      <c r="E1165" s="50">
        <v>50010031</v>
      </c>
      <c r="F1165" s="50" t="s">
        <v>89</v>
      </c>
      <c r="G1165" s="50">
        <v>1</v>
      </c>
      <c r="H1165" s="50" t="s">
        <v>2</v>
      </c>
      <c r="I1165" s="50" t="s">
        <v>290</v>
      </c>
      <c r="J1165" s="51">
        <v>46077</v>
      </c>
      <c r="K1165" s="50" t="s">
        <v>1</v>
      </c>
      <c r="L1165" s="50" t="s">
        <v>80</v>
      </c>
    </row>
    <row r="1166" spans="2:12">
      <c r="B1166" s="50" t="s">
        <v>278</v>
      </c>
      <c r="C1166" s="50" t="s">
        <v>62</v>
      </c>
      <c r="D1166" s="50" t="s">
        <v>27</v>
      </c>
      <c r="E1166" s="50">
        <v>50043471</v>
      </c>
      <c r="F1166" s="50" t="s">
        <v>257</v>
      </c>
      <c r="G1166" s="50">
        <v>1</v>
      </c>
      <c r="H1166" s="50" t="s">
        <v>2</v>
      </c>
      <c r="I1166" s="50" t="s">
        <v>290</v>
      </c>
      <c r="J1166" s="51">
        <v>46077</v>
      </c>
      <c r="K1166" s="50" t="s">
        <v>1</v>
      </c>
      <c r="L1166" s="50" t="s">
        <v>80</v>
      </c>
    </row>
    <row r="1167" spans="2:12">
      <c r="B1167" s="50" t="s">
        <v>383</v>
      </c>
      <c r="C1167" s="50" t="s">
        <v>276</v>
      </c>
      <c r="D1167" s="50" t="s">
        <v>41</v>
      </c>
      <c r="E1167" s="50">
        <v>50026357</v>
      </c>
      <c r="F1167" s="50" t="s">
        <v>192</v>
      </c>
      <c r="G1167" s="50">
        <v>1</v>
      </c>
      <c r="H1167" s="50" t="s">
        <v>2</v>
      </c>
      <c r="I1167" s="50" t="s">
        <v>290</v>
      </c>
      <c r="J1167" s="51">
        <v>46077</v>
      </c>
      <c r="K1167" s="50" t="s">
        <v>1</v>
      </c>
      <c r="L1167" s="50" t="s">
        <v>80</v>
      </c>
    </row>
    <row r="1168" spans="2:12">
      <c r="B1168" s="50" t="s">
        <v>280</v>
      </c>
      <c r="C1168" s="50" t="s">
        <v>62</v>
      </c>
      <c r="D1168" s="50" t="s">
        <v>27</v>
      </c>
      <c r="E1168" s="50">
        <v>50026357</v>
      </c>
      <c r="F1168" s="50" t="s">
        <v>192</v>
      </c>
      <c r="G1168" s="50">
        <v>1</v>
      </c>
      <c r="H1168" s="50" t="s">
        <v>2</v>
      </c>
      <c r="I1168" s="50" t="s">
        <v>290</v>
      </c>
      <c r="J1168" s="51">
        <v>46077</v>
      </c>
      <c r="K1168" s="50" t="s">
        <v>3</v>
      </c>
      <c r="L1168" s="50" t="s">
        <v>80</v>
      </c>
    </row>
    <row r="1169" spans="2:12">
      <c r="B1169" s="50" t="s">
        <v>411</v>
      </c>
      <c r="C1169" s="50" t="s">
        <v>26</v>
      </c>
      <c r="D1169" s="50" t="s">
        <v>27</v>
      </c>
      <c r="E1169" s="50">
        <v>50010031</v>
      </c>
      <c r="F1169" s="50" t="s">
        <v>89</v>
      </c>
      <c r="G1169" s="50">
        <v>1</v>
      </c>
      <c r="H1169" s="50" t="s">
        <v>2</v>
      </c>
      <c r="I1169" s="50" t="s">
        <v>297</v>
      </c>
      <c r="J1169" s="51">
        <v>46077</v>
      </c>
      <c r="K1169" s="50" t="s">
        <v>3</v>
      </c>
      <c r="L1169" s="50" t="s">
        <v>80</v>
      </c>
    </row>
    <row r="1170" spans="2:12">
      <c r="B1170" s="50" t="s">
        <v>428</v>
      </c>
      <c r="C1170" s="50" t="s">
        <v>26</v>
      </c>
      <c r="D1170" s="50" t="s">
        <v>27</v>
      </c>
      <c r="E1170" s="50">
        <v>50030486</v>
      </c>
      <c r="F1170" s="50" t="s">
        <v>153</v>
      </c>
      <c r="G1170" s="50">
        <v>1</v>
      </c>
      <c r="H1170" s="50" t="s">
        <v>2</v>
      </c>
      <c r="I1170" s="50" t="s">
        <v>297</v>
      </c>
      <c r="J1170" s="51">
        <v>46077</v>
      </c>
      <c r="K1170" s="50" t="s">
        <v>1</v>
      </c>
      <c r="L1170" s="50" t="s">
        <v>80</v>
      </c>
    </row>
    <row r="1171" spans="2:12">
      <c r="B1171" s="50" t="s">
        <v>483</v>
      </c>
      <c r="C1171" s="50" t="s">
        <v>62</v>
      </c>
      <c r="D1171" s="50" t="s">
        <v>27</v>
      </c>
      <c r="E1171" s="50">
        <v>50038549</v>
      </c>
      <c r="F1171" s="50" t="s">
        <v>173</v>
      </c>
      <c r="G1171" s="50">
        <v>1</v>
      </c>
      <c r="H1171" s="50" t="s">
        <v>2</v>
      </c>
      <c r="I1171" s="50" t="s">
        <v>297</v>
      </c>
      <c r="J1171" s="51">
        <v>46077</v>
      </c>
      <c r="K1171" s="50" t="s">
        <v>3</v>
      </c>
      <c r="L1171" s="50" t="s">
        <v>80</v>
      </c>
    </row>
    <row r="1172" spans="2:12">
      <c r="B1172" s="50" t="s">
        <v>59</v>
      </c>
      <c r="C1172" s="50" t="s">
        <v>56</v>
      </c>
      <c r="D1172" s="50" t="s">
        <v>41</v>
      </c>
      <c r="E1172" s="50">
        <v>50003173</v>
      </c>
      <c r="F1172" s="50" t="s">
        <v>74</v>
      </c>
      <c r="G1172" s="50">
        <v>1</v>
      </c>
      <c r="H1172" s="50" t="s">
        <v>2</v>
      </c>
      <c r="I1172" s="50" t="s">
        <v>297</v>
      </c>
      <c r="J1172" s="51">
        <v>46077</v>
      </c>
      <c r="K1172" s="50" t="s">
        <v>3</v>
      </c>
      <c r="L1172" s="50" t="s">
        <v>80</v>
      </c>
    </row>
    <row r="1173" spans="2:12">
      <c r="B1173" s="50" t="s">
        <v>363</v>
      </c>
      <c r="C1173" s="50" t="s">
        <v>26</v>
      </c>
      <c r="D1173" s="50" t="s">
        <v>41</v>
      </c>
      <c r="E1173" s="50">
        <v>50010031</v>
      </c>
      <c r="F1173" s="50" t="s">
        <v>89</v>
      </c>
      <c r="G1173" s="50">
        <v>1</v>
      </c>
      <c r="H1173" s="50" t="s">
        <v>2</v>
      </c>
      <c r="I1173" s="50" t="s">
        <v>290</v>
      </c>
      <c r="J1173" s="51">
        <v>46077</v>
      </c>
      <c r="K1173" s="50" t="s">
        <v>1</v>
      </c>
      <c r="L1173" s="50" t="s">
        <v>80</v>
      </c>
    </row>
    <row r="1174" spans="2:12">
      <c r="B1174" s="50" t="s">
        <v>316</v>
      </c>
      <c r="C1174" s="50" t="s">
        <v>51</v>
      </c>
      <c r="D1174" s="50" t="s">
        <v>27</v>
      </c>
      <c r="E1174" s="50">
        <v>50010031</v>
      </c>
      <c r="F1174" s="50" t="s">
        <v>89</v>
      </c>
      <c r="G1174" s="50">
        <v>1</v>
      </c>
      <c r="H1174" s="50" t="s">
        <v>2</v>
      </c>
      <c r="I1174" s="50" t="s">
        <v>290</v>
      </c>
      <c r="J1174" s="51">
        <v>46077</v>
      </c>
      <c r="K1174" s="50" t="s">
        <v>1</v>
      </c>
      <c r="L1174" s="50" t="s">
        <v>80</v>
      </c>
    </row>
    <row r="1175" spans="2:12">
      <c r="B1175" s="50" t="s">
        <v>457</v>
      </c>
      <c r="C1175" s="50" t="s">
        <v>61</v>
      </c>
      <c r="D1175" s="50" t="s">
        <v>41</v>
      </c>
      <c r="E1175" s="50">
        <v>50038517</v>
      </c>
      <c r="F1175" s="50" t="s">
        <v>181</v>
      </c>
      <c r="G1175" s="50">
        <v>1</v>
      </c>
      <c r="H1175" s="50" t="s">
        <v>2</v>
      </c>
      <c r="I1175" s="50" t="s">
        <v>297</v>
      </c>
      <c r="J1175" s="51">
        <v>46077</v>
      </c>
      <c r="K1175" s="50" t="s">
        <v>3</v>
      </c>
      <c r="L1175" s="50" t="s">
        <v>80</v>
      </c>
    </row>
    <row r="1176" spans="2:12">
      <c r="B1176" s="50" t="s">
        <v>363</v>
      </c>
      <c r="C1176" s="50" t="s">
        <v>26</v>
      </c>
      <c r="D1176" s="50" t="s">
        <v>41</v>
      </c>
      <c r="E1176" s="50">
        <v>50030486</v>
      </c>
      <c r="F1176" s="50" t="s">
        <v>153</v>
      </c>
      <c r="G1176" s="50">
        <v>1</v>
      </c>
      <c r="H1176" s="50" t="s">
        <v>2</v>
      </c>
      <c r="I1176" s="50" t="s">
        <v>297</v>
      </c>
      <c r="J1176" s="51">
        <v>46077</v>
      </c>
      <c r="K1176" s="50" t="s">
        <v>1</v>
      </c>
      <c r="L1176" s="50" t="s">
        <v>80</v>
      </c>
    </row>
    <row r="1177" spans="2:12">
      <c r="B1177" s="50" t="s">
        <v>316</v>
      </c>
      <c r="C1177" s="50" t="s">
        <v>51</v>
      </c>
      <c r="D1177" s="50" t="s">
        <v>27</v>
      </c>
      <c r="E1177" s="50">
        <v>50010031</v>
      </c>
      <c r="F1177" s="50" t="s">
        <v>89</v>
      </c>
      <c r="G1177" s="50">
        <v>1</v>
      </c>
      <c r="H1177" s="50" t="s">
        <v>2</v>
      </c>
      <c r="I1177" s="50" t="s">
        <v>297</v>
      </c>
      <c r="J1177" s="51">
        <v>46077</v>
      </c>
      <c r="K1177" s="50" t="s">
        <v>3</v>
      </c>
      <c r="L1177" s="50" t="s">
        <v>80</v>
      </c>
    </row>
    <row r="1178" spans="2:12">
      <c r="B1178" s="50" t="s">
        <v>427</v>
      </c>
      <c r="C1178" s="50" t="s">
        <v>26</v>
      </c>
      <c r="D1178" s="50" t="s">
        <v>27</v>
      </c>
      <c r="E1178" s="50">
        <v>50036280</v>
      </c>
      <c r="F1178" s="50" t="s">
        <v>152</v>
      </c>
      <c r="G1178" s="50">
        <v>1</v>
      </c>
      <c r="H1178" s="50" t="s">
        <v>2</v>
      </c>
      <c r="I1178" s="50"/>
      <c r="J1178" s="51">
        <v>46077</v>
      </c>
      <c r="K1178" s="50" t="s">
        <v>1</v>
      </c>
      <c r="L1178" s="50" t="s">
        <v>80</v>
      </c>
    </row>
    <row r="1179" spans="2:12">
      <c r="B1179" s="50" t="s">
        <v>270</v>
      </c>
      <c r="C1179" s="50" t="s">
        <v>51</v>
      </c>
      <c r="D1179" s="50" t="s">
        <v>27</v>
      </c>
      <c r="E1179" s="50">
        <v>50040133</v>
      </c>
      <c r="F1179" s="50" t="s">
        <v>92</v>
      </c>
      <c r="G1179" s="50">
        <v>1</v>
      </c>
      <c r="H1179" s="50" t="s">
        <v>2</v>
      </c>
      <c r="I1179" s="50" t="s">
        <v>297</v>
      </c>
      <c r="J1179" s="51">
        <v>46077</v>
      </c>
      <c r="K1179" s="50" t="s">
        <v>1</v>
      </c>
      <c r="L1179" s="50" t="s">
        <v>80</v>
      </c>
    </row>
    <row r="1180" spans="2:12">
      <c r="B1180" s="50" t="s">
        <v>363</v>
      </c>
      <c r="C1180" s="50" t="s">
        <v>26</v>
      </c>
      <c r="D1180" s="50" t="s">
        <v>41</v>
      </c>
      <c r="E1180" s="50">
        <v>50030486</v>
      </c>
      <c r="F1180" s="50" t="s">
        <v>153</v>
      </c>
      <c r="G1180" s="50">
        <v>1</v>
      </c>
      <c r="H1180" s="50" t="s">
        <v>2</v>
      </c>
      <c r="I1180" s="50" t="s">
        <v>297</v>
      </c>
      <c r="J1180" s="51">
        <v>46077</v>
      </c>
      <c r="K1180" s="50" t="s">
        <v>3</v>
      </c>
      <c r="L1180" s="50" t="s">
        <v>80</v>
      </c>
    </row>
    <row r="1181" spans="2:12">
      <c r="B1181" s="50" t="s">
        <v>428</v>
      </c>
      <c r="C1181" s="50" t="s">
        <v>26</v>
      </c>
      <c r="D1181" s="50" t="s">
        <v>27</v>
      </c>
      <c r="E1181" s="50">
        <v>50030486</v>
      </c>
      <c r="F1181" s="50" t="s">
        <v>153</v>
      </c>
      <c r="G1181" s="50">
        <v>1</v>
      </c>
      <c r="H1181" s="50" t="s">
        <v>2</v>
      </c>
      <c r="I1181" s="50" t="s">
        <v>297</v>
      </c>
      <c r="J1181" s="51">
        <v>46077</v>
      </c>
      <c r="K1181" s="50" t="s">
        <v>3</v>
      </c>
      <c r="L1181" s="50" t="s">
        <v>80</v>
      </c>
    </row>
    <row r="1182" spans="2:12">
      <c r="B1182" s="50" t="s">
        <v>427</v>
      </c>
      <c r="C1182" s="50" t="s">
        <v>26</v>
      </c>
      <c r="D1182" s="50" t="s">
        <v>27</v>
      </c>
      <c r="E1182" s="50">
        <v>50038549</v>
      </c>
      <c r="F1182" s="50" t="s">
        <v>173</v>
      </c>
      <c r="G1182" s="50">
        <v>1</v>
      </c>
      <c r="H1182" s="50" t="s">
        <v>2</v>
      </c>
      <c r="I1182" s="50" t="s">
        <v>297</v>
      </c>
      <c r="J1182" s="51">
        <v>46077</v>
      </c>
      <c r="K1182" s="50" t="s">
        <v>3</v>
      </c>
      <c r="L1182" s="50" t="s">
        <v>80</v>
      </c>
    </row>
    <row r="1183" spans="2:12">
      <c r="B1183" s="50" t="s">
        <v>363</v>
      </c>
      <c r="C1183" s="50" t="s">
        <v>26</v>
      </c>
      <c r="D1183" s="50" t="s">
        <v>41</v>
      </c>
      <c r="E1183" s="50">
        <v>50010031</v>
      </c>
      <c r="F1183" s="50" t="s">
        <v>89</v>
      </c>
      <c r="G1183" s="50">
        <v>1</v>
      </c>
      <c r="H1183" s="50" t="s">
        <v>2</v>
      </c>
      <c r="I1183" s="50" t="s">
        <v>297</v>
      </c>
      <c r="J1183" s="51">
        <v>46077</v>
      </c>
      <c r="K1183" s="50" t="s">
        <v>3</v>
      </c>
      <c r="L1183" s="50" t="s">
        <v>80</v>
      </c>
    </row>
    <row r="1184" spans="2:12">
      <c r="B1184" s="50" t="s">
        <v>345</v>
      </c>
      <c r="C1184" s="50" t="s">
        <v>62</v>
      </c>
      <c r="D1184" s="50" t="s">
        <v>27</v>
      </c>
      <c r="E1184" s="50">
        <v>50037892</v>
      </c>
      <c r="F1184" s="50" t="s">
        <v>178</v>
      </c>
      <c r="G1184" s="50">
        <v>1</v>
      </c>
      <c r="H1184" s="50" t="s">
        <v>2</v>
      </c>
      <c r="I1184" s="50" t="s">
        <v>297</v>
      </c>
      <c r="J1184" s="51">
        <v>46077</v>
      </c>
      <c r="K1184" s="50" t="s">
        <v>3</v>
      </c>
      <c r="L1184" s="50" t="s">
        <v>80</v>
      </c>
    </row>
    <row r="1185" spans="2:12">
      <c r="B1185" s="50" t="s">
        <v>25</v>
      </c>
      <c r="C1185" s="50" t="s">
        <v>26</v>
      </c>
      <c r="D1185" s="50" t="s">
        <v>27</v>
      </c>
      <c r="E1185" s="50">
        <v>50029865</v>
      </c>
      <c r="F1185" s="50" t="s">
        <v>162</v>
      </c>
      <c r="G1185" s="50">
        <v>1</v>
      </c>
      <c r="H1185" s="50" t="s">
        <v>2</v>
      </c>
      <c r="I1185" s="50" t="s">
        <v>297</v>
      </c>
      <c r="J1185" s="51">
        <v>46077</v>
      </c>
      <c r="K1185" s="50" t="s">
        <v>3</v>
      </c>
      <c r="L1185" s="50" t="s">
        <v>80</v>
      </c>
    </row>
    <row r="1186" spans="2:12">
      <c r="B1186" s="50" t="s">
        <v>483</v>
      </c>
      <c r="C1186" s="50" t="s">
        <v>62</v>
      </c>
      <c r="D1186" s="50" t="s">
        <v>27</v>
      </c>
      <c r="E1186" s="50">
        <v>50029865</v>
      </c>
      <c r="F1186" s="50" t="s">
        <v>162</v>
      </c>
      <c r="G1186" s="50">
        <v>1</v>
      </c>
      <c r="H1186" s="50" t="s">
        <v>2</v>
      </c>
      <c r="I1186" s="50" t="s">
        <v>297</v>
      </c>
      <c r="J1186" s="51">
        <v>46077</v>
      </c>
      <c r="K1186" s="50" t="s">
        <v>3</v>
      </c>
      <c r="L1186" s="50" t="s">
        <v>80</v>
      </c>
    </row>
    <row r="1187" spans="2:12">
      <c r="B1187" s="50" t="s">
        <v>483</v>
      </c>
      <c r="C1187" s="50" t="s">
        <v>62</v>
      </c>
      <c r="D1187" s="50" t="s">
        <v>27</v>
      </c>
      <c r="E1187" s="50">
        <v>50041195</v>
      </c>
      <c r="F1187" s="50" t="s">
        <v>206</v>
      </c>
      <c r="G1187" s="50">
        <v>1</v>
      </c>
      <c r="H1187" s="50" t="s">
        <v>2</v>
      </c>
      <c r="I1187" s="50" t="s">
        <v>297</v>
      </c>
      <c r="J1187" s="51">
        <v>46077</v>
      </c>
      <c r="K1187" s="50" t="s">
        <v>3</v>
      </c>
      <c r="L1187" s="50" t="s">
        <v>80</v>
      </c>
    </row>
    <row r="1188" spans="2:12">
      <c r="B1188" s="50" t="s">
        <v>483</v>
      </c>
      <c r="C1188" s="50" t="s">
        <v>62</v>
      </c>
      <c r="D1188" s="50" t="s">
        <v>27</v>
      </c>
      <c r="E1188" s="50">
        <v>50046617</v>
      </c>
      <c r="F1188" s="50" t="s">
        <v>365</v>
      </c>
      <c r="G1188" s="50">
        <v>1</v>
      </c>
      <c r="H1188" s="50" t="s">
        <v>2</v>
      </c>
      <c r="I1188" s="50" t="s">
        <v>297</v>
      </c>
      <c r="J1188" s="51">
        <v>46077</v>
      </c>
      <c r="K1188" s="50" t="s">
        <v>3</v>
      </c>
      <c r="L1188" s="50" t="s">
        <v>80</v>
      </c>
    </row>
    <row r="1189" spans="2:12">
      <c r="B1189" s="50" t="s">
        <v>483</v>
      </c>
      <c r="C1189" s="50" t="s">
        <v>62</v>
      </c>
      <c r="D1189" s="50" t="s">
        <v>27</v>
      </c>
      <c r="E1189" s="50">
        <v>50041124</v>
      </c>
      <c r="F1189" s="50" t="s">
        <v>202</v>
      </c>
      <c r="G1189" s="50">
        <v>1</v>
      </c>
      <c r="H1189" s="50" t="s">
        <v>2</v>
      </c>
      <c r="I1189" s="50" t="s">
        <v>292</v>
      </c>
      <c r="J1189" s="51">
        <v>46076</v>
      </c>
      <c r="K1189" s="50" t="s">
        <v>1</v>
      </c>
      <c r="L1189" s="50" t="s">
        <v>80</v>
      </c>
    </row>
    <row r="1190" spans="2:12">
      <c r="B1190" s="50" t="s">
        <v>483</v>
      </c>
      <c r="C1190" s="50" t="s">
        <v>62</v>
      </c>
      <c r="D1190" s="50" t="s">
        <v>27</v>
      </c>
      <c r="E1190" s="50">
        <v>50010031</v>
      </c>
      <c r="F1190" s="50" t="s">
        <v>89</v>
      </c>
      <c r="G1190" s="50">
        <v>1</v>
      </c>
      <c r="H1190" s="50" t="s">
        <v>2</v>
      </c>
      <c r="I1190" s="50" t="s">
        <v>292</v>
      </c>
      <c r="J1190" s="51">
        <v>46076</v>
      </c>
      <c r="K1190" s="50" t="s">
        <v>1</v>
      </c>
      <c r="L1190" s="50" t="s">
        <v>81</v>
      </c>
    </row>
    <row r="1191" spans="2:12">
      <c r="B1191" s="50" t="s">
        <v>278</v>
      </c>
      <c r="C1191" s="50" t="s">
        <v>62</v>
      </c>
      <c r="D1191" s="50" t="s">
        <v>27</v>
      </c>
      <c r="E1191" s="50">
        <v>50030486</v>
      </c>
      <c r="F1191" s="50" t="s">
        <v>153</v>
      </c>
      <c r="G1191" s="50">
        <v>1</v>
      </c>
      <c r="H1191" s="50" t="s">
        <v>2</v>
      </c>
      <c r="I1191" s="50" t="s">
        <v>292</v>
      </c>
      <c r="J1191" s="51">
        <v>46076</v>
      </c>
      <c r="K1191" s="50" t="s">
        <v>1</v>
      </c>
      <c r="L1191" s="50" t="s">
        <v>80</v>
      </c>
    </row>
    <row r="1192" spans="2:12">
      <c r="B1192" s="50" t="s">
        <v>394</v>
      </c>
      <c r="C1192" s="50" t="s">
        <v>51</v>
      </c>
      <c r="D1192" s="50" t="s">
        <v>27</v>
      </c>
      <c r="E1192" s="50">
        <v>50041653</v>
      </c>
      <c r="F1192" s="50" t="s">
        <v>201</v>
      </c>
      <c r="G1192" s="50">
        <v>1</v>
      </c>
      <c r="H1192" s="50" t="s">
        <v>2</v>
      </c>
      <c r="I1192" s="50" t="s">
        <v>289</v>
      </c>
      <c r="J1192" s="51">
        <v>46076</v>
      </c>
      <c r="K1192" s="50" t="s">
        <v>1</v>
      </c>
      <c r="L1192" s="50" t="s">
        <v>80</v>
      </c>
    </row>
    <row r="1193" spans="2:12">
      <c r="B1193" s="50" t="s">
        <v>394</v>
      </c>
      <c r="C1193" s="50" t="s">
        <v>51</v>
      </c>
      <c r="D1193" s="50" t="s">
        <v>27</v>
      </c>
      <c r="E1193" s="50">
        <v>50037924</v>
      </c>
      <c r="F1193" s="50" t="s">
        <v>261</v>
      </c>
      <c r="G1193" s="50">
        <v>1</v>
      </c>
      <c r="H1193" s="50" t="s">
        <v>2</v>
      </c>
      <c r="I1193" s="50" t="s">
        <v>293</v>
      </c>
      <c r="J1193" s="51">
        <v>46076</v>
      </c>
      <c r="K1193" s="50" t="s">
        <v>1</v>
      </c>
      <c r="L1193" s="50" t="s">
        <v>80</v>
      </c>
    </row>
    <row r="1194" spans="2:12">
      <c r="B1194" s="50" t="s">
        <v>394</v>
      </c>
      <c r="C1194" s="50" t="s">
        <v>51</v>
      </c>
      <c r="D1194" s="50" t="s">
        <v>27</v>
      </c>
      <c r="E1194" s="50">
        <v>50001740</v>
      </c>
      <c r="F1194" s="50" t="s">
        <v>294</v>
      </c>
      <c r="G1194" s="50">
        <v>1</v>
      </c>
      <c r="H1194" s="50" t="s">
        <v>2</v>
      </c>
      <c r="I1194" s="50" t="s">
        <v>293</v>
      </c>
      <c r="J1194" s="51">
        <v>46076</v>
      </c>
      <c r="K1194" s="50" t="s">
        <v>1</v>
      </c>
      <c r="L1194" s="50" t="s">
        <v>80</v>
      </c>
    </row>
    <row r="1195" spans="2:12">
      <c r="B1195" s="50" t="s">
        <v>471</v>
      </c>
      <c r="C1195" s="50" t="s">
        <v>26</v>
      </c>
      <c r="D1195" s="50" t="s">
        <v>39</v>
      </c>
      <c r="E1195" s="50">
        <v>50046617</v>
      </c>
      <c r="F1195" s="50" t="s">
        <v>365</v>
      </c>
      <c r="G1195" s="50">
        <v>1</v>
      </c>
      <c r="H1195" s="50" t="s">
        <v>2</v>
      </c>
      <c r="I1195" s="50" t="s">
        <v>293</v>
      </c>
      <c r="J1195" s="51">
        <v>46076</v>
      </c>
      <c r="K1195" s="50" t="s">
        <v>3</v>
      </c>
      <c r="L1195" s="50" t="s">
        <v>80</v>
      </c>
    </row>
    <row r="1196" spans="2:12">
      <c r="B1196" s="50" t="s">
        <v>478</v>
      </c>
      <c r="C1196" s="50" t="s">
        <v>51</v>
      </c>
      <c r="D1196" s="50" t="s">
        <v>27</v>
      </c>
      <c r="E1196" s="50">
        <v>50022878</v>
      </c>
      <c r="F1196" s="50" t="s">
        <v>296</v>
      </c>
      <c r="G1196" s="50">
        <v>1</v>
      </c>
      <c r="H1196" s="50" t="s">
        <v>2</v>
      </c>
      <c r="I1196" s="50" t="s">
        <v>293</v>
      </c>
      <c r="J1196" s="51">
        <v>46076</v>
      </c>
      <c r="K1196" s="50" t="s">
        <v>1</v>
      </c>
      <c r="L1196" s="50" t="s">
        <v>80</v>
      </c>
    </row>
    <row r="1197" spans="2:12">
      <c r="B1197" s="50" t="s">
        <v>412</v>
      </c>
      <c r="C1197" s="50" t="s">
        <v>51</v>
      </c>
      <c r="D1197" s="50" t="s">
        <v>41</v>
      </c>
      <c r="E1197" s="50">
        <v>50038517</v>
      </c>
      <c r="F1197" s="50" t="s">
        <v>181</v>
      </c>
      <c r="G1197" s="50">
        <v>1</v>
      </c>
      <c r="H1197" s="50" t="s">
        <v>2</v>
      </c>
      <c r="I1197" s="50" t="s">
        <v>292</v>
      </c>
      <c r="J1197" s="51">
        <v>46076</v>
      </c>
      <c r="K1197" s="50" t="s">
        <v>1</v>
      </c>
      <c r="L1197" s="50" t="s">
        <v>80</v>
      </c>
    </row>
    <row r="1198" spans="2:12">
      <c r="B1198" s="50" t="s">
        <v>478</v>
      </c>
      <c r="C1198" s="50" t="s">
        <v>51</v>
      </c>
      <c r="D1198" s="50" t="s">
        <v>27</v>
      </c>
      <c r="E1198" s="50">
        <v>50022878</v>
      </c>
      <c r="F1198" s="50" t="s">
        <v>296</v>
      </c>
      <c r="G1198" s="50">
        <v>1</v>
      </c>
      <c r="H1198" s="50" t="s">
        <v>2</v>
      </c>
      <c r="I1198" s="50" t="s">
        <v>292</v>
      </c>
      <c r="J1198" s="51">
        <v>46076</v>
      </c>
      <c r="K1198" s="50" t="s">
        <v>1</v>
      </c>
      <c r="L1198" s="50" t="s">
        <v>80</v>
      </c>
    </row>
    <row r="1199" spans="2:12">
      <c r="B1199" s="50" t="s">
        <v>478</v>
      </c>
      <c r="C1199" s="50" t="s">
        <v>51</v>
      </c>
      <c r="D1199" s="50" t="s">
        <v>27</v>
      </c>
      <c r="E1199" s="50">
        <v>50022878</v>
      </c>
      <c r="F1199" s="50" t="s">
        <v>296</v>
      </c>
      <c r="G1199" s="50">
        <v>1</v>
      </c>
      <c r="H1199" s="50" t="s">
        <v>2</v>
      </c>
      <c r="I1199" s="50" t="s">
        <v>292</v>
      </c>
      <c r="J1199" s="51">
        <v>46076</v>
      </c>
      <c r="K1199" s="50" t="s">
        <v>3</v>
      </c>
      <c r="L1199" s="50" t="s">
        <v>80</v>
      </c>
    </row>
    <row r="1200" spans="2:12">
      <c r="B1200" s="50" t="s">
        <v>385</v>
      </c>
      <c r="C1200" s="50" t="s">
        <v>56</v>
      </c>
      <c r="D1200" s="50" t="s">
        <v>41</v>
      </c>
      <c r="E1200" s="50">
        <v>50036298</v>
      </c>
      <c r="F1200" s="50" t="s">
        <v>102</v>
      </c>
      <c r="G1200" s="50">
        <v>1</v>
      </c>
      <c r="H1200" s="50" t="s">
        <v>2</v>
      </c>
      <c r="I1200" s="50" t="s">
        <v>292</v>
      </c>
      <c r="J1200" s="51">
        <v>46076</v>
      </c>
      <c r="K1200" s="50" t="s">
        <v>1</v>
      </c>
      <c r="L1200" s="50" t="s">
        <v>80</v>
      </c>
    </row>
    <row r="1201" spans="2:12">
      <c r="B1201" s="50" t="s">
        <v>277</v>
      </c>
      <c r="C1201" s="50" t="s">
        <v>62</v>
      </c>
      <c r="D1201" s="50" t="s">
        <v>27</v>
      </c>
      <c r="E1201" s="50">
        <v>50026357</v>
      </c>
      <c r="F1201" s="50" t="s">
        <v>192</v>
      </c>
      <c r="G1201" s="50">
        <v>1</v>
      </c>
      <c r="H1201" s="50" t="s">
        <v>2</v>
      </c>
      <c r="I1201" s="50" t="s">
        <v>292</v>
      </c>
      <c r="J1201" s="51">
        <v>46076</v>
      </c>
      <c r="K1201" s="50" t="s">
        <v>1</v>
      </c>
      <c r="L1201" s="50" t="s">
        <v>80</v>
      </c>
    </row>
    <row r="1202" spans="2:12">
      <c r="B1202" s="50" t="s">
        <v>446</v>
      </c>
      <c r="C1202" s="50" t="s">
        <v>56</v>
      </c>
      <c r="D1202" s="50" t="s">
        <v>27</v>
      </c>
      <c r="E1202" s="50">
        <v>50046617</v>
      </c>
      <c r="F1202" s="50" t="s">
        <v>365</v>
      </c>
      <c r="G1202" s="50">
        <v>1</v>
      </c>
      <c r="H1202" s="50" t="s">
        <v>2</v>
      </c>
      <c r="I1202" s="50" t="s">
        <v>292</v>
      </c>
      <c r="J1202" s="51">
        <v>46076</v>
      </c>
      <c r="K1202" s="50" t="s">
        <v>1</v>
      </c>
      <c r="L1202" s="50" t="s">
        <v>80</v>
      </c>
    </row>
    <row r="1203" spans="2:12">
      <c r="B1203" s="50" t="s">
        <v>446</v>
      </c>
      <c r="C1203" s="50" t="s">
        <v>56</v>
      </c>
      <c r="D1203" s="50" t="s">
        <v>27</v>
      </c>
      <c r="E1203" s="50">
        <v>50046617</v>
      </c>
      <c r="F1203" s="50" t="s">
        <v>365</v>
      </c>
      <c r="G1203" s="50">
        <v>1</v>
      </c>
      <c r="H1203" s="50" t="s">
        <v>2</v>
      </c>
      <c r="I1203" s="50" t="s">
        <v>292</v>
      </c>
      <c r="J1203" s="51">
        <v>46076</v>
      </c>
      <c r="K1203" s="50" t="s">
        <v>3</v>
      </c>
      <c r="L1203" s="50" t="s">
        <v>80</v>
      </c>
    </row>
    <row r="1204" spans="2:12">
      <c r="B1204" s="50" t="s">
        <v>270</v>
      </c>
      <c r="C1204" s="50" t="s">
        <v>51</v>
      </c>
      <c r="D1204" s="50" t="s">
        <v>27</v>
      </c>
      <c r="E1204" s="50">
        <v>50046617</v>
      </c>
      <c r="F1204" s="50" t="s">
        <v>365</v>
      </c>
      <c r="G1204" s="50">
        <v>1</v>
      </c>
      <c r="H1204" s="50" t="s">
        <v>2</v>
      </c>
      <c r="I1204" s="50" t="s">
        <v>297</v>
      </c>
      <c r="J1204" s="51">
        <v>46076</v>
      </c>
      <c r="K1204" s="50" t="s">
        <v>1</v>
      </c>
      <c r="L1204" s="50" t="s">
        <v>80</v>
      </c>
    </row>
    <row r="1205" spans="2:12">
      <c r="B1205" s="50" t="s">
        <v>270</v>
      </c>
      <c r="C1205" s="50" t="s">
        <v>51</v>
      </c>
      <c r="D1205" s="50" t="s">
        <v>27</v>
      </c>
      <c r="E1205" s="50">
        <v>50046617</v>
      </c>
      <c r="F1205" s="50" t="s">
        <v>365</v>
      </c>
      <c r="G1205" s="50">
        <v>1</v>
      </c>
      <c r="H1205" s="50" t="s">
        <v>2</v>
      </c>
      <c r="I1205" s="50" t="s">
        <v>297</v>
      </c>
      <c r="J1205" s="51">
        <v>46076</v>
      </c>
      <c r="K1205" s="50" t="s">
        <v>3</v>
      </c>
      <c r="L1205" s="50" t="s">
        <v>80</v>
      </c>
    </row>
    <row r="1206" spans="2:12">
      <c r="B1206" s="50" t="s">
        <v>444</v>
      </c>
      <c r="C1206" s="50" t="s">
        <v>51</v>
      </c>
      <c r="D1206" s="50" t="s">
        <v>27</v>
      </c>
      <c r="E1206" s="50">
        <v>50046617</v>
      </c>
      <c r="F1206" s="50" t="s">
        <v>365</v>
      </c>
      <c r="G1206" s="50">
        <v>1</v>
      </c>
      <c r="H1206" s="50" t="s">
        <v>2</v>
      </c>
      <c r="I1206" s="50" t="s">
        <v>293</v>
      </c>
      <c r="J1206" s="51">
        <v>46076</v>
      </c>
      <c r="K1206" s="50" t="s">
        <v>1</v>
      </c>
      <c r="L1206" s="50" t="s">
        <v>80</v>
      </c>
    </row>
    <row r="1207" spans="2:12">
      <c r="B1207" s="50" t="s">
        <v>444</v>
      </c>
      <c r="C1207" s="50" t="s">
        <v>51</v>
      </c>
      <c r="D1207" s="50" t="s">
        <v>27</v>
      </c>
      <c r="E1207" s="50">
        <v>50039065</v>
      </c>
      <c r="F1207" s="50" t="s">
        <v>186</v>
      </c>
      <c r="G1207" s="50">
        <v>1</v>
      </c>
      <c r="H1207" s="50" t="s">
        <v>2</v>
      </c>
      <c r="I1207" s="50" t="s">
        <v>293</v>
      </c>
      <c r="J1207" s="51">
        <v>46076</v>
      </c>
      <c r="K1207" s="50" t="s">
        <v>1</v>
      </c>
      <c r="L1207" s="50" t="s">
        <v>80</v>
      </c>
    </row>
    <row r="1208" spans="2:12">
      <c r="B1208" s="50" t="s">
        <v>444</v>
      </c>
      <c r="C1208" s="50" t="s">
        <v>51</v>
      </c>
      <c r="D1208" s="50" t="s">
        <v>27</v>
      </c>
      <c r="E1208" s="50">
        <v>50039065</v>
      </c>
      <c r="F1208" s="50" t="s">
        <v>186</v>
      </c>
      <c r="G1208" s="50">
        <v>1</v>
      </c>
      <c r="H1208" s="50" t="s">
        <v>2</v>
      </c>
      <c r="I1208" s="50" t="s">
        <v>292</v>
      </c>
      <c r="J1208" s="51">
        <v>46076</v>
      </c>
      <c r="K1208" s="50" t="s">
        <v>3</v>
      </c>
      <c r="L1208" s="50" t="s">
        <v>80</v>
      </c>
    </row>
    <row r="1209" spans="2:12">
      <c r="B1209" s="50" t="s">
        <v>418</v>
      </c>
      <c r="C1209" s="50" t="s">
        <v>26</v>
      </c>
      <c r="D1209" s="50" t="s">
        <v>27</v>
      </c>
      <c r="E1209" s="50">
        <v>50039065</v>
      </c>
      <c r="F1209" s="50" t="s">
        <v>186</v>
      </c>
      <c r="G1209" s="50">
        <v>1</v>
      </c>
      <c r="H1209" s="50" t="s">
        <v>2</v>
      </c>
      <c r="I1209" s="50" t="s">
        <v>292</v>
      </c>
      <c r="J1209" s="51">
        <v>46076</v>
      </c>
      <c r="K1209" s="50" t="s">
        <v>1</v>
      </c>
      <c r="L1209" s="50" t="s">
        <v>80</v>
      </c>
    </row>
    <row r="1210" spans="2:12">
      <c r="B1210" s="50" t="s">
        <v>418</v>
      </c>
      <c r="C1210" s="50" t="s">
        <v>26</v>
      </c>
      <c r="D1210" s="50" t="s">
        <v>27</v>
      </c>
      <c r="E1210" s="50">
        <v>50039065</v>
      </c>
      <c r="F1210" s="50" t="s">
        <v>186</v>
      </c>
      <c r="G1210" s="50">
        <v>1</v>
      </c>
      <c r="H1210" s="50" t="s">
        <v>2</v>
      </c>
      <c r="I1210" s="50" t="s">
        <v>291</v>
      </c>
      <c r="J1210" s="51">
        <v>46076</v>
      </c>
      <c r="K1210" s="50" t="s">
        <v>3</v>
      </c>
      <c r="L1210" s="50" t="s">
        <v>80</v>
      </c>
    </row>
    <row r="1211" spans="2:12">
      <c r="B1211" s="50" t="s">
        <v>43</v>
      </c>
      <c r="C1211" s="50" t="s">
        <v>26</v>
      </c>
      <c r="D1211" s="50" t="s">
        <v>41</v>
      </c>
      <c r="E1211" s="50">
        <v>50037933</v>
      </c>
      <c r="F1211" s="50" t="s">
        <v>250</v>
      </c>
      <c r="G1211" s="50">
        <v>1</v>
      </c>
      <c r="H1211" s="50" t="s">
        <v>2</v>
      </c>
      <c r="I1211" s="50" t="s">
        <v>291</v>
      </c>
      <c r="J1211" s="51">
        <v>46076</v>
      </c>
      <c r="K1211" s="50" t="s">
        <v>1</v>
      </c>
      <c r="L1211" s="50" t="s">
        <v>80</v>
      </c>
    </row>
    <row r="1212" spans="2:12">
      <c r="B1212" s="50" t="s">
        <v>43</v>
      </c>
      <c r="C1212" s="50" t="s">
        <v>26</v>
      </c>
      <c r="D1212" s="50" t="s">
        <v>41</v>
      </c>
      <c r="E1212" s="50">
        <v>50037933</v>
      </c>
      <c r="F1212" s="50" t="s">
        <v>250</v>
      </c>
      <c r="G1212" s="50">
        <v>1</v>
      </c>
      <c r="H1212" s="50" t="s">
        <v>2</v>
      </c>
      <c r="I1212" s="50" t="s">
        <v>291</v>
      </c>
      <c r="J1212" s="51">
        <v>46076</v>
      </c>
      <c r="K1212" s="50" t="s">
        <v>3</v>
      </c>
      <c r="L1212" s="50" t="s">
        <v>80</v>
      </c>
    </row>
    <row r="1213" spans="2:12">
      <c r="B1213" s="50" t="s">
        <v>463</v>
      </c>
      <c r="C1213" s="50" t="s">
        <v>356</v>
      </c>
      <c r="D1213" s="50" t="s">
        <v>27</v>
      </c>
      <c r="E1213" s="50">
        <v>50037905</v>
      </c>
      <c r="F1213" s="50" t="s">
        <v>150</v>
      </c>
      <c r="G1213" s="50">
        <v>1</v>
      </c>
      <c r="H1213" s="50" t="s">
        <v>2</v>
      </c>
      <c r="I1213" s="50" t="s">
        <v>291</v>
      </c>
      <c r="J1213" s="51">
        <v>46076</v>
      </c>
      <c r="K1213" s="50" t="s">
        <v>1</v>
      </c>
      <c r="L1213" s="50" t="s">
        <v>80</v>
      </c>
    </row>
    <row r="1214" spans="2:12">
      <c r="B1214" s="50" t="s">
        <v>278</v>
      </c>
      <c r="C1214" s="50" t="s">
        <v>62</v>
      </c>
      <c r="D1214" s="50" t="s">
        <v>27</v>
      </c>
      <c r="E1214" s="50">
        <v>50030486</v>
      </c>
      <c r="F1214" s="50" t="s">
        <v>153</v>
      </c>
      <c r="G1214" s="50">
        <v>1</v>
      </c>
      <c r="H1214" s="50" t="s">
        <v>2</v>
      </c>
      <c r="I1214" s="50" t="s">
        <v>291</v>
      </c>
      <c r="J1214" s="51">
        <v>46076</v>
      </c>
      <c r="K1214" s="50" t="s">
        <v>3</v>
      </c>
      <c r="L1214" s="50" t="s">
        <v>80</v>
      </c>
    </row>
    <row r="1215" spans="2:12">
      <c r="B1215" s="50" t="s">
        <v>444</v>
      </c>
      <c r="C1215" s="50" t="s">
        <v>51</v>
      </c>
      <c r="D1215" s="50" t="s">
        <v>27</v>
      </c>
      <c r="E1215" s="50">
        <v>50046617</v>
      </c>
      <c r="F1215" s="50" t="s">
        <v>365</v>
      </c>
      <c r="G1215" s="50">
        <v>1</v>
      </c>
      <c r="H1215" s="50" t="s">
        <v>2</v>
      </c>
      <c r="I1215" s="50" t="s">
        <v>291</v>
      </c>
      <c r="J1215" s="51">
        <v>46076</v>
      </c>
      <c r="K1215" s="50" t="s">
        <v>3</v>
      </c>
      <c r="L1215" s="50" t="s">
        <v>80</v>
      </c>
    </row>
    <row r="1216" spans="2:12">
      <c r="B1216" s="50" t="s">
        <v>463</v>
      </c>
      <c r="C1216" s="50" t="s">
        <v>356</v>
      </c>
      <c r="D1216" s="50" t="s">
        <v>27</v>
      </c>
      <c r="E1216" s="50">
        <v>50037905</v>
      </c>
      <c r="F1216" s="50" t="s">
        <v>150</v>
      </c>
      <c r="G1216" s="50">
        <v>1</v>
      </c>
      <c r="H1216" s="50" t="s">
        <v>2</v>
      </c>
      <c r="I1216" s="50" t="s">
        <v>291</v>
      </c>
      <c r="J1216" s="51">
        <v>46076</v>
      </c>
      <c r="K1216" s="50" t="s">
        <v>3</v>
      </c>
      <c r="L1216" s="50" t="s">
        <v>80</v>
      </c>
    </row>
    <row r="1217" spans="2:12">
      <c r="B1217" s="50" t="s">
        <v>270</v>
      </c>
      <c r="C1217" s="50" t="s">
        <v>51</v>
      </c>
      <c r="D1217" s="50" t="s">
        <v>27</v>
      </c>
      <c r="E1217" s="50">
        <v>50037892</v>
      </c>
      <c r="F1217" s="50" t="s">
        <v>178</v>
      </c>
      <c r="G1217" s="50">
        <v>1</v>
      </c>
      <c r="H1217" s="50" t="s">
        <v>2</v>
      </c>
      <c r="I1217" s="50" t="s">
        <v>291</v>
      </c>
      <c r="J1217" s="51">
        <v>46076</v>
      </c>
      <c r="K1217" s="50" t="s">
        <v>1</v>
      </c>
      <c r="L1217" s="50" t="s">
        <v>80</v>
      </c>
    </row>
    <row r="1218" spans="2:12">
      <c r="B1218" s="50" t="s">
        <v>483</v>
      </c>
      <c r="C1218" s="50" t="s">
        <v>62</v>
      </c>
      <c r="D1218" s="50" t="s">
        <v>27</v>
      </c>
      <c r="E1218" s="50">
        <v>50041124</v>
      </c>
      <c r="F1218" s="50" t="s">
        <v>202</v>
      </c>
      <c r="G1218" s="50">
        <v>1</v>
      </c>
      <c r="H1218" s="50" t="s">
        <v>2</v>
      </c>
      <c r="I1218" s="50" t="s">
        <v>288</v>
      </c>
      <c r="J1218" s="51">
        <v>46076</v>
      </c>
      <c r="K1218" s="50" t="s">
        <v>3</v>
      </c>
      <c r="L1218" s="50" t="s">
        <v>80</v>
      </c>
    </row>
    <row r="1219" spans="2:12">
      <c r="B1219" s="50" t="s">
        <v>277</v>
      </c>
      <c r="C1219" s="50" t="s">
        <v>62</v>
      </c>
      <c r="D1219" s="50" t="s">
        <v>27</v>
      </c>
      <c r="E1219" s="50">
        <v>50026357</v>
      </c>
      <c r="F1219" s="50" t="s">
        <v>192</v>
      </c>
      <c r="G1219" s="50">
        <v>1</v>
      </c>
      <c r="H1219" s="50" t="s">
        <v>2</v>
      </c>
      <c r="I1219" s="50" t="s">
        <v>288</v>
      </c>
      <c r="J1219" s="51">
        <v>46076</v>
      </c>
      <c r="K1219" s="50" t="s">
        <v>3</v>
      </c>
      <c r="L1219" s="50" t="s">
        <v>80</v>
      </c>
    </row>
    <row r="1220" spans="2:12">
      <c r="B1220" s="50" t="s">
        <v>54</v>
      </c>
      <c r="C1220" s="50" t="s">
        <v>51</v>
      </c>
      <c r="D1220" s="50" t="s">
        <v>41</v>
      </c>
      <c r="E1220" s="50">
        <v>50041195</v>
      </c>
      <c r="F1220" s="50" t="s">
        <v>206</v>
      </c>
      <c r="G1220" s="50">
        <v>1</v>
      </c>
      <c r="H1220" s="50" t="s">
        <v>2</v>
      </c>
      <c r="I1220" s="50" t="s">
        <v>288</v>
      </c>
      <c r="J1220" s="51">
        <v>46076</v>
      </c>
      <c r="K1220" s="50" t="s">
        <v>1</v>
      </c>
      <c r="L1220" s="50" t="s">
        <v>80</v>
      </c>
    </row>
    <row r="1221" spans="2:12">
      <c r="B1221" s="50" t="s">
        <v>54</v>
      </c>
      <c r="C1221" s="50" t="s">
        <v>51</v>
      </c>
      <c r="D1221" s="50" t="s">
        <v>41</v>
      </c>
      <c r="E1221" s="50">
        <v>50037892</v>
      </c>
      <c r="F1221" s="50" t="s">
        <v>178</v>
      </c>
      <c r="G1221" s="50">
        <v>1</v>
      </c>
      <c r="H1221" s="50" t="s">
        <v>2</v>
      </c>
      <c r="I1221" s="50" t="s">
        <v>288</v>
      </c>
      <c r="J1221" s="51">
        <v>46076</v>
      </c>
      <c r="K1221" s="50" t="s">
        <v>3</v>
      </c>
      <c r="L1221" s="50" t="s">
        <v>80</v>
      </c>
    </row>
    <row r="1222" spans="2:12">
      <c r="B1222" s="50" t="s">
        <v>410</v>
      </c>
      <c r="C1222" s="50" t="s">
        <v>51</v>
      </c>
      <c r="D1222" s="50" t="s">
        <v>27</v>
      </c>
      <c r="E1222" s="50">
        <v>50037892</v>
      </c>
      <c r="F1222" s="50" t="s">
        <v>178</v>
      </c>
      <c r="G1222" s="50">
        <v>1</v>
      </c>
      <c r="H1222" s="50" t="s">
        <v>2</v>
      </c>
      <c r="I1222" s="50" t="s">
        <v>288</v>
      </c>
      <c r="J1222" s="51">
        <v>46076</v>
      </c>
      <c r="K1222" s="50" t="s">
        <v>1</v>
      </c>
      <c r="L1222" s="50" t="s">
        <v>80</v>
      </c>
    </row>
    <row r="1223" spans="2:12">
      <c r="B1223" s="50" t="s">
        <v>409</v>
      </c>
      <c r="C1223" s="50" t="s">
        <v>51</v>
      </c>
      <c r="D1223" s="50" t="s">
        <v>27</v>
      </c>
      <c r="E1223" s="50">
        <v>50043471</v>
      </c>
      <c r="F1223" s="50" t="s">
        <v>257</v>
      </c>
      <c r="G1223" s="50">
        <v>1</v>
      </c>
      <c r="H1223" s="50" t="s">
        <v>2</v>
      </c>
      <c r="I1223" s="50" t="s">
        <v>288</v>
      </c>
      <c r="J1223" s="51">
        <v>46076</v>
      </c>
      <c r="K1223" s="50" t="s">
        <v>3</v>
      </c>
      <c r="L1223" s="50" t="s">
        <v>80</v>
      </c>
    </row>
    <row r="1224" spans="2:12">
      <c r="B1224" s="50" t="s">
        <v>410</v>
      </c>
      <c r="C1224" s="50" t="s">
        <v>51</v>
      </c>
      <c r="D1224" s="50" t="s">
        <v>27</v>
      </c>
      <c r="E1224" s="50">
        <v>50037892</v>
      </c>
      <c r="F1224" s="50" t="s">
        <v>178</v>
      </c>
      <c r="G1224" s="50">
        <v>1</v>
      </c>
      <c r="H1224" s="50" t="s">
        <v>2</v>
      </c>
      <c r="I1224" s="50" t="s">
        <v>288</v>
      </c>
      <c r="J1224" s="51">
        <v>46076</v>
      </c>
      <c r="K1224" s="50" t="s">
        <v>3</v>
      </c>
      <c r="L1224" s="50" t="s">
        <v>80</v>
      </c>
    </row>
    <row r="1225" spans="2:12">
      <c r="B1225" s="50" t="s">
        <v>412</v>
      </c>
      <c r="C1225" s="50" t="s">
        <v>51</v>
      </c>
      <c r="D1225" s="50" t="s">
        <v>41</v>
      </c>
      <c r="E1225" s="50">
        <v>50038517</v>
      </c>
      <c r="F1225" s="50" t="s">
        <v>181</v>
      </c>
      <c r="G1225" s="50">
        <v>1</v>
      </c>
      <c r="H1225" s="50" t="s">
        <v>2</v>
      </c>
      <c r="I1225" s="50" t="s">
        <v>288</v>
      </c>
      <c r="J1225" s="51">
        <v>46076</v>
      </c>
      <c r="K1225" s="50" t="s">
        <v>3</v>
      </c>
      <c r="L1225" s="50" t="s">
        <v>80</v>
      </c>
    </row>
    <row r="1226" spans="2:12">
      <c r="B1226" s="50" t="s">
        <v>483</v>
      </c>
      <c r="C1226" s="50" t="s">
        <v>62</v>
      </c>
      <c r="D1226" s="50" t="s">
        <v>27</v>
      </c>
      <c r="E1226" s="50">
        <v>50010031</v>
      </c>
      <c r="F1226" s="50" t="s">
        <v>89</v>
      </c>
      <c r="G1226" s="50">
        <v>1</v>
      </c>
      <c r="H1226" s="50" t="s">
        <v>2</v>
      </c>
      <c r="I1226" s="50" t="s">
        <v>288</v>
      </c>
      <c r="J1226" s="51">
        <v>46076</v>
      </c>
      <c r="K1226" s="50" t="s">
        <v>3</v>
      </c>
      <c r="L1226" s="50" t="s">
        <v>80</v>
      </c>
    </row>
    <row r="1227" spans="2:12">
      <c r="B1227" s="50" t="s">
        <v>394</v>
      </c>
      <c r="C1227" s="50" t="s">
        <v>51</v>
      </c>
      <c r="D1227" s="50" t="s">
        <v>27</v>
      </c>
      <c r="E1227" s="50">
        <v>50001740</v>
      </c>
      <c r="F1227" s="50" t="s">
        <v>294</v>
      </c>
      <c r="G1227" s="50">
        <v>1</v>
      </c>
      <c r="H1227" s="50" t="s">
        <v>2</v>
      </c>
      <c r="I1227" s="50" t="s">
        <v>288</v>
      </c>
      <c r="J1227" s="51">
        <v>46076</v>
      </c>
      <c r="K1227" s="50" t="s">
        <v>3</v>
      </c>
      <c r="L1227" s="50" t="s">
        <v>80</v>
      </c>
    </row>
    <row r="1228" spans="2:12">
      <c r="B1228" s="50" t="s">
        <v>394</v>
      </c>
      <c r="C1228" s="50" t="s">
        <v>51</v>
      </c>
      <c r="D1228" s="50" t="s">
        <v>27</v>
      </c>
      <c r="E1228" s="50">
        <v>50041653</v>
      </c>
      <c r="F1228" s="50" t="s">
        <v>201</v>
      </c>
      <c r="G1228" s="50">
        <v>1</v>
      </c>
      <c r="H1228" s="50" t="s">
        <v>2</v>
      </c>
      <c r="I1228" s="50" t="s">
        <v>288</v>
      </c>
      <c r="J1228" s="51">
        <v>46076</v>
      </c>
      <c r="K1228" s="50" t="s">
        <v>3</v>
      </c>
      <c r="L1228" s="50" t="s">
        <v>80</v>
      </c>
    </row>
    <row r="1229" spans="2:12">
      <c r="B1229" s="50" t="s">
        <v>270</v>
      </c>
      <c r="C1229" s="50" t="s">
        <v>51</v>
      </c>
      <c r="D1229" s="50" t="s">
        <v>27</v>
      </c>
      <c r="E1229" s="50">
        <v>50003297</v>
      </c>
      <c r="F1229" s="50" t="s">
        <v>158</v>
      </c>
      <c r="G1229" s="50">
        <v>1</v>
      </c>
      <c r="H1229" s="50" t="s">
        <v>2</v>
      </c>
      <c r="I1229" s="50" t="s">
        <v>288</v>
      </c>
      <c r="J1229" s="51">
        <v>46076</v>
      </c>
      <c r="K1229" s="50" t="s">
        <v>3</v>
      </c>
      <c r="L1229" s="50" t="s">
        <v>80</v>
      </c>
    </row>
    <row r="1230" spans="2:12">
      <c r="B1230" s="50" t="s">
        <v>385</v>
      </c>
      <c r="C1230" s="50" t="s">
        <v>56</v>
      </c>
      <c r="D1230" s="50" t="s">
        <v>41</v>
      </c>
      <c r="E1230" s="50">
        <v>50036298</v>
      </c>
      <c r="F1230" s="50" t="s">
        <v>102</v>
      </c>
      <c r="G1230" s="50">
        <v>1</v>
      </c>
      <c r="H1230" s="50" t="s">
        <v>2</v>
      </c>
      <c r="I1230" s="50" t="s">
        <v>288</v>
      </c>
      <c r="J1230" s="51">
        <v>46076</v>
      </c>
      <c r="K1230" s="50" t="s">
        <v>3</v>
      </c>
      <c r="L1230" s="50" t="s">
        <v>80</v>
      </c>
    </row>
    <row r="1231" spans="2:12">
      <c r="B1231" s="50" t="s">
        <v>270</v>
      </c>
      <c r="C1231" s="50" t="s">
        <v>51</v>
      </c>
      <c r="D1231" s="50" t="s">
        <v>27</v>
      </c>
      <c r="E1231" s="50">
        <v>50037892</v>
      </c>
      <c r="F1231" s="50" t="s">
        <v>178</v>
      </c>
      <c r="G1231" s="50">
        <v>1</v>
      </c>
      <c r="H1231" s="50" t="s">
        <v>2</v>
      </c>
      <c r="I1231" s="50" t="s">
        <v>288</v>
      </c>
      <c r="J1231" s="51">
        <v>46076</v>
      </c>
      <c r="K1231" s="50" t="s">
        <v>3</v>
      </c>
      <c r="L1231" s="50" t="s">
        <v>80</v>
      </c>
    </row>
    <row r="1232" spans="2:12">
      <c r="B1232" s="50" t="s">
        <v>394</v>
      </c>
      <c r="C1232" s="50" t="s">
        <v>51</v>
      </c>
      <c r="D1232" s="50" t="s">
        <v>27</v>
      </c>
      <c r="E1232" s="50">
        <v>50037924</v>
      </c>
      <c r="F1232" s="50" t="s">
        <v>261</v>
      </c>
      <c r="G1232" s="50">
        <v>1</v>
      </c>
      <c r="H1232" s="50" t="s">
        <v>2</v>
      </c>
      <c r="I1232" s="50" t="s">
        <v>288</v>
      </c>
      <c r="J1232" s="51">
        <v>46076</v>
      </c>
      <c r="K1232" s="50" t="s">
        <v>3</v>
      </c>
      <c r="L1232" s="50" t="s">
        <v>80</v>
      </c>
    </row>
    <row r="1233" spans="2:12">
      <c r="B1233" s="50" t="s">
        <v>345</v>
      </c>
      <c r="C1233" s="50" t="s">
        <v>62</v>
      </c>
      <c r="D1233" s="50" t="s">
        <v>27</v>
      </c>
      <c r="E1233" s="50">
        <v>50020623</v>
      </c>
      <c r="F1233" s="50" t="s">
        <v>217</v>
      </c>
      <c r="G1233" s="50">
        <v>1</v>
      </c>
      <c r="H1233" s="50" t="s">
        <v>2</v>
      </c>
      <c r="I1233" s="50" t="s">
        <v>291</v>
      </c>
      <c r="J1233" s="51">
        <v>46073</v>
      </c>
      <c r="K1233" s="50" t="s">
        <v>1</v>
      </c>
      <c r="L1233" s="50" t="s">
        <v>80</v>
      </c>
    </row>
    <row r="1234" spans="2:12">
      <c r="B1234" s="50" t="s">
        <v>345</v>
      </c>
      <c r="C1234" s="50" t="s">
        <v>62</v>
      </c>
      <c r="D1234" s="50" t="s">
        <v>27</v>
      </c>
      <c r="E1234" s="50">
        <v>50038517</v>
      </c>
      <c r="F1234" s="50" t="s">
        <v>181</v>
      </c>
      <c r="G1234" s="50">
        <v>1</v>
      </c>
      <c r="H1234" s="50" t="s">
        <v>2</v>
      </c>
      <c r="I1234" s="50" t="s">
        <v>291</v>
      </c>
      <c r="J1234" s="51">
        <v>46073</v>
      </c>
      <c r="K1234" s="50" t="s">
        <v>1</v>
      </c>
      <c r="L1234" s="50" t="s">
        <v>80</v>
      </c>
    </row>
    <row r="1235" spans="2:12">
      <c r="B1235" s="50" t="s">
        <v>345</v>
      </c>
      <c r="C1235" s="50" t="s">
        <v>62</v>
      </c>
      <c r="D1235" s="50" t="s">
        <v>27</v>
      </c>
      <c r="E1235" s="50">
        <v>50043471</v>
      </c>
      <c r="F1235" s="50" t="s">
        <v>257</v>
      </c>
      <c r="G1235" s="50">
        <v>1</v>
      </c>
      <c r="H1235" s="50" t="s">
        <v>2</v>
      </c>
      <c r="I1235" s="50" t="s">
        <v>291</v>
      </c>
      <c r="J1235" s="51">
        <v>46073</v>
      </c>
      <c r="K1235" s="50" t="s">
        <v>1</v>
      </c>
      <c r="L1235" s="50" t="s">
        <v>80</v>
      </c>
    </row>
    <row r="1236" spans="2:12">
      <c r="B1236" s="50" t="s">
        <v>316</v>
      </c>
      <c r="C1236" s="50" t="s">
        <v>51</v>
      </c>
      <c r="D1236" s="50" t="s">
        <v>27</v>
      </c>
      <c r="E1236" s="50">
        <v>50010031</v>
      </c>
      <c r="F1236" s="50" t="s">
        <v>89</v>
      </c>
      <c r="G1236" s="50">
        <v>1</v>
      </c>
      <c r="H1236" s="50" t="s">
        <v>2</v>
      </c>
      <c r="I1236" s="50" t="s">
        <v>293</v>
      </c>
      <c r="J1236" s="51">
        <v>46073</v>
      </c>
      <c r="K1236" s="50" t="s">
        <v>1</v>
      </c>
      <c r="L1236" s="50" t="s">
        <v>80</v>
      </c>
    </row>
    <row r="1237" spans="2:12">
      <c r="B1237" s="50" t="s">
        <v>386</v>
      </c>
      <c r="C1237" s="50" t="s">
        <v>62</v>
      </c>
      <c r="D1237" s="50" t="s">
        <v>27</v>
      </c>
      <c r="E1237" s="50">
        <v>50003297</v>
      </c>
      <c r="F1237" s="50" t="s">
        <v>158</v>
      </c>
      <c r="G1237" s="50">
        <v>1</v>
      </c>
      <c r="H1237" s="50" t="s">
        <v>2</v>
      </c>
      <c r="I1237" s="50" t="s">
        <v>290</v>
      </c>
      <c r="J1237" s="51">
        <v>46073</v>
      </c>
      <c r="K1237" s="50" t="s">
        <v>1</v>
      </c>
      <c r="L1237" s="50" t="s">
        <v>80</v>
      </c>
    </row>
    <row r="1238" spans="2:12">
      <c r="B1238" s="50" t="s">
        <v>386</v>
      </c>
      <c r="C1238" s="50" t="s">
        <v>62</v>
      </c>
      <c r="D1238" s="50" t="s">
        <v>27</v>
      </c>
      <c r="E1238" s="50">
        <v>50043320</v>
      </c>
      <c r="F1238" s="50" t="s">
        <v>264</v>
      </c>
      <c r="G1238" s="50">
        <v>1</v>
      </c>
      <c r="H1238" s="50" t="s">
        <v>2</v>
      </c>
      <c r="I1238" s="50" t="s">
        <v>290</v>
      </c>
      <c r="J1238" s="51">
        <v>46073</v>
      </c>
      <c r="K1238" s="50" t="s">
        <v>1</v>
      </c>
      <c r="L1238" s="50" t="s">
        <v>80</v>
      </c>
    </row>
    <row r="1239" spans="2:12">
      <c r="B1239" s="50" t="s">
        <v>280</v>
      </c>
      <c r="C1239" s="50" t="s">
        <v>62</v>
      </c>
      <c r="D1239" s="50" t="s">
        <v>27</v>
      </c>
      <c r="E1239" s="50">
        <v>50026357</v>
      </c>
      <c r="F1239" s="50" t="s">
        <v>192</v>
      </c>
      <c r="G1239" s="50">
        <v>1</v>
      </c>
      <c r="H1239" s="50" t="s">
        <v>2</v>
      </c>
      <c r="I1239" s="50" t="s">
        <v>293</v>
      </c>
      <c r="J1239" s="51">
        <v>46073</v>
      </c>
      <c r="K1239" s="50" t="s">
        <v>1</v>
      </c>
      <c r="L1239" s="50" t="s">
        <v>80</v>
      </c>
    </row>
    <row r="1240" spans="2:12">
      <c r="B1240" s="50" t="s">
        <v>483</v>
      </c>
      <c r="C1240" s="50" t="s">
        <v>62</v>
      </c>
      <c r="D1240" s="50" t="s">
        <v>27</v>
      </c>
      <c r="E1240" s="50">
        <v>50037892</v>
      </c>
      <c r="F1240" s="50" t="s">
        <v>178</v>
      </c>
      <c r="G1240" s="50">
        <v>1</v>
      </c>
      <c r="H1240" s="50" t="s">
        <v>2</v>
      </c>
      <c r="I1240" s="50" t="s">
        <v>291</v>
      </c>
      <c r="J1240" s="51">
        <v>46073</v>
      </c>
      <c r="K1240" s="50" t="s">
        <v>1</v>
      </c>
      <c r="L1240" s="50" t="s">
        <v>80</v>
      </c>
    </row>
    <row r="1241" spans="2:12">
      <c r="B1241" s="50" t="s">
        <v>280</v>
      </c>
      <c r="C1241" s="50" t="s">
        <v>62</v>
      </c>
      <c r="D1241" s="50" t="s">
        <v>27</v>
      </c>
      <c r="E1241" s="50">
        <v>50026357</v>
      </c>
      <c r="F1241" s="50" t="s">
        <v>192</v>
      </c>
      <c r="G1241" s="50">
        <v>1</v>
      </c>
      <c r="H1241" s="50" t="s">
        <v>2</v>
      </c>
      <c r="I1241" s="50" t="s">
        <v>293</v>
      </c>
      <c r="J1241" s="51">
        <v>46073</v>
      </c>
      <c r="K1241" s="50" t="s">
        <v>3</v>
      </c>
      <c r="L1241" s="50" t="s">
        <v>80</v>
      </c>
    </row>
    <row r="1242" spans="2:12">
      <c r="B1242" s="50" t="s">
        <v>316</v>
      </c>
      <c r="C1242" s="50" t="s">
        <v>51</v>
      </c>
      <c r="D1242" s="50" t="s">
        <v>27</v>
      </c>
      <c r="E1242" s="50">
        <v>50010031</v>
      </c>
      <c r="F1242" s="50" t="s">
        <v>89</v>
      </c>
      <c r="G1242" s="50">
        <v>1</v>
      </c>
      <c r="H1242" s="50" t="s">
        <v>2</v>
      </c>
      <c r="I1242" s="50" t="s">
        <v>293</v>
      </c>
      <c r="J1242" s="51">
        <v>46073</v>
      </c>
      <c r="K1242" s="50" t="s">
        <v>3</v>
      </c>
      <c r="L1242" s="50" t="s">
        <v>80</v>
      </c>
    </row>
    <row r="1243" spans="2:12">
      <c r="B1243" s="50" t="s">
        <v>363</v>
      </c>
      <c r="C1243" s="50" t="s">
        <v>26</v>
      </c>
      <c r="D1243" s="50" t="s">
        <v>41</v>
      </c>
      <c r="E1243" s="50">
        <v>50010031</v>
      </c>
      <c r="F1243" s="50" t="s">
        <v>89</v>
      </c>
      <c r="G1243" s="50">
        <v>1</v>
      </c>
      <c r="H1243" s="50" t="s">
        <v>2</v>
      </c>
      <c r="I1243" s="50" t="s">
        <v>293</v>
      </c>
      <c r="J1243" s="51">
        <v>46073</v>
      </c>
      <c r="K1243" s="50" t="s">
        <v>1</v>
      </c>
      <c r="L1243" s="50" t="s">
        <v>80</v>
      </c>
    </row>
    <row r="1244" spans="2:12">
      <c r="B1244" s="50" t="s">
        <v>347</v>
      </c>
      <c r="C1244" s="50" t="s">
        <v>26</v>
      </c>
      <c r="D1244" s="50" t="s">
        <v>41</v>
      </c>
      <c r="E1244" s="50">
        <v>50039718</v>
      </c>
      <c r="F1244" s="50" t="s">
        <v>149</v>
      </c>
      <c r="G1244" s="50">
        <v>1</v>
      </c>
      <c r="H1244" s="50" t="s">
        <v>2</v>
      </c>
      <c r="I1244" s="50" t="s">
        <v>293</v>
      </c>
      <c r="J1244" s="51">
        <v>46073</v>
      </c>
      <c r="K1244" s="50" t="s">
        <v>3</v>
      </c>
      <c r="L1244" s="50" t="s">
        <v>80</v>
      </c>
    </row>
    <row r="1245" spans="2:12">
      <c r="B1245" s="50" t="s">
        <v>54</v>
      </c>
      <c r="C1245" s="50" t="s">
        <v>51</v>
      </c>
      <c r="D1245" s="50" t="s">
        <v>41</v>
      </c>
      <c r="E1245" s="50">
        <v>50039065</v>
      </c>
      <c r="F1245" s="50" t="s">
        <v>186</v>
      </c>
      <c r="G1245" s="50">
        <v>1</v>
      </c>
      <c r="H1245" s="50" t="s">
        <v>2</v>
      </c>
      <c r="I1245" s="50" t="s">
        <v>293</v>
      </c>
      <c r="J1245" s="51">
        <v>46073</v>
      </c>
      <c r="K1245" s="50" t="s">
        <v>1</v>
      </c>
      <c r="L1245" s="50" t="s">
        <v>80</v>
      </c>
    </row>
    <row r="1246" spans="2:12">
      <c r="B1246" s="50" t="s">
        <v>54</v>
      </c>
      <c r="C1246" s="50" t="s">
        <v>51</v>
      </c>
      <c r="D1246" s="50" t="s">
        <v>41</v>
      </c>
      <c r="E1246" s="50">
        <v>50039065</v>
      </c>
      <c r="F1246" s="50" t="s">
        <v>186</v>
      </c>
      <c r="G1246" s="50">
        <v>1</v>
      </c>
      <c r="H1246" s="50" t="s">
        <v>2</v>
      </c>
      <c r="I1246" s="50" t="s">
        <v>293</v>
      </c>
      <c r="J1246" s="51">
        <v>46073</v>
      </c>
      <c r="K1246" s="50" t="s">
        <v>3</v>
      </c>
      <c r="L1246" s="50" t="s">
        <v>80</v>
      </c>
    </row>
    <row r="1247" spans="2:12">
      <c r="B1247" s="50" t="s">
        <v>363</v>
      </c>
      <c r="C1247" s="50" t="s">
        <v>26</v>
      </c>
      <c r="D1247" s="50" t="s">
        <v>41</v>
      </c>
      <c r="E1247" s="50">
        <v>50010031</v>
      </c>
      <c r="F1247" s="50" t="s">
        <v>89</v>
      </c>
      <c r="G1247" s="50">
        <v>1</v>
      </c>
      <c r="H1247" s="50" t="s">
        <v>2</v>
      </c>
      <c r="I1247" s="50" t="s">
        <v>293</v>
      </c>
      <c r="J1247" s="51">
        <v>46073</v>
      </c>
      <c r="K1247" s="50" t="s">
        <v>3</v>
      </c>
      <c r="L1247" s="50" t="s">
        <v>80</v>
      </c>
    </row>
    <row r="1248" spans="2:12">
      <c r="B1248" s="50" t="s">
        <v>316</v>
      </c>
      <c r="C1248" s="50" t="s">
        <v>51</v>
      </c>
      <c r="D1248" s="50" t="s">
        <v>27</v>
      </c>
      <c r="E1248" s="50">
        <v>50041195</v>
      </c>
      <c r="F1248" s="50" t="s">
        <v>206</v>
      </c>
      <c r="G1248" s="50">
        <v>1</v>
      </c>
      <c r="H1248" s="50" t="s">
        <v>2</v>
      </c>
      <c r="I1248" s="50" t="s">
        <v>293</v>
      </c>
      <c r="J1248" s="51">
        <v>46073</v>
      </c>
      <c r="K1248" s="50" t="s">
        <v>1</v>
      </c>
      <c r="L1248" s="50" t="s">
        <v>80</v>
      </c>
    </row>
    <row r="1249" spans="2:12">
      <c r="B1249" s="50" t="s">
        <v>278</v>
      </c>
      <c r="C1249" s="50" t="s">
        <v>62</v>
      </c>
      <c r="D1249" s="50" t="s">
        <v>27</v>
      </c>
      <c r="E1249" s="50">
        <v>50030486</v>
      </c>
      <c r="F1249" s="50" t="s">
        <v>153</v>
      </c>
      <c r="G1249" s="50">
        <v>1</v>
      </c>
      <c r="H1249" s="50" t="s">
        <v>2</v>
      </c>
      <c r="I1249" s="50" t="s">
        <v>293</v>
      </c>
      <c r="J1249" s="51">
        <v>46073</v>
      </c>
      <c r="K1249" s="50" t="s">
        <v>1</v>
      </c>
      <c r="L1249" s="50" t="s">
        <v>80</v>
      </c>
    </row>
    <row r="1250" spans="2:12">
      <c r="B1250" s="50" t="s">
        <v>466</v>
      </c>
      <c r="C1250" s="50" t="s">
        <v>62</v>
      </c>
      <c r="D1250" s="50" t="s">
        <v>27</v>
      </c>
      <c r="E1250" s="50">
        <v>50020622</v>
      </c>
      <c r="F1250" s="50" t="s">
        <v>217</v>
      </c>
      <c r="G1250" s="50">
        <v>1</v>
      </c>
      <c r="H1250" s="50" t="s">
        <v>2</v>
      </c>
      <c r="I1250" s="50" t="s">
        <v>293</v>
      </c>
      <c r="J1250" s="51">
        <v>46073</v>
      </c>
      <c r="K1250" s="50" t="s">
        <v>1</v>
      </c>
      <c r="L1250" s="50" t="s">
        <v>80</v>
      </c>
    </row>
    <row r="1251" spans="2:12">
      <c r="B1251" s="50" t="s">
        <v>466</v>
      </c>
      <c r="C1251" s="50" t="s">
        <v>62</v>
      </c>
      <c r="D1251" s="50" t="s">
        <v>27</v>
      </c>
      <c r="E1251" s="50">
        <v>50026357</v>
      </c>
      <c r="F1251" s="50" t="s">
        <v>192</v>
      </c>
      <c r="G1251" s="50">
        <v>1</v>
      </c>
      <c r="H1251" s="50" t="s">
        <v>2</v>
      </c>
      <c r="I1251" s="50" t="s">
        <v>293</v>
      </c>
      <c r="J1251" s="51">
        <v>46073</v>
      </c>
      <c r="K1251" s="50" t="s">
        <v>1</v>
      </c>
      <c r="L1251" s="50" t="s">
        <v>80</v>
      </c>
    </row>
    <row r="1252" spans="2:12">
      <c r="B1252" s="50" t="s">
        <v>466</v>
      </c>
      <c r="C1252" s="50" t="s">
        <v>62</v>
      </c>
      <c r="D1252" s="50" t="s">
        <v>27</v>
      </c>
      <c r="E1252" s="50">
        <v>50020622</v>
      </c>
      <c r="F1252" s="50" t="s">
        <v>217</v>
      </c>
      <c r="G1252" s="50">
        <v>1</v>
      </c>
      <c r="H1252" s="50" t="s">
        <v>2</v>
      </c>
      <c r="I1252" s="50" t="s">
        <v>293</v>
      </c>
      <c r="J1252" s="51">
        <v>46073</v>
      </c>
      <c r="K1252" s="50" t="s">
        <v>3</v>
      </c>
      <c r="L1252" s="50" t="s">
        <v>80</v>
      </c>
    </row>
    <row r="1253" spans="2:12">
      <c r="B1253" s="50" t="s">
        <v>54</v>
      </c>
      <c r="C1253" s="50" t="s">
        <v>51</v>
      </c>
      <c r="D1253" s="50" t="s">
        <v>41</v>
      </c>
      <c r="E1253" s="50">
        <v>50010031</v>
      </c>
      <c r="F1253" s="50" t="s">
        <v>89</v>
      </c>
      <c r="G1253" s="50">
        <v>1</v>
      </c>
      <c r="H1253" s="50" t="s">
        <v>2</v>
      </c>
      <c r="I1253" s="50" t="s">
        <v>292</v>
      </c>
      <c r="J1253" s="51">
        <v>46073</v>
      </c>
      <c r="K1253" s="50" t="s">
        <v>1</v>
      </c>
      <c r="L1253" s="50" t="s">
        <v>80</v>
      </c>
    </row>
    <row r="1254" spans="2:12">
      <c r="B1254" s="50" t="s">
        <v>466</v>
      </c>
      <c r="C1254" s="50" t="s">
        <v>62</v>
      </c>
      <c r="D1254" s="50" t="s">
        <v>27</v>
      </c>
      <c r="E1254" s="50">
        <v>50026357</v>
      </c>
      <c r="F1254" s="50" t="s">
        <v>192</v>
      </c>
      <c r="G1254" s="50">
        <v>1</v>
      </c>
      <c r="H1254" s="50" t="s">
        <v>2</v>
      </c>
      <c r="I1254" s="50" t="s">
        <v>292</v>
      </c>
      <c r="J1254" s="51">
        <v>46073</v>
      </c>
      <c r="K1254" s="50" t="s">
        <v>3</v>
      </c>
      <c r="L1254" s="50" t="s">
        <v>80</v>
      </c>
    </row>
    <row r="1255" spans="2:12">
      <c r="B1255" s="50" t="s">
        <v>394</v>
      </c>
      <c r="C1255" s="50" t="s">
        <v>51</v>
      </c>
      <c r="D1255" s="50" t="s">
        <v>27</v>
      </c>
      <c r="E1255" s="50">
        <v>50038844</v>
      </c>
      <c r="F1255" s="50" t="s">
        <v>204</v>
      </c>
      <c r="G1255" s="50">
        <v>1</v>
      </c>
      <c r="H1255" s="50" t="s">
        <v>2</v>
      </c>
      <c r="I1255" s="50" t="s">
        <v>288</v>
      </c>
      <c r="J1255" s="51">
        <v>46073</v>
      </c>
      <c r="K1255" s="50" t="s">
        <v>1</v>
      </c>
      <c r="L1255" s="50" t="s">
        <v>80</v>
      </c>
    </row>
    <row r="1256" spans="2:12">
      <c r="B1256" s="50" t="s">
        <v>316</v>
      </c>
      <c r="C1256" s="50" t="s">
        <v>51</v>
      </c>
      <c r="D1256" s="50" t="s">
        <v>27</v>
      </c>
      <c r="E1256" s="50">
        <v>50032781</v>
      </c>
      <c r="F1256" s="50" t="s">
        <v>237</v>
      </c>
      <c r="G1256" s="50">
        <v>1</v>
      </c>
      <c r="H1256" s="50" t="s">
        <v>2</v>
      </c>
      <c r="I1256" s="50" t="s">
        <v>288</v>
      </c>
      <c r="J1256" s="51">
        <v>46073</v>
      </c>
      <c r="K1256" s="50" t="s">
        <v>1</v>
      </c>
      <c r="L1256" s="50" t="s">
        <v>80</v>
      </c>
    </row>
    <row r="1257" spans="2:12">
      <c r="B1257" s="50" t="s">
        <v>278</v>
      </c>
      <c r="C1257" s="50" t="s">
        <v>62</v>
      </c>
      <c r="D1257" s="50" t="s">
        <v>27</v>
      </c>
      <c r="E1257" s="50">
        <v>50030486</v>
      </c>
      <c r="F1257" s="50" t="s">
        <v>153</v>
      </c>
      <c r="G1257" s="50">
        <v>1</v>
      </c>
      <c r="H1257" s="50" t="s">
        <v>2</v>
      </c>
      <c r="I1257" s="50" t="s">
        <v>288</v>
      </c>
      <c r="J1257" s="51">
        <v>46073</v>
      </c>
      <c r="K1257" s="50" t="s">
        <v>3</v>
      </c>
      <c r="L1257" s="50" t="s">
        <v>80</v>
      </c>
    </row>
    <row r="1258" spans="2:12">
      <c r="B1258" s="50" t="s">
        <v>483</v>
      </c>
      <c r="C1258" s="50" t="s">
        <v>62</v>
      </c>
      <c r="D1258" s="50" t="s">
        <v>27</v>
      </c>
      <c r="E1258" s="50">
        <v>50029865</v>
      </c>
      <c r="F1258" s="50" t="s">
        <v>162</v>
      </c>
      <c r="G1258" s="50">
        <v>1</v>
      </c>
      <c r="H1258" s="50" t="s">
        <v>2</v>
      </c>
      <c r="I1258" s="50" t="s">
        <v>288</v>
      </c>
      <c r="J1258" s="51">
        <v>46073</v>
      </c>
      <c r="K1258" s="50" t="s">
        <v>1</v>
      </c>
      <c r="L1258" s="50" t="s">
        <v>80</v>
      </c>
    </row>
    <row r="1259" spans="2:12">
      <c r="B1259" s="50" t="s">
        <v>316</v>
      </c>
      <c r="C1259" s="50" t="s">
        <v>51</v>
      </c>
      <c r="D1259" s="50" t="s">
        <v>27</v>
      </c>
      <c r="E1259" s="50">
        <v>50041195</v>
      </c>
      <c r="F1259" s="50" t="s">
        <v>206</v>
      </c>
      <c r="G1259" s="50">
        <v>1</v>
      </c>
      <c r="H1259" s="50" t="s">
        <v>2</v>
      </c>
      <c r="I1259" s="50" t="s">
        <v>288</v>
      </c>
      <c r="J1259" s="51">
        <v>46073</v>
      </c>
      <c r="K1259" s="50" t="s">
        <v>3</v>
      </c>
      <c r="L1259" s="50" t="s">
        <v>80</v>
      </c>
    </row>
    <row r="1260" spans="2:12">
      <c r="B1260" s="50" t="s">
        <v>483</v>
      </c>
      <c r="C1260" s="50" t="s">
        <v>62</v>
      </c>
      <c r="D1260" s="50" t="s">
        <v>27</v>
      </c>
      <c r="E1260" s="50">
        <v>50041195</v>
      </c>
      <c r="F1260" s="50" t="s">
        <v>206</v>
      </c>
      <c r="G1260" s="50">
        <v>1</v>
      </c>
      <c r="H1260" s="50" t="s">
        <v>2</v>
      </c>
      <c r="I1260" s="50" t="s">
        <v>288</v>
      </c>
      <c r="J1260" s="51">
        <v>46073</v>
      </c>
      <c r="K1260" s="50" t="s">
        <v>1</v>
      </c>
      <c r="L1260" s="50" t="s">
        <v>80</v>
      </c>
    </row>
    <row r="1261" spans="2:12">
      <c r="B1261" s="50" t="s">
        <v>483</v>
      </c>
      <c r="C1261" s="50" t="s">
        <v>62</v>
      </c>
      <c r="D1261" s="50" t="s">
        <v>27</v>
      </c>
      <c r="E1261" s="50">
        <v>50037892</v>
      </c>
      <c r="F1261" s="50" t="s">
        <v>178</v>
      </c>
      <c r="G1261" s="50">
        <v>1</v>
      </c>
      <c r="H1261" s="50" t="s">
        <v>2</v>
      </c>
      <c r="I1261" s="50" t="s">
        <v>291</v>
      </c>
      <c r="J1261" s="51">
        <v>46073</v>
      </c>
      <c r="K1261" s="50" t="s">
        <v>3</v>
      </c>
      <c r="L1261" s="50" t="s">
        <v>80</v>
      </c>
    </row>
    <row r="1262" spans="2:12">
      <c r="B1262" s="50" t="s">
        <v>459</v>
      </c>
      <c r="C1262" s="50" t="s">
        <v>51</v>
      </c>
      <c r="D1262" s="50" t="s">
        <v>41</v>
      </c>
      <c r="E1262" s="50">
        <v>50037892</v>
      </c>
      <c r="F1262" s="50" t="s">
        <v>178</v>
      </c>
      <c r="G1262" s="50">
        <v>1</v>
      </c>
      <c r="H1262" s="50" t="s">
        <v>2</v>
      </c>
      <c r="I1262" s="50" t="s">
        <v>291</v>
      </c>
      <c r="J1262" s="51">
        <v>46073</v>
      </c>
      <c r="K1262" s="50" t="s">
        <v>1</v>
      </c>
      <c r="L1262" s="50" t="s">
        <v>80</v>
      </c>
    </row>
    <row r="1263" spans="2:12">
      <c r="B1263" s="50" t="s">
        <v>345</v>
      </c>
      <c r="C1263" s="50" t="s">
        <v>62</v>
      </c>
      <c r="D1263" s="50" t="s">
        <v>27</v>
      </c>
      <c r="E1263" s="50">
        <v>50020623</v>
      </c>
      <c r="F1263" s="50" t="s">
        <v>217</v>
      </c>
      <c r="G1263" s="50">
        <v>1</v>
      </c>
      <c r="H1263" s="50" t="s">
        <v>2</v>
      </c>
      <c r="I1263" s="50" t="s">
        <v>291</v>
      </c>
      <c r="J1263" s="51">
        <v>46073</v>
      </c>
      <c r="K1263" s="50" t="s">
        <v>3</v>
      </c>
      <c r="L1263" s="50" t="s">
        <v>80</v>
      </c>
    </row>
    <row r="1264" spans="2:12">
      <c r="B1264" s="50" t="s">
        <v>394</v>
      </c>
      <c r="C1264" s="50" t="s">
        <v>51</v>
      </c>
      <c r="D1264" s="50" t="s">
        <v>27</v>
      </c>
      <c r="E1264" s="50">
        <v>50038844</v>
      </c>
      <c r="F1264" s="50" t="s">
        <v>204</v>
      </c>
      <c r="G1264" s="50">
        <v>1</v>
      </c>
      <c r="H1264" s="50" t="s">
        <v>2</v>
      </c>
      <c r="I1264" s="50" t="s">
        <v>291</v>
      </c>
      <c r="J1264" s="51">
        <v>46073</v>
      </c>
      <c r="K1264" s="50" t="s">
        <v>3</v>
      </c>
      <c r="L1264" s="50" t="s">
        <v>80</v>
      </c>
    </row>
    <row r="1265" spans="2:12">
      <c r="B1265" s="50" t="s">
        <v>459</v>
      </c>
      <c r="C1265" s="50" t="s">
        <v>51</v>
      </c>
      <c r="D1265" s="50" t="s">
        <v>41</v>
      </c>
      <c r="E1265" s="50">
        <v>50037892</v>
      </c>
      <c r="F1265" s="50" t="s">
        <v>178</v>
      </c>
      <c r="G1265" s="50">
        <v>1</v>
      </c>
      <c r="H1265" s="50" t="s">
        <v>2</v>
      </c>
      <c r="I1265" s="50" t="s">
        <v>291</v>
      </c>
      <c r="J1265" s="51">
        <v>46073</v>
      </c>
      <c r="K1265" s="50" t="s">
        <v>3</v>
      </c>
      <c r="L1265" s="50" t="s">
        <v>80</v>
      </c>
    </row>
    <row r="1266" spans="2:12">
      <c r="B1266" s="50" t="s">
        <v>345</v>
      </c>
      <c r="C1266" s="50" t="s">
        <v>62</v>
      </c>
      <c r="D1266" s="50" t="s">
        <v>27</v>
      </c>
      <c r="E1266" s="50">
        <v>50038517</v>
      </c>
      <c r="F1266" s="50" t="s">
        <v>181</v>
      </c>
      <c r="G1266" s="50">
        <v>1</v>
      </c>
      <c r="H1266" s="50" t="s">
        <v>2</v>
      </c>
      <c r="I1266" s="50" t="s">
        <v>291</v>
      </c>
      <c r="J1266" s="51">
        <v>46073</v>
      </c>
      <c r="K1266" s="50" t="s">
        <v>3</v>
      </c>
      <c r="L1266" s="50" t="s">
        <v>80</v>
      </c>
    </row>
    <row r="1267" spans="2:12">
      <c r="B1267" s="50" t="s">
        <v>345</v>
      </c>
      <c r="C1267" s="50" t="s">
        <v>62</v>
      </c>
      <c r="D1267" s="50" t="s">
        <v>27</v>
      </c>
      <c r="E1267" s="50">
        <v>50043471</v>
      </c>
      <c r="F1267" s="50" t="s">
        <v>257</v>
      </c>
      <c r="G1267" s="50">
        <v>1</v>
      </c>
      <c r="H1267" s="50" t="s">
        <v>2</v>
      </c>
      <c r="I1267" s="50" t="s">
        <v>291</v>
      </c>
      <c r="J1267" s="51">
        <v>46073</v>
      </c>
      <c r="K1267" s="50" t="s">
        <v>3</v>
      </c>
      <c r="L1267" s="50" t="s">
        <v>80</v>
      </c>
    </row>
    <row r="1268" spans="2:12">
      <c r="B1268" s="50" t="s">
        <v>386</v>
      </c>
      <c r="C1268" s="50" t="s">
        <v>62</v>
      </c>
      <c r="D1268" s="50" t="s">
        <v>27</v>
      </c>
      <c r="E1268" s="50">
        <v>50003297</v>
      </c>
      <c r="F1268" s="50" t="s">
        <v>158</v>
      </c>
      <c r="G1268" s="50">
        <v>1</v>
      </c>
      <c r="H1268" s="50" t="s">
        <v>2</v>
      </c>
      <c r="I1268" s="50" t="s">
        <v>291</v>
      </c>
      <c r="J1268" s="51">
        <v>46073</v>
      </c>
      <c r="K1268" s="50" t="s">
        <v>3</v>
      </c>
      <c r="L1268" s="50" t="s">
        <v>80</v>
      </c>
    </row>
    <row r="1269" spans="2:12">
      <c r="B1269" s="50" t="s">
        <v>386</v>
      </c>
      <c r="C1269" s="50" t="s">
        <v>62</v>
      </c>
      <c r="D1269" s="50" t="s">
        <v>27</v>
      </c>
      <c r="E1269" s="50">
        <v>50043320</v>
      </c>
      <c r="F1269" s="50" t="s">
        <v>264</v>
      </c>
      <c r="G1269" s="50">
        <v>1</v>
      </c>
      <c r="H1269" s="50" t="s">
        <v>2</v>
      </c>
      <c r="I1269" s="50" t="s">
        <v>291</v>
      </c>
      <c r="J1269" s="51">
        <v>46073</v>
      </c>
      <c r="K1269" s="50" t="s">
        <v>3</v>
      </c>
      <c r="L1269" s="50" t="s">
        <v>80</v>
      </c>
    </row>
    <row r="1270" spans="2:12">
      <c r="B1270" s="50" t="s">
        <v>483</v>
      </c>
      <c r="C1270" s="50" t="s">
        <v>62</v>
      </c>
      <c r="D1270" s="50" t="s">
        <v>27</v>
      </c>
      <c r="E1270" s="50">
        <v>50029865</v>
      </c>
      <c r="F1270" s="50" t="s">
        <v>162</v>
      </c>
      <c r="G1270" s="50">
        <v>1</v>
      </c>
      <c r="H1270" s="50" t="s">
        <v>2</v>
      </c>
      <c r="I1270" s="50" t="s">
        <v>291</v>
      </c>
      <c r="J1270" s="51">
        <v>46073</v>
      </c>
      <c r="K1270" s="50" t="s">
        <v>3</v>
      </c>
      <c r="L1270" s="50" t="s">
        <v>80</v>
      </c>
    </row>
    <row r="1271" spans="2:12">
      <c r="B1271" s="50" t="s">
        <v>483</v>
      </c>
      <c r="C1271" s="50" t="s">
        <v>62</v>
      </c>
      <c r="D1271" s="50" t="s">
        <v>27</v>
      </c>
      <c r="E1271" s="50">
        <v>50041195</v>
      </c>
      <c r="F1271" s="50" t="s">
        <v>206</v>
      </c>
      <c r="G1271" s="50">
        <v>1</v>
      </c>
      <c r="H1271" s="50" t="s">
        <v>2</v>
      </c>
      <c r="I1271" s="50" t="s">
        <v>291</v>
      </c>
      <c r="J1271" s="51">
        <v>46073</v>
      </c>
      <c r="K1271" s="50" t="s">
        <v>3</v>
      </c>
      <c r="L1271" s="50" t="s">
        <v>80</v>
      </c>
    </row>
    <row r="1272" spans="2:12">
      <c r="B1272" s="50" t="s">
        <v>437</v>
      </c>
      <c r="C1272" s="50" t="s">
        <v>51</v>
      </c>
      <c r="D1272" s="50" t="s">
        <v>41</v>
      </c>
      <c r="E1272" s="50">
        <v>50046617</v>
      </c>
      <c r="F1272" s="50" t="s">
        <v>365</v>
      </c>
      <c r="G1272" s="50">
        <v>1</v>
      </c>
      <c r="H1272" s="50" t="s">
        <v>2</v>
      </c>
      <c r="I1272" s="50" t="s">
        <v>291</v>
      </c>
      <c r="J1272" s="51">
        <v>46073</v>
      </c>
      <c r="K1272" s="50" t="s">
        <v>1</v>
      </c>
      <c r="L1272" s="50" t="s">
        <v>80</v>
      </c>
    </row>
    <row r="1273" spans="2:12" ht="15" customHeight="1">
      <c r="B1273" s="50" t="s">
        <v>437</v>
      </c>
      <c r="C1273" s="50" t="s">
        <v>51</v>
      </c>
      <c r="D1273" s="50" t="s">
        <v>41</v>
      </c>
      <c r="E1273" s="50">
        <v>50003297</v>
      </c>
      <c r="F1273" s="50" t="s">
        <v>158</v>
      </c>
      <c r="G1273" s="50">
        <v>1</v>
      </c>
      <c r="H1273" s="50" t="s">
        <v>2</v>
      </c>
      <c r="I1273" s="50" t="s">
        <v>291</v>
      </c>
      <c r="J1273" s="51">
        <v>46073</v>
      </c>
      <c r="K1273" s="50" t="s">
        <v>1</v>
      </c>
      <c r="L1273" s="50" t="s">
        <v>80</v>
      </c>
    </row>
    <row r="1274" spans="2:12">
      <c r="B1274" s="50" t="s">
        <v>437</v>
      </c>
      <c r="C1274" s="50" t="s">
        <v>51</v>
      </c>
      <c r="D1274" s="50" t="s">
        <v>41</v>
      </c>
      <c r="E1274" s="50">
        <v>50046617</v>
      </c>
      <c r="F1274" s="50" t="s">
        <v>365</v>
      </c>
      <c r="G1274" s="50">
        <v>1</v>
      </c>
      <c r="H1274" s="50" t="s">
        <v>2</v>
      </c>
      <c r="I1274" s="50" t="s">
        <v>291</v>
      </c>
      <c r="J1274" s="51">
        <v>46073</v>
      </c>
      <c r="K1274" s="50" t="s">
        <v>3</v>
      </c>
      <c r="L1274" s="50" t="s">
        <v>80</v>
      </c>
    </row>
    <row r="1275" spans="2:12">
      <c r="B1275" s="50" t="s">
        <v>437</v>
      </c>
      <c r="C1275" s="50" t="s">
        <v>51</v>
      </c>
      <c r="D1275" s="50" t="s">
        <v>41</v>
      </c>
      <c r="E1275" s="50">
        <v>50003297</v>
      </c>
      <c r="F1275" s="50" t="s">
        <v>158</v>
      </c>
      <c r="G1275" s="50">
        <v>1</v>
      </c>
      <c r="H1275" s="50" t="s">
        <v>2</v>
      </c>
      <c r="I1275" s="50" t="s">
        <v>291</v>
      </c>
      <c r="J1275" s="51">
        <v>46073</v>
      </c>
      <c r="K1275" s="50" t="s">
        <v>3</v>
      </c>
      <c r="L1275" s="50" t="s">
        <v>80</v>
      </c>
    </row>
    <row r="1276" spans="2:12">
      <c r="B1276" s="50" t="s">
        <v>54</v>
      </c>
      <c r="C1276" s="50" t="s">
        <v>51</v>
      </c>
      <c r="D1276" s="50" t="s">
        <v>41</v>
      </c>
      <c r="E1276" s="50">
        <v>50010031</v>
      </c>
      <c r="F1276" s="50" t="s">
        <v>89</v>
      </c>
      <c r="G1276" s="50">
        <v>1</v>
      </c>
      <c r="H1276" s="50" t="s">
        <v>2</v>
      </c>
      <c r="I1276" s="50" t="s">
        <v>291</v>
      </c>
      <c r="J1276" s="51">
        <v>46073</v>
      </c>
      <c r="K1276" s="50" t="s">
        <v>3</v>
      </c>
      <c r="L1276" s="50" t="s">
        <v>80</v>
      </c>
    </row>
    <row r="1277" spans="2:12">
      <c r="B1277" s="50" t="s">
        <v>474</v>
      </c>
      <c r="C1277" s="50" t="s">
        <v>51</v>
      </c>
      <c r="D1277" s="50" t="s">
        <v>27</v>
      </c>
      <c r="E1277" s="50">
        <v>50043471</v>
      </c>
      <c r="F1277" s="50" t="s">
        <v>257</v>
      </c>
      <c r="G1277" s="50">
        <v>1</v>
      </c>
      <c r="H1277" s="50" t="s">
        <v>2</v>
      </c>
      <c r="I1277" s="50" t="s">
        <v>291</v>
      </c>
      <c r="J1277" s="51">
        <v>46073</v>
      </c>
      <c r="K1277" s="50" t="s">
        <v>1</v>
      </c>
      <c r="L1277" s="50" t="s">
        <v>80</v>
      </c>
    </row>
    <row r="1278" spans="2:12">
      <c r="B1278" s="50" t="s">
        <v>474</v>
      </c>
      <c r="C1278" s="50" t="s">
        <v>51</v>
      </c>
      <c r="D1278" s="50" t="s">
        <v>27</v>
      </c>
      <c r="E1278" s="50">
        <v>50037892</v>
      </c>
      <c r="F1278" s="50" t="s">
        <v>178</v>
      </c>
      <c r="G1278" s="50">
        <v>1</v>
      </c>
      <c r="H1278" s="50" t="s">
        <v>2</v>
      </c>
      <c r="I1278" s="50" t="s">
        <v>291</v>
      </c>
      <c r="J1278" s="51">
        <v>46073</v>
      </c>
      <c r="K1278" s="50" t="s">
        <v>1</v>
      </c>
      <c r="L1278" s="50" t="s">
        <v>80</v>
      </c>
    </row>
    <row r="1279" spans="2:12">
      <c r="B1279" s="50" t="s">
        <v>316</v>
      </c>
      <c r="C1279" s="50" t="s">
        <v>51</v>
      </c>
      <c r="D1279" s="50" t="s">
        <v>27</v>
      </c>
      <c r="E1279" s="50">
        <v>50038626</v>
      </c>
      <c r="F1279" s="50" t="s">
        <v>190</v>
      </c>
      <c r="G1279" s="50">
        <v>1</v>
      </c>
      <c r="H1279" s="50" t="s">
        <v>2</v>
      </c>
      <c r="I1279" s="50" t="s">
        <v>291</v>
      </c>
      <c r="J1279" s="51">
        <v>46073</v>
      </c>
      <c r="K1279" s="50" t="s">
        <v>1</v>
      </c>
      <c r="L1279" s="50" t="s">
        <v>80</v>
      </c>
    </row>
    <row r="1280" spans="2:12">
      <c r="B1280" s="50" t="s">
        <v>483</v>
      </c>
      <c r="C1280" s="50" t="s">
        <v>62</v>
      </c>
      <c r="D1280" s="50" t="s">
        <v>27</v>
      </c>
      <c r="E1280" s="50">
        <v>50046617</v>
      </c>
      <c r="F1280" s="50" t="s">
        <v>365</v>
      </c>
      <c r="G1280" s="50">
        <v>1</v>
      </c>
      <c r="H1280" s="50" t="s">
        <v>2</v>
      </c>
      <c r="I1280" s="50" t="s">
        <v>292</v>
      </c>
      <c r="J1280" s="51">
        <v>46072</v>
      </c>
      <c r="K1280" s="50" t="s">
        <v>1</v>
      </c>
      <c r="L1280" s="50" t="s">
        <v>80</v>
      </c>
    </row>
    <row r="1281" spans="2:12">
      <c r="B1281" s="50" t="s">
        <v>386</v>
      </c>
      <c r="C1281" s="50" t="s">
        <v>62</v>
      </c>
      <c r="D1281" s="50" t="s">
        <v>27</v>
      </c>
      <c r="E1281" s="50">
        <v>50038516</v>
      </c>
      <c r="F1281" s="50" t="s">
        <v>191</v>
      </c>
      <c r="G1281" s="50">
        <v>1</v>
      </c>
      <c r="H1281" s="50" t="s">
        <v>2</v>
      </c>
      <c r="I1281" s="50" t="s">
        <v>292</v>
      </c>
      <c r="J1281" s="51">
        <v>46072</v>
      </c>
      <c r="K1281" s="50" t="s">
        <v>1</v>
      </c>
      <c r="L1281" s="50" t="s">
        <v>80</v>
      </c>
    </row>
    <row r="1282" spans="2:12">
      <c r="B1282" s="50" t="s">
        <v>316</v>
      </c>
      <c r="C1282" s="50" t="s">
        <v>51</v>
      </c>
      <c r="D1282" s="50" t="s">
        <v>27</v>
      </c>
      <c r="E1282" s="50">
        <v>50041195</v>
      </c>
      <c r="F1282" s="50" t="s">
        <v>206</v>
      </c>
      <c r="G1282" s="50">
        <v>1</v>
      </c>
      <c r="H1282" s="50" t="s">
        <v>2</v>
      </c>
      <c r="I1282" s="50" t="s">
        <v>292</v>
      </c>
      <c r="J1282" s="51">
        <v>46072</v>
      </c>
      <c r="K1282" s="50" t="s">
        <v>1</v>
      </c>
      <c r="L1282" s="50" t="s">
        <v>80</v>
      </c>
    </row>
    <row r="1283" spans="2:12">
      <c r="B1283" s="50" t="s">
        <v>280</v>
      </c>
      <c r="C1283" s="50" t="s">
        <v>62</v>
      </c>
      <c r="D1283" s="50" t="s">
        <v>27</v>
      </c>
      <c r="E1283" s="50">
        <v>50003297</v>
      </c>
      <c r="F1283" s="50" t="s">
        <v>158</v>
      </c>
      <c r="G1283" s="50">
        <v>1</v>
      </c>
      <c r="H1283" s="50" t="s">
        <v>2</v>
      </c>
      <c r="I1283" s="50" t="s">
        <v>292</v>
      </c>
      <c r="J1283" s="51">
        <v>46072</v>
      </c>
      <c r="K1283" s="50" t="s">
        <v>1</v>
      </c>
      <c r="L1283" s="50" t="s">
        <v>80</v>
      </c>
    </row>
    <row r="1284" spans="2:12">
      <c r="B1284" s="50" t="s">
        <v>316</v>
      </c>
      <c r="C1284" s="50" t="s">
        <v>51</v>
      </c>
      <c r="D1284" s="50" t="s">
        <v>27</v>
      </c>
      <c r="E1284" s="50">
        <v>50041195</v>
      </c>
      <c r="F1284" s="50" t="s">
        <v>206</v>
      </c>
      <c r="G1284" s="50">
        <v>1</v>
      </c>
      <c r="H1284" s="50" t="s">
        <v>2</v>
      </c>
      <c r="I1284" s="50" t="s">
        <v>292</v>
      </c>
      <c r="J1284" s="51">
        <v>46072</v>
      </c>
      <c r="K1284" s="50" t="s">
        <v>3</v>
      </c>
      <c r="L1284" s="50" t="s">
        <v>80</v>
      </c>
    </row>
    <row r="1285" spans="2:12">
      <c r="B1285" s="50" t="s">
        <v>273</v>
      </c>
      <c r="C1285" s="50" t="s">
        <v>274</v>
      </c>
      <c r="D1285" s="50" t="s">
        <v>27</v>
      </c>
      <c r="E1285" s="50">
        <v>50043151</v>
      </c>
      <c r="F1285" s="50" t="s">
        <v>331</v>
      </c>
      <c r="G1285" s="50">
        <v>1</v>
      </c>
      <c r="H1285" s="50" t="s">
        <v>2</v>
      </c>
      <c r="I1285" s="50" t="s">
        <v>292</v>
      </c>
      <c r="J1285" s="51">
        <v>46072</v>
      </c>
      <c r="K1285" s="50" t="s">
        <v>1</v>
      </c>
      <c r="L1285" s="50" t="s">
        <v>80</v>
      </c>
    </row>
    <row r="1286" spans="2:12">
      <c r="B1286" s="50" t="s">
        <v>54</v>
      </c>
      <c r="C1286" s="50" t="s">
        <v>51</v>
      </c>
      <c r="D1286" s="50" t="s">
        <v>41</v>
      </c>
      <c r="E1286" s="50">
        <v>50001995</v>
      </c>
      <c r="F1286" s="50" t="s">
        <v>185</v>
      </c>
      <c r="G1286" s="50">
        <v>1</v>
      </c>
      <c r="H1286" s="50" t="s">
        <v>2</v>
      </c>
      <c r="I1286" s="50" t="s">
        <v>292</v>
      </c>
      <c r="J1286" s="51">
        <v>46072</v>
      </c>
      <c r="K1286" s="50" t="s">
        <v>1</v>
      </c>
      <c r="L1286" s="50" t="s">
        <v>80</v>
      </c>
    </row>
    <row r="1287" spans="2:12">
      <c r="B1287" s="50" t="s">
        <v>54</v>
      </c>
      <c r="C1287" s="50" t="s">
        <v>51</v>
      </c>
      <c r="D1287" s="50" t="s">
        <v>41</v>
      </c>
      <c r="E1287" s="50">
        <v>50038517</v>
      </c>
      <c r="F1287" s="50" t="s">
        <v>181</v>
      </c>
      <c r="G1287" s="50">
        <v>1</v>
      </c>
      <c r="H1287" s="50" t="s">
        <v>2</v>
      </c>
      <c r="I1287" s="50" t="s">
        <v>292</v>
      </c>
      <c r="J1287" s="51">
        <v>46072</v>
      </c>
      <c r="K1287" s="50" t="s">
        <v>1</v>
      </c>
      <c r="L1287" s="50" t="s">
        <v>80</v>
      </c>
    </row>
    <row r="1288" spans="2:12">
      <c r="B1288" s="50" t="s">
        <v>316</v>
      </c>
      <c r="C1288" s="50" t="s">
        <v>51</v>
      </c>
      <c r="D1288" s="50" t="s">
        <v>27</v>
      </c>
      <c r="E1288" s="50">
        <v>50032781</v>
      </c>
      <c r="F1288" s="50" t="s">
        <v>237</v>
      </c>
      <c r="G1288" s="50">
        <v>1</v>
      </c>
      <c r="H1288" s="50" t="s">
        <v>2</v>
      </c>
      <c r="I1288" s="50" t="s">
        <v>292</v>
      </c>
      <c r="J1288" s="51">
        <v>46072</v>
      </c>
      <c r="K1288" s="50" t="s">
        <v>1</v>
      </c>
      <c r="L1288" s="50" t="s">
        <v>80</v>
      </c>
    </row>
    <row r="1289" spans="2:12">
      <c r="B1289" s="50" t="s">
        <v>54</v>
      </c>
      <c r="C1289" s="50" t="s">
        <v>51</v>
      </c>
      <c r="D1289" s="50" t="s">
        <v>41</v>
      </c>
      <c r="E1289" s="50">
        <v>50001995</v>
      </c>
      <c r="F1289" s="50" t="s">
        <v>185</v>
      </c>
      <c r="G1289" s="50">
        <v>1</v>
      </c>
      <c r="H1289" s="50" t="s">
        <v>2</v>
      </c>
      <c r="I1289" s="50" t="s">
        <v>292</v>
      </c>
      <c r="J1289" s="51">
        <v>46072</v>
      </c>
      <c r="K1289" s="50" t="s">
        <v>3</v>
      </c>
      <c r="L1289" s="50" t="s">
        <v>80</v>
      </c>
    </row>
    <row r="1290" spans="2:12">
      <c r="B1290" s="50" t="s">
        <v>280</v>
      </c>
      <c r="C1290" s="50" t="s">
        <v>62</v>
      </c>
      <c r="D1290" s="50" t="s">
        <v>27</v>
      </c>
      <c r="E1290" s="50">
        <v>50003297</v>
      </c>
      <c r="F1290" s="50" t="s">
        <v>158</v>
      </c>
      <c r="G1290" s="50">
        <v>1</v>
      </c>
      <c r="H1290" s="50" t="s">
        <v>2</v>
      </c>
      <c r="I1290" s="50" t="s">
        <v>292</v>
      </c>
      <c r="J1290" s="51">
        <v>46072</v>
      </c>
      <c r="K1290" s="50" t="s">
        <v>3</v>
      </c>
      <c r="L1290" s="50" t="s">
        <v>80</v>
      </c>
    </row>
    <row r="1291" spans="2:12">
      <c r="B1291" s="50" t="s">
        <v>453</v>
      </c>
      <c r="C1291" s="50" t="s">
        <v>51</v>
      </c>
      <c r="D1291" s="50" t="s">
        <v>41</v>
      </c>
      <c r="E1291" s="50">
        <v>50003297</v>
      </c>
      <c r="F1291" s="50" t="s">
        <v>158</v>
      </c>
      <c r="G1291" s="50">
        <v>1</v>
      </c>
      <c r="H1291" s="50" t="s">
        <v>2</v>
      </c>
      <c r="I1291" s="50" t="s">
        <v>292</v>
      </c>
      <c r="J1291" s="51">
        <v>46072</v>
      </c>
      <c r="K1291" s="50" t="s">
        <v>1</v>
      </c>
      <c r="L1291" s="50" t="s">
        <v>80</v>
      </c>
    </row>
    <row r="1292" spans="2:12">
      <c r="B1292" s="50" t="s">
        <v>394</v>
      </c>
      <c r="C1292" s="50" t="s">
        <v>51</v>
      </c>
      <c r="D1292" s="50" t="s">
        <v>27</v>
      </c>
      <c r="E1292" s="50">
        <v>50022878</v>
      </c>
      <c r="F1292" s="50" t="s">
        <v>296</v>
      </c>
      <c r="G1292" s="50">
        <v>1</v>
      </c>
      <c r="H1292" s="50" t="s">
        <v>2</v>
      </c>
      <c r="I1292" s="50" t="s">
        <v>292</v>
      </c>
      <c r="J1292" s="51">
        <v>46072</v>
      </c>
      <c r="K1292" s="50" t="s">
        <v>1</v>
      </c>
      <c r="L1292" s="50" t="s">
        <v>80</v>
      </c>
    </row>
    <row r="1293" spans="2:12">
      <c r="B1293" s="50" t="s">
        <v>439</v>
      </c>
      <c r="C1293" s="50" t="s">
        <v>62</v>
      </c>
      <c r="D1293" s="50" t="s">
        <v>27</v>
      </c>
      <c r="E1293" s="50">
        <v>50003297</v>
      </c>
      <c r="F1293" s="50" t="s">
        <v>158</v>
      </c>
      <c r="G1293" s="50">
        <v>1</v>
      </c>
      <c r="H1293" s="50" t="s">
        <v>2</v>
      </c>
      <c r="I1293" s="50" t="s">
        <v>292</v>
      </c>
      <c r="J1293" s="51">
        <v>46072</v>
      </c>
      <c r="K1293" s="50" t="s">
        <v>1</v>
      </c>
      <c r="L1293" s="50" t="s">
        <v>80</v>
      </c>
    </row>
    <row r="1294" spans="2:12">
      <c r="B1294" s="50" t="s">
        <v>439</v>
      </c>
      <c r="C1294" s="50" t="s">
        <v>62</v>
      </c>
      <c r="D1294" s="50" t="s">
        <v>27</v>
      </c>
      <c r="E1294" s="50">
        <v>50003297</v>
      </c>
      <c r="F1294" s="50" t="s">
        <v>158</v>
      </c>
      <c r="G1294" s="50">
        <v>1</v>
      </c>
      <c r="H1294" s="50" t="s">
        <v>2</v>
      </c>
      <c r="I1294" s="50" t="s">
        <v>290</v>
      </c>
      <c r="J1294" s="51">
        <v>46072</v>
      </c>
      <c r="K1294" s="50" t="s">
        <v>3</v>
      </c>
      <c r="L1294" s="50" t="s">
        <v>80</v>
      </c>
    </row>
    <row r="1295" spans="2:12">
      <c r="B1295" s="50" t="s">
        <v>345</v>
      </c>
      <c r="C1295" s="50" t="s">
        <v>62</v>
      </c>
      <c r="D1295" s="50" t="s">
        <v>27</v>
      </c>
      <c r="E1295" s="50">
        <v>50041195</v>
      </c>
      <c r="F1295" s="50" t="s">
        <v>206</v>
      </c>
      <c r="G1295" s="50">
        <v>1</v>
      </c>
      <c r="H1295" s="50" t="s">
        <v>2</v>
      </c>
      <c r="I1295" s="50" t="s">
        <v>291</v>
      </c>
      <c r="J1295" s="51">
        <v>46072</v>
      </c>
      <c r="K1295" s="50" t="s">
        <v>1</v>
      </c>
      <c r="L1295" s="50" t="s">
        <v>80</v>
      </c>
    </row>
    <row r="1296" spans="2:12">
      <c r="B1296" s="50" t="s">
        <v>411</v>
      </c>
      <c r="C1296" s="50" t="s">
        <v>26</v>
      </c>
      <c r="D1296" s="50" t="s">
        <v>27</v>
      </c>
      <c r="E1296" s="50">
        <v>50038854</v>
      </c>
      <c r="F1296" s="50" t="s">
        <v>101</v>
      </c>
      <c r="G1296" s="50">
        <v>1</v>
      </c>
      <c r="H1296" s="50" t="s">
        <v>2</v>
      </c>
      <c r="I1296" s="50" t="s">
        <v>291</v>
      </c>
      <c r="J1296" s="51">
        <v>46072</v>
      </c>
      <c r="K1296" s="50" t="s">
        <v>1</v>
      </c>
      <c r="L1296" s="50" t="s">
        <v>80</v>
      </c>
    </row>
    <row r="1297" spans="2:12">
      <c r="B1297" s="50" t="s">
        <v>386</v>
      </c>
      <c r="C1297" s="50" t="s">
        <v>62</v>
      </c>
      <c r="D1297" s="50" t="s">
        <v>27</v>
      </c>
      <c r="E1297" s="50">
        <v>50038516</v>
      </c>
      <c r="F1297" s="50" t="s">
        <v>191</v>
      </c>
      <c r="G1297" s="50">
        <v>1</v>
      </c>
      <c r="H1297" s="50" t="s">
        <v>2</v>
      </c>
      <c r="I1297" s="50" t="s">
        <v>290</v>
      </c>
      <c r="J1297" s="51">
        <v>46072</v>
      </c>
      <c r="K1297" s="50" t="s">
        <v>3</v>
      </c>
      <c r="L1297" s="50" t="s">
        <v>80</v>
      </c>
    </row>
    <row r="1298" spans="2:12">
      <c r="B1298" s="50" t="s">
        <v>411</v>
      </c>
      <c r="C1298" s="50" t="s">
        <v>26</v>
      </c>
      <c r="D1298" s="50" t="s">
        <v>27</v>
      </c>
      <c r="E1298" s="50">
        <v>50003297</v>
      </c>
      <c r="F1298" s="50" t="s">
        <v>158</v>
      </c>
      <c r="G1298" s="50">
        <v>1</v>
      </c>
      <c r="H1298" s="50" t="s">
        <v>2</v>
      </c>
      <c r="I1298" s="50" t="s">
        <v>291</v>
      </c>
      <c r="J1298" s="51">
        <v>46072</v>
      </c>
      <c r="K1298" s="50" t="s">
        <v>1</v>
      </c>
      <c r="L1298" s="50" t="s">
        <v>80</v>
      </c>
    </row>
    <row r="1299" spans="2:12">
      <c r="B1299" s="50" t="s">
        <v>384</v>
      </c>
      <c r="C1299" s="50" t="s">
        <v>281</v>
      </c>
      <c r="D1299" s="50" t="s">
        <v>41</v>
      </c>
      <c r="E1299" s="50">
        <v>50037905</v>
      </c>
      <c r="F1299" s="50" t="s">
        <v>150</v>
      </c>
      <c r="G1299" s="50">
        <v>1</v>
      </c>
      <c r="H1299" s="50" t="s">
        <v>2</v>
      </c>
      <c r="I1299" s="50" t="s">
        <v>291</v>
      </c>
      <c r="J1299" s="51">
        <v>46072</v>
      </c>
      <c r="K1299" s="50" t="s">
        <v>1</v>
      </c>
      <c r="L1299" s="50" t="s">
        <v>80</v>
      </c>
    </row>
    <row r="1300" spans="2:12">
      <c r="B1300" s="50" t="s">
        <v>420</v>
      </c>
      <c r="C1300" s="50" t="s">
        <v>26</v>
      </c>
      <c r="D1300" s="50" t="s">
        <v>41</v>
      </c>
      <c r="E1300" s="50">
        <v>50030486</v>
      </c>
      <c r="F1300" s="50" t="s">
        <v>153</v>
      </c>
      <c r="G1300" s="50">
        <v>1</v>
      </c>
      <c r="H1300" s="50" t="s">
        <v>2</v>
      </c>
      <c r="I1300" s="50" t="s">
        <v>291</v>
      </c>
      <c r="J1300" s="51">
        <v>46072</v>
      </c>
      <c r="K1300" s="50" t="s">
        <v>1</v>
      </c>
      <c r="L1300" s="50" t="s">
        <v>80</v>
      </c>
    </row>
    <row r="1301" spans="2:12">
      <c r="B1301" s="50" t="s">
        <v>384</v>
      </c>
      <c r="C1301" s="50" t="s">
        <v>281</v>
      </c>
      <c r="D1301" s="50" t="s">
        <v>41</v>
      </c>
      <c r="E1301" s="50">
        <v>50037905</v>
      </c>
      <c r="F1301" s="50" t="s">
        <v>150</v>
      </c>
      <c r="G1301" s="50">
        <v>1</v>
      </c>
      <c r="H1301" s="50" t="s">
        <v>2</v>
      </c>
      <c r="I1301" s="50" t="s">
        <v>291</v>
      </c>
      <c r="J1301" s="51">
        <v>46072</v>
      </c>
      <c r="K1301" s="50" t="s">
        <v>3</v>
      </c>
      <c r="L1301" s="50" t="s">
        <v>80</v>
      </c>
    </row>
    <row r="1302" spans="2:12">
      <c r="B1302" s="50" t="s">
        <v>411</v>
      </c>
      <c r="C1302" s="50" t="s">
        <v>26</v>
      </c>
      <c r="D1302" s="50" t="s">
        <v>27</v>
      </c>
      <c r="E1302" s="50">
        <v>50003297</v>
      </c>
      <c r="F1302" s="50" t="s">
        <v>158</v>
      </c>
      <c r="G1302" s="50">
        <v>1</v>
      </c>
      <c r="H1302" s="50" t="s">
        <v>2</v>
      </c>
      <c r="I1302" s="50" t="s">
        <v>291</v>
      </c>
      <c r="J1302" s="51">
        <v>46072</v>
      </c>
      <c r="K1302" s="50" t="s">
        <v>3</v>
      </c>
      <c r="L1302" s="50" t="s">
        <v>80</v>
      </c>
    </row>
    <row r="1303" spans="2:12">
      <c r="B1303" s="50" t="s">
        <v>273</v>
      </c>
      <c r="C1303" s="50" t="s">
        <v>274</v>
      </c>
      <c r="D1303" s="50" t="s">
        <v>27</v>
      </c>
      <c r="E1303" s="50">
        <v>50043151</v>
      </c>
      <c r="F1303" s="50" t="s">
        <v>331</v>
      </c>
      <c r="G1303" s="50">
        <v>1</v>
      </c>
      <c r="H1303" s="50" t="s">
        <v>2</v>
      </c>
      <c r="I1303" s="50" t="s">
        <v>291</v>
      </c>
      <c r="J1303" s="51">
        <v>46072</v>
      </c>
      <c r="K1303" s="50" t="s">
        <v>3</v>
      </c>
      <c r="L1303" s="50" t="s">
        <v>80</v>
      </c>
    </row>
    <row r="1304" spans="2:12">
      <c r="B1304" s="50" t="s">
        <v>316</v>
      </c>
      <c r="C1304" s="50" t="s">
        <v>51</v>
      </c>
      <c r="D1304" s="50" t="s">
        <v>27</v>
      </c>
      <c r="E1304" s="50">
        <v>50032781</v>
      </c>
      <c r="F1304" s="50" t="s">
        <v>237</v>
      </c>
      <c r="G1304" s="50">
        <v>1</v>
      </c>
      <c r="H1304" s="50" t="s">
        <v>2</v>
      </c>
      <c r="I1304" s="50" t="s">
        <v>291</v>
      </c>
      <c r="J1304" s="51">
        <v>46072</v>
      </c>
      <c r="K1304" s="50" t="s">
        <v>3</v>
      </c>
      <c r="L1304" s="50" t="s">
        <v>80</v>
      </c>
    </row>
    <row r="1305" spans="2:12">
      <c r="B1305" s="50" t="s">
        <v>316</v>
      </c>
      <c r="C1305" s="50" t="s">
        <v>51</v>
      </c>
      <c r="D1305" s="50" t="s">
        <v>27</v>
      </c>
      <c r="E1305" s="50">
        <v>50038194</v>
      </c>
      <c r="F1305" s="50" t="s">
        <v>238</v>
      </c>
      <c r="G1305" s="50">
        <v>1</v>
      </c>
      <c r="H1305" s="50" t="s">
        <v>2</v>
      </c>
      <c r="I1305" s="50" t="s">
        <v>291</v>
      </c>
      <c r="J1305" s="51">
        <v>46072</v>
      </c>
      <c r="K1305" s="50" t="s">
        <v>1</v>
      </c>
      <c r="L1305" s="50" t="s">
        <v>80</v>
      </c>
    </row>
    <row r="1306" spans="2:12">
      <c r="B1306" s="50" t="s">
        <v>402</v>
      </c>
      <c r="C1306" s="50" t="s">
        <v>56</v>
      </c>
      <c r="D1306" s="50" t="s">
        <v>39</v>
      </c>
      <c r="E1306" s="50">
        <v>50032781</v>
      </c>
      <c r="F1306" s="50" t="s">
        <v>237</v>
      </c>
      <c r="G1306" s="50">
        <v>1</v>
      </c>
      <c r="H1306" s="50" t="s">
        <v>2</v>
      </c>
      <c r="I1306" s="50" t="s">
        <v>291</v>
      </c>
      <c r="J1306" s="51">
        <v>46072</v>
      </c>
      <c r="K1306" s="50" t="s">
        <v>1</v>
      </c>
      <c r="L1306" s="50" t="s">
        <v>80</v>
      </c>
    </row>
    <row r="1307" spans="2:12">
      <c r="B1307" s="50" t="s">
        <v>483</v>
      </c>
      <c r="C1307" s="50" t="s">
        <v>62</v>
      </c>
      <c r="D1307" s="50" t="s">
        <v>27</v>
      </c>
      <c r="E1307" s="50">
        <v>50046617</v>
      </c>
      <c r="F1307" s="50" t="s">
        <v>365</v>
      </c>
      <c r="G1307" s="50">
        <v>1</v>
      </c>
      <c r="H1307" s="50" t="s">
        <v>2</v>
      </c>
      <c r="I1307" s="50" t="s">
        <v>291</v>
      </c>
      <c r="J1307" s="51">
        <v>46072</v>
      </c>
      <c r="K1307" s="50" t="s">
        <v>3</v>
      </c>
      <c r="L1307" s="50" t="s">
        <v>80</v>
      </c>
    </row>
    <row r="1308" spans="2:12">
      <c r="B1308" s="50" t="s">
        <v>411</v>
      </c>
      <c r="C1308" s="50" t="s">
        <v>26</v>
      </c>
      <c r="D1308" s="50" t="s">
        <v>27</v>
      </c>
      <c r="E1308" s="50">
        <v>50038854</v>
      </c>
      <c r="F1308" s="50" t="s">
        <v>101</v>
      </c>
      <c r="G1308" s="50">
        <v>1</v>
      </c>
      <c r="H1308" s="50" t="s">
        <v>2</v>
      </c>
      <c r="I1308" s="50" t="s">
        <v>291</v>
      </c>
      <c r="J1308" s="51">
        <v>46072</v>
      </c>
      <c r="K1308" s="50" t="s">
        <v>3</v>
      </c>
      <c r="L1308" s="50" t="s">
        <v>80</v>
      </c>
    </row>
    <row r="1309" spans="2:12">
      <c r="B1309" s="50" t="s">
        <v>316</v>
      </c>
      <c r="C1309" s="50" t="s">
        <v>51</v>
      </c>
      <c r="D1309" s="50" t="s">
        <v>27</v>
      </c>
      <c r="E1309" s="50">
        <v>50038194</v>
      </c>
      <c r="F1309" s="50" t="s">
        <v>238</v>
      </c>
      <c r="G1309" s="50">
        <v>1</v>
      </c>
      <c r="H1309" s="50" t="s">
        <v>2</v>
      </c>
      <c r="I1309" s="50" t="s">
        <v>291</v>
      </c>
      <c r="J1309" s="51">
        <v>46072</v>
      </c>
      <c r="K1309" s="50" t="s">
        <v>3</v>
      </c>
      <c r="L1309" s="50" t="s">
        <v>80</v>
      </c>
    </row>
    <row r="1310" spans="2:12">
      <c r="B1310" s="50" t="s">
        <v>411</v>
      </c>
      <c r="C1310" s="50" t="s">
        <v>26</v>
      </c>
      <c r="D1310" s="50" t="s">
        <v>27</v>
      </c>
      <c r="E1310" s="50">
        <v>50037905</v>
      </c>
      <c r="F1310" s="50" t="s">
        <v>150</v>
      </c>
      <c r="G1310" s="50">
        <v>1</v>
      </c>
      <c r="H1310" s="50" t="s">
        <v>2</v>
      </c>
      <c r="I1310" s="50" t="s">
        <v>291</v>
      </c>
      <c r="J1310" s="51">
        <v>46072</v>
      </c>
      <c r="K1310" s="50" t="s">
        <v>1</v>
      </c>
      <c r="L1310" s="50" t="s">
        <v>80</v>
      </c>
    </row>
    <row r="1311" spans="2:12">
      <c r="B1311" s="50" t="s">
        <v>411</v>
      </c>
      <c r="C1311" s="50" t="s">
        <v>26</v>
      </c>
      <c r="D1311" s="50" t="s">
        <v>27</v>
      </c>
      <c r="E1311" s="50">
        <v>50037905</v>
      </c>
      <c r="F1311" s="50" t="s">
        <v>150</v>
      </c>
      <c r="G1311" s="50">
        <v>1</v>
      </c>
      <c r="H1311" s="50" t="s">
        <v>2</v>
      </c>
      <c r="I1311" s="50" t="s">
        <v>291</v>
      </c>
      <c r="J1311" s="51">
        <v>46072</v>
      </c>
      <c r="K1311" s="50" t="s">
        <v>3</v>
      </c>
      <c r="L1311" s="50" t="s">
        <v>80</v>
      </c>
    </row>
    <row r="1312" spans="2:12">
      <c r="B1312" s="50" t="s">
        <v>418</v>
      </c>
      <c r="C1312" s="50" t="s">
        <v>26</v>
      </c>
      <c r="D1312" s="50" t="s">
        <v>27</v>
      </c>
      <c r="E1312" s="50">
        <v>50010031</v>
      </c>
      <c r="F1312" s="50" t="s">
        <v>89</v>
      </c>
      <c r="G1312" s="50">
        <v>1</v>
      </c>
      <c r="H1312" s="50" t="s">
        <v>2</v>
      </c>
      <c r="I1312" s="50" t="s">
        <v>291</v>
      </c>
      <c r="J1312" s="51">
        <v>46072</v>
      </c>
      <c r="K1312" s="50" t="s">
        <v>1</v>
      </c>
      <c r="L1312" s="50" t="s">
        <v>80</v>
      </c>
    </row>
    <row r="1313" spans="2:12">
      <c r="B1313" s="50" t="s">
        <v>418</v>
      </c>
      <c r="C1313" s="50" t="s">
        <v>26</v>
      </c>
      <c r="D1313" s="50" t="s">
        <v>27</v>
      </c>
      <c r="E1313" s="50">
        <v>50010031</v>
      </c>
      <c r="F1313" s="50" t="s">
        <v>89</v>
      </c>
      <c r="G1313" s="50">
        <v>1</v>
      </c>
      <c r="H1313" s="50" t="s">
        <v>2</v>
      </c>
      <c r="I1313" s="50" t="s">
        <v>291</v>
      </c>
      <c r="J1313" s="51">
        <v>46072</v>
      </c>
      <c r="K1313" s="50" t="s">
        <v>3</v>
      </c>
      <c r="L1313" s="50" t="s">
        <v>80</v>
      </c>
    </row>
    <row r="1314" spans="2:12">
      <c r="B1314" s="50" t="s">
        <v>280</v>
      </c>
      <c r="C1314" s="50" t="s">
        <v>62</v>
      </c>
      <c r="D1314" s="50" t="s">
        <v>27</v>
      </c>
      <c r="E1314" s="50">
        <v>50026357</v>
      </c>
      <c r="F1314" s="50" t="s">
        <v>192</v>
      </c>
      <c r="G1314" s="50">
        <v>1</v>
      </c>
      <c r="H1314" s="50" t="s">
        <v>2</v>
      </c>
      <c r="I1314" s="50" t="s">
        <v>291</v>
      </c>
      <c r="J1314" s="51">
        <v>46072</v>
      </c>
      <c r="K1314" s="50" t="s">
        <v>1</v>
      </c>
      <c r="L1314" s="50" t="s">
        <v>80</v>
      </c>
    </row>
    <row r="1315" spans="2:12">
      <c r="B1315" s="50" t="s">
        <v>394</v>
      </c>
      <c r="C1315" s="50" t="s">
        <v>51</v>
      </c>
      <c r="D1315" s="50" t="s">
        <v>27</v>
      </c>
      <c r="E1315" s="50">
        <v>50022878</v>
      </c>
      <c r="F1315" s="50" t="s">
        <v>296</v>
      </c>
      <c r="G1315" s="50">
        <v>1</v>
      </c>
      <c r="H1315" s="50" t="s">
        <v>2</v>
      </c>
      <c r="I1315" s="50" t="s">
        <v>291</v>
      </c>
      <c r="J1315" s="51">
        <v>46072</v>
      </c>
      <c r="K1315" s="50" t="s">
        <v>3</v>
      </c>
      <c r="L1315" s="50" t="s">
        <v>80</v>
      </c>
    </row>
    <row r="1316" spans="2:12">
      <c r="B1316" s="50" t="s">
        <v>409</v>
      </c>
      <c r="C1316" s="50" t="s">
        <v>51</v>
      </c>
      <c r="D1316" s="50" t="s">
        <v>27</v>
      </c>
      <c r="E1316" s="50">
        <v>50010031</v>
      </c>
      <c r="F1316" s="50" t="s">
        <v>89</v>
      </c>
      <c r="G1316" s="50">
        <v>1</v>
      </c>
      <c r="H1316" s="50" t="s">
        <v>2</v>
      </c>
      <c r="I1316" s="50" t="s">
        <v>291</v>
      </c>
      <c r="J1316" s="51">
        <v>46072</v>
      </c>
      <c r="K1316" s="50" t="s">
        <v>1</v>
      </c>
      <c r="L1316" s="50" t="s">
        <v>80</v>
      </c>
    </row>
    <row r="1317" spans="2:12">
      <c r="B1317" s="50" t="s">
        <v>453</v>
      </c>
      <c r="C1317" s="50" t="s">
        <v>51</v>
      </c>
      <c r="D1317" s="50" t="s">
        <v>41</v>
      </c>
      <c r="E1317" s="50">
        <v>50003297</v>
      </c>
      <c r="F1317" s="50" t="s">
        <v>158</v>
      </c>
      <c r="G1317" s="50">
        <v>1</v>
      </c>
      <c r="H1317" s="50" t="s">
        <v>2</v>
      </c>
      <c r="I1317" s="50" t="s">
        <v>291</v>
      </c>
      <c r="J1317" s="51">
        <v>46072</v>
      </c>
      <c r="K1317" s="50" t="s">
        <v>3</v>
      </c>
      <c r="L1317" s="50" t="s">
        <v>80</v>
      </c>
    </row>
    <row r="1318" spans="2:12">
      <c r="B1318" s="50" t="s">
        <v>420</v>
      </c>
      <c r="C1318" s="50" t="s">
        <v>26</v>
      </c>
      <c r="D1318" s="50" t="s">
        <v>41</v>
      </c>
      <c r="E1318" s="50">
        <v>50030486</v>
      </c>
      <c r="F1318" s="50" t="s">
        <v>153</v>
      </c>
      <c r="G1318" s="50">
        <v>1</v>
      </c>
      <c r="H1318" s="50" t="s">
        <v>2</v>
      </c>
      <c r="I1318" s="50" t="s">
        <v>291</v>
      </c>
      <c r="J1318" s="51">
        <v>46072</v>
      </c>
      <c r="K1318" s="50" t="s">
        <v>3</v>
      </c>
      <c r="L1318" s="50" t="s">
        <v>80</v>
      </c>
    </row>
    <row r="1319" spans="2:12">
      <c r="B1319" s="50" t="s">
        <v>409</v>
      </c>
      <c r="C1319" s="50" t="s">
        <v>51</v>
      </c>
      <c r="D1319" s="50" t="s">
        <v>27</v>
      </c>
      <c r="E1319" s="50">
        <v>50010031</v>
      </c>
      <c r="F1319" s="50" t="s">
        <v>89</v>
      </c>
      <c r="G1319" s="50">
        <v>1</v>
      </c>
      <c r="H1319" s="50" t="s">
        <v>2</v>
      </c>
      <c r="I1319" s="50" t="s">
        <v>291</v>
      </c>
      <c r="J1319" s="51">
        <v>46072</v>
      </c>
      <c r="K1319" s="50" t="s">
        <v>3</v>
      </c>
      <c r="L1319" s="50" t="s">
        <v>80</v>
      </c>
    </row>
    <row r="1320" spans="2:12">
      <c r="B1320" s="50" t="s">
        <v>402</v>
      </c>
      <c r="C1320" s="50" t="s">
        <v>56</v>
      </c>
      <c r="D1320" s="50" t="s">
        <v>39</v>
      </c>
      <c r="E1320" s="50">
        <v>50032781</v>
      </c>
      <c r="F1320" s="50" t="s">
        <v>237</v>
      </c>
      <c r="G1320" s="50">
        <v>1</v>
      </c>
      <c r="H1320" s="50" t="s">
        <v>2</v>
      </c>
      <c r="I1320" s="50" t="s">
        <v>291</v>
      </c>
      <c r="J1320" s="51">
        <v>46072</v>
      </c>
      <c r="K1320" s="50" t="s">
        <v>3</v>
      </c>
      <c r="L1320" s="50" t="s">
        <v>80</v>
      </c>
    </row>
    <row r="1321" spans="2:12">
      <c r="B1321" s="50" t="s">
        <v>453</v>
      </c>
      <c r="C1321" s="50" t="s">
        <v>51</v>
      </c>
      <c r="D1321" s="50" t="s">
        <v>41</v>
      </c>
      <c r="E1321" s="50">
        <v>50032781</v>
      </c>
      <c r="F1321" s="50" t="s">
        <v>237</v>
      </c>
      <c r="G1321" s="50">
        <v>1</v>
      </c>
      <c r="H1321" s="50" t="s">
        <v>2</v>
      </c>
      <c r="I1321" s="50" t="s">
        <v>291</v>
      </c>
      <c r="J1321" s="51">
        <v>46072</v>
      </c>
      <c r="K1321" s="50" t="s">
        <v>1</v>
      </c>
      <c r="L1321" s="50" t="s">
        <v>80</v>
      </c>
    </row>
    <row r="1322" spans="2:12">
      <c r="B1322" s="50" t="s">
        <v>453</v>
      </c>
      <c r="C1322" s="50" t="s">
        <v>51</v>
      </c>
      <c r="D1322" s="50" t="s">
        <v>41</v>
      </c>
      <c r="E1322" s="50">
        <v>50032781</v>
      </c>
      <c r="F1322" s="50" t="s">
        <v>237</v>
      </c>
      <c r="G1322" s="50">
        <v>1</v>
      </c>
      <c r="H1322" s="50" t="s">
        <v>2</v>
      </c>
      <c r="I1322" s="50" t="s">
        <v>291</v>
      </c>
      <c r="J1322" s="51">
        <v>46072</v>
      </c>
      <c r="K1322" s="50" t="s">
        <v>3</v>
      </c>
      <c r="L1322" s="50" t="s">
        <v>80</v>
      </c>
    </row>
    <row r="1323" spans="2:12">
      <c r="B1323" s="50" t="s">
        <v>316</v>
      </c>
      <c r="C1323" s="50" t="s">
        <v>51</v>
      </c>
      <c r="D1323" s="50" t="s">
        <v>27</v>
      </c>
      <c r="E1323" s="50">
        <v>50038626</v>
      </c>
      <c r="F1323" s="50" t="s">
        <v>190</v>
      </c>
      <c r="G1323" s="50">
        <v>1</v>
      </c>
      <c r="H1323" s="50" t="s">
        <v>2</v>
      </c>
      <c r="I1323" s="50" t="s">
        <v>291</v>
      </c>
      <c r="J1323" s="51">
        <v>46072</v>
      </c>
      <c r="K1323" s="50" t="s">
        <v>3</v>
      </c>
      <c r="L1323" s="50" t="s">
        <v>80</v>
      </c>
    </row>
    <row r="1324" spans="2:12">
      <c r="B1324" s="50" t="s">
        <v>474</v>
      </c>
      <c r="C1324" s="50" t="s">
        <v>51</v>
      </c>
      <c r="D1324" s="50" t="s">
        <v>27</v>
      </c>
      <c r="E1324" s="50">
        <v>50043471</v>
      </c>
      <c r="F1324" s="50" t="s">
        <v>257</v>
      </c>
      <c r="G1324" s="50">
        <v>1</v>
      </c>
      <c r="H1324" s="50" t="s">
        <v>2</v>
      </c>
      <c r="I1324" s="50" t="s">
        <v>291</v>
      </c>
      <c r="J1324" s="51">
        <v>46072</v>
      </c>
      <c r="K1324" s="50" t="s">
        <v>3</v>
      </c>
      <c r="L1324" s="50" t="s">
        <v>80</v>
      </c>
    </row>
    <row r="1325" spans="2:12">
      <c r="B1325" s="50" t="s">
        <v>474</v>
      </c>
      <c r="C1325" s="50" t="s">
        <v>51</v>
      </c>
      <c r="D1325" s="50" t="s">
        <v>27</v>
      </c>
      <c r="E1325" s="50">
        <v>50037892</v>
      </c>
      <c r="F1325" s="50" t="s">
        <v>178</v>
      </c>
      <c r="G1325" s="50">
        <v>1</v>
      </c>
      <c r="H1325" s="50" t="s">
        <v>2</v>
      </c>
      <c r="I1325" s="50" t="s">
        <v>291</v>
      </c>
      <c r="J1325" s="51">
        <v>46072</v>
      </c>
      <c r="K1325" s="50" t="s">
        <v>3</v>
      </c>
      <c r="L1325" s="50" t="s">
        <v>80</v>
      </c>
    </row>
    <row r="1326" spans="2:12">
      <c r="B1326" s="50" t="s">
        <v>280</v>
      </c>
      <c r="C1326" s="50" t="s">
        <v>62</v>
      </c>
      <c r="D1326" s="50" t="s">
        <v>27</v>
      </c>
      <c r="E1326" s="50">
        <v>50026357</v>
      </c>
      <c r="F1326" s="50" t="s">
        <v>192</v>
      </c>
      <c r="G1326" s="50">
        <v>1</v>
      </c>
      <c r="H1326" s="50" t="s">
        <v>2</v>
      </c>
      <c r="I1326" s="50" t="s">
        <v>291</v>
      </c>
      <c r="J1326" s="51">
        <v>46072</v>
      </c>
      <c r="K1326" s="50" t="s">
        <v>3</v>
      </c>
      <c r="L1326" s="50" t="s">
        <v>80</v>
      </c>
    </row>
    <row r="1327" spans="2:12">
      <c r="B1327" s="50" t="s">
        <v>54</v>
      </c>
      <c r="C1327" s="50" t="s">
        <v>51</v>
      </c>
      <c r="D1327" s="50" t="s">
        <v>41</v>
      </c>
      <c r="E1327" s="50">
        <v>50038517</v>
      </c>
      <c r="F1327" s="50" t="s">
        <v>181</v>
      </c>
      <c r="G1327" s="50">
        <v>1</v>
      </c>
      <c r="H1327" s="50" t="s">
        <v>2</v>
      </c>
      <c r="I1327" s="50" t="s">
        <v>291</v>
      </c>
      <c r="J1327" s="51">
        <v>46072</v>
      </c>
      <c r="K1327" s="50" t="s">
        <v>3</v>
      </c>
      <c r="L1327" s="50" t="s">
        <v>80</v>
      </c>
    </row>
    <row r="1328" spans="2:12">
      <c r="B1328" s="50" t="s">
        <v>345</v>
      </c>
      <c r="C1328" s="50" t="s">
        <v>62</v>
      </c>
      <c r="D1328" s="50" t="s">
        <v>27</v>
      </c>
      <c r="E1328" s="50">
        <v>50041195</v>
      </c>
      <c r="F1328" s="50" t="s">
        <v>206</v>
      </c>
      <c r="G1328" s="50">
        <v>1</v>
      </c>
      <c r="H1328" s="50" t="s">
        <v>2</v>
      </c>
      <c r="I1328" s="50" t="s">
        <v>291</v>
      </c>
      <c r="J1328" s="51">
        <v>46072</v>
      </c>
      <c r="K1328" s="50" t="s">
        <v>3</v>
      </c>
      <c r="L1328" s="50" t="s">
        <v>80</v>
      </c>
    </row>
    <row r="1329" spans="2:12">
      <c r="B1329" s="50" t="s">
        <v>417</v>
      </c>
      <c r="C1329" s="50" t="s">
        <v>51</v>
      </c>
      <c r="D1329" s="50" t="s">
        <v>41</v>
      </c>
      <c r="E1329" s="50">
        <v>50043471</v>
      </c>
      <c r="F1329" s="50" t="s">
        <v>257</v>
      </c>
      <c r="G1329" s="50">
        <v>1</v>
      </c>
      <c r="H1329" s="50" t="s">
        <v>2</v>
      </c>
      <c r="I1329" s="50" t="s">
        <v>291</v>
      </c>
      <c r="J1329" s="51">
        <v>46072</v>
      </c>
      <c r="K1329" s="50" t="s">
        <v>1</v>
      </c>
      <c r="L1329" s="50" t="s">
        <v>80</v>
      </c>
    </row>
    <row r="1330" spans="2:12">
      <c r="B1330" s="50" t="s">
        <v>461</v>
      </c>
      <c r="C1330" s="50" t="s">
        <v>26</v>
      </c>
      <c r="D1330" s="50" t="s">
        <v>39</v>
      </c>
      <c r="E1330" s="50">
        <v>50037892</v>
      </c>
      <c r="F1330" s="50" t="s">
        <v>178</v>
      </c>
      <c r="G1330" s="50">
        <v>1</v>
      </c>
      <c r="H1330" s="50" t="s">
        <v>2</v>
      </c>
      <c r="I1330" s="50" t="s">
        <v>291</v>
      </c>
      <c r="J1330" s="51">
        <v>46072</v>
      </c>
      <c r="K1330" s="50" t="s">
        <v>1</v>
      </c>
      <c r="L1330" s="50" t="s">
        <v>80</v>
      </c>
    </row>
    <row r="1331" spans="2:12">
      <c r="B1331" s="50" t="s">
        <v>347</v>
      </c>
      <c r="C1331" s="50" t="s">
        <v>26</v>
      </c>
      <c r="D1331" s="50" t="s">
        <v>41</v>
      </c>
      <c r="E1331" s="50">
        <v>50037946</v>
      </c>
      <c r="F1331" s="50" t="s">
        <v>230</v>
      </c>
      <c r="G1331" s="50">
        <v>1</v>
      </c>
      <c r="H1331" s="50" t="s">
        <v>2</v>
      </c>
      <c r="I1331" s="50" t="s">
        <v>289</v>
      </c>
      <c r="J1331" s="51">
        <v>46071</v>
      </c>
      <c r="K1331" s="50" t="s">
        <v>1</v>
      </c>
      <c r="L1331" s="50" t="s">
        <v>80</v>
      </c>
    </row>
    <row r="1332" spans="2:12">
      <c r="B1332" s="50" t="s">
        <v>461</v>
      </c>
      <c r="C1332" s="50" t="s">
        <v>26</v>
      </c>
      <c r="D1332" s="50" t="s">
        <v>39</v>
      </c>
      <c r="E1332" s="50">
        <v>50037892</v>
      </c>
      <c r="F1332" s="50" t="s">
        <v>178</v>
      </c>
      <c r="G1332" s="50">
        <v>1</v>
      </c>
      <c r="H1332" s="50" t="s">
        <v>2</v>
      </c>
      <c r="I1332" s="50" t="s">
        <v>289</v>
      </c>
      <c r="J1332" s="51">
        <v>46071</v>
      </c>
      <c r="K1332" s="50" t="s">
        <v>1</v>
      </c>
      <c r="L1332" s="50" t="s">
        <v>80</v>
      </c>
    </row>
    <row r="1333" spans="2:12">
      <c r="B1333" s="50" t="s">
        <v>417</v>
      </c>
      <c r="C1333" s="50" t="s">
        <v>51</v>
      </c>
      <c r="D1333" s="50" t="s">
        <v>41</v>
      </c>
      <c r="E1333" s="50">
        <v>50043471</v>
      </c>
      <c r="F1333" s="50" t="s">
        <v>257</v>
      </c>
      <c r="G1333" s="50">
        <v>1</v>
      </c>
      <c r="H1333" s="50" t="s">
        <v>2</v>
      </c>
      <c r="I1333" s="50" t="s">
        <v>289</v>
      </c>
      <c r="J1333" s="51">
        <v>46071</v>
      </c>
      <c r="K1333" s="50" t="s">
        <v>1</v>
      </c>
      <c r="L1333" s="50" t="s">
        <v>80</v>
      </c>
    </row>
    <row r="1334" spans="2:12">
      <c r="B1334" s="50" t="s">
        <v>345</v>
      </c>
      <c r="C1334" s="50" t="s">
        <v>62</v>
      </c>
      <c r="D1334" s="50" t="s">
        <v>27</v>
      </c>
      <c r="E1334" s="50">
        <v>50041195</v>
      </c>
      <c r="F1334" s="50" t="s">
        <v>206</v>
      </c>
      <c r="G1334" s="50">
        <v>1</v>
      </c>
      <c r="H1334" s="50" t="s">
        <v>2</v>
      </c>
      <c r="I1334" s="50" t="s">
        <v>289</v>
      </c>
      <c r="J1334" s="51">
        <v>46071</v>
      </c>
      <c r="K1334" s="50" t="s">
        <v>1</v>
      </c>
      <c r="L1334" s="50" t="s">
        <v>80</v>
      </c>
    </row>
    <row r="1335" spans="2:12">
      <c r="B1335" s="50" t="s">
        <v>347</v>
      </c>
      <c r="C1335" s="50" t="s">
        <v>26</v>
      </c>
      <c r="D1335" s="50" t="s">
        <v>41</v>
      </c>
      <c r="E1335" s="50">
        <v>50037946</v>
      </c>
      <c r="F1335" s="50" t="s">
        <v>230</v>
      </c>
      <c r="G1335" s="50">
        <v>1</v>
      </c>
      <c r="H1335" s="50" t="s">
        <v>2</v>
      </c>
      <c r="I1335" s="50" t="s">
        <v>293</v>
      </c>
      <c r="J1335" s="51">
        <v>46071</v>
      </c>
      <c r="K1335" s="50" t="s">
        <v>3</v>
      </c>
      <c r="L1335" s="50" t="s">
        <v>80</v>
      </c>
    </row>
    <row r="1336" spans="2:12">
      <c r="B1336" s="50" t="s">
        <v>54</v>
      </c>
      <c r="C1336" s="50" t="s">
        <v>51</v>
      </c>
      <c r="D1336" s="50" t="s">
        <v>41</v>
      </c>
      <c r="E1336" s="50">
        <v>50010031</v>
      </c>
      <c r="F1336" s="50" t="s">
        <v>89</v>
      </c>
      <c r="G1336" s="50">
        <v>1</v>
      </c>
      <c r="H1336" s="50" t="s">
        <v>2</v>
      </c>
      <c r="I1336" s="50" t="s">
        <v>293</v>
      </c>
      <c r="J1336" s="51">
        <v>46071</v>
      </c>
      <c r="K1336" s="50" t="s">
        <v>1</v>
      </c>
      <c r="L1336" s="50" t="s">
        <v>80</v>
      </c>
    </row>
    <row r="1337" spans="2:12">
      <c r="B1337" s="50" t="s">
        <v>461</v>
      </c>
      <c r="C1337" s="50" t="s">
        <v>26</v>
      </c>
      <c r="D1337" s="50" t="s">
        <v>39</v>
      </c>
      <c r="E1337" s="50">
        <v>50037892</v>
      </c>
      <c r="F1337" s="50" t="s">
        <v>178</v>
      </c>
      <c r="G1337" s="50">
        <v>1</v>
      </c>
      <c r="H1337" s="50" t="s">
        <v>2</v>
      </c>
      <c r="I1337" s="50" t="s">
        <v>293</v>
      </c>
      <c r="J1337" s="51">
        <v>46071</v>
      </c>
      <c r="K1337" s="50" t="s">
        <v>3</v>
      </c>
      <c r="L1337" s="50" t="s">
        <v>80</v>
      </c>
    </row>
    <row r="1338" spans="2:12">
      <c r="B1338" s="50" t="s">
        <v>270</v>
      </c>
      <c r="C1338" s="50" t="s">
        <v>51</v>
      </c>
      <c r="D1338" s="50" t="s">
        <v>27</v>
      </c>
      <c r="E1338" s="50">
        <v>50003297</v>
      </c>
      <c r="F1338" s="50" t="s">
        <v>158</v>
      </c>
      <c r="G1338" s="50">
        <v>1</v>
      </c>
      <c r="H1338" s="50" t="s">
        <v>2</v>
      </c>
      <c r="I1338" s="50" t="s">
        <v>293</v>
      </c>
      <c r="J1338" s="51">
        <v>46071</v>
      </c>
      <c r="K1338" s="50" t="s">
        <v>1</v>
      </c>
      <c r="L1338" s="50" t="s">
        <v>80</v>
      </c>
    </row>
    <row r="1339" spans="2:12">
      <c r="B1339" s="50" t="s">
        <v>363</v>
      </c>
      <c r="C1339" s="50" t="s">
        <v>26</v>
      </c>
      <c r="D1339" s="50" t="s">
        <v>41</v>
      </c>
      <c r="E1339" s="50">
        <v>50030486</v>
      </c>
      <c r="F1339" s="50" t="s">
        <v>153</v>
      </c>
      <c r="G1339" s="50">
        <v>1</v>
      </c>
      <c r="H1339" s="50" t="s">
        <v>2</v>
      </c>
      <c r="I1339" s="50" t="s">
        <v>293</v>
      </c>
      <c r="J1339" s="51">
        <v>46071</v>
      </c>
      <c r="K1339" s="50" t="s">
        <v>1</v>
      </c>
      <c r="L1339" s="50" t="s">
        <v>80</v>
      </c>
    </row>
    <row r="1340" spans="2:12">
      <c r="B1340" s="50" t="s">
        <v>396</v>
      </c>
      <c r="C1340" s="50" t="s">
        <v>26</v>
      </c>
      <c r="D1340" s="50" t="s">
        <v>41</v>
      </c>
      <c r="E1340" s="50">
        <v>50038517</v>
      </c>
      <c r="F1340" s="50" t="s">
        <v>181</v>
      </c>
      <c r="G1340" s="50">
        <v>1</v>
      </c>
      <c r="H1340" s="50" t="s">
        <v>2</v>
      </c>
      <c r="I1340" s="50" t="s">
        <v>293</v>
      </c>
      <c r="J1340" s="51">
        <v>46071</v>
      </c>
      <c r="K1340" s="50" t="s">
        <v>1</v>
      </c>
      <c r="L1340" s="50" t="s">
        <v>80</v>
      </c>
    </row>
    <row r="1341" spans="2:12">
      <c r="B1341" s="50" t="s">
        <v>316</v>
      </c>
      <c r="C1341" s="50" t="s">
        <v>51</v>
      </c>
      <c r="D1341" s="50" t="s">
        <v>27</v>
      </c>
      <c r="E1341" s="50">
        <v>50030486</v>
      </c>
      <c r="F1341" s="50" t="s">
        <v>153</v>
      </c>
      <c r="G1341" s="50">
        <v>1</v>
      </c>
      <c r="H1341" s="50" t="s">
        <v>2</v>
      </c>
      <c r="I1341" s="50" t="s">
        <v>293</v>
      </c>
      <c r="J1341" s="51">
        <v>46071</v>
      </c>
      <c r="K1341" s="50" t="s">
        <v>1</v>
      </c>
      <c r="L1341" s="50" t="s">
        <v>80</v>
      </c>
    </row>
    <row r="1342" spans="2:12">
      <c r="B1342" s="50" t="s">
        <v>413</v>
      </c>
      <c r="C1342" s="50" t="s">
        <v>51</v>
      </c>
      <c r="D1342" s="50" t="s">
        <v>39</v>
      </c>
      <c r="E1342" s="50">
        <v>50037892</v>
      </c>
      <c r="F1342" s="50" t="s">
        <v>178</v>
      </c>
      <c r="G1342" s="50">
        <v>1</v>
      </c>
      <c r="H1342" s="50" t="s">
        <v>2</v>
      </c>
      <c r="I1342" s="50" t="s">
        <v>293</v>
      </c>
      <c r="J1342" s="51">
        <v>46071</v>
      </c>
      <c r="K1342" s="50" t="s">
        <v>1</v>
      </c>
      <c r="L1342" s="50" t="s">
        <v>80</v>
      </c>
    </row>
    <row r="1343" spans="2:12">
      <c r="B1343" s="50" t="s">
        <v>427</v>
      </c>
      <c r="C1343" s="50" t="s">
        <v>26</v>
      </c>
      <c r="D1343" s="50" t="s">
        <v>27</v>
      </c>
      <c r="E1343" s="50">
        <v>50038549</v>
      </c>
      <c r="F1343" s="50" t="s">
        <v>173</v>
      </c>
      <c r="G1343" s="50">
        <v>1</v>
      </c>
      <c r="H1343" s="50" t="s">
        <v>2</v>
      </c>
      <c r="I1343" s="50" t="s">
        <v>293</v>
      </c>
      <c r="J1343" s="51">
        <v>46071</v>
      </c>
      <c r="K1343" s="50" t="s">
        <v>1</v>
      </c>
      <c r="L1343" s="50" t="s">
        <v>80</v>
      </c>
    </row>
    <row r="1344" spans="2:12">
      <c r="B1344" s="50" t="s">
        <v>439</v>
      </c>
      <c r="C1344" s="50" t="s">
        <v>62</v>
      </c>
      <c r="D1344" s="50" t="s">
        <v>27</v>
      </c>
      <c r="E1344" s="50">
        <v>50046617</v>
      </c>
      <c r="F1344" s="50" t="s">
        <v>365</v>
      </c>
      <c r="G1344" s="50">
        <v>1</v>
      </c>
      <c r="H1344" s="50" t="s">
        <v>2</v>
      </c>
      <c r="I1344" s="50" t="s">
        <v>293</v>
      </c>
      <c r="J1344" s="51">
        <v>46071</v>
      </c>
      <c r="K1344" s="50" t="s">
        <v>1</v>
      </c>
      <c r="L1344" s="50" t="s">
        <v>80</v>
      </c>
    </row>
    <row r="1345" spans="2:12">
      <c r="B1345" s="50" t="s">
        <v>273</v>
      </c>
      <c r="C1345" s="50" t="s">
        <v>274</v>
      </c>
      <c r="D1345" s="50" t="s">
        <v>27</v>
      </c>
      <c r="E1345" s="50">
        <v>50037909</v>
      </c>
      <c r="F1345" s="50" t="s">
        <v>175</v>
      </c>
      <c r="G1345" s="50">
        <v>1</v>
      </c>
      <c r="H1345" s="50" t="s">
        <v>2</v>
      </c>
      <c r="I1345" s="50" t="s">
        <v>293</v>
      </c>
      <c r="J1345" s="51">
        <v>46071</v>
      </c>
      <c r="K1345" s="50" t="s">
        <v>1</v>
      </c>
      <c r="L1345" s="50" t="s">
        <v>80</v>
      </c>
    </row>
    <row r="1346" spans="2:12">
      <c r="B1346" s="50" t="s">
        <v>316</v>
      </c>
      <c r="C1346" s="50" t="s">
        <v>51</v>
      </c>
      <c r="D1346" s="50" t="s">
        <v>27</v>
      </c>
      <c r="E1346" s="50">
        <v>50030486</v>
      </c>
      <c r="F1346" s="50" t="s">
        <v>153</v>
      </c>
      <c r="G1346" s="50">
        <v>1</v>
      </c>
      <c r="H1346" s="50" t="s">
        <v>2</v>
      </c>
      <c r="I1346" s="50" t="s">
        <v>293</v>
      </c>
      <c r="J1346" s="51">
        <v>46071</v>
      </c>
      <c r="K1346" s="50" t="s">
        <v>3</v>
      </c>
      <c r="L1346" s="50" t="s">
        <v>80</v>
      </c>
    </row>
    <row r="1347" spans="2:12">
      <c r="B1347" s="50" t="s">
        <v>439</v>
      </c>
      <c r="C1347" s="50" t="s">
        <v>62</v>
      </c>
      <c r="D1347" s="50" t="s">
        <v>27</v>
      </c>
      <c r="E1347" s="50">
        <v>50046617</v>
      </c>
      <c r="F1347" s="50" t="s">
        <v>365</v>
      </c>
      <c r="G1347" s="50">
        <v>1</v>
      </c>
      <c r="H1347" s="50" t="s">
        <v>2</v>
      </c>
      <c r="I1347" s="50" t="s">
        <v>293</v>
      </c>
      <c r="J1347" s="51">
        <v>46071</v>
      </c>
      <c r="K1347" s="50" t="s">
        <v>3</v>
      </c>
      <c r="L1347" s="50" t="s">
        <v>80</v>
      </c>
    </row>
    <row r="1348" spans="2:12">
      <c r="B1348" s="50" t="s">
        <v>273</v>
      </c>
      <c r="C1348" s="50" t="s">
        <v>274</v>
      </c>
      <c r="D1348" s="50" t="s">
        <v>27</v>
      </c>
      <c r="E1348" s="50">
        <v>50037909</v>
      </c>
      <c r="F1348" s="50" t="s">
        <v>175</v>
      </c>
      <c r="G1348" s="50">
        <v>1</v>
      </c>
      <c r="H1348" s="50" t="s">
        <v>2</v>
      </c>
      <c r="I1348" s="50" t="s">
        <v>293</v>
      </c>
      <c r="J1348" s="51">
        <v>46071</v>
      </c>
      <c r="K1348" s="50" t="s">
        <v>3</v>
      </c>
      <c r="L1348" s="50" t="s">
        <v>80</v>
      </c>
    </row>
    <row r="1349" spans="2:12">
      <c r="B1349" s="50" t="s">
        <v>413</v>
      </c>
      <c r="C1349" s="50" t="s">
        <v>51</v>
      </c>
      <c r="D1349" s="50" t="s">
        <v>39</v>
      </c>
      <c r="E1349" s="50">
        <v>50037892</v>
      </c>
      <c r="F1349" s="50" t="s">
        <v>178</v>
      </c>
      <c r="G1349" s="50">
        <v>1</v>
      </c>
      <c r="H1349" s="50" t="s">
        <v>2</v>
      </c>
      <c r="I1349" s="50" t="s">
        <v>293</v>
      </c>
      <c r="J1349" s="51">
        <v>46071</v>
      </c>
      <c r="K1349" s="50" t="s">
        <v>3</v>
      </c>
      <c r="L1349" s="50" t="s">
        <v>80</v>
      </c>
    </row>
    <row r="1350" spans="2:12">
      <c r="B1350" s="50" t="s">
        <v>25</v>
      </c>
      <c r="C1350" s="50" t="s">
        <v>26</v>
      </c>
      <c r="D1350" s="50" t="s">
        <v>27</v>
      </c>
      <c r="E1350" s="50">
        <v>50038854</v>
      </c>
      <c r="F1350" s="50" t="s">
        <v>101</v>
      </c>
      <c r="G1350" s="50">
        <v>1</v>
      </c>
      <c r="H1350" s="50" t="s">
        <v>2</v>
      </c>
      <c r="I1350" s="50" t="s">
        <v>293</v>
      </c>
      <c r="J1350" s="51">
        <v>46071</v>
      </c>
      <c r="K1350" s="50" t="s">
        <v>1</v>
      </c>
      <c r="L1350" s="50" t="s">
        <v>80</v>
      </c>
    </row>
    <row r="1351" spans="2:12">
      <c r="B1351" s="50" t="s">
        <v>270</v>
      </c>
      <c r="C1351" s="50" t="s">
        <v>51</v>
      </c>
      <c r="D1351" s="50" t="s">
        <v>27</v>
      </c>
      <c r="E1351" s="50">
        <v>50003297</v>
      </c>
      <c r="F1351" s="50" t="s">
        <v>158</v>
      </c>
      <c r="G1351" s="50">
        <v>1</v>
      </c>
      <c r="H1351" s="50" t="s">
        <v>2</v>
      </c>
      <c r="I1351" s="50" t="s">
        <v>293</v>
      </c>
      <c r="J1351" s="51">
        <v>46071</v>
      </c>
      <c r="K1351" s="50" t="s">
        <v>3</v>
      </c>
      <c r="L1351" s="50" t="s">
        <v>80</v>
      </c>
    </row>
    <row r="1352" spans="2:12">
      <c r="B1352" s="50" t="s">
        <v>25</v>
      </c>
      <c r="C1352" s="50" t="s">
        <v>26</v>
      </c>
      <c r="D1352" s="50" t="s">
        <v>27</v>
      </c>
      <c r="E1352" s="50">
        <v>50038854</v>
      </c>
      <c r="F1352" s="50" t="s">
        <v>101</v>
      </c>
      <c r="G1352" s="50">
        <v>1</v>
      </c>
      <c r="H1352" s="50" t="s">
        <v>2</v>
      </c>
      <c r="I1352" s="50" t="s">
        <v>293</v>
      </c>
      <c r="J1352" s="51">
        <v>46071</v>
      </c>
      <c r="K1352" s="50" t="s">
        <v>3</v>
      </c>
      <c r="L1352" s="50" t="s">
        <v>80</v>
      </c>
    </row>
    <row r="1353" spans="2:12">
      <c r="B1353" s="50" t="s">
        <v>273</v>
      </c>
      <c r="C1353" s="50" t="s">
        <v>274</v>
      </c>
      <c r="D1353" s="50" t="s">
        <v>27</v>
      </c>
      <c r="E1353" s="50">
        <v>50037892</v>
      </c>
      <c r="F1353" s="50" t="s">
        <v>178</v>
      </c>
      <c r="G1353" s="50">
        <v>1</v>
      </c>
      <c r="H1353" s="50" t="s">
        <v>2</v>
      </c>
      <c r="I1353" s="50" t="s">
        <v>293</v>
      </c>
      <c r="J1353" s="51">
        <v>46071</v>
      </c>
      <c r="K1353" s="50" t="s">
        <v>1</v>
      </c>
      <c r="L1353" s="50" t="s">
        <v>80</v>
      </c>
    </row>
    <row r="1354" spans="2:12">
      <c r="B1354" s="50" t="s">
        <v>273</v>
      </c>
      <c r="C1354" s="50" t="s">
        <v>274</v>
      </c>
      <c r="D1354" s="50" t="s">
        <v>27</v>
      </c>
      <c r="E1354" s="50">
        <v>50020623</v>
      </c>
      <c r="F1354" s="50" t="s">
        <v>217</v>
      </c>
      <c r="G1354" s="50">
        <v>1</v>
      </c>
      <c r="H1354" s="50" t="s">
        <v>2</v>
      </c>
      <c r="I1354" s="50" t="s">
        <v>293</v>
      </c>
      <c r="J1354" s="51">
        <v>46071</v>
      </c>
      <c r="K1354" s="50" t="s">
        <v>1</v>
      </c>
      <c r="L1354" s="50" t="s">
        <v>80</v>
      </c>
    </row>
    <row r="1355" spans="2:12">
      <c r="B1355" s="50" t="s">
        <v>410</v>
      </c>
      <c r="C1355" s="50" t="s">
        <v>51</v>
      </c>
      <c r="D1355" s="50" t="s">
        <v>27</v>
      </c>
      <c r="E1355" s="50">
        <v>50046617</v>
      </c>
      <c r="F1355" s="50" t="s">
        <v>365</v>
      </c>
      <c r="G1355" s="50">
        <v>1</v>
      </c>
      <c r="H1355" s="50" t="s">
        <v>2</v>
      </c>
      <c r="I1355" s="50" t="s">
        <v>293</v>
      </c>
      <c r="J1355" s="51">
        <v>46071</v>
      </c>
      <c r="K1355" s="50" t="s">
        <v>1</v>
      </c>
      <c r="L1355" s="50" t="s">
        <v>80</v>
      </c>
    </row>
    <row r="1356" spans="2:12">
      <c r="B1356" s="50" t="s">
        <v>418</v>
      </c>
      <c r="C1356" s="50" t="s">
        <v>26</v>
      </c>
      <c r="D1356" s="50" t="s">
        <v>27</v>
      </c>
      <c r="E1356" s="50">
        <v>50022878</v>
      </c>
      <c r="F1356" s="50" t="s">
        <v>296</v>
      </c>
      <c r="G1356" s="50">
        <v>1</v>
      </c>
      <c r="H1356" s="50" t="s">
        <v>2</v>
      </c>
      <c r="I1356" s="50" t="s">
        <v>293</v>
      </c>
      <c r="J1356" s="51">
        <v>46071</v>
      </c>
      <c r="K1356" s="50" t="s">
        <v>1</v>
      </c>
      <c r="L1356" s="50" t="s">
        <v>80</v>
      </c>
    </row>
    <row r="1357" spans="2:12">
      <c r="B1357" s="50" t="s">
        <v>422</v>
      </c>
      <c r="C1357" s="50" t="s">
        <v>26</v>
      </c>
      <c r="D1357" s="50" t="s">
        <v>27</v>
      </c>
      <c r="E1357" s="50">
        <v>50037905</v>
      </c>
      <c r="F1357" s="50" t="s">
        <v>150</v>
      </c>
      <c r="G1357" s="50">
        <v>1</v>
      </c>
      <c r="H1357" s="50" t="s">
        <v>2</v>
      </c>
      <c r="I1357" s="50" t="s">
        <v>293</v>
      </c>
      <c r="J1357" s="51">
        <v>46071</v>
      </c>
      <c r="K1357" s="50" t="s">
        <v>1</v>
      </c>
      <c r="L1357" s="50" t="s">
        <v>80</v>
      </c>
    </row>
    <row r="1358" spans="2:12">
      <c r="B1358" s="50" t="s">
        <v>417</v>
      </c>
      <c r="C1358" s="50" t="s">
        <v>51</v>
      </c>
      <c r="D1358" s="50" t="s">
        <v>41</v>
      </c>
      <c r="E1358" s="50">
        <v>50043471</v>
      </c>
      <c r="F1358" s="50" t="s">
        <v>257</v>
      </c>
      <c r="G1358" s="50">
        <v>1</v>
      </c>
      <c r="H1358" s="50" t="s">
        <v>2</v>
      </c>
      <c r="I1358" s="50" t="s">
        <v>293</v>
      </c>
      <c r="J1358" s="51">
        <v>46071</v>
      </c>
      <c r="K1358" s="50" t="s">
        <v>3</v>
      </c>
      <c r="L1358" s="50" t="s">
        <v>80</v>
      </c>
    </row>
    <row r="1359" spans="2:12">
      <c r="B1359" s="50" t="s">
        <v>396</v>
      </c>
      <c r="C1359" s="50" t="s">
        <v>26</v>
      </c>
      <c r="D1359" s="50" t="s">
        <v>41</v>
      </c>
      <c r="E1359" s="50">
        <v>50038517</v>
      </c>
      <c r="F1359" s="50" t="s">
        <v>181</v>
      </c>
      <c r="G1359" s="50">
        <v>1</v>
      </c>
      <c r="H1359" s="50" t="s">
        <v>2</v>
      </c>
      <c r="I1359" s="50" t="s">
        <v>293</v>
      </c>
      <c r="J1359" s="51">
        <v>46071</v>
      </c>
      <c r="K1359" s="50" t="s">
        <v>3</v>
      </c>
      <c r="L1359" s="50" t="s">
        <v>80</v>
      </c>
    </row>
    <row r="1360" spans="2:12">
      <c r="B1360" s="50" t="s">
        <v>427</v>
      </c>
      <c r="C1360" s="50" t="s">
        <v>26</v>
      </c>
      <c r="D1360" s="50" t="s">
        <v>27</v>
      </c>
      <c r="E1360" s="50">
        <v>50038549</v>
      </c>
      <c r="F1360" s="50" t="s">
        <v>173</v>
      </c>
      <c r="G1360" s="50">
        <v>1</v>
      </c>
      <c r="H1360" s="50" t="s">
        <v>2</v>
      </c>
      <c r="I1360" s="50" t="s">
        <v>290</v>
      </c>
      <c r="J1360" s="51">
        <v>46071</v>
      </c>
      <c r="K1360" s="50" t="s">
        <v>3</v>
      </c>
      <c r="L1360" s="50" t="s">
        <v>80</v>
      </c>
    </row>
    <row r="1361" spans="2:12">
      <c r="B1361" s="50" t="s">
        <v>316</v>
      </c>
      <c r="C1361" s="50" t="s">
        <v>51</v>
      </c>
      <c r="D1361" s="50" t="s">
        <v>27</v>
      </c>
      <c r="E1361" s="50">
        <v>50038517</v>
      </c>
      <c r="F1361" s="50" t="s">
        <v>181</v>
      </c>
      <c r="G1361" s="50">
        <v>1</v>
      </c>
      <c r="H1361" s="50" t="s">
        <v>2</v>
      </c>
      <c r="I1361" s="50" t="s">
        <v>291</v>
      </c>
      <c r="J1361" s="51">
        <v>46071</v>
      </c>
      <c r="K1361" s="50" t="s">
        <v>1</v>
      </c>
      <c r="L1361" s="50" t="s">
        <v>80</v>
      </c>
    </row>
    <row r="1362" spans="2:12">
      <c r="B1362" s="50" t="s">
        <v>410</v>
      </c>
      <c r="C1362" s="50" t="s">
        <v>51</v>
      </c>
      <c r="D1362" s="50" t="s">
        <v>27</v>
      </c>
      <c r="E1362" s="50">
        <v>50046617</v>
      </c>
      <c r="F1362" s="50" t="s">
        <v>365</v>
      </c>
      <c r="G1362" s="50">
        <v>1</v>
      </c>
      <c r="H1362" s="50" t="s">
        <v>2</v>
      </c>
      <c r="I1362" s="50" t="s">
        <v>291</v>
      </c>
      <c r="J1362" s="51">
        <v>46071</v>
      </c>
      <c r="K1362" s="50" t="s">
        <v>3</v>
      </c>
      <c r="L1362" s="50" t="s">
        <v>80</v>
      </c>
    </row>
    <row r="1363" spans="2:12">
      <c r="B1363" s="50" t="s">
        <v>418</v>
      </c>
      <c r="C1363" s="50" t="s">
        <v>26</v>
      </c>
      <c r="D1363" s="50" t="s">
        <v>27</v>
      </c>
      <c r="E1363" s="50">
        <v>50022878</v>
      </c>
      <c r="F1363" s="50" t="s">
        <v>296</v>
      </c>
      <c r="G1363" s="50">
        <v>1</v>
      </c>
      <c r="H1363" s="50" t="s">
        <v>2</v>
      </c>
      <c r="I1363" s="50" t="s">
        <v>291</v>
      </c>
      <c r="J1363" s="51">
        <v>46071</v>
      </c>
      <c r="K1363" s="50" t="s">
        <v>3</v>
      </c>
      <c r="L1363" s="50" t="s">
        <v>80</v>
      </c>
    </row>
    <row r="1364" spans="2:12">
      <c r="B1364" s="50" t="s">
        <v>427</v>
      </c>
      <c r="C1364" s="50" t="s">
        <v>26</v>
      </c>
      <c r="D1364" s="50" t="s">
        <v>27</v>
      </c>
      <c r="E1364" s="50">
        <v>50003297</v>
      </c>
      <c r="F1364" s="50" t="s">
        <v>158</v>
      </c>
      <c r="G1364" s="50">
        <v>1</v>
      </c>
      <c r="H1364" s="50" t="s">
        <v>2</v>
      </c>
      <c r="I1364" s="50" t="s">
        <v>291</v>
      </c>
      <c r="J1364" s="51">
        <v>46071</v>
      </c>
      <c r="K1364" s="50" t="s">
        <v>1</v>
      </c>
      <c r="L1364" s="50" t="s">
        <v>80</v>
      </c>
    </row>
    <row r="1365" spans="2:12">
      <c r="B1365" s="50" t="s">
        <v>427</v>
      </c>
      <c r="C1365" s="50" t="s">
        <v>26</v>
      </c>
      <c r="D1365" s="50" t="s">
        <v>27</v>
      </c>
      <c r="E1365" s="50">
        <v>50036086</v>
      </c>
      <c r="F1365" s="50" t="s">
        <v>28</v>
      </c>
      <c r="G1365" s="50">
        <v>1</v>
      </c>
      <c r="H1365" s="50" t="s">
        <v>2</v>
      </c>
      <c r="I1365" s="50" t="s">
        <v>291</v>
      </c>
      <c r="J1365" s="51">
        <v>46071</v>
      </c>
      <c r="K1365" s="50" t="s">
        <v>1</v>
      </c>
      <c r="L1365" s="50" t="s">
        <v>80</v>
      </c>
    </row>
    <row r="1366" spans="2:12">
      <c r="B1366" s="50" t="s">
        <v>422</v>
      </c>
      <c r="C1366" s="50" t="s">
        <v>26</v>
      </c>
      <c r="D1366" s="50" t="s">
        <v>27</v>
      </c>
      <c r="E1366" s="50">
        <v>50037922</v>
      </c>
      <c r="F1366" s="50" t="s">
        <v>117</v>
      </c>
      <c r="G1366" s="50">
        <v>1</v>
      </c>
      <c r="H1366" s="50" t="s">
        <v>2</v>
      </c>
      <c r="I1366" s="50" t="s">
        <v>291</v>
      </c>
      <c r="J1366" s="51">
        <v>46071</v>
      </c>
      <c r="K1366" s="50" t="s">
        <v>1</v>
      </c>
      <c r="L1366" s="50" t="s">
        <v>80</v>
      </c>
    </row>
    <row r="1367" spans="2:12">
      <c r="B1367" s="50" t="s">
        <v>316</v>
      </c>
      <c r="C1367" s="50" t="s">
        <v>51</v>
      </c>
      <c r="D1367" s="50" t="s">
        <v>27</v>
      </c>
      <c r="E1367" s="50">
        <v>50038517</v>
      </c>
      <c r="F1367" s="50" t="s">
        <v>181</v>
      </c>
      <c r="G1367" s="50">
        <v>1</v>
      </c>
      <c r="H1367" s="50" t="s">
        <v>2</v>
      </c>
      <c r="I1367" s="50" t="s">
        <v>291</v>
      </c>
      <c r="J1367" s="51">
        <v>46071</v>
      </c>
      <c r="K1367" s="50" t="s">
        <v>3</v>
      </c>
      <c r="L1367" s="50" t="s">
        <v>80</v>
      </c>
    </row>
    <row r="1368" spans="2:12">
      <c r="B1368" s="50" t="s">
        <v>280</v>
      </c>
      <c r="C1368" s="50" t="s">
        <v>62</v>
      </c>
      <c r="D1368" s="50" t="s">
        <v>27</v>
      </c>
      <c r="E1368" s="50">
        <v>50043471</v>
      </c>
      <c r="F1368" s="50" t="s">
        <v>257</v>
      </c>
      <c r="G1368" s="50">
        <v>1</v>
      </c>
      <c r="H1368" s="50" t="s">
        <v>2</v>
      </c>
      <c r="I1368" s="50" t="s">
        <v>291</v>
      </c>
      <c r="J1368" s="51">
        <v>46071</v>
      </c>
      <c r="K1368" s="50" t="s">
        <v>1</v>
      </c>
      <c r="L1368" s="50" t="s">
        <v>80</v>
      </c>
    </row>
    <row r="1369" spans="2:12">
      <c r="B1369" s="50" t="s">
        <v>389</v>
      </c>
      <c r="C1369" s="50" t="s">
        <v>56</v>
      </c>
      <c r="D1369" s="50" t="s">
        <v>27</v>
      </c>
      <c r="E1369" s="50">
        <v>50026357</v>
      </c>
      <c r="F1369" s="50" t="s">
        <v>192</v>
      </c>
      <c r="G1369" s="50">
        <v>1</v>
      </c>
      <c r="H1369" s="50" t="s">
        <v>2</v>
      </c>
      <c r="I1369" s="50" t="s">
        <v>291</v>
      </c>
      <c r="J1369" s="51">
        <v>46071</v>
      </c>
      <c r="K1369" s="50" t="s">
        <v>1</v>
      </c>
      <c r="L1369" s="50" t="s">
        <v>80</v>
      </c>
    </row>
    <row r="1370" spans="2:12">
      <c r="B1370" s="50" t="s">
        <v>273</v>
      </c>
      <c r="C1370" s="50" t="s">
        <v>274</v>
      </c>
      <c r="D1370" s="50" t="s">
        <v>27</v>
      </c>
      <c r="E1370" s="50">
        <v>50020623</v>
      </c>
      <c r="F1370" s="50" t="s">
        <v>217</v>
      </c>
      <c r="G1370" s="50">
        <v>1</v>
      </c>
      <c r="H1370" s="50" t="s">
        <v>2</v>
      </c>
      <c r="I1370" s="50" t="s">
        <v>291</v>
      </c>
      <c r="J1370" s="51">
        <v>46071</v>
      </c>
      <c r="K1370" s="50" t="s">
        <v>3</v>
      </c>
      <c r="L1370" s="50" t="s">
        <v>80</v>
      </c>
    </row>
    <row r="1371" spans="2:12">
      <c r="B1371" s="50" t="s">
        <v>273</v>
      </c>
      <c r="C1371" s="50" t="s">
        <v>274</v>
      </c>
      <c r="D1371" s="50" t="s">
        <v>27</v>
      </c>
      <c r="E1371" s="50">
        <v>50037892</v>
      </c>
      <c r="F1371" s="50" t="s">
        <v>178</v>
      </c>
      <c r="G1371" s="50">
        <v>1</v>
      </c>
      <c r="H1371" s="50" t="s">
        <v>2</v>
      </c>
      <c r="I1371" s="50" t="s">
        <v>291</v>
      </c>
      <c r="J1371" s="51">
        <v>46071</v>
      </c>
      <c r="K1371" s="50" t="s">
        <v>3</v>
      </c>
      <c r="L1371" s="50" t="s">
        <v>80</v>
      </c>
    </row>
    <row r="1372" spans="2:12">
      <c r="B1372" s="50" t="s">
        <v>363</v>
      </c>
      <c r="C1372" s="50" t="s">
        <v>26</v>
      </c>
      <c r="D1372" s="50" t="s">
        <v>41</v>
      </c>
      <c r="E1372" s="50">
        <v>50030486</v>
      </c>
      <c r="F1372" s="50" t="s">
        <v>153</v>
      </c>
      <c r="G1372" s="50">
        <v>1</v>
      </c>
      <c r="H1372" s="50" t="s">
        <v>2</v>
      </c>
      <c r="I1372" s="50" t="s">
        <v>291</v>
      </c>
      <c r="J1372" s="51">
        <v>46071</v>
      </c>
      <c r="K1372" s="50" t="s">
        <v>3</v>
      </c>
      <c r="L1372" s="50" t="s">
        <v>80</v>
      </c>
    </row>
    <row r="1373" spans="2:12">
      <c r="B1373" s="50" t="s">
        <v>280</v>
      </c>
      <c r="C1373" s="50" t="s">
        <v>62</v>
      </c>
      <c r="D1373" s="50" t="s">
        <v>27</v>
      </c>
      <c r="E1373" s="50">
        <v>50043471</v>
      </c>
      <c r="F1373" s="50" t="s">
        <v>257</v>
      </c>
      <c r="G1373" s="50">
        <v>1</v>
      </c>
      <c r="H1373" s="50" t="s">
        <v>2</v>
      </c>
      <c r="I1373" s="50" t="s">
        <v>291</v>
      </c>
      <c r="J1373" s="51">
        <v>46071</v>
      </c>
      <c r="K1373" s="50" t="s">
        <v>3</v>
      </c>
      <c r="L1373" s="50" t="s">
        <v>80</v>
      </c>
    </row>
    <row r="1374" spans="2:12">
      <c r="B1374" s="50" t="s">
        <v>389</v>
      </c>
      <c r="C1374" s="50" t="s">
        <v>56</v>
      </c>
      <c r="D1374" s="50" t="s">
        <v>27</v>
      </c>
      <c r="E1374" s="50">
        <v>50026357</v>
      </c>
      <c r="F1374" s="50" t="s">
        <v>192</v>
      </c>
      <c r="G1374" s="50">
        <v>1</v>
      </c>
      <c r="H1374" s="50" t="s">
        <v>2</v>
      </c>
      <c r="I1374" s="50" t="s">
        <v>288</v>
      </c>
      <c r="J1374" s="51">
        <v>46071</v>
      </c>
      <c r="K1374" s="50" t="s">
        <v>3</v>
      </c>
      <c r="L1374" s="50" t="s">
        <v>80</v>
      </c>
    </row>
    <row r="1375" spans="2:12">
      <c r="B1375" s="50" t="s">
        <v>422</v>
      </c>
      <c r="C1375" s="50" t="s">
        <v>26</v>
      </c>
      <c r="D1375" s="50" t="s">
        <v>27</v>
      </c>
      <c r="E1375" s="50">
        <v>50037922</v>
      </c>
      <c r="F1375" s="50" t="s">
        <v>117</v>
      </c>
      <c r="G1375" s="50">
        <v>1</v>
      </c>
      <c r="H1375" s="50" t="s">
        <v>2</v>
      </c>
      <c r="I1375" s="50" t="s">
        <v>288</v>
      </c>
      <c r="J1375" s="51">
        <v>46071</v>
      </c>
      <c r="K1375" s="50" t="s">
        <v>3</v>
      </c>
      <c r="L1375" s="50" t="s">
        <v>80</v>
      </c>
    </row>
    <row r="1376" spans="2:12">
      <c r="B1376" s="50" t="s">
        <v>427</v>
      </c>
      <c r="C1376" s="50" t="s">
        <v>26</v>
      </c>
      <c r="D1376" s="50" t="s">
        <v>27</v>
      </c>
      <c r="E1376" s="50">
        <v>50036086</v>
      </c>
      <c r="F1376" s="50" t="s">
        <v>28</v>
      </c>
      <c r="G1376" s="50">
        <v>1</v>
      </c>
      <c r="H1376" s="50" t="s">
        <v>2</v>
      </c>
      <c r="I1376" s="50" t="s">
        <v>288</v>
      </c>
      <c r="J1376" s="51">
        <v>46071</v>
      </c>
      <c r="K1376" s="50" t="s">
        <v>3</v>
      </c>
      <c r="L1376" s="50" t="s">
        <v>80</v>
      </c>
    </row>
    <row r="1377" spans="2:12">
      <c r="B1377" s="50" t="s">
        <v>422</v>
      </c>
      <c r="C1377" s="50" t="s">
        <v>26</v>
      </c>
      <c r="D1377" s="50" t="s">
        <v>27</v>
      </c>
      <c r="E1377" s="50">
        <v>50037905</v>
      </c>
      <c r="F1377" s="50" t="s">
        <v>150</v>
      </c>
      <c r="G1377" s="50">
        <v>1</v>
      </c>
      <c r="H1377" s="50" t="s">
        <v>2</v>
      </c>
      <c r="I1377" s="50" t="s">
        <v>288</v>
      </c>
      <c r="J1377" s="51">
        <v>46071</v>
      </c>
      <c r="K1377" s="50" t="s">
        <v>3</v>
      </c>
      <c r="L1377" s="50" t="s">
        <v>80</v>
      </c>
    </row>
    <row r="1378" spans="2:12">
      <c r="B1378" s="50" t="s">
        <v>427</v>
      </c>
      <c r="C1378" s="50" t="s">
        <v>26</v>
      </c>
      <c r="D1378" s="50" t="s">
        <v>27</v>
      </c>
      <c r="E1378" s="50">
        <v>50003297</v>
      </c>
      <c r="F1378" s="50" t="s">
        <v>158</v>
      </c>
      <c r="G1378" s="50">
        <v>1</v>
      </c>
      <c r="H1378" s="50" t="s">
        <v>2</v>
      </c>
      <c r="I1378" s="50" t="s">
        <v>288</v>
      </c>
      <c r="J1378" s="51">
        <v>46071</v>
      </c>
      <c r="K1378" s="50" t="s">
        <v>3</v>
      </c>
      <c r="L1378" s="50" t="s">
        <v>80</v>
      </c>
    </row>
    <row r="1379" spans="2:12">
      <c r="B1379" s="50" t="s">
        <v>345</v>
      </c>
      <c r="C1379" s="50" t="s">
        <v>62</v>
      </c>
      <c r="D1379" s="50" t="s">
        <v>27</v>
      </c>
      <c r="E1379" s="50">
        <v>50041195</v>
      </c>
      <c r="F1379" s="50" t="s">
        <v>206</v>
      </c>
      <c r="G1379" s="50">
        <v>1</v>
      </c>
      <c r="H1379" s="50" t="s">
        <v>2</v>
      </c>
      <c r="I1379" s="50" t="s">
        <v>288</v>
      </c>
      <c r="J1379" s="51">
        <v>46071</v>
      </c>
      <c r="K1379" s="50" t="s">
        <v>3</v>
      </c>
      <c r="L1379" s="50" t="s">
        <v>80</v>
      </c>
    </row>
    <row r="1380" spans="2:12">
      <c r="B1380" s="50" t="s">
        <v>54</v>
      </c>
      <c r="C1380" s="50" t="s">
        <v>51</v>
      </c>
      <c r="D1380" s="50" t="s">
        <v>41</v>
      </c>
      <c r="E1380" s="50">
        <v>50010031</v>
      </c>
      <c r="F1380" s="50" t="s">
        <v>89</v>
      </c>
      <c r="G1380" s="50">
        <v>1</v>
      </c>
      <c r="H1380" s="50" t="s">
        <v>2</v>
      </c>
      <c r="I1380" s="50" t="s">
        <v>288</v>
      </c>
      <c r="J1380" s="51">
        <v>46071</v>
      </c>
      <c r="K1380" s="50" t="s">
        <v>3</v>
      </c>
      <c r="L1380" s="50" t="s">
        <v>80</v>
      </c>
    </row>
    <row r="1381" spans="2:12">
      <c r="B1381" s="50" t="s">
        <v>389</v>
      </c>
      <c r="C1381" s="50" t="s">
        <v>56</v>
      </c>
      <c r="D1381" s="50" t="s">
        <v>27</v>
      </c>
      <c r="E1381" s="50">
        <v>50043471</v>
      </c>
      <c r="F1381" s="50" t="s">
        <v>257</v>
      </c>
      <c r="G1381" s="50">
        <v>1</v>
      </c>
      <c r="H1381" s="50" t="s">
        <v>2</v>
      </c>
      <c r="I1381" s="50" t="s">
        <v>289</v>
      </c>
      <c r="J1381" s="51">
        <v>46070</v>
      </c>
      <c r="K1381" s="50" t="s">
        <v>1</v>
      </c>
      <c r="L1381" s="50" t="s">
        <v>80</v>
      </c>
    </row>
    <row r="1382" spans="2:12">
      <c r="B1382" s="50" t="s">
        <v>385</v>
      </c>
      <c r="C1382" s="50" t="s">
        <v>56</v>
      </c>
      <c r="D1382" s="50" t="s">
        <v>41</v>
      </c>
      <c r="E1382" s="50">
        <v>50036298</v>
      </c>
      <c r="F1382" s="50" t="s">
        <v>102</v>
      </c>
      <c r="G1382" s="50">
        <v>1</v>
      </c>
      <c r="H1382" s="50" t="s">
        <v>2</v>
      </c>
      <c r="I1382" s="50" t="s">
        <v>289</v>
      </c>
      <c r="J1382" s="51">
        <v>46070</v>
      </c>
      <c r="K1382" s="50" t="s">
        <v>1</v>
      </c>
      <c r="L1382" s="50" t="s">
        <v>80</v>
      </c>
    </row>
    <row r="1383" spans="2:12">
      <c r="B1383" s="50" t="s">
        <v>389</v>
      </c>
      <c r="C1383" s="50" t="s">
        <v>56</v>
      </c>
      <c r="D1383" s="50" t="s">
        <v>27</v>
      </c>
      <c r="E1383" s="50">
        <v>50038517</v>
      </c>
      <c r="F1383" s="50" t="s">
        <v>181</v>
      </c>
      <c r="G1383" s="50">
        <v>1</v>
      </c>
      <c r="H1383" s="50" t="s">
        <v>2</v>
      </c>
      <c r="I1383" s="50" t="s">
        <v>292</v>
      </c>
      <c r="J1383" s="51">
        <v>46070</v>
      </c>
      <c r="K1383" s="50" t="s">
        <v>1</v>
      </c>
      <c r="L1383" s="50" t="s">
        <v>80</v>
      </c>
    </row>
    <row r="1384" spans="2:12">
      <c r="B1384" s="50" t="s">
        <v>278</v>
      </c>
      <c r="C1384" s="50" t="s">
        <v>62</v>
      </c>
      <c r="D1384" s="50" t="s">
        <v>27</v>
      </c>
      <c r="E1384" s="50">
        <v>50041195</v>
      </c>
      <c r="F1384" s="50" t="s">
        <v>206</v>
      </c>
      <c r="G1384" s="50">
        <v>1</v>
      </c>
      <c r="H1384" s="50" t="s">
        <v>2</v>
      </c>
      <c r="I1384" s="50" t="s">
        <v>292</v>
      </c>
      <c r="J1384" s="51">
        <v>46070</v>
      </c>
      <c r="K1384" s="50" t="s">
        <v>1</v>
      </c>
      <c r="L1384" s="50" t="s">
        <v>80</v>
      </c>
    </row>
    <row r="1385" spans="2:12">
      <c r="B1385" s="50" t="s">
        <v>345</v>
      </c>
      <c r="C1385" s="50" t="s">
        <v>62</v>
      </c>
      <c r="D1385" s="50" t="s">
        <v>27</v>
      </c>
      <c r="E1385" s="50">
        <v>50020623</v>
      </c>
      <c r="F1385" s="50" t="s">
        <v>217</v>
      </c>
      <c r="G1385" s="50">
        <v>1</v>
      </c>
      <c r="H1385" s="50" t="s">
        <v>2</v>
      </c>
      <c r="I1385" s="50" t="s">
        <v>292</v>
      </c>
      <c r="J1385" s="51">
        <v>46070</v>
      </c>
      <c r="K1385" s="50" t="s">
        <v>1</v>
      </c>
      <c r="L1385" s="50" t="s">
        <v>80</v>
      </c>
    </row>
    <row r="1386" spans="2:12">
      <c r="B1386" s="50" t="s">
        <v>345</v>
      </c>
      <c r="C1386" s="50" t="s">
        <v>62</v>
      </c>
      <c r="D1386" s="50" t="s">
        <v>27</v>
      </c>
      <c r="E1386" s="50">
        <v>50037892</v>
      </c>
      <c r="F1386" s="50" t="s">
        <v>178</v>
      </c>
      <c r="G1386" s="50">
        <v>1</v>
      </c>
      <c r="H1386" s="50" t="s">
        <v>2</v>
      </c>
      <c r="I1386" s="50" t="s">
        <v>292</v>
      </c>
      <c r="J1386" s="51">
        <v>46070</v>
      </c>
      <c r="K1386" s="50" t="s">
        <v>1</v>
      </c>
      <c r="L1386" s="50" t="s">
        <v>80</v>
      </c>
    </row>
    <row r="1387" spans="2:12">
      <c r="B1387" s="50" t="s">
        <v>463</v>
      </c>
      <c r="C1387" s="50" t="s">
        <v>356</v>
      </c>
      <c r="D1387" s="50" t="s">
        <v>27</v>
      </c>
      <c r="E1387" s="50">
        <v>50037905</v>
      </c>
      <c r="F1387" s="50" t="s">
        <v>150</v>
      </c>
      <c r="G1387" s="50">
        <v>1</v>
      </c>
      <c r="H1387" s="50" t="s">
        <v>2</v>
      </c>
      <c r="I1387" s="50" t="s">
        <v>292</v>
      </c>
      <c r="J1387" s="51">
        <v>46070</v>
      </c>
      <c r="K1387" s="50" t="s">
        <v>1</v>
      </c>
      <c r="L1387" s="50" t="s">
        <v>80</v>
      </c>
    </row>
    <row r="1388" spans="2:12">
      <c r="B1388" s="50" t="s">
        <v>270</v>
      </c>
      <c r="C1388" s="50" t="s">
        <v>51</v>
      </c>
      <c r="D1388" s="50" t="s">
        <v>27</v>
      </c>
      <c r="E1388" s="50">
        <v>50036086</v>
      </c>
      <c r="F1388" s="50" t="s">
        <v>28</v>
      </c>
      <c r="G1388" s="50">
        <v>1</v>
      </c>
      <c r="H1388" s="50" t="s">
        <v>2</v>
      </c>
      <c r="I1388" s="50" t="s">
        <v>292</v>
      </c>
      <c r="J1388" s="51">
        <v>46070</v>
      </c>
      <c r="K1388" s="50" t="s">
        <v>1</v>
      </c>
      <c r="L1388" s="50" t="s">
        <v>80</v>
      </c>
    </row>
    <row r="1389" spans="2:12">
      <c r="B1389" s="50" t="s">
        <v>389</v>
      </c>
      <c r="C1389" s="50" t="s">
        <v>56</v>
      </c>
      <c r="D1389" s="50" t="s">
        <v>27</v>
      </c>
      <c r="E1389" s="50">
        <v>50028220</v>
      </c>
      <c r="F1389" s="50" t="s">
        <v>242</v>
      </c>
      <c r="G1389" s="50">
        <v>1</v>
      </c>
      <c r="H1389" s="50" t="s">
        <v>2</v>
      </c>
      <c r="I1389" s="50" t="s">
        <v>292</v>
      </c>
      <c r="J1389" s="51">
        <v>46070</v>
      </c>
      <c r="K1389" s="50" t="s">
        <v>1</v>
      </c>
      <c r="L1389" s="50" t="s">
        <v>80</v>
      </c>
    </row>
    <row r="1390" spans="2:12">
      <c r="B1390" s="50" t="s">
        <v>427</v>
      </c>
      <c r="C1390" s="50" t="s">
        <v>26</v>
      </c>
      <c r="D1390" s="50" t="s">
        <v>27</v>
      </c>
      <c r="E1390" s="50">
        <v>50036297</v>
      </c>
      <c r="F1390" s="50" t="s">
        <v>189</v>
      </c>
      <c r="G1390" s="50">
        <v>1</v>
      </c>
      <c r="H1390" s="50" t="s">
        <v>2</v>
      </c>
      <c r="I1390" s="50" t="s">
        <v>292</v>
      </c>
      <c r="J1390" s="51">
        <v>46070</v>
      </c>
      <c r="K1390" s="50" t="s">
        <v>1</v>
      </c>
      <c r="L1390" s="50" t="s">
        <v>80</v>
      </c>
    </row>
    <row r="1391" spans="2:12">
      <c r="B1391" s="50" t="s">
        <v>427</v>
      </c>
      <c r="C1391" s="50" t="s">
        <v>26</v>
      </c>
      <c r="D1391" s="50" t="s">
        <v>27</v>
      </c>
      <c r="E1391" s="50">
        <v>50037909</v>
      </c>
      <c r="F1391" s="50" t="s">
        <v>175</v>
      </c>
      <c r="G1391" s="50">
        <v>1</v>
      </c>
      <c r="H1391" s="50" t="s">
        <v>2</v>
      </c>
      <c r="I1391" s="50" t="s">
        <v>292</v>
      </c>
      <c r="J1391" s="51">
        <v>46070</v>
      </c>
      <c r="K1391" s="50" t="s">
        <v>1</v>
      </c>
      <c r="L1391" s="50" t="s">
        <v>80</v>
      </c>
    </row>
    <row r="1392" spans="2:12">
      <c r="B1392" s="50" t="s">
        <v>409</v>
      </c>
      <c r="C1392" s="50" t="s">
        <v>51</v>
      </c>
      <c r="D1392" s="50" t="s">
        <v>27</v>
      </c>
      <c r="E1392" s="50">
        <v>50046617</v>
      </c>
      <c r="F1392" s="50" t="s">
        <v>365</v>
      </c>
      <c r="G1392" s="50">
        <v>1</v>
      </c>
      <c r="H1392" s="50" t="s">
        <v>2</v>
      </c>
      <c r="I1392" s="50" t="s">
        <v>292</v>
      </c>
      <c r="J1392" s="51">
        <v>46070</v>
      </c>
      <c r="K1392" s="50" t="s">
        <v>1</v>
      </c>
      <c r="L1392" s="50" t="s">
        <v>80</v>
      </c>
    </row>
    <row r="1393" spans="2:12">
      <c r="B1393" s="50" t="s">
        <v>409</v>
      </c>
      <c r="C1393" s="50" t="s">
        <v>51</v>
      </c>
      <c r="D1393" s="50" t="s">
        <v>27</v>
      </c>
      <c r="E1393" s="50">
        <v>50003297</v>
      </c>
      <c r="F1393" s="50" t="s">
        <v>158</v>
      </c>
      <c r="G1393" s="50">
        <v>1</v>
      </c>
      <c r="H1393" s="50" t="s">
        <v>2</v>
      </c>
      <c r="I1393" s="50" t="s">
        <v>292</v>
      </c>
      <c r="J1393" s="51">
        <v>46070</v>
      </c>
      <c r="K1393" s="50" t="s">
        <v>1</v>
      </c>
      <c r="L1393" s="50" t="s">
        <v>80</v>
      </c>
    </row>
    <row r="1394" spans="2:12">
      <c r="B1394" s="50" t="s">
        <v>389</v>
      </c>
      <c r="C1394" s="50" t="s">
        <v>56</v>
      </c>
      <c r="D1394" s="50" t="s">
        <v>27</v>
      </c>
      <c r="E1394" s="50">
        <v>50043471</v>
      </c>
      <c r="F1394" s="50" t="s">
        <v>257</v>
      </c>
      <c r="G1394" s="50">
        <v>1</v>
      </c>
      <c r="H1394" s="50" t="s">
        <v>2</v>
      </c>
      <c r="I1394" s="50" t="s">
        <v>292</v>
      </c>
      <c r="J1394" s="51">
        <v>46070</v>
      </c>
      <c r="K1394" s="50" t="s">
        <v>3</v>
      </c>
      <c r="L1394" s="50" t="s">
        <v>80</v>
      </c>
    </row>
    <row r="1395" spans="2:12">
      <c r="B1395" s="50" t="s">
        <v>389</v>
      </c>
      <c r="C1395" s="50" t="s">
        <v>56</v>
      </c>
      <c r="D1395" s="50" t="s">
        <v>27</v>
      </c>
      <c r="E1395" s="50">
        <v>50028220</v>
      </c>
      <c r="F1395" s="50" t="s">
        <v>242</v>
      </c>
      <c r="G1395" s="50">
        <v>1</v>
      </c>
      <c r="H1395" s="50" t="s">
        <v>2</v>
      </c>
      <c r="I1395" s="50" t="s">
        <v>292</v>
      </c>
      <c r="J1395" s="51">
        <v>46070</v>
      </c>
      <c r="K1395" s="50" t="s">
        <v>3</v>
      </c>
      <c r="L1395" s="50" t="s">
        <v>80</v>
      </c>
    </row>
    <row r="1396" spans="2:12">
      <c r="B1396" s="50" t="s">
        <v>345</v>
      </c>
      <c r="C1396" s="50" t="s">
        <v>62</v>
      </c>
      <c r="D1396" s="50" t="s">
        <v>27</v>
      </c>
      <c r="E1396" s="50">
        <v>50028220</v>
      </c>
      <c r="F1396" s="50" t="s">
        <v>242</v>
      </c>
      <c r="G1396" s="50">
        <v>1</v>
      </c>
      <c r="H1396" s="50" t="s">
        <v>2</v>
      </c>
      <c r="I1396" s="50" t="s">
        <v>292</v>
      </c>
      <c r="J1396" s="51">
        <v>46070</v>
      </c>
      <c r="K1396" s="50" t="s">
        <v>1</v>
      </c>
      <c r="L1396" s="50" t="s">
        <v>80</v>
      </c>
    </row>
    <row r="1397" spans="2:12">
      <c r="B1397" s="50" t="s">
        <v>389</v>
      </c>
      <c r="C1397" s="50" t="s">
        <v>56</v>
      </c>
      <c r="D1397" s="50" t="s">
        <v>27</v>
      </c>
      <c r="E1397" s="50">
        <v>50038517</v>
      </c>
      <c r="F1397" s="50" t="s">
        <v>181</v>
      </c>
      <c r="G1397" s="50">
        <v>1</v>
      </c>
      <c r="H1397" s="50" t="s">
        <v>2</v>
      </c>
      <c r="I1397" s="50" t="s">
        <v>292</v>
      </c>
      <c r="J1397" s="51">
        <v>46070</v>
      </c>
      <c r="K1397" s="50" t="s">
        <v>3</v>
      </c>
      <c r="L1397" s="50" t="s">
        <v>80</v>
      </c>
    </row>
    <row r="1398" spans="2:12">
      <c r="B1398" s="50" t="s">
        <v>427</v>
      </c>
      <c r="C1398" s="50" t="s">
        <v>26</v>
      </c>
      <c r="D1398" s="50" t="s">
        <v>27</v>
      </c>
      <c r="E1398" s="50">
        <v>50037909</v>
      </c>
      <c r="F1398" s="50" t="s">
        <v>175</v>
      </c>
      <c r="G1398" s="50">
        <v>1</v>
      </c>
      <c r="H1398" s="50" t="s">
        <v>2</v>
      </c>
      <c r="I1398" s="50" t="s">
        <v>292</v>
      </c>
      <c r="J1398" s="51">
        <v>46070</v>
      </c>
      <c r="K1398" s="50" t="s">
        <v>3</v>
      </c>
      <c r="L1398" s="50" t="s">
        <v>80</v>
      </c>
    </row>
    <row r="1399" spans="2:12">
      <c r="B1399" s="50" t="s">
        <v>345</v>
      </c>
      <c r="C1399" s="50" t="s">
        <v>62</v>
      </c>
      <c r="D1399" s="50" t="s">
        <v>27</v>
      </c>
      <c r="E1399" s="50">
        <v>50003297</v>
      </c>
      <c r="F1399" s="50" t="s">
        <v>158</v>
      </c>
      <c r="G1399" s="50">
        <v>1</v>
      </c>
      <c r="H1399" s="50" t="s">
        <v>2</v>
      </c>
      <c r="I1399" s="50" t="s">
        <v>292</v>
      </c>
      <c r="J1399" s="51">
        <v>46070</v>
      </c>
      <c r="K1399" s="50" t="s">
        <v>1</v>
      </c>
      <c r="L1399" s="50" t="s">
        <v>80</v>
      </c>
    </row>
    <row r="1400" spans="2:12">
      <c r="B1400" s="50" t="s">
        <v>409</v>
      </c>
      <c r="C1400" s="50" t="s">
        <v>51</v>
      </c>
      <c r="D1400" s="50" t="s">
        <v>27</v>
      </c>
      <c r="E1400" s="50">
        <v>50046617</v>
      </c>
      <c r="F1400" s="50" t="s">
        <v>365</v>
      </c>
      <c r="G1400" s="50">
        <v>1</v>
      </c>
      <c r="H1400" s="50" t="s">
        <v>2</v>
      </c>
      <c r="I1400" s="50" t="s">
        <v>292</v>
      </c>
      <c r="J1400" s="51">
        <v>46070</v>
      </c>
      <c r="K1400" s="50" t="s">
        <v>3</v>
      </c>
      <c r="L1400" s="50" t="s">
        <v>80</v>
      </c>
    </row>
    <row r="1401" spans="2:12">
      <c r="B1401" s="50" t="s">
        <v>25</v>
      </c>
      <c r="C1401" s="50" t="s">
        <v>26</v>
      </c>
      <c r="D1401" s="50" t="s">
        <v>27</v>
      </c>
      <c r="E1401" s="50">
        <v>50046617</v>
      </c>
      <c r="F1401" s="50" t="s">
        <v>365</v>
      </c>
      <c r="G1401" s="50">
        <v>1</v>
      </c>
      <c r="H1401" s="50" t="s">
        <v>2</v>
      </c>
      <c r="I1401" s="50" t="s">
        <v>292</v>
      </c>
      <c r="J1401" s="51">
        <v>46070</v>
      </c>
      <c r="K1401" s="50" t="s">
        <v>1</v>
      </c>
      <c r="L1401" s="50" t="s">
        <v>80</v>
      </c>
    </row>
    <row r="1402" spans="2:12">
      <c r="B1402" s="50" t="s">
        <v>409</v>
      </c>
      <c r="C1402" s="50" t="s">
        <v>51</v>
      </c>
      <c r="D1402" s="50" t="s">
        <v>27</v>
      </c>
      <c r="E1402" s="50">
        <v>50003297</v>
      </c>
      <c r="F1402" s="50" t="s">
        <v>158</v>
      </c>
      <c r="G1402" s="50">
        <v>1</v>
      </c>
      <c r="H1402" s="50" t="s">
        <v>2</v>
      </c>
      <c r="I1402" s="50" t="s">
        <v>292</v>
      </c>
      <c r="J1402" s="51">
        <v>46070</v>
      </c>
      <c r="K1402" s="50" t="s">
        <v>3</v>
      </c>
      <c r="L1402" s="50" t="s">
        <v>80</v>
      </c>
    </row>
    <row r="1403" spans="2:12">
      <c r="B1403" s="50" t="s">
        <v>25</v>
      </c>
      <c r="C1403" s="50" t="s">
        <v>26</v>
      </c>
      <c r="D1403" s="50" t="s">
        <v>27</v>
      </c>
      <c r="E1403" s="50">
        <v>50046617</v>
      </c>
      <c r="F1403" s="50" t="s">
        <v>365</v>
      </c>
      <c r="G1403" s="50">
        <v>1</v>
      </c>
      <c r="H1403" s="50" t="s">
        <v>2</v>
      </c>
      <c r="I1403" s="50" t="s">
        <v>290</v>
      </c>
      <c r="J1403" s="51">
        <v>46070</v>
      </c>
      <c r="K1403" s="50" t="s">
        <v>3</v>
      </c>
      <c r="L1403" s="50" t="s">
        <v>80</v>
      </c>
    </row>
    <row r="1404" spans="2:12">
      <c r="B1404" s="50" t="s">
        <v>427</v>
      </c>
      <c r="C1404" s="50" t="s">
        <v>26</v>
      </c>
      <c r="D1404" s="50" t="s">
        <v>27</v>
      </c>
      <c r="E1404" s="50">
        <v>50036297</v>
      </c>
      <c r="F1404" s="50" t="s">
        <v>189</v>
      </c>
      <c r="G1404" s="50">
        <v>1</v>
      </c>
      <c r="H1404" s="50" t="s">
        <v>2</v>
      </c>
      <c r="I1404" s="50" t="s">
        <v>290</v>
      </c>
      <c r="J1404" s="51">
        <v>46070</v>
      </c>
      <c r="K1404" s="50" t="s">
        <v>3</v>
      </c>
      <c r="L1404" s="50" t="s">
        <v>80</v>
      </c>
    </row>
    <row r="1405" spans="2:12">
      <c r="B1405" s="50" t="s">
        <v>345</v>
      </c>
      <c r="C1405" s="50" t="s">
        <v>62</v>
      </c>
      <c r="D1405" s="50" t="s">
        <v>27</v>
      </c>
      <c r="E1405" s="50">
        <v>50028220</v>
      </c>
      <c r="F1405" s="50" t="s">
        <v>242</v>
      </c>
      <c r="G1405" s="50">
        <v>1</v>
      </c>
      <c r="H1405" s="50" t="s">
        <v>2</v>
      </c>
      <c r="I1405" s="50" t="s">
        <v>290</v>
      </c>
      <c r="J1405" s="51">
        <v>46070</v>
      </c>
      <c r="K1405" s="50" t="s">
        <v>3</v>
      </c>
      <c r="L1405" s="50" t="s">
        <v>80</v>
      </c>
    </row>
    <row r="1406" spans="2:12">
      <c r="B1406" s="50" t="s">
        <v>411</v>
      </c>
      <c r="C1406" s="50" t="s">
        <v>26</v>
      </c>
      <c r="D1406" s="50" t="s">
        <v>27</v>
      </c>
      <c r="E1406" s="50">
        <v>50036086</v>
      </c>
      <c r="F1406" s="50" t="s">
        <v>28</v>
      </c>
      <c r="G1406" s="50">
        <v>1</v>
      </c>
      <c r="H1406" s="50" t="s">
        <v>2</v>
      </c>
      <c r="I1406" s="50" t="s">
        <v>290</v>
      </c>
      <c r="J1406" s="51">
        <v>46070</v>
      </c>
      <c r="K1406" s="50" t="s">
        <v>1</v>
      </c>
      <c r="L1406" s="50" t="s">
        <v>80</v>
      </c>
    </row>
    <row r="1407" spans="2:12">
      <c r="B1407" s="50" t="s">
        <v>385</v>
      </c>
      <c r="C1407" s="50" t="s">
        <v>56</v>
      </c>
      <c r="D1407" s="50" t="s">
        <v>41</v>
      </c>
      <c r="E1407" s="50">
        <v>50036298</v>
      </c>
      <c r="F1407" s="50" t="s">
        <v>102</v>
      </c>
      <c r="G1407" s="50">
        <v>1</v>
      </c>
      <c r="H1407" s="50" t="s">
        <v>2</v>
      </c>
      <c r="I1407" s="50" t="s">
        <v>290</v>
      </c>
      <c r="J1407" s="51">
        <v>46070</v>
      </c>
      <c r="K1407" s="50" t="s">
        <v>3</v>
      </c>
      <c r="L1407" s="50" t="s">
        <v>80</v>
      </c>
    </row>
    <row r="1408" spans="2:12">
      <c r="B1408" s="50" t="s">
        <v>463</v>
      </c>
      <c r="C1408" s="50" t="s">
        <v>356</v>
      </c>
      <c r="D1408" s="50" t="s">
        <v>27</v>
      </c>
      <c r="E1408" s="50">
        <v>50037905</v>
      </c>
      <c r="F1408" s="50" t="s">
        <v>150</v>
      </c>
      <c r="G1408" s="50">
        <v>1</v>
      </c>
      <c r="H1408" s="50" t="s">
        <v>2</v>
      </c>
      <c r="I1408" s="50" t="s">
        <v>290</v>
      </c>
      <c r="J1408" s="51">
        <v>46070</v>
      </c>
      <c r="K1408" s="50" t="s">
        <v>3</v>
      </c>
      <c r="L1408" s="50" t="s">
        <v>80</v>
      </c>
    </row>
    <row r="1409" spans="2:12">
      <c r="B1409" s="50" t="s">
        <v>399</v>
      </c>
      <c r="C1409" s="50" t="s">
        <v>51</v>
      </c>
      <c r="D1409" s="50" t="s">
        <v>27</v>
      </c>
      <c r="E1409" s="50">
        <v>50022878</v>
      </c>
      <c r="F1409" s="50" t="s">
        <v>296</v>
      </c>
      <c r="G1409" s="50">
        <v>1</v>
      </c>
      <c r="H1409" s="50" t="s">
        <v>2</v>
      </c>
      <c r="I1409" s="50" t="s">
        <v>290</v>
      </c>
      <c r="J1409" s="51">
        <v>46070</v>
      </c>
      <c r="K1409" s="50" t="s">
        <v>1</v>
      </c>
      <c r="L1409" s="50" t="s">
        <v>80</v>
      </c>
    </row>
    <row r="1410" spans="2:12">
      <c r="B1410" s="50" t="s">
        <v>363</v>
      </c>
      <c r="C1410" s="50" t="s">
        <v>26</v>
      </c>
      <c r="D1410" s="50" t="s">
        <v>41</v>
      </c>
      <c r="E1410" s="50">
        <v>50036297</v>
      </c>
      <c r="F1410" s="50" t="s">
        <v>189</v>
      </c>
      <c r="G1410" s="50">
        <v>1</v>
      </c>
      <c r="H1410" s="50" t="s">
        <v>2</v>
      </c>
      <c r="I1410" s="50" t="s">
        <v>290</v>
      </c>
      <c r="J1410" s="51">
        <v>46070</v>
      </c>
      <c r="K1410" s="50" t="s">
        <v>1</v>
      </c>
      <c r="L1410" s="50" t="s">
        <v>80</v>
      </c>
    </row>
    <row r="1411" spans="2:12">
      <c r="B1411" s="50" t="s">
        <v>363</v>
      </c>
      <c r="C1411" s="50" t="s">
        <v>26</v>
      </c>
      <c r="D1411" s="50" t="s">
        <v>41</v>
      </c>
      <c r="E1411" s="50">
        <v>50010031</v>
      </c>
      <c r="F1411" s="50" t="s">
        <v>89</v>
      </c>
      <c r="G1411" s="50">
        <v>1</v>
      </c>
      <c r="H1411" s="50" t="s">
        <v>2</v>
      </c>
      <c r="I1411" s="50" t="s">
        <v>290</v>
      </c>
      <c r="J1411" s="51">
        <v>46070</v>
      </c>
      <c r="K1411" s="50" t="s">
        <v>1</v>
      </c>
      <c r="L1411" s="50" t="s">
        <v>80</v>
      </c>
    </row>
    <row r="1412" spans="2:12">
      <c r="B1412" s="50" t="s">
        <v>270</v>
      </c>
      <c r="C1412" s="50" t="s">
        <v>51</v>
      </c>
      <c r="D1412" s="50" t="s">
        <v>27</v>
      </c>
      <c r="E1412" s="50">
        <v>50036086</v>
      </c>
      <c r="F1412" s="50" t="s">
        <v>28</v>
      </c>
      <c r="G1412" s="50">
        <v>1</v>
      </c>
      <c r="H1412" s="50" t="s">
        <v>2</v>
      </c>
      <c r="I1412" s="50" t="s">
        <v>290</v>
      </c>
      <c r="J1412" s="51">
        <v>46070</v>
      </c>
      <c r="K1412" s="50" t="s">
        <v>3</v>
      </c>
      <c r="L1412" s="50" t="s">
        <v>80</v>
      </c>
    </row>
    <row r="1413" spans="2:12">
      <c r="B1413" s="50" t="s">
        <v>345</v>
      </c>
      <c r="C1413" s="50" t="s">
        <v>62</v>
      </c>
      <c r="D1413" s="50" t="s">
        <v>27</v>
      </c>
      <c r="E1413" s="50">
        <v>50003297</v>
      </c>
      <c r="F1413" s="50" t="s">
        <v>158</v>
      </c>
      <c r="G1413" s="50">
        <v>1</v>
      </c>
      <c r="H1413" s="50" t="s">
        <v>2</v>
      </c>
      <c r="I1413" s="50" t="s">
        <v>290</v>
      </c>
      <c r="J1413" s="51">
        <v>46070</v>
      </c>
      <c r="K1413" s="50" t="s">
        <v>3</v>
      </c>
      <c r="L1413" s="50" t="s">
        <v>80</v>
      </c>
    </row>
    <row r="1414" spans="2:12">
      <c r="B1414" s="50" t="s">
        <v>345</v>
      </c>
      <c r="C1414" s="50" t="s">
        <v>62</v>
      </c>
      <c r="D1414" s="50" t="s">
        <v>27</v>
      </c>
      <c r="E1414" s="50">
        <v>50037892</v>
      </c>
      <c r="F1414" s="50" t="s">
        <v>178</v>
      </c>
      <c r="G1414" s="50">
        <v>1</v>
      </c>
      <c r="H1414" s="50" t="s">
        <v>2</v>
      </c>
      <c r="I1414" s="50" t="s">
        <v>290</v>
      </c>
      <c r="J1414" s="51">
        <v>46070</v>
      </c>
      <c r="K1414" s="50" t="s">
        <v>3</v>
      </c>
      <c r="L1414" s="50" t="s">
        <v>80</v>
      </c>
    </row>
    <row r="1415" spans="2:12">
      <c r="B1415" s="50" t="s">
        <v>345</v>
      </c>
      <c r="C1415" s="50" t="s">
        <v>62</v>
      </c>
      <c r="D1415" s="50" t="s">
        <v>27</v>
      </c>
      <c r="E1415" s="50">
        <v>50020623</v>
      </c>
      <c r="F1415" s="50" t="s">
        <v>217</v>
      </c>
      <c r="G1415" s="50">
        <v>1</v>
      </c>
      <c r="H1415" s="50" t="s">
        <v>2</v>
      </c>
      <c r="I1415" s="50" t="s">
        <v>290</v>
      </c>
      <c r="J1415" s="51">
        <v>46070</v>
      </c>
      <c r="K1415" s="50" t="s">
        <v>3</v>
      </c>
      <c r="L1415" s="50" t="s">
        <v>80</v>
      </c>
    </row>
    <row r="1416" spans="2:12">
      <c r="B1416" s="50" t="s">
        <v>363</v>
      </c>
      <c r="C1416" s="50" t="s">
        <v>26</v>
      </c>
      <c r="D1416" s="50" t="s">
        <v>41</v>
      </c>
      <c r="E1416" s="50">
        <v>50010031</v>
      </c>
      <c r="F1416" s="50" t="s">
        <v>89</v>
      </c>
      <c r="G1416" s="50">
        <v>1</v>
      </c>
      <c r="H1416" s="50" t="s">
        <v>2</v>
      </c>
      <c r="I1416" s="50" t="s">
        <v>290</v>
      </c>
      <c r="J1416" s="51">
        <v>46070</v>
      </c>
      <c r="K1416" s="50" t="s">
        <v>3</v>
      </c>
      <c r="L1416" s="50" t="s">
        <v>80</v>
      </c>
    </row>
    <row r="1417" spans="2:12">
      <c r="B1417" s="50" t="s">
        <v>411</v>
      </c>
      <c r="C1417" s="50" t="s">
        <v>26</v>
      </c>
      <c r="D1417" s="50" t="s">
        <v>27</v>
      </c>
      <c r="E1417" s="50">
        <v>50036086</v>
      </c>
      <c r="F1417" s="50" t="s">
        <v>28</v>
      </c>
      <c r="G1417" s="50">
        <v>1</v>
      </c>
      <c r="H1417" s="50" t="s">
        <v>2</v>
      </c>
      <c r="I1417" s="50" t="s">
        <v>290</v>
      </c>
      <c r="J1417" s="51">
        <v>46070</v>
      </c>
      <c r="K1417" s="50" t="s">
        <v>3</v>
      </c>
      <c r="L1417" s="50" t="s">
        <v>80</v>
      </c>
    </row>
    <row r="1418" spans="2:12">
      <c r="B1418" s="50" t="s">
        <v>399</v>
      </c>
      <c r="C1418" s="50" t="s">
        <v>51</v>
      </c>
      <c r="D1418" s="50" t="s">
        <v>27</v>
      </c>
      <c r="E1418" s="50">
        <v>50022878</v>
      </c>
      <c r="F1418" s="50" t="s">
        <v>296</v>
      </c>
      <c r="G1418" s="50">
        <v>1</v>
      </c>
      <c r="H1418" s="50" t="s">
        <v>2</v>
      </c>
      <c r="I1418" s="50" t="s">
        <v>290</v>
      </c>
      <c r="J1418" s="51">
        <v>46070</v>
      </c>
      <c r="K1418" s="50" t="s">
        <v>3</v>
      </c>
      <c r="L1418" s="50" t="s">
        <v>80</v>
      </c>
    </row>
    <row r="1419" spans="2:12">
      <c r="B1419" s="50" t="s">
        <v>363</v>
      </c>
      <c r="C1419" s="50" t="s">
        <v>26</v>
      </c>
      <c r="D1419" s="50" t="s">
        <v>41</v>
      </c>
      <c r="E1419" s="50">
        <v>50036297</v>
      </c>
      <c r="F1419" s="50" t="s">
        <v>189</v>
      </c>
      <c r="G1419" s="50">
        <v>1</v>
      </c>
      <c r="H1419" s="50" t="s">
        <v>2</v>
      </c>
      <c r="I1419" s="50" t="s">
        <v>290</v>
      </c>
      <c r="J1419" s="51">
        <v>46070</v>
      </c>
      <c r="K1419" s="50" t="s">
        <v>3</v>
      </c>
      <c r="L1419" s="50" t="s">
        <v>80</v>
      </c>
    </row>
    <row r="1420" spans="2:12">
      <c r="B1420" s="50" t="s">
        <v>278</v>
      </c>
      <c r="C1420" s="50" t="s">
        <v>62</v>
      </c>
      <c r="D1420" s="50" t="s">
        <v>27</v>
      </c>
      <c r="E1420" s="50">
        <v>50041195</v>
      </c>
      <c r="F1420" s="50" t="s">
        <v>206</v>
      </c>
      <c r="G1420" s="50">
        <v>1</v>
      </c>
      <c r="H1420" s="50" t="s">
        <v>2</v>
      </c>
      <c r="I1420" s="50" t="s">
        <v>290</v>
      </c>
      <c r="J1420" s="51">
        <v>46070</v>
      </c>
      <c r="K1420" s="50" t="s">
        <v>3</v>
      </c>
      <c r="L1420" s="50" t="s">
        <v>80</v>
      </c>
    </row>
    <row r="1421" spans="2:12">
      <c r="B1421" s="50" t="s">
        <v>399</v>
      </c>
      <c r="C1421" s="50" t="s">
        <v>51</v>
      </c>
      <c r="D1421" s="50" t="s">
        <v>27</v>
      </c>
      <c r="E1421" s="50">
        <v>50036332</v>
      </c>
      <c r="F1421" s="50" t="s">
        <v>188</v>
      </c>
      <c r="G1421" s="50">
        <v>1</v>
      </c>
      <c r="H1421" s="50" t="s">
        <v>2</v>
      </c>
      <c r="I1421" s="50" t="s">
        <v>293</v>
      </c>
      <c r="J1421" s="51">
        <v>46069</v>
      </c>
      <c r="K1421" s="50" t="s">
        <v>1</v>
      </c>
      <c r="L1421" s="50" t="s">
        <v>80</v>
      </c>
    </row>
    <row r="1422" spans="2:12">
      <c r="B1422" s="50" t="s">
        <v>345</v>
      </c>
      <c r="C1422" s="50" t="s">
        <v>62</v>
      </c>
      <c r="D1422" s="50" t="s">
        <v>27</v>
      </c>
      <c r="E1422" s="50">
        <v>50041195</v>
      </c>
      <c r="F1422" s="50" t="s">
        <v>206</v>
      </c>
      <c r="G1422" s="50">
        <v>1</v>
      </c>
      <c r="H1422" s="50" t="s">
        <v>2</v>
      </c>
      <c r="I1422" s="50" t="s">
        <v>293</v>
      </c>
      <c r="J1422" s="51">
        <v>46069</v>
      </c>
      <c r="K1422" s="50" t="s">
        <v>1</v>
      </c>
      <c r="L1422" s="50" t="s">
        <v>80</v>
      </c>
    </row>
    <row r="1423" spans="2:12">
      <c r="B1423" s="50" t="s">
        <v>270</v>
      </c>
      <c r="C1423" s="50" t="s">
        <v>51</v>
      </c>
      <c r="D1423" s="50" t="s">
        <v>27</v>
      </c>
      <c r="E1423" s="50">
        <v>50032781</v>
      </c>
      <c r="F1423" s="50" t="s">
        <v>237</v>
      </c>
      <c r="G1423" s="50">
        <v>1</v>
      </c>
      <c r="H1423" s="50" t="s">
        <v>2</v>
      </c>
      <c r="I1423" s="50" t="s">
        <v>293</v>
      </c>
      <c r="J1423" s="51">
        <v>46069</v>
      </c>
      <c r="K1423" s="50" t="s">
        <v>1</v>
      </c>
      <c r="L1423" s="50" t="s">
        <v>80</v>
      </c>
    </row>
    <row r="1424" spans="2:12">
      <c r="B1424" s="50" t="s">
        <v>270</v>
      </c>
      <c r="C1424" s="50" t="s">
        <v>51</v>
      </c>
      <c r="D1424" s="50" t="s">
        <v>27</v>
      </c>
      <c r="E1424" s="50">
        <v>50010031</v>
      </c>
      <c r="F1424" s="50" t="s">
        <v>89</v>
      </c>
      <c r="G1424" s="50">
        <v>1</v>
      </c>
      <c r="H1424" s="50" t="s">
        <v>2</v>
      </c>
      <c r="I1424" s="50" t="s">
        <v>293</v>
      </c>
      <c r="J1424" s="51">
        <v>46069</v>
      </c>
      <c r="K1424" s="50" t="s">
        <v>1</v>
      </c>
      <c r="L1424" s="50" t="s">
        <v>80</v>
      </c>
    </row>
    <row r="1425" spans="2:12">
      <c r="B1425" s="50" t="s">
        <v>363</v>
      </c>
      <c r="C1425" s="50" t="s">
        <v>26</v>
      </c>
      <c r="D1425" s="50" t="s">
        <v>41</v>
      </c>
      <c r="E1425" s="50">
        <v>50003297</v>
      </c>
      <c r="F1425" s="50" t="s">
        <v>158</v>
      </c>
      <c r="G1425" s="50">
        <v>1</v>
      </c>
      <c r="H1425" s="50" t="s">
        <v>2</v>
      </c>
      <c r="I1425" s="50" t="s">
        <v>293</v>
      </c>
      <c r="J1425" s="51">
        <v>46069</v>
      </c>
      <c r="K1425" s="50" t="s">
        <v>3</v>
      </c>
      <c r="L1425" s="50" t="s">
        <v>80</v>
      </c>
    </row>
    <row r="1426" spans="2:12">
      <c r="B1426" s="50" t="s">
        <v>402</v>
      </c>
      <c r="C1426" s="50" t="s">
        <v>56</v>
      </c>
      <c r="D1426" s="50" t="s">
        <v>39</v>
      </c>
      <c r="E1426" s="50">
        <v>50043471</v>
      </c>
      <c r="F1426" s="50" t="s">
        <v>257</v>
      </c>
      <c r="G1426" s="50">
        <v>1</v>
      </c>
      <c r="H1426" s="50" t="s">
        <v>2</v>
      </c>
      <c r="I1426" s="50" t="s">
        <v>293</v>
      </c>
      <c r="J1426" s="51">
        <v>46069</v>
      </c>
      <c r="K1426" s="50" t="s">
        <v>1</v>
      </c>
      <c r="L1426" s="50" t="s">
        <v>80</v>
      </c>
    </row>
    <row r="1427" spans="2:12">
      <c r="B1427" s="50" t="s">
        <v>402</v>
      </c>
      <c r="C1427" s="50" t="s">
        <v>56</v>
      </c>
      <c r="D1427" s="50" t="s">
        <v>39</v>
      </c>
      <c r="E1427" s="50">
        <v>50004486</v>
      </c>
      <c r="F1427" s="50" t="s">
        <v>221</v>
      </c>
      <c r="G1427" s="50">
        <v>1</v>
      </c>
      <c r="H1427" s="50" t="s">
        <v>2</v>
      </c>
      <c r="I1427" s="50" t="s">
        <v>293</v>
      </c>
      <c r="J1427" s="51">
        <v>46069</v>
      </c>
      <c r="K1427" s="50" t="s">
        <v>1</v>
      </c>
      <c r="L1427" s="50" t="s">
        <v>80</v>
      </c>
    </row>
    <row r="1428" spans="2:12">
      <c r="B1428" s="50" t="s">
        <v>402</v>
      </c>
      <c r="C1428" s="50" t="s">
        <v>56</v>
      </c>
      <c r="D1428" s="50" t="s">
        <v>39</v>
      </c>
      <c r="E1428" s="50">
        <v>50036299</v>
      </c>
      <c r="F1428" s="50" t="s">
        <v>163</v>
      </c>
      <c r="G1428" s="50">
        <v>1</v>
      </c>
      <c r="H1428" s="50" t="s">
        <v>2</v>
      </c>
      <c r="I1428" s="50" t="s">
        <v>293</v>
      </c>
      <c r="J1428" s="51">
        <v>46069</v>
      </c>
      <c r="K1428" s="50" t="s">
        <v>1</v>
      </c>
      <c r="L1428" s="50" t="s">
        <v>80</v>
      </c>
    </row>
    <row r="1429" spans="2:12">
      <c r="B1429" s="50" t="s">
        <v>270</v>
      </c>
      <c r="C1429" s="50" t="s">
        <v>51</v>
      </c>
      <c r="D1429" s="50" t="s">
        <v>27</v>
      </c>
      <c r="E1429" s="50">
        <v>50003297</v>
      </c>
      <c r="F1429" s="50" t="s">
        <v>158</v>
      </c>
      <c r="G1429" s="50">
        <v>1</v>
      </c>
      <c r="H1429" s="50" t="s">
        <v>2</v>
      </c>
      <c r="I1429" s="50" t="s">
        <v>293</v>
      </c>
      <c r="J1429" s="51">
        <v>46069</v>
      </c>
      <c r="K1429" s="50" t="s">
        <v>1</v>
      </c>
      <c r="L1429" s="50" t="s">
        <v>80</v>
      </c>
    </row>
    <row r="1430" spans="2:12">
      <c r="B1430" s="50" t="s">
        <v>402</v>
      </c>
      <c r="C1430" s="50" t="s">
        <v>56</v>
      </c>
      <c r="D1430" s="50" t="s">
        <v>39</v>
      </c>
      <c r="E1430" s="50">
        <v>50043471</v>
      </c>
      <c r="F1430" s="50" t="s">
        <v>257</v>
      </c>
      <c r="G1430" s="50">
        <v>1</v>
      </c>
      <c r="H1430" s="50" t="s">
        <v>2</v>
      </c>
      <c r="I1430" s="50" t="s">
        <v>293</v>
      </c>
      <c r="J1430" s="51">
        <v>46069</v>
      </c>
      <c r="K1430" s="50" t="s">
        <v>3</v>
      </c>
      <c r="L1430" s="50" t="s">
        <v>80</v>
      </c>
    </row>
    <row r="1431" spans="2:12">
      <c r="B1431" s="50" t="s">
        <v>402</v>
      </c>
      <c r="C1431" s="50" t="s">
        <v>56</v>
      </c>
      <c r="D1431" s="50" t="s">
        <v>39</v>
      </c>
      <c r="E1431" s="50">
        <v>50036299</v>
      </c>
      <c r="F1431" s="50" t="s">
        <v>163</v>
      </c>
      <c r="G1431" s="50">
        <v>1</v>
      </c>
      <c r="H1431" s="50" t="s">
        <v>2</v>
      </c>
      <c r="I1431" s="50" t="s">
        <v>293</v>
      </c>
      <c r="J1431" s="51">
        <v>46069</v>
      </c>
      <c r="K1431" s="50" t="s">
        <v>3</v>
      </c>
      <c r="L1431" s="50" t="s">
        <v>80</v>
      </c>
    </row>
    <row r="1432" spans="2:12">
      <c r="B1432" s="50" t="s">
        <v>402</v>
      </c>
      <c r="C1432" s="50" t="s">
        <v>56</v>
      </c>
      <c r="D1432" s="50" t="s">
        <v>39</v>
      </c>
      <c r="E1432" s="50">
        <v>50004486</v>
      </c>
      <c r="F1432" s="50" t="s">
        <v>221</v>
      </c>
      <c r="G1432" s="50">
        <v>1</v>
      </c>
      <c r="H1432" s="50" t="s">
        <v>2</v>
      </c>
      <c r="I1432" s="50" t="s">
        <v>293</v>
      </c>
      <c r="J1432" s="51">
        <v>46069</v>
      </c>
      <c r="K1432" s="50" t="s">
        <v>3</v>
      </c>
      <c r="L1432" s="50" t="s">
        <v>80</v>
      </c>
    </row>
    <row r="1433" spans="2:12">
      <c r="B1433" s="50" t="s">
        <v>270</v>
      </c>
      <c r="C1433" s="50" t="s">
        <v>51</v>
      </c>
      <c r="D1433" s="50" t="s">
        <v>27</v>
      </c>
      <c r="E1433" s="50">
        <v>50003297</v>
      </c>
      <c r="F1433" s="50" t="s">
        <v>158</v>
      </c>
      <c r="G1433" s="50">
        <v>1</v>
      </c>
      <c r="H1433" s="50" t="s">
        <v>2</v>
      </c>
      <c r="I1433" s="50" t="s">
        <v>293</v>
      </c>
      <c r="J1433" s="51">
        <v>46069</v>
      </c>
      <c r="K1433" s="50" t="s">
        <v>3</v>
      </c>
      <c r="L1433" s="50" t="s">
        <v>80</v>
      </c>
    </row>
    <row r="1434" spans="2:12">
      <c r="B1434" s="50" t="s">
        <v>422</v>
      </c>
      <c r="C1434" s="50" t="s">
        <v>26</v>
      </c>
      <c r="D1434" s="50" t="s">
        <v>27</v>
      </c>
      <c r="E1434" s="50">
        <v>50037905</v>
      </c>
      <c r="F1434" s="50" t="s">
        <v>150</v>
      </c>
      <c r="G1434" s="50">
        <v>1</v>
      </c>
      <c r="H1434" s="50" t="s">
        <v>2</v>
      </c>
      <c r="I1434" s="50" t="s">
        <v>293</v>
      </c>
      <c r="J1434" s="51">
        <v>46069</v>
      </c>
      <c r="K1434" s="50" t="s">
        <v>1</v>
      </c>
      <c r="L1434" s="50" t="s">
        <v>80</v>
      </c>
    </row>
    <row r="1435" spans="2:12">
      <c r="B1435" s="50" t="s">
        <v>469</v>
      </c>
      <c r="C1435" s="50" t="s">
        <v>26</v>
      </c>
      <c r="D1435" s="50" t="s">
        <v>39</v>
      </c>
      <c r="E1435" s="50">
        <v>50037905</v>
      </c>
      <c r="F1435" s="50" t="s">
        <v>150</v>
      </c>
      <c r="G1435" s="50">
        <v>1</v>
      </c>
      <c r="H1435" s="50" t="s">
        <v>2</v>
      </c>
      <c r="I1435" s="50" t="s">
        <v>293</v>
      </c>
      <c r="J1435" s="51">
        <v>46069</v>
      </c>
      <c r="K1435" s="50" t="s">
        <v>3</v>
      </c>
      <c r="L1435" s="50" t="s">
        <v>80</v>
      </c>
    </row>
    <row r="1436" spans="2:12">
      <c r="B1436" s="50" t="s">
        <v>418</v>
      </c>
      <c r="C1436" s="50" t="s">
        <v>26</v>
      </c>
      <c r="D1436" s="50" t="s">
        <v>27</v>
      </c>
      <c r="E1436" s="50">
        <v>50022878</v>
      </c>
      <c r="F1436" s="50" t="s">
        <v>296</v>
      </c>
      <c r="G1436" s="50">
        <v>1</v>
      </c>
      <c r="H1436" s="50" t="s">
        <v>2</v>
      </c>
      <c r="I1436" s="50" t="s">
        <v>293</v>
      </c>
      <c r="J1436" s="51">
        <v>46069</v>
      </c>
      <c r="K1436" s="50" t="s">
        <v>1</v>
      </c>
      <c r="L1436" s="50" t="s">
        <v>80</v>
      </c>
    </row>
    <row r="1437" spans="2:12">
      <c r="B1437" s="50" t="s">
        <v>345</v>
      </c>
      <c r="C1437" s="50" t="s">
        <v>62</v>
      </c>
      <c r="D1437" s="50" t="s">
        <v>27</v>
      </c>
      <c r="E1437" s="50">
        <v>50041195</v>
      </c>
      <c r="F1437" s="50" t="s">
        <v>206</v>
      </c>
      <c r="G1437" s="50">
        <v>1</v>
      </c>
      <c r="H1437" s="50" t="s">
        <v>2</v>
      </c>
      <c r="I1437" s="50" t="s">
        <v>293</v>
      </c>
      <c r="J1437" s="51">
        <v>46069</v>
      </c>
      <c r="K1437" s="50" t="s">
        <v>3</v>
      </c>
      <c r="L1437" s="50" t="s">
        <v>80</v>
      </c>
    </row>
    <row r="1438" spans="2:12">
      <c r="B1438" s="50" t="s">
        <v>277</v>
      </c>
      <c r="C1438" s="50" t="s">
        <v>62</v>
      </c>
      <c r="D1438" s="50" t="s">
        <v>27</v>
      </c>
      <c r="E1438" s="50">
        <v>50038841</v>
      </c>
      <c r="F1438" s="50" t="s">
        <v>180</v>
      </c>
      <c r="G1438" s="50">
        <v>1</v>
      </c>
      <c r="H1438" s="50" t="s">
        <v>2</v>
      </c>
      <c r="I1438" s="50" t="s">
        <v>293</v>
      </c>
      <c r="J1438" s="51">
        <v>46069</v>
      </c>
      <c r="K1438" s="50" t="s">
        <v>3</v>
      </c>
      <c r="L1438" s="50" t="s">
        <v>80</v>
      </c>
    </row>
    <row r="1439" spans="2:12">
      <c r="B1439" s="50" t="s">
        <v>270</v>
      </c>
      <c r="C1439" s="50" t="s">
        <v>51</v>
      </c>
      <c r="D1439" s="50" t="s">
        <v>27</v>
      </c>
      <c r="E1439" s="50">
        <v>50032781</v>
      </c>
      <c r="F1439" s="50" t="s">
        <v>237</v>
      </c>
      <c r="G1439" s="50">
        <v>1</v>
      </c>
      <c r="H1439" s="50" t="s">
        <v>2</v>
      </c>
      <c r="I1439" s="50" t="s">
        <v>291</v>
      </c>
      <c r="J1439" s="51">
        <v>46069</v>
      </c>
      <c r="K1439" s="50" t="s">
        <v>3</v>
      </c>
      <c r="L1439" s="50" t="s">
        <v>80</v>
      </c>
    </row>
    <row r="1440" spans="2:12">
      <c r="B1440" s="50" t="s">
        <v>418</v>
      </c>
      <c r="C1440" s="50" t="s">
        <v>26</v>
      </c>
      <c r="D1440" s="50" t="s">
        <v>27</v>
      </c>
      <c r="E1440" s="50">
        <v>50022878</v>
      </c>
      <c r="F1440" s="50" t="s">
        <v>296</v>
      </c>
      <c r="G1440" s="50">
        <v>1</v>
      </c>
      <c r="H1440" s="50" t="s">
        <v>2</v>
      </c>
      <c r="I1440" s="50" t="s">
        <v>291</v>
      </c>
      <c r="J1440" s="51">
        <v>46069</v>
      </c>
      <c r="K1440" s="50" t="s">
        <v>3</v>
      </c>
      <c r="L1440" s="50" t="s">
        <v>80</v>
      </c>
    </row>
    <row r="1441" spans="2:12">
      <c r="B1441" s="50" t="s">
        <v>402</v>
      </c>
      <c r="C1441" s="50" t="s">
        <v>56</v>
      </c>
      <c r="D1441" s="50" t="s">
        <v>39</v>
      </c>
      <c r="E1441" s="50">
        <v>50038517</v>
      </c>
      <c r="F1441" s="50" t="s">
        <v>181</v>
      </c>
      <c r="G1441" s="50">
        <v>1</v>
      </c>
      <c r="H1441" s="50" t="s">
        <v>2</v>
      </c>
      <c r="I1441" s="50" t="s">
        <v>291</v>
      </c>
      <c r="J1441" s="51">
        <v>46069</v>
      </c>
      <c r="K1441" s="50" t="s">
        <v>1</v>
      </c>
      <c r="L1441" s="50" t="s">
        <v>80</v>
      </c>
    </row>
    <row r="1442" spans="2:12">
      <c r="B1442" s="50" t="s">
        <v>386</v>
      </c>
      <c r="C1442" s="50" t="s">
        <v>62</v>
      </c>
      <c r="D1442" s="50" t="s">
        <v>27</v>
      </c>
      <c r="E1442" s="50">
        <v>50038842</v>
      </c>
      <c r="F1442" s="50" t="s">
        <v>133</v>
      </c>
      <c r="G1442" s="50">
        <v>1</v>
      </c>
      <c r="H1442" s="50" t="s">
        <v>2</v>
      </c>
      <c r="I1442" s="50" t="s">
        <v>291</v>
      </c>
      <c r="J1442" s="51">
        <v>46069</v>
      </c>
      <c r="K1442" s="50" t="s">
        <v>1</v>
      </c>
      <c r="L1442" s="50" t="s">
        <v>80</v>
      </c>
    </row>
    <row r="1443" spans="2:12">
      <c r="B1443" s="50" t="s">
        <v>386</v>
      </c>
      <c r="C1443" s="50" t="s">
        <v>62</v>
      </c>
      <c r="D1443" s="50" t="s">
        <v>27</v>
      </c>
      <c r="E1443" s="50">
        <v>50038842</v>
      </c>
      <c r="F1443" s="50" t="s">
        <v>133</v>
      </c>
      <c r="G1443" s="50">
        <v>1</v>
      </c>
      <c r="H1443" s="50" t="s">
        <v>2</v>
      </c>
      <c r="I1443" s="50" t="s">
        <v>291</v>
      </c>
      <c r="J1443" s="51">
        <v>46069</v>
      </c>
      <c r="K1443" s="50" t="s">
        <v>3</v>
      </c>
      <c r="L1443" s="50" t="s">
        <v>80</v>
      </c>
    </row>
    <row r="1444" spans="2:12">
      <c r="B1444" s="50" t="s">
        <v>478</v>
      </c>
      <c r="C1444" s="50" t="s">
        <v>51</v>
      </c>
      <c r="D1444" s="50" t="s">
        <v>27</v>
      </c>
      <c r="E1444" s="50">
        <v>50010031</v>
      </c>
      <c r="F1444" s="50" t="s">
        <v>89</v>
      </c>
      <c r="G1444" s="50">
        <v>1</v>
      </c>
      <c r="H1444" s="50" t="s">
        <v>2</v>
      </c>
      <c r="I1444" s="50" t="s">
        <v>291</v>
      </c>
      <c r="J1444" s="51">
        <v>46069</v>
      </c>
      <c r="K1444" s="50" t="s">
        <v>3</v>
      </c>
      <c r="L1444" s="50" t="s">
        <v>80</v>
      </c>
    </row>
    <row r="1445" spans="2:12">
      <c r="B1445" s="50" t="s">
        <v>417</v>
      </c>
      <c r="C1445" s="50" t="s">
        <v>51</v>
      </c>
      <c r="D1445" s="50" t="s">
        <v>41</v>
      </c>
      <c r="E1445" s="50">
        <v>50039065</v>
      </c>
      <c r="F1445" s="50" t="s">
        <v>186</v>
      </c>
      <c r="G1445" s="50">
        <v>1</v>
      </c>
      <c r="H1445" s="50" t="s">
        <v>2</v>
      </c>
      <c r="I1445" s="50" t="s">
        <v>291</v>
      </c>
      <c r="J1445" s="51">
        <v>46069</v>
      </c>
      <c r="K1445" s="50" t="s">
        <v>1</v>
      </c>
      <c r="L1445" s="50" t="s">
        <v>80</v>
      </c>
    </row>
    <row r="1446" spans="2:12">
      <c r="B1446" s="50" t="s">
        <v>417</v>
      </c>
      <c r="C1446" s="50" t="s">
        <v>51</v>
      </c>
      <c r="D1446" s="50" t="s">
        <v>41</v>
      </c>
      <c r="E1446" s="50">
        <v>50010031</v>
      </c>
      <c r="F1446" s="50" t="s">
        <v>89</v>
      </c>
      <c r="G1446" s="50">
        <v>1</v>
      </c>
      <c r="H1446" s="50" t="s">
        <v>2</v>
      </c>
      <c r="I1446" s="50" t="s">
        <v>291</v>
      </c>
      <c r="J1446" s="51">
        <v>46069</v>
      </c>
      <c r="K1446" s="50" t="s">
        <v>1</v>
      </c>
      <c r="L1446" s="50" t="s">
        <v>80</v>
      </c>
    </row>
    <row r="1447" spans="2:12">
      <c r="B1447" s="50" t="s">
        <v>399</v>
      </c>
      <c r="C1447" s="50" t="s">
        <v>51</v>
      </c>
      <c r="D1447" s="50" t="s">
        <v>27</v>
      </c>
      <c r="E1447" s="50">
        <v>50036332</v>
      </c>
      <c r="F1447" s="50" t="s">
        <v>188</v>
      </c>
      <c r="G1447" s="50">
        <v>1</v>
      </c>
      <c r="H1447" s="50" t="s">
        <v>2</v>
      </c>
      <c r="I1447" s="50" t="s">
        <v>291</v>
      </c>
      <c r="J1447" s="51">
        <v>46069</v>
      </c>
      <c r="K1447" s="50" t="s">
        <v>3</v>
      </c>
      <c r="L1447" s="50" t="s">
        <v>80</v>
      </c>
    </row>
    <row r="1448" spans="2:12">
      <c r="B1448" s="50" t="s">
        <v>417</v>
      </c>
      <c r="C1448" s="50" t="s">
        <v>51</v>
      </c>
      <c r="D1448" s="50" t="s">
        <v>41</v>
      </c>
      <c r="E1448" s="50">
        <v>50039065</v>
      </c>
      <c r="F1448" s="50" t="s">
        <v>186</v>
      </c>
      <c r="G1448" s="50">
        <v>1</v>
      </c>
      <c r="H1448" s="50" t="s">
        <v>2</v>
      </c>
      <c r="I1448" s="50" t="s">
        <v>291</v>
      </c>
      <c r="J1448" s="51">
        <v>46069</v>
      </c>
      <c r="K1448" s="50" t="s">
        <v>3</v>
      </c>
      <c r="L1448" s="50" t="s">
        <v>80</v>
      </c>
    </row>
    <row r="1449" spans="2:12">
      <c r="B1449" s="50" t="s">
        <v>417</v>
      </c>
      <c r="C1449" s="50" t="s">
        <v>51</v>
      </c>
      <c r="D1449" s="50" t="s">
        <v>41</v>
      </c>
      <c r="E1449" s="50">
        <v>50010031</v>
      </c>
      <c r="F1449" s="50" t="s">
        <v>89</v>
      </c>
      <c r="G1449" s="50">
        <v>1</v>
      </c>
      <c r="H1449" s="50" t="s">
        <v>2</v>
      </c>
      <c r="I1449" s="50" t="s">
        <v>291</v>
      </c>
      <c r="J1449" s="51">
        <v>46069</v>
      </c>
      <c r="K1449" s="50" t="s">
        <v>3</v>
      </c>
      <c r="L1449" s="50" t="s">
        <v>80</v>
      </c>
    </row>
    <row r="1450" spans="2:12">
      <c r="B1450" s="50" t="s">
        <v>345</v>
      </c>
      <c r="C1450" s="50" t="s">
        <v>62</v>
      </c>
      <c r="D1450" s="50" t="s">
        <v>27</v>
      </c>
      <c r="E1450" s="50">
        <v>50037892</v>
      </c>
      <c r="F1450" s="50" t="s">
        <v>178</v>
      </c>
      <c r="G1450" s="50">
        <v>1</v>
      </c>
      <c r="H1450" s="50" t="s">
        <v>2</v>
      </c>
      <c r="I1450" s="50" t="s">
        <v>291</v>
      </c>
      <c r="J1450" s="51">
        <v>46069</v>
      </c>
      <c r="K1450" s="50" t="s">
        <v>3</v>
      </c>
      <c r="L1450" s="50" t="s">
        <v>80</v>
      </c>
    </row>
    <row r="1451" spans="2:12">
      <c r="B1451" s="50" t="s">
        <v>402</v>
      </c>
      <c r="C1451" s="50" t="s">
        <v>56</v>
      </c>
      <c r="D1451" s="50" t="s">
        <v>39</v>
      </c>
      <c r="E1451" s="50">
        <v>50038517</v>
      </c>
      <c r="F1451" s="50" t="s">
        <v>181</v>
      </c>
      <c r="G1451" s="50">
        <v>1</v>
      </c>
      <c r="H1451" s="50" t="s">
        <v>2</v>
      </c>
      <c r="I1451" s="50" t="s">
        <v>291</v>
      </c>
      <c r="J1451" s="51">
        <v>46069</v>
      </c>
      <c r="K1451" s="50" t="s">
        <v>3</v>
      </c>
      <c r="L1451" s="50" t="s">
        <v>80</v>
      </c>
    </row>
    <row r="1452" spans="2:12">
      <c r="B1452" s="50" t="s">
        <v>458</v>
      </c>
      <c r="C1452" s="50" t="s">
        <v>26</v>
      </c>
      <c r="D1452" s="50" t="s">
        <v>27</v>
      </c>
      <c r="E1452" s="50">
        <v>50038549</v>
      </c>
      <c r="F1452" s="50" t="s">
        <v>173</v>
      </c>
      <c r="G1452" s="50">
        <v>1</v>
      </c>
      <c r="H1452" s="50" t="s">
        <v>2</v>
      </c>
      <c r="I1452" s="50" t="s">
        <v>291</v>
      </c>
      <c r="J1452" s="51">
        <v>46069</v>
      </c>
      <c r="K1452" s="50" t="s">
        <v>3</v>
      </c>
      <c r="L1452" s="50" t="s">
        <v>80</v>
      </c>
    </row>
    <row r="1453" spans="2:12">
      <c r="B1453" s="50" t="s">
        <v>422</v>
      </c>
      <c r="C1453" s="50" t="s">
        <v>26</v>
      </c>
      <c r="D1453" s="50" t="s">
        <v>27</v>
      </c>
      <c r="E1453" s="50">
        <v>50037905</v>
      </c>
      <c r="F1453" s="50" t="s">
        <v>150</v>
      </c>
      <c r="G1453" s="50">
        <v>1</v>
      </c>
      <c r="H1453" s="50" t="s">
        <v>2</v>
      </c>
      <c r="I1453" s="50" t="s">
        <v>291</v>
      </c>
      <c r="J1453" s="51">
        <v>46069</v>
      </c>
      <c r="K1453" s="50" t="s">
        <v>3</v>
      </c>
      <c r="L1453" s="50" t="s">
        <v>80</v>
      </c>
    </row>
    <row r="1454" spans="2:12">
      <c r="B1454" s="50" t="s">
        <v>277</v>
      </c>
      <c r="C1454" s="50" t="s">
        <v>62</v>
      </c>
      <c r="D1454" s="50" t="s">
        <v>27</v>
      </c>
      <c r="E1454" s="50">
        <v>50038517</v>
      </c>
      <c r="F1454" s="50" t="s">
        <v>181</v>
      </c>
      <c r="G1454" s="50">
        <v>1</v>
      </c>
      <c r="H1454" s="50" t="s">
        <v>2</v>
      </c>
      <c r="I1454" s="50" t="s">
        <v>291</v>
      </c>
      <c r="J1454" s="51">
        <v>46069</v>
      </c>
      <c r="K1454" s="50" t="s">
        <v>1</v>
      </c>
      <c r="L1454" s="50" t="s">
        <v>80</v>
      </c>
    </row>
    <row r="1455" spans="2:12">
      <c r="B1455" s="50" t="s">
        <v>461</v>
      </c>
      <c r="C1455" s="50" t="s">
        <v>26</v>
      </c>
      <c r="D1455" s="50" t="s">
        <v>39</v>
      </c>
      <c r="E1455" s="50">
        <v>50039065</v>
      </c>
      <c r="F1455" s="50" t="s">
        <v>186</v>
      </c>
      <c r="G1455" s="50">
        <v>1</v>
      </c>
      <c r="H1455" s="50" t="s">
        <v>2</v>
      </c>
      <c r="I1455" s="50" t="s">
        <v>291</v>
      </c>
      <c r="J1455" s="51">
        <v>46069</v>
      </c>
      <c r="K1455" s="50" t="s">
        <v>1</v>
      </c>
      <c r="L1455" s="50" t="s">
        <v>80</v>
      </c>
    </row>
    <row r="1456" spans="2:12">
      <c r="B1456" s="50" t="s">
        <v>461</v>
      </c>
      <c r="C1456" s="50" t="s">
        <v>26</v>
      </c>
      <c r="D1456" s="50" t="s">
        <v>39</v>
      </c>
      <c r="E1456" s="50">
        <v>50010031</v>
      </c>
      <c r="F1456" s="50" t="s">
        <v>89</v>
      </c>
      <c r="G1456" s="50">
        <v>1</v>
      </c>
      <c r="H1456" s="50" t="s">
        <v>2</v>
      </c>
      <c r="I1456" s="50" t="s">
        <v>291</v>
      </c>
      <c r="J1456" s="51">
        <v>46069</v>
      </c>
      <c r="K1456" s="50" t="s">
        <v>1</v>
      </c>
      <c r="L1456" s="50" t="s">
        <v>80</v>
      </c>
    </row>
    <row r="1457" spans="2:12">
      <c r="B1457" s="50" t="s">
        <v>363</v>
      </c>
      <c r="C1457" s="50" t="s">
        <v>26</v>
      </c>
      <c r="D1457" s="50" t="s">
        <v>41</v>
      </c>
      <c r="E1457" s="50">
        <v>50043471</v>
      </c>
      <c r="F1457" s="50" t="s">
        <v>257</v>
      </c>
      <c r="G1457" s="50">
        <v>1</v>
      </c>
      <c r="H1457" s="50" t="s">
        <v>2</v>
      </c>
      <c r="I1457" s="50" t="s">
        <v>292</v>
      </c>
      <c r="J1457" s="51">
        <v>46066</v>
      </c>
      <c r="K1457" s="50" t="s">
        <v>1</v>
      </c>
      <c r="L1457" s="50" t="s">
        <v>80</v>
      </c>
    </row>
    <row r="1458" spans="2:12">
      <c r="B1458" s="50" t="s">
        <v>363</v>
      </c>
      <c r="C1458" s="50" t="s">
        <v>26</v>
      </c>
      <c r="D1458" s="50" t="s">
        <v>41</v>
      </c>
      <c r="E1458" s="50">
        <v>50043471</v>
      </c>
      <c r="F1458" s="50" t="s">
        <v>257</v>
      </c>
      <c r="G1458" s="50">
        <v>1</v>
      </c>
      <c r="H1458" s="50" t="s">
        <v>2</v>
      </c>
      <c r="I1458" s="50" t="s">
        <v>292</v>
      </c>
      <c r="J1458" s="51">
        <v>46066</v>
      </c>
      <c r="K1458" s="50" t="s">
        <v>3</v>
      </c>
      <c r="L1458" s="50" t="s">
        <v>80</v>
      </c>
    </row>
    <row r="1459" spans="2:12">
      <c r="B1459" s="50" t="s">
        <v>407</v>
      </c>
      <c r="C1459" s="50" t="s">
        <v>26</v>
      </c>
      <c r="D1459" s="50" t="s">
        <v>39</v>
      </c>
      <c r="E1459" s="50">
        <v>50022878</v>
      </c>
      <c r="F1459" s="50" t="s">
        <v>296</v>
      </c>
      <c r="G1459" s="50">
        <v>1</v>
      </c>
      <c r="H1459" s="50" t="s">
        <v>2</v>
      </c>
      <c r="I1459" s="50" t="s">
        <v>293</v>
      </c>
      <c r="J1459" s="51">
        <v>46066</v>
      </c>
      <c r="K1459" s="50" t="s">
        <v>1</v>
      </c>
      <c r="L1459" s="50" t="s">
        <v>80</v>
      </c>
    </row>
    <row r="1460" spans="2:12">
      <c r="B1460" s="50" t="s">
        <v>407</v>
      </c>
      <c r="C1460" s="50" t="s">
        <v>26</v>
      </c>
      <c r="D1460" s="50" t="s">
        <v>39</v>
      </c>
      <c r="E1460" s="50">
        <v>50022878</v>
      </c>
      <c r="F1460" s="50" t="s">
        <v>296</v>
      </c>
      <c r="G1460" s="50">
        <v>1</v>
      </c>
      <c r="H1460" s="50" t="s">
        <v>2</v>
      </c>
      <c r="I1460" s="50" t="s">
        <v>293</v>
      </c>
      <c r="J1460" s="51">
        <v>46066</v>
      </c>
      <c r="K1460" s="50" t="s">
        <v>3</v>
      </c>
      <c r="L1460" s="50" t="s">
        <v>80</v>
      </c>
    </row>
    <row r="1461" spans="2:12">
      <c r="B1461" s="50" t="s">
        <v>316</v>
      </c>
      <c r="C1461" s="50" t="s">
        <v>51</v>
      </c>
      <c r="D1461" s="50" t="s">
        <v>27</v>
      </c>
      <c r="E1461" s="50">
        <v>50038195</v>
      </c>
      <c r="F1461" s="50" t="s">
        <v>239</v>
      </c>
      <c r="G1461" s="50">
        <v>1</v>
      </c>
      <c r="H1461" s="50" t="s">
        <v>2</v>
      </c>
      <c r="I1461" s="50" t="s">
        <v>292</v>
      </c>
      <c r="J1461" s="51">
        <v>46066</v>
      </c>
      <c r="K1461" s="50" t="s">
        <v>1</v>
      </c>
      <c r="L1461" s="50" t="s">
        <v>80</v>
      </c>
    </row>
    <row r="1462" spans="2:12">
      <c r="B1462" s="50" t="s">
        <v>394</v>
      </c>
      <c r="C1462" s="50" t="s">
        <v>51</v>
      </c>
      <c r="D1462" s="50" t="s">
        <v>27</v>
      </c>
      <c r="E1462" s="50">
        <v>50043471</v>
      </c>
      <c r="F1462" s="50" t="s">
        <v>257</v>
      </c>
      <c r="G1462" s="50">
        <v>1</v>
      </c>
      <c r="H1462" s="50" t="s">
        <v>2</v>
      </c>
      <c r="I1462" s="50" t="s">
        <v>293</v>
      </c>
      <c r="J1462" s="51">
        <v>46066</v>
      </c>
      <c r="K1462" s="50" t="s">
        <v>1</v>
      </c>
      <c r="L1462" s="50" t="s">
        <v>80</v>
      </c>
    </row>
    <row r="1463" spans="2:12">
      <c r="B1463" s="50" t="s">
        <v>461</v>
      </c>
      <c r="C1463" s="50" t="s">
        <v>26</v>
      </c>
      <c r="D1463" s="50" t="s">
        <v>39</v>
      </c>
      <c r="E1463" s="50">
        <v>50010031</v>
      </c>
      <c r="F1463" s="50" t="s">
        <v>89</v>
      </c>
      <c r="G1463" s="50">
        <v>1</v>
      </c>
      <c r="H1463" s="50" t="s">
        <v>2</v>
      </c>
      <c r="I1463" s="50" t="s">
        <v>293</v>
      </c>
      <c r="J1463" s="51">
        <v>46066</v>
      </c>
      <c r="K1463" s="50" t="s">
        <v>3</v>
      </c>
      <c r="L1463" s="50" t="s">
        <v>80</v>
      </c>
    </row>
    <row r="1464" spans="2:12">
      <c r="B1464" s="50" t="s">
        <v>461</v>
      </c>
      <c r="C1464" s="50" t="s">
        <v>26</v>
      </c>
      <c r="D1464" s="50" t="s">
        <v>39</v>
      </c>
      <c r="E1464" s="50">
        <v>50039065</v>
      </c>
      <c r="F1464" s="50" t="s">
        <v>186</v>
      </c>
      <c r="G1464" s="50">
        <v>1</v>
      </c>
      <c r="H1464" s="50" t="s">
        <v>2</v>
      </c>
      <c r="I1464" s="50" t="s">
        <v>293</v>
      </c>
      <c r="J1464" s="51">
        <v>46066</v>
      </c>
      <c r="K1464" s="50" t="s">
        <v>3</v>
      </c>
      <c r="L1464" s="50" t="s">
        <v>80</v>
      </c>
    </row>
    <row r="1465" spans="2:12">
      <c r="B1465" s="50" t="s">
        <v>439</v>
      </c>
      <c r="C1465" s="50" t="s">
        <v>62</v>
      </c>
      <c r="D1465" s="50" t="s">
        <v>27</v>
      </c>
      <c r="E1465" s="50">
        <v>50026357</v>
      </c>
      <c r="F1465" s="50" t="s">
        <v>192</v>
      </c>
      <c r="G1465" s="50">
        <v>1</v>
      </c>
      <c r="H1465" s="50" t="s">
        <v>2</v>
      </c>
      <c r="I1465" s="50" t="s">
        <v>293</v>
      </c>
      <c r="J1465" s="51">
        <v>46066</v>
      </c>
      <c r="K1465" s="50" t="s">
        <v>1</v>
      </c>
      <c r="L1465" s="50" t="s">
        <v>80</v>
      </c>
    </row>
    <row r="1466" spans="2:12">
      <c r="B1466" s="50" t="s">
        <v>399</v>
      </c>
      <c r="C1466" s="50" t="s">
        <v>51</v>
      </c>
      <c r="D1466" s="50" t="s">
        <v>27</v>
      </c>
      <c r="E1466" s="50">
        <v>50039065</v>
      </c>
      <c r="F1466" s="50" t="s">
        <v>186</v>
      </c>
      <c r="G1466" s="50">
        <v>1</v>
      </c>
      <c r="H1466" s="50" t="s">
        <v>2</v>
      </c>
      <c r="I1466" s="50" t="s">
        <v>293</v>
      </c>
      <c r="J1466" s="51">
        <v>46066</v>
      </c>
      <c r="K1466" s="50" t="s">
        <v>1</v>
      </c>
      <c r="L1466" s="50" t="s">
        <v>80</v>
      </c>
    </row>
    <row r="1467" spans="2:12">
      <c r="B1467" s="50" t="s">
        <v>345</v>
      </c>
      <c r="C1467" s="50" t="s">
        <v>62</v>
      </c>
      <c r="D1467" s="50" t="s">
        <v>27</v>
      </c>
      <c r="E1467" s="50">
        <v>50041195</v>
      </c>
      <c r="F1467" s="50" t="s">
        <v>206</v>
      </c>
      <c r="G1467" s="50">
        <v>1</v>
      </c>
      <c r="H1467" s="50" t="s">
        <v>2</v>
      </c>
      <c r="I1467" s="50" t="s">
        <v>293</v>
      </c>
      <c r="J1467" s="51">
        <v>46066</v>
      </c>
      <c r="K1467" s="50" t="s">
        <v>1</v>
      </c>
      <c r="L1467" s="50" t="s">
        <v>80</v>
      </c>
    </row>
    <row r="1468" spans="2:12">
      <c r="B1468" s="50" t="s">
        <v>386</v>
      </c>
      <c r="C1468" s="50" t="s">
        <v>26</v>
      </c>
      <c r="D1468" s="50" t="s">
        <v>27</v>
      </c>
      <c r="E1468" s="50">
        <v>50010031</v>
      </c>
      <c r="F1468" s="50" t="s">
        <v>89</v>
      </c>
      <c r="G1468" s="50">
        <v>1</v>
      </c>
      <c r="H1468" s="50" t="s">
        <v>2</v>
      </c>
      <c r="I1468" s="50" t="s">
        <v>293</v>
      </c>
      <c r="J1468" s="51">
        <v>46066</v>
      </c>
      <c r="K1468" s="50" t="s">
        <v>1</v>
      </c>
      <c r="L1468" s="50" t="s">
        <v>80</v>
      </c>
    </row>
    <row r="1469" spans="2:12">
      <c r="B1469" s="50" t="s">
        <v>399</v>
      </c>
      <c r="C1469" s="50" t="s">
        <v>51</v>
      </c>
      <c r="D1469" s="50" t="s">
        <v>27</v>
      </c>
      <c r="E1469" s="50">
        <v>50039065</v>
      </c>
      <c r="F1469" s="50" t="s">
        <v>186</v>
      </c>
      <c r="G1469" s="50">
        <v>1</v>
      </c>
      <c r="H1469" s="50" t="s">
        <v>2</v>
      </c>
      <c r="I1469" s="50" t="s">
        <v>293</v>
      </c>
      <c r="J1469" s="51">
        <v>46066</v>
      </c>
      <c r="K1469" s="50" t="s">
        <v>1</v>
      </c>
      <c r="L1469" s="50" t="s">
        <v>80</v>
      </c>
    </row>
    <row r="1470" spans="2:12">
      <c r="B1470" s="50" t="s">
        <v>418</v>
      </c>
      <c r="C1470" s="50" t="s">
        <v>26</v>
      </c>
      <c r="D1470" s="50" t="s">
        <v>27</v>
      </c>
      <c r="E1470" s="50">
        <v>50039065</v>
      </c>
      <c r="F1470" s="50" t="s">
        <v>186</v>
      </c>
      <c r="G1470" s="50">
        <v>1</v>
      </c>
      <c r="H1470" s="50" t="s">
        <v>2</v>
      </c>
      <c r="I1470" s="50" t="s">
        <v>293</v>
      </c>
      <c r="J1470" s="51">
        <v>46066</v>
      </c>
      <c r="K1470" s="50" t="s">
        <v>1</v>
      </c>
      <c r="L1470" s="50" t="s">
        <v>80</v>
      </c>
    </row>
    <row r="1471" spans="2:12">
      <c r="B1471" s="50" t="e">
        <v>#N/A</v>
      </c>
      <c r="C1471" s="50" t="s">
        <v>327</v>
      </c>
      <c r="D1471" s="50" t="s">
        <v>327</v>
      </c>
      <c r="E1471" s="50">
        <v>50039065</v>
      </c>
      <c r="F1471" s="50" t="s">
        <v>186</v>
      </c>
      <c r="G1471" s="50">
        <v>1</v>
      </c>
      <c r="H1471" s="50" t="s">
        <v>2</v>
      </c>
      <c r="I1471" s="50" t="s">
        <v>293</v>
      </c>
      <c r="J1471" s="51">
        <v>46066</v>
      </c>
      <c r="K1471" s="50" t="s">
        <v>1</v>
      </c>
      <c r="L1471" s="50" t="s">
        <v>80</v>
      </c>
    </row>
    <row r="1472" spans="2:12">
      <c r="B1472" s="50" t="s">
        <v>394</v>
      </c>
      <c r="C1472" s="50" t="s">
        <v>51</v>
      </c>
      <c r="D1472" s="50" t="s">
        <v>27</v>
      </c>
      <c r="E1472" s="50">
        <v>50043471</v>
      </c>
      <c r="F1472" s="50" t="s">
        <v>257</v>
      </c>
      <c r="G1472" s="50">
        <v>1</v>
      </c>
      <c r="H1472" s="50" t="s">
        <v>2</v>
      </c>
      <c r="I1472" s="50" t="s">
        <v>293</v>
      </c>
      <c r="J1472" s="51">
        <v>46066</v>
      </c>
      <c r="K1472" s="50" t="s">
        <v>3</v>
      </c>
      <c r="L1472" s="50" t="s">
        <v>80</v>
      </c>
    </row>
    <row r="1473" spans="2:12">
      <c r="B1473" s="50" t="s">
        <v>386</v>
      </c>
      <c r="C1473" s="50" t="s">
        <v>26</v>
      </c>
      <c r="D1473" s="50" t="s">
        <v>27</v>
      </c>
      <c r="E1473" s="50">
        <v>50010031</v>
      </c>
      <c r="F1473" s="50" t="s">
        <v>89</v>
      </c>
      <c r="G1473" s="50">
        <v>1</v>
      </c>
      <c r="H1473" s="50" t="s">
        <v>2</v>
      </c>
      <c r="I1473" s="50" t="s">
        <v>293</v>
      </c>
      <c r="J1473" s="51">
        <v>46066</v>
      </c>
      <c r="K1473" s="50" t="s">
        <v>3</v>
      </c>
      <c r="L1473" s="50" t="s">
        <v>80</v>
      </c>
    </row>
    <row r="1474" spans="2:12">
      <c r="B1474" s="50" t="s">
        <v>363</v>
      </c>
      <c r="C1474" s="50" t="s">
        <v>26</v>
      </c>
      <c r="D1474" s="50" t="s">
        <v>41</v>
      </c>
      <c r="E1474" s="50">
        <v>50037892</v>
      </c>
      <c r="F1474" s="50" t="s">
        <v>178</v>
      </c>
      <c r="G1474" s="50">
        <v>1</v>
      </c>
      <c r="H1474" s="50" t="s">
        <v>2</v>
      </c>
      <c r="I1474" s="50" t="s">
        <v>293</v>
      </c>
      <c r="J1474" s="51">
        <v>46066</v>
      </c>
      <c r="K1474" s="50" t="s">
        <v>1</v>
      </c>
      <c r="L1474" s="50" t="s">
        <v>80</v>
      </c>
    </row>
    <row r="1475" spans="2:12">
      <c r="B1475" s="50" t="s">
        <v>478</v>
      </c>
      <c r="C1475" s="50" t="s">
        <v>51</v>
      </c>
      <c r="D1475" s="50" t="s">
        <v>27</v>
      </c>
      <c r="E1475" s="50">
        <v>50037892</v>
      </c>
      <c r="F1475" s="50" t="s">
        <v>178</v>
      </c>
      <c r="G1475" s="50">
        <v>1</v>
      </c>
      <c r="H1475" s="50" t="s">
        <v>2</v>
      </c>
      <c r="I1475" s="50" t="s">
        <v>293</v>
      </c>
      <c r="J1475" s="51">
        <v>46066</v>
      </c>
      <c r="K1475" s="50" t="s">
        <v>3</v>
      </c>
      <c r="L1475" s="50" t="s">
        <v>80</v>
      </c>
    </row>
    <row r="1476" spans="2:12">
      <c r="B1476" s="50" t="s">
        <v>439</v>
      </c>
      <c r="C1476" s="50" t="s">
        <v>62</v>
      </c>
      <c r="D1476" s="50" t="s">
        <v>27</v>
      </c>
      <c r="E1476" s="50">
        <v>50026357</v>
      </c>
      <c r="F1476" s="50" t="s">
        <v>192</v>
      </c>
      <c r="G1476" s="50">
        <v>1</v>
      </c>
      <c r="H1476" s="50" t="s">
        <v>2</v>
      </c>
      <c r="I1476" s="50" t="s">
        <v>293</v>
      </c>
      <c r="J1476" s="51">
        <v>46066</v>
      </c>
      <c r="K1476" s="50" t="s">
        <v>1</v>
      </c>
      <c r="L1476" s="50" t="s">
        <v>80</v>
      </c>
    </row>
    <row r="1477" spans="2:12">
      <c r="B1477" s="50" t="s">
        <v>420</v>
      </c>
      <c r="C1477" s="50" t="s">
        <v>26</v>
      </c>
      <c r="D1477" s="50" t="s">
        <v>41</v>
      </c>
      <c r="E1477" s="50">
        <v>50037952</v>
      </c>
      <c r="F1477" s="50" t="s">
        <v>245</v>
      </c>
      <c r="G1477" s="50">
        <v>1</v>
      </c>
      <c r="H1477" s="50" t="s">
        <v>2</v>
      </c>
      <c r="I1477" s="50" t="s">
        <v>293</v>
      </c>
      <c r="J1477" s="51">
        <v>46066</v>
      </c>
      <c r="K1477" s="50" t="s">
        <v>1</v>
      </c>
      <c r="L1477" s="50" t="s">
        <v>80</v>
      </c>
    </row>
    <row r="1478" spans="2:12">
      <c r="B1478" s="50" t="s">
        <v>444</v>
      </c>
      <c r="C1478" s="50" t="s">
        <v>51</v>
      </c>
      <c r="D1478" s="50" t="s">
        <v>27</v>
      </c>
      <c r="E1478" s="50">
        <v>50012902</v>
      </c>
      <c r="F1478" s="50" t="s">
        <v>225</v>
      </c>
      <c r="G1478" s="50">
        <v>1</v>
      </c>
      <c r="H1478" s="50" t="s">
        <v>2</v>
      </c>
      <c r="I1478" s="50" t="s">
        <v>288</v>
      </c>
      <c r="J1478" s="51">
        <v>46066</v>
      </c>
      <c r="K1478" s="50" t="s">
        <v>1</v>
      </c>
      <c r="L1478" s="50" t="s">
        <v>80</v>
      </c>
    </row>
    <row r="1479" spans="2:12">
      <c r="B1479" s="50" t="s">
        <v>277</v>
      </c>
      <c r="C1479" s="50" t="s">
        <v>62</v>
      </c>
      <c r="D1479" s="50" t="s">
        <v>27</v>
      </c>
      <c r="E1479" s="50">
        <v>50036086</v>
      </c>
      <c r="F1479" s="50" t="s">
        <v>28</v>
      </c>
      <c r="G1479" s="50">
        <v>1</v>
      </c>
      <c r="H1479" s="50" t="s">
        <v>2</v>
      </c>
      <c r="I1479" s="50" t="s">
        <v>288</v>
      </c>
      <c r="J1479" s="51">
        <v>46066</v>
      </c>
      <c r="K1479" s="50" t="s">
        <v>1</v>
      </c>
      <c r="L1479" s="50" t="s">
        <v>80</v>
      </c>
    </row>
    <row r="1480" spans="2:12">
      <c r="B1480" s="50" t="s">
        <v>277</v>
      </c>
      <c r="C1480" s="50" t="s">
        <v>62</v>
      </c>
      <c r="D1480" s="50" t="s">
        <v>27</v>
      </c>
      <c r="E1480" s="50">
        <v>50038842</v>
      </c>
      <c r="F1480" s="50" t="s">
        <v>133</v>
      </c>
      <c r="G1480" s="50">
        <v>1</v>
      </c>
      <c r="H1480" s="50" t="s">
        <v>2</v>
      </c>
      <c r="I1480" s="50" t="s">
        <v>288</v>
      </c>
      <c r="J1480" s="51">
        <v>46066</v>
      </c>
      <c r="K1480" s="50" t="s">
        <v>1</v>
      </c>
      <c r="L1480" s="50" t="s">
        <v>80</v>
      </c>
    </row>
    <row r="1481" spans="2:12">
      <c r="B1481" s="50" t="s">
        <v>465</v>
      </c>
      <c r="C1481" s="50" t="s">
        <v>26</v>
      </c>
      <c r="D1481" s="50" t="s">
        <v>27</v>
      </c>
      <c r="E1481" s="50">
        <v>50010031</v>
      </c>
      <c r="F1481" s="50" t="s">
        <v>89</v>
      </c>
      <c r="G1481" s="50">
        <v>1</v>
      </c>
      <c r="H1481" s="50" t="s">
        <v>2</v>
      </c>
      <c r="I1481" s="50" t="s">
        <v>288</v>
      </c>
      <c r="J1481" s="51">
        <v>46066</v>
      </c>
      <c r="K1481" s="50" t="s">
        <v>1</v>
      </c>
      <c r="L1481" s="50" t="s">
        <v>80</v>
      </c>
    </row>
    <row r="1482" spans="2:12">
      <c r="B1482" s="50" t="s">
        <v>465</v>
      </c>
      <c r="C1482" s="50" t="s">
        <v>26</v>
      </c>
      <c r="D1482" s="50" t="s">
        <v>27</v>
      </c>
      <c r="E1482" s="50">
        <v>50010031</v>
      </c>
      <c r="F1482" s="50" t="s">
        <v>89</v>
      </c>
      <c r="G1482" s="50">
        <v>1</v>
      </c>
      <c r="H1482" s="50" t="s">
        <v>2</v>
      </c>
      <c r="I1482" s="50" t="s">
        <v>288</v>
      </c>
      <c r="J1482" s="51">
        <v>46066</v>
      </c>
      <c r="K1482" s="50" t="s">
        <v>3</v>
      </c>
      <c r="L1482" s="50" t="s">
        <v>80</v>
      </c>
    </row>
    <row r="1483" spans="2:12">
      <c r="B1483" s="50" t="e">
        <v>#N/A</v>
      </c>
      <c r="C1483" s="50" t="s">
        <v>327</v>
      </c>
      <c r="D1483" s="50" t="s">
        <v>327</v>
      </c>
      <c r="E1483" s="50">
        <v>50039065</v>
      </c>
      <c r="F1483" s="50" t="s">
        <v>186</v>
      </c>
      <c r="G1483" s="50">
        <v>1</v>
      </c>
      <c r="H1483" s="50" t="s">
        <v>2</v>
      </c>
      <c r="I1483" s="50" t="s">
        <v>288</v>
      </c>
      <c r="J1483" s="51">
        <v>46066</v>
      </c>
      <c r="K1483" s="50" t="s">
        <v>1</v>
      </c>
      <c r="L1483" s="50" t="s">
        <v>80</v>
      </c>
    </row>
    <row r="1484" spans="2:12">
      <c r="B1484" s="50" t="s">
        <v>277</v>
      </c>
      <c r="C1484" s="50" t="s">
        <v>62</v>
      </c>
      <c r="D1484" s="50" t="s">
        <v>27</v>
      </c>
      <c r="E1484" s="50">
        <v>50038842</v>
      </c>
      <c r="F1484" s="50" t="s">
        <v>133</v>
      </c>
      <c r="G1484" s="50">
        <v>1</v>
      </c>
      <c r="H1484" s="50" t="s">
        <v>2</v>
      </c>
      <c r="I1484" s="50" t="s">
        <v>291</v>
      </c>
      <c r="J1484" s="51">
        <v>46094</v>
      </c>
      <c r="K1484" s="50" t="s">
        <v>3</v>
      </c>
      <c r="L1484" s="50" t="s">
        <v>80</v>
      </c>
    </row>
    <row r="1485" spans="2:12">
      <c r="B1485" s="50" t="s">
        <v>277</v>
      </c>
      <c r="C1485" s="50" t="s">
        <v>62</v>
      </c>
      <c r="D1485" s="50" t="s">
        <v>27</v>
      </c>
      <c r="E1485" s="50">
        <v>50036086</v>
      </c>
      <c r="F1485" s="50" t="s">
        <v>28</v>
      </c>
      <c r="G1485" s="50">
        <v>1</v>
      </c>
      <c r="H1485" s="50" t="s">
        <v>2</v>
      </c>
      <c r="I1485" s="50" t="s">
        <v>291</v>
      </c>
      <c r="J1485" s="51">
        <v>46066</v>
      </c>
      <c r="K1485" s="50" t="s">
        <v>1</v>
      </c>
      <c r="L1485" s="50" t="s">
        <v>80</v>
      </c>
    </row>
    <row r="1486" spans="2:12">
      <c r="B1486" s="50" t="s">
        <v>478</v>
      </c>
      <c r="C1486" s="50" t="s">
        <v>51</v>
      </c>
      <c r="D1486" s="50" t="s">
        <v>27</v>
      </c>
      <c r="E1486" s="50">
        <v>50037892</v>
      </c>
      <c r="F1486" s="50" t="s">
        <v>178</v>
      </c>
      <c r="G1486" s="50">
        <v>1</v>
      </c>
      <c r="H1486" s="50" t="s">
        <v>2</v>
      </c>
      <c r="I1486" s="50" t="s">
        <v>291</v>
      </c>
      <c r="J1486" s="51">
        <v>46094</v>
      </c>
      <c r="K1486" s="50" t="s">
        <v>1</v>
      </c>
      <c r="L1486" s="50" t="s">
        <v>80</v>
      </c>
    </row>
    <row r="1487" spans="2:12">
      <c r="B1487" s="50" t="s">
        <v>270</v>
      </c>
      <c r="C1487" s="50" t="s">
        <v>51</v>
      </c>
      <c r="D1487" s="50" t="s">
        <v>27</v>
      </c>
      <c r="E1487" s="50">
        <v>50026357</v>
      </c>
      <c r="F1487" s="50" t="s">
        <v>192</v>
      </c>
      <c r="G1487" s="50">
        <v>1</v>
      </c>
      <c r="H1487" s="50" t="s">
        <v>2</v>
      </c>
      <c r="I1487" s="50" t="s">
        <v>291</v>
      </c>
      <c r="J1487" s="51">
        <v>46066</v>
      </c>
      <c r="K1487" s="50" t="s">
        <v>1</v>
      </c>
      <c r="L1487" s="50" t="s">
        <v>80</v>
      </c>
    </row>
    <row r="1488" spans="2:12">
      <c r="B1488" s="50" t="s">
        <v>420</v>
      </c>
      <c r="C1488" s="50" t="s">
        <v>26</v>
      </c>
      <c r="D1488" s="50" t="s">
        <v>41</v>
      </c>
      <c r="E1488" s="50">
        <v>50037952</v>
      </c>
      <c r="F1488" s="50" t="s">
        <v>245</v>
      </c>
      <c r="G1488" s="50">
        <v>1</v>
      </c>
      <c r="H1488" s="50" t="s">
        <v>2</v>
      </c>
      <c r="I1488" s="50" t="s">
        <v>291</v>
      </c>
      <c r="J1488" s="51">
        <v>46066</v>
      </c>
      <c r="K1488" s="50" t="s">
        <v>3</v>
      </c>
      <c r="L1488" s="50" t="s">
        <v>80</v>
      </c>
    </row>
    <row r="1489" spans="2:12">
      <c r="B1489" s="50" t="s">
        <v>418</v>
      </c>
      <c r="C1489" s="50" t="s">
        <v>26</v>
      </c>
      <c r="D1489" s="50" t="s">
        <v>27</v>
      </c>
      <c r="E1489" s="50">
        <v>50039065</v>
      </c>
      <c r="F1489" s="50" t="s">
        <v>186</v>
      </c>
      <c r="G1489" s="50">
        <v>1</v>
      </c>
      <c r="H1489" s="50" t="s">
        <v>2</v>
      </c>
      <c r="I1489" s="50" t="s">
        <v>291</v>
      </c>
      <c r="J1489" s="51">
        <v>46066</v>
      </c>
      <c r="K1489" s="50" t="s">
        <v>3</v>
      </c>
      <c r="L1489" s="50" t="s">
        <v>80</v>
      </c>
    </row>
    <row r="1490" spans="2:12">
      <c r="B1490" s="50" t="s">
        <v>270</v>
      </c>
      <c r="C1490" s="50" t="s">
        <v>51</v>
      </c>
      <c r="D1490" s="50" t="s">
        <v>27</v>
      </c>
      <c r="E1490" s="50">
        <v>50026357</v>
      </c>
      <c r="F1490" s="50" t="s">
        <v>192</v>
      </c>
      <c r="G1490" s="50">
        <v>1</v>
      </c>
      <c r="H1490" s="50" t="s">
        <v>2</v>
      </c>
      <c r="I1490" s="50" t="s">
        <v>291</v>
      </c>
      <c r="J1490" s="51">
        <v>46066</v>
      </c>
      <c r="K1490" s="50" t="s">
        <v>3</v>
      </c>
      <c r="L1490" s="50" t="s">
        <v>80</v>
      </c>
    </row>
    <row r="1491" spans="2:12">
      <c r="B1491" s="50" t="s">
        <v>444</v>
      </c>
      <c r="C1491" s="50" t="s">
        <v>51</v>
      </c>
      <c r="D1491" s="50" t="s">
        <v>27</v>
      </c>
      <c r="E1491" s="50">
        <v>50012902</v>
      </c>
      <c r="F1491" s="50" t="s">
        <v>225</v>
      </c>
      <c r="G1491" s="50">
        <v>1</v>
      </c>
      <c r="H1491" s="50" t="s">
        <v>2</v>
      </c>
      <c r="I1491" s="50" t="s">
        <v>291</v>
      </c>
      <c r="J1491" s="51">
        <v>46066</v>
      </c>
      <c r="K1491" s="50" t="s">
        <v>3</v>
      </c>
      <c r="L1491" s="50" t="s">
        <v>80</v>
      </c>
    </row>
    <row r="1492" spans="2:12">
      <c r="B1492" s="50" t="s">
        <v>345</v>
      </c>
      <c r="C1492" s="50" t="s">
        <v>62</v>
      </c>
      <c r="D1492" s="50" t="s">
        <v>27</v>
      </c>
      <c r="E1492" s="50">
        <v>50041195</v>
      </c>
      <c r="F1492" s="50" t="s">
        <v>206</v>
      </c>
      <c r="G1492" s="50">
        <v>1</v>
      </c>
      <c r="H1492" s="50" t="s">
        <v>2</v>
      </c>
      <c r="I1492" s="50" t="s">
        <v>291</v>
      </c>
      <c r="J1492" s="51">
        <v>46066</v>
      </c>
      <c r="K1492" s="50" t="s">
        <v>3</v>
      </c>
      <c r="L1492" s="50" t="s">
        <v>80</v>
      </c>
    </row>
    <row r="1493" spans="2:12">
      <c r="B1493" s="50" t="s">
        <v>478</v>
      </c>
      <c r="C1493" s="50" t="s">
        <v>51</v>
      </c>
      <c r="D1493" s="50" t="s">
        <v>27</v>
      </c>
      <c r="E1493" s="50">
        <v>50037892</v>
      </c>
      <c r="F1493" s="50" t="s">
        <v>178</v>
      </c>
      <c r="G1493" s="50">
        <v>1</v>
      </c>
      <c r="H1493" s="50" t="s">
        <v>2</v>
      </c>
      <c r="I1493" s="50" t="s">
        <v>291</v>
      </c>
      <c r="J1493" s="51">
        <v>46066</v>
      </c>
      <c r="K1493" s="50" t="s">
        <v>1</v>
      </c>
      <c r="L1493" s="50" t="s">
        <v>80</v>
      </c>
    </row>
    <row r="1494" spans="2:12">
      <c r="B1494" s="50" t="s">
        <v>277</v>
      </c>
      <c r="C1494" s="50" t="s">
        <v>62</v>
      </c>
      <c r="D1494" s="50" t="s">
        <v>27</v>
      </c>
      <c r="E1494" s="50">
        <v>50038517</v>
      </c>
      <c r="F1494" s="50" t="s">
        <v>181</v>
      </c>
      <c r="G1494" s="50">
        <v>1</v>
      </c>
      <c r="H1494" s="50" t="s">
        <v>2</v>
      </c>
      <c r="I1494" s="50" t="s">
        <v>291</v>
      </c>
      <c r="J1494" s="51">
        <v>46066</v>
      </c>
      <c r="K1494" s="50" t="s">
        <v>3</v>
      </c>
      <c r="L1494" s="50" t="s">
        <v>80</v>
      </c>
    </row>
    <row r="1495" spans="2:12">
      <c r="B1495" s="50" t="s">
        <v>277</v>
      </c>
      <c r="C1495" s="50" t="s">
        <v>62</v>
      </c>
      <c r="D1495" s="50" t="s">
        <v>27</v>
      </c>
      <c r="E1495" s="50">
        <v>50003297</v>
      </c>
      <c r="F1495" s="50" t="s">
        <v>158</v>
      </c>
      <c r="G1495" s="50">
        <v>1</v>
      </c>
      <c r="H1495" s="50" t="s">
        <v>2</v>
      </c>
      <c r="I1495" s="50" t="s">
        <v>291</v>
      </c>
      <c r="J1495" s="51">
        <v>46066</v>
      </c>
      <c r="K1495" s="50" t="s">
        <v>1</v>
      </c>
      <c r="L1495" s="50" t="s">
        <v>80</v>
      </c>
    </row>
    <row r="1496" spans="2:12">
      <c r="B1496" s="50" t="s">
        <v>471</v>
      </c>
      <c r="C1496" s="50" t="s">
        <v>26</v>
      </c>
      <c r="D1496" s="50" t="s">
        <v>39</v>
      </c>
      <c r="E1496" s="50">
        <v>50037902</v>
      </c>
      <c r="F1496" s="50" t="s">
        <v>179</v>
      </c>
      <c r="G1496" s="50">
        <v>1</v>
      </c>
      <c r="H1496" s="50" t="s">
        <v>2</v>
      </c>
      <c r="I1496" s="50" t="s">
        <v>291</v>
      </c>
      <c r="J1496" s="51">
        <v>46066</v>
      </c>
      <c r="K1496" s="50" t="s">
        <v>1</v>
      </c>
      <c r="L1496" s="50" t="s">
        <v>80</v>
      </c>
    </row>
    <row r="1497" spans="2:12">
      <c r="B1497" s="50" t="s">
        <v>471</v>
      </c>
      <c r="C1497" s="50" t="s">
        <v>26</v>
      </c>
      <c r="D1497" s="50" t="s">
        <v>39</v>
      </c>
      <c r="E1497" s="50">
        <v>50039065</v>
      </c>
      <c r="F1497" s="50" t="s">
        <v>186</v>
      </c>
      <c r="G1497" s="50">
        <v>1</v>
      </c>
      <c r="H1497" s="50" t="s">
        <v>2</v>
      </c>
      <c r="I1497" s="50" t="s">
        <v>291</v>
      </c>
      <c r="J1497" s="51">
        <v>46066</v>
      </c>
      <c r="K1497" s="50" t="s">
        <v>1</v>
      </c>
      <c r="L1497" s="50" t="s">
        <v>80</v>
      </c>
    </row>
    <row r="1498" spans="2:12">
      <c r="B1498" s="50" t="s">
        <v>469</v>
      </c>
      <c r="C1498" s="50" t="s">
        <v>26</v>
      </c>
      <c r="D1498" s="50" t="s">
        <v>39</v>
      </c>
      <c r="E1498" s="50">
        <v>50037905</v>
      </c>
      <c r="F1498" s="50" t="s">
        <v>150</v>
      </c>
      <c r="G1498" s="50">
        <v>1</v>
      </c>
      <c r="H1498" s="50" t="s">
        <v>2</v>
      </c>
      <c r="I1498" s="50" t="s">
        <v>291</v>
      </c>
      <c r="J1498" s="51">
        <v>46066</v>
      </c>
      <c r="K1498" s="50" t="s">
        <v>1</v>
      </c>
      <c r="L1498" s="50" t="s">
        <v>80</v>
      </c>
    </row>
    <row r="1499" spans="2:12">
      <c r="B1499" s="50" t="s">
        <v>399</v>
      </c>
      <c r="C1499" s="50" t="s">
        <v>51</v>
      </c>
      <c r="D1499" s="50" t="s">
        <v>27</v>
      </c>
      <c r="E1499" s="50">
        <v>50003297</v>
      </c>
      <c r="F1499" s="50" t="s">
        <v>158</v>
      </c>
      <c r="G1499" s="50">
        <v>1</v>
      </c>
      <c r="H1499" s="50" t="s">
        <v>2</v>
      </c>
      <c r="I1499" s="50" t="s">
        <v>291</v>
      </c>
      <c r="J1499" s="51">
        <v>46066</v>
      </c>
      <c r="K1499" s="50" t="s">
        <v>1</v>
      </c>
      <c r="L1499" s="50" t="s">
        <v>80</v>
      </c>
    </row>
    <row r="1500" spans="2:12">
      <c r="B1500" s="50" t="s">
        <v>363</v>
      </c>
      <c r="C1500" s="50" t="s">
        <v>26</v>
      </c>
      <c r="D1500" s="50" t="s">
        <v>41</v>
      </c>
      <c r="E1500" s="50">
        <v>50037892</v>
      </c>
      <c r="F1500" s="50" t="s">
        <v>178</v>
      </c>
      <c r="G1500" s="50">
        <v>1</v>
      </c>
      <c r="H1500" s="50" t="s">
        <v>2</v>
      </c>
      <c r="I1500" s="50" t="s">
        <v>291</v>
      </c>
      <c r="J1500" s="51">
        <v>46066</v>
      </c>
      <c r="K1500" s="50" t="s">
        <v>1</v>
      </c>
      <c r="L1500" s="50" t="s">
        <v>80</v>
      </c>
    </row>
    <row r="1501" spans="2:12">
      <c r="B1501" s="50" t="s">
        <v>399</v>
      </c>
      <c r="C1501" s="50" t="s">
        <v>51</v>
      </c>
      <c r="D1501" s="50" t="s">
        <v>27</v>
      </c>
      <c r="E1501" s="50">
        <v>50003297</v>
      </c>
      <c r="F1501" s="50" t="s">
        <v>158</v>
      </c>
      <c r="G1501" s="50">
        <v>1</v>
      </c>
      <c r="H1501" s="50" t="s">
        <v>2</v>
      </c>
      <c r="I1501" s="50" t="s">
        <v>289</v>
      </c>
      <c r="J1501" s="51">
        <v>46065</v>
      </c>
      <c r="K1501" s="50" t="s">
        <v>1</v>
      </c>
      <c r="L1501" s="50" t="s">
        <v>80</v>
      </c>
    </row>
    <row r="1502" spans="2:12">
      <c r="B1502" s="50" t="s">
        <v>273</v>
      </c>
      <c r="C1502" s="50" t="s">
        <v>274</v>
      </c>
      <c r="D1502" s="50" t="s">
        <v>27</v>
      </c>
      <c r="E1502" s="50">
        <v>50041089</v>
      </c>
      <c r="F1502" s="50" t="s">
        <v>254</v>
      </c>
      <c r="G1502" s="50">
        <v>1</v>
      </c>
      <c r="H1502" s="50" t="s">
        <v>2</v>
      </c>
      <c r="I1502" s="50" t="s">
        <v>292</v>
      </c>
      <c r="J1502" s="51">
        <v>46065</v>
      </c>
      <c r="K1502" s="50" t="s">
        <v>1</v>
      </c>
      <c r="L1502" s="50" t="s">
        <v>80</v>
      </c>
    </row>
    <row r="1503" spans="2:12">
      <c r="B1503" s="50" t="s">
        <v>394</v>
      </c>
      <c r="C1503" s="50" t="s">
        <v>51</v>
      </c>
      <c r="D1503" s="50" t="s">
        <v>27</v>
      </c>
      <c r="E1503" s="50">
        <v>50043471</v>
      </c>
      <c r="F1503" s="50" t="s">
        <v>257</v>
      </c>
      <c r="G1503" s="50">
        <v>1</v>
      </c>
      <c r="H1503" s="50" t="s">
        <v>2</v>
      </c>
      <c r="I1503" s="50" t="s">
        <v>292</v>
      </c>
      <c r="J1503" s="51">
        <v>46065</v>
      </c>
      <c r="K1503" s="50" t="s">
        <v>3</v>
      </c>
      <c r="L1503" s="50" t="s">
        <v>80</v>
      </c>
    </row>
    <row r="1504" spans="2:12">
      <c r="B1504" s="50" t="s">
        <v>471</v>
      </c>
      <c r="C1504" s="50" t="s">
        <v>26</v>
      </c>
      <c r="D1504" s="50" t="s">
        <v>39</v>
      </c>
      <c r="E1504" s="50">
        <v>50037902</v>
      </c>
      <c r="F1504" s="50" t="s">
        <v>179</v>
      </c>
      <c r="G1504" s="50">
        <v>1</v>
      </c>
      <c r="H1504" s="50" t="s">
        <v>2</v>
      </c>
      <c r="I1504" s="50" t="s">
        <v>292</v>
      </c>
      <c r="J1504" s="51">
        <v>46065</v>
      </c>
      <c r="K1504" s="50" t="s">
        <v>3</v>
      </c>
      <c r="L1504" s="50" t="s">
        <v>80</v>
      </c>
    </row>
    <row r="1505" spans="2:12">
      <c r="B1505" s="50" t="s">
        <v>471</v>
      </c>
      <c r="C1505" s="50" t="s">
        <v>26</v>
      </c>
      <c r="D1505" s="50" t="s">
        <v>39</v>
      </c>
      <c r="E1505" s="50">
        <v>50039065</v>
      </c>
      <c r="F1505" s="50" t="s">
        <v>186</v>
      </c>
      <c r="G1505" s="50">
        <v>1</v>
      </c>
      <c r="H1505" s="50" t="s">
        <v>2</v>
      </c>
      <c r="I1505" s="50" t="s">
        <v>292</v>
      </c>
      <c r="J1505" s="51">
        <v>46065</v>
      </c>
      <c r="K1505" s="50" t="s">
        <v>3</v>
      </c>
      <c r="L1505" s="50" t="s">
        <v>80</v>
      </c>
    </row>
    <row r="1506" spans="2:12">
      <c r="B1506" s="50" t="s">
        <v>386</v>
      </c>
      <c r="C1506" s="50" t="s">
        <v>62</v>
      </c>
      <c r="D1506" s="50" t="s">
        <v>27</v>
      </c>
      <c r="E1506" s="50">
        <v>50036280</v>
      </c>
      <c r="F1506" s="50" t="s">
        <v>152</v>
      </c>
      <c r="G1506" s="50">
        <v>1</v>
      </c>
      <c r="H1506" s="50" t="s">
        <v>2</v>
      </c>
      <c r="I1506" s="50" t="s">
        <v>292</v>
      </c>
      <c r="J1506" s="51">
        <v>46065</v>
      </c>
      <c r="K1506" s="50" t="s">
        <v>3</v>
      </c>
      <c r="L1506" s="50" t="s">
        <v>80</v>
      </c>
    </row>
    <row r="1507" spans="2:12">
      <c r="B1507" s="50" t="s">
        <v>386</v>
      </c>
      <c r="C1507" s="50" t="s">
        <v>62</v>
      </c>
      <c r="D1507" s="50" t="s">
        <v>27</v>
      </c>
      <c r="E1507" s="50">
        <v>50038517</v>
      </c>
      <c r="F1507" s="50" t="s">
        <v>181</v>
      </c>
      <c r="G1507" s="50">
        <v>1</v>
      </c>
      <c r="H1507" s="50" t="s">
        <v>2</v>
      </c>
      <c r="I1507" s="50" t="s">
        <v>292</v>
      </c>
      <c r="J1507" s="51">
        <v>46065</v>
      </c>
      <c r="K1507" s="50" t="s">
        <v>1</v>
      </c>
      <c r="L1507" s="50" t="s">
        <v>80</v>
      </c>
    </row>
    <row r="1508" spans="2:12">
      <c r="B1508" s="50" t="s">
        <v>277</v>
      </c>
      <c r="C1508" s="50" t="s">
        <v>62</v>
      </c>
      <c r="D1508" s="50" t="s">
        <v>27</v>
      </c>
      <c r="E1508" s="50">
        <v>50032781</v>
      </c>
      <c r="F1508" s="50" t="s">
        <v>237</v>
      </c>
      <c r="G1508" s="50">
        <v>1</v>
      </c>
      <c r="H1508" s="50" t="s">
        <v>2</v>
      </c>
      <c r="I1508" s="50" t="s">
        <v>292</v>
      </c>
      <c r="J1508" s="51">
        <v>46065</v>
      </c>
      <c r="K1508" s="50" t="s">
        <v>3</v>
      </c>
      <c r="L1508" s="50" t="s">
        <v>80</v>
      </c>
    </row>
    <row r="1509" spans="2:12">
      <c r="B1509" s="50" t="s">
        <v>394</v>
      </c>
      <c r="C1509" s="50" t="s">
        <v>51</v>
      </c>
      <c r="D1509" s="50" t="s">
        <v>27</v>
      </c>
      <c r="E1509" s="50">
        <v>50043471</v>
      </c>
      <c r="F1509" s="50" t="s">
        <v>257</v>
      </c>
      <c r="G1509" s="50">
        <v>1</v>
      </c>
      <c r="H1509" s="50" t="s">
        <v>2</v>
      </c>
      <c r="I1509" s="50" t="s">
        <v>292</v>
      </c>
      <c r="J1509" s="51">
        <v>46065</v>
      </c>
      <c r="K1509" s="50" t="s">
        <v>3</v>
      </c>
      <c r="L1509" s="50" t="s">
        <v>80</v>
      </c>
    </row>
    <row r="1510" spans="2:12">
      <c r="B1510" s="50" t="s">
        <v>430</v>
      </c>
      <c r="C1510" s="50" t="s">
        <v>61</v>
      </c>
      <c r="D1510" s="50" t="s">
        <v>39</v>
      </c>
      <c r="E1510" s="50">
        <v>50012576</v>
      </c>
      <c r="F1510" s="50" t="s">
        <v>304</v>
      </c>
      <c r="G1510" s="50">
        <v>1</v>
      </c>
      <c r="H1510" s="50" t="s">
        <v>2</v>
      </c>
      <c r="I1510" s="50" t="s">
        <v>292</v>
      </c>
      <c r="J1510" s="51">
        <v>46065</v>
      </c>
      <c r="K1510" s="50" t="s">
        <v>1</v>
      </c>
      <c r="L1510" s="50" t="s">
        <v>80</v>
      </c>
    </row>
    <row r="1511" spans="2:12">
      <c r="B1511" s="50" t="e">
        <v>#N/A</v>
      </c>
      <c r="C1511" s="50" t="s">
        <v>26</v>
      </c>
      <c r="D1511" s="50" t="s">
        <v>27</v>
      </c>
      <c r="E1511" s="50">
        <v>50010031</v>
      </c>
      <c r="F1511" s="50" t="s">
        <v>89</v>
      </c>
      <c r="G1511" s="50">
        <v>1</v>
      </c>
      <c r="H1511" s="50" t="s">
        <v>2</v>
      </c>
      <c r="I1511" s="50" t="s">
        <v>292</v>
      </c>
      <c r="J1511" s="51">
        <v>46065</v>
      </c>
      <c r="K1511" s="50" t="s">
        <v>1</v>
      </c>
      <c r="L1511" s="50" t="s">
        <v>80</v>
      </c>
    </row>
    <row r="1512" spans="2:12">
      <c r="B1512" s="50" t="s">
        <v>345</v>
      </c>
      <c r="C1512" s="50" t="s">
        <v>62</v>
      </c>
      <c r="D1512" s="50" t="s">
        <v>27</v>
      </c>
      <c r="E1512" s="50">
        <v>50038517</v>
      </c>
      <c r="F1512" s="50" t="s">
        <v>181</v>
      </c>
      <c r="G1512" s="50">
        <v>1</v>
      </c>
      <c r="H1512" s="50" t="s">
        <v>2</v>
      </c>
      <c r="I1512" s="50" t="s">
        <v>292</v>
      </c>
      <c r="J1512" s="51">
        <v>46065</v>
      </c>
      <c r="K1512" s="50" t="s">
        <v>1</v>
      </c>
      <c r="L1512" s="50" t="s">
        <v>80</v>
      </c>
    </row>
    <row r="1513" spans="2:12">
      <c r="B1513" s="50" t="s">
        <v>345</v>
      </c>
      <c r="C1513" s="50" t="s">
        <v>62</v>
      </c>
      <c r="D1513" s="50" t="s">
        <v>27</v>
      </c>
      <c r="E1513" s="50">
        <v>50043471</v>
      </c>
      <c r="F1513" s="50" t="s">
        <v>257</v>
      </c>
      <c r="G1513" s="50">
        <v>1</v>
      </c>
      <c r="H1513" s="50" t="s">
        <v>2</v>
      </c>
      <c r="I1513" s="50" t="s">
        <v>292</v>
      </c>
      <c r="J1513" s="51">
        <v>46065</v>
      </c>
      <c r="K1513" s="50" t="s">
        <v>3</v>
      </c>
      <c r="L1513" s="50" t="s">
        <v>80</v>
      </c>
    </row>
    <row r="1514" spans="2:12">
      <c r="B1514" s="50" t="s">
        <v>469</v>
      </c>
      <c r="C1514" s="50" t="s">
        <v>26</v>
      </c>
      <c r="D1514" s="50" t="s">
        <v>39</v>
      </c>
      <c r="E1514" s="50">
        <v>50037905</v>
      </c>
      <c r="F1514" s="50" t="s">
        <v>150</v>
      </c>
      <c r="G1514" s="50">
        <v>1</v>
      </c>
      <c r="H1514" s="50" t="s">
        <v>2</v>
      </c>
      <c r="I1514" s="50" t="s">
        <v>292</v>
      </c>
      <c r="J1514" s="51">
        <v>46065</v>
      </c>
      <c r="K1514" s="50" t="s">
        <v>3</v>
      </c>
      <c r="L1514" s="50" t="s">
        <v>80</v>
      </c>
    </row>
    <row r="1515" spans="2:12">
      <c r="B1515" s="50" t="e">
        <v>#N/A</v>
      </c>
      <c r="C1515" s="50" t="s">
        <v>26</v>
      </c>
      <c r="D1515" s="50" t="s">
        <v>27</v>
      </c>
      <c r="E1515" s="50">
        <v>50010031</v>
      </c>
      <c r="F1515" s="50" t="s">
        <v>89</v>
      </c>
      <c r="G1515" s="50">
        <v>1</v>
      </c>
      <c r="H1515" s="50" t="s">
        <v>2</v>
      </c>
      <c r="I1515" s="50" t="s">
        <v>290</v>
      </c>
      <c r="J1515" s="51">
        <v>46065</v>
      </c>
      <c r="K1515" s="50" t="s">
        <v>3</v>
      </c>
      <c r="L1515" s="50" t="s">
        <v>80</v>
      </c>
    </row>
    <row r="1516" spans="2:12">
      <c r="B1516" s="50" t="s">
        <v>399</v>
      </c>
      <c r="C1516" s="50" t="s">
        <v>51</v>
      </c>
      <c r="D1516" s="50" t="s">
        <v>27</v>
      </c>
      <c r="E1516" s="50">
        <v>50010031</v>
      </c>
      <c r="F1516" s="50" t="s">
        <v>89</v>
      </c>
      <c r="G1516" s="50">
        <v>1</v>
      </c>
      <c r="H1516" s="50" t="s">
        <v>2</v>
      </c>
      <c r="I1516" s="50" t="s">
        <v>290</v>
      </c>
      <c r="J1516" s="51">
        <v>46065</v>
      </c>
      <c r="K1516" s="50" t="s">
        <v>1</v>
      </c>
      <c r="L1516" s="50" t="s">
        <v>80</v>
      </c>
    </row>
    <row r="1517" spans="2:12">
      <c r="B1517" s="50" t="s">
        <v>422</v>
      </c>
      <c r="C1517" s="50" t="s">
        <v>26</v>
      </c>
      <c r="D1517" s="50" t="s">
        <v>27</v>
      </c>
      <c r="E1517" s="50">
        <v>50037892</v>
      </c>
      <c r="F1517" s="50" t="s">
        <v>178</v>
      </c>
      <c r="G1517" s="50">
        <v>1</v>
      </c>
      <c r="H1517" s="50" t="s">
        <v>2</v>
      </c>
      <c r="I1517" s="50" t="s">
        <v>290</v>
      </c>
      <c r="J1517" s="51">
        <v>46065</v>
      </c>
      <c r="K1517" s="50" t="s">
        <v>1</v>
      </c>
      <c r="L1517" s="50" t="s">
        <v>80</v>
      </c>
    </row>
    <row r="1518" spans="2:12">
      <c r="B1518" s="50" t="s">
        <v>422</v>
      </c>
      <c r="C1518" s="50" t="s">
        <v>26</v>
      </c>
      <c r="D1518" s="50" t="s">
        <v>27</v>
      </c>
      <c r="E1518" s="50">
        <v>50037892</v>
      </c>
      <c r="F1518" s="50" t="s">
        <v>178</v>
      </c>
      <c r="G1518" s="50">
        <v>1</v>
      </c>
      <c r="H1518" s="50" t="s">
        <v>2</v>
      </c>
      <c r="I1518" s="50" t="s">
        <v>290</v>
      </c>
      <c r="J1518" s="51">
        <v>46065</v>
      </c>
      <c r="K1518" s="50" t="s">
        <v>3</v>
      </c>
      <c r="L1518" s="50" t="s">
        <v>80</v>
      </c>
    </row>
    <row r="1519" spans="2:12">
      <c r="B1519" s="50" t="s">
        <v>277</v>
      </c>
      <c r="C1519" s="50" t="s">
        <v>62</v>
      </c>
      <c r="D1519" s="50" t="s">
        <v>27</v>
      </c>
      <c r="E1519" s="50">
        <v>50032781</v>
      </c>
      <c r="F1519" s="50" t="s">
        <v>237</v>
      </c>
      <c r="G1519" s="50">
        <v>1</v>
      </c>
      <c r="H1519" s="50" t="s">
        <v>2</v>
      </c>
      <c r="I1519" s="50" t="s">
        <v>290</v>
      </c>
      <c r="J1519" s="51">
        <v>46065</v>
      </c>
      <c r="K1519" s="50" t="s">
        <v>1</v>
      </c>
      <c r="L1519" s="50" t="s">
        <v>80</v>
      </c>
    </row>
    <row r="1520" spans="2:12">
      <c r="B1520" s="50" t="s">
        <v>428</v>
      </c>
      <c r="C1520" s="50" t="s">
        <v>26</v>
      </c>
      <c r="D1520" s="50" t="s">
        <v>27</v>
      </c>
      <c r="E1520" s="50">
        <v>50036086</v>
      </c>
      <c r="F1520" s="50" t="s">
        <v>28</v>
      </c>
      <c r="G1520" s="50">
        <v>1</v>
      </c>
      <c r="H1520" s="50" t="s">
        <v>2</v>
      </c>
      <c r="I1520" s="50" t="s">
        <v>291</v>
      </c>
      <c r="J1520" s="51">
        <v>46065</v>
      </c>
      <c r="K1520" s="50" t="s">
        <v>1</v>
      </c>
      <c r="L1520" s="50" t="s">
        <v>80</v>
      </c>
    </row>
    <row r="1521" spans="2:12">
      <c r="B1521" s="50" t="s">
        <v>428</v>
      </c>
      <c r="C1521" s="50" t="s">
        <v>26</v>
      </c>
      <c r="D1521" s="50" t="s">
        <v>27</v>
      </c>
      <c r="E1521" s="50">
        <v>50038549</v>
      </c>
      <c r="F1521" s="50" t="s">
        <v>173</v>
      </c>
      <c r="G1521" s="50">
        <v>1</v>
      </c>
      <c r="H1521" s="50" t="s">
        <v>2</v>
      </c>
      <c r="I1521" s="50" t="s">
        <v>291</v>
      </c>
      <c r="J1521" s="51">
        <v>46065</v>
      </c>
      <c r="K1521" s="50" t="s">
        <v>3</v>
      </c>
      <c r="L1521" s="50" t="s">
        <v>80</v>
      </c>
    </row>
    <row r="1522" spans="2:12">
      <c r="B1522" s="50" t="s">
        <v>345</v>
      </c>
      <c r="C1522" s="50" t="s">
        <v>62</v>
      </c>
      <c r="D1522" s="50" t="s">
        <v>27</v>
      </c>
      <c r="E1522" s="50">
        <v>50038517</v>
      </c>
      <c r="F1522" s="50" t="s">
        <v>181</v>
      </c>
      <c r="G1522" s="50">
        <v>1</v>
      </c>
      <c r="H1522" s="50" t="s">
        <v>2</v>
      </c>
      <c r="I1522" s="50" t="s">
        <v>291</v>
      </c>
      <c r="J1522" s="51">
        <v>46065</v>
      </c>
      <c r="K1522" s="50" t="s">
        <v>3</v>
      </c>
      <c r="L1522" s="50" t="s">
        <v>80</v>
      </c>
    </row>
    <row r="1523" spans="2:12">
      <c r="B1523" s="50" t="s">
        <v>345</v>
      </c>
      <c r="C1523" s="50" t="s">
        <v>62</v>
      </c>
      <c r="D1523" s="50" t="s">
        <v>27</v>
      </c>
      <c r="E1523" s="50">
        <v>50043471</v>
      </c>
      <c r="F1523" s="50" t="s">
        <v>257</v>
      </c>
      <c r="G1523" s="50">
        <v>1</v>
      </c>
      <c r="H1523" s="50" t="s">
        <v>2</v>
      </c>
      <c r="I1523" s="50" t="s">
        <v>291</v>
      </c>
      <c r="J1523" s="51">
        <v>46065</v>
      </c>
      <c r="K1523" s="50" t="s">
        <v>1</v>
      </c>
      <c r="L1523" s="50" t="s">
        <v>80</v>
      </c>
    </row>
    <row r="1524" spans="2:12">
      <c r="B1524" s="50" t="s">
        <v>409</v>
      </c>
      <c r="C1524" s="50" t="s">
        <v>51</v>
      </c>
      <c r="D1524" s="50" t="s">
        <v>27</v>
      </c>
      <c r="E1524" s="50">
        <v>50032781</v>
      </c>
      <c r="F1524" s="50" t="s">
        <v>237</v>
      </c>
      <c r="G1524" s="50">
        <v>1</v>
      </c>
      <c r="H1524" s="50" t="s">
        <v>2</v>
      </c>
      <c r="I1524" s="50" t="s">
        <v>291</v>
      </c>
      <c r="J1524" s="51">
        <v>46065</v>
      </c>
      <c r="K1524" s="50" t="s">
        <v>3</v>
      </c>
      <c r="L1524" s="50" t="s">
        <v>80</v>
      </c>
    </row>
    <row r="1525" spans="2:12">
      <c r="B1525" s="50" t="s">
        <v>399</v>
      </c>
      <c r="C1525" s="50" t="s">
        <v>51</v>
      </c>
      <c r="D1525" s="50" t="s">
        <v>27</v>
      </c>
      <c r="E1525" s="50">
        <v>50003297</v>
      </c>
      <c r="F1525" s="50" t="s">
        <v>158</v>
      </c>
      <c r="G1525" s="50">
        <v>1</v>
      </c>
      <c r="H1525" s="50" t="s">
        <v>2</v>
      </c>
      <c r="I1525" s="50" t="s">
        <v>291</v>
      </c>
      <c r="J1525" s="51">
        <v>46065</v>
      </c>
      <c r="K1525" s="50" t="s">
        <v>3</v>
      </c>
      <c r="L1525" s="50" t="s">
        <v>80</v>
      </c>
    </row>
    <row r="1526" spans="2:12">
      <c r="B1526" s="50" t="s">
        <v>409</v>
      </c>
      <c r="C1526" s="50" t="s">
        <v>51</v>
      </c>
      <c r="D1526" s="50" t="s">
        <v>27</v>
      </c>
      <c r="E1526" s="50">
        <v>50032781</v>
      </c>
      <c r="F1526" s="50" t="s">
        <v>237</v>
      </c>
      <c r="G1526" s="50">
        <v>1</v>
      </c>
      <c r="H1526" s="50" t="s">
        <v>2</v>
      </c>
      <c r="I1526" s="50" t="s">
        <v>291</v>
      </c>
      <c r="J1526" s="51">
        <v>46065</v>
      </c>
      <c r="K1526" s="50" t="s">
        <v>1</v>
      </c>
      <c r="L1526" s="50" t="s">
        <v>80</v>
      </c>
    </row>
    <row r="1527" spans="2:12">
      <c r="B1527" s="50" t="s">
        <v>409</v>
      </c>
      <c r="C1527" s="50" t="s">
        <v>51</v>
      </c>
      <c r="D1527" s="50" t="s">
        <v>27</v>
      </c>
      <c r="E1527" s="50">
        <v>50041195</v>
      </c>
      <c r="F1527" s="50" t="s">
        <v>206</v>
      </c>
      <c r="G1527" s="50">
        <v>1</v>
      </c>
      <c r="H1527" s="50" t="s">
        <v>2</v>
      </c>
      <c r="I1527" s="50" t="s">
        <v>291</v>
      </c>
      <c r="J1527" s="51">
        <v>46065</v>
      </c>
      <c r="K1527" s="50" t="s">
        <v>3</v>
      </c>
      <c r="L1527" s="50" t="s">
        <v>80</v>
      </c>
    </row>
    <row r="1528" spans="2:12">
      <c r="B1528" s="50" t="s">
        <v>363</v>
      </c>
      <c r="C1528" s="50" t="s">
        <v>26</v>
      </c>
      <c r="D1528" s="50" t="s">
        <v>41</v>
      </c>
      <c r="E1528" s="50">
        <v>50037892</v>
      </c>
      <c r="F1528" s="50" t="s">
        <v>178</v>
      </c>
      <c r="G1528" s="50">
        <v>1</v>
      </c>
      <c r="H1528" s="50" t="s">
        <v>2</v>
      </c>
      <c r="I1528" s="50" t="s">
        <v>291</v>
      </c>
      <c r="J1528" s="51">
        <v>46065</v>
      </c>
      <c r="K1528" s="50" t="s">
        <v>1</v>
      </c>
      <c r="L1528" s="50" t="s">
        <v>80</v>
      </c>
    </row>
    <row r="1529" spans="2:12">
      <c r="B1529" s="50" t="s">
        <v>386</v>
      </c>
      <c r="C1529" s="50" t="s">
        <v>62</v>
      </c>
      <c r="D1529" s="50" t="s">
        <v>27</v>
      </c>
      <c r="E1529" s="50">
        <v>50043471</v>
      </c>
      <c r="F1529" s="50" t="s">
        <v>257</v>
      </c>
      <c r="G1529" s="50">
        <v>1</v>
      </c>
      <c r="H1529" s="50" t="s">
        <v>2</v>
      </c>
      <c r="I1529" s="50" t="s">
        <v>291</v>
      </c>
      <c r="J1529" s="51">
        <v>46065</v>
      </c>
      <c r="K1529" s="50" t="s">
        <v>1</v>
      </c>
      <c r="L1529" s="50" t="s">
        <v>80</v>
      </c>
    </row>
    <row r="1530" spans="2:12">
      <c r="B1530" s="50" t="s">
        <v>386</v>
      </c>
      <c r="C1530" s="50" t="s">
        <v>62</v>
      </c>
      <c r="D1530" s="50" t="s">
        <v>27</v>
      </c>
      <c r="E1530" s="50">
        <v>50038517</v>
      </c>
      <c r="F1530" s="50" t="s">
        <v>181</v>
      </c>
      <c r="G1530" s="50">
        <v>1</v>
      </c>
      <c r="H1530" s="50" t="s">
        <v>2</v>
      </c>
      <c r="I1530" s="50" t="s">
        <v>291</v>
      </c>
      <c r="J1530" s="51">
        <v>46065</v>
      </c>
      <c r="K1530" s="50" t="s">
        <v>1</v>
      </c>
      <c r="L1530" s="50" t="s">
        <v>80</v>
      </c>
    </row>
    <row r="1531" spans="2:12">
      <c r="B1531" s="50" t="s">
        <v>280</v>
      </c>
      <c r="C1531" s="50" t="s">
        <v>62</v>
      </c>
      <c r="D1531" s="50" t="s">
        <v>27</v>
      </c>
      <c r="E1531" s="50">
        <v>50026357</v>
      </c>
      <c r="F1531" s="50" t="s">
        <v>192</v>
      </c>
      <c r="G1531" s="50">
        <v>1</v>
      </c>
      <c r="H1531" s="50" t="s">
        <v>2</v>
      </c>
      <c r="I1531" s="50" t="s">
        <v>291</v>
      </c>
      <c r="J1531" s="51">
        <v>46065</v>
      </c>
      <c r="K1531" s="50" t="s">
        <v>1</v>
      </c>
      <c r="L1531" s="50" t="s">
        <v>80</v>
      </c>
    </row>
    <row r="1532" spans="2:12">
      <c r="B1532" s="50" t="s">
        <v>316</v>
      </c>
      <c r="C1532" s="50" t="s">
        <v>51</v>
      </c>
      <c r="D1532" s="50" t="s">
        <v>27</v>
      </c>
      <c r="E1532" s="50">
        <v>50037892</v>
      </c>
      <c r="F1532" s="50" t="s">
        <v>178</v>
      </c>
      <c r="G1532" s="50">
        <v>1</v>
      </c>
      <c r="H1532" s="50" t="s">
        <v>2</v>
      </c>
      <c r="I1532" s="50" t="s">
        <v>291</v>
      </c>
      <c r="J1532" s="51">
        <v>46065</v>
      </c>
      <c r="K1532" s="50" t="s">
        <v>3</v>
      </c>
      <c r="L1532" s="50" t="s">
        <v>80</v>
      </c>
    </row>
    <row r="1533" spans="2:12">
      <c r="B1533" s="50" t="s">
        <v>316</v>
      </c>
      <c r="C1533" s="50" t="s">
        <v>51</v>
      </c>
      <c r="D1533" s="50" t="s">
        <v>27</v>
      </c>
      <c r="E1533" s="50">
        <v>50037892</v>
      </c>
      <c r="F1533" s="50" t="s">
        <v>178</v>
      </c>
      <c r="G1533" s="50">
        <v>1</v>
      </c>
      <c r="H1533" s="50" t="s">
        <v>2</v>
      </c>
      <c r="I1533" s="50" t="s">
        <v>291</v>
      </c>
      <c r="J1533" s="51">
        <v>46065</v>
      </c>
      <c r="K1533" s="50" t="s">
        <v>3</v>
      </c>
      <c r="L1533" s="50" t="s">
        <v>80</v>
      </c>
    </row>
    <row r="1534" spans="2:12">
      <c r="B1534" s="50" t="s">
        <v>280</v>
      </c>
      <c r="C1534" s="50" t="s">
        <v>62</v>
      </c>
      <c r="D1534" s="50" t="s">
        <v>27</v>
      </c>
      <c r="E1534" s="50">
        <v>50026357</v>
      </c>
      <c r="F1534" s="50" t="s">
        <v>192</v>
      </c>
      <c r="G1534" s="50">
        <v>1</v>
      </c>
      <c r="H1534" s="50" t="s">
        <v>2</v>
      </c>
      <c r="I1534" s="50" t="s">
        <v>291</v>
      </c>
      <c r="J1534" s="51">
        <v>46065</v>
      </c>
      <c r="K1534" s="50" t="s">
        <v>3</v>
      </c>
      <c r="L1534" s="50" t="s">
        <v>80</v>
      </c>
    </row>
    <row r="1535" spans="2:12">
      <c r="B1535" s="50" t="s">
        <v>428</v>
      </c>
      <c r="C1535" s="50" t="s">
        <v>26</v>
      </c>
      <c r="D1535" s="50" t="s">
        <v>27</v>
      </c>
      <c r="E1535" s="50">
        <v>50038549</v>
      </c>
      <c r="F1535" s="50" t="s">
        <v>173</v>
      </c>
      <c r="G1535" s="50">
        <v>1</v>
      </c>
      <c r="H1535" s="50" t="s">
        <v>2</v>
      </c>
      <c r="I1535" s="50" t="s">
        <v>291</v>
      </c>
      <c r="J1535" s="51">
        <v>46065</v>
      </c>
      <c r="K1535" s="50" t="s">
        <v>3</v>
      </c>
      <c r="L1535" s="50" t="s">
        <v>80</v>
      </c>
    </row>
    <row r="1536" spans="2:12">
      <c r="B1536" s="50" t="s">
        <v>428</v>
      </c>
      <c r="C1536" s="50" t="s">
        <v>26</v>
      </c>
      <c r="D1536" s="50" t="s">
        <v>27</v>
      </c>
      <c r="E1536" s="50">
        <v>50036086</v>
      </c>
      <c r="F1536" s="50" t="s">
        <v>28</v>
      </c>
      <c r="G1536" s="50">
        <v>1</v>
      </c>
      <c r="H1536" s="50" t="s">
        <v>2</v>
      </c>
      <c r="I1536" s="50" t="s">
        <v>291</v>
      </c>
      <c r="J1536" s="51">
        <v>46065</v>
      </c>
      <c r="K1536" s="50" t="s">
        <v>3</v>
      </c>
      <c r="L1536" s="50" t="s">
        <v>80</v>
      </c>
    </row>
    <row r="1537" spans="2:12">
      <c r="B1537" s="50" t="s">
        <v>386</v>
      </c>
      <c r="C1537" s="50" t="s">
        <v>62</v>
      </c>
      <c r="D1537" s="50" t="s">
        <v>27</v>
      </c>
      <c r="E1537" s="50">
        <v>50038517</v>
      </c>
      <c r="F1537" s="50" t="s">
        <v>181</v>
      </c>
      <c r="G1537" s="50">
        <v>1</v>
      </c>
      <c r="H1537" s="50" t="s">
        <v>2</v>
      </c>
      <c r="I1537" s="50" t="s">
        <v>291</v>
      </c>
      <c r="J1537" s="51">
        <v>46065</v>
      </c>
      <c r="K1537" s="50" t="s">
        <v>3</v>
      </c>
      <c r="L1537" s="50" t="s">
        <v>80</v>
      </c>
    </row>
    <row r="1538" spans="2:12">
      <c r="B1538" s="50" t="s">
        <v>386</v>
      </c>
      <c r="C1538" s="50" t="s">
        <v>62</v>
      </c>
      <c r="D1538" s="50" t="s">
        <v>27</v>
      </c>
      <c r="E1538" s="50">
        <v>50043471</v>
      </c>
      <c r="F1538" s="50" t="s">
        <v>257</v>
      </c>
      <c r="G1538" s="50">
        <v>1</v>
      </c>
      <c r="H1538" s="50" t="s">
        <v>2</v>
      </c>
      <c r="I1538" s="50" t="s">
        <v>291</v>
      </c>
      <c r="J1538" s="51">
        <v>46065</v>
      </c>
      <c r="K1538" s="50" t="s">
        <v>3</v>
      </c>
      <c r="L1538" s="50" t="s">
        <v>80</v>
      </c>
    </row>
    <row r="1539" spans="2:12">
      <c r="B1539" s="50" t="s">
        <v>399</v>
      </c>
      <c r="C1539" s="50" t="s">
        <v>51</v>
      </c>
      <c r="D1539" s="50" t="s">
        <v>27</v>
      </c>
      <c r="E1539" s="50">
        <v>50010031</v>
      </c>
      <c r="F1539" s="50" t="s">
        <v>89</v>
      </c>
      <c r="G1539" s="50">
        <v>1</v>
      </c>
      <c r="H1539" s="50" t="s">
        <v>2</v>
      </c>
      <c r="I1539" s="50" t="s">
        <v>291</v>
      </c>
      <c r="J1539" s="51">
        <v>46065</v>
      </c>
      <c r="K1539" s="50" t="s">
        <v>3</v>
      </c>
      <c r="L1539" s="50" t="s">
        <v>80</v>
      </c>
    </row>
    <row r="1540" spans="2:12">
      <c r="B1540" s="50" t="s">
        <v>273</v>
      </c>
      <c r="C1540" s="50" t="s">
        <v>274</v>
      </c>
      <c r="D1540" s="50" t="s">
        <v>27</v>
      </c>
      <c r="E1540" s="50">
        <v>50041089</v>
      </c>
      <c r="F1540" s="50" t="s">
        <v>254</v>
      </c>
      <c r="G1540" s="50">
        <v>1</v>
      </c>
      <c r="H1540" s="50" t="s">
        <v>2</v>
      </c>
      <c r="I1540" s="50" t="s">
        <v>291</v>
      </c>
      <c r="J1540" s="51">
        <v>46065</v>
      </c>
      <c r="K1540" s="50" t="s">
        <v>1</v>
      </c>
      <c r="L1540" s="50" t="s">
        <v>80</v>
      </c>
    </row>
    <row r="1541" spans="2:12">
      <c r="B1541" s="50" t="s">
        <v>469</v>
      </c>
      <c r="C1541" s="50" t="s">
        <v>26</v>
      </c>
      <c r="D1541" s="50" t="s">
        <v>39</v>
      </c>
      <c r="E1541" s="50">
        <v>50022878</v>
      </c>
      <c r="F1541" s="50" t="s">
        <v>296</v>
      </c>
      <c r="G1541" s="50">
        <v>1</v>
      </c>
      <c r="H1541" s="50" t="s">
        <v>2</v>
      </c>
      <c r="I1541" s="50" t="s">
        <v>291</v>
      </c>
      <c r="J1541" s="51">
        <v>46065</v>
      </c>
      <c r="K1541" s="50" t="s">
        <v>3</v>
      </c>
      <c r="L1541" s="50" t="s">
        <v>80</v>
      </c>
    </row>
    <row r="1542" spans="2:12">
      <c r="B1542" s="50" t="s">
        <v>409</v>
      </c>
      <c r="C1542" s="50" t="s">
        <v>51</v>
      </c>
      <c r="D1542" s="50" t="s">
        <v>27</v>
      </c>
      <c r="E1542" s="50">
        <v>50041195</v>
      </c>
      <c r="F1542" s="50" t="s">
        <v>206</v>
      </c>
      <c r="G1542" s="50">
        <v>1</v>
      </c>
      <c r="H1542" s="50" t="s">
        <v>2</v>
      </c>
      <c r="I1542" s="50" t="s">
        <v>290</v>
      </c>
      <c r="J1542" s="51">
        <v>46065</v>
      </c>
      <c r="K1542" s="50" t="s">
        <v>1</v>
      </c>
      <c r="L1542" s="50" t="s">
        <v>80</v>
      </c>
    </row>
    <row r="1543" spans="2:12">
      <c r="B1543" s="50" t="s">
        <v>473</v>
      </c>
      <c r="C1543" s="50" t="s">
        <v>26</v>
      </c>
      <c r="D1543" s="50" t="s">
        <v>36</v>
      </c>
      <c r="E1543" s="50">
        <v>50036296</v>
      </c>
      <c r="F1543" s="50" t="s">
        <v>109</v>
      </c>
      <c r="G1543" s="50">
        <v>1</v>
      </c>
      <c r="H1543" s="50" t="s">
        <v>2</v>
      </c>
      <c r="I1543" s="50" t="s">
        <v>291</v>
      </c>
      <c r="J1543" s="51">
        <v>46064</v>
      </c>
      <c r="K1543" s="50" t="s">
        <v>3</v>
      </c>
      <c r="L1543" s="50" t="s">
        <v>80</v>
      </c>
    </row>
    <row r="1544" spans="2:12">
      <c r="B1544" s="50" t="s">
        <v>473</v>
      </c>
      <c r="C1544" s="50" t="s">
        <v>26</v>
      </c>
      <c r="D1544" s="50" t="s">
        <v>36</v>
      </c>
      <c r="E1544" s="50">
        <v>50036296</v>
      </c>
      <c r="F1544" s="50" t="s">
        <v>109</v>
      </c>
      <c r="G1544" s="50">
        <v>1</v>
      </c>
      <c r="H1544" s="50" t="s">
        <v>2</v>
      </c>
      <c r="I1544" s="50" t="s">
        <v>291</v>
      </c>
      <c r="J1544" s="51">
        <v>46064</v>
      </c>
      <c r="K1544" s="50" t="s">
        <v>1</v>
      </c>
      <c r="L1544" s="50"/>
    </row>
    <row r="1545" spans="2:12">
      <c r="B1545" s="50" t="e">
        <v>#N/A</v>
      </c>
      <c r="C1545" s="50" t="s">
        <v>56</v>
      </c>
      <c r="D1545" s="50" t="s">
        <v>27</v>
      </c>
      <c r="E1545" s="50">
        <v>50039802</v>
      </c>
      <c r="F1545" s="50" t="s">
        <v>209</v>
      </c>
      <c r="G1545" s="50">
        <v>1</v>
      </c>
      <c r="H1545" s="50" t="s">
        <v>2</v>
      </c>
      <c r="I1545" s="50" t="s">
        <v>291</v>
      </c>
      <c r="J1545" s="51">
        <v>46064</v>
      </c>
      <c r="K1545" s="50" t="s">
        <v>3</v>
      </c>
      <c r="L1545" s="50"/>
    </row>
    <row r="1546" spans="2:12">
      <c r="B1546" s="50" t="s">
        <v>273</v>
      </c>
      <c r="C1546" s="50" t="s">
        <v>274</v>
      </c>
      <c r="D1546" s="50" t="s">
        <v>27</v>
      </c>
      <c r="E1546" s="50">
        <v>50041089</v>
      </c>
      <c r="F1546" s="50" t="s">
        <v>254</v>
      </c>
      <c r="G1546" s="50">
        <v>1</v>
      </c>
      <c r="H1546" s="50" t="s">
        <v>2</v>
      </c>
      <c r="I1546" s="50" t="s">
        <v>293</v>
      </c>
      <c r="J1546" s="51">
        <v>46064</v>
      </c>
      <c r="K1546" s="50" t="s">
        <v>1</v>
      </c>
      <c r="L1546" s="50"/>
    </row>
    <row r="1547" spans="2:12">
      <c r="B1547" s="50" t="s">
        <v>347</v>
      </c>
      <c r="C1547" s="50" t="s">
        <v>26</v>
      </c>
      <c r="D1547" s="50" t="s">
        <v>41</v>
      </c>
      <c r="E1547" s="50">
        <v>50038549</v>
      </c>
      <c r="F1547" s="50" t="s">
        <v>173</v>
      </c>
      <c r="G1547" s="50">
        <v>1</v>
      </c>
      <c r="H1547" s="50" t="s">
        <v>2</v>
      </c>
      <c r="I1547" s="50" t="s">
        <v>289</v>
      </c>
      <c r="J1547" s="51">
        <v>46064</v>
      </c>
      <c r="K1547" s="50" t="s">
        <v>1</v>
      </c>
      <c r="L1547" s="50"/>
    </row>
    <row r="1548" spans="2:12">
      <c r="B1548" s="50" t="s">
        <v>469</v>
      </c>
      <c r="C1548" s="50" t="s">
        <v>26</v>
      </c>
      <c r="D1548" s="50" t="s">
        <v>39</v>
      </c>
      <c r="E1548" s="50">
        <v>50038578</v>
      </c>
      <c r="F1548" s="50" t="s">
        <v>364</v>
      </c>
      <c r="G1548" s="50">
        <v>1</v>
      </c>
      <c r="H1548" s="50" t="s">
        <v>2</v>
      </c>
      <c r="I1548" s="50" t="s">
        <v>289</v>
      </c>
      <c r="J1548" s="51">
        <v>46064</v>
      </c>
      <c r="K1548" s="50" t="s">
        <v>1</v>
      </c>
      <c r="L1548" s="50"/>
    </row>
    <row r="1549" spans="2:12">
      <c r="B1549" s="50" t="s">
        <v>471</v>
      </c>
      <c r="C1549" s="50" t="s">
        <v>26</v>
      </c>
      <c r="D1549" s="50" t="s">
        <v>39</v>
      </c>
      <c r="E1549" s="50">
        <v>50039065</v>
      </c>
      <c r="F1549" s="50" t="s">
        <v>186</v>
      </c>
      <c r="G1549" s="50">
        <v>1</v>
      </c>
      <c r="H1549" s="50" t="s">
        <v>2</v>
      </c>
      <c r="I1549" s="50" t="s">
        <v>293</v>
      </c>
      <c r="J1549" s="51">
        <v>46064</v>
      </c>
      <c r="K1549" s="50" t="s">
        <v>1</v>
      </c>
      <c r="L1549" s="50" t="s">
        <v>80</v>
      </c>
    </row>
    <row r="1550" spans="2:12">
      <c r="B1550" s="50" t="s">
        <v>471</v>
      </c>
      <c r="C1550" s="50" t="s">
        <v>26</v>
      </c>
      <c r="D1550" s="50" t="s">
        <v>39</v>
      </c>
      <c r="E1550" s="50">
        <v>50010031</v>
      </c>
      <c r="F1550" s="50" t="s">
        <v>89</v>
      </c>
      <c r="G1550" s="50">
        <v>1</v>
      </c>
      <c r="H1550" s="50" t="s">
        <v>2</v>
      </c>
      <c r="I1550" s="50" t="s">
        <v>293</v>
      </c>
      <c r="J1550" s="51">
        <v>46064</v>
      </c>
      <c r="K1550" s="50" t="s">
        <v>1</v>
      </c>
      <c r="L1550" s="50" t="s">
        <v>80</v>
      </c>
    </row>
    <row r="1551" spans="2:12">
      <c r="B1551" s="50" t="s">
        <v>427</v>
      </c>
      <c r="C1551" s="50" t="s">
        <v>26</v>
      </c>
      <c r="D1551" s="50" t="s">
        <v>27</v>
      </c>
      <c r="E1551" s="50">
        <v>50038626</v>
      </c>
      <c r="F1551" s="50" t="s">
        <v>190</v>
      </c>
      <c r="G1551" s="50">
        <v>1</v>
      </c>
      <c r="H1551" s="50" t="s">
        <v>2</v>
      </c>
      <c r="I1551" s="50" t="s">
        <v>291</v>
      </c>
      <c r="J1551" s="51">
        <v>46064</v>
      </c>
      <c r="K1551" s="50" t="s">
        <v>3</v>
      </c>
      <c r="L1551" s="50"/>
    </row>
    <row r="1552" spans="2:12">
      <c r="B1552" s="50" t="s">
        <v>347</v>
      </c>
      <c r="C1552" s="50" t="s">
        <v>26</v>
      </c>
      <c r="D1552" s="50" t="s">
        <v>41</v>
      </c>
      <c r="E1552" s="50">
        <v>50038549</v>
      </c>
      <c r="F1552" s="50" t="s">
        <v>173</v>
      </c>
      <c r="G1552" s="50">
        <v>1</v>
      </c>
      <c r="H1552" s="50" t="s">
        <v>2</v>
      </c>
      <c r="I1552" s="50" t="s">
        <v>289</v>
      </c>
      <c r="J1552" s="51">
        <v>46064</v>
      </c>
      <c r="K1552" s="50" t="s">
        <v>3</v>
      </c>
      <c r="L1552" s="50" t="s">
        <v>80</v>
      </c>
    </row>
    <row r="1553" spans="2:12">
      <c r="B1553" s="50" t="s">
        <v>469</v>
      </c>
      <c r="C1553" s="50" t="s">
        <v>26</v>
      </c>
      <c r="D1553" s="50" t="s">
        <v>39</v>
      </c>
      <c r="E1553" s="50">
        <v>50022878</v>
      </c>
      <c r="F1553" s="50" t="s">
        <v>296</v>
      </c>
      <c r="G1553" s="50">
        <v>1</v>
      </c>
      <c r="H1553" s="50" t="s">
        <v>2</v>
      </c>
      <c r="I1553" s="50" t="s">
        <v>289</v>
      </c>
      <c r="J1553" s="51">
        <v>46064</v>
      </c>
      <c r="K1553" s="50" t="s">
        <v>3</v>
      </c>
      <c r="L1553" s="50" t="s">
        <v>80</v>
      </c>
    </row>
    <row r="1554" spans="2:12">
      <c r="B1554" s="50" t="s">
        <v>469</v>
      </c>
      <c r="C1554" s="50" t="s">
        <v>26</v>
      </c>
      <c r="D1554" s="50" t="s">
        <v>39</v>
      </c>
      <c r="E1554" s="50">
        <v>50038578</v>
      </c>
      <c r="F1554" s="50" t="s">
        <v>364</v>
      </c>
      <c r="G1554" s="50">
        <v>1</v>
      </c>
      <c r="H1554" s="50" t="s">
        <v>2</v>
      </c>
      <c r="I1554" s="50" t="s">
        <v>289</v>
      </c>
      <c r="J1554" s="51">
        <v>46064</v>
      </c>
      <c r="K1554" s="50" t="s">
        <v>1</v>
      </c>
      <c r="L1554" s="50" t="s">
        <v>80</v>
      </c>
    </row>
    <row r="1555" spans="2:12">
      <c r="B1555" s="50" t="s">
        <v>394</v>
      </c>
      <c r="C1555" s="50" t="s">
        <v>51</v>
      </c>
      <c r="D1555" s="50" t="s">
        <v>27</v>
      </c>
      <c r="E1555" s="50">
        <v>50043471</v>
      </c>
      <c r="F1555" s="50" t="s">
        <v>257</v>
      </c>
      <c r="G1555" s="50">
        <v>1</v>
      </c>
      <c r="H1555" s="50" t="s">
        <v>2</v>
      </c>
      <c r="I1555" s="50" t="s">
        <v>293</v>
      </c>
      <c r="J1555" s="51">
        <v>46064</v>
      </c>
      <c r="K1555" s="50" t="s">
        <v>1</v>
      </c>
      <c r="L1555" s="50" t="s">
        <v>80</v>
      </c>
    </row>
    <row r="1556" spans="2:12">
      <c r="B1556" s="50" t="s">
        <v>483</v>
      </c>
      <c r="C1556" s="50" t="s">
        <v>62</v>
      </c>
      <c r="D1556" s="50" t="s">
        <v>27</v>
      </c>
      <c r="E1556" s="50">
        <v>50003297</v>
      </c>
      <c r="F1556" s="50" t="s">
        <v>158</v>
      </c>
      <c r="G1556" s="50">
        <v>1</v>
      </c>
      <c r="H1556" s="50" t="s">
        <v>2</v>
      </c>
      <c r="I1556" s="50" t="s">
        <v>293</v>
      </c>
      <c r="J1556" s="51">
        <v>46064</v>
      </c>
      <c r="K1556" s="50" t="s">
        <v>1</v>
      </c>
      <c r="L1556" s="50" t="s">
        <v>80</v>
      </c>
    </row>
    <row r="1557" spans="2:12">
      <c r="B1557" s="50" t="s">
        <v>386</v>
      </c>
      <c r="C1557" s="50" t="s">
        <v>62</v>
      </c>
      <c r="D1557" s="50" t="s">
        <v>27</v>
      </c>
      <c r="E1557" s="50">
        <v>50041195</v>
      </c>
      <c r="F1557" s="50" t="s">
        <v>206</v>
      </c>
      <c r="G1557" s="50">
        <v>1</v>
      </c>
      <c r="H1557" s="50" t="s">
        <v>2</v>
      </c>
      <c r="I1557" s="50" t="s">
        <v>293</v>
      </c>
      <c r="J1557" s="51">
        <v>46064</v>
      </c>
      <c r="K1557" s="50" t="s">
        <v>1</v>
      </c>
      <c r="L1557" s="50" t="s">
        <v>80</v>
      </c>
    </row>
    <row r="1558" spans="2:12">
      <c r="B1558" s="50" t="s">
        <v>458</v>
      </c>
      <c r="C1558" s="50" t="s">
        <v>26</v>
      </c>
      <c r="D1558" s="50" t="s">
        <v>27</v>
      </c>
      <c r="E1558" s="50">
        <v>50037961</v>
      </c>
      <c r="F1558" s="50" t="s">
        <v>113</v>
      </c>
      <c r="G1558" s="50">
        <v>1</v>
      </c>
      <c r="H1558" s="50" t="s">
        <v>2</v>
      </c>
      <c r="I1558" s="50" t="s">
        <v>293</v>
      </c>
      <c r="J1558" s="51">
        <v>46064</v>
      </c>
      <c r="K1558" s="50" t="s">
        <v>1</v>
      </c>
      <c r="L1558" s="50" t="s">
        <v>80</v>
      </c>
    </row>
    <row r="1559" spans="2:12">
      <c r="B1559" s="50" t="s">
        <v>458</v>
      </c>
      <c r="C1559" s="50" t="s">
        <v>26</v>
      </c>
      <c r="D1559" s="50" t="s">
        <v>27</v>
      </c>
      <c r="E1559" s="50">
        <v>50037960</v>
      </c>
      <c r="F1559" s="50" t="s">
        <v>112</v>
      </c>
      <c r="G1559" s="50">
        <v>1</v>
      </c>
      <c r="H1559" s="50" t="s">
        <v>2</v>
      </c>
      <c r="I1559" s="50" t="s">
        <v>293</v>
      </c>
      <c r="J1559" s="51">
        <v>46064</v>
      </c>
      <c r="K1559" s="50" t="s">
        <v>1</v>
      </c>
      <c r="L1559" s="50" t="s">
        <v>80</v>
      </c>
    </row>
    <row r="1560" spans="2:12">
      <c r="B1560" s="50" t="s">
        <v>386</v>
      </c>
      <c r="C1560" s="50" t="s">
        <v>62</v>
      </c>
      <c r="D1560" s="50" t="s">
        <v>27</v>
      </c>
      <c r="E1560" s="50">
        <v>50020623</v>
      </c>
      <c r="F1560" s="50" t="s">
        <v>217</v>
      </c>
      <c r="G1560" s="50">
        <v>1</v>
      </c>
      <c r="H1560" s="50" t="s">
        <v>2</v>
      </c>
      <c r="I1560" s="50" t="s">
        <v>293</v>
      </c>
      <c r="J1560" s="51">
        <v>46064</v>
      </c>
      <c r="K1560" s="50" t="s">
        <v>1</v>
      </c>
      <c r="L1560" s="50" t="s">
        <v>80</v>
      </c>
    </row>
    <row r="1561" spans="2:12">
      <c r="B1561" s="50" t="s">
        <v>273</v>
      </c>
      <c r="C1561" s="50" t="s">
        <v>274</v>
      </c>
      <c r="D1561" s="50" t="s">
        <v>27</v>
      </c>
      <c r="E1561" s="50">
        <v>50041089</v>
      </c>
      <c r="F1561" s="50" t="s">
        <v>254</v>
      </c>
      <c r="G1561" s="50">
        <v>1</v>
      </c>
      <c r="H1561" s="50" t="s">
        <v>2</v>
      </c>
      <c r="I1561" s="50" t="s">
        <v>293</v>
      </c>
      <c r="J1561" s="51">
        <v>46064</v>
      </c>
      <c r="K1561" s="50" t="s">
        <v>1</v>
      </c>
      <c r="L1561" s="50" t="s">
        <v>80</v>
      </c>
    </row>
    <row r="1562" spans="2:12">
      <c r="B1562" s="50" t="s">
        <v>407</v>
      </c>
      <c r="C1562" s="50" t="s">
        <v>26</v>
      </c>
      <c r="D1562" s="50" t="s">
        <v>39</v>
      </c>
      <c r="E1562" s="50">
        <v>50037905</v>
      </c>
      <c r="F1562" s="50" t="s">
        <v>150</v>
      </c>
      <c r="G1562" s="50">
        <v>1</v>
      </c>
      <c r="H1562" s="50" t="s">
        <v>2</v>
      </c>
      <c r="I1562" s="50" t="s">
        <v>293</v>
      </c>
      <c r="J1562" s="51">
        <v>46064</v>
      </c>
      <c r="K1562" s="50" t="s">
        <v>1</v>
      </c>
      <c r="L1562" s="50" t="s">
        <v>80</v>
      </c>
    </row>
    <row r="1563" spans="2:12">
      <c r="B1563" s="50" t="s">
        <v>407</v>
      </c>
      <c r="C1563" s="50" t="s">
        <v>26</v>
      </c>
      <c r="D1563" s="50" t="s">
        <v>39</v>
      </c>
      <c r="E1563" s="50">
        <v>50037933</v>
      </c>
      <c r="F1563" s="50" t="s">
        <v>250</v>
      </c>
      <c r="G1563" s="50">
        <v>1</v>
      </c>
      <c r="H1563" s="50" t="s">
        <v>2</v>
      </c>
      <c r="I1563" s="50" t="s">
        <v>293</v>
      </c>
      <c r="J1563" s="51">
        <v>46064</v>
      </c>
      <c r="K1563" s="50" t="s">
        <v>3</v>
      </c>
      <c r="L1563" s="50" t="s">
        <v>80</v>
      </c>
    </row>
    <row r="1564" spans="2:12">
      <c r="B1564" s="50" t="s">
        <v>471</v>
      </c>
      <c r="C1564" s="50" t="s">
        <v>26</v>
      </c>
      <c r="D1564" s="50" t="s">
        <v>39</v>
      </c>
      <c r="E1564" s="50">
        <v>50039065</v>
      </c>
      <c r="F1564" s="50" t="s">
        <v>186</v>
      </c>
      <c r="G1564" s="50">
        <v>1</v>
      </c>
      <c r="H1564" s="50" t="s">
        <v>2</v>
      </c>
      <c r="I1564" s="50" t="s">
        <v>293</v>
      </c>
      <c r="J1564" s="51">
        <v>46064</v>
      </c>
      <c r="K1564" s="50" t="s">
        <v>3</v>
      </c>
      <c r="L1564" s="50" t="s">
        <v>80</v>
      </c>
    </row>
    <row r="1565" spans="2:12">
      <c r="B1565" s="50" t="s">
        <v>471</v>
      </c>
      <c r="C1565" s="50" t="s">
        <v>26</v>
      </c>
      <c r="D1565" s="50" t="s">
        <v>39</v>
      </c>
      <c r="E1565" s="50">
        <v>50010031</v>
      </c>
      <c r="F1565" s="50" t="s">
        <v>89</v>
      </c>
      <c r="G1565" s="50">
        <v>1</v>
      </c>
      <c r="H1565" s="50" t="s">
        <v>2</v>
      </c>
      <c r="I1565" s="50" t="s">
        <v>293</v>
      </c>
      <c r="J1565" s="51">
        <v>46064</v>
      </c>
      <c r="K1565" s="50" t="s">
        <v>3</v>
      </c>
      <c r="L1565" s="50" t="s">
        <v>80</v>
      </c>
    </row>
    <row r="1566" spans="2:12">
      <c r="B1566" s="50" t="s">
        <v>437</v>
      </c>
      <c r="C1566" s="50" t="s">
        <v>51</v>
      </c>
      <c r="D1566" s="50" t="s">
        <v>41</v>
      </c>
      <c r="E1566" s="50">
        <v>50010031</v>
      </c>
      <c r="F1566" s="50" t="s">
        <v>89</v>
      </c>
      <c r="G1566" s="50">
        <v>1</v>
      </c>
      <c r="H1566" s="50" t="s">
        <v>2</v>
      </c>
      <c r="I1566" s="50" t="s">
        <v>293</v>
      </c>
      <c r="J1566" s="51">
        <v>46064</v>
      </c>
      <c r="K1566" s="50" t="s">
        <v>1</v>
      </c>
      <c r="L1566" s="50" t="s">
        <v>80</v>
      </c>
    </row>
    <row r="1567" spans="2:12">
      <c r="B1567" s="50" t="s">
        <v>407</v>
      </c>
      <c r="C1567" s="50" t="s">
        <v>26</v>
      </c>
      <c r="D1567" s="50" t="s">
        <v>39</v>
      </c>
      <c r="E1567" s="50">
        <v>50037933</v>
      </c>
      <c r="F1567" s="50" t="s">
        <v>250</v>
      </c>
      <c r="G1567" s="50">
        <v>1</v>
      </c>
      <c r="H1567" s="50" t="s">
        <v>2</v>
      </c>
      <c r="I1567" s="50" t="s">
        <v>293</v>
      </c>
      <c r="J1567" s="51">
        <v>46064</v>
      </c>
      <c r="K1567" s="50" t="s">
        <v>3</v>
      </c>
      <c r="L1567" s="50" t="s">
        <v>80</v>
      </c>
    </row>
    <row r="1568" spans="2:12">
      <c r="B1568" s="50" t="s">
        <v>407</v>
      </c>
      <c r="C1568" s="50" t="s">
        <v>26</v>
      </c>
      <c r="D1568" s="50" t="s">
        <v>39</v>
      </c>
      <c r="E1568" s="50">
        <v>50037905</v>
      </c>
      <c r="F1568" s="50" t="s">
        <v>150</v>
      </c>
      <c r="G1568" s="50">
        <v>1</v>
      </c>
      <c r="H1568" s="50" t="s">
        <v>2</v>
      </c>
      <c r="I1568" s="50" t="s">
        <v>293</v>
      </c>
      <c r="J1568" s="51">
        <v>46064</v>
      </c>
      <c r="K1568" s="50" t="s">
        <v>1</v>
      </c>
      <c r="L1568" s="50" t="s">
        <v>80</v>
      </c>
    </row>
    <row r="1569" spans="2:12">
      <c r="B1569" s="50" t="s">
        <v>363</v>
      </c>
      <c r="C1569" s="50" t="s">
        <v>26</v>
      </c>
      <c r="D1569" s="50" t="s">
        <v>41</v>
      </c>
      <c r="E1569" s="50">
        <v>50037892</v>
      </c>
      <c r="F1569" s="50" t="s">
        <v>178</v>
      </c>
      <c r="G1569" s="50">
        <v>1</v>
      </c>
      <c r="H1569" s="50" t="s">
        <v>2</v>
      </c>
      <c r="I1569" s="50" t="s">
        <v>292</v>
      </c>
      <c r="J1569" s="51">
        <v>46064</v>
      </c>
      <c r="K1569" s="50" t="s">
        <v>3</v>
      </c>
      <c r="L1569" s="50" t="s">
        <v>80</v>
      </c>
    </row>
    <row r="1570" spans="2:12">
      <c r="B1570" s="50" t="s">
        <v>363</v>
      </c>
      <c r="C1570" s="50" t="s">
        <v>26</v>
      </c>
      <c r="D1570" s="50" t="s">
        <v>41</v>
      </c>
      <c r="E1570" s="50">
        <v>50037892</v>
      </c>
      <c r="F1570" s="50" t="s">
        <v>178</v>
      </c>
      <c r="G1570" s="50">
        <v>1</v>
      </c>
      <c r="H1570" s="50" t="s">
        <v>2</v>
      </c>
      <c r="I1570" s="50" t="s">
        <v>292</v>
      </c>
      <c r="J1570" s="51">
        <v>46064</v>
      </c>
      <c r="K1570" s="50" t="s">
        <v>3</v>
      </c>
      <c r="L1570" s="50" t="s">
        <v>80</v>
      </c>
    </row>
    <row r="1571" spans="2:12">
      <c r="B1571" s="50" t="s">
        <v>394</v>
      </c>
      <c r="C1571" s="50" t="s">
        <v>51</v>
      </c>
      <c r="D1571" s="50" t="s">
        <v>27</v>
      </c>
      <c r="E1571" s="50">
        <v>50043471</v>
      </c>
      <c r="F1571" s="50" t="s">
        <v>257</v>
      </c>
      <c r="G1571" s="50">
        <v>1</v>
      </c>
      <c r="H1571" s="50" t="s">
        <v>2</v>
      </c>
      <c r="I1571" s="50" t="s">
        <v>292</v>
      </c>
      <c r="J1571" s="51">
        <v>46064</v>
      </c>
      <c r="K1571" s="50" t="s">
        <v>3</v>
      </c>
      <c r="L1571" s="50" t="s">
        <v>80</v>
      </c>
    </row>
    <row r="1572" spans="2:12">
      <c r="B1572" s="50" t="s">
        <v>386</v>
      </c>
      <c r="C1572" s="50" t="s">
        <v>62</v>
      </c>
      <c r="D1572" s="50" t="s">
        <v>27</v>
      </c>
      <c r="E1572" s="50">
        <v>50020623</v>
      </c>
      <c r="F1572" s="50" t="s">
        <v>217</v>
      </c>
      <c r="G1572" s="50">
        <v>1</v>
      </c>
      <c r="H1572" s="50" t="s">
        <v>2</v>
      </c>
      <c r="I1572" s="50" t="s">
        <v>292</v>
      </c>
      <c r="J1572" s="51">
        <v>46064</v>
      </c>
      <c r="K1572" s="50" t="s">
        <v>3</v>
      </c>
      <c r="L1572" s="50" t="s">
        <v>80</v>
      </c>
    </row>
    <row r="1573" spans="2:12">
      <c r="B1573" s="50" t="s">
        <v>386</v>
      </c>
      <c r="C1573" s="50" t="s">
        <v>62</v>
      </c>
      <c r="D1573" s="50" t="s">
        <v>27</v>
      </c>
      <c r="E1573" s="50">
        <v>50041195</v>
      </c>
      <c r="F1573" s="50" t="s">
        <v>206</v>
      </c>
      <c r="G1573" s="50">
        <v>1</v>
      </c>
      <c r="H1573" s="50" t="s">
        <v>2</v>
      </c>
      <c r="I1573" s="50" t="s">
        <v>292</v>
      </c>
      <c r="J1573" s="51">
        <v>46064</v>
      </c>
      <c r="K1573" s="50" t="s">
        <v>1</v>
      </c>
      <c r="L1573" s="50" t="s">
        <v>80</v>
      </c>
    </row>
    <row r="1574" spans="2:12">
      <c r="B1574" s="50" t="s">
        <v>389</v>
      </c>
      <c r="C1574" s="50" t="s">
        <v>56</v>
      </c>
      <c r="D1574" s="50" t="s">
        <v>27</v>
      </c>
      <c r="E1574" s="50">
        <v>50029865</v>
      </c>
      <c r="F1574" s="50" t="s">
        <v>162</v>
      </c>
      <c r="G1574" s="50">
        <v>1</v>
      </c>
      <c r="H1574" s="50" t="s">
        <v>2</v>
      </c>
      <c r="I1574" s="50" t="s">
        <v>291</v>
      </c>
      <c r="J1574" s="51">
        <v>46064</v>
      </c>
      <c r="K1574" s="50" t="s">
        <v>1</v>
      </c>
      <c r="L1574" s="50" t="s">
        <v>80</v>
      </c>
    </row>
    <row r="1575" spans="2:12">
      <c r="B1575" s="50" t="s">
        <v>389</v>
      </c>
      <c r="C1575" s="50" t="s">
        <v>56</v>
      </c>
      <c r="D1575" s="50" t="s">
        <v>27</v>
      </c>
      <c r="E1575" s="50">
        <v>50045979</v>
      </c>
      <c r="F1575" s="50" t="s">
        <v>357</v>
      </c>
      <c r="G1575" s="50">
        <v>1</v>
      </c>
      <c r="H1575" s="50" t="s">
        <v>2</v>
      </c>
      <c r="I1575" s="50" t="s">
        <v>291</v>
      </c>
      <c r="J1575" s="51">
        <v>46064</v>
      </c>
      <c r="K1575" s="50" t="s">
        <v>1</v>
      </c>
      <c r="L1575" s="50" t="s">
        <v>80</v>
      </c>
    </row>
    <row r="1576" spans="2:12">
      <c r="B1576" s="50" t="s">
        <v>363</v>
      </c>
      <c r="C1576" s="50" t="s">
        <v>26</v>
      </c>
      <c r="D1576" s="50" t="s">
        <v>41</v>
      </c>
      <c r="E1576" s="50">
        <v>50037892</v>
      </c>
      <c r="F1576" s="50" t="s">
        <v>178</v>
      </c>
      <c r="G1576" s="50">
        <v>1</v>
      </c>
      <c r="H1576" s="50" t="s">
        <v>2</v>
      </c>
      <c r="I1576" s="50" t="s">
        <v>291</v>
      </c>
      <c r="J1576" s="51">
        <v>46064</v>
      </c>
      <c r="K1576" s="50" t="s">
        <v>1</v>
      </c>
      <c r="L1576" s="50" t="s">
        <v>80</v>
      </c>
    </row>
    <row r="1577" spans="2:12">
      <c r="B1577" s="50" t="s">
        <v>422</v>
      </c>
      <c r="C1577" s="50" t="s">
        <v>26</v>
      </c>
      <c r="D1577" s="50" t="s">
        <v>27</v>
      </c>
      <c r="E1577" s="50">
        <v>50037892</v>
      </c>
      <c r="F1577" s="50" t="s">
        <v>178</v>
      </c>
      <c r="G1577" s="50">
        <v>1</v>
      </c>
      <c r="H1577" s="50" t="s">
        <v>2</v>
      </c>
      <c r="I1577" s="50" t="s">
        <v>291</v>
      </c>
      <c r="J1577" s="51">
        <v>46064</v>
      </c>
      <c r="K1577" s="50" t="s">
        <v>3</v>
      </c>
      <c r="L1577" s="50" t="s">
        <v>80</v>
      </c>
    </row>
    <row r="1578" spans="2:12">
      <c r="B1578" s="50" t="s">
        <v>422</v>
      </c>
      <c r="C1578" s="50" t="s">
        <v>26</v>
      </c>
      <c r="D1578" s="50" t="s">
        <v>27</v>
      </c>
      <c r="E1578" s="50">
        <v>50037892</v>
      </c>
      <c r="F1578" s="50" t="s">
        <v>178</v>
      </c>
      <c r="G1578" s="50">
        <v>1</v>
      </c>
      <c r="H1578" s="50" t="s">
        <v>2</v>
      </c>
      <c r="I1578" s="50" t="s">
        <v>291</v>
      </c>
      <c r="J1578" s="51">
        <v>46064</v>
      </c>
      <c r="K1578" s="50" t="s">
        <v>3</v>
      </c>
      <c r="L1578" s="50" t="s">
        <v>80</v>
      </c>
    </row>
    <row r="1579" spans="2:12">
      <c r="B1579" s="50" t="s">
        <v>458</v>
      </c>
      <c r="C1579" s="50" t="s">
        <v>26</v>
      </c>
      <c r="D1579" s="50" t="s">
        <v>27</v>
      </c>
      <c r="E1579" s="50">
        <v>50037961</v>
      </c>
      <c r="F1579" s="50" t="s">
        <v>113</v>
      </c>
      <c r="G1579" s="50">
        <v>1</v>
      </c>
      <c r="H1579" s="50" t="s">
        <v>2</v>
      </c>
      <c r="I1579" s="50" t="s">
        <v>291</v>
      </c>
      <c r="J1579" s="51">
        <v>46064</v>
      </c>
      <c r="K1579" s="50" t="s">
        <v>3</v>
      </c>
      <c r="L1579" s="50" t="s">
        <v>80</v>
      </c>
    </row>
    <row r="1580" spans="2:12">
      <c r="B1580" s="50" t="s">
        <v>458</v>
      </c>
      <c r="C1580" s="50" t="s">
        <v>26</v>
      </c>
      <c r="D1580" s="50" t="s">
        <v>27</v>
      </c>
      <c r="E1580" s="50">
        <v>50037960</v>
      </c>
      <c r="F1580" s="50" t="s">
        <v>112</v>
      </c>
      <c r="G1580" s="50">
        <v>1</v>
      </c>
      <c r="H1580" s="50" t="s">
        <v>2</v>
      </c>
      <c r="I1580" s="50" t="s">
        <v>291</v>
      </c>
      <c r="J1580" s="51">
        <v>46064</v>
      </c>
      <c r="K1580" s="50" t="s">
        <v>1</v>
      </c>
      <c r="L1580" s="50" t="s">
        <v>80</v>
      </c>
    </row>
    <row r="1581" spans="2:12">
      <c r="B1581" s="50" t="s">
        <v>428</v>
      </c>
      <c r="C1581" s="50" t="s">
        <v>26</v>
      </c>
      <c r="D1581" s="50" t="s">
        <v>27</v>
      </c>
      <c r="E1581" s="50">
        <v>50001995</v>
      </c>
      <c r="F1581" s="50" t="s">
        <v>185</v>
      </c>
      <c r="G1581" s="50">
        <v>1</v>
      </c>
      <c r="H1581" s="50" t="s">
        <v>2</v>
      </c>
      <c r="I1581" s="50" t="s">
        <v>291</v>
      </c>
      <c r="J1581" s="51">
        <v>46064</v>
      </c>
      <c r="K1581" s="50" t="s">
        <v>3</v>
      </c>
      <c r="L1581" s="50" t="s">
        <v>80</v>
      </c>
    </row>
    <row r="1582" spans="2:12">
      <c r="B1582" s="50" t="s">
        <v>437</v>
      </c>
      <c r="C1582" s="50" t="s">
        <v>51</v>
      </c>
      <c r="D1582" s="50" t="s">
        <v>41</v>
      </c>
      <c r="E1582" s="50">
        <v>50010031</v>
      </c>
      <c r="F1582" s="50" t="s">
        <v>89</v>
      </c>
      <c r="G1582" s="50">
        <v>1</v>
      </c>
      <c r="H1582" s="50" t="s">
        <v>2</v>
      </c>
      <c r="I1582" s="50" t="s">
        <v>291</v>
      </c>
      <c r="J1582" s="51">
        <v>46064</v>
      </c>
      <c r="K1582" s="50" t="s">
        <v>3</v>
      </c>
      <c r="L1582" s="50" t="s">
        <v>80</v>
      </c>
    </row>
    <row r="1583" spans="2:12">
      <c r="B1583" s="50" t="s">
        <v>402</v>
      </c>
      <c r="C1583" s="50" t="s">
        <v>56</v>
      </c>
      <c r="D1583" s="50" t="s">
        <v>39</v>
      </c>
      <c r="E1583" s="50">
        <v>50010031</v>
      </c>
      <c r="F1583" s="50" t="s">
        <v>89</v>
      </c>
      <c r="G1583" s="50">
        <v>1</v>
      </c>
      <c r="H1583" s="50" t="s">
        <v>2</v>
      </c>
      <c r="I1583" s="50" t="s">
        <v>291</v>
      </c>
      <c r="J1583" s="51">
        <v>46064</v>
      </c>
      <c r="K1583" s="50" t="s">
        <v>1</v>
      </c>
      <c r="L1583" s="50" t="s">
        <v>80</v>
      </c>
    </row>
    <row r="1584" spans="2:12">
      <c r="B1584" s="50" t="s">
        <v>402</v>
      </c>
      <c r="C1584" s="50" t="s">
        <v>56</v>
      </c>
      <c r="D1584" s="50" t="s">
        <v>39</v>
      </c>
      <c r="E1584" s="50">
        <v>50041195</v>
      </c>
      <c r="F1584" s="50" t="s">
        <v>206</v>
      </c>
      <c r="G1584" s="50">
        <v>1</v>
      </c>
      <c r="H1584" s="50" t="s">
        <v>2</v>
      </c>
      <c r="I1584" s="50" t="s">
        <v>291</v>
      </c>
      <c r="J1584" s="51">
        <v>46064</v>
      </c>
      <c r="K1584" s="50" t="s">
        <v>1</v>
      </c>
      <c r="L1584" s="50" t="s">
        <v>80</v>
      </c>
    </row>
    <row r="1585" spans="2:12">
      <c r="B1585" s="50" t="s">
        <v>411</v>
      </c>
      <c r="C1585" s="50" t="s">
        <v>26</v>
      </c>
      <c r="D1585" s="50" t="s">
        <v>27</v>
      </c>
      <c r="E1585" s="50">
        <v>50036086</v>
      </c>
      <c r="F1585" s="50" t="s">
        <v>28</v>
      </c>
      <c r="G1585" s="50">
        <v>1</v>
      </c>
      <c r="H1585" s="50" t="s">
        <v>2</v>
      </c>
      <c r="I1585" s="50" t="s">
        <v>291</v>
      </c>
      <c r="J1585" s="51">
        <v>46064</v>
      </c>
      <c r="K1585" s="50" t="s">
        <v>1</v>
      </c>
      <c r="L1585" s="50" t="s">
        <v>80</v>
      </c>
    </row>
    <row r="1586" spans="2:12" ht="15" customHeight="1">
      <c r="B1586" s="50" t="s">
        <v>411</v>
      </c>
      <c r="C1586" s="50" t="s">
        <v>26</v>
      </c>
      <c r="D1586" s="50" t="s">
        <v>27</v>
      </c>
      <c r="E1586" s="50">
        <v>50003173</v>
      </c>
      <c r="F1586" s="50" t="s">
        <v>74</v>
      </c>
      <c r="G1586" s="50">
        <v>1</v>
      </c>
      <c r="H1586" s="50" t="s">
        <v>2</v>
      </c>
      <c r="I1586" s="50" t="s">
        <v>291</v>
      </c>
      <c r="J1586" s="51">
        <v>46064</v>
      </c>
      <c r="K1586" s="50" t="s">
        <v>1</v>
      </c>
      <c r="L1586" s="50" t="s">
        <v>80</v>
      </c>
    </row>
    <row r="1587" spans="2:12">
      <c r="B1587" s="50" t="s">
        <v>458</v>
      </c>
      <c r="C1587" s="50" t="s">
        <v>26</v>
      </c>
      <c r="D1587" s="50" t="s">
        <v>27</v>
      </c>
      <c r="E1587" s="50">
        <v>50032781</v>
      </c>
      <c r="F1587" s="50" t="s">
        <v>237</v>
      </c>
      <c r="G1587" s="50">
        <v>1</v>
      </c>
      <c r="H1587" s="50" t="s">
        <v>2</v>
      </c>
      <c r="I1587" s="50" t="s">
        <v>291</v>
      </c>
      <c r="J1587" s="51">
        <v>46064</v>
      </c>
      <c r="K1587" s="50" t="s">
        <v>3</v>
      </c>
      <c r="L1587" s="50" t="s">
        <v>80</v>
      </c>
    </row>
    <row r="1588" spans="2:12">
      <c r="B1588" s="50" t="s">
        <v>458</v>
      </c>
      <c r="C1588" s="50" t="s">
        <v>26</v>
      </c>
      <c r="D1588" s="50" t="s">
        <v>27</v>
      </c>
      <c r="E1588" s="50">
        <v>50032781</v>
      </c>
      <c r="F1588" s="50" t="s">
        <v>237</v>
      </c>
      <c r="G1588" s="50">
        <v>1</v>
      </c>
      <c r="H1588" s="50" t="s">
        <v>2</v>
      </c>
      <c r="I1588" s="50" t="s">
        <v>291</v>
      </c>
      <c r="J1588" s="51">
        <v>46064</v>
      </c>
      <c r="K1588" s="50" t="s">
        <v>3</v>
      </c>
      <c r="L1588" s="50" t="s">
        <v>80</v>
      </c>
    </row>
    <row r="1589" spans="2:12">
      <c r="B1589" s="50" t="s">
        <v>363</v>
      </c>
      <c r="C1589" s="50" t="s">
        <v>26</v>
      </c>
      <c r="D1589" s="50" t="s">
        <v>41</v>
      </c>
      <c r="E1589" s="50">
        <v>50037892</v>
      </c>
      <c r="F1589" s="50" t="s">
        <v>178</v>
      </c>
      <c r="G1589" s="50">
        <v>1</v>
      </c>
      <c r="H1589" s="50" t="s">
        <v>2</v>
      </c>
      <c r="I1589" s="50" t="s">
        <v>291</v>
      </c>
      <c r="J1589" s="51">
        <v>46064</v>
      </c>
      <c r="K1589" s="50" t="s">
        <v>3</v>
      </c>
      <c r="L1589" s="50" t="s">
        <v>80</v>
      </c>
    </row>
    <row r="1590" spans="2:12">
      <c r="B1590" s="50" t="s">
        <v>427</v>
      </c>
      <c r="C1590" s="50" t="s">
        <v>26</v>
      </c>
      <c r="D1590" s="50" t="s">
        <v>27</v>
      </c>
      <c r="E1590" s="50">
        <v>50038626</v>
      </c>
      <c r="F1590" s="50" t="s">
        <v>190</v>
      </c>
      <c r="G1590" s="50">
        <v>1</v>
      </c>
      <c r="H1590" s="50" t="s">
        <v>2</v>
      </c>
      <c r="I1590" s="50" t="s">
        <v>291</v>
      </c>
      <c r="J1590" s="51">
        <v>46064</v>
      </c>
      <c r="K1590" s="50" t="s">
        <v>1</v>
      </c>
      <c r="L1590" s="50" t="s">
        <v>80</v>
      </c>
    </row>
    <row r="1591" spans="2:12">
      <c r="B1591" s="50" t="s">
        <v>478</v>
      </c>
      <c r="C1591" s="50" t="s">
        <v>51</v>
      </c>
      <c r="D1591" s="50" t="s">
        <v>27</v>
      </c>
      <c r="E1591" s="50">
        <v>50037892</v>
      </c>
      <c r="F1591" s="50" t="s">
        <v>178</v>
      </c>
      <c r="G1591" s="50">
        <v>1</v>
      </c>
      <c r="H1591" s="50" t="s">
        <v>2</v>
      </c>
      <c r="I1591" s="50" t="s">
        <v>291</v>
      </c>
      <c r="J1591" s="51">
        <v>46064</v>
      </c>
      <c r="K1591" s="50" t="s">
        <v>3</v>
      </c>
      <c r="L1591" s="50" t="s">
        <v>80</v>
      </c>
    </row>
    <row r="1592" spans="2:12">
      <c r="B1592" s="50" t="s">
        <v>478</v>
      </c>
      <c r="C1592" s="50" t="s">
        <v>51</v>
      </c>
      <c r="D1592" s="50" t="s">
        <v>27</v>
      </c>
      <c r="E1592" s="50">
        <v>50037892</v>
      </c>
      <c r="F1592" s="50" t="s">
        <v>178</v>
      </c>
      <c r="G1592" s="50">
        <v>1</v>
      </c>
      <c r="H1592" s="50" t="s">
        <v>2</v>
      </c>
      <c r="I1592" s="50" t="s">
        <v>291</v>
      </c>
      <c r="J1592" s="51">
        <v>46064</v>
      </c>
      <c r="K1592" s="50" t="s">
        <v>3</v>
      </c>
      <c r="L1592" s="50" t="s">
        <v>80</v>
      </c>
    </row>
    <row r="1593" spans="2:12">
      <c r="B1593" s="50" t="s">
        <v>481</v>
      </c>
      <c r="C1593" s="50" t="s">
        <v>26</v>
      </c>
      <c r="D1593" s="50" t="s">
        <v>27</v>
      </c>
      <c r="E1593" s="50">
        <v>50042283</v>
      </c>
      <c r="F1593" s="50" t="s">
        <v>247</v>
      </c>
      <c r="G1593" s="50">
        <v>1</v>
      </c>
      <c r="H1593" s="50" t="s">
        <v>2</v>
      </c>
      <c r="I1593" s="50" t="s">
        <v>291</v>
      </c>
      <c r="J1593" s="51">
        <v>46064</v>
      </c>
      <c r="K1593" s="50" t="s">
        <v>3</v>
      </c>
      <c r="L1593" s="50" t="s">
        <v>80</v>
      </c>
    </row>
    <row r="1594" spans="2:12">
      <c r="B1594" s="50" t="s">
        <v>389</v>
      </c>
      <c r="C1594" s="50" t="s">
        <v>56</v>
      </c>
      <c r="D1594" s="50" t="s">
        <v>27</v>
      </c>
      <c r="E1594" s="50">
        <v>50045979</v>
      </c>
      <c r="F1594" s="50" t="s">
        <v>357</v>
      </c>
      <c r="G1594" s="50">
        <v>1</v>
      </c>
      <c r="H1594" s="50" t="s">
        <v>2</v>
      </c>
      <c r="I1594" s="50" t="s">
        <v>291</v>
      </c>
      <c r="J1594" s="51">
        <v>46064</v>
      </c>
      <c r="K1594" s="50" t="s">
        <v>3</v>
      </c>
      <c r="L1594" s="50" t="s">
        <v>80</v>
      </c>
    </row>
    <row r="1595" spans="2:12">
      <c r="B1595" s="50" t="s">
        <v>389</v>
      </c>
      <c r="C1595" s="50" t="s">
        <v>56</v>
      </c>
      <c r="D1595" s="50" t="s">
        <v>27</v>
      </c>
      <c r="E1595" s="50">
        <v>50029865</v>
      </c>
      <c r="F1595" s="50" t="s">
        <v>162</v>
      </c>
      <c r="G1595" s="50">
        <v>1</v>
      </c>
      <c r="H1595" s="50" t="s">
        <v>2</v>
      </c>
      <c r="I1595" s="50" t="s">
        <v>291</v>
      </c>
      <c r="J1595" s="51">
        <v>46064</v>
      </c>
      <c r="K1595" s="50" t="s">
        <v>3</v>
      </c>
      <c r="L1595" s="50" t="s">
        <v>80</v>
      </c>
    </row>
    <row r="1596" spans="2:12">
      <c r="B1596" s="50" t="s">
        <v>483</v>
      </c>
      <c r="C1596" s="50" t="s">
        <v>62</v>
      </c>
      <c r="D1596" s="50" t="s">
        <v>27</v>
      </c>
      <c r="E1596" s="50">
        <v>50003297</v>
      </c>
      <c r="F1596" s="50" t="s">
        <v>158</v>
      </c>
      <c r="G1596" s="50">
        <v>1</v>
      </c>
      <c r="H1596" s="50" t="s">
        <v>2</v>
      </c>
      <c r="I1596" s="50" t="s">
        <v>291</v>
      </c>
      <c r="J1596" s="51">
        <v>46064</v>
      </c>
      <c r="K1596" s="50" t="s">
        <v>3</v>
      </c>
      <c r="L1596" s="50" t="s">
        <v>80</v>
      </c>
    </row>
    <row r="1597" spans="2:12">
      <c r="B1597" s="50" t="s">
        <v>428</v>
      </c>
      <c r="C1597" s="50" t="s">
        <v>26</v>
      </c>
      <c r="D1597" s="50" t="s">
        <v>27</v>
      </c>
      <c r="E1597" s="50">
        <v>50001995</v>
      </c>
      <c r="F1597" s="50" t="s">
        <v>185</v>
      </c>
      <c r="G1597" s="50">
        <v>1</v>
      </c>
      <c r="H1597" s="50" t="s">
        <v>2</v>
      </c>
      <c r="I1597" s="50" t="s">
        <v>291</v>
      </c>
      <c r="J1597" s="51">
        <v>46064</v>
      </c>
      <c r="K1597" s="50" t="s">
        <v>3</v>
      </c>
      <c r="L1597" s="50" t="s">
        <v>80</v>
      </c>
    </row>
    <row r="1598" spans="2:12">
      <c r="B1598" s="50" t="s">
        <v>273</v>
      </c>
      <c r="C1598" s="50" t="s">
        <v>274</v>
      </c>
      <c r="D1598" s="50" t="s">
        <v>27</v>
      </c>
      <c r="E1598" s="50">
        <v>50041089</v>
      </c>
      <c r="F1598" s="50" t="s">
        <v>254</v>
      </c>
      <c r="G1598" s="50">
        <v>1</v>
      </c>
      <c r="H1598" s="50" t="s">
        <v>2</v>
      </c>
      <c r="I1598" s="50" t="s">
        <v>291</v>
      </c>
      <c r="J1598" s="51">
        <v>46064</v>
      </c>
      <c r="K1598" s="50" t="s">
        <v>3</v>
      </c>
      <c r="L1598" s="50" t="s">
        <v>80</v>
      </c>
    </row>
    <row r="1599" spans="2:12">
      <c r="B1599" s="50" t="s">
        <v>402</v>
      </c>
      <c r="C1599" s="50" t="s">
        <v>56</v>
      </c>
      <c r="D1599" s="50" t="s">
        <v>39</v>
      </c>
      <c r="E1599" s="50">
        <v>50041195</v>
      </c>
      <c r="F1599" s="50" t="s">
        <v>206</v>
      </c>
      <c r="G1599" s="50">
        <v>1</v>
      </c>
      <c r="H1599" s="50" t="s">
        <v>2</v>
      </c>
      <c r="I1599" s="50" t="s">
        <v>291</v>
      </c>
      <c r="J1599" s="51">
        <v>46064</v>
      </c>
      <c r="K1599" s="50" t="s">
        <v>3</v>
      </c>
      <c r="L1599" s="50" t="s">
        <v>80</v>
      </c>
    </row>
    <row r="1600" spans="2:12">
      <c r="B1600" s="50" t="s">
        <v>402</v>
      </c>
      <c r="C1600" s="50" t="s">
        <v>56</v>
      </c>
      <c r="D1600" s="50" t="s">
        <v>39</v>
      </c>
      <c r="E1600" s="50">
        <v>50010031</v>
      </c>
      <c r="F1600" s="50" t="s">
        <v>89</v>
      </c>
      <c r="G1600" s="50">
        <v>1</v>
      </c>
      <c r="H1600" s="50" t="s">
        <v>2</v>
      </c>
      <c r="I1600" s="50" t="s">
        <v>291</v>
      </c>
      <c r="J1600" s="51">
        <v>46064</v>
      </c>
      <c r="K1600" s="50" t="s">
        <v>3</v>
      </c>
      <c r="L1600" s="50" t="s">
        <v>80</v>
      </c>
    </row>
    <row r="1601" spans="2:12">
      <c r="B1601" s="50" t="s">
        <v>411</v>
      </c>
      <c r="C1601" s="50" t="s">
        <v>26</v>
      </c>
      <c r="D1601" s="50" t="s">
        <v>27</v>
      </c>
      <c r="E1601" s="50">
        <v>50003173</v>
      </c>
      <c r="F1601" s="50" t="s">
        <v>74</v>
      </c>
      <c r="G1601" s="50">
        <v>1</v>
      </c>
      <c r="H1601" s="50" t="s">
        <v>2</v>
      </c>
      <c r="I1601" s="50" t="s">
        <v>291</v>
      </c>
      <c r="J1601" s="51">
        <v>46064</v>
      </c>
      <c r="K1601" s="50" t="s">
        <v>3</v>
      </c>
      <c r="L1601" s="50" t="s">
        <v>80</v>
      </c>
    </row>
    <row r="1602" spans="2:12">
      <c r="B1602" s="50" t="s">
        <v>411</v>
      </c>
      <c r="C1602" s="50" t="s">
        <v>26</v>
      </c>
      <c r="D1602" s="50" t="s">
        <v>27</v>
      </c>
      <c r="E1602" s="50">
        <v>50036086</v>
      </c>
      <c r="F1602" s="50" t="s">
        <v>28</v>
      </c>
      <c r="G1602" s="50">
        <v>1</v>
      </c>
      <c r="H1602" s="50" t="s">
        <v>2</v>
      </c>
      <c r="I1602" s="50" t="s">
        <v>291</v>
      </c>
      <c r="J1602" s="51">
        <v>46064</v>
      </c>
      <c r="K1602" s="50" t="s">
        <v>3</v>
      </c>
      <c r="L1602" s="50" t="s">
        <v>80</v>
      </c>
    </row>
    <row r="1603" spans="2:12">
      <c r="B1603" s="50" t="e">
        <v>#N/A</v>
      </c>
      <c r="C1603" s="50" t="s">
        <v>56</v>
      </c>
      <c r="D1603" s="50" t="s">
        <v>27</v>
      </c>
      <c r="E1603" s="50">
        <v>50039802</v>
      </c>
      <c r="F1603" s="50" t="s">
        <v>209</v>
      </c>
      <c r="G1603" s="50">
        <v>1</v>
      </c>
      <c r="H1603" s="50" t="s">
        <v>2</v>
      </c>
      <c r="I1603" s="50" t="s">
        <v>291</v>
      </c>
      <c r="J1603" s="51">
        <v>46063</v>
      </c>
      <c r="K1603" s="50" t="s">
        <v>1</v>
      </c>
      <c r="L1603" s="50" t="s">
        <v>80</v>
      </c>
    </row>
    <row r="1604" spans="2:12">
      <c r="B1604" s="50" t="e">
        <v>#N/A</v>
      </c>
      <c r="C1604" s="50" t="s">
        <v>56</v>
      </c>
      <c r="D1604" s="50" t="s">
        <v>27</v>
      </c>
      <c r="E1604" s="50">
        <v>50038517</v>
      </c>
      <c r="F1604" s="50" t="s">
        <v>181</v>
      </c>
      <c r="G1604" s="50">
        <v>1</v>
      </c>
      <c r="H1604" s="50" t="s">
        <v>2</v>
      </c>
      <c r="I1604" s="50" t="s">
        <v>291</v>
      </c>
      <c r="J1604" s="51">
        <v>46063</v>
      </c>
      <c r="K1604" s="50" t="s">
        <v>3</v>
      </c>
      <c r="L1604" s="50" t="s">
        <v>80</v>
      </c>
    </row>
    <row r="1605" spans="2:12">
      <c r="B1605" s="50" t="e">
        <v>#N/A</v>
      </c>
      <c r="C1605" s="50" t="s">
        <v>56</v>
      </c>
      <c r="D1605" s="50" t="s">
        <v>27</v>
      </c>
      <c r="E1605" s="50">
        <v>50038517</v>
      </c>
      <c r="F1605" s="50" t="s">
        <v>181</v>
      </c>
      <c r="G1605" s="50">
        <v>1</v>
      </c>
      <c r="H1605" s="50" t="s">
        <v>2</v>
      </c>
      <c r="I1605" s="50" t="s">
        <v>291</v>
      </c>
      <c r="J1605" s="51">
        <v>46063</v>
      </c>
      <c r="K1605" s="50" t="s">
        <v>1</v>
      </c>
      <c r="L1605" s="50" t="s">
        <v>80</v>
      </c>
    </row>
    <row r="1606" spans="2:12">
      <c r="B1606" s="50" t="s">
        <v>363</v>
      </c>
      <c r="C1606" s="50" t="s">
        <v>26</v>
      </c>
      <c r="D1606" s="50" t="s">
        <v>41</v>
      </c>
      <c r="E1606" s="50">
        <v>50043471</v>
      </c>
      <c r="F1606" s="50" t="s">
        <v>257</v>
      </c>
      <c r="G1606" s="50">
        <v>1</v>
      </c>
      <c r="H1606" s="50" t="s">
        <v>2</v>
      </c>
      <c r="I1606" s="50" t="s">
        <v>289</v>
      </c>
      <c r="J1606" s="51">
        <v>46063</v>
      </c>
      <c r="K1606" s="50" t="s">
        <v>1</v>
      </c>
      <c r="L1606" s="50" t="s">
        <v>80</v>
      </c>
    </row>
    <row r="1607" spans="2:12">
      <c r="B1607" s="50" t="s">
        <v>389</v>
      </c>
      <c r="C1607" s="50" t="s">
        <v>56</v>
      </c>
      <c r="D1607" s="50" t="s">
        <v>27</v>
      </c>
      <c r="E1607" s="50">
        <v>50029865</v>
      </c>
      <c r="F1607" s="50" t="s">
        <v>162</v>
      </c>
      <c r="G1607" s="50">
        <v>1</v>
      </c>
      <c r="H1607" s="50" t="s">
        <v>2</v>
      </c>
      <c r="I1607" s="50" t="s">
        <v>289</v>
      </c>
      <c r="J1607" s="51">
        <v>46063</v>
      </c>
      <c r="K1607" s="50" t="s">
        <v>1</v>
      </c>
      <c r="L1607" s="50" t="s">
        <v>80</v>
      </c>
    </row>
    <row r="1608" spans="2:12">
      <c r="B1608" s="50" t="s">
        <v>407</v>
      </c>
      <c r="C1608" s="50" t="s">
        <v>26</v>
      </c>
      <c r="D1608" s="50" t="s">
        <v>39</v>
      </c>
      <c r="E1608" s="50">
        <v>50037933</v>
      </c>
      <c r="F1608" s="50" t="s">
        <v>250</v>
      </c>
      <c r="G1608" s="50">
        <v>1</v>
      </c>
      <c r="H1608" s="50" t="s">
        <v>2</v>
      </c>
      <c r="I1608" s="50" t="s">
        <v>289</v>
      </c>
      <c r="J1608" s="51">
        <v>46063</v>
      </c>
      <c r="K1608" s="50" t="s">
        <v>1</v>
      </c>
      <c r="L1608" s="50" t="s">
        <v>80</v>
      </c>
    </row>
    <row r="1609" spans="2:12">
      <c r="B1609" s="50" t="s">
        <v>407</v>
      </c>
      <c r="C1609" s="50" t="s">
        <v>26</v>
      </c>
      <c r="D1609" s="50" t="s">
        <v>39</v>
      </c>
      <c r="E1609" s="50">
        <v>50037905</v>
      </c>
      <c r="F1609" s="50" t="s">
        <v>150</v>
      </c>
      <c r="G1609" s="50">
        <v>1</v>
      </c>
      <c r="H1609" s="50" t="s">
        <v>2</v>
      </c>
      <c r="I1609" s="50" t="s">
        <v>289</v>
      </c>
      <c r="J1609" s="51">
        <v>46063</v>
      </c>
      <c r="K1609" s="50" t="s">
        <v>1</v>
      </c>
      <c r="L1609" s="50" t="s">
        <v>80</v>
      </c>
    </row>
    <row r="1610" spans="2:12">
      <c r="B1610" s="50" t="s">
        <v>483</v>
      </c>
      <c r="C1610" s="50" t="s">
        <v>62</v>
      </c>
      <c r="D1610" s="50" t="s">
        <v>27</v>
      </c>
      <c r="E1610" s="50">
        <v>50037892</v>
      </c>
      <c r="F1610" s="50" t="s">
        <v>178</v>
      </c>
      <c r="G1610" s="50">
        <v>1</v>
      </c>
      <c r="H1610" s="50" t="s">
        <v>2</v>
      </c>
      <c r="I1610" s="50" t="s">
        <v>293</v>
      </c>
      <c r="J1610" s="51">
        <v>46063</v>
      </c>
      <c r="K1610" s="50" t="s">
        <v>1</v>
      </c>
      <c r="L1610" s="50" t="s">
        <v>80</v>
      </c>
    </row>
    <row r="1611" spans="2:12">
      <c r="B1611" s="50" t="s">
        <v>402</v>
      </c>
      <c r="C1611" s="50" t="s">
        <v>56</v>
      </c>
      <c r="D1611" s="50" t="s">
        <v>39</v>
      </c>
      <c r="E1611" s="50">
        <v>50043320</v>
      </c>
      <c r="F1611" s="50" t="s">
        <v>264</v>
      </c>
      <c r="G1611" s="50">
        <v>1</v>
      </c>
      <c r="H1611" s="50" t="s">
        <v>2</v>
      </c>
      <c r="I1611" s="50" t="s">
        <v>293</v>
      </c>
      <c r="J1611" s="51">
        <v>46063</v>
      </c>
      <c r="K1611" s="50" t="s">
        <v>1</v>
      </c>
      <c r="L1611" s="50" t="s">
        <v>80</v>
      </c>
    </row>
    <row r="1612" spans="2:12">
      <c r="B1612" s="50" t="s">
        <v>402</v>
      </c>
      <c r="C1612" s="50" t="s">
        <v>56</v>
      </c>
      <c r="D1612" s="50" t="s">
        <v>39</v>
      </c>
      <c r="E1612" s="50">
        <v>50041195</v>
      </c>
      <c r="F1612" s="50" t="s">
        <v>206</v>
      </c>
      <c r="G1612" s="50">
        <v>1</v>
      </c>
      <c r="H1612" s="50" t="s">
        <v>2</v>
      </c>
      <c r="I1612" s="50" t="s">
        <v>293</v>
      </c>
      <c r="J1612" s="51">
        <v>46063</v>
      </c>
      <c r="K1612" s="50" t="s">
        <v>1</v>
      </c>
      <c r="L1612" s="50" t="s">
        <v>80</v>
      </c>
    </row>
    <row r="1613" spans="2:12">
      <c r="B1613" s="50" t="s">
        <v>386</v>
      </c>
      <c r="C1613" s="50" t="s">
        <v>62</v>
      </c>
      <c r="D1613" s="50" t="s">
        <v>27</v>
      </c>
      <c r="E1613" s="50">
        <v>50003297</v>
      </c>
      <c r="F1613" s="50" t="s">
        <v>158</v>
      </c>
      <c r="G1613" s="50">
        <v>1</v>
      </c>
      <c r="H1613" s="50" t="s">
        <v>2</v>
      </c>
      <c r="I1613" s="50" t="s">
        <v>293</v>
      </c>
      <c r="J1613" s="51">
        <v>46063</v>
      </c>
      <c r="K1613" s="50" t="s">
        <v>1</v>
      </c>
      <c r="L1613" s="50" t="s">
        <v>80</v>
      </c>
    </row>
    <row r="1614" spans="2:12">
      <c r="B1614" s="50" t="s">
        <v>413</v>
      </c>
      <c r="C1614" s="50" t="s">
        <v>51</v>
      </c>
      <c r="D1614" s="50" t="s">
        <v>39</v>
      </c>
      <c r="E1614" s="50">
        <v>50038517</v>
      </c>
      <c r="F1614" s="50" t="s">
        <v>181</v>
      </c>
      <c r="G1614" s="50">
        <v>1</v>
      </c>
      <c r="H1614" s="50" t="s">
        <v>2</v>
      </c>
      <c r="I1614" s="50" t="s">
        <v>293</v>
      </c>
      <c r="J1614" s="51">
        <v>46063</v>
      </c>
      <c r="K1614" s="50" t="s">
        <v>3</v>
      </c>
      <c r="L1614" s="50" t="s">
        <v>80</v>
      </c>
    </row>
    <row r="1615" spans="2:12">
      <c r="B1615" s="50" t="s">
        <v>363</v>
      </c>
      <c r="C1615" s="50" t="s">
        <v>26</v>
      </c>
      <c r="D1615" s="50" t="s">
        <v>41</v>
      </c>
      <c r="E1615" s="50">
        <v>50043471</v>
      </c>
      <c r="F1615" s="50" t="s">
        <v>257</v>
      </c>
      <c r="G1615" s="50">
        <v>1</v>
      </c>
      <c r="H1615" s="50" t="s">
        <v>2</v>
      </c>
      <c r="I1615" s="50" t="s">
        <v>293</v>
      </c>
      <c r="J1615" s="51">
        <v>46063</v>
      </c>
      <c r="K1615" s="50" t="s">
        <v>1</v>
      </c>
      <c r="L1615" s="50" t="s">
        <v>80</v>
      </c>
    </row>
    <row r="1616" spans="2:12">
      <c r="B1616" s="50" t="s">
        <v>411</v>
      </c>
      <c r="C1616" s="50" t="s">
        <v>26</v>
      </c>
      <c r="D1616" s="50" t="s">
        <v>27</v>
      </c>
      <c r="E1616" s="50">
        <v>50003173</v>
      </c>
      <c r="F1616" s="50" t="s">
        <v>74</v>
      </c>
      <c r="G1616" s="50">
        <v>1</v>
      </c>
      <c r="H1616" s="50" t="s">
        <v>2</v>
      </c>
      <c r="I1616" s="50" t="s">
        <v>293</v>
      </c>
      <c r="J1616" s="51">
        <v>46063</v>
      </c>
      <c r="K1616" s="50" t="s">
        <v>3</v>
      </c>
      <c r="L1616" s="50" t="s">
        <v>80</v>
      </c>
    </row>
    <row r="1617" spans="2:12">
      <c r="B1617" s="50" t="s">
        <v>413</v>
      </c>
      <c r="C1617" s="50" t="s">
        <v>51</v>
      </c>
      <c r="D1617" s="50" t="s">
        <v>39</v>
      </c>
      <c r="E1617" s="50">
        <v>50038517</v>
      </c>
      <c r="F1617" s="50" t="s">
        <v>181</v>
      </c>
      <c r="G1617" s="50">
        <v>1</v>
      </c>
      <c r="H1617" s="50" t="s">
        <v>2</v>
      </c>
      <c r="I1617" s="50" t="s">
        <v>293</v>
      </c>
      <c r="J1617" s="51">
        <v>46063</v>
      </c>
      <c r="K1617" s="50" t="s">
        <v>3</v>
      </c>
      <c r="L1617" s="50" t="s">
        <v>80</v>
      </c>
    </row>
    <row r="1618" spans="2:12">
      <c r="B1618" s="50" t="s">
        <v>474</v>
      </c>
      <c r="C1618" s="50" t="s">
        <v>51</v>
      </c>
      <c r="D1618" s="50" t="s">
        <v>27</v>
      </c>
      <c r="E1618" s="50">
        <v>50039065</v>
      </c>
      <c r="F1618" s="50" t="s">
        <v>186</v>
      </c>
      <c r="G1618" s="50">
        <v>1</v>
      </c>
      <c r="H1618" s="50" t="s">
        <v>2</v>
      </c>
      <c r="I1618" s="50" t="s">
        <v>293</v>
      </c>
      <c r="J1618" s="51">
        <v>46063</v>
      </c>
      <c r="K1618" s="50" t="s">
        <v>1</v>
      </c>
      <c r="L1618" s="50" t="s">
        <v>80</v>
      </c>
    </row>
    <row r="1619" spans="2:12">
      <c r="B1619" s="50" t="s">
        <v>397</v>
      </c>
      <c r="C1619" s="50" t="s">
        <v>26</v>
      </c>
      <c r="D1619" s="50" t="s">
        <v>41</v>
      </c>
      <c r="E1619" s="50">
        <v>50036296</v>
      </c>
      <c r="F1619" s="50" t="s">
        <v>109</v>
      </c>
      <c r="G1619" s="50">
        <v>1</v>
      </c>
      <c r="H1619" s="50" t="s">
        <v>2</v>
      </c>
      <c r="I1619" s="50" t="s">
        <v>293</v>
      </c>
      <c r="J1619" s="51">
        <v>46063</v>
      </c>
      <c r="K1619" s="50" t="s">
        <v>1</v>
      </c>
      <c r="L1619" s="50" t="s">
        <v>80</v>
      </c>
    </row>
    <row r="1620" spans="2:12">
      <c r="B1620" s="50" t="s">
        <v>474</v>
      </c>
      <c r="C1620" s="50" t="s">
        <v>51</v>
      </c>
      <c r="D1620" s="50" t="s">
        <v>27</v>
      </c>
      <c r="E1620" s="50">
        <v>50039065</v>
      </c>
      <c r="F1620" s="50" t="s">
        <v>186</v>
      </c>
      <c r="G1620" s="50">
        <v>1</v>
      </c>
      <c r="H1620" s="50" t="s">
        <v>2</v>
      </c>
      <c r="I1620" s="50" t="s">
        <v>293</v>
      </c>
      <c r="J1620" s="51">
        <v>46063</v>
      </c>
      <c r="K1620" s="50" t="s">
        <v>3</v>
      </c>
      <c r="L1620" s="50" t="s">
        <v>80</v>
      </c>
    </row>
    <row r="1621" spans="2:12">
      <c r="B1621" s="50" t="s">
        <v>389</v>
      </c>
      <c r="C1621" s="50" t="s">
        <v>56</v>
      </c>
      <c r="D1621" s="50" t="s">
        <v>27</v>
      </c>
      <c r="E1621" s="50">
        <v>50029865</v>
      </c>
      <c r="F1621" s="50" t="s">
        <v>162</v>
      </c>
      <c r="G1621" s="50">
        <v>1</v>
      </c>
      <c r="H1621" s="50" t="s">
        <v>2</v>
      </c>
      <c r="I1621" s="50" t="s">
        <v>293</v>
      </c>
      <c r="J1621" s="51">
        <v>46063</v>
      </c>
      <c r="K1621" s="50" t="s">
        <v>1</v>
      </c>
      <c r="L1621" s="50" t="s">
        <v>80</v>
      </c>
    </row>
    <row r="1622" spans="2:12">
      <c r="B1622" s="50" t="s">
        <v>363</v>
      </c>
      <c r="C1622" s="50" t="s">
        <v>26</v>
      </c>
      <c r="D1622" s="50" t="s">
        <v>41</v>
      </c>
      <c r="E1622" s="50">
        <v>50038517</v>
      </c>
      <c r="F1622" s="50" t="s">
        <v>181</v>
      </c>
      <c r="G1622" s="50">
        <v>1</v>
      </c>
      <c r="H1622" s="50" t="s">
        <v>2</v>
      </c>
      <c r="I1622" s="50" t="s">
        <v>293</v>
      </c>
      <c r="J1622" s="51">
        <v>46063</v>
      </c>
      <c r="K1622" s="50" t="s">
        <v>1</v>
      </c>
      <c r="L1622" s="50" t="s">
        <v>80</v>
      </c>
    </row>
    <row r="1623" spans="2:12">
      <c r="B1623" s="50" t="s">
        <v>389</v>
      </c>
      <c r="C1623" s="50" t="s">
        <v>56</v>
      </c>
      <c r="D1623" s="50" t="s">
        <v>27</v>
      </c>
      <c r="E1623" s="50">
        <v>50026357</v>
      </c>
      <c r="F1623" s="50" t="s">
        <v>192</v>
      </c>
      <c r="G1623" s="50">
        <v>1</v>
      </c>
      <c r="H1623" s="50" t="s">
        <v>2</v>
      </c>
      <c r="I1623" s="50" t="s">
        <v>293</v>
      </c>
      <c r="J1623" s="51">
        <v>46063</v>
      </c>
      <c r="K1623" s="50" t="s">
        <v>3</v>
      </c>
      <c r="L1623" s="50" t="s">
        <v>80</v>
      </c>
    </row>
    <row r="1624" spans="2:12">
      <c r="B1624" s="50" t="s">
        <v>407</v>
      </c>
      <c r="C1624" s="50" t="s">
        <v>26</v>
      </c>
      <c r="D1624" s="50" t="s">
        <v>39</v>
      </c>
      <c r="E1624" s="50">
        <v>50037933</v>
      </c>
      <c r="F1624" s="50" t="s">
        <v>250</v>
      </c>
      <c r="G1624" s="50">
        <v>1</v>
      </c>
      <c r="H1624" s="50" t="s">
        <v>2</v>
      </c>
      <c r="I1624" s="50" t="s">
        <v>293</v>
      </c>
      <c r="J1624" s="51">
        <v>46063</v>
      </c>
      <c r="K1624" s="50" t="s">
        <v>3</v>
      </c>
      <c r="L1624" s="50" t="s">
        <v>80</v>
      </c>
    </row>
    <row r="1625" spans="2:12">
      <c r="B1625" s="50" t="s">
        <v>407</v>
      </c>
      <c r="C1625" s="50" t="s">
        <v>26</v>
      </c>
      <c r="D1625" s="50" t="s">
        <v>39</v>
      </c>
      <c r="E1625" s="50">
        <v>50037905</v>
      </c>
      <c r="F1625" s="50" t="s">
        <v>150</v>
      </c>
      <c r="G1625" s="50">
        <v>1</v>
      </c>
      <c r="H1625" s="50" t="s">
        <v>2</v>
      </c>
      <c r="I1625" s="50" t="s">
        <v>293</v>
      </c>
      <c r="J1625" s="51">
        <v>46063</v>
      </c>
      <c r="K1625" s="50" t="s">
        <v>1</v>
      </c>
      <c r="L1625" s="50" t="s">
        <v>80</v>
      </c>
    </row>
    <row r="1626" spans="2:12">
      <c r="B1626" s="50" t="s">
        <v>273</v>
      </c>
      <c r="C1626" s="50" t="s">
        <v>274</v>
      </c>
      <c r="D1626" s="50" t="s">
        <v>27</v>
      </c>
      <c r="E1626" s="50">
        <v>50038549</v>
      </c>
      <c r="F1626" s="50" t="s">
        <v>173</v>
      </c>
      <c r="G1626" s="50">
        <v>1</v>
      </c>
      <c r="H1626" s="50" t="s">
        <v>2</v>
      </c>
      <c r="I1626" s="50" t="s">
        <v>292</v>
      </c>
      <c r="J1626" s="51">
        <v>46063</v>
      </c>
      <c r="K1626" s="50" t="s">
        <v>3</v>
      </c>
      <c r="L1626" s="50" t="s">
        <v>80</v>
      </c>
    </row>
    <row r="1627" spans="2:12">
      <c r="B1627" s="50" t="s">
        <v>474</v>
      </c>
      <c r="C1627" s="50" t="s">
        <v>51</v>
      </c>
      <c r="D1627" s="50" t="s">
        <v>27</v>
      </c>
      <c r="E1627" s="50">
        <v>50039065</v>
      </c>
      <c r="F1627" s="50" t="s">
        <v>186</v>
      </c>
      <c r="G1627" s="50">
        <v>1</v>
      </c>
      <c r="H1627" s="50" t="s">
        <v>2</v>
      </c>
      <c r="I1627" s="50" t="s">
        <v>292</v>
      </c>
      <c r="J1627" s="51">
        <v>46063</v>
      </c>
      <c r="K1627" s="50" t="s">
        <v>1</v>
      </c>
      <c r="L1627" s="50" t="s">
        <v>80</v>
      </c>
    </row>
    <row r="1628" spans="2:12">
      <c r="B1628" s="50" t="s">
        <v>363</v>
      </c>
      <c r="C1628" s="50" t="s">
        <v>26</v>
      </c>
      <c r="D1628" s="50" t="s">
        <v>41</v>
      </c>
      <c r="E1628" s="50">
        <v>50039065</v>
      </c>
      <c r="F1628" s="50" t="s">
        <v>186</v>
      </c>
      <c r="G1628" s="50">
        <v>1</v>
      </c>
      <c r="H1628" s="50" t="s">
        <v>2</v>
      </c>
      <c r="I1628" s="50" t="s">
        <v>288</v>
      </c>
      <c r="J1628" s="51">
        <v>46063</v>
      </c>
      <c r="K1628" s="50" t="s">
        <v>3</v>
      </c>
      <c r="L1628" s="50" t="s">
        <v>80</v>
      </c>
    </row>
    <row r="1629" spans="2:12" ht="16.5" customHeight="1">
      <c r="B1629" s="50" t="s">
        <v>389</v>
      </c>
      <c r="C1629" s="50" t="s">
        <v>56</v>
      </c>
      <c r="D1629" s="50" t="s">
        <v>27</v>
      </c>
      <c r="E1629" s="50">
        <v>50026357</v>
      </c>
      <c r="F1629" s="50" t="s">
        <v>192</v>
      </c>
      <c r="G1629" s="50">
        <v>1</v>
      </c>
      <c r="H1629" s="50" t="s">
        <v>2</v>
      </c>
      <c r="I1629" s="50" t="s">
        <v>288</v>
      </c>
      <c r="J1629" s="51">
        <v>46063</v>
      </c>
      <c r="K1629" s="50" t="s">
        <v>3</v>
      </c>
      <c r="L1629" s="50" t="s">
        <v>80</v>
      </c>
    </row>
    <row r="1630" spans="2:12">
      <c r="B1630" s="50" t="s">
        <v>402</v>
      </c>
      <c r="C1630" s="50" t="s">
        <v>56</v>
      </c>
      <c r="D1630" s="50" t="s">
        <v>39</v>
      </c>
      <c r="E1630" s="50">
        <v>50043320</v>
      </c>
      <c r="F1630" s="50" t="s">
        <v>264</v>
      </c>
      <c r="G1630" s="50">
        <v>1</v>
      </c>
      <c r="H1630" s="50" t="s">
        <v>2</v>
      </c>
      <c r="I1630" s="50" t="s">
        <v>288</v>
      </c>
      <c r="J1630" s="51">
        <v>46063</v>
      </c>
      <c r="K1630" s="50" t="s">
        <v>3</v>
      </c>
      <c r="L1630" s="50" t="s">
        <v>80</v>
      </c>
    </row>
    <row r="1631" spans="2:12">
      <c r="B1631" s="50" t="s">
        <v>402</v>
      </c>
      <c r="C1631" s="50" t="s">
        <v>56</v>
      </c>
      <c r="D1631" s="50" t="s">
        <v>39</v>
      </c>
      <c r="E1631" s="50">
        <v>50041195</v>
      </c>
      <c r="F1631" s="50" t="s">
        <v>206</v>
      </c>
      <c r="G1631" s="50">
        <v>1</v>
      </c>
      <c r="H1631" s="50" t="s">
        <v>2</v>
      </c>
      <c r="I1631" s="50" t="s">
        <v>288</v>
      </c>
      <c r="J1631" s="51">
        <v>46063</v>
      </c>
      <c r="K1631" s="50" t="s">
        <v>3</v>
      </c>
      <c r="L1631" s="50" t="s">
        <v>80</v>
      </c>
    </row>
    <row r="1632" spans="2:12">
      <c r="B1632" s="50" t="s">
        <v>363</v>
      </c>
      <c r="C1632" s="50" t="s">
        <v>26</v>
      </c>
      <c r="D1632" s="50" t="s">
        <v>41</v>
      </c>
      <c r="E1632" s="50">
        <v>50039065</v>
      </c>
      <c r="F1632" s="50" t="s">
        <v>186</v>
      </c>
      <c r="G1632" s="50">
        <v>1</v>
      </c>
      <c r="H1632" s="50" t="s">
        <v>2</v>
      </c>
      <c r="I1632" s="50" t="s">
        <v>288</v>
      </c>
      <c r="J1632" s="51">
        <v>46063</v>
      </c>
      <c r="K1632" s="50" t="s">
        <v>3</v>
      </c>
      <c r="L1632" s="50" t="s">
        <v>80</v>
      </c>
    </row>
    <row r="1633" spans="2:12">
      <c r="B1633" s="50" t="s">
        <v>389</v>
      </c>
      <c r="C1633" s="50" t="s">
        <v>56</v>
      </c>
      <c r="D1633" s="50" t="s">
        <v>27</v>
      </c>
      <c r="E1633" s="50">
        <v>50026357</v>
      </c>
      <c r="F1633" s="50" t="s">
        <v>192</v>
      </c>
      <c r="G1633" s="50">
        <v>1</v>
      </c>
      <c r="H1633" s="50" t="s">
        <v>2</v>
      </c>
      <c r="I1633" s="50" t="s">
        <v>288</v>
      </c>
      <c r="J1633" s="51">
        <v>46063</v>
      </c>
      <c r="K1633" s="50" t="s">
        <v>3</v>
      </c>
      <c r="L1633" s="50" t="s">
        <v>80</v>
      </c>
    </row>
    <row r="1634" spans="2:12">
      <c r="B1634" s="50" t="s">
        <v>363</v>
      </c>
      <c r="C1634" s="50" t="s">
        <v>26</v>
      </c>
      <c r="D1634" s="50" t="s">
        <v>41</v>
      </c>
      <c r="E1634" s="50">
        <v>50038517</v>
      </c>
      <c r="F1634" s="50" t="s">
        <v>181</v>
      </c>
      <c r="G1634" s="50">
        <v>1</v>
      </c>
      <c r="H1634" s="50" t="s">
        <v>2</v>
      </c>
      <c r="I1634" s="50" t="s">
        <v>288</v>
      </c>
      <c r="J1634" s="51">
        <v>46063</v>
      </c>
      <c r="K1634" s="50" t="s">
        <v>3</v>
      </c>
      <c r="L1634" s="50" t="s">
        <v>80</v>
      </c>
    </row>
    <row r="1635" spans="2:12" ht="16.5" customHeight="1">
      <c r="B1635" s="50" t="s">
        <v>397</v>
      </c>
      <c r="C1635" s="50" t="s">
        <v>26</v>
      </c>
      <c r="D1635" s="50" t="s">
        <v>41</v>
      </c>
      <c r="E1635" s="50">
        <v>50036296</v>
      </c>
      <c r="F1635" s="50" t="s">
        <v>109</v>
      </c>
      <c r="G1635" s="50">
        <v>1</v>
      </c>
      <c r="H1635" s="50" t="s">
        <v>2</v>
      </c>
      <c r="I1635" s="50" t="s">
        <v>288</v>
      </c>
      <c r="J1635" s="51">
        <v>46063</v>
      </c>
      <c r="K1635" s="50" t="s">
        <v>3</v>
      </c>
      <c r="L1635" s="50" t="s">
        <v>80</v>
      </c>
    </row>
    <row r="1636" spans="2:12">
      <c r="B1636" s="50" t="s">
        <v>411</v>
      </c>
      <c r="C1636" s="50" t="s">
        <v>26</v>
      </c>
      <c r="D1636" s="50" t="s">
        <v>27</v>
      </c>
      <c r="E1636" s="50">
        <v>50003173</v>
      </c>
      <c r="F1636" s="50" t="s">
        <v>74</v>
      </c>
      <c r="G1636" s="50">
        <v>1</v>
      </c>
      <c r="H1636" s="50" t="s">
        <v>2</v>
      </c>
      <c r="I1636" s="50" t="s">
        <v>288</v>
      </c>
      <c r="J1636" s="51">
        <v>46063</v>
      </c>
      <c r="K1636" s="50" t="s">
        <v>3</v>
      </c>
      <c r="L1636" s="50" t="s">
        <v>80</v>
      </c>
    </row>
    <row r="1637" spans="2:12">
      <c r="B1637" s="50" t="s">
        <v>386</v>
      </c>
      <c r="C1637" s="50" t="s">
        <v>62</v>
      </c>
      <c r="D1637" s="50" t="s">
        <v>27</v>
      </c>
      <c r="E1637" s="50">
        <v>50003297</v>
      </c>
      <c r="F1637" s="50" t="s">
        <v>158</v>
      </c>
      <c r="G1637" s="50">
        <v>1</v>
      </c>
      <c r="H1637" s="50" t="s">
        <v>2</v>
      </c>
      <c r="I1637" s="50" t="s">
        <v>288</v>
      </c>
      <c r="J1637" s="51">
        <v>46063</v>
      </c>
      <c r="K1637" s="50" t="s">
        <v>3</v>
      </c>
      <c r="L1637" s="50" t="s">
        <v>80</v>
      </c>
    </row>
    <row r="1638" spans="2:12">
      <c r="B1638" s="50" t="s">
        <v>483</v>
      </c>
      <c r="C1638" s="50" t="s">
        <v>62</v>
      </c>
      <c r="D1638" s="50" t="s">
        <v>27</v>
      </c>
      <c r="E1638" s="50">
        <v>50037892</v>
      </c>
      <c r="F1638" s="50" t="s">
        <v>178</v>
      </c>
      <c r="G1638" s="50">
        <v>1</v>
      </c>
      <c r="H1638" s="50" t="s">
        <v>2</v>
      </c>
      <c r="I1638" s="50" t="s">
        <v>288</v>
      </c>
      <c r="J1638" s="51">
        <v>46063</v>
      </c>
      <c r="K1638" s="50" t="s">
        <v>3</v>
      </c>
      <c r="L1638" s="50" t="s">
        <v>80</v>
      </c>
    </row>
    <row r="1639" spans="2:12">
      <c r="B1639" s="50" t="s">
        <v>363</v>
      </c>
      <c r="C1639" s="50" t="s">
        <v>26</v>
      </c>
      <c r="D1639" s="50" t="s">
        <v>41</v>
      </c>
      <c r="E1639" s="50">
        <v>50039065</v>
      </c>
      <c r="F1639" s="50" t="s">
        <v>186</v>
      </c>
      <c r="G1639" s="50">
        <v>1</v>
      </c>
      <c r="H1639" s="50" t="s">
        <v>2</v>
      </c>
      <c r="I1639" s="50" t="s">
        <v>288</v>
      </c>
      <c r="J1639" s="51">
        <v>46063</v>
      </c>
      <c r="K1639" s="50" t="s">
        <v>3</v>
      </c>
      <c r="L1639" s="50" t="s">
        <v>80</v>
      </c>
    </row>
    <row r="1640" spans="2:12">
      <c r="B1640" s="50" t="s">
        <v>273</v>
      </c>
      <c r="C1640" s="50" t="s">
        <v>274</v>
      </c>
      <c r="D1640" s="50" t="s">
        <v>27</v>
      </c>
      <c r="E1640" s="50">
        <v>50038549</v>
      </c>
      <c r="F1640" s="50" t="s">
        <v>173</v>
      </c>
      <c r="G1640" s="50">
        <v>1</v>
      </c>
      <c r="H1640" s="50" t="s">
        <v>2</v>
      </c>
      <c r="I1640" s="50" t="s">
        <v>290</v>
      </c>
      <c r="J1640" s="51">
        <v>46063</v>
      </c>
      <c r="K1640" s="50" t="s">
        <v>1</v>
      </c>
      <c r="L1640" s="50" t="s">
        <v>80</v>
      </c>
    </row>
    <row r="1641" spans="2:12">
      <c r="B1641" s="50" t="s">
        <v>461</v>
      </c>
      <c r="C1641" s="50" t="s">
        <v>26</v>
      </c>
      <c r="D1641" s="50" t="s">
        <v>39</v>
      </c>
      <c r="E1641" s="50">
        <v>50043151</v>
      </c>
      <c r="F1641" s="50" t="s">
        <v>331</v>
      </c>
      <c r="G1641" s="50">
        <v>1</v>
      </c>
      <c r="H1641" s="50" t="s">
        <v>2</v>
      </c>
      <c r="I1641" s="50" t="s">
        <v>289</v>
      </c>
      <c r="J1641" s="51">
        <v>46062</v>
      </c>
      <c r="K1641" s="50" t="s">
        <v>3</v>
      </c>
      <c r="L1641" s="50" t="s">
        <v>80</v>
      </c>
    </row>
    <row r="1642" spans="2:12">
      <c r="B1642" s="50" t="s">
        <v>461</v>
      </c>
      <c r="C1642" s="50" t="s">
        <v>26</v>
      </c>
      <c r="D1642" s="50" t="s">
        <v>39</v>
      </c>
      <c r="E1642" s="50">
        <v>50043151</v>
      </c>
      <c r="F1642" s="50" t="s">
        <v>331</v>
      </c>
      <c r="G1642" s="50">
        <v>1</v>
      </c>
      <c r="H1642" s="50" t="s">
        <v>2</v>
      </c>
      <c r="I1642" s="50" t="s">
        <v>289</v>
      </c>
      <c r="J1642" s="51">
        <v>46062</v>
      </c>
      <c r="K1642" s="50" t="s">
        <v>1</v>
      </c>
      <c r="L1642" s="50" t="s">
        <v>80</v>
      </c>
    </row>
    <row r="1643" spans="2:12">
      <c r="B1643" s="50" t="s">
        <v>478</v>
      </c>
      <c r="C1643" s="50" t="s">
        <v>51</v>
      </c>
      <c r="D1643" s="50" t="s">
        <v>27</v>
      </c>
      <c r="E1643" s="50">
        <v>50043471</v>
      </c>
      <c r="F1643" s="50" t="s">
        <v>257</v>
      </c>
      <c r="G1643" s="50">
        <v>1</v>
      </c>
      <c r="H1643" s="50" t="s">
        <v>2</v>
      </c>
      <c r="I1643" s="50" t="s">
        <v>289</v>
      </c>
      <c r="J1643" s="51">
        <v>46062</v>
      </c>
      <c r="K1643" s="50" t="s">
        <v>1</v>
      </c>
      <c r="L1643" s="50" t="s">
        <v>80</v>
      </c>
    </row>
    <row r="1644" spans="2:12">
      <c r="B1644" s="50" t="s">
        <v>453</v>
      </c>
      <c r="C1644" s="50" t="s">
        <v>51</v>
      </c>
      <c r="D1644" s="50" t="s">
        <v>41</v>
      </c>
      <c r="E1644" s="50">
        <v>50037892</v>
      </c>
      <c r="F1644" s="50" t="s">
        <v>178</v>
      </c>
      <c r="G1644" s="50">
        <v>1</v>
      </c>
      <c r="H1644" s="50" t="s">
        <v>2</v>
      </c>
      <c r="I1644" s="50" t="s">
        <v>293</v>
      </c>
      <c r="J1644" s="51">
        <v>46062</v>
      </c>
      <c r="K1644" s="50" t="s">
        <v>1</v>
      </c>
      <c r="L1644" s="50" t="s">
        <v>80</v>
      </c>
    </row>
    <row r="1645" spans="2:12">
      <c r="B1645" s="50" t="s">
        <v>386</v>
      </c>
      <c r="C1645" s="50" t="s">
        <v>26</v>
      </c>
      <c r="D1645" s="50" t="s">
        <v>27</v>
      </c>
      <c r="E1645" s="50">
        <v>50003297</v>
      </c>
      <c r="F1645" s="50" t="s">
        <v>158</v>
      </c>
      <c r="G1645" s="50">
        <v>1</v>
      </c>
      <c r="H1645" s="50" t="s">
        <v>2</v>
      </c>
      <c r="I1645" s="50" t="s">
        <v>293</v>
      </c>
      <c r="J1645" s="51">
        <v>46062</v>
      </c>
      <c r="K1645" s="50" t="s">
        <v>1</v>
      </c>
      <c r="L1645" s="50" t="s">
        <v>80</v>
      </c>
    </row>
    <row r="1646" spans="2:12">
      <c r="B1646" s="50" t="s">
        <v>410</v>
      </c>
      <c r="C1646" s="50" t="s">
        <v>51</v>
      </c>
      <c r="D1646" s="50" t="s">
        <v>27</v>
      </c>
      <c r="E1646" s="50">
        <v>50039065</v>
      </c>
      <c r="F1646" s="50" t="s">
        <v>186</v>
      </c>
      <c r="G1646" s="50">
        <v>1</v>
      </c>
      <c r="H1646" s="50" t="s">
        <v>2</v>
      </c>
      <c r="I1646" s="50" t="s">
        <v>293</v>
      </c>
      <c r="J1646" s="51">
        <v>46062</v>
      </c>
      <c r="K1646" s="50" t="s">
        <v>1</v>
      </c>
      <c r="L1646" s="50" t="s">
        <v>80</v>
      </c>
    </row>
    <row r="1647" spans="2:12">
      <c r="B1647" s="50" t="s">
        <v>277</v>
      </c>
      <c r="C1647" s="50" t="s">
        <v>62</v>
      </c>
      <c r="D1647" s="50" t="s">
        <v>27</v>
      </c>
      <c r="E1647" s="50">
        <v>50043471</v>
      </c>
      <c r="F1647" s="50" t="s">
        <v>257</v>
      </c>
      <c r="G1647" s="50">
        <v>1</v>
      </c>
      <c r="H1647" s="50" t="s">
        <v>2</v>
      </c>
      <c r="I1647" s="50" t="s">
        <v>293</v>
      </c>
      <c r="J1647" s="51">
        <v>46062</v>
      </c>
      <c r="K1647" s="50" t="s">
        <v>1</v>
      </c>
      <c r="L1647" s="50" t="s">
        <v>80</v>
      </c>
    </row>
    <row r="1648" spans="2:12">
      <c r="B1648" s="50" t="s">
        <v>277</v>
      </c>
      <c r="C1648" s="50" t="s">
        <v>62</v>
      </c>
      <c r="D1648" s="50" t="s">
        <v>27</v>
      </c>
      <c r="E1648" s="50">
        <v>50010031</v>
      </c>
      <c r="F1648" s="50" t="s">
        <v>89</v>
      </c>
      <c r="G1648" s="50">
        <v>1</v>
      </c>
      <c r="H1648" s="50" t="s">
        <v>2</v>
      </c>
      <c r="I1648" s="50" t="s">
        <v>293</v>
      </c>
      <c r="J1648" s="51">
        <v>46062</v>
      </c>
      <c r="K1648" s="50" t="s">
        <v>1</v>
      </c>
      <c r="L1648" s="50" t="s">
        <v>80</v>
      </c>
    </row>
    <row r="1649" spans="2:12">
      <c r="B1649" s="50" t="s">
        <v>478</v>
      </c>
      <c r="C1649" s="50" t="s">
        <v>51</v>
      </c>
      <c r="D1649" s="50" t="s">
        <v>27</v>
      </c>
      <c r="E1649" s="50">
        <v>50043471</v>
      </c>
      <c r="F1649" s="50" t="s">
        <v>257</v>
      </c>
      <c r="G1649" s="50">
        <v>1</v>
      </c>
      <c r="H1649" s="50" t="s">
        <v>2</v>
      </c>
      <c r="I1649" s="50" t="s">
        <v>293</v>
      </c>
      <c r="J1649" s="51">
        <v>46062</v>
      </c>
      <c r="K1649" s="50" t="s">
        <v>1</v>
      </c>
      <c r="L1649" s="50" t="s">
        <v>80</v>
      </c>
    </row>
    <row r="1650" spans="2:12">
      <c r="B1650" s="50" t="s">
        <v>481</v>
      </c>
      <c r="C1650" s="50" t="s">
        <v>26</v>
      </c>
      <c r="D1650" s="50" t="s">
        <v>27</v>
      </c>
      <c r="E1650" s="50">
        <v>50012902</v>
      </c>
      <c r="F1650" s="50" t="s">
        <v>225</v>
      </c>
      <c r="G1650" s="50">
        <v>1</v>
      </c>
      <c r="H1650" s="50" t="s">
        <v>2</v>
      </c>
      <c r="I1650" s="50" t="s">
        <v>293</v>
      </c>
      <c r="J1650" s="51">
        <v>46062</v>
      </c>
      <c r="K1650" s="50" t="s">
        <v>1</v>
      </c>
      <c r="L1650" s="50" t="s">
        <v>80</v>
      </c>
    </row>
    <row r="1651" spans="2:12">
      <c r="B1651" s="50" t="s">
        <v>427</v>
      </c>
      <c r="C1651" s="50" t="s">
        <v>26</v>
      </c>
      <c r="D1651" s="50" t="s">
        <v>27</v>
      </c>
      <c r="E1651" s="50">
        <v>50036296</v>
      </c>
      <c r="F1651" s="50" t="s">
        <v>109</v>
      </c>
      <c r="G1651" s="50">
        <v>1</v>
      </c>
      <c r="H1651" s="50" t="s">
        <v>2</v>
      </c>
      <c r="I1651" s="50" t="s">
        <v>293</v>
      </c>
      <c r="J1651" s="51">
        <v>46062</v>
      </c>
      <c r="K1651" s="50" t="s">
        <v>1</v>
      </c>
      <c r="L1651" s="50" t="s">
        <v>80</v>
      </c>
    </row>
    <row r="1652" spans="2:12">
      <c r="B1652" s="50" t="s">
        <v>427</v>
      </c>
      <c r="C1652" s="50" t="s">
        <v>26</v>
      </c>
      <c r="D1652" s="50" t="s">
        <v>27</v>
      </c>
      <c r="E1652" s="50">
        <v>50038549</v>
      </c>
      <c r="F1652" s="50" t="s">
        <v>173</v>
      </c>
      <c r="G1652" s="50">
        <v>1</v>
      </c>
      <c r="H1652" s="50" t="s">
        <v>2</v>
      </c>
      <c r="I1652" s="50" t="s">
        <v>293</v>
      </c>
      <c r="J1652" s="51">
        <v>46062</v>
      </c>
      <c r="K1652" s="50" t="s">
        <v>1</v>
      </c>
      <c r="L1652" s="50" t="s">
        <v>80</v>
      </c>
    </row>
    <row r="1653" spans="2:12">
      <c r="B1653" s="50" t="s">
        <v>386</v>
      </c>
      <c r="C1653" s="50" t="s">
        <v>26</v>
      </c>
      <c r="D1653" s="50" t="s">
        <v>27</v>
      </c>
      <c r="E1653" s="50">
        <v>50038517</v>
      </c>
      <c r="F1653" s="50" t="s">
        <v>181</v>
      </c>
      <c r="G1653" s="50">
        <v>1</v>
      </c>
      <c r="H1653" s="50" t="s">
        <v>2</v>
      </c>
      <c r="I1653" s="50" t="s">
        <v>293</v>
      </c>
      <c r="J1653" s="51">
        <v>46062</v>
      </c>
      <c r="K1653" s="50" t="s">
        <v>1</v>
      </c>
      <c r="L1653" s="50" t="s">
        <v>80</v>
      </c>
    </row>
    <row r="1654" spans="2:12">
      <c r="B1654" s="50" t="s">
        <v>406</v>
      </c>
      <c r="C1654" s="50" t="s">
        <v>26</v>
      </c>
      <c r="D1654" s="50" t="s">
        <v>27</v>
      </c>
      <c r="E1654" s="50">
        <v>50004486</v>
      </c>
      <c r="F1654" s="50" t="s">
        <v>221</v>
      </c>
      <c r="G1654" s="50">
        <v>1</v>
      </c>
      <c r="H1654" s="50" t="s">
        <v>2</v>
      </c>
      <c r="I1654" s="50" t="s">
        <v>293</v>
      </c>
      <c r="J1654" s="51">
        <v>46062</v>
      </c>
      <c r="K1654" s="50" t="s">
        <v>1</v>
      </c>
      <c r="L1654" s="50" t="s">
        <v>80</v>
      </c>
    </row>
    <row r="1655" spans="2:12">
      <c r="B1655" s="50" t="s">
        <v>386</v>
      </c>
      <c r="C1655" s="50" t="s">
        <v>26</v>
      </c>
      <c r="D1655" s="50" t="s">
        <v>27</v>
      </c>
      <c r="E1655" s="50">
        <v>50043320</v>
      </c>
      <c r="F1655" s="50" t="s">
        <v>264</v>
      </c>
      <c r="G1655" s="50">
        <v>1</v>
      </c>
      <c r="H1655" s="50" t="s">
        <v>2</v>
      </c>
      <c r="I1655" s="50" t="s">
        <v>293</v>
      </c>
      <c r="J1655" s="51">
        <v>46062</v>
      </c>
      <c r="K1655" s="50" t="s">
        <v>3</v>
      </c>
      <c r="L1655" s="50" t="s">
        <v>80</v>
      </c>
    </row>
    <row r="1656" spans="2:12">
      <c r="B1656" s="50" t="s">
        <v>410</v>
      </c>
      <c r="C1656" s="50" t="s">
        <v>51</v>
      </c>
      <c r="D1656" s="50" t="s">
        <v>27</v>
      </c>
      <c r="E1656" s="50">
        <v>50039065</v>
      </c>
      <c r="F1656" s="50" t="s">
        <v>186</v>
      </c>
      <c r="G1656" s="50">
        <v>1</v>
      </c>
      <c r="H1656" s="50" t="s">
        <v>2</v>
      </c>
      <c r="I1656" s="50" t="s">
        <v>293</v>
      </c>
      <c r="J1656" s="51">
        <v>46062</v>
      </c>
      <c r="K1656" s="50" t="s">
        <v>1</v>
      </c>
      <c r="L1656" s="50" t="s">
        <v>80</v>
      </c>
    </row>
    <row r="1657" spans="2:12">
      <c r="B1657" s="50" t="s">
        <v>394</v>
      </c>
      <c r="C1657" s="50" t="s">
        <v>51</v>
      </c>
      <c r="D1657" s="50" t="s">
        <v>27</v>
      </c>
      <c r="E1657" s="50">
        <v>50022878</v>
      </c>
      <c r="F1657" s="50" t="s">
        <v>296</v>
      </c>
      <c r="G1657" s="50">
        <v>1</v>
      </c>
      <c r="H1657" s="50" t="s">
        <v>2</v>
      </c>
      <c r="I1657" s="50" t="s">
        <v>293</v>
      </c>
      <c r="J1657" s="51">
        <v>46062</v>
      </c>
      <c r="K1657" s="50" t="s">
        <v>3</v>
      </c>
      <c r="L1657" s="50" t="s">
        <v>80</v>
      </c>
    </row>
    <row r="1658" spans="2:12">
      <c r="B1658" s="50" t="s">
        <v>406</v>
      </c>
      <c r="C1658" s="50" t="s">
        <v>26</v>
      </c>
      <c r="D1658" s="50" t="s">
        <v>27</v>
      </c>
      <c r="E1658" s="50">
        <v>50004486</v>
      </c>
      <c r="F1658" s="50" t="s">
        <v>221</v>
      </c>
      <c r="G1658" s="50">
        <v>1</v>
      </c>
      <c r="H1658" s="50" t="s">
        <v>2</v>
      </c>
      <c r="I1658" s="50" t="s">
        <v>293</v>
      </c>
      <c r="J1658" s="51">
        <v>46062</v>
      </c>
      <c r="K1658" s="50" t="s">
        <v>3</v>
      </c>
      <c r="L1658" s="50" t="s">
        <v>80</v>
      </c>
    </row>
    <row r="1659" spans="2:12">
      <c r="B1659" s="50" t="s">
        <v>481</v>
      </c>
      <c r="C1659" s="50" t="s">
        <v>26</v>
      </c>
      <c r="D1659" s="50" t="s">
        <v>27</v>
      </c>
      <c r="E1659" s="50">
        <v>50012902</v>
      </c>
      <c r="F1659" s="50" t="s">
        <v>225</v>
      </c>
      <c r="G1659" s="50">
        <v>1</v>
      </c>
      <c r="H1659" s="50" t="s">
        <v>2</v>
      </c>
      <c r="I1659" s="50" t="s">
        <v>291</v>
      </c>
      <c r="J1659" s="51">
        <v>46062</v>
      </c>
      <c r="K1659" s="50" t="s">
        <v>1</v>
      </c>
      <c r="L1659" s="50" t="s">
        <v>80</v>
      </c>
    </row>
    <row r="1660" spans="2:12">
      <c r="B1660" s="50" t="s">
        <v>316</v>
      </c>
      <c r="C1660" s="50" t="s">
        <v>51</v>
      </c>
      <c r="D1660" s="50" t="s">
        <v>27</v>
      </c>
      <c r="E1660" s="50">
        <v>50037892</v>
      </c>
      <c r="F1660" s="50" t="s">
        <v>178</v>
      </c>
      <c r="G1660" s="50">
        <v>1</v>
      </c>
      <c r="H1660" s="50" t="s">
        <v>2</v>
      </c>
      <c r="I1660" s="50" t="s">
        <v>291</v>
      </c>
      <c r="J1660" s="51">
        <v>46062</v>
      </c>
      <c r="K1660" s="50" t="s">
        <v>1</v>
      </c>
      <c r="L1660" s="50" t="s">
        <v>80</v>
      </c>
    </row>
    <row r="1661" spans="2:12">
      <c r="B1661" s="50" t="s">
        <v>453</v>
      </c>
      <c r="C1661" s="50" t="s">
        <v>51</v>
      </c>
      <c r="D1661" s="50" t="s">
        <v>41</v>
      </c>
      <c r="E1661" s="50">
        <v>50039065</v>
      </c>
      <c r="F1661" s="50" t="s">
        <v>186</v>
      </c>
      <c r="G1661" s="50">
        <v>1</v>
      </c>
      <c r="H1661" s="50" t="s">
        <v>2</v>
      </c>
      <c r="I1661" s="50" t="s">
        <v>291</v>
      </c>
      <c r="J1661" s="51">
        <v>46062</v>
      </c>
      <c r="K1661" s="50" t="s">
        <v>3</v>
      </c>
      <c r="L1661" s="50" t="s">
        <v>80</v>
      </c>
    </row>
    <row r="1662" spans="2:12">
      <c r="B1662" s="50" t="s">
        <v>453</v>
      </c>
      <c r="C1662" s="50" t="s">
        <v>51</v>
      </c>
      <c r="D1662" s="50" t="s">
        <v>41</v>
      </c>
      <c r="E1662" s="50">
        <v>50039065</v>
      </c>
      <c r="F1662" s="50" t="s">
        <v>186</v>
      </c>
      <c r="G1662" s="50">
        <v>1</v>
      </c>
      <c r="H1662" s="50" t="s">
        <v>2</v>
      </c>
      <c r="I1662" s="50" t="s">
        <v>291</v>
      </c>
      <c r="J1662" s="51">
        <v>46062</v>
      </c>
      <c r="K1662" s="50" t="s">
        <v>3</v>
      </c>
      <c r="L1662" s="50" t="s">
        <v>80</v>
      </c>
    </row>
    <row r="1663" spans="2:12">
      <c r="B1663" s="50" t="s">
        <v>394</v>
      </c>
      <c r="C1663" s="50" t="s">
        <v>51</v>
      </c>
      <c r="D1663" s="50" t="s">
        <v>27</v>
      </c>
      <c r="E1663" s="50">
        <v>50022878</v>
      </c>
      <c r="F1663" s="50" t="s">
        <v>296</v>
      </c>
      <c r="G1663" s="50">
        <v>1</v>
      </c>
      <c r="H1663" s="50" t="s">
        <v>2</v>
      </c>
      <c r="I1663" s="50" t="s">
        <v>291</v>
      </c>
      <c r="J1663" s="51">
        <v>46062</v>
      </c>
      <c r="K1663" s="50" t="s">
        <v>3</v>
      </c>
      <c r="L1663" s="50" t="s">
        <v>80</v>
      </c>
    </row>
    <row r="1664" spans="2:12">
      <c r="B1664" s="50" t="s">
        <v>453</v>
      </c>
      <c r="C1664" s="50" t="s">
        <v>51</v>
      </c>
      <c r="D1664" s="50" t="s">
        <v>41</v>
      </c>
      <c r="E1664" s="50">
        <v>50037892</v>
      </c>
      <c r="F1664" s="50" t="s">
        <v>178</v>
      </c>
      <c r="G1664" s="50">
        <v>1</v>
      </c>
      <c r="H1664" s="50" t="s">
        <v>2</v>
      </c>
      <c r="I1664" s="50" t="s">
        <v>291</v>
      </c>
      <c r="J1664" s="51">
        <v>46062</v>
      </c>
      <c r="K1664" s="50" t="s">
        <v>3</v>
      </c>
      <c r="L1664" s="50" t="s">
        <v>80</v>
      </c>
    </row>
    <row r="1665" spans="2:12">
      <c r="B1665" s="50" t="s">
        <v>277</v>
      </c>
      <c r="C1665" s="50" t="s">
        <v>62</v>
      </c>
      <c r="D1665" s="50" t="s">
        <v>27</v>
      </c>
      <c r="E1665" s="50">
        <v>50043471</v>
      </c>
      <c r="F1665" s="50" t="s">
        <v>257</v>
      </c>
      <c r="G1665" s="50">
        <v>1</v>
      </c>
      <c r="H1665" s="50" t="s">
        <v>2</v>
      </c>
      <c r="I1665" s="50" t="s">
        <v>291</v>
      </c>
      <c r="J1665" s="51">
        <v>46062</v>
      </c>
      <c r="K1665" s="50" t="s">
        <v>3</v>
      </c>
      <c r="L1665" s="50" t="s">
        <v>80</v>
      </c>
    </row>
    <row r="1666" spans="2:12">
      <c r="B1666" s="50" t="s">
        <v>277</v>
      </c>
      <c r="C1666" s="50" t="s">
        <v>62</v>
      </c>
      <c r="D1666" s="50" t="s">
        <v>27</v>
      </c>
      <c r="E1666" s="50">
        <v>50010031</v>
      </c>
      <c r="F1666" s="50" t="s">
        <v>89</v>
      </c>
      <c r="G1666" s="50">
        <v>1</v>
      </c>
      <c r="H1666" s="50" t="s">
        <v>2</v>
      </c>
      <c r="I1666" s="50" t="s">
        <v>291</v>
      </c>
      <c r="J1666" s="51">
        <v>46062</v>
      </c>
      <c r="K1666" s="50" t="s">
        <v>3</v>
      </c>
      <c r="L1666" s="50" t="s">
        <v>80</v>
      </c>
    </row>
    <row r="1667" spans="2:12">
      <c r="B1667" s="50" t="s">
        <v>386</v>
      </c>
      <c r="C1667" s="50" t="s">
        <v>26</v>
      </c>
      <c r="D1667" s="50" t="s">
        <v>27</v>
      </c>
      <c r="E1667" s="50">
        <v>50043320</v>
      </c>
      <c r="F1667" s="50" t="s">
        <v>264</v>
      </c>
      <c r="G1667" s="50">
        <v>1</v>
      </c>
      <c r="H1667" s="50" t="s">
        <v>2</v>
      </c>
      <c r="I1667" s="50" t="s">
        <v>291</v>
      </c>
      <c r="J1667" s="51">
        <v>46062</v>
      </c>
      <c r="K1667" s="50" t="s">
        <v>3</v>
      </c>
      <c r="L1667" s="50" t="s">
        <v>80</v>
      </c>
    </row>
    <row r="1668" spans="2:12">
      <c r="B1668" s="50" t="s">
        <v>386</v>
      </c>
      <c r="C1668" s="50" t="s">
        <v>26</v>
      </c>
      <c r="D1668" s="50" t="s">
        <v>27</v>
      </c>
      <c r="E1668" s="50">
        <v>50003297</v>
      </c>
      <c r="F1668" s="50" t="s">
        <v>158</v>
      </c>
      <c r="G1668" s="50">
        <v>1</v>
      </c>
      <c r="H1668" s="50" t="s">
        <v>2</v>
      </c>
      <c r="I1668" s="50" t="s">
        <v>291</v>
      </c>
      <c r="J1668" s="51">
        <v>46062</v>
      </c>
      <c r="K1668" s="50" t="s">
        <v>3</v>
      </c>
      <c r="L1668" s="50" t="s">
        <v>80</v>
      </c>
    </row>
    <row r="1669" spans="2:12">
      <c r="B1669" s="50" t="s">
        <v>386</v>
      </c>
      <c r="C1669" s="50" t="s">
        <v>26</v>
      </c>
      <c r="D1669" s="50" t="s">
        <v>27</v>
      </c>
      <c r="E1669" s="50">
        <v>50038517</v>
      </c>
      <c r="F1669" s="50" t="s">
        <v>181</v>
      </c>
      <c r="G1669" s="50">
        <v>1</v>
      </c>
      <c r="H1669" s="50" t="s">
        <v>2</v>
      </c>
      <c r="I1669" s="50" t="s">
        <v>291</v>
      </c>
      <c r="J1669" s="51">
        <v>46062</v>
      </c>
      <c r="K1669" s="50" t="s">
        <v>3</v>
      </c>
      <c r="L1669" s="50" t="s">
        <v>80</v>
      </c>
    </row>
    <row r="1670" spans="2:12">
      <c r="B1670" s="50" t="s">
        <v>427</v>
      </c>
      <c r="C1670" s="50" t="s">
        <v>26</v>
      </c>
      <c r="D1670" s="50" t="s">
        <v>27</v>
      </c>
      <c r="E1670" s="50">
        <v>50038549</v>
      </c>
      <c r="F1670" s="50" t="s">
        <v>173</v>
      </c>
      <c r="G1670" s="50">
        <v>1</v>
      </c>
      <c r="H1670" s="50" t="s">
        <v>2</v>
      </c>
      <c r="I1670" s="50" t="s">
        <v>291</v>
      </c>
      <c r="J1670" s="51">
        <v>46062</v>
      </c>
      <c r="K1670" s="50" t="s">
        <v>3</v>
      </c>
      <c r="L1670" s="50" t="s">
        <v>80</v>
      </c>
    </row>
    <row r="1671" spans="2:12">
      <c r="B1671" s="50" t="s">
        <v>427</v>
      </c>
      <c r="C1671" s="50" t="s">
        <v>26</v>
      </c>
      <c r="D1671" s="50" t="s">
        <v>27</v>
      </c>
      <c r="E1671" s="50">
        <v>50036296</v>
      </c>
      <c r="F1671" s="50" t="s">
        <v>109</v>
      </c>
      <c r="G1671" s="50">
        <v>1</v>
      </c>
      <c r="H1671" s="50" t="s">
        <v>2</v>
      </c>
      <c r="I1671" s="50" t="s">
        <v>291</v>
      </c>
      <c r="J1671" s="51">
        <v>46062</v>
      </c>
      <c r="K1671" s="50" t="s">
        <v>1</v>
      </c>
      <c r="L1671" s="50" t="s">
        <v>80</v>
      </c>
    </row>
    <row r="1672" spans="2:12">
      <c r="B1672" s="50" t="s">
        <v>397</v>
      </c>
      <c r="C1672" s="50" t="s">
        <v>26</v>
      </c>
      <c r="D1672" s="50" t="s">
        <v>41</v>
      </c>
      <c r="E1672" s="50">
        <v>50010031</v>
      </c>
      <c r="F1672" s="50" t="s">
        <v>89</v>
      </c>
      <c r="G1672" s="50">
        <v>1</v>
      </c>
      <c r="H1672" s="50" t="s">
        <v>2</v>
      </c>
      <c r="I1672" s="50" t="s">
        <v>291</v>
      </c>
      <c r="J1672" s="51">
        <v>46062</v>
      </c>
      <c r="K1672" s="50" t="s">
        <v>3</v>
      </c>
      <c r="L1672" s="50" t="s">
        <v>80</v>
      </c>
    </row>
    <row r="1673" spans="2:12">
      <c r="B1673" s="50" t="s">
        <v>397</v>
      </c>
      <c r="C1673" s="50" t="s">
        <v>26</v>
      </c>
      <c r="D1673" s="50" t="s">
        <v>41</v>
      </c>
      <c r="E1673" s="50">
        <v>50010031</v>
      </c>
      <c r="F1673" s="50" t="s">
        <v>89</v>
      </c>
      <c r="G1673" s="50">
        <v>1</v>
      </c>
      <c r="H1673" s="50" t="s">
        <v>2</v>
      </c>
      <c r="I1673" s="50" t="s">
        <v>291</v>
      </c>
      <c r="J1673" s="51">
        <v>46062</v>
      </c>
      <c r="K1673" s="50" t="s">
        <v>1</v>
      </c>
      <c r="L1673" s="50" t="s">
        <v>80</v>
      </c>
    </row>
    <row r="1674" spans="2:12">
      <c r="B1674" s="50" t="s">
        <v>412</v>
      </c>
      <c r="C1674" s="50" t="s">
        <v>51</v>
      </c>
      <c r="D1674" s="50" t="s">
        <v>41</v>
      </c>
      <c r="E1674" s="50">
        <v>50010031</v>
      </c>
      <c r="F1674" s="50" t="s">
        <v>89</v>
      </c>
      <c r="G1674" s="50">
        <v>1</v>
      </c>
      <c r="H1674" s="50" t="s">
        <v>2</v>
      </c>
      <c r="I1674" s="50" t="s">
        <v>291</v>
      </c>
      <c r="J1674" s="51">
        <v>46061</v>
      </c>
      <c r="K1674" s="50" t="s">
        <v>3</v>
      </c>
      <c r="L1674" s="50" t="s">
        <v>80</v>
      </c>
    </row>
    <row r="1675" spans="2:12">
      <c r="B1675" s="50" t="s">
        <v>412</v>
      </c>
      <c r="C1675" s="50" t="s">
        <v>51</v>
      </c>
      <c r="D1675" s="50" t="s">
        <v>41</v>
      </c>
      <c r="E1675" s="50">
        <v>50010031</v>
      </c>
      <c r="F1675" s="50" t="s">
        <v>89</v>
      </c>
      <c r="G1675" s="50">
        <v>1</v>
      </c>
      <c r="H1675" s="50" t="s">
        <v>2</v>
      </c>
      <c r="I1675" s="50" t="s">
        <v>291</v>
      </c>
      <c r="J1675" s="51">
        <v>46061</v>
      </c>
      <c r="K1675" s="50" t="s">
        <v>1</v>
      </c>
      <c r="L1675" s="50" t="s">
        <v>80</v>
      </c>
    </row>
    <row r="1676" spans="2:12">
      <c r="B1676" s="50" t="s">
        <v>417</v>
      </c>
      <c r="C1676" s="50" t="s">
        <v>51</v>
      </c>
      <c r="D1676" s="50" t="s">
        <v>41</v>
      </c>
      <c r="E1676" s="50">
        <v>50010031</v>
      </c>
      <c r="F1676" s="50" t="s">
        <v>89</v>
      </c>
      <c r="G1676" s="50">
        <v>1</v>
      </c>
      <c r="H1676" s="50" t="s">
        <v>2</v>
      </c>
      <c r="I1676" s="50" t="s">
        <v>291</v>
      </c>
      <c r="J1676" s="51">
        <v>46061</v>
      </c>
      <c r="K1676" s="50" t="s">
        <v>3</v>
      </c>
      <c r="L1676" s="50" t="s">
        <v>80</v>
      </c>
    </row>
    <row r="1677" spans="2:12">
      <c r="B1677" s="50" t="s">
        <v>417</v>
      </c>
      <c r="C1677" s="50" t="s">
        <v>51</v>
      </c>
      <c r="D1677" s="50" t="s">
        <v>41</v>
      </c>
      <c r="E1677" s="50">
        <v>50010031</v>
      </c>
      <c r="F1677" s="50" t="s">
        <v>89</v>
      </c>
      <c r="G1677" s="50">
        <v>1</v>
      </c>
      <c r="H1677" s="50" t="s">
        <v>2</v>
      </c>
      <c r="I1677" s="50" t="s">
        <v>291</v>
      </c>
      <c r="J1677" s="51">
        <v>46061</v>
      </c>
      <c r="K1677" s="50" t="s">
        <v>1</v>
      </c>
      <c r="L1677" s="50" t="s">
        <v>80</v>
      </c>
    </row>
    <row r="1678" spans="2:12">
      <c r="B1678" s="50" t="s">
        <v>472</v>
      </c>
      <c r="C1678" s="50" t="s">
        <v>51</v>
      </c>
      <c r="D1678" s="50" t="s">
        <v>41</v>
      </c>
      <c r="E1678" s="50">
        <v>50010031</v>
      </c>
      <c r="F1678" s="50" t="s">
        <v>89</v>
      </c>
      <c r="G1678" s="50">
        <v>1</v>
      </c>
      <c r="H1678" s="50" t="s">
        <v>2</v>
      </c>
      <c r="I1678" s="50" t="s">
        <v>291</v>
      </c>
      <c r="J1678" s="51">
        <v>46060</v>
      </c>
      <c r="K1678" s="50" t="s">
        <v>3</v>
      </c>
      <c r="L1678" s="50" t="s">
        <v>80</v>
      </c>
    </row>
    <row r="1679" spans="2:12">
      <c r="B1679" s="50" t="s">
        <v>472</v>
      </c>
      <c r="C1679" s="50" t="s">
        <v>51</v>
      </c>
      <c r="D1679" s="50" t="s">
        <v>41</v>
      </c>
      <c r="E1679" s="50">
        <v>50010031</v>
      </c>
      <c r="F1679" s="50" t="s">
        <v>89</v>
      </c>
      <c r="G1679" s="50">
        <v>1</v>
      </c>
      <c r="H1679" s="50" t="s">
        <v>2</v>
      </c>
      <c r="I1679" s="50" t="s">
        <v>291</v>
      </c>
      <c r="J1679" s="51">
        <v>46060</v>
      </c>
      <c r="K1679" s="50" t="s">
        <v>1</v>
      </c>
      <c r="L1679" s="50" t="s">
        <v>80</v>
      </c>
    </row>
    <row r="1680" spans="2:12">
      <c r="B1680" s="50" t="s">
        <v>412</v>
      </c>
      <c r="C1680" s="50" t="s">
        <v>51</v>
      </c>
      <c r="D1680" s="50" t="s">
        <v>41</v>
      </c>
      <c r="E1680" s="50">
        <v>50038517</v>
      </c>
      <c r="F1680" s="50" t="s">
        <v>181</v>
      </c>
      <c r="G1680" s="50">
        <v>1</v>
      </c>
      <c r="H1680" s="50" t="s">
        <v>2</v>
      </c>
      <c r="I1680" s="50" t="s">
        <v>291</v>
      </c>
      <c r="J1680" s="51">
        <v>46060</v>
      </c>
      <c r="K1680" s="50" t="s">
        <v>3</v>
      </c>
      <c r="L1680" s="50" t="s">
        <v>80</v>
      </c>
    </row>
    <row r="1681" spans="2:12">
      <c r="B1681" s="50" t="s">
        <v>412</v>
      </c>
      <c r="C1681" s="50" t="s">
        <v>51</v>
      </c>
      <c r="D1681" s="50" t="s">
        <v>41</v>
      </c>
      <c r="E1681" s="50">
        <v>50038517</v>
      </c>
      <c r="F1681" s="50" t="s">
        <v>181</v>
      </c>
      <c r="G1681" s="50">
        <v>1</v>
      </c>
      <c r="H1681" s="50" t="s">
        <v>2</v>
      </c>
      <c r="I1681" s="50" t="s">
        <v>291</v>
      </c>
      <c r="J1681" s="51">
        <v>46060</v>
      </c>
      <c r="K1681" s="50" t="s">
        <v>1</v>
      </c>
      <c r="L1681" s="50" t="s">
        <v>80</v>
      </c>
    </row>
    <row r="1682" spans="2:12">
      <c r="B1682" s="50" t="s">
        <v>422</v>
      </c>
      <c r="C1682" s="50" t="s">
        <v>26</v>
      </c>
      <c r="D1682" s="50" t="s">
        <v>27</v>
      </c>
      <c r="E1682" s="50">
        <v>50036086</v>
      </c>
      <c r="F1682" s="50" t="s">
        <v>28</v>
      </c>
      <c r="G1682" s="50">
        <v>1</v>
      </c>
      <c r="H1682" s="50" t="s">
        <v>2</v>
      </c>
      <c r="I1682" s="50" t="s">
        <v>291</v>
      </c>
      <c r="J1682" s="51">
        <v>46060</v>
      </c>
      <c r="K1682" s="50" t="s">
        <v>3</v>
      </c>
      <c r="L1682" s="50" t="s">
        <v>80</v>
      </c>
    </row>
    <row r="1683" spans="2:12">
      <c r="B1683" s="50" t="s">
        <v>422</v>
      </c>
      <c r="C1683" s="50" t="s">
        <v>26</v>
      </c>
      <c r="D1683" s="50" t="s">
        <v>27</v>
      </c>
      <c r="E1683" s="50">
        <v>50036086</v>
      </c>
      <c r="F1683" s="50" t="s">
        <v>28</v>
      </c>
      <c r="G1683" s="50">
        <v>1</v>
      </c>
      <c r="H1683" s="50" t="s">
        <v>2</v>
      </c>
      <c r="I1683" s="50" t="s">
        <v>291</v>
      </c>
      <c r="J1683" s="51">
        <v>46060</v>
      </c>
      <c r="K1683" s="50" t="s">
        <v>1</v>
      </c>
      <c r="L1683" s="50" t="s">
        <v>80</v>
      </c>
    </row>
    <row r="1684" spans="2:12">
      <c r="B1684" s="50" t="s">
        <v>471</v>
      </c>
      <c r="C1684" s="50" t="s">
        <v>51</v>
      </c>
      <c r="D1684" s="50" t="s">
        <v>36</v>
      </c>
      <c r="E1684" s="50">
        <v>50038517</v>
      </c>
      <c r="F1684" s="50" t="s">
        <v>181</v>
      </c>
      <c r="G1684" s="50">
        <v>1</v>
      </c>
      <c r="H1684" s="50" t="s">
        <v>2</v>
      </c>
      <c r="I1684" s="50" t="s">
        <v>291</v>
      </c>
      <c r="J1684" s="51">
        <v>46060</v>
      </c>
      <c r="K1684" s="50" t="s">
        <v>1</v>
      </c>
      <c r="L1684" s="50" t="s">
        <v>80</v>
      </c>
    </row>
    <row r="1685" spans="2:12">
      <c r="B1685" s="50" t="s">
        <v>402</v>
      </c>
      <c r="C1685" s="50" t="s">
        <v>26</v>
      </c>
      <c r="D1685" s="50" t="s">
        <v>36</v>
      </c>
      <c r="E1685" s="50">
        <v>50010031</v>
      </c>
      <c r="F1685" s="50" t="s">
        <v>89</v>
      </c>
      <c r="G1685" s="50">
        <v>1</v>
      </c>
      <c r="H1685" s="50" t="s">
        <v>2</v>
      </c>
      <c r="I1685" s="50" t="s">
        <v>291</v>
      </c>
      <c r="J1685" s="51">
        <v>46060</v>
      </c>
      <c r="K1685" s="50" t="s">
        <v>1</v>
      </c>
      <c r="L1685" s="50" t="s">
        <v>80</v>
      </c>
    </row>
    <row r="1686" spans="2:12">
      <c r="B1686" s="50" t="s">
        <v>402</v>
      </c>
      <c r="C1686" s="50" t="s">
        <v>26</v>
      </c>
      <c r="D1686" s="50" t="s">
        <v>36</v>
      </c>
      <c r="E1686" s="50">
        <v>50001995</v>
      </c>
      <c r="F1686" s="50" t="s">
        <v>185</v>
      </c>
      <c r="G1686" s="50">
        <v>1</v>
      </c>
      <c r="H1686" s="50" t="s">
        <v>2</v>
      </c>
      <c r="I1686" s="50" t="s">
        <v>291</v>
      </c>
      <c r="J1686" s="51">
        <v>46060</v>
      </c>
      <c r="K1686" s="50" t="s">
        <v>3</v>
      </c>
      <c r="L1686" s="50" t="s">
        <v>80</v>
      </c>
    </row>
    <row r="1687" spans="2:12">
      <c r="B1687" s="50" t="s">
        <v>471</v>
      </c>
      <c r="C1687" s="50" t="s">
        <v>51</v>
      </c>
      <c r="D1687" s="50" t="s">
        <v>36</v>
      </c>
      <c r="E1687" s="50">
        <v>50038517</v>
      </c>
      <c r="F1687" s="50" t="s">
        <v>181</v>
      </c>
      <c r="G1687" s="50">
        <v>1</v>
      </c>
      <c r="H1687" s="50" t="s">
        <v>2</v>
      </c>
      <c r="I1687" s="50" t="s">
        <v>291</v>
      </c>
      <c r="J1687" s="51">
        <v>46059</v>
      </c>
      <c r="K1687" s="50" t="s">
        <v>3</v>
      </c>
      <c r="L1687" s="50" t="s">
        <v>80</v>
      </c>
    </row>
    <row r="1688" spans="2:12">
      <c r="B1688" s="50" t="s">
        <v>402</v>
      </c>
      <c r="C1688" s="50" t="s">
        <v>26</v>
      </c>
      <c r="D1688" s="50" t="s">
        <v>36</v>
      </c>
      <c r="E1688" s="50">
        <v>50010031</v>
      </c>
      <c r="F1688" s="50" t="s">
        <v>89</v>
      </c>
      <c r="G1688" s="50">
        <v>1</v>
      </c>
      <c r="H1688" s="50" t="s">
        <v>2</v>
      </c>
      <c r="I1688" s="50" t="s">
        <v>291</v>
      </c>
      <c r="J1688" s="51">
        <v>46059</v>
      </c>
      <c r="K1688" s="50" t="s">
        <v>3</v>
      </c>
      <c r="L1688" s="50" t="s">
        <v>80</v>
      </c>
    </row>
    <row r="1689" spans="2:12">
      <c r="B1689" s="50" t="s">
        <v>402</v>
      </c>
      <c r="C1689" s="50" t="s">
        <v>26</v>
      </c>
      <c r="D1689" s="50" t="s">
        <v>36</v>
      </c>
      <c r="E1689" s="50">
        <v>50001995</v>
      </c>
      <c r="F1689" s="50" t="s">
        <v>185</v>
      </c>
      <c r="G1689" s="50">
        <v>1</v>
      </c>
      <c r="H1689" s="50" t="s">
        <v>2</v>
      </c>
      <c r="I1689" s="50" t="s">
        <v>291</v>
      </c>
      <c r="J1689" s="51">
        <v>46059</v>
      </c>
      <c r="K1689" s="50" t="s">
        <v>1</v>
      </c>
      <c r="L1689" s="50" t="s">
        <v>80</v>
      </c>
    </row>
    <row r="1690" spans="2:12">
      <c r="B1690" s="50" t="s">
        <v>25</v>
      </c>
      <c r="C1690" s="50" t="s">
        <v>26</v>
      </c>
      <c r="D1690" s="50" t="s">
        <v>27</v>
      </c>
      <c r="E1690" s="50">
        <v>50037892</v>
      </c>
      <c r="F1690" s="50" t="s">
        <v>178</v>
      </c>
      <c r="G1690" s="50">
        <v>1</v>
      </c>
      <c r="H1690" s="50" t="s">
        <v>2</v>
      </c>
      <c r="I1690" s="50" t="s">
        <v>291</v>
      </c>
      <c r="J1690" s="51">
        <v>46059</v>
      </c>
      <c r="K1690" s="50" t="s">
        <v>3</v>
      </c>
      <c r="L1690" s="50" t="s">
        <v>80</v>
      </c>
    </row>
    <row r="1691" spans="2:12">
      <c r="B1691" s="50" t="s">
        <v>25</v>
      </c>
      <c r="C1691" s="50" t="s">
        <v>26</v>
      </c>
      <c r="D1691" s="50" t="s">
        <v>27</v>
      </c>
      <c r="E1691" s="50">
        <v>50037892</v>
      </c>
      <c r="F1691" s="50" t="s">
        <v>178</v>
      </c>
      <c r="G1691" s="50">
        <v>1</v>
      </c>
      <c r="H1691" s="50" t="s">
        <v>2</v>
      </c>
      <c r="I1691" s="50" t="s">
        <v>291</v>
      </c>
      <c r="J1691" s="51">
        <v>46059</v>
      </c>
      <c r="K1691" s="50" t="s">
        <v>1</v>
      </c>
      <c r="L1691" s="50" t="s">
        <v>80</v>
      </c>
    </row>
    <row r="1692" spans="2:12">
      <c r="B1692" s="50" t="s">
        <v>483</v>
      </c>
      <c r="C1692" s="50" t="s">
        <v>62</v>
      </c>
      <c r="D1692" s="50" t="s">
        <v>27</v>
      </c>
      <c r="E1692" s="50">
        <v>50036297</v>
      </c>
      <c r="F1692" s="50" t="s">
        <v>189</v>
      </c>
      <c r="G1692" s="50">
        <v>1</v>
      </c>
      <c r="H1692" s="50" t="s">
        <v>2</v>
      </c>
      <c r="I1692" s="50" t="s">
        <v>292</v>
      </c>
      <c r="J1692" s="51">
        <v>46059</v>
      </c>
      <c r="K1692" s="50" t="s">
        <v>1</v>
      </c>
      <c r="L1692" s="50" t="s">
        <v>80</v>
      </c>
    </row>
    <row r="1693" spans="2:12">
      <c r="B1693" s="50" t="s">
        <v>483</v>
      </c>
      <c r="C1693" s="50" t="s">
        <v>62</v>
      </c>
      <c r="D1693" s="50" t="s">
        <v>27</v>
      </c>
      <c r="E1693" s="50">
        <v>50003297</v>
      </c>
      <c r="F1693" s="50" t="s">
        <v>158</v>
      </c>
      <c r="G1693" s="50">
        <v>1</v>
      </c>
      <c r="H1693" s="50" t="s">
        <v>2</v>
      </c>
      <c r="I1693" s="50" t="s">
        <v>291</v>
      </c>
      <c r="J1693" s="51">
        <v>46059</v>
      </c>
      <c r="K1693" s="50" t="s">
        <v>1</v>
      </c>
      <c r="L1693" s="50" t="s">
        <v>80</v>
      </c>
    </row>
    <row r="1694" spans="2:12">
      <c r="B1694" s="50" t="s">
        <v>463</v>
      </c>
      <c r="C1694" s="50" t="s">
        <v>356</v>
      </c>
      <c r="D1694" s="50" t="s">
        <v>27</v>
      </c>
      <c r="E1694" s="50">
        <v>50038517</v>
      </c>
      <c r="F1694" s="50" t="s">
        <v>181</v>
      </c>
      <c r="G1694" s="50">
        <v>1</v>
      </c>
      <c r="H1694" s="50" t="s">
        <v>2</v>
      </c>
      <c r="I1694" s="50" t="s">
        <v>293</v>
      </c>
      <c r="J1694" s="51">
        <v>46059</v>
      </c>
      <c r="K1694" s="50" t="s">
        <v>1</v>
      </c>
      <c r="L1694" s="50" t="s">
        <v>80</v>
      </c>
    </row>
    <row r="1695" spans="2:12">
      <c r="B1695" s="50" t="s">
        <v>363</v>
      </c>
      <c r="C1695" s="50" t="s">
        <v>26</v>
      </c>
      <c r="D1695" s="50" t="s">
        <v>41</v>
      </c>
      <c r="E1695" s="50">
        <v>50038517</v>
      </c>
      <c r="F1695" s="50" t="s">
        <v>181</v>
      </c>
      <c r="G1695" s="50">
        <v>1</v>
      </c>
      <c r="H1695" s="50" t="s">
        <v>2</v>
      </c>
      <c r="I1695" s="50" t="s">
        <v>293</v>
      </c>
      <c r="J1695" s="51">
        <v>46059</v>
      </c>
      <c r="K1695" s="50" t="s">
        <v>1</v>
      </c>
      <c r="L1695" s="50" t="s">
        <v>80</v>
      </c>
    </row>
    <row r="1696" spans="2:12">
      <c r="B1696" s="50" t="s">
        <v>399</v>
      </c>
      <c r="C1696" s="50" t="s">
        <v>51</v>
      </c>
      <c r="D1696" s="50" t="s">
        <v>27</v>
      </c>
      <c r="E1696" s="50">
        <v>50043471</v>
      </c>
      <c r="F1696" s="50" t="s">
        <v>257</v>
      </c>
      <c r="G1696" s="50">
        <v>1</v>
      </c>
      <c r="H1696" s="50" t="s">
        <v>2</v>
      </c>
      <c r="I1696" s="50" t="s">
        <v>293</v>
      </c>
      <c r="J1696" s="51">
        <v>46059</v>
      </c>
      <c r="K1696" s="50" t="s">
        <v>3</v>
      </c>
      <c r="L1696" s="50" t="s">
        <v>80</v>
      </c>
    </row>
    <row r="1697" spans="2:12">
      <c r="B1697" s="50" t="s">
        <v>316</v>
      </c>
      <c r="C1697" s="50" t="s">
        <v>51</v>
      </c>
      <c r="D1697" s="50" t="s">
        <v>27</v>
      </c>
      <c r="E1697" s="50">
        <v>50037892</v>
      </c>
      <c r="F1697" s="50" t="s">
        <v>178</v>
      </c>
      <c r="G1697" s="50">
        <v>1</v>
      </c>
      <c r="H1697" s="50" t="s">
        <v>2</v>
      </c>
      <c r="I1697" s="50" t="s">
        <v>293</v>
      </c>
      <c r="J1697" s="51">
        <v>46059</v>
      </c>
      <c r="K1697" s="50" t="s">
        <v>3</v>
      </c>
      <c r="L1697" s="50" t="s">
        <v>80</v>
      </c>
    </row>
    <row r="1698" spans="2:12">
      <c r="B1698" s="50" t="s">
        <v>483</v>
      </c>
      <c r="C1698" s="50" t="s">
        <v>62</v>
      </c>
      <c r="D1698" s="50" t="s">
        <v>27</v>
      </c>
      <c r="E1698" s="50">
        <v>50036297</v>
      </c>
      <c r="F1698" s="50" t="s">
        <v>189</v>
      </c>
      <c r="G1698" s="50">
        <v>1</v>
      </c>
      <c r="H1698" s="50" t="s">
        <v>2</v>
      </c>
      <c r="I1698" s="50" t="s">
        <v>292</v>
      </c>
      <c r="J1698" s="51">
        <v>46059</v>
      </c>
      <c r="K1698" s="50" t="s">
        <v>3</v>
      </c>
      <c r="L1698" s="50" t="s">
        <v>80</v>
      </c>
    </row>
    <row r="1699" spans="2:12">
      <c r="B1699" s="50" t="s">
        <v>399</v>
      </c>
      <c r="C1699" s="50" t="s">
        <v>51</v>
      </c>
      <c r="D1699" s="50" t="s">
        <v>27</v>
      </c>
      <c r="E1699" s="50">
        <v>50043471</v>
      </c>
      <c r="F1699" s="50" t="s">
        <v>257</v>
      </c>
      <c r="G1699" s="50">
        <v>1</v>
      </c>
      <c r="H1699" s="50" t="s">
        <v>2</v>
      </c>
      <c r="I1699" s="50" t="s">
        <v>292</v>
      </c>
      <c r="J1699" s="51">
        <v>46059</v>
      </c>
      <c r="K1699" s="50" t="s">
        <v>1</v>
      </c>
      <c r="L1699" s="50" t="s">
        <v>80</v>
      </c>
    </row>
    <row r="1700" spans="2:12">
      <c r="B1700" s="50" t="s">
        <v>277</v>
      </c>
      <c r="C1700" s="50" t="s">
        <v>62</v>
      </c>
      <c r="D1700" s="50" t="s">
        <v>27</v>
      </c>
      <c r="E1700" s="50">
        <v>50037892</v>
      </c>
      <c r="F1700" s="50" t="s">
        <v>178</v>
      </c>
      <c r="G1700" s="50">
        <v>1</v>
      </c>
      <c r="H1700" s="50" t="s">
        <v>2</v>
      </c>
      <c r="I1700" s="50" t="s">
        <v>292</v>
      </c>
      <c r="J1700" s="51">
        <v>46059</v>
      </c>
      <c r="K1700" s="50" t="s">
        <v>1</v>
      </c>
      <c r="L1700" s="50" t="s">
        <v>80</v>
      </c>
    </row>
    <row r="1701" spans="2:12">
      <c r="B1701" s="50" t="s">
        <v>277</v>
      </c>
      <c r="C1701" s="50" t="s">
        <v>62</v>
      </c>
      <c r="D1701" s="50" t="s">
        <v>27</v>
      </c>
      <c r="E1701" s="50">
        <v>50043471</v>
      </c>
      <c r="F1701" s="50" t="s">
        <v>257</v>
      </c>
      <c r="G1701" s="50">
        <v>1</v>
      </c>
      <c r="H1701" s="50" t="s">
        <v>2</v>
      </c>
      <c r="I1701" s="50" t="s">
        <v>292</v>
      </c>
      <c r="J1701" s="51">
        <v>46059</v>
      </c>
      <c r="K1701" s="50" t="s">
        <v>3</v>
      </c>
      <c r="L1701" s="50" t="s">
        <v>80</v>
      </c>
    </row>
    <row r="1702" spans="2:12">
      <c r="B1702" s="50" t="s">
        <v>363</v>
      </c>
      <c r="C1702" s="50" t="s">
        <v>26</v>
      </c>
      <c r="D1702" s="50" t="s">
        <v>41</v>
      </c>
      <c r="E1702" s="50">
        <v>50038517</v>
      </c>
      <c r="F1702" s="50" t="s">
        <v>181</v>
      </c>
      <c r="G1702" s="50">
        <v>1</v>
      </c>
      <c r="H1702" s="50" t="s">
        <v>2</v>
      </c>
      <c r="I1702" s="50" t="s">
        <v>293</v>
      </c>
      <c r="J1702" s="51">
        <v>46059</v>
      </c>
      <c r="K1702" s="50" t="s">
        <v>3</v>
      </c>
      <c r="L1702" s="50" t="s">
        <v>80</v>
      </c>
    </row>
    <row r="1703" spans="2:12">
      <c r="B1703" s="50" t="s">
        <v>463</v>
      </c>
      <c r="C1703" s="50" t="s">
        <v>356</v>
      </c>
      <c r="D1703" s="50" t="s">
        <v>27</v>
      </c>
      <c r="E1703" s="50">
        <v>50038517</v>
      </c>
      <c r="F1703" s="50" t="s">
        <v>181</v>
      </c>
      <c r="G1703" s="50">
        <v>1</v>
      </c>
      <c r="H1703" s="50" t="s">
        <v>2</v>
      </c>
      <c r="I1703" s="50" t="s">
        <v>291</v>
      </c>
      <c r="J1703" s="51">
        <v>46059</v>
      </c>
      <c r="K1703" s="50" t="s">
        <v>1</v>
      </c>
      <c r="L1703" s="50" t="s">
        <v>80</v>
      </c>
    </row>
    <row r="1704" spans="2:12">
      <c r="B1704" s="50" t="s">
        <v>345</v>
      </c>
      <c r="C1704" s="50" t="s">
        <v>62</v>
      </c>
      <c r="D1704" s="50" t="s">
        <v>27</v>
      </c>
      <c r="E1704" s="50">
        <v>50020624</v>
      </c>
      <c r="F1704" s="50" t="s">
        <v>217</v>
      </c>
      <c r="G1704" s="50">
        <v>1</v>
      </c>
      <c r="H1704" s="50" t="s">
        <v>2</v>
      </c>
      <c r="I1704" s="50" t="s">
        <v>291</v>
      </c>
      <c r="J1704" s="51">
        <v>46059</v>
      </c>
      <c r="K1704" s="50" t="s">
        <v>1</v>
      </c>
      <c r="L1704" s="50" t="s">
        <v>80</v>
      </c>
    </row>
    <row r="1705" spans="2:12">
      <c r="B1705" s="50" t="s">
        <v>25</v>
      </c>
      <c r="C1705" s="50" t="s">
        <v>26</v>
      </c>
      <c r="D1705" s="50" t="s">
        <v>27</v>
      </c>
      <c r="E1705" s="50">
        <v>50038517</v>
      </c>
      <c r="F1705" s="50" t="s">
        <v>181</v>
      </c>
      <c r="G1705" s="50">
        <v>1</v>
      </c>
      <c r="H1705" s="50" t="s">
        <v>2</v>
      </c>
      <c r="I1705" s="50" t="s">
        <v>291</v>
      </c>
      <c r="J1705" s="51">
        <v>46059</v>
      </c>
      <c r="K1705" s="50" t="s">
        <v>3</v>
      </c>
      <c r="L1705" s="50" t="s">
        <v>80</v>
      </c>
    </row>
    <row r="1706" spans="2:12">
      <c r="B1706" s="50" t="s">
        <v>483</v>
      </c>
      <c r="C1706" s="50" t="s">
        <v>62</v>
      </c>
      <c r="D1706" s="50" t="s">
        <v>27</v>
      </c>
      <c r="E1706" s="50">
        <v>50003297</v>
      </c>
      <c r="F1706" s="50" t="s">
        <v>158</v>
      </c>
      <c r="G1706" s="50">
        <v>1</v>
      </c>
      <c r="H1706" s="50" t="s">
        <v>2</v>
      </c>
      <c r="I1706" s="50" t="s">
        <v>291</v>
      </c>
      <c r="J1706" s="51">
        <v>46059</v>
      </c>
      <c r="K1706" s="50" t="s">
        <v>3</v>
      </c>
      <c r="L1706" s="50" t="s">
        <v>80</v>
      </c>
    </row>
    <row r="1707" spans="2:12">
      <c r="B1707" s="50" t="s">
        <v>363</v>
      </c>
      <c r="C1707" s="50" t="s">
        <v>26</v>
      </c>
      <c r="D1707" s="50" t="s">
        <v>41</v>
      </c>
      <c r="E1707" s="50">
        <v>50038626</v>
      </c>
      <c r="F1707" s="50" t="s">
        <v>190</v>
      </c>
      <c r="G1707" s="50">
        <v>1</v>
      </c>
      <c r="H1707" s="50" t="s">
        <v>2</v>
      </c>
      <c r="I1707" s="50" t="s">
        <v>291</v>
      </c>
      <c r="J1707" s="51">
        <v>46059</v>
      </c>
      <c r="K1707" s="50" t="s">
        <v>3</v>
      </c>
      <c r="L1707" s="50" t="s">
        <v>80</v>
      </c>
    </row>
    <row r="1708" spans="2:12">
      <c r="B1708" s="50" t="s">
        <v>25</v>
      </c>
      <c r="C1708" s="50" t="s">
        <v>26</v>
      </c>
      <c r="D1708" s="50" t="s">
        <v>27</v>
      </c>
      <c r="E1708" s="50">
        <v>50038517</v>
      </c>
      <c r="F1708" s="50" t="s">
        <v>181</v>
      </c>
      <c r="G1708" s="50">
        <v>1</v>
      </c>
      <c r="H1708" s="50" t="s">
        <v>2</v>
      </c>
      <c r="I1708" s="50" t="s">
        <v>291</v>
      </c>
      <c r="J1708" s="51">
        <v>46059</v>
      </c>
      <c r="K1708" s="50" t="s">
        <v>3</v>
      </c>
      <c r="L1708" s="50" t="s">
        <v>80</v>
      </c>
    </row>
    <row r="1709" spans="2:12">
      <c r="B1709" s="50" t="s">
        <v>277</v>
      </c>
      <c r="C1709" s="50" t="s">
        <v>62</v>
      </c>
      <c r="D1709" s="50" t="s">
        <v>27</v>
      </c>
      <c r="E1709" s="50">
        <v>50037892</v>
      </c>
      <c r="F1709" s="50" t="s">
        <v>178</v>
      </c>
      <c r="G1709" s="50">
        <v>1</v>
      </c>
      <c r="H1709" s="50" t="s">
        <v>2</v>
      </c>
      <c r="I1709" s="50" t="s">
        <v>291</v>
      </c>
      <c r="J1709" s="51">
        <v>46059</v>
      </c>
      <c r="K1709" s="50" t="s">
        <v>3</v>
      </c>
      <c r="L1709" s="50" t="s">
        <v>80</v>
      </c>
    </row>
    <row r="1710" spans="2:12">
      <c r="B1710" s="50" t="s">
        <v>277</v>
      </c>
      <c r="C1710" s="50" t="s">
        <v>62</v>
      </c>
      <c r="D1710" s="50" t="s">
        <v>27</v>
      </c>
      <c r="E1710" s="50">
        <v>50043471</v>
      </c>
      <c r="F1710" s="50" t="s">
        <v>257</v>
      </c>
      <c r="G1710" s="50">
        <v>1</v>
      </c>
      <c r="H1710" s="50" t="s">
        <v>2</v>
      </c>
      <c r="I1710" s="50" t="s">
        <v>291</v>
      </c>
      <c r="J1710" s="51">
        <v>46059</v>
      </c>
      <c r="K1710" s="50" t="s">
        <v>1</v>
      </c>
      <c r="L1710" s="50" t="s">
        <v>80</v>
      </c>
    </row>
    <row r="1711" spans="2:12">
      <c r="B1711" s="50" t="s">
        <v>463</v>
      </c>
      <c r="C1711" s="50" t="s">
        <v>356</v>
      </c>
      <c r="D1711" s="50" t="s">
        <v>27</v>
      </c>
      <c r="E1711" s="50">
        <v>50037905</v>
      </c>
      <c r="F1711" s="50" t="s">
        <v>150</v>
      </c>
      <c r="G1711" s="50">
        <v>1</v>
      </c>
      <c r="H1711" s="50" t="s">
        <v>2</v>
      </c>
      <c r="I1711" s="50" t="s">
        <v>291</v>
      </c>
      <c r="J1711" s="51">
        <v>46059</v>
      </c>
      <c r="K1711" s="50" t="s">
        <v>3</v>
      </c>
      <c r="L1711" s="50" t="s">
        <v>80</v>
      </c>
    </row>
    <row r="1712" spans="2:12">
      <c r="B1712" s="50" t="s">
        <v>481</v>
      </c>
      <c r="C1712" s="50" t="s">
        <v>56</v>
      </c>
      <c r="D1712" s="50" t="s">
        <v>27</v>
      </c>
      <c r="E1712" s="50">
        <v>50041195</v>
      </c>
      <c r="F1712" s="50" t="s">
        <v>206</v>
      </c>
      <c r="G1712" s="50">
        <v>1</v>
      </c>
      <c r="H1712" s="50" t="s">
        <v>2</v>
      </c>
      <c r="I1712" s="50" t="s">
        <v>291</v>
      </c>
      <c r="J1712" s="51">
        <v>46059</v>
      </c>
      <c r="K1712" s="50" t="s">
        <v>1</v>
      </c>
      <c r="L1712" s="50" t="s">
        <v>80</v>
      </c>
    </row>
    <row r="1713" spans="2:12">
      <c r="B1713" s="50" t="s">
        <v>478</v>
      </c>
      <c r="C1713" s="50" t="s">
        <v>51</v>
      </c>
      <c r="D1713" s="50" t="s">
        <v>27</v>
      </c>
      <c r="E1713" s="50">
        <v>50046617</v>
      </c>
      <c r="F1713" s="50" t="s">
        <v>358</v>
      </c>
      <c r="G1713" s="50">
        <v>1</v>
      </c>
      <c r="H1713" s="50" t="s">
        <v>2</v>
      </c>
      <c r="I1713" s="50" t="s">
        <v>291</v>
      </c>
      <c r="J1713" s="51">
        <v>46059</v>
      </c>
      <c r="K1713" s="50" t="s">
        <v>1</v>
      </c>
      <c r="L1713" s="50" t="s">
        <v>80</v>
      </c>
    </row>
    <row r="1714" spans="2:12">
      <c r="B1714" s="50" t="s">
        <v>446</v>
      </c>
      <c r="C1714" s="50" t="s">
        <v>56</v>
      </c>
      <c r="D1714" s="50" t="s">
        <v>27</v>
      </c>
      <c r="E1714" s="50">
        <v>50045979</v>
      </c>
      <c r="F1714" s="50" t="s">
        <v>357</v>
      </c>
      <c r="G1714" s="50">
        <v>1</v>
      </c>
      <c r="H1714" s="50" t="s">
        <v>2</v>
      </c>
      <c r="I1714" s="50" t="s">
        <v>291</v>
      </c>
      <c r="J1714" s="51">
        <v>46059</v>
      </c>
      <c r="K1714" s="50" t="s">
        <v>1</v>
      </c>
      <c r="L1714" s="50" t="s">
        <v>80</v>
      </c>
    </row>
    <row r="1715" spans="2:12">
      <c r="B1715" s="50" t="s">
        <v>471</v>
      </c>
      <c r="C1715" s="50" t="s">
        <v>26</v>
      </c>
      <c r="D1715" s="50" t="s">
        <v>39</v>
      </c>
      <c r="E1715" s="50">
        <v>50038517</v>
      </c>
      <c r="F1715" s="50" t="s">
        <v>181</v>
      </c>
      <c r="G1715" s="50">
        <v>1</v>
      </c>
      <c r="H1715" s="50" t="s">
        <v>2</v>
      </c>
      <c r="I1715" s="50" t="s">
        <v>291</v>
      </c>
      <c r="J1715" s="51">
        <v>46059</v>
      </c>
      <c r="K1715" s="50" t="s">
        <v>1</v>
      </c>
      <c r="L1715" s="50" t="s">
        <v>80</v>
      </c>
    </row>
    <row r="1716" spans="2:12">
      <c r="B1716" s="50" t="s">
        <v>430</v>
      </c>
      <c r="C1716" s="50" t="s">
        <v>61</v>
      </c>
      <c r="D1716" s="50" t="s">
        <v>39</v>
      </c>
      <c r="E1716" s="50">
        <v>50012576</v>
      </c>
      <c r="F1716" s="50" t="s">
        <v>304</v>
      </c>
      <c r="G1716" s="50">
        <v>1</v>
      </c>
      <c r="H1716" s="50" t="s">
        <v>2</v>
      </c>
      <c r="I1716" s="50" t="s">
        <v>291</v>
      </c>
      <c r="J1716" s="51">
        <v>46059</v>
      </c>
      <c r="K1716" s="50" t="s">
        <v>1</v>
      </c>
      <c r="L1716" s="50" t="s">
        <v>80</v>
      </c>
    </row>
    <row r="1717" spans="2:12">
      <c r="B1717" s="50" t="s">
        <v>469</v>
      </c>
      <c r="C1717" s="50" t="s">
        <v>26</v>
      </c>
      <c r="D1717" s="50" t="s">
        <v>39</v>
      </c>
      <c r="E1717" s="50">
        <v>50022878</v>
      </c>
      <c r="F1717" s="50" t="s">
        <v>296</v>
      </c>
      <c r="G1717" s="50">
        <v>1</v>
      </c>
      <c r="H1717" s="50" t="s">
        <v>2</v>
      </c>
      <c r="I1717" s="50" t="s">
        <v>291</v>
      </c>
      <c r="J1717" s="51">
        <v>46059</v>
      </c>
      <c r="K1717" s="50" t="s">
        <v>1</v>
      </c>
      <c r="L1717" s="50" t="s">
        <v>80</v>
      </c>
    </row>
    <row r="1718" spans="2:12">
      <c r="B1718" s="50" t="s">
        <v>25</v>
      </c>
      <c r="C1718" s="50" t="s">
        <v>26</v>
      </c>
      <c r="D1718" s="50" t="s">
        <v>27</v>
      </c>
      <c r="E1718" s="50">
        <v>50037892</v>
      </c>
      <c r="F1718" s="50" t="s">
        <v>178</v>
      </c>
      <c r="G1718" s="50">
        <v>1</v>
      </c>
      <c r="H1718" s="50" t="s">
        <v>2</v>
      </c>
      <c r="I1718" s="50" t="s">
        <v>291</v>
      </c>
      <c r="J1718" s="51">
        <v>46059</v>
      </c>
      <c r="K1718" s="50" t="s">
        <v>3</v>
      </c>
      <c r="L1718" s="50" t="s">
        <v>80</v>
      </c>
    </row>
    <row r="1719" spans="2:12">
      <c r="B1719" s="50" t="s">
        <v>25</v>
      </c>
      <c r="C1719" s="50" t="s">
        <v>26</v>
      </c>
      <c r="D1719" s="50" t="s">
        <v>27</v>
      </c>
      <c r="E1719" s="50">
        <v>50037892</v>
      </c>
      <c r="F1719" s="50" t="s">
        <v>178</v>
      </c>
      <c r="G1719" s="50">
        <v>1</v>
      </c>
      <c r="H1719" s="50" t="s">
        <v>2</v>
      </c>
      <c r="I1719" s="50" t="s">
        <v>291</v>
      </c>
      <c r="J1719" s="51">
        <v>46059</v>
      </c>
      <c r="K1719" s="50" t="s">
        <v>3</v>
      </c>
      <c r="L1719" s="50" t="s">
        <v>80</v>
      </c>
    </row>
    <row r="1720" spans="2:12">
      <c r="B1720" s="50" t="s">
        <v>463</v>
      </c>
      <c r="C1720" s="50" t="s">
        <v>356</v>
      </c>
      <c r="D1720" s="50" t="s">
        <v>27</v>
      </c>
      <c r="E1720" s="50">
        <v>50037905</v>
      </c>
      <c r="F1720" s="50" t="s">
        <v>150</v>
      </c>
      <c r="G1720" s="50">
        <v>1</v>
      </c>
      <c r="H1720" s="50" t="s">
        <v>2</v>
      </c>
      <c r="I1720" s="50" t="s">
        <v>291</v>
      </c>
      <c r="J1720" s="51">
        <v>46059</v>
      </c>
      <c r="K1720" s="50" t="s">
        <v>1</v>
      </c>
      <c r="L1720" s="50" t="s">
        <v>80</v>
      </c>
    </row>
    <row r="1721" spans="2:12">
      <c r="B1721" s="50" t="s">
        <v>363</v>
      </c>
      <c r="C1721" s="50" t="s">
        <v>26</v>
      </c>
      <c r="D1721" s="50" t="s">
        <v>41</v>
      </c>
      <c r="E1721" s="50">
        <v>50037892</v>
      </c>
      <c r="F1721" s="50" t="s">
        <v>178</v>
      </c>
      <c r="G1721" s="50">
        <v>1</v>
      </c>
      <c r="H1721" s="50" t="s">
        <v>2</v>
      </c>
      <c r="I1721" s="50" t="s">
        <v>292</v>
      </c>
      <c r="J1721" s="51">
        <v>46058</v>
      </c>
      <c r="K1721" s="50" t="s">
        <v>1</v>
      </c>
      <c r="L1721" s="50" t="s">
        <v>80</v>
      </c>
    </row>
    <row r="1722" spans="2:12">
      <c r="B1722" s="50" t="s">
        <v>410</v>
      </c>
      <c r="C1722" s="50" t="s">
        <v>51</v>
      </c>
      <c r="D1722" s="50" t="s">
        <v>27</v>
      </c>
      <c r="E1722" s="50">
        <v>50036290</v>
      </c>
      <c r="F1722" s="50" t="s">
        <v>127</v>
      </c>
      <c r="G1722" s="50">
        <v>1</v>
      </c>
      <c r="H1722" s="50" t="s">
        <v>2</v>
      </c>
      <c r="I1722" s="50" t="s">
        <v>292</v>
      </c>
      <c r="J1722" s="51">
        <v>46058</v>
      </c>
      <c r="K1722" s="50" t="s">
        <v>1</v>
      </c>
      <c r="L1722" s="50" t="s">
        <v>80</v>
      </c>
    </row>
    <row r="1723" spans="2:12">
      <c r="B1723" s="50" t="s">
        <v>345</v>
      </c>
      <c r="C1723" s="50" t="s">
        <v>61</v>
      </c>
      <c r="D1723" s="50" t="s">
        <v>39</v>
      </c>
      <c r="E1723" s="50">
        <v>50041939</v>
      </c>
      <c r="F1723" s="50" t="s">
        <v>134</v>
      </c>
      <c r="G1723" s="50">
        <v>1</v>
      </c>
      <c r="H1723" s="50" t="s">
        <v>2</v>
      </c>
      <c r="I1723" s="50" t="s">
        <v>292</v>
      </c>
      <c r="J1723" s="51">
        <v>46058</v>
      </c>
      <c r="K1723" s="50" t="s">
        <v>3</v>
      </c>
      <c r="L1723" s="50" t="s">
        <v>80</v>
      </c>
    </row>
    <row r="1724" spans="2:12">
      <c r="B1724" s="50" t="s">
        <v>363</v>
      </c>
      <c r="C1724" s="50" t="s">
        <v>26</v>
      </c>
      <c r="D1724" s="50" t="s">
        <v>41</v>
      </c>
      <c r="E1724" s="50">
        <v>50037892</v>
      </c>
      <c r="F1724" s="50" t="s">
        <v>178</v>
      </c>
      <c r="G1724" s="50">
        <v>1</v>
      </c>
      <c r="H1724" s="50" t="s">
        <v>2</v>
      </c>
      <c r="I1724" s="50" t="s">
        <v>292</v>
      </c>
      <c r="J1724" s="51">
        <v>46058</v>
      </c>
      <c r="K1724" s="50" t="s">
        <v>3</v>
      </c>
      <c r="L1724" s="50" t="s">
        <v>80</v>
      </c>
    </row>
    <row r="1725" spans="2:12">
      <c r="B1725" s="50" t="s">
        <v>469</v>
      </c>
      <c r="C1725" s="50" t="s">
        <v>26</v>
      </c>
      <c r="D1725" s="50" t="s">
        <v>39</v>
      </c>
      <c r="E1725" s="50">
        <v>50022878</v>
      </c>
      <c r="F1725" s="50" t="s">
        <v>296</v>
      </c>
      <c r="G1725" s="50">
        <v>1</v>
      </c>
      <c r="H1725" s="50" t="s">
        <v>2</v>
      </c>
      <c r="I1725" s="50" t="s">
        <v>292</v>
      </c>
      <c r="J1725" s="51">
        <v>46058</v>
      </c>
      <c r="K1725" s="50" t="s">
        <v>3</v>
      </c>
      <c r="L1725" s="50" t="s">
        <v>80</v>
      </c>
    </row>
    <row r="1726" spans="2:12">
      <c r="B1726" s="50" t="s">
        <v>430</v>
      </c>
      <c r="C1726" s="50" t="s">
        <v>61</v>
      </c>
      <c r="D1726" s="50" t="s">
        <v>39</v>
      </c>
      <c r="E1726" s="50">
        <v>50012576</v>
      </c>
      <c r="F1726" s="50" t="s">
        <v>304</v>
      </c>
      <c r="G1726" s="50">
        <v>1</v>
      </c>
      <c r="H1726" s="50" t="s">
        <v>2</v>
      </c>
      <c r="I1726" s="50" t="s">
        <v>292</v>
      </c>
      <c r="J1726" s="51">
        <v>46058</v>
      </c>
      <c r="K1726" s="50" t="s">
        <v>1</v>
      </c>
      <c r="L1726" s="50" t="s">
        <v>80</v>
      </c>
    </row>
    <row r="1727" spans="2:12">
      <c r="B1727" s="50" t="s">
        <v>409</v>
      </c>
      <c r="C1727" s="50" t="s">
        <v>51</v>
      </c>
      <c r="D1727" s="50" t="s">
        <v>27</v>
      </c>
      <c r="E1727" s="50">
        <v>50037933</v>
      </c>
      <c r="F1727" s="50" t="s">
        <v>250</v>
      </c>
      <c r="G1727" s="50">
        <v>1</v>
      </c>
      <c r="H1727" s="50" t="s">
        <v>2</v>
      </c>
      <c r="I1727" s="50" t="s">
        <v>292</v>
      </c>
      <c r="J1727" s="51">
        <v>46058</v>
      </c>
      <c r="K1727" s="50" t="s">
        <v>1</v>
      </c>
      <c r="L1727" s="50" t="s">
        <v>80</v>
      </c>
    </row>
    <row r="1728" spans="2:12">
      <c r="B1728" s="50" t="s">
        <v>483</v>
      </c>
      <c r="C1728" s="50" t="s">
        <v>62</v>
      </c>
      <c r="D1728" s="50" t="s">
        <v>27</v>
      </c>
      <c r="E1728" s="50">
        <v>50003297</v>
      </c>
      <c r="F1728" s="50" t="s">
        <v>158</v>
      </c>
      <c r="G1728" s="50">
        <v>1</v>
      </c>
      <c r="H1728" s="50" t="s">
        <v>2</v>
      </c>
      <c r="I1728" s="50" t="s">
        <v>292</v>
      </c>
      <c r="J1728" s="51">
        <v>46058</v>
      </c>
      <c r="K1728" s="50" t="s">
        <v>1</v>
      </c>
      <c r="L1728" s="50" t="s">
        <v>80</v>
      </c>
    </row>
    <row r="1729" spans="2:12">
      <c r="B1729" s="50" t="s">
        <v>277</v>
      </c>
      <c r="C1729" s="50" t="s">
        <v>62</v>
      </c>
      <c r="D1729" s="50" t="s">
        <v>27</v>
      </c>
      <c r="E1729" s="50">
        <v>50037892</v>
      </c>
      <c r="F1729" s="50" t="s">
        <v>178</v>
      </c>
      <c r="G1729" s="50">
        <v>1</v>
      </c>
      <c r="H1729" s="50" t="s">
        <v>2</v>
      </c>
      <c r="I1729" s="50" t="s">
        <v>292</v>
      </c>
      <c r="J1729" s="51">
        <v>46058</v>
      </c>
      <c r="K1729" s="50" t="s">
        <v>1</v>
      </c>
      <c r="L1729" s="50" t="s">
        <v>80</v>
      </c>
    </row>
    <row r="1730" spans="2:12">
      <c r="B1730" s="50" t="s">
        <v>465</v>
      </c>
      <c r="C1730" s="50" t="s">
        <v>26</v>
      </c>
      <c r="D1730" s="50" t="s">
        <v>27</v>
      </c>
      <c r="E1730" s="50">
        <v>50043471</v>
      </c>
      <c r="F1730" s="50" t="s">
        <v>257</v>
      </c>
      <c r="G1730" s="50">
        <v>1</v>
      </c>
      <c r="H1730" s="50" t="s">
        <v>2</v>
      </c>
      <c r="I1730" s="50" t="s">
        <v>292</v>
      </c>
      <c r="J1730" s="51">
        <v>46058</v>
      </c>
      <c r="K1730" s="50" t="s">
        <v>3</v>
      </c>
      <c r="L1730" s="50" t="s">
        <v>80</v>
      </c>
    </row>
    <row r="1731" spans="2:12">
      <c r="B1731" s="50" t="s">
        <v>345</v>
      </c>
      <c r="C1731" s="50" t="s">
        <v>61</v>
      </c>
      <c r="D1731" s="50" t="s">
        <v>39</v>
      </c>
      <c r="E1731" s="50">
        <v>50041939</v>
      </c>
      <c r="F1731" s="50" t="s">
        <v>134</v>
      </c>
      <c r="G1731" s="50">
        <v>1</v>
      </c>
      <c r="H1731" s="50" t="s">
        <v>2</v>
      </c>
      <c r="I1731" s="50" t="s">
        <v>292</v>
      </c>
      <c r="J1731" s="51">
        <v>46058</v>
      </c>
      <c r="K1731" s="50" t="s">
        <v>1</v>
      </c>
      <c r="L1731" s="50" t="s">
        <v>80</v>
      </c>
    </row>
    <row r="1732" spans="2:12">
      <c r="B1732" s="50" t="s">
        <v>463</v>
      </c>
      <c r="C1732" s="50" t="s">
        <v>356</v>
      </c>
      <c r="D1732" s="50" t="s">
        <v>27</v>
      </c>
      <c r="E1732" s="50">
        <v>50037905</v>
      </c>
      <c r="F1732" s="50" t="s">
        <v>150</v>
      </c>
      <c r="G1732" s="50">
        <v>1</v>
      </c>
      <c r="H1732" s="50" t="s">
        <v>2</v>
      </c>
      <c r="I1732" s="50" t="s">
        <v>292</v>
      </c>
      <c r="J1732" s="51">
        <v>46058</v>
      </c>
      <c r="K1732" s="50" t="s">
        <v>3</v>
      </c>
      <c r="L1732" s="50" t="s">
        <v>80</v>
      </c>
    </row>
    <row r="1733" spans="2:12">
      <c r="B1733" s="50" t="s">
        <v>471</v>
      </c>
      <c r="C1733" s="50" t="s">
        <v>26</v>
      </c>
      <c r="D1733" s="50" t="s">
        <v>39</v>
      </c>
      <c r="E1733" s="50">
        <v>50038517</v>
      </c>
      <c r="F1733" s="50" t="s">
        <v>181</v>
      </c>
      <c r="G1733" s="50">
        <v>1</v>
      </c>
      <c r="H1733" s="50" t="s">
        <v>2</v>
      </c>
      <c r="I1733" s="50" t="s">
        <v>292</v>
      </c>
      <c r="J1733" s="51">
        <v>46058</v>
      </c>
      <c r="K1733" s="50" t="s">
        <v>1</v>
      </c>
      <c r="L1733" s="50" t="s">
        <v>80</v>
      </c>
    </row>
    <row r="1734" spans="2:12">
      <c r="B1734" s="50" t="s">
        <v>474</v>
      </c>
      <c r="C1734" s="50" t="s">
        <v>51</v>
      </c>
      <c r="D1734" s="50" t="s">
        <v>27</v>
      </c>
      <c r="E1734" s="50">
        <v>50038517</v>
      </c>
      <c r="F1734" s="50" t="s">
        <v>181</v>
      </c>
      <c r="G1734" s="50">
        <v>1</v>
      </c>
      <c r="H1734" s="50" t="s">
        <v>2</v>
      </c>
      <c r="I1734" s="50" t="s">
        <v>292</v>
      </c>
      <c r="J1734" s="51">
        <v>46058</v>
      </c>
      <c r="K1734" s="50" t="s">
        <v>3</v>
      </c>
      <c r="L1734" s="50" t="s">
        <v>80</v>
      </c>
    </row>
    <row r="1735" spans="2:12">
      <c r="B1735" s="50" t="s">
        <v>409</v>
      </c>
      <c r="C1735" s="50" t="s">
        <v>51</v>
      </c>
      <c r="D1735" s="50" t="s">
        <v>27</v>
      </c>
      <c r="E1735" s="50">
        <v>50037933</v>
      </c>
      <c r="F1735" s="50" t="s">
        <v>250</v>
      </c>
      <c r="G1735" s="50">
        <v>1</v>
      </c>
      <c r="H1735" s="50" t="s">
        <v>2</v>
      </c>
      <c r="I1735" s="50" t="s">
        <v>292</v>
      </c>
      <c r="J1735" s="51">
        <v>46058</v>
      </c>
      <c r="K1735" s="50" t="s">
        <v>1</v>
      </c>
      <c r="L1735" s="50" t="s">
        <v>80</v>
      </c>
    </row>
    <row r="1736" spans="2:12">
      <c r="B1736" s="50" t="s">
        <v>399</v>
      </c>
      <c r="C1736" s="50" t="s">
        <v>51</v>
      </c>
      <c r="D1736" s="50" t="s">
        <v>27</v>
      </c>
      <c r="E1736" s="50">
        <v>50001995</v>
      </c>
      <c r="F1736" s="50" t="s">
        <v>185</v>
      </c>
      <c r="G1736" s="50">
        <v>1</v>
      </c>
      <c r="H1736" s="50" t="s">
        <v>2</v>
      </c>
      <c r="I1736" s="50" t="s">
        <v>292</v>
      </c>
      <c r="J1736" s="51">
        <v>46058</v>
      </c>
      <c r="K1736" s="50" t="s">
        <v>1</v>
      </c>
      <c r="L1736" s="50" t="s">
        <v>80</v>
      </c>
    </row>
    <row r="1737" spans="2:12">
      <c r="B1737" s="50" t="s">
        <v>474</v>
      </c>
      <c r="C1737" s="50" t="s">
        <v>51</v>
      </c>
      <c r="D1737" s="50" t="s">
        <v>27</v>
      </c>
      <c r="E1737" s="50">
        <v>50039065</v>
      </c>
      <c r="F1737" s="50" t="s">
        <v>186</v>
      </c>
      <c r="G1737" s="50">
        <v>1</v>
      </c>
      <c r="H1737" s="50" t="s">
        <v>2</v>
      </c>
      <c r="I1737" s="50" t="s">
        <v>292</v>
      </c>
      <c r="J1737" s="51">
        <v>46058</v>
      </c>
      <c r="K1737" s="50" t="s">
        <v>1</v>
      </c>
      <c r="L1737" s="50" t="s">
        <v>80</v>
      </c>
    </row>
    <row r="1738" spans="2:12">
      <c r="B1738" s="50" t="s">
        <v>463</v>
      </c>
      <c r="C1738" s="50" t="s">
        <v>356</v>
      </c>
      <c r="D1738" s="50" t="s">
        <v>27</v>
      </c>
      <c r="E1738" s="50">
        <v>50022878</v>
      </c>
      <c r="F1738" s="50" t="s">
        <v>296</v>
      </c>
      <c r="G1738" s="50">
        <v>1</v>
      </c>
      <c r="H1738" s="50" t="s">
        <v>2</v>
      </c>
      <c r="I1738" s="50" t="s">
        <v>292</v>
      </c>
      <c r="J1738" s="51">
        <v>46058</v>
      </c>
      <c r="K1738" s="50" t="s">
        <v>1</v>
      </c>
      <c r="L1738" s="50" t="s">
        <v>80</v>
      </c>
    </row>
    <row r="1739" spans="2:12">
      <c r="B1739" s="50" t="s">
        <v>428</v>
      </c>
      <c r="C1739" s="50" t="s">
        <v>26</v>
      </c>
      <c r="D1739" s="50" t="s">
        <v>27</v>
      </c>
      <c r="E1739" s="50">
        <v>50038549</v>
      </c>
      <c r="F1739" s="50" t="s">
        <v>173</v>
      </c>
      <c r="G1739" s="50">
        <v>1</v>
      </c>
      <c r="H1739" s="50" t="s">
        <v>2</v>
      </c>
      <c r="I1739" s="50" t="s">
        <v>291</v>
      </c>
      <c r="J1739" s="51">
        <v>46058</v>
      </c>
      <c r="K1739" s="50" t="s">
        <v>1</v>
      </c>
      <c r="L1739" s="50" t="s">
        <v>80</v>
      </c>
    </row>
    <row r="1740" spans="2:12">
      <c r="B1740" s="50" t="s">
        <v>355</v>
      </c>
      <c r="C1740" s="50" t="s">
        <v>56</v>
      </c>
      <c r="D1740" s="50" t="s">
        <v>41</v>
      </c>
      <c r="E1740" s="50">
        <v>50041195</v>
      </c>
      <c r="F1740" s="50" t="s">
        <v>206</v>
      </c>
      <c r="G1740" s="50">
        <v>1</v>
      </c>
      <c r="H1740" s="50" t="s">
        <v>2</v>
      </c>
      <c r="I1740" s="50" t="s">
        <v>290</v>
      </c>
      <c r="J1740" s="51">
        <v>46058</v>
      </c>
      <c r="K1740" s="50" t="s">
        <v>1</v>
      </c>
      <c r="L1740" s="50" t="s">
        <v>80</v>
      </c>
    </row>
    <row r="1741" spans="2:12">
      <c r="B1741" s="50" t="s">
        <v>355</v>
      </c>
      <c r="C1741" s="50" t="s">
        <v>56</v>
      </c>
      <c r="D1741" s="50" t="s">
        <v>41</v>
      </c>
      <c r="E1741" s="50">
        <v>50029865</v>
      </c>
      <c r="F1741" s="50" t="s">
        <v>162</v>
      </c>
      <c r="G1741" s="50">
        <v>1</v>
      </c>
      <c r="H1741" s="50" t="s">
        <v>2</v>
      </c>
      <c r="I1741" s="50" t="s">
        <v>290</v>
      </c>
      <c r="J1741" s="51">
        <v>46058</v>
      </c>
      <c r="K1741" s="50" t="s">
        <v>3</v>
      </c>
      <c r="L1741" s="50" t="s">
        <v>80</v>
      </c>
    </row>
    <row r="1742" spans="2:12">
      <c r="B1742" s="50" t="s">
        <v>355</v>
      </c>
      <c r="C1742" s="50" t="s">
        <v>56</v>
      </c>
      <c r="D1742" s="50" t="s">
        <v>41</v>
      </c>
      <c r="E1742" s="50">
        <v>50041195</v>
      </c>
      <c r="F1742" s="50" t="s">
        <v>206</v>
      </c>
      <c r="G1742" s="50">
        <v>1</v>
      </c>
      <c r="H1742" s="50" t="s">
        <v>2</v>
      </c>
      <c r="I1742" s="50" t="s">
        <v>290</v>
      </c>
      <c r="J1742" s="51">
        <v>46058</v>
      </c>
      <c r="K1742" s="50" t="s">
        <v>3</v>
      </c>
      <c r="L1742" s="50" t="s">
        <v>80</v>
      </c>
    </row>
    <row r="1743" spans="2:12">
      <c r="B1743" s="50" t="s">
        <v>355</v>
      </c>
      <c r="C1743" s="50" t="s">
        <v>56</v>
      </c>
      <c r="D1743" s="50" t="s">
        <v>41</v>
      </c>
      <c r="E1743" s="50">
        <v>50029865</v>
      </c>
      <c r="F1743" s="50" t="s">
        <v>162</v>
      </c>
      <c r="G1743" s="50">
        <v>1</v>
      </c>
      <c r="H1743" s="50" t="s">
        <v>2</v>
      </c>
      <c r="I1743" s="50" t="s">
        <v>290</v>
      </c>
      <c r="J1743" s="51">
        <v>46058</v>
      </c>
      <c r="K1743" s="50" t="s">
        <v>3</v>
      </c>
      <c r="L1743" s="50" t="s">
        <v>80</v>
      </c>
    </row>
    <row r="1744" spans="2:12">
      <c r="B1744" s="50" t="s">
        <v>410</v>
      </c>
      <c r="C1744" s="50" t="s">
        <v>51</v>
      </c>
      <c r="D1744" s="50" t="s">
        <v>27</v>
      </c>
      <c r="E1744" s="50">
        <v>50036290</v>
      </c>
      <c r="F1744" s="50" t="s">
        <v>127</v>
      </c>
      <c r="G1744" s="50">
        <v>1</v>
      </c>
      <c r="H1744" s="50" t="s">
        <v>2</v>
      </c>
      <c r="I1744" s="50" t="s">
        <v>290</v>
      </c>
      <c r="J1744" s="51">
        <v>46058</v>
      </c>
      <c r="K1744" s="50" t="s">
        <v>3</v>
      </c>
      <c r="L1744" s="50" t="s">
        <v>80</v>
      </c>
    </row>
    <row r="1745" spans="2:12">
      <c r="B1745" s="50" t="s">
        <v>474</v>
      </c>
      <c r="C1745" s="50" t="s">
        <v>51</v>
      </c>
      <c r="D1745" s="50" t="s">
        <v>27</v>
      </c>
      <c r="E1745" s="50">
        <v>50039065</v>
      </c>
      <c r="F1745" s="50" t="s">
        <v>186</v>
      </c>
      <c r="G1745" s="50">
        <v>1</v>
      </c>
      <c r="H1745" s="50" t="s">
        <v>2</v>
      </c>
      <c r="I1745" s="50" t="s">
        <v>290</v>
      </c>
      <c r="J1745" s="51">
        <v>46058</v>
      </c>
      <c r="K1745" s="50" t="s">
        <v>3</v>
      </c>
      <c r="L1745" s="50" t="s">
        <v>80</v>
      </c>
    </row>
    <row r="1746" spans="2:12">
      <c r="B1746" s="50" t="s">
        <v>465</v>
      </c>
      <c r="C1746" s="50" t="s">
        <v>26</v>
      </c>
      <c r="D1746" s="50" t="s">
        <v>27</v>
      </c>
      <c r="E1746" s="50">
        <v>50043471</v>
      </c>
      <c r="F1746" s="50" t="s">
        <v>257</v>
      </c>
      <c r="G1746" s="50">
        <v>1</v>
      </c>
      <c r="H1746" s="50" t="s">
        <v>2</v>
      </c>
      <c r="I1746" s="50" t="s">
        <v>290</v>
      </c>
      <c r="J1746" s="51">
        <v>46058</v>
      </c>
      <c r="K1746" s="50" t="s">
        <v>1</v>
      </c>
      <c r="L1746" s="50" t="s">
        <v>80</v>
      </c>
    </row>
    <row r="1747" spans="2:12">
      <c r="B1747" s="50" t="s">
        <v>355</v>
      </c>
      <c r="C1747" s="50" t="s">
        <v>56</v>
      </c>
      <c r="D1747" s="50" t="s">
        <v>41</v>
      </c>
      <c r="E1747" s="50">
        <v>50041195</v>
      </c>
      <c r="F1747" s="50" t="s">
        <v>206</v>
      </c>
      <c r="G1747" s="50">
        <v>1</v>
      </c>
      <c r="H1747" s="50" t="s">
        <v>2</v>
      </c>
      <c r="I1747" s="50" t="s">
        <v>291</v>
      </c>
      <c r="J1747" s="51">
        <v>46058</v>
      </c>
      <c r="K1747" s="50" t="s">
        <v>3</v>
      </c>
      <c r="L1747" s="50" t="s">
        <v>80</v>
      </c>
    </row>
    <row r="1748" spans="2:12">
      <c r="B1748" s="50" t="s">
        <v>428</v>
      </c>
      <c r="C1748" s="50" t="s">
        <v>26</v>
      </c>
      <c r="D1748" s="50" t="s">
        <v>27</v>
      </c>
      <c r="E1748" s="50">
        <v>50038549</v>
      </c>
      <c r="F1748" s="50" t="s">
        <v>173</v>
      </c>
      <c r="G1748" s="50">
        <v>1</v>
      </c>
      <c r="H1748" s="50" t="s">
        <v>2</v>
      </c>
      <c r="I1748" s="50" t="s">
        <v>291</v>
      </c>
      <c r="J1748" s="51">
        <v>46058</v>
      </c>
      <c r="K1748" s="50" t="s">
        <v>3</v>
      </c>
      <c r="L1748" s="50" t="s">
        <v>80</v>
      </c>
    </row>
    <row r="1749" spans="2:12">
      <c r="B1749" s="50" t="s">
        <v>463</v>
      </c>
      <c r="C1749" s="50" t="s">
        <v>356</v>
      </c>
      <c r="D1749" s="50" t="s">
        <v>27</v>
      </c>
      <c r="E1749" s="50">
        <v>50022878</v>
      </c>
      <c r="F1749" s="50" t="s">
        <v>296</v>
      </c>
      <c r="G1749" s="50">
        <v>1</v>
      </c>
      <c r="H1749" s="50" t="s">
        <v>2</v>
      </c>
      <c r="I1749" s="50" t="s">
        <v>291</v>
      </c>
      <c r="J1749" s="51">
        <v>46058</v>
      </c>
      <c r="K1749" s="50" t="s">
        <v>3</v>
      </c>
      <c r="L1749" s="50" t="s">
        <v>80</v>
      </c>
    </row>
    <row r="1750" spans="2:12">
      <c r="B1750" s="50" t="s">
        <v>446</v>
      </c>
      <c r="C1750" s="50" t="s">
        <v>56</v>
      </c>
      <c r="D1750" s="50" t="s">
        <v>27</v>
      </c>
      <c r="E1750" s="50">
        <v>50045979</v>
      </c>
      <c r="F1750" s="50" t="s">
        <v>357</v>
      </c>
      <c r="G1750" s="50">
        <v>1</v>
      </c>
      <c r="H1750" s="50" t="s">
        <v>2</v>
      </c>
      <c r="I1750" s="50" t="s">
        <v>291</v>
      </c>
      <c r="J1750" s="51">
        <v>46058</v>
      </c>
      <c r="K1750" s="50" t="s">
        <v>3</v>
      </c>
      <c r="L1750" s="50" t="s">
        <v>80</v>
      </c>
    </row>
    <row r="1751" spans="2:12">
      <c r="B1751" s="50" t="s">
        <v>389</v>
      </c>
      <c r="C1751" s="50" t="s">
        <v>56</v>
      </c>
      <c r="D1751" s="50" t="s">
        <v>27</v>
      </c>
      <c r="E1751" s="50">
        <v>50030486</v>
      </c>
      <c r="F1751" s="50" t="s">
        <v>153</v>
      </c>
      <c r="G1751" s="50">
        <v>1</v>
      </c>
      <c r="H1751" s="50" t="s">
        <v>2</v>
      </c>
      <c r="I1751" s="50" t="s">
        <v>291</v>
      </c>
      <c r="J1751" s="51">
        <v>46058</v>
      </c>
      <c r="K1751" s="50" t="s">
        <v>3</v>
      </c>
      <c r="L1751" s="50" t="s">
        <v>80</v>
      </c>
    </row>
    <row r="1752" spans="2:12">
      <c r="B1752" s="50" t="s">
        <v>478</v>
      </c>
      <c r="C1752" s="50" t="s">
        <v>51</v>
      </c>
      <c r="D1752" s="50" t="s">
        <v>27</v>
      </c>
      <c r="E1752" s="50">
        <v>50046617</v>
      </c>
      <c r="F1752" s="50" t="s">
        <v>358</v>
      </c>
      <c r="G1752" s="50">
        <v>1</v>
      </c>
      <c r="H1752" s="50" t="s">
        <v>2</v>
      </c>
      <c r="I1752" s="50" t="s">
        <v>291</v>
      </c>
      <c r="J1752" s="51">
        <v>46058</v>
      </c>
      <c r="K1752" s="50" t="s">
        <v>3</v>
      </c>
      <c r="L1752" s="50" t="s">
        <v>80</v>
      </c>
    </row>
    <row r="1753" spans="2:12">
      <c r="B1753" s="50" t="s">
        <v>399</v>
      </c>
      <c r="C1753" s="50" t="s">
        <v>51</v>
      </c>
      <c r="D1753" s="50" t="s">
        <v>27</v>
      </c>
      <c r="E1753" s="50">
        <v>50001995</v>
      </c>
      <c r="F1753" s="50" t="s">
        <v>185</v>
      </c>
      <c r="G1753" s="50">
        <v>1</v>
      </c>
      <c r="H1753" s="50" t="s">
        <v>2</v>
      </c>
      <c r="I1753" s="50" t="s">
        <v>291</v>
      </c>
      <c r="J1753" s="51">
        <v>46058</v>
      </c>
      <c r="K1753" s="50" t="s">
        <v>1</v>
      </c>
      <c r="L1753" s="50" t="s">
        <v>80</v>
      </c>
    </row>
    <row r="1754" spans="2:12">
      <c r="B1754" s="50" t="s">
        <v>386</v>
      </c>
      <c r="C1754" s="50" t="s">
        <v>62</v>
      </c>
      <c r="D1754" s="50" t="s">
        <v>27</v>
      </c>
      <c r="E1754" s="50">
        <v>50038840</v>
      </c>
      <c r="F1754" s="50" t="s">
        <v>235</v>
      </c>
      <c r="G1754" s="50">
        <v>1</v>
      </c>
      <c r="H1754" s="50" t="s">
        <v>2</v>
      </c>
      <c r="I1754" s="50" t="s">
        <v>291</v>
      </c>
      <c r="J1754" s="51">
        <v>46058</v>
      </c>
      <c r="K1754" s="50" t="s">
        <v>1</v>
      </c>
      <c r="L1754" s="50" t="s">
        <v>80</v>
      </c>
    </row>
    <row r="1755" spans="2:12">
      <c r="B1755" s="50" t="s">
        <v>386</v>
      </c>
      <c r="C1755" s="50" t="s">
        <v>62</v>
      </c>
      <c r="D1755" s="50" t="s">
        <v>27</v>
      </c>
      <c r="E1755" s="50">
        <v>50041194</v>
      </c>
      <c r="F1755" s="50" t="s">
        <v>249</v>
      </c>
      <c r="G1755" s="50">
        <v>1</v>
      </c>
      <c r="H1755" s="50" t="s">
        <v>2</v>
      </c>
      <c r="I1755" s="50" t="s">
        <v>291</v>
      </c>
      <c r="J1755" s="51">
        <v>46058</v>
      </c>
      <c r="K1755" s="50" t="s">
        <v>3</v>
      </c>
      <c r="L1755" s="50" t="s">
        <v>80</v>
      </c>
    </row>
    <row r="1756" spans="2:12">
      <c r="B1756" s="50" t="s">
        <v>277</v>
      </c>
      <c r="C1756" s="50" t="s">
        <v>62</v>
      </c>
      <c r="D1756" s="50" t="s">
        <v>27</v>
      </c>
      <c r="E1756" s="50">
        <v>50037892</v>
      </c>
      <c r="F1756" s="50" t="s">
        <v>178</v>
      </c>
      <c r="G1756" s="50">
        <v>1</v>
      </c>
      <c r="H1756" s="50" t="s">
        <v>2</v>
      </c>
      <c r="I1756" s="50" t="s">
        <v>291</v>
      </c>
      <c r="J1756" s="51">
        <v>46058</v>
      </c>
      <c r="K1756" s="50" t="s">
        <v>3</v>
      </c>
      <c r="L1756" s="50" t="s">
        <v>80</v>
      </c>
    </row>
    <row r="1757" spans="2:12">
      <c r="B1757" s="50" t="s">
        <v>355</v>
      </c>
      <c r="C1757" s="50" t="s">
        <v>56</v>
      </c>
      <c r="D1757" s="50" t="s">
        <v>41</v>
      </c>
      <c r="E1757" s="50">
        <v>50041195</v>
      </c>
      <c r="F1757" s="50" t="s">
        <v>206</v>
      </c>
      <c r="G1757" s="50">
        <v>1</v>
      </c>
      <c r="H1757" s="50" t="s">
        <v>2</v>
      </c>
      <c r="I1757" s="50" t="s">
        <v>291</v>
      </c>
      <c r="J1757" s="51">
        <v>46058</v>
      </c>
      <c r="K1757" s="50" t="s">
        <v>3</v>
      </c>
      <c r="L1757" s="50" t="s">
        <v>80</v>
      </c>
    </row>
    <row r="1758" spans="2:12">
      <c r="B1758" s="50" t="s">
        <v>386</v>
      </c>
      <c r="C1758" s="50" t="s">
        <v>62</v>
      </c>
      <c r="D1758" s="50" t="s">
        <v>27</v>
      </c>
      <c r="E1758" s="50">
        <v>50041194</v>
      </c>
      <c r="F1758" s="50" t="s">
        <v>249</v>
      </c>
      <c r="G1758" s="50">
        <v>1</v>
      </c>
      <c r="H1758" s="50" t="s">
        <v>2</v>
      </c>
      <c r="I1758" s="50" t="s">
        <v>291</v>
      </c>
      <c r="J1758" s="51">
        <v>46058</v>
      </c>
      <c r="K1758" s="50" t="s">
        <v>3</v>
      </c>
      <c r="L1758" s="50" t="s">
        <v>80</v>
      </c>
    </row>
    <row r="1759" spans="2:12">
      <c r="B1759" s="50" t="s">
        <v>386</v>
      </c>
      <c r="C1759" s="50" t="s">
        <v>62</v>
      </c>
      <c r="D1759" s="50" t="s">
        <v>27</v>
      </c>
      <c r="E1759" s="50">
        <v>50038840</v>
      </c>
      <c r="F1759" s="50" t="s">
        <v>235</v>
      </c>
      <c r="G1759" s="50">
        <v>1</v>
      </c>
      <c r="H1759" s="50" t="s">
        <v>2</v>
      </c>
      <c r="I1759" s="50" t="s">
        <v>291</v>
      </c>
      <c r="J1759" s="51">
        <v>46058</v>
      </c>
      <c r="K1759" s="50" t="s">
        <v>3</v>
      </c>
      <c r="L1759" s="50" t="s">
        <v>80</v>
      </c>
    </row>
    <row r="1760" spans="2:12">
      <c r="B1760" s="50" t="s">
        <v>483</v>
      </c>
      <c r="C1760" s="50" t="s">
        <v>62</v>
      </c>
      <c r="D1760" s="50" t="s">
        <v>27</v>
      </c>
      <c r="E1760" s="50">
        <v>50026357</v>
      </c>
      <c r="F1760" s="50" t="s">
        <v>192</v>
      </c>
      <c r="G1760" s="50">
        <v>1</v>
      </c>
      <c r="H1760" s="50" t="s">
        <v>2</v>
      </c>
      <c r="I1760" s="50" t="s">
        <v>291</v>
      </c>
      <c r="J1760" s="51">
        <v>46058</v>
      </c>
      <c r="K1760" s="50" t="s">
        <v>3</v>
      </c>
      <c r="L1760" s="50" t="s">
        <v>80</v>
      </c>
    </row>
    <row r="1761" spans="2:12">
      <c r="B1761" s="50" t="s">
        <v>483</v>
      </c>
      <c r="C1761" s="50" t="s">
        <v>62</v>
      </c>
      <c r="D1761" s="50" t="s">
        <v>27</v>
      </c>
      <c r="E1761" s="50">
        <v>50003297</v>
      </c>
      <c r="F1761" s="50" t="s">
        <v>158</v>
      </c>
      <c r="G1761" s="50">
        <v>1</v>
      </c>
      <c r="H1761" s="50" t="s">
        <v>2</v>
      </c>
      <c r="I1761" s="50" t="s">
        <v>291</v>
      </c>
      <c r="J1761" s="51">
        <v>46058</v>
      </c>
      <c r="K1761" s="50" t="s">
        <v>3</v>
      </c>
      <c r="L1761" s="50" t="s">
        <v>80</v>
      </c>
    </row>
    <row r="1762" spans="2:12">
      <c r="B1762" s="50" t="s">
        <v>483</v>
      </c>
      <c r="C1762" s="50" t="s">
        <v>62</v>
      </c>
      <c r="D1762" s="50" t="s">
        <v>27</v>
      </c>
      <c r="E1762" s="50">
        <v>50010031</v>
      </c>
      <c r="F1762" s="50" t="s">
        <v>89</v>
      </c>
      <c r="G1762" s="50">
        <v>1</v>
      </c>
      <c r="H1762" s="50" t="s">
        <v>2</v>
      </c>
      <c r="I1762" s="50" t="s">
        <v>291</v>
      </c>
      <c r="J1762" s="51">
        <v>46058</v>
      </c>
      <c r="K1762" s="50" t="s">
        <v>3</v>
      </c>
      <c r="L1762" s="50" t="s">
        <v>80</v>
      </c>
    </row>
    <row r="1763" spans="2:12">
      <c r="B1763" s="50" t="s">
        <v>474</v>
      </c>
      <c r="C1763" s="50" t="s">
        <v>51</v>
      </c>
      <c r="D1763" s="50" t="s">
        <v>27</v>
      </c>
      <c r="E1763" s="50">
        <v>50038517</v>
      </c>
      <c r="F1763" s="50" t="s">
        <v>181</v>
      </c>
      <c r="G1763" s="50">
        <v>1</v>
      </c>
      <c r="H1763" s="50" t="s">
        <v>2</v>
      </c>
      <c r="I1763" s="50" t="s">
        <v>291</v>
      </c>
      <c r="J1763" s="51">
        <v>46058</v>
      </c>
      <c r="K1763" s="50" t="s">
        <v>1</v>
      </c>
      <c r="L1763" s="50" t="s">
        <v>80</v>
      </c>
    </row>
    <row r="1764" spans="2:12">
      <c r="B1764" s="50" t="s">
        <v>465</v>
      </c>
      <c r="C1764" s="50" t="s">
        <v>26</v>
      </c>
      <c r="D1764" s="50" t="s">
        <v>27</v>
      </c>
      <c r="E1764" s="50">
        <v>50030486</v>
      </c>
      <c r="F1764" s="50" t="s">
        <v>153</v>
      </c>
      <c r="G1764" s="50">
        <v>1</v>
      </c>
      <c r="H1764" s="50" t="s">
        <v>2</v>
      </c>
      <c r="I1764" s="50" t="s">
        <v>289</v>
      </c>
      <c r="J1764" s="51">
        <v>46057</v>
      </c>
      <c r="K1764" s="50" t="s">
        <v>1</v>
      </c>
      <c r="L1764" s="50" t="s">
        <v>80</v>
      </c>
    </row>
    <row r="1765" spans="2:12">
      <c r="B1765" s="50" t="s">
        <v>410</v>
      </c>
      <c r="C1765" s="50" t="s">
        <v>51</v>
      </c>
      <c r="D1765" s="50" t="s">
        <v>27</v>
      </c>
      <c r="E1765" s="50">
        <v>50036286</v>
      </c>
      <c r="F1765" s="50" t="s">
        <v>123</v>
      </c>
      <c r="G1765" s="50">
        <v>1</v>
      </c>
      <c r="H1765" s="50" t="s">
        <v>2</v>
      </c>
      <c r="I1765" s="50" t="s">
        <v>289</v>
      </c>
      <c r="J1765" s="51">
        <v>46057</v>
      </c>
      <c r="K1765" s="50" t="s">
        <v>1</v>
      </c>
      <c r="L1765" s="50" t="s">
        <v>80</v>
      </c>
    </row>
    <row r="1766" spans="2:12">
      <c r="B1766" s="50" t="s">
        <v>410</v>
      </c>
      <c r="C1766" s="50" t="s">
        <v>51</v>
      </c>
      <c r="D1766" s="50" t="s">
        <v>27</v>
      </c>
      <c r="E1766" s="50">
        <v>50036288</v>
      </c>
      <c r="F1766" s="50" t="s">
        <v>125</v>
      </c>
      <c r="G1766" s="50">
        <v>1</v>
      </c>
      <c r="H1766" s="50" t="s">
        <v>2</v>
      </c>
      <c r="I1766" s="50" t="s">
        <v>289</v>
      </c>
      <c r="J1766" s="51">
        <v>46057</v>
      </c>
      <c r="K1766" s="50" t="s">
        <v>1</v>
      </c>
      <c r="L1766" s="50" t="s">
        <v>80</v>
      </c>
    </row>
    <row r="1767" spans="2:12">
      <c r="B1767" s="50" t="s">
        <v>458</v>
      </c>
      <c r="C1767" s="50" t="s">
        <v>26</v>
      </c>
      <c r="D1767" s="50" t="s">
        <v>27</v>
      </c>
      <c r="E1767" s="50">
        <v>50041089</v>
      </c>
      <c r="F1767" s="50" t="s">
        <v>254</v>
      </c>
      <c r="G1767" s="50">
        <v>1</v>
      </c>
      <c r="H1767" s="50" t="s">
        <v>2</v>
      </c>
      <c r="I1767" s="50" t="s">
        <v>289</v>
      </c>
      <c r="J1767" s="51">
        <v>46057</v>
      </c>
      <c r="K1767" s="50" t="s">
        <v>1</v>
      </c>
      <c r="L1767" s="50" t="s">
        <v>80</v>
      </c>
    </row>
    <row r="1768" spans="2:12">
      <c r="B1768" s="50" t="s">
        <v>458</v>
      </c>
      <c r="C1768" s="50" t="s">
        <v>26</v>
      </c>
      <c r="D1768" s="50" t="s">
        <v>27</v>
      </c>
      <c r="E1768" s="50">
        <v>50041653</v>
      </c>
      <c r="F1768" s="50" t="s">
        <v>201</v>
      </c>
      <c r="G1768" s="50">
        <v>1</v>
      </c>
      <c r="H1768" s="50" t="s">
        <v>2</v>
      </c>
      <c r="I1768" s="50" t="s">
        <v>289</v>
      </c>
      <c r="J1768" s="51">
        <v>46057</v>
      </c>
      <c r="K1768" s="50" t="s">
        <v>1</v>
      </c>
      <c r="L1768" s="50" t="s">
        <v>80</v>
      </c>
    </row>
    <row r="1769" spans="2:12">
      <c r="B1769" s="50" t="s">
        <v>458</v>
      </c>
      <c r="C1769" s="50" t="s">
        <v>26</v>
      </c>
      <c r="D1769" s="50" t="s">
        <v>27</v>
      </c>
      <c r="E1769" s="50">
        <v>50001740</v>
      </c>
      <c r="F1769" s="50" t="s">
        <v>294</v>
      </c>
      <c r="G1769" s="50">
        <v>1</v>
      </c>
      <c r="H1769" s="50" t="s">
        <v>2</v>
      </c>
      <c r="I1769" s="50" t="s">
        <v>289</v>
      </c>
      <c r="J1769" s="51">
        <v>46057</v>
      </c>
      <c r="K1769" s="50" t="s">
        <v>1</v>
      </c>
      <c r="L1769" s="50" t="s">
        <v>80</v>
      </c>
    </row>
    <row r="1770" spans="2:12">
      <c r="B1770" s="50" t="s">
        <v>427</v>
      </c>
      <c r="C1770" s="50" t="s">
        <v>26</v>
      </c>
      <c r="D1770" s="50" t="s">
        <v>27</v>
      </c>
      <c r="E1770" s="50">
        <v>50043151</v>
      </c>
      <c r="F1770" s="50" t="s">
        <v>331</v>
      </c>
      <c r="G1770" s="50">
        <v>1</v>
      </c>
      <c r="H1770" s="50" t="s">
        <v>2</v>
      </c>
      <c r="I1770" s="50" t="s">
        <v>293</v>
      </c>
      <c r="J1770" s="51">
        <v>46057</v>
      </c>
      <c r="K1770" s="50" t="s">
        <v>1</v>
      </c>
      <c r="L1770" s="50" t="s">
        <v>80</v>
      </c>
    </row>
    <row r="1771" spans="2:12">
      <c r="B1771" s="50" t="s">
        <v>399</v>
      </c>
      <c r="C1771" s="50" t="s">
        <v>51</v>
      </c>
      <c r="D1771" s="50" t="s">
        <v>27</v>
      </c>
      <c r="E1771" s="50">
        <v>50038517</v>
      </c>
      <c r="F1771" s="50" t="s">
        <v>181</v>
      </c>
      <c r="G1771" s="50">
        <v>1</v>
      </c>
      <c r="H1771" s="50" t="s">
        <v>2</v>
      </c>
      <c r="I1771" s="50" t="s">
        <v>293</v>
      </c>
      <c r="J1771" s="51">
        <v>46057</v>
      </c>
      <c r="K1771" s="50" t="s">
        <v>1</v>
      </c>
      <c r="L1771" s="50" t="s">
        <v>80</v>
      </c>
    </row>
    <row r="1772" spans="2:12">
      <c r="B1772" s="50" t="s">
        <v>483</v>
      </c>
      <c r="C1772" s="50" t="s">
        <v>62</v>
      </c>
      <c r="D1772" s="50" t="s">
        <v>27</v>
      </c>
      <c r="E1772" s="50">
        <v>50003297</v>
      </c>
      <c r="F1772" s="50" t="s">
        <v>158</v>
      </c>
      <c r="G1772" s="50">
        <v>1</v>
      </c>
      <c r="H1772" s="50" t="s">
        <v>2</v>
      </c>
      <c r="I1772" s="50" t="s">
        <v>293</v>
      </c>
      <c r="J1772" s="51">
        <v>46057</v>
      </c>
      <c r="K1772" s="50" t="s">
        <v>1</v>
      </c>
      <c r="L1772" s="50" t="s">
        <v>80</v>
      </c>
    </row>
    <row r="1773" spans="2:12">
      <c r="B1773" s="50" t="s">
        <v>483</v>
      </c>
      <c r="C1773" s="50" t="s">
        <v>62</v>
      </c>
      <c r="D1773" s="50" t="s">
        <v>27</v>
      </c>
      <c r="E1773" s="50">
        <v>50026357</v>
      </c>
      <c r="F1773" s="50" t="s">
        <v>192</v>
      </c>
      <c r="G1773" s="50">
        <v>1</v>
      </c>
      <c r="H1773" s="50" t="s">
        <v>2</v>
      </c>
      <c r="I1773" s="50" t="s">
        <v>293</v>
      </c>
      <c r="J1773" s="51">
        <v>46057</v>
      </c>
      <c r="K1773" s="50" t="s">
        <v>1</v>
      </c>
      <c r="L1773" s="50" t="s">
        <v>80</v>
      </c>
    </row>
    <row r="1774" spans="2:12">
      <c r="B1774" s="50" t="s">
        <v>483</v>
      </c>
      <c r="C1774" s="50" t="s">
        <v>62</v>
      </c>
      <c r="D1774" s="50" t="s">
        <v>27</v>
      </c>
      <c r="E1774" s="50">
        <v>50037892</v>
      </c>
      <c r="F1774" s="50" t="s">
        <v>178</v>
      </c>
      <c r="G1774" s="50">
        <v>1</v>
      </c>
      <c r="H1774" s="50" t="s">
        <v>2</v>
      </c>
      <c r="I1774" s="50" t="s">
        <v>293</v>
      </c>
      <c r="J1774" s="51">
        <v>46057</v>
      </c>
      <c r="K1774" s="50" t="s">
        <v>1</v>
      </c>
      <c r="L1774" s="50" t="s">
        <v>80</v>
      </c>
    </row>
    <row r="1775" spans="2:12">
      <c r="B1775" s="50" t="s">
        <v>483</v>
      </c>
      <c r="C1775" s="50" t="s">
        <v>62</v>
      </c>
      <c r="D1775" s="50" t="s">
        <v>27</v>
      </c>
      <c r="E1775" s="50">
        <v>50036297</v>
      </c>
      <c r="F1775" s="50" t="s">
        <v>189</v>
      </c>
      <c r="G1775" s="50">
        <v>1</v>
      </c>
      <c r="H1775" s="50" t="s">
        <v>2</v>
      </c>
      <c r="I1775" s="50" t="s">
        <v>293</v>
      </c>
      <c r="J1775" s="51">
        <v>46057</v>
      </c>
      <c r="K1775" s="50" t="s">
        <v>1</v>
      </c>
      <c r="L1775" s="50" t="s">
        <v>80</v>
      </c>
    </row>
    <row r="1776" spans="2:12">
      <c r="B1776" s="50" t="s">
        <v>278</v>
      </c>
      <c r="C1776" s="50" t="s">
        <v>62</v>
      </c>
      <c r="D1776" s="50" t="s">
        <v>27</v>
      </c>
      <c r="E1776" s="50">
        <v>50043471</v>
      </c>
      <c r="F1776" s="50" t="s">
        <v>257</v>
      </c>
      <c r="G1776" s="50">
        <v>1</v>
      </c>
      <c r="H1776" s="50" t="s">
        <v>2</v>
      </c>
      <c r="I1776" s="50" t="s">
        <v>293</v>
      </c>
      <c r="J1776" s="51">
        <v>46057</v>
      </c>
      <c r="K1776" s="50" t="s">
        <v>1</v>
      </c>
      <c r="L1776" s="50" t="s">
        <v>80</v>
      </c>
    </row>
    <row r="1777" spans="2:12">
      <c r="B1777" s="50" t="s">
        <v>481</v>
      </c>
      <c r="C1777" s="50" t="s">
        <v>56</v>
      </c>
      <c r="D1777" s="50" t="s">
        <v>27</v>
      </c>
      <c r="E1777" s="50">
        <v>50041195</v>
      </c>
      <c r="F1777" s="50" t="s">
        <v>206</v>
      </c>
      <c r="G1777" s="50">
        <v>1</v>
      </c>
      <c r="H1777" s="50" t="s">
        <v>2</v>
      </c>
      <c r="I1777" s="50" t="s">
        <v>293</v>
      </c>
      <c r="J1777" s="51">
        <v>46057</v>
      </c>
      <c r="K1777" s="50" t="s">
        <v>1</v>
      </c>
      <c r="L1777" s="50" t="s">
        <v>80</v>
      </c>
    </row>
    <row r="1778" spans="2:12">
      <c r="B1778" s="50" t="s">
        <v>423</v>
      </c>
      <c r="C1778" s="50" t="s">
        <v>62</v>
      </c>
      <c r="D1778" s="50" t="s">
        <v>27</v>
      </c>
      <c r="E1778" s="50">
        <v>50043520</v>
      </c>
      <c r="F1778" s="50" t="s">
        <v>266</v>
      </c>
      <c r="G1778" s="50">
        <v>1</v>
      </c>
      <c r="H1778" s="50" t="s">
        <v>2</v>
      </c>
      <c r="I1778" s="50" t="s">
        <v>293</v>
      </c>
      <c r="J1778" s="51">
        <v>46057</v>
      </c>
      <c r="K1778" s="50" t="s">
        <v>1</v>
      </c>
      <c r="L1778" s="50" t="s">
        <v>80</v>
      </c>
    </row>
    <row r="1779" spans="2:12">
      <c r="B1779" s="50" t="s">
        <v>413</v>
      </c>
      <c r="C1779" s="50" t="s">
        <v>51</v>
      </c>
      <c r="D1779" s="50" t="s">
        <v>39</v>
      </c>
      <c r="E1779" s="50">
        <v>50010031</v>
      </c>
      <c r="F1779" s="50" t="s">
        <v>89</v>
      </c>
      <c r="G1779" s="50">
        <v>1</v>
      </c>
      <c r="H1779" s="50" t="s">
        <v>2</v>
      </c>
      <c r="I1779" s="50" t="s">
        <v>293</v>
      </c>
      <c r="J1779" s="51">
        <v>46057</v>
      </c>
      <c r="K1779" s="50" t="s">
        <v>1</v>
      </c>
      <c r="L1779" s="50" t="s">
        <v>80</v>
      </c>
    </row>
    <row r="1780" spans="2:12">
      <c r="B1780" s="50" t="s">
        <v>463</v>
      </c>
      <c r="C1780" s="50" t="s">
        <v>356</v>
      </c>
      <c r="D1780" s="50" t="s">
        <v>27</v>
      </c>
      <c r="E1780" s="50">
        <v>50022878</v>
      </c>
      <c r="F1780" s="50" t="s">
        <v>296</v>
      </c>
      <c r="G1780" s="50">
        <v>1</v>
      </c>
      <c r="H1780" s="50" t="s">
        <v>2</v>
      </c>
      <c r="I1780" s="50" t="s">
        <v>293</v>
      </c>
      <c r="J1780" s="51">
        <v>46057</v>
      </c>
      <c r="K1780" s="50" t="s">
        <v>3</v>
      </c>
      <c r="L1780" s="50" t="s">
        <v>80</v>
      </c>
    </row>
    <row r="1781" spans="2:12">
      <c r="B1781" s="50" t="s">
        <v>413</v>
      </c>
      <c r="C1781" s="50" t="s">
        <v>51</v>
      </c>
      <c r="D1781" s="50" t="s">
        <v>39</v>
      </c>
      <c r="E1781" s="50">
        <v>50010031</v>
      </c>
      <c r="F1781" s="50" t="s">
        <v>89</v>
      </c>
      <c r="G1781" s="50">
        <v>1</v>
      </c>
      <c r="H1781" s="50" t="s">
        <v>2</v>
      </c>
      <c r="I1781" s="50" t="s">
        <v>293</v>
      </c>
      <c r="J1781" s="51">
        <v>46057</v>
      </c>
      <c r="K1781" s="50" t="s">
        <v>3</v>
      </c>
      <c r="L1781" s="50" t="s">
        <v>80</v>
      </c>
    </row>
    <row r="1782" spans="2:12">
      <c r="B1782" s="50" t="s">
        <v>465</v>
      </c>
      <c r="C1782" s="50" t="s">
        <v>26</v>
      </c>
      <c r="D1782" s="50" t="s">
        <v>27</v>
      </c>
      <c r="E1782" s="50">
        <v>50030486</v>
      </c>
      <c r="F1782" s="50" t="s">
        <v>153</v>
      </c>
      <c r="G1782" s="50">
        <v>1</v>
      </c>
      <c r="H1782" s="50" t="s">
        <v>2</v>
      </c>
      <c r="I1782" s="50" t="s">
        <v>293</v>
      </c>
      <c r="J1782" s="51">
        <v>46057</v>
      </c>
      <c r="K1782" s="50" t="s">
        <v>1</v>
      </c>
      <c r="L1782" s="50" t="s">
        <v>80</v>
      </c>
    </row>
    <row r="1783" spans="2:12">
      <c r="B1783" s="50" t="s">
        <v>439</v>
      </c>
      <c r="C1783" s="50" t="s">
        <v>62</v>
      </c>
      <c r="D1783" s="50" t="s">
        <v>27</v>
      </c>
      <c r="E1783" s="50">
        <v>50045979</v>
      </c>
      <c r="F1783" s="50" t="s">
        <v>357</v>
      </c>
      <c r="G1783" s="50">
        <v>1</v>
      </c>
      <c r="H1783" s="50" t="s">
        <v>2</v>
      </c>
      <c r="I1783" s="50" t="s">
        <v>293</v>
      </c>
      <c r="J1783" s="51">
        <v>46057</v>
      </c>
      <c r="K1783" s="50" t="s">
        <v>3</v>
      </c>
      <c r="L1783" s="50" t="s">
        <v>80</v>
      </c>
    </row>
    <row r="1784" spans="2:12">
      <c r="B1784" s="50" t="s">
        <v>423</v>
      </c>
      <c r="C1784" s="50" t="s">
        <v>62</v>
      </c>
      <c r="D1784" s="50" t="s">
        <v>27</v>
      </c>
      <c r="E1784" s="50">
        <v>50043520</v>
      </c>
      <c r="F1784" s="50" t="s">
        <v>266</v>
      </c>
      <c r="G1784" s="50">
        <v>1</v>
      </c>
      <c r="H1784" s="50" t="s">
        <v>2</v>
      </c>
      <c r="I1784" s="50" t="s">
        <v>290</v>
      </c>
      <c r="J1784" s="51">
        <v>46057</v>
      </c>
      <c r="K1784" s="50" t="s">
        <v>3</v>
      </c>
      <c r="L1784" s="50" t="s">
        <v>80</v>
      </c>
    </row>
    <row r="1785" spans="2:12">
      <c r="B1785" s="50" t="s">
        <v>439</v>
      </c>
      <c r="C1785" s="50" t="s">
        <v>62</v>
      </c>
      <c r="D1785" s="50" t="s">
        <v>27</v>
      </c>
      <c r="E1785" s="50">
        <v>50045979</v>
      </c>
      <c r="F1785" s="50" t="s">
        <v>357</v>
      </c>
      <c r="G1785" s="50">
        <v>1</v>
      </c>
      <c r="H1785" s="50" t="s">
        <v>2</v>
      </c>
      <c r="I1785" s="50" t="s">
        <v>290</v>
      </c>
      <c r="J1785" s="51">
        <v>46057</v>
      </c>
      <c r="K1785" s="50" t="s">
        <v>3</v>
      </c>
      <c r="L1785" s="50" t="s">
        <v>80</v>
      </c>
    </row>
    <row r="1786" spans="2:12">
      <c r="B1786" s="50" t="s">
        <v>483</v>
      </c>
      <c r="C1786" s="50" t="s">
        <v>62</v>
      </c>
      <c r="D1786" s="50" t="s">
        <v>27</v>
      </c>
      <c r="E1786" s="50">
        <v>50003297</v>
      </c>
      <c r="F1786" s="50" t="s">
        <v>158</v>
      </c>
      <c r="G1786" s="50">
        <v>1</v>
      </c>
      <c r="H1786" s="50" t="s">
        <v>2</v>
      </c>
      <c r="I1786" s="50" t="s">
        <v>290</v>
      </c>
      <c r="J1786" s="51">
        <v>46057</v>
      </c>
      <c r="K1786" s="50" t="s">
        <v>1</v>
      </c>
      <c r="L1786" s="50" t="s">
        <v>80</v>
      </c>
    </row>
    <row r="1787" spans="2:12" ht="14.25" customHeight="1">
      <c r="B1787" s="50" t="s">
        <v>399</v>
      </c>
      <c r="C1787" s="50" t="s">
        <v>51</v>
      </c>
      <c r="D1787" s="50" t="s">
        <v>27</v>
      </c>
      <c r="E1787" s="50">
        <v>50039065</v>
      </c>
      <c r="F1787" s="50" t="s">
        <v>186</v>
      </c>
      <c r="G1787" s="50">
        <v>1</v>
      </c>
      <c r="H1787" s="50" t="s">
        <v>2</v>
      </c>
      <c r="I1787" s="50" t="s">
        <v>290</v>
      </c>
      <c r="J1787" s="51">
        <v>46057</v>
      </c>
      <c r="K1787" s="50" t="s">
        <v>1</v>
      </c>
      <c r="L1787" s="50" t="s">
        <v>80</v>
      </c>
    </row>
    <row r="1788" spans="2:12">
      <c r="B1788" s="50" t="s">
        <v>399</v>
      </c>
      <c r="C1788" s="50" t="s">
        <v>51</v>
      </c>
      <c r="D1788" s="50" t="s">
        <v>27</v>
      </c>
      <c r="E1788" s="50">
        <v>50001995</v>
      </c>
      <c r="F1788" s="50" t="s">
        <v>185</v>
      </c>
      <c r="G1788" s="50">
        <v>1</v>
      </c>
      <c r="H1788" s="50" t="s">
        <v>2</v>
      </c>
      <c r="I1788" s="50" t="s">
        <v>290</v>
      </c>
      <c r="J1788" s="51">
        <v>46057</v>
      </c>
      <c r="K1788" s="50" t="s">
        <v>3</v>
      </c>
      <c r="L1788" s="50" t="s">
        <v>80</v>
      </c>
    </row>
    <row r="1789" spans="2:12">
      <c r="B1789" s="50" t="s">
        <v>427</v>
      </c>
      <c r="C1789" s="50" t="s">
        <v>26</v>
      </c>
      <c r="D1789" s="50" t="s">
        <v>27</v>
      </c>
      <c r="E1789" s="50">
        <v>50043151</v>
      </c>
      <c r="F1789" s="50" t="s">
        <v>331</v>
      </c>
      <c r="G1789" s="50">
        <v>1</v>
      </c>
      <c r="H1789" s="50" t="s">
        <v>2</v>
      </c>
      <c r="I1789" s="50" t="s">
        <v>290</v>
      </c>
      <c r="J1789" s="51">
        <v>46057</v>
      </c>
      <c r="K1789" s="50" t="s">
        <v>3</v>
      </c>
      <c r="L1789" s="50" t="s">
        <v>80</v>
      </c>
    </row>
    <row r="1790" spans="2:12">
      <c r="B1790" s="50" t="s">
        <v>399</v>
      </c>
      <c r="C1790" s="50" t="s">
        <v>51</v>
      </c>
      <c r="D1790" s="50" t="s">
        <v>27</v>
      </c>
      <c r="E1790" s="50">
        <v>50001995</v>
      </c>
      <c r="F1790" s="50" t="s">
        <v>185</v>
      </c>
      <c r="G1790" s="50">
        <v>1</v>
      </c>
      <c r="H1790" s="50" t="s">
        <v>2</v>
      </c>
      <c r="I1790" s="50" t="s">
        <v>290</v>
      </c>
      <c r="J1790" s="51">
        <v>46057</v>
      </c>
      <c r="K1790" s="50" t="s">
        <v>3</v>
      </c>
      <c r="L1790" s="50" t="s">
        <v>80</v>
      </c>
    </row>
    <row r="1791" spans="2:12">
      <c r="B1791" s="50" t="s">
        <v>399</v>
      </c>
      <c r="C1791" s="50" t="s">
        <v>51</v>
      </c>
      <c r="D1791" s="50" t="s">
        <v>27</v>
      </c>
      <c r="E1791" s="50">
        <v>50039065</v>
      </c>
      <c r="F1791" s="50" t="s">
        <v>186</v>
      </c>
      <c r="G1791" s="50">
        <v>1</v>
      </c>
      <c r="H1791" s="50" t="s">
        <v>2</v>
      </c>
      <c r="I1791" s="50" t="s">
        <v>290</v>
      </c>
      <c r="J1791" s="51">
        <v>46057</v>
      </c>
      <c r="K1791" s="50" t="s">
        <v>3</v>
      </c>
      <c r="L1791" s="50" t="s">
        <v>80</v>
      </c>
    </row>
    <row r="1792" spans="2:12">
      <c r="B1792" s="50" t="s">
        <v>399</v>
      </c>
      <c r="C1792" s="50" t="s">
        <v>51</v>
      </c>
      <c r="D1792" s="50" t="s">
        <v>27</v>
      </c>
      <c r="E1792" s="50">
        <v>50038517</v>
      </c>
      <c r="F1792" s="50" t="s">
        <v>181</v>
      </c>
      <c r="G1792" s="50">
        <v>1</v>
      </c>
      <c r="H1792" s="50" t="s">
        <v>2</v>
      </c>
      <c r="I1792" s="50" t="s">
        <v>290</v>
      </c>
      <c r="J1792" s="51">
        <v>46057</v>
      </c>
      <c r="K1792" s="50" t="s">
        <v>1</v>
      </c>
      <c r="L1792" s="50" t="s">
        <v>80</v>
      </c>
    </row>
    <row r="1793" spans="2:12">
      <c r="B1793" s="50" t="s">
        <v>474</v>
      </c>
      <c r="C1793" s="50" t="s">
        <v>51</v>
      </c>
      <c r="D1793" s="50" t="s">
        <v>27</v>
      </c>
      <c r="E1793" s="50">
        <v>50003297</v>
      </c>
      <c r="F1793" s="50" t="s">
        <v>158</v>
      </c>
      <c r="G1793" s="50">
        <v>1</v>
      </c>
      <c r="H1793" s="50" t="s">
        <v>2</v>
      </c>
      <c r="I1793" s="50" t="s">
        <v>288</v>
      </c>
      <c r="J1793" s="51">
        <v>46057</v>
      </c>
      <c r="K1793" s="50" t="s">
        <v>1</v>
      </c>
      <c r="L1793" s="50" t="s">
        <v>80</v>
      </c>
    </row>
    <row r="1794" spans="2:12">
      <c r="B1794" s="50" t="s">
        <v>474</v>
      </c>
      <c r="C1794" s="50" t="s">
        <v>51</v>
      </c>
      <c r="D1794" s="50" t="s">
        <v>27</v>
      </c>
      <c r="E1794" s="50">
        <v>50038517</v>
      </c>
      <c r="F1794" s="50" t="s">
        <v>181</v>
      </c>
      <c r="G1794" s="50">
        <v>1</v>
      </c>
      <c r="H1794" s="50" t="s">
        <v>2</v>
      </c>
      <c r="I1794" s="50" t="s">
        <v>288</v>
      </c>
      <c r="J1794" s="51">
        <v>46057</v>
      </c>
      <c r="K1794" s="50" t="s">
        <v>3</v>
      </c>
      <c r="L1794" s="50" t="s">
        <v>80</v>
      </c>
    </row>
    <row r="1795" spans="2:12">
      <c r="B1795" s="50" t="s">
        <v>410</v>
      </c>
      <c r="C1795" s="50" t="s">
        <v>51</v>
      </c>
      <c r="D1795" s="50" t="s">
        <v>27</v>
      </c>
      <c r="E1795" s="50">
        <v>50036286</v>
      </c>
      <c r="F1795" s="50" t="s">
        <v>123</v>
      </c>
      <c r="G1795" s="50">
        <v>1</v>
      </c>
      <c r="H1795" s="50" t="s">
        <v>2</v>
      </c>
      <c r="I1795" s="50" t="s">
        <v>291</v>
      </c>
      <c r="J1795" s="51">
        <v>46057</v>
      </c>
      <c r="K1795" s="50" t="s">
        <v>3</v>
      </c>
      <c r="L1795" s="50" t="s">
        <v>80</v>
      </c>
    </row>
    <row r="1796" spans="2:12">
      <c r="B1796" s="50" t="s">
        <v>410</v>
      </c>
      <c r="C1796" s="50" t="s">
        <v>51</v>
      </c>
      <c r="D1796" s="50" t="s">
        <v>27</v>
      </c>
      <c r="E1796" s="50">
        <v>50036288</v>
      </c>
      <c r="F1796" s="50" t="s">
        <v>125</v>
      </c>
      <c r="G1796" s="50">
        <v>1</v>
      </c>
      <c r="H1796" s="50" t="s">
        <v>2</v>
      </c>
      <c r="I1796" s="50" t="s">
        <v>291</v>
      </c>
      <c r="J1796" s="51">
        <v>46057</v>
      </c>
      <c r="K1796" s="50" t="s">
        <v>1</v>
      </c>
      <c r="L1796" s="50" t="s">
        <v>80</v>
      </c>
    </row>
    <row r="1797" spans="2:12">
      <c r="B1797" s="50" t="s">
        <v>363</v>
      </c>
      <c r="C1797" s="50" t="s">
        <v>26</v>
      </c>
      <c r="D1797" s="50" t="s">
        <v>41</v>
      </c>
      <c r="E1797" s="50">
        <v>50010031</v>
      </c>
      <c r="F1797" s="50" t="s">
        <v>89</v>
      </c>
      <c r="G1797" s="50">
        <v>1</v>
      </c>
      <c r="H1797" s="50" t="s">
        <v>2</v>
      </c>
      <c r="I1797" s="50" t="s">
        <v>291</v>
      </c>
      <c r="J1797" s="51">
        <v>46057</v>
      </c>
      <c r="K1797" s="50" t="s">
        <v>1</v>
      </c>
      <c r="L1797" s="50" t="s">
        <v>80</v>
      </c>
    </row>
    <row r="1798" spans="2:12">
      <c r="B1798" s="50" t="s">
        <v>411</v>
      </c>
      <c r="C1798" s="50" t="s">
        <v>26</v>
      </c>
      <c r="D1798" s="50" t="s">
        <v>27</v>
      </c>
      <c r="E1798" s="50">
        <v>50039065</v>
      </c>
      <c r="F1798" s="50" t="s">
        <v>186</v>
      </c>
      <c r="G1798" s="50">
        <v>1</v>
      </c>
      <c r="H1798" s="50" t="s">
        <v>2</v>
      </c>
      <c r="I1798" s="50" t="s">
        <v>291</v>
      </c>
      <c r="J1798" s="51">
        <v>46057</v>
      </c>
      <c r="K1798" s="50" t="s">
        <v>3</v>
      </c>
      <c r="L1798" s="50" t="s">
        <v>80</v>
      </c>
    </row>
    <row r="1799" spans="2:12">
      <c r="B1799" s="50" t="s">
        <v>481</v>
      </c>
      <c r="C1799" s="50" t="s">
        <v>56</v>
      </c>
      <c r="D1799" s="50" t="s">
        <v>27</v>
      </c>
      <c r="E1799" s="50">
        <v>50041195</v>
      </c>
      <c r="F1799" s="50" t="s">
        <v>206</v>
      </c>
      <c r="G1799" s="50">
        <v>1</v>
      </c>
      <c r="H1799" s="50" t="s">
        <v>2</v>
      </c>
      <c r="I1799" s="50" t="s">
        <v>291</v>
      </c>
      <c r="J1799" s="51">
        <v>46057</v>
      </c>
      <c r="K1799" s="50" t="s">
        <v>3</v>
      </c>
      <c r="L1799" s="50" t="s">
        <v>80</v>
      </c>
    </row>
    <row r="1800" spans="2:12">
      <c r="B1800" s="50" t="s">
        <v>463</v>
      </c>
      <c r="C1800" s="50" t="s">
        <v>356</v>
      </c>
      <c r="D1800" s="50" t="s">
        <v>27</v>
      </c>
      <c r="E1800" s="50">
        <v>50022878</v>
      </c>
      <c r="F1800" s="50" t="s">
        <v>296</v>
      </c>
      <c r="G1800" s="50">
        <v>1</v>
      </c>
      <c r="H1800" s="50" t="s">
        <v>2</v>
      </c>
      <c r="I1800" s="50" t="s">
        <v>291</v>
      </c>
      <c r="J1800" s="51">
        <v>46057</v>
      </c>
      <c r="K1800" s="50" t="s">
        <v>3</v>
      </c>
      <c r="L1800" s="50" t="s">
        <v>80</v>
      </c>
    </row>
    <row r="1801" spans="2:12">
      <c r="B1801" s="50" t="s">
        <v>411</v>
      </c>
      <c r="C1801" s="50" t="s">
        <v>26</v>
      </c>
      <c r="D1801" s="50" t="s">
        <v>27</v>
      </c>
      <c r="E1801" s="50">
        <v>50039065</v>
      </c>
      <c r="F1801" s="50" t="s">
        <v>186</v>
      </c>
      <c r="G1801" s="50">
        <v>1</v>
      </c>
      <c r="H1801" s="50" t="s">
        <v>2</v>
      </c>
      <c r="I1801" s="50" t="s">
        <v>291</v>
      </c>
      <c r="J1801" s="51">
        <v>46057</v>
      </c>
      <c r="K1801" s="50" t="s">
        <v>1</v>
      </c>
      <c r="L1801" s="50" t="s">
        <v>80</v>
      </c>
    </row>
    <row r="1802" spans="2:12">
      <c r="B1802" s="50" t="s">
        <v>390</v>
      </c>
      <c r="C1802" s="50" t="s">
        <v>56</v>
      </c>
      <c r="D1802" s="50" t="s">
        <v>27</v>
      </c>
      <c r="E1802" s="50">
        <v>50029865</v>
      </c>
      <c r="F1802" s="50" t="s">
        <v>162</v>
      </c>
      <c r="G1802" s="50">
        <v>1</v>
      </c>
      <c r="H1802" s="50" t="s">
        <v>2</v>
      </c>
      <c r="I1802" s="50" t="s">
        <v>291</v>
      </c>
      <c r="J1802" s="51">
        <v>46057</v>
      </c>
      <c r="K1802" s="50" t="s">
        <v>3</v>
      </c>
      <c r="L1802" s="50" t="s">
        <v>80</v>
      </c>
    </row>
    <row r="1803" spans="2:12">
      <c r="B1803" s="50" t="s">
        <v>363</v>
      </c>
      <c r="C1803" s="50" t="s">
        <v>26</v>
      </c>
      <c r="D1803" s="50" t="s">
        <v>41</v>
      </c>
      <c r="E1803" s="50">
        <v>50010031</v>
      </c>
      <c r="F1803" s="50" t="s">
        <v>89</v>
      </c>
      <c r="G1803" s="50">
        <v>1</v>
      </c>
      <c r="H1803" s="50" t="s">
        <v>2</v>
      </c>
      <c r="I1803" s="50" t="s">
        <v>291</v>
      </c>
      <c r="J1803" s="51">
        <v>46057</v>
      </c>
      <c r="K1803" s="50" t="s">
        <v>3</v>
      </c>
      <c r="L1803" s="50" t="s">
        <v>80</v>
      </c>
    </row>
    <row r="1804" spans="2:12">
      <c r="B1804" s="50" t="s">
        <v>474</v>
      </c>
      <c r="C1804" s="50" t="s">
        <v>51</v>
      </c>
      <c r="D1804" s="50" t="s">
        <v>27</v>
      </c>
      <c r="E1804" s="50">
        <v>50003297</v>
      </c>
      <c r="F1804" s="50" t="s">
        <v>158</v>
      </c>
      <c r="G1804" s="50">
        <v>1</v>
      </c>
      <c r="H1804" s="50" t="s">
        <v>2</v>
      </c>
      <c r="I1804" s="50" t="s">
        <v>291</v>
      </c>
      <c r="J1804" s="51">
        <v>46057</v>
      </c>
      <c r="K1804" s="50" t="s">
        <v>1</v>
      </c>
      <c r="L1804" s="50" t="s">
        <v>80</v>
      </c>
    </row>
    <row r="1805" spans="2:12">
      <c r="B1805" s="50" t="s">
        <v>428</v>
      </c>
      <c r="C1805" s="50" t="s">
        <v>26</v>
      </c>
      <c r="D1805" s="50" t="s">
        <v>27</v>
      </c>
      <c r="E1805" s="50">
        <v>50041195</v>
      </c>
      <c r="F1805" s="50" t="s">
        <v>206</v>
      </c>
      <c r="G1805" s="50">
        <v>1</v>
      </c>
      <c r="H1805" s="50" t="s">
        <v>2</v>
      </c>
      <c r="I1805" s="50" t="s">
        <v>291</v>
      </c>
      <c r="J1805" s="51">
        <v>46057</v>
      </c>
      <c r="K1805" s="50" t="s">
        <v>3</v>
      </c>
      <c r="L1805" s="50" t="s">
        <v>80</v>
      </c>
    </row>
    <row r="1806" spans="2:12">
      <c r="B1806" s="50" t="s">
        <v>483</v>
      </c>
      <c r="C1806" s="50" t="s">
        <v>62</v>
      </c>
      <c r="D1806" s="50" t="s">
        <v>27</v>
      </c>
      <c r="E1806" s="50">
        <v>50026357</v>
      </c>
      <c r="F1806" s="50" t="s">
        <v>192</v>
      </c>
      <c r="G1806" s="50">
        <v>1</v>
      </c>
      <c r="H1806" s="50" t="s">
        <v>2</v>
      </c>
      <c r="I1806" s="50" t="s">
        <v>291</v>
      </c>
      <c r="J1806" s="51">
        <v>46057</v>
      </c>
      <c r="K1806" s="50" t="s">
        <v>1</v>
      </c>
      <c r="L1806" s="50" t="s">
        <v>80</v>
      </c>
    </row>
    <row r="1807" spans="2:12">
      <c r="B1807" s="50" t="s">
        <v>386</v>
      </c>
      <c r="C1807" s="50" t="s">
        <v>62</v>
      </c>
      <c r="D1807" s="50" t="s">
        <v>27</v>
      </c>
      <c r="E1807" s="50">
        <v>50010031</v>
      </c>
      <c r="F1807" s="50" t="s">
        <v>89</v>
      </c>
      <c r="G1807" s="50">
        <v>1</v>
      </c>
      <c r="H1807" s="50" t="s">
        <v>2</v>
      </c>
      <c r="I1807" s="50" t="s">
        <v>291</v>
      </c>
      <c r="J1807" s="51">
        <v>46057</v>
      </c>
      <c r="K1807" s="50" t="s">
        <v>3</v>
      </c>
      <c r="L1807" s="50" t="s">
        <v>80</v>
      </c>
    </row>
    <row r="1808" spans="2:12">
      <c r="B1808" s="50" t="s">
        <v>458</v>
      </c>
      <c r="C1808" s="50" t="s">
        <v>26</v>
      </c>
      <c r="D1808" s="50" t="s">
        <v>27</v>
      </c>
      <c r="E1808" s="50">
        <v>50041089</v>
      </c>
      <c r="F1808" s="50" t="s">
        <v>254</v>
      </c>
      <c r="G1808" s="50">
        <v>1</v>
      </c>
      <c r="H1808" s="50" t="s">
        <v>2</v>
      </c>
      <c r="I1808" s="50" t="s">
        <v>288</v>
      </c>
      <c r="J1808" s="51">
        <v>46057</v>
      </c>
      <c r="K1808" s="50" t="s">
        <v>3</v>
      </c>
      <c r="L1808" s="50" t="s">
        <v>80</v>
      </c>
    </row>
    <row r="1809" spans="2:12">
      <c r="B1809" s="50" t="s">
        <v>483</v>
      </c>
      <c r="C1809" s="50" t="s">
        <v>62</v>
      </c>
      <c r="D1809" s="50" t="s">
        <v>27</v>
      </c>
      <c r="E1809" s="50">
        <v>50036297</v>
      </c>
      <c r="F1809" s="50" t="s">
        <v>189</v>
      </c>
      <c r="G1809" s="50">
        <v>1</v>
      </c>
      <c r="H1809" s="50" t="s">
        <v>2</v>
      </c>
      <c r="I1809" s="50" t="s">
        <v>288</v>
      </c>
      <c r="J1809" s="51">
        <v>46057</v>
      </c>
      <c r="K1809" s="50" t="s">
        <v>3</v>
      </c>
      <c r="L1809" s="50" t="s">
        <v>80</v>
      </c>
    </row>
    <row r="1810" spans="2:12">
      <c r="B1810" s="50" t="s">
        <v>390</v>
      </c>
      <c r="C1810" s="50" t="s">
        <v>56</v>
      </c>
      <c r="D1810" s="50" t="s">
        <v>27</v>
      </c>
      <c r="E1810" s="50">
        <v>50029865</v>
      </c>
      <c r="F1810" s="50" t="s">
        <v>162</v>
      </c>
      <c r="G1810" s="50">
        <v>1</v>
      </c>
      <c r="H1810" s="50" t="s">
        <v>2</v>
      </c>
      <c r="I1810" s="50" t="s">
        <v>288</v>
      </c>
      <c r="J1810" s="51">
        <v>46057</v>
      </c>
      <c r="K1810" s="50" t="s">
        <v>3</v>
      </c>
      <c r="L1810" s="50" t="s">
        <v>80</v>
      </c>
    </row>
    <row r="1811" spans="2:12">
      <c r="B1811" s="50" t="s">
        <v>483</v>
      </c>
      <c r="C1811" s="50" t="s">
        <v>62</v>
      </c>
      <c r="D1811" s="50" t="s">
        <v>27</v>
      </c>
      <c r="E1811" s="50">
        <v>50037892</v>
      </c>
      <c r="F1811" s="50" t="s">
        <v>178</v>
      </c>
      <c r="G1811" s="50">
        <v>1</v>
      </c>
      <c r="H1811" s="50" t="s">
        <v>2</v>
      </c>
      <c r="I1811" s="50" t="s">
        <v>288</v>
      </c>
      <c r="J1811" s="51">
        <v>46057</v>
      </c>
      <c r="K1811" s="50" t="s">
        <v>3</v>
      </c>
      <c r="L1811" s="50" t="s">
        <v>80</v>
      </c>
    </row>
    <row r="1812" spans="2:12">
      <c r="B1812" s="50" t="s">
        <v>386</v>
      </c>
      <c r="C1812" s="50" t="s">
        <v>62</v>
      </c>
      <c r="D1812" s="50" t="s">
        <v>27</v>
      </c>
      <c r="E1812" s="50">
        <v>50010031</v>
      </c>
      <c r="F1812" s="50" t="s">
        <v>89</v>
      </c>
      <c r="G1812" s="50">
        <v>1</v>
      </c>
      <c r="H1812" s="50" t="s">
        <v>2</v>
      </c>
      <c r="I1812" s="50" t="s">
        <v>288</v>
      </c>
      <c r="J1812" s="51">
        <v>46057</v>
      </c>
      <c r="K1812" s="50" t="s">
        <v>3</v>
      </c>
      <c r="L1812" s="50" t="s">
        <v>80</v>
      </c>
    </row>
    <row r="1813" spans="2:12">
      <c r="B1813" s="50" t="s">
        <v>458</v>
      </c>
      <c r="C1813" s="50" t="s">
        <v>26</v>
      </c>
      <c r="D1813" s="50" t="s">
        <v>27</v>
      </c>
      <c r="E1813" s="50">
        <v>50041653</v>
      </c>
      <c r="F1813" s="50" t="s">
        <v>201</v>
      </c>
      <c r="G1813" s="50">
        <v>1</v>
      </c>
      <c r="H1813" s="50" t="s">
        <v>2</v>
      </c>
      <c r="I1813" s="50" t="s">
        <v>291</v>
      </c>
      <c r="J1813" s="51">
        <v>46057</v>
      </c>
      <c r="K1813" s="50" t="s">
        <v>3</v>
      </c>
      <c r="L1813" s="50" t="s">
        <v>80</v>
      </c>
    </row>
    <row r="1814" spans="2:12">
      <c r="B1814" s="50" t="s">
        <v>458</v>
      </c>
      <c r="C1814" s="50" t="s">
        <v>26</v>
      </c>
      <c r="D1814" s="50" t="s">
        <v>27</v>
      </c>
      <c r="E1814" s="50">
        <v>50001740</v>
      </c>
      <c r="F1814" s="50" t="s">
        <v>294</v>
      </c>
      <c r="G1814" s="50">
        <v>1</v>
      </c>
      <c r="H1814" s="50" t="s">
        <v>2</v>
      </c>
      <c r="I1814" s="50" t="s">
        <v>291</v>
      </c>
      <c r="J1814" s="51">
        <v>46057</v>
      </c>
      <c r="K1814" s="50" t="s">
        <v>3</v>
      </c>
      <c r="L1814" s="50" t="s">
        <v>80</v>
      </c>
    </row>
    <row r="1815" spans="2:12">
      <c r="B1815" s="50" t="s">
        <v>474</v>
      </c>
      <c r="C1815" s="50" t="s">
        <v>51</v>
      </c>
      <c r="D1815" s="50" t="s">
        <v>27</v>
      </c>
      <c r="E1815" s="50">
        <v>50038517</v>
      </c>
      <c r="F1815" s="50" t="s">
        <v>181</v>
      </c>
      <c r="G1815" s="50">
        <v>1</v>
      </c>
      <c r="H1815" s="50" t="s">
        <v>2</v>
      </c>
      <c r="I1815" s="50" t="s">
        <v>291</v>
      </c>
      <c r="J1815" s="51">
        <v>46057</v>
      </c>
      <c r="K1815" s="50" t="s">
        <v>3</v>
      </c>
      <c r="L1815" s="50" t="s">
        <v>80</v>
      </c>
    </row>
    <row r="1816" spans="2:12">
      <c r="B1816" s="50" t="s">
        <v>278</v>
      </c>
      <c r="C1816" s="50" t="s">
        <v>62</v>
      </c>
      <c r="D1816" s="50" t="s">
        <v>27</v>
      </c>
      <c r="E1816" s="50">
        <v>50043471</v>
      </c>
      <c r="F1816" s="50" t="s">
        <v>257</v>
      </c>
      <c r="G1816" s="50">
        <v>1</v>
      </c>
      <c r="H1816" s="50" t="s">
        <v>2</v>
      </c>
      <c r="I1816" s="50" t="s">
        <v>291</v>
      </c>
      <c r="J1816" s="51">
        <v>46057</v>
      </c>
      <c r="K1816" s="50" t="s">
        <v>3</v>
      </c>
      <c r="L1816" s="50" t="s">
        <v>80</v>
      </c>
    </row>
    <row r="1817" spans="2:12">
      <c r="B1817" s="50" t="s">
        <v>428</v>
      </c>
      <c r="C1817" s="50" t="s">
        <v>26</v>
      </c>
      <c r="D1817" s="50" t="s">
        <v>27</v>
      </c>
      <c r="E1817" s="50">
        <v>50041195</v>
      </c>
      <c r="F1817" s="50" t="s">
        <v>206</v>
      </c>
      <c r="G1817" s="50">
        <v>1</v>
      </c>
      <c r="H1817" s="50" t="s">
        <v>2</v>
      </c>
      <c r="I1817" s="50" t="s">
        <v>291</v>
      </c>
      <c r="J1817" s="51">
        <v>46057</v>
      </c>
      <c r="K1817" s="50" t="s">
        <v>1</v>
      </c>
      <c r="L1817" s="50" t="s">
        <v>80</v>
      </c>
    </row>
    <row r="1818" spans="2:12">
      <c r="B1818" s="50" t="s">
        <v>478</v>
      </c>
      <c r="C1818" s="50" t="s">
        <v>51</v>
      </c>
      <c r="D1818" s="50" t="s">
        <v>27</v>
      </c>
      <c r="E1818" s="50">
        <v>50010031</v>
      </c>
      <c r="F1818" s="50" t="s">
        <v>361</v>
      </c>
      <c r="G1818" s="50">
        <v>1</v>
      </c>
      <c r="H1818" s="50" t="s">
        <v>2</v>
      </c>
      <c r="I1818" s="50" t="s">
        <v>289</v>
      </c>
      <c r="J1818" s="51">
        <v>46056</v>
      </c>
      <c r="K1818" s="50" t="s">
        <v>1</v>
      </c>
      <c r="L1818" s="50" t="s">
        <v>80</v>
      </c>
    </row>
    <row r="1819" spans="2:12">
      <c r="B1819" s="50" t="s">
        <v>444</v>
      </c>
      <c r="C1819" s="50" t="s">
        <v>51</v>
      </c>
      <c r="D1819" s="50" t="s">
        <v>27</v>
      </c>
      <c r="E1819" s="50">
        <v>50003297</v>
      </c>
      <c r="F1819" s="50" t="s">
        <v>158</v>
      </c>
      <c r="G1819" s="50">
        <v>1</v>
      </c>
      <c r="H1819" s="50" t="s">
        <v>2</v>
      </c>
      <c r="I1819" s="50" t="s">
        <v>289</v>
      </c>
      <c r="J1819" s="51">
        <v>46056</v>
      </c>
      <c r="K1819" s="50" t="s">
        <v>1</v>
      </c>
      <c r="L1819" s="50" t="s">
        <v>80</v>
      </c>
    </row>
    <row r="1820" spans="2:12">
      <c r="B1820" s="50" t="s">
        <v>407</v>
      </c>
      <c r="C1820" s="50" t="s">
        <v>26</v>
      </c>
      <c r="D1820" s="50" t="s">
        <v>39</v>
      </c>
      <c r="E1820" s="50">
        <v>50026357</v>
      </c>
      <c r="F1820" s="50" t="s">
        <v>192</v>
      </c>
      <c r="G1820" s="50">
        <v>1</v>
      </c>
      <c r="H1820" s="50" t="s">
        <v>2</v>
      </c>
      <c r="I1820" s="50" t="s">
        <v>289</v>
      </c>
      <c r="J1820" s="51">
        <v>46056</v>
      </c>
      <c r="K1820" s="50" t="s">
        <v>1</v>
      </c>
      <c r="L1820" s="50" t="s">
        <v>80</v>
      </c>
    </row>
    <row r="1821" spans="2:12">
      <c r="B1821" s="50" t="s">
        <v>407</v>
      </c>
      <c r="C1821" s="50" t="s">
        <v>26</v>
      </c>
      <c r="D1821" s="50" t="s">
        <v>39</v>
      </c>
      <c r="E1821" s="50">
        <v>50001995</v>
      </c>
      <c r="F1821" s="50" t="s">
        <v>185</v>
      </c>
      <c r="G1821" s="50">
        <v>1</v>
      </c>
      <c r="H1821" s="50" t="s">
        <v>2</v>
      </c>
      <c r="I1821" s="50" t="s">
        <v>289</v>
      </c>
      <c r="J1821" s="51">
        <v>46056</v>
      </c>
      <c r="K1821" s="50" t="s">
        <v>1</v>
      </c>
      <c r="L1821" s="50" t="s">
        <v>80</v>
      </c>
    </row>
    <row r="1822" spans="2:12">
      <c r="B1822" s="50" t="s">
        <v>407</v>
      </c>
      <c r="C1822" s="50" t="s">
        <v>26</v>
      </c>
      <c r="D1822" s="50" t="s">
        <v>39</v>
      </c>
      <c r="E1822" s="50">
        <v>50041195</v>
      </c>
      <c r="F1822" s="50" t="s">
        <v>206</v>
      </c>
      <c r="G1822" s="50">
        <v>1</v>
      </c>
      <c r="H1822" s="50" t="s">
        <v>2</v>
      </c>
      <c r="I1822" s="50" t="s">
        <v>289</v>
      </c>
      <c r="J1822" s="51">
        <v>46056</v>
      </c>
      <c r="K1822" s="50" t="s">
        <v>1</v>
      </c>
      <c r="L1822" s="50" t="s">
        <v>80</v>
      </c>
    </row>
    <row r="1823" spans="2:12">
      <c r="B1823" s="50" t="s">
        <v>410</v>
      </c>
      <c r="C1823" s="50" t="s">
        <v>51</v>
      </c>
      <c r="D1823" s="50" t="s">
        <v>27</v>
      </c>
      <c r="E1823" s="50">
        <v>50036293</v>
      </c>
      <c r="F1823" s="50" t="s">
        <v>130</v>
      </c>
      <c r="G1823" s="50">
        <v>1</v>
      </c>
      <c r="H1823" s="50" t="s">
        <v>2</v>
      </c>
      <c r="I1823" s="50" t="s">
        <v>289</v>
      </c>
      <c r="J1823" s="51">
        <v>46056</v>
      </c>
      <c r="K1823" s="50" t="s">
        <v>1</v>
      </c>
      <c r="L1823" s="50" t="s">
        <v>80</v>
      </c>
    </row>
    <row r="1824" spans="2:12">
      <c r="B1824" s="50" t="s">
        <v>410</v>
      </c>
      <c r="C1824" s="50" t="s">
        <v>51</v>
      </c>
      <c r="D1824" s="50" t="s">
        <v>27</v>
      </c>
      <c r="E1824" s="50">
        <v>50036291</v>
      </c>
      <c r="F1824" s="50" t="s">
        <v>128</v>
      </c>
      <c r="G1824" s="50">
        <v>1</v>
      </c>
      <c r="H1824" s="50" t="s">
        <v>2</v>
      </c>
      <c r="I1824" s="50" t="s">
        <v>289</v>
      </c>
      <c r="J1824" s="51">
        <v>46056</v>
      </c>
      <c r="K1824" s="50" t="s">
        <v>1</v>
      </c>
      <c r="L1824" s="50" t="s">
        <v>80</v>
      </c>
    </row>
    <row r="1825" spans="2:12">
      <c r="B1825" s="50" t="s">
        <v>410</v>
      </c>
      <c r="C1825" s="50" t="s">
        <v>51</v>
      </c>
      <c r="D1825" s="50" t="s">
        <v>27</v>
      </c>
      <c r="E1825" s="50">
        <v>50036286</v>
      </c>
      <c r="F1825" s="50" t="s">
        <v>123</v>
      </c>
      <c r="G1825" s="50">
        <v>1</v>
      </c>
      <c r="H1825" s="50" t="s">
        <v>2</v>
      </c>
      <c r="I1825" s="50" t="s">
        <v>289</v>
      </c>
      <c r="J1825" s="51">
        <v>46056</v>
      </c>
      <c r="K1825" s="50" t="s">
        <v>1</v>
      </c>
      <c r="L1825" s="50" t="s">
        <v>80</v>
      </c>
    </row>
    <row r="1826" spans="2:12">
      <c r="B1826" s="50" t="s">
        <v>410</v>
      </c>
      <c r="C1826" s="50" t="s">
        <v>51</v>
      </c>
      <c r="D1826" s="50" t="s">
        <v>27</v>
      </c>
      <c r="E1826" s="50">
        <v>50036288</v>
      </c>
      <c r="F1826" s="50" t="s">
        <v>125</v>
      </c>
      <c r="G1826" s="50">
        <v>1</v>
      </c>
      <c r="H1826" s="50" t="s">
        <v>2</v>
      </c>
      <c r="I1826" s="50" t="s">
        <v>289</v>
      </c>
      <c r="J1826" s="51">
        <v>46056</v>
      </c>
      <c r="K1826" s="50" t="s">
        <v>1</v>
      </c>
      <c r="L1826" s="50" t="s">
        <v>80</v>
      </c>
    </row>
    <row r="1827" spans="2:12">
      <c r="B1827" s="50" t="s">
        <v>410</v>
      </c>
      <c r="C1827" s="50" t="s">
        <v>51</v>
      </c>
      <c r="D1827" s="50" t="s">
        <v>27</v>
      </c>
      <c r="E1827" s="50">
        <v>50036289</v>
      </c>
      <c r="F1827" s="50" t="s">
        <v>126</v>
      </c>
      <c r="G1827" s="50">
        <v>1</v>
      </c>
      <c r="H1827" s="50" t="s">
        <v>2</v>
      </c>
      <c r="I1827" s="50" t="s">
        <v>289</v>
      </c>
      <c r="J1827" s="51">
        <v>46056</v>
      </c>
      <c r="K1827" s="50" t="s">
        <v>1</v>
      </c>
      <c r="L1827" s="50" t="s">
        <v>80</v>
      </c>
    </row>
    <row r="1828" spans="2:12">
      <c r="B1828" s="50" t="s">
        <v>406</v>
      </c>
      <c r="C1828" s="50" t="s">
        <v>26</v>
      </c>
      <c r="D1828" s="50" t="s">
        <v>27</v>
      </c>
      <c r="E1828" s="50">
        <v>50038517</v>
      </c>
      <c r="F1828" s="50" t="s">
        <v>181</v>
      </c>
      <c r="G1828" s="50">
        <v>1</v>
      </c>
      <c r="H1828" s="50" t="s">
        <v>2</v>
      </c>
      <c r="I1828" s="50" t="s">
        <v>289</v>
      </c>
      <c r="J1828" s="51">
        <v>46056</v>
      </c>
      <c r="K1828" s="50" t="s">
        <v>1</v>
      </c>
      <c r="L1828" s="50" t="s">
        <v>80</v>
      </c>
    </row>
    <row r="1829" spans="2:12">
      <c r="B1829" s="50" t="s">
        <v>483</v>
      </c>
      <c r="C1829" s="50" t="s">
        <v>62</v>
      </c>
      <c r="D1829" s="50" t="s">
        <v>27</v>
      </c>
      <c r="E1829" s="50">
        <v>50038662</v>
      </c>
      <c r="F1829" s="50" t="s">
        <v>193</v>
      </c>
      <c r="G1829" s="50">
        <v>1</v>
      </c>
      <c r="H1829" s="50" t="s">
        <v>2</v>
      </c>
      <c r="I1829" s="50" t="s">
        <v>289</v>
      </c>
      <c r="J1829" s="51">
        <v>46056</v>
      </c>
      <c r="K1829" s="50" t="s">
        <v>1</v>
      </c>
      <c r="L1829" s="50" t="s">
        <v>80</v>
      </c>
    </row>
    <row r="1830" spans="2:12">
      <c r="B1830" s="50" t="s">
        <v>483</v>
      </c>
      <c r="C1830" s="50" t="s">
        <v>62</v>
      </c>
      <c r="D1830" s="50" t="s">
        <v>27</v>
      </c>
      <c r="E1830" s="50">
        <v>50010031</v>
      </c>
      <c r="F1830" s="50" t="s">
        <v>89</v>
      </c>
      <c r="G1830" s="50">
        <v>1</v>
      </c>
      <c r="H1830" s="50" t="s">
        <v>2</v>
      </c>
      <c r="I1830" s="50" t="s">
        <v>289</v>
      </c>
      <c r="J1830" s="51">
        <v>46056</v>
      </c>
      <c r="K1830" s="50" t="s">
        <v>1</v>
      </c>
      <c r="L1830" s="50" t="s">
        <v>80</v>
      </c>
    </row>
    <row r="1831" spans="2:12">
      <c r="B1831" s="50" t="s">
        <v>478</v>
      </c>
      <c r="C1831" s="50" t="s">
        <v>51</v>
      </c>
      <c r="D1831" s="50" t="s">
        <v>27</v>
      </c>
      <c r="E1831" s="50">
        <v>50032781</v>
      </c>
      <c r="F1831" s="50" t="s">
        <v>237</v>
      </c>
      <c r="G1831" s="50">
        <v>1</v>
      </c>
      <c r="H1831" s="50" t="s">
        <v>2</v>
      </c>
      <c r="I1831" s="50" t="s">
        <v>289</v>
      </c>
      <c r="J1831" s="51">
        <v>46056</v>
      </c>
      <c r="K1831" s="50" t="s">
        <v>1</v>
      </c>
      <c r="L1831" s="50" t="s">
        <v>80</v>
      </c>
    </row>
    <row r="1832" spans="2:12">
      <c r="B1832" s="50" t="s">
        <v>386</v>
      </c>
      <c r="C1832" s="50" t="s">
        <v>286</v>
      </c>
      <c r="D1832" s="50" t="s">
        <v>41</v>
      </c>
      <c r="E1832" s="50">
        <v>50043471</v>
      </c>
      <c r="F1832" s="50" t="s">
        <v>257</v>
      </c>
      <c r="G1832" s="50">
        <v>1</v>
      </c>
      <c r="H1832" s="50" t="s">
        <v>2</v>
      </c>
      <c r="I1832" s="50" t="s">
        <v>289</v>
      </c>
      <c r="J1832" s="51">
        <v>46056</v>
      </c>
      <c r="K1832" s="50" t="s">
        <v>1</v>
      </c>
      <c r="L1832" s="50" t="s">
        <v>80</v>
      </c>
    </row>
    <row r="1833" spans="2:12">
      <c r="B1833" s="50" t="s">
        <v>407</v>
      </c>
      <c r="C1833" s="50" t="s">
        <v>26</v>
      </c>
      <c r="D1833" s="50" t="s">
        <v>39</v>
      </c>
      <c r="E1833" s="50">
        <v>50037155</v>
      </c>
      <c r="F1833" s="50" t="s">
        <v>360</v>
      </c>
      <c r="G1833" s="50">
        <v>1</v>
      </c>
      <c r="H1833" s="50" t="s">
        <v>2</v>
      </c>
      <c r="I1833" s="50" t="s">
        <v>289</v>
      </c>
      <c r="J1833" s="51">
        <v>46056</v>
      </c>
      <c r="K1833" s="50" t="s">
        <v>3</v>
      </c>
      <c r="L1833" s="50" t="s">
        <v>80</v>
      </c>
    </row>
    <row r="1834" spans="2:12">
      <c r="B1834" s="50" t="s">
        <v>478</v>
      </c>
      <c r="C1834" s="50" t="s">
        <v>51</v>
      </c>
      <c r="D1834" s="50" t="s">
        <v>27</v>
      </c>
      <c r="E1834" s="50">
        <v>50010031</v>
      </c>
      <c r="F1834" s="50" t="s">
        <v>361</v>
      </c>
      <c r="G1834" s="50">
        <v>1</v>
      </c>
      <c r="H1834" s="50" t="s">
        <v>2</v>
      </c>
      <c r="I1834" s="50" t="s">
        <v>289</v>
      </c>
      <c r="J1834" s="51">
        <v>46056</v>
      </c>
      <c r="K1834" s="50" t="s">
        <v>3</v>
      </c>
      <c r="L1834" s="50" t="s">
        <v>80</v>
      </c>
    </row>
    <row r="1835" spans="2:12">
      <c r="B1835" s="50" t="s">
        <v>407</v>
      </c>
      <c r="C1835" s="50" t="s">
        <v>26</v>
      </c>
      <c r="D1835" s="50" t="s">
        <v>39</v>
      </c>
      <c r="E1835" s="50">
        <v>50037155</v>
      </c>
      <c r="F1835" s="50" t="s">
        <v>360</v>
      </c>
      <c r="G1835" s="50">
        <v>1</v>
      </c>
      <c r="H1835" s="50" t="s">
        <v>2</v>
      </c>
      <c r="I1835" s="50" t="s">
        <v>289</v>
      </c>
      <c r="J1835" s="51">
        <v>46056</v>
      </c>
      <c r="K1835" s="50" t="s">
        <v>1</v>
      </c>
      <c r="L1835" s="50" t="s">
        <v>80</v>
      </c>
    </row>
    <row r="1836" spans="2:12">
      <c r="B1836" s="50" t="s">
        <v>345</v>
      </c>
      <c r="C1836" s="50" t="s">
        <v>62</v>
      </c>
      <c r="D1836" s="50" t="s">
        <v>27</v>
      </c>
      <c r="E1836" s="50">
        <v>50030486</v>
      </c>
      <c r="F1836" s="50" t="s">
        <v>153</v>
      </c>
      <c r="G1836" s="50">
        <v>1</v>
      </c>
      <c r="H1836" s="50" t="s">
        <v>2</v>
      </c>
      <c r="I1836" s="50" t="s">
        <v>297</v>
      </c>
      <c r="J1836" s="51">
        <v>46056</v>
      </c>
      <c r="K1836" s="50" t="s">
        <v>1</v>
      </c>
      <c r="L1836" s="50" t="s">
        <v>80</v>
      </c>
    </row>
    <row r="1837" spans="2:12">
      <c r="B1837" s="50" t="s">
        <v>277</v>
      </c>
      <c r="C1837" s="50" t="s">
        <v>62</v>
      </c>
      <c r="D1837" s="50" t="s">
        <v>27</v>
      </c>
      <c r="E1837" s="50">
        <v>50037892</v>
      </c>
      <c r="F1837" s="50" t="s">
        <v>178</v>
      </c>
      <c r="G1837" s="50">
        <v>1</v>
      </c>
      <c r="H1837" s="50" t="s">
        <v>2</v>
      </c>
      <c r="I1837" s="50" t="s">
        <v>297</v>
      </c>
      <c r="J1837" s="51">
        <v>46056</v>
      </c>
      <c r="K1837" s="50" t="s">
        <v>3</v>
      </c>
      <c r="L1837" s="50" t="s">
        <v>80</v>
      </c>
    </row>
    <row r="1838" spans="2:12">
      <c r="B1838" s="50" t="s">
        <v>444</v>
      </c>
      <c r="C1838" s="50" t="s">
        <v>51</v>
      </c>
      <c r="D1838" s="50" t="s">
        <v>27</v>
      </c>
      <c r="E1838" s="50">
        <v>50003297</v>
      </c>
      <c r="F1838" s="50" t="s">
        <v>158</v>
      </c>
      <c r="G1838" s="50">
        <v>1</v>
      </c>
      <c r="H1838" s="50" t="s">
        <v>2</v>
      </c>
      <c r="I1838" s="50" t="s">
        <v>297</v>
      </c>
      <c r="J1838" s="51">
        <v>46056</v>
      </c>
      <c r="K1838" s="50" t="s">
        <v>3</v>
      </c>
      <c r="L1838" s="50" t="s">
        <v>80</v>
      </c>
    </row>
    <row r="1839" spans="2:12">
      <c r="B1839" s="50" t="s">
        <v>407</v>
      </c>
      <c r="C1839" s="50" t="s">
        <v>26</v>
      </c>
      <c r="D1839" s="50" t="s">
        <v>39</v>
      </c>
      <c r="E1839" s="50">
        <v>50026357</v>
      </c>
      <c r="F1839" s="50" t="s">
        <v>192</v>
      </c>
      <c r="G1839" s="50">
        <v>1</v>
      </c>
      <c r="H1839" s="50" t="s">
        <v>2</v>
      </c>
      <c r="I1839" s="50" t="s">
        <v>297</v>
      </c>
      <c r="J1839" s="51">
        <v>46056</v>
      </c>
      <c r="K1839" s="50" t="s">
        <v>1</v>
      </c>
      <c r="L1839" s="50" t="s">
        <v>80</v>
      </c>
    </row>
    <row r="1840" spans="2:12">
      <c r="B1840" s="50" t="s">
        <v>478</v>
      </c>
      <c r="C1840" s="50" t="s">
        <v>51</v>
      </c>
      <c r="D1840" s="50" t="s">
        <v>27</v>
      </c>
      <c r="E1840" s="50">
        <v>50038517</v>
      </c>
      <c r="F1840" s="50" t="s">
        <v>181</v>
      </c>
      <c r="G1840" s="50">
        <v>1</v>
      </c>
      <c r="H1840" s="50" t="s">
        <v>2</v>
      </c>
      <c r="I1840" s="50" t="s">
        <v>297</v>
      </c>
      <c r="J1840" s="51">
        <v>46056</v>
      </c>
      <c r="K1840" s="50" t="s">
        <v>3</v>
      </c>
      <c r="L1840" s="50" t="s">
        <v>80</v>
      </c>
    </row>
    <row r="1841" spans="2:12">
      <c r="B1841" s="50" t="s">
        <v>407</v>
      </c>
      <c r="C1841" s="50" t="s">
        <v>26</v>
      </c>
      <c r="D1841" s="50" t="s">
        <v>39</v>
      </c>
      <c r="E1841" s="50">
        <v>50001995</v>
      </c>
      <c r="F1841" s="50" t="s">
        <v>185</v>
      </c>
      <c r="G1841" s="50">
        <v>1</v>
      </c>
      <c r="H1841" s="50" t="s">
        <v>2</v>
      </c>
      <c r="I1841" s="50" t="s">
        <v>297</v>
      </c>
      <c r="J1841" s="51">
        <v>46056</v>
      </c>
      <c r="K1841" s="50" t="s">
        <v>3</v>
      </c>
      <c r="L1841" s="50" t="s">
        <v>80</v>
      </c>
    </row>
    <row r="1842" spans="2:12">
      <c r="B1842" s="50" t="s">
        <v>407</v>
      </c>
      <c r="C1842" s="50" t="s">
        <v>26</v>
      </c>
      <c r="D1842" s="50" t="s">
        <v>39</v>
      </c>
      <c r="E1842" s="50">
        <v>50041195</v>
      </c>
      <c r="F1842" s="50" t="s">
        <v>206</v>
      </c>
      <c r="G1842" s="50">
        <v>1</v>
      </c>
      <c r="H1842" s="50" t="s">
        <v>2</v>
      </c>
      <c r="I1842" s="50" t="s">
        <v>297</v>
      </c>
      <c r="J1842" s="51">
        <v>46056</v>
      </c>
      <c r="K1842" s="50" t="s">
        <v>3</v>
      </c>
      <c r="L1842" s="50" t="s">
        <v>80</v>
      </c>
    </row>
    <row r="1843" spans="2:12">
      <c r="B1843" s="50" t="s">
        <v>386</v>
      </c>
      <c r="C1843" s="50" t="s">
        <v>286</v>
      </c>
      <c r="D1843" s="50" t="s">
        <v>41</v>
      </c>
      <c r="E1843" s="50">
        <v>50043471</v>
      </c>
      <c r="F1843" s="50" t="s">
        <v>257</v>
      </c>
      <c r="G1843" s="50">
        <v>1</v>
      </c>
      <c r="H1843" s="50" t="s">
        <v>2</v>
      </c>
      <c r="I1843" s="50" t="s">
        <v>297</v>
      </c>
      <c r="J1843" s="51">
        <v>46056</v>
      </c>
      <c r="K1843" s="50" t="s">
        <v>3</v>
      </c>
      <c r="L1843" s="50" t="s">
        <v>80</v>
      </c>
    </row>
    <row r="1844" spans="2:12">
      <c r="B1844" s="50" t="s">
        <v>410</v>
      </c>
      <c r="C1844" s="50" t="s">
        <v>51</v>
      </c>
      <c r="D1844" s="50" t="s">
        <v>27</v>
      </c>
      <c r="E1844" s="50">
        <v>50036293</v>
      </c>
      <c r="F1844" s="50" t="s">
        <v>130</v>
      </c>
      <c r="G1844" s="50">
        <v>1</v>
      </c>
      <c r="H1844" s="50" t="s">
        <v>2</v>
      </c>
      <c r="I1844" s="50" t="s">
        <v>297</v>
      </c>
      <c r="J1844" s="51">
        <v>46056</v>
      </c>
      <c r="K1844" s="50" t="s">
        <v>3</v>
      </c>
      <c r="L1844" s="50" t="s">
        <v>80</v>
      </c>
    </row>
    <row r="1845" spans="2:12">
      <c r="B1845" s="50" t="s">
        <v>410</v>
      </c>
      <c r="C1845" s="50" t="s">
        <v>51</v>
      </c>
      <c r="D1845" s="50" t="s">
        <v>27</v>
      </c>
      <c r="E1845" s="50">
        <v>50036291</v>
      </c>
      <c r="F1845" s="50" t="s">
        <v>128</v>
      </c>
      <c r="G1845" s="50">
        <v>1</v>
      </c>
      <c r="H1845" s="50" t="s">
        <v>2</v>
      </c>
      <c r="I1845" s="50" t="s">
        <v>297</v>
      </c>
      <c r="J1845" s="51">
        <v>46056</v>
      </c>
      <c r="K1845" s="50" t="s">
        <v>1</v>
      </c>
      <c r="L1845" s="50" t="s">
        <v>80</v>
      </c>
    </row>
    <row r="1846" spans="2:12">
      <c r="B1846" s="50" t="s">
        <v>277</v>
      </c>
      <c r="C1846" s="50" t="s">
        <v>62</v>
      </c>
      <c r="D1846" s="50" t="s">
        <v>27</v>
      </c>
      <c r="E1846" s="50">
        <v>50043471</v>
      </c>
      <c r="F1846" s="50" t="s">
        <v>257</v>
      </c>
      <c r="G1846" s="50">
        <v>1</v>
      </c>
      <c r="H1846" s="50" t="s">
        <v>2</v>
      </c>
      <c r="I1846" s="50" t="s">
        <v>297</v>
      </c>
      <c r="J1846" s="51">
        <v>46056</v>
      </c>
      <c r="K1846" s="50" t="s">
        <v>1</v>
      </c>
      <c r="L1846" s="50" t="s">
        <v>80</v>
      </c>
    </row>
    <row r="1847" spans="2:12">
      <c r="B1847" s="50" t="s">
        <v>446</v>
      </c>
      <c r="C1847" s="50" t="s">
        <v>56</v>
      </c>
      <c r="D1847" s="50" t="s">
        <v>27</v>
      </c>
      <c r="E1847" s="50">
        <v>50041195</v>
      </c>
      <c r="F1847" s="50" t="s">
        <v>206</v>
      </c>
      <c r="G1847" s="50">
        <v>1</v>
      </c>
      <c r="H1847" s="50" t="s">
        <v>2</v>
      </c>
      <c r="I1847" s="50" t="s">
        <v>297</v>
      </c>
      <c r="J1847" s="51">
        <v>46056</v>
      </c>
      <c r="K1847" s="50" t="s">
        <v>1</v>
      </c>
      <c r="L1847" s="50" t="s">
        <v>80</v>
      </c>
    </row>
    <row r="1848" spans="2:12">
      <c r="B1848" s="50" t="s">
        <v>399</v>
      </c>
      <c r="C1848" s="50" t="s">
        <v>51</v>
      </c>
      <c r="D1848" s="50" t="s">
        <v>27</v>
      </c>
      <c r="E1848" s="50">
        <v>50045979</v>
      </c>
      <c r="F1848" s="50" t="s">
        <v>357</v>
      </c>
      <c r="G1848" s="50">
        <v>1</v>
      </c>
      <c r="H1848" s="50" t="s">
        <v>2</v>
      </c>
      <c r="I1848" s="50" t="s">
        <v>293</v>
      </c>
      <c r="J1848" s="51">
        <v>46056</v>
      </c>
      <c r="K1848" s="50" t="s">
        <v>3</v>
      </c>
      <c r="L1848" s="50" t="s">
        <v>80</v>
      </c>
    </row>
    <row r="1849" spans="2:12">
      <c r="B1849" s="50" t="s">
        <v>446</v>
      </c>
      <c r="C1849" s="50" t="s">
        <v>56</v>
      </c>
      <c r="D1849" s="50" t="s">
        <v>27</v>
      </c>
      <c r="E1849" s="50">
        <v>50041195</v>
      </c>
      <c r="F1849" s="50" t="s">
        <v>206</v>
      </c>
      <c r="G1849" s="50">
        <v>1</v>
      </c>
      <c r="H1849" s="50" t="s">
        <v>2</v>
      </c>
      <c r="I1849" s="50" t="s">
        <v>293</v>
      </c>
      <c r="J1849" s="51">
        <v>46056</v>
      </c>
      <c r="K1849" s="50" t="s">
        <v>3</v>
      </c>
      <c r="L1849" s="50" t="s">
        <v>80</v>
      </c>
    </row>
    <row r="1850" spans="2:12">
      <c r="B1850" s="50" t="s">
        <v>410</v>
      </c>
      <c r="C1850" s="50" t="s">
        <v>51</v>
      </c>
      <c r="D1850" s="50" t="s">
        <v>27</v>
      </c>
      <c r="E1850" s="50">
        <v>50036286</v>
      </c>
      <c r="F1850" s="50" t="s">
        <v>123</v>
      </c>
      <c r="G1850" s="50">
        <v>1</v>
      </c>
      <c r="H1850" s="50" t="s">
        <v>2</v>
      </c>
      <c r="I1850" s="50" t="s">
        <v>293</v>
      </c>
      <c r="J1850" s="51">
        <v>46056</v>
      </c>
      <c r="K1850" s="50" t="s">
        <v>3</v>
      </c>
      <c r="L1850" s="50" t="s">
        <v>80</v>
      </c>
    </row>
    <row r="1851" spans="2:12">
      <c r="B1851" s="50" t="s">
        <v>410</v>
      </c>
      <c r="C1851" s="50" t="s">
        <v>51</v>
      </c>
      <c r="D1851" s="50" t="s">
        <v>27</v>
      </c>
      <c r="E1851" s="50">
        <v>50036288</v>
      </c>
      <c r="F1851" s="50" t="s">
        <v>125</v>
      </c>
      <c r="G1851" s="50">
        <v>1</v>
      </c>
      <c r="H1851" s="50" t="s">
        <v>2</v>
      </c>
      <c r="I1851" s="50" t="s">
        <v>293</v>
      </c>
      <c r="J1851" s="51">
        <v>46056</v>
      </c>
      <c r="K1851" s="50" t="s">
        <v>3</v>
      </c>
      <c r="L1851" s="50" t="s">
        <v>80</v>
      </c>
    </row>
    <row r="1852" spans="2:12">
      <c r="B1852" s="50" t="s">
        <v>410</v>
      </c>
      <c r="C1852" s="50" t="s">
        <v>51</v>
      </c>
      <c r="D1852" s="50" t="s">
        <v>27</v>
      </c>
      <c r="E1852" s="50">
        <v>50036289</v>
      </c>
      <c r="F1852" s="50" t="s">
        <v>126</v>
      </c>
      <c r="G1852" s="50">
        <v>1</v>
      </c>
      <c r="H1852" s="50" t="s">
        <v>2</v>
      </c>
      <c r="I1852" s="50" t="s">
        <v>293</v>
      </c>
      <c r="J1852" s="51">
        <v>46056</v>
      </c>
      <c r="K1852" s="50" t="s">
        <v>3</v>
      </c>
      <c r="L1852" s="50" t="s">
        <v>80</v>
      </c>
    </row>
    <row r="1853" spans="2:12">
      <c r="B1853" s="50" t="s">
        <v>277</v>
      </c>
      <c r="C1853" s="50" t="s">
        <v>62</v>
      </c>
      <c r="D1853" s="50" t="s">
        <v>27</v>
      </c>
      <c r="E1853" s="50">
        <v>50043471</v>
      </c>
      <c r="F1853" s="50" t="s">
        <v>257</v>
      </c>
      <c r="G1853" s="50">
        <v>1</v>
      </c>
      <c r="H1853" s="50" t="s">
        <v>2</v>
      </c>
      <c r="I1853" s="50" t="s">
        <v>293</v>
      </c>
      <c r="J1853" s="51">
        <v>46056</v>
      </c>
      <c r="K1853" s="50" t="s">
        <v>1</v>
      </c>
      <c r="L1853" s="50" t="s">
        <v>80</v>
      </c>
    </row>
    <row r="1854" spans="2:12">
      <c r="B1854" s="50" t="s">
        <v>439</v>
      </c>
      <c r="C1854" s="50" t="s">
        <v>62</v>
      </c>
      <c r="D1854" s="50" t="s">
        <v>27</v>
      </c>
      <c r="E1854" s="50">
        <v>50041195</v>
      </c>
      <c r="F1854" s="50" t="s">
        <v>206</v>
      </c>
      <c r="G1854" s="50">
        <v>1</v>
      </c>
      <c r="H1854" s="50" t="s">
        <v>2</v>
      </c>
      <c r="I1854" s="50" t="s">
        <v>293</v>
      </c>
      <c r="J1854" s="51">
        <v>46056</v>
      </c>
      <c r="K1854" s="50" t="s">
        <v>1</v>
      </c>
      <c r="L1854" s="50" t="s">
        <v>80</v>
      </c>
    </row>
    <row r="1855" spans="2:12">
      <c r="B1855" s="50" t="s">
        <v>427</v>
      </c>
      <c r="C1855" s="50" t="s">
        <v>26</v>
      </c>
      <c r="D1855" s="50" t="s">
        <v>27</v>
      </c>
      <c r="E1855" s="50">
        <v>50038854</v>
      </c>
      <c r="F1855" s="50" t="s">
        <v>101</v>
      </c>
      <c r="G1855" s="50">
        <v>1</v>
      </c>
      <c r="H1855" s="50" t="s">
        <v>2</v>
      </c>
      <c r="I1855" s="50" t="s">
        <v>293</v>
      </c>
      <c r="J1855" s="51">
        <v>46056</v>
      </c>
      <c r="K1855" s="50" t="s">
        <v>1</v>
      </c>
      <c r="L1855" s="50" t="s">
        <v>80</v>
      </c>
    </row>
    <row r="1856" spans="2:12">
      <c r="B1856" s="50" t="s">
        <v>427</v>
      </c>
      <c r="C1856" s="50" t="s">
        <v>26</v>
      </c>
      <c r="D1856" s="50" t="s">
        <v>27</v>
      </c>
      <c r="E1856" s="50">
        <v>50038854</v>
      </c>
      <c r="F1856" s="50" t="s">
        <v>101</v>
      </c>
      <c r="G1856" s="50">
        <v>1</v>
      </c>
      <c r="H1856" s="50" t="s">
        <v>2</v>
      </c>
      <c r="I1856" s="50" t="s">
        <v>288</v>
      </c>
      <c r="J1856" s="51">
        <v>46056</v>
      </c>
      <c r="K1856" s="50" t="s">
        <v>1</v>
      </c>
      <c r="L1856" s="50" t="s">
        <v>80</v>
      </c>
    </row>
    <row r="1857" spans="2:12">
      <c r="B1857" s="50" t="s">
        <v>280</v>
      </c>
      <c r="C1857" s="50" t="s">
        <v>62</v>
      </c>
      <c r="D1857" s="50" t="s">
        <v>27</v>
      </c>
      <c r="E1857" s="50">
        <v>50026357</v>
      </c>
      <c r="F1857" s="50" t="s">
        <v>192</v>
      </c>
      <c r="G1857" s="50">
        <v>1</v>
      </c>
      <c r="H1857" s="50" t="s">
        <v>2</v>
      </c>
      <c r="I1857" s="50" t="s">
        <v>290</v>
      </c>
      <c r="J1857" s="51">
        <v>46056</v>
      </c>
      <c r="K1857" s="50" t="s">
        <v>3</v>
      </c>
      <c r="L1857" s="50" t="s">
        <v>80</v>
      </c>
    </row>
    <row r="1858" spans="2:12">
      <c r="B1858" s="50" t="s">
        <v>280</v>
      </c>
      <c r="C1858" s="50" t="s">
        <v>62</v>
      </c>
      <c r="D1858" s="50" t="s">
        <v>27</v>
      </c>
      <c r="E1858" s="50">
        <v>50026357</v>
      </c>
      <c r="F1858" s="50" t="s">
        <v>192</v>
      </c>
      <c r="G1858" s="50">
        <v>1</v>
      </c>
      <c r="H1858" s="50" t="s">
        <v>2</v>
      </c>
      <c r="I1858" s="50" t="s">
        <v>290</v>
      </c>
      <c r="J1858" s="51">
        <v>46056</v>
      </c>
      <c r="K1858" s="50" t="s">
        <v>3</v>
      </c>
      <c r="L1858" s="50" t="s">
        <v>80</v>
      </c>
    </row>
    <row r="1859" spans="2:12">
      <c r="B1859" s="50" t="s">
        <v>277</v>
      </c>
      <c r="C1859" s="50" t="s">
        <v>62</v>
      </c>
      <c r="D1859" s="50" t="s">
        <v>27</v>
      </c>
      <c r="E1859" s="50">
        <v>50037892</v>
      </c>
      <c r="F1859" s="50" t="s">
        <v>178</v>
      </c>
      <c r="G1859" s="50">
        <v>1</v>
      </c>
      <c r="H1859" s="50" t="s">
        <v>2</v>
      </c>
      <c r="I1859" s="50" t="s">
        <v>290</v>
      </c>
      <c r="J1859" s="51">
        <v>46056</v>
      </c>
      <c r="K1859" s="50" t="s">
        <v>1</v>
      </c>
      <c r="L1859" s="50" t="s">
        <v>80</v>
      </c>
    </row>
    <row r="1860" spans="2:12">
      <c r="B1860" s="50" t="s">
        <v>386</v>
      </c>
      <c r="C1860" s="50" t="s">
        <v>286</v>
      </c>
      <c r="D1860" s="50" t="s">
        <v>41</v>
      </c>
      <c r="E1860" s="50">
        <v>50003297</v>
      </c>
      <c r="F1860" s="50" t="s">
        <v>158</v>
      </c>
      <c r="G1860" s="50">
        <v>1</v>
      </c>
      <c r="H1860" s="50" t="s">
        <v>2</v>
      </c>
      <c r="I1860" s="50" t="s">
        <v>288</v>
      </c>
      <c r="J1860" s="51">
        <v>46056</v>
      </c>
      <c r="K1860" s="50" t="s">
        <v>1</v>
      </c>
      <c r="L1860" s="50" t="s">
        <v>80</v>
      </c>
    </row>
    <row r="1861" spans="2:12">
      <c r="B1861" s="50" t="s">
        <v>422</v>
      </c>
      <c r="C1861" s="50" t="s">
        <v>26</v>
      </c>
      <c r="D1861" s="50" t="s">
        <v>27</v>
      </c>
      <c r="E1861" s="50">
        <v>50037892</v>
      </c>
      <c r="F1861" s="50" t="s">
        <v>178</v>
      </c>
      <c r="G1861" s="50">
        <v>1</v>
      </c>
      <c r="H1861" s="50" t="s">
        <v>2</v>
      </c>
      <c r="I1861" s="50" t="s">
        <v>288</v>
      </c>
      <c r="J1861" s="51">
        <v>46056</v>
      </c>
      <c r="K1861" s="50" t="s">
        <v>1</v>
      </c>
      <c r="L1861" s="50" t="s">
        <v>80</v>
      </c>
    </row>
    <row r="1862" spans="2:12">
      <c r="B1862" s="50" t="s">
        <v>386</v>
      </c>
      <c r="C1862" s="50" t="s">
        <v>286</v>
      </c>
      <c r="D1862" s="50" t="s">
        <v>41</v>
      </c>
      <c r="E1862" s="50">
        <v>50003297</v>
      </c>
      <c r="F1862" s="50" t="s">
        <v>158</v>
      </c>
      <c r="G1862" s="50">
        <v>1</v>
      </c>
      <c r="H1862" s="50" t="s">
        <v>2</v>
      </c>
      <c r="I1862" s="50" t="s">
        <v>288</v>
      </c>
      <c r="J1862" s="51">
        <v>46056</v>
      </c>
      <c r="K1862" s="50" t="s">
        <v>1</v>
      </c>
      <c r="L1862" s="50" t="s">
        <v>80</v>
      </c>
    </row>
    <row r="1863" spans="2:12">
      <c r="B1863" s="50" t="s">
        <v>389</v>
      </c>
      <c r="C1863" s="50" t="s">
        <v>56</v>
      </c>
      <c r="D1863" s="50" t="s">
        <v>27</v>
      </c>
      <c r="E1863" s="50">
        <v>50026537</v>
      </c>
      <c r="F1863" s="50" t="s">
        <v>192</v>
      </c>
      <c r="G1863" s="50">
        <v>1</v>
      </c>
      <c r="H1863" s="50" t="s">
        <v>2</v>
      </c>
      <c r="I1863" s="50" t="s">
        <v>288</v>
      </c>
      <c r="J1863" s="51">
        <v>46056</v>
      </c>
      <c r="K1863" s="50" t="s">
        <v>3</v>
      </c>
      <c r="L1863" s="50" t="s">
        <v>80</v>
      </c>
    </row>
    <row r="1864" spans="2:12">
      <c r="B1864" s="50" t="s">
        <v>406</v>
      </c>
      <c r="C1864" s="50" t="s">
        <v>26</v>
      </c>
      <c r="D1864" s="50" t="s">
        <v>27</v>
      </c>
      <c r="E1864" s="50">
        <v>50038517</v>
      </c>
      <c r="F1864" s="50" t="s">
        <v>181</v>
      </c>
      <c r="G1864" s="50">
        <v>1</v>
      </c>
      <c r="H1864" s="50" t="s">
        <v>2</v>
      </c>
      <c r="I1864" s="50" t="s">
        <v>288</v>
      </c>
      <c r="J1864" s="51">
        <v>46056</v>
      </c>
      <c r="K1864" s="50" t="s">
        <v>1</v>
      </c>
      <c r="L1864" s="50" t="s">
        <v>80</v>
      </c>
    </row>
    <row r="1865" spans="2:12">
      <c r="B1865" s="50" t="s">
        <v>386</v>
      </c>
      <c r="C1865" s="50" t="s">
        <v>62</v>
      </c>
      <c r="D1865" s="50" t="s">
        <v>27</v>
      </c>
      <c r="E1865" s="50">
        <v>50038840</v>
      </c>
      <c r="F1865" s="50" t="s">
        <v>235</v>
      </c>
      <c r="G1865" s="50">
        <v>1</v>
      </c>
      <c r="H1865" s="50" t="s">
        <v>2</v>
      </c>
      <c r="I1865" s="50" t="s">
        <v>288</v>
      </c>
      <c r="J1865" s="51">
        <v>46056</v>
      </c>
      <c r="K1865" s="50" t="s">
        <v>3</v>
      </c>
      <c r="L1865" s="50" t="s">
        <v>80</v>
      </c>
    </row>
    <row r="1866" spans="2:12">
      <c r="B1866" s="50" t="s">
        <v>386</v>
      </c>
      <c r="C1866" s="50" t="s">
        <v>62</v>
      </c>
      <c r="D1866" s="50" t="s">
        <v>27</v>
      </c>
      <c r="E1866" s="50">
        <v>50038840</v>
      </c>
      <c r="F1866" s="50" t="s">
        <v>235</v>
      </c>
      <c r="G1866" s="50">
        <v>1</v>
      </c>
      <c r="H1866" s="50" t="s">
        <v>2</v>
      </c>
      <c r="I1866" s="50" t="s">
        <v>288</v>
      </c>
      <c r="J1866" s="51">
        <v>46056</v>
      </c>
      <c r="K1866" s="50" t="s">
        <v>3</v>
      </c>
      <c r="L1866" s="50" t="s">
        <v>80</v>
      </c>
    </row>
    <row r="1867" spans="2:12">
      <c r="B1867" s="50" t="s">
        <v>427</v>
      </c>
      <c r="C1867" s="50" t="s">
        <v>26</v>
      </c>
      <c r="D1867" s="50" t="s">
        <v>27</v>
      </c>
      <c r="E1867" s="50">
        <v>50038854</v>
      </c>
      <c r="F1867" s="50" t="s">
        <v>101</v>
      </c>
      <c r="G1867" s="50">
        <v>1</v>
      </c>
      <c r="H1867" s="50" t="s">
        <v>2</v>
      </c>
      <c r="I1867" s="50" t="s">
        <v>288</v>
      </c>
      <c r="J1867" s="51">
        <v>46056</v>
      </c>
      <c r="K1867" s="50" t="s">
        <v>1</v>
      </c>
      <c r="L1867" s="50" t="s">
        <v>80</v>
      </c>
    </row>
    <row r="1868" spans="2:12">
      <c r="B1868" s="50" t="s">
        <v>446</v>
      </c>
      <c r="C1868" s="50" t="s">
        <v>56</v>
      </c>
      <c r="D1868" s="50" t="s">
        <v>27</v>
      </c>
      <c r="E1868" s="50">
        <v>50038194</v>
      </c>
      <c r="F1868" s="50" t="s">
        <v>238</v>
      </c>
      <c r="G1868" s="50">
        <v>1</v>
      </c>
      <c r="H1868" s="50" t="s">
        <v>2</v>
      </c>
      <c r="I1868" s="50" t="s">
        <v>288</v>
      </c>
      <c r="J1868" s="51">
        <v>46056</v>
      </c>
      <c r="K1868" s="50" t="s">
        <v>1</v>
      </c>
      <c r="L1868" s="50" t="s">
        <v>80</v>
      </c>
    </row>
    <row r="1869" spans="2:12">
      <c r="B1869" s="50" t="s">
        <v>446</v>
      </c>
      <c r="C1869" s="50" t="s">
        <v>56</v>
      </c>
      <c r="D1869" s="50" t="s">
        <v>27</v>
      </c>
      <c r="E1869" s="50">
        <v>50039718</v>
      </c>
      <c r="F1869" s="50" t="s">
        <v>149</v>
      </c>
      <c r="G1869" s="50">
        <v>1</v>
      </c>
      <c r="H1869" s="50" t="s">
        <v>2</v>
      </c>
      <c r="I1869" s="50" t="s">
        <v>288</v>
      </c>
      <c r="J1869" s="51">
        <v>46056</v>
      </c>
      <c r="K1869" s="50" t="s">
        <v>3</v>
      </c>
      <c r="L1869" s="50" t="s">
        <v>80</v>
      </c>
    </row>
    <row r="1870" spans="2:12">
      <c r="B1870" s="50" t="s">
        <v>345</v>
      </c>
      <c r="C1870" s="50" t="s">
        <v>62</v>
      </c>
      <c r="D1870" s="50" t="s">
        <v>27</v>
      </c>
      <c r="E1870" s="50">
        <v>50030486</v>
      </c>
      <c r="F1870" s="50" t="s">
        <v>153</v>
      </c>
      <c r="G1870" s="50">
        <v>1</v>
      </c>
      <c r="H1870" s="50" t="s">
        <v>2</v>
      </c>
      <c r="I1870" s="50" t="s">
        <v>288</v>
      </c>
      <c r="J1870" s="51">
        <v>46056</v>
      </c>
      <c r="K1870" s="50" t="s">
        <v>3</v>
      </c>
      <c r="L1870" s="50" t="s">
        <v>80</v>
      </c>
    </row>
    <row r="1871" spans="2:12">
      <c r="B1871" s="50" t="s">
        <v>389</v>
      </c>
      <c r="C1871" s="50" t="s">
        <v>56</v>
      </c>
      <c r="D1871" s="50" t="s">
        <v>27</v>
      </c>
      <c r="E1871" s="50">
        <v>50026537</v>
      </c>
      <c r="F1871" s="50" t="s">
        <v>192</v>
      </c>
      <c r="G1871" s="50">
        <v>1</v>
      </c>
      <c r="H1871" s="50" t="s">
        <v>2</v>
      </c>
      <c r="I1871" s="50" t="s">
        <v>288</v>
      </c>
      <c r="J1871" s="51">
        <v>46056</v>
      </c>
      <c r="K1871" s="50" t="s">
        <v>3</v>
      </c>
      <c r="L1871" s="50" t="s">
        <v>80</v>
      </c>
    </row>
    <row r="1872" spans="2:12">
      <c r="B1872" s="50" t="s">
        <v>439</v>
      </c>
      <c r="C1872" s="50" t="s">
        <v>62</v>
      </c>
      <c r="D1872" s="50" t="s">
        <v>27</v>
      </c>
      <c r="E1872" s="50">
        <v>50041195</v>
      </c>
      <c r="F1872" s="50" t="s">
        <v>206</v>
      </c>
      <c r="G1872" s="50">
        <v>1</v>
      </c>
      <c r="H1872" s="50" t="s">
        <v>2</v>
      </c>
      <c r="I1872" s="50" t="s">
        <v>288</v>
      </c>
      <c r="J1872" s="51">
        <v>46056</v>
      </c>
      <c r="K1872" s="50" t="s">
        <v>3</v>
      </c>
      <c r="L1872" s="50" t="s">
        <v>80</v>
      </c>
    </row>
    <row r="1873" spans="2:12">
      <c r="B1873" s="50" t="s">
        <v>446</v>
      </c>
      <c r="C1873" s="50" t="s">
        <v>56</v>
      </c>
      <c r="D1873" s="50" t="s">
        <v>27</v>
      </c>
      <c r="E1873" s="50">
        <v>50039718</v>
      </c>
      <c r="F1873" s="50" t="s">
        <v>149</v>
      </c>
      <c r="G1873" s="50">
        <v>1</v>
      </c>
      <c r="H1873" s="50" t="s">
        <v>2</v>
      </c>
      <c r="I1873" s="50" t="s">
        <v>288</v>
      </c>
      <c r="J1873" s="51">
        <v>46056</v>
      </c>
      <c r="K1873" s="50" t="s">
        <v>3</v>
      </c>
      <c r="L1873" s="50" t="s">
        <v>80</v>
      </c>
    </row>
    <row r="1874" spans="2:12">
      <c r="B1874" s="50" t="s">
        <v>399</v>
      </c>
      <c r="C1874" s="50" t="s">
        <v>51</v>
      </c>
      <c r="D1874" s="50" t="s">
        <v>27</v>
      </c>
      <c r="E1874" s="50">
        <v>50045979</v>
      </c>
      <c r="F1874" s="50" t="s">
        <v>357</v>
      </c>
      <c r="G1874" s="50">
        <v>1</v>
      </c>
      <c r="H1874" s="50" t="s">
        <v>2</v>
      </c>
      <c r="I1874" s="50" t="s">
        <v>288</v>
      </c>
      <c r="J1874" s="51">
        <v>46056</v>
      </c>
      <c r="K1874" s="50" t="s">
        <v>3</v>
      </c>
      <c r="L1874" s="50" t="s">
        <v>80</v>
      </c>
    </row>
    <row r="1875" spans="2:12">
      <c r="B1875" s="50" t="s">
        <v>446</v>
      </c>
      <c r="C1875" s="50" t="s">
        <v>56</v>
      </c>
      <c r="D1875" s="50" t="s">
        <v>27</v>
      </c>
      <c r="E1875" s="50">
        <v>50038194</v>
      </c>
      <c r="F1875" s="50" t="s">
        <v>238</v>
      </c>
      <c r="G1875" s="50">
        <v>1</v>
      </c>
      <c r="H1875" s="50" t="s">
        <v>2</v>
      </c>
      <c r="I1875" s="50" t="s">
        <v>288</v>
      </c>
      <c r="J1875" s="51">
        <v>46056</v>
      </c>
      <c r="K1875" s="50" t="s">
        <v>3</v>
      </c>
      <c r="L1875" s="50" t="s">
        <v>80</v>
      </c>
    </row>
    <row r="1876" spans="2:12">
      <c r="B1876" s="50" t="s">
        <v>483</v>
      </c>
      <c r="C1876" s="50" t="s">
        <v>62</v>
      </c>
      <c r="D1876" s="50" t="s">
        <v>27</v>
      </c>
      <c r="E1876" s="50">
        <v>50038662</v>
      </c>
      <c r="F1876" s="50" t="s">
        <v>193</v>
      </c>
      <c r="G1876" s="50">
        <v>1</v>
      </c>
      <c r="H1876" s="50" t="s">
        <v>2</v>
      </c>
      <c r="I1876" s="50" t="s">
        <v>288</v>
      </c>
      <c r="J1876" s="51">
        <v>46056</v>
      </c>
      <c r="K1876" s="50" t="s">
        <v>3</v>
      </c>
      <c r="L1876" s="50" t="s">
        <v>80</v>
      </c>
    </row>
    <row r="1877" spans="2:12">
      <c r="B1877" s="50" t="s">
        <v>483</v>
      </c>
      <c r="C1877" s="50" t="s">
        <v>62</v>
      </c>
      <c r="D1877" s="50" t="s">
        <v>27</v>
      </c>
      <c r="E1877" s="50">
        <v>50010031</v>
      </c>
      <c r="F1877" s="50" t="s">
        <v>89</v>
      </c>
      <c r="G1877" s="50">
        <v>1</v>
      </c>
      <c r="H1877" s="50" t="s">
        <v>2</v>
      </c>
      <c r="I1877" s="50" t="s">
        <v>288</v>
      </c>
      <c r="J1877" s="51">
        <v>46056</v>
      </c>
      <c r="K1877" s="50" t="s">
        <v>3</v>
      </c>
      <c r="L1877" s="50" t="s">
        <v>80</v>
      </c>
    </row>
    <row r="1878" spans="2:12">
      <c r="B1878" s="50" t="s">
        <v>478</v>
      </c>
      <c r="C1878" s="50" t="s">
        <v>51</v>
      </c>
      <c r="D1878" s="50" t="s">
        <v>27</v>
      </c>
      <c r="E1878" s="50">
        <v>50038517</v>
      </c>
      <c r="F1878" s="50" t="s">
        <v>181</v>
      </c>
      <c r="G1878" s="50">
        <v>1</v>
      </c>
      <c r="H1878" s="50" t="s">
        <v>2</v>
      </c>
      <c r="I1878" s="50" t="s">
        <v>288</v>
      </c>
      <c r="J1878" s="51">
        <v>46056</v>
      </c>
      <c r="K1878" s="50" t="s">
        <v>3</v>
      </c>
      <c r="L1878" s="50" t="s">
        <v>80</v>
      </c>
    </row>
    <row r="1879" spans="2:12">
      <c r="B1879" s="50" t="s">
        <v>439</v>
      </c>
      <c r="C1879" s="50" t="s">
        <v>62</v>
      </c>
      <c r="D1879" s="50" t="s">
        <v>27</v>
      </c>
      <c r="E1879" s="50">
        <v>50041195</v>
      </c>
      <c r="F1879" s="50" t="s">
        <v>206</v>
      </c>
      <c r="G1879" s="50">
        <v>1</v>
      </c>
      <c r="H1879" s="50" t="s">
        <v>2</v>
      </c>
      <c r="I1879" s="50" t="s">
        <v>288</v>
      </c>
      <c r="J1879" s="51">
        <v>46056</v>
      </c>
      <c r="K1879" s="50" t="s">
        <v>3</v>
      </c>
      <c r="L1879" s="50" t="s">
        <v>80</v>
      </c>
    </row>
    <row r="1880" spans="2:12">
      <c r="B1880" s="50" t="s">
        <v>478</v>
      </c>
      <c r="C1880" s="50" t="s">
        <v>51</v>
      </c>
      <c r="D1880" s="50" t="s">
        <v>27</v>
      </c>
      <c r="E1880" s="50">
        <v>50032781</v>
      </c>
      <c r="F1880" s="50" t="s">
        <v>237</v>
      </c>
      <c r="G1880" s="50">
        <v>1</v>
      </c>
      <c r="H1880" s="50" t="s">
        <v>2</v>
      </c>
      <c r="I1880" s="50" t="s">
        <v>288</v>
      </c>
      <c r="J1880" s="51">
        <v>46056</v>
      </c>
      <c r="K1880" s="50" t="s">
        <v>3</v>
      </c>
      <c r="L1880" s="50" t="s">
        <v>80</v>
      </c>
    </row>
    <row r="1881" spans="2:12">
      <c r="B1881" s="50" t="s">
        <v>422</v>
      </c>
      <c r="C1881" s="50" t="s">
        <v>26</v>
      </c>
      <c r="D1881" s="50" t="s">
        <v>27</v>
      </c>
      <c r="E1881" s="50">
        <v>50037892</v>
      </c>
      <c r="F1881" s="50" t="s">
        <v>178</v>
      </c>
      <c r="G1881" s="50">
        <v>1</v>
      </c>
      <c r="H1881" s="50" t="s">
        <v>2</v>
      </c>
      <c r="I1881" s="50" t="s">
        <v>288</v>
      </c>
      <c r="J1881" s="51">
        <v>46056</v>
      </c>
      <c r="K1881" s="50" t="s">
        <v>3</v>
      </c>
      <c r="L1881" s="50" t="s">
        <v>80</v>
      </c>
    </row>
    <row r="1882" spans="2:12">
      <c r="B1882" s="50" t="s">
        <v>386</v>
      </c>
      <c r="C1882" s="50" t="s">
        <v>286</v>
      </c>
      <c r="D1882" s="50" t="s">
        <v>41</v>
      </c>
      <c r="E1882" s="50">
        <v>50003297</v>
      </c>
      <c r="F1882" s="50" t="s">
        <v>158</v>
      </c>
      <c r="G1882" s="50">
        <v>1</v>
      </c>
      <c r="H1882" s="50" t="s">
        <v>2</v>
      </c>
      <c r="I1882" s="50" t="s">
        <v>288</v>
      </c>
      <c r="J1882" s="51">
        <v>46056</v>
      </c>
      <c r="K1882" s="50" t="s">
        <v>1</v>
      </c>
      <c r="L1882" s="50" t="s">
        <v>80</v>
      </c>
    </row>
    <row r="1883" spans="2:12">
      <c r="B1883" s="50" t="s">
        <v>414</v>
      </c>
      <c r="C1883" s="50" t="s">
        <v>56</v>
      </c>
      <c r="D1883" s="50" t="s">
        <v>27</v>
      </c>
      <c r="E1883" s="50">
        <v>50001740</v>
      </c>
      <c r="F1883" s="50" t="s">
        <v>294</v>
      </c>
      <c r="G1883" s="50">
        <v>1</v>
      </c>
      <c r="H1883" s="50" t="s">
        <v>2</v>
      </c>
      <c r="I1883" s="50" t="s">
        <v>293</v>
      </c>
      <c r="J1883" s="51">
        <v>46055</v>
      </c>
      <c r="K1883" s="50" t="s">
        <v>1</v>
      </c>
      <c r="L1883" s="50" t="s">
        <v>80</v>
      </c>
    </row>
    <row r="1884" spans="2:12">
      <c r="B1884" s="50" t="s">
        <v>277</v>
      </c>
      <c r="C1884" s="50" t="s">
        <v>62</v>
      </c>
      <c r="D1884" s="50" t="s">
        <v>27</v>
      </c>
      <c r="E1884" s="50">
        <v>50041195</v>
      </c>
      <c r="F1884" s="50" t="s">
        <v>206</v>
      </c>
      <c r="G1884" s="50">
        <v>1</v>
      </c>
      <c r="H1884" s="50" t="s">
        <v>2</v>
      </c>
      <c r="I1884" s="50" t="s">
        <v>293</v>
      </c>
      <c r="J1884" s="51">
        <v>46055</v>
      </c>
      <c r="K1884" s="50" t="s">
        <v>1</v>
      </c>
      <c r="L1884" s="50" t="s">
        <v>80</v>
      </c>
    </row>
    <row r="1885" spans="2:12">
      <c r="B1885" s="50" t="s">
        <v>474</v>
      </c>
      <c r="C1885" s="50" t="s">
        <v>51</v>
      </c>
      <c r="D1885" s="50" t="s">
        <v>27</v>
      </c>
      <c r="E1885" s="50">
        <v>50045979</v>
      </c>
      <c r="F1885" s="50" t="s">
        <v>357</v>
      </c>
      <c r="G1885" s="50">
        <v>1</v>
      </c>
      <c r="H1885" s="50" t="s">
        <v>2</v>
      </c>
      <c r="I1885" s="50" t="s">
        <v>293</v>
      </c>
      <c r="J1885" s="51">
        <v>46055</v>
      </c>
      <c r="K1885" s="50" t="s">
        <v>1</v>
      </c>
      <c r="L1885" s="50" t="s">
        <v>80</v>
      </c>
    </row>
    <row r="1886" spans="2:12">
      <c r="B1886" s="50" t="s">
        <v>483</v>
      </c>
      <c r="C1886" s="50" t="s">
        <v>62</v>
      </c>
      <c r="D1886" s="50" t="s">
        <v>27</v>
      </c>
      <c r="E1886" s="50">
        <v>50038517</v>
      </c>
      <c r="F1886" s="50" t="s">
        <v>181</v>
      </c>
      <c r="G1886" s="50">
        <v>1</v>
      </c>
      <c r="H1886" s="50" t="s">
        <v>2</v>
      </c>
      <c r="I1886" s="50" t="s">
        <v>293</v>
      </c>
      <c r="J1886" s="51">
        <v>46055</v>
      </c>
      <c r="K1886" s="50" t="s">
        <v>1</v>
      </c>
      <c r="L1886" s="50" t="s">
        <v>80</v>
      </c>
    </row>
    <row r="1887" spans="2:12">
      <c r="B1887" s="50" t="s">
        <v>345</v>
      </c>
      <c r="C1887" s="50" t="s">
        <v>62</v>
      </c>
      <c r="D1887" s="50" t="s">
        <v>27</v>
      </c>
      <c r="E1887" s="50">
        <v>50028220</v>
      </c>
      <c r="F1887" s="50" t="s">
        <v>242</v>
      </c>
      <c r="G1887" s="50">
        <v>1</v>
      </c>
      <c r="H1887" s="50" t="s">
        <v>2</v>
      </c>
      <c r="I1887" s="50" t="s">
        <v>293</v>
      </c>
      <c r="J1887" s="51">
        <v>46055</v>
      </c>
      <c r="K1887" s="50" t="s">
        <v>1</v>
      </c>
      <c r="L1887" s="50" t="s">
        <v>80</v>
      </c>
    </row>
    <row r="1888" spans="2:12">
      <c r="B1888" s="50" t="s">
        <v>322</v>
      </c>
      <c r="C1888" s="50" t="s">
        <v>286</v>
      </c>
      <c r="D1888" s="50" t="s">
        <v>41</v>
      </c>
      <c r="E1888" s="50">
        <v>50036296</v>
      </c>
      <c r="F1888" s="50" t="s">
        <v>109</v>
      </c>
      <c r="G1888" s="50">
        <v>1</v>
      </c>
      <c r="H1888" s="50" t="s">
        <v>2</v>
      </c>
      <c r="I1888" s="50" t="s">
        <v>293</v>
      </c>
      <c r="J1888" s="51">
        <v>46055</v>
      </c>
      <c r="K1888" s="50" t="s">
        <v>1</v>
      </c>
      <c r="L1888" s="50" t="s">
        <v>80</v>
      </c>
    </row>
    <row r="1889" spans="2:12">
      <c r="B1889" s="50" t="s">
        <v>427</v>
      </c>
      <c r="C1889" s="50" t="s">
        <v>26</v>
      </c>
      <c r="D1889" s="50" t="s">
        <v>27</v>
      </c>
      <c r="E1889" s="50">
        <v>50038549</v>
      </c>
      <c r="F1889" s="50" t="s">
        <v>173</v>
      </c>
      <c r="G1889" s="50">
        <v>1</v>
      </c>
      <c r="H1889" s="50" t="s">
        <v>2</v>
      </c>
      <c r="I1889" s="50" t="s">
        <v>293</v>
      </c>
      <c r="J1889" s="51">
        <v>46055</v>
      </c>
      <c r="K1889" s="50" t="s">
        <v>1</v>
      </c>
      <c r="L1889" s="50" t="s">
        <v>80</v>
      </c>
    </row>
    <row r="1890" spans="2:12">
      <c r="B1890" s="50" t="s">
        <v>322</v>
      </c>
      <c r="C1890" s="50" t="s">
        <v>286</v>
      </c>
      <c r="D1890" s="50" t="s">
        <v>41</v>
      </c>
      <c r="E1890" s="50">
        <v>50030486</v>
      </c>
      <c r="F1890" s="50" t="s">
        <v>153</v>
      </c>
      <c r="G1890" s="50">
        <v>1</v>
      </c>
      <c r="H1890" s="50" t="s">
        <v>2</v>
      </c>
      <c r="I1890" s="50" t="s">
        <v>293</v>
      </c>
      <c r="J1890" s="51">
        <v>46055</v>
      </c>
      <c r="K1890" s="50" t="s">
        <v>1</v>
      </c>
      <c r="L1890" s="50" t="s">
        <v>80</v>
      </c>
    </row>
    <row r="1891" spans="2:12">
      <c r="B1891" s="50" t="s">
        <v>322</v>
      </c>
      <c r="C1891" s="50" t="s">
        <v>286</v>
      </c>
      <c r="D1891" s="50" t="s">
        <v>41</v>
      </c>
      <c r="E1891" s="50">
        <v>50026357</v>
      </c>
      <c r="F1891" s="50" t="s">
        <v>192</v>
      </c>
      <c r="G1891" s="50">
        <v>1</v>
      </c>
      <c r="H1891" s="50" t="s">
        <v>2</v>
      </c>
      <c r="I1891" s="50" t="s">
        <v>293</v>
      </c>
      <c r="J1891" s="51">
        <v>46055</v>
      </c>
      <c r="K1891" s="50" t="s">
        <v>1</v>
      </c>
      <c r="L1891" s="50" t="s">
        <v>80</v>
      </c>
    </row>
    <row r="1892" spans="2:12" ht="13.5" customHeight="1">
      <c r="B1892" s="50" t="s">
        <v>386</v>
      </c>
      <c r="C1892" s="50" t="s">
        <v>26</v>
      </c>
      <c r="D1892" s="50" t="s">
        <v>27</v>
      </c>
      <c r="E1892" s="50">
        <v>50037892</v>
      </c>
      <c r="F1892" s="50" t="s">
        <v>178</v>
      </c>
      <c r="G1892" s="50">
        <v>1</v>
      </c>
      <c r="H1892" s="50" t="s">
        <v>2</v>
      </c>
      <c r="I1892" s="50" t="s">
        <v>293</v>
      </c>
      <c r="J1892" s="51">
        <v>46055</v>
      </c>
      <c r="K1892" s="50" t="s">
        <v>3</v>
      </c>
      <c r="L1892" s="50" t="s">
        <v>80</v>
      </c>
    </row>
    <row r="1893" spans="2:12">
      <c r="B1893" s="50" t="s">
        <v>414</v>
      </c>
      <c r="C1893" s="50" t="s">
        <v>56</v>
      </c>
      <c r="D1893" s="50" t="s">
        <v>27</v>
      </c>
      <c r="E1893" s="50">
        <v>50001740</v>
      </c>
      <c r="F1893" s="50" t="s">
        <v>294</v>
      </c>
      <c r="G1893" s="50">
        <v>1</v>
      </c>
      <c r="H1893" s="50" t="s">
        <v>2</v>
      </c>
      <c r="I1893" s="50" t="s">
        <v>293</v>
      </c>
      <c r="J1893" s="51">
        <v>46055</v>
      </c>
      <c r="K1893" s="50" t="s">
        <v>3</v>
      </c>
      <c r="L1893" s="50" t="s">
        <v>80</v>
      </c>
    </row>
    <row r="1894" spans="2:12">
      <c r="B1894" s="50" t="s">
        <v>386</v>
      </c>
      <c r="C1894" s="50" t="s">
        <v>26</v>
      </c>
      <c r="D1894" s="50" t="s">
        <v>27</v>
      </c>
      <c r="E1894" s="50">
        <v>50037892</v>
      </c>
      <c r="F1894" s="50" t="s">
        <v>178</v>
      </c>
      <c r="G1894" s="50">
        <v>1</v>
      </c>
      <c r="H1894" s="50" t="s">
        <v>2</v>
      </c>
      <c r="I1894" s="50" t="s">
        <v>293</v>
      </c>
      <c r="J1894" s="51">
        <v>46055</v>
      </c>
      <c r="K1894" s="50" t="s">
        <v>1</v>
      </c>
      <c r="L1894" s="50" t="s">
        <v>80</v>
      </c>
    </row>
    <row r="1895" spans="2:12">
      <c r="B1895" s="50" t="s">
        <v>483</v>
      </c>
      <c r="C1895" s="50" t="s">
        <v>62</v>
      </c>
      <c r="D1895" s="50" t="s">
        <v>27</v>
      </c>
      <c r="E1895" s="50">
        <v>50038662</v>
      </c>
      <c r="F1895" s="50" t="s">
        <v>193</v>
      </c>
      <c r="G1895" s="50">
        <v>1</v>
      </c>
      <c r="H1895" s="50" t="s">
        <v>2</v>
      </c>
      <c r="I1895" s="50" t="s">
        <v>293</v>
      </c>
      <c r="J1895" s="51">
        <v>46055</v>
      </c>
      <c r="K1895" s="50" t="s">
        <v>1</v>
      </c>
      <c r="L1895" s="50" t="s">
        <v>80</v>
      </c>
    </row>
    <row r="1896" spans="2:12">
      <c r="B1896" s="50" t="s">
        <v>54</v>
      </c>
      <c r="C1896" s="50" t="s">
        <v>51</v>
      </c>
      <c r="D1896" s="50" t="s">
        <v>41</v>
      </c>
      <c r="E1896" s="50">
        <v>50037892</v>
      </c>
      <c r="F1896" s="50" t="s">
        <v>178</v>
      </c>
      <c r="G1896" s="50">
        <v>1</v>
      </c>
      <c r="H1896" s="50" t="s">
        <v>2</v>
      </c>
      <c r="I1896" s="50" t="s">
        <v>293</v>
      </c>
      <c r="J1896" s="51">
        <v>46055</v>
      </c>
      <c r="K1896" s="50" t="s">
        <v>3</v>
      </c>
      <c r="L1896" s="50" t="s">
        <v>80</v>
      </c>
    </row>
    <row r="1897" spans="2:12">
      <c r="B1897" s="50" t="s">
        <v>474</v>
      </c>
      <c r="C1897" s="50" t="s">
        <v>51</v>
      </c>
      <c r="D1897" s="50" t="s">
        <v>27</v>
      </c>
      <c r="E1897" s="50">
        <v>50045979</v>
      </c>
      <c r="F1897" s="50" t="s">
        <v>357</v>
      </c>
      <c r="G1897" s="50">
        <v>1</v>
      </c>
      <c r="H1897" s="50" t="s">
        <v>2</v>
      </c>
      <c r="I1897" s="50" t="s">
        <v>293</v>
      </c>
      <c r="J1897" s="51">
        <v>46055</v>
      </c>
      <c r="K1897" s="50" t="s">
        <v>1</v>
      </c>
      <c r="L1897" s="50" t="s">
        <v>80</v>
      </c>
    </row>
    <row r="1898" spans="2:12">
      <c r="B1898" s="50" t="s">
        <v>461</v>
      </c>
      <c r="C1898" s="50" t="s">
        <v>26</v>
      </c>
      <c r="D1898" s="50" t="s">
        <v>39</v>
      </c>
      <c r="E1898" s="50">
        <v>50010031</v>
      </c>
      <c r="F1898" s="50" t="s">
        <v>89</v>
      </c>
      <c r="G1898" s="50">
        <v>1</v>
      </c>
      <c r="H1898" s="50" t="s">
        <v>2</v>
      </c>
      <c r="I1898" s="50" t="s">
        <v>293</v>
      </c>
      <c r="J1898" s="51">
        <v>46055</v>
      </c>
      <c r="K1898" s="50" t="s">
        <v>3</v>
      </c>
      <c r="L1898" s="50" t="s">
        <v>80</v>
      </c>
    </row>
    <row r="1899" spans="2:12">
      <c r="B1899" s="50" t="s">
        <v>483</v>
      </c>
      <c r="C1899" s="50" t="s">
        <v>62</v>
      </c>
      <c r="D1899" s="50" t="s">
        <v>27</v>
      </c>
      <c r="E1899" s="50">
        <v>50038662</v>
      </c>
      <c r="F1899" s="50" t="s">
        <v>193</v>
      </c>
      <c r="G1899" s="50">
        <v>1</v>
      </c>
      <c r="H1899" s="50" t="s">
        <v>2</v>
      </c>
      <c r="I1899" s="50" t="s">
        <v>293</v>
      </c>
      <c r="J1899" s="51">
        <v>46055</v>
      </c>
      <c r="K1899" s="50" t="s">
        <v>3</v>
      </c>
      <c r="L1899" s="50" t="s">
        <v>80</v>
      </c>
    </row>
    <row r="1900" spans="2:12">
      <c r="B1900" s="50" t="s">
        <v>277</v>
      </c>
      <c r="C1900" s="50" t="s">
        <v>62</v>
      </c>
      <c r="D1900" s="50" t="s">
        <v>27</v>
      </c>
      <c r="E1900" s="50">
        <v>50041195</v>
      </c>
      <c r="F1900" s="50" t="s">
        <v>206</v>
      </c>
      <c r="G1900" s="50">
        <v>1</v>
      </c>
      <c r="H1900" s="50" t="s">
        <v>2</v>
      </c>
      <c r="I1900" s="50" t="s">
        <v>293</v>
      </c>
      <c r="J1900" s="51">
        <v>46055</v>
      </c>
      <c r="K1900" s="50" t="s">
        <v>3</v>
      </c>
      <c r="L1900" s="50" t="s">
        <v>80</v>
      </c>
    </row>
    <row r="1901" spans="2:12">
      <c r="B1901" s="50" t="s">
        <v>54</v>
      </c>
      <c r="C1901" s="50" t="s">
        <v>51</v>
      </c>
      <c r="D1901" s="50" t="s">
        <v>41</v>
      </c>
      <c r="E1901" s="50">
        <v>50037892</v>
      </c>
      <c r="F1901" s="50" t="s">
        <v>178</v>
      </c>
      <c r="G1901" s="50">
        <v>1</v>
      </c>
      <c r="H1901" s="50" t="s">
        <v>2</v>
      </c>
      <c r="I1901" s="50" t="s">
        <v>293</v>
      </c>
      <c r="J1901" s="51">
        <v>46055</v>
      </c>
      <c r="K1901" s="50" t="s">
        <v>1</v>
      </c>
      <c r="L1901" s="50" t="s">
        <v>80</v>
      </c>
    </row>
    <row r="1902" spans="2:12">
      <c r="B1902" s="50" t="s">
        <v>396</v>
      </c>
      <c r="C1902" s="50" t="s">
        <v>26</v>
      </c>
      <c r="D1902" s="50" t="s">
        <v>41</v>
      </c>
      <c r="E1902" s="50">
        <v>50037892</v>
      </c>
      <c r="F1902" s="50" t="s">
        <v>178</v>
      </c>
      <c r="G1902" s="50">
        <v>1</v>
      </c>
      <c r="H1902" s="50" t="s">
        <v>2</v>
      </c>
      <c r="I1902" s="50" t="s">
        <v>293</v>
      </c>
      <c r="J1902" s="51">
        <v>46055</v>
      </c>
      <c r="K1902" s="50" t="s">
        <v>1</v>
      </c>
      <c r="L1902" s="50" t="s">
        <v>80</v>
      </c>
    </row>
    <row r="1903" spans="2:12">
      <c r="B1903" s="50" t="s">
        <v>399</v>
      </c>
      <c r="C1903" s="50" t="s">
        <v>51</v>
      </c>
      <c r="D1903" s="50" t="s">
        <v>27</v>
      </c>
      <c r="E1903" s="50">
        <v>50039065</v>
      </c>
      <c r="F1903" s="50" t="s">
        <v>186</v>
      </c>
      <c r="G1903" s="50">
        <v>1</v>
      </c>
      <c r="H1903" s="50" t="s">
        <v>2</v>
      </c>
      <c r="I1903" s="50" t="s">
        <v>293</v>
      </c>
      <c r="J1903" s="51">
        <v>46055</v>
      </c>
      <c r="K1903" s="50" t="s">
        <v>1</v>
      </c>
      <c r="L1903" s="50" t="s">
        <v>80</v>
      </c>
    </row>
    <row r="1904" spans="2:12">
      <c r="B1904" s="50" t="s">
        <v>399</v>
      </c>
      <c r="C1904" s="50" t="s">
        <v>51</v>
      </c>
      <c r="D1904" s="50" t="s">
        <v>27</v>
      </c>
      <c r="E1904" s="50">
        <v>50010031</v>
      </c>
      <c r="F1904" s="50" t="s">
        <v>89</v>
      </c>
      <c r="G1904" s="50">
        <v>1</v>
      </c>
      <c r="H1904" s="50" t="s">
        <v>2</v>
      </c>
      <c r="I1904" s="50" t="s">
        <v>293</v>
      </c>
      <c r="J1904" s="51">
        <v>46055</v>
      </c>
      <c r="K1904" s="50" t="s">
        <v>3</v>
      </c>
      <c r="L1904" s="50" t="s">
        <v>80</v>
      </c>
    </row>
    <row r="1905" spans="2:12">
      <c r="B1905" s="50" t="s">
        <v>322</v>
      </c>
      <c r="C1905" s="50" t="s">
        <v>286</v>
      </c>
      <c r="D1905" s="50" t="s">
        <v>41</v>
      </c>
      <c r="E1905" s="50">
        <v>50030486</v>
      </c>
      <c r="F1905" s="50" t="s">
        <v>153</v>
      </c>
      <c r="G1905" s="50">
        <v>1</v>
      </c>
      <c r="H1905" s="50" t="s">
        <v>2</v>
      </c>
      <c r="I1905" s="50" t="s">
        <v>290</v>
      </c>
      <c r="J1905" s="51">
        <v>46055</v>
      </c>
      <c r="K1905" s="50" t="s">
        <v>1</v>
      </c>
      <c r="L1905" s="50" t="s">
        <v>80</v>
      </c>
    </row>
    <row r="1906" spans="2:12">
      <c r="B1906" s="50" t="s">
        <v>410</v>
      </c>
      <c r="C1906" s="50" t="s">
        <v>51</v>
      </c>
      <c r="D1906" s="50" t="s">
        <v>27</v>
      </c>
      <c r="E1906" s="50">
        <v>50022878</v>
      </c>
      <c r="F1906" s="50" t="s">
        <v>296</v>
      </c>
      <c r="G1906" s="50">
        <v>1</v>
      </c>
      <c r="H1906" s="50" t="s">
        <v>2</v>
      </c>
      <c r="I1906" s="50" t="s">
        <v>291</v>
      </c>
      <c r="J1906" s="51">
        <v>46055</v>
      </c>
      <c r="K1906" s="50" t="s">
        <v>3</v>
      </c>
      <c r="L1906" s="50" t="s">
        <v>80</v>
      </c>
    </row>
    <row r="1907" spans="2:12">
      <c r="B1907" s="50" t="s">
        <v>410</v>
      </c>
      <c r="C1907" s="50" t="s">
        <v>51</v>
      </c>
      <c r="D1907" s="50" t="s">
        <v>27</v>
      </c>
      <c r="E1907" s="50">
        <v>50022878</v>
      </c>
      <c r="F1907" s="50" t="s">
        <v>296</v>
      </c>
      <c r="G1907" s="50">
        <v>1</v>
      </c>
      <c r="H1907" s="50" t="s">
        <v>2</v>
      </c>
      <c r="I1907" s="50" t="s">
        <v>291</v>
      </c>
      <c r="J1907" s="51">
        <v>46055</v>
      </c>
      <c r="K1907" s="50" t="s">
        <v>1</v>
      </c>
      <c r="L1907" s="50" t="s">
        <v>80</v>
      </c>
    </row>
    <row r="1908" spans="2:12">
      <c r="B1908" s="50" t="s">
        <v>478</v>
      </c>
      <c r="C1908" s="50" t="s">
        <v>51</v>
      </c>
      <c r="D1908" s="50" t="s">
        <v>27</v>
      </c>
      <c r="E1908" s="50">
        <v>50042623</v>
      </c>
      <c r="F1908" s="50" t="s">
        <v>141</v>
      </c>
      <c r="G1908" s="50">
        <v>1</v>
      </c>
      <c r="H1908" s="50" t="s">
        <v>2</v>
      </c>
      <c r="I1908" s="50" t="s">
        <v>291</v>
      </c>
      <c r="J1908" s="51">
        <v>46055</v>
      </c>
      <c r="K1908" s="50" t="s">
        <v>3</v>
      </c>
      <c r="L1908" s="50" t="s">
        <v>80</v>
      </c>
    </row>
    <row r="1909" spans="2:12">
      <c r="B1909" s="50" t="s">
        <v>427</v>
      </c>
      <c r="C1909" s="50" t="s">
        <v>26</v>
      </c>
      <c r="D1909" s="50" t="s">
        <v>27</v>
      </c>
      <c r="E1909" s="50">
        <v>50038549</v>
      </c>
      <c r="F1909" s="50" t="s">
        <v>173</v>
      </c>
      <c r="G1909" s="50">
        <v>1</v>
      </c>
      <c r="H1909" s="50" t="s">
        <v>2</v>
      </c>
      <c r="I1909" s="50" t="s">
        <v>291</v>
      </c>
      <c r="J1909" s="51">
        <v>46055</v>
      </c>
      <c r="K1909" s="50" t="s">
        <v>3</v>
      </c>
      <c r="L1909" s="50" t="s">
        <v>80</v>
      </c>
    </row>
    <row r="1910" spans="2:12">
      <c r="B1910" s="50" t="s">
        <v>478</v>
      </c>
      <c r="C1910" s="50" t="s">
        <v>51</v>
      </c>
      <c r="D1910" s="50" t="s">
        <v>27</v>
      </c>
      <c r="E1910" s="50">
        <v>50042623</v>
      </c>
      <c r="F1910" s="50" t="s">
        <v>141</v>
      </c>
      <c r="G1910" s="50">
        <v>1</v>
      </c>
      <c r="H1910" s="50" t="s">
        <v>2</v>
      </c>
      <c r="I1910" s="50" t="s">
        <v>291</v>
      </c>
      <c r="J1910" s="51">
        <v>46055</v>
      </c>
      <c r="K1910" s="50" t="s">
        <v>3</v>
      </c>
      <c r="L1910" s="50" t="s">
        <v>80</v>
      </c>
    </row>
    <row r="1911" spans="2:12">
      <c r="B1911" s="50" t="s">
        <v>322</v>
      </c>
      <c r="C1911" s="50" t="s">
        <v>286</v>
      </c>
      <c r="D1911" s="50" t="s">
        <v>41</v>
      </c>
      <c r="E1911" s="50">
        <v>50026357</v>
      </c>
      <c r="F1911" s="50" t="s">
        <v>192</v>
      </c>
      <c r="G1911" s="50">
        <v>1</v>
      </c>
      <c r="H1911" s="50" t="s">
        <v>2</v>
      </c>
      <c r="I1911" s="50" t="s">
        <v>291</v>
      </c>
      <c r="J1911" s="51">
        <v>46055</v>
      </c>
      <c r="K1911" s="50" t="s">
        <v>3</v>
      </c>
      <c r="L1911" s="50" t="s">
        <v>80</v>
      </c>
    </row>
    <row r="1912" spans="2:12">
      <c r="B1912" s="50" t="s">
        <v>322</v>
      </c>
      <c r="C1912" s="50" t="s">
        <v>286</v>
      </c>
      <c r="D1912" s="50" t="s">
        <v>41</v>
      </c>
      <c r="E1912" s="50">
        <v>50036296</v>
      </c>
      <c r="F1912" s="50" t="s">
        <v>109</v>
      </c>
      <c r="G1912" s="50">
        <v>1</v>
      </c>
      <c r="H1912" s="50" t="s">
        <v>2</v>
      </c>
      <c r="I1912" s="50" t="s">
        <v>291</v>
      </c>
      <c r="J1912" s="51">
        <v>46055</v>
      </c>
      <c r="K1912" s="50" t="s">
        <v>3</v>
      </c>
      <c r="L1912" s="50" t="s">
        <v>80</v>
      </c>
    </row>
    <row r="1913" spans="2:12">
      <c r="B1913" s="50" t="s">
        <v>345</v>
      </c>
      <c r="C1913" s="50" t="s">
        <v>62</v>
      </c>
      <c r="D1913" s="50" t="s">
        <v>27</v>
      </c>
      <c r="E1913" s="50">
        <v>50028220</v>
      </c>
      <c r="F1913" s="50" t="s">
        <v>242</v>
      </c>
      <c r="G1913" s="50">
        <v>1</v>
      </c>
      <c r="H1913" s="50" t="s">
        <v>2</v>
      </c>
      <c r="I1913" s="50" t="s">
        <v>291</v>
      </c>
      <c r="J1913" s="51">
        <v>46055</v>
      </c>
      <c r="K1913" s="50" t="s">
        <v>1</v>
      </c>
      <c r="L1913" s="50" t="s">
        <v>80</v>
      </c>
    </row>
    <row r="1914" spans="2:12">
      <c r="B1914" s="50" t="s">
        <v>423</v>
      </c>
      <c r="C1914" s="50" t="s">
        <v>62</v>
      </c>
      <c r="D1914" s="50" t="s">
        <v>27</v>
      </c>
      <c r="E1914" s="50">
        <v>50036086</v>
      </c>
      <c r="F1914" s="50" t="s">
        <v>28</v>
      </c>
      <c r="G1914" s="50">
        <v>1</v>
      </c>
      <c r="H1914" s="50" t="s">
        <v>2</v>
      </c>
      <c r="I1914" s="50" t="s">
        <v>291</v>
      </c>
      <c r="J1914" s="51">
        <v>46055</v>
      </c>
      <c r="K1914" s="50" t="s">
        <v>3</v>
      </c>
      <c r="L1914" s="50" t="s">
        <v>80</v>
      </c>
    </row>
    <row r="1915" spans="2:12">
      <c r="B1915" s="50" t="s">
        <v>399</v>
      </c>
      <c r="C1915" s="50" t="s">
        <v>51</v>
      </c>
      <c r="D1915" s="50" t="s">
        <v>27</v>
      </c>
      <c r="E1915" s="50">
        <v>50039065</v>
      </c>
      <c r="F1915" s="50" t="s">
        <v>186</v>
      </c>
      <c r="G1915" s="50">
        <v>1</v>
      </c>
      <c r="H1915" s="50" t="s">
        <v>2</v>
      </c>
      <c r="I1915" s="50" t="s">
        <v>291</v>
      </c>
      <c r="J1915" s="51">
        <v>46055</v>
      </c>
      <c r="K1915" s="50" t="s">
        <v>3</v>
      </c>
      <c r="L1915" s="50" t="s">
        <v>80</v>
      </c>
    </row>
    <row r="1916" spans="2:12">
      <c r="B1916" s="50" t="s">
        <v>399</v>
      </c>
      <c r="C1916" s="50" t="s">
        <v>51</v>
      </c>
      <c r="D1916" s="50" t="s">
        <v>27</v>
      </c>
      <c r="E1916" s="50">
        <v>50010031</v>
      </c>
      <c r="F1916" s="50" t="s">
        <v>89</v>
      </c>
      <c r="G1916" s="50">
        <v>1</v>
      </c>
      <c r="H1916" s="50" t="s">
        <v>2</v>
      </c>
      <c r="I1916" s="50" t="s">
        <v>291</v>
      </c>
      <c r="J1916" s="51">
        <v>46055</v>
      </c>
      <c r="K1916" s="50" t="s">
        <v>3</v>
      </c>
      <c r="L1916" s="50" t="s">
        <v>80</v>
      </c>
    </row>
    <row r="1917" spans="2:12">
      <c r="B1917" s="50" t="s">
        <v>396</v>
      </c>
      <c r="C1917" s="50" t="s">
        <v>26</v>
      </c>
      <c r="D1917" s="50" t="s">
        <v>41</v>
      </c>
      <c r="E1917" s="50">
        <v>50037892</v>
      </c>
      <c r="F1917" s="50" t="s">
        <v>178</v>
      </c>
      <c r="G1917" s="50">
        <v>1</v>
      </c>
      <c r="H1917" s="50" t="s">
        <v>2</v>
      </c>
      <c r="I1917" s="50" t="s">
        <v>291</v>
      </c>
      <c r="J1917" s="51">
        <v>46055</v>
      </c>
      <c r="K1917" s="50" t="s">
        <v>1</v>
      </c>
      <c r="L1917" s="50" t="s">
        <v>80</v>
      </c>
    </row>
    <row r="1918" spans="2:12">
      <c r="B1918" s="50" t="s">
        <v>466</v>
      </c>
      <c r="C1918" s="50" t="s">
        <v>62</v>
      </c>
      <c r="D1918" s="50" t="s">
        <v>27</v>
      </c>
      <c r="E1918" s="50">
        <v>50010031</v>
      </c>
      <c r="F1918" s="50" t="s">
        <v>89</v>
      </c>
      <c r="G1918" s="50">
        <v>1</v>
      </c>
      <c r="H1918" s="50" t="s">
        <v>2</v>
      </c>
      <c r="I1918" s="50" t="s">
        <v>291</v>
      </c>
      <c r="J1918" s="51">
        <v>46055</v>
      </c>
      <c r="K1918" s="50" t="s">
        <v>1</v>
      </c>
      <c r="L1918" s="50" t="s">
        <v>80</v>
      </c>
    </row>
    <row r="1919" spans="2:12">
      <c r="B1919" s="50" t="s">
        <v>466</v>
      </c>
      <c r="C1919" s="50" t="s">
        <v>62</v>
      </c>
      <c r="D1919" s="50" t="s">
        <v>27</v>
      </c>
      <c r="E1919" s="50">
        <v>50029865</v>
      </c>
      <c r="F1919" s="50" t="s">
        <v>162</v>
      </c>
      <c r="G1919" s="50">
        <v>1</v>
      </c>
      <c r="H1919" s="50" t="s">
        <v>2</v>
      </c>
      <c r="I1919" s="50" t="s">
        <v>291</v>
      </c>
      <c r="J1919" s="51">
        <v>46055</v>
      </c>
      <c r="K1919" s="50" t="s">
        <v>1</v>
      </c>
      <c r="L1919" s="50" t="s">
        <v>80</v>
      </c>
    </row>
    <row r="1920" spans="2:12">
      <c r="B1920" s="50" t="s">
        <v>466</v>
      </c>
      <c r="C1920" s="50" t="s">
        <v>62</v>
      </c>
      <c r="D1920" s="50" t="s">
        <v>27</v>
      </c>
      <c r="E1920" s="50">
        <v>50041195</v>
      </c>
      <c r="F1920" s="50" t="s">
        <v>206</v>
      </c>
      <c r="G1920" s="50">
        <v>1</v>
      </c>
      <c r="H1920" s="50" t="s">
        <v>2</v>
      </c>
      <c r="I1920" s="50" t="s">
        <v>291</v>
      </c>
      <c r="J1920" s="51">
        <v>46055</v>
      </c>
      <c r="K1920" s="50" t="s">
        <v>3</v>
      </c>
      <c r="L1920" s="50" t="s">
        <v>80</v>
      </c>
    </row>
    <row r="1921" spans="2:12">
      <c r="B1921" s="50" t="s">
        <v>386</v>
      </c>
      <c r="C1921" s="50" t="s">
        <v>62</v>
      </c>
      <c r="D1921" s="50" t="s">
        <v>27</v>
      </c>
      <c r="E1921" s="50">
        <v>50043471</v>
      </c>
      <c r="F1921" s="50" t="s">
        <v>257</v>
      </c>
      <c r="G1921" s="50">
        <v>1</v>
      </c>
      <c r="H1921" s="50" t="s">
        <v>2</v>
      </c>
      <c r="I1921" s="50" t="s">
        <v>291</v>
      </c>
      <c r="J1921" s="51">
        <v>46055</v>
      </c>
      <c r="K1921" s="50" t="s">
        <v>3</v>
      </c>
      <c r="L1921" s="50" t="s">
        <v>80</v>
      </c>
    </row>
    <row r="1922" spans="2:12">
      <c r="B1922" s="50" t="s">
        <v>466</v>
      </c>
      <c r="C1922" s="50" t="s">
        <v>62</v>
      </c>
      <c r="D1922" s="50" t="s">
        <v>27</v>
      </c>
      <c r="E1922" s="50">
        <v>50010031</v>
      </c>
      <c r="F1922" s="50" t="s">
        <v>89</v>
      </c>
      <c r="G1922" s="50">
        <v>1</v>
      </c>
      <c r="H1922" s="50" t="s">
        <v>2</v>
      </c>
      <c r="I1922" s="50" t="s">
        <v>291</v>
      </c>
      <c r="J1922" s="51">
        <v>46055</v>
      </c>
      <c r="K1922" s="50" t="s">
        <v>3</v>
      </c>
      <c r="L1922" s="50" t="s">
        <v>80</v>
      </c>
    </row>
    <row r="1923" spans="2:12">
      <c r="B1923" s="50" t="s">
        <v>466</v>
      </c>
      <c r="C1923" s="50" t="s">
        <v>62</v>
      </c>
      <c r="D1923" s="50" t="s">
        <v>27</v>
      </c>
      <c r="E1923" s="50">
        <v>50029865</v>
      </c>
      <c r="F1923" s="50" t="s">
        <v>162</v>
      </c>
      <c r="G1923" s="50">
        <v>1</v>
      </c>
      <c r="H1923" s="50" t="s">
        <v>2</v>
      </c>
      <c r="I1923" s="50" t="s">
        <v>291</v>
      </c>
      <c r="J1923" s="51">
        <v>46055</v>
      </c>
      <c r="K1923" s="50" t="s">
        <v>3</v>
      </c>
      <c r="L1923" s="50" t="s">
        <v>80</v>
      </c>
    </row>
    <row r="1924" spans="2:12">
      <c r="B1924" s="50" t="s">
        <v>466</v>
      </c>
      <c r="C1924" s="50" t="s">
        <v>62</v>
      </c>
      <c r="D1924" s="50" t="s">
        <v>27</v>
      </c>
      <c r="E1924" s="50">
        <v>50041195</v>
      </c>
      <c r="F1924" s="50" t="s">
        <v>206</v>
      </c>
      <c r="G1924" s="50">
        <v>1</v>
      </c>
      <c r="H1924" s="50" t="s">
        <v>2</v>
      </c>
      <c r="I1924" s="50" t="s">
        <v>291</v>
      </c>
      <c r="J1924" s="51">
        <v>46055</v>
      </c>
      <c r="K1924" s="50" t="s">
        <v>1</v>
      </c>
      <c r="L1924" s="50" t="s">
        <v>80</v>
      </c>
    </row>
    <row r="1925" spans="2:12">
      <c r="B1925" s="50" t="s">
        <v>380</v>
      </c>
      <c r="C1925" s="50" t="s">
        <v>51</v>
      </c>
      <c r="D1925" s="50" t="s">
        <v>36</v>
      </c>
      <c r="E1925" s="50">
        <v>50038517</v>
      </c>
      <c r="F1925" s="50" t="s">
        <v>181</v>
      </c>
      <c r="G1925" s="50">
        <v>1</v>
      </c>
      <c r="H1925" s="50" t="s">
        <v>2</v>
      </c>
      <c r="I1925" s="50" t="s">
        <v>291</v>
      </c>
      <c r="J1925" s="51">
        <v>46055</v>
      </c>
      <c r="K1925" s="50" t="s">
        <v>3</v>
      </c>
      <c r="L1925" s="50" t="s">
        <v>80</v>
      </c>
    </row>
    <row r="1926" spans="2:12">
      <c r="B1926" s="50" t="s">
        <v>380</v>
      </c>
      <c r="C1926" s="50" t="s">
        <v>51</v>
      </c>
      <c r="D1926" s="50" t="s">
        <v>36</v>
      </c>
      <c r="E1926" s="50">
        <v>50038517</v>
      </c>
      <c r="F1926" s="50" t="s">
        <v>181</v>
      </c>
      <c r="G1926" s="50">
        <v>1</v>
      </c>
      <c r="H1926" s="50" t="s">
        <v>2</v>
      </c>
      <c r="I1926" s="50" t="s">
        <v>291</v>
      </c>
      <c r="J1926" s="51">
        <v>46055</v>
      </c>
      <c r="K1926" s="50" t="s">
        <v>1</v>
      </c>
      <c r="L1926" s="50" t="s">
        <v>80</v>
      </c>
    </row>
    <row r="1927" spans="2:12">
      <c r="B1927" s="50" t="s">
        <v>473</v>
      </c>
      <c r="C1927" s="50" t="s">
        <v>26</v>
      </c>
      <c r="D1927" s="50" t="s">
        <v>36</v>
      </c>
      <c r="E1927" s="50">
        <v>50004486</v>
      </c>
      <c r="F1927" s="50" t="s">
        <v>221</v>
      </c>
      <c r="G1927" s="50">
        <v>1</v>
      </c>
      <c r="H1927" s="50" t="s">
        <v>2</v>
      </c>
      <c r="I1927" s="50" t="s">
        <v>291</v>
      </c>
      <c r="J1927" s="51">
        <v>46055</v>
      </c>
      <c r="K1927" s="50" t="s">
        <v>3</v>
      </c>
      <c r="L1927" s="50" t="s">
        <v>80</v>
      </c>
    </row>
    <row r="1928" spans="2:12">
      <c r="B1928" s="50" t="s">
        <v>473</v>
      </c>
      <c r="C1928" s="50" t="s">
        <v>26</v>
      </c>
      <c r="D1928" s="50" t="s">
        <v>36</v>
      </c>
      <c r="E1928" s="50">
        <v>50004486</v>
      </c>
      <c r="F1928" s="50" t="s">
        <v>221</v>
      </c>
      <c r="G1928" s="50">
        <v>1</v>
      </c>
      <c r="H1928" s="50" t="s">
        <v>2</v>
      </c>
      <c r="I1928" s="50" t="s">
        <v>291</v>
      </c>
      <c r="J1928" s="51">
        <v>46055</v>
      </c>
      <c r="K1928" s="50" t="s">
        <v>1</v>
      </c>
      <c r="L1928" s="50" t="s">
        <v>80</v>
      </c>
    </row>
    <row r="1929" spans="2:12">
      <c r="B1929" s="50" t="s">
        <v>473</v>
      </c>
      <c r="C1929" s="50" t="s">
        <v>26</v>
      </c>
      <c r="D1929" s="50" t="s">
        <v>36</v>
      </c>
      <c r="E1929" s="50">
        <v>50039065</v>
      </c>
      <c r="F1929" s="50" t="s">
        <v>186</v>
      </c>
      <c r="G1929" s="50">
        <v>1</v>
      </c>
      <c r="H1929" s="50" t="s">
        <v>2</v>
      </c>
      <c r="I1929" s="50" t="s">
        <v>291</v>
      </c>
      <c r="J1929" s="51">
        <v>46055</v>
      </c>
      <c r="K1929" s="50" t="s">
        <v>3</v>
      </c>
      <c r="L1929" s="50" t="s">
        <v>80</v>
      </c>
    </row>
    <row r="1930" spans="2:12">
      <c r="B1930" s="50" t="s">
        <v>473</v>
      </c>
      <c r="C1930" s="50" t="s">
        <v>26</v>
      </c>
      <c r="D1930" s="50" t="s">
        <v>36</v>
      </c>
      <c r="E1930" s="50">
        <v>50039065</v>
      </c>
      <c r="F1930" s="50" t="s">
        <v>186</v>
      </c>
      <c r="G1930" s="50">
        <v>1</v>
      </c>
      <c r="H1930" s="50" t="s">
        <v>2</v>
      </c>
      <c r="I1930" s="50" t="s">
        <v>291</v>
      </c>
      <c r="J1930" s="51">
        <v>46055</v>
      </c>
      <c r="K1930" s="50" t="s">
        <v>3</v>
      </c>
      <c r="L1930" s="50" t="s">
        <v>80</v>
      </c>
    </row>
    <row r="1931" spans="2:12">
      <c r="B1931" s="50" t="s">
        <v>483</v>
      </c>
      <c r="C1931" s="50" t="s">
        <v>62</v>
      </c>
      <c r="D1931" s="50" t="s">
        <v>27</v>
      </c>
      <c r="E1931" s="50">
        <v>50038517</v>
      </c>
      <c r="F1931" s="50" t="s">
        <v>181</v>
      </c>
      <c r="G1931" s="50">
        <v>1</v>
      </c>
      <c r="H1931" s="50" t="s">
        <v>2</v>
      </c>
      <c r="I1931" s="50" t="s">
        <v>291</v>
      </c>
      <c r="J1931" s="51">
        <v>46055</v>
      </c>
      <c r="K1931" s="50" t="s">
        <v>3</v>
      </c>
      <c r="L1931" s="50" t="s">
        <v>80</v>
      </c>
    </row>
    <row r="1932" spans="2:12">
      <c r="B1932" s="50" t="s">
        <v>423</v>
      </c>
      <c r="C1932" s="50" t="s">
        <v>62</v>
      </c>
      <c r="D1932" s="50" t="s">
        <v>27</v>
      </c>
      <c r="E1932" s="50">
        <v>50036086</v>
      </c>
      <c r="F1932" s="50" t="s">
        <v>28</v>
      </c>
      <c r="G1932" s="50">
        <v>1</v>
      </c>
      <c r="H1932" s="50" t="s">
        <v>2</v>
      </c>
      <c r="I1932" s="50" t="s">
        <v>291</v>
      </c>
      <c r="J1932" s="51">
        <v>46055</v>
      </c>
      <c r="K1932" s="50" t="s">
        <v>1</v>
      </c>
      <c r="L1932" s="50" t="s">
        <v>80</v>
      </c>
    </row>
    <row r="1933" spans="2:12">
      <c r="B1933" s="50" t="s">
        <v>411</v>
      </c>
      <c r="C1933" s="50" t="s">
        <v>26</v>
      </c>
      <c r="D1933" s="50" t="s">
        <v>27</v>
      </c>
      <c r="E1933" s="50">
        <v>50037892</v>
      </c>
      <c r="F1933" s="50" t="s">
        <v>178</v>
      </c>
      <c r="G1933" s="50">
        <v>1</v>
      </c>
      <c r="H1933" s="50" t="s">
        <v>2</v>
      </c>
      <c r="I1933" s="50" t="s">
        <v>291</v>
      </c>
      <c r="J1933" s="51">
        <v>46054</v>
      </c>
      <c r="K1933" s="50" t="s">
        <v>3</v>
      </c>
      <c r="L1933" s="50" t="s">
        <v>80</v>
      </c>
    </row>
    <row r="1934" spans="2:12">
      <c r="B1934" s="50" t="s">
        <v>411</v>
      </c>
      <c r="C1934" s="50" t="s">
        <v>26</v>
      </c>
      <c r="D1934" s="50" t="s">
        <v>27</v>
      </c>
      <c r="E1934" s="50">
        <v>50037892</v>
      </c>
      <c r="F1934" s="50" t="s">
        <v>178</v>
      </c>
      <c r="G1934" s="50">
        <v>1</v>
      </c>
      <c r="H1934" s="50" t="s">
        <v>2</v>
      </c>
      <c r="I1934" s="50" t="s">
        <v>291</v>
      </c>
      <c r="J1934" s="51">
        <v>46054</v>
      </c>
      <c r="K1934" s="50" t="s">
        <v>1</v>
      </c>
      <c r="L1934" s="50" t="s">
        <v>80</v>
      </c>
    </row>
    <row r="1935" spans="2:12">
      <c r="B1935" s="50" t="s">
        <v>387</v>
      </c>
      <c r="C1935" s="50" t="s">
        <v>56</v>
      </c>
      <c r="D1935" s="50" t="s">
        <v>27</v>
      </c>
      <c r="E1935" s="50">
        <v>50041195</v>
      </c>
      <c r="F1935" s="50" t="s">
        <v>206</v>
      </c>
      <c r="G1935" s="50">
        <v>1</v>
      </c>
      <c r="H1935" s="50" t="s">
        <v>2</v>
      </c>
      <c r="I1935" s="50" t="s">
        <v>291</v>
      </c>
      <c r="J1935" s="51">
        <v>46054</v>
      </c>
      <c r="K1935" s="50" t="s">
        <v>3</v>
      </c>
      <c r="L1935" s="50" t="s">
        <v>80</v>
      </c>
    </row>
    <row r="1936" spans="2:12">
      <c r="B1936" s="50" t="s">
        <v>387</v>
      </c>
      <c r="C1936" s="50" t="s">
        <v>56</v>
      </c>
      <c r="D1936" s="50" t="s">
        <v>27</v>
      </c>
      <c r="E1936" s="50">
        <v>50041195</v>
      </c>
      <c r="F1936" s="50" t="s">
        <v>206</v>
      </c>
      <c r="G1936" s="50">
        <v>1</v>
      </c>
      <c r="H1936" s="50" t="s">
        <v>2</v>
      </c>
      <c r="I1936" s="50" t="s">
        <v>291</v>
      </c>
      <c r="J1936" s="51">
        <v>46054</v>
      </c>
      <c r="K1936" s="50" t="s">
        <v>1</v>
      </c>
      <c r="L1936" s="50" t="s">
        <v>80</v>
      </c>
    </row>
    <row r="1937" spans="2:12">
      <c r="B1937" s="50" t="s">
        <v>473</v>
      </c>
      <c r="C1937" s="50" t="s">
        <v>26</v>
      </c>
      <c r="D1937" s="50" t="s">
        <v>36</v>
      </c>
      <c r="E1937" s="50">
        <v>50004486</v>
      </c>
      <c r="F1937" s="50" t="s">
        <v>221</v>
      </c>
      <c r="G1937" s="50">
        <v>1</v>
      </c>
      <c r="H1937" s="50" t="s">
        <v>2</v>
      </c>
      <c r="I1937" s="50" t="s">
        <v>291</v>
      </c>
      <c r="J1937" s="51">
        <v>46054</v>
      </c>
      <c r="K1937" s="50" t="s">
        <v>3</v>
      </c>
      <c r="L1937" s="50" t="s">
        <v>80</v>
      </c>
    </row>
    <row r="1938" spans="2:12">
      <c r="B1938" s="50" t="s">
        <v>473</v>
      </c>
      <c r="C1938" s="50" t="s">
        <v>26</v>
      </c>
      <c r="D1938" s="50" t="s">
        <v>36</v>
      </c>
      <c r="E1938" s="50">
        <v>50004486</v>
      </c>
      <c r="F1938" s="50" t="s">
        <v>221</v>
      </c>
      <c r="G1938" s="50">
        <v>1</v>
      </c>
      <c r="H1938" s="50" t="s">
        <v>2</v>
      </c>
      <c r="I1938" s="50" t="s">
        <v>291</v>
      </c>
      <c r="J1938" s="51">
        <v>46054</v>
      </c>
      <c r="K1938" s="50" t="s">
        <v>1</v>
      </c>
      <c r="L1938" s="50" t="s">
        <v>80</v>
      </c>
    </row>
    <row r="1939" spans="2:12">
      <c r="B1939" s="50" t="s">
        <v>473</v>
      </c>
      <c r="C1939" s="50" t="s">
        <v>26</v>
      </c>
      <c r="D1939" s="50" t="s">
        <v>36</v>
      </c>
      <c r="E1939" s="50">
        <v>50010031</v>
      </c>
      <c r="F1939" s="50" t="s">
        <v>89</v>
      </c>
      <c r="G1939" s="50">
        <v>1</v>
      </c>
      <c r="H1939" s="50" t="s">
        <v>2</v>
      </c>
      <c r="I1939" s="50" t="s">
        <v>291</v>
      </c>
      <c r="J1939" s="51">
        <v>46054</v>
      </c>
      <c r="K1939" s="50" t="s">
        <v>1</v>
      </c>
      <c r="L1939" s="50" t="s">
        <v>80</v>
      </c>
    </row>
    <row r="1940" spans="2:12">
      <c r="B1940" s="50" t="s">
        <v>473</v>
      </c>
      <c r="C1940" s="50" t="s">
        <v>26</v>
      </c>
      <c r="D1940" s="50" t="s">
        <v>36</v>
      </c>
      <c r="E1940" s="50">
        <v>50039065</v>
      </c>
      <c r="F1940" s="50" t="s">
        <v>186</v>
      </c>
      <c r="G1940" s="50">
        <v>1</v>
      </c>
      <c r="H1940" s="50" t="s">
        <v>2</v>
      </c>
      <c r="I1940" s="50" t="s">
        <v>291</v>
      </c>
      <c r="J1940" s="51">
        <v>46054</v>
      </c>
      <c r="K1940" s="50" t="s">
        <v>3</v>
      </c>
      <c r="L1940" s="50" t="s">
        <v>80</v>
      </c>
    </row>
    <row r="1941" spans="2:12">
      <c r="B1941" s="50" t="s">
        <v>473</v>
      </c>
      <c r="C1941" s="50" t="s">
        <v>26</v>
      </c>
      <c r="D1941" s="50" t="s">
        <v>36</v>
      </c>
      <c r="E1941" s="50">
        <v>50039065</v>
      </c>
      <c r="F1941" s="50" t="s">
        <v>186</v>
      </c>
      <c r="G1941" s="50">
        <v>1</v>
      </c>
      <c r="H1941" s="50" t="s">
        <v>2</v>
      </c>
      <c r="I1941" s="50" t="s">
        <v>291</v>
      </c>
      <c r="J1941" s="51">
        <v>46054</v>
      </c>
      <c r="K1941" s="50" t="s">
        <v>1</v>
      </c>
      <c r="L1941" s="50" t="s">
        <v>80</v>
      </c>
    </row>
    <row r="1942" spans="2:12">
      <c r="B1942" s="50" t="s">
        <v>396</v>
      </c>
      <c r="C1942" s="50" t="s">
        <v>26</v>
      </c>
      <c r="D1942" s="50" t="s">
        <v>41</v>
      </c>
      <c r="E1942" s="50">
        <v>50038517</v>
      </c>
      <c r="F1942" s="50" t="s">
        <v>181</v>
      </c>
      <c r="G1942" s="50">
        <v>1</v>
      </c>
      <c r="H1942" s="50" t="s">
        <v>2</v>
      </c>
      <c r="I1942" s="50" t="s">
        <v>291</v>
      </c>
      <c r="J1942" s="51">
        <v>46053</v>
      </c>
      <c r="K1942" s="50" t="s">
        <v>3</v>
      </c>
      <c r="L1942" s="50" t="s">
        <v>80</v>
      </c>
    </row>
    <row r="1943" spans="2:12">
      <c r="B1943" s="50" t="s">
        <v>396</v>
      </c>
      <c r="C1943" s="50" t="s">
        <v>26</v>
      </c>
      <c r="D1943" s="50" t="s">
        <v>41</v>
      </c>
      <c r="E1943" s="50">
        <v>50038517</v>
      </c>
      <c r="F1943" s="50" t="s">
        <v>181</v>
      </c>
      <c r="G1943" s="50">
        <v>1</v>
      </c>
      <c r="H1943" s="50" t="s">
        <v>2</v>
      </c>
      <c r="I1943" s="50" t="s">
        <v>291</v>
      </c>
      <c r="J1943" s="51">
        <v>46053</v>
      </c>
      <c r="K1943" s="50" t="s">
        <v>1</v>
      </c>
      <c r="L1943" s="50" t="s">
        <v>80</v>
      </c>
    </row>
    <row r="1944" spans="2:12">
      <c r="B1944" s="50" t="s">
        <v>466</v>
      </c>
      <c r="C1944" s="50" t="s">
        <v>62</v>
      </c>
      <c r="D1944" s="50" t="s">
        <v>27</v>
      </c>
      <c r="E1944" s="50">
        <v>50010031</v>
      </c>
      <c r="F1944" s="50" t="s">
        <v>89</v>
      </c>
      <c r="G1944" s="50">
        <v>1</v>
      </c>
      <c r="H1944" s="50" t="s">
        <v>2</v>
      </c>
      <c r="I1944" s="50" t="s">
        <v>291</v>
      </c>
      <c r="J1944" s="51">
        <v>46053</v>
      </c>
      <c r="K1944" s="50" t="s">
        <v>3</v>
      </c>
      <c r="L1944" s="50" t="s">
        <v>80</v>
      </c>
    </row>
    <row r="1945" spans="2:12">
      <c r="B1945" s="50" t="s">
        <v>466</v>
      </c>
      <c r="C1945" s="50" t="s">
        <v>62</v>
      </c>
      <c r="D1945" s="50" t="s">
        <v>27</v>
      </c>
      <c r="E1945" s="50">
        <v>50010031</v>
      </c>
      <c r="F1945" s="50" t="s">
        <v>89</v>
      </c>
      <c r="G1945" s="50">
        <v>1</v>
      </c>
      <c r="H1945" s="50" t="s">
        <v>2</v>
      </c>
      <c r="I1945" s="50" t="s">
        <v>291</v>
      </c>
      <c r="J1945" s="51">
        <v>46053</v>
      </c>
      <c r="K1945" s="50" t="s">
        <v>1</v>
      </c>
      <c r="L1945" s="50" t="s">
        <v>80</v>
      </c>
    </row>
    <row r="1946" spans="2:12">
      <c r="B1946" s="50" t="s">
        <v>345</v>
      </c>
      <c r="C1946" s="50" t="s">
        <v>62</v>
      </c>
      <c r="D1946" s="50" t="s">
        <v>27</v>
      </c>
      <c r="E1946" s="50">
        <v>50043320</v>
      </c>
      <c r="F1946" s="50" t="s">
        <v>264</v>
      </c>
      <c r="G1946" s="50">
        <v>1</v>
      </c>
      <c r="H1946" s="50" t="s">
        <v>2</v>
      </c>
      <c r="I1946" s="50" t="s">
        <v>291</v>
      </c>
      <c r="J1946" s="51">
        <v>46053</v>
      </c>
      <c r="K1946" s="50" t="s">
        <v>3</v>
      </c>
      <c r="L1946" s="50" t="s">
        <v>80</v>
      </c>
    </row>
    <row r="1947" spans="2:12">
      <c r="B1947" s="50" t="s">
        <v>345</v>
      </c>
      <c r="C1947" s="50" t="s">
        <v>62</v>
      </c>
      <c r="D1947" s="50" t="s">
        <v>27</v>
      </c>
      <c r="E1947" s="50">
        <v>50043320</v>
      </c>
      <c r="F1947" s="50" t="s">
        <v>264</v>
      </c>
      <c r="G1947" s="50">
        <v>1</v>
      </c>
      <c r="H1947" s="50" t="s">
        <v>2</v>
      </c>
      <c r="I1947" s="50" t="s">
        <v>291</v>
      </c>
      <c r="J1947" s="51">
        <v>46053</v>
      </c>
      <c r="K1947" s="50" t="s">
        <v>1</v>
      </c>
      <c r="L1947" s="50" t="s">
        <v>80</v>
      </c>
    </row>
    <row r="1948" spans="2:12">
      <c r="B1948" s="50" t="s">
        <v>411</v>
      </c>
      <c r="C1948" s="50" t="s">
        <v>26</v>
      </c>
      <c r="D1948" s="50" t="s">
        <v>27</v>
      </c>
      <c r="E1948" s="50">
        <v>50037892</v>
      </c>
      <c r="F1948" s="50" t="s">
        <v>178</v>
      </c>
      <c r="G1948" s="50">
        <v>1</v>
      </c>
      <c r="H1948" s="50" t="s">
        <v>2</v>
      </c>
      <c r="I1948" s="50" t="s">
        <v>291</v>
      </c>
      <c r="J1948" s="51">
        <v>46053</v>
      </c>
      <c r="K1948" s="50" t="s">
        <v>3</v>
      </c>
      <c r="L1948" s="50" t="s">
        <v>80</v>
      </c>
    </row>
    <row r="1949" spans="2:12">
      <c r="B1949" s="50" t="s">
        <v>411</v>
      </c>
      <c r="C1949" s="50" t="s">
        <v>26</v>
      </c>
      <c r="D1949" s="50" t="s">
        <v>27</v>
      </c>
      <c r="E1949" s="50">
        <v>50037892</v>
      </c>
      <c r="F1949" s="50" t="s">
        <v>178</v>
      </c>
      <c r="G1949" s="50">
        <v>1</v>
      </c>
      <c r="H1949" s="50" t="s">
        <v>2</v>
      </c>
      <c r="I1949" s="50" t="s">
        <v>291</v>
      </c>
      <c r="J1949" s="51">
        <v>46053</v>
      </c>
      <c r="K1949" s="50" t="s">
        <v>1</v>
      </c>
      <c r="L1949" s="50" t="s">
        <v>80</v>
      </c>
    </row>
    <row r="1950" spans="2:12">
      <c r="B1950" s="50" t="s">
        <v>432</v>
      </c>
      <c r="C1950" s="50" t="s">
        <v>26</v>
      </c>
      <c r="D1950" s="50" t="s">
        <v>36</v>
      </c>
      <c r="E1950" s="50">
        <v>50010031</v>
      </c>
      <c r="F1950" s="50" t="s">
        <v>89</v>
      </c>
      <c r="G1950" s="50">
        <v>1</v>
      </c>
      <c r="H1950" s="50" t="s">
        <v>2</v>
      </c>
      <c r="I1950" s="50" t="s">
        <v>291</v>
      </c>
      <c r="J1950" s="51">
        <v>46052</v>
      </c>
      <c r="K1950" s="50" t="s">
        <v>3</v>
      </c>
      <c r="L1950" s="50" t="s">
        <v>80</v>
      </c>
    </row>
    <row r="1951" spans="2:12">
      <c r="B1951" s="50" t="s">
        <v>432</v>
      </c>
      <c r="C1951" s="50" t="s">
        <v>26</v>
      </c>
      <c r="D1951" s="50" t="s">
        <v>36</v>
      </c>
      <c r="E1951" s="50">
        <v>50010031</v>
      </c>
      <c r="F1951" s="50" t="s">
        <v>89</v>
      </c>
      <c r="G1951" s="50">
        <v>1</v>
      </c>
      <c r="H1951" s="50" t="s">
        <v>2</v>
      </c>
      <c r="I1951" s="50" t="s">
        <v>291</v>
      </c>
      <c r="J1951" s="51">
        <v>46052</v>
      </c>
      <c r="K1951" s="50" t="s">
        <v>1</v>
      </c>
      <c r="L1951" s="50" t="s">
        <v>80</v>
      </c>
    </row>
    <row r="1952" spans="2:12">
      <c r="B1952" s="50" t="s">
        <v>469</v>
      </c>
      <c r="C1952" s="50" t="s">
        <v>26</v>
      </c>
      <c r="D1952" s="50" t="s">
        <v>39</v>
      </c>
      <c r="E1952" s="50">
        <v>50043151</v>
      </c>
      <c r="F1952" s="50" t="s">
        <v>331</v>
      </c>
      <c r="G1952" s="50">
        <v>1</v>
      </c>
      <c r="H1952" s="50" t="s">
        <v>2</v>
      </c>
      <c r="I1952" s="50" t="s">
        <v>289</v>
      </c>
      <c r="J1952" s="51">
        <v>46052</v>
      </c>
      <c r="K1952" s="50" t="s">
        <v>3</v>
      </c>
      <c r="L1952" s="50" t="s">
        <v>80</v>
      </c>
    </row>
    <row r="1953" spans="2:12">
      <c r="B1953" s="50" t="s">
        <v>469</v>
      </c>
      <c r="C1953" s="50" t="s">
        <v>26</v>
      </c>
      <c r="D1953" s="50" t="s">
        <v>39</v>
      </c>
      <c r="E1953" s="50">
        <v>50043151</v>
      </c>
      <c r="F1953" s="50" t="s">
        <v>331</v>
      </c>
      <c r="G1953" s="50">
        <v>1</v>
      </c>
      <c r="H1953" s="50" t="s">
        <v>2</v>
      </c>
      <c r="I1953" s="50" t="s">
        <v>289</v>
      </c>
      <c r="J1953" s="51">
        <v>46052</v>
      </c>
      <c r="K1953" s="50" t="s">
        <v>1</v>
      </c>
      <c r="L1953" s="50" t="s">
        <v>80</v>
      </c>
    </row>
    <row r="1954" spans="2:12">
      <c r="B1954" s="50" t="s">
        <v>427</v>
      </c>
      <c r="C1954" s="50" t="s">
        <v>26</v>
      </c>
      <c r="D1954" s="50" t="s">
        <v>27</v>
      </c>
      <c r="E1954" s="50">
        <v>50038517</v>
      </c>
      <c r="F1954" s="50" t="s">
        <v>181</v>
      </c>
      <c r="G1954" s="50">
        <v>1</v>
      </c>
      <c r="H1954" s="50" t="s">
        <v>2</v>
      </c>
      <c r="I1954" s="50" t="s">
        <v>293</v>
      </c>
      <c r="J1954" s="51">
        <v>46052</v>
      </c>
      <c r="K1954" s="50" t="s">
        <v>1</v>
      </c>
      <c r="L1954" s="50" t="s">
        <v>80</v>
      </c>
    </row>
    <row r="1955" spans="2:12">
      <c r="B1955" s="50" t="s">
        <v>483</v>
      </c>
      <c r="C1955" s="50" t="s">
        <v>62</v>
      </c>
      <c r="D1955" s="50" t="s">
        <v>27</v>
      </c>
      <c r="E1955" s="50">
        <v>50010031</v>
      </c>
      <c r="F1955" s="50" t="s">
        <v>89</v>
      </c>
      <c r="G1955" s="50">
        <v>1</v>
      </c>
      <c r="H1955" s="50" t="s">
        <v>2</v>
      </c>
      <c r="I1955" s="50" t="s">
        <v>293</v>
      </c>
      <c r="J1955" s="51">
        <v>46052</v>
      </c>
      <c r="K1955" s="50" t="s">
        <v>1</v>
      </c>
      <c r="L1955" s="50" t="s">
        <v>80</v>
      </c>
    </row>
    <row r="1956" spans="2:12">
      <c r="B1956" s="50" t="s">
        <v>386</v>
      </c>
      <c r="C1956" s="50" t="s">
        <v>62</v>
      </c>
      <c r="D1956" s="50" t="s">
        <v>27</v>
      </c>
      <c r="E1956" s="50">
        <v>50041195</v>
      </c>
      <c r="F1956" s="50" t="s">
        <v>206</v>
      </c>
      <c r="G1956" s="50">
        <v>1</v>
      </c>
      <c r="H1956" s="50" t="s">
        <v>2</v>
      </c>
      <c r="I1956" s="50" t="s">
        <v>293</v>
      </c>
      <c r="J1956" s="51">
        <v>46052</v>
      </c>
      <c r="K1956" s="50" t="s">
        <v>3</v>
      </c>
      <c r="L1956" s="50" t="s">
        <v>80</v>
      </c>
    </row>
    <row r="1957" spans="2:12">
      <c r="B1957" s="50" t="s">
        <v>386</v>
      </c>
      <c r="C1957" s="50" t="s">
        <v>62</v>
      </c>
      <c r="D1957" s="50" t="s">
        <v>27</v>
      </c>
      <c r="E1957" s="50">
        <v>50041195</v>
      </c>
      <c r="F1957" s="50" t="s">
        <v>206</v>
      </c>
      <c r="G1957" s="50">
        <v>1</v>
      </c>
      <c r="H1957" s="50" t="s">
        <v>2</v>
      </c>
      <c r="I1957" s="50" t="s">
        <v>293</v>
      </c>
      <c r="J1957" s="51">
        <v>46052</v>
      </c>
      <c r="K1957" s="50" t="s">
        <v>1</v>
      </c>
      <c r="L1957" s="50" t="s">
        <v>80</v>
      </c>
    </row>
    <row r="1958" spans="2:12">
      <c r="B1958" s="50" t="s">
        <v>409</v>
      </c>
      <c r="C1958" s="50" t="s">
        <v>51</v>
      </c>
      <c r="D1958" s="50" t="s">
        <v>27</v>
      </c>
      <c r="E1958" s="50">
        <v>50038194</v>
      </c>
      <c r="F1958" s="50" t="s">
        <v>238</v>
      </c>
      <c r="G1958" s="50">
        <v>1</v>
      </c>
      <c r="H1958" s="50" t="s">
        <v>2</v>
      </c>
      <c r="I1958" s="50" t="s">
        <v>293</v>
      </c>
      <c r="J1958" s="51">
        <v>46052</v>
      </c>
      <c r="K1958" s="50" t="s">
        <v>1</v>
      </c>
      <c r="L1958" s="50" t="s">
        <v>80</v>
      </c>
    </row>
    <row r="1959" spans="2:12">
      <c r="B1959" s="50" t="s">
        <v>465</v>
      </c>
      <c r="C1959" s="50" t="s">
        <v>26</v>
      </c>
      <c r="D1959" s="50" t="s">
        <v>27</v>
      </c>
      <c r="E1959" s="50">
        <v>50038854</v>
      </c>
      <c r="F1959" s="50" t="s">
        <v>101</v>
      </c>
      <c r="G1959" s="50">
        <v>1</v>
      </c>
      <c r="H1959" s="50" t="s">
        <v>2</v>
      </c>
      <c r="I1959" s="50" t="s">
        <v>293</v>
      </c>
      <c r="J1959" s="51">
        <v>46052</v>
      </c>
      <c r="K1959" s="50" t="s">
        <v>1</v>
      </c>
      <c r="L1959" s="50" t="s">
        <v>80</v>
      </c>
    </row>
    <row r="1960" spans="2:12">
      <c r="B1960" s="50" t="s">
        <v>270</v>
      </c>
      <c r="C1960" s="50" t="s">
        <v>51</v>
      </c>
      <c r="D1960" s="50" t="s">
        <v>27</v>
      </c>
      <c r="E1960" s="50">
        <v>50037892</v>
      </c>
      <c r="F1960" s="50" t="s">
        <v>178</v>
      </c>
      <c r="G1960" s="50">
        <v>1</v>
      </c>
      <c r="H1960" s="50" t="s">
        <v>2</v>
      </c>
      <c r="I1960" s="50" t="s">
        <v>293</v>
      </c>
      <c r="J1960" s="51">
        <v>46052</v>
      </c>
      <c r="K1960" s="50" t="s">
        <v>3</v>
      </c>
      <c r="L1960" s="50" t="s">
        <v>80</v>
      </c>
    </row>
    <row r="1961" spans="2:12">
      <c r="B1961" s="50" t="s">
        <v>409</v>
      </c>
      <c r="C1961" s="50" t="s">
        <v>51</v>
      </c>
      <c r="D1961" s="50" t="s">
        <v>27</v>
      </c>
      <c r="E1961" s="50">
        <v>50038194</v>
      </c>
      <c r="F1961" s="50" t="s">
        <v>238</v>
      </c>
      <c r="G1961" s="50">
        <v>1</v>
      </c>
      <c r="H1961" s="50" t="s">
        <v>2</v>
      </c>
      <c r="I1961" s="50" t="s">
        <v>293</v>
      </c>
      <c r="J1961" s="51">
        <v>46052</v>
      </c>
      <c r="K1961" s="50" t="s">
        <v>1</v>
      </c>
      <c r="L1961" s="50" t="s">
        <v>80</v>
      </c>
    </row>
    <row r="1962" spans="2:12">
      <c r="B1962" s="50" t="s">
        <v>466</v>
      </c>
      <c r="C1962" s="50" t="s">
        <v>62</v>
      </c>
      <c r="D1962" s="50" t="s">
        <v>27</v>
      </c>
      <c r="E1962" s="50">
        <v>50026357</v>
      </c>
      <c r="F1962" s="50" t="s">
        <v>192</v>
      </c>
      <c r="G1962" s="50">
        <v>1</v>
      </c>
      <c r="H1962" s="50" t="s">
        <v>2</v>
      </c>
      <c r="I1962" s="50" t="s">
        <v>293</v>
      </c>
      <c r="J1962" s="51">
        <v>46052</v>
      </c>
      <c r="K1962" s="50" t="s">
        <v>3</v>
      </c>
      <c r="L1962" s="50" t="s">
        <v>80</v>
      </c>
    </row>
    <row r="1963" spans="2:12">
      <c r="B1963" s="50" t="s">
        <v>270</v>
      </c>
      <c r="C1963" s="50" t="s">
        <v>51</v>
      </c>
      <c r="D1963" s="50" t="s">
        <v>27</v>
      </c>
      <c r="E1963" s="50">
        <v>50037892</v>
      </c>
      <c r="F1963" s="50" t="s">
        <v>178</v>
      </c>
      <c r="G1963" s="50">
        <v>1</v>
      </c>
      <c r="H1963" s="50" t="s">
        <v>2</v>
      </c>
      <c r="I1963" s="50" t="s">
        <v>293</v>
      </c>
      <c r="J1963" s="51">
        <v>46052</v>
      </c>
      <c r="K1963" s="50" t="s">
        <v>3</v>
      </c>
      <c r="L1963" s="50" t="s">
        <v>80</v>
      </c>
    </row>
    <row r="1964" spans="2:12">
      <c r="B1964" s="50" t="s">
        <v>465</v>
      </c>
      <c r="C1964" s="50" t="s">
        <v>26</v>
      </c>
      <c r="D1964" s="50" t="s">
        <v>27</v>
      </c>
      <c r="E1964" s="50">
        <v>50038854</v>
      </c>
      <c r="F1964" s="50" t="s">
        <v>101</v>
      </c>
      <c r="G1964" s="50">
        <v>1</v>
      </c>
      <c r="H1964" s="50" t="s">
        <v>2</v>
      </c>
      <c r="I1964" s="50" t="s">
        <v>293</v>
      </c>
      <c r="J1964" s="51">
        <v>46052</v>
      </c>
      <c r="K1964" s="50" t="s">
        <v>1</v>
      </c>
      <c r="L1964" s="50" t="s">
        <v>80</v>
      </c>
    </row>
    <row r="1965" spans="2:12">
      <c r="B1965" s="50" t="s">
        <v>386</v>
      </c>
      <c r="C1965" s="50" t="s">
        <v>62</v>
      </c>
      <c r="D1965" s="50" t="s">
        <v>27</v>
      </c>
      <c r="E1965" s="50">
        <v>50037892</v>
      </c>
      <c r="F1965" s="50" t="s">
        <v>178</v>
      </c>
      <c r="G1965" s="50">
        <v>1</v>
      </c>
      <c r="H1965" s="50" t="s">
        <v>2</v>
      </c>
      <c r="I1965" s="50" t="s">
        <v>293</v>
      </c>
      <c r="J1965" s="51">
        <v>46052</v>
      </c>
      <c r="K1965" s="50" t="s">
        <v>1</v>
      </c>
      <c r="L1965" s="50" t="s">
        <v>80</v>
      </c>
    </row>
    <row r="1966" spans="2:12">
      <c r="B1966" s="50" t="s">
        <v>428</v>
      </c>
      <c r="C1966" s="50" t="s">
        <v>26</v>
      </c>
      <c r="D1966" s="50" t="s">
        <v>27</v>
      </c>
      <c r="E1966" s="50">
        <v>50041195</v>
      </c>
      <c r="F1966" s="50" t="s">
        <v>206</v>
      </c>
      <c r="G1966" s="50">
        <v>1</v>
      </c>
      <c r="H1966" s="50" t="s">
        <v>2</v>
      </c>
      <c r="I1966" s="50" t="s">
        <v>293</v>
      </c>
      <c r="J1966" s="51">
        <v>46052</v>
      </c>
      <c r="K1966" s="50" t="s">
        <v>1</v>
      </c>
      <c r="L1966" s="50" t="s">
        <v>80</v>
      </c>
    </row>
    <row r="1967" spans="2:12">
      <c r="B1967" s="50" t="s">
        <v>466</v>
      </c>
      <c r="C1967" s="50" t="s">
        <v>62</v>
      </c>
      <c r="D1967" s="50" t="s">
        <v>27</v>
      </c>
      <c r="E1967" s="50">
        <v>50045979</v>
      </c>
      <c r="F1967" s="50" t="s">
        <v>357</v>
      </c>
      <c r="G1967" s="50">
        <v>1</v>
      </c>
      <c r="H1967" s="50" t="s">
        <v>2</v>
      </c>
      <c r="I1967" s="50" t="s">
        <v>293</v>
      </c>
      <c r="J1967" s="51">
        <v>46052</v>
      </c>
      <c r="K1967" s="50" t="s">
        <v>3</v>
      </c>
      <c r="L1967" s="50" t="s">
        <v>80</v>
      </c>
    </row>
    <row r="1968" spans="2:12">
      <c r="B1968" s="50" t="s">
        <v>466</v>
      </c>
      <c r="C1968" s="50" t="s">
        <v>62</v>
      </c>
      <c r="D1968" s="50" t="s">
        <v>27</v>
      </c>
      <c r="E1968" s="50">
        <v>50026357</v>
      </c>
      <c r="F1968" s="50" t="s">
        <v>192</v>
      </c>
      <c r="G1968" s="50">
        <v>1</v>
      </c>
      <c r="H1968" s="50" t="s">
        <v>2</v>
      </c>
      <c r="I1968" s="50" t="s">
        <v>293</v>
      </c>
      <c r="J1968" s="51">
        <v>46052</v>
      </c>
      <c r="K1968" s="50" t="s">
        <v>1</v>
      </c>
      <c r="L1968" s="50" t="s">
        <v>80</v>
      </c>
    </row>
    <row r="1969" spans="2:12">
      <c r="B1969" s="50" t="s">
        <v>280</v>
      </c>
      <c r="C1969" s="50" t="s">
        <v>62</v>
      </c>
      <c r="D1969" s="50" t="s">
        <v>27</v>
      </c>
      <c r="E1969" s="50">
        <v>50003297</v>
      </c>
      <c r="F1969" s="50" t="s">
        <v>158</v>
      </c>
      <c r="G1969" s="50">
        <v>1</v>
      </c>
      <c r="H1969" s="50" t="s">
        <v>2</v>
      </c>
      <c r="I1969" s="50" t="s">
        <v>293</v>
      </c>
      <c r="J1969" s="51">
        <v>46052</v>
      </c>
      <c r="K1969" s="50" t="s">
        <v>3</v>
      </c>
      <c r="L1969" s="50" t="s">
        <v>80</v>
      </c>
    </row>
    <row r="1970" spans="2:12">
      <c r="B1970" s="50" t="s">
        <v>466</v>
      </c>
      <c r="C1970" s="50" t="s">
        <v>62</v>
      </c>
      <c r="D1970" s="50" t="s">
        <v>27</v>
      </c>
      <c r="E1970" s="50">
        <v>50045979</v>
      </c>
      <c r="F1970" s="50" t="s">
        <v>357</v>
      </c>
      <c r="G1970" s="50">
        <v>1</v>
      </c>
      <c r="H1970" s="50" t="s">
        <v>2</v>
      </c>
      <c r="I1970" s="50" t="s">
        <v>293</v>
      </c>
      <c r="J1970" s="51">
        <v>46052</v>
      </c>
      <c r="K1970" s="50" t="s">
        <v>3</v>
      </c>
      <c r="L1970" s="50" t="s">
        <v>80</v>
      </c>
    </row>
    <row r="1971" spans="2:12">
      <c r="B1971" s="50" t="s">
        <v>280</v>
      </c>
      <c r="C1971" s="50" t="s">
        <v>62</v>
      </c>
      <c r="D1971" s="50" t="s">
        <v>27</v>
      </c>
      <c r="E1971" s="50">
        <v>50003297</v>
      </c>
      <c r="F1971" s="50" t="s">
        <v>158</v>
      </c>
      <c r="G1971" s="50">
        <v>1</v>
      </c>
      <c r="H1971" s="50" t="s">
        <v>2</v>
      </c>
      <c r="I1971" s="50" t="s">
        <v>293</v>
      </c>
      <c r="J1971" s="51">
        <v>46052</v>
      </c>
      <c r="K1971" s="50" t="s">
        <v>1</v>
      </c>
      <c r="L1971" s="50" t="s">
        <v>80</v>
      </c>
    </row>
    <row r="1972" spans="2:12">
      <c r="B1972" s="50" t="s">
        <v>277</v>
      </c>
      <c r="C1972" s="50" t="s">
        <v>62</v>
      </c>
      <c r="D1972" s="50" t="s">
        <v>27</v>
      </c>
      <c r="E1972" s="50">
        <v>50045979</v>
      </c>
      <c r="F1972" s="50" t="s">
        <v>357</v>
      </c>
      <c r="G1972" s="50">
        <v>1</v>
      </c>
      <c r="H1972" s="50" t="s">
        <v>2</v>
      </c>
      <c r="I1972" s="50" t="s">
        <v>293</v>
      </c>
      <c r="J1972" s="51">
        <v>46052</v>
      </c>
      <c r="K1972" s="50" t="s">
        <v>1</v>
      </c>
      <c r="L1972" s="50" t="s">
        <v>80</v>
      </c>
    </row>
    <row r="1973" spans="2:12">
      <c r="B1973" s="50" t="s">
        <v>389</v>
      </c>
      <c r="C1973" s="50" t="s">
        <v>56</v>
      </c>
      <c r="D1973" s="50" t="s">
        <v>27</v>
      </c>
      <c r="E1973" s="50">
        <v>50043320</v>
      </c>
      <c r="F1973" s="50" t="s">
        <v>264</v>
      </c>
      <c r="G1973" s="50">
        <v>1</v>
      </c>
      <c r="H1973" s="50" t="s">
        <v>2</v>
      </c>
      <c r="I1973" s="50" t="s">
        <v>293</v>
      </c>
      <c r="J1973" s="51">
        <v>46052</v>
      </c>
      <c r="K1973" s="50" t="s">
        <v>1</v>
      </c>
      <c r="L1973" s="50" t="s">
        <v>80</v>
      </c>
    </row>
    <row r="1974" spans="2:12">
      <c r="B1974" s="50" t="s">
        <v>389</v>
      </c>
      <c r="C1974" s="50" t="s">
        <v>56</v>
      </c>
      <c r="D1974" s="50" t="s">
        <v>27</v>
      </c>
      <c r="E1974" s="50">
        <v>50003297</v>
      </c>
      <c r="F1974" s="50" t="s">
        <v>158</v>
      </c>
      <c r="G1974" s="50">
        <v>1</v>
      </c>
      <c r="H1974" s="50" t="s">
        <v>2</v>
      </c>
      <c r="I1974" s="50" t="s">
        <v>293</v>
      </c>
      <c r="J1974" s="51">
        <v>46052</v>
      </c>
      <c r="K1974" s="50" t="s">
        <v>1</v>
      </c>
      <c r="L1974" s="50" t="s">
        <v>80</v>
      </c>
    </row>
    <row r="1975" spans="2:12">
      <c r="B1975" s="50" t="s">
        <v>270</v>
      </c>
      <c r="C1975" s="50" t="s">
        <v>51</v>
      </c>
      <c r="D1975" s="50" t="s">
        <v>27</v>
      </c>
      <c r="E1975" s="50">
        <v>50003297</v>
      </c>
      <c r="F1975" s="50" t="s">
        <v>158</v>
      </c>
      <c r="G1975" s="50">
        <v>1</v>
      </c>
      <c r="H1975" s="50" t="s">
        <v>2</v>
      </c>
      <c r="I1975" s="50" t="s">
        <v>293</v>
      </c>
      <c r="J1975" s="51">
        <v>46052</v>
      </c>
      <c r="K1975" s="50" t="s">
        <v>1</v>
      </c>
      <c r="L1975" s="50" t="s">
        <v>80</v>
      </c>
    </row>
    <row r="1976" spans="2:12">
      <c r="B1976" s="50" t="s">
        <v>444</v>
      </c>
      <c r="C1976" s="50" t="s">
        <v>51</v>
      </c>
      <c r="D1976" s="50" t="s">
        <v>27</v>
      </c>
      <c r="E1976" s="50">
        <v>50043471</v>
      </c>
      <c r="F1976" s="50" t="s">
        <v>257</v>
      </c>
      <c r="G1976" s="50">
        <v>1</v>
      </c>
      <c r="H1976" s="50" t="s">
        <v>2</v>
      </c>
      <c r="I1976" s="50" t="s">
        <v>288</v>
      </c>
      <c r="J1976" s="51">
        <v>46052</v>
      </c>
      <c r="K1976" s="50" t="s">
        <v>1</v>
      </c>
      <c r="L1976" s="50" t="s">
        <v>80</v>
      </c>
    </row>
    <row r="1977" spans="2:12">
      <c r="B1977" s="50" t="s">
        <v>280</v>
      </c>
      <c r="C1977" s="50" t="s">
        <v>62</v>
      </c>
      <c r="D1977" s="50" t="s">
        <v>27</v>
      </c>
      <c r="E1977" s="50">
        <v>50028220</v>
      </c>
      <c r="F1977" s="50" t="s">
        <v>242</v>
      </c>
      <c r="G1977" s="50">
        <v>1</v>
      </c>
      <c r="H1977" s="50" t="s">
        <v>2</v>
      </c>
      <c r="I1977" s="50" t="s">
        <v>288</v>
      </c>
      <c r="J1977" s="51">
        <v>46052</v>
      </c>
      <c r="K1977" s="50" t="s">
        <v>3</v>
      </c>
      <c r="L1977" s="50" t="s">
        <v>80</v>
      </c>
    </row>
    <row r="1978" spans="2:12">
      <c r="B1978" s="50" t="s">
        <v>386</v>
      </c>
      <c r="C1978" s="50" t="s">
        <v>62</v>
      </c>
      <c r="D1978" s="50" t="s">
        <v>27</v>
      </c>
      <c r="E1978" s="50">
        <v>50037892</v>
      </c>
      <c r="F1978" s="50" t="s">
        <v>178</v>
      </c>
      <c r="G1978" s="50">
        <v>1</v>
      </c>
      <c r="H1978" s="50" t="s">
        <v>2</v>
      </c>
      <c r="I1978" s="50" t="s">
        <v>288</v>
      </c>
      <c r="J1978" s="51">
        <v>46052</v>
      </c>
      <c r="K1978" s="50" t="s">
        <v>3</v>
      </c>
      <c r="L1978" s="50" t="s">
        <v>80</v>
      </c>
    </row>
    <row r="1979" spans="2:12">
      <c r="B1979" s="50" t="s">
        <v>270</v>
      </c>
      <c r="C1979" s="50" t="s">
        <v>51</v>
      </c>
      <c r="D1979" s="50" t="s">
        <v>27</v>
      </c>
      <c r="E1979" s="50">
        <v>50003297</v>
      </c>
      <c r="F1979" s="50" t="s">
        <v>158</v>
      </c>
      <c r="G1979" s="50">
        <v>1</v>
      </c>
      <c r="H1979" s="50" t="s">
        <v>2</v>
      </c>
      <c r="I1979" s="50" t="s">
        <v>288</v>
      </c>
      <c r="J1979" s="51">
        <v>46052</v>
      </c>
      <c r="K1979" s="50" t="s">
        <v>3</v>
      </c>
      <c r="L1979" s="50" t="s">
        <v>80</v>
      </c>
    </row>
    <row r="1980" spans="2:12">
      <c r="B1980" s="50" t="s">
        <v>277</v>
      </c>
      <c r="C1980" s="50" t="s">
        <v>62</v>
      </c>
      <c r="D1980" s="50" t="s">
        <v>27</v>
      </c>
      <c r="E1980" s="50">
        <v>50045979</v>
      </c>
      <c r="F1980" s="50" t="s">
        <v>357</v>
      </c>
      <c r="G1980" s="50">
        <v>1</v>
      </c>
      <c r="H1980" s="50" t="s">
        <v>2</v>
      </c>
      <c r="I1980" s="50" t="s">
        <v>291</v>
      </c>
      <c r="J1980" s="51">
        <v>46052</v>
      </c>
      <c r="K1980" s="50" t="s">
        <v>3</v>
      </c>
      <c r="L1980" s="50" t="s">
        <v>80</v>
      </c>
    </row>
    <row r="1981" spans="2:12">
      <c r="B1981" s="50" t="s">
        <v>444</v>
      </c>
      <c r="C1981" s="50" t="s">
        <v>51</v>
      </c>
      <c r="D1981" s="50" t="s">
        <v>27</v>
      </c>
      <c r="E1981" s="50">
        <v>50043471</v>
      </c>
      <c r="F1981" s="50" t="s">
        <v>257</v>
      </c>
      <c r="G1981" s="50">
        <v>1</v>
      </c>
      <c r="H1981" s="50" t="s">
        <v>2</v>
      </c>
      <c r="I1981" s="50" t="s">
        <v>291</v>
      </c>
      <c r="J1981" s="51">
        <v>46052</v>
      </c>
      <c r="K1981" s="50" t="s">
        <v>1</v>
      </c>
      <c r="L1981" s="50" t="s">
        <v>80</v>
      </c>
    </row>
    <row r="1982" spans="2:12">
      <c r="B1982" s="50" t="s">
        <v>444</v>
      </c>
      <c r="C1982" s="50" t="s">
        <v>51</v>
      </c>
      <c r="D1982" s="50" t="s">
        <v>27</v>
      </c>
      <c r="E1982" s="50">
        <v>50037892</v>
      </c>
      <c r="F1982" s="50" t="s">
        <v>178</v>
      </c>
      <c r="G1982" s="50">
        <v>1</v>
      </c>
      <c r="H1982" s="50" t="s">
        <v>2</v>
      </c>
      <c r="I1982" s="50" t="s">
        <v>291</v>
      </c>
      <c r="J1982" s="51">
        <v>46052</v>
      </c>
      <c r="K1982" s="50" t="s">
        <v>1</v>
      </c>
      <c r="L1982" s="50" t="s">
        <v>80</v>
      </c>
    </row>
    <row r="1983" spans="2:12">
      <c r="B1983" s="50" t="s">
        <v>444</v>
      </c>
      <c r="C1983" s="50" t="s">
        <v>51</v>
      </c>
      <c r="D1983" s="50" t="s">
        <v>27</v>
      </c>
      <c r="E1983" s="50">
        <v>50032781</v>
      </c>
      <c r="F1983" s="50" t="s">
        <v>237</v>
      </c>
      <c r="G1983" s="50">
        <v>1</v>
      </c>
      <c r="H1983" s="50" t="s">
        <v>2</v>
      </c>
      <c r="I1983" s="50" t="s">
        <v>291</v>
      </c>
      <c r="J1983" s="51">
        <v>46052</v>
      </c>
      <c r="K1983" s="50" t="s">
        <v>3</v>
      </c>
      <c r="L1983" s="50" t="s">
        <v>80</v>
      </c>
    </row>
    <row r="1984" spans="2:12">
      <c r="B1984" s="50" t="s">
        <v>428</v>
      </c>
      <c r="C1984" s="50" t="s">
        <v>26</v>
      </c>
      <c r="D1984" s="50" t="s">
        <v>27</v>
      </c>
      <c r="E1984" s="50">
        <v>50041195</v>
      </c>
      <c r="F1984" s="50" t="s">
        <v>206</v>
      </c>
      <c r="G1984" s="50">
        <v>1</v>
      </c>
      <c r="H1984" s="50" t="s">
        <v>2</v>
      </c>
      <c r="I1984" s="50" t="s">
        <v>291</v>
      </c>
      <c r="J1984" s="51">
        <v>46052</v>
      </c>
      <c r="K1984" s="50" t="s">
        <v>3</v>
      </c>
      <c r="L1984" s="50" t="s">
        <v>80</v>
      </c>
    </row>
    <row r="1985" spans="2:12">
      <c r="B1985" s="50" t="s">
        <v>483</v>
      </c>
      <c r="C1985" s="50" t="s">
        <v>62</v>
      </c>
      <c r="D1985" s="50" t="s">
        <v>27</v>
      </c>
      <c r="E1985" s="50">
        <v>50010031</v>
      </c>
      <c r="F1985" s="50" t="s">
        <v>89</v>
      </c>
      <c r="G1985" s="50">
        <v>1</v>
      </c>
      <c r="H1985" s="50" t="s">
        <v>2</v>
      </c>
      <c r="I1985" s="50" t="s">
        <v>291</v>
      </c>
      <c r="J1985" s="51">
        <v>46052</v>
      </c>
      <c r="K1985" s="50" t="s">
        <v>1</v>
      </c>
      <c r="L1985" s="50" t="s">
        <v>80</v>
      </c>
    </row>
    <row r="1986" spans="2:12">
      <c r="B1986" s="50" t="s">
        <v>418</v>
      </c>
      <c r="C1986" s="50" t="s">
        <v>26</v>
      </c>
      <c r="D1986" s="50" t="s">
        <v>27</v>
      </c>
      <c r="E1986" s="50">
        <v>50010031</v>
      </c>
      <c r="F1986" s="50" t="s">
        <v>89</v>
      </c>
      <c r="G1986" s="50">
        <v>1</v>
      </c>
      <c r="H1986" s="50" t="s">
        <v>2</v>
      </c>
      <c r="I1986" s="50" t="s">
        <v>291</v>
      </c>
      <c r="J1986" s="51">
        <v>46052</v>
      </c>
      <c r="K1986" s="50" t="s">
        <v>3</v>
      </c>
      <c r="L1986" s="50" t="s">
        <v>80</v>
      </c>
    </row>
    <row r="1987" spans="2:12">
      <c r="B1987" s="50" t="s">
        <v>444</v>
      </c>
      <c r="C1987" s="50" t="s">
        <v>51</v>
      </c>
      <c r="D1987" s="50" t="s">
        <v>27</v>
      </c>
      <c r="E1987" s="50">
        <v>50032781</v>
      </c>
      <c r="F1987" s="50" t="s">
        <v>237</v>
      </c>
      <c r="G1987" s="50">
        <v>1</v>
      </c>
      <c r="H1987" s="50" t="s">
        <v>2</v>
      </c>
      <c r="I1987" s="50" t="s">
        <v>291</v>
      </c>
      <c r="J1987" s="51">
        <v>46052</v>
      </c>
      <c r="K1987" s="50" t="s">
        <v>3</v>
      </c>
      <c r="L1987" s="50" t="s">
        <v>80</v>
      </c>
    </row>
    <row r="1988" spans="2:12">
      <c r="B1988" s="50" t="s">
        <v>444</v>
      </c>
      <c r="C1988" s="50" t="s">
        <v>51</v>
      </c>
      <c r="D1988" s="50" t="s">
        <v>27</v>
      </c>
      <c r="E1988" s="50">
        <v>50037892</v>
      </c>
      <c r="F1988" s="50" t="s">
        <v>178</v>
      </c>
      <c r="G1988" s="50">
        <v>1</v>
      </c>
      <c r="H1988" s="50" t="s">
        <v>2</v>
      </c>
      <c r="I1988" s="50" t="s">
        <v>291</v>
      </c>
      <c r="J1988" s="51">
        <v>46052</v>
      </c>
      <c r="K1988" s="50" t="s">
        <v>3</v>
      </c>
      <c r="L1988" s="50" t="s">
        <v>80</v>
      </c>
    </row>
    <row r="1989" spans="2:12">
      <c r="B1989" s="50" t="s">
        <v>427</v>
      </c>
      <c r="C1989" s="50" t="s">
        <v>26</v>
      </c>
      <c r="D1989" s="50" t="s">
        <v>27</v>
      </c>
      <c r="E1989" s="50">
        <v>50038517</v>
      </c>
      <c r="F1989" s="50" t="s">
        <v>181</v>
      </c>
      <c r="G1989" s="50">
        <v>1</v>
      </c>
      <c r="H1989" s="50" t="s">
        <v>2</v>
      </c>
      <c r="I1989" s="50" t="s">
        <v>291</v>
      </c>
      <c r="J1989" s="51">
        <v>46052</v>
      </c>
      <c r="K1989" s="50" t="s">
        <v>1</v>
      </c>
      <c r="L1989" s="50" t="s">
        <v>80</v>
      </c>
    </row>
    <row r="1990" spans="2:12">
      <c r="B1990" s="50" t="s">
        <v>280</v>
      </c>
      <c r="C1990" s="50" t="s">
        <v>62</v>
      </c>
      <c r="D1990" s="50" t="s">
        <v>27</v>
      </c>
      <c r="E1990" s="50">
        <v>50038517</v>
      </c>
      <c r="F1990" s="50" t="s">
        <v>181</v>
      </c>
      <c r="G1990" s="50">
        <v>1</v>
      </c>
      <c r="H1990" s="50" t="s">
        <v>2</v>
      </c>
      <c r="I1990" s="50" t="s">
        <v>291</v>
      </c>
      <c r="J1990" s="51">
        <v>46052</v>
      </c>
      <c r="K1990" s="50" t="s">
        <v>3</v>
      </c>
      <c r="L1990" s="50" t="s">
        <v>80</v>
      </c>
    </row>
    <row r="1991" spans="2:12">
      <c r="B1991" s="50" t="s">
        <v>280</v>
      </c>
      <c r="C1991" s="50" t="s">
        <v>62</v>
      </c>
      <c r="D1991" s="50" t="s">
        <v>27</v>
      </c>
      <c r="E1991" s="50">
        <v>50028220</v>
      </c>
      <c r="F1991" s="50" t="s">
        <v>242</v>
      </c>
      <c r="G1991" s="50">
        <v>1</v>
      </c>
      <c r="H1991" s="50" t="s">
        <v>2</v>
      </c>
      <c r="I1991" s="50" t="s">
        <v>291</v>
      </c>
      <c r="J1991" s="51">
        <v>46052</v>
      </c>
      <c r="K1991" s="50" t="s">
        <v>3</v>
      </c>
      <c r="L1991" s="50" t="s">
        <v>80</v>
      </c>
    </row>
    <row r="1992" spans="2:12">
      <c r="B1992" s="50" t="s">
        <v>389</v>
      </c>
      <c r="C1992" s="50" t="s">
        <v>56</v>
      </c>
      <c r="D1992" s="50" t="s">
        <v>27</v>
      </c>
      <c r="E1992" s="50">
        <v>50003297</v>
      </c>
      <c r="F1992" s="50" t="s">
        <v>158</v>
      </c>
      <c r="G1992" s="50">
        <v>1</v>
      </c>
      <c r="H1992" s="50" t="s">
        <v>2</v>
      </c>
      <c r="I1992" s="50" t="s">
        <v>291</v>
      </c>
      <c r="J1992" s="51">
        <v>46052</v>
      </c>
      <c r="K1992" s="50" t="s">
        <v>3</v>
      </c>
      <c r="L1992" s="50" t="s">
        <v>80</v>
      </c>
    </row>
    <row r="1993" spans="2:12">
      <c r="B1993" s="50" t="s">
        <v>389</v>
      </c>
      <c r="C1993" s="50" t="s">
        <v>56</v>
      </c>
      <c r="D1993" s="50" t="s">
        <v>27</v>
      </c>
      <c r="E1993" s="50">
        <v>50043320</v>
      </c>
      <c r="F1993" s="50" t="s">
        <v>264</v>
      </c>
      <c r="G1993" s="50">
        <v>1</v>
      </c>
      <c r="H1993" s="50" t="s">
        <v>2</v>
      </c>
      <c r="I1993" s="50" t="s">
        <v>291</v>
      </c>
      <c r="J1993" s="51">
        <v>46052</v>
      </c>
      <c r="K1993" s="50" t="s">
        <v>3</v>
      </c>
      <c r="L1993" s="50" t="s">
        <v>80</v>
      </c>
    </row>
    <row r="1994" spans="2:12">
      <c r="B1994" s="50" t="s">
        <v>280</v>
      </c>
      <c r="C1994" s="50" t="s">
        <v>62</v>
      </c>
      <c r="D1994" s="50" t="s">
        <v>27</v>
      </c>
      <c r="E1994" s="50">
        <v>50038517</v>
      </c>
      <c r="F1994" s="50" t="s">
        <v>181</v>
      </c>
      <c r="G1994" s="50">
        <v>1</v>
      </c>
      <c r="H1994" s="50" t="s">
        <v>2</v>
      </c>
      <c r="I1994" s="50" t="s">
        <v>291</v>
      </c>
      <c r="J1994" s="51">
        <v>46052</v>
      </c>
      <c r="K1994" s="50" t="s">
        <v>3</v>
      </c>
      <c r="L1994" s="50" t="s">
        <v>80</v>
      </c>
    </row>
    <row r="1995" spans="2:12">
      <c r="B1995" s="50" t="s">
        <v>418</v>
      </c>
      <c r="C1995" s="50" t="s">
        <v>26</v>
      </c>
      <c r="D1995" s="50" t="s">
        <v>27</v>
      </c>
      <c r="E1995" s="50">
        <v>50010031</v>
      </c>
      <c r="F1995" s="50" t="s">
        <v>89</v>
      </c>
      <c r="G1995" s="50">
        <v>1</v>
      </c>
      <c r="H1995" s="50" t="s">
        <v>2</v>
      </c>
      <c r="I1995" s="50" t="s">
        <v>291</v>
      </c>
      <c r="J1995" s="51">
        <v>46052</v>
      </c>
      <c r="K1995" s="50" t="s">
        <v>1</v>
      </c>
      <c r="L1995" s="50" t="s">
        <v>80</v>
      </c>
    </row>
    <row r="1996" spans="2:12">
      <c r="B1996" s="50" t="s">
        <v>418</v>
      </c>
      <c r="C1996" s="50" t="s">
        <v>26</v>
      </c>
      <c r="D1996" s="50" t="s">
        <v>27</v>
      </c>
      <c r="E1996" s="50">
        <v>50039065</v>
      </c>
      <c r="F1996" s="50" t="s">
        <v>186</v>
      </c>
      <c r="G1996" s="50">
        <v>1</v>
      </c>
      <c r="H1996" s="50" t="s">
        <v>2</v>
      </c>
      <c r="I1996" s="50" t="s">
        <v>291</v>
      </c>
      <c r="J1996" s="51">
        <v>46051</v>
      </c>
      <c r="K1996" s="50" t="s">
        <v>3</v>
      </c>
      <c r="L1996" s="50" t="s">
        <v>80</v>
      </c>
    </row>
    <row r="1997" spans="2:12">
      <c r="B1997" s="50" t="s">
        <v>418</v>
      </c>
      <c r="C1997" s="50" t="s">
        <v>26</v>
      </c>
      <c r="D1997" s="50" t="s">
        <v>27</v>
      </c>
      <c r="E1997" s="50">
        <v>50039065</v>
      </c>
      <c r="F1997" s="50" t="s">
        <v>186</v>
      </c>
      <c r="G1997" s="50">
        <v>1</v>
      </c>
      <c r="H1997" s="50" t="s">
        <v>2</v>
      </c>
      <c r="I1997" s="50" t="s">
        <v>291</v>
      </c>
      <c r="J1997" s="51">
        <v>46051</v>
      </c>
      <c r="K1997" s="50" t="s">
        <v>1</v>
      </c>
      <c r="L1997" s="50" t="s">
        <v>80</v>
      </c>
    </row>
    <row r="1998" spans="2:12">
      <c r="B1998" s="50" t="s">
        <v>483</v>
      </c>
      <c r="C1998" s="50" t="s">
        <v>62</v>
      </c>
      <c r="D1998" s="50" t="s">
        <v>27</v>
      </c>
      <c r="E1998" s="50">
        <v>50038517</v>
      </c>
      <c r="F1998" s="50" t="s">
        <v>181</v>
      </c>
      <c r="G1998" s="50">
        <v>1</v>
      </c>
      <c r="H1998" s="50" t="s">
        <v>2</v>
      </c>
      <c r="I1998" s="50" t="s">
        <v>291</v>
      </c>
      <c r="J1998" s="51">
        <v>46051</v>
      </c>
      <c r="K1998" s="50" t="s">
        <v>1</v>
      </c>
      <c r="L1998" s="50" t="s">
        <v>80</v>
      </c>
    </row>
    <row r="1999" spans="2:12">
      <c r="B1999" s="50" t="s">
        <v>465</v>
      </c>
      <c r="C1999" s="50" t="s">
        <v>26</v>
      </c>
      <c r="D1999" s="50" t="s">
        <v>27</v>
      </c>
      <c r="E1999" s="50">
        <v>50037961</v>
      </c>
      <c r="F1999" s="50" t="s">
        <v>113</v>
      </c>
      <c r="G1999" s="50">
        <v>1</v>
      </c>
      <c r="H1999" s="50" t="s">
        <v>2</v>
      </c>
      <c r="I1999" s="50" t="s">
        <v>291</v>
      </c>
      <c r="J1999" s="51">
        <v>46051</v>
      </c>
      <c r="K1999" s="50" t="s">
        <v>1</v>
      </c>
      <c r="L1999" s="50" t="s">
        <v>80</v>
      </c>
    </row>
    <row r="2000" spans="2:12">
      <c r="B2000" s="50" t="s">
        <v>465</v>
      </c>
      <c r="C2000" s="50" t="s">
        <v>26</v>
      </c>
      <c r="D2000" s="50" t="s">
        <v>27</v>
      </c>
      <c r="E2000" s="50">
        <v>50037960</v>
      </c>
      <c r="F2000" s="50" t="s">
        <v>112</v>
      </c>
      <c r="G2000" s="50">
        <v>1</v>
      </c>
      <c r="H2000" s="50" t="s">
        <v>2</v>
      </c>
      <c r="I2000" s="50" t="s">
        <v>291</v>
      </c>
      <c r="J2000" s="51">
        <v>46051</v>
      </c>
      <c r="K2000" s="50" t="s">
        <v>1</v>
      </c>
      <c r="L2000" s="50" t="s">
        <v>80</v>
      </c>
    </row>
    <row r="2001" spans="2:12">
      <c r="B2001" s="50" t="s">
        <v>483</v>
      </c>
      <c r="C2001" s="50" t="s">
        <v>62</v>
      </c>
      <c r="D2001" s="50" t="s">
        <v>27</v>
      </c>
      <c r="E2001" s="50">
        <v>50003297</v>
      </c>
      <c r="F2001" s="50" t="s">
        <v>158</v>
      </c>
      <c r="G2001" s="50">
        <v>1</v>
      </c>
      <c r="H2001" s="50" t="s">
        <v>2</v>
      </c>
      <c r="I2001" s="50" t="s">
        <v>292</v>
      </c>
      <c r="J2001" s="51">
        <v>46051</v>
      </c>
      <c r="K2001" s="50" t="s">
        <v>1</v>
      </c>
      <c r="L2001" s="50" t="s">
        <v>80</v>
      </c>
    </row>
    <row r="2002" spans="2:12">
      <c r="B2002" s="50" t="s">
        <v>483</v>
      </c>
      <c r="C2002" s="50" t="s">
        <v>62</v>
      </c>
      <c r="D2002" s="50" t="s">
        <v>27</v>
      </c>
      <c r="E2002" s="50">
        <v>50038517</v>
      </c>
      <c r="F2002" s="50" t="s">
        <v>181</v>
      </c>
      <c r="G2002" s="50">
        <v>1</v>
      </c>
      <c r="H2002" s="50" t="s">
        <v>2</v>
      </c>
      <c r="I2002" s="50" t="s">
        <v>292</v>
      </c>
      <c r="J2002" s="51">
        <v>46051</v>
      </c>
      <c r="K2002" s="50" t="s">
        <v>1</v>
      </c>
      <c r="L2002" s="50" t="s">
        <v>80</v>
      </c>
    </row>
    <row r="2003" spans="2:12">
      <c r="B2003" s="50" t="s">
        <v>463</v>
      </c>
      <c r="C2003" s="50" t="s">
        <v>56</v>
      </c>
      <c r="D2003" s="50" t="s">
        <v>27</v>
      </c>
      <c r="E2003" s="50">
        <v>50043471</v>
      </c>
      <c r="F2003" s="50" t="s">
        <v>257</v>
      </c>
      <c r="G2003" s="50">
        <v>1</v>
      </c>
      <c r="H2003" s="50" t="s">
        <v>2</v>
      </c>
      <c r="I2003" s="50" t="s">
        <v>292</v>
      </c>
      <c r="J2003" s="51">
        <v>46051</v>
      </c>
      <c r="K2003" s="50" t="s">
        <v>1</v>
      </c>
      <c r="L2003" s="50" t="s">
        <v>80</v>
      </c>
    </row>
    <row r="2004" spans="2:12">
      <c r="B2004" s="50" t="s">
        <v>386</v>
      </c>
      <c r="C2004" s="50" t="s">
        <v>62</v>
      </c>
      <c r="D2004" s="50" t="s">
        <v>27</v>
      </c>
      <c r="E2004" s="50">
        <v>50010031</v>
      </c>
      <c r="F2004" s="50" t="s">
        <v>89</v>
      </c>
      <c r="G2004" s="50">
        <v>1</v>
      </c>
      <c r="H2004" s="50" t="s">
        <v>2</v>
      </c>
      <c r="I2004" s="50" t="s">
        <v>292</v>
      </c>
      <c r="J2004" s="51">
        <v>46051</v>
      </c>
      <c r="K2004" s="50" t="s">
        <v>1</v>
      </c>
      <c r="L2004" s="50" t="s">
        <v>80</v>
      </c>
    </row>
    <row r="2005" spans="2:12">
      <c r="B2005" s="50" t="s">
        <v>469</v>
      </c>
      <c r="C2005" s="50" t="s">
        <v>26</v>
      </c>
      <c r="D2005" s="50" t="s">
        <v>39</v>
      </c>
      <c r="E2005" s="50">
        <v>50043151</v>
      </c>
      <c r="F2005" s="50" t="s">
        <v>331</v>
      </c>
      <c r="G2005" s="50">
        <v>1</v>
      </c>
      <c r="H2005" s="50" t="s">
        <v>2</v>
      </c>
      <c r="I2005" s="50" t="s">
        <v>292</v>
      </c>
      <c r="J2005" s="51">
        <v>46051</v>
      </c>
      <c r="K2005" s="50" t="s">
        <v>1</v>
      </c>
      <c r="L2005" s="50" t="s">
        <v>80</v>
      </c>
    </row>
    <row r="2006" spans="2:12">
      <c r="B2006" s="50" t="s">
        <v>483</v>
      </c>
      <c r="C2006" s="50" t="s">
        <v>62</v>
      </c>
      <c r="D2006" s="50" t="s">
        <v>27</v>
      </c>
      <c r="E2006" s="50">
        <v>50026357</v>
      </c>
      <c r="F2006" s="50" t="s">
        <v>192</v>
      </c>
      <c r="G2006" s="50">
        <v>1</v>
      </c>
      <c r="H2006" s="50" t="s">
        <v>2</v>
      </c>
      <c r="I2006" s="50" t="s">
        <v>292</v>
      </c>
      <c r="J2006" s="51">
        <v>46051</v>
      </c>
      <c r="K2006" s="50" t="s">
        <v>1</v>
      </c>
      <c r="L2006" s="50" t="s">
        <v>80</v>
      </c>
    </row>
    <row r="2007" spans="2:12">
      <c r="B2007" s="50" t="s">
        <v>423</v>
      </c>
      <c r="C2007" s="50" t="s">
        <v>62</v>
      </c>
      <c r="D2007" s="50" t="s">
        <v>27</v>
      </c>
      <c r="E2007" s="50">
        <v>50045979</v>
      </c>
      <c r="F2007" s="50" t="s">
        <v>357</v>
      </c>
      <c r="G2007" s="50">
        <v>1</v>
      </c>
      <c r="H2007" s="50" t="s">
        <v>2</v>
      </c>
      <c r="I2007" s="50" t="s">
        <v>292</v>
      </c>
      <c r="J2007" s="51">
        <v>46051</v>
      </c>
      <c r="K2007" s="50" t="s">
        <v>3</v>
      </c>
      <c r="L2007" s="50" t="s">
        <v>80</v>
      </c>
    </row>
    <row r="2008" spans="2:12">
      <c r="B2008" s="50" t="s">
        <v>386</v>
      </c>
      <c r="C2008" s="50" t="s">
        <v>62</v>
      </c>
      <c r="D2008" s="50" t="s">
        <v>27</v>
      </c>
      <c r="E2008" s="50">
        <v>50010031</v>
      </c>
      <c r="F2008" s="50" t="s">
        <v>89</v>
      </c>
      <c r="G2008" s="50">
        <v>1</v>
      </c>
      <c r="H2008" s="50" t="s">
        <v>2</v>
      </c>
      <c r="I2008" s="50" t="s">
        <v>292</v>
      </c>
      <c r="J2008" s="51">
        <v>46051</v>
      </c>
      <c r="K2008" s="50" t="s">
        <v>3</v>
      </c>
      <c r="L2008" s="50" t="s">
        <v>80</v>
      </c>
    </row>
    <row r="2009" spans="2:12">
      <c r="B2009" s="50" t="s">
        <v>463</v>
      </c>
      <c r="C2009" s="50" t="s">
        <v>56</v>
      </c>
      <c r="D2009" s="50" t="s">
        <v>27</v>
      </c>
      <c r="E2009" s="50">
        <v>50043471</v>
      </c>
      <c r="F2009" s="50" t="s">
        <v>257</v>
      </c>
      <c r="G2009" s="50">
        <v>1</v>
      </c>
      <c r="H2009" s="50" t="s">
        <v>2</v>
      </c>
      <c r="I2009" s="50" t="s">
        <v>292</v>
      </c>
      <c r="J2009" s="51">
        <v>46051</v>
      </c>
      <c r="K2009" s="50" t="s">
        <v>3</v>
      </c>
      <c r="L2009" s="50" t="s">
        <v>80</v>
      </c>
    </row>
    <row r="2010" spans="2:12">
      <c r="B2010" s="50" t="s">
        <v>469</v>
      </c>
      <c r="C2010" s="50" t="s">
        <v>26</v>
      </c>
      <c r="D2010" s="50" t="s">
        <v>39</v>
      </c>
      <c r="E2010" s="50">
        <v>50043151</v>
      </c>
      <c r="F2010" s="50" t="s">
        <v>331</v>
      </c>
      <c r="G2010" s="50">
        <v>1</v>
      </c>
      <c r="H2010" s="50" t="s">
        <v>2</v>
      </c>
      <c r="I2010" s="50" t="s">
        <v>292</v>
      </c>
      <c r="J2010" s="51">
        <v>46051</v>
      </c>
      <c r="K2010" s="50" t="s">
        <v>1</v>
      </c>
      <c r="L2010" s="50" t="s">
        <v>80</v>
      </c>
    </row>
    <row r="2011" spans="2:12">
      <c r="B2011" s="50" t="s">
        <v>277</v>
      </c>
      <c r="C2011" s="50" t="s">
        <v>62</v>
      </c>
      <c r="D2011" s="50" t="s">
        <v>27</v>
      </c>
      <c r="E2011" s="50">
        <v>50010031</v>
      </c>
      <c r="F2011" s="50" t="s">
        <v>89</v>
      </c>
      <c r="G2011" s="50">
        <v>1</v>
      </c>
      <c r="H2011" s="50" t="s">
        <v>2</v>
      </c>
      <c r="I2011" s="50" t="s">
        <v>292</v>
      </c>
      <c r="J2011" s="51">
        <v>46051</v>
      </c>
      <c r="K2011" s="50" t="s">
        <v>3</v>
      </c>
      <c r="L2011" s="50" t="s">
        <v>80</v>
      </c>
    </row>
    <row r="2012" spans="2:12">
      <c r="B2012" s="50" t="s">
        <v>277</v>
      </c>
      <c r="C2012" s="50" t="s">
        <v>62</v>
      </c>
      <c r="D2012" s="50" t="s">
        <v>27</v>
      </c>
      <c r="E2012" s="50">
        <v>50010031</v>
      </c>
      <c r="F2012" s="50" t="s">
        <v>89</v>
      </c>
      <c r="G2012" s="50">
        <v>1</v>
      </c>
      <c r="H2012" s="50" t="s">
        <v>2</v>
      </c>
      <c r="I2012" s="50" t="s">
        <v>291</v>
      </c>
      <c r="J2012" s="51">
        <v>46051</v>
      </c>
      <c r="K2012" s="50" t="s">
        <v>1</v>
      </c>
      <c r="L2012" s="50" t="s">
        <v>80</v>
      </c>
    </row>
    <row r="2013" spans="2:12">
      <c r="B2013" s="50" t="s">
        <v>437</v>
      </c>
      <c r="C2013" s="50" t="s">
        <v>51</v>
      </c>
      <c r="D2013" s="50" t="s">
        <v>41</v>
      </c>
      <c r="E2013" s="50">
        <v>50010031</v>
      </c>
      <c r="F2013" s="50" t="s">
        <v>89</v>
      </c>
      <c r="G2013" s="50">
        <v>1</v>
      </c>
      <c r="H2013" s="50" t="s">
        <v>2</v>
      </c>
      <c r="I2013" s="50" t="s">
        <v>291</v>
      </c>
      <c r="J2013" s="51">
        <v>46051</v>
      </c>
      <c r="K2013" s="50" t="s">
        <v>3</v>
      </c>
      <c r="L2013" s="50" t="s">
        <v>80</v>
      </c>
    </row>
    <row r="2014" spans="2:12">
      <c r="B2014" s="50" t="s">
        <v>437</v>
      </c>
      <c r="C2014" s="50" t="s">
        <v>51</v>
      </c>
      <c r="D2014" s="50" t="s">
        <v>41</v>
      </c>
      <c r="E2014" s="50">
        <v>50010031</v>
      </c>
      <c r="F2014" s="50" t="s">
        <v>89</v>
      </c>
      <c r="G2014" s="50">
        <v>1</v>
      </c>
      <c r="H2014" s="50" t="s">
        <v>2</v>
      </c>
      <c r="I2014" s="50" t="s">
        <v>288</v>
      </c>
      <c r="J2014" s="51">
        <v>46051</v>
      </c>
      <c r="K2014" s="50" t="s">
        <v>3</v>
      </c>
      <c r="L2014" s="50" t="s">
        <v>80</v>
      </c>
    </row>
    <row r="2015" spans="2:12">
      <c r="B2015" s="50" t="s">
        <v>483</v>
      </c>
      <c r="C2015" s="50" t="s">
        <v>62</v>
      </c>
      <c r="D2015" s="50" t="s">
        <v>27</v>
      </c>
      <c r="E2015" s="50">
        <v>50003297</v>
      </c>
      <c r="F2015" s="50" t="s">
        <v>158</v>
      </c>
      <c r="G2015" s="50">
        <v>1</v>
      </c>
      <c r="H2015" s="50" t="s">
        <v>2</v>
      </c>
      <c r="I2015" s="50" t="s">
        <v>291</v>
      </c>
      <c r="J2015" s="51">
        <v>46051</v>
      </c>
      <c r="K2015" s="50" t="s">
        <v>1</v>
      </c>
      <c r="L2015" s="50" t="s">
        <v>81</v>
      </c>
    </row>
    <row r="2016" spans="2:12">
      <c r="B2016" s="50" t="s">
        <v>386</v>
      </c>
      <c r="C2016" s="50" t="s">
        <v>62</v>
      </c>
      <c r="D2016" s="50" t="s">
        <v>27</v>
      </c>
      <c r="E2016" s="50">
        <v>50010031</v>
      </c>
      <c r="F2016" s="50" t="s">
        <v>89</v>
      </c>
      <c r="G2016" s="50">
        <v>1</v>
      </c>
      <c r="H2016" s="50" t="s">
        <v>2</v>
      </c>
      <c r="I2016" s="50" t="s">
        <v>291</v>
      </c>
      <c r="J2016" s="51">
        <v>46051</v>
      </c>
      <c r="K2016" s="50" t="s">
        <v>1</v>
      </c>
      <c r="L2016" s="50" t="s">
        <v>80</v>
      </c>
    </row>
    <row r="2017" spans="2:12">
      <c r="B2017" s="50" t="s">
        <v>399</v>
      </c>
      <c r="C2017" s="50" t="s">
        <v>51</v>
      </c>
      <c r="D2017" s="50" t="s">
        <v>27</v>
      </c>
      <c r="E2017" s="50">
        <v>50039065</v>
      </c>
      <c r="F2017" s="50" t="s">
        <v>186</v>
      </c>
      <c r="G2017" s="50">
        <v>1</v>
      </c>
      <c r="H2017" s="50" t="s">
        <v>2</v>
      </c>
      <c r="I2017" s="50" t="s">
        <v>291</v>
      </c>
      <c r="J2017" s="51">
        <v>46051</v>
      </c>
      <c r="K2017" s="50" t="s">
        <v>3</v>
      </c>
      <c r="L2017" s="50" t="s">
        <v>80</v>
      </c>
    </row>
    <row r="2018" spans="2:12">
      <c r="B2018" s="50" t="s">
        <v>386</v>
      </c>
      <c r="C2018" s="50" t="s">
        <v>62</v>
      </c>
      <c r="D2018" s="50" t="s">
        <v>27</v>
      </c>
      <c r="E2018" s="50">
        <v>50010031</v>
      </c>
      <c r="F2018" s="50" t="s">
        <v>89</v>
      </c>
      <c r="G2018" s="50">
        <v>1</v>
      </c>
      <c r="H2018" s="50" t="s">
        <v>2</v>
      </c>
      <c r="I2018" s="50" t="s">
        <v>291</v>
      </c>
      <c r="J2018" s="51">
        <v>46051</v>
      </c>
      <c r="K2018" s="50" t="s">
        <v>3</v>
      </c>
      <c r="L2018" s="50" t="s">
        <v>80</v>
      </c>
    </row>
    <row r="2019" spans="2:12">
      <c r="B2019" s="50" t="s">
        <v>399</v>
      </c>
      <c r="C2019" s="50" t="s">
        <v>51</v>
      </c>
      <c r="D2019" s="50" t="s">
        <v>27</v>
      </c>
      <c r="E2019" s="50">
        <v>50039065</v>
      </c>
      <c r="F2019" s="50" t="s">
        <v>186</v>
      </c>
      <c r="G2019" s="50">
        <v>1</v>
      </c>
      <c r="H2019" s="50" t="s">
        <v>2</v>
      </c>
      <c r="I2019" s="50" t="s">
        <v>291</v>
      </c>
      <c r="J2019" s="51">
        <v>46051</v>
      </c>
      <c r="K2019" s="50" t="s">
        <v>3</v>
      </c>
      <c r="L2019" s="50" t="s">
        <v>80</v>
      </c>
    </row>
    <row r="2020" spans="2:12">
      <c r="B2020" s="50" t="s">
        <v>423</v>
      </c>
      <c r="C2020" s="50" t="s">
        <v>62</v>
      </c>
      <c r="D2020" s="50" t="s">
        <v>27</v>
      </c>
      <c r="E2020" s="50">
        <v>50045979</v>
      </c>
      <c r="F2020" s="50" t="s">
        <v>357</v>
      </c>
      <c r="G2020" s="50">
        <v>1</v>
      </c>
      <c r="H2020" s="50" t="s">
        <v>2</v>
      </c>
      <c r="I2020" s="50" t="s">
        <v>291</v>
      </c>
      <c r="J2020" s="51">
        <v>46051</v>
      </c>
      <c r="K2020" s="50" t="s">
        <v>1</v>
      </c>
      <c r="L2020" s="50" t="s">
        <v>80</v>
      </c>
    </row>
    <row r="2021" spans="2:12">
      <c r="B2021" s="50" t="s">
        <v>386</v>
      </c>
      <c r="C2021" s="50" t="s">
        <v>62</v>
      </c>
      <c r="D2021" s="50" t="s">
        <v>27</v>
      </c>
      <c r="E2021" s="50">
        <v>50038845</v>
      </c>
      <c r="F2021" s="50" t="s">
        <v>234</v>
      </c>
      <c r="G2021" s="50">
        <v>1</v>
      </c>
      <c r="H2021" s="50" t="s">
        <v>2</v>
      </c>
      <c r="I2021" s="50" t="s">
        <v>291</v>
      </c>
      <c r="J2021" s="51">
        <v>46051</v>
      </c>
      <c r="K2021" s="50" t="s">
        <v>3</v>
      </c>
      <c r="L2021" s="50" t="s">
        <v>80</v>
      </c>
    </row>
    <row r="2022" spans="2:12">
      <c r="B2022" s="50" t="s">
        <v>386</v>
      </c>
      <c r="C2022" s="50" t="s">
        <v>62</v>
      </c>
      <c r="D2022" s="50" t="s">
        <v>27</v>
      </c>
      <c r="E2022" s="50">
        <v>50038845</v>
      </c>
      <c r="F2022" s="50" t="s">
        <v>234</v>
      </c>
      <c r="G2022" s="50">
        <v>1</v>
      </c>
      <c r="H2022" s="50" t="s">
        <v>2</v>
      </c>
      <c r="I2022" s="50" t="s">
        <v>291</v>
      </c>
      <c r="J2022" s="51">
        <v>46051</v>
      </c>
      <c r="K2022" s="50" t="s">
        <v>3</v>
      </c>
      <c r="L2022" s="50" t="s">
        <v>80</v>
      </c>
    </row>
    <row r="2023" spans="2:12">
      <c r="B2023" s="50" t="s">
        <v>483</v>
      </c>
      <c r="C2023" s="50" t="s">
        <v>62</v>
      </c>
      <c r="D2023" s="50" t="s">
        <v>27</v>
      </c>
      <c r="E2023" s="50">
        <v>50026357</v>
      </c>
      <c r="F2023" s="50" t="s">
        <v>192</v>
      </c>
      <c r="G2023" s="50">
        <v>1</v>
      </c>
      <c r="H2023" s="50" t="s">
        <v>2</v>
      </c>
      <c r="I2023" s="50" t="s">
        <v>291</v>
      </c>
      <c r="J2023" s="51">
        <v>46051</v>
      </c>
      <c r="K2023" s="50" t="s">
        <v>3</v>
      </c>
      <c r="L2023" s="50" t="s">
        <v>80</v>
      </c>
    </row>
    <row r="2024" spans="2:12">
      <c r="B2024" s="50" t="s">
        <v>483</v>
      </c>
      <c r="C2024" s="50" t="s">
        <v>62</v>
      </c>
      <c r="D2024" s="50" t="s">
        <v>27</v>
      </c>
      <c r="E2024" s="50">
        <v>50038517</v>
      </c>
      <c r="F2024" s="50" t="s">
        <v>181</v>
      </c>
      <c r="G2024" s="50">
        <v>1</v>
      </c>
      <c r="H2024" s="50" t="s">
        <v>2</v>
      </c>
      <c r="I2024" s="50" t="s">
        <v>291</v>
      </c>
      <c r="J2024" s="51">
        <v>46051</v>
      </c>
      <c r="K2024" s="50" t="s">
        <v>3</v>
      </c>
      <c r="L2024" s="50" t="s">
        <v>80</v>
      </c>
    </row>
    <row r="2025" spans="2:12">
      <c r="B2025" s="50" t="s">
        <v>465</v>
      </c>
      <c r="C2025" s="50" t="s">
        <v>26</v>
      </c>
      <c r="D2025" s="50" t="s">
        <v>27</v>
      </c>
      <c r="E2025" s="50">
        <v>50037961</v>
      </c>
      <c r="F2025" s="50" t="s">
        <v>113</v>
      </c>
      <c r="G2025" s="50">
        <v>1</v>
      </c>
      <c r="H2025" s="50" t="s">
        <v>2</v>
      </c>
      <c r="I2025" s="50" t="s">
        <v>291</v>
      </c>
      <c r="J2025" s="51">
        <v>46051</v>
      </c>
      <c r="K2025" s="50" t="s">
        <v>3</v>
      </c>
      <c r="L2025" s="50" t="s">
        <v>80</v>
      </c>
    </row>
    <row r="2026" spans="2:12">
      <c r="B2026" s="50" t="s">
        <v>465</v>
      </c>
      <c r="C2026" s="50" t="s">
        <v>26</v>
      </c>
      <c r="D2026" s="50" t="s">
        <v>27</v>
      </c>
      <c r="E2026" s="50">
        <v>50037960</v>
      </c>
      <c r="F2026" s="50" t="s">
        <v>112</v>
      </c>
      <c r="G2026" s="50">
        <v>1</v>
      </c>
      <c r="H2026" s="50" t="s">
        <v>2</v>
      </c>
      <c r="I2026" s="50" t="s">
        <v>291</v>
      </c>
      <c r="J2026" s="51">
        <v>46051</v>
      </c>
      <c r="K2026" s="50" t="s">
        <v>1</v>
      </c>
      <c r="L2026" s="50" t="s">
        <v>80</v>
      </c>
    </row>
    <row r="2027" spans="2:12">
      <c r="B2027" s="50" t="s">
        <v>402</v>
      </c>
      <c r="C2027" s="50" t="s">
        <v>56</v>
      </c>
      <c r="D2027" s="50" t="s">
        <v>39</v>
      </c>
      <c r="E2027" s="50">
        <v>50041195</v>
      </c>
      <c r="F2027" s="50" t="s">
        <v>206</v>
      </c>
      <c r="G2027" s="50">
        <v>1</v>
      </c>
      <c r="H2027" s="50" t="s">
        <v>2</v>
      </c>
      <c r="I2027" s="50" t="s">
        <v>291</v>
      </c>
      <c r="J2027" s="51">
        <v>46051</v>
      </c>
      <c r="K2027" s="50" t="s">
        <v>1</v>
      </c>
      <c r="L2027" s="50" t="s">
        <v>80</v>
      </c>
    </row>
    <row r="2028" spans="2:12">
      <c r="B2028" s="50" t="s">
        <v>466</v>
      </c>
      <c r="C2028" s="50" t="s">
        <v>62</v>
      </c>
      <c r="D2028" s="50" t="s">
        <v>27</v>
      </c>
      <c r="E2028" s="50">
        <v>50040133</v>
      </c>
      <c r="F2028" s="50" t="s">
        <v>92</v>
      </c>
      <c r="G2028" s="50">
        <v>1</v>
      </c>
      <c r="H2028" s="50" t="s">
        <v>2</v>
      </c>
      <c r="I2028" s="50" t="s">
        <v>293</v>
      </c>
      <c r="J2028" s="51">
        <v>46050</v>
      </c>
      <c r="K2028" s="50" t="s">
        <v>1</v>
      </c>
      <c r="L2028" s="50" t="s">
        <v>80</v>
      </c>
    </row>
    <row r="2029" spans="2:12">
      <c r="B2029" s="50" t="s">
        <v>427</v>
      </c>
      <c r="C2029" s="50" t="s">
        <v>26</v>
      </c>
      <c r="D2029" s="50" t="s">
        <v>27</v>
      </c>
      <c r="E2029" s="50">
        <v>50043151</v>
      </c>
      <c r="F2029" s="50" t="s">
        <v>331</v>
      </c>
      <c r="G2029" s="50">
        <v>1</v>
      </c>
      <c r="H2029" s="50" t="s">
        <v>2</v>
      </c>
      <c r="I2029" s="50" t="s">
        <v>293</v>
      </c>
      <c r="J2029" s="51">
        <v>46050</v>
      </c>
      <c r="K2029" s="50" t="s">
        <v>1</v>
      </c>
      <c r="L2029" s="50" t="s">
        <v>80</v>
      </c>
    </row>
    <row r="2030" spans="2:12">
      <c r="B2030" s="50" t="s">
        <v>483</v>
      </c>
      <c r="C2030" s="50" t="s">
        <v>62</v>
      </c>
      <c r="D2030" s="50" t="s">
        <v>27</v>
      </c>
      <c r="E2030" s="50">
        <v>50037892</v>
      </c>
      <c r="F2030" s="50" t="s">
        <v>178</v>
      </c>
      <c r="G2030" s="50">
        <v>1</v>
      </c>
      <c r="H2030" s="50" t="s">
        <v>2</v>
      </c>
      <c r="I2030" s="50" t="s">
        <v>293</v>
      </c>
      <c r="J2030" s="51">
        <v>46050</v>
      </c>
      <c r="K2030" s="50" t="s">
        <v>1</v>
      </c>
      <c r="L2030" s="50" t="s">
        <v>80</v>
      </c>
    </row>
    <row r="2031" spans="2:12">
      <c r="B2031" s="50" t="s">
        <v>345</v>
      </c>
      <c r="C2031" s="50" t="s">
        <v>62</v>
      </c>
      <c r="D2031" s="50" t="s">
        <v>27</v>
      </c>
      <c r="E2031" s="50">
        <v>50028220</v>
      </c>
      <c r="F2031" s="50" t="s">
        <v>242</v>
      </c>
      <c r="G2031" s="50">
        <v>1</v>
      </c>
      <c r="H2031" s="50" t="s">
        <v>2</v>
      </c>
      <c r="I2031" s="50" t="s">
        <v>293</v>
      </c>
      <c r="J2031" s="51">
        <v>46050</v>
      </c>
      <c r="K2031" s="50" t="s">
        <v>1</v>
      </c>
      <c r="L2031" s="50" t="s">
        <v>80</v>
      </c>
    </row>
    <row r="2032" spans="2:12">
      <c r="B2032" s="50" t="s">
        <v>474</v>
      </c>
      <c r="C2032" s="50" t="s">
        <v>51</v>
      </c>
      <c r="D2032" s="50" t="s">
        <v>27</v>
      </c>
      <c r="E2032" s="50">
        <v>50003297</v>
      </c>
      <c r="F2032" s="50" t="s">
        <v>158</v>
      </c>
      <c r="G2032" s="50">
        <v>1</v>
      </c>
      <c r="H2032" s="50" t="s">
        <v>2</v>
      </c>
      <c r="I2032" s="50" t="s">
        <v>293</v>
      </c>
      <c r="J2032" s="51">
        <v>46050</v>
      </c>
      <c r="K2032" s="50" t="s">
        <v>1</v>
      </c>
      <c r="L2032" s="50" t="s">
        <v>80</v>
      </c>
    </row>
    <row r="2033" spans="2:12">
      <c r="B2033" s="50" t="s">
        <v>399</v>
      </c>
      <c r="C2033" s="50" t="s">
        <v>51</v>
      </c>
      <c r="D2033" s="50" t="s">
        <v>27</v>
      </c>
      <c r="E2033" s="50">
        <v>50036296</v>
      </c>
      <c r="F2033" s="50" t="s">
        <v>109</v>
      </c>
      <c r="G2033" s="50">
        <v>1</v>
      </c>
      <c r="H2033" s="50" t="s">
        <v>2</v>
      </c>
      <c r="I2033" s="50" t="s">
        <v>293</v>
      </c>
      <c r="J2033" s="51">
        <v>46050</v>
      </c>
      <c r="K2033" s="50" t="s">
        <v>1</v>
      </c>
      <c r="L2033" s="50" t="s">
        <v>80</v>
      </c>
    </row>
    <row r="2034" spans="2:12">
      <c r="B2034" s="50" t="s">
        <v>406</v>
      </c>
      <c r="C2034" s="50" t="s">
        <v>26</v>
      </c>
      <c r="D2034" s="50" t="s">
        <v>27</v>
      </c>
      <c r="E2034" s="50">
        <v>50022878</v>
      </c>
      <c r="F2034" s="50" t="s">
        <v>296</v>
      </c>
      <c r="G2034" s="50">
        <v>1</v>
      </c>
      <c r="H2034" s="50" t="s">
        <v>2</v>
      </c>
      <c r="I2034" s="50" t="s">
        <v>293</v>
      </c>
      <c r="J2034" s="51">
        <v>46050</v>
      </c>
      <c r="K2034" s="50" t="s">
        <v>1</v>
      </c>
      <c r="L2034" s="50" t="s">
        <v>80</v>
      </c>
    </row>
    <row r="2035" spans="2:12">
      <c r="B2035" s="50" t="s">
        <v>413</v>
      </c>
      <c r="C2035" s="50" t="s">
        <v>51</v>
      </c>
      <c r="D2035" s="50" t="s">
        <v>39</v>
      </c>
      <c r="E2035" s="50">
        <v>50010031</v>
      </c>
      <c r="F2035" s="50" t="s">
        <v>89</v>
      </c>
      <c r="G2035" s="50">
        <v>1</v>
      </c>
      <c r="H2035" s="50" t="s">
        <v>2</v>
      </c>
      <c r="I2035" s="50" t="s">
        <v>293</v>
      </c>
      <c r="J2035" s="51">
        <v>46050</v>
      </c>
      <c r="K2035" s="50" t="s">
        <v>1</v>
      </c>
      <c r="L2035" s="50" t="s">
        <v>80</v>
      </c>
    </row>
    <row r="2036" spans="2:12">
      <c r="B2036" s="50" t="s">
        <v>413</v>
      </c>
      <c r="C2036" s="50" t="s">
        <v>51</v>
      </c>
      <c r="D2036" s="50" t="s">
        <v>39</v>
      </c>
      <c r="E2036" s="50">
        <v>50001995</v>
      </c>
      <c r="F2036" s="50" t="s">
        <v>185</v>
      </c>
      <c r="G2036" s="50">
        <v>1</v>
      </c>
      <c r="H2036" s="50" t="s">
        <v>2</v>
      </c>
      <c r="I2036" s="50" t="s">
        <v>293</v>
      </c>
      <c r="J2036" s="51">
        <v>46050</v>
      </c>
      <c r="K2036" s="50" t="s">
        <v>1</v>
      </c>
      <c r="L2036" s="50" t="s">
        <v>80</v>
      </c>
    </row>
    <row r="2037" spans="2:12">
      <c r="B2037" s="50" t="s">
        <v>406</v>
      </c>
      <c r="C2037" s="50" t="s">
        <v>26</v>
      </c>
      <c r="D2037" s="50" t="s">
        <v>27</v>
      </c>
      <c r="E2037" s="50">
        <v>50020623</v>
      </c>
      <c r="F2037" s="50" t="s">
        <v>217</v>
      </c>
      <c r="G2037" s="50">
        <v>1</v>
      </c>
      <c r="H2037" s="50" t="s">
        <v>2</v>
      </c>
      <c r="I2037" s="50" t="s">
        <v>292</v>
      </c>
      <c r="J2037" s="51">
        <v>46050</v>
      </c>
      <c r="K2037" s="50" t="s">
        <v>1</v>
      </c>
      <c r="L2037" s="50" t="s">
        <v>80</v>
      </c>
    </row>
    <row r="2038" spans="2:12">
      <c r="B2038" s="50" t="s">
        <v>463</v>
      </c>
      <c r="C2038" s="50" t="s">
        <v>356</v>
      </c>
      <c r="D2038" s="50" t="s">
        <v>27</v>
      </c>
      <c r="E2038" s="50">
        <v>50041195</v>
      </c>
      <c r="F2038" s="50" t="s">
        <v>206</v>
      </c>
      <c r="G2038" s="50">
        <v>1</v>
      </c>
      <c r="H2038" s="50" t="s">
        <v>2</v>
      </c>
      <c r="I2038" s="50" t="s">
        <v>292</v>
      </c>
      <c r="J2038" s="51">
        <v>46050</v>
      </c>
      <c r="K2038" s="50" t="s">
        <v>3</v>
      </c>
      <c r="L2038" s="50" t="s">
        <v>80</v>
      </c>
    </row>
    <row r="2039" spans="2:12">
      <c r="B2039" s="50" t="s">
        <v>406</v>
      </c>
      <c r="C2039" s="50" t="s">
        <v>26</v>
      </c>
      <c r="D2039" s="50" t="s">
        <v>27</v>
      </c>
      <c r="E2039" s="50">
        <v>50022878</v>
      </c>
      <c r="F2039" s="50" t="s">
        <v>296</v>
      </c>
      <c r="G2039" s="50">
        <v>1</v>
      </c>
      <c r="H2039" s="50" t="s">
        <v>2</v>
      </c>
      <c r="I2039" s="50" t="s">
        <v>292</v>
      </c>
      <c r="J2039" s="51">
        <v>46050</v>
      </c>
      <c r="K2039" s="50" t="s">
        <v>3</v>
      </c>
      <c r="L2039" s="50" t="s">
        <v>80</v>
      </c>
    </row>
    <row r="2040" spans="2:12">
      <c r="B2040" s="50" t="s">
        <v>483</v>
      </c>
      <c r="C2040" s="50" t="s">
        <v>62</v>
      </c>
      <c r="D2040" s="50" t="s">
        <v>27</v>
      </c>
      <c r="E2040" s="50">
        <v>50037892</v>
      </c>
      <c r="F2040" s="50" t="s">
        <v>178</v>
      </c>
      <c r="G2040" s="50">
        <v>1</v>
      </c>
      <c r="H2040" s="50" t="s">
        <v>2</v>
      </c>
      <c r="I2040" s="50" t="s">
        <v>292</v>
      </c>
      <c r="J2040" s="51">
        <v>46050</v>
      </c>
      <c r="K2040" s="50" t="s">
        <v>1</v>
      </c>
      <c r="L2040" s="50" t="s">
        <v>80</v>
      </c>
    </row>
    <row r="2041" spans="2:12">
      <c r="B2041" s="50" t="s">
        <v>277</v>
      </c>
      <c r="C2041" s="50" t="s">
        <v>62</v>
      </c>
      <c r="D2041" s="50" t="s">
        <v>27</v>
      </c>
      <c r="E2041" s="50">
        <v>50038194</v>
      </c>
      <c r="F2041" s="50" t="s">
        <v>238</v>
      </c>
      <c r="G2041" s="50">
        <v>1</v>
      </c>
      <c r="H2041" s="50" t="s">
        <v>2</v>
      </c>
      <c r="I2041" s="50" t="s">
        <v>292</v>
      </c>
      <c r="J2041" s="51">
        <v>46050</v>
      </c>
      <c r="K2041" s="50" t="s">
        <v>3</v>
      </c>
      <c r="L2041" s="50" t="s">
        <v>80</v>
      </c>
    </row>
    <row r="2042" spans="2:12">
      <c r="B2042" s="50" t="s">
        <v>466</v>
      </c>
      <c r="C2042" s="50" t="s">
        <v>62</v>
      </c>
      <c r="D2042" s="50" t="s">
        <v>27</v>
      </c>
      <c r="E2042" s="50">
        <v>50040133</v>
      </c>
      <c r="F2042" s="50" t="s">
        <v>92</v>
      </c>
      <c r="G2042" s="50">
        <v>1</v>
      </c>
      <c r="H2042" s="50" t="s">
        <v>2</v>
      </c>
      <c r="I2042" s="50" t="s">
        <v>292</v>
      </c>
      <c r="J2042" s="51">
        <v>46050</v>
      </c>
      <c r="K2042" s="50" t="s">
        <v>3</v>
      </c>
      <c r="L2042" s="50" t="s">
        <v>80</v>
      </c>
    </row>
    <row r="2043" spans="2:12">
      <c r="B2043" s="50" t="s">
        <v>413</v>
      </c>
      <c r="C2043" s="50" t="s">
        <v>51</v>
      </c>
      <c r="D2043" s="50" t="s">
        <v>39</v>
      </c>
      <c r="E2043" s="50">
        <v>50010031</v>
      </c>
      <c r="F2043" s="50" t="s">
        <v>89</v>
      </c>
      <c r="G2043" s="50">
        <v>1</v>
      </c>
      <c r="H2043" s="50" t="s">
        <v>2</v>
      </c>
      <c r="I2043" s="50" t="s">
        <v>292</v>
      </c>
      <c r="J2043" s="51">
        <v>46050</v>
      </c>
      <c r="K2043" s="50" t="s">
        <v>3</v>
      </c>
      <c r="L2043" s="50" t="s">
        <v>80</v>
      </c>
    </row>
    <row r="2044" spans="2:12">
      <c r="B2044" s="50" t="s">
        <v>413</v>
      </c>
      <c r="C2044" s="50" t="s">
        <v>51</v>
      </c>
      <c r="D2044" s="50" t="s">
        <v>39</v>
      </c>
      <c r="E2044" s="50">
        <v>50001995</v>
      </c>
      <c r="F2044" s="50" t="s">
        <v>185</v>
      </c>
      <c r="G2044" s="50">
        <v>1</v>
      </c>
      <c r="H2044" s="50" t="s">
        <v>2</v>
      </c>
      <c r="I2044" s="50" t="s">
        <v>292</v>
      </c>
      <c r="J2044" s="51">
        <v>46050</v>
      </c>
      <c r="K2044" s="50" t="s">
        <v>3</v>
      </c>
      <c r="L2044" s="50" t="s">
        <v>80</v>
      </c>
    </row>
    <row r="2045" spans="2:12">
      <c r="B2045" s="50" t="s">
        <v>345</v>
      </c>
      <c r="C2045" s="50" t="s">
        <v>62</v>
      </c>
      <c r="D2045" s="50" t="s">
        <v>27</v>
      </c>
      <c r="E2045" s="50">
        <v>50028220</v>
      </c>
      <c r="F2045" s="50" t="s">
        <v>242</v>
      </c>
      <c r="G2045" s="50">
        <v>1</v>
      </c>
      <c r="H2045" s="50" t="s">
        <v>2</v>
      </c>
      <c r="I2045" s="50" t="s">
        <v>292</v>
      </c>
      <c r="J2045" s="51">
        <v>46050</v>
      </c>
      <c r="K2045" s="50" t="s">
        <v>3</v>
      </c>
      <c r="L2045" s="50" t="s">
        <v>80</v>
      </c>
    </row>
    <row r="2046" spans="2:12">
      <c r="B2046" s="50" t="s">
        <v>406</v>
      </c>
      <c r="C2046" s="50" t="s">
        <v>26</v>
      </c>
      <c r="D2046" s="50" t="s">
        <v>27</v>
      </c>
      <c r="E2046" s="50">
        <v>50020623</v>
      </c>
      <c r="F2046" s="50" t="s">
        <v>217</v>
      </c>
      <c r="G2046" s="50">
        <v>1</v>
      </c>
      <c r="H2046" s="50" t="s">
        <v>2</v>
      </c>
      <c r="I2046" s="50" t="s">
        <v>293</v>
      </c>
      <c r="J2046" s="51">
        <v>46050</v>
      </c>
      <c r="K2046" s="50" t="s">
        <v>3</v>
      </c>
      <c r="L2046" s="50" t="s">
        <v>80</v>
      </c>
    </row>
    <row r="2047" spans="2:12">
      <c r="B2047" s="50" t="s">
        <v>463</v>
      </c>
      <c r="C2047" s="50" t="s">
        <v>356</v>
      </c>
      <c r="D2047" s="50" t="s">
        <v>27</v>
      </c>
      <c r="E2047" s="50">
        <v>50041195</v>
      </c>
      <c r="F2047" s="50" t="s">
        <v>206</v>
      </c>
      <c r="G2047" s="50">
        <v>1</v>
      </c>
      <c r="H2047" s="50" t="s">
        <v>2</v>
      </c>
      <c r="I2047" s="50" t="s">
        <v>292</v>
      </c>
      <c r="J2047" s="51">
        <v>46050</v>
      </c>
      <c r="K2047" s="50" t="s">
        <v>1</v>
      </c>
      <c r="L2047" s="50" t="s">
        <v>80</v>
      </c>
    </row>
    <row r="2048" spans="2:12">
      <c r="B2048" s="50" t="s">
        <v>345</v>
      </c>
      <c r="C2048" s="50" t="s">
        <v>62</v>
      </c>
      <c r="D2048" s="50" t="s">
        <v>27</v>
      </c>
      <c r="E2048" s="50">
        <v>50030486</v>
      </c>
      <c r="F2048" s="50" t="s">
        <v>153</v>
      </c>
      <c r="G2048" s="50">
        <v>1</v>
      </c>
      <c r="H2048" s="50" t="s">
        <v>2</v>
      </c>
      <c r="I2048" s="50" t="s">
        <v>292</v>
      </c>
      <c r="J2048" s="51">
        <v>46050</v>
      </c>
      <c r="K2048" s="50" t="s">
        <v>1</v>
      </c>
      <c r="L2048" s="50" t="s">
        <v>80</v>
      </c>
    </row>
    <row r="2049" spans="2:12">
      <c r="B2049" s="50" t="s">
        <v>450</v>
      </c>
      <c r="C2049" s="50" t="s">
        <v>61</v>
      </c>
      <c r="D2049" s="50" t="s">
        <v>39</v>
      </c>
      <c r="E2049" s="50">
        <v>50038517</v>
      </c>
      <c r="F2049" s="50" t="s">
        <v>181</v>
      </c>
      <c r="G2049" s="50">
        <v>1</v>
      </c>
      <c r="H2049" s="50" t="s">
        <v>2</v>
      </c>
      <c r="I2049" s="50" t="s">
        <v>292</v>
      </c>
      <c r="J2049" s="51">
        <v>46050</v>
      </c>
      <c r="K2049" s="50" t="s">
        <v>1</v>
      </c>
      <c r="L2049" s="50" t="s">
        <v>80</v>
      </c>
    </row>
    <row r="2050" spans="2:12">
      <c r="B2050" s="50" t="s">
        <v>414</v>
      </c>
      <c r="C2050" s="50" t="s">
        <v>56</v>
      </c>
      <c r="D2050" s="50" t="s">
        <v>27</v>
      </c>
      <c r="E2050" s="50">
        <v>50041195</v>
      </c>
      <c r="F2050" s="50" t="s">
        <v>206</v>
      </c>
      <c r="G2050" s="50">
        <v>1</v>
      </c>
      <c r="H2050" s="50" t="s">
        <v>2</v>
      </c>
      <c r="I2050" s="50" t="s">
        <v>292</v>
      </c>
      <c r="J2050" s="51">
        <v>46050</v>
      </c>
      <c r="K2050" s="50" t="s">
        <v>1</v>
      </c>
      <c r="L2050" s="50" t="s">
        <v>80</v>
      </c>
    </row>
    <row r="2051" spans="2:12">
      <c r="B2051" s="50" t="s">
        <v>270</v>
      </c>
      <c r="C2051" s="50" t="s">
        <v>51</v>
      </c>
      <c r="D2051" s="50" t="s">
        <v>27</v>
      </c>
      <c r="E2051" s="50">
        <v>50010031</v>
      </c>
      <c r="F2051" s="50" t="s">
        <v>89</v>
      </c>
      <c r="G2051" s="50">
        <v>1</v>
      </c>
      <c r="H2051" s="50" t="s">
        <v>2</v>
      </c>
      <c r="I2051" s="50" t="s">
        <v>290</v>
      </c>
      <c r="J2051" s="51">
        <v>46050</v>
      </c>
      <c r="K2051" s="50" t="s">
        <v>3</v>
      </c>
      <c r="L2051" s="50" t="s">
        <v>80</v>
      </c>
    </row>
    <row r="2052" spans="2:12">
      <c r="B2052" s="50" t="s">
        <v>270</v>
      </c>
      <c r="C2052" s="50" t="s">
        <v>51</v>
      </c>
      <c r="D2052" s="50" t="s">
        <v>27</v>
      </c>
      <c r="E2052" s="50">
        <v>50010031</v>
      </c>
      <c r="F2052" s="50" t="s">
        <v>89</v>
      </c>
      <c r="G2052" s="50">
        <v>1</v>
      </c>
      <c r="H2052" s="50" t="s">
        <v>2</v>
      </c>
      <c r="I2052" s="50" t="s">
        <v>290</v>
      </c>
      <c r="J2052" s="51">
        <v>46050</v>
      </c>
      <c r="K2052" s="50" t="s">
        <v>3</v>
      </c>
      <c r="L2052" s="50" t="s">
        <v>80</v>
      </c>
    </row>
    <row r="2053" spans="2:12">
      <c r="B2053" s="50" t="s">
        <v>427</v>
      </c>
      <c r="C2053" s="50" t="s">
        <v>26</v>
      </c>
      <c r="D2053" s="50" t="s">
        <v>27</v>
      </c>
      <c r="E2053" s="50">
        <v>50043151</v>
      </c>
      <c r="F2053" s="50" t="s">
        <v>331</v>
      </c>
      <c r="G2053" s="50">
        <v>1</v>
      </c>
      <c r="H2053" s="50" t="s">
        <v>2</v>
      </c>
      <c r="I2053" s="50" t="s">
        <v>290</v>
      </c>
      <c r="J2053" s="51">
        <v>46050</v>
      </c>
      <c r="K2053" s="50" t="s">
        <v>3</v>
      </c>
      <c r="L2053" s="50" t="s">
        <v>80</v>
      </c>
    </row>
    <row r="2054" spans="2:12">
      <c r="B2054" s="50" t="s">
        <v>450</v>
      </c>
      <c r="C2054" s="50" t="s">
        <v>61</v>
      </c>
      <c r="D2054" s="50" t="s">
        <v>39</v>
      </c>
      <c r="E2054" s="50">
        <v>50038517</v>
      </c>
      <c r="F2054" s="50" t="s">
        <v>181</v>
      </c>
      <c r="G2054" s="50">
        <v>1</v>
      </c>
      <c r="H2054" s="50" t="s">
        <v>2</v>
      </c>
      <c r="I2054" s="50" t="s">
        <v>290</v>
      </c>
      <c r="J2054" s="51">
        <v>46050</v>
      </c>
      <c r="K2054" s="50" t="s">
        <v>3</v>
      </c>
      <c r="L2054" s="50" t="s">
        <v>80</v>
      </c>
    </row>
    <row r="2055" spans="2:12">
      <c r="B2055" s="50" t="s">
        <v>277</v>
      </c>
      <c r="C2055" s="50" t="s">
        <v>62</v>
      </c>
      <c r="D2055" s="50" t="s">
        <v>27</v>
      </c>
      <c r="E2055" s="50">
        <v>50038194</v>
      </c>
      <c r="F2055" s="50" t="s">
        <v>238</v>
      </c>
      <c r="G2055" s="50">
        <v>1</v>
      </c>
      <c r="H2055" s="50" t="s">
        <v>2</v>
      </c>
      <c r="I2055" s="50" t="s">
        <v>290</v>
      </c>
      <c r="J2055" s="51">
        <v>46050</v>
      </c>
      <c r="K2055" s="50" t="s">
        <v>1</v>
      </c>
      <c r="L2055" s="50" t="s">
        <v>80</v>
      </c>
    </row>
    <row r="2056" spans="2:12">
      <c r="B2056" s="50" t="s">
        <v>399</v>
      </c>
      <c r="C2056" s="50" t="s">
        <v>51</v>
      </c>
      <c r="D2056" s="50" t="s">
        <v>27</v>
      </c>
      <c r="E2056" s="50">
        <v>50001995</v>
      </c>
      <c r="F2056" s="50" t="s">
        <v>185</v>
      </c>
      <c r="G2056" s="50">
        <v>1</v>
      </c>
      <c r="H2056" s="50" t="s">
        <v>2</v>
      </c>
      <c r="I2056" s="50" t="s">
        <v>291</v>
      </c>
      <c r="J2056" s="51">
        <v>46050</v>
      </c>
      <c r="K2056" s="50" t="s">
        <v>1</v>
      </c>
      <c r="L2056" s="50" t="s">
        <v>80</v>
      </c>
    </row>
    <row r="2057" spans="2:12">
      <c r="B2057" s="50" t="s">
        <v>399</v>
      </c>
      <c r="C2057" s="50" t="s">
        <v>51</v>
      </c>
      <c r="D2057" s="50" t="s">
        <v>27</v>
      </c>
      <c r="E2057" s="50">
        <v>50038517</v>
      </c>
      <c r="F2057" s="50" t="s">
        <v>181</v>
      </c>
      <c r="G2057" s="50">
        <v>1</v>
      </c>
      <c r="H2057" s="50" t="s">
        <v>2</v>
      </c>
      <c r="I2057" s="50" t="s">
        <v>291</v>
      </c>
      <c r="J2057" s="51">
        <v>46050</v>
      </c>
      <c r="K2057" s="50" t="s">
        <v>1</v>
      </c>
      <c r="L2057" s="50" t="s">
        <v>80</v>
      </c>
    </row>
    <row r="2058" spans="2:12">
      <c r="B2058" s="50" t="s">
        <v>322</v>
      </c>
      <c r="C2058" s="50" t="s">
        <v>286</v>
      </c>
      <c r="D2058" s="50" t="s">
        <v>41</v>
      </c>
      <c r="E2058" s="50">
        <v>50043471</v>
      </c>
      <c r="F2058" s="50" t="s">
        <v>257</v>
      </c>
      <c r="G2058" s="50">
        <v>1</v>
      </c>
      <c r="H2058" s="50" t="s">
        <v>2</v>
      </c>
      <c r="I2058" s="50" t="s">
        <v>288</v>
      </c>
      <c r="J2058" s="51">
        <v>46050</v>
      </c>
      <c r="K2058" s="50" t="s">
        <v>1</v>
      </c>
      <c r="L2058" s="50" t="s">
        <v>80</v>
      </c>
    </row>
    <row r="2059" spans="2:12">
      <c r="B2059" s="50" t="s">
        <v>468</v>
      </c>
      <c r="C2059" s="50" t="s">
        <v>56</v>
      </c>
      <c r="D2059" s="50" t="s">
        <v>41</v>
      </c>
      <c r="E2059" s="50">
        <v>50010031</v>
      </c>
      <c r="F2059" s="50" t="s">
        <v>89</v>
      </c>
      <c r="G2059" s="50">
        <v>1</v>
      </c>
      <c r="H2059" s="50" t="s">
        <v>2</v>
      </c>
      <c r="I2059" s="50" t="s">
        <v>288</v>
      </c>
      <c r="J2059" s="51">
        <v>46050</v>
      </c>
      <c r="K2059" s="50" t="s">
        <v>3</v>
      </c>
      <c r="L2059" s="50" t="s">
        <v>80</v>
      </c>
    </row>
    <row r="2060" spans="2:12">
      <c r="B2060" s="50" t="s">
        <v>474</v>
      </c>
      <c r="C2060" s="50" t="s">
        <v>51</v>
      </c>
      <c r="D2060" s="50" t="s">
        <v>27</v>
      </c>
      <c r="E2060" s="50">
        <v>50003297</v>
      </c>
      <c r="F2060" s="50" t="s">
        <v>158</v>
      </c>
      <c r="G2060" s="50">
        <v>1</v>
      </c>
      <c r="H2060" s="50" t="s">
        <v>2</v>
      </c>
      <c r="I2060" s="50" t="s">
        <v>291</v>
      </c>
      <c r="J2060" s="51">
        <v>46050</v>
      </c>
      <c r="K2060" s="50" t="s">
        <v>3</v>
      </c>
      <c r="L2060" s="50" t="s">
        <v>80</v>
      </c>
    </row>
    <row r="2061" spans="2:12">
      <c r="B2061" s="50" t="s">
        <v>414</v>
      </c>
      <c r="C2061" s="50" t="s">
        <v>56</v>
      </c>
      <c r="D2061" s="50" t="s">
        <v>27</v>
      </c>
      <c r="E2061" s="50">
        <v>50041195</v>
      </c>
      <c r="F2061" s="50" t="s">
        <v>206</v>
      </c>
      <c r="G2061" s="50">
        <v>1</v>
      </c>
      <c r="H2061" s="50" t="s">
        <v>2</v>
      </c>
      <c r="I2061" s="50" t="s">
        <v>291</v>
      </c>
      <c r="J2061" s="51">
        <v>46050</v>
      </c>
      <c r="K2061" s="50" t="s">
        <v>1</v>
      </c>
      <c r="L2061" s="50" t="s">
        <v>80</v>
      </c>
    </row>
    <row r="2062" spans="2:12">
      <c r="B2062" s="50" t="s">
        <v>410</v>
      </c>
      <c r="C2062" s="50" t="s">
        <v>51</v>
      </c>
      <c r="D2062" s="50" t="s">
        <v>27</v>
      </c>
      <c r="E2062" s="50">
        <v>50037892</v>
      </c>
      <c r="F2062" s="50" t="s">
        <v>178</v>
      </c>
      <c r="G2062" s="50">
        <v>1</v>
      </c>
      <c r="H2062" s="50" t="s">
        <v>2</v>
      </c>
      <c r="I2062" s="50" t="s">
        <v>291</v>
      </c>
      <c r="J2062" s="51">
        <v>46050</v>
      </c>
      <c r="K2062" s="50" t="s">
        <v>1</v>
      </c>
      <c r="L2062" s="50" t="s">
        <v>80</v>
      </c>
    </row>
    <row r="2063" spans="2:12">
      <c r="B2063" s="50" t="s">
        <v>410</v>
      </c>
      <c r="C2063" s="50" t="s">
        <v>51</v>
      </c>
      <c r="D2063" s="50" t="s">
        <v>27</v>
      </c>
      <c r="E2063" s="50">
        <v>50041195</v>
      </c>
      <c r="F2063" s="50" t="s">
        <v>206</v>
      </c>
      <c r="G2063" s="50">
        <v>1</v>
      </c>
      <c r="H2063" s="50" t="s">
        <v>2</v>
      </c>
      <c r="I2063" s="50" t="s">
        <v>291</v>
      </c>
      <c r="J2063" s="51">
        <v>46050</v>
      </c>
      <c r="K2063" s="50" t="s">
        <v>1</v>
      </c>
      <c r="L2063" s="50" t="s">
        <v>80</v>
      </c>
    </row>
    <row r="2064" spans="2:12">
      <c r="B2064" s="50" t="s">
        <v>355</v>
      </c>
      <c r="C2064" s="50" t="s">
        <v>56</v>
      </c>
      <c r="D2064" s="50" t="s">
        <v>41</v>
      </c>
      <c r="E2064" s="50">
        <v>50029865</v>
      </c>
      <c r="F2064" s="50" t="s">
        <v>162</v>
      </c>
      <c r="G2064" s="50">
        <v>1</v>
      </c>
      <c r="H2064" s="50" t="s">
        <v>2</v>
      </c>
      <c r="I2064" s="50" t="s">
        <v>288</v>
      </c>
      <c r="J2064" s="51">
        <v>46050</v>
      </c>
      <c r="K2064" s="50" t="s">
        <v>1</v>
      </c>
      <c r="L2064" s="50" t="s">
        <v>80</v>
      </c>
    </row>
    <row r="2065" spans="2:12">
      <c r="B2065" s="50" t="s">
        <v>355</v>
      </c>
      <c r="C2065" s="50" t="s">
        <v>56</v>
      </c>
      <c r="D2065" s="50" t="s">
        <v>41</v>
      </c>
      <c r="E2065" s="50">
        <v>50003297</v>
      </c>
      <c r="F2065" s="50" t="s">
        <v>158</v>
      </c>
      <c r="G2065" s="50">
        <v>1</v>
      </c>
      <c r="H2065" s="50" t="s">
        <v>2</v>
      </c>
      <c r="I2065" s="50" t="s">
        <v>288</v>
      </c>
      <c r="J2065" s="51">
        <v>46050</v>
      </c>
      <c r="K2065" s="50" t="s">
        <v>3</v>
      </c>
      <c r="L2065" s="50" t="s">
        <v>80</v>
      </c>
    </row>
    <row r="2066" spans="2:12">
      <c r="B2066" s="50" t="s">
        <v>410</v>
      </c>
      <c r="C2066" s="50" t="s">
        <v>51</v>
      </c>
      <c r="D2066" s="50" t="s">
        <v>27</v>
      </c>
      <c r="E2066" s="50">
        <v>50041195</v>
      </c>
      <c r="F2066" s="50" t="s">
        <v>206</v>
      </c>
      <c r="G2066" s="50">
        <v>1</v>
      </c>
      <c r="H2066" s="50" t="s">
        <v>2</v>
      </c>
      <c r="I2066" s="50" t="s">
        <v>288</v>
      </c>
      <c r="J2066" s="51">
        <v>46050</v>
      </c>
      <c r="K2066" s="50" t="s">
        <v>3</v>
      </c>
      <c r="L2066" s="50" t="s">
        <v>80</v>
      </c>
    </row>
    <row r="2067" spans="2:12">
      <c r="B2067" s="50" t="s">
        <v>410</v>
      </c>
      <c r="C2067" s="50" t="s">
        <v>51</v>
      </c>
      <c r="D2067" s="50" t="s">
        <v>27</v>
      </c>
      <c r="E2067" s="50">
        <v>50037892</v>
      </c>
      <c r="F2067" s="50" t="s">
        <v>178</v>
      </c>
      <c r="G2067" s="50">
        <v>1</v>
      </c>
      <c r="H2067" s="50" t="s">
        <v>2</v>
      </c>
      <c r="I2067" s="50" t="s">
        <v>288</v>
      </c>
      <c r="J2067" s="51">
        <v>46050</v>
      </c>
      <c r="K2067" s="50" t="s">
        <v>3</v>
      </c>
      <c r="L2067" s="50" t="s">
        <v>80</v>
      </c>
    </row>
    <row r="2068" spans="2:12">
      <c r="B2068" s="50" t="s">
        <v>468</v>
      </c>
      <c r="C2068" s="50" t="s">
        <v>56</v>
      </c>
      <c r="D2068" s="50" t="s">
        <v>41</v>
      </c>
      <c r="E2068" s="50">
        <v>50010031</v>
      </c>
      <c r="F2068" s="50" t="s">
        <v>89</v>
      </c>
      <c r="G2068" s="50">
        <v>1</v>
      </c>
      <c r="H2068" s="50" t="s">
        <v>2</v>
      </c>
      <c r="I2068" s="50" t="s">
        <v>288</v>
      </c>
      <c r="J2068" s="51">
        <v>46050</v>
      </c>
      <c r="K2068" s="50" t="s">
        <v>1</v>
      </c>
      <c r="L2068" s="50" t="s">
        <v>80</v>
      </c>
    </row>
    <row r="2069" spans="2:12">
      <c r="B2069" s="50" t="s">
        <v>420</v>
      </c>
      <c r="C2069" s="50" t="s">
        <v>26</v>
      </c>
      <c r="D2069" s="50" t="s">
        <v>41</v>
      </c>
      <c r="E2069" s="50">
        <v>50041195</v>
      </c>
      <c r="F2069" s="50" t="s">
        <v>206</v>
      </c>
      <c r="G2069" s="50">
        <v>1</v>
      </c>
      <c r="H2069" s="50" t="s">
        <v>2</v>
      </c>
      <c r="I2069" s="50" t="s">
        <v>288</v>
      </c>
      <c r="J2069" s="51">
        <v>46050</v>
      </c>
      <c r="K2069" s="50" t="s">
        <v>3</v>
      </c>
      <c r="L2069" s="50" t="s">
        <v>80</v>
      </c>
    </row>
    <row r="2070" spans="2:12">
      <c r="B2070" s="50" t="s">
        <v>355</v>
      </c>
      <c r="C2070" s="50" t="s">
        <v>56</v>
      </c>
      <c r="D2070" s="50" t="s">
        <v>41</v>
      </c>
      <c r="E2070" s="50">
        <v>50029865</v>
      </c>
      <c r="F2070" s="50" t="s">
        <v>162</v>
      </c>
      <c r="G2070" s="50">
        <v>1</v>
      </c>
      <c r="H2070" s="50" t="s">
        <v>2</v>
      </c>
      <c r="I2070" s="50" t="s">
        <v>288</v>
      </c>
      <c r="J2070" s="51">
        <v>46050</v>
      </c>
      <c r="K2070" s="50" t="s">
        <v>3</v>
      </c>
      <c r="L2070" s="50" t="s">
        <v>80</v>
      </c>
    </row>
    <row r="2071" spans="2:12">
      <c r="B2071" s="50" t="s">
        <v>355</v>
      </c>
      <c r="C2071" s="50" t="s">
        <v>56</v>
      </c>
      <c r="D2071" s="50" t="s">
        <v>41</v>
      </c>
      <c r="E2071" s="50">
        <v>50003297</v>
      </c>
      <c r="F2071" s="50" t="s">
        <v>158</v>
      </c>
      <c r="G2071" s="50">
        <v>1</v>
      </c>
      <c r="H2071" s="50" t="s">
        <v>2</v>
      </c>
      <c r="I2071" s="50" t="s">
        <v>288</v>
      </c>
      <c r="J2071" s="51">
        <v>46050</v>
      </c>
      <c r="K2071" s="50" t="s">
        <v>3</v>
      </c>
      <c r="L2071" s="50" t="s">
        <v>80</v>
      </c>
    </row>
    <row r="2072" spans="2:12">
      <c r="B2072" s="50" t="s">
        <v>345</v>
      </c>
      <c r="C2072" s="50" t="s">
        <v>62</v>
      </c>
      <c r="D2072" s="50" t="s">
        <v>27</v>
      </c>
      <c r="E2072" s="50">
        <v>50030486</v>
      </c>
      <c r="F2072" s="50" t="s">
        <v>153</v>
      </c>
      <c r="G2072" s="50">
        <v>1</v>
      </c>
      <c r="H2072" s="50" t="s">
        <v>2</v>
      </c>
      <c r="I2072" s="50" t="s">
        <v>288</v>
      </c>
      <c r="J2072" s="51">
        <v>46050</v>
      </c>
      <c r="K2072" s="50" t="s">
        <v>1</v>
      </c>
      <c r="L2072" s="50" t="s">
        <v>80</v>
      </c>
    </row>
    <row r="2073" spans="2:12">
      <c r="B2073" s="50" t="s">
        <v>444</v>
      </c>
      <c r="C2073" s="50" t="s">
        <v>51</v>
      </c>
      <c r="D2073" s="50" t="s">
        <v>27</v>
      </c>
      <c r="E2073" s="50">
        <v>50010031</v>
      </c>
      <c r="F2073" s="50" t="s">
        <v>89</v>
      </c>
      <c r="G2073" s="50">
        <v>1</v>
      </c>
      <c r="H2073" s="50" t="s">
        <v>2</v>
      </c>
      <c r="I2073" s="50" t="s">
        <v>288</v>
      </c>
      <c r="J2073" s="51">
        <v>46050</v>
      </c>
      <c r="K2073" s="50" t="s">
        <v>3</v>
      </c>
      <c r="L2073" s="50" t="s">
        <v>80</v>
      </c>
    </row>
    <row r="2074" spans="2:12">
      <c r="B2074" s="50" t="s">
        <v>444</v>
      </c>
      <c r="C2074" s="50" t="s">
        <v>51</v>
      </c>
      <c r="D2074" s="50" t="s">
        <v>27</v>
      </c>
      <c r="E2074" s="50">
        <v>50010031</v>
      </c>
      <c r="F2074" s="50" t="s">
        <v>89</v>
      </c>
      <c r="G2074" s="50">
        <v>1</v>
      </c>
      <c r="H2074" s="50" t="s">
        <v>2</v>
      </c>
      <c r="I2074" s="50" t="s">
        <v>288</v>
      </c>
      <c r="J2074" s="51">
        <v>46050</v>
      </c>
      <c r="K2074" s="50" t="s">
        <v>3</v>
      </c>
      <c r="L2074" s="50" t="s">
        <v>80</v>
      </c>
    </row>
    <row r="2075" spans="2:12">
      <c r="B2075" s="50" t="s">
        <v>322</v>
      </c>
      <c r="C2075" s="50" t="s">
        <v>286</v>
      </c>
      <c r="D2075" s="50" t="s">
        <v>41</v>
      </c>
      <c r="E2075" s="50">
        <v>50043471</v>
      </c>
      <c r="F2075" s="50" t="s">
        <v>257</v>
      </c>
      <c r="G2075" s="50">
        <v>1</v>
      </c>
      <c r="H2075" s="50" t="s">
        <v>2</v>
      </c>
      <c r="I2075" s="50" t="s">
        <v>288</v>
      </c>
      <c r="J2075" s="51">
        <v>46050</v>
      </c>
      <c r="K2075" s="50" t="s">
        <v>1</v>
      </c>
      <c r="L2075" s="50" t="s">
        <v>80</v>
      </c>
    </row>
    <row r="2076" spans="2:12">
      <c r="B2076" s="50" t="s">
        <v>471</v>
      </c>
      <c r="C2076" s="50" t="s">
        <v>26</v>
      </c>
      <c r="D2076" s="50" t="s">
        <v>39</v>
      </c>
      <c r="E2076" s="50">
        <v>50039065</v>
      </c>
      <c r="F2076" s="50" t="s">
        <v>186</v>
      </c>
      <c r="G2076" s="50">
        <v>1</v>
      </c>
      <c r="H2076" s="50" t="s">
        <v>2</v>
      </c>
      <c r="I2076" s="50" t="s">
        <v>291</v>
      </c>
      <c r="J2076" s="51">
        <v>46050</v>
      </c>
      <c r="K2076" s="50" t="s">
        <v>1</v>
      </c>
      <c r="L2076" s="50" t="s">
        <v>80</v>
      </c>
    </row>
    <row r="2077" spans="2:12">
      <c r="B2077" s="50" t="s">
        <v>471</v>
      </c>
      <c r="C2077" s="50" t="s">
        <v>26</v>
      </c>
      <c r="D2077" s="50" t="s">
        <v>39</v>
      </c>
      <c r="E2077" s="50">
        <v>50010031</v>
      </c>
      <c r="F2077" s="50" t="s">
        <v>89</v>
      </c>
      <c r="G2077" s="50">
        <v>1</v>
      </c>
      <c r="H2077" s="50" t="s">
        <v>2</v>
      </c>
      <c r="I2077" s="50" t="s">
        <v>291</v>
      </c>
      <c r="J2077" s="51">
        <v>46050</v>
      </c>
      <c r="K2077" s="50" t="s">
        <v>3</v>
      </c>
      <c r="L2077" s="50" t="s">
        <v>80</v>
      </c>
    </row>
    <row r="2078" spans="2:12">
      <c r="B2078" s="50" t="s">
        <v>420</v>
      </c>
      <c r="C2078" s="50" t="s">
        <v>26</v>
      </c>
      <c r="D2078" s="50" t="s">
        <v>41</v>
      </c>
      <c r="E2078" s="50">
        <v>50041195</v>
      </c>
      <c r="F2078" s="50" t="s">
        <v>206</v>
      </c>
      <c r="G2078" s="50">
        <v>1</v>
      </c>
      <c r="H2078" s="50" t="s">
        <v>2</v>
      </c>
      <c r="I2078" s="50" t="s">
        <v>291</v>
      </c>
      <c r="J2078" s="51">
        <v>46050</v>
      </c>
      <c r="K2078" s="50" t="s">
        <v>3</v>
      </c>
      <c r="L2078" s="50" t="s">
        <v>80</v>
      </c>
    </row>
    <row r="2079" spans="2:12">
      <c r="B2079" s="50" t="s">
        <v>399</v>
      </c>
      <c r="C2079" s="50" t="s">
        <v>51</v>
      </c>
      <c r="D2079" s="50" t="s">
        <v>27</v>
      </c>
      <c r="E2079" s="50">
        <v>50036296</v>
      </c>
      <c r="F2079" s="50" t="s">
        <v>109</v>
      </c>
      <c r="G2079" s="50">
        <v>1</v>
      </c>
      <c r="H2079" s="50" t="s">
        <v>2</v>
      </c>
      <c r="I2079" s="50" t="s">
        <v>291</v>
      </c>
      <c r="J2079" s="51">
        <v>46050</v>
      </c>
      <c r="K2079" s="50" t="s">
        <v>3</v>
      </c>
      <c r="L2079" s="50" t="s">
        <v>80</v>
      </c>
    </row>
    <row r="2080" spans="2:12">
      <c r="B2080" s="50" t="s">
        <v>399</v>
      </c>
      <c r="C2080" s="50" t="s">
        <v>51</v>
      </c>
      <c r="D2080" s="50" t="s">
        <v>27</v>
      </c>
      <c r="E2080" s="50">
        <v>50038517</v>
      </c>
      <c r="F2080" s="50" t="s">
        <v>181</v>
      </c>
      <c r="G2080" s="50">
        <v>1</v>
      </c>
      <c r="H2080" s="50" t="s">
        <v>2</v>
      </c>
      <c r="I2080" s="50" t="s">
        <v>291</v>
      </c>
      <c r="J2080" s="51">
        <v>46050</v>
      </c>
      <c r="K2080" s="50" t="s">
        <v>3</v>
      </c>
      <c r="L2080" s="50" t="s">
        <v>80</v>
      </c>
    </row>
    <row r="2081" spans="2:12">
      <c r="B2081" s="50" t="s">
        <v>399</v>
      </c>
      <c r="C2081" s="50" t="s">
        <v>51</v>
      </c>
      <c r="D2081" s="50" t="s">
        <v>27</v>
      </c>
      <c r="E2081" s="50">
        <v>50001995</v>
      </c>
      <c r="F2081" s="50" t="s">
        <v>185</v>
      </c>
      <c r="G2081" s="50">
        <v>1</v>
      </c>
      <c r="H2081" s="50" t="s">
        <v>2</v>
      </c>
      <c r="I2081" s="50" t="s">
        <v>291</v>
      </c>
      <c r="J2081" s="51">
        <v>46050</v>
      </c>
      <c r="K2081" s="50" t="s">
        <v>1</v>
      </c>
      <c r="L2081" s="50" t="s">
        <v>80</v>
      </c>
    </row>
    <row r="2082" spans="2:12">
      <c r="B2082" s="50" t="s">
        <v>469</v>
      </c>
      <c r="C2082" s="50" t="s">
        <v>26</v>
      </c>
      <c r="D2082" s="50" t="s">
        <v>39</v>
      </c>
      <c r="E2082" s="50">
        <v>50038517</v>
      </c>
      <c r="F2082" s="50" t="s">
        <v>181</v>
      </c>
      <c r="G2082" s="50">
        <v>1</v>
      </c>
      <c r="H2082" s="50" t="s">
        <v>2</v>
      </c>
      <c r="I2082" s="50" t="s">
        <v>289</v>
      </c>
      <c r="J2082" s="51">
        <v>46049</v>
      </c>
      <c r="K2082" s="50" t="s">
        <v>1</v>
      </c>
      <c r="L2082" s="50" t="s">
        <v>80</v>
      </c>
    </row>
    <row r="2083" spans="2:12">
      <c r="B2083" s="50" t="s">
        <v>413</v>
      </c>
      <c r="C2083" s="50" t="s">
        <v>51</v>
      </c>
      <c r="D2083" s="50" t="s">
        <v>39</v>
      </c>
      <c r="E2083" s="50">
        <v>50037892</v>
      </c>
      <c r="F2083" s="50" t="s">
        <v>178</v>
      </c>
      <c r="G2083" s="50">
        <v>1</v>
      </c>
      <c r="H2083" s="50" t="s">
        <v>2</v>
      </c>
      <c r="I2083" s="50" t="s">
        <v>289</v>
      </c>
      <c r="J2083" s="51">
        <v>46049</v>
      </c>
      <c r="K2083" s="50" t="s">
        <v>1</v>
      </c>
      <c r="L2083" s="50" t="s">
        <v>80</v>
      </c>
    </row>
    <row r="2084" spans="2:12">
      <c r="B2084" s="50" t="s">
        <v>413</v>
      </c>
      <c r="C2084" s="50" t="s">
        <v>51</v>
      </c>
      <c r="D2084" s="50" t="s">
        <v>39</v>
      </c>
      <c r="E2084" s="50">
        <v>50004486</v>
      </c>
      <c r="F2084" s="50" t="s">
        <v>221</v>
      </c>
      <c r="G2084" s="50">
        <v>1</v>
      </c>
      <c r="H2084" s="50" t="s">
        <v>2</v>
      </c>
      <c r="I2084" s="50" t="s">
        <v>289</v>
      </c>
      <c r="J2084" s="51">
        <v>46049</v>
      </c>
      <c r="K2084" s="50" t="s">
        <v>3</v>
      </c>
      <c r="L2084" s="50" t="s">
        <v>80</v>
      </c>
    </row>
    <row r="2085" spans="2:12">
      <c r="B2085" s="50" t="s">
        <v>413</v>
      </c>
      <c r="C2085" s="50" t="s">
        <v>51</v>
      </c>
      <c r="D2085" s="50" t="s">
        <v>39</v>
      </c>
      <c r="E2085" s="50">
        <v>50037892</v>
      </c>
      <c r="F2085" s="50" t="s">
        <v>178</v>
      </c>
      <c r="G2085" s="50">
        <v>1</v>
      </c>
      <c r="H2085" s="50" t="s">
        <v>2</v>
      </c>
      <c r="I2085" s="50" t="s">
        <v>289</v>
      </c>
      <c r="J2085" s="51">
        <v>46049</v>
      </c>
      <c r="K2085" s="50" t="s">
        <v>3</v>
      </c>
      <c r="L2085" s="50" t="s">
        <v>80</v>
      </c>
    </row>
    <row r="2086" spans="2:12">
      <c r="B2086" s="50" t="s">
        <v>413</v>
      </c>
      <c r="C2086" s="50" t="s">
        <v>51</v>
      </c>
      <c r="D2086" s="50" t="s">
        <v>39</v>
      </c>
      <c r="E2086" s="50">
        <v>50004486</v>
      </c>
      <c r="F2086" s="50" t="s">
        <v>221</v>
      </c>
      <c r="G2086" s="50">
        <v>1</v>
      </c>
      <c r="H2086" s="50" t="s">
        <v>2</v>
      </c>
      <c r="I2086" s="50" t="s">
        <v>289</v>
      </c>
      <c r="J2086" s="51">
        <v>46049</v>
      </c>
      <c r="K2086" s="50" t="s">
        <v>3</v>
      </c>
      <c r="L2086" s="50" t="s">
        <v>80</v>
      </c>
    </row>
    <row r="2087" spans="2:12">
      <c r="B2087" s="50" t="s">
        <v>469</v>
      </c>
      <c r="C2087" s="50" t="s">
        <v>26</v>
      </c>
      <c r="D2087" s="50" t="s">
        <v>39</v>
      </c>
      <c r="E2087" s="50">
        <v>50038517</v>
      </c>
      <c r="F2087" s="50" t="s">
        <v>181</v>
      </c>
      <c r="G2087" s="50">
        <v>1</v>
      </c>
      <c r="H2087" s="50" t="s">
        <v>2</v>
      </c>
      <c r="I2087" s="50" t="s">
        <v>289</v>
      </c>
      <c r="J2087" s="51">
        <v>46049</v>
      </c>
      <c r="K2087" s="50" t="s">
        <v>1</v>
      </c>
      <c r="L2087" s="50" t="s">
        <v>80</v>
      </c>
    </row>
    <row r="2088" spans="2:12">
      <c r="B2088" s="50" t="s">
        <v>399</v>
      </c>
      <c r="C2088" s="50" t="s">
        <v>51</v>
      </c>
      <c r="D2088" s="50" t="s">
        <v>27</v>
      </c>
      <c r="E2088" s="50">
        <v>50001995</v>
      </c>
      <c r="F2088" s="50" t="s">
        <v>185</v>
      </c>
      <c r="G2088" s="50">
        <v>1</v>
      </c>
      <c r="H2088" s="50" t="s">
        <v>2</v>
      </c>
      <c r="I2088" s="50" t="s">
        <v>292</v>
      </c>
      <c r="J2088" s="51">
        <v>46049</v>
      </c>
      <c r="K2088" s="50" t="s">
        <v>1</v>
      </c>
      <c r="L2088" s="50" t="s">
        <v>80</v>
      </c>
    </row>
    <row r="2089" spans="2:12">
      <c r="B2089" s="50" t="s">
        <v>399</v>
      </c>
      <c r="C2089" s="50" t="s">
        <v>51</v>
      </c>
      <c r="D2089" s="50" t="s">
        <v>27</v>
      </c>
      <c r="E2089" s="50">
        <v>50038517</v>
      </c>
      <c r="F2089" s="50" t="s">
        <v>181</v>
      </c>
      <c r="G2089" s="50">
        <v>1</v>
      </c>
      <c r="H2089" s="50" t="s">
        <v>2</v>
      </c>
      <c r="I2089" s="50" t="s">
        <v>292</v>
      </c>
      <c r="J2089" s="51">
        <v>46049</v>
      </c>
      <c r="K2089" s="50" t="s">
        <v>1</v>
      </c>
      <c r="L2089" s="50" t="s">
        <v>80</v>
      </c>
    </row>
    <row r="2090" spans="2:12">
      <c r="B2090" s="50" t="s">
        <v>474</v>
      </c>
      <c r="C2090" s="50" t="s">
        <v>51</v>
      </c>
      <c r="D2090" s="50" t="s">
        <v>27</v>
      </c>
      <c r="E2090" s="50">
        <v>50037892</v>
      </c>
      <c r="F2090" s="50" t="s">
        <v>178</v>
      </c>
      <c r="G2090" s="50">
        <v>1</v>
      </c>
      <c r="H2090" s="50" t="s">
        <v>2</v>
      </c>
      <c r="I2090" s="50" t="s">
        <v>292</v>
      </c>
      <c r="J2090" s="51">
        <v>46049</v>
      </c>
      <c r="K2090" s="50" t="s">
        <v>1</v>
      </c>
      <c r="L2090" s="50" t="s">
        <v>80</v>
      </c>
    </row>
    <row r="2091" spans="2:12">
      <c r="B2091" s="50" t="s">
        <v>474</v>
      </c>
      <c r="C2091" s="50" t="s">
        <v>51</v>
      </c>
      <c r="D2091" s="50" t="s">
        <v>27</v>
      </c>
      <c r="E2091" s="50">
        <v>50043471</v>
      </c>
      <c r="F2091" s="50" t="s">
        <v>257</v>
      </c>
      <c r="G2091" s="50">
        <v>1</v>
      </c>
      <c r="H2091" s="50" t="s">
        <v>2</v>
      </c>
      <c r="I2091" s="50" t="s">
        <v>292</v>
      </c>
      <c r="J2091" s="51">
        <v>46049</v>
      </c>
      <c r="K2091" s="50" t="s">
        <v>1</v>
      </c>
      <c r="L2091" s="50" t="s">
        <v>80</v>
      </c>
    </row>
    <row r="2092" spans="2:12">
      <c r="B2092" s="50" t="s">
        <v>439</v>
      </c>
      <c r="C2092" s="50" t="s">
        <v>62</v>
      </c>
      <c r="D2092" s="50" t="s">
        <v>27</v>
      </c>
      <c r="E2092" s="50">
        <v>50026357</v>
      </c>
      <c r="F2092" s="50" t="s">
        <v>192</v>
      </c>
      <c r="G2092" s="50">
        <v>1</v>
      </c>
      <c r="H2092" s="50" t="s">
        <v>2</v>
      </c>
      <c r="I2092" s="50" t="s">
        <v>292</v>
      </c>
      <c r="J2092" s="51">
        <v>46049</v>
      </c>
      <c r="K2092" s="50" t="s">
        <v>1</v>
      </c>
      <c r="L2092" s="50" t="s">
        <v>80</v>
      </c>
    </row>
    <row r="2093" spans="2:12">
      <c r="B2093" s="50" t="s">
        <v>423</v>
      </c>
      <c r="C2093" s="50" t="s">
        <v>62</v>
      </c>
      <c r="D2093" s="50" t="s">
        <v>27</v>
      </c>
      <c r="E2093" s="50">
        <v>50041195</v>
      </c>
      <c r="F2093" s="50" t="s">
        <v>206</v>
      </c>
      <c r="G2093" s="50">
        <v>1</v>
      </c>
      <c r="H2093" s="50" t="s">
        <v>2</v>
      </c>
      <c r="I2093" s="50" t="s">
        <v>292</v>
      </c>
      <c r="J2093" s="51">
        <v>46049</v>
      </c>
      <c r="K2093" s="50" t="s">
        <v>1</v>
      </c>
      <c r="L2093" s="50" t="s">
        <v>80</v>
      </c>
    </row>
    <row r="2094" spans="2:12">
      <c r="B2094" s="50" t="s">
        <v>466</v>
      </c>
      <c r="C2094" s="50" t="s">
        <v>62</v>
      </c>
      <c r="D2094" s="50" t="s">
        <v>27</v>
      </c>
      <c r="E2094" s="50">
        <v>50041194</v>
      </c>
      <c r="F2094" s="50" t="s">
        <v>249</v>
      </c>
      <c r="G2094" s="50">
        <v>1</v>
      </c>
      <c r="H2094" s="50" t="s">
        <v>2</v>
      </c>
      <c r="I2094" s="50" t="s">
        <v>292</v>
      </c>
      <c r="J2094" s="51">
        <v>46049</v>
      </c>
      <c r="K2094" s="50" t="s">
        <v>3</v>
      </c>
      <c r="L2094" s="50" t="s">
        <v>80</v>
      </c>
    </row>
    <row r="2095" spans="2:12">
      <c r="B2095" s="50" t="s">
        <v>471</v>
      </c>
      <c r="C2095" s="50" t="s">
        <v>26</v>
      </c>
      <c r="D2095" s="50" t="s">
        <v>39</v>
      </c>
      <c r="E2095" s="50">
        <v>50010031</v>
      </c>
      <c r="F2095" s="50" t="s">
        <v>89</v>
      </c>
      <c r="G2095" s="50">
        <v>1</v>
      </c>
      <c r="H2095" s="50" t="s">
        <v>2</v>
      </c>
      <c r="I2095" s="50" t="s">
        <v>292</v>
      </c>
      <c r="J2095" s="51">
        <v>46049</v>
      </c>
      <c r="K2095" s="50" t="s">
        <v>1</v>
      </c>
      <c r="L2095" s="50" t="s">
        <v>80</v>
      </c>
    </row>
    <row r="2096" spans="2:12">
      <c r="B2096" s="50" t="s">
        <v>483</v>
      </c>
      <c r="C2096" s="50" t="s">
        <v>62</v>
      </c>
      <c r="D2096" s="50" t="s">
        <v>27</v>
      </c>
      <c r="E2096" s="50">
        <v>50010031</v>
      </c>
      <c r="F2096" s="50" t="s">
        <v>89</v>
      </c>
      <c r="G2096" s="50">
        <v>1</v>
      </c>
      <c r="H2096" s="50" t="s">
        <v>2</v>
      </c>
      <c r="I2096" s="50" t="s">
        <v>292</v>
      </c>
      <c r="J2096" s="51">
        <v>46049</v>
      </c>
      <c r="K2096" s="50" t="s">
        <v>1</v>
      </c>
      <c r="L2096" s="50" t="s">
        <v>80</v>
      </c>
    </row>
    <row r="2097" spans="2:12">
      <c r="B2097" s="50" t="s">
        <v>394</v>
      </c>
      <c r="C2097" s="50" t="s">
        <v>51</v>
      </c>
      <c r="D2097" s="50" t="s">
        <v>27</v>
      </c>
      <c r="E2097" s="50">
        <v>50022878</v>
      </c>
      <c r="F2097" s="50" t="s">
        <v>296</v>
      </c>
      <c r="G2097" s="50">
        <v>1</v>
      </c>
      <c r="H2097" s="50" t="s">
        <v>2</v>
      </c>
      <c r="I2097" s="50" t="s">
        <v>293</v>
      </c>
      <c r="J2097" s="51">
        <v>46049</v>
      </c>
      <c r="K2097" s="50" t="s">
        <v>3</v>
      </c>
      <c r="L2097" s="50" t="s">
        <v>80</v>
      </c>
    </row>
    <row r="2098" spans="2:12">
      <c r="B2098" s="50" t="s">
        <v>471</v>
      </c>
      <c r="C2098" s="50" t="s">
        <v>26</v>
      </c>
      <c r="D2098" s="50" t="s">
        <v>39</v>
      </c>
      <c r="E2098" s="50">
        <v>50039065</v>
      </c>
      <c r="F2098" s="50" t="s">
        <v>186</v>
      </c>
      <c r="G2098" s="50">
        <v>1</v>
      </c>
      <c r="H2098" s="50" t="s">
        <v>2</v>
      </c>
      <c r="I2098" s="50" t="s">
        <v>292</v>
      </c>
      <c r="J2098" s="51">
        <v>46049</v>
      </c>
      <c r="K2098" s="50" t="s">
        <v>1</v>
      </c>
      <c r="L2098" s="50" t="s">
        <v>80</v>
      </c>
    </row>
    <row r="2099" spans="2:12">
      <c r="B2099" s="50" t="s">
        <v>345</v>
      </c>
      <c r="C2099" s="50" t="s">
        <v>62</v>
      </c>
      <c r="D2099" s="50" t="s">
        <v>27</v>
      </c>
      <c r="E2099" s="50">
        <v>50020623</v>
      </c>
      <c r="F2099" s="50" t="s">
        <v>217</v>
      </c>
      <c r="G2099" s="50">
        <v>1</v>
      </c>
      <c r="H2099" s="50" t="s">
        <v>2</v>
      </c>
      <c r="I2099" s="50" t="s">
        <v>293</v>
      </c>
      <c r="J2099" s="51">
        <v>46049</v>
      </c>
      <c r="K2099" s="50" t="s">
        <v>3</v>
      </c>
      <c r="L2099" s="50" t="s">
        <v>80</v>
      </c>
    </row>
    <row r="2100" spans="2:12">
      <c r="B2100" s="50" t="s">
        <v>345</v>
      </c>
      <c r="C2100" s="50" t="s">
        <v>62</v>
      </c>
      <c r="D2100" s="50" t="s">
        <v>27</v>
      </c>
      <c r="E2100" s="50">
        <v>50020623</v>
      </c>
      <c r="F2100" s="50" t="s">
        <v>217</v>
      </c>
      <c r="G2100" s="50">
        <v>1</v>
      </c>
      <c r="H2100" s="50" t="s">
        <v>2</v>
      </c>
      <c r="I2100" s="50" t="s">
        <v>293</v>
      </c>
      <c r="J2100" s="51">
        <v>46049</v>
      </c>
      <c r="K2100" s="50" t="s">
        <v>3</v>
      </c>
      <c r="L2100" s="50" t="s">
        <v>80</v>
      </c>
    </row>
    <row r="2101" spans="2:12">
      <c r="B2101" s="50" t="s">
        <v>394</v>
      </c>
      <c r="C2101" s="50" t="s">
        <v>51</v>
      </c>
      <c r="D2101" s="50" t="s">
        <v>27</v>
      </c>
      <c r="E2101" s="50">
        <v>50022878</v>
      </c>
      <c r="F2101" s="50" t="s">
        <v>296</v>
      </c>
      <c r="G2101" s="50">
        <v>1</v>
      </c>
      <c r="H2101" s="50" t="s">
        <v>2</v>
      </c>
      <c r="I2101" s="50" t="s">
        <v>292</v>
      </c>
      <c r="J2101" s="51">
        <v>46049</v>
      </c>
      <c r="K2101" s="50" t="s">
        <v>1</v>
      </c>
      <c r="L2101" s="50" t="s">
        <v>80</v>
      </c>
    </row>
    <row r="2102" spans="2:12">
      <c r="B2102" s="50" t="s">
        <v>394</v>
      </c>
      <c r="C2102" s="50" t="s">
        <v>51</v>
      </c>
      <c r="D2102" s="50" t="s">
        <v>27</v>
      </c>
      <c r="E2102" s="50">
        <v>50022878</v>
      </c>
      <c r="F2102" s="50" t="s">
        <v>296</v>
      </c>
      <c r="G2102" s="50">
        <v>1</v>
      </c>
      <c r="H2102" s="50" t="s">
        <v>2</v>
      </c>
      <c r="I2102" s="50" t="s">
        <v>290</v>
      </c>
      <c r="J2102" s="51">
        <v>46049</v>
      </c>
      <c r="K2102" s="50" t="s">
        <v>3</v>
      </c>
      <c r="L2102" s="50" t="s">
        <v>80</v>
      </c>
    </row>
    <row r="2103" spans="2:12">
      <c r="B2103" s="50" t="s">
        <v>466</v>
      </c>
      <c r="C2103" s="50" t="s">
        <v>62</v>
      </c>
      <c r="D2103" s="50" t="s">
        <v>27</v>
      </c>
      <c r="E2103" s="50">
        <v>50041194</v>
      </c>
      <c r="F2103" s="50" t="s">
        <v>249</v>
      </c>
      <c r="G2103" s="50">
        <v>1</v>
      </c>
      <c r="H2103" s="50" t="s">
        <v>2</v>
      </c>
      <c r="I2103" s="50" t="s">
        <v>290</v>
      </c>
      <c r="J2103" s="51">
        <v>46049</v>
      </c>
      <c r="K2103" s="50" t="s">
        <v>3</v>
      </c>
      <c r="L2103" s="50" t="s">
        <v>80</v>
      </c>
    </row>
    <row r="2104" spans="2:12">
      <c r="B2104" s="50" t="s">
        <v>394</v>
      </c>
      <c r="C2104" s="50" t="s">
        <v>51</v>
      </c>
      <c r="D2104" s="50" t="s">
        <v>27</v>
      </c>
      <c r="E2104" s="50">
        <v>50022878</v>
      </c>
      <c r="F2104" s="50" t="s">
        <v>296</v>
      </c>
      <c r="G2104" s="50">
        <v>1</v>
      </c>
      <c r="H2104" s="50" t="s">
        <v>2</v>
      </c>
      <c r="I2104" s="50" t="s">
        <v>288</v>
      </c>
      <c r="J2104" s="51">
        <v>46049</v>
      </c>
      <c r="K2104" s="50" t="s">
        <v>1</v>
      </c>
      <c r="L2104" s="50" t="s">
        <v>80</v>
      </c>
    </row>
    <row r="2105" spans="2:12">
      <c r="B2105" s="50" t="s">
        <v>446</v>
      </c>
      <c r="C2105" s="50" t="s">
        <v>56</v>
      </c>
      <c r="D2105" s="50" t="s">
        <v>27</v>
      </c>
      <c r="E2105" s="50">
        <v>50040133</v>
      </c>
      <c r="F2105" s="50" t="s">
        <v>92</v>
      </c>
      <c r="G2105" s="50">
        <v>1</v>
      </c>
      <c r="H2105" s="50" t="s">
        <v>2</v>
      </c>
      <c r="I2105" s="50" t="s">
        <v>288</v>
      </c>
      <c r="J2105" s="51">
        <v>46049</v>
      </c>
      <c r="K2105" s="50" t="s">
        <v>3</v>
      </c>
      <c r="L2105" s="50" t="s">
        <v>80</v>
      </c>
    </row>
    <row r="2106" spans="2:12">
      <c r="B2106" s="50" t="s">
        <v>345</v>
      </c>
      <c r="C2106" s="50" t="s">
        <v>62</v>
      </c>
      <c r="D2106" s="50" t="s">
        <v>27</v>
      </c>
      <c r="E2106" s="50">
        <v>50038195</v>
      </c>
      <c r="F2106" s="50" t="s">
        <v>239</v>
      </c>
      <c r="G2106" s="50">
        <v>1</v>
      </c>
      <c r="H2106" s="50" t="s">
        <v>2</v>
      </c>
      <c r="I2106" s="50" t="s">
        <v>288</v>
      </c>
      <c r="J2106" s="51">
        <v>46049</v>
      </c>
      <c r="K2106" s="50" t="s">
        <v>3</v>
      </c>
      <c r="L2106" s="50" t="s">
        <v>80</v>
      </c>
    </row>
    <row r="2107" spans="2:12">
      <c r="B2107" s="50" t="s">
        <v>446</v>
      </c>
      <c r="C2107" s="50" t="s">
        <v>56</v>
      </c>
      <c r="D2107" s="50" t="s">
        <v>27</v>
      </c>
      <c r="E2107" s="50">
        <v>50040133</v>
      </c>
      <c r="F2107" s="50" t="s">
        <v>92</v>
      </c>
      <c r="G2107" s="50">
        <v>1</v>
      </c>
      <c r="H2107" s="50" t="s">
        <v>2</v>
      </c>
      <c r="I2107" s="50" t="s">
        <v>288</v>
      </c>
      <c r="J2107" s="51">
        <v>46049</v>
      </c>
      <c r="K2107" s="50" t="s">
        <v>3</v>
      </c>
      <c r="L2107" s="50" t="s">
        <v>80</v>
      </c>
    </row>
    <row r="2108" spans="2:12">
      <c r="B2108" s="50" t="s">
        <v>483</v>
      </c>
      <c r="C2108" s="50" t="s">
        <v>62</v>
      </c>
      <c r="D2108" s="50" t="s">
        <v>27</v>
      </c>
      <c r="E2108" s="50">
        <v>50010031</v>
      </c>
      <c r="F2108" s="50" t="s">
        <v>89</v>
      </c>
      <c r="G2108" s="50">
        <v>1</v>
      </c>
      <c r="H2108" s="50" t="s">
        <v>2</v>
      </c>
      <c r="I2108" s="50" t="s">
        <v>288</v>
      </c>
      <c r="J2108" s="51">
        <v>46049</v>
      </c>
      <c r="K2108" s="50" t="s">
        <v>1</v>
      </c>
      <c r="L2108" s="50" t="s">
        <v>80</v>
      </c>
    </row>
    <row r="2109" spans="2:12">
      <c r="B2109" s="50" t="s">
        <v>399</v>
      </c>
      <c r="C2109" s="50" t="s">
        <v>51</v>
      </c>
      <c r="D2109" s="50" t="s">
        <v>27</v>
      </c>
      <c r="E2109" s="50">
        <v>50036296</v>
      </c>
      <c r="F2109" s="50" t="s">
        <v>109</v>
      </c>
      <c r="G2109" s="50">
        <v>1</v>
      </c>
      <c r="H2109" s="50" t="s">
        <v>2</v>
      </c>
      <c r="I2109" s="50" t="s">
        <v>288</v>
      </c>
      <c r="J2109" s="51">
        <v>46049</v>
      </c>
      <c r="K2109" s="50" t="s">
        <v>3</v>
      </c>
      <c r="L2109" s="50" t="s">
        <v>80</v>
      </c>
    </row>
    <row r="2110" spans="2:12">
      <c r="B2110" s="50" t="s">
        <v>423</v>
      </c>
      <c r="C2110" s="50" t="s">
        <v>62</v>
      </c>
      <c r="D2110" s="50" t="s">
        <v>27</v>
      </c>
      <c r="E2110" s="50">
        <v>50041195</v>
      </c>
      <c r="F2110" s="50" t="s">
        <v>206</v>
      </c>
      <c r="G2110" s="50">
        <v>1</v>
      </c>
      <c r="H2110" s="50" t="s">
        <v>2</v>
      </c>
      <c r="I2110" s="50" t="s">
        <v>288</v>
      </c>
      <c r="J2110" s="51">
        <v>46049</v>
      </c>
      <c r="K2110" s="50" t="s">
        <v>3</v>
      </c>
      <c r="L2110" s="50" t="s">
        <v>80</v>
      </c>
    </row>
    <row r="2111" spans="2:12">
      <c r="B2111" s="50" t="s">
        <v>474</v>
      </c>
      <c r="C2111" s="50" t="s">
        <v>51</v>
      </c>
      <c r="D2111" s="50" t="s">
        <v>27</v>
      </c>
      <c r="E2111" s="50">
        <v>50037892</v>
      </c>
      <c r="F2111" s="50" t="s">
        <v>178</v>
      </c>
      <c r="G2111" s="50">
        <v>1</v>
      </c>
      <c r="H2111" s="50" t="s">
        <v>2</v>
      </c>
      <c r="I2111" s="50" t="s">
        <v>288</v>
      </c>
      <c r="J2111" s="51">
        <v>46049</v>
      </c>
      <c r="K2111" s="50" t="s">
        <v>3</v>
      </c>
      <c r="L2111" s="50" t="s">
        <v>80</v>
      </c>
    </row>
    <row r="2112" spans="2:12">
      <c r="B2112" s="50" t="s">
        <v>474</v>
      </c>
      <c r="C2112" s="50" t="s">
        <v>51</v>
      </c>
      <c r="D2112" s="50" t="s">
        <v>27</v>
      </c>
      <c r="E2112" s="50">
        <v>50043471</v>
      </c>
      <c r="F2112" s="50" t="s">
        <v>257</v>
      </c>
      <c r="G2112" s="50">
        <v>1</v>
      </c>
      <c r="H2112" s="50" t="s">
        <v>2</v>
      </c>
      <c r="I2112" s="50" t="s">
        <v>288</v>
      </c>
      <c r="J2112" s="51">
        <v>46049</v>
      </c>
      <c r="K2112" s="50" t="s">
        <v>3</v>
      </c>
      <c r="L2112" s="50" t="s">
        <v>80</v>
      </c>
    </row>
    <row r="2113" spans="2:12">
      <c r="B2113" s="50" t="s">
        <v>399</v>
      </c>
      <c r="C2113" s="50" t="s">
        <v>51</v>
      </c>
      <c r="D2113" s="50" t="s">
        <v>27</v>
      </c>
      <c r="E2113" s="50">
        <v>50001995</v>
      </c>
      <c r="F2113" s="50" t="s">
        <v>185</v>
      </c>
      <c r="G2113" s="50">
        <v>1</v>
      </c>
      <c r="H2113" s="50" t="s">
        <v>2</v>
      </c>
      <c r="I2113" s="50" t="s">
        <v>288</v>
      </c>
      <c r="J2113" s="51">
        <v>46049</v>
      </c>
      <c r="K2113" s="50" t="s">
        <v>3</v>
      </c>
      <c r="L2113" s="50" t="s">
        <v>80</v>
      </c>
    </row>
    <row r="2114" spans="2:12">
      <c r="B2114" s="50" t="s">
        <v>399</v>
      </c>
      <c r="C2114" s="50" t="s">
        <v>51</v>
      </c>
      <c r="D2114" s="50" t="s">
        <v>27</v>
      </c>
      <c r="E2114" s="50">
        <v>50038517</v>
      </c>
      <c r="F2114" s="50" t="s">
        <v>181</v>
      </c>
      <c r="G2114" s="50">
        <v>1</v>
      </c>
      <c r="H2114" s="50" t="s">
        <v>2</v>
      </c>
      <c r="I2114" s="50" t="s">
        <v>288</v>
      </c>
      <c r="J2114" s="51">
        <v>46049</v>
      </c>
      <c r="K2114" s="50" t="s">
        <v>3</v>
      </c>
      <c r="L2114" s="50" t="s">
        <v>80</v>
      </c>
    </row>
    <row r="2115" spans="2:12">
      <c r="B2115" s="50" t="s">
        <v>439</v>
      </c>
      <c r="C2115" s="50" t="s">
        <v>62</v>
      </c>
      <c r="D2115" s="50" t="s">
        <v>27</v>
      </c>
      <c r="E2115" s="50">
        <v>50026357</v>
      </c>
      <c r="F2115" s="50" t="s">
        <v>192</v>
      </c>
      <c r="G2115" s="50">
        <v>1</v>
      </c>
      <c r="H2115" s="50" t="s">
        <v>2</v>
      </c>
      <c r="I2115" s="50" t="s">
        <v>288</v>
      </c>
      <c r="J2115" s="51">
        <v>46049</v>
      </c>
      <c r="K2115" s="50" t="s">
        <v>3</v>
      </c>
      <c r="L2115" s="50" t="s">
        <v>80</v>
      </c>
    </row>
    <row r="2116" spans="2:12">
      <c r="B2116" s="50" t="s">
        <v>407</v>
      </c>
      <c r="C2116" s="50" t="s">
        <v>26</v>
      </c>
      <c r="D2116" s="50" t="s">
        <v>39</v>
      </c>
      <c r="E2116" s="50">
        <v>50010031</v>
      </c>
      <c r="F2116" s="50" t="s">
        <v>89</v>
      </c>
      <c r="G2116" s="50">
        <v>1</v>
      </c>
      <c r="H2116" s="50" t="s">
        <v>2</v>
      </c>
      <c r="I2116" s="50" t="s">
        <v>289</v>
      </c>
      <c r="J2116" s="51">
        <v>46048</v>
      </c>
      <c r="K2116" s="50" t="s">
        <v>1</v>
      </c>
      <c r="L2116" s="50" t="s">
        <v>80</v>
      </c>
    </row>
    <row r="2117" spans="2:12">
      <c r="B2117" s="50" t="s">
        <v>270</v>
      </c>
      <c r="C2117" s="50" t="s">
        <v>51</v>
      </c>
      <c r="D2117" s="50" t="s">
        <v>27</v>
      </c>
      <c r="E2117" s="50">
        <v>50043471</v>
      </c>
      <c r="F2117" s="50" t="s">
        <v>257</v>
      </c>
      <c r="G2117" s="50">
        <v>1</v>
      </c>
      <c r="H2117" s="50" t="s">
        <v>2</v>
      </c>
      <c r="I2117" s="50" t="s">
        <v>293</v>
      </c>
      <c r="J2117" s="51">
        <v>46048</v>
      </c>
      <c r="K2117" s="50" t="s">
        <v>1</v>
      </c>
      <c r="L2117" s="50" t="s">
        <v>80</v>
      </c>
    </row>
    <row r="2118" spans="2:12">
      <c r="B2118" s="50" t="s">
        <v>483</v>
      </c>
      <c r="C2118" s="50" t="s">
        <v>62</v>
      </c>
      <c r="D2118" s="50" t="s">
        <v>27</v>
      </c>
      <c r="E2118" s="50">
        <v>50010031</v>
      </c>
      <c r="F2118" s="50" t="s">
        <v>89</v>
      </c>
      <c r="G2118" s="50">
        <v>1</v>
      </c>
      <c r="H2118" s="50" t="s">
        <v>2</v>
      </c>
      <c r="I2118" s="50" t="s">
        <v>293</v>
      </c>
      <c r="J2118" s="51">
        <v>46048</v>
      </c>
      <c r="K2118" s="50" t="s">
        <v>1</v>
      </c>
      <c r="L2118" s="50" t="s">
        <v>80</v>
      </c>
    </row>
    <row r="2119" spans="2:12">
      <c r="B2119" s="50" t="s">
        <v>277</v>
      </c>
      <c r="C2119" s="50" t="s">
        <v>62</v>
      </c>
      <c r="D2119" s="50" t="s">
        <v>27</v>
      </c>
      <c r="E2119" s="50">
        <v>50044003</v>
      </c>
      <c r="F2119" s="50" t="s">
        <v>263</v>
      </c>
      <c r="G2119" s="50">
        <v>1</v>
      </c>
      <c r="H2119" s="50" t="s">
        <v>2</v>
      </c>
      <c r="I2119" s="50" t="s">
        <v>293</v>
      </c>
      <c r="J2119" s="51">
        <v>46048</v>
      </c>
      <c r="K2119" s="50" t="s">
        <v>1</v>
      </c>
      <c r="L2119" s="50" t="s">
        <v>80</v>
      </c>
    </row>
    <row r="2120" spans="2:12">
      <c r="B2120" s="50" t="s">
        <v>463</v>
      </c>
      <c r="C2120" s="50" t="s">
        <v>56</v>
      </c>
      <c r="D2120" s="50" t="s">
        <v>27</v>
      </c>
      <c r="E2120" s="50">
        <v>50026357</v>
      </c>
      <c r="F2120" s="50" t="s">
        <v>192</v>
      </c>
      <c r="G2120" s="50">
        <v>1</v>
      </c>
      <c r="H2120" s="50" t="s">
        <v>2</v>
      </c>
      <c r="I2120" s="50" t="s">
        <v>293</v>
      </c>
      <c r="J2120" s="51">
        <v>46048</v>
      </c>
      <c r="K2120" s="50" t="s">
        <v>1</v>
      </c>
      <c r="L2120" s="50" t="s">
        <v>80</v>
      </c>
    </row>
    <row r="2121" spans="2:12">
      <c r="B2121" s="50" t="s">
        <v>427</v>
      </c>
      <c r="C2121" s="50" t="s">
        <v>26</v>
      </c>
      <c r="D2121" s="50" t="s">
        <v>27</v>
      </c>
      <c r="E2121" s="50">
        <v>50038517</v>
      </c>
      <c r="F2121" s="50" t="s">
        <v>181</v>
      </c>
      <c r="G2121" s="50">
        <v>1</v>
      </c>
      <c r="H2121" s="50" t="s">
        <v>2</v>
      </c>
      <c r="I2121" s="50" t="s">
        <v>293</v>
      </c>
      <c r="J2121" s="51">
        <v>46048</v>
      </c>
      <c r="K2121" s="50" t="s">
        <v>1</v>
      </c>
      <c r="L2121" s="50" t="s">
        <v>80</v>
      </c>
    </row>
    <row r="2122" spans="2:12">
      <c r="B2122" s="50" t="s">
        <v>427</v>
      </c>
      <c r="C2122" s="50" t="s">
        <v>26</v>
      </c>
      <c r="D2122" s="50" t="s">
        <v>27</v>
      </c>
      <c r="E2122" s="50">
        <v>50001995</v>
      </c>
      <c r="F2122" s="50" t="s">
        <v>185</v>
      </c>
      <c r="G2122" s="50">
        <v>1</v>
      </c>
      <c r="H2122" s="50" t="s">
        <v>2</v>
      </c>
      <c r="I2122" s="50" t="s">
        <v>293</v>
      </c>
      <c r="J2122" s="51">
        <v>46048</v>
      </c>
      <c r="K2122" s="50" t="s">
        <v>3</v>
      </c>
      <c r="L2122" s="50" t="s">
        <v>80</v>
      </c>
    </row>
    <row r="2123" spans="2:12">
      <c r="B2123" s="50" t="s">
        <v>277</v>
      </c>
      <c r="C2123" s="50" t="s">
        <v>62</v>
      </c>
      <c r="D2123" s="50" t="s">
        <v>27</v>
      </c>
      <c r="E2123" s="50">
        <v>50044003</v>
      </c>
      <c r="F2123" s="50" t="s">
        <v>263</v>
      </c>
      <c r="G2123" s="50">
        <v>1</v>
      </c>
      <c r="H2123" s="50" t="s">
        <v>2</v>
      </c>
      <c r="I2123" s="50" t="s">
        <v>293</v>
      </c>
      <c r="J2123" s="51">
        <v>46048</v>
      </c>
      <c r="K2123" s="50" t="s">
        <v>1</v>
      </c>
      <c r="L2123" s="50" t="s">
        <v>80</v>
      </c>
    </row>
    <row r="2124" spans="2:12">
      <c r="B2124" s="50" t="s">
        <v>453</v>
      </c>
      <c r="C2124" s="50" t="s">
        <v>51</v>
      </c>
      <c r="D2124" s="50" t="s">
        <v>41</v>
      </c>
      <c r="E2124" s="50">
        <v>50044003</v>
      </c>
      <c r="F2124" s="50" t="s">
        <v>263</v>
      </c>
      <c r="G2124" s="50">
        <v>1</v>
      </c>
      <c r="H2124" s="50" t="s">
        <v>2</v>
      </c>
      <c r="I2124" s="50" t="s">
        <v>293</v>
      </c>
      <c r="J2124" s="51">
        <v>46048</v>
      </c>
      <c r="K2124" s="50" t="s">
        <v>1</v>
      </c>
      <c r="L2124" s="50" t="s">
        <v>80</v>
      </c>
    </row>
    <row r="2125" spans="2:12">
      <c r="B2125" s="50" t="s">
        <v>277</v>
      </c>
      <c r="C2125" s="50" t="s">
        <v>62</v>
      </c>
      <c r="D2125" s="50" t="s">
        <v>27</v>
      </c>
      <c r="E2125" s="50">
        <v>50038195</v>
      </c>
      <c r="F2125" s="50" t="s">
        <v>239</v>
      </c>
      <c r="G2125" s="50">
        <v>1</v>
      </c>
      <c r="H2125" s="50" t="s">
        <v>2</v>
      </c>
      <c r="I2125" s="50" t="s">
        <v>293</v>
      </c>
      <c r="J2125" s="51">
        <v>46048</v>
      </c>
      <c r="K2125" s="50" t="s">
        <v>1</v>
      </c>
      <c r="L2125" s="50" t="s">
        <v>80</v>
      </c>
    </row>
    <row r="2126" spans="2:12">
      <c r="B2126" s="50" t="s">
        <v>386</v>
      </c>
      <c r="C2126" s="50" t="s">
        <v>62</v>
      </c>
      <c r="D2126" s="50" t="s">
        <v>27</v>
      </c>
      <c r="E2126" s="50">
        <v>50003297</v>
      </c>
      <c r="F2126" s="50" t="s">
        <v>158</v>
      </c>
      <c r="G2126" s="50">
        <v>1</v>
      </c>
      <c r="H2126" s="50" t="s">
        <v>2</v>
      </c>
      <c r="I2126" s="50" t="s">
        <v>293</v>
      </c>
      <c r="J2126" s="51">
        <v>46048</v>
      </c>
      <c r="K2126" s="50" t="s">
        <v>1</v>
      </c>
      <c r="L2126" s="50" t="s">
        <v>80</v>
      </c>
    </row>
    <row r="2127" spans="2:12">
      <c r="B2127" s="50" t="s">
        <v>399</v>
      </c>
      <c r="C2127" s="50" t="s">
        <v>51</v>
      </c>
      <c r="D2127" s="50" t="s">
        <v>27</v>
      </c>
      <c r="E2127" s="50">
        <v>50039065</v>
      </c>
      <c r="F2127" s="50" t="s">
        <v>186</v>
      </c>
      <c r="G2127" s="50">
        <v>1</v>
      </c>
      <c r="H2127" s="50" t="s">
        <v>2</v>
      </c>
      <c r="I2127" s="50" t="s">
        <v>293</v>
      </c>
      <c r="J2127" s="51">
        <v>46048</v>
      </c>
      <c r="K2127" s="50" t="s">
        <v>3</v>
      </c>
      <c r="L2127" s="50" t="s">
        <v>80</v>
      </c>
    </row>
    <row r="2128" spans="2:12">
      <c r="B2128" s="50" t="s">
        <v>399</v>
      </c>
      <c r="C2128" s="50" t="s">
        <v>51</v>
      </c>
      <c r="D2128" s="50" t="s">
        <v>27</v>
      </c>
      <c r="E2128" s="50">
        <v>50036296</v>
      </c>
      <c r="F2128" s="50" t="s">
        <v>109</v>
      </c>
      <c r="G2128" s="50">
        <v>1</v>
      </c>
      <c r="H2128" s="50" t="s">
        <v>2</v>
      </c>
      <c r="I2128" s="50" t="s">
        <v>293</v>
      </c>
      <c r="J2128" s="51">
        <v>46048</v>
      </c>
      <c r="K2128" s="50" t="s">
        <v>3</v>
      </c>
      <c r="L2128" s="50" t="s">
        <v>80</v>
      </c>
    </row>
    <row r="2129" spans="2:24">
      <c r="B2129" s="50" t="s">
        <v>427</v>
      </c>
      <c r="C2129" s="50" t="s">
        <v>26</v>
      </c>
      <c r="D2129" s="50" t="s">
        <v>27</v>
      </c>
      <c r="E2129" s="50">
        <v>50001995</v>
      </c>
      <c r="F2129" s="50" t="s">
        <v>185</v>
      </c>
      <c r="G2129" s="50">
        <v>1</v>
      </c>
      <c r="H2129" s="50" t="s">
        <v>2</v>
      </c>
      <c r="I2129" s="50" t="s">
        <v>293</v>
      </c>
      <c r="J2129" s="51">
        <v>46048</v>
      </c>
      <c r="K2129" s="50" t="s">
        <v>3</v>
      </c>
      <c r="L2129" s="50" t="s">
        <v>80</v>
      </c>
    </row>
    <row r="2130" spans="2:24">
      <c r="B2130" s="50" t="s">
        <v>427</v>
      </c>
      <c r="C2130" s="50" t="s">
        <v>26</v>
      </c>
      <c r="D2130" s="50" t="s">
        <v>27</v>
      </c>
      <c r="E2130" s="50">
        <v>50038517</v>
      </c>
      <c r="F2130" s="50" t="s">
        <v>181</v>
      </c>
      <c r="G2130" s="50">
        <v>1</v>
      </c>
      <c r="H2130" s="50" t="s">
        <v>2</v>
      </c>
      <c r="I2130" s="50" t="s">
        <v>293</v>
      </c>
      <c r="J2130" s="51">
        <v>46048</v>
      </c>
      <c r="K2130" s="50" t="s">
        <v>1</v>
      </c>
      <c r="L2130" s="50" t="s">
        <v>80</v>
      </c>
    </row>
    <row r="2131" spans="2:24">
      <c r="B2131" s="50" t="s">
        <v>399</v>
      </c>
      <c r="C2131" s="50" t="s">
        <v>51</v>
      </c>
      <c r="D2131" s="50" t="s">
        <v>27</v>
      </c>
      <c r="E2131" s="50">
        <v>50043150</v>
      </c>
      <c r="F2131" s="50" t="s">
        <v>259</v>
      </c>
      <c r="G2131" s="50">
        <v>1</v>
      </c>
      <c r="H2131" s="50" t="s">
        <v>2</v>
      </c>
      <c r="I2131" s="50" t="s">
        <v>293</v>
      </c>
      <c r="J2131" s="51">
        <v>46048</v>
      </c>
      <c r="K2131" s="50" t="s">
        <v>1</v>
      </c>
      <c r="L2131" s="50" t="s">
        <v>80</v>
      </c>
    </row>
    <row r="2132" spans="2:24">
      <c r="B2132" s="50" t="s">
        <v>463</v>
      </c>
      <c r="C2132" s="50" t="s">
        <v>56</v>
      </c>
      <c r="D2132" s="50" t="s">
        <v>27</v>
      </c>
      <c r="E2132" s="50">
        <v>50026357</v>
      </c>
      <c r="F2132" s="50" t="s">
        <v>192</v>
      </c>
      <c r="G2132" s="50">
        <v>1</v>
      </c>
      <c r="H2132" s="50" t="s">
        <v>2</v>
      </c>
      <c r="I2132" s="50" t="s">
        <v>293</v>
      </c>
      <c r="J2132" s="51">
        <v>46048</v>
      </c>
      <c r="K2132" s="50" t="s">
        <v>1</v>
      </c>
      <c r="L2132" s="50" t="s">
        <v>80</v>
      </c>
    </row>
    <row r="2133" spans="2:24">
      <c r="B2133" s="50" t="s">
        <v>437</v>
      </c>
      <c r="C2133" s="50" t="s">
        <v>51</v>
      </c>
      <c r="D2133" s="50" t="s">
        <v>41</v>
      </c>
      <c r="E2133" s="50">
        <v>50038517</v>
      </c>
      <c r="F2133" s="50" t="s">
        <v>181</v>
      </c>
      <c r="G2133" s="50">
        <v>1</v>
      </c>
      <c r="H2133" s="50" t="s">
        <v>2</v>
      </c>
      <c r="I2133" s="50" t="s">
        <v>290</v>
      </c>
      <c r="J2133" s="51">
        <v>46048</v>
      </c>
      <c r="K2133" s="50" t="s">
        <v>3</v>
      </c>
      <c r="L2133" s="50" t="s">
        <v>80</v>
      </c>
    </row>
    <row r="2134" spans="2:24">
      <c r="B2134" s="50" t="s">
        <v>277</v>
      </c>
      <c r="C2134" s="50" t="s">
        <v>62</v>
      </c>
      <c r="D2134" s="50" t="s">
        <v>27</v>
      </c>
      <c r="E2134" s="50">
        <v>50038195</v>
      </c>
      <c r="F2134" s="50" t="s">
        <v>239</v>
      </c>
      <c r="G2134" s="50">
        <v>1</v>
      </c>
      <c r="H2134" s="50" t="s">
        <v>2</v>
      </c>
      <c r="I2134" s="50" t="s">
        <v>290</v>
      </c>
      <c r="J2134" s="51">
        <v>46048</v>
      </c>
      <c r="K2134" s="50" t="s">
        <v>3</v>
      </c>
      <c r="L2134" s="50" t="s">
        <v>80</v>
      </c>
    </row>
    <row r="2135" spans="2:24">
      <c r="B2135" s="50" t="s">
        <v>437</v>
      </c>
      <c r="C2135" s="50" t="s">
        <v>51</v>
      </c>
      <c r="D2135" s="50" t="s">
        <v>41</v>
      </c>
      <c r="E2135" s="50">
        <v>50038517</v>
      </c>
      <c r="F2135" s="50" t="s">
        <v>181</v>
      </c>
      <c r="G2135" s="50">
        <v>1</v>
      </c>
      <c r="H2135" s="50" t="s">
        <v>2</v>
      </c>
      <c r="I2135" s="50" t="s">
        <v>290</v>
      </c>
      <c r="J2135" s="51">
        <v>46048</v>
      </c>
      <c r="K2135" s="50" t="s">
        <v>1</v>
      </c>
      <c r="L2135" s="50" t="s">
        <v>80</v>
      </c>
    </row>
    <row r="2136" spans="2:24">
      <c r="B2136" s="50" t="s">
        <v>273</v>
      </c>
      <c r="C2136" s="50" t="s">
        <v>274</v>
      </c>
      <c r="D2136" s="50" t="s">
        <v>27</v>
      </c>
      <c r="E2136" s="50">
        <v>50003173</v>
      </c>
      <c r="F2136" s="50" t="s">
        <v>74</v>
      </c>
      <c r="G2136" s="50">
        <v>1</v>
      </c>
      <c r="H2136" s="50" t="s">
        <v>2</v>
      </c>
      <c r="I2136" s="50" t="s">
        <v>291</v>
      </c>
      <c r="J2136" s="51">
        <v>46048</v>
      </c>
      <c r="K2136" s="50" t="s">
        <v>3</v>
      </c>
      <c r="L2136" s="50" t="s">
        <v>80</v>
      </c>
    </row>
    <row r="2137" spans="2:24">
      <c r="B2137" s="50" t="s">
        <v>453</v>
      </c>
      <c r="C2137" s="50" t="s">
        <v>51</v>
      </c>
      <c r="D2137" s="50" t="s">
        <v>41</v>
      </c>
      <c r="E2137" s="50">
        <v>50044003</v>
      </c>
      <c r="F2137" s="50" t="s">
        <v>263</v>
      </c>
      <c r="G2137" s="50">
        <v>1</v>
      </c>
      <c r="H2137" s="50" t="s">
        <v>2</v>
      </c>
      <c r="I2137" s="50" t="s">
        <v>291</v>
      </c>
      <c r="J2137" s="51">
        <v>46048</v>
      </c>
      <c r="K2137" s="50" t="s">
        <v>3</v>
      </c>
      <c r="L2137" s="50" t="s">
        <v>80</v>
      </c>
    </row>
    <row r="2138" spans="2:24">
      <c r="B2138" s="50" t="s">
        <v>399</v>
      </c>
      <c r="C2138" s="50" t="s">
        <v>51</v>
      </c>
      <c r="D2138" s="50" t="s">
        <v>27</v>
      </c>
      <c r="E2138" s="50">
        <v>50043150</v>
      </c>
      <c r="F2138" s="50" t="s">
        <v>259</v>
      </c>
      <c r="G2138" s="50">
        <v>1</v>
      </c>
      <c r="H2138" s="50" t="s">
        <v>2</v>
      </c>
      <c r="I2138" s="50" t="s">
        <v>291</v>
      </c>
      <c r="J2138" s="51">
        <v>46048</v>
      </c>
      <c r="K2138" s="50" t="s">
        <v>3</v>
      </c>
      <c r="L2138" s="50" t="s">
        <v>80</v>
      </c>
    </row>
    <row r="2139" spans="2:24">
      <c r="B2139" s="50" t="s">
        <v>386</v>
      </c>
      <c r="C2139" s="50" t="s">
        <v>62</v>
      </c>
      <c r="D2139" s="50" t="s">
        <v>27</v>
      </c>
      <c r="E2139" s="50">
        <v>50003297</v>
      </c>
      <c r="F2139" s="50" t="s">
        <v>158</v>
      </c>
      <c r="G2139" s="50">
        <v>1</v>
      </c>
      <c r="H2139" s="50" t="s">
        <v>2</v>
      </c>
      <c r="I2139" s="50" t="s">
        <v>291</v>
      </c>
      <c r="J2139" s="51">
        <v>46048</v>
      </c>
      <c r="K2139" s="50" t="s">
        <v>3</v>
      </c>
      <c r="L2139" s="50" t="s">
        <v>80</v>
      </c>
    </row>
    <row r="2140" spans="2:24">
      <c r="B2140" s="50" t="s">
        <v>399</v>
      </c>
      <c r="C2140" s="50" t="s">
        <v>51</v>
      </c>
      <c r="D2140" s="50" t="s">
        <v>27</v>
      </c>
      <c r="E2140" s="50">
        <v>50037892</v>
      </c>
      <c r="F2140" s="50" t="s">
        <v>178</v>
      </c>
      <c r="G2140" s="50">
        <v>1</v>
      </c>
      <c r="H2140" s="50" t="s">
        <v>2</v>
      </c>
      <c r="I2140" s="50" t="s">
        <v>291</v>
      </c>
      <c r="J2140" s="51">
        <v>46048</v>
      </c>
      <c r="K2140" s="50" t="s">
        <v>3</v>
      </c>
      <c r="L2140" s="50" t="s">
        <v>80</v>
      </c>
      <c r="M2140" s="50"/>
      <c r="N2140" s="50"/>
      <c r="O2140" s="50"/>
      <c r="P2140" s="50"/>
      <c r="Q2140" s="50"/>
      <c r="R2140" s="50"/>
      <c r="S2140" s="50"/>
      <c r="T2140" s="50"/>
      <c r="U2140" s="50"/>
      <c r="V2140" s="51"/>
      <c r="W2140" s="50"/>
      <c r="X2140" s="50"/>
    </row>
    <row r="2141" spans="2:24">
      <c r="B2141" s="50" t="s">
        <v>399</v>
      </c>
      <c r="C2141" s="50" t="s">
        <v>51</v>
      </c>
      <c r="D2141" s="50" t="s">
        <v>27</v>
      </c>
      <c r="E2141" s="50">
        <v>50039065</v>
      </c>
      <c r="F2141" s="50" t="s">
        <v>186</v>
      </c>
      <c r="G2141" s="50">
        <v>1</v>
      </c>
      <c r="H2141" s="50" t="s">
        <v>2</v>
      </c>
      <c r="I2141" s="50" t="s">
        <v>291</v>
      </c>
      <c r="J2141" s="51">
        <v>46048</v>
      </c>
      <c r="K2141" s="50" t="s">
        <v>3</v>
      </c>
      <c r="L2141" s="50" t="s">
        <v>80</v>
      </c>
    </row>
    <row r="2142" spans="2:24">
      <c r="B2142" s="50" t="s">
        <v>345</v>
      </c>
      <c r="C2142" s="50" t="s">
        <v>62</v>
      </c>
      <c r="D2142" s="50" t="s">
        <v>27</v>
      </c>
      <c r="E2142" s="50">
        <v>50041195</v>
      </c>
      <c r="F2142" s="50" t="s">
        <v>206</v>
      </c>
      <c r="G2142" s="50">
        <v>1</v>
      </c>
      <c r="H2142" s="50" t="s">
        <v>2</v>
      </c>
      <c r="I2142" s="50" t="s">
        <v>291</v>
      </c>
      <c r="J2142" s="51">
        <v>46048</v>
      </c>
      <c r="K2142" s="50" t="s">
        <v>3</v>
      </c>
      <c r="L2142" s="50" t="s">
        <v>80</v>
      </c>
    </row>
    <row r="2143" spans="2:24">
      <c r="B2143" s="50" t="s">
        <v>483</v>
      </c>
      <c r="C2143" s="50" t="s">
        <v>62</v>
      </c>
      <c r="D2143" s="50" t="s">
        <v>27</v>
      </c>
      <c r="E2143" s="50">
        <v>50010031</v>
      </c>
      <c r="F2143" s="50" t="s">
        <v>89</v>
      </c>
      <c r="G2143" s="50">
        <v>1</v>
      </c>
      <c r="H2143" s="50" t="s">
        <v>2</v>
      </c>
      <c r="I2143" s="50" t="s">
        <v>291</v>
      </c>
      <c r="J2143" s="51">
        <v>46048</v>
      </c>
      <c r="K2143" s="50" t="s">
        <v>3</v>
      </c>
      <c r="L2143" s="50" t="s">
        <v>80</v>
      </c>
    </row>
    <row r="2144" spans="2:24">
      <c r="B2144" s="50" t="s">
        <v>270</v>
      </c>
      <c r="C2144" s="50" t="s">
        <v>51</v>
      </c>
      <c r="D2144" s="50" t="s">
        <v>27</v>
      </c>
      <c r="E2144" s="50">
        <v>50043471</v>
      </c>
      <c r="F2144" s="50" t="s">
        <v>257</v>
      </c>
      <c r="G2144" s="50">
        <v>1</v>
      </c>
      <c r="H2144" s="50" t="s">
        <v>2</v>
      </c>
      <c r="I2144" s="50" t="s">
        <v>291</v>
      </c>
      <c r="J2144" s="51">
        <v>46048</v>
      </c>
      <c r="K2144" s="50" t="s">
        <v>1</v>
      </c>
      <c r="L2144" s="50" t="s">
        <v>80</v>
      </c>
    </row>
    <row r="2145" spans="2:12" ht="11.25" customHeight="1">
      <c r="B2145" s="50" t="s">
        <v>472</v>
      </c>
      <c r="C2145" s="50" t="s">
        <v>51</v>
      </c>
      <c r="D2145" s="50" t="s">
        <v>41</v>
      </c>
      <c r="E2145" s="50">
        <v>50010031</v>
      </c>
      <c r="F2145" s="50" t="s">
        <v>89</v>
      </c>
      <c r="G2145" s="50">
        <v>1</v>
      </c>
      <c r="H2145" s="50" t="s">
        <v>2</v>
      </c>
      <c r="I2145" s="50" t="s">
        <v>291</v>
      </c>
      <c r="J2145" s="51">
        <v>46048</v>
      </c>
      <c r="K2145" s="50" t="s">
        <v>3</v>
      </c>
      <c r="L2145" s="50" t="s">
        <v>80</v>
      </c>
    </row>
    <row r="2146" spans="2:12">
      <c r="B2146" s="50" t="s">
        <v>472</v>
      </c>
      <c r="C2146" s="50" t="s">
        <v>51</v>
      </c>
      <c r="D2146" s="50" t="s">
        <v>41</v>
      </c>
      <c r="E2146" s="50">
        <v>50010031</v>
      </c>
      <c r="F2146" s="50" t="s">
        <v>89</v>
      </c>
      <c r="G2146" s="50">
        <v>1</v>
      </c>
      <c r="H2146" s="50" t="s">
        <v>2</v>
      </c>
      <c r="I2146" s="50" t="s">
        <v>291</v>
      </c>
      <c r="J2146" s="51">
        <v>46048</v>
      </c>
      <c r="K2146" s="50" t="s">
        <v>1</v>
      </c>
      <c r="L2146" s="50" t="s">
        <v>80</v>
      </c>
    </row>
    <row r="2147" spans="2:12">
      <c r="B2147" s="50" t="s">
        <v>437</v>
      </c>
      <c r="C2147" s="50" t="s">
        <v>51</v>
      </c>
      <c r="D2147" s="50" t="s">
        <v>41</v>
      </c>
      <c r="E2147" s="50">
        <v>50010031</v>
      </c>
      <c r="F2147" s="50" t="s">
        <v>89</v>
      </c>
      <c r="G2147" s="50">
        <v>1</v>
      </c>
      <c r="H2147" s="50" t="s">
        <v>2</v>
      </c>
      <c r="I2147" s="50" t="s">
        <v>291</v>
      </c>
      <c r="J2147" s="51">
        <v>46048</v>
      </c>
      <c r="K2147" s="50" t="s">
        <v>3</v>
      </c>
      <c r="L2147" s="50" t="s">
        <v>80</v>
      </c>
    </row>
    <row r="2148" spans="2:12">
      <c r="B2148" s="50" t="s">
        <v>273</v>
      </c>
      <c r="C2148" s="50" t="s">
        <v>274</v>
      </c>
      <c r="D2148" s="50" t="s">
        <v>27</v>
      </c>
      <c r="E2148" s="50">
        <v>50003173</v>
      </c>
      <c r="F2148" s="50" t="s">
        <v>74</v>
      </c>
      <c r="G2148" s="50">
        <v>1</v>
      </c>
      <c r="H2148" s="50" t="s">
        <v>2</v>
      </c>
      <c r="I2148" s="50" t="s">
        <v>291</v>
      </c>
      <c r="J2148" s="51">
        <v>46048</v>
      </c>
      <c r="K2148" s="50" t="s">
        <v>3</v>
      </c>
      <c r="L2148" s="50" t="s">
        <v>80</v>
      </c>
    </row>
    <row r="2149" spans="2:12">
      <c r="B2149" s="50" t="s">
        <v>437</v>
      </c>
      <c r="C2149" s="50" t="s">
        <v>51</v>
      </c>
      <c r="D2149" s="50" t="s">
        <v>41</v>
      </c>
      <c r="E2149" s="50">
        <v>50010031</v>
      </c>
      <c r="F2149" s="50" t="s">
        <v>89</v>
      </c>
      <c r="G2149" s="50">
        <v>1</v>
      </c>
      <c r="H2149" s="50" t="s">
        <v>2</v>
      </c>
      <c r="I2149" s="50" t="s">
        <v>291</v>
      </c>
      <c r="J2149" s="51">
        <v>46048</v>
      </c>
      <c r="K2149" s="50" t="s">
        <v>1</v>
      </c>
      <c r="L2149" s="50" t="s">
        <v>80</v>
      </c>
    </row>
    <row r="2150" spans="2:12">
      <c r="B2150" s="50" t="s">
        <v>462</v>
      </c>
      <c r="C2150" s="50" t="s">
        <v>60</v>
      </c>
      <c r="D2150" s="50" t="s">
        <v>39</v>
      </c>
      <c r="E2150" s="50">
        <v>50038549</v>
      </c>
      <c r="F2150" s="50" t="s">
        <v>173</v>
      </c>
      <c r="G2150" s="50">
        <v>1</v>
      </c>
      <c r="H2150" s="50" t="s">
        <v>2</v>
      </c>
      <c r="I2150" s="50" t="s">
        <v>289</v>
      </c>
      <c r="J2150" s="51">
        <v>46047</v>
      </c>
      <c r="K2150" s="50" t="s">
        <v>3</v>
      </c>
      <c r="L2150" s="50" t="s">
        <v>80</v>
      </c>
    </row>
    <row r="2151" spans="2:12">
      <c r="B2151" s="50" t="s">
        <v>462</v>
      </c>
      <c r="C2151" s="50" t="s">
        <v>60</v>
      </c>
      <c r="D2151" s="50" t="s">
        <v>39</v>
      </c>
      <c r="E2151" s="50">
        <v>50038549</v>
      </c>
      <c r="F2151" s="50" t="s">
        <v>173</v>
      </c>
      <c r="G2151" s="50">
        <v>1</v>
      </c>
      <c r="H2151" s="50" t="s">
        <v>2</v>
      </c>
      <c r="I2151" s="50" t="s">
        <v>289</v>
      </c>
      <c r="J2151" s="51">
        <v>46047</v>
      </c>
      <c r="K2151" s="50" t="s">
        <v>1</v>
      </c>
      <c r="L2151" s="50" t="s">
        <v>80</v>
      </c>
    </row>
    <row r="2152" spans="2:12">
      <c r="B2152" s="50" t="s">
        <v>347</v>
      </c>
      <c r="C2152" s="50" t="s">
        <v>26</v>
      </c>
      <c r="D2152" s="50" t="s">
        <v>41</v>
      </c>
      <c r="E2152" s="50">
        <v>50010031</v>
      </c>
      <c r="F2152" s="50" t="s">
        <v>89</v>
      </c>
      <c r="G2152" s="50">
        <v>1</v>
      </c>
      <c r="H2152" s="50" t="s">
        <v>2</v>
      </c>
      <c r="I2152" s="50" t="s">
        <v>289</v>
      </c>
      <c r="J2152" s="51">
        <v>46046</v>
      </c>
      <c r="K2152" s="50" t="s">
        <v>3</v>
      </c>
      <c r="L2152" s="50" t="s">
        <v>80</v>
      </c>
    </row>
    <row r="2153" spans="2:12">
      <c r="B2153" s="50" t="s">
        <v>347</v>
      </c>
      <c r="C2153" s="50" t="s">
        <v>26</v>
      </c>
      <c r="D2153" s="50" t="s">
        <v>41</v>
      </c>
      <c r="E2153" s="50">
        <v>50010031</v>
      </c>
      <c r="F2153" s="50" t="s">
        <v>89</v>
      </c>
      <c r="G2153" s="50">
        <v>1</v>
      </c>
      <c r="H2153" s="50" t="s">
        <v>2</v>
      </c>
      <c r="I2153" s="50" t="s">
        <v>289</v>
      </c>
      <c r="J2153" s="51">
        <v>46046</v>
      </c>
      <c r="K2153" s="50" t="s">
        <v>1</v>
      </c>
      <c r="L2153" s="50" t="s">
        <v>80</v>
      </c>
    </row>
    <row r="2154" spans="2:12">
      <c r="B2154" s="50" t="s">
        <v>428</v>
      </c>
      <c r="C2154" s="50" t="s">
        <v>26</v>
      </c>
      <c r="D2154" s="50" t="s">
        <v>27</v>
      </c>
      <c r="E2154" s="50">
        <v>50037922</v>
      </c>
      <c r="F2154" s="50" t="s">
        <v>117</v>
      </c>
      <c r="G2154" s="50">
        <v>1</v>
      </c>
      <c r="H2154" s="50" t="s">
        <v>2</v>
      </c>
      <c r="I2154" s="50" t="s">
        <v>292</v>
      </c>
      <c r="J2154" s="51">
        <v>46045</v>
      </c>
      <c r="K2154" s="50" t="s">
        <v>1</v>
      </c>
      <c r="L2154" s="50" t="s">
        <v>80</v>
      </c>
    </row>
    <row r="2155" spans="2:12">
      <c r="B2155" s="50" t="s">
        <v>316</v>
      </c>
      <c r="C2155" s="50" t="s">
        <v>51</v>
      </c>
      <c r="D2155" s="50" t="s">
        <v>27</v>
      </c>
      <c r="E2155" s="50">
        <v>50037892</v>
      </c>
      <c r="F2155" s="50" t="s">
        <v>178</v>
      </c>
      <c r="G2155" s="50">
        <v>1</v>
      </c>
      <c r="H2155" s="50" t="s">
        <v>2</v>
      </c>
      <c r="I2155" s="50" t="s">
        <v>293</v>
      </c>
      <c r="J2155" s="51">
        <v>46045</v>
      </c>
      <c r="K2155" s="50" t="s">
        <v>1</v>
      </c>
      <c r="L2155" s="50" t="s">
        <v>80</v>
      </c>
    </row>
    <row r="2156" spans="2:12">
      <c r="B2156" s="50" t="s">
        <v>483</v>
      </c>
      <c r="C2156" s="50" t="s">
        <v>62</v>
      </c>
      <c r="D2156" s="50" t="s">
        <v>27</v>
      </c>
      <c r="E2156" s="50">
        <v>50038517</v>
      </c>
      <c r="F2156" s="50" t="s">
        <v>181</v>
      </c>
      <c r="G2156" s="50">
        <v>1</v>
      </c>
      <c r="H2156" s="50" t="s">
        <v>2</v>
      </c>
      <c r="I2156" s="50" t="s">
        <v>293</v>
      </c>
      <c r="J2156" s="51">
        <v>46045</v>
      </c>
      <c r="K2156" s="50" t="s">
        <v>1</v>
      </c>
      <c r="L2156" s="50" t="s">
        <v>80</v>
      </c>
    </row>
    <row r="2157" spans="2:12">
      <c r="B2157" s="50" t="s">
        <v>316</v>
      </c>
      <c r="C2157" s="50" t="s">
        <v>51</v>
      </c>
      <c r="D2157" s="50" t="s">
        <v>27</v>
      </c>
      <c r="E2157" s="50">
        <v>50041195</v>
      </c>
      <c r="F2157" s="50" t="s">
        <v>206</v>
      </c>
      <c r="G2157" s="50">
        <v>1</v>
      </c>
      <c r="H2157" s="50" t="s">
        <v>2</v>
      </c>
      <c r="I2157" s="50" t="s">
        <v>293</v>
      </c>
      <c r="J2157" s="51">
        <v>46045</v>
      </c>
      <c r="K2157" s="50" t="s">
        <v>1</v>
      </c>
      <c r="L2157" s="50" t="s">
        <v>80</v>
      </c>
    </row>
    <row r="2158" spans="2:12">
      <c r="B2158" s="50" t="s">
        <v>277</v>
      </c>
      <c r="C2158" s="50" t="s">
        <v>62</v>
      </c>
      <c r="D2158" s="50" t="s">
        <v>27</v>
      </c>
      <c r="E2158" s="50">
        <v>50043320</v>
      </c>
      <c r="F2158" s="50" t="s">
        <v>264</v>
      </c>
      <c r="G2158" s="50">
        <v>1</v>
      </c>
      <c r="H2158" s="50" t="s">
        <v>2</v>
      </c>
      <c r="I2158" s="50" t="s">
        <v>293</v>
      </c>
      <c r="J2158" s="51">
        <v>46045</v>
      </c>
      <c r="K2158" s="50" t="s">
        <v>1</v>
      </c>
      <c r="L2158" s="50" t="s">
        <v>80</v>
      </c>
    </row>
    <row r="2159" spans="2:12">
      <c r="B2159" s="50" t="s">
        <v>277</v>
      </c>
      <c r="C2159" s="50" t="s">
        <v>62</v>
      </c>
      <c r="D2159" s="50" t="s">
        <v>27</v>
      </c>
      <c r="E2159" s="50">
        <v>50036299</v>
      </c>
      <c r="F2159" s="50" t="s">
        <v>163</v>
      </c>
      <c r="G2159" s="50">
        <v>1</v>
      </c>
      <c r="H2159" s="50" t="s">
        <v>2</v>
      </c>
      <c r="I2159" s="50" t="s">
        <v>293</v>
      </c>
      <c r="J2159" s="51">
        <v>46045</v>
      </c>
      <c r="K2159" s="50" t="s">
        <v>1</v>
      </c>
      <c r="L2159" s="50" t="s">
        <v>80</v>
      </c>
    </row>
    <row r="2160" spans="2:12">
      <c r="B2160" s="50" t="s">
        <v>277</v>
      </c>
      <c r="C2160" s="50" t="s">
        <v>62</v>
      </c>
      <c r="D2160" s="50" t="s">
        <v>27</v>
      </c>
      <c r="E2160" s="50">
        <v>50043471</v>
      </c>
      <c r="F2160" s="50" t="s">
        <v>257</v>
      </c>
      <c r="G2160" s="50">
        <v>1</v>
      </c>
      <c r="H2160" s="50" t="s">
        <v>2</v>
      </c>
      <c r="I2160" s="50" t="s">
        <v>293</v>
      </c>
      <c r="J2160" s="51">
        <v>46045</v>
      </c>
      <c r="K2160" s="50" t="s">
        <v>1</v>
      </c>
      <c r="L2160" s="50" t="s">
        <v>80</v>
      </c>
    </row>
    <row r="2161" spans="2:24">
      <c r="B2161" s="50" t="s">
        <v>481</v>
      </c>
      <c r="C2161" s="50" t="s">
        <v>56</v>
      </c>
      <c r="D2161" s="50" t="s">
        <v>27</v>
      </c>
      <c r="E2161" s="50">
        <v>50003297</v>
      </c>
      <c r="F2161" s="50" t="s">
        <v>158</v>
      </c>
      <c r="G2161" s="50">
        <v>1</v>
      </c>
      <c r="H2161" s="50" t="s">
        <v>2</v>
      </c>
      <c r="I2161" s="50" t="s">
        <v>293</v>
      </c>
      <c r="J2161" s="51">
        <v>46045</v>
      </c>
      <c r="K2161" s="50" t="s">
        <v>1</v>
      </c>
      <c r="L2161" s="50" t="s">
        <v>80</v>
      </c>
    </row>
    <row r="2162" spans="2:24">
      <c r="B2162" s="50" t="s">
        <v>469</v>
      </c>
      <c r="C2162" s="50" t="s">
        <v>26</v>
      </c>
      <c r="D2162" s="50" t="s">
        <v>39</v>
      </c>
      <c r="E2162" s="50">
        <v>50037905</v>
      </c>
      <c r="F2162" s="50" t="s">
        <v>150</v>
      </c>
      <c r="G2162" s="50">
        <v>1</v>
      </c>
      <c r="H2162" s="50" t="s">
        <v>2</v>
      </c>
      <c r="I2162" s="50" t="s">
        <v>293</v>
      </c>
      <c r="J2162" s="51">
        <v>46045</v>
      </c>
      <c r="K2162" s="50" t="s">
        <v>3</v>
      </c>
      <c r="L2162" s="50" t="s">
        <v>80</v>
      </c>
    </row>
    <row r="2163" spans="2:24">
      <c r="B2163" s="50" t="s">
        <v>471</v>
      </c>
      <c r="C2163" s="50" t="s">
        <v>26</v>
      </c>
      <c r="D2163" s="50" t="s">
        <v>39</v>
      </c>
      <c r="E2163" s="50">
        <v>50010031</v>
      </c>
      <c r="F2163" s="50" t="s">
        <v>89</v>
      </c>
      <c r="G2163" s="50">
        <v>1</v>
      </c>
      <c r="H2163" s="50" t="s">
        <v>2</v>
      </c>
      <c r="I2163" s="50" t="s">
        <v>297</v>
      </c>
      <c r="J2163" s="51">
        <v>46045</v>
      </c>
      <c r="K2163" s="50" t="s">
        <v>3</v>
      </c>
      <c r="L2163" s="50" t="s">
        <v>80</v>
      </c>
    </row>
    <row r="2164" spans="2:24">
      <c r="B2164" s="50" t="s">
        <v>316</v>
      </c>
      <c r="C2164" s="50" t="s">
        <v>51</v>
      </c>
      <c r="D2164" s="50" t="s">
        <v>27</v>
      </c>
      <c r="E2164" s="50">
        <v>50037892</v>
      </c>
      <c r="F2164" s="50" t="s">
        <v>178</v>
      </c>
      <c r="G2164" s="50">
        <v>1</v>
      </c>
      <c r="H2164" s="50" t="s">
        <v>2</v>
      </c>
      <c r="I2164" s="50" t="s">
        <v>293</v>
      </c>
      <c r="J2164" s="51">
        <v>46045</v>
      </c>
      <c r="K2164" s="50" t="s">
        <v>1</v>
      </c>
      <c r="L2164" s="50" t="s">
        <v>80</v>
      </c>
    </row>
    <row r="2165" spans="2:24">
      <c r="B2165" s="50" t="s">
        <v>422</v>
      </c>
      <c r="C2165" s="50" t="s">
        <v>26</v>
      </c>
      <c r="D2165" s="50" t="s">
        <v>27</v>
      </c>
      <c r="E2165" s="50">
        <v>50010031</v>
      </c>
      <c r="F2165" s="50" t="s">
        <v>89</v>
      </c>
      <c r="G2165" s="50">
        <v>1</v>
      </c>
      <c r="H2165" s="50" t="s">
        <v>2</v>
      </c>
      <c r="I2165" s="50" t="s">
        <v>292</v>
      </c>
      <c r="J2165" s="51">
        <v>46045</v>
      </c>
      <c r="K2165" s="50" t="s">
        <v>3</v>
      </c>
      <c r="L2165" s="50" t="s">
        <v>80</v>
      </c>
    </row>
    <row r="2166" spans="2:24">
      <c r="B2166" s="50" t="s">
        <v>422</v>
      </c>
      <c r="C2166" s="50" t="s">
        <v>26</v>
      </c>
      <c r="D2166" s="50" t="s">
        <v>27</v>
      </c>
      <c r="E2166" s="50">
        <v>50010031</v>
      </c>
      <c r="F2166" s="50" t="s">
        <v>89</v>
      </c>
      <c r="G2166" s="50">
        <v>1</v>
      </c>
      <c r="H2166" s="50" t="s">
        <v>2</v>
      </c>
      <c r="I2166" s="50" t="s">
        <v>288</v>
      </c>
      <c r="J2166" s="51">
        <v>46045</v>
      </c>
      <c r="K2166" s="50" t="s">
        <v>1</v>
      </c>
      <c r="L2166" s="50" t="s">
        <v>80</v>
      </c>
    </row>
    <row r="2167" spans="2:24">
      <c r="B2167" s="50" t="s">
        <v>418</v>
      </c>
      <c r="C2167" s="50" t="s">
        <v>26</v>
      </c>
      <c r="D2167" s="50" t="s">
        <v>27</v>
      </c>
      <c r="E2167" s="50">
        <v>50036296</v>
      </c>
      <c r="F2167" s="50" t="s">
        <v>109</v>
      </c>
      <c r="G2167" s="50">
        <v>1</v>
      </c>
      <c r="H2167" s="50" t="s">
        <v>2</v>
      </c>
      <c r="I2167" s="50" t="s">
        <v>288</v>
      </c>
      <c r="J2167" s="51">
        <v>46045</v>
      </c>
      <c r="K2167" s="50" t="s">
        <v>3</v>
      </c>
      <c r="L2167" s="50" t="s">
        <v>80</v>
      </c>
    </row>
    <row r="2168" spans="2:24">
      <c r="B2168" s="50" t="s">
        <v>481</v>
      </c>
      <c r="C2168" s="50" t="s">
        <v>56</v>
      </c>
      <c r="D2168" s="50" t="s">
        <v>27</v>
      </c>
      <c r="E2168" s="50">
        <v>50003297</v>
      </c>
      <c r="F2168" s="50" t="s">
        <v>158</v>
      </c>
      <c r="G2168" s="50">
        <v>1</v>
      </c>
      <c r="H2168" s="50" t="s">
        <v>2</v>
      </c>
      <c r="I2168" s="50" t="s">
        <v>288</v>
      </c>
      <c r="J2168" s="51">
        <v>46045</v>
      </c>
      <c r="K2168" s="50" t="s">
        <v>1</v>
      </c>
      <c r="L2168" s="50" t="s">
        <v>80</v>
      </c>
    </row>
    <row r="2169" spans="2:24">
      <c r="B2169" s="50" t="s">
        <v>427</v>
      </c>
      <c r="C2169" s="50" t="s">
        <v>26</v>
      </c>
      <c r="D2169" s="50" t="s">
        <v>27</v>
      </c>
      <c r="E2169" s="50">
        <v>50010031</v>
      </c>
      <c r="F2169" s="50" t="s">
        <v>89</v>
      </c>
      <c r="G2169" s="50">
        <v>1</v>
      </c>
      <c r="H2169" s="50" t="s">
        <v>2</v>
      </c>
      <c r="I2169" s="50" t="s">
        <v>288</v>
      </c>
      <c r="J2169" s="51">
        <v>46045</v>
      </c>
      <c r="K2169" s="50" t="s">
        <v>3</v>
      </c>
      <c r="L2169" s="50" t="s">
        <v>80</v>
      </c>
    </row>
    <row r="2170" spans="2:24">
      <c r="B2170" s="50" t="s">
        <v>427</v>
      </c>
      <c r="C2170" s="50" t="s">
        <v>26</v>
      </c>
      <c r="D2170" s="50" t="s">
        <v>27</v>
      </c>
      <c r="E2170" s="50">
        <v>50010031</v>
      </c>
      <c r="F2170" s="50" t="s">
        <v>89</v>
      </c>
      <c r="G2170" s="50">
        <v>1</v>
      </c>
      <c r="H2170" s="50" t="s">
        <v>2</v>
      </c>
      <c r="I2170" s="50" t="s">
        <v>291</v>
      </c>
      <c r="J2170" s="51">
        <v>46045</v>
      </c>
      <c r="K2170" s="50" t="s">
        <v>3</v>
      </c>
      <c r="L2170" s="50" t="s">
        <v>80</v>
      </c>
    </row>
    <row r="2171" spans="2:24">
      <c r="B2171" s="50" t="s">
        <v>418</v>
      </c>
      <c r="C2171" s="50" t="s">
        <v>26</v>
      </c>
      <c r="D2171" s="50" t="s">
        <v>27</v>
      </c>
      <c r="E2171" s="50">
        <v>50036296</v>
      </c>
      <c r="F2171" s="50" t="s">
        <v>109</v>
      </c>
      <c r="G2171" s="50">
        <v>1</v>
      </c>
      <c r="H2171" s="50" t="s">
        <v>2</v>
      </c>
      <c r="I2171" s="50" t="s">
        <v>291</v>
      </c>
      <c r="J2171" s="51">
        <v>46045</v>
      </c>
      <c r="K2171" s="50" t="s">
        <v>1</v>
      </c>
      <c r="L2171" s="50" t="s">
        <v>80</v>
      </c>
    </row>
    <row r="2172" spans="2:24">
      <c r="B2172" s="50" t="s">
        <v>316</v>
      </c>
      <c r="C2172" s="50" t="s">
        <v>51</v>
      </c>
      <c r="D2172" s="50" t="s">
        <v>27</v>
      </c>
      <c r="E2172" s="50">
        <v>50037892</v>
      </c>
      <c r="F2172" s="50" t="s">
        <v>178</v>
      </c>
      <c r="G2172" s="50">
        <v>1</v>
      </c>
      <c r="H2172" s="50" t="s">
        <v>2</v>
      </c>
      <c r="I2172" s="50" t="s">
        <v>291</v>
      </c>
      <c r="J2172" s="51">
        <v>46045</v>
      </c>
      <c r="K2172" s="50" t="s">
        <v>1</v>
      </c>
      <c r="L2172" s="50" t="s">
        <v>80</v>
      </c>
    </row>
    <row r="2173" spans="2:24">
      <c r="B2173" s="50" t="s">
        <v>386</v>
      </c>
      <c r="C2173" s="50" t="s">
        <v>286</v>
      </c>
      <c r="D2173" s="50" t="s">
        <v>27</v>
      </c>
      <c r="E2173" s="50">
        <v>50039065</v>
      </c>
      <c r="F2173" s="50" t="s">
        <v>186</v>
      </c>
      <c r="G2173" s="50">
        <v>1</v>
      </c>
      <c r="H2173" s="50" t="s">
        <v>2</v>
      </c>
      <c r="I2173" s="50" t="s">
        <v>291</v>
      </c>
      <c r="J2173" s="51">
        <v>46045</v>
      </c>
      <c r="K2173" s="50" t="s">
        <v>1</v>
      </c>
      <c r="L2173" s="50" t="s">
        <v>80</v>
      </c>
    </row>
    <row r="2174" spans="2:24">
      <c r="B2174" s="50" t="s">
        <v>409</v>
      </c>
      <c r="C2174" s="50" t="s">
        <v>51</v>
      </c>
      <c r="D2174" s="50" t="s">
        <v>27</v>
      </c>
      <c r="E2174" s="50">
        <v>50010031</v>
      </c>
      <c r="F2174" s="50" t="s">
        <v>89</v>
      </c>
      <c r="G2174" s="50">
        <v>1</v>
      </c>
      <c r="H2174" s="50" t="s">
        <v>2</v>
      </c>
      <c r="I2174" s="50" t="s">
        <v>291</v>
      </c>
      <c r="J2174" s="51">
        <v>46045</v>
      </c>
      <c r="K2174" s="50" t="s">
        <v>3</v>
      </c>
      <c r="L2174" s="50" t="s">
        <v>80</v>
      </c>
      <c r="M2174" s="50"/>
      <c r="N2174" s="50"/>
      <c r="O2174" s="50"/>
      <c r="P2174" s="50"/>
      <c r="Q2174" s="50"/>
      <c r="R2174" s="50"/>
      <c r="S2174" s="50"/>
      <c r="T2174" s="50"/>
      <c r="U2174" s="50"/>
      <c r="V2174" s="51"/>
      <c r="W2174" s="50"/>
      <c r="X2174" s="50"/>
    </row>
    <row r="2175" spans="2:24">
      <c r="B2175" s="50" t="s">
        <v>316</v>
      </c>
      <c r="C2175" s="50" t="s">
        <v>51</v>
      </c>
      <c r="D2175" s="50" t="s">
        <v>27</v>
      </c>
      <c r="E2175" s="50">
        <v>50037892</v>
      </c>
      <c r="F2175" s="50" t="s">
        <v>178</v>
      </c>
      <c r="G2175" s="50">
        <v>1</v>
      </c>
      <c r="H2175" s="50" t="s">
        <v>2</v>
      </c>
      <c r="I2175" s="50" t="s">
        <v>291</v>
      </c>
      <c r="J2175" s="51">
        <v>46045</v>
      </c>
      <c r="K2175" s="50" t="s">
        <v>1</v>
      </c>
      <c r="L2175" s="50" t="s">
        <v>80</v>
      </c>
    </row>
    <row r="2176" spans="2:24">
      <c r="B2176" s="50" t="s">
        <v>427</v>
      </c>
      <c r="C2176" s="50" t="s">
        <v>26</v>
      </c>
      <c r="D2176" s="50" t="s">
        <v>27</v>
      </c>
      <c r="E2176" s="50">
        <v>50003297</v>
      </c>
      <c r="F2176" s="50" t="s">
        <v>158</v>
      </c>
      <c r="G2176" s="50">
        <v>1</v>
      </c>
      <c r="H2176" s="50" t="s">
        <v>2</v>
      </c>
      <c r="I2176" s="50" t="s">
        <v>291</v>
      </c>
      <c r="J2176" s="51">
        <v>46045</v>
      </c>
      <c r="K2176" s="50" t="s">
        <v>3</v>
      </c>
      <c r="L2176" s="50" t="s">
        <v>80</v>
      </c>
    </row>
    <row r="2177" spans="2:12">
      <c r="B2177" s="50" t="s">
        <v>428</v>
      </c>
      <c r="C2177" s="50" t="s">
        <v>26</v>
      </c>
      <c r="D2177" s="50" t="s">
        <v>27</v>
      </c>
      <c r="E2177" s="50">
        <v>50037922</v>
      </c>
      <c r="F2177" s="50" t="s">
        <v>117</v>
      </c>
      <c r="G2177" s="50">
        <v>1</v>
      </c>
      <c r="H2177" s="50" t="s">
        <v>2</v>
      </c>
      <c r="I2177" s="50" t="s">
        <v>291</v>
      </c>
      <c r="J2177" s="51">
        <v>46045</v>
      </c>
      <c r="K2177" s="50" t="s">
        <v>1</v>
      </c>
      <c r="L2177" s="50" t="s">
        <v>80</v>
      </c>
    </row>
    <row r="2178" spans="2:12">
      <c r="B2178" s="50" t="s">
        <v>428</v>
      </c>
      <c r="C2178" s="50" t="s">
        <v>26</v>
      </c>
      <c r="D2178" s="50" t="s">
        <v>27</v>
      </c>
      <c r="E2178" s="50">
        <v>50030486</v>
      </c>
      <c r="F2178" s="50" t="s">
        <v>153</v>
      </c>
      <c r="G2178" s="50">
        <v>1</v>
      </c>
      <c r="H2178" s="50" t="s">
        <v>2</v>
      </c>
      <c r="I2178" s="50" t="s">
        <v>291</v>
      </c>
      <c r="J2178" s="51">
        <v>46045</v>
      </c>
      <c r="K2178" s="50" t="s">
        <v>3</v>
      </c>
      <c r="L2178" s="50" t="s">
        <v>80</v>
      </c>
    </row>
    <row r="2179" spans="2:12">
      <c r="B2179" s="50" t="s">
        <v>428</v>
      </c>
      <c r="C2179" s="50" t="s">
        <v>26</v>
      </c>
      <c r="D2179" s="50" t="s">
        <v>27</v>
      </c>
      <c r="E2179" s="50">
        <v>50030486</v>
      </c>
      <c r="F2179" s="50" t="s">
        <v>153</v>
      </c>
      <c r="G2179" s="50">
        <v>1</v>
      </c>
      <c r="H2179" s="50" t="s">
        <v>2</v>
      </c>
      <c r="I2179" s="50" t="s">
        <v>291</v>
      </c>
      <c r="J2179" s="51">
        <v>46045</v>
      </c>
      <c r="K2179" s="50" t="s">
        <v>3</v>
      </c>
      <c r="L2179" s="50" t="s">
        <v>80</v>
      </c>
    </row>
    <row r="2180" spans="2:12">
      <c r="B2180" s="50" t="s">
        <v>483</v>
      </c>
      <c r="C2180" s="50" t="s">
        <v>62</v>
      </c>
      <c r="D2180" s="50" t="s">
        <v>27</v>
      </c>
      <c r="E2180" s="50">
        <v>50038517</v>
      </c>
      <c r="F2180" s="50" t="s">
        <v>181</v>
      </c>
      <c r="G2180" s="50">
        <v>1</v>
      </c>
      <c r="H2180" s="50" t="s">
        <v>2</v>
      </c>
      <c r="I2180" s="50" t="s">
        <v>291</v>
      </c>
      <c r="J2180" s="51">
        <v>46045</v>
      </c>
      <c r="K2180" s="50" t="s">
        <v>3</v>
      </c>
      <c r="L2180" s="50" t="s">
        <v>80</v>
      </c>
    </row>
    <row r="2181" spans="2:12">
      <c r="B2181" s="50" t="s">
        <v>316</v>
      </c>
      <c r="C2181" s="50" t="s">
        <v>51</v>
      </c>
      <c r="D2181" s="50" t="s">
        <v>27</v>
      </c>
      <c r="E2181" s="50">
        <v>50041195</v>
      </c>
      <c r="F2181" s="50" t="s">
        <v>206</v>
      </c>
      <c r="G2181" s="50">
        <v>1</v>
      </c>
      <c r="H2181" s="50" t="s">
        <v>2</v>
      </c>
      <c r="I2181" s="50" t="s">
        <v>291</v>
      </c>
      <c r="J2181" s="51">
        <v>46045</v>
      </c>
      <c r="K2181" s="50" t="s">
        <v>3</v>
      </c>
      <c r="L2181" s="50" t="s">
        <v>80</v>
      </c>
    </row>
    <row r="2182" spans="2:12">
      <c r="B2182" s="50" t="s">
        <v>386</v>
      </c>
      <c r="C2182" s="50" t="s">
        <v>286</v>
      </c>
      <c r="D2182" s="50" t="s">
        <v>27</v>
      </c>
      <c r="E2182" s="50">
        <v>50039065</v>
      </c>
      <c r="F2182" s="50" t="s">
        <v>186</v>
      </c>
      <c r="G2182" s="50">
        <v>1</v>
      </c>
      <c r="H2182" s="50" t="s">
        <v>2</v>
      </c>
      <c r="I2182" s="50" t="s">
        <v>291</v>
      </c>
      <c r="J2182" s="51">
        <v>46045</v>
      </c>
      <c r="K2182" s="50" t="s">
        <v>3</v>
      </c>
      <c r="L2182" s="50" t="s">
        <v>80</v>
      </c>
    </row>
    <row r="2183" spans="2:12">
      <c r="B2183" s="50" t="s">
        <v>277</v>
      </c>
      <c r="C2183" s="50" t="s">
        <v>62</v>
      </c>
      <c r="D2183" s="50" t="s">
        <v>27</v>
      </c>
      <c r="E2183" s="50">
        <v>50043320</v>
      </c>
      <c r="F2183" s="50" t="s">
        <v>264</v>
      </c>
      <c r="G2183" s="50">
        <v>1</v>
      </c>
      <c r="H2183" s="50" t="s">
        <v>2</v>
      </c>
      <c r="I2183" s="50" t="s">
        <v>291</v>
      </c>
      <c r="J2183" s="51">
        <v>46045</v>
      </c>
      <c r="K2183" s="50" t="s">
        <v>3</v>
      </c>
      <c r="L2183" s="50" t="s">
        <v>80</v>
      </c>
    </row>
    <row r="2184" spans="2:12">
      <c r="B2184" s="50" t="s">
        <v>277</v>
      </c>
      <c r="C2184" s="50" t="s">
        <v>62</v>
      </c>
      <c r="D2184" s="50" t="s">
        <v>27</v>
      </c>
      <c r="E2184" s="50">
        <v>50036299</v>
      </c>
      <c r="F2184" s="50" t="s">
        <v>163</v>
      </c>
      <c r="G2184" s="50">
        <v>1</v>
      </c>
      <c r="H2184" s="50" t="s">
        <v>2</v>
      </c>
      <c r="I2184" s="50" t="s">
        <v>291</v>
      </c>
      <c r="J2184" s="51">
        <v>46045</v>
      </c>
      <c r="K2184" s="50" t="s">
        <v>3</v>
      </c>
      <c r="L2184" s="50" t="s">
        <v>80</v>
      </c>
    </row>
    <row r="2185" spans="2:12">
      <c r="B2185" s="50" t="s">
        <v>277</v>
      </c>
      <c r="C2185" s="50" t="s">
        <v>62</v>
      </c>
      <c r="D2185" s="50" t="s">
        <v>27</v>
      </c>
      <c r="E2185" s="50">
        <v>50043471</v>
      </c>
      <c r="F2185" s="50" t="s">
        <v>257</v>
      </c>
      <c r="G2185" s="50">
        <v>1</v>
      </c>
      <c r="H2185" s="50" t="s">
        <v>2</v>
      </c>
      <c r="I2185" s="50" t="s">
        <v>291</v>
      </c>
      <c r="J2185" s="51">
        <v>46045</v>
      </c>
      <c r="K2185" s="50" t="s">
        <v>1</v>
      </c>
      <c r="L2185" s="50" t="s">
        <v>80</v>
      </c>
    </row>
    <row r="2186" spans="2:12">
      <c r="B2186" s="50" t="s">
        <v>345</v>
      </c>
      <c r="C2186" s="50" t="s">
        <v>62</v>
      </c>
      <c r="D2186" s="50" t="s">
        <v>27</v>
      </c>
      <c r="E2186" s="50">
        <v>50037892</v>
      </c>
      <c r="F2186" s="50" t="s">
        <v>178</v>
      </c>
      <c r="G2186" s="50">
        <v>1</v>
      </c>
      <c r="H2186" s="50" t="s">
        <v>2</v>
      </c>
      <c r="I2186" s="50" t="s">
        <v>291</v>
      </c>
      <c r="J2186" s="51">
        <v>46045</v>
      </c>
      <c r="K2186" s="50" t="s">
        <v>1</v>
      </c>
      <c r="L2186" s="50" t="s">
        <v>80</v>
      </c>
    </row>
    <row r="2187" spans="2:12">
      <c r="B2187" s="50" t="s">
        <v>458</v>
      </c>
      <c r="C2187" s="50" t="s">
        <v>26</v>
      </c>
      <c r="D2187" s="50" t="s">
        <v>27</v>
      </c>
      <c r="E2187" s="50">
        <v>50037902</v>
      </c>
      <c r="F2187" s="50" t="s">
        <v>179</v>
      </c>
      <c r="G2187" s="50">
        <v>1</v>
      </c>
      <c r="H2187" s="50" t="s">
        <v>2</v>
      </c>
      <c r="I2187" s="50" t="s">
        <v>291</v>
      </c>
      <c r="J2187" s="51">
        <v>46045</v>
      </c>
      <c r="K2187" s="50" t="s">
        <v>1</v>
      </c>
      <c r="L2187" s="50" t="s">
        <v>80</v>
      </c>
    </row>
    <row r="2188" spans="2:12">
      <c r="B2188" s="50" t="s">
        <v>471</v>
      </c>
      <c r="C2188" s="50" t="s">
        <v>26</v>
      </c>
      <c r="D2188" s="50" t="s">
        <v>39</v>
      </c>
      <c r="E2188" s="50">
        <v>50010031</v>
      </c>
      <c r="F2188" s="50" t="s">
        <v>89</v>
      </c>
      <c r="G2188" s="50">
        <v>1</v>
      </c>
      <c r="H2188" s="50" t="s">
        <v>2</v>
      </c>
      <c r="I2188" s="50" t="s">
        <v>291</v>
      </c>
      <c r="J2188" s="51">
        <v>46045</v>
      </c>
      <c r="K2188" s="50" t="s">
        <v>1</v>
      </c>
      <c r="L2188" s="50" t="s">
        <v>80</v>
      </c>
    </row>
    <row r="2189" spans="2:12">
      <c r="B2189" s="50" t="s">
        <v>471</v>
      </c>
      <c r="C2189" s="50" t="s">
        <v>26</v>
      </c>
      <c r="D2189" s="50" t="s">
        <v>39</v>
      </c>
      <c r="E2189" s="50">
        <v>50039065</v>
      </c>
      <c r="F2189" s="50" t="s">
        <v>186</v>
      </c>
      <c r="G2189" s="50">
        <v>1</v>
      </c>
      <c r="H2189" s="50" t="s">
        <v>2</v>
      </c>
      <c r="I2189" s="50" t="s">
        <v>291</v>
      </c>
      <c r="J2189" s="51">
        <v>46045</v>
      </c>
      <c r="K2189" s="50" t="s">
        <v>1</v>
      </c>
      <c r="L2189" s="50" t="s">
        <v>80</v>
      </c>
    </row>
    <row r="2190" spans="2:12">
      <c r="B2190" s="50" t="s">
        <v>277</v>
      </c>
      <c r="C2190" s="50" t="s">
        <v>62</v>
      </c>
      <c r="D2190" s="50" t="s">
        <v>27</v>
      </c>
      <c r="E2190" s="50">
        <v>50038991</v>
      </c>
      <c r="F2190" s="50" t="s">
        <v>108</v>
      </c>
      <c r="G2190" s="50">
        <v>1</v>
      </c>
      <c r="H2190" s="50" t="s">
        <v>2</v>
      </c>
      <c r="I2190" s="50" t="s">
        <v>293</v>
      </c>
      <c r="J2190" s="51">
        <v>46044</v>
      </c>
      <c r="K2190" s="50" t="s">
        <v>3</v>
      </c>
      <c r="L2190" s="50" t="s">
        <v>80</v>
      </c>
    </row>
    <row r="2191" spans="2:12">
      <c r="B2191" s="50" t="s">
        <v>277</v>
      </c>
      <c r="C2191" s="50" t="s">
        <v>62</v>
      </c>
      <c r="D2191" s="50" t="s">
        <v>27</v>
      </c>
      <c r="E2191" s="50">
        <v>50038991</v>
      </c>
      <c r="F2191" s="50" t="s">
        <v>108</v>
      </c>
      <c r="G2191" s="50">
        <v>1</v>
      </c>
      <c r="H2191" s="50" t="s">
        <v>2</v>
      </c>
      <c r="I2191" s="50" t="s">
        <v>293</v>
      </c>
      <c r="J2191" s="51">
        <v>46044</v>
      </c>
      <c r="K2191" s="50" t="s">
        <v>1</v>
      </c>
      <c r="L2191" s="50" t="s">
        <v>80</v>
      </c>
    </row>
    <row r="2192" spans="2:12">
      <c r="B2192" s="50" t="s">
        <v>430</v>
      </c>
      <c r="C2192" s="50" t="s">
        <v>61</v>
      </c>
      <c r="D2192" s="50" t="s">
        <v>39</v>
      </c>
      <c r="E2192" s="50">
        <v>50042002</v>
      </c>
      <c r="F2192" s="50" t="s">
        <v>299</v>
      </c>
      <c r="G2192" s="50">
        <v>1</v>
      </c>
      <c r="H2192" s="50" t="s">
        <v>2</v>
      </c>
      <c r="I2192" s="50" t="s">
        <v>289</v>
      </c>
      <c r="J2192" s="51">
        <v>46044</v>
      </c>
      <c r="K2192" s="50" t="s">
        <v>3</v>
      </c>
      <c r="L2192" s="50" t="s">
        <v>80</v>
      </c>
    </row>
    <row r="2193" spans="2:12">
      <c r="B2193" s="50" t="s">
        <v>430</v>
      </c>
      <c r="C2193" s="50" t="s">
        <v>61</v>
      </c>
      <c r="D2193" s="50" t="s">
        <v>39</v>
      </c>
      <c r="E2193" s="50">
        <v>50042002</v>
      </c>
      <c r="F2193" s="50" t="s">
        <v>299</v>
      </c>
      <c r="G2193" s="50">
        <v>1</v>
      </c>
      <c r="H2193" s="50" t="s">
        <v>2</v>
      </c>
      <c r="I2193" s="50" t="s">
        <v>289</v>
      </c>
      <c r="J2193" s="51">
        <v>46044</v>
      </c>
      <c r="K2193" s="50" t="s">
        <v>1</v>
      </c>
      <c r="L2193" s="50" t="s">
        <v>80</v>
      </c>
    </row>
    <row r="2194" spans="2:12">
      <c r="B2194" s="50" t="s">
        <v>273</v>
      </c>
      <c r="C2194" s="50" t="s">
        <v>274</v>
      </c>
      <c r="D2194" s="50" t="s">
        <v>27</v>
      </c>
      <c r="E2194" s="50">
        <v>50037933</v>
      </c>
      <c r="F2194" s="50" t="s">
        <v>250</v>
      </c>
      <c r="G2194" s="50">
        <v>1</v>
      </c>
      <c r="H2194" s="50" t="s">
        <v>2</v>
      </c>
      <c r="I2194" s="50" t="s">
        <v>289</v>
      </c>
      <c r="J2194" s="51">
        <v>46044</v>
      </c>
      <c r="K2194" s="50" t="s">
        <v>1</v>
      </c>
      <c r="L2194" s="50" t="s">
        <v>80</v>
      </c>
    </row>
    <row r="2195" spans="2:12">
      <c r="B2195" s="50" t="s">
        <v>463</v>
      </c>
      <c r="C2195" s="50" t="s">
        <v>56</v>
      </c>
      <c r="D2195" s="50" t="s">
        <v>27</v>
      </c>
      <c r="E2195" s="50">
        <v>50026357</v>
      </c>
      <c r="F2195" s="50" t="s">
        <v>192</v>
      </c>
      <c r="G2195" s="50">
        <v>1</v>
      </c>
      <c r="H2195" s="50" t="s">
        <v>2</v>
      </c>
      <c r="I2195" s="50" t="s">
        <v>289</v>
      </c>
      <c r="J2195" s="51">
        <v>46044</v>
      </c>
      <c r="K2195" s="50" t="s">
        <v>1</v>
      </c>
      <c r="L2195" s="50" t="s">
        <v>80</v>
      </c>
    </row>
    <row r="2196" spans="2:12">
      <c r="B2196" s="50" t="s">
        <v>389</v>
      </c>
      <c r="C2196" s="50" t="s">
        <v>56</v>
      </c>
      <c r="D2196" s="50" t="s">
        <v>27</v>
      </c>
      <c r="E2196" s="50">
        <v>50029865</v>
      </c>
      <c r="F2196" s="50" t="s">
        <v>162</v>
      </c>
      <c r="G2196" s="50">
        <v>1</v>
      </c>
      <c r="H2196" s="50" t="s">
        <v>2</v>
      </c>
      <c r="I2196" s="50" t="s">
        <v>292</v>
      </c>
      <c r="J2196" s="51">
        <v>46044</v>
      </c>
      <c r="K2196" s="50" t="s">
        <v>1</v>
      </c>
      <c r="L2196" s="50" t="s">
        <v>80</v>
      </c>
    </row>
    <row r="2197" spans="2:12">
      <c r="B2197" s="50" t="s">
        <v>389</v>
      </c>
      <c r="C2197" s="50" t="s">
        <v>56</v>
      </c>
      <c r="D2197" s="50" t="s">
        <v>27</v>
      </c>
      <c r="E2197" s="50">
        <v>50043471</v>
      </c>
      <c r="F2197" s="50" t="s">
        <v>257</v>
      </c>
      <c r="G2197" s="50">
        <v>1</v>
      </c>
      <c r="H2197" s="50" t="s">
        <v>2</v>
      </c>
      <c r="I2197" s="50" t="s">
        <v>292</v>
      </c>
      <c r="J2197" s="51">
        <v>46044</v>
      </c>
      <c r="K2197" s="50" t="s">
        <v>1</v>
      </c>
      <c r="L2197" s="50" t="s">
        <v>80</v>
      </c>
    </row>
    <row r="2198" spans="2:12">
      <c r="B2198" s="50" t="s">
        <v>316</v>
      </c>
      <c r="C2198" s="50" t="s">
        <v>51</v>
      </c>
      <c r="D2198" s="50" t="s">
        <v>27</v>
      </c>
      <c r="E2198" s="50">
        <v>50041195</v>
      </c>
      <c r="F2198" s="50" t="s">
        <v>206</v>
      </c>
      <c r="G2198" s="50">
        <v>1</v>
      </c>
      <c r="H2198" s="50" t="s">
        <v>2</v>
      </c>
      <c r="I2198" s="50" t="s">
        <v>292</v>
      </c>
      <c r="J2198" s="51">
        <v>46044</v>
      </c>
      <c r="K2198" s="50" t="s">
        <v>1</v>
      </c>
      <c r="L2198" s="50" t="s">
        <v>80</v>
      </c>
    </row>
    <row r="2199" spans="2:12">
      <c r="B2199" s="50" t="s">
        <v>277</v>
      </c>
      <c r="C2199" s="50" t="s">
        <v>62</v>
      </c>
      <c r="D2199" s="50" t="s">
        <v>27</v>
      </c>
      <c r="E2199" s="50">
        <v>50038991</v>
      </c>
      <c r="F2199" s="50" t="s">
        <v>108</v>
      </c>
      <c r="G2199" s="50">
        <v>1</v>
      </c>
      <c r="H2199" s="50" t="s">
        <v>2</v>
      </c>
      <c r="I2199" s="50" t="s">
        <v>292</v>
      </c>
      <c r="J2199" s="51">
        <v>46044</v>
      </c>
      <c r="K2199" s="50" t="s">
        <v>1</v>
      </c>
      <c r="L2199" s="50" t="s">
        <v>80</v>
      </c>
    </row>
    <row r="2200" spans="2:12">
      <c r="B2200" s="50" t="s">
        <v>399</v>
      </c>
      <c r="C2200" s="50" t="s">
        <v>51</v>
      </c>
      <c r="D2200" s="50" t="s">
        <v>27</v>
      </c>
      <c r="E2200" s="50">
        <v>50010031</v>
      </c>
      <c r="F2200" s="50" t="s">
        <v>89</v>
      </c>
      <c r="G2200" s="50">
        <v>1</v>
      </c>
      <c r="H2200" s="50" t="s">
        <v>2</v>
      </c>
      <c r="I2200" s="50" t="s">
        <v>292</v>
      </c>
      <c r="J2200" s="51">
        <v>46044</v>
      </c>
      <c r="K2200" s="50" t="s">
        <v>3</v>
      </c>
      <c r="L2200" s="50" t="s">
        <v>80</v>
      </c>
    </row>
    <row r="2201" spans="2:12">
      <c r="B2201" s="50" t="s">
        <v>316</v>
      </c>
      <c r="C2201" s="50" t="s">
        <v>51</v>
      </c>
      <c r="D2201" s="50" t="s">
        <v>27</v>
      </c>
      <c r="E2201" s="50">
        <v>50041195</v>
      </c>
      <c r="F2201" s="50" t="s">
        <v>206</v>
      </c>
      <c r="G2201" s="50">
        <v>1</v>
      </c>
      <c r="H2201" s="50" t="s">
        <v>2</v>
      </c>
      <c r="I2201" s="50" t="s">
        <v>292</v>
      </c>
      <c r="J2201" s="51">
        <v>46044</v>
      </c>
      <c r="K2201" s="50" t="s">
        <v>1</v>
      </c>
      <c r="L2201" s="50" t="s">
        <v>80</v>
      </c>
    </row>
    <row r="2202" spans="2:12">
      <c r="B2202" s="50" t="s">
        <v>386</v>
      </c>
      <c r="C2202" s="50" t="s">
        <v>62</v>
      </c>
      <c r="D2202" s="50" t="s">
        <v>27</v>
      </c>
      <c r="E2202" s="50">
        <v>50041195</v>
      </c>
      <c r="F2202" s="50" t="s">
        <v>206</v>
      </c>
      <c r="G2202" s="50">
        <v>1</v>
      </c>
      <c r="H2202" s="50" t="s">
        <v>2</v>
      </c>
      <c r="I2202" s="50" t="s">
        <v>292</v>
      </c>
      <c r="J2202" s="51">
        <v>46044</v>
      </c>
      <c r="K2202" s="50" t="s">
        <v>1</v>
      </c>
      <c r="L2202" s="50" t="s">
        <v>80</v>
      </c>
    </row>
    <row r="2203" spans="2:12">
      <c r="B2203" s="50" t="s">
        <v>455</v>
      </c>
      <c r="C2203" s="50" t="s">
        <v>56</v>
      </c>
      <c r="D2203" s="50" t="s">
        <v>41</v>
      </c>
      <c r="E2203" s="50">
        <v>50036296</v>
      </c>
      <c r="F2203" s="50" t="s">
        <v>109</v>
      </c>
      <c r="G2203" s="50">
        <v>1</v>
      </c>
      <c r="H2203" s="50" t="s">
        <v>2</v>
      </c>
      <c r="I2203" s="50" t="s">
        <v>292</v>
      </c>
      <c r="J2203" s="51">
        <v>46044</v>
      </c>
      <c r="K2203" s="50" t="s">
        <v>3</v>
      </c>
      <c r="L2203" s="50" t="s">
        <v>80</v>
      </c>
    </row>
    <row r="2204" spans="2:12">
      <c r="B2204" s="50" t="s">
        <v>277</v>
      </c>
      <c r="C2204" s="50" t="s">
        <v>62</v>
      </c>
      <c r="D2204" s="50" t="s">
        <v>27</v>
      </c>
      <c r="E2204" s="50">
        <v>50038991</v>
      </c>
      <c r="F2204" s="50" t="s">
        <v>108</v>
      </c>
      <c r="G2204" s="50">
        <v>1</v>
      </c>
      <c r="H2204" s="50" t="s">
        <v>2</v>
      </c>
      <c r="I2204" s="50" t="s">
        <v>292</v>
      </c>
      <c r="J2204" s="51">
        <v>46044</v>
      </c>
      <c r="K2204" s="50" t="s">
        <v>3</v>
      </c>
      <c r="L2204" s="50" t="s">
        <v>80</v>
      </c>
    </row>
    <row r="2205" spans="2:12">
      <c r="B2205" s="50" t="s">
        <v>471</v>
      </c>
      <c r="C2205" s="50" t="s">
        <v>26</v>
      </c>
      <c r="D2205" s="50" t="s">
        <v>39</v>
      </c>
      <c r="E2205" s="50">
        <v>50010031</v>
      </c>
      <c r="F2205" s="50" t="s">
        <v>89</v>
      </c>
      <c r="G2205" s="50">
        <v>1</v>
      </c>
      <c r="H2205" s="50" t="s">
        <v>2</v>
      </c>
      <c r="I2205" s="50" t="s">
        <v>292</v>
      </c>
      <c r="J2205" s="51">
        <v>46044</v>
      </c>
      <c r="K2205" s="50" t="s">
        <v>3</v>
      </c>
      <c r="L2205" s="50" t="s">
        <v>80</v>
      </c>
    </row>
    <row r="2206" spans="2:12">
      <c r="B2206" s="50" t="s">
        <v>471</v>
      </c>
      <c r="C2206" s="50" t="s">
        <v>26</v>
      </c>
      <c r="D2206" s="50" t="s">
        <v>39</v>
      </c>
      <c r="E2206" s="50">
        <v>50039065</v>
      </c>
      <c r="F2206" s="50" t="s">
        <v>186</v>
      </c>
      <c r="G2206" s="50">
        <v>1</v>
      </c>
      <c r="H2206" s="50" t="s">
        <v>2</v>
      </c>
      <c r="I2206" s="50" t="s">
        <v>292</v>
      </c>
      <c r="J2206" s="51">
        <v>46044</v>
      </c>
      <c r="K2206" s="50" t="s">
        <v>3</v>
      </c>
      <c r="L2206" s="50" t="s">
        <v>80</v>
      </c>
    </row>
    <row r="2207" spans="2:12">
      <c r="B2207" s="50" t="s">
        <v>458</v>
      </c>
      <c r="C2207" s="50" t="s">
        <v>26</v>
      </c>
      <c r="D2207" s="50" t="s">
        <v>27</v>
      </c>
      <c r="E2207" s="50">
        <v>50037905</v>
      </c>
      <c r="F2207" s="50" t="s">
        <v>150</v>
      </c>
      <c r="G2207" s="50">
        <v>1</v>
      </c>
      <c r="H2207" s="50" t="s">
        <v>2</v>
      </c>
      <c r="I2207" s="50" t="s">
        <v>292</v>
      </c>
      <c r="J2207" s="51">
        <v>46044</v>
      </c>
      <c r="K2207" s="50" t="s">
        <v>3</v>
      </c>
      <c r="L2207" s="50" t="s">
        <v>80</v>
      </c>
    </row>
    <row r="2208" spans="2:12">
      <c r="B2208" s="50" t="s">
        <v>389</v>
      </c>
      <c r="C2208" s="50" t="s">
        <v>56</v>
      </c>
      <c r="D2208" s="50" t="s">
        <v>27</v>
      </c>
      <c r="E2208" s="50">
        <v>50029865</v>
      </c>
      <c r="F2208" s="50" t="s">
        <v>162</v>
      </c>
      <c r="G2208" s="50">
        <v>1</v>
      </c>
      <c r="H2208" s="50" t="s">
        <v>2</v>
      </c>
      <c r="I2208" s="50" t="s">
        <v>292</v>
      </c>
      <c r="J2208" s="51">
        <v>46044</v>
      </c>
      <c r="K2208" s="50" t="s">
        <v>3</v>
      </c>
      <c r="L2208" s="50" t="s">
        <v>80</v>
      </c>
    </row>
    <row r="2209" spans="2:12">
      <c r="B2209" s="50" t="s">
        <v>389</v>
      </c>
      <c r="C2209" s="50" t="s">
        <v>56</v>
      </c>
      <c r="D2209" s="50" t="s">
        <v>27</v>
      </c>
      <c r="E2209" s="50">
        <v>50043471</v>
      </c>
      <c r="F2209" s="50" t="s">
        <v>257</v>
      </c>
      <c r="G2209" s="50">
        <v>1</v>
      </c>
      <c r="H2209" s="50" t="s">
        <v>2</v>
      </c>
      <c r="I2209" s="50" t="s">
        <v>292</v>
      </c>
      <c r="J2209" s="51">
        <v>46044</v>
      </c>
      <c r="K2209" s="50" t="s">
        <v>3</v>
      </c>
      <c r="L2209" s="50" t="s">
        <v>80</v>
      </c>
    </row>
    <row r="2210" spans="2:12">
      <c r="B2210" s="50" t="s">
        <v>345</v>
      </c>
      <c r="C2210" s="50" t="s">
        <v>62</v>
      </c>
      <c r="D2210" s="50" t="s">
        <v>27</v>
      </c>
      <c r="E2210" s="50">
        <v>50037892</v>
      </c>
      <c r="F2210" s="50" t="s">
        <v>178</v>
      </c>
      <c r="G2210" s="50">
        <v>1</v>
      </c>
      <c r="H2210" s="50" t="s">
        <v>2</v>
      </c>
      <c r="I2210" s="50" t="s">
        <v>290</v>
      </c>
      <c r="J2210" s="51">
        <v>46044</v>
      </c>
      <c r="K2210" s="50" t="s">
        <v>3</v>
      </c>
      <c r="L2210" s="50" t="s">
        <v>80</v>
      </c>
    </row>
    <row r="2211" spans="2:12">
      <c r="B2211" s="50" t="s">
        <v>427</v>
      </c>
      <c r="C2211" s="50" t="s">
        <v>26</v>
      </c>
      <c r="D2211" s="50" t="s">
        <v>27</v>
      </c>
      <c r="E2211" s="50">
        <v>50003297</v>
      </c>
      <c r="F2211" s="50" t="s">
        <v>158</v>
      </c>
      <c r="G2211" s="50">
        <v>1</v>
      </c>
      <c r="H2211" s="50" t="s">
        <v>2</v>
      </c>
      <c r="I2211" s="50" t="s">
        <v>290</v>
      </c>
      <c r="J2211" s="51">
        <v>46044</v>
      </c>
      <c r="K2211" s="50" t="s">
        <v>3</v>
      </c>
      <c r="L2211" s="50" t="s">
        <v>80</v>
      </c>
    </row>
    <row r="2212" spans="2:12">
      <c r="B2212" s="50" t="s">
        <v>386</v>
      </c>
      <c r="C2212" s="50" t="s">
        <v>62</v>
      </c>
      <c r="D2212" s="50" t="s">
        <v>27</v>
      </c>
      <c r="E2212" s="50">
        <v>50041195</v>
      </c>
      <c r="F2212" s="50" t="s">
        <v>206</v>
      </c>
      <c r="G2212" s="50">
        <v>1</v>
      </c>
      <c r="H2212" s="50" t="s">
        <v>2</v>
      </c>
      <c r="I2212" s="50" t="s">
        <v>290</v>
      </c>
      <c r="J2212" s="51">
        <v>46044</v>
      </c>
      <c r="K2212" s="50" t="s">
        <v>1</v>
      </c>
      <c r="L2212" s="50" t="s">
        <v>80</v>
      </c>
    </row>
    <row r="2213" spans="2:12">
      <c r="B2213" s="50" t="s">
        <v>463</v>
      </c>
      <c r="C2213" s="50" t="s">
        <v>56</v>
      </c>
      <c r="D2213" s="50" t="s">
        <v>27</v>
      </c>
      <c r="E2213" s="50">
        <v>50041195</v>
      </c>
      <c r="F2213" s="50" t="s">
        <v>206</v>
      </c>
      <c r="G2213" s="50">
        <v>1</v>
      </c>
      <c r="H2213" s="50" t="s">
        <v>2</v>
      </c>
      <c r="I2213" s="50" t="s">
        <v>291</v>
      </c>
      <c r="J2213" s="51">
        <v>46044</v>
      </c>
      <c r="K2213" s="50" t="s">
        <v>3</v>
      </c>
      <c r="L2213" s="50" t="s">
        <v>80</v>
      </c>
    </row>
    <row r="2214" spans="2:12">
      <c r="B2214" s="50" t="s">
        <v>463</v>
      </c>
      <c r="C2214" s="50" t="s">
        <v>56</v>
      </c>
      <c r="D2214" s="50" t="s">
        <v>27</v>
      </c>
      <c r="E2214" s="50">
        <v>50041195</v>
      </c>
      <c r="F2214" s="50" t="s">
        <v>206</v>
      </c>
      <c r="G2214" s="50">
        <v>1</v>
      </c>
      <c r="H2214" s="50" t="s">
        <v>2</v>
      </c>
      <c r="I2214" s="50" t="s">
        <v>291</v>
      </c>
      <c r="J2214" s="51">
        <v>46044</v>
      </c>
      <c r="K2214" s="50" t="s">
        <v>3</v>
      </c>
      <c r="L2214" s="50" t="s">
        <v>80</v>
      </c>
    </row>
    <row r="2215" spans="2:12">
      <c r="B2215" s="50" t="s">
        <v>463</v>
      </c>
      <c r="C2215" s="50" t="s">
        <v>56</v>
      </c>
      <c r="D2215" s="50" t="s">
        <v>27</v>
      </c>
      <c r="E2215" s="50">
        <v>50026357</v>
      </c>
      <c r="F2215" s="50" t="s">
        <v>192</v>
      </c>
      <c r="G2215" s="50">
        <v>1</v>
      </c>
      <c r="H2215" s="50" t="s">
        <v>2</v>
      </c>
      <c r="I2215" s="50" t="s">
        <v>291</v>
      </c>
      <c r="J2215" s="51">
        <v>46044</v>
      </c>
      <c r="K2215" s="50" t="s">
        <v>1</v>
      </c>
      <c r="L2215" s="50" t="s">
        <v>80</v>
      </c>
    </row>
    <row r="2216" spans="2:12">
      <c r="B2216" s="50" t="s">
        <v>463</v>
      </c>
      <c r="C2216" s="50" t="s">
        <v>56</v>
      </c>
      <c r="D2216" s="50" t="s">
        <v>27</v>
      </c>
      <c r="E2216" s="50">
        <v>50003297</v>
      </c>
      <c r="F2216" s="50" t="s">
        <v>158</v>
      </c>
      <c r="G2216" s="50">
        <v>1</v>
      </c>
      <c r="H2216" s="50" t="s">
        <v>2</v>
      </c>
      <c r="I2216" s="50" t="s">
        <v>291</v>
      </c>
      <c r="J2216" s="51">
        <v>46044</v>
      </c>
      <c r="K2216" s="50" t="s">
        <v>1</v>
      </c>
      <c r="L2216" s="50" t="s">
        <v>80</v>
      </c>
    </row>
    <row r="2217" spans="2:12">
      <c r="B2217" s="50" t="s">
        <v>411</v>
      </c>
      <c r="C2217" s="50" t="s">
        <v>26</v>
      </c>
      <c r="D2217" s="50" t="s">
        <v>27</v>
      </c>
      <c r="E2217" s="50">
        <v>50041195</v>
      </c>
      <c r="F2217" s="50" t="s">
        <v>206</v>
      </c>
      <c r="G2217" s="50">
        <v>1</v>
      </c>
      <c r="H2217" s="50" t="s">
        <v>2</v>
      </c>
      <c r="I2217" s="50" t="s">
        <v>291</v>
      </c>
      <c r="J2217" s="51">
        <v>46044</v>
      </c>
      <c r="K2217" s="50" t="s">
        <v>1</v>
      </c>
      <c r="L2217" s="50" t="s">
        <v>80</v>
      </c>
    </row>
    <row r="2218" spans="2:12">
      <c r="B2218" s="50" t="s">
        <v>439</v>
      </c>
      <c r="C2218" s="50" t="s">
        <v>62</v>
      </c>
      <c r="D2218" s="50" t="s">
        <v>27</v>
      </c>
      <c r="E2218" s="50">
        <v>50026357</v>
      </c>
      <c r="F2218" s="50" t="s">
        <v>192</v>
      </c>
      <c r="G2218" s="50">
        <v>1</v>
      </c>
      <c r="H2218" s="50" t="s">
        <v>2</v>
      </c>
      <c r="I2218" s="50" t="s">
        <v>291</v>
      </c>
      <c r="J2218" s="51">
        <v>46044</v>
      </c>
      <c r="K2218" s="50" t="s">
        <v>1</v>
      </c>
      <c r="L2218" s="50" t="s">
        <v>80</v>
      </c>
    </row>
    <row r="2219" spans="2:12">
      <c r="B2219" s="50" t="s">
        <v>394</v>
      </c>
      <c r="C2219" s="50" t="s">
        <v>51</v>
      </c>
      <c r="D2219" s="50" t="s">
        <v>27</v>
      </c>
      <c r="E2219" s="50">
        <v>50037905</v>
      </c>
      <c r="F2219" s="50" t="s">
        <v>150</v>
      </c>
      <c r="G2219" s="50">
        <v>1</v>
      </c>
      <c r="H2219" s="50" t="s">
        <v>2</v>
      </c>
      <c r="I2219" s="50" t="s">
        <v>291</v>
      </c>
      <c r="J2219" s="51">
        <v>46044</v>
      </c>
      <c r="K2219" s="50" t="s">
        <v>3</v>
      </c>
      <c r="L2219" s="50" t="s">
        <v>80</v>
      </c>
    </row>
    <row r="2220" spans="2:12">
      <c r="B2220" s="50" t="s">
        <v>411</v>
      </c>
      <c r="C2220" s="50" t="s">
        <v>26</v>
      </c>
      <c r="D2220" s="50" t="s">
        <v>27</v>
      </c>
      <c r="E2220" s="50">
        <v>50041195</v>
      </c>
      <c r="F2220" s="50" t="s">
        <v>206</v>
      </c>
      <c r="G2220" s="50">
        <v>1</v>
      </c>
      <c r="H2220" s="50" t="s">
        <v>2</v>
      </c>
      <c r="I2220" s="50" t="s">
        <v>291</v>
      </c>
      <c r="J2220" s="51">
        <v>46044</v>
      </c>
      <c r="K2220" s="50" t="s">
        <v>3</v>
      </c>
      <c r="L2220" s="50" t="s">
        <v>80</v>
      </c>
    </row>
    <row r="2221" spans="2:12">
      <c r="B2221" s="50" t="s">
        <v>455</v>
      </c>
      <c r="C2221" s="50" t="s">
        <v>56</v>
      </c>
      <c r="D2221" s="50" t="s">
        <v>41</v>
      </c>
      <c r="E2221" s="50">
        <v>50036296</v>
      </c>
      <c r="F2221" s="50" t="s">
        <v>109</v>
      </c>
      <c r="G2221" s="50">
        <v>1</v>
      </c>
      <c r="H2221" s="50" t="s">
        <v>2</v>
      </c>
      <c r="I2221" s="50" t="s">
        <v>291</v>
      </c>
      <c r="J2221" s="51">
        <v>46044</v>
      </c>
      <c r="K2221" s="50" t="s">
        <v>3</v>
      </c>
      <c r="L2221" s="50" t="s">
        <v>80</v>
      </c>
    </row>
    <row r="2222" spans="2:12">
      <c r="B2222" s="50" t="s">
        <v>394</v>
      </c>
      <c r="C2222" s="50" t="s">
        <v>51</v>
      </c>
      <c r="D2222" s="50" t="s">
        <v>27</v>
      </c>
      <c r="E2222" s="50">
        <v>50037905</v>
      </c>
      <c r="F2222" s="50" t="s">
        <v>150</v>
      </c>
      <c r="G2222" s="50">
        <v>1</v>
      </c>
      <c r="H2222" s="50" t="s">
        <v>2</v>
      </c>
      <c r="I2222" s="50" t="s">
        <v>291</v>
      </c>
      <c r="J2222" s="51">
        <v>46044</v>
      </c>
      <c r="K2222" s="50" t="s">
        <v>3</v>
      </c>
      <c r="L2222" s="50" t="s">
        <v>80</v>
      </c>
    </row>
    <row r="2223" spans="2:12">
      <c r="B2223" s="50" t="s">
        <v>463</v>
      </c>
      <c r="C2223" s="50" t="s">
        <v>56</v>
      </c>
      <c r="D2223" s="50" t="s">
        <v>27</v>
      </c>
      <c r="E2223" s="50">
        <v>50003297</v>
      </c>
      <c r="F2223" s="50" t="s">
        <v>158</v>
      </c>
      <c r="G2223" s="50">
        <v>1</v>
      </c>
      <c r="H2223" s="50" t="s">
        <v>2</v>
      </c>
      <c r="I2223" s="50" t="s">
        <v>291</v>
      </c>
      <c r="J2223" s="51">
        <v>46044</v>
      </c>
      <c r="K2223" s="50" t="s">
        <v>1</v>
      </c>
      <c r="L2223" s="50" t="s">
        <v>80</v>
      </c>
    </row>
    <row r="2224" spans="2:12">
      <c r="B2224" s="50" t="s">
        <v>386</v>
      </c>
      <c r="C2224" s="50" t="s">
        <v>286</v>
      </c>
      <c r="D2224" s="50" t="s">
        <v>27</v>
      </c>
      <c r="E2224" s="50">
        <v>50036296</v>
      </c>
      <c r="F2224" s="50" t="s">
        <v>109</v>
      </c>
      <c r="G2224" s="50">
        <v>1</v>
      </c>
      <c r="H2224" s="50" t="s">
        <v>2</v>
      </c>
      <c r="I2224" s="50" t="s">
        <v>291</v>
      </c>
      <c r="J2224" s="51">
        <v>46044</v>
      </c>
      <c r="K2224" s="50" t="s">
        <v>3</v>
      </c>
      <c r="L2224" s="50" t="s">
        <v>80</v>
      </c>
    </row>
    <row r="2225" spans="2:12">
      <c r="B2225" s="50" t="s">
        <v>399</v>
      </c>
      <c r="C2225" s="50" t="s">
        <v>51</v>
      </c>
      <c r="D2225" s="50" t="s">
        <v>27</v>
      </c>
      <c r="E2225" s="50">
        <v>50010031</v>
      </c>
      <c r="F2225" s="50" t="s">
        <v>89</v>
      </c>
      <c r="G2225" s="50">
        <v>1</v>
      </c>
      <c r="H2225" s="50" t="s">
        <v>2</v>
      </c>
      <c r="I2225" s="50" t="s">
        <v>291</v>
      </c>
      <c r="J2225" s="51">
        <v>46044</v>
      </c>
      <c r="K2225" s="50" t="s">
        <v>3</v>
      </c>
      <c r="L2225" s="50" t="s">
        <v>80</v>
      </c>
    </row>
    <row r="2226" spans="2:12">
      <c r="B2226" s="50" t="s">
        <v>439</v>
      </c>
      <c r="C2226" s="50" t="s">
        <v>62</v>
      </c>
      <c r="D2226" s="50" t="s">
        <v>27</v>
      </c>
      <c r="E2226" s="50">
        <v>50026357</v>
      </c>
      <c r="F2226" s="50" t="s">
        <v>192</v>
      </c>
      <c r="G2226" s="50">
        <v>1</v>
      </c>
      <c r="H2226" s="50" t="s">
        <v>2</v>
      </c>
      <c r="I2226" s="50" t="s">
        <v>291</v>
      </c>
      <c r="J2226" s="51">
        <v>46044</v>
      </c>
      <c r="K2226" s="50" t="s">
        <v>3</v>
      </c>
      <c r="L2226" s="50" t="s">
        <v>80</v>
      </c>
    </row>
    <row r="2227" spans="2:12">
      <c r="B2227" s="50" t="s">
        <v>386</v>
      </c>
      <c r="C2227" s="50" t="s">
        <v>286</v>
      </c>
      <c r="D2227" s="50" t="s">
        <v>27</v>
      </c>
      <c r="E2227" s="50">
        <v>50036296</v>
      </c>
      <c r="F2227" s="50" t="s">
        <v>109</v>
      </c>
      <c r="G2227" s="50">
        <v>1</v>
      </c>
      <c r="H2227" s="50" t="s">
        <v>2</v>
      </c>
      <c r="I2227" s="50" t="s">
        <v>291</v>
      </c>
      <c r="J2227" s="51">
        <v>46044</v>
      </c>
      <c r="K2227" s="50" t="s">
        <v>3</v>
      </c>
      <c r="L2227" s="50" t="s">
        <v>80</v>
      </c>
    </row>
    <row r="2228" spans="2:12">
      <c r="B2228" s="50" t="s">
        <v>273</v>
      </c>
      <c r="C2228" s="50" t="s">
        <v>274</v>
      </c>
      <c r="D2228" s="50" t="s">
        <v>27</v>
      </c>
      <c r="E2228" s="50">
        <v>50037933</v>
      </c>
      <c r="F2228" s="50" t="s">
        <v>250</v>
      </c>
      <c r="G2228" s="50">
        <v>1</v>
      </c>
      <c r="H2228" s="50" t="s">
        <v>2</v>
      </c>
      <c r="I2228" s="50" t="s">
        <v>291</v>
      </c>
      <c r="J2228" s="51">
        <v>46044</v>
      </c>
      <c r="K2228" s="50" t="s">
        <v>1</v>
      </c>
      <c r="L2228" s="50" t="s">
        <v>80</v>
      </c>
    </row>
    <row r="2229" spans="2:12">
      <c r="B2229" s="50" t="s">
        <v>386</v>
      </c>
      <c r="C2229" s="50" t="s">
        <v>286</v>
      </c>
      <c r="D2229" s="50" t="s">
        <v>27</v>
      </c>
      <c r="E2229" s="50">
        <v>50012902</v>
      </c>
      <c r="F2229" s="50" t="s">
        <v>225</v>
      </c>
      <c r="G2229" s="50">
        <v>1</v>
      </c>
      <c r="H2229" s="50" t="s">
        <v>2</v>
      </c>
      <c r="I2229" s="50" t="s">
        <v>292</v>
      </c>
      <c r="J2229" s="51">
        <v>46043</v>
      </c>
      <c r="K2229" s="50" t="s">
        <v>1</v>
      </c>
      <c r="L2229" s="50" t="s">
        <v>80</v>
      </c>
    </row>
    <row r="2230" spans="2:12">
      <c r="B2230" s="50" t="s">
        <v>481</v>
      </c>
      <c r="C2230" s="50" t="s">
        <v>26</v>
      </c>
      <c r="D2230" s="50" t="s">
        <v>27</v>
      </c>
      <c r="E2230" s="50">
        <v>50001995</v>
      </c>
      <c r="F2230" s="50" t="s">
        <v>185</v>
      </c>
      <c r="G2230" s="50">
        <v>1</v>
      </c>
      <c r="H2230" s="50" t="s">
        <v>2</v>
      </c>
      <c r="I2230" s="50" t="s">
        <v>292</v>
      </c>
      <c r="J2230" s="51">
        <v>46043</v>
      </c>
      <c r="K2230" s="50" t="s">
        <v>1</v>
      </c>
      <c r="L2230" s="50" t="s">
        <v>80</v>
      </c>
    </row>
    <row r="2231" spans="2:12">
      <c r="B2231" s="50" t="s">
        <v>444</v>
      </c>
      <c r="C2231" s="50" t="s">
        <v>51</v>
      </c>
      <c r="D2231" s="50" t="s">
        <v>27</v>
      </c>
      <c r="E2231" s="50">
        <v>50043471</v>
      </c>
      <c r="F2231" s="50" t="s">
        <v>257</v>
      </c>
      <c r="G2231" s="50">
        <v>1</v>
      </c>
      <c r="H2231" s="50" t="s">
        <v>2</v>
      </c>
      <c r="I2231" s="50" t="s">
        <v>292</v>
      </c>
      <c r="J2231" s="51">
        <v>46043</v>
      </c>
      <c r="K2231" s="50" t="s">
        <v>1</v>
      </c>
      <c r="L2231" s="50" t="s">
        <v>80</v>
      </c>
    </row>
    <row r="2232" spans="2:12">
      <c r="B2232" s="50" t="s">
        <v>444</v>
      </c>
      <c r="C2232" s="50" t="s">
        <v>51</v>
      </c>
      <c r="D2232" s="50" t="s">
        <v>27</v>
      </c>
      <c r="E2232" s="50">
        <v>50037892</v>
      </c>
      <c r="F2232" s="50" t="s">
        <v>178</v>
      </c>
      <c r="G2232" s="50">
        <v>1</v>
      </c>
      <c r="H2232" s="50" t="s">
        <v>2</v>
      </c>
      <c r="I2232" s="50" t="s">
        <v>292</v>
      </c>
      <c r="J2232" s="51">
        <v>46043</v>
      </c>
      <c r="K2232" s="50" t="s">
        <v>1</v>
      </c>
      <c r="L2232" s="50" t="s">
        <v>80</v>
      </c>
    </row>
    <row r="2233" spans="2:12">
      <c r="B2233" s="50" t="s">
        <v>483</v>
      </c>
      <c r="C2233" s="50" t="s">
        <v>62</v>
      </c>
      <c r="D2233" s="50" t="s">
        <v>27</v>
      </c>
      <c r="E2233" s="50">
        <v>50010031</v>
      </c>
      <c r="F2233" s="50" t="s">
        <v>89</v>
      </c>
      <c r="G2233" s="50">
        <v>1</v>
      </c>
      <c r="H2233" s="50" t="s">
        <v>2</v>
      </c>
      <c r="I2233" s="50" t="s">
        <v>292</v>
      </c>
      <c r="J2233" s="51">
        <v>46043</v>
      </c>
      <c r="K2233" s="50" t="s">
        <v>1</v>
      </c>
      <c r="L2233" s="50" t="s">
        <v>80</v>
      </c>
    </row>
    <row r="2234" spans="2:12">
      <c r="B2234" s="50" t="s">
        <v>389</v>
      </c>
      <c r="C2234" s="50" t="s">
        <v>56</v>
      </c>
      <c r="D2234" s="50" t="s">
        <v>27</v>
      </c>
      <c r="E2234" s="50">
        <v>50029865</v>
      </c>
      <c r="F2234" s="50" t="s">
        <v>162</v>
      </c>
      <c r="G2234" s="50">
        <v>1</v>
      </c>
      <c r="H2234" s="50" t="s">
        <v>2</v>
      </c>
      <c r="I2234" s="50" t="s">
        <v>292</v>
      </c>
      <c r="J2234" s="51">
        <v>46043</v>
      </c>
      <c r="K2234" s="50" t="s">
        <v>1</v>
      </c>
      <c r="L2234" s="50" t="s">
        <v>80</v>
      </c>
    </row>
    <row r="2235" spans="2:12">
      <c r="B2235" s="50" t="s">
        <v>389</v>
      </c>
      <c r="C2235" s="50" t="s">
        <v>56</v>
      </c>
      <c r="D2235" s="50" t="s">
        <v>27</v>
      </c>
      <c r="E2235" s="50">
        <v>50041195</v>
      </c>
      <c r="F2235" s="50" t="s">
        <v>206</v>
      </c>
      <c r="G2235" s="50">
        <v>1</v>
      </c>
      <c r="H2235" s="50" t="s">
        <v>2</v>
      </c>
      <c r="I2235" s="50" t="s">
        <v>292</v>
      </c>
      <c r="J2235" s="51">
        <v>46043</v>
      </c>
      <c r="K2235" s="50" t="s">
        <v>1</v>
      </c>
      <c r="L2235" s="50" t="s">
        <v>80</v>
      </c>
    </row>
    <row r="2236" spans="2:12">
      <c r="B2236" s="50" t="s">
        <v>444</v>
      </c>
      <c r="C2236" s="50" t="s">
        <v>51</v>
      </c>
      <c r="D2236" s="50" t="s">
        <v>27</v>
      </c>
      <c r="E2236" s="50">
        <v>50032781</v>
      </c>
      <c r="F2236" s="50" t="s">
        <v>237</v>
      </c>
      <c r="G2236" s="50">
        <v>1</v>
      </c>
      <c r="H2236" s="50" t="s">
        <v>2</v>
      </c>
      <c r="I2236" s="50" t="s">
        <v>292</v>
      </c>
      <c r="J2236" s="51">
        <v>46043</v>
      </c>
      <c r="K2236" s="50" t="s">
        <v>1</v>
      </c>
      <c r="L2236" s="50" t="s">
        <v>80</v>
      </c>
    </row>
    <row r="2237" spans="2:12">
      <c r="B2237" s="50" t="s">
        <v>409</v>
      </c>
      <c r="C2237" s="50" t="s">
        <v>51</v>
      </c>
      <c r="D2237" s="50" t="s">
        <v>27</v>
      </c>
      <c r="E2237" s="50">
        <v>50022878</v>
      </c>
      <c r="F2237" s="50" t="s">
        <v>296</v>
      </c>
      <c r="G2237" s="50">
        <v>1</v>
      </c>
      <c r="H2237" s="50" t="s">
        <v>2</v>
      </c>
      <c r="I2237" s="50" t="s">
        <v>292</v>
      </c>
      <c r="J2237" s="51">
        <v>46043</v>
      </c>
      <c r="K2237" s="50" t="s">
        <v>1</v>
      </c>
      <c r="L2237" s="50" t="s">
        <v>80</v>
      </c>
    </row>
    <row r="2238" spans="2:12">
      <c r="B2238" s="50" t="s">
        <v>386</v>
      </c>
      <c r="C2238" s="50" t="s">
        <v>62</v>
      </c>
      <c r="D2238" s="50" t="s">
        <v>27</v>
      </c>
      <c r="E2238" s="50">
        <v>50026357</v>
      </c>
      <c r="F2238" s="50" t="s">
        <v>192</v>
      </c>
      <c r="G2238" s="50">
        <v>1</v>
      </c>
      <c r="H2238" s="50" t="s">
        <v>2</v>
      </c>
      <c r="I2238" s="50" t="s">
        <v>292</v>
      </c>
      <c r="J2238" s="51">
        <v>46043</v>
      </c>
      <c r="K2238" s="50" t="s">
        <v>3</v>
      </c>
      <c r="L2238" s="50" t="s">
        <v>80</v>
      </c>
    </row>
    <row r="2239" spans="2:12">
      <c r="B2239" s="50" t="s">
        <v>409</v>
      </c>
      <c r="C2239" s="50" t="s">
        <v>51</v>
      </c>
      <c r="D2239" s="50" t="s">
        <v>27</v>
      </c>
      <c r="E2239" s="50">
        <v>50022878</v>
      </c>
      <c r="F2239" s="50" t="s">
        <v>296</v>
      </c>
      <c r="G2239" s="50">
        <v>1</v>
      </c>
      <c r="H2239" s="50" t="s">
        <v>2</v>
      </c>
      <c r="I2239" s="50" t="s">
        <v>292</v>
      </c>
      <c r="J2239" s="51">
        <v>46043</v>
      </c>
      <c r="K2239" s="50" t="s">
        <v>3</v>
      </c>
      <c r="L2239" s="50" t="s">
        <v>80</v>
      </c>
    </row>
    <row r="2240" spans="2:12" ht="14.4">
      <c r="B2240" s="50" t="s">
        <v>471</v>
      </c>
      <c r="C2240" s="50" t="s">
        <v>26</v>
      </c>
      <c r="D2240" s="50" t="s">
        <v>39</v>
      </c>
      <c r="E2240" s="73">
        <v>50038956</v>
      </c>
      <c r="F2240" s="73" t="s">
        <v>177</v>
      </c>
      <c r="G2240" s="50">
        <v>1</v>
      </c>
      <c r="H2240" s="50" t="s">
        <v>2</v>
      </c>
      <c r="I2240" s="50" t="s">
        <v>292</v>
      </c>
      <c r="J2240" s="51">
        <v>46043</v>
      </c>
      <c r="K2240" s="50" t="s">
        <v>3</v>
      </c>
      <c r="L2240" s="50" t="s">
        <v>80</v>
      </c>
    </row>
    <row r="2241" spans="2:12">
      <c r="B2241" s="50" t="s">
        <v>389</v>
      </c>
      <c r="C2241" s="50" t="s">
        <v>56</v>
      </c>
      <c r="D2241" s="50" t="s">
        <v>27</v>
      </c>
      <c r="E2241" s="50">
        <v>50029865</v>
      </c>
      <c r="F2241" s="50" t="s">
        <v>162</v>
      </c>
      <c r="G2241" s="50">
        <v>1</v>
      </c>
      <c r="H2241" s="50" t="s">
        <v>2</v>
      </c>
      <c r="I2241" s="50" t="s">
        <v>292</v>
      </c>
      <c r="J2241" s="51">
        <v>46043</v>
      </c>
      <c r="K2241" s="50" t="s">
        <v>3</v>
      </c>
      <c r="L2241" s="50" t="s">
        <v>80</v>
      </c>
    </row>
    <row r="2242" spans="2:12">
      <c r="B2242" s="50" t="s">
        <v>389</v>
      </c>
      <c r="C2242" s="50" t="s">
        <v>56</v>
      </c>
      <c r="D2242" s="50" t="s">
        <v>27</v>
      </c>
      <c r="E2242" s="72">
        <v>50041195</v>
      </c>
      <c r="F2242" s="72" t="s">
        <v>206</v>
      </c>
      <c r="G2242" s="50">
        <v>1</v>
      </c>
      <c r="H2242" s="50" t="s">
        <v>2</v>
      </c>
      <c r="I2242" s="50" t="s">
        <v>292</v>
      </c>
      <c r="J2242" s="51">
        <v>46043</v>
      </c>
      <c r="K2242" s="50" t="s">
        <v>1</v>
      </c>
      <c r="L2242" s="50" t="s">
        <v>80</v>
      </c>
    </row>
    <row r="2243" spans="2:12">
      <c r="B2243" s="50" t="s">
        <v>483</v>
      </c>
      <c r="C2243" s="50" t="s">
        <v>62</v>
      </c>
      <c r="D2243" s="50" t="s">
        <v>27</v>
      </c>
      <c r="E2243" s="50">
        <v>50036297</v>
      </c>
      <c r="F2243" s="50" t="s">
        <v>189</v>
      </c>
      <c r="G2243" s="50">
        <v>1</v>
      </c>
      <c r="H2243" s="50" t="s">
        <v>2</v>
      </c>
      <c r="I2243" s="50" t="s">
        <v>292</v>
      </c>
      <c r="J2243" s="51">
        <v>46043</v>
      </c>
      <c r="K2243" s="50" t="s">
        <v>3</v>
      </c>
      <c r="L2243" s="50" t="s">
        <v>80</v>
      </c>
    </row>
    <row r="2244" spans="2:12">
      <c r="B2244" s="50" t="s">
        <v>386</v>
      </c>
      <c r="C2244" s="50" t="s">
        <v>286</v>
      </c>
      <c r="D2244" s="50" t="s">
        <v>27</v>
      </c>
      <c r="E2244" s="50">
        <v>50012902</v>
      </c>
      <c r="F2244" s="50" t="s">
        <v>225</v>
      </c>
      <c r="G2244" s="50">
        <v>1</v>
      </c>
      <c r="H2244" s="50" t="s">
        <v>2</v>
      </c>
      <c r="I2244" s="50" t="s">
        <v>292</v>
      </c>
      <c r="J2244" s="51">
        <v>46043</v>
      </c>
      <c r="K2244" s="50" t="s">
        <v>3</v>
      </c>
      <c r="L2244" s="50" t="s">
        <v>80</v>
      </c>
    </row>
    <row r="2245" spans="2:12">
      <c r="B2245" s="50" t="s">
        <v>386</v>
      </c>
      <c r="C2245" s="50" t="s">
        <v>62</v>
      </c>
      <c r="D2245" s="50" t="s">
        <v>27</v>
      </c>
      <c r="E2245" s="50">
        <v>50026357</v>
      </c>
      <c r="F2245" s="50" t="s">
        <v>192</v>
      </c>
      <c r="G2245" s="50">
        <v>1</v>
      </c>
      <c r="H2245" s="50" t="s">
        <v>2</v>
      </c>
      <c r="I2245" s="50" t="s">
        <v>292</v>
      </c>
      <c r="J2245" s="51">
        <v>46043</v>
      </c>
      <c r="K2245" s="50" t="s">
        <v>1</v>
      </c>
      <c r="L2245" s="50" t="s">
        <v>80</v>
      </c>
    </row>
    <row r="2246" spans="2:12">
      <c r="B2246" s="50" t="s">
        <v>394</v>
      </c>
      <c r="C2246" s="50" t="s">
        <v>51</v>
      </c>
      <c r="D2246" s="50" t="s">
        <v>27</v>
      </c>
      <c r="E2246" s="50">
        <v>50039065</v>
      </c>
      <c r="F2246" s="50" t="s">
        <v>186</v>
      </c>
      <c r="G2246" s="50">
        <v>1</v>
      </c>
      <c r="H2246" s="50" t="s">
        <v>2</v>
      </c>
      <c r="I2246" s="50" t="s">
        <v>292</v>
      </c>
      <c r="J2246" s="51">
        <v>46043</v>
      </c>
      <c r="K2246" s="50" t="s">
        <v>1</v>
      </c>
      <c r="L2246" s="50" t="s">
        <v>80</v>
      </c>
    </row>
    <row r="2247" spans="2:12">
      <c r="B2247" s="50" t="s">
        <v>463</v>
      </c>
      <c r="C2247" s="50" t="s">
        <v>56</v>
      </c>
      <c r="D2247" s="50" t="s">
        <v>27</v>
      </c>
      <c r="E2247" s="50">
        <v>50003297</v>
      </c>
      <c r="F2247" s="50" t="s">
        <v>158</v>
      </c>
      <c r="G2247" s="50">
        <v>1</v>
      </c>
      <c r="H2247" s="50" t="s">
        <v>2</v>
      </c>
      <c r="I2247" s="50" t="s">
        <v>291</v>
      </c>
      <c r="J2247" s="51">
        <v>46043</v>
      </c>
      <c r="K2247" s="50" t="s">
        <v>1</v>
      </c>
      <c r="L2247" s="50" t="s">
        <v>80</v>
      </c>
    </row>
    <row r="2248" spans="2:12">
      <c r="B2248" s="50" t="s">
        <v>428</v>
      </c>
      <c r="C2248" s="50" t="s">
        <v>26</v>
      </c>
      <c r="D2248" s="50" t="s">
        <v>27</v>
      </c>
      <c r="E2248" s="50">
        <v>50012902</v>
      </c>
      <c r="F2248" s="50" t="s">
        <v>225</v>
      </c>
      <c r="G2248" s="50">
        <v>1</v>
      </c>
      <c r="H2248" s="50" t="s">
        <v>2</v>
      </c>
      <c r="I2248" s="50" t="s">
        <v>291</v>
      </c>
      <c r="J2248" s="51">
        <v>46043</v>
      </c>
      <c r="K2248" s="50" t="s">
        <v>3</v>
      </c>
      <c r="L2248" s="50" t="s">
        <v>80</v>
      </c>
    </row>
    <row r="2249" spans="2:12">
      <c r="B2249" s="50" t="s">
        <v>394</v>
      </c>
      <c r="C2249" s="50" t="s">
        <v>51</v>
      </c>
      <c r="D2249" s="50" t="s">
        <v>27</v>
      </c>
      <c r="E2249" s="50">
        <v>50039065</v>
      </c>
      <c r="F2249" s="50" t="s">
        <v>186</v>
      </c>
      <c r="G2249" s="50">
        <v>1</v>
      </c>
      <c r="H2249" s="50" t="s">
        <v>2</v>
      </c>
      <c r="I2249" s="50" t="s">
        <v>291</v>
      </c>
      <c r="J2249" s="51">
        <v>46043</v>
      </c>
      <c r="K2249" s="50" t="s">
        <v>3</v>
      </c>
      <c r="L2249" s="50" t="s">
        <v>80</v>
      </c>
    </row>
    <row r="2250" spans="2:12">
      <c r="B2250" s="50" t="s">
        <v>444</v>
      </c>
      <c r="C2250" s="50" t="s">
        <v>51</v>
      </c>
      <c r="D2250" s="50" t="s">
        <v>27</v>
      </c>
      <c r="E2250" s="50">
        <v>50032781</v>
      </c>
      <c r="F2250" s="50" t="s">
        <v>237</v>
      </c>
      <c r="G2250" s="50">
        <v>1</v>
      </c>
      <c r="H2250" s="50" t="s">
        <v>2</v>
      </c>
      <c r="I2250" s="50" t="s">
        <v>291</v>
      </c>
      <c r="J2250" s="51">
        <v>46043</v>
      </c>
      <c r="K2250" s="50" t="s">
        <v>3</v>
      </c>
      <c r="L2250" s="50" t="s">
        <v>80</v>
      </c>
    </row>
    <row r="2251" spans="2:12">
      <c r="B2251" s="50" t="s">
        <v>428</v>
      </c>
      <c r="C2251" s="50" t="s">
        <v>26</v>
      </c>
      <c r="D2251" s="50" t="s">
        <v>27</v>
      </c>
      <c r="E2251" s="50">
        <v>50012902</v>
      </c>
      <c r="F2251" s="50" t="s">
        <v>225</v>
      </c>
      <c r="G2251" s="50">
        <v>1</v>
      </c>
      <c r="H2251" s="50" t="s">
        <v>2</v>
      </c>
      <c r="I2251" s="50" t="s">
        <v>291</v>
      </c>
      <c r="J2251" s="51">
        <v>46043</v>
      </c>
      <c r="K2251" s="50" t="s">
        <v>3</v>
      </c>
      <c r="L2251" s="50" t="s">
        <v>80</v>
      </c>
    </row>
    <row r="2252" spans="2:12">
      <c r="B2252" s="50" t="s">
        <v>483</v>
      </c>
      <c r="C2252" s="50" t="s">
        <v>62</v>
      </c>
      <c r="D2252" s="50" t="s">
        <v>27</v>
      </c>
      <c r="E2252" s="50">
        <v>50036297</v>
      </c>
      <c r="F2252" s="50" t="s">
        <v>189</v>
      </c>
      <c r="G2252" s="50">
        <v>1</v>
      </c>
      <c r="H2252" s="50" t="s">
        <v>2</v>
      </c>
      <c r="I2252" s="50" t="s">
        <v>291</v>
      </c>
      <c r="J2252" s="51">
        <v>46043</v>
      </c>
      <c r="K2252" s="50" t="s">
        <v>3</v>
      </c>
      <c r="L2252" s="50" t="s">
        <v>80</v>
      </c>
    </row>
    <row r="2253" spans="2:12">
      <c r="B2253" s="50" t="s">
        <v>481</v>
      </c>
      <c r="C2253" s="50" t="s">
        <v>26</v>
      </c>
      <c r="D2253" s="50" t="s">
        <v>27</v>
      </c>
      <c r="E2253" s="50">
        <v>50001995</v>
      </c>
      <c r="F2253" s="50" t="s">
        <v>185</v>
      </c>
      <c r="G2253" s="50">
        <v>1</v>
      </c>
      <c r="H2253" s="50" t="s">
        <v>2</v>
      </c>
      <c r="I2253" s="50" t="s">
        <v>291</v>
      </c>
      <c r="J2253" s="51">
        <v>46043</v>
      </c>
      <c r="K2253" s="50" t="s">
        <v>3</v>
      </c>
      <c r="L2253" s="50" t="s">
        <v>80</v>
      </c>
    </row>
    <row r="2254" spans="2:12">
      <c r="B2254" s="50" t="s">
        <v>481</v>
      </c>
      <c r="C2254" s="50" t="s">
        <v>26</v>
      </c>
      <c r="D2254" s="50" t="s">
        <v>27</v>
      </c>
      <c r="E2254" s="50">
        <v>50038517</v>
      </c>
      <c r="F2254" s="50" t="s">
        <v>181</v>
      </c>
      <c r="G2254" s="50">
        <v>1</v>
      </c>
      <c r="H2254" s="50" t="s">
        <v>2</v>
      </c>
      <c r="I2254" s="50" t="s">
        <v>291</v>
      </c>
      <c r="J2254" s="51">
        <v>46043</v>
      </c>
      <c r="K2254" s="50" t="s">
        <v>3</v>
      </c>
      <c r="L2254" s="50" t="s">
        <v>80</v>
      </c>
    </row>
    <row r="2255" spans="2:12">
      <c r="B2255" s="50" t="s">
        <v>463</v>
      </c>
      <c r="C2255" s="50" t="s">
        <v>56</v>
      </c>
      <c r="D2255" s="50" t="s">
        <v>27</v>
      </c>
      <c r="E2255" s="50">
        <v>50003297</v>
      </c>
      <c r="F2255" s="50" t="s">
        <v>158</v>
      </c>
      <c r="G2255" s="50">
        <v>1</v>
      </c>
      <c r="H2255" s="50" t="s">
        <v>2</v>
      </c>
      <c r="I2255" s="50" t="s">
        <v>291</v>
      </c>
      <c r="J2255" s="51">
        <v>46043</v>
      </c>
      <c r="K2255" s="50" t="s">
        <v>3</v>
      </c>
      <c r="L2255" s="50" t="s">
        <v>80</v>
      </c>
    </row>
    <row r="2256" spans="2:12">
      <c r="B2256" s="50" t="s">
        <v>483</v>
      </c>
      <c r="C2256" s="50" t="s">
        <v>62</v>
      </c>
      <c r="D2256" s="50" t="s">
        <v>27</v>
      </c>
      <c r="E2256" s="50">
        <v>50010031</v>
      </c>
      <c r="F2256" s="50" t="s">
        <v>89</v>
      </c>
      <c r="G2256" s="50">
        <v>1</v>
      </c>
      <c r="H2256" s="50" t="s">
        <v>2</v>
      </c>
      <c r="I2256" s="50" t="s">
        <v>291</v>
      </c>
      <c r="J2256" s="51">
        <v>46043</v>
      </c>
      <c r="K2256" s="50" t="s">
        <v>3</v>
      </c>
      <c r="L2256" s="50" t="s">
        <v>80</v>
      </c>
    </row>
    <row r="2257" spans="2:12">
      <c r="B2257" s="50" t="s">
        <v>444</v>
      </c>
      <c r="C2257" s="50" t="s">
        <v>51</v>
      </c>
      <c r="D2257" s="50" t="s">
        <v>27</v>
      </c>
      <c r="E2257" s="50">
        <v>50043471</v>
      </c>
      <c r="F2257" s="50" t="s">
        <v>257</v>
      </c>
      <c r="G2257" s="50">
        <v>1</v>
      </c>
      <c r="H2257" s="50" t="s">
        <v>2</v>
      </c>
      <c r="I2257" s="50" t="s">
        <v>291</v>
      </c>
      <c r="J2257" s="51">
        <v>46043</v>
      </c>
      <c r="K2257" s="50" t="s">
        <v>3</v>
      </c>
      <c r="L2257" s="50" t="s">
        <v>80</v>
      </c>
    </row>
    <row r="2258" spans="2:12">
      <c r="B2258" s="50" t="s">
        <v>444</v>
      </c>
      <c r="C2258" s="50" t="s">
        <v>51</v>
      </c>
      <c r="D2258" s="50" t="s">
        <v>27</v>
      </c>
      <c r="E2258" s="50">
        <v>50037892</v>
      </c>
      <c r="F2258" s="50" t="s">
        <v>178</v>
      </c>
      <c r="G2258" s="50">
        <v>1</v>
      </c>
      <c r="H2258" s="50" t="s">
        <v>2</v>
      </c>
      <c r="I2258" s="50" t="s">
        <v>291</v>
      </c>
      <c r="J2258" s="51">
        <v>46043</v>
      </c>
      <c r="K2258" s="50" t="s">
        <v>1</v>
      </c>
      <c r="L2258" s="50" t="s">
        <v>80</v>
      </c>
    </row>
    <row r="2259" spans="2:12">
      <c r="B2259" s="50" t="s">
        <v>347</v>
      </c>
      <c r="C2259" s="50" t="s">
        <v>26</v>
      </c>
      <c r="D2259" s="50" t="s">
        <v>41</v>
      </c>
      <c r="E2259" s="50">
        <v>50037905</v>
      </c>
      <c r="F2259" s="50" t="s">
        <v>150</v>
      </c>
      <c r="G2259" s="50">
        <v>1</v>
      </c>
      <c r="H2259" s="50" t="s">
        <v>2</v>
      </c>
      <c r="I2259" s="50" t="s">
        <v>291</v>
      </c>
      <c r="J2259" s="51">
        <v>46043</v>
      </c>
      <c r="K2259" s="50" t="s">
        <v>1</v>
      </c>
      <c r="L2259" s="50" t="s">
        <v>80</v>
      </c>
    </row>
    <row r="2260" spans="2:12">
      <c r="B2260" s="50" t="s">
        <v>386</v>
      </c>
      <c r="C2260" s="50" t="s">
        <v>62</v>
      </c>
      <c r="D2260" s="50" t="s">
        <v>27</v>
      </c>
      <c r="E2260" s="50">
        <v>50030486</v>
      </c>
      <c r="F2260" s="50" t="s">
        <v>153</v>
      </c>
      <c r="G2260" s="50">
        <v>1</v>
      </c>
      <c r="H2260" s="50" t="s">
        <v>2</v>
      </c>
      <c r="I2260" s="50" t="s">
        <v>291</v>
      </c>
      <c r="J2260" s="51">
        <v>46043</v>
      </c>
      <c r="K2260" s="50" t="s">
        <v>1</v>
      </c>
      <c r="L2260" s="50" t="s">
        <v>80</v>
      </c>
    </row>
    <row r="2261" spans="2:12">
      <c r="B2261" s="50" t="s">
        <v>474</v>
      </c>
      <c r="C2261" s="50" t="s">
        <v>51</v>
      </c>
      <c r="D2261" s="50" t="s">
        <v>27</v>
      </c>
      <c r="E2261" s="50">
        <v>50037892</v>
      </c>
      <c r="F2261" s="50" t="s">
        <v>178</v>
      </c>
      <c r="G2261" s="50">
        <v>1</v>
      </c>
      <c r="H2261" s="50" t="s">
        <v>2</v>
      </c>
      <c r="I2261" s="50" t="s">
        <v>291</v>
      </c>
      <c r="J2261" s="51">
        <v>46043</v>
      </c>
      <c r="K2261" s="50" t="s">
        <v>1</v>
      </c>
      <c r="L2261" s="50" t="s">
        <v>80</v>
      </c>
    </row>
    <row r="2262" spans="2:12">
      <c r="B2262" s="50" t="s">
        <v>399</v>
      </c>
      <c r="C2262" s="50" t="s">
        <v>51</v>
      </c>
      <c r="D2262" s="50" t="s">
        <v>27</v>
      </c>
      <c r="E2262" s="50">
        <v>50043151</v>
      </c>
      <c r="F2262" s="50" t="s">
        <v>331</v>
      </c>
      <c r="G2262" s="50">
        <v>1</v>
      </c>
      <c r="H2262" s="50" t="s">
        <v>2</v>
      </c>
      <c r="I2262" s="50" t="s">
        <v>292</v>
      </c>
      <c r="J2262" s="51">
        <v>46042</v>
      </c>
      <c r="K2262" s="50" t="s">
        <v>1</v>
      </c>
      <c r="L2262" s="50" t="s">
        <v>80</v>
      </c>
    </row>
    <row r="2263" spans="2:12">
      <c r="B2263" s="50" t="s">
        <v>474</v>
      </c>
      <c r="C2263" s="50" t="s">
        <v>51</v>
      </c>
      <c r="D2263" s="50" t="s">
        <v>27</v>
      </c>
      <c r="E2263" s="50">
        <v>50041195</v>
      </c>
      <c r="F2263" s="50" t="s">
        <v>206</v>
      </c>
      <c r="G2263" s="50">
        <v>1</v>
      </c>
      <c r="H2263" s="50" t="s">
        <v>2</v>
      </c>
      <c r="I2263" s="50" t="s">
        <v>292</v>
      </c>
      <c r="J2263" s="51">
        <v>46042</v>
      </c>
      <c r="K2263" s="50" t="s">
        <v>1</v>
      </c>
      <c r="L2263" s="50" t="s">
        <v>80</v>
      </c>
    </row>
    <row r="2264" spans="2:12">
      <c r="B2264" s="50" t="s">
        <v>345</v>
      </c>
      <c r="C2264" s="50" t="s">
        <v>62</v>
      </c>
      <c r="D2264" s="50" t="s">
        <v>27</v>
      </c>
      <c r="E2264" s="50">
        <v>50037903</v>
      </c>
      <c r="F2264" s="50" t="s">
        <v>183</v>
      </c>
      <c r="G2264" s="50">
        <v>1</v>
      </c>
      <c r="H2264" s="50" t="s">
        <v>2</v>
      </c>
      <c r="I2264" s="50" t="s">
        <v>292</v>
      </c>
      <c r="J2264" s="51">
        <v>46042</v>
      </c>
      <c r="K2264" s="50" t="s">
        <v>1</v>
      </c>
      <c r="L2264" s="50" t="s">
        <v>80</v>
      </c>
    </row>
    <row r="2265" spans="2:12">
      <c r="B2265" s="50" t="s">
        <v>483</v>
      </c>
      <c r="C2265" s="50" t="s">
        <v>62</v>
      </c>
      <c r="D2265" s="50" t="s">
        <v>27</v>
      </c>
      <c r="E2265" s="50">
        <v>50038662</v>
      </c>
      <c r="F2265" s="50" t="s">
        <v>193</v>
      </c>
      <c r="G2265" s="50">
        <v>1</v>
      </c>
      <c r="H2265" s="50" t="s">
        <v>2</v>
      </c>
      <c r="I2265" s="50" t="s">
        <v>292</v>
      </c>
      <c r="J2265" s="51">
        <v>46042</v>
      </c>
      <c r="K2265" s="50" t="s">
        <v>1</v>
      </c>
      <c r="L2265" s="50" t="s">
        <v>80</v>
      </c>
    </row>
    <row r="2266" spans="2:12">
      <c r="B2266" s="50" t="s">
        <v>389</v>
      </c>
      <c r="C2266" s="50" t="s">
        <v>56</v>
      </c>
      <c r="D2266" s="50" t="s">
        <v>27</v>
      </c>
      <c r="E2266" s="50">
        <v>50003297</v>
      </c>
      <c r="F2266" s="50" t="s">
        <v>158</v>
      </c>
      <c r="G2266" s="50">
        <v>1</v>
      </c>
      <c r="H2266" s="50" t="s">
        <v>2</v>
      </c>
      <c r="I2266" s="50" t="s">
        <v>292</v>
      </c>
      <c r="J2266" s="51">
        <v>46042</v>
      </c>
      <c r="K2266" s="50" t="s">
        <v>1</v>
      </c>
      <c r="L2266" s="50" t="s">
        <v>80</v>
      </c>
    </row>
    <row r="2267" spans="2:12">
      <c r="B2267" s="50" t="s">
        <v>389</v>
      </c>
      <c r="C2267" s="50" t="s">
        <v>56</v>
      </c>
      <c r="D2267" s="50" t="s">
        <v>27</v>
      </c>
      <c r="E2267" s="50">
        <v>50038549</v>
      </c>
      <c r="F2267" s="50" t="s">
        <v>173</v>
      </c>
      <c r="G2267" s="50">
        <v>1</v>
      </c>
      <c r="H2267" s="50" t="s">
        <v>2</v>
      </c>
      <c r="I2267" s="50" t="s">
        <v>292</v>
      </c>
      <c r="J2267" s="51">
        <v>46042</v>
      </c>
      <c r="K2267" s="50" t="s">
        <v>3</v>
      </c>
      <c r="L2267" s="50" t="s">
        <v>80</v>
      </c>
    </row>
    <row r="2268" spans="2:12">
      <c r="B2268" s="50" t="s">
        <v>389</v>
      </c>
      <c r="C2268" s="50" t="s">
        <v>56</v>
      </c>
      <c r="D2268" s="50" t="s">
        <v>27</v>
      </c>
      <c r="E2268" s="50">
        <v>50003297</v>
      </c>
      <c r="F2268" s="50" t="s">
        <v>158</v>
      </c>
      <c r="G2268" s="50">
        <v>1</v>
      </c>
      <c r="H2268" s="50" t="s">
        <v>2</v>
      </c>
      <c r="I2268" s="50" t="s">
        <v>293</v>
      </c>
      <c r="J2268" s="51">
        <v>46042</v>
      </c>
      <c r="K2268" s="50" t="s">
        <v>3</v>
      </c>
      <c r="L2268" s="50" t="s">
        <v>80</v>
      </c>
    </row>
    <row r="2269" spans="2:12">
      <c r="B2269" s="50" t="s">
        <v>389</v>
      </c>
      <c r="C2269" s="50" t="s">
        <v>56</v>
      </c>
      <c r="D2269" s="50" t="s">
        <v>27</v>
      </c>
      <c r="E2269" s="50">
        <v>50038549</v>
      </c>
      <c r="F2269" s="50" t="s">
        <v>173</v>
      </c>
      <c r="G2269" s="50">
        <v>1</v>
      </c>
      <c r="H2269" s="50" t="s">
        <v>2</v>
      </c>
      <c r="I2269" s="50" t="s">
        <v>293</v>
      </c>
      <c r="J2269" s="51">
        <v>46042</v>
      </c>
      <c r="K2269" s="50" t="s">
        <v>1</v>
      </c>
      <c r="L2269" s="50" t="s">
        <v>80</v>
      </c>
    </row>
    <row r="2270" spans="2:12">
      <c r="B2270" s="50" t="s">
        <v>474</v>
      </c>
      <c r="C2270" s="50" t="s">
        <v>51</v>
      </c>
      <c r="D2270" s="50" t="s">
        <v>27</v>
      </c>
      <c r="E2270" s="50">
        <v>50043471</v>
      </c>
      <c r="F2270" s="50" t="s">
        <v>257</v>
      </c>
      <c r="G2270" s="50">
        <v>1</v>
      </c>
      <c r="H2270" s="50" t="s">
        <v>2</v>
      </c>
      <c r="I2270" s="50" t="s">
        <v>293</v>
      </c>
      <c r="J2270" s="51">
        <v>46042</v>
      </c>
      <c r="K2270" s="50" t="s">
        <v>1</v>
      </c>
      <c r="L2270" s="50" t="s">
        <v>80</v>
      </c>
    </row>
    <row r="2271" spans="2:12">
      <c r="B2271" s="50" t="s">
        <v>463</v>
      </c>
      <c r="C2271" s="50" t="s">
        <v>56</v>
      </c>
      <c r="D2271" s="50" t="s">
        <v>27</v>
      </c>
      <c r="E2271" s="50">
        <v>50003297</v>
      </c>
      <c r="F2271" s="50" t="s">
        <v>158</v>
      </c>
      <c r="G2271" s="50">
        <v>1</v>
      </c>
      <c r="H2271" s="50" t="s">
        <v>2</v>
      </c>
      <c r="I2271" s="50" t="s">
        <v>293</v>
      </c>
      <c r="J2271" s="51">
        <v>46042</v>
      </c>
      <c r="K2271" s="50" t="s">
        <v>3</v>
      </c>
      <c r="L2271" s="50" t="s">
        <v>80</v>
      </c>
    </row>
    <row r="2272" spans="2:12">
      <c r="B2272" s="50" t="s">
        <v>347</v>
      </c>
      <c r="C2272" s="50" t="s">
        <v>26</v>
      </c>
      <c r="D2272" s="50" t="s">
        <v>41</v>
      </c>
      <c r="E2272" s="50">
        <v>50037905</v>
      </c>
      <c r="F2272" s="50" t="s">
        <v>150</v>
      </c>
      <c r="G2272" s="50">
        <v>1</v>
      </c>
      <c r="H2272" s="50" t="s">
        <v>2</v>
      </c>
      <c r="I2272" s="50" t="s">
        <v>293</v>
      </c>
      <c r="J2272" s="51">
        <v>46042</v>
      </c>
      <c r="K2272" s="50" t="s">
        <v>1</v>
      </c>
      <c r="L2272" s="50" t="s">
        <v>80</v>
      </c>
    </row>
    <row r="2273" spans="2:12">
      <c r="B2273" s="50" t="s">
        <v>316</v>
      </c>
      <c r="C2273" s="50" t="s">
        <v>51</v>
      </c>
      <c r="D2273" s="50" t="s">
        <v>27</v>
      </c>
      <c r="E2273" s="50">
        <v>50010031</v>
      </c>
      <c r="F2273" s="50" t="s">
        <v>89</v>
      </c>
      <c r="G2273" s="50">
        <v>1</v>
      </c>
      <c r="H2273" s="50" t="s">
        <v>2</v>
      </c>
      <c r="I2273" s="50" t="s">
        <v>293</v>
      </c>
      <c r="J2273" s="51">
        <v>46042</v>
      </c>
      <c r="K2273" s="50" t="s">
        <v>1</v>
      </c>
      <c r="L2273" s="50" t="s">
        <v>80</v>
      </c>
    </row>
    <row r="2274" spans="2:12">
      <c r="B2274" s="50" t="s">
        <v>478</v>
      </c>
      <c r="C2274" s="50" t="s">
        <v>51</v>
      </c>
      <c r="D2274" s="50" t="s">
        <v>27</v>
      </c>
      <c r="E2274" s="50">
        <v>50038517</v>
      </c>
      <c r="F2274" s="50" t="s">
        <v>181</v>
      </c>
      <c r="G2274" s="50">
        <v>1</v>
      </c>
      <c r="H2274" s="50" t="s">
        <v>2</v>
      </c>
      <c r="I2274" s="50" t="s">
        <v>288</v>
      </c>
      <c r="J2274" s="51">
        <v>46042</v>
      </c>
      <c r="K2274" s="50" t="s">
        <v>3</v>
      </c>
      <c r="L2274" s="50" t="s">
        <v>80</v>
      </c>
    </row>
    <row r="2275" spans="2:12">
      <c r="B2275" s="50" t="s">
        <v>483</v>
      </c>
      <c r="C2275" s="50" t="s">
        <v>62</v>
      </c>
      <c r="D2275" s="50" t="s">
        <v>27</v>
      </c>
      <c r="E2275" s="50">
        <v>50038662</v>
      </c>
      <c r="F2275" s="50" t="s">
        <v>193</v>
      </c>
      <c r="G2275" s="50">
        <v>1</v>
      </c>
      <c r="H2275" s="50" t="s">
        <v>2</v>
      </c>
      <c r="I2275" s="50" t="s">
        <v>288</v>
      </c>
      <c r="J2275" s="51">
        <v>46042</v>
      </c>
      <c r="K2275" s="50" t="s">
        <v>3</v>
      </c>
      <c r="L2275" s="50" t="s">
        <v>80</v>
      </c>
    </row>
    <row r="2276" spans="2:12">
      <c r="B2276" s="50" t="s">
        <v>463</v>
      </c>
      <c r="C2276" s="50" t="s">
        <v>56</v>
      </c>
      <c r="D2276" s="50" t="s">
        <v>27</v>
      </c>
      <c r="E2276" s="50">
        <v>50003297</v>
      </c>
      <c r="F2276" s="50" t="s">
        <v>158</v>
      </c>
      <c r="G2276" s="50">
        <v>1</v>
      </c>
      <c r="H2276" s="50" t="s">
        <v>2</v>
      </c>
      <c r="I2276" s="50" t="s">
        <v>288</v>
      </c>
      <c r="J2276" s="51">
        <v>46042</v>
      </c>
      <c r="K2276" s="50" t="s">
        <v>3</v>
      </c>
      <c r="L2276" s="50" t="s">
        <v>80</v>
      </c>
    </row>
    <row r="2277" spans="2:12">
      <c r="B2277" s="50" t="s">
        <v>345</v>
      </c>
      <c r="C2277" s="50" t="s">
        <v>62</v>
      </c>
      <c r="D2277" s="50" t="s">
        <v>27</v>
      </c>
      <c r="E2277" s="50">
        <v>50037903</v>
      </c>
      <c r="F2277" s="50" t="s">
        <v>183</v>
      </c>
      <c r="G2277" s="50">
        <v>1</v>
      </c>
      <c r="H2277" s="50" t="s">
        <v>2</v>
      </c>
      <c r="I2277" s="50" t="s">
        <v>288</v>
      </c>
      <c r="J2277" s="51">
        <v>46042</v>
      </c>
      <c r="K2277" s="50" t="s">
        <v>3</v>
      </c>
      <c r="L2277" s="50" t="s">
        <v>80</v>
      </c>
    </row>
    <row r="2278" spans="2:12">
      <c r="B2278" s="50" t="s">
        <v>386</v>
      </c>
      <c r="C2278" s="50" t="s">
        <v>62</v>
      </c>
      <c r="D2278" s="50" t="s">
        <v>27</v>
      </c>
      <c r="E2278" s="50">
        <v>50030486</v>
      </c>
      <c r="F2278" s="50" t="s">
        <v>153</v>
      </c>
      <c r="G2278" s="50">
        <v>1</v>
      </c>
      <c r="H2278" s="50" t="s">
        <v>2</v>
      </c>
      <c r="I2278" s="50" t="s">
        <v>288</v>
      </c>
      <c r="J2278" s="51">
        <v>46042</v>
      </c>
      <c r="K2278" s="50" t="s">
        <v>3</v>
      </c>
      <c r="L2278" s="50" t="s">
        <v>80</v>
      </c>
    </row>
    <row r="2279" spans="2:12">
      <c r="B2279" s="50" t="s">
        <v>316</v>
      </c>
      <c r="C2279" s="50" t="s">
        <v>51</v>
      </c>
      <c r="D2279" s="50" t="s">
        <v>27</v>
      </c>
      <c r="E2279" s="50">
        <v>50010031</v>
      </c>
      <c r="F2279" s="50" t="s">
        <v>89</v>
      </c>
      <c r="G2279" s="50">
        <v>1</v>
      </c>
      <c r="H2279" s="50" t="s">
        <v>2</v>
      </c>
      <c r="I2279" s="50" t="s">
        <v>288</v>
      </c>
      <c r="J2279" s="51">
        <v>46042</v>
      </c>
      <c r="K2279" s="50" t="s">
        <v>3</v>
      </c>
      <c r="L2279" s="50" t="s">
        <v>80</v>
      </c>
    </row>
    <row r="2280" spans="2:12">
      <c r="B2280" s="50" t="s">
        <v>478</v>
      </c>
      <c r="C2280" s="50" t="s">
        <v>51</v>
      </c>
      <c r="D2280" s="50" t="s">
        <v>27</v>
      </c>
      <c r="E2280" s="50">
        <v>50038517</v>
      </c>
      <c r="F2280" s="50" t="s">
        <v>181</v>
      </c>
      <c r="G2280" s="50">
        <v>1</v>
      </c>
      <c r="H2280" s="50" t="s">
        <v>2</v>
      </c>
      <c r="I2280" s="50" t="s">
        <v>288</v>
      </c>
      <c r="J2280" s="51">
        <v>46042</v>
      </c>
      <c r="K2280" s="50" t="s">
        <v>3</v>
      </c>
      <c r="L2280" s="50" t="s">
        <v>80</v>
      </c>
    </row>
    <row r="2281" spans="2:12">
      <c r="B2281" s="50" t="s">
        <v>399</v>
      </c>
      <c r="C2281" s="50" t="s">
        <v>51</v>
      </c>
      <c r="D2281" s="50" t="s">
        <v>27</v>
      </c>
      <c r="E2281" s="50">
        <v>50043151</v>
      </c>
      <c r="F2281" s="50" t="s">
        <v>331</v>
      </c>
      <c r="G2281" s="50">
        <v>1</v>
      </c>
      <c r="H2281" s="50" t="s">
        <v>2</v>
      </c>
      <c r="I2281" s="50" t="s">
        <v>288</v>
      </c>
      <c r="J2281" s="51">
        <v>46042</v>
      </c>
      <c r="K2281" s="50" t="s">
        <v>3</v>
      </c>
      <c r="L2281" s="50" t="s">
        <v>80</v>
      </c>
    </row>
    <row r="2282" spans="2:12">
      <c r="B2282" s="50" t="s">
        <v>474</v>
      </c>
      <c r="C2282" s="50" t="s">
        <v>51</v>
      </c>
      <c r="D2282" s="50" t="s">
        <v>27</v>
      </c>
      <c r="E2282" s="50">
        <v>50041195</v>
      </c>
      <c r="F2282" s="50" t="s">
        <v>206</v>
      </c>
      <c r="G2282" s="50">
        <v>1</v>
      </c>
      <c r="H2282" s="50" t="s">
        <v>2</v>
      </c>
      <c r="I2282" s="50" t="s">
        <v>288</v>
      </c>
      <c r="J2282" s="51">
        <v>46042</v>
      </c>
      <c r="K2282" s="50" t="s">
        <v>3</v>
      </c>
      <c r="L2282" s="50" t="s">
        <v>80</v>
      </c>
    </row>
    <row r="2283" spans="2:12">
      <c r="B2283" s="50" t="s">
        <v>474</v>
      </c>
      <c r="C2283" s="50" t="s">
        <v>51</v>
      </c>
      <c r="D2283" s="50" t="s">
        <v>27</v>
      </c>
      <c r="E2283" s="50">
        <v>50037892</v>
      </c>
      <c r="F2283" s="50" t="s">
        <v>178</v>
      </c>
      <c r="G2283" s="50">
        <v>1</v>
      </c>
      <c r="H2283" s="50" t="s">
        <v>2</v>
      </c>
      <c r="I2283" s="50" t="s">
        <v>288</v>
      </c>
      <c r="J2283" s="51">
        <v>46042</v>
      </c>
      <c r="K2283" s="50" t="s">
        <v>3</v>
      </c>
      <c r="L2283" s="50" t="s">
        <v>80</v>
      </c>
    </row>
    <row r="2284" spans="2:12">
      <c r="B2284" s="50" t="s">
        <v>474</v>
      </c>
      <c r="C2284" s="50" t="s">
        <v>51</v>
      </c>
      <c r="D2284" s="50" t="s">
        <v>27</v>
      </c>
      <c r="E2284" s="50">
        <v>50043471</v>
      </c>
      <c r="F2284" s="50" t="s">
        <v>257</v>
      </c>
      <c r="G2284" s="50">
        <v>1</v>
      </c>
      <c r="H2284" s="50" t="s">
        <v>2</v>
      </c>
      <c r="I2284" s="50" t="s">
        <v>288</v>
      </c>
      <c r="J2284" s="51">
        <v>46042</v>
      </c>
      <c r="K2284" s="50" t="s">
        <v>1</v>
      </c>
      <c r="L2284" s="50" t="s">
        <v>80</v>
      </c>
    </row>
    <row r="2285" spans="2:12">
      <c r="B2285" s="50" t="s">
        <v>458</v>
      </c>
      <c r="C2285" s="50" t="s">
        <v>26</v>
      </c>
      <c r="D2285" s="50" t="s">
        <v>27</v>
      </c>
      <c r="E2285" s="50">
        <v>50041095</v>
      </c>
      <c r="F2285" s="50" t="s">
        <v>248</v>
      </c>
      <c r="G2285" s="50">
        <v>1</v>
      </c>
      <c r="H2285" s="50" t="s">
        <v>2</v>
      </c>
      <c r="I2285" s="50" t="s">
        <v>289</v>
      </c>
      <c r="J2285" s="51">
        <v>46041</v>
      </c>
      <c r="K2285" s="50" t="s">
        <v>1</v>
      </c>
      <c r="L2285" s="50" t="s">
        <v>80</v>
      </c>
    </row>
    <row r="2286" spans="2:12">
      <c r="B2286" s="50" t="s">
        <v>463</v>
      </c>
      <c r="C2286" s="50" t="s">
        <v>356</v>
      </c>
      <c r="D2286" s="50" t="s">
        <v>27</v>
      </c>
      <c r="E2286" s="50">
        <v>50038517</v>
      </c>
      <c r="F2286" s="50" t="s">
        <v>181</v>
      </c>
      <c r="G2286" s="50">
        <v>1</v>
      </c>
      <c r="H2286" s="50" t="s">
        <v>2</v>
      </c>
      <c r="I2286" s="50" t="s">
        <v>293</v>
      </c>
      <c r="J2286" s="51">
        <v>46041</v>
      </c>
      <c r="K2286" s="50" t="s">
        <v>1</v>
      </c>
      <c r="L2286" s="50" t="s">
        <v>80</v>
      </c>
    </row>
    <row r="2287" spans="2:12" ht="15.75" customHeight="1">
      <c r="B2287" s="50" t="s">
        <v>399</v>
      </c>
      <c r="C2287" s="50" t="s">
        <v>51</v>
      </c>
      <c r="D2287" s="50" t="s">
        <v>27</v>
      </c>
      <c r="E2287" s="50">
        <v>50037892</v>
      </c>
      <c r="F2287" s="50" t="s">
        <v>178</v>
      </c>
      <c r="G2287" s="50">
        <v>1</v>
      </c>
      <c r="H2287" s="50" t="s">
        <v>2</v>
      </c>
      <c r="I2287" s="50" t="s">
        <v>293</v>
      </c>
      <c r="J2287" s="51">
        <v>46041</v>
      </c>
      <c r="K2287" s="50" t="s">
        <v>3</v>
      </c>
      <c r="L2287" s="50" t="s">
        <v>80</v>
      </c>
    </row>
    <row r="2288" spans="2:12">
      <c r="B2288" s="50" t="s">
        <v>463</v>
      </c>
      <c r="C2288" s="50" t="s">
        <v>356</v>
      </c>
      <c r="D2288" s="50" t="s">
        <v>27</v>
      </c>
      <c r="E2288" s="50">
        <v>50038517</v>
      </c>
      <c r="F2288" s="50" t="s">
        <v>181</v>
      </c>
      <c r="G2288" s="50">
        <v>1</v>
      </c>
      <c r="H2288" s="50" t="s">
        <v>2</v>
      </c>
      <c r="I2288" s="50" t="s">
        <v>293</v>
      </c>
      <c r="J2288" s="51">
        <v>46041</v>
      </c>
      <c r="K2288" s="50" t="s">
        <v>1</v>
      </c>
      <c r="L2288" s="50" t="s">
        <v>80</v>
      </c>
    </row>
    <row r="2289" spans="2:12">
      <c r="B2289" s="50" t="s">
        <v>406</v>
      </c>
      <c r="C2289" s="50" t="s">
        <v>26</v>
      </c>
      <c r="D2289" s="50" t="s">
        <v>27</v>
      </c>
      <c r="E2289" s="50">
        <v>50038549</v>
      </c>
      <c r="F2289" s="50" t="s">
        <v>173</v>
      </c>
      <c r="G2289" s="50">
        <v>1</v>
      </c>
      <c r="H2289" s="50" t="s">
        <v>2</v>
      </c>
      <c r="I2289" s="50" t="s">
        <v>293</v>
      </c>
      <c r="J2289" s="51">
        <v>46041</v>
      </c>
      <c r="K2289" s="50" t="s">
        <v>1</v>
      </c>
      <c r="L2289" s="50" t="s">
        <v>80</v>
      </c>
    </row>
    <row r="2290" spans="2:12">
      <c r="B2290" s="50" t="s">
        <v>427</v>
      </c>
      <c r="C2290" s="50" t="s">
        <v>26</v>
      </c>
      <c r="D2290" s="50" t="s">
        <v>27</v>
      </c>
      <c r="E2290" s="50">
        <v>50038549</v>
      </c>
      <c r="F2290" s="50" t="s">
        <v>173</v>
      </c>
      <c r="G2290" s="50">
        <v>1</v>
      </c>
      <c r="H2290" s="50" t="s">
        <v>2</v>
      </c>
      <c r="I2290" s="50" t="s">
        <v>293</v>
      </c>
      <c r="J2290" s="51">
        <v>46041</v>
      </c>
      <c r="K2290" s="50" t="s">
        <v>1</v>
      </c>
      <c r="L2290" s="50" t="s">
        <v>80</v>
      </c>
    </row>
    <row r="2291" spans="2:12">
      <c r="B2291" s="50" t="s">
        <v>389</v>
      </c>
      <c r="C2291" s="50" t="s">
        <v>56</v>
      </c>
      <c r="D2291" s="50" t="s">
        <v>27</v>
      </c>
      <c r="E2291" s="50">
        <v>50043320</v>
      </c>
      <c r="F2291" s="50" t="s">
        <v>264</v>
      </c>
      <c r="G2291" s="50">
        <v>1</v>
      </c>
      <c r="H2291" s="50" t="s">
        <v>2</v>
      </c>
      <c r="I2291" s="50" t="s">
        <v>293</v>
      </c>
      <c r="J2291" s="51">
        <v>46041</v>
      </c>
      <c r="K2291" s="50" t="s">
        <v>1</v>
      </c>
      <c r="L2291" s="50" t="s">
        <v>80</v>
      </c>
    </row>
    <row r="2292" spans="2:12">
      <c r="B2292" s="50" t="s">
        <v>389</v>
      </c>
      <c r="C2292" s="50" t="s">
        <v>56</v>
      </c>
      <c r="D2292" s="50" t="s">
        <v>27</v>
      </c>
      <c r="E2292" s="50">
        <v>50003297</v>
      </c>
      <c r="F2292" s="50" t="s">
        <v>158</v>
      </c>
      <c r="G2292" s="50">
        <v>1</v>
      </c>
      <c r="H2292" s="50" t="s">
        <v>2</v>
      </c>
      <c r="I2292" s="50" t="s">
        <v>293</v>
      </c>
      <c r="J2292" s="51">
        <v>46041</v>
      </c>
      <c r="K2292" s="50" t="s">
        <v>1</v>
      </c>
      <c r="L2292" s="50" t="s">
        <v>80</v>
      </c>
    </row>
    <row r="2293" spans="2:12">
      <c r="B2293" s="50" t="s">
        <v>453</v>
      </c>
      <c r="C2293" s="50" t="s">
        <v>51</v>
      </c>
      <c r="D2293" s="50" t="s">
        <v>41</v>
      </c>
      <c r="E2293" s="50">
        <v>50030486</v>
      </c>
      <c r="F2293" s="50" t="s">
        <v>153</v>
      </c>
      <c r="G2293" s="50">
        <v>1</v>
      </c>
      <c r="H2293" s="50" t="s">
        <v>2</v>
      </c>
      <c r="I2293" s="50" t="s">
        <v>293</v>
      </c>
      <c r="J2293" s="51">
        <v>46041</v>
      </c>
      <c r="K2293" s="50" t="s">
        <v>1</v>
      </c>
      <c r="L2293" s="50" t="s">
        <v>80</v>
      </c>
    </row>
    <row r="2294" spans="2:12">
      <c r="B2294" s="50" t="s">
        <v>444</v>
      </c>
      <c r="C2294" s="50" t="s">
        <v>51</v>
      </c>
      <c r="D2294" s="50" t="s">
        <v>27</v>
      </c>
      <c r="E2294" s="50">
        <v>50043150</v>
      </c>
      <c r="F2294" s="50" t="s">
        <v>259</v>
      </c>
      <c r="G2294" s="50">
        <v>1</v>
      </c>
      <c r="H2294" s="50" t="s">
        <v>2</v>
      </c>
      <c r="I2294" s="50" t="s">
        <v>293</v>
      </c>
      <c r="J2294" s="51">
        <v>46041</v>
      </c>
      <c r="K2294" s="50" t="s">
        <v>1</v>
      </c>
      <c r="L2294" s="50" t="s">
        <v>80</v>
      </c>
    </row>
    <row r="2295" spans="2:12">
      <c r="B2295" s="50" t="s">
        <v>406</v>
      </c>
      <c r="C2295" s="50" t="s">
        <v>26</v>
      </c>
      <c r="D2295" s="50" t="s">
        <v>27</v>
      </c>
      <c r="E2295" s="50">
        <v>50038549</v>
      </c>
      <c r="F2295" s="50" t="s">
        <v>173</v>
      </c>
      <c r="G2295" s="50">
        <v>1</v>
      </c>
      <c r="H2295" s="50" t="s">
        <v>2</v>
      </c>
      <c r="I2295" s="50" t="s">
        <v>293</v>
      </c>
      <c r="J2295" s="51">
        <v>46041</v>
      </c>
      <c r="K2295" s="50" t="s">
        <v>1</v>
      </c>
      <c r="L2295" s="50" t="s">
        <v>80</v>
      </c>
    </row>
    <row r="2296" spans="2:12">
      <c r="B2296" s="50" t="s">
        <v>406</v>
      </c>
      <c r="C2296" s="50" t="s">
        <v>26</v>
      </c>
      <c r="D2296" s="50" t="s">
        <v>27</v>
      </c>
      <c r="E2296" s="50">
        <v>50022878</v>
      </c>
      <c r="F2296" s="50" t="s">
        <v>296</v>
      </c>
      <c r="G2296" s="50">
        <v>1</v>
      </c>
      <c r="H2296" s="50" t="s">
        <v>2</v>
      </c>
      <c r="I2296" s="50" t="s">
        <v>293</v>
      </c>
      <c r="J2296" s="51">
        <v>46041</v>
      </c>
      <c r="K2296" s="50" t="s">
        <v>3</v>
      </c>
      <c r="L2296" s="50" t="s">
        <v>80</v>
      </c>
    </row>
    <row r="2297" spans="2:12" ht="12.75" customHeight="1">
      <c r="B2297" s="50" t="s">
        <v>406</v>
      </c>
      <c r="C2297" s="50" t="s">
        <v>26</v>
      </c>
      <c r="D2297" s="50" t="s">
        <v>27</v>
      </c>
      <c r="E2297" s="50">
        <v>50022878</v>
      </c>
      <c r="F2297" s="50" t="s">
        <v>296</v>
      </c>
      <c r="G2297" s="50">
        <v>1</v>
      </c>
      <c r="H2297" s="50" t="s">
        <v>2</v>
      </c>
      <c r="I2297" s="50" t="s">
        <v>293</v>
      </c>
      <c r="J2297" s="51">
        <v>46041</v>
      </c>
      <c r="K2297" s="50" t="s">
        <v>3</v>
      </c>
      <c r="L2297" s="50" t="s">
        <v>80</v>
      </c>
    </row>
    <row r="2298" spans="2:12">
      <c r="B2298" s="50" t="s">
        <v>444</v>
      </c>
      <c r="C2298" s="50" t="s">
        <v>51</v>
      </c>
      <c r="D2298" s="50" t="s">
        <v>27</v>
      </c>
      <c r="E2298" s="50">
        <v>50043150</v>
      </c>
      <c r="F2298" s="50" t="s">
        <v>259</v>
      </c>
      <c r="G2298" s="50">
        <v>1</v>
      </c>
      <c r="H2298" s="50" t="s">
        <v>2</v>
      </c>
      <c r="I2298" s="50" t="s">
        <v>293</v>
      </c>
      <c r="J2298" s="51">
        <v>46041</v>
      </c>
      <c r="K2298" s="50" t="s">
        <v>3</v>
      </c>
      <c r="L2298" s="50" t="s">
        <v>80</v>
      </c>
    </row>
    <row r="2299" spans="2:12">
      <c r="B2299" s="50" t="s">
        <v>399</v>
      </c>
      <c r="C2299" s="50" t="s">
        <v>51</v>
      </c>
      <c r="D2299" s="50" t="s">
        <v>27</v>
      </c>
      <c r="E2299" s="50">
        <v>50037892</v>
      </c>
      <c r="F2299" s="50" t="s">
        <v>178</v>
      </c>
      <c r="G2299" s="50">
        <v>1</v>
      </c>
      <c r="H2299" s="50" t="s">
        <v>2</v>
      </c>
      <c r="I2299" s="50" t="s">
        <v>297</v>
      </c>
      <c r="J2299" s="51">
        <v>46041</v>
      </c>
      <c r="K2299" s="50" t="s">
        <v>1</v>
      </c>
      <c r="L2299" s="50" t="s">
        <v>80</v>
      </c>
    </row>
    <row r="2300" spans="2:12">
      <c r="B2300" s="50" t="s">
        <v>345</v>
      </c>
      <c r="C2300" s="50" t="s">
        <v>62</v>
      </c>
      <c r="D2300" s="50" t="s">
        <v>27</v>
      </c>
      <c r="E2300" s="50">
        <v>50038517</v>
      </c>
      <c r="F2300" s="50" t="s">
        <v>181</v>
      </c>
      <c r="G2300" s="50">
        <v>1</v>
      </c>
      <c r="H2300" s="50" t="s">
        <v>2</v>
      </c>
      <c r="I2300" s="50" t="s">
        <v>293</v>
      </c>
      <c r="J2300" s="51">
        <v>46041</v>
      </c>
      <c r="K2300" s="50" t="s">
        <v>1</v>
      </c>
      <c r="L2300" s="50" t="s">
        <v>80</v>
      </c>
    </row>
    <row r="2301" spans="2:12">
      <c r="B2301" s="50" t="s">
        <v>399</v>
      </c>
      <c r="C2301" s="50" t="s">
        <v>51</v>
      </c>
      <c r="D2301" s="50" t="s">
        <v>27</v>
      </c>
      <c r="E2301" s="50">
        <v>50043151</v>
      </c>
      <c r="F2301" s="50" t="s">
        <v>331</v>
      </c>
      <c r="G2301" s="50">
        <v>1</v>
      </c>
      <c r="H2301" s="50" t="s">
        <v>2</v>
      </c>
      <c r="I2301" s="50" t="s">
        <v>290</v>
      </c>
      <c r="J2301" s="51">
        <v>46041</v>
      </c>
      <c r="K2301" s="50" t="s">
        <v>1</v>
      </c>
      <c r="L2301" s="50" t="s">
        <v>81</v>
      </c>
    </row>
    <row r="2302" spans="2:12">
      <c r="B2302" s="50" t="s">
        <v>345</v>
      </c>
      <c r="C2302" s="50" t="s">
        <v>62</v>
      </c>
      <c r="D2302" s="50" t="s">
        <v>27</v>
      </c>
      <c r="E2302" s="50">
        <v>50043471</v>
      </c>
      <c r="F2302" s="50" t="s">
        <v>257</v>
      </c>
      <c r="G2302" s="50">
        <v>1</v>
      </c>
      <c r="H2302" s="50" t="s">
        <v>2</v>
      </c>
      <c r="I2302" s="50" t="s">
        <v>290</v>
      </c>
      <c r="J2302" s="51">
        <v>46041</v>
      </c>
      <c r="K2302" s="50" t="s">
        <v>1</v>
      </c>
      <c r="L2302" s="50" t="s">
        <v>80</v>
      </c>
    </row>
    <row r="2303" spans="2:12">
      <c r="B2303" s="50" t="s">
        <v>444</v>
      </c>
      <c r="C2303" s="50" t="s">
        <v>51</v>
      </c>
      <c r="D2303" s="50" t="s">
        <v>27</v>
      </c>
      <c r="E2303" s="50">
        <v>50010031</v>
      </c>
      <c r="F2303" s="50" t="s">
        <v>89</v>
      </c>
      <c r="G2303" s="50">
        <v>1</v>
      </c>
      <c r="H2303" s="50" t="s">
        <v>2</v>
      </c>
      <c r="I2303" s="50" t="s">
        <v>291</v>
      </c>
      <c r="J2303" s="51">
        <v>46041</v>
      </c>
      <c r="K2303" s="50" t="s">
        <v>1</v>
      </c>
      <c r="L2303" s="50" t="s">
        <v>80</v>
      </c>
    </row>
    <row r="2304" spans="2:12">
      <c r="B2304" s="50" t="s">
        <v>444</v>
      </c>
      <c r="C2304" s="50" t="s">
        <v>51</v>
      </c>
      <c r="D2304" s="50" t="s">
        <v>27</v>
      </c>
      <c r="E2304" s="50">
        <v>50026357</v>
      </c>
      <c r="F2304" s="50" t="s">
        <v>192</v>
      </c>
      <c r="G2304" s="50">
        <v>1</v>
      </c>
      <c r="H2304" s="50" t="s">
        <v>2</v>
      </c>
      <c r="I2304" s="50" t="s">
        <v>291</v>
      </c>
      <c r="J2304" s="51">
        <v>46041</v>
      </c>
      <c r="K2304" s="50" t="s">
        <v>1</v>
      </c>
      <c r="L2304" s="50" t="s">
        <v>80</v>
      </c>
    </row>
    <row r="2305" spans="2:12">
      <c r="B2305" s="50" t="s">
        <v>406</v>
      </c>
      <c r="C2305" s="50" t="s">
        <v>26</v>
      </c>
      <c r="D2305" s="50" t="s">
        <v>27</v>
      </c>
      <c r="E2305" s="50">
        <v>50041195</v>
      </c>
      <c r="F2305" s="50" t="s">
        <v>206</v>
      </c>
      <c r="G2305" s="50">
        <v>1</v>
      </c>
      <c r="H2305" s="50" t="s">
        <v>2</v>
      </c>
      <c r="I2305" s="50" t="s">
        <v>291</v>
      </c>
      <c r="J2305" s="51">
        <v>46041</v>
      </c>
      <c r="K2305" s="50" t="s">
        <v>3</v>
      </c>
      <c r="L2305" s="50" t="s">
        <v>80</v>
      </c>
    </row>
    <row r="2306" spans="2:12">
      <c r="B2306" s="50" t="s">
        <v>427</v>
      </c>
      <c r="C2306" s="50" t="s">
        <v>26</v>
      </c>
      <c r="D2306" s="50" t="s">
        <v>27</v>
      </c>
      <c r="E2306" s="50">
        <v>50038549</v>
      </c>
      <c r="F2306" s="50" t="s">
        <v>173</v>
      </c>
      <c r="G2306" s="50">
        <v>1</v>
      </c>
      <c r="H2306" s="50" t="s">
        <v>2</v>
      </c>
      <c r="I2306" s="50" t="s">
        <v>291</v>
      </c>
      <c r="J2306" s="51">
        <v>46041</v>
      </c>
      <c r="K2306" s="50" t="s">
        <v>3</v>
      </c>
      <c r="L2306" s="50" t="s">
        <v>80</v>
      </c>
    </row>
    <row r="2307" spans="2:12">
      <c r="B2307" s="50" t="s">
        <v>453</v>
      </c>
      <c r="C2307" s="50" t="s">
        <v>51</v>
      </c>
      <c r="D2307" s="50" t="s">
        <v>41</v>
      </c>
      <c r="E2307" s="50">
        <v>50030486</v>
      </c>
      <c r="F2307" s="50" t="s">
        <v>153</v>
      </c>
      <c r="G2307" s="50">
        <v>1</v>
      </c>
      <c r="H2307" s="50" t="s">
        <v>2</v>
      </c>
      <c r="I2307" s="50" t="s">
        <v>291</v>
      </c>
      <c r="J2307" s="51">
        <v>46041</v>
      </c>
      <c r="K2307" s="50" t="s">
        <v>3</v>
      </c>
      <c r="L2307" s="50" t="s">
        <v>80</v>
      </c>
    </row>
    <row r="2308" spans="2:12">
      <c r="B2308" s="50" t="s">
        <v>345</v>
      </c>
      <c r="C2308" s="50" t="s">
        <v>62</v>
      </c>
      <c r="D2308" s="50" t="s">
        <v>27</v>
      </c>
      <c r="E2308" s="50">
        <v>50043471</v>
      </c>
      <c r="F2308" s="50" t="s">
        <v>257</v>
      </c>
      <c r="G2308" s="50">
        <v>1</v>
      </c>
      <c r="H2308" s="50" t="s">
        <v>2</v>
      </c>
      <c r="I2308" s="50" t="s">
        <v>291</v>
      </c>
      <c r="J2308" s="51">
        <v>46041</v>
      </c>
      <c r="K2308" s="50" t="s">
        <v>1</v>
      </c>
      <c r="L2308" s="50" t="s">
        <v>80</v>
      </c>
    </row>
    <row r="2309" spans="2:12">
      <c r="B2309" s="50" t="s">
        <v>422</v>
      </c>
      <c r="C2309" s="50" t="s">
        <v>26</v>
      </c>
      <c r="D2309" s="50" t="s">
        <v>27</v>
      </c>
      <c r="E2309" s="50">
        <v>50037905</v>
      </c>
      <c r="F2309" s="50" t="s">
        <v>150</v>
      </c>
      <c r="G2309" s="50">
        <v>1</v>
      </c>
      <c r="H2309" s="50" t="s">
        <v>2</v>
      </c>
      <c r="I2309" s="50" t="s">
        <v>291</v>
      </c>
      <c r="J2309" s="51">
        <v>46041</v>
      </c>
      <c r="K2309" s="50" t="s">
        <v>3</v>
      </c>
      <c r="L2309" s="50" t="s">
        <v>80</v>
      </c>
    </row>
    <row r="2310" spans="2:12">
      <c r="B2310" s="50" t="s">
        <v>444</v>
      </c>
      <c r="C2310" s="50" t="s">
        <v>51</v>
      </c>
      <c r="D2310" s="50" t="s">
        <v>27</v>
      </c>
      <c r="E2310" s="50">
        <v>50026357</v>
      </c>
      <c r="F2310" s="50" t="s">
        <v>192</v>
      </c>
      <c r="G2310" s="50">
        <v>1</v>
      </c>
      <c r="H2310" s="50" t="s">
        <v>2</v>
      </c>
      <c r="I2310" s="50" t="s">
        <v>291</v>
      </c>
      <c r="J2310" s="51">
        <v>46041</v>
      </c>
      <c r="K2310" s="50" t="s">
        <v>3</v>
      </c>
      <c r="L2310" s="50" t="s">
        <v>80</v>
      </c>
    </row>
    <row r="2311" spans="2:12">
      <c r="B2311" s="50" t="s">
        <v>444</v>
      </c>
      <c r="C2311" s="50" t="s">
        <v>51</v>
      </c>
      <c r="D2311" s="50" t="s">
        <v>27</v>
      </c>
      <c r="E2311" s="50">
        <v>50010031</v>
      </c>
      <c r="F2311" s="50" t="s">
        <v>89</v>
      </c>
      <c r="G2311" s="50">
        <v>1</v>
      </c>
      <c r="H2311" s="50" t="s">
        <v>2</v>
      </c>
      <c r="I2311" s="50" t="s">
        <v>291</v>
      </c>
      <c r="J2311" s="51">
        <v>46041</v>
      </c>
      <c r="K2311" s="50" t="s">
        <v>3</v>
      </c>
      <c r="L2311" s="50" t="s">
        <v>80</v>
      </c>
    </row>
    <row r="2312" spans="2:12">
      <c r="B2312" s="50" t="s">
        <v>389</v>
      </c>
      <c r="C2312" s="50" t="s">
        <v>56</v>
      </c>
      <c r="D2312" s="50" t="s">
        <v>27</v>
      </c>
      <c r="E2312" s="50">
        <v>50043320</v>
      </c>
      <c r="F2312" s="50" t="s">
        <v>264</v>
      </c>
      <c r="G2312" s="50">
        <v>1</v>
      </c>
      <c r="H2312" s="50" t="s">
        <v>2</v>
      </c>
      <c r="I2312" s="50" t="s">
        <v>291</v>
      </c>
      <c r="J2312" s="51">
        <v>46041</v>
      </c>
      <c r="K2312" s="50" t="s">
        <v>3</v>
      </c>
      <c r="L2312" s="50" t="s">
        <v>80</v>
      </c>
    </row>
    <row r="2313" spans="2:12">
      <c r="B2313" s="50" t="s">
        <v>389</v>
      </c>
      <c r="C2313" s="50" t="s">
        <v>56</v>
      </c>
      <c r="D2313" s="50" t="s">
        <v>27</v>
      </c>
      <c r="E2313" s="50">
        <v>50003297</v>
      </c>
      <c r="F2313" s="50" t="s">
        <v>158</v>
      </c>
      <c r="G2313" s="50">
        <v>1</v>
      </c>
      <c r="H2313" s="50" t="s">
        <v>2</v>
      </c>
      <c r="I2313" s="50" t="s">
        <v>291</v>
      </c>
      <c r="J2313" s="51">
        <v>46041</v>
      </c>
      <c r="K2313" s="50" t="s">
        <v>1</v>
      </c>
      <c r="L2313" s="50" t="s">
        <v>80</v>
      </c>
    </row>
    <row r="2314" spans="2:12">
      <c r="B2314" s="50" t="s">
        <v>406</v>
      </c>
      <c r="C2314" s="50" t="s">
        <v>26</v>
      </c>
      <c r="D2314" s="50" t="s">
        <v>27</v>
      </c>
      <c r="E2314" s="50">
        <v>50032781</v>
      </c>
      <c r="F2314" s="50" t="s">
        <v>237</v>
      </c>
      <c r="G2314" s="50">
        <v>1</v>
      </c>
      <c r="H2314" s="50" t="s">
        <v>2</v>
      </c>
      <c r="I2314" s="50" t="s">
        <v>291</v>
      </c>
      <c r="J2314" s="51">
        <v>46041</v>
      </c>
      <c r="K2314" s="50" t="s">
        <v>1</v>
      </c>
      <c r="L2314" s="50" t="s">
        <v>80</v>
      </c>
    </row>
    <row r="2315" spans="2:12">
      <c r="B2315" s="50" t="s">
        <v>406</v>
      </c>
      <c r="C2315" s="50" t="s">
        <v>26</v>
      </c>
      <c r="D2315" s="50" t="s">
        <v>27</v>
      </c>
      <c r="E2315" s="50">
        <v>50037892</v>
      </c>
      <c r="F2315" s="50" t="s">
        <v>178</v>
      </c>
      <c r="G2315" s="50">
        <v>1</v>
      </c>
      <c r="H2315" s="50" t="s">
        <v>2</v>
      </c>
      <c r="I2315" s="50" t="s">
        <v>291</v>
      </c>
      <c r="J2315" s="51">
        <v>46041</v>
      </c>
      <c r="K2315" s="50" t="s">
        <v>3</v>
      </c>
      <c r="L2315" s="50" t="s">
        <v>80</v>
      </c>
    </row>
    <row r="2316" spans="2:12">
      <c r="B2316" s="50" t="s">
        <v>406</v>
      </c>
      <c r="C2316" s="50" t="s">
        <v>26</v>
      </c>
      <c r="D2316" s="50" t="s">
        <v>27</v>
      </c>
      <c r="E2316" s="50">
        <v>50032781</v>
      </c>
      <c r="F2316" s="50" t="s">
        <v>237</v>
      </c>
      <c r="G2316" s="50">
        <v>1</v>
      </c>
      <c r="H2316" s="50" t="s">
        <v>2</v>
      </c>
      <c r="I2316" s="50" t="s">
        <v>291</v>
      </c>
      <c r="J2316" s="51">
        <v>46041</v>
      </c>
      <c r="K2316" s="50" t="s">
        <v>3</v>
      </c>
      <c r="L2316" s="50" t="s">
        <v>80</v>
      </c>
    </row>
    <row r="2317" spans="2:12">
      <c r="B2317" s="50" t="s">
        <v>406</v>
      </c>
      <c r="C2317" s="50" t="s">
        <v>26</v>
      </c>
      <c r="D2317" s="50" t="s">
        <v>27</v>
      </c>
      <c r="E2317" s="50">
        <v>50041195</v>
      </c>
      <c r="F2317" s="50" t="s">
        <v>206</v>
      </c>
      <c r="G2317" s="50">
        <v>1</v>
      </c>
      <c r="H2317" s="50" t="s">
        <v>2</v>
      </c>
      <c r="I2317" s="50" t="s">
        <v>291</v>
      </c>
      <c r="J2317" s="51">
        <v>46041</v>
      </c>
      <c r="K2317" s="50" t="s">
        <v>3</v>
      </c>
      <c r="L2317" s="50" t="s">
        <v>80</v>
      </c>
    </row>
    <row r="2318" spans="2:12">
      <c r="B2318" s="50" t="s">
        <v>406</v>
      </c>
      <c r="C2318" s="50" t="s">
        <v>26</v>
      </c>
      <c r="D2318" s="50" t="s">
        <v>27</v>
      </c>
      <c r="E2318" s="50">
        <v>50037892</v>
      </c>
      <c r="F2318" s="50" t="s">
        <v>178</v>
      </c>
      <c r="G2318" s="50">
        <v>1</v>
      </c>
      <c r="H2318" s="50" t="s">
        <v>2</v>
      </c>
      <c r="I2318" s="50" t="s">
        <v>291</v>
      </c>
      <c r="J2318" s="51">
        <v>46041</v>
      </c>
      <c r="K2318" s="50" t="s">
        <v>3</v>
      </c>
      <c r="L2318" s="50" t="s">
        <v>80</v>
      </c>
    </row>
    <row r="2319" spans="2:12">
      <c r="B2319" s="50" t="s">
        <v>399</v>
      </c>
      <c r="C2319" s="50" t="s">
        <v>51</v>
      </c>
      <c r="D2319" s="50" t="s">
        <v>27</v>
      </c>
      <c r="E2319" s="50">
        <v>50043151</v>
      </c>
      <c r="F2319" s="50" t="s">
        <v>331</v>
      </c>
      <c r="G2319" s="50">
        <v>1</v>
      </c>
      <c r="H2319" s="50" t="s">
        <v>2</v>
      </c>
      <c r="I2319" s="50" t="s">
        <v>291</v>
      </c>
      <c r="J2319" s="51">
        <v>46041</v>
      </c>
      <c r="K2319" s="50" t="s">
        <v>3</v>
      </c>
      <c r="L2319" s="50" t="s">
        <v>80</v>
      </c>
    </row>
    <row r="2320" spans="2:12">
      <c r="B2320" s="50" t="s">
        <v>483</v>
      </c>
      <c r="C2320" s="50" t="s">
        <v>62</v>
      </c>
      <c r="D2320" s="50" t="s">
        <v>27</v>
      </c>
      <c r="E2320" s="50">
        <v>50038956</v>
      </c>
      <c r="F2320" s="50" t="s">
        <v>177</v>
      </c>
      <c r="G2320" s="50">
        <v>1</v>
      </c>
      <c r="H2320" s="50" t="s">
        <v>2</v>
      </c>
      <c r="I2320" s="50" t="s">
        <v>291</v>
      </c>
      <c r="J2320" s="51">
        <v>46041</v>
      </c>
      <c r="K2320" s="50" t="s">
        <v>3</v>
      </c>
      <c r="L2320" s="50" t="s">
        <v>80</v>
      </c>
    </row>
    <row r="2321" spans="2:12">
      <c r="B2321" s="50" t="s">
        <v>345</v>
      </c>
      <c r="C2321" s="50" t="s">
        <v>62</v>
      </c>
      <c r="D2321" s="50" t="s">
        <v>27</v>
      </c>
      <c r="E2321" s="50">
        <v>50038517</v>
      </c>
      <c r="F2321" s="50" t="s">
        <v>181</v>
      </c>
      <c r="G2321" s="50">
        <v>1</v>
      </c>
      <c r="H2321" s="50" t="s">
        <v>2</v>
      </c>
      <c r="I2321" s="50" t="s">
        <v>291</v>
      </c>
      <c r="J2321" s="51">
        <v>46041</v>
      </c>
      <c r="K2321" s="50" t="s">
        <v>3</v>
      </c>
      <c r="L2321" s="50" t="s">
        <v>80</v>
      </c>
    </row>
    <row r="2322" spans="2:12">
      <c r="B2322" s="50" t="s">
        <v>422</v>
      </c>
      <c r="C2322" s="50" t="s">
        <v>26</v>
      </c>
      <c r="D2322" s="50" t="s">
        <v>27</v>
      </c>
      <c r="E2322" s="50">
        <v>50037905</v>
      </c>
      <c r="F2322" s="50" t="s">
        <v>150</v>
      </c>
      <c r="G2322" s="50">
        <v>1</v>
      </c>
      <c r="H2322" s="50" t="s">
        <v>2</v>
      </c>
      <c r="I2322" s="50" t="s">
        <v>291</v>
      </c>
      <c r="J2322" s="51">
        <v>46041</v>
      </c>
      <c r="K2322" s="50" t="s">
        <v>1</v>
      </c>
      <c r="L2322" s="50" t="s">
        <v>80</v>
      </c>
    </row>
    <row r="2323" spans="2:12">
      <c r="B2323" s="50" t="s">
        <v>396</v>
      </c>
      <c r="C2323" s="50" t="s">
        <v>26</v>
      </c>
      <c r="D2323" s="50" t="s">
        <v>41</v>
      </c>
      <c r="E2323" s="50">
        <v>50036332</v>
      </c>
      <c r="F2323" s="50" t="s">
        <v>188</v>
      </c>
      <c r="G2323" s="50">
        <v>1</v>
      </c>
      <c r="H2323" s="50" t="s">
        <v>2</v>
      </c>
      <c r="I2323" s="50" t="s">
        <v>289</v>
      </c>
      <c r="J2323" s="51">
        <v>46039</v>
      </c>
      <c r="K2323" s="50" t="s">
        <v>1</v>
      </c>
      <c r="L2323" s="50" t="s">
        <v>80</v>
      </c>
    </row>
    <row r="2324" spans="2:12">
      <c r="B2324" s="50" t="s">
        <v>278</v>
      </c>
      <c r="C2324" s="50" t="s">
        <v>62</v>
      </c>
      <c r="D2324" s="50" t="s">
        <v>27</v>
      </c>
      <c r="E2324" s="50">
        <v>50041195</v>
      </c>
      <c r="F2324" s="50" t="s">
        <v>206</v>
      </c>
      <c r="G2324" s="50">
        <v>1</v>
      </c>
      <c r="H2324" s="50" t="s">
        <v>2</v>
      </c>
      <c r="I2324" s="50" t="s">
        <v>289</v>
      </c>
      <c r="J2324" s="51">
        <v>46039</v>
      </c>
      <c r="K2324" s="50" t="s">
        <v>1</v>
      </c>
      <c r="L2324" s="50" t="s">
        <v>80</v>
      </c>
    </row>
    <row r="2325" spans="2:12">
      <c r="B2325" s="50" t="s">
        <v>418</v>
      </c>
      <c r="C2325" s="50" t="s">
        <v>26</v>
      </c>
      <c r="D2325" s="50" t="s">
        <v>27</v>
      </c>
      <c r="E2325" s="50">
        <v>50037892</v>
      </c>
      <c r="F2325" s="50" t="s">
        <v>178</v>
      </c>
      <c r="G2325" s="50">
        <v>1</v>
      </c>
      <c r="H2325" s="50" t="s">
        <v>2</v>
      </c>
      <c r="I2325" s="50" t="s">
        <v>289</v>
      </c>
      <c r="J2325" s="51">
        <v>46039</v>
      </c>
      <c r="K2325" s="50" t="s">
        <v>3</v>
      </c>
      <c r="L2325" s="50" t="s">
        <v>80</v>
      </c>
    </row>
    <row r="2326" spans="2:12">
      <c r="B2326" s="50" t="s">
        <v>396</v>
      </c>
      <c r="C2326" s="50" t="s">
        <v>26</v>
      </c>
      <c r="D2326" s="50" t="s">
        <v>41</v>
      </c>
      <c r="E2326" s="50">
        <v>50036332</v>
      </c>
      <c r="F2326" s="50" t="s">
        <v>188</v>
      </c>
      <c r="G2326" s="50">
        <v>1</v>
      </c>
      <c r="H2326" s="50" t="s">
        <v>2</v>
      </c>
      <c r="I2326" s="50" t="s">
        <v>289</v>
      </c>
      <c r="J2326" s="51">
        <v>46039</v>
      </c>
      <c r="K2326" s="50" t="s">
        <v>3</v>
      </c>
      <c r="L2326" s="50" t="s">
        <v>80</v>
      </c>
    </row>
    <row r="2327" spans="2:12">
      <c r="B2327" s="50" t="s">
        <v>278</v>
      </c>
      <c r="C2327" s="50" t="s">
        <v>62</v>
      </c>
      <c r="D2327" s="50" t="s">
        <v>27</v>
      </c>
      <c r="E2327" s="50">
        <v>50041195</v>
      </c>
      <c r="F2327" s="50" t="s">
        <v>206</v>
      </c>
      <c r="G2327" s="50">
        <v>1</v>
      </c>
      <c r="H2327" s="50" t="s">
        <v>2</v>
      </c>
      <c r="I2327" s="50" t="s">
        <v>289</v>
      </c>
      <c r="J2327" s="51">
        <v>46039</v>
      </c>
      <c r="K2327" s="50" t="s">
        <v>3</v>
      </c>
      <c r="L2327" s="50" t="s">
        <v>80</v>
      </c>
    </row>
    <row r="2328" spans="2:12">
      <c r="B2328" s="50" t="s">
        <v>418</v>
      </c>
      <c r="C2328" s="50" t="s">
        <v>26</v>
      </c>
      <c r="D2328" s="50" t="s">
        <v>27</v>
      </c>
      <c r="E2328" s="50">
        <v>50037892</v>
      </c>
      <c r="F2328" s="50" t="s">
        <v>178</v>
      </c>
      <c r="G2328" s="50">
        <v>1</v>
      </c>
      <c r="H2328" s="50" t="s">
        <v>2</v>
      </c>
      <c r="I2328" s="50" t="s">
        <v>289</v>
      </c>
      <c r="J2328" s="51">
        <v>46039</v>
      </c>
      <c r="K2328" s="50" t="s">
        <v>3</v>
      </c>
      <c r="L2328" s="50" t="s">
        <v>80</v>
      </c>
    </row>
    <row r="2329" spans="2:12">
      <c r="B2329" s="50" t="s">
        <v>414</v>
      </c>
      <c r="C2329" s="50" t="s">
        <v>56</v>
      </c>
      <c r="D2329" s="50" t="s">
        <v>27</v>
      </c>
      <c r="E2329" s="50">
        <v>50036086</v>
      </c>
      <c r="F2329" s="50" t="s">
        <v>28</v>
      </c>
      <c r="G2329" s="50">
        <v>1</v>
      </c>
      <c r="H2329" s="50" t="s">
        <v>2</v>
      </c>
      <c r="I2329" s="50" t="s">
        <v>293</v>
      </c>
      <c r="J2329" s="51">
        <v>46038</v>
      </c>
      <c r="K2329" s="50" t="s">
        <v>1</v>
      </c>
      <c r="L2329" s="50" t="s">
        <v>80</v>
      </c>
    </row>
    <row r="2330" spans="2:12">
      <c r="B2330" s="50" t="s">
        <v>474</v>
      </c>
      <c r="C2330" s="50" t="s">
        <v>51</v>
      </c>
      <c r="D2330" s="50" t="s">
        <v>27</v>
      </c>
      <c r="E2330" s="50">
        <v>50039065</v>
      </c>
      <c r="F2330" s="50" t="s">
        <v>186</v>
      </c>
      <c r="G2330" s="50">
        <v>1</v>
      </c>
      <c r="H2330" s="50" t="s">
        <v>2</v>
      </c>
      <c r="I2330" s="50" t="s">
        <v>293</v>
      </c>
      <c r="J2330" s="51">
        <v>46038</v>
      </c>
      <c r="K2330" s="50" t="s">
        <v>1</v>
      </c>
      <c r="L2330" s="50" t="s">
        <v>80</v>
      </c>
    </row>
    <row r="2331" spans="2:12">
      <c r="B2331" s="50" t="s">
        <v>483</v>
      </c>
      <c r="C2331" s="50" t="s">
        <v>62</v>
      </c>
      <c r="D2331" s="50" t="s">
        <v>27</v>
      </c>
      <c r="E2331" s="50">
        <v>50038956</v>
      </c>
      <c r="F2331" s="50" t="s">
        <v>177</v>
      </c>
      <c r="G2331" s="50">
        <v>1</v>
      </c>
      <c r="H2331" s="50" t="s">
        <v>2</v>
      </c>
      <c r="I2331" s="50" t="s">
        <v>293</v>
      </c>
      <c r="J2331" s="51">
        <v>46038</v>
      </c>
      <c r="K2331" s="50" t="s">
        <v>1</v>
      </c>
      <c r="L2331" s="50" t="s">
        <v>80</v>
      </c>
    </row>
    <row r="2332" spans="2:12">
      <c r="B2332" s="50" t="s">
        <v>483</v>
      </c>
      <c r="C2332" s="50" t="s">
        <v>62</v>
      </c>
      <c r="D2332" s="50" t="s">
        <v>27</v>
      </c>
      <c r="E2332" s="50">
        <v>50026357</v>
      </c>
      <c r="F2332" s="50" t="s">
        <v>192</v>
      </c>
      <c r="G2332" s="50">
        <v>1</v>
      </c>
      <c r="H2332" s="50" t="s">
        <v>2</v>
      </c>
      <c r="I2332" s="50" t="s">
        <v>293</v>
      </c>
      <c r="J2332" s="51">
        <v>46038</v>
      </c>
      <c r="K2332" s="50" t="s">
        <v>1</v>
      </c>
      <c r="L2332" s="50" t="s">
        <v>80</v>
      </c>
    </row>
    <row r="2333" spans="2:12">
      <c r="B2333" s="50" t="s">
        <v>483</v>
      </c>
      <c r="C2333" s="50" t="s">
        <v>62</v>
      </c>
      <c r="D2333" s="50" t="s">
        <v>27</v>
      </c>
      <c r="E2333" s="50">
        <v>50043471</v>
      </c>
      <c r="F2333" s="50" t="s">
        <v>257</v>
      </c>
      <c r="G2333" s="50">
        <v>1</v>
      </c>
      <c r="H2333" s="50" t="s">
        <v>2</v>
      </c>
      <c r="I2333" s="50" t="s">
        <v>293</v>
      </c>
      <c r="J2333" s="51">
        <v>46038</v>
      </c>
      <c r="K2333" s="50" t="s">
        <v>1</v>
      </c>
      <c r="L2333" s="50" t="s">
        <v>80</v>
      </c>
    </row>
    <row r="2334" spans="2:12">
      <c r="B2334" s="50" t="s">
        <v>406</v>
      </c>
      <c r="C2334" s="50" t="s">
        <v>26</v>
      </c>
      <c r="D2334" s="50" t="s">
        <v>27</v>
      </c>
      <c r="E2334" s="50">
        <v>50037961</v>
      </c>
      <c r="F2334" s="50" t="s">
        <v>113</v>
      </c>
      <c r="G2334" s="50">
        <v>1</v>
      </c>
      <c r="H2334" s="50" t="s">
        <v>2</v>
      </c>
      <c r="I2334" s="50" t="s">
        <v>293</v>
      </c>
      <c r="J2334" s="51">
        <v>46038</v>
      </c>
      <c r="K2334" s="50" t="s">
        <v>1</v>
      </c>
      <c r="L2334" s="50" t="s">
        <v>80</v>
      </c>
    </row>
    <row r="2335" spans="2:12">
      <c r="B2335" s="50" t="s">
        <v>406</v>
      </c>
      <c r="C2335" s="50" t="s">
        <v>26</v>
      </c>
      <c r="D2335" s="50" t="s">
        <v>27</v>
      </c>
      <c r="E2335" s="50">
        <v>50037960</v>
      </c>
      <c r="F2335" s="50" t="s">
        <v>112</v>
      </c>
      <c r="G2335" s="50">
        <v>1</v>
      </c>
      <c r="H2335" s="50" t="s">
        <v>2</v>
      </c>
      <c r="I2335" s="50" t="s">
        <v>293</v>
      </c>
      <c r="J2335" s="51">
        <v>46038</v>
      </c>
      <c r="K2335" s="50" t="s">
        <v>3</v>
      </c>
      <c r="L2335" s="50" t="s">
        <v>80</v>
      </c>
    </row>
    <row r="2336" spans="2:12">
      <c r="B2336" s="50" t="s">
        <v>399</v>
      </c>
      <c r="C2336" s="50" t="s">
        <v>51</v>
      </c>
      <c r="D2336" s="50" t="s">
        <v>27</v>
      </c>
      <c r="E2336" s="50">
        <v>50041195</v>
      </c>
      <c r="F2336" s="50" t="s">
        <v>206</v>
      </c>
      <c r="G2336" s="50">
        <v>1</v>
      </c>
      <c r="H2336" s="50" t="s">
        <v>2</v>
      </c>
      <c r="I2336" s="50" t="s">
        <v>293</v>
      </c>
      <c r="J2336" s="51">
        <v>46038</v>
      </c>
      <c r="K2336" s="50" t="s">
        <v>1</v>
      </c>
      <c r="L2336" s="50" t="s">
        <v>80</v>
      </c>
    </row>
    <row r="2337" spans="2:12">
      <c r="B2337" s="50" t="s">
        <v>345</v>
      </c>
      <c r="C2337" s="50" t="s">
        <v>62</v>
      </c>
      <c r="D2337" s="50" t="s">
        <v>27</v>
      </c>
      <c r="E2337" s="50">
        <v>50041195</v>
      </c>
      <c r="F2337" s="50" t="s">
        <v>206</v>
      </c>
      <c r="G2337" s="50">
        <v>1</v>
      </c>
      <c r="H2337" s="50" t="s">
        <v>2</v>
      </c>
      <c r="I2337" s="50" t="s">
        <v>293</v>
      </c>
      <c r="J2337" s="51">
        <v>46038</v>
      </c>
      <c r="K2337" s="50" t="s">
        <v>1</v>
      </c>
      <c r="L2337" s="50" t="s">
        <v>80</v>
      </c>
    </row>
    <row r="2338" spans="2:12">
      <c r="B2338" s="50" t="s">
        <v>427</v>
      </c>
      <c r="C2338" s="50" t="s">
        <v>26</v>
      </c>
      <c r="D2338" s="50" t="s">
        <v>27</v>
      </c>
      <c r="E2338" s="50">
        <v>50037892</v>
      </c>
      <c r="F2338" s="50" t="s">
        <v>178</v>
      </c>
      <c r="G2338" s="50">
        <v>1</v>
      </c>
      <c r="H2338" s="50" t="s">
        <v>2</v>
      </c>
      <c r="I2338" s="50" t="s">
        <v>293</v>
      </c>
      <c r="J2338" s="51">
        <v>46038</v>
      </c>
      <c r="K2338" s="50" t="s">
        <v>3</v>
      </c>
      <c r="L2338" s="50" t="s">
        <v>80</v>
      </c>
    </row>
    <row r="2339" spans="2:12">
      <c r="B2339" s="50" t="s">
        <v>483</v>
      </c>
      <c r="C2339" s="50" t="s">
        <v>62</v>
      </c>
      <c r="D2339" s="50" t="s">
        <v>27</v>
      </c>
      <c r="E2339" s="50">
        <v>50043471</v>
      </c>
      <c r="F2339" s="50" t="s">
        <v>257</v>
      </c>
      <c r="G2339" s="50">
        <v>1</v>
      </c>
      <c r="H2339" s="50" t="s">
        <v>2</v>
      </c>
      <c r="I2339" s="50" t="s">
        <v>297</v>
      </c>
      <c r="J2339" s="51">
        <v>46038</v>
      </c>
      <c r="K2339" s="50" t="s">
        <v>1</v>
      </c>
      <c r="L2339" s="50" t="s">
        <v>80</v>
      </c>
    </row>
    <row r="2340" spans="2:12">
      <c r="B2340" s="50" t="s">
        <v>439</v>
      </c>
      <c r="C2340" s="50" t="s">
        <v>62</v>
      </c>
      <c r="D2340" s="50" t="s">
        <v>27</v>
      </c>
      <c r="E2340" s="50">
        <v>50036086</v>
      </c>
      <c r="F2340" s="50" t="s">
        <v>28</v>
      </c>
      <c r="G2340" s="50">
        <v>1</v>
      </c>
      <c r="H2340" s="50" t="s">
        <v>2</v>
      </c>
      <c r="I2340" s="50" t="s">
        <v>293</v>
      </c>
      <c r="J2340" s="51">
        <v>46038</v>
      </c>
      <c r="K2340" s="50" t="s">
        <v>3</v>
      </c>
      <c r="L2340" s="50" t="s">
        <v>80</v>
      </c>
    </row>
    <row r="2341" spans="2:12">
      <c r="B2341" s="50" t="s">
        <v>483</v>
      </c>
      <c r="C2341" s="50" t="s">
        <v>62</v>
      </c>
      <c r="D2341" s="50" t="s">
        <v>27</v>
      </c>
      <c r="E2341" s="50">
        <v>50026357</v>
      </c>
      <c r="F2341" s="50" t="s">
        <v>192</v>
      </c>
      <c r="G2341" s="50">
        <v>1</v>
      </c>
      <c r="H2341" s="50" t="s">
        <v>2</v>
      </c>
      <c r="I2341" s="50" t="s">
        <v>293</v>
      </c>
      <c r="J2341" s="51">
        <v>46038</v>
      </c>
      <c r="K2341" s="50" t="s">
        <v>3</v>
      </c>
      <c r="L2341" s="50" t="s">
        <v>80</v>
      </c>
    </row>
    <row r="2342" spans="2:12">
      <c r="B2342" s="50" t="s">
        <v>483</v>
      </c>
      <c r="C2342" s="50" t="s">
        <v>62</v>
      </c>
      <c r="D2342" s="50" t="s">
        <v>27</v>
      </c>
      <c r="E2342" s="50">
        <v>50038956</v>
      </c>
      <c r="F2342" s="50" t="s">
        <v>177</v>
      </c>
      <c r="G2342" s="50">
        <v>1</v>
      </c>
      <c r="H2342" s="50" t="s">
        <v>2</v>
      </c>
      <c r="I2342" s="50" t="s">
        <v>293</v>
      </c>
      <c r="J2342" s="51">
        <v>46038</v>
      </c>
      <c r="K2342" s="50" t="s">
        <v>1</v>
      </c>
      <c r="L2342" s="50" t="s">
        <v>80</v>
      </c>
    </row>
    <row r="2343" spans="2:12">
      <c r="B2343" s="50" t="s">
        <v>386</v>
      </c>
      <c r="C2343" s="50" t="s">
        <v>26</v>
      </c>
      <c r="D2343" s="50" t="s">
        <v>27</v>
      </c>
      <c r="E2343" s="50">
        <v>50038956</v>
      </c>
      <c r="F2343" s="50" t="s">
        <v>177</v>
      </c>
      <c r="G2343" s="50">
        <v>1</v>
      </c>
      <c r="H2343" s="50" t="s">
        <v>2</v>
      </c>
      <c r="I2343" s="50" t="s">
        <v>297</v>
      </c>
      <c r="J2343" s="51">
        <v>46038</v>
      </c>
      <c r="K2343" s="50" t="s">
        <v>3</v>
      </c>
      <c r="L2343" s="50" t="s">
        <v>80</v>
      </c>
    </row>
    <row r="2344" spans="2:12">
      <c r="B2344" s="50" t="s">
        <v>386</v>
      </c>
      <c r="C2344" s="50" t="s">
        <v>26</v>
      </c>
      <c r="D2344" s="50" t="s">
        <v>27</v>
      </c>
      <c r="E2344" s="50">
        <v>50038956</v>
      </c>
      <c r="F2344" s="50" t="s">
        <v>177</v>
      </c>
      <c r="G2344" s="50">
        <v>1</v>
      </c>
      <c r="H2344" s="50" t="s">
        <v>2</v>
      </c>
      <c r="I2344" s="50" t="s">
        <v>297</v>
      </c>
      <c r="J2344" s="51">
        <v>46038</v>
      </c>
      <c r="K2344" s="50" t="s">
        <v>3</v>
      </c>
      <c r="L2344" s="50" t="s">
        <v>80</v>
      </c>
    </row>
    <row r="2345" spans="2:12">
      <c r="B2345" s="50" t="s">
        <v>422</v>
      </c>
      <c r="C2345" s="50" t="s">
        <v>26</v>
      </c>
      <c r="D2345" s="50" t="s">
        <v>27</v>
      </c>
      <c r="E2345" s="50">
        <v>50010031</v>
      </c>
      <c r="F2345" s="50" t="s">
        <v>89</v>
      </c>
      <c r="G2345" s="50">
        <v>1</v>
      </c>
      <c r="H2345" s="50" t="s">
        <v>2</v>
      </c>
      <c r="I2345" s="50" t="s">
        <v>292</v>
      </c>
      <c r="J2345" s="51">
        <v>46038</v>
      </c>
      <c r="K2345" s="50" t="s">
        <v>1</v>
      </c>
      <c r="L2345" s="50" t="s">
        <v>80</v>
      </c>
    </row>
    <row r="2346" spans="2:12">
      <c r="B2346" s="50" t="s">
        <v>422</v>
      </c>
      <c r="C2346" s="50" t="s">
        <v>26</v>
      </c>
      <c r="D2346" s="50" t="s">
        <v>27</v>
      </c>
      <c r="E2346" s="50">
        <v>50043471</v>
      </c>
      <c r="F2346" s="50" t="s">
        <v>257</v>
      </c>
      <c r="G2346" s="50">
        <v>1</v>
      </c>
      <c r="H2346" s="50" t="s">
        <v>2</v>
      </c>
      <c r="I2346" s="50" t="s">
        <v>292</v>
      </c>
      <c r="J2346" s="51">
        <v>46038</v>
      </c>
      <c r="K2346" s="50" t="s">
        <v>1</v>
      </c>
      <c r="L2346" s="50" t="s">
        <v>80</v>
      </c>
    </row>
    <row r="2347" spans="2:12">
      <c r="B2347" s="50" t="s">
        <v>422</v>
      </c>
      <c r="C2347" s="50" t="s">
        <v>26</v>
      </c>
      <c r="D2347" s="50" t="s">
        <v>27</v>
      </c>
      <c r="E2347" s="50">
        <v>50010031</v>
      </c>
      <c r="F2347" s="50" t="s">
        <v>89</v>
      </c>
      <c r="G2347" s="50">
        <v>1</v>
      </c>
      <c r="H2347" s="50" t="s">
        <v>2</v>
      </c>
      <c r="I2347" s="50" t="s">
        <v>292</v>
      </c>
      <c r="J2347" s="51">
        <v>46038</v>
      </c>
      <c r="K2347" s="50" t="s">
        <v>3</v>
      </c>
      <c r="L2347" s="50" t="s">
        <v>80</v>
      </c>
    </row>
    <row r="2348" spans="2:12">
      <c r="B2348" s="50" t="s">
        <v>422</v>
      </c>
      <c r="C2348" s="50" t="s">
        <v>26</v>
      </c>
      <c r="D2348" s="50" t="s">
        <v>27</v>
      </c>
      <c r="E2348" s="50">
        <v>50043471</v>
      </c>
      <c r="F2348" s="50" t="s">
        <v>257</v>
      </c>
      <c r="G2348" s="50">
        <v>1</v>
      </c>
      <c r="H2348" s="50" t="s">
        <v>2</v>
      </c>
      <c r="I2348" s="50" t="s">
        <v>290</v>
      </c>
      <c r="J2348" s="51">
        <v>46038</v>
      </c>
      <c r="K2348" s="50" t="s">
        <v>3</v>
      </c>
      <c r="L2348" s="50" t="s">
        <v>80</v>
      </c>
    </row>
    <row r="2349" spans="2:12">
      <c r="B2349" s="50" t="s">
        <v>422</v>
      </c>
      <c r="C2349" s="50" t="s">
        <v>26</v>
      </c>
      <c r="D2349" s="50" t="s">
        <v>27</v>
      </c>
      <c r="E2349" s="50">
        <v>50010031</v>
      </c>
      <c r="F2349" s="50" t="s">
        <v>89</v>
      </c>
      <c r="G2349" s="50">
        <v>1</v>
      </c>
      <c r="H2349" s="50" t="s">
        <v>2</v>
      </c>
      <c r="I2349" s="50" t="s">
        <v>290</v>
      </c>
      <c r="J2349" s="51">
        <v>46038</v>
      </c>
      <c r="K2349" s="50" t="s">
        <v>1</v>
      </c>
      <c r="L2349" s="50" t="s">
        <v>80</v>
      </c>
    </row>
    <row r="2350" spans="2:12">
      <c r="B2350" s="50" t="e">
        <v>#N/A</v>
      </c>
      <c r="C2350" s="50" t="s">
        <v>26</v>
      </c>
      <c r="D2350" s="50" t="s">
        <v>27</v>
      </c>
      <c r="E2350" s="50">
        <v>50043471</v>
      </c>
      <c r="F2350" s="50" t="s">
        <v>257</v>
      </c>
      <c r="G2350" s="50">
        <v>1</v>
      </c>
      <c r="H2350" s="50" t="s">
        <v>2</v>
      </c>
      <c r="I2350" s="50" t="s">
        <v>290</v>
      </c>
      <c r="J2350" s="51">
        <v>46038</v>
      </c>
      <c r="K2350" s="50" t="s">
        <v>1</v>
      </c>
      <c r="L2350" s="50" t="s">
        <v>80</v>
      </c>
    </row>
    <row r="2351" spans="2:12">
      <c r="B2351" s="50" t="s">
        <v>427</v>
      </c>
      <c r="C2351" s="50" t="s">
        <v>26</v>
      </c>
      <c r="D2351" s="50" t="s">
        <v>27</v>
      </c>
      <c r="E2351" s="50">
        <v>50043151</v>
      </c>
      <c r="F2351" s="50" t="s">
        <v>331</v>
      </c>
      <c r="G2351" s="50">
        <v>1</v>
      </c>
      <c r="H2351" s="50" t="s">
        <v>2</v>
      </c>
      <c r="I2351" s="50" t="s">
        <v>290</v>
      </c>
      <c r="J2351" s="51">
        <v>46038</v>
      </c>
      <c r="K2351" s="50" t="s">
        <v>1</v>
      </c>
      <c r="L2351" s="50" t="s">
        <v>80</v>
      </c>
    </row>
    <row r="2352" spans="2:12">
      <c r="B2352" s="50" t="s">
        <v>427</v>
      </c>
      <c r="C2352" s="50" t="s">
        <v>26</v>
      </c>
      <c r="D2352" s="50" t="s">
        <v>27</v>
      </c>
      <c r="E2352" s="50">
        <v>50001995</v>
      </c>
      <c r="F2352" s="50" t="s">
        <v>185</v>
      </c>
      <c r="G2352" s="50">
        <v>1</v>
      </c>
      <c r="H2352" s="50" t="s">
        <v>2</v>
      </c>
      <c r="I2352" s="50" t="s">
        <v>288</v>
      </c>
      <c r="J2352" s="51">
        <v>46038</v>
      </c>
      <c r="K2352" s="50" t="s">
        <v>1</v>
      </c>
      <c r="L2352" s="50" t="s">
        <v>80</v>
      </c>
    </row>
    <row r="2353" spans="2:12">
      <c r="B2353" s="50" t="s">
        <v>396</v>
      </c>
      <c r="C2353" s="50" t="s">
        <v>26</v>
      </c>
      <c r="D2353" s="50" t="s">
        <v>41</v>
      </c>
      <c r="E2353" s="50">
        <v>50036296</v>
      </c>
      <c r="F2353" s="50" t="s">
        <v>109</v>
      </c>
      <c r="G2353" s="50">
        <v>1</v>
      </c>
      <c r="H2353" s="50" t="s">
        <v>2</v>
      </c>
      <c r="I2353" s="50" t="s">
        <v>288</v>
      </c>
      <c r="J2353" s="51">
        <v>46038</v>
      </c>
      <c r="K2353" s="50" t="s">
        <v>1</v>
      </c>
      <c r="L2353" s="50" t="s">
        <v>80</v>
      </c>
    </row>
    <row r="2354" spans="2:12">
      <c r="B2354" s="50" t="s">
        <v>411</v>
      </c>
      <c r="C2354" s="50" t="s">
        <v>26</v>
      </c>
      <c r="D2354" s="50" t="s">
        <v>27</v>
      </c>
      <c r="E2354" s="50">
        <v>50010031</v>
      </c>
      <c r="F2354" s="50" t="s">
        <v>89</v>
      </c>
      <c r="G2354" s="50">
        <v>1</v>
      </c>
      <c r="H2354" s="50" t="s">
        <v>2</v>
      </c>
      <c r="I2354" s="50" t="s">
        <v>291</v>
      </c>
      <c r="J2354" s="51">
        <v>46038</v>
      </c>
      <c r="K2354" s="50" t="s">
        <v>3</v>
      </c>
      <c r="L2354" s="50" t="s">
        <v>80</v>
      </c>
    </row>
    <row r="2355" spans="2:12">
      <c r="B2355" s="50" t="s">
        <v>411</v>
      </c>
      <c r="C2355" s="50" t="s">
        <v>26</v>
      </c>
      <c r="D2355" s="50" t="s">
        <v>27</v>
      </c>
      <c r="E2355" s="50">
        <v>50010031</v>
      </c>
      <c r="F2355" s="50" t="s">
        <v>89</v>
      </c>
      <c r="G2355" s="50">
        <v>1</v>
      </c>
      <c r="H2355" s="50" t="s">
        <v>2</v>
      </c>
      <c r="I2355" s="50" t="s">
        <v>291</v>
      </c>
      <c r="J2355" s="51">
        <v>46038</v>
      </c>
      <c r="K2355" s="50" t="s">
        <v>3</v>
      </c>
      <c r="L2355" s="50" t="s">
        <v>80</v>
      </c>
    </row>
    <row r="2356" spans="2:12">
      <c r="B2356" s="50" t="s">
        <v>427</v>
      </c>
      <c r="C2356" s="50" t="s">
        <v>26</v>
      </c>
      <c r="D2356" s="50" t="s">
        <v>27</v>
      </c>
      <c r="E2356" s="50">
        <v>50001995</v>
      </c>
      <c r="F2356" s="50" t="s">
        <v>185</v>
      </c>
      <c r="G2356" s="50">
        <v>1</v>
      </c>
      <c r="H2356" s="50" t="s">
        <v>2</v>
      </c>
      <c r="I2356" s="50" t="s">
        <v>291</v>
      </c>
      <c r="J2356" s="51">
        <v>46038</v>
      </c>
      <c r="K2356" s="50" t="s">
        <v>1</v>
      </c>
      <c r="L2356" s="50" t="s">
        <v>80</v>
      </c>
    </row>
    <row r="2357" spans="2:12">
      <c r="B2357" s="50" t="s">
        <v>427</v>
      </c>
      <c r="C2357" s="50" t="s">
        <v>26</v>
      </c>
      <c r="D2357" s="50" t="s">
        <v>27</v>
      </c>
      <c r="E2357" s="50">
        <v>50022878</v>
      </c>
      <c r="F2357" s="50" t="s">
        <v>296</v>
      </c>
      <c r="G2357" s="50">
        <v>1</v>
      </c>
      <c r="H2357" s="50" t="s">
        <v>2</v>
      </c>
      <c r="I2357" s="50" t="s">
        <v>291</v>
      </c>
      <c r="J2357" s="51">
        <v>46038</v>
      </c>
      <c r="K2357" s="50" t="s">
        <v>3</v>
      </c>
      <c r="L2357" s="50" t="s">
        <v>80</v>
      </c>
    </row>
    <row r="2358" spans="2:12">
      <c r="B2358" s="50" t="s">
        <v>396</v>
      </c>
      <c r="C2358" s="50" t="s">
        <v>26</v>
      </c>
      <c r="D2358" s="50" t="s">
        <v>41</v>
      </c>
      <c r="E2358" s="50">
        <v>50036296</v>
      </c>
      <c r="F2358" s="50" t="s">
        <v>109</v>
      </c>
      <c r="G2358" s="50">
        <v>1</v>
      </c>
      <c r="H2358" s="50" t="s">
        <v>2</v>
      </c>
      <c r="I2358" s="50" t="s">
        <v>288</v>
      </c>
      <c r="J2358" s="51">
        <v>46038</v>
      </c>
      <c r="K2358" s="50" t="s">
        <v>3</v>
      </c>
      <c r="L2358" s="50" t="s">
        <v>80</v>
      </c>
    </row>
    <row r="2359" spans="2:12">
      <c r="B2359" s="50" t="s">
        <v>427</v>
      </c>
      <c r="C2359" s="50" t="s">
        <v>26</v>
      </c>
      <c r="D2359" s="50" t="s">
        <v>27</v>
      </c>
      <c r="E2359" s="50">
        <v>50022878</v>
      </c>
      <c r="F2359" s="50" t="s">
        <v>296</v>
      </c>
      <c r="G2359" s="50">
        <v>1</v>
      </c>
      <c r="H2359" s="50" t="s">
        <v>2</v>
      </c>
      <c r="I2359" s="50" t="s">
        <v>288</v>
      </c>
      <c r="J2359" s="51">
        <v>46038</v>
      </c>
      <c r="K2359" s="50" t="s">
        <v>3</v>
      </c>
      <c r="L2359" s="50" t="s">
        <v>80</v>
      </c>
    </row>
    <row r="2360" spans="2:12">
      <c r="B2360" s="50" t="s">
        <v>427</v>
      </c>
      <c r="C2360" s="50" t="s">
        <v>26</v>
      </c>
      <c r="D2360" s="50" t="s">
        <v>27</v>
      </c>
      <c r="E2360" s="50">
        <v>50043151</v>
      </c>
      <c r="F2360" s="50" t="s">
        <v>331</v>
      </c>
      <c r="G2360" s="50">
        <v>1</v>
      </c>
      <c r="H2360" s="50" t="s">
        <v>2</v>
      </c>
      <c r="I2360" s="50" t="s">
        <v>288</v>
      </c>
      <c r="J2360" s="51">
        <v>46038</v>
      </c>
      <c r="K2360" s="50" t="s">
        <v>3</v>
      </c>
      <c r="L2360" s="50" t="s">
        <v>80</v>
      </c>
    </row>
    <row r="2361" spans="2:12">
      <c r="B2361" s="50" t="s">
        <v>345</v>
      </c>
      <c r="C2361" s="50" t="s">
        <v>62</v>
      </c>
      <c r="D2361" s="50" t="s">
        <v>27</v>
      </c>
      <c r="E2361" s="50">
        <v>50041195</v>
      </c>
      <c r="F2361" s="50" t="s">
        <v>206</v>
      </c>
      <c r="G2361" s="50">
        <v>1</v>
      </c>
      <c r="H2361" s="50" t="s">
        <v>2</v>
      </c>
      <c r="I2361" s="50" t="s">
        <v>288</v>
      </c>
      <c r="J2361" s="51">
        <v>46038</v>
      </c>
      <c r="K2361" s="50" t="s">
        <v>3</v>
      </c>
      <c r="L2361" s="50" t="s">
        <v>80</v>
      </c>
    </row>
    <row r="2362" spans="2:12">
      <c r="B2362" s="50" t="s">
        <v>427</v>
      </c>
      <c r="C2362" s="50" t="s">
        <v>26</v>
      </c>
      <c r="D2362" s="50" t="s">
        <v>27</v>
      </c>
      <c r="E2362" s="50">
        <v>50043471</v>
      </c>
      <c r="F2362" s="50" t="s">
        <v>257</v>
      </c>
      <c r="G2362" s="50">
        <v>1</v>
      </c>
      <c r="H2362" s="50" t="s">
        <v>2</v>
      </c>
      <c r="I2362" s="50" t="s">
        <v>291</v>
      </c>
      <c r="J2362" s="51">
        <v>46038</v>
      </c>
      <c r="K2362" s="50" t="s">
        <v>3</v>
      </c>
      <c r="L2362" s="50" t="s">
        <v>80</v>
      </c>
    </row>
    <row r="2363" spans="2:12">
      <c r="B2363" s="50" t="s">
        <v>427</v>
      </c>
      <c r="C2363" s="50" t="s">
        <v>26</v>
      </c>
      <c r="D2363" s="50" t="s">
        <v>27</v>
      </c>
      <c r="E2363" s="50">
        <v>50037892</v>
      </c>
      <c r="F2363" s="50" t="s">
        <v>178</v>
      </c>
      <c r="G2363" s="50">
        <v>1</v>
      </c>
      <c r="H2363" s="50" t="s">
        <v>2</v>
      </c>
      <c r="I2363" s="50" t="s">
        <v>291</v>
      </c>
      <c r="J2363" s="51">
        <v>46038</v>
      </c>
      <c r="K2363" s="50" t="s">
        <v>3</v>
      </c>
      <c r="L2363" s="50" t="s">
        <v>80</v>
      </c>
    </row>
    <row r="2364" spans="2:12">
      <c r="B2364" s="50" t="s">
        <v>474</v>
      </c>
      <c r="C2364" s="50" t="s">
        <v>51</v>
      </c>
      <c r="D2364" s="50" t="s">
        <v>27</v>
      </c>
      <c r="E2364" s="50">
        <v>50039065</v>
      </c>
      <c r="F2364" s="50" t="s">
        <v>186</v>
      </c>
      <c r="G2364" s="50">
        <v>1</v>
      </c>
      <c r="H2364" s="50" t="s">
        <v>2</v>
      </c>
      <c r="I2364" s="50" t="s">
        <v>291</v>
      </c>
      <c r="J2364" s="51">
        <v>46038</v>
      </c>
      <c r="K2364" s="50" t="s">
        <v>3</v>
      </c>
      <c r="L2364" s="50" t="s">
        <v>80</v>
      </c>
    </row>
    <row r="2365" spans="2:12">
      <c r="B2365" s="50" t="s">
        <v>439</v>
      </c>
      <c r="C2365" s="50" t="s">
        <v>62</v>
      </c>
      <c r="D2365" s="50" t="s">
        <v>27</v>
      </c>
      <c r="E2365" s="50">
        <v>50036086</v>
      </c>
      <c r="F2365" s="50" t="s">
        <v>28</v>
      </c>
      <c r="G2365" s="50">
        <v>1</v>
      </c>
      <c r="H2365" s="50" t="s">
        <v>2</v>
      </c>
      <c r="I2365" s="50" t="s">
        <v>291</v>
      </c>
      <c r="J2365" s="51">
        <v>46038</v>
      </c>
      <c r="K2365" s="50" t="s">
        <v>3</v>
      </c>
      <c r="L2365" s="50" t="s">
        <v>80</v>
      </c>
    </row>
    <row r="2366" spans="2:12">
      <c r="B2366" s="50" t="s">
        <v>399</v>
      </c>
      <c r="C2366" s="50" t="s">
        <v>51</v>
      </c>
      <c r="D2366" s="50" t="s">
        <v>27</v>
      </c>
      <c r="E2366" s="50">
        <v>50038517</v>
      </c>
      <c r="F2366" s="50" t="s">
        <v>181</v>
      </c>
      <c r="G2366" s="50">
        <v>1</v>
      </c>
      <c r="H2366" s="50" t="s">
        <v>2</v>
      </c>
      <c r="I2366" s="50" t="s">
        <v>291</v>
      </c>
      <c r="J2366" s="51">
        <v>46038</v>
      </c>
      <c r="K2366" s="50" t="s">
        <v>1</v>
      </c>
      <c r="L2366" s="50" t="s">
        <v>80</v>
      </c>
    </row>
    <row r="2367" spans="2:12">
      <c r="B2367" s="50" t="s">
        <v>473</v>
      </c>
      <c r="C2367" s="50" t="s">
        <v>26</v>
      </c>
      <c r="D2367" s="50" t="s">
        <v>36</v>
      </c>
      <c r="E2367" s="50">
        <v>50037892</v>
      </c>
      <c r="F2367" s="50" t="s">
        <v>178</v>
      </c>
      <c r="G2367" s="50">
        <v>1</v>
      </c>
      <c r="H2367" s="50" t="s">
        <v>2</v>
      </c>
      <c r="I2367" s="50" t="s">
        <v>291</v>
      </c>
      <c r="J2367" s="51">
        <v>46038</v>
      </c>
      <c r="K2367" s="50" t="s">
        <v>3</v>
      </c>
      <c r="L2367" s="50" t="s">
        <v>80</v>
      </c>
    </row>
    <row r="2368" spans="2:12">
      <c r="B2368" s="50" t="s">
        <v>473</v>
      </c>
      <c r="C2368" s="50" t="s">
        <v>26</v>
      </c>
      <c r="D2368" s="50" t="s">
        <v>36</v>
      </c>
      <c r="E2368" s="50">
        <v>50037892</v>
      </c>
      <c r="F2368" s="50" t="s">
        <v>178</v>
      </c>
      <c r="G2368" s="50">
        <v>1</v>
      </c>
      <c r="H2368" s="50" t="s">
        <v>2</v>
      </c>
      <c r="I2368" s="50" t="s">
        <v>291</v>
      </c>
      <c r="J2368" s="51">
        <v>46038</v>
      </c>
      <c r="K2368" s="50" t="s">
        <v>1</v>
      </c>
      <c r="L2368" s="50" t="s">
        <v>80</v>
      </c>
    </row>
    <row r="2369" spans="2:12">
      <c r="B2369" s="50" t="s">
        <v>477</v>
      </c>
      <c r="C2369" s="50" t="s">
        <v>60</v>
      </c>
      <c r="D2369" s="50" t="s">
        <v>36</v>
      </c>
      <c r="E2369" s="50">
        <v>50036086</v>
      </c>
      <c r="F2369" s="50" t="s">
        <v>28</v>
      </c>
      <c r="G2369" s="50">
        <v>1</v>
      </c>
      <c r="H2369" s="50" t="s">
        <v>2</v>
      </c>
      <c r="I2369" s="50" t="s">
        <v>291</v>
      </c>
      <c r="J2369" s="51">
        <v>46038</v>
      </c>
      <c r="K2369" s="50" t="s">
        <v>3</v>
      </c>
      <c r="L2369" s="50" t="s">
        <v>80</v>
      </c>
    </row>
    <row r="2370" spans="2:12">
      <c r="B2370" s="50" t="s">
        <v>477</v>
      </c>
      <c r="C2370" s="50" t="s">
        <v>60</v>
      </c>
      <c r="D2370" s="50" t="s">
        <v>36</v>
      </c>
      <c r="E2370" s="50">
        <v>50036086</v>
      </c>
      <c r="F2370" s="50" t="s">
        <v>28</v>
      </c>
      <c r="G2370" s="50">
        <v>1</v>
      </c>
      <c r="H2370" s="50" t="s">
        <v>2</v>
      </c>
      <c r="I2370" s="50" t="s">
        <v>291</v>
      </c>
      <c r="J2370" s="51">
        <v>46038</v>
      </c>
      <c r="K2370" s="50" t="s">
        <v>1</v>
      </c>
      <c r="L2370" s="50" t="s">
        <v>80</v>
      </c>
    </row>
    <row r="2371" spans="2:12">
      <c r="B2371" s="50" t="s">
        <v>422</v>
      </c>
      <c r="C2371" s="50" t="s">
        <v>26</v>
      </c>
      <c r="D2371" s="50" t="s">
        <v>27</v>
      </c>
      <c r="E2371" s="50">
        <v>50041195</v>
      </c>
      <c r="F2371" s="50" t="s">
        <v>206</v>
      </c>
      <c r="G2371" s="50">
        <v>1</v>
      </c>
      <c r="H2371" s="50" t="s">
        <v>2</v>
      </c>
      <c r="I2371" s="50" t="s">
        <v>291</v>
      </c>
      <c r="J2371" s="51">
        <v>46038</v>
      </c>
      <c r="K2371" s="50" t="s">
        <v>3</v>
      </c>
      <c r="L2371" s="50" t="s">
        <v>80</v>
      </c>
    </row>
    <row r="2372" spans="2:12">
      <c r="B2372" s="50" t="s">
        <v>422</v>
      </c>
      <c r="C2372" s="50" t="s">
        <v>26</v>
      </c>
      <c r="D2372" s="50" t="s">
        <v>27</v>
      </c>
      <c r="E2372" s="50">
        <v>50041195</v>
      </c>
      <c r="F2372" s="50" t="s">
        <v>206</v>
      </c>
      <c r="G2372" s="50">
        <v>1</v>
      </c>
      <c r="H2372" s="50" t="s">
        <v>2</v>
      </c>
      <c r="I2372" s="50" t="s">
        <v>291</v>
      </c>
      <c r="J2372" s="51">
        <v>46038</v>
      </c>
      <c r="K2372" s="50" t="s">
        <v>1</v>
      </c>
      <c r="L2372" s="50" t="s">
        <v>80</v>
      </c>
    </row>
    <row r="2373" spans="2:12">
      <c r="B2373" s="50" t="s">
        <v>463</v>
      </c>
      <c r="C2373" s="50" t="s">
        <v>356</v>
      </c>
      <c r="D2373" s="50" t="s">
        <v>27</v>
      </c>
      <c r="E2373" s="50">
        <v>50038854</v>
      </c>
      <c r="F2373" s="50" t="s">
        <v>101</v>
      </c>
      <c r="G2373" s="50">
        <v>1</v>
      </c>
      <c r="H2373" s="50" t="s">
        <v>2</v>
      </c>
      <c r="I2373" s="50" t="s">
        <v>291</v>
      </c>
      <c r="J2373" s="51">
        <v>46038</v>
      </c>
      <c r="K2373" s="50" t="s">
        <v>3</v>
      </c>
      <c r="L2373" s="50" t="s">
        <v>80</v>
      </c>
    </row>
    <row r="2374" spans="2:12">
      <c r="B2374" s="50" t="s">
        <v>406</v>
      </c>
      <c r="C2374" s="50" t="s">
        <v>26</v>
      </c>
      <c r="D2374" s="50" t="s">
        <v>27</v>
      </c>
      <c r="E2374" s="50">
        <v>50037961</v>
      </c>
      <c r="F2374" s="50" t="s">
        <v>113</v>
      </c>
      <c r="G2374" s="50">
        <v>1</v>
      </c>
      <c r="H2374" s="50" t="s">
        <v>2</v>
      </c>
      <c r="I2374" s="50" t="s">
        <v>291</v>
      </c>
      <c r="J2374" s="51">
        <v>46038</v>
      </c>
      <c r="K2374" s="50" t="s">
        <v>3</v>
      </c>
      <c r="L2374" s="50" t="s">
        <v>80</v>
      </c>
    </row>
    <row r="2375" spans="2:12">
      <c r="B2375" s="50" t="s">
        <v>406</v>
      </c>
      <c r="C2375" s="50" t="s">
        <v>26</v>
      </c>
      <c r="D2375" s="50" t="s">
        <v>27</v>
      </c>
      <c r="E2375" s="50">
        <v>50037960</v>
      </c>
      <c r="F2375" s="50" t="s">
        <v>112</v>
      </c>
      <c r="G2375" s="50">
        <v>1</v>
      </c>
      <c r="H2375" s="50" t="s">
        <v>2</v>
      </c>
      <c r="I2375" s="50" t="s">
        <v>291</v>
      </c>
      <c r="J2375" s="51">
        <v>46038</v>
      </c>
      <c r="K2375" s="50" t="s">
        <v>1</v>
      </c>
      <c r="L2375" s="50" t="s">
        <v>80</v>
      </c>
    </row>
    <row r="2376" spans="2:12">
      <c r="B2376" s="50" t="s">
        <v>439</v>
      </c>
      <c r="C2376" s="50" t="s">
        <v>26</v>
      </c>
      <c r="D2376" s="50" t="s">
        <v>41</v>
      </c>
      <c r="E2376" s="50">
        <v>50037900</v>
      </c>
      <c r="F2376" s="50" t="s">
        <v>240</v>
      </c>
      <c r="G2376" s="50">
        <v>1</v>
      </c>
      <c r="H2376" s="50" t="s">
        <v>2</v>
      </c>
      <c r="I2376" s="50" t="s">
        <v>291</v>
      </c>
      <c r="J2376" s="51">
        <v>46037</v>
      </c>
      <c r="K2376" s="50" t="s">
        <v>3</v>
      </c>
      <c r="L2376" s="50" t="s">
        <v>80</v>
      </c>
    </row>
    <row r="2377" spans="2:12">
      <c r="B2377" s="50" t="s">
        <v>439</v>
      </c>
      <c r="C2377" s="50" t="s">
        <v>26</v>
      </c>
      <c r="D2377" s="50" t="s">
        <v>41</v>
      </c>
      <c r="E2377" s="50">
        <v>50037900</v>
      </c>
      <c r="F2377" s="50" t="s">
        <v>240</v>
      </c>
      <c r="G2377" s="50">
        <v>1</v>
      </c>
      <c r="H2377" s="50" t="s">
        <v>2</v>
      </c>
      <c r="I2377" s="50" t="s">
        <v>291</v>
      </c>
      <c r="J2377" s="51">
        <v>46037</v>
      </c>
      <c r="K2377" s="50" t="s">
        <v>1</v>
      </c>
      <c r="L2377" s="50" t="s">
        <v>80</v>
      </c>
    </row>
    <row r="2378" spans="2:12">
      <c r="B2378" s="50" t="s">
        <v>427</v>
      </c>
      <c r="C2378" s="50" t="s">
        <v>26</v>
      </c>
      <c r="D2378" s="50" t="s">
        <v>27</v>
      </c>
      <c r="E2378" s="50">
        <v>50038549</v>
      </c>
      <c r="F2378" s="50" t="s">
        <v>173</v>
      </c>
      <c r="G2378" s="50">
        <v>1</v>
      </c>
      <c r="H2378" s="50" t="s">
        <v>2</v>
      </c>
      <c r="I2378" s="50" t="s">
        <v>292</v>
      </c>
      <c r="J2378" s="51">
        <v>46037</v>
      </c>
      <c r="K2378" s="50" t="s">
        <v>1</v>
      </c>
      <c r="L2378" s="50" t="s">
        <v>80</v>
      </c>
    </row>
    <row r="2379" spans="2:12">
      <c r="B2379" s="50" t="s">
        <v>394</v>
      </c>
      <c r="C2379" s="50" t="s">
        <v>51</v>
      </c>
      <c r="D2379" s="50" t="s">
        <v>27</v>
      </c>
      <c r="E2379" s="50">
        <v>50043471</v>
      </c>
      <c r="F2379" s="50" t="s">
        <v>257</v>
      </c>
      <c r="G2379" s="50">
        <v>1</v>
      </c>
      <c r="H2379" s="50" t="s">
        <v>2</v>
      </c>
      <c r="I2379" s="50" t="s">
        <v>292</v>
      </c>
      <c r="J2379" s="51">
        <v>46037</v>
      </c>
      <c r="K2379" s="50" t="s">
        <v>1</v>
      </c>
      <c r="L2379" s="50" t="s">
        <v>80</v>
      </c>
    </row>
    <row r="2380" spans="2:12">
      <c r="B2380" s="50" t="s">
        <v>394</v>
      </c>
      <c r="C2380" s="50" t="s">
        <v>51</v>
      </c>
      <c r="D2380" s="50" t="s">
        <v>27</v>
      </c>
      <c r="E2380" s="50">
        <v>50010031</v>
      </c>
      <c r="F2380" s="50" t="s">
        <v>89</v>
      </c>
      <c r="G2380" s="50">
        <v>1</v>
      </c>
      <c r="H2380" s="50" t="s">
        <v>2</v>
      </c>
      <c r="I2380" s="50" t="s">
        <v>292</v>
      </c>
      <c r="J2380" s="51">
        <v>46037</v>
      </c>
      <c r="K2380" s="50" t="s">
        <v>1</v>
      </c>
      <c r="L2380" s="50" t="s">
        <v>80</v>
      </c>
    </row>
    <row r="2381" spans="2:12">
      <c r="B2381" s="50" t="s">
        <v>427</v>
      </c>
      <c r="C2381" s="50" t="s">
        <v>26</v>
      </c>
      <c r="D2381" s="50" t="s">
        <v>27</v>
      </c>
      <c r="E2381" s="50">
        <v>50036279</v>
      </c>
      <c r="F2381" s="50" t="s">
        <v>133</v>
      </c>
      <c r="G2381" s="50">
        <v>1</v>
      </c>
      <c r="H2381" s="50" t="s">
        <v>2</v>
      </c>
      <c r="I2381" s="50" t="s">
        <v>292</v>
      </c>
      <c r="J2381" s="51">
        <v>46037</v>
      </c>
      <c r="K2381" s="50" t="s">
        <v>1</v>
      </c>
      <c r="L2381" s="50" t="s">
        <v>80</v>
      </c>
    </row>
    <row r="2382" spans="2:12">
      <c r="B2382" s="50" t="s">
        <v>386</v>
      </c>
      <c r="C2382" s="50" t="s">
        <v>62</v>
      </c>
      <c r="D2382" s="50" t="s">
        <v>27</v>
      </c>
      <c r="E2382" s="50">
        <v>50041195</v>
      </c>
      <c r="F2382" s="50" t="s">
        <v>206</v>
      </c>
      <c r="G2382" s="50">
        <v>1</v>
      </c>
      <c r="H2382" s="50" t="s">
        <v>2</v>
      </c>
      <c r="I2382" s="50" t="s">
        <v>292</v>
      </c>
      <c r="J2382" s="51">
        <v>46037</v>
      </c>
      <c r="K2382" s="50" t="s">
        <v>1</v>
      </c>
      <c r="L2382" s="50" t="s">
        <v>80</v>
      </c>
    </row>
    <row r="2383" spans="2:12">
      <c r="B2383" s="50" t="s">
        <v>469</v>
      </c>
      <c r="C2383" s="50" t="s">
        <v>26</v>
      </c>
      <c r="D2383" s="50" t="s">
        <v>39</v>
      </c>
      <c r="E2383" s="50">
        <v>50037905</v>
      </c>
      <c r="F2383" s="50" t="s">
        <v>150</v>
      </c>
      <c r="G2383" s="50">
        <v>1</v>
      </c>
      <c r="H2383" s="50" t="s">
        <v>2</v>
      </c>
      <c r="I2383" s="50" t="s">
        <v>292</v>
      </c>
      <c r="J2383" s="51">
        <v>46037</v>
      </c>
      <c r="K2383" s="50" t="s">
        <v>1</v>
      </c>
      <c r="L2383" s="50" t="s">
        <v>80</v>
      </c>
    </row>
    <row r="2384" spans="2:12">
      <c r="B2384" s="50" t="s">
        <v>280</v>
      </c>
      <c r="C2384" s="50" t="s">
        <v>62</v>
      </c>
      <c r="D2384" s="50" t="s">
        <v>27</v>
      </c>
      <c r="E2384" s="50">
        <v>50037892</v>
      </c>
      <c r="F2384" s="50" t="s">
        <v>178</v>
      </c>
      <c r="G2384" s="50">
        <v>1</v>
      </c>
      <c r="H2384" s="50" t="s">
        <v>2</v>
      </c>
      <c r="I2384" s="50" t="s">
        <v>292</v>
      </c>
      <c r="J2384" s="51">
        <v>46037</v>
      </c>
      <c r="K2384" s="50" t="s">
        <v>3</v>
      </c>
      <c r="L2384" s="50" t="s">
        <v>80</v>
      </c>
    </row>
    <row r="2385" spans="2:12">
      <c r="B2385" s="50" t="s">
        <v>394</v>
      </c>
      <c r="C2385" s="50" t="s">
        <v>51</v>
      </c>
      <c r="D2385" s="50" t="s">
        <v>27</v>
      </c>
      <c r="E2385" s="50">
        <v>50043471</v>
      </c>
      <c r="F2385" s="50" t="s">
        <v>257</v>
      </c>
      <c r="G2385" s="50">
        <v>1</v>
      </c>
      <c r="H2385" s="50" t="s">
        <v>2</v>
      </c>
      <c r="I2385" s="50" t="s">
        <v>292</v>
      </c>
      <c r="J2385" s="51">
        <v>46037</v>
      </c>
      <c r="K2385" s="50" t="s">
        <v>3</v>
      </c>
      <c r="L2385" s="50" t="s">
        <v>80</v>
      </c>
    </row>
    <row r="2386" spans="2:12">
      <c r="B2386" s="50" t="s">
        <v>394</v>
      </c>
      <c r="C2386" s="50" t="s">
        <v>51</v>
      </c>
      <c r="D2386" s="50" t="s">
        <v>27</v>
      </c>
      <c r="E2386" s="50">
        <v>50010031</v>
      </c>
      <c r="F2386" s="50" t="s">
        <v>89</v>
      </c>
      <c r="G2386" s="50">
        <v>1</v>
      </c>
      <c r="H2386" s="50" t="s">
        <v>2</v>
      </c>
      <c r="I2386" s="50" t="s">
        <v>292</v>
      </c>
      <c r="J2386" s="51">
        <v>46037</v>
      </c>
      <c r="K2386" s="50" t="s">
        <v>3</v>
      </c>
      <c r="L2386" s="50" t="s">
        <v>80</v>
      </c>
    </row>
    <row r="2387" spans="2:12">
      <c r="B2387" s="50" t="s">
        <v>427</v>
      </c>
      <c r="C2387" s="50" t="s">
        <v>26</v>
      </c>
      <c r="D2387" s="50" t="s">
        <v>27</v>
      </c>
      <c r="E2387" s="50">
        <v>50036279</v>
      </c>
      <c r="F2387" s="50" t="s">
        <v>133</v>
      </c>
      <c r="G2387" s="50">
        <v>1</v>
      </c>
      <c r="H2387" s="50" t="s">
        <v>2</v>
      </c>
      <c r="I2387" s="50" t="s">
        <v>292</v>
      </c>
      <c r="J2387" s="51">
        <v>46037</v>
      </c>
      <c r="K2387" s="50" t="s">
        <v>1</v>
      </c>
      <c r="L2387" s="50" t="s">
        <v>80</v>
      </c>
    </row>
    <row r="2388" spans="2:12">
      <c r="B2388" s="50" t="s">
        <v>483</v>
      </c>
      <c r="C2388" s="50" t="s">
        <v>62</v>
      </c>
      <c r="D2388" s="50" t="s">
        <v>27</v>
      </c>
      <c r="E2388" s="50">
        <v>50038517</v>
      </c>
      <c r="F2388" s="50" t="s">
        <v>181</v>
      </c>
      <c r="G2388" s="50">
        <v>1</v>
      </c>
      <c r="H2388" s="50" t="s">
        <v>2</v>
      </c>
      <c r="I2388" s="50" t="s">
        <v>292</v>
      </c>
      <c r="J2388" s="51">
        <v>46037</v>
      </c>
      <c r="K2388" s="50" t="s">
        <v>3</v>
      </c>
      <c r="L2388" s="50" t="s">
        <v>80</v>
      </c>
    </row>
    <row r="2389" spans="2:12">
      <c r="B2389" s="50" t="s">
        <v>463</v>
      </c>
      <c r="C2389" s="50" t="s">
        <v>356</v>
      </c>
      <c r="D2389" s="50" t="s">
        <v>27</v>
      </c>
      <c r="E2389" s="50">
        <v>50038854</v>
      </c>
      <c r="F2389" s="50" t="s">
        <v>101</v>
      </c>
      <c r="G2389" s="50">
        <v>1</v>
      </c>
      <c r="H2389" s="50" t="s">
        <v>2</v>
      </c>
      <c r="I2389" s="50" t="s">
        <v>292</v>
      </c>
      <c r="J2389" s="51">
        <v>46037</v>
      </c>
      <c r="K2389" s="50" t="s">
        <v>1</v>
      </c>
      <c r="L2389" s="50" t="s">
        <v>80</v>
      </c>
    </row>
    <row r="2390" spans="2:12">
      <c r="B2390" s="50" t="s">
        <v>418</v>
      </c>
      <c r="C2390" s="50" t="s">
        <v>26</v>
      </c>
      <c r="D2390" s="50" t="s">
        <v>27</v>
      </c>
      <c r="E2390" s="50">
        <v>50039065</v>
      </c>
      <c r="F2390" s="50" t="s">
        <v>186</v>
      </c>
      <c r="G2390" s="50">
        <v>1</v>
      </c>
      <c r="H2390" s="50" t="s">
        <v>2</v>
      </c>
      <c r="I2390" s="50" t="s">
        <v>292</v>
      </c>
      <c r="J2390" s="51">
        <v>46037</v>
      </c>
      <c r="K2390" s="50" t="s">
        <v>1</v>
      </c>
      <c r="L2390" s="50" t="s">
        <v>80</v>
      </c>
    </row>
    <row r="2391" spans="2:12">
      <c r="B2391" s="50" t="s">
        <v>418</v>
      </c>
      <c r="C2391" s="50" t="s">
        <v>26</v>
      </c>
      <c r="D2391" s="50" t="s">
        <v>27</v>
      </c>
      <c r="E2391" s="50">
        <v>50010031</v>
      </c>
      <c r="F2391" s="50" t="s">
        <v>89</v>
      </c>
      <c r="G2391" s="50">
        <v>1</v>
      </c>
      <c r="H2391" s="50" t="s">
        <v>2</v>
      </c>
      <c r="I2391" s="50" t="s">
        <v>292</v>
      </c>
      <c r="J2391" s="51">
        <v>46037</v>
      </c>
      <c r="K2391" s="50" t="s">
        <v>3</v>
      </c>
      <c r="L2391" s="50" t="s">
        <v>80</v>
      </c>
    </row>
    <row r="2392" spans="2:12">
      <c r="B2392" s="50" t="s">
        <v>469</v>
      </c>
      <c r="C2392" s="50" t="s">
        <v>26</v>
      </c>
      <c r="D2392" s="50" t="s">
        <v>39</v>
      </c>
      <c r="E2392" s="50">
        <v>50037905</v>
      </c>
      <c r="F2392" s="50" t="s">
        <v>150</v>
      </c>
      <c r="G2392" s="50">
        <v>1</v>
      </c>
      <c r="H2392" s="50" t="s">
        <v>2</v>
      </c>
      <c r="I2392" s="50" t="s">
        <v>292</v>
      </c>
      <c r="J2392" s="51">
        <v>46037</v>
      </c>
      <c r="K2392" s="50" t="s">
        <v>3</v>
      </c>
      <c r="L2392" s="50" t="s">
        <v>80</v>
      </c>
    </row>
    <row r="2393" spans="2:12">
      <c r="B2393" s="50" t="s">
        <v>280</v>
      </c>
      <c r="C2393" s="50" t="s">
        <v>62</v>
      </c>
      <c r="D2393" s="50" t="s">
        <v>27</v>
      </c>
      <c r="E2393" s="50">
        <v>50037892</v>
      </c>
      <c r="F2393" s="50" t="s">
        <v>178</v>
      </c>
      <c r="G2393" s="50">
        <v>1</v>
      </c>
      <c r="H2393" s="50" t="s">
        <v>2</v>
      </c>
      <c r="I2393" s="50" t="s">
        <v>292</v>
      </c>
      <c r="J2393" s="51">
        <v>46037</v>
      </c>
      <c r="K2393" s="50" t="s">
        <v>3</v>
      </c>
      <c r="L2393" s="50" t="s">
        <v>80</v>
      </c>
    </row>
    <row r="2394" spans="2:12">
      <c r="B2394" s="50" t="s">
        <v>418</v>
      </c>
      <c r="C2394" s="50" t="s">
        <v>26</v>
      </c>
      <c r="D2394" s="50" t="s">
        <v>27</v>
      </c>
      <c r="E2394" s="50">
        <v>50039065</v>
      </c>
      <c r="F2394" s="50" t="s">
        <v>186</v>
      </c>
      <c r="G2394" s="50">
        <v>1</v>
      </c>
      <c r="H2394" s="50" t="s">
        <v>2</v>
      </c>
      <c r="I2394" s="50" t="s">
        <v>292</v>
      </c>
      <c r="J2394" s="51">
        <v>46037</v>
      </c>
      <c r="K2394" s="50" t="s">
        <v>3</v>
      </c>
      <c r="L2394" s="50" t="s">
        <v>81</v>
      </c>
    </row>
    <row r="2395" spans="2:12">
      <c r="B2395" s="50" t="s">
        <v>418</v>
      </c>
      <c r="C2395" s="50" t="s">
        <v>26</v>
      </c>
      <c r="D2395" s="50" t="s">
        <v>27</v>
      </c>
      <c r="E2395" s="50">
        <v>50010031</v>
      </c>
      <c r="F2395" s="50" t="s">
        <v>89</v>
      </c>
      <c r="G2395" s="50">
        <v>1</v>
      </c>
      <c r="H2395" s="50" t="s">
        <v>2</v>
      </c>
      <c r="I2395" s="50" t="s">
        <v>292</v>
      </c>
      <c r="J2395" s="51">
        <v>46037</v>
      </c>
      <c r="K2395" s="50" t="s">
        <v>1</v>
      </c>
      <c r="L2395" s="50" t="s">
        <v>80</v>
      </c>
    </row>
    <row r="2396" spans="2:12">
      <c r="B2396" s="50" t="s">
        <v>316</v>
      </c>
      <c r="C2396" s="50" t="s">
        <v>51</v>
      </c>
      <c r="D2396" s="50" t="s">
        <v>27</v>
      </c>
      <c r="E2396" s="50">
        <v>50043471</v>
      </c>
      <c r="F2396" s="50" t="s">
        <v>257</v>
      </c>
      <c r="G2396" s="50">
        <v>1</v>
      </c>
      <c r="H2396" s="50" t="s">
        <v>2</v>
      </c>
      <c r="I2396" s="50" t="s">
        <v>290</v>
      </c>
      <c r="J2396" s="51">
        <v>46037</v>
      </c>
      <c r="K2396" s="50" t="s">
        <v>1</v>
      </c>
      <c r="L2396" s="50" t="s">
        <v>81</v>
      </c>
    </row>
    <row r="2397" spans="2:12">
      <c r="B2397" s="50" t="s">
        <v>428</v>
      </c>
      <c r="C2397" s="50" t="s">
        <v>26</v>
      </c>
      <c r="D2397" s="50" t="s">
        <v>27</v>
      </c>
      <c r="E2397" s="50">
        <v>50037952</v>
      </c>
      <c r="F2397" s="50" t="s">
        <v>245</v>
      </c>
      <c r="G2397" s="50">
        <v>1</v>
      </c>
      <c r="H2397" s="50" t="s">
        <v>2</v>
      </c>
      <c r="I2397" s="50" t="s">
        <v>291</v>
      </c>
      <c r="J2397" s="51">
        <v>46037</v>
      </c>
      <c r="K2397" s="50" t="s">
        <v>3</v>
      </c>
      <c r="L2397" s="50" t="s">
        <v>80</v>
      </c>
    </row>
    <row r="2398" spans="2:12">
      <c r="B2398" s="50" t="s">
        <v>316</v>
      </c>
      <c r="C2398" s="50" t="s">
        <v>51</v>
      </c>
      <c r="D2398" s="50" t="s">
        <v>27</v>
      </c>
      <c r="E2398" s="50">
        <v>50043471</v>
      </c>
      <c r="F2398" s="50" t="s">
        <v>257</v>
      </c>
      <c r="G2398" s="50">
        <v>1</v>
      </c>
      <c r="H2398" s="50" t="s">
        <v>2</v>
      </c>
      <c r="I2398" s="50" t="s">
        <v>291</v>
      </c>
      <c r="J2398" s="51">
        <v>46037</v>
      </c>
      <c r="K2398" s="50" t="s">
        <v>1</v>
      </c>
      <c r="L2398" s="50" t="s">
        <v>80</v>
      </c>
    </row>
    <row r="2399" spans="2:12">
      <c r="B2399" s="50" t="s">
        <v>465</v>
      </c>
      <c r="C2399" s="50" t="s">
        <v>26</v>
      </c>
      <c r="D2399" s="50" t="s">
        <v>27</v>
      </c>
      <c r="E2399" s="50">
        <v>50043471</v>
      </c>
      <c r="F2399" s="50" t="s">
        <v>257</v>
      </c>
      <c r="G2399" s="50">
        <v>1</v>
      </c>
      <c r="H2399" s="50" t="s">
        <v>2</v>
      </c>
      <c r="I2399" s="50" t="s">
        <v>291</v>
      </c>
      <c r="J2399" s="51">
        <v>46037</v>
      </c>
      <c r="K2399" s="50" t="s">
        <v>1</v>
      </c>
      <c r="L2399" s="50" t="s">
        <v>80</v>
      </c>
    </row>
    <row r="2400" spans="2:12">
      <c r="B2400" s="50" t="s">
        <v>481</v>
      </c>
      <c r="C2400" s="50" t="s">
        <v>56</v>
      </c>
      <c r="D2400" s="50" t="s">
        <v>27</v>
      </c>
      <c r="E2400" s="50">
        <v>50037892</v>
      </c>
      <c r="F2400" s="50" t="s">
        <v>178</v>
      </c>
      <c r="G2400" s="50">
        <v>1</v>
      </c>
      <c r="H2400" s="50" t="s">
        <v>2</v>
      </c>
      <c r="I2400" s="50" t="s">
        <v>291</v>
      </c>
      <c r="J2400" s="51">
        <v>46037</v>
      </c>
      <c r="K2400" s="50" t="s">
        <v>3</v>
      </c>
      <c r="L2400" s="50" t="s">
        <v>80</v>
      </c>
    </row>
    <row r="2401" spans="2:12">
      <c r="B2401" s="50" t="s">
        <v>428</v>
      </c>
      <c r="C2401" s="50" t="s">
        <v>26</v>
      </c>
      <c r="D2401" s="50" t="s">
        <v>27</v>
      </c>
      <c r="E2401" s="50">
        <v>50037952</v>
      </c>
      <c r="F2401" s="50" t="s">
        <v>245</v>
      </c>
      <c r="G2401" s="50">
        <v>1</v>
      </c>
      <c r="H2401" s="50" t="s">
        <v>2</v>
      </c>
      <c r="I2401" s="50" t="s">
        <v>291</v>
      </c>
      <c r="J2401" s="51">
        <v>46037</v>
      </c>
      <c r="K2401" s="50" t="s">
        <v>1</v>
      </c>
      <c r="L2401" s="50" t="s">
        <v>80</v>
      </c>
    </row>
    <row r="2402" spans="2:12">
      <c r="B2402" s="50" t="s">
        <v>316</v>
      </c>
      <c r="C2402" s="50" t="s">
        <v>51</v>
      </c>
      <c r="D2402" s="50" t="s">
        <v>27</v>
      </c>
      <c r="E2402" s="50">
        <v>50010031</v>
      </c>
      <c r="F2402" s="50" t="s">
        <v>89</v>
      </c>
      <c r="G2402" s="50">
        <v>1</v>
      </c>
      <c r="H2402" s="50" t="s">
        <v>2</v>
      </c>
      <c r="I2402" s="50" t="s">
        <v>291</v>
      </c>
      <c r="J2402" s="51">
        <v>46037</v>
      </c>
      <c r="K2402" s="50" t="s">
        <v>3</v>
      </c>
      <c r="L2402" s="50" t="s">
        <v>80</v>
      </c>
    </row>
    <row r="2403" spans="2:12">
      <c r="B2403" s="50" t="s">
        <v>316</v>
      </c>
      <c r="C2403" s="50" t="s">
        <v>51</v>
      </c>
      <c r="D2403" s="50" t="s">
        <v>27</v>
      </c>
      <c r="E2403" s="50">
        <v>50010031</v>
      </c>
      <c r="F2403" s="50" t="s">
        <v>89</v>
      </c>
      <c r="G2403" s="50">
        <v>1</v>
      </c>
      <c r="H2403" s="50" t="s">
        <v>2</v>
      </c>
      <c r="I2403" s="50" t="s">
        <v>291</v>
      </c>
      <c r="J2403" s="51">
        <v>46037</v>
      </c>
      <c r="K2403" s="50" t="s">
        <v>1</v>
      </c>
      <c r="L2403" s="50" t="s">
        <v>80</v>
      </c>
    </row>
    <row r="2404" spans="2:12">
      <c r="B2404" s="50" t="s">
        <v>418</v>
      </c>
      <c r="C2404" s="50" t="s">
        <v>26</v>
      </c>
      <c r="D2404" s="50" t="s">
        <v>27</v>
      </c>
      <c r="E2404" s="50">
        <v>50010031</v>
      </c>
      <c r="F2404" s="50" t="s">
        <v>89</v>
      </c>
      <c r="G2404" s="50">
        <v>1</v>
      </c>
      <c r="H2404" s="50" t="s">
        <v>2</v>
      </c>
      <c r="I2404" s="50" t="s">
        <v>291</v>
      </c>
      <c r="J2404" s="51">
        <v>46037</v>
      </c>
      <c r="K2404" s="50" t="s">
        <v>3</v>
      </c>
      <c r="L2404" s="50" t="s">
        <v>80</v>
      </c>
    </row>
    <row r="2405" spans="2:12">
      <c r="B2405" s="50" t="s">
        <v>418</v>
      </c>
      <c r="C2405" s="50" t="s">
        <v>26</v>
      </c>
      <c r="D2405" s="50" t="s">
        <v>27</v>
      </c>
      <c r="E2405" s="50">
        <v>50010031</v>
      </c>
      <c r="F2405" s="50" t="s">
        <v>89</v>
      </c>
      <c r="G2405" s="50">
        <v>1</v>
      </c>
      <c r="H2405" s="50" t="s">
        <v>2</v>
      </c>
      <c r="I2405" s="50" t="s">
        <v>291</v>
      </c>
      <c r="J2405" s="51">
        <v>46037</v>
      </c>
      <c r="K2405" s="50" t="s">
        <v>1</v>
      </c>
      <c r="L2405" s="50" t="s">
        <v>80</v>
      </c>
    </row>
    <row r="2406" spans="2:12">
      <c r="B2406" s="50" t="s">
        <v>447</v>
      </c>
      <c r="C2406" s="50" t="s">
        <v>56</v>
      </c>
      <c r="D2406" s="50" t="s">
        <v>41</v>
      </c>
      <c r="E2406" s="50">
        <v>50036298</v>
      </c>
      <c r="F2406" s="50" t="s">
        <v>102</v>
      </c>
      <c r="G2406" s="50">
        <v>1</v>
      </c>
      <c r="H2406" s="50" t="s">
        <v>2</v>
      </c>
      <c r="I2406" s="50" t="s">
        <v>291</v>
      </c>
      <c r="J2406" s="51">
        <v>46037</v>
      </c>
      <c r="K2406" s="50" t="s">
        <v>3</v>
      </c>
      <c r="L2406" s="50" t="s">
        <v>80</v>
      </c>
    </row>
    <row r="2407" spans="2:12">
      <c r="B2407" s="50" t="s">
        <v>481</v>
      </c>
      <c r="C2407" s="50" t="s">
        <v>56</v>
      </c>
      <c r="D2407" s="50" t="s">
        <v>27</v>
      </c>
      <c r="E2407" s="50">
        <v>50037892</v>
      </c>
      <c r="F2407" s="50" t="s">
        <v>178</v>
      </c>
      <c r="G2407" s="50">
        <v>1</v>
      </c>
      <c r="H2407" s="50" t="s">
        <v>2</v>
      </c>
      <c r="I2407" s="50" t="s">
        <v>291</v>
      </c>
      <c r="J2407" s="51">
        <v>46037</v>
      </c>
      <c r="K2407" s="50" t="s">
        <v>3</v>
      </c>
      <c r="L2407" s="50" t="s">
        <v>80</v>
      </c>
    </row>
    <row r="2408" spans="2:12">
      <c r="B2408" s="50" t="s">
        <v>427</v>
      </c>
      <c r="C2408" s="50" t="s">
        <v>26</v>
      </c>
      <c r="D2408" s="50" t="s">
        <v>27</v>
      </c>
      <c r="E2408" s="50">
        <v>50038549</v>
      </c>
      <c r="F2408" s="50" t="s">
        <v>173</v>
      </c>
      <c r="G2408" s="50">
        <v>1</v>
      </c>
      <c r="H2408" s="50" t="s">
        <v>2</v>
      </c>
      <c r="I2408" s="50" t="s">
        <v>291</v>
      </c>
      <c r="J2408" s="51">
        <v>46037</v>
      </c>
      <c r="K2408" s="50" t="s">
        <v>3</v>
      </c>
      <c r="L2408" s="50" t="s">
        <v>80</v>
      </c>
    </row>
    <row r="2409" spans="2:12">
      <c r="B2409" s="50" t="s">
        <v>483</v>
      </c>
      <c r="C2409" s="50" t="s">
        <v>62</v>
      </c>
      <c r="D2409" s="50" t="s">
        <v>27</v>
      </c>
      <c r="E2409" s="50">
        <v>50038517</v>
      </c>
      <c r="F2409" s="50" t="s">
        <v>181</v>
      </c>
      <c r="G2409" s="50">
        <v>1</v>
      </c>
      <c r="H2409" s="50" t="s">
        <v>2</v>
      </c>
      <c r="I2409" s="50" t="s">
        <v>291</v>
      </c>
      <c r="J2409" s="51">
        <v>46037</v>
      </c>
      <c r="K2409" s="50" t="s">
        <v>3</v>
      </c>
      <c r="L2409" s="50" t="s">
        <v>80</v>
      </c>
    </row>
    <row r="2410" spans="2:12">
      <c r="B2410" s="50" t="s">
        <v>386</v>
      </c>
      <c r="C2410" s="50" t="s">
        <v>62</v>
      </c>
      <c r="D2410" s="50" t="s">
        <v>27</v>
      </c>
      <c r="E2410" s="50">
        <v>50041195</v>
      </c>
      <c r="F2410" s="50" t="s">
        <v>206</v>
      </c>
      <c r="G2410" s="50">
        <v>1</v>
      </c>
      <c r="H2410" s="50" t="s">
        <v>2</v>
      </c>
      <c r="I2410" s="50" t="s">
        <v>291</v>
      </c>
      <c r="J2410" s="51">
        <v>46037</v>
      </c>
      <c r="K2410" s="50" t="s">
        <v>1</v>
      </c>
      <c r="L2410" s="50" t="s">
        <v>80</v>
      </c>
    </row>
    <row r="2411" spans="2:12">
      <c r="B2411" s="50" t="s">
        <v>444</v>
      </c>
      <c r="C2411" s="50" t="s">
        <v>51</v>
      </c>
      <c r="D2411" s="50" t="s">
        <v>27</v>
      </c>
      <c r="E2411" s="50">
        <v>50010031</v>
      </c>
      <c r="F2411" s="50" t="s">
        <v>89</v>
      </c>
      <c r="G2411" s="50">
        <v>1</v>
      </c>
      <c r="H2411" s="50" t="s">
        <v>2</v>
      </c>
      <c r="I2411" s="50" t="s">
        <v>291</v>
      </c>
      <c r="J2411" s="51">
        <v>46037</v>
      </c>
      <c r="K2411" s="50" t="s">
        <v>3</v>
      </c>
      <c r="L2411" s="50" t="s">
        <v>80</v>
      </c>
    </row>
    <row r="2412" spans="2:12">
      <c r="B2412" s="50" t="s">
        <v>465</v>
      </c>
      <c r="C2412" s="50" t="s">
        <v>26</v>
      </c>
      <c r="D2412" s="50" t="s">
        <v>27</v>
      </c>
      <c r="E2412" s="50">
        <v>50043471</v>
      </c>
      <c r="F2412" s="50" t="s">
        <v>257</v>
      </c>
      <c r="G2412" s="50"/>
      <c r="H2412" s="50" t="s">
        <v>2</v>
      </c>
      <c r="I2412" s="50" t="s">
        <v>290</v>
      </c>
      <c r="J2412" s="51">
        <v>46037</v>
      </c>
      <c r="K2412" s="50" t="s">
        <v>1</v>
      </c>
      <c r="L2412" s="50" t="s">
        <v>80</v>
      </c>
    </row>
    <row r="2413" spans="2:12">
      <c r="B2413" s="50" t="s">
        <v>469</v>
      </c>
      <c r="C2413" s="50" t="s">
        <v>26</v>
      </c>
      <c r="D2413" s="50" t="s">
        <v>39</v>
      </c>
      <c r="E2413" s="50">
        <v>50038549</v>
      </c>
      <c r="F2413" s="50" t="s">
        <v>173</v>
      </c>
      <c r="G2413" s="50">
        <v>1</v>
      </c>
      <c r="H2413" s="50" t="s">
        <v>2</v>
      </c>
      <c r="I2413" s="50" t="s">
        <v>291</v>
      </c>
      <c r="J2413" s="51">
        <v>46036</v>
      </c>
      <c r="K2413" s="50" t="s">
        <v>3</v>
      </c>
      <c r="L2413" s="50" t="s">
        <v>80</v>
      </c>
    </row>
    <row r="2414" spans="2:12">
      <c r="B2414" s="50" t="s">
        <v>469</v>
      </c>
      <c r="C2414" s="50" t="s">
        <v>26</v>
      </c>
      <c r="D2414" s="50" t="s">
        <v>39</v>
      </c>
      <c r="E2414" s="50">
        <v>50038549</v>
      </c>
      <c r="F2414" s="50" t="s">
        <v>173</v>
      </c>
      <c r="G2414" s="50">
        <v>1</v>
      </c>
      <c r="H2414" s="50" t="s">
        <v>2</v>
      </c>
      <c r="I2414" s="50" t="s">
        <v>291</v>
      </c>
      <c r="J2414" s="51">
        <v>46036</v>
      </c>
      <c r="K2414" s="50" t="s">
        <v>1</v>
      </c>
      <c r="L2414" s="50" t="s">
        <v>80</v>
      </c>
    </row>
    <row r="2415" spans="2:12">
      <c r="B2415" s="50" t="s">
        <v>399</v>
      </c>
      <c r="C2415" s="50" t="s">
        <v>51</v>
      </c>
      <c r="D2415" s="50" t="s">
        <v>27</v>
      </c>
      <c r="E2415" s="50">
        <v>50037892</v>
      </c>
      <c r="F2415" s="50" t="s">
        <v>178</v>
      </c>
      <c r="G2415" s="50">
        <v>1</v>
      </c>
      <c r="H2415" s="50" t="s">
        <v>2</v>
      </c>
      <c r="I2415" s="50" t="s">
        <v>293</v>
      </c>
      <c r="J2415" s="51">
        <v>46036</v>
      </c>
      <c r="K2415" s="50" t="s">
        <v>3</v>
      </c>
      <c r="L2415" s="50" t="s">
        <v>80</v>
      </c>
    </row>
    <row r="2416" spans="2:12">
      <c r="B2416" s="50" t="s">
        <v>399</v>
      </c>
      <c r="C2416" s="50" t="s">
        <v>51</v>
      </c>
      <c r="D2416" s="50" t="s">
        <v>27</v>
      </c>
      <c r="E2416" s="50">
        <v>50037892</v>
      </c>
      <c r="F2416" s="50" t="s">
        <v>178</v>
      </c>
      <c r="G2416" s="50">
        <v>1</v>
      </c>
      <c r="H2416" s="50" t="s">
        <v>2</v>
      </c>
      <c r="I2416" s="50" t="s">
        <v>293</v>
      </c>
      <c r="J2416" s="51">
        <v>46036</v>
      </c>
      <c r="K2416" s="50" t="s">
        <v>1</v>
      </c>
      <c r="L2416" s="50" t="s">
        <v>80</v>
      </c>
    </row>
    <row r="2417" spans="2:12">
      <c r="B2417" s="50" t="s">
        <v>345</v>
      </c>
      <c r="C2417" s="50" t="s">
        <v>62</v>
      </c>
      <c r="D2417" s="50" t="s">
        <v>27</v>
      </c>
      <c r="E2417" s="50">
        <v>50020624</v>
      </c>
      <c r="F2417" s="50" t="s">
        <v>217</v>
      </c>
      <c r="G2417" s="50">
        <v>1</v>
      </c>
      <c r="H2417" s="50" t="s">
        <v>2</v>
      </c>
      <c r="I2417" s="50" t="s">
        <v>293</v>
      </c>
      <c r="J2417" s="51">
        <v>46036</v>
      </c>
      <c r="K2417" s="50" t="s">
        <v>1</v>
      </c>
      <c r="L2417" s="50" t="s">
        <v>80</v>
      </c>
    </row>
    <row r="2418" spans="2:12">
      <c r="B2418" s="50" t="s">
        <v>345</v>
      </c>
      <c r="C2418" s="50" t="s">
        <v>62</v>
      </c>
      <c r="D2418" s="50" t="s">
        <v>27</v>
      </c>
      <c r="E2418" s="50">
        <v>50037892</v>
      </c>
      <c r="F2418" s="50" t="s">
        <v>178</v>
      </c>
      <c r="G2418" s="50">
        <v>1</v>
      </c>
      <c r="H2418" s="50" t="s">
        <v>2</v>
      </c>
      <c r="I2418" s="50" t="s">
        <v>293</v>
      </c>
      <c r="J2418" s="51">
        <v>46036</v>
      </c>
      <c r="K2418" s="50" t="s">
        <v>1</v>
      </c>
      <c r="L2418" s="50" t="s">
        <v>80</v>
      </c>
    </row>
    <row r="2419" spans="2:12">
      <c r="B2419" s="50" t="s">
        <v>345</v>
      </c>
      <c r="C2419" s="50" t="s">
        <v>62</v>
      </c>
      <c r="D2419" s="50" t="s">
        <v>27</v>
      </c>
      <c r="E2419" s="50">
        <v>50030486</v>
      </c>
      <c r="F2419" s="50" t="s">
        <v>153</v>
      </c>
      <c r="G2419" s="50">
        <v>1</v>
      </c>
      <c r="H2419" s="50" t="s">
        <v>2</v>
      </c>
      <c r="I2419" s="50" t="s">
        <v>293</v>
      </c>
      <c r="J2419" s="51">
        <v>46036</v>
      </c>
      <c r="K2419" s="50" t="s">
        <v>1</v>
      </c>
      <c r="L2419" s="50" t="s">
        <v>80</v>
      </c>
    </row>
    <row r="2420" spans="2:12">
      <c r="B2420" s="50" t="s">
        <v>423</v>
      </c>
      <c r="C2420" s="50" t="s">
        <v>62</v>
      </c>
      <c r="D2420" s="50" t="s">
        <v>27</v>
      </c>
      <c r="E2420" s="50">
        <v>50041195</v>
      </c>
      <c r="F2420" s="50" t="s">
        <v>206</v>
      </c>
      <c r="G2420" s="50">
        <v>1</v>
      </c>
      <c r="H2420" s="50" t="s">
        <v>2</v>
      </c>
      <c r="I2420" s="50" t="s">
        <v>293</v>
      </c>
      <c r="J2420" s="51">
        <v>46036</v>
      </c>
      <c r="K2420" s="50" t="s">
        <v>1</v>
      </c>
      <c r="L2420" s="50" t="s">
        <v>80</v>
      </c>
    </row>
    <row r="2421" spans="2:12">
      <c r="B2421" s="50" t="s">
        <v>478</v>
      </c>
      <c r="C2421" s="50" t="s">
        <v>51</v>
      </c>
      <c r="D2421" s="50" t="s">
        <v>27</v>
      </c>
      <c r="E2421" s="50">
        <v>50010031</v>
      </c>
      <c r="F2421" s="50" t="s">
        <v>89</v>
      </c>
      <c r="G2421" s="50">
        <v>1</v>
      </c>
      <c r="H2421" s="50" t="s">
        <v>2</v>
      </c>
      <c r="I2421" s="50" t="s">
        <v>293</v>
      </c>
      <c r="J2421" s="51">
        <v>46036</v>
      </c>
      <c r="K2421" s="50" t="s">
        <v>3</v>
      </c>
      <c r="L2421" s="50" t="s">
        <v>80</v>
      </c>
    </row>
    <row r="2422" spans="2:12">
      <c r="B2422" s="50" t="s">
        <v>471</v>
      </c>
      <c r="C2422" s="50" t="s">
        <v>26</v>
      </c>
      <c r="D2422" s="50" t="s">
        <v>39</v>
      </c>
      <c r="E2422" s="50">
        <v>50038517</v>
      </c>
      <c r="F2422" s="50" t="s">
        <v>181</v>
      </c>
      <c r="G2422" s="50">
        <v>1</v>
      </c>
      <c r="H2422" s="50" t="s">
        <v>2</v>
      </c>
      <c r="I2422" s="50" t="s">
        <v>293</v>
      </c>
      <c r="J2422" s="51">
        <v>46036</v>
      </c>
      <c r="K2422" s="50" t="s">
        <v>1</v>
      </c>
      <c r="L2422" s="50" t="s">
        <v>80</v>
      </c>
    </row>
    <row r="2423" spans="2:12">
      <c r="B2423" s="50" t="s">
        <v>394</v>
      </c>
      <c r="C2423" s="50" t="s">
        <v>51</v>
      </c>
      <c r="D2423" s="50" t="s">
        <v>27</v>
      </c>
      <c r="E2423" s="50">
        <v>50038517</v>
      </c>
      <c r="F2423" s="50" t="s">
        <v>181</v>
      </c>
      <c r="G2423" s="50">
        <v>1</v>
      </c>
      <c r="H2423" s="50" t="s">
        <v>2</v>
      </c>
      <c r="I2423" s="50" t="s">
        <v>293</v>
      </c>
      <c r="J2423" s="51">
        <v>46036</v>
      </c>
      <c r="K2423" s="50" t="s">
        <v>3</v>
      </c>
      <c r="L2423" s="50" t="s">
        <v>80</v>
      </c>
    </row>
    <row r="2424" spans="2:12">
      <c r="B2424" s="50" t="s">
        <v>394</v>
      </c>
      <c r="C2424" s="50" t="s">
        <v>51</v>
      </c>
      <c r="D2424" s="50" t="s">
        <v>27</v>
      </c>
      <c r="E2424" s="50">
        <v>50038517</v>
      </c>
      <c r="F2424" s="50" t="s">
        <v>181</v>
      </c>
      <c r="G2424" s="50">
        <v>1</v>
      </c>
      <c r="H2424" s="50" t="s">
        <v>2</v>
      </c>
      <c r="I2424" s="50" t="s">
        <v>293</v>
      </c>
      <c r="J2424" s="51">
        <v>46036</v>
      </c>
      <c r="K2424" s="50" t="s">
        <v>1</v>
      </c>
      <c r="L2424" s="50" t="s">
        <v>80</v>
      </c>
    </row>
    <row r="2425" spans="2:12">
      <c r="B2425" s="50" t="s">
        <v>478</v>
      </c>
      <c r="C2425" s="50" t="s">
        <v>51</v>
      </c>
      <c r="D2425" s="50" t="s">
        <v>27</v>
      </c>
      <c r="E2425" s="50">
        <v>50039065</v>
      </c>
      <c r="F2425" s="50" t="s">
        <v>186</v>
      </c>
      <c r="G2425" s="50">
        <v>1</v>
      </c>
      <c r="H2425" s="50" t="s">
        <v>2</v>
      </c>
      <c r="I2425" s="50" t="s">
        <v>293</v>
      </c>
      <c r="J2425" s="51">
        <v>46036</v>
      </c>
      <c r="K2425" s="50" t="s">
        <v>1</v>
      </c>
      <c r="L2425" s="50" t="s">
        <v>80</v>
      </c>
    </row>
    <row r="2426" spans="2:12">
      <c r="B2426" s="50" t="s">
        <v>394</v>
      </c>
      <c r="C2426" s="50" t="s">
        <v>51</v>
      </c>
      <c r="D2426" s="50" t="s">
        <v>27</v>
      </c>
      <c r="E2426" s="50">
        <v>50022878</v>
      </c>
      <c r="F2426" s="50" t="s">
        <v>296</v>
      </c>
      <c r="G2426" s="50">
        <v>1</v>
      </c>
      <c r="H2426" s="50" t="s">
        <v>2</v>
      </c>
      <c r="I2426" s="50" t="s">
        <v>293</v>
      </c>
      <c r="J2426" s="51">
        <v>46036</v>
      </c>
      <c r="K2426" s="50" t="s">
        <v>1</v>
      </c>
      <c r="L2426" s="50" t="s">
        <v>80</v>
      </c>
    </row>
    <row r="2427" spans="2:12">
      <c r="B2427" s="50" t="s">
        <v>422</v>
      </c>
      <c r="C2427" s="50" t="s">
        <v>26</v>
      </c>
      <c r="D2427" s="50" t="s">
        <v>27</v>
      </c>
      <c r="E2427" s="50">
        <v>50042283</v>
      </c>
      <c r="F2427" s="50" t="s">
        <v>247</v>
      </c>
      <c r="G2427" s="50">
        <v>1</v>
      </c>
      <c r="H2427" s="50" t="s">
        <v>2</v>
      </c>
      <c r="I2427" s="50" t="s">
        <v>293</v>
      </c>
      <c r="J2427" s="51">
        <v>46036</v>
      </c>
      <c r="K2427" s="50" t="s">
        <v>3</v>
      </c>
      <c r="L2427" s="50" t="s">
        <v>80</v>
      </c>
    </row>
    <row r="2428" spans="2:12">
      <c r="B2428" s="50" t="s">
        <v>478</v>
      </c>
      <c r="C2428" s="50" t="s">
        <v>51</v>
      </c>
      <c r="D2428" s="50" t="s">
        <v>27</v>
      </c>
      <c r="E2428" s="50">
        <v>50039065</v>
      </c>
      <c r="F2428" s="50" t="s">
        <v>186</v>
      </c>
      <c r="G2428" s="50">
        <v>1</v>
      </c>
      <c r="H2428" s="50" t="s">
        <v>2</v>
      </c>
      <c r="I2428" s="50" t="s">
        <v>293</v>
      </c>
      <c r="J2428" s="51">
        <v>46036</v>
      </c>
      <c r="K2428" s="50" t="s">
        <v>1</v>
      </c>
      <c r="L2428" s="50" t="s">
        <v>80</v>
      </c>
    </row>
    <row r="2429" spans="2:12">
      <c r="B2429" s="50" t="s">
        <v>474</v>
      </c>
      <c r="C2429" s="50" t="s">
        <v>51</v>
      </c>
      <c r="D2429" s="50" t="s">
        <v>27</v>
      </c>
      <c r="E2429" s="50">
        <v>50039065</v>
      </c>
      <c r="F2429" s="50" t="s">
        <v>186</v>
      </c>
      <c r="G2429" s="50">
        <v>1</v>
      </c>
      <c r="H2429" s="50" t="s">
        <v>2</v>
      </c>
      <c r="I2429" s="50" t="s">
        <v>293</v>
      </c>
      <c r="J2429" s="51">
        <v>46036</v>
      </c>
      <c r="K2429" s="50" t="s">
        <v>3</v>
      </c>
      <c r="L2429" s="50" t="s">
        <v>80</v>
      </c>
    </row>
    <row r="2430" spans="2:12">
      <c r="B2430" s="50" t="s">
        <v>345</v>
      </c>
      <c r="C2430" s="50" t="s">
        <v>62</v>
      </c>
      <c r="D2430" s="50" t="s">
        <v>27</v>
      </c>
      <c r="E2430" s="50">
        <v>50037892</v>
      </c>
      <c r="F2430" s="50" t="s">
        <v>178</v>
      </c>
      <c r="G2430" s="50">
        <v>1</v>
      </c>
      <c r="H2430" s="50" t="s">
        <v>2</v>
      </c>
      <c r="I2430" s="50" t="s">
        <v>293</v>
      </c>
      <c r="J2430" s="51">
        <v>46036</v>
      </c>
      <c r="K2430" s="50" t="s">
        <v>3</v>
      </c>
      <c r="L2430" s="50" t="s">
        <v>80</v>
      </c>
    </row>
    <row r="2431" spans="2:12">
      <c r="B2431" s="50" t="s">
        <v>474</v>
      </c>
      <c r="C2431" s="50" t="s">
        <v>51</v>
      </c>
      <c r="D2431" s="50" t="s">
        <v>27</v>
      </c>
      <c r="E2431" s="50">
        <v>50039065</v>
      </c>
      <c r="F2431" s="50" t="s">
        <v>186</v>
      </c>
      <c r="G2431" s="50">
        <v>1</v>
      </c>
      <c r="H2431" s="50" t="s">
        <v>2</v>
      </c>
      <c r="I2431" s="50" t="s">
        <v>290</v>
      </c>
      <c r="J2431" s="51">
        <v>46036</v>
      </c>
      <c r="K2431" s="50" t="s">
        <v>3</v>
      </c>
      <c r="L2431" s="50" t="s">
        <v>80</v>
      </c>
    </row>
    <row r="2432" spans="2:12">
      <c r="B2432" s="50" t="s">
        <v>481</v>
      </c>
      <c r="C2432" s="50" t="s">
        <v>56</v>
      </c>
      <c r="D2432" s="50" t="s">
        <v>27</v>
      </c>
      <c r="E2432" s="50">
        <v>50036298</v>
      </c>
      <c r="F2432" s="50" t="s">
        <v>102</v>
      </c>
      <c r="G2432" s="50">
        <v>1</v>
      </c>
      <c r="H2432" s="50" t="s">
        <v>2</v>
      </c>
      <c r="I2432" s="50" t="s">
        <v>290</v>
      </c>
      <c r="J2432" s="51">
        <v>46036</v>
      </c>
      <c r="K2432" s="50" t="s">
        <v>3</v>
      </c>
      <c r="L2432" s="50" t="s">
        <v>80</v>
      </c>
    </row>
    <row r="2433" spans="2:12">
      <c r="B2433" s="50" t="s">
        <v>345</v>
      </c>
      <c r="C2433" s="50" t="s">
        <v>62</v>
      </c>
      <c r="D2433" s="50" t="s">
        <v>27</v>
      </c>
      <c r="E2433" s="50">
        <v>50030486</v>
      </c>
      <c r="F2433" s="50" t="s">
        <v>153</v>
      </c>
      <c r="G2433" s="50">
        <v>1</v>
      </c>
      <c r="H2433" s="50" t="s">
        <v>2</v>
      </c>
      <c r="I2433" s="50" t="s">
        <v>290</v>
      </c>
      <c r="J2433" s="51">
        <v>46036</v>
      </c>
      <c r="K2433" s="50" t="s">
        <v>1</v>
      </c>
      <c r="L2433" s="50" t="s">
        <v>80</v>
      </c>
    </row>
    <row r="2434" spans="2:12">
      <c r="B2434" s="50" t="s">
        <v>447</v>
      </c>
      <c r="C2434" s="50" t="s">
        <v>56</v>
      </c>
      <c r="D2434" s="50" t="s">
        <v>41</v>
      </c>
      <c r="E2434" s="50">
        <v>50036298</v>
      </c>
      <c r="F2434" s="50" t="s">
        <v>102</v>
      </c>
      <c r="G2434" s="50">
        <v>1</v>
      </c>
      <c r="H2434" s="50" t="s">
        <v>2</v>
      </c>
      <c r="I2434" s="50" t="s">
        <v>291</v>
      </c>
      <c r="J2434" s="51">
        <v>46036</v>
      </c>
      <c r="K2434" s="50" t="s">
        <v>1</v>
      </c>
      <c r="L2434" s="50" t="s">
        <v>80</v>
      </c>
    </row>
    <row r="2435" spans="2:12">
      <c r="B2435" s="50" t="s">
        <v>444</v>
      </c>
      <c r="C2435" s="50" t="s">
        <v>51</v>
      </c>
      <c r="D2435" s="50" t="s">
        <v>27</v>
      </c>
      <c r="E2435" s="50">
        <v>50003297</v>
      </c>
      <c r="F2435" s="50" t="s">
        <v>158</v>
      </c>
      <c r="G2435" s="50">
        <v>1</v>
      </c>
      <c r="H2435" s="50" t="s">
        <v>2</v>
      </c>
      <c r="I2435" s="50" t="s">
        <v>291</v>
      </c>
      <c r="J2435" s="51">
        <v>46036</v>
      </c>
      <c r="K2435" s="50" t="s">
        <v>1</v>
      </c>
      <c r="L2435" s="50" t="s">
        <v>80</v>
      </c>
    </row>
    <row r="2436" spans="2:12">
      <c r="B2436" s="50" t="s">
        <v>444</v>
      </c>
      <c r="C2436" s="50" t="s">
        <v>51</v>
      </c>
      <c r="D2436" s="50" t="s">
        <v>27</v>
      </c>
      <c r="E2436" s="50">
        <v>50037892</v>
      </c>
      <c r="F2436" s="50" t="s">
        <v>178</v>
      </c>
      <c r="G2436" s="50">
        <v>1</v>
      </c>
      <c r="H2436" s="50" t="s">
        <v>2</v>
      </c>
      <c r="I2436" s="50" t="s">
        <v>291</v>
      </c>
      <c r="J2436" s="51">
        <v>46036</v>
      </c>
      <c r="K2436" s="50" t="s">
        <v>1</v>
      </c>
      <c r="L2436" s="50" t="s">
        <v>80</v>
      </c>
    </row>
    <row r="2437" spans="2:12">
      <c r="B2437" s="50" t="s">
        <v>483</v>
      </c>
      <c r="C2437" s="50" t="s">
        <v>62</v>
      </c>
      <c r="D2437" s="50" t="s">
        <v>27</v>
      </c>
      <c r="E2437" s="50">
        <v>50038517</v>
      </c>
      <c r="F2437" s="50" t="s">
        <v>181</v>
      </c>
      <c r="G2437" s="50">
        <v>1</v>
      </c>
      <c r="H2437" s="50" t="s">
        <v>2</v>
      </c>
      <c r="I2437" s="50" t="s">
        <v>291</v>
      </c>
      <c r="J2437" s="51">
        <v>46036</v>
      </c>
      <c r="K2437" s="50" t="s">
        <v>1</v>
      </c>
      <c r="L2437" s="50" t="s">
        <v>80</v>
      </c>
    </row>
    <row r="2438" spans="2:12">
      <c r="B2438" s="50" t="s">
        <v>428</v>
      </c>
      <c r="C2438" s="50" t="s">
        <v>26</v>
      </c>
      <c r="D2438" s="50" t="s">
        <v>27</v>
      </c>
      <c r="E2438" s="50">
        <v>50030486</v>
      </c>
      <c r="F2438" s="50" t="s">
        <v>153</v>
      </c>
      <c r="G2438" s="50">
        <v>1</v>
      </c>
      <c r="H2438" s="50" t="s">
        <v>2</v>
      </c>
      <c r="I2438" s="50" t="s">
        <v>291</v>
      </c>
      <c r="J2438" s="51">
        <v>46036</v>
      </c>
      <c r="K2438" s="50" t="s">
        <v>1</v>
      </c>
      <c r="L2438" s="50" t="s">
        <v>80</v>
      </c>
    </row>
    <row r="2439" spans="2:12">
      <c r="B2439" s="50" t="s">
        <v>355</v>
      </c>
      <c r="C2439" s="50" t="s">
        <v>56</v>
      </c>
      <c r="D2439" s="50" t="s">
        <v>41</v>
      </c>
      <c r="E2439" s="50">
        <v>50043320</v>
      </c>
      <c r="F2439" s="50" t="s">
        <v>264</v>
      </c>
      <c r="G2439" s="50">
        <v>1</v>
      </c>
      <c r="H2439" s="50" t="s">
        <v>2</v>
      </c>
      <c r="I2439" s="50" t="s">
        <v>291</v>
      </c>
      <c r="J2439" s="51">
        <v>46036</v>
      </c>
      <c r="K2439" s="50" t="s">
        <v>3</v>
      </c>
      <c r="L2439" s="50" t="s">
        <v>80</v>
      </c>
    </row>
    <row r="2440" spans="2:12">
      <c r="B2440" s="50" t="s">
        <v>355</v>
      </c>
      <c r="C2440" s="50" t="s">
        <v>56</v>
      </c>
      <c r="D2440" s="50" t="s">
        <v>41</v>
      </c>
      <c r="E2440" s="50">
        <v>50043320</v>
      </c>
      <c r="F2440" s="50" t="s">
        <v>264</v>
      </c>
      <c r="G2440" s="50">
        <v>1</v>
      </c>
      <c r="H2440" s="50" t="s">
        <v>2</v>
      </c>
      <c r="I2440" s="50" t="s">
        <v>291</v>
      </c>
      <c r="J2440" s="51">
        <v>46036</v>
      </c>
      <c r="K2440" s="50" t="s">
        <v>3</v>
      </c>
      <c r="L2440" s="50" t="s">
        <v>80</v>
      </c>
    </row>
    <row r="2441" spans="2:12">
      <c r="B2441" s="50" t="s">
        <v>428</v>
      </c>
      <c r="C2441" s="50" t="s">
        <v>26</v>
      </c>
      <c r="D2441" s="50" t="s">
        <v>27</v>
      </c>
      <c r="E2441" s="50">
        <v>50030486</v>
      </c>
      <c r="F2441" s="50" t="s">
        <v>153</v>
      </c>
      <c r="G2441" s="50">
        <v>1</v>
      </c>
      <c r="H2441" s="50" t="s">
        <v>2</v>
      </c>
      <c r="I2441" s="50" t="s">
        <v>291</v>
      </c>
      <c r="J2441" s="51">
        <v>46036</v>
      </c>
      <c r="K2441" s="50" t="s">
        <v>1</v>
      </c>
      <c r="L2441" s="50" t="s">
        <v>80</v>
      </c>
    </row>
    <row r="2442" spans="2:12">
      <c r="B2442" s="50" t="s">
        <v>418</v>
      </c>
      <c r="C2442" s="50" t="s">
        <v>26</v>
      </c>
      <c r="D2442" s="50" t="s">
        <v>27</v>
      </c>
      <c r="E2442" s="50">
        <v>50030486</v>
      </c>
      <c r="F2442" s="50" t="s">
        <v>153</v>
      </c>
      <c r="G2442" s="50">
        <v>1</v>
      </c>
      <c r="H2442" s="50" t="s">
        <v>2</v>
      </c>
      <c r="I2442" s="50" t="s">
        <v>291</v>
      </c>
      <c r="J2442" s="51">
        <v>46036</v>
      </c>
      <c r="K2442" s="50" t="s">
        <v>3</v>
      </c>
      <c r="L2442" s="50" t="s">
        <v>80</v>
      </c>
    </row>
    <row r="2443" spans="2:12">
      <c r="B2443" s="50" t="s">
        <v>422</v>
      </c>
      <c r="C2443" s="50" t="s">
        <v>26</v>
      </c>
      <c r="D2443" s="50" t="s">
        <v>27</v>
      </c>
      <c r="E2443" s="50">
        <v>50042283</v>
      </c>
      <c r="F2443" s="50" t="s">
        <v>247</v>
      </c>
      <c r="G2443" s="50">
        <v>1</v>
      </c>
      <c r="H2443" s="50" t="s">
        <v>2</v>
      </c>
      <c r="I2443" s="50" t="s">
        <v>291</v>
      </c>
      <c r="J2443" s="51">
        <v>46036</v>
      </c>
      <c r="K2443" s="50" t="s">
        <v>3</v>
      </c>
      <c r="L2443" s="50" t="s">
        <v>80</v>
      </c>
    </row>
    <row r="2444" spans="2:12">
      <c r="B2444" s="50" t="s">
        <v>418</v>
      </c>
      <c r="C2444" s="50" t="s">
        <v>26</v>
      </c>
      <c r="D2444" s="50" t="s">
        <v>27</v>
      </c>
      <c r="E2444" s="50">
        <v>50030486</v>
      </c>
      <c r="F2444" s="50" t="s">
        <v>153</v>
      </c>
      <c r="G2444" s="50">
        <v>1</v>
      </c>
      <c r="H2444" s="50" t="s">
        <v>2</v>
      </c>
      <c r="I2444" s="50" t="s">
        <v>291</v>
      </c>
      <c r="J2444" s="51">
        <v>46036</v>
      </c>
      <c r="K2444" s="50" t="s">
        <v>3</v>
      </c>
      <c r="L2444" s="50" t="s">
        <v>80</v>
      </c>
    </row>
    <row r="2445" spans="2:12">
      <c r="B2445" s="50" t="s">
        <v>394</v>
      </c>
      <c r="C2445" s="50" t="s">
        <v>51</v>
      </c>
      <c r="D2445" s="50" t="s">
        <v>27</v>
      </c>
      <c r="E2445" s="50">
        <v>50022878</v>
      </c>
      <c r="F2445" s="50" t="s">
        <v>296</v>
      </c>
      <c r="G2445" s="50">
        <v>1</v>
      </c>
      <c r="H2445" s="50" t="s">
        <v>2</v>
      </c>
      <c r="I2445" s="50" t="s">
        <v>291</v>
      </c>
      <c r="J2445" s="51">
        <v>46036</v>
      </c>
      <c r="K2445" s="50" t="s">
        <v>3</v>
      </c>
      <c r="L2445" s="50" t="s">
        <v>80</v>
      </c>
    </row>
    <row r="2446" spans="2:12">
      <c r="B2446" s="50" t="s">
        <v>447</v>
      </c>
      <c r="C2446" s="50" t="s">
        <v>56</v>
      </c>
      <c r="D2446" s="50" t="s">
        <v>41</v>
      </c>
      <c r="E2446" s="50">
        <v>50036298</v>
      </c>
      <c r="F2446" s="50" t="s">
        <v>102</v>
      </c>
      <c r="G2446" s="50">
        <v>1</v>
      </c>
      <c r="H2446" s="50" t="s">
        <v>2</v>
      </c>
      <c r="I2446" s="50" t="s">
        <v>291</v>
      </c>
      <c r="J2446" s="51">
        <v>46036</v>
      </c>
      <c r="K2446" s="50" t="s">
        <v>3</v>
      </c>
      <c r="L2446" s="50" t="s">
        <v>80</v>
      </c>
    </row>
    <row r="2447" spans="2:12">
      <c r="B2447" s="50" t="s">
        <v>345</v>
      </c>
      <c r="C2447" s="50" t="s">
        <v>62</v>
      </c>
      <c r="D2447" s="50" t="s">
        <v>27</v>
      </c>
      <c r="E2447" s="50">
        <v>50020624</v>
      </c>
      <c r="F2447" s="50" t="s">
        <v>217</v>
      </c>
      <c r="G2447" s="50">
        <v>1</v>
      </c>
      <c r="H2447" s="50" t="s">
        <v>2</v>
      </c>
      <c r="I2447" s="50" t="s">
        <v>291</v>
      </c>
      <c r="J2447" s="51">
        <v>46036</v>
      </c>
      <c r="K2447" s="50" t="s">
        <v>3</v>
      </c>
      <c r="L2447" s="50" t="s">
        <v>80</v>
      </c>
    </row>
    <row r="2448" spans="2:12">
      <c r="B2448" s="50" t="s">
        <v>478</v>
      </c>
      <c r="C2448" s="50" t="s">
        <v>51</v>
      </c>
      <c r="D2448" s="50" t="s">
        <v>27</v>
      </c>
      <c r="E2448" s="50">
        <v>50010031</v>
      </c>
      <c r="F2448" s="50" t="s">
        <v>89</v>
      </c>
      <c r="G2448" s="50">
        <v>1</v>
      </c>
      <c r="H2448" s="50" t="s">
        <v>2</v>
      </c>
      <c r="I2448" s="50" t="s">
        <v>291</v>
      </c>
      <c r="J2448" s="51">
        <v>46036</v>
      </c>
      <c r="K2448" s="50" t="s">
        <v>3</v>
      </c>
      <c r="L2448" s="50" t="s">
        <v>80</v>
      </c>
    </row>
    <row r="2449" spans="2:12">
      <c r="B2449" s="50" t="s">
        <v>483</v>
      </c>
      <c r="C2449" s="50" t="s">
        <v>62</v>
      </c>
      <c r="D2449" s="50" t="s">
        <v>27</v>
      </c>
      <c r="E2449" s="50">
        <v>50038517</v>
      </c>
      <c r="F2449" s="50" t="s">
        <v>181</v>
      </c>
      <c r="G2449" s="50">
        <v>1</v>
      </c>
      <c r="H2449" s="50" t="s">
        <v>2</v>
      </c>
      <c r="I2449" s="50" t="s">
        <v>291</v>
      </c>
      <c r="J2449" s="51">
        <v>46036</v>
      </c>
      <c r="K2449" s="50" t="s">
        <v>3</v>
      </c>
      <c r="L2449" s="50" t="s">
        <v>80</v>
      </c>
    </row>
    <row r="2450" spans="2:12">
      <c r="B2450" s="50" t="s">
        <v>444</v>
      </c>
      <c r="C2450" s="50" t="s">
        <v>51</v>
      </c>
      <c r="D2450" s="50" t="s">
        <v>27</v>
      </c>
      <c r="E2450" s="50">
        <v>50003297</v>
      </c>
      <c r="F2450" s="50" t="s">
        <v>158</v>
      </c>
      <c r="G2450" s="50">
        <v>1</v>
      </c>
      <c r="H2450" s="50" t="s">
        <v>2</v>
      </c>
      <c r="I2450" s="50" t="s">
        <v>291</v>
      </c>
      <c r="J2450" s="51">
        <v>46036</v>
      </c>
      <c r="K2450" s="50" t="s">
        <v>3</v>
      </c>
      <c r="L2450" s="50" t="s">
        <v>80</v>
      </c>
    </row>
    <row r="2451" spans="2:12">
      <c r="B2451" s="50" t="s">
        <v>444</v>
      </c>
      <c r="C2451" s="50" t="s">
        <v>51</v>
      </c>
      <c r="D2451" s="50" t="s">
        <v>27</v>
      </c>
      <c r="E2451" s="50">
        <v>50037892</v>
      </c>
      <c r="F2451" s="50" t="s">
        <v>178</v>
      </c>
      <c r="G2451" s="50">
        <v>1</v>
      </c>
      <c r="H2451" s="50" t="s">
        <v>2</v>
      </c>
      <c r="I2451" s="50" t="s">
        <v>291</v>
      </c>
      <c r="J2451" s="51">
        <v>46036</v>
      </c>
      <c r="K2451" s="50" t="s">
        <v>3</v>
      </c>
      <c r="L2451" s="50" t="s">
        <v>80</v>
      </c>
    </row>
    <row r="2452" spans="2:12">
      <c r="B2452" s="50" t="s">
        <v>423</v>
      </c>
      <c r="C2452" s="50" t="s">
        <v>62</v>
      </c>
      <c r="D2452" s="50" t="s">
        <v>27</v>
      </c>
      <c r="E2452" s="50">
        <v>50041195</v>
      </c>
      <c r="F2452" s="50" t="s">
        <v>206</v>
      </c>
      <c r="G2452" s="50">
        <v>1</v>
      </c>
      <c r="H2452" s="50" t="s">
        <v>2</v>
      </c>
      <c r="I2452" s="50" t="s">
        <v>291</v>
      </c>
      <c r="J2452" s="51">
        <v>46036</v>
      </c>
      <c r="K2452" s="50" t="s">
        <v>1</v>
      </c>
      <c r="L2452" s="50" t="s">
        <v>80</v>
      </c>
    </row>
    <row r="2453" spans="2:12">
      <c r="B2453" s="50" t="s">
        <v>347</v>
      </c>
      <c r="C2453" s="50" t="s">
        <v>26</v>
      </c>
      <c r="D2453" s="50" t="s">
        <v>41</v>
      </c>
      <c r="E2453" s="50">
        <v>50038549</v>
      </c>
      <c r="F2453" s="50" t="s">
        <v>173</v>
      </c>
      <c r="G2453" s="50">
        <v>1</v>
      </c>
      <c r="H2453" s="50" t="s">
        <v>2</v>
      </c>
      <c r="I2453" s="50" t="s">
        <v>293</v>
      </c>
      <c r="J2453" s="51">
        <v>46035</v>
      </c>
      <c r="K2453" s="50" t="s">
        <v>1</v>
      </c>
      <c r="L2453" s="50" t="s">
        <v>80</v>
      </c>
    </row>
    <row r="2454" spans="2:12">
      <c r="B2454" s="50" t="s">
        <v>450</v>
      </c>
      <c r="C2454" s="50" t="s">
        <v>61</v>
      </c>
      <c r="D2454" s="50" t="s">
        <v>39</v>
      </c>
      <c r="E2454" s="50">
        <v>50020624</v>
      </c>
      <c r="F2454" s="50" t="s">
        <v>217</v>
      </c>
      <c r="G2454" s="50">
        <v>1</v>
      </c>
      <c r="H2454" s="50" t="s">
        <v>2</v>
      </c>
      <c r="I2454" s="50" t="s">
        <v>293</v>
      </c>
      <c r="J2454" s="51">
        <v>46035</v>
      </c>
      <c r="K2454" s="50" t="s">
        <v>1</v>
      </c>
      <c r="L2454" s="50" t="s">
        <v>80</v>
      </c>
    </row>
    <row r="2455" spans="2:12">
      <c r="B2455" s="50" t="s">
        <v>483</v>
      </c>
      <c r="C2455" s="50" t="s">
        <v>62</v>
      </c>
      <c r="D2455" s="50" t="s">
        <v>27</v>
      </c>
      <c r="E2455" s="50">
        <v>50038517</v>
      </c>
      <c r="F2455" s="50" t="s">
        <v>181</v>
      </c>
      <c r="G2455" s="50">
        <v>1</v>
      </c>
      <c r="H2455" s="50" t="s">
        <v>2</v>
      </c>
      <c r="I2455" s="50" t="s">
        <v>292</v>
      </c>
      <c r="J2455" s="51">
        <v>46035</v>
      </c>
      <c r="K2455" s="50" t="s">
        <v>1</v>
      </c>
      <c r="L2455" s="50" t="s">
        <v>80</v>
      </c>
    </row>
    <row r="2456" spans="2:12">
      <c r="B2456" s="50" t="s">
        <v>483</v>
      </c>
      <c r="C2456" s="50" t="s">
        <v>62</v>
      </c>
      <c r="D2456" s="50" t="s">
        <v>27</v>
      </c>
      <c r="E2456" s="50">
        <v>50026357</v>
      </c>
      <c r="F2456" s="50" t="s">
        <v>192</v>
      </c>
      <c r="G2456" s="50">
        <v>1</v>
      </c>
      <c r="H2456" s="50" t="s">
        <v>2</v>
      </c>
      <c r="I2456" s="50" t="s">
        <v>293</v>
      </c>
      <c r="J2456" s="51">
        <v>46035</v>
      </c>
      <c r="K2456" s="50" t="s">
        <v>1</v>
      </c>
      <c r="L2456" s="50" t="s">
        <v>80</v>
      </c>
    </row>
    <row r="2457" spans="2:12">
      <c r="B2457" s="50" t="s">
        <v>345</v>
      </c>
      <c r="C2457" s="50" t="s">
        <v>62</v>
      </c>
      <c r="D2457" s="50" t="s">
        <v>27</v>
      </c>
      <c r="E2457" s="50">
        <v>50041195</v>
      </c>
      <c r="F2457" s="50" t="s">
        <v>206</v>
      </c>
      <c r="G2457" s="50">
        <v>1</v>
      </c>
      <c r="H2457" s="50" t="s">
        <v>2</v>
      </c>
      <c r="I2457" s="50" t="s">
        <v>293</v>
      </c>
      <c r="J2457" s="51">
        <v>46035</v>
      </c>
      <c r="K2457" s="50" t="s">
        <v>1</v>
      </c>
      <c r="L2457" s="50" t="s">
        <v>80</v>
      </c>
    </row>
    <row r="2458" spans="2:12">
      <c r="B2458" s="50" t="s">
        <v>316</v>
      </c>
      <c r="C2458" s="50" t="s">
        <v>51</v>
      </c>
      <c r="D2458" s="50" t="s">
        <v>27</v>
      </c>
      <c r="E2458" s="50">
        <v>50043471</v>
      </c>
      <c r="F2458" s="50" t="s">
        <v>257</v>
      </c>
      <c r="G2458" s="50">
        <v>1</v>
      </c>
      <c r="H2458" s="50" t="s">
        <v>2</v>
      </c>
      <c r="I2458" s="50" t="s">
        <v>293</v>
      </c>
      <c r="J2458" s="51">
        <v>46035</v>
      </c>
      <c r="K2458" s="50" t="s">
        <v>3</v>
      </c>
      <c r="L2458" s="50" t="s">
        <v>80</v>
      </c>
    </row>
    <row r="2459" spans="2:12">
      <c r="B2459" s="50" t="s">
        <v>347</v>
      </c>
      <c r="C2459" s="50" t="s">
        <v>26</v>
      </c>
      <c r="D2459" s="50" t="s">
        <v>41</v>
      </c>
      <c r="E2459" s="50">
        <v>50038549</v>
      </c>
      <c r="F2459" s="50" t="s">
        <v>173</v>
      </c>
      <c r="G2459" s="50">
        <v>1</v>
      </c>
      <c r="H2459" s="50" t="s">
        <v>2</v>
      </c>
      <c r="I2459" s="50" t="s">
        <v>293</v>
      </c>
      <c r="J2459" s="51">
        <v>46035</v>
      </c>
      <c r="K2459" s="50" t="s">
        <v>3</v>
      </c>
      <c r="L2459" s="50" t="s">
        <v>80</v>
      </c>
    </row>
    <row r="2460" spans="2:12">
      <c r="B2460" s="50" t="s">
        <v>450</v>
      </c>
      <c r="C2460" s="50" t="s">
        <v>61</v>
      </c>
      <c r="D2460" s="50" t="s">
        <v>39</v>
      </c>
      <c r="E2460" s="50">
        <v>50020624</v>
      </c>
      <c r="F2460" s="50" t="s">
        <v>217</v>
      </c>
      <c r="G2460" s="50">
        <v>1</v>
      </c>
      <c r="H2460" s="50" t="s">
        <v>2</v>
      </c>
      <c r="I2460" s="50" t="s">
        <v>290</v>
      </c>
      <c r="J2460" s="51">
        <v>46035</v>
      </c>
      <c r="K2460" s="50" t="s">
        <v>1</v>
      </c>
      <c r="L2460" s="50" t="s">
        <v>80</v>
      </c>
    </row>
    <row r="2461" spans="2:12">
      <c r="B2461" s="50" t="s">
        <v>438</v>
      </c>
      <c r="C2461" s="50" t="s">
        <v>51</v>
      </c>
      <c r="D2461" s="50" t="s">
        <v>36</v>
      </c>
      <c r="E2461" s="50">
        <v>50020622</v>
      </c>
      <c r="F2461" s="50" t="s">
        <v>217</v>
      </c>
      <c r="G2461" s="50">
        <v>1</v>
      </c>
      <c r="H2461" s="50" t="s">
        <v>2</v>
      </c>
      <c r="I2461" s="50" t="s">
        <v>290</v>
      </c>
      <c r="J2461" s="51">
        <v>46035</v>
      </c>
      <c r="K2461" s="50" t="s">
        <v>1</v>
      </c>
      <c r="L2461" s="50" t="s">
        <v>80</v>
      </c>
    </row>
    <row r="2462" spans="2:12">
      <c r="B2462" s="50" t="s">
        <v>463</v>
      </c>
      <c r="C2462" s="50" t="s">
        <v>56</v>
      </c>
      <c r="D2462" s="71" t="s">
        <v>27</v>
      </c>
      <c r="E2462" s="50">
        <v>50043320</v>
      </c>
      <c r="F2462" s="50" t="s">
        <v>264</v>
      </c>
      <c r="G2462" s="50">
        <v>1</v>
      </c>
      <c r="H2462" s="50" t="s">
        <v>2</v>
      </c>
      <c r="I2462" s="50" t="s">
        <v>290</v>
      </c>
      <c r="J2462" s="51">
        <v>46035</v>
      </c>
      <c r="K2462" s="50" t="s">
        <v>1</v>
      </c>
      <c r="L2462" s="50" t="s">
        <v>80</v>
      </c>
    </row>
    <row r="2463" spans="2:12">
      <c r="B2463" s="50" t="s">
        <v>463</v>
      </c>
      <c r="C2463" s="50" t="s">
        <v>56</v>
      </c>
      <c r="D2463" s="50" t="s">
        <v>27</v>
      </c>
      <c r="E2463" s="50">
        <v>50003297</v>
      </c>
      <c r="F2463" s="50" t="s">
        <v>158</v>
      </c>
      <c r="G2463" s="50">
        <v>1</v>
      </c>
      <c r="H2463" s="50" t="s">
        <v>2</v>
      </c>
      <c r="I2463" s="50" t="s">
        <v>290</v>
      </c>
      <c r="J2463" s="51">
        <v>46035</v>
      </c>
      <c r="K2463" s="50" t="s">
        <v>1</v>
      </c>
      <c r="L2463" s="50" t="s">
        <v>80</v>
      </c>
    </row>
    <row r="2464" spans="2:12">
      <c r="B2464" s="50" t="s">
        <v>423</v>
      </c>
      <c r="C2464" s="50" t="s">
        <v>62</v>
      </c>
      <c r="D2464" s="50" t="s">
        <v>27</v>
      </c>
      <c r="E2464" s="50">
        <v>50038956</v>
      </c>
      <c r="F2464" s="50" t="s">
        <v>177</v>
      </c>
      <c r="G2464" s="50">
        <v>1</v>
      </c>
      <c r="H2464" s="50" t="s">
        <v>2</v>
      </c>
      <c r="I2464" s="50" t="s">
        <v>288</v>
      </c>
      <c r="J2464" s="51">
        <v>46035</v>
      </c>
      <c r="K2464" s="50" t="s">
        <v>3</v>
      </c>
      <c r="L2464" s="50" t="s">
        <v>80</v>
      </c>
    </row>
    <row r="2465" spans="2:12">
      <c r="B2465" s="50" t="s">
        <v>316</v>
      </c>
      <c r="C2465" s="50" t="s">
        <v>51</v>
      </c>
      <c r="D2465" s="50" t="s">
        <v>27</v>
      </c>
      <c r="E2465" s="50">
        <v>50043471</v>
      </c>
      <c r="F2465" s="50" t="s">
        <v>257</v>
      </c>
      <c r="G2465" s="50">
        <v>1</v>
      </c>
      <c r="H2465" s="50" t="s">
        <v>2</v>
      </c>
      <c r="I2465" s="50" t="s">
        <v>288</v>
      </c>
      <c r="J2465" s="51">
        <v>46035</v>
      </c>
      <c r="K2465" s="50" t="s">
        <v>1</v>
      </c>
      <c r="L2465" s="50" t="s">
        <v>80</v>
      </c>
    </row>
    <row r="2466" spans="2:12">
      <c r="B2466" s="50" t="s">
        <v>478</v>
      </c>
      <c r="C2466" s="50" t="s">
        <v>51</v>
      </c>
      <c r="D2466" s="50" t="s">
        <v>27</v>
      </c>
      <c r="E2466" s="50">
        <v>50043471</v>
      </c>
      <c r="F2466" s="50" t="s">
        <v>257</v>
      </c>
      <c r="G2466" s="50">
        <v>1</v>
      </c>
      <c r="H2466" s="50" t="s">
        <v>2</v>
      </c>
      <c r="I2466" s="50" t="s">
        <v>288</v>
      </c>
      <c r="J2466" s="51">
        <v>46035</v>
      </c>
      <c r="K2466" s="50" t="s">
        <v>3</v>
      </c>
      <c r="L2466" s="50" t="s">
        <v>80</v>
      </c>
    </row>
    <row r="2467" spans="2:12">
      <c r="B2467" s="50" t="s">
        <v>483</v>
      </c>
      <c r="C2467" s="50" t="s">
        <v>62</v>
      </c>
      <c r="D2467" s="50" t="s">
        <v>27</v>
      </c>
      <c r="E2467" s="50">
        <v>50026357</v>
      </c>
      <c r="F2467" s="50" t="s">
        <v>192</v>
      </c>
      <c r="G2467" s="50">
        <v>1</v>
      </c>
      <c r="H2467" s="50" t="s">
        <v>2</v>
      </c>
      <c r="I2467" s="50" t="s">
        <v>288</v>
      </c>
      <c r="J2467" s="51">
        <v>46035</v>
      </c>
      <c r="K2467" s="50" t="s">
        <v>3</v>
      </c>
      <c r="L2467" s="50" t="s">
        <v>80</v>
      </c>
    </row>
    <row r="2468" spans="2:12">
      <c r="B2468" s="50" t="s">
        <v>483</v>
      </c>
      <c r="C2468" s="50" t="s">
        <v>62</v>
      </c>
      <c r="D2468" s="50" t="s">
        <v>27</v>
      </c>
      <c r="E2468" s="50">
        <v>50038517</v>
      </c>
      <c r="F2468" s="50" t="s">
        <v>181</v>
      </c>
      <c r="G2468" s="50">
        <v>1</v>
      </c>
      <c r="H2468" s="50" t="s">
        <v>2</v>
      </c>
      <c r="I2468" s="50" t="s">
        <v>288</v>
      </c>
      <c r="J2468" s="51">
        <v>46035</v>
      </c>
      <c r="K2468" s="50" t="s">
        <v>3</v>
      </c>
      <c r="L2468" s="50" t="s">
        <v>80</v>
      </c>
    </row>
    <row r="2469" spans="2:12">
      <c r="B2469" s="50" t="s">
        <v>423</v>
      </c>
      <c r="C2469" s="50" t="s">
        <v>62</v>
      </c>
      <c r="D2469" s="50" t="s">
        <v>27</v>
      </c>
      <c r="E2469" s="50">
        <v>50038956</v>
      </c>
      <c r="F2469" s="50" t="s">
        <v>177</v>
      </c>
      <c r="G2469" s="50">
        <v>1</v>
      </c>
      <c r="H2469" s="50" t="s">
        <v>2</v>
      </c>
      <c r="I2469" s="50" t="s">
        <v>288</v>
      </c>
      <c r="J2469" s="51">
        <v>46035</v>
      </c>
      <c r="K2469" s="50" t="s">
        <v>3</v>
      </c>
      <c r="L2469" s="50" t="s">
        <v>80</v>
      </c>
    </row>
    <row r="2470" spans="2:12">
      <c r="B2470" s="50" t="s">
        <v>438</v>
      </c>
      <c r="C2470" s="50" t="s">
        <v>51</v>
      </c>
      <c r="D2470" s="50" t="s">
        <v>36</v>
      </c>
      <c r="E2470" s="50">
        <v>50020622</v>
      </c>
      <c r="F2470" s="50" t="s">
        <v>217</v>
      </c>
      <c r="G2470" s="50">
        <v>1</v>
      </c>
      <c r="H2470" s="50" t="s">
        <v>2</v>
      </c>
      <c r="I2470" s="50" t="s">
        <v>288</v>
      </c>
      <c r="J2470" s="51">
        <v>46035</v>
      </c>
      <c r="K2470" s="50" t="s">
        <v>3</v>
      </c>
      <c r="L2470" s="50" t="s">
        <v>80</v>
      </c>
    </row>
    <row r="2471" spans="2:12">
      <c r="B2471" s="50" t="s">
        <v>478</v>
      </c>
      <c r="C2471" s="50" t="s">
        <v>51</v>
      </c>
      <c r="D2471" s="50" t="s">
        <v>27</v>
      </c>
      <c r="E2471" s="50">
        <v>50043471</v>
      </c>
      <c r="F2471" s="50" t="s">
        <v>257</v>
      </c>
      <c r="G2471" s="50">
        <v>1</v>
      </c>
      <c r="H2471" s="50" t="s">
        <v>2</v>
      </c>
      <c r="I2471" s="50" t="s">
        <v>288</v>
      </c>
      <c r="J2471" s="51">
        <v>46035</v>
      </c>
      <c r="K2471" s="50" t="s">
        <v>3</v>
      </c>
      <c r="L2471" s="50" t="s">
        <v>80</v>
      </c>
    </row>
    <row r="2472" spans="2:12">
      <c r="B2472" s="50" t="s">
        <v>463</v>
      </c>
      <c r="C2472" s="50" t="s">
        <v>56</v>
      </c>
      <c r="D2472" s="50" t="s">
        <v>27</v>
      </c>
      <c r="E2472" s="50">
        <v>50043320</v>
      </c>
      <c r="F2472" s="50" t="s">
        <v>264</v>
      </c>
      <c r="G2472" s="50">
        <v>1</v>
      </c>
      <c r="H2472" s="50" t="s">
        <v>2</v>
      </c>
      <c r="I2472" s="50" t="s">
        <v>288</v>
      </c>
      <c r="J2472" s="51">
        <v>46035</v>
      </c>
      <c r="K2472" s="50" t="s">
        <v>3</v>
      </c>
      <c r="L2472" s="50" t="s">
        <v>80</v>
      </c>
    </row>
    <row r="2473" spans="2:12">
      <c r="B2473" s="50" t="s">
        <v>463</v>
      </c>
      <c r="C2473" s="50" t="s">
        <v>56</v>
      </c>
      <c r="D2473" s="50" t="s">
        <v>27</v>
      </c>
      <c r="E2473" s="50">
        <v>50003297</v>
      </c>
      <c r="F2473" s="50" t="s">
        <v>158</v>
      </c>
      <c r="G2473" s="50">
        <v>1</v>
      </c>
      <c r="H2473" s="50" t="s">
        <v>2</v>
      </c>
      <c r="I2473" s="50" t="s">
        <v>288</v>
      </c>
      <c r="J2473" s="51">
        <v>46035</v>
      </c>
      <c r="K2473" s="50" t="s">
        <v>3</v>
      </c>
      <c r="L2473" s="50" t="s">
        <v>80</v>
      </c>
    </row>
    <row r="2474" spans="2:12">
      <c r="B2474" s="50" t="s">
        <v>345</v>
      </c>
      <c r="C2474" s="50" t="s">
        <v>62</v>
      </c>
      <c r="D2474" s="50" t="s">
        <v>27</v>
      </c>
      <c r="E2474" s="50">
        <v>50041195</v>
      </c>
      <c r="F2474" s="50" t="s">
        <v>206</v>
      </c>
      <c r="G2474" s="50">
        <v>1</v>
      </c>
      <c r="H2474" s="50" t="s">
        <v>2</v>
      </c>
      <c r="I2474" s="50" t="s">
        <v>288</v>
      </c>
      <c r="J2474" s="51">
        <v>46035</v>
      </c>
      <c r="K2474" s="50" t="s">
        <v>86</v>
      </c>
      <c r="L2474" s="50" t="s">
        <v>80</v>
      </c>
    </row>
    <row r="2475" spans="2:12">
      <c r="B2475" s="50" t="s">
        <v>345</v>
      </c>
      <c r="C2475" s="50" t="s">
        <v>62</v>
      </c>
      <c r="D2475" s="50" t="s">
        <v>27</v>
      </c>
      <c r="E2475" s="50">
        <v>50041195</v>
      </c>
      <c r="F2475" s="50" t="s">
        <v>206</v>
      </c>
      <c r="G2475" s="50">
        <v>1</v>
      </c>
      <c r="H2475" s="50" t="s">
        <v>2</v>
      </c>
      <c r="I2475" s="50" t="s">
        <v>293</v>
      </c>
      <c r="J2475" s="51">
        <v>46034</v>
      </c>
      <c r="K2475" s="50" t="s">
        <v>86</v>
      </c>
      <c r="L2475" s="50" t="s">
        <v>80</v>
      </c>
    </row>
    <row r="2476" spans="2:12">
      <c r="B2476" s="50" t="s">
        <v>316</v>
      </c>
      <c r="C2476" s="50" t="s">
        <v>51</v>
      </c>
      <c r="D2476" s="50" t="s">
        <v>27</v>
      </c>
      <c r="E2476" s="50">
        <v>50043471</v>
      </c>
      <c r="F2476" s="50" t="s">
        <v>257</v>
      </c>
      <c r="G2476" s="50">
        <v>1</v>
      </c>
      <c r="H2476" s="50" t="s">
        <v>2</v>
      </c>
      <c r="I2476" s="50" t="s">
        <v>293</v>
      </c>
      <c r="J2476" s="51">
        <v>46034</v>
      </c>
      <c r="K2476" s="50" t="s">
        <v>86</v>
      </c>
      <c r="L2476" s="50" t="s">
        <v>80</v>
      </c>
    </row>
    <row r="2477" spans="2:12">
      <c r="B2477" s="50" t="s">
        <v>347</v>
      </c>
      <c r="C2477" s="50" t="s">
        <v>26</v>
      </c>
      <c r="D2477" s="50" t="s">
        <v>41</v>
      </c>
      <c r="E2477" s="50">
        <v>50038517</v>
      </c>
      <c r="F2477" s="50" t="s">
        <v>181</v>
      </c>
      <c r="G2477" s="50">
        <v>1</v>
      </c>
      <c r="H2477" s="50" t="s">
        <v>2</v>
      </c>
      <c r="I2477" s="50" t="s">
        <v>293</v>
      </c>
      <c r="J2477" s="51">
        <v>46034</v>
      </c>
      <c r="K2477" s="50" t="s">
        <v>86</v>
      </c>
      <c r="L2477" s="50" t="s">
        <v>80</v>
      </c>
    </row>
    <row r="2478" spans="2:12">
      <c r="B2478" s="50" t="s">
        <v>483</v>
      </c>
      <c r="C2478" s="50" t="s">
        <v>62</v>
      </c>
      <c r="D2478" s="50" t="s">
        <v>27</v>
      </c>
      <c r="E2478" s="50">
        <v>50038956</v>
      </c>
      <c r="F2478" s="50" t="s">
        <v>177</v>
      </c>
      <c r="G2478" s="50">
        <v>1</v>
      </c>
      <c r="H2478" s="50" t="s">
        <v>2</v>
      </c>
      <c r="I2478" s="50" t="s">
        <v>293</v>
      </c>
      <c r="J2478" s="51">
        <v>46034</v>
      </c>
      <c r="K2478" s="50" t="s">
        <v>86</v>
      </c>
      <c r="L2478" s="50" t="s">
        <v>80</v>
      </c>
    </row>
    <row r="2479" spans="2:12">
      <c r="B2479" s="50" t="s">
        <v>463</v>
      </c>
      <c r="C2479" s="50" t="s">
        <v>56</v>
      </c>
      <c r="D2479" s="50" t="s">
        <v>27</v>
      </c>
      <c r="E2479" s="50">
        <v>50030486</v>
      </c>
      <c r="F2479" s="50" t="s">
        <v>153</v>
      </c>
      <c r="G2479" s="50">
        <v>1</v>
      </c>
      <c r="H2479" s="50" t="s">
        <v>2</v>
      </c>
      <c r="I2479" s="50" t="s">
        <v>293</v>
      </c>
      <c r="J2479" s="51">
        <v>46034</v>
      </c>
      <c r="K2479" s="50" t="s">
        <v>86</v>
      </c>
      <c r="L2479" s="50" t="s">
        <v>80</v>
      </c>
    </row>
    <row r="2480" spans="2:12">
      <c r="B2480" s="50" t="s">
        <v>463</v>
      </c>
      <c r="C2480" s="50" t="s">
        <v>56</v>
      </c>
      <c r="D2480" s="50" t="s">
        <v>27</v>
      </c>
      <c r="E2480" s="50">
        <v>50043320</v>
      </c>
      <c r="F2480" s="50" t="s">
        <v>264</v>
      </c>
      <c r="G2480" s="50">
        <v>1</v>
      </c>
      <c r="H2480" s="50" t="s">
        <v>2</v>
      </c>
      <c r="I2480" s="50" t="s">
        <v>293</v>
      </c>
      <c r="J2480" s="51">
        <v>46034</v>
      </c>
      <c r="K2480" s="50" t="s">
        <v>3</v>
      </c>
      <c r="L2480" s="50" t="s">
        <v>80</v>
      </c>
    </row>
    <row r="2481" spans="2:12">
      <c r="B2481" s="50" t="s">
        <v>347</v>
      </c>
      <c r="C2481" s="50" t="s">
        <v>26</v>
      </c>
      <c r="D2481" s="50" t="s">
        <v>41</v>
      </c>
      <c r="E2481" s="50">
        <v>50038517</v>
      </c>
      <c r="F2481" s="50" t="s">
        <v>181</v>
      </c>
      <c r="G2481" s="50">
        <v>1</v>
      </c>
      <c r="H2481" s="50" t="s">
        <v>2</v>
      </c>
      <c r="I2481" s="50" t="s">
        <v>293</v>
      </c>
      <c r="J2481" s="51">
        <v>46034</v>
      </c>
      <c r="K2481" s="50" t="s">
        <v>86</v>
      </c>
      <c r="L2481" s="50" t="s">
        <v>80</v>
      </c>
    </row>
    <row r="2482" spans="2:12">
      <c r="B2482" s="50" t="s">
        <v>386</v>
      </c>
      <c r="C2482" s="50" t="s">
        <v>286</v>
      </c>
      <c r="D2482" s="50" t="s">
        <v>27</v>
      </c>
      <c r="E2482" s="50">
        <v>50039065</v>
      </c>
      <c r="F2482" s="50" t="s">
        <v>186</v>
      </c>
      <c r="G2482" s="50">
        <v>1</v>
      </c>
      <c r="H2482" s="50" t="s">
        <v>2</v>
      </c>
      <c r="I2482" s="50" t="s">
        <v>293</v>
      </c>
      <c r="J2482" s="51">
        <v>46034</v>
      </c>
      <c r="K2482" s="50" t="s">
        <v>86</v>
      </c>
      <c r="L2482" s="50" t="s">
        <v>80</v>
      </c>
    </row>
    <row r="2483" spans="2:12">
      <c r="B2483" s="50" t="s">
        <v>455</v>
      </c>
      <c r="C2483" s="50" t="s">
        <v>56</v>
      </c>
      <c r="D2483" s="50" t="s">
        <v>41</v>
      </c>
      <c r="E2483" s="50">
        <v>50036296</v>
      </c>
      <c r="F2483" s="50" t="s">
        <v>109</v>
      </c>
      <c r="G2483" s="50">
        <v>1</v>
      </c>
      <c r="H2483" s="50" t="s">
        <v>2</v>
      </c>
      <c r="I2483" s="50" t="s">
        <v>293</v>
      </c>
      <c r="J2483" s="51">
        <v>46034</v>
      </c>
      <c r="K2483" s="50" t="s">
        <v>86</v>
      </c>
      <c r="L2483" s="50" t="s">
        <v>80</v>
      </c>
    </row>
    <row r="2484" spans="2:12">
      <c r="B2484" s="50" t="s">
        <v>394</v>
      </c>
      <c r="C2484" s="50" t="s">
        <v>51</v>
      </c>
      <c r="D2484" s="50" t="s">
        <v>27</v>
      </c>
      <c r="E2484" s="50">
        <v>50003297</v>
      </c>
      <c r="F2484" s="50" t="s">
        <v>158</v>
      </c>
      <c r="G2484" s="50">
        <v>1</v>
      </c>
      <c r="H2484" s="50" t="s">
        <v>2</v>
      </c>
      <c r="I2484" s="50" t="s">
        <v>293</v>
      </c>
      <c r="J2484" s="51">
        <v>46034</v>
      </c>
      <c r="K2484" s="50" t="s">
        <v>3</v>
      </c>
      <c r="L2484" s="50" t="s">
        <v>80</v>
      </c>
    </row>
    <row r="2485" spans="2:12">
      <c r="B2485" s="50" t="s">
        <v>386</v>
      </c>
      <c r="C2485" s="50" t="s">
        <v>286</v>
      </c>
      <c r="D2485" s="50" t="s">
        <v>27</v>
      </c>
      <c r="E2485" s="50">
        <v>50039065</v>
      </c>
      <c r="F2485" s="50" t="s">
        <v>186</v>
      </c>
      <c r="G2485" s="50">
        <v>1</v>
      </c>
      <c r="H2485" s="50" t="s">
        <v>2</v>
      </c>
      <c r="I2485" s="50" t="s">
        <v>293</v>
      </c>
      <c r="J2485" s="51">
        <v>46034</v>
      </c>
      <c r="K2485" s="50" t="s">
        <v>86</v>
      </c>
      <c r="L2485" s="50" t="s">
        <v>80</v>
      </c>
    </row>
    <row r="2486" spans="2:12">
      <c r="B2486" s="50" t="s">
        <v>399</v>
      </c>
      <c r="C2486" s="50" t="s">
        <v>51</v>
      </c>
      <c r="D2486" s="50" t="s">
        <v>27</v>
      </c>
      <c r="E2486" s="50">
        <v>50038517</v>
      </c>
      <c r="F2486" s="50" t="s">
        <v>181</v>
      </c>
      <c r="G2486" s="50">
        <v>1</v>
      </c>
      <c r="H2486" s="50" t="s">
        <v>2</v>
      </c>
      <c r="I2486" s="50" t="s">
        <v>293</v>
      </c>
      <c r="J2486" s="51">
        <v>46034</v>
      </c>
      <c r="K2486" s="50" t="s">
        <v>3</v>
      </c>
      <c r="L2486" s="50" t="s">
        <v>80</v>
      </c>
    </row>
    <row r="2487" spans="2:12">
      <c r="B2487" s="50" t="s">
        <v>316</v>
      </c>
      <c r="C2487" s="50" t="s">
        <v>51</v>
      </c>
      <c r="D2487" s="50" t="s">
        <v>27</v>
      </c>
      <c r="E2487" s="50">
        <v>50043471</v>
      </c>
      <c r="F2487" s="50" t="s">
        <v>257</v>
      </c>
      <c r="G2487" s="50">
        <v>1</v>
      </c>
      <c r="H2487" s="50" t="s">
        <v>2</v>
      </c>
      <c r="I2487" s="50" t="s">
        <v>293</v>
      </c>
      <c r="J2487" s="51">
        <v>46034</v>
      </c>
      <c r="K2487" s="50" t="s">
        <v>86</v>
      </c>
      <c r="L2487" s="50" t="s">
        <v>80</v>
      </c>
    </row>
    <row r="2488" spans="2:12">
      <c r="B2488" s="50" t="s">
        <v>386</v>
      </c>
      <c r="C2488" s="50" t="s">
        <v>26</v>
      </c>
      <c r="D2488" s="50" t="s">
        <v>27</v>
      </c>
      <c r="E2488" s="50">
        <v>50038549</v>
      </c>
      <c r="F2488" s="50" t="s">
        <v>173</v>
      </c>
      <c r="G2488" s="50">
        <v>1</v>
      </c>
      <c r="H2488" s="50" t="s">
        <v>2</v>
      </c>
      <c r="I2488" s="50" t="s">
        <v>293</v>
      </c>
      <c r="J2488" s="51">
        <v>46034</v>
      </c>
      <c r="K2488" s="50" t="s">
        <v>86</v>
      </c>
      <c r="L2488" s="50" t="s">
        <v>80</v>
      </c>
    </row>
    <row r="2489" spans="2:12">
      <c r="B2489" s="50" t="s">
        <v>386</v>
      </c>
      <c r="C2489" s="50" t="s">
        <v>26</v>
      </c>
      <c r="D2489" s="50" t="s">
        <v>27</v>
      </c>
      <c r="E2489" s="50">
        <v>50010031</v>
      </c>
      <c r="F2489" s="50" t="s">
        <v>89</v>
      </c>
      <c r="G2489" s="50">
        <v>1</v>
      </c>
      <c r="H2489" s="50" t="s">
        <v>2</v>
      </c>
      <c r="I2489" s="50" t="s">
        <v>293</v>
      </c>
      <c r="J2489" s="51">
        <v>46034</v>
      </c>
      <c r="K2489" s="50" t="s">
        <v>3</v>
      </c>
      <c r="L2489" s="50" t="s">
        <v>80</v>
      </c>
    </row>
    <row r="2490" spans="2:12">
      <c r="B2490" s="50" t="s">
        <v>394</v>
      </c>
      <c r="C2490" s="50" t="s">
        <v>51</v>
      </c>
      <c r="D2490" s="50" t="s">
        <v>27</v>
      </c>
      <c r="E2490" s="50">
        <v>50003297</v>
      </c>
      <c r="F2490" s="50" t="s">
        <v>158</v>
      </c>
      <c r="G2490" s="50">
        <v>1</v>
      </c>
      <c r="H2490" s="50" t="s">
        <v>2</v>
      </c>
      <c r="I2490" s="50" t="s">
        <v>293</v>
      </c>
      <c r="J2490" s="51">
        <v>46034</v>
      </c>
      <c r="K2490" s="50" t="s">
        <v>3</v>
      </c>
      <c r="L2490" s="50" t="s">
        <v>80</v>
      </c>
    </row>
    <row r="2491" spans="2:12">
      <c r="B2491" s="50" t="s">
        <v>463</v>
      </c>
      <c r="C2491" s="50" t="s">
        <v>56</v>
      </c>
      <c r="D2491" s="50" t="s">
        <v>27</v>
      </c>
      <c r="E2491" s="50">
        <v>50030486</v>
      </c>
      <c r="F2491" s="50" t="s">
        <v>153</v>
      </c>
      <c r="G2491" s="50">
        <v>1</v>
      </c>
      <c r="H2491" s="50" t="s">
        <v>2</v>
      </c>
      <c r="I2491" s="50" t="s">
        <v>293</v>
      </c>
      <c r="J2491" s="51">
        <v>46034</v>
      </c>
      <c r="K2491" s="50" t="s">
        <v>3</v>
      </c>
      <c r="L2491" s="50" t="s">
        <v>80</v>
      </c>
    </row>
    <row r="2492" spans="2:12">
      <c r="B2492" s="50" t="s">
        <v>463</v>
      </c>
      <c r="C2492" s="50" t="s">
        <v>56</v>
      </c>
      <c r="D2492" s="50" t="s">
        <v>27</v>
      </c>
      <c r="E2492" s="50">
        <v>50043320</v>
      </c>
      <c r="F2492" s="50" t="s">
        <v>264</v>
      </c>
      <c r="G2492" s="50">
        <v>1</v>
      </c>
      <c r="H2492" s="50" t="s">
        <v>2</v>
      </c>
      <c r="I2492" s="50" t="s">
        <v>293</v>
      </c>
      <c r="J2492" s="51">
        <v>46034</v>
      </c>
      <c r="K2492" s="50" t="s">
        <v>86</v>
      </c>
      <c r="L2492" s="50" t="s">
        <v>80</v>
      </c>
    </row>
    <row r="2493" spans="2:12">
      <c r="B2493" s="50" t="s">
        <v>394</v>
      </c>
      <c r="C2493" s="50" t="s">
        <v>51</v>
      </c>
      <c r="D2493" s="50" t="s">
        <v>27</v>
      </c>
      <c r="E2493" s="50">
        <v>50003297</v>
      </c>
      <c r="F2493" s="50" t="s">
        <v>158</v>
      </c>
      <c r="G2493" s="50">
        <v>1</v>
      </c>
      <c r="H2493" s="50" t="s">
        <v>2</v>
      </c>
      <c r="I2493" s="50" t="s">
        <v>293</v>
      </c>
      <c r="J2493" s="51">
        <v>46034</v>
      </c>
      <c r="K2493" s="50" t="s">
        <v>86</v>
      </c>
      <c r="L2493" s="50" t="s">
        <v>80</v>
      </c>
    </row>
    <row r="2494" spans="2:12">
      <c r="B2494" s="50" t="s">
        <v>414</v>
      </c>
      <c r="C2494" s="50" t="s">
        <v>56</v>
      </c>
      <c r="D2494" s="50" t="s">
        <v>27</v>
      </c>
      <c r="E2494" s="50">
        <v>50044003</v>
      </c>
      <c r="F2494" s="50" t="s">
        <v>263</v>
      </c>
      <c r="G2494" s="50">
        <v>1</v>
      </c>
      <c r="H2494" s="50" t="s">
        <v>2</v>
      </c>
      <c r="I2494" s="50" t="s">
        <v>291</v>
      </c>
      <c r="J2494" s="51">
        <v>46034</v>
      </c>
      <c r="K2494" s="50" t="s">
        <v>3</v>
      </c>
      <c r="L2494" s="50" t="s">
        <v>80</v>
      </c>
    </row>
    <row r="2495" spans="2:12">
      <c r="B2495" s="50" t="s">
        <v>394</v>
      </c>
      <c r="C2495" s="50" t="s">
        <v>51</v>
      </c>
      <c r="D2495" s="50" t="s">
        <v>27</v>
      </c>
      <c r="E2495" s="50">
        <v>50003297</v>
      </c>
      <c r="F2495" s="50" t="s">
        <v>158</v>
      </c>
      <c r="G2495" s="50">
        <v>1</v>
      </c>
      <c r="H2495" s="50" t="s">
        <v>2</v>
      </c>
      <c r="I2495" s="50" t="s">
        <v>291</v>
      </c>
      <c r="J2495" s="51">
        <v>46034</v>
      </c>
      <c r="K2495" s="50" t="s">
        <v>1</v>
      </c>
      <c r="L2495" s="50" t="s">
        <v>80</v>
      </c>
    </row>
    <row r="2496" spans="2:12">
      <c r="B2496" s="50" t="s">
        <v>437</v>
      </c>
      <c r="C2496" s="50" t="s">
        <v>51</v>
      </c>
      <c r="D2496" s="50" t="s">
        <v>41</v>
      </c>
      <c r="E2496" s="50">
        <v>50003297</v>
      </c>
      <c r="F2496" s="50" t="s">
        <v>158</v>
      </c>
      <c r="G2496" s="50">
        <v>1</v>
      </c>
      <c r="H2496" s="50" t="s">
        <v>2</v>
      </c>
      <c r="I2496" s="50" t="s">
        <v>291</v>
      </c>
      <c r="J2496" s="51">
        <v>46034</v>
      </c>
      <c r="K2496" s="50" t="s">
        <v>3</v>
      </c>
      <c r="L2496" s="50" t="s">
        <v>80</v>
      </c>
    </row>
    <row r="2497" spans="2:12">
      <c r="B2497" s="50" t="s">
        <v>455</v>
      </c>
      <c r="C2497" s="50" t="s">
        <v>56</v>
      </c>
      <c r="D2497" s="50" t="s">
        <v>41</v>
      </c>
      <c r="E2497" s="50">
        <v>50036296</v>
      </c>
      <c r="F2497" s="50" t="s">
        <v>109</v>
      </c>
      <c r="G2497" s="50">
        <v>1</v>
      </c>
      <c r="H2497" s="50" t="s">
        <v>2</v>
      </c>
      <c r="I2497" s="50" t="s">
        <v>291</v>
      </c>
      <c r="J2497" s="51">
        <v>46034</v>
      </c>
      <c r="K2497" s="50" t="s">
        <v>3</v>
      </c>
      <c r="L2497" s="50" t="s">
        <v>80</v>
      </c>
    </row>
    <row r="2498" spans="2:12">
      <c r="B2498" s="50" t="s">
        <v>437</v>
      </c>
      <c r="C2498" s="50" t="s">
        <v>51</v>
      </c>
      <c r="D2498" s="50" t="s">
        <v>41</v>
      </c>
      <c r="E2498" s="50">
        <v>50003297</v>
      </c>
      <c r="F2498" s="50" t="s">
        <v>158</v>
      </c>
      <c r="G2498" s="50">
        <v>1</v>
      </c>
      <c r="H2498" s="50" t="s">
        <v>2</v>
      </c>
      <c r="I2498" s="50" t="s">
        <v>291</v>
      </c>
      <c r="J2498" s="51">
        <v>46034</v>
      </c>
      <c r="K2498" s="50" t="s">
        <v>1</v>
      </c>
      <c r="L2498" s="50" t="s">
        <v>80</v>
      </c>
    </row>
    <row r="2499" spans="2:12">
      <c r="B2499" s="50" t="s">
        <v>437</v>
      </c>
      <c r="C2499" s="50" t="s">
        <v>51</v>
      </c>
      <c r="D2499" s="50" t="s">
        <v>41</v>
      </c>
      <c r="E2499" s="50">
        <v>50032781</v>
      </c>
      <c r="F2499" s="50" t="s">
        <v>237</v>
      </c>
      <c r="G2499" s="50">
        <v>1</v>
      </c>
      <c r="H2499" s="50" t="s">
        <v>2</v>
      </c>
      <c r="I2499" s="50" t="s">
        <v>291</v>
      </c>
      <c r="J2499" s="51">
        <v>46034</v>
      </c>
      <c r="K2499" s="50" t="s">
        <v>1</v>
      </c>
      <c r="L2499" s="50" t="s">
        <v>80</v>
      </c>
    </row>
    <row r="2500" spans="2:12">
      <c r="B2500" s="50" t="s">
        <v>438</v>
      </c>
      <c r="C2500" s="50" t="s">
        <v>51</v>
      </c>
      <c r="D2500" s="50" t="s">
        <v>36</v>
      </c>
      <c r="E2500" s="50">
        <v>50036296</v>
      </c>
      <c r="F2500" s="50" t="s">
        <v>109</v>
      </c>
      <c r="G2500" s="50">
        <v>1</v>
      </c>
      <c r="H2500" s="50" t="s">
        <v>2</v>
      </c>
      <c r="I2500" s="50" t="s">
        <v>291</v>
      </c>
      <c r="J2500" s="51">
        <v>46034</v>
      </c>
      <c r="K2500" s="50" t="s">
        <v>1</v>
      </c>
      <c r="L2500" s="50" t="s">
        <v>80</v>
      </c>
    </row>
    <row r="2501" spans="2:12">
      <c r="B2501" s="50" t="s">
        <v>280</v>
      </c>
      <c r="C2501" s="50" t="s">
        <v>62</v>
      </c>
      <c r="D2501" s="50" t="s">
        <v>27</v>
      </c>
      <c r="E2501" s="50">
        <v>50020622</v>
      </c>
      <c r="F2501" s="50" t="s">
        <v>217</v>
      </c>
      <c r="G2501" s="50">
        <v>1</v>
      </c>
      <c r="H2501" s="50" t="s">
        <v>2</v>
      </c>
      <c r="I2501" s="50" t="s">
        <v>291</v>
      </c>
      <c r="J2501" s="51">
        <v>46034</v>
      </c>
      <c r="K2501" s="50" t="s">
        <v>1</v>
      </c>
      <c r="L2501" s="50" t="s">
        <v>80</v>
      </c>
    </row>
    <row r="2502" spans="2:12">
      <c r="B2502" s="50" t="s">
        <v>280</v>
      </c>
      <c r="C2502" s="50" t="s">
        <v>62</v>
      </c>
      <c r="D2502" s="50" t="s">
        <v>27</v>
      </c>
      <c r="E2502" s="50">
        <v>50003297</v>
      </c>
      <c r="F2502" s="50" t="s">
        <v>158</v>
      </c>
      <c r="G2502" s="50">
        <v>1</v>
      </c>
      <c r="H2502" s="50" t="s">
        <v>2</v>
      </c>
      <c r="I2502" s="50" t="s">
        <v>291</v>
      </c>
      <c r="J2502" s="51">
        <v>46034</v>
      </c>
      <c r="K2502" s="50" t="s">
        <v>3</v>
      </c>
      <c r="L2502" s="50" t="s">
        <v>80</v>
      </c>
    </row>
    <row r="2503" spans="2:12">
      <c r="B2503" s="50" t="s">
        <v>438</v>
      </c>
      <c r="C2503" s="50" t="s">
        <v>51</v>
      </c>
      <c r="D2503" s="50" t="s">
        <v>36</v>
      </c>
      <c r="E2503" s="50">
        <v>50036296</v>
      </c>
      <c r="F2503" s="50" t="s">
        <v>109</v>
      </c>
      <c r="G2503" s="50">
        <v>1</v>
      </c>
      <c r="H2503" s="50" t="s">
        <v>2</v>
      </c>
      <c r="I2503" s="50" t="s">
        <v>291</v>
      </c>
      <c r="J2503" s="51">
        <v>46034</v>
      </c>
      <c r="K2503" s="50" t="s">
        <v>3</v>
      </c>
      <c r="L2503" s="50" t="s">
        <v>80</v>
      </c>
    </row>
    <row r="2504" spans="2:12">
      <c r="B2504" s="50" t="s">
        <v>483</v>
      </c>
      <c r="C2504" s="50" t="s">
        <v>62</v>
      </c>
      <c r="D2504" s="50" t="s">
        <v>27</v>
      </c>
      <c r="E2504" s="50">
        <v>50038956</v>
      </c>
      <c r="F2504" s="50" t="s">
        <v>177</v>
      </c>
      <c r="G2504" s="50">
        <v>1</v>
      </c>
      <c r="H2504" s="50" t="s">
        <v>2</v>
      </c>
      <c r="I2504" s="50" t="s">
        <v>291</v>
      </c>
      <c r="J2504" s="51">
        <v>46034</v>
      </c>
      <c r="K2504" s="50" t="s">
        <v>3</v>
      </c>
      <c r="L2504" s="50" t="s">
        <v>80</v>
      </c>
    </row>
    <row r="2505" spans="2:12">
      <c r="B2505" s="50" t="s">
        <v>386</v>
      </c>
      <c r="C2505" s="50" t="s">
        <v>26</v>
      </c>
      <c r="D2505" s="50" t="s">
        <v>27</v>
      </c>
      <c r="E2505" s="50">
        <v>50038549</v>
      </c>
      <c r="F2505" s="50" t="s">
        <v>173</v>
      </c>
      <c r="G2505" s="50">
        <v>1</v>
      </c>
      <c r="H2505" s="50" t="s">
        <v>2</v>
      </c>
      <c r="I2505" s="50" t="s">
        <v>291</v>
      </c>
      <c r="J2505" s="51">
        <v>46034</v>
      </c>
      <c r="K2505" s="50" t="s">
        <v>3</v>
      </c>
      <c r="L2505" s="50" t="s">
        <v>80</v>
      </c>
    </row>
    <row r="2506" spans="2:12">
      <c r="B2506" s="50" t="s">
        <v>386</v>
      </c>
      <c r="C2506" s="50" t="s">
        <v>26</v>
      </c>
      <c r="D2506" s="50" t="s">
        <v>27</v>
      </c>
      <c r="E2506" s="50">
        <v>50010031</v>
      </c>
      <c r="F2506" s="50" t="s">
        <v>89</v>
      </c>
      <c r="G2506" s="50">
        <v>1</v>
      </c>
      <c r="H2506" s="50" t="s">
        <v>2</v>
      </c>
      <c r="I2506" s="50" t="s">
        <v>291</v>
      </c>
      <c r="J2506" s="51">
        <v>46034</v>
      </c>
      <c r="K2506" s="50" t="s">
        <v>3</v>
      </c>
      <c r="L2506" s="50" t="s">
        <v>80</v>
      </c>
    </row>
    <row r="2507" spans="2:12">
      <c r="B2507" s="50" t="s">
        <v>437</v>
      </c>
      <c r="C2507" s="50" t="s">
        <v>51</v>
      </c>
      <c r="D2507" s="50" t="s">
        <v>41</v>
      </c>
      <c r="E2507" s="50">
        <v>50032781</v>
      </c>
      <c r="F2507" s="50" t="s">
        <v>237</v>
      </c>
      <c r="G2507" s="50">
        <v>1</v>
      </c>
      <c r="H2507" s="50" t="s">
        <v>2</v>
      </c>
      <c r="I2507" s="50" t="s">
        <v>291</v>
      </c>
      <c r="J2507" s="51">
        <v>46034</v>
      </c>
      <c r="K2507" s="50" t="s">
        <v>3</v>
      </c>
      <c r="L2507" s="50" t="s">
        <v>80</v>
      </c>
    </row>
    <row r="2508" spans="2:12">
      <c r="B2508" s="50" t="s">
        <v>399</v>
      </c>
      <c r="C2508" s="50" t="s">
        <v>51</v>
      </c>
      <c r="D2508" s="50" t="s">
        <v>27</v>
      </c>
      <c r="E2508" s="50">
        <v>50038517</v>
      </c>
      <c r="F2508" s="50" t="s">
        <v>181</v>
      </c>
      <c r="G2508" s="50">
        <v>1</v>
      </c>
      <c r="H2508" s="50" t="s">
        <v>2</v>
      </c>
      <c r="I2508" s="50" t="s">
        <v>291</v>
      </c>
      <c r="J2508" s="51">
        <v>46034</v>
      </c>
      <c r="K2508" s="50" t="s">
        <v>1</v>
      </c>
      <c r="L2508" s="50" t="s">
        <v>80</v>
      </c>
    </row>
    <row r="2509" spans="2:12">
      <c r="B2509" s="50" t="s">
        <v>439</v>
      </c>
      <c r="C2509" s="50" t="s">
        <v>62</v>
      </c>
      <c r="D2509" s="50" t="s">
        <v>27</v>
      </c>
      <c r="E2509" s="50">
        <v>50026357</v>
      </c>
      <c r="F2509" s="50" t="s">
        <v>192</v>
      </c>
      <c r="G2509" s="50">
        <v>1</v>
      </c>
      <c r="H2509" s="50" t="s">
        <v>2</v>
      </c>
      <c r="I2509" s="50" t="s">
        <v>291</v>
      </c>
      <c r="J2509" s="51">
        <v>46034</v>
      </c>
      <c r="K2509" s="50" t="s">
        <v>3</v>
      </c>
      <c r="L2509" s="50" t="s">
        <v>80</v>
      </c>
    </row>
    <row r="2510" spans="2:12">
      <c r="B2510" s="50" t="s">
        <v>414</v>
      </c>
      <c r="C2510" s="50" t="s">
        <v>56</v>
      </c>
      <c r="D2510" s="50" t="s">
        <v>27</v>
      </c>
      <c r="E2510" s="50">
        <v>50044003</v>
      </c>
      <c r="F2510" s="50" t="s">
        <v>263</v>
      </c>
      <c r="G2510" s="50">
        <v>1</v>
      </c>
      <c r="H2510" s="50" t="s">
        <v>2</v>
      </c>
      <c r="I2510" s="50" t="s">
        <v>291</v>
      </c>
      <c r="J2510" s="51">
        <v>46034</v>
      </c>
      <c r="K2510" s="50" t="s">
        <v>3</v>
      </c>
      <c r="L2510" s="50" t="s">
        <v>80</v>
      </c>
    </row>
    <row r="2511" spans="2:12">
      <c r="B2511" s="50" t="s">
        <v>280</v>
      </c>
      <c r="C2511" s="50" t="s">
        <v>62</v>
      </c>
      <c r="D2511" s="50" t="s">
        <v>27</v>
      </c>
      <c r="E2511" s="50">
        <v>50020622</v>
      </c>
      <c r="F2511" s="50" t="s">
        <v>217</v>
      </c>
      <c r="G2511" s="50">
        <v>1</v>
      </c>
      <c r="H2511" s="50" t="s">
        <v>2</v>
      </c>
      <c r="I2511" s="50" t="s">
        <v>291</v>
      </c>
      <c r="J2511" s="51">
        <v>46034</v>
      </c>
      <c r="K2511" s="50" t="s">
        <v>3</v>
      </c>
      <c r="L2511" s="50" t="s">
        <v>80</v>
      </c>
    </row>
    <row r="2512" spans="2:12">
      <c r="B2512" s="50" t="s">
        <v>280</v>
      </c>
      <c r="C2512" s="50" t="s">
        <v>62</v>
      </c>
      <c r="D2512" s="50" t="s">
        <v>27</v>
      </c>
      <c r="E2512" s="50">
        <v>50003297</v>
      </c>
      <c r="F2512" s="50" t="s">
        <v>158</v>
      </c>
      <c r="G2512" s="50">
        <v>1</v>
      </c>
      <c r="H2512" s="50" t="s">
        <v>2</v>
      </c>
      <c r="I2512" s="50" t="s">
        <v>291</v>
      </c>
      <c r="J2512" s="51">
        <v>46034</v>
      </c>
      <c r="K2512" s="50" t="s">
        <v>1</v>
      </c>
      <c r="L2512" s="50" t="s">
        <v>80</v>
      </c>
    </row>
    <row r="2513" spans="2:12">
      <c r="B2513" s="50" t="s">
        <v>270</v>
      </c>
      <c r="C2513" s="50" t="s">
        <v>51</v>
      </c>
      <c r="D2513" s="50" t="s">
        <v>27</v>
      </c>
      <c r="E2513" s="50">
        <v>50038517</v>
      </c>
      <c r="F2513" s="50" t="s">
        <v>181</v>
      </c>
      <c r="G2513" s="50">
        <v>1</v>
      </c>
      <c r="H2513" s="50" t="s">
        <v>2</v>
      </c>
      <c r="I2513" s="50" t="s">
        <v>291</v>
      </c>
      <c r="J2513" s="51">
        <v>46034</v>
      </c>
      <c r="K2513" s="50" t="s">
        <v>3</v>
      </c>
      <c r="L2513" s="50" t="s">
        <v>80</v>
      </c>
    </row>
    <row r="2514" spans="2:12">
      <c r="B2514" s="50" t="s">
        <v>270</v>
      </c>
      <c r="C2514" s="50" t="s">
        <v>51</v>
      </c>
      <c r="D2514" s="50" t="s">
        <v>27</v>
      </c>
      <c r="E2514" s="50">
        <v>50038517</v>
      </c>
      <c r="F2514" s="50" t="s">
        <v>181</v>
      </c>
      <c r="G2514" s="50">
        <v>1</v>
      </c>
      <c r="H2514" s="50" t="s">
        <v>2</v>
      </c>
      <c r="I2514" s="50" t="s">
        <v>291</v>
      </c>
      <c r="J2514" s="51">
        <v>46034</v>
      </c>
      <c r="K2514" s="50" t="s">
        <v>3</v>
      </c>
      <c r="L2514" s="50" t="s">
        <v>80</v>
      </c>
    </row>
    <row r="2515" spans="2:12">
      <c r="B2515" s="50" t="s">
        <v>386</v>
      </c>
      <c r="C2515" s="50" t="s">
        <v>62</v>
      </c>
      <c r="D2515" s="50" t="s">
        <v>27</v>
      </c>
      <c r="E2515" s="50">
        <v>50037892</v>
      </c>
      <c r="F2515" s="50" t="s">
        <v>178</v>
      </c>
      <c r="G2515" s="50">
        <v>1</v>
      </c>
      <c r="H2515" s="50" t="s">
        <v>2</v>
      </c>
      <c r="I2515" s="50" t="s">
        <v>291</v>
      </c>
      <c r="J2515" s="51">
        <v>46034</v>
      </c>
      <c r="K2515" s="50" t="s">
        <v>3</v>
      </c>
      <c r="L2515" s="50" t="s">
        <v>80</v>
      </c>
    </row>
    <row r="2516" spans="2:12">
      <c r="B2516" s="50" t="s">
        <v>345</v>
      </c>
      <c r="C2516" s="50" t="s">
        <v>62</v>
      </c>
      <c r="D2516" s="50" t="s">
        <v>27</v>
      </c>
      <c r="E2516" s="50">
        <v>50041195</v>
      </c>
      <c r="F2516" s="50" t="s">
        <v>206</v>
      </c>
      <c r="G2516" s="50">
        <v>1</v>
      </c>
      <c r="H2516" s="50" t="s">
        <v>2</v>
      </c>
      <c r="I2516" s="50" t="s">
        <v>291</v>
      </c>
      <c r="J2516" s="51">
        <v>46034</v>
      </c>
      <c r="K2516" s="50" t="s">
        <v>3</v>
      </c>
      <c r="L2516" s="50" t="s">
        <v>80</v>
      </c>
    </row>
    <row r="2517" spans="2:12">
      <c r="B2517" s="50" t="s">
        <v>439</v>
      </c>
      <c r="C2517" s="50" t="s">
        <v>62</v>
      </c>
      <c r="D2517" s="50" t="s">
        <v>27</v>
      </c>
      <c r="E2517" s="50">
        <v>50026357</v>
      </c>
      <c r="F2517" s="50" t="s">
        <v>192</v>
      </c>
      <c r="G2517" s="50">
        <v>1</v>
      </c>
      <c r="H2517" s="50" t="s">
        <v>2</v>
      </c>
      <c r="I2517" s="50" t="s">
        <v>291</v>
      </c>
      <c r="J2517" s="51">
        <v>46034</v>
      </c>
      <c r="K2517" s="50" t="s">
        <v>1</v>
      </c>
      <c r="L2517" s="50" t="s">
        <v>80</v>
      </c>
    </row>
    <row r="2518" spans="2:12">
      <c r="B2518" s="50" t="s">
        <v>473</v>
      </c>
      <c r="C2518" s="50" t="s">
        <v>26</v>
      </c>
      <c r="D2518" s="50" t="s">
        <v>36</v>
      </c>
      <c r="E2518" s="50">
        <v>50039065</v>
      </c>
      <c r="F2518" s="50" t="s">
        <v>186</v>
      </c>
      <c r="G2518" s="50">
        <v>1</v>
      </c>
      <c r="H2518" s="50" t="s">
        <v>2</v>
      </c>
      <c r="I2518" s="50" t="s">
        <v>291</v>
      </c>
      <c r="J2518" s="51">
        <v>46033</v>
      </c>
      <c r="K2518" s="50" t="s">
        <v>3</v>
      </c>
      <c r="L2518" s="50" t="s">
        <v>80</v>
      </c>
    </row>
    <row r="2519" spans="2:12">
      <c r="B2519" s="50" t="s">
        <v>473</v>
      </c>
      <c r="C2519" s="50" t="s">
        <v>26</v>
      </c>
      <c r="D2519" s="50" t="s">
        <v>36</v>
      </c>
      <c r="E2519" s="50">
        <v>50039065</v>
      </c>
      <c r="F2519" s="50" t="s">
        <v>186</v>
      </c>
      <c r="G2519" s="50">
        <v>1</v>
      </c>
      <c r="H2519" s="50" t="s">
        <v>2</v>
      </c>
      <c r="I2519" s="50" t="s">
        <v>291</v>
      </c>
      <c r="J2519" s="51">
        <v>46033</v>
      </c>
      <c r="K2519" s="50" t="s">
        <v>1</v>
      </c>
      <c r="L2519" s="50" t="s">
        <v>80</v>
      </c>
    </row>
    <row r="2520" spans="2:12">
      <c r="B2520" s="50" t="s">
        <v>401</v>
      </c>
      <c r="C2520" s="50" t="s">
        <v>26</v>
      </c>
      <c r="D2520" s="50" t="s">
        <v>36</v>
      </c>
      <c r="E2520" s="50">
        <v>50041195</v>
      </c>
      <c r="F2520" s="50" t="s">
        <v>206</v>
      </c>
      <c r="G2520" s="50">
        <v>1</v>
      </c>
      <c r="H2520" s="50" t="s">
        <v>2</v>
      </c>
      <c r="I2520" s="50" t="s">
        <v>291</v>
      </c>
      <c r="J2520" s="51">
        <v>46033</v>
      </c>
      <c r="K2520" s="50" t="s">
        <v>3</v>
      </c>
      <c r="L2520" s="50" t="s">
        <v>80</v>
      </c>
    </row>
    <row r="2521" spans="2:12">
      <c r="B2521" s="50" t="s">
        <v>401</v>
      </c>
      <c r="C2521" s="50" t="s">
        <v>26</v>
      </c>
      <c r="D2521" s="50" t="s">
        <v>36</v>
      </c>
      <c r="E2521" s="50">
        <v>50041195</v>
      </c>
      <c r="F2521" s="50" t="s">
        <v>206</v>
      </c>
      <c r="G2521" s="50">
        <v>1</v>
      </c>
      <c r="H2521" s="50" t="s">
        <v>2</v>
      </c>
      <c r="I2521" s="50" t="s">
        <v>291</v>
      </c>
      <c r="J2521" s="51">
        <v>46033</v>
      </c>
      <c r="K2521" s="50" t="s">
        <v>1</v>
      </c>
      <c r="L2521" s="50" t="s">
        <v>80</v>
      </c>
    </row>
    <row r="2522" spans="2:12">
      <c r="B2522" s="50" t="s">
        <v>401</v>
      </c>
      <c r="C2522" s="50" t="s">
        <v>26</v>
      </c>
      <c r="D2522" s="50" t="s">
        <v>36</v>
      </c>
      <c r="E2522" s="50">
        <v>50001995</v>
      </c>
      <c r="F2522" s="50" t="s">
        <v>185</v>
      </c>
      <c r="G2522" s="50">
        <v>1</v>
      </c>
      <c r="H2522" s="50" t="s">
        <v>2</v>
      </c>
      <c r="I2522" s="50" t="s">
        <v>291</v>
      </c>
      <c r="J2522" s="51">
        <v>46033</v>
      </c>
      <c r="K2522" s="50" t="s">
        <v>3</v>
      </c>
      <c r="L2522" s="50" t="s">
        <v>80</v>
      </c>
    </row>
    <row r="2523" spans="2:12">
      <c r="B2523" s="50" t="s">
        <v>401</v>
      </c>
      <c r="C2523" s="50" t="s">
        <v>26</v>
      </c>
      <c r="D2523" s="50" t="s">
        <v>36</v>
      </c>
      <c r="E2523" s="50">
        <v>50001995</v>
      </c>
      <c r="F2523" s="50" t="s">
        <v>185</v>
      </c>
      <c r="G2523" s="50">
        <v>1</v>
      </c>
      <c r="H2523" s="50" t="s">
        <v>2</v>
      </c>
      <c r="I2523" s="50" t="s">
        <v>291</v>
      </c>
      <c r="J2523" s="51">
        <v>46033</v>
      </c>
      <c r="K2523" s="50" t="s">
        <v>1</v>
      </c>
      <c r="L2523" s="50" t="s">
        <v>80</v>
      </c>
    </row>
    <row r="2524" spans="2:12">
      <c r="B2524" s="50" t="s">
        <v>459</v>
      </c>
      <c r="C2524" s="50" t="s">
        <v>51</v>
      </c>
      <c r="D2524" s="50" t="s">
        <v>41</v>
      </c>
      <c r="E2524" s="50">
        <v>50037892</v>
      </c>
      <c r="F2524" s="50" t="s">
        <v>178</v>
      </c>
      <c r="G2524" s="50">
        <v>1</v>
      </c>
      <c r="H2524" s="50" t="s">
        <v>2</v>
      </c>
      <c r="I2524" s="50" t="s">
        <v>289</v>
      </c>
      <c r="J2524" s="51">
        <v>46033</v>
      </c>
      <c r="K2524" s="50" t="s">
        <v>3</v>
      </c>
      <c r="L2524" s="50" t="s">
        <v>80</v>
      </c>
    </row>
    <row r="2525" spans="2:12">
      <c r="B2525" s="50" t="s">
        <v>459</v>
      </c>
      <c r="C2525" s="50" t="s">
        <v>51</v>
      </c>
      <c r="D2525" s="50" t="s">
        <v>41</v>
      </c>
      <c r="E2525" s="50">
        <v>50037892</v>
      </c>
      <c r="F2525" s="50" t="s">
        <v>178</v>
      </c>
      <c r="G2525" s="50">
        <v>1</v>
      </c>
      <c r="H2525" s="50" t="s">
        <v>2</v>
      </c>
      <c r="I2525" s="50" t="s">
        <v>289</v>
      </c>
      <c r="J2525" s="51">
        <v>46033</v>
      </c>
      <c r="K2525" s="50" t="s">
        <v>1</v>
      </c>
      <c r="L2525" s="50" t="s">
        <v>81</v>
      </c>
    </row>
    <row r="2526" spans="2:12">
      <c r="B2526" s="50" t="s">
        <v>472</v>
      </c>
      <c r="C2526" s="50" t="s">
        <v>51</v>
      </c>
      <c r="D2526" s="50" t="s">
        <v>41</v>
      </c>
      <c r="E2526" s="50">
        <v>50010031</v>
      </c>
      <c r="F2526" s="50" t="s">
        <v>89</v>
      </c>
      <c r="G2526" s="50">
        <v>1</v>
      </c>
      <c r="H2526" s="50" t="s">
        <v>2</v>
      </c>
      <c r="I2526" s="50" t="s">
        <v>291</v>
      </c>
      <c r="J2526" s="51">
        <v>46032</v>
      </c>
      <c r="K2526" s="50" t="s">
        <v>3</v>
      </c>
      <c r="L2526" s="50" t="s">
        <v>80</v>
      </c>
    </row>
    <row r="2527" spans="2:12">
      <c r="B2527" s="50" t="s">
        <v>472</v>
      </c>
      <c r="C2527" s="50" t="s">
        <v>51</v>
      </c>
      <c r="D2527" s="50" t="s">
        <v>41</v>
      </c>
      <c r="E2527" s="50">
        <v>50010031</v>
      </c>
      <c r="F2527" s="50" t="s">
        <v>89</v>
      </c>
      <c r="G2527" s="50">
        <v>1</v>
      </c>
      <c r="H2527" s="50" t="s">
        <v>2</v>
      </c>
      <c r="I2527" s="50" t="s">
        <v>291</v>
      </c>
      <c r="J2527" s="51">
        <v>46032</v>
      </c>
      <c r="K2527" s="50" t="s">
        <v>1</v>
      </c>
      <c r="L2527" s="50" t="s">
        <v>80</v>
      </c>
    </row>
    <row r="2528" spans="2:12">
      <c r="B2528" s="50" t="s">
        <v>401</v>
      </c>
      <c r="C2528" s="50" t="s">
        <v>26</v>
      </c>
      <c r="D2528" s="50" t="s">
        <v>36</v>
      </c>
      <c r="E2528" s="50">
        <v>50038549</v>
      </c>
      <c r="F2528" s="50" t="s">
        <v>173</v>
      </c>
      <c r="G2528" s="50">
        <v>1</v>
      </c>
      <c r="H2528" s="50" t="s">
        <v>2</v>
      </c>
      <c r="I2528" s="50" t="s">
        <v>291</v>
      </c>
      <c r="J2528" s="51">
        <v>46032</v>
      </c>
      <c r="K2528" s="50" t="s">
        <v>1</v>
      </c>
      <c r="L2528" s="50" t="s">
        <v>80</v>
      </c>
    </row>
    <row r="2529" spans="2:12">
      <c r="B2529" s="50" t="s">
        <v>401</v>
      </c>
      <c r="C2529" s="50" t="s">
        <v>26</v>
      </c>
      <c r="D2529" s="50" t="s">
        <v>36</v>
      </c>
      <c r="E2529" s="50">
        <v>50036255</v>
      </c>
      <c r="F2529" s="50" t="s">
        <v>120</v>
      </c>
      <c r="G2529" s="50">
        <v>1</v>
      </c>
      <c r="H2529" s="50" t="s">
        <v>2</v>
      </c>
      <c r="I2529" s="50" t="s">
        <v>291</v>
      </c>
      <c r="J2529" s="51">
        <v>46032</v>
      </c>
      <c r="K2529" s="50" t="s">
        <v>1</v>
      </c>
      <c r="L2529" s="50" t="s">
        <v>80</v>
      </c>
    </row>
    <row r="2530" spans="2:12">
      <c r="B2530" s="50" t="s">
        <v>445</v>
      </c>
      <c r="C2530" s="50" t="s">
        <v>51</v>
      </c>
      <c r="D2530" s="50" t="s">
        <v>41</v>
      </c>
      <c r="E2530" s="50">
        <v>50039065</v>
      </c>
      <c r="F2530" s="50" t="s">
        <v>186</v>
      </c>
      <c r="G2530" s="50">
        <v>1</v>
      </c>
      <c r="H2530" s="50" t="s">
        <v>2</v>
      </c>
      <c r="I2530" s="50" t="s">
        <v>289</v>
      </c>
      <c r="J2530" s="51">
        <v>46032</v>
      </c>
      <c r="K2530" s="50" t="s">
        <v>1</v>
      </c>
      <c r="L2530" s="50" t="s">
        <v>80</v>
      </c>
    </row>
    <row r="2531" spans="2:12">
      <c r="B2531" s="50" t="s">
        <v>445</v>
      </c>
      <c r="C2531" s="50" t="s">
        <v>51</v>
      </c>
      <c r="D2531" s="50" t="s">
        <v>41</v>
      </c>
      <c r="E2531" s="50">
        <v>50037892</v>
      </c>
      <c r="F2531" s="50" t="s">
        <v>178</v>
      </c>
      <c r="G2531" s="50">
        <v>1</v>
      </c>
      <c r="H2531" s="50" t="s">
        <v>2</v>
      </c>
      <c r="I2531" s="50" t="s">
        <v>289</v>
      </c>
      <c r="J2531" s="51">
        <v>46032</v>
      </c>
      <c r="K2531" s="50" t="s">
        <v>3</v>
      </c>
      <c r="L2531" s="50" t="s">
        <v>80</v>
      </c>
    </row>
    <row r="2532" spans="2:12">
      <c r="B2532" s="50" t="s">
        <v>413</v>
      </c>
      <c r="C2532" s="50" t="s">
        <v>51</v>
      </c>
      <c r="D2532" s="50" t="s">
        <v>39</v>
      </c>
      <c r="E2532" s="50">
        <v>50038517</v>
      </c>
      <c r="F2532" s="50" t="s">
        <v>181</v>
      </c>
      <c r="G2532" s="50">
        <v>1</v>
      </c>
      <c r="H2532" s="50" t="s">
        <v>2</v>
      </c>
      <c r="I2532" s="50" t="s">
        <v>289</v>
      </c>
      <c r="J2532" s="51">
        <v>46032</v>
      </c>
      <c r="K2532" s="50" t="s">
        <v>3</v>
      </c>
      <c r="L2532" s="50" t="s">
        <v>80</v>
      </c>
    </row>
    <row r="2533" spans="2:12">
      <c r="B2533" s="50" t="s">
        <v>445</v>
      </c>
      <c r="C2533" s="50" t="s">
        <v>51</v>
      </c>
      <c r="D2533" s="50" t="s">
        <v>41</v>
      </c>
      <c r="E2533" s="50">
        <v>50039065</v>
      </c>
      <c r="F2533" s="50" t="s">
        <v>186</v>
      </c>
      <c r="G2533" s="50">
        <v>1</v>
      </c>
      <c r="H2533" s="50" t="s">
        <v>2</v>
      </c>
      <c r="I2533" s="50" t="s">
        <v>289</v>
      </c>
      <c r="J2533" s="51">
        <v>46032</v>
      </c>
      <c r="K2533" s="50" t="s">
        <v>3</v>
      </c>
      <c r="L2533" s="50" t="s">
        <v>80</v>
      </c>
    </row>
    <row r="2534" spans="2:12">
      <c r="B2534" s="50" t="s">
        <v>445</v>
      </c>
      <c r="C2534" s="50" t="s">
        <v>51</v>
      </c>
      <c r="D2534" s="50" t="s">
        <v>41</v>
      </c>
      <c r="E2534" s="50">
        <v>50037892</v>
      </c>
      <c r="F2534" s="50" t="s">
        <v>178</v>
      </c>
      <c r="G2534" s="50">
        <v>1</v>
      </c>
      <c r="H2534" s="50" t="s">
        <v>2</v>
      </c>
      <c r="I2534" s="50" t="s">
        <v>289</v>
      </c>
      <c r="J2534" s="51">
        <v>46032</v>
      </c>
      <c r="K2534" s="50" t="s">
        <v>1</v>
      </c>
      <c r="L2534" s="50" t="s">
        <v>80</v>
      </c>
    </row>
    <row r="2535" spans="2:12">
      <c r="B2535" s="50" t="s">
        <v>422</v>
      </c>
      <c r="C2535" s="50" t="s">
        <v>26</v>
      </c>
      <c r="D2535" s="50" t="s">
        <v>27</v>
      </c>
      <c r="E2535" s="50">
        <v>50037892</v>
      </c>
      <c r="F2535" s="50" t="s">
        <v>178</v>
      </c>
      <c r="G2535" s="50">
        <v>1</v>
      </c>
      <c r="H2535" s="50" t="s">
        <v>2</v>
      </c>
      <c r="I2535" s="50" t="s">
        <v>289</v>
      </c>
      <c r="J2535" s="51">
        <v>46032</v>
      </c>
      <c r="K2535" s="50" t="s">
        <v>3</v>
      </c>
      <c r="L2535" s="50" t="s">
        <v>80</v>
      </c>
    </row>
    <row r="2536" spans="2:12">
      <c r="B2536" s="50" t="s">
        <v>422</v>
      </c>
      <c r="C2536" s="50" t="s">
        <v>26</v>
      </c>
      <c r="D2536" s="50" t="s">
        <v>27</v>
      </c>
      <c r="E2536" s="50">
        <v>50037892</v>
      </c>
      <c r="F2536" s="50" t="s">
        <v>178</v>
      </c>
      <c r="G2536" s="50">
        <v>1</v>
      </c>
      <c r="H2536" s="50" t="s">
        <v>2</v>
      </c>
      <c r="I2536" s="50" t="s">
        <v>289</v>
      </c>
      <c r="J2536" s="51">
        <v>46032</v>
      </c>
      <c r="K2536" s="50" t="s">
        <v>3</v>
      </c>
      <c r="L2536" s="50" t="s">
        <v>80</v>
      </c>
    </row>
    <row r="2537" spans="2:12">
      <c r="B2537" s="50" t="s">
        <v>401</v>
      </c>
      <c r="C2537" s="50" t="s">
        <v>26</v>
      </c>
      <c r="D2537" s="50" t="s">
        <v>36</v>
      </c>
      <c r="E2537" s="50">
        <v>50038549</v>
      </c>
      <c r="F2537" s="50" t="s">
        <v>173</v>
      </c>
      <c r="G2537" s="50">
        <v>1</v>
      </c>
      <c r="H2537" s="50" t="s">
        <v>2</v>
      </c>
      <c r="I2537" s="50" t="s">
        <v>291</v>
      </c>
      <c r="J2537" s="51">
        <v>46031</v>
      </c>
      <c r="K2537" s="50" t="s">
        <v>3</v>
      </c>
      <c r="L2537" s="50" t="s">
        <v>80</v>
      </c>
    </row>
    <row r="2538" spans="2:12">
      <c r="B2538" s="50" t="s">
        <v>401</v>
      </c>
      <c r="C2538" s="50" t="s">
        <v>26</v>
      </c>
      <c r="D2538" s="50" t="s">
        <v>36</v>
      </c>
      <c r="E2538" s="50">
        <v>50036255</v>
      </c>
      <c r="F2538" s="50" t="s">
        <v>120</v>
      </c>
      <c r="G2538" s="50">
        <v>1</v>
      </c>
      <c r="H2538" s="50" t="s">
        <v>2</v>
      </c>
      <c r="I2538" s="50" t="s">
        <v>291</v>
      </c>
      <c r="J2538" s="51">
        <v>46031</v>
      </c>
      <c r="K2538" s="50" t="s">
        <v>1</v>
      </c>
      <c r="L2538" s="50" t="s">
        <v>80</v>
      </c>
    </row>
    <row r="2539" spans="2:12">
      <c r="B2539" s="50" t="s">
        <v>386</v>
      </c>
      <c r="C2539" s="50" t="s">
        <v>62</v>
      </c>
      <c r="D2539" s="50" t="s">
        <v>27</v>
      </c>
      <c r="E2539" s="50">
        <v>50041195</v>
      </c>
      <c r="F2539" s="50" t="s">
        <v>206</v>
      </c>
      <c r="G2539" s="50">
        <v>1</v>
      </c>
      <c r="H2539" s="50" t="s">
        <v>2</v>
      </c>
      <c r="I2539" s="50" t="s">
        <v>297</v>
      </c>
      <c r="J2539" s="51">
        <v>46031</v>
      </c>
      <c r="K2539" s="50" t="s">
        <v>3</v>
      </c>
      <c r="L2539" s="50" t="s">
        <v>80</v>
      </c>
    </row>
    <row r="2540" spans="2:12">
      <c r="B2540" s="50" t="s">
        <v>434</v>
      </c>
      <c r="C2540" s="50" t="s">
        <v>51</v>
      </c>
      <c r="D2540" s="50" t="s">
        <v>39</v>
      </c>
      <c r="E2540" s="50">
        <v>50010031</v>
      </c>
      <c r="F2540" s="50" t="s">
        <v>89</v>
      </c>
      <c r="G2540" s="50">
        <v>1</v>
      </c>
      <c r="H2540" s="50" t="s">
        <v>2</v>
      </c>
      <c r="I2540" s="50" t="s">
        <v>293</v>
      </c>
      <c r="J2540" s="51">
        <v>46031</v>
      </c>
      <c r="K2540" s="50" t="s">
        <v>1</v>
      </c>
      <c r="L2540" s="50" t="s">
        <v>80</v>
      </c>
    </row>
    <row r="2541" spans="2:12">
      <c r="B2541" s="50" t="s">
        <v>270</v>
      </c>
      <c r="C2541" s="50" t="s">
        <v>51</v>
      </c>
      <c r="D2541" s="50" t="s">
        <v>27</v>
      </c>
      <c r="E2541" s="50">
        <v>50037892</v>
      </c>
      <c r="F2541" s="50" t="s">
        <v>178</v>
      </c>
      <c r="G2541" s="50">
        <v>1</v>
      </c>
      <c r="H2541" s="50" t="s">
        <v>2</v>
      </c>
      <c r="I2541" s="50" t="s">
        <v>293</v>
      </c>
      <c r="J2541" s="51">
        <v>46031</v>
      </c>
      <c r="K2541" s="50" t="s">
        <v>3</v>
      </c>
      <c r="L2541" s="50" t="s">
        <v>80</v>
      </c>
    </row>
    <row r="2542" spans="2:12">
      <c r="B2542" s="50" t="s">
        <v>270</v>
      </c>
      <c r="C2542" s="50" t="s">
        <v>51</v>
      </c>
      <c r="D2542" s="50" t="s">
        <v>27</v>
      </c>
      <c r="E2542" s="50">
        <v>50037892</v>
      </c>
      <c r="F2542" s="50" t="s">
        <v>178</v>
      </c>
      <c r="G2542" s="50">
        <v>1</v>
      </c>
      <c r="H2542" s="50" t="s">
        <v>2</v>
      </c>
      <c r="I2542" s="50" t="s">
        <v>297</v>
      </c>
      <c r="J2542" s="51">
        <v>46031</v>
      </c>
      <c r="K2542" s="50" t="s">
        <v>1</v>
      </c>
      <c r="L2542" s="50" t="s">
        <v>80</v>
      </c>
    </row>
    <row r="2543" spans="2:12">
      <c r="B2543" s="50" t="s">
        <v>399</v>
      </c>
      <c r="C2543" s="50" t="s">
        <v>51</v>
      </c>
      <c r="D2543" s="50" t="s">
        <v>27</v>
      </c>
      <c r="E2543" s="50">
        <v>50037892</v>
      </c>
      <c r="F2543" s="50" t="s">
        <v>178</v>
      </c>
      <c r="G2543" s="50">
        <v>1</v>
      </c>
      <c r="H2543" s="50" t="s">
        <v>2</v>
      </c>
      <c r="I2543" s="50" t="s">
        <v>297</v>
      </c>
      <c r="J2543" s="51">
        <v>46031</v>
      </c>
      <c r="K2543" s="50" t="s">
        <v>1</v>
      </c>
      <c r="L2543" s="50" t="s">
        <v>80</v>
      </c>
    </row>
    <row r="2544" spans="2:12">
      <c r="B2544" s="50" t="s">
        <v>406</v>
      </c>
      <c r="C2544" s="50" t="s">
        <v>26</v>
      </c>
      <c r="D2544" s="50" t="s">
        <v>27</v>
      </c>
      <c r="E2544" s="50">
        <v>50039718</v>
      </c>
      <c r="F2544" s="50" t="s">
        <v>149</v>
      </c>
      <c r="G2544" s="50">
        <v>1</v>
      </c>
      <c r="H2544" s="50" t="s">
        <v>2</v>
      </c>
      <c r="I2544" s="50" t="s">
        <v>293</v>
      </c>
      <c r="J2544" s="51">
        <v>46031</v>
      </c>
      <c r="K2544" s="50" t="s">
        <v>1</v>
      </c>
      <c r="L2544" s="50" t="s">
        <v>80</v>
      </c>
    </row>
    <row r="2545" spans="2:12">
      <c r="B2545" s="50" t="s">
        <v>270</v>
      </c>
      <c r="C2545" s="50" t="s">
        <v>51</v>
      </c>
      <c r="D2545" s="50" t="s">
        <v>27</v>
      </c>
      <c r="E2545" s="50">
        <v>50038517</v>
      </c>
      <c r="F2545" s="50" t="s">
        <v>181</v>
      </c>
      <c r="G2545" s="50">
        <v>1</v>
      </c>
      <c r="H2545" s="50" t="s">
        <v>2</v>
      </c>
      <c r="I2545" s="50" t="s">
        <v>297</v>
      </c>
      <c r="J2545" s="51">
        <v>46031</v>
      </c>
      <c r="K2545" s="50" t="s">
        <v>1</v>
      </c>
      <c r="L2545" s="50" t="s">
        <v>80</v>
      </c>
    </row>
    <row r="2546" spans="2:12">
      <c r="B2546" s="50" t="s">
        <v>444</v>
      </c>
      <c r="C2546" s="50" t="s">
        <v>51</v>
      </c>
      <c r="D2546" s="50" t="s">
        <v>27</v>
      </c>
      <c r="E2546" s="50">
        <v>50026357</v>
      </c>
      <c r="F2546" s="50" t="s">
        <v>192</v>
      </c>
      <c r="G2546" s="50">
        <v>1</v>
      </c>
      <c r="H2546" s="50" t="s">
        <v>2</v>
      </c>
      <c r="I2546" s="50" t="s">
        <v>293</v>
      </c>
      <c r="J2546" s="51">
        <v>46031</v>
      </c>
      <c r="K2546" s="50" t="s">
        <v>1</v>
      </c>
      <c r="L2546" s="50" t="s">
        <v>80</v>
      </c>
    </row>
    <row r="2547" spans="2:12">
      <c r="B2547" s="50" t="s">
        <v>437</v>
      </c>
      <c r="C2547" s="50" t="s">
        <v>51</v>
      </c>
      <c r="D2547" s="50" t="s">
        <v>41</v>
      </c>
      <c r="E2547" s="50">
        <v>50038956</v>
      </c>
      <c r="F2547" s="50" t="s">
        <v>177</v>
      </c>
      <c r="G2547" s="50">
        <v>1</v>
      </c>
      <c r="H2547" s="50" t="s">
        <v>2</v>
      </c>
      <c r="I2547" s="50" t="s">
        <v>297</v>
      </c>
      <c r="J2547" s="51">
        <v>46031</v>
      </c>
      <c r="K2547" s="50" t="s">
        <v>1</v>
      </c>
      <c r="L2547" s="50" t="s">
        <v>80</v>
      </c>
    </row>
    <row r="2548" spans="2:12">
      <c r="B2548" s="50" t="s">
        <v>427</v>
      </c>
      <c r="C2548" s="50" t="s">
        <v>26</v>
      </c>
      <c r="D2548" s="50" t="s">
        <v>27</v>
      </c>
      <c r="E2548" s="50">
        <v>50043471</v>
      </c>
      <c r="F2548" s="50" t="s">
        <v>257</v>
      </c>
      <c r="G2548" s="50">
        <v>1</v>
      </c>
      <c r="H2548" s="50" t="s">
        <v>2</v>
      </c>
      <c r="I2548" s="50" t="s">
        <v>297</v>
      </c>
      <c r="J2548" s="51">
        <v>46031</v>
      </c>
      <c r="K2548" s="50" t="s">
        <v>1</v>
      </c>
      <c r="L2548" s="50" t="s">
        <v>80</v>
      </c>
    </row>
    <row r="2549" spans="2:12">
      <c r="B2549" s="50" t="s">
        <v>427</v>
      </c>
      <c r="C2549" s="50" t="s">
        <v>26</v>
      </c>
      <c r="D2549" s="50" t="s">
        <v>27</v>
      </c>
      <c r="E2549" s="50">
        <v>50036297</v>
      </c>
      <c r="F2549" s="50" t="s">
        <v>189</v>
      </c>
      <c r="G2549" s="50">
        <v>1</v>
      </c>
      <c r="H2549" s="50" t="s">
        <v>2</v>
      </c>
      <c r="I2549" s="50" t="s">
        <v>293</v>
      </c>
      <c r="J2549" s="51">
        <v>46031</v>
      </c>
      <c r="K2549" s="50" t="s">
        <v>3</v>
      </c>
      <c r="L2549" s="50" t="s">
        <v>80</v>
      </c>
    </row>
    <row r="2550" spans="2:12">
      <c r="B2550" s="50" t="s">
        <v>270</v>
      </c>
      <c r="C2550" s="50" t="s">
        <v>51</v>
      </c>
      <c r="D2550" s="50" t="s">
        <v>27</v>
      </c>
      <c r="E2550" s="50">
        <v>50038517</v>
      </c>
      <c r="F2550" s="50" t="s">
        <v>181</v>
      </c>
      <c r="G2550" s="50">
        <v>1</v>
      </c>
      <c r="H2550" s="50" t="s">
        <v>2</v>
      </c>
      <c r="I2550" s="50" t="s">
        <v>297</v>
      </c>
      <c r="J2550" s="51">
        <v>46031</v>
      </c>
      <c r="K2550" s="50" t="s">
        <v>1</v>
      </c>
      <c r="L2550" s="50" t="s">
        <v>80</v>
      </c>
    </row>
    <row r="2551" spans="2:12">
      <c r="B2551" s="50" t="s">
        <v>481</v>
      </c>
      <c r="C2551" s="50" t="s">
        <v>56</v>
      </c>
      <c r="D2551" s="50" t="s">
        <v>27</v>
      </c>
      <c r="E2551" s="50">
        <v>50010031</v>
      </c>
      <c r="F2551" s="50" t="s">
        <v>89</v>
      </c>
      <c r="G2551" s="50">
        <v>1</v>
      </c>
      <c r="H2551" s="50" t="s">
        <v>2</v>
      </c>
      <c r="I2551" s="50" t="s">
        <v>293</v>
      </c>
      <c r="J2551" s="51">
        <v>46031</v>
      </c>
      <c r="K2551" s="50" t="s">
        <v>3</v>
      </c>
      <c r="L2551" s="50" t="s">
        <v>80</v>
      </c>
    </row>
    <row r="2552" spans="2:12">
      <c r="B2552" s="50" t="s">
        <v>444</v>
      </c>
      <c r="C2552" s="50" t="s">
        <v>51</v>
      </c>
      <c r="D2552" s="50" t="s">
        <v>27</v>
      </c>
      <c r="E2552" s="50">
        <v>50026357</v>
      </c>
      <c r="F2552" s="50" t="s">
        <v>192</v>
      </c>
      <c r="G2552" s="50">
        <v>1</v>
      </c>
      <c r="H2552" s="50" t="s">
        <v>2</v>
      </c>
      <c r="I2552" s="50" t="s">
        <v>293</v>
      </c>
      <c r="J2552" s="51">
        <v>46031</v>
      </c>
      <c r="K2552" s="50" t="s">
        <v>3</v>
      </c>
      <c r="L2552" s="50" t="s">
        <v>80</v>
      </c>
    </row>
    <row r="2553" spans="2:12">
      <c r="B2553" s="50" t="s">
        <v>427</v>
      </c>
      <c r="C2553" s="50" t="s">
        <v>26</v>
      </c>
      <c r="D2553" s="50" t="s">
        <v>27</v>
      </c>
      <c r="E2553" s="50">
        <v>50036297</v>
      </c>
      <c r="F2553" s="50" t="s">
        <v>189</v>
      </c>
      <c r="G2553" s="50">
        <v>1</v>
      </c>
      <c r="H2553" s="50" t="s">
        <v>2</v>
      </c>
      <c r="I2553" s="50" t="s">
        <v>293</v>
      </c>
      <c r="J2553" s="51">
        <v>46031</v>
      </c>
      <c r="K2553" s="50" t="s">
        <v>3</v>
      </c>
      <c r="L2553" s="50" t="s">
        <v>80</v>
      </c>
    </row>
    <row r="2554" spans="2:12">
      <c r="B2554" s="50" t="s">
        <v>481</v>
      </c>
      <c r="C2554" s="50" t="s">
        <v>56</v>
      </c>
      <c r="D2554" s="50" t="s">
        <v>27</v>
      </c>
      <c r="E2554" s="50">
        <v>50010031</v>
      </c>
      <c r="F2554" s="50" t="s">
        <v>89</v>
      </c>
      <c r="G2554" s="50">
        <v>1</v>
      </c>
      <c r="H2554" s="50" t="s">
        <v>2</v>
      </c>
      <c r="I2554" s="50" t="s">
        <v>289</v>
      </c>
      <c r="J2554" s="51">
        <v>46031</v>
      </c>
      <c r="K2554" s="50" t="s">
        <v>3</v>
      </c>
      <c r="L2554" s="50" t="s">
        <v>80</v>
      </c>
    </row>
    <row r="2555" spans="2:12">
      <c r="B2555" s="50" t="s">
        <v>406</v>
      </c>
      <c r="C2555" s="50" t="s">
        <v>26</v>
      </c>
      <c r="D2555" s="50" t="s">
        <v>27</v>
      </c>
      <c r="E2555" s="50">
        <v>50039718</v>
      </c>
      <c r="F2555" s="50" t="s">
        <v>149</v>
      </c>
      <c r="G2555" s="50">
        <v>1</v>
      </c>
      <c r="H2555" s="50" t="s">
        <v>2</v>
      </c>
      <c r="I2555" s="50" t="s">
        <v>291</v>
      </c>
      <c r="J2555" s="51">
        <v>46031</v>
      </c>
      <c r="K2555" s="50" t="s">
        <v>3</v>
      </c>
      <c r="L2555" s="50" t="s">
        <v>80</v>
      </c>
    </row>
    <row r="2556" spans="2:12">
      <c r="B2556" s="50" t="s">
        <v>437</v>
      </c>
      <c r="C2556" s="50" t="s">
        <v>51</v>
      </c>
      <c r="D2556" s="50" t="s">
        <v>41</v>
      </c>
      <c r="E2556" s="50">
        <v>50038956</v>
      </c>
      <c r="F2556" s="50" t="s">
        <v>177</v>
      </c>
      <c r="G2556" s="50">
        <v>1</v>
      </c>
      <c r="H2556" s="50" t="s">
        <v>2</v>
      </c>
      <c r="I2556" s="50" t="s">
        <v>291</v>
      </c>
      <c r="J2556" s="51">
        <v>46031</v>
      </c>
      <c r="K2556" s="50" t="s">
        <v>1</v>
      </c>
      <c r="L2556" s="50" t="s">
        <v>80</v>
      </c>
    </row>
    <row r="2557" spans="2:12">
      <c r="B2557" s="50" t="s">
        <v>396</v>
      </c>
      <c r="C2557" s="50" t="s">
        <v>26</v>
      </c>
      <c r="D2557" s="50" t="s">
        <v>41</v>
      </c>
      <c r="E2557" s="50">
        <v>50038956</v>
      </c>
      <c r="F2557" s="50" t="s">
        <v>177</v>
      </c>
      <c r="G2557" s="50">
        <v>1</v>
      </c>
      <c r="H2557" s="50" t="s">
        <v>2</v>
      </c>
      <c r="I2557" s="50" t="s">
        <v>291</v>
      </c>
      <c r="J2557" s="51">
        <v>46031</v>
      </c>
      <c r="K2557" s="50" t="s">
        <v>3</v>
      </c>
      <c r="L2557" s="50" t="s">
        <v>80</v>
      </c>
    </row>
    <row r="2558" spans="2:12">
      <c r="B2558" s="50" t="s">
        <v>396</v>
      </c>
      <c r="C2558" s="50" t="s">
        <v>26</v>
      </c>
      <c r="D2558" s="50" t="s">
        <v>41</v>
      </c>
      <c r="E2558" s="50">
        <v>50038956</v>
      </c>
      <c r="F2558" s="50" t="s">
        <v>177</v>
      </c>
      <c r="G2558" s="50">
        <v>1</v>
      </c>
      <c r="H2558" s="50" t="s">
        <v>2</v>
      </c>
      <c r="I2558" s="50" t="s">
        <v>288</v>
      </c>
      <c r="J2558" s="51">
        <v>46031</v>
      </c>
      <c r="K2558" s="50" t="s">
        <v>3</v>
      </c>
      <c r="L2558" s="50" t="s">
        <v>80</v>
      </c>
    </row>
    <row r="2559" spans="2:12">
      <c r="B2559" s="50" t="s">
        <v>399</v>
      </c>
      <c r="C2559" s="50" t="s">
        <v>51</v>
      </c>
      <c r="D2559" s="50" t="s">
        <v>27</v>
      </c>
      <c r="E2559" s="50">
        <v>50037892</v>
      </c>
      <c r="F2559" s="50" t="s">
        <v>178</v>
      </c>
      <c r="G2559" s="50">
        <v>1</v>
      </c>
      <c r="H2559" s="50" t="s">
        <v>2</v>
      </c>
      <c r="I2559" s="50" t="s">
        <v>288</v>
      </c>
      <c r="J2559" s="51">
        <v>46031</v>
      </c>
      <c r="K2559" s="50" t="s">
        <v>1</v>
      </c>
      <c r="L2559" s="50" t="s">
        <v>80</v>
      </c>
    </row>
    <row r="2560" spans="2:12">
      <c r="B2560" s="50" t="s">
        <v>427</v>
      </c>
      <c r="C2560" s="50" t="s">
        <v>26</v>
      </c>
      <c r="D2560" s="50" t="s">
        <v>27</v>
      </c>
      <c r="E2560" s="50">
        <v>50010031</v>
      </c>
      <c r="F2560" s="50" t="s">
        <v>89</v>
      </c>
      <c r="G2560" s="50">
        <v>1</v>
      </c>
      <c r="H2560" s="50" t="s">
        <v>2</v>
      </c>
      <c r="I2560" s="50" t="s">
        <v>291</v>
      </c>
      <c r="J2560" s="51">
        <v>46031</v>
      </c>
      <c r="K2560" s="50" t="s">
        <v>3</v>
      </c>
      <c r="L2560" s="50" t="s">
        <v>80</v>
      </c>
    </row>
    <row r="2561" spans="2:12">
      <c r="B2561" s="50" t="s">
        <v>427</v>
      </c>
      <c r="C2561" s="50" t="s">
        <v>26</v>
      </c>
      <c r="D2561" s="50" t="s">
        <v>27</v>
      </c>
      <c r="E2561" s="50">
        <v>50043471</v>
      </c>
      <c r="F2561" s="50" t="s">
        <v>257</v>
      </c>
      <c r="G2561" s="50">
        <v>1</v>
      </c>
      <c r="H2561" s="50" t="s">
        <v>2</v>
      </c>
      <c r="I2561" s="50" t="s">
        <v>291</v>
      </c>
      <c r="J2561" s="51">
        <v>46031</v>
      </c>
      <c r="K2561" s="50" t="s">
        <v>3</v>
      </c>
      <c r="L2561" s="50" t="s">
        <v>80</v>
      </c>
    </row>
    <row r="2562" spans="2:12">
      <c r="B2562" s="50" t="s">
        <v>427</v>
      </c>
      <c r="C2562" s="50" t="s">
        <v>26</v>
      </c>
      <c r="D2562" s="50" t="s">
        <v>27</v>
      </c>
      <c r="E2562" s="50">
        <v>50010031</v>
      </c>
      <c r="F2562" s="50" t="s">
        <v>89</v>
      </c>
      <c r="G2562" s="50">
        <v>1</v>
      </c>
      <c r="H2562" s="50" t="s">
        <v>2</v>
      </c>
      <c r="I2562" s="50" t="s">
        <v>291</v>
      </c>
      <c r="J2562" s="51">
        <v>46031</v>
      </c>
      <c r="K2562" s="50" t="s">
        <v>3</v>
      </c>
      <c r="L2562" s="50" t="s">
        <v>80</v>
      </c>
    </row>
    <row r="2563" spans="2:12">
      <c r="B2563" s="50" t="s">
        <v>386</v>
      </c>
      <c r="C2563" s="50" t="s">
        <v>62</v>
      </c>
      <c r="D2563" s="50" t="s">
        <v>27</v>
      </c>
      <c r="E2563" s="50">
        <v>50041195</v>
      </c>
      <c r="F2563" s="50" t="s">
        <v>206</v>
      </c>
      <c r="G2563" s="50">
        <v>1</v>
      </c>
      <c r="H2563" s="50" t="s">
        <v>2</v>
      </c>
      <c r="I2563" s="50" t="s">
        <v>291</v>
      </c>
      <c r="J2563" s="51">
        <v>46031</v>
      </c>
      <c r="K2563" s="50" t="s">
        <v>1</v>
      </c>
      <c r="L2563" s="50" t="s">
        <v>80</v>
      </c>
    </row>
    <row r="2564" spans="2:12">
      <c r="B2564" s="50" t="s">
        <v>401</v>
      </c>
      <c r="C2564" s="50" t="s">
        <v>26</v>
      </c>
      <c r="D2564" s="50" t="s">
        <v>36</v>
      </c>
      <c r="E2564" s="50">
        <v>50001995</v>
      </c>
      <c r="F2564" s="50" t="s">
        <v>185</v>
      </c>
      <c r="G2564" s="50">
        <v>1</v>
      </c>
      <c r="H2564" s="50" t="s">
        <v>2</v>
      </c>
      <c r="I2564" s="50" t="s">
        <v>290</v>
      </c>
      <c r="J2564" s="51">
        <v>46030</v>
      </c>
      <c r="K2564" s="50" t="s">
        <v>3</v>
      </c>
      <c r="L2564" s="50" t="s">
        <v>80</v>
      </c>
    </row>
    <row r="2565" spans="2:12">
      <c r="B2565" s="50" t="s">
        <v>401</v>
      </c>
      <c r="C2565" s="50" t="s">
        <v>26</v>
      </c>
      <c r="D2565" s="50" t="s">
        <v>36</v>
      </c>
      <c r="E2565" s="50">
        <v>50001995</v>
      </c>
      <c r="F2565" s="50" t="s">
        <v>185</v>
      </c>
      <c r="G2565" s="50">
        <v>1</v>
      </c>
      <c r="H2565" s="50" t="s">
        <v>2</v>
      </c>
      <c r="I2565" s="50" t="s">
        <v>290</v>
      </c>
      <c r="J2565" s="51">
        <v>46030</v>
      </c>
      <c r="K2565" s="50" t="s">
        <v>1</v>
      </c>
      <c r="L2565" s="50" t="s">
        <v>80</v>
      </c>
    </row>
    <row r="2566" spans="2:12">
      <c r="B2566" s="50" t="s">
        <v>402</v>
      </c>
      <c r="C2566" s="50" t="s">
        <v>26</v>
      </c>
      <c r="D2566" s="50" t="s">
        <v>36</v>
      </c>
      <c r="E2566" s="50">
        <v>50010031</v>
      </c>
      <c r="F2566" s="50" t="s">
        <v>89</v>
      </c>
      <c r="G2566" s="50">
        <v>1</v>
      </c>
      <c r="H2566" s="50" t="s">
        <v>2</v>
      </c>
      <c r="I2566" s="50" t="s">
        <v>290</v>
      </c>
      <c r="J2566" s="51">
        <v>46030</v>
      </c>
      <c r="K2566" s="50" t="s">
        <v>3</v>
      </c>
      <c r="L2566" s="50" t="s">
        <v>80</v>
      </c>
    </row>
    <row r="2567" spans="2:12">
      <c r="B2567" s="50" t="s">
        <v>402</v>
      </c>
      <c r="C2567" s="50" t="s">
        <v>26</v>
      </c>
      <c r="D2567" s="50" t="s">
        <v>36</v>
      </c>
      <c r="E2567" s="50">
        <v>50010031</v>
      </c>
      <c r="F2567" s="50" t="s">
        <v>89</v>
      </c>
      <c r="G2567" s="50">
        <v>1</v>
      </c>
      <c r="H2567" s="50" t="s">
        <v>2</v>
      </c>
      <c r="I2567" s="50" t="s">
        <v>290</v>
      </c>
      <c r="J2567" s="51">
        <v>46030</v>
      </c>
      <c r="K2567" s="50" t="s">
        <v>1</v>
      </c>
      <c r="L2567" s="50" t="s">
        <v>80</v>
      </c>
    </row>
    <row r="2568" spans="2:12">
      <c r="B2568" s="50" t="s">
        <v>439</v>
      </c>
      <c r="C2568" s="50" t="s">
        <v>26</v>
      </c>
      <c r="D2568" s="50" t="s">
        <v>41</v>
      </c>
      <c r="E2568" s="50">
        <v>50037952</v>
      </c>
      <c r="F2568" s="50" t="s">
        <v>245</v>
      </c>
      <c r="G2568" s="50">
        <v>1</v>
      </c>
      <c r="H2568" s="50" t="s">
        <v>2</v>
      </c>
      <c r="I2568" s="50" t="s">
        <v>291</v>
      </c>
      <c r="J2568" s="51">
        <v>46030</v>
      </c>
      <c r="K2568" s="50" t="s">
        <v>3</v>
      </c>
      <c r="L2568" s="50" t="s">
        <v>80</v>
      </c>
    </row>
    <row r="2569" spans="2:12">
      <c r="B2569" s="50" t="s">
        <v>439</v>
      </c>
      <c r="C2569" s="50" t="s">
        <v>26</v>
      </c>
      <c r="D2569" s="50" t="s">
        <v>41</v>
      </c>
      <c r="E2569" s="50">
        <v>50037952</v>
      </c>
      <c r="F2569" s="50" t="s">
        <v>245</v>
      </c>
      <c r="G2569" s="50">
        <v>1</v>
      </c>
      <c r="H2569" s="50" t="s">
        <v>2</v>
      </c>
      <c r="I2569" s="50" t="s">
        <v>291</v>
      </c>
      <c r="J2569" s="51">
        <v>46030</v>
      </c>
      <c r="K2569" s="50" t="s">
        <v>3</v>
      </c>
      <c r="L2569" s="50" t="s">
        <v>80</v>
      </c>
    </row>
    <row r="2570" spans="2:12">
      <c r="B2570" s="50" t="s">
        <v>400</v>
      </c>
      <c r="C2570" s="50" t="s">
        <v>51</v>
      </c>
      <c r="D2570" s="50" t="s">
        <v>39</v>
      </c>
      <c r="E2570" s="50">
        <v>50041195</v>
      </c>
      <c r="F2570" s="50" t="s">
        <v>206</v>
      </c>
      <c r="G2570" s="50">
        <v>1</v>
      </c>
      <c r="H2570" s="50" t="s">
        <v>2</v>
      </c>
      <c r="I2570" s="50" t="s">
        <v>289</v>
      </c>
      <c r="J2570" s="51">
        <v>46030</v>
      </c>
      <c r="K2570" s="50" t="s">
        <v>1</v>
      </c>
      <c r="L2570" s="50" t="s">
        <v>80</v>
      </c>
    </row>
    <row r="2571" spans="2:12">
      <c r="B2571" s="50" t="s">
        <v>430</v>
      </c>
      <c r="C2571" s="50" t="s">
        <v>61</v>
      </c>
      <c r="D2571" s="50" t="s">
        <v>39</v>
      </c>
      <c r="E2571" s="50">
        <v>50018168</v>
      </c>
      <c r="F2571" s="50" t="s">
        <v>251</v>
      </c>
      <c r="G2571" s="50">
        <v>1</v>
      </c>
      <c r="H2571" s="50" t="s">
        <v>2</v>
      </c>
      <c r="I2571" s="50" t="s">
        <v>289</v>
      </c>
      <c r="J2571" s="51">
        <v>46030</v>
      </c>
      <c r="K2571" s="50" t="s">
        <v>1</v>
      </c>
      <c r="L2571" s="50" t="s">
        <v>80</v>
      </c>
    </row>
    <row r="2572" spans="2:12">
      <c r="B2572" s="50" t="s">
        <v>409</v>
      </c>
      <c r="C2572" s="50" t="s">
        <v>51</v>
      </c>
      <c r="D2572" s="50" t="s">
        <v>27</v>
      </c>
      <c r="E2572" s="50">
        <v>50036297</v>
      </c>
      <c r="F2572" s="50" t="s">
        <v>189</v>
      </c>
      <c r="G2572" s="50">
        <v>1</v>
      </c>
      <c r="H2572" s="50" t="s">
        <v>2</v>
      </c>
      <c r="I2572" s="50" t="s">
        <v>289</v>
      </c>
      <c r="J2572" s="51">
        <v>46030</v>
      </c>
      <c r="K2572" s="50" t="s">
        <v>1</v>
      </c>
      <c r="L2572" s="50" t="s">
        <v>80</v>
      </c>
    </row>
    <row r="2573" spans="2:12">
      <c r="B2573" s="50" t="s">
        <v>478</v>
      </c>
      <c r="C2573" s="50" t="s">
        <v>51</v>
      </c>
      <c r="D2573" s="50" t="s">
        <v>27</v>
      </c>
      <c r="E2573" s="50">
        <v>50038956</v>
      </c>
      <c r="F2573" s="50" t="s">
        <v>177</v>
      </c>
      <c r="G2573" s="50">
        <v>1</v>
      </c>
      <c r="H2573" s="50" t="s">
        <v>2</v>
      </c>
      <c r="I2573" s="50" t="s">
        <v>289</v>
      </c>
      <c r="J2573" s="51">
        <v>46030</v>
      </c>
      <c r="K2573" s="50" t="s">
        <v>1</v>
      </c>
      <c r="L2573" s="50" t="s">
        <v>80</v>
      </c>
    </row>
    <row r="2574" spans="2:12">
      <c r="B2574" s="50" t="s">
        <v>399</v>
      </c>
      <c r="C2574" s="50" t="s">
        <v>51</v>
      </c>
      <c r="D2574" s="50" t="s">
        <v>27</v>
      </c>
      <c r="E2574" s="50">
        <v>50030486</v>
      </c>
      <c r="F2574" s="50" t="s">
        <v>153</v>
      </c>
      <c r="G2574" s="50">
        <v>1</v>
      </c>
      <c r="H2574" s="50" t="s">
        <v>2</v>
      </c>
      <c r="I2574" s="50" t="s">
        <v>289</v>
      </c>
      <c r="J2574" s="51">
        <v>46030</v>
      </c>
      <c r="K2574" s="50" t="s">
        <v>1</v>
      </c>
      <c r="L2574" s="50" t="s">
        <v>80</v>
      </c>
    </row>
    <row r="2575" spans="2:12">
      <c r="B2575" s="50" t="s">
        <v>481</v>
      </c>
      <c r="C2575" s="50" t="s">
        <v>56</v>
      </c>
      <c r="D2575" s="50" t="s">
        <v>27</v>
      </c>
      <c r="E2575" s="50">
        <v>50038517</v>
      </c>
      <c r="F2575" s="50" t="s">
        <v>181</v>
      </c>
      <c r="G2575" s="50">
        <v>1</v>
      </c>
      <c r="H2575" s="50" t="s">
        <v>2</v>
      </c>
      <c r="I2575" s="50" t="s">
        <v>292</v>
      </c>
      <c r="J2575" s="51">
        <v>46030</v>
      </c>
      <c r="K2575" s="50" t="s">
        <v>1</v>
      </c>
      <c r="L2575" s="50" t="s">
        <v>80</v>
      </c>
    </row>
    <row r="2576" spans="2:12">
      <c r="B2576" s="50" t="s">
        <v>399</v>
      </c>
      <c r="C2576" s="50" t="s">
        <v>51</v>
      </c>
      <c r="D2576" s="50" t="s">
        <v>27</v>
      </c>
      <c r="E2576" s="50">
        <v>50039065</v>
      </c>
      <c r="F2576" s="50" t="s">
        <v>186</v>
      </c>
      <c r="G2576" s="50">
        <v>1</v>
      </c>
      <c r="H2576" s="50" t="s">
        <v>2</v>
      </c>
      <c r="I2576" s="50" t="s">
        <v>293</v>
      </c>
      <c r="J2576" s="51">
        <v>46030</v>
      </c>
      <c r="K2576" s="50" t="s">
        <v>1</v>
      </c>
      <c r="L2576" s="50" t="s">
        <v>80</v>
      </c>
    </row>
    <row r="2577" spans="2:12">
      <c r="B2577" s="50" t="s">
        <v>280</v>
      </c>
      <c r="C2577" s="50" t="s">
        <v>62</v>
      </c>
      <c r="D2577" s="50" t="s">
        <v>27</v>
      </c>
      <c r="E2577" s="50">
        <v>50020624</v>
      </c>
      <c r="F2577" s="50" t="s">
        <v>217</v>
      </c>
      <c r="G2577" s="50">
        <v>1</v>
      </c>
      <c r="H2577" s="50" t="s">
        <v>2</v>
      </c>
      <c r="I2577" s="50" t="s">
        <v>289</v>
      </c>
      <c r="J2577" s="51">
        <v>46030</v>
      </c>
      <c r="K2577" s="50" t="s">
        <v>1</v>
      </c>
      <c r="L2577" s="50" t="s">
        <v>80</v>
      </c>
    </row>
    <row r="2578" spans="2:12">
      <c r="B2578" s="50" t="s">
        <v>423</v>
      </c>
      <c r="C2578" s="50" t="s">
        <v>62</v>
      </c>
      <c r="D2578" s="50" t="s">
        <v>27</v>
      </c>
      <c r="E2578" s="50">
        <v>50041195</v>
      </c>
      <c r="F2578" s="50" t="s">
        <v>206</v>
      </c>
      <c r="G2578" s="50">
        <v>1</v>
      </c>
      <c r="H2578" s="50" t="s">
        <v>2</v>
      </c>
      <c r="I2578" s="50" t="s">
        <v>293</v>
      </c>
      <c r="J2578" s="51">
        <v>46030</v>
      </c>
      <c r="K2578" s="50" t="s">
        <v>1</v>
      </c>
      <c r="L2578" s="50" t="s">
        <v>80</v>
      </c>
    </row>
    <row r="2579" spans="2:12">
      <c r="B2579" s="50" t="s">
        <v>463</v>
      </c>
      <c r="C2579" s="50" t="s">
        <v>56</v>
      </c>
      <c r="D2579" s="50" t="s">
        <v>27</v>
      </c>
      <c r="E2579" s="50">
        <v>50026357</v>
      </c>
      <c r="F2579" s="50" t="s">
        <v>192</v>
      </c>
      <c r="G2579" s="50">
        <v>1</v>
      </c>
      <c r="H2579" s="50" t="s">
        <v>2</v>
      </c>
      <c r="I2579" s="50" t="s">
        <v>293</v>
      </c>
      <c r="J2579" s="51">
        <v>46030</v>
      </c>
      <c r="K2579" s="50" t="s">
        <v>3</v>
      </c>
      <c r="L2579" s="50" t="s">
        <v>80</v>
      </c>
    </row>
    <row r="2580" spans="2:12">
      <c r="B2580" s="50" t="s">
        <v>434</v>
      </c>
      <c r="C2580" s="50" t="s">
        <v>51</v>
      </c>
      <c r="D2580" s="50" t="s">
        <v>39</v>
      </c>
      <c r="E2580" s="50">
        <v>50010031</v>
      </c>
      <c r="F2580" s="50" t="s">
        <v>89</v>
      </c>
      <c r="G2580" s="50">
        <v>1</v>
      </c>
      <c r="H2580" s="50" t="s">
        <v>2</v>
      </c>
      <c r="I2580" s="50" t="s">
        <v>293</v>
      </c>
      <c r="J2580" s="51">
        <v>46030</v>
      </c>
      <c r="K2580" s="50" t="s">
        <v>1</v>
      </c>
      <c r="L2580" s="50" t="s">
        <v>80</v>
      </c>
    </row>
    <row r="2581" spans="2:12">
      <c r="B2581" s="50" t="s">
        <v>444</v>
      </c>
      <c r="C2581" s="50" t="s">
        <v>51</v>
      </c>
      <c r="D2581" s="50" t="s">
        <v>27</v>
      </c>
      <c r="E2581" s="50">
        <v>50043150</v>
      </c>
      <c r="F2581" s="50" t="s">
        <v>259</v>
      </c>
      <c r="G2581" s="50">
        <v>1</v>
      </c>
      <c r="H2581" s="50" t="s">
        <v>2</v>
      </c>
      <c r="I2581" s="50" t="s">
        <v>293</v>
      </c>
      <c r="J2581" s="51">
        <v>46030</v>
      </c>
      <c r="K2581" s="50" t="s">
        <v>1</v>
      </c>
      <c r="L2581" s="50" t="s">
        <v>80</v>
      </c>
    </row>
    <row r="2582" spans="2:12">
      <c r="B2582" s="50" t="s">
        <v>406</v>
      </c>
      <c r="C2582" s="50" t="s">
        <v>26</v>
      </c>
      <c r="D2582" s="50" t="s">
        <v>27</v>
      </c>
      <c r="E2582" s="50">
        <v>50010031</v>
      </c>
      <c r="F2582" s="50" t="s">
        <v>89</v>
      </c>
      <c r="G2582" s="50">
        <v>1</v>
      </c>
      <c r="H2582" s="50" t="s">
        <v>2</v>
      </c>
      <c r="I2582" s="50" t="s">
        <v>297</v>
      </c>
      <c r="J2582" s="51">
        <v>46030</v>
      </c>
      <c r="K2582" s="50" t="s">
        <v>1</v>
      </c>
      <c r="L2582" s="50" t="s">
        <v>80</v>
      </c>
    </row>
    <row r="2583" spans="2:12">
      <c r="B2583" s="50" t="s">
        <v>399</v>
      </c>
      <c r="C2583" s="50" t="s">
        <v>51</v>
      </c>
      <c r="D2583" s="50" t="s">
        <v>27</v>
      </c>
      <c r="E2583" s="50">
        <v>50003173</v>
      </c>
      <c r="F2583" s="50" t="s">
        <v>74</v>
      </c>
      <c r="G2583" s="50">
        <v>1</v>
      </c>
      <c r="H2583" s="50" t="s">
        <v>2</v>
      </c>
      <c r="I2583" s="50" t="s">
        <v>293</v>
      </c>
      <c r="J2583" s="51">
        <v>46030</v>
      </c>
      <c r="K2583" s="50" t="s">
        <v>1</v>
      </c>
      <c r="L2583" s="50" t="s">
        <v>80</v>
      </c>
    </row>
    <row r="2584" spans="2:12">
      <c r="B2584" s="50" t="s">
        <v>422</v>
      </c>
      <c r="C2584" s="50" t="s">
        <v>26</v>
      </c>
      <c r="D2584" s="50" t="s">
        <v>27</v>
      </c>
      <c r="E2584" s="50">
        <v>50001995</v>
      </c>
      <c r="F2584" s="50" t="s">
        <v>185</v>
      </c>
      <c r="G2584" s="50">
        <v>1</v>
      </c>
      <c r="H2584" s="50" t="s">
        <v>2</v>
      </c>
      <c r="I2584" s="50" t="s">
        <v>293</v>
      </c>
      <c r="J2584" s="51">
        <v>46030</v>
      </c>
      <c r="K2584" s="50" t="s">
        <v>1</v>
      </c>
      <c r="L2584" s="50" t="s">
        <v>80</v>
      </c>
    </row>
    <row r="2585" spans="2:12">
      <c r="B2585" s="50" t="s">
        <v>399</v>
      </c>
      <c r="C2585" s="50" t="s">
        <v>51</v>
      </c>
      <c r="D2585" s="50" t="s">
        <v>27</v>
      </c>
      <c r="E2585" s="50">
        <v>50037892</v>
      </c>
      <c r="F2585" s="50" t="s">
        <v>178</v>
      </c>
      <c r="G2585" s="50">
        <v>1</v>
      </c>
      <c r="H2585" s="50" t="s">
        <v>2</v>
      </c>
      <c r="I2585" s="50" t="s">
        <v>293</v>
      </c>
      <c r="J2585" s="51">
        <v>46030</v>
      </c>
      <c r="K2585" s="50" t="s">
        <v>3</v>
      </c>
      <c r="L2585" s="50" t="s">
        <v>80</v>
      </c>
    </row>
    <row r="2586" spans="2:12">
      <c r="B2586" s="50" t="s">
        <v>463</v>
      </c>
      <c r="C2586" s="50" t="s">
        <v>56</v>
      </c>
      <c r="D2586" s="50" t="s">
        <v>27</v>
      </c>
      <c r="E2586" s="50">
        <v>50026357</v>
      </c>
      <c r="F2586" s="50" t="s">
        <v>192</v>
      </c>
      <c r="G2586" s="50">
        <v>1</v>
      </c>
      <c r="H2586" s="50" t="s">
        <v>2</v>
      </c>
      <c r="I2586" s="50" t="s">
        <v>289</v>
      </c>
      <c r="J2586" s="51">
        <v>46030</v>
      </c>
      <c r="K2586" s="50" t="s">
        <v>1</v>
      </c>
      <c r="L2586" s="50" t="s">
        <v>80</v>
      </c>
    </row>
    <row r="2587" spans="2:12">
      <c r="B2587" s="50" t="s">
        <v>478</v>
      </c>
      <c r="C2587" s="50" t="s">
        <v>51</v>
      </c>
      <c r="D2587" s="50" t="s">
        <v>27</v>
      </c>
      <c r="E2587" s="50">
        <v>50032781</v>
      </c>
      <c r="F2587" s="50" t="s">
        <v>237</v>
      </c>
      <c r="G2587" s="50">
        <v>1</v>
      </c>
      <c r="H2587" s="50" t="s">
        <v>2</v>
      </c>
      <c r="I2587" s="50" t="s">
        <v>293</v>
      </c>
      <c r="J2587" s="51">
        <v>46030</v>
      </c>
      <c r="K2587" s="50" t="s">
        <v>1</v>
      </c>
      <c r="L2587" s="50" t="s">
        <v>80</v>
      </c>
    </row>
    <row r="2588" spans="2:12">
      <c r="B2588" s="50" t="s">
        <v>481</v>
      </c>
      <c r="C2588" s="50" t="s">
        <v>26</v>
      </c>
      <c r="D2588" s="50" t="s">
        <v>27</v>
      </c>
      <c r="E2588" s="50">
        <v>50043471</v>
      </c>
      <c r="F2588" s="50" t="s">
        <v>257</v>
      </c>
      <c r="G2588" s="50">
        <v>1</v>
      </c>
      <c r="H2588" s="50" t="s">
        <v>2</v>
      </c>
      <c r="I2588" s="50" t="s">
        <v>293</v>
      </c>
      <c r="J2588" s="51">
        <v>46030</v>
      </c>
      <c r="K2588" s="50" t="s">
        <v>1</v>
      </c>
      <c r="L2588" s="50" t="s">
        <v>80</v>
      </c>
    </row>
    <row r="2589" spans="2:12">
      <c r="B2589" s="50" t="s">
        <v>417</v>
      </c>
      <c r="C2589" s="50" t="s">
        <v>51</v>
      </c>
      <c r="D2589" s="50" t="s">
        <v>41</v>
      </c>
      <c r="E2589" s="50">
        <v>50003297</v>
      </c>
      <c r="F2589" s="50" t="s">
        <v>158</v>
      </c>
      <c r="G2589" s="50">
        <v>1</v>
      </c>
      <c r="H2589" s="50" t="s">
        <v>2</v>
      </c>
      <c r="I2589" s="50" t="s">
        <v>292</v>
      </c>
      <c r="J2589" s="51">
        <v>46030</v>
      </c>
      <c r="K2589" s="50" t="s">
        <v>3</v>
      </c>
      <c r="L2589" s="50" t="s">
        <v>80</v>
      </c>
    </row>
    <row r="2590" spans="2:12">
      <c r="B2590" s="50" t="s">
        <v>481</v>
      </c>
      <c r="C2590" s="50" t="s">
        <v>56</v>
      </c>
      <c r="D2590" s="50" t="s">
        <v>27</v>
      </c>
      <c r="E2590" s="50">
        <v>50038517</v>
      </c>
      <c r="F2590" s="50" t="s">
        <v>181</v>
      </c>
      <c r="G2590" s="50">
        <v>1</v>
      </c>
      <c r="H2590" s="50" t="s">
        <v>2</v>
      </c>
      <c r="I2590" s="50" t="s">
        <v>292</v>
      </c>
      <c r="J2590" s="51">
        <v>46030</v>
      </c>
      <c r="K2590" s="50" t="s">
        <v>1</v>
      </c>
      <c r="L2590" s="50" t="s">
        <v>80</v>
      </c>
    </row>
    <row r="2591" spans="2:12">
      <c r="B2591" s="50" t="s">
        <v>427</v>
      </c>
      <c r="C2591" s="50" t="s">
        <v>26</v>
      </c>
      <c r="D2591" s="50" t="s">
        <v>27</v>
      </c>
      <c r="E2591" s="50">
        <v>50038517</v>
      </c>
      <c r="F2591" s="50" t="s">
        <v>181</v>
      </c>
      <c r="G2591" s="50">
        <v>1</v>
      </c>
      <c r="H2591" s="50" t="s">
        <v>2</v>
      </c>
      <c r="I2591" s="50" t="s">
        <v>297</v>
      </c>
      <c r="J2591" s="51">
        <v>46030</v>
      </c>
      <c r="K2591" s="50" t="s">
        <v>1</v>
      </c>
      <c r="L2591" s="50" t="s">
        <v>80</v>
      </c>
    </row>
    <row r="2592" spans="2:12">
      <c r="B2592" s="50" t="s">
        <v>412</v>
      </c>
      <c r="C2592" s="50" t="s">
        <v>51</v>
      </c>
      <c r="D2592" s="50" t="s">
        <v>41</v>
      </c>
      <c r="E2592" s="50">
        <v>50038517</v>
      </c>
      <c r="F2592" s="50" t="s">
        <v>181</v>
      </c>
      <c r="G2592" s="50">
        <v>1</v>
      </c>
      <c r="H2592" s="50" t="s">
        <v>2</v>
      </c>
      <c r="I2592" s="50" t="s">
        <v>290</v>
      </c>
      <c r="J2592" s="51">
        <v>46030</v>
      </c>
      <c r="K2592" s="50" t="s">
        <v>3</v>
      </c>
      <c r="L2592" s="50" t="s">
        <v>80</v>
      </c>
    </row>
    <row r="2593" spans="2:12">
      <c r="B2593" s="50" t="s">
        <v>444</v>
      </c>
      <c r="C2593" s="50" t="s">
        <v>51</v>
      </c>
      <c r="D2593" s="50" t="s">
        <v>27</v>
      </c>
      <c r="E2593" s="50">
        <v>50043150</v>
      </c>
      <c r="F2593" s="50" t="s">
        <v>259</v>
      </c>
      <c r="G2593" s="50">
        <v>1</v>
      </c>
      <c r="H2593" s="50" t="s">
        <v>2</v>
      </c>
      <c r="I2593" s="50" t="s">
        <v>297</v>
      </c>
      <c r="J2593" s="51">
        <v>46030</v>
      </c>
      <c r="K2593" s="50" t="s">
        <v>3</v>
      </c>
      <c r="L2593" s="50" t="s">
        <v>80</v>
      </c>
    </row>
    <row r="2594" spans="2:12">
      <c r="B2594" s="50" t="s">
        <v>280</v>
      </c>
      <c r="C2594" s="50" t="s">
        <v>62</v>
      </c>
      <c r="D2594" s="50" t="s">
        <v>27</v>
      </c>
      <c r="E2594" s="50">
        <v>50020624</v>
      </c>
      <c r="F2594" s="50" t="s">
        <v>217</v>
      </c>
      <c r="G2594" s="50">
        <v>1</v>
      </c>
      <c r="H2594" s="50" t="s">
        <v>2</v>
      </c>
      <c r="I2594" s="50" t="s">
        <v>289</v>
      </c>
      <c r="J2594" s="51">
        <v>46030</v>
      </c>
      <c r="K2594" s="50" t="s">
        <v>3</v>
      </c>
      <c r="L2594" s="50" t="s">
        <v>80</v>
      </c>
    </row>
    <row r="2595" spans="2:12">
      <c r="B2595" s="50" t="s">
        <v>417</v>
      </c>
      <c r="C2595" s="50" t="s">
        <v>51</v>
      </c>
      <c r="D2595" s="50" t="s">
        <v>41</v>
      </c>
      <c r="E2595" s="50">
        <v>50003297</v>
      </c>
      <c r="F2595" s="50" t="s">
        <v>158</v>
      </c>
      <c r="G2595" s="50">
        <v>1</v>
      </c>
      <c r="H2595" s="50" t="s">
        <v>2</v>
      </c>
      <c r="I2595" s="50" t="s">
        <v>289</v>
      </c>
      <c r="J2595" s="51">
        <v>46030</v>
      </c>
      <c r="K2595" s="50" t="s">
        <v>3</v>
      </c>
      <c r="L2595" s="50" t="s">
        <v>80</v>
      </c>
    </row>
    <row r="2596" spans="2:12">
      <c r="B2596" s="50" t="s">
        <v>430</v>
      </c>
      <c r="C2596" s="50" t="s">
        <v>61</v>
      </c>
      <c r="D2596" s="50" t="s">
        <v>39</v>
      </c>
      <c r="E2596" s="50">
        <v>50018168</v>
      </c>
      <c r="F2596" s="50" t="s">
        <v>251</v>
      </c>
      <c r="G2596" s="50">
        <v>1</v>
      </c>
      <c r="H2596" s="50" t="s">
        <v>2</v>
      </c>
      <c r="I2596" s="50" t="s">
        <v>289</v>
      </c>
      <c r="J2596" s="51">
        <v>46030</v>
      </c>
      <c r="K2596" s="50" t="s">
        <v>1</v>
      </c>
      <c r="L2596" s="50" t="s">
        <v>80</v>
      </c>
    </row>
    <row r="2597" spans="2:12">
      <c r="B2597" s="50" t="s">
        <v>465</v>
      </c>
      <c r="C2597" s="50" t="s">
        <v>26</v>
      </c>
      <c r="D2597" s="50" t="s">
        <v>27</v>
      </c>
      <c r="E2597" s="50">
        <v>50003297</v>
      </c>
      <c r="F2597" s="50" t="s">
        <v>158</v>
      </c>
      <c r="G2597" s="50">
        <v>1</v>
      </c>
      <c r="H2597" s="50" t="s">
        <v>2</v>
      </c>
      <c r="I2597" s="50" t="s">
        <v>288</v>
      </c>
      <c r="J2597" s="51">
        <v>46030</v>
      </c>
      <c r="K2597" s="50" t="s">
        <v>3</v>
      </c>
      <c r="L2597" s="50" t="s">
        <v>80</v>
      </c>
    </row>
    <row r="2598" spans="2:12">
      <c r="B2598" s="50" t="s">
        <v>427</v>
      </c>
      <c r="C2598" s="50" t="s">
        <v>26</v>
      </c>
      <c r="D2598" s="50" t="s">
        <v>27</v>
      </c>
      <c r="E2598" s="50">
        <v>50038517</v>
      </c>
      <c r="F2598" s="50" t="s">
        <v>181</v>
      </c>
      <c r="G2598" s="50">
        <v>1</v>
      </c>
      <c r="H2598" s="50" t="s">
        <v>2</v>
      </c>
      <c r="I2598" s="50" t="s">
        <v>288</v>
      </c>
      <c r="J2598" s="51">
        <v>46030</v>
      </c>
      <c r="K2598" s="50" t="s">
        <v>3</v>
      </c>
      <c r="L2598" s="50" t="s">
        <v>80</v>
      </c>
    </row>
    <row r="2599" spans="2:12">
      <c r="B2599" s="50" t="s">
        <v>409</v>
      </c>
      <c r="C2599" s="50" t="s">
        <v>51</v>
      </c>
      <c r="D2599" s="50" t="s">
        <v>27</v>
      </c>
      <c r="E2599" s="50">
        <v>50036297</v>
      </c>
      <c r="F2599" s="50" t="s">
        <v>189</v>
      </c>
      <c r="G2599" s="50">
        <v>1</v>
      </c>
      <c r="H2599" s="50" t="s">
        <v>2</v>
      </c>
      <c r="I2599" s="50" t="s">
        <v>288</v>
      </c>
      <c r="J2599" s="51">
        <v>46030</v>
      </c>
      <c r="K2599" s="50" t="s">
        <v>1</v>
      </c>
      <c r="L2599" s="50" t="s">
        <v>80</v>
      </c>
    </row>
    <row r="2600" spans="2:12">
      <c r="B2600" s="50" t="s">
        <v>427</v>
      </c>
      <c r="C2600" s="50" t="s">
        <v>26</v>
      </c>
      <c r="D2600" s="50" t="s">
        <v>27</v>
      </c>
      <c r="E2600" s="50">
        <v>50038549</v>
      </c>
      <c r="F2600" s="50" t="s">
        <v>173</v>
      </c>
      <c r="G2600" s="50">
        <v>1</v>
      </c>
      <c r="H2600" s="50" t="s">
        <v>2</v>
      </c>
      <c r="I2600" s="50" t="s">
        <v>288</v>
      </c>
      <c r="J2600" s="51">
        <v>46030</v>
      </c>
      <c r="K2600" s="50" t="s">
        <v>3</v>
      </c>
      <c r="L2600" s="50" t="s">
        <v>80</v>
      </c>
    </row>
    <row r="2601" spans="2:12">
      <c r="B2601" s="50" t="s">
        <v>481</v>
      </c>
      <c r="C2601" s="50" t="s">
        <v>26</v>
      </c>
      <c r="D2601" s="50" t="s">
        <v>27</v>
      </c>
      <c r="E2601" s="50">
        <v>50043471</v>
      </c>
      <c r="F2601" s="50" t="s">
        <v>257</v>
      </c>
      <c r="G2601" s="50">
        <v>1</v>
      </c>
      <c r="H2601" s="50" t="s">
        <v>2</v>
      </c>
      <c r="I2601" s="50" t="s">
        <v>288</v>
      </c>
      <c r="J2601" s="51">
        <v>46030</v>
      </c>
      <c r="K2601" s="50" t="s">
        <v>1</v>
      </c>
      <c r="L2601" s="50" t="s">
        <v>80</v>
      </c>
    </row>
    <row r="2602" spans="2:12">
      <c r="B2602" s="50" t="s">
        <v>280</v>
      </c>
      <c r="C2602" s="50" t="s">
        <v>62</v>
      </c>
      <c r="D2602" s="50" t="s">
        <v>27</v>
      </c>
      <c r="E2602" s="50">
        <v>50043471</v>
      </c>
      <c r="F2602" s="50" t="s">
        <v>257</v>
      </c>
      <c r="G2602" s="50">
        <v>1</v>
      </c>
      <c r="H2602" s="50" t="s">
        <v>2</v>
      </c>
      <c r="I2602" s="50" t="s">
        <v>288</v>
      </c>
      <c r="J2602" s="51">
        <v>46030</v>
      </c>
      <c r="K2602" s="50" t="s">
        <v>3</v>
      </c>
      <c r="L2602" s="50" t="s">
        <v>80</v>
      </c>
    </row>
    <row r="2603" spans="2:12">
      <c r="B2603" s="50" t="s">
        <v>280</v>
      </c>
      <c r="C2603" s="50" t="s">
        <v>62</v>
      </c>
      <c r="D2603" s="50" t="s">
        <v>27</v>
      </c>
      <c r="E2603" s="50">
        <v>50043471</v>
      </c>
      <c r="F2603" s="50" t="s">
        <v>257</v>
      </c>
      <c r="G2603" s="50">
        <v>1</v>
      </c>
      <c r="H2603" s="50" t="s">
        <v>2</v>
      </c>
      <c r="I2603" s="50" t="s">
        <v>291</v>
      </c>
      <c r="J2603" s="51">
        <v>46030</v>
      </c>
      <c r="K2603" s="50" t="s">
        <v>1</v>
      </c>
      <c r="L2603" s="50" t="s">
        <v>80</v>
      </c>
    </row>
    <row r="2604" spans="2:12">
      <c r="B2604" s="50" t="s">
        <v>397</v>
      </c>
      <c r="C2604" s="50" t="s">
        <v>26</v>
      </c>
      <c r="D2604" s="50" t="s">
        <v>41</v>
      </c>
      <c r="E2604" s="50">
        <v>50038517</v>
      </c>
      <c r="F2604" s="50" t="s">
        <v>181</v>
      </c>
      <c r="G2604" s="50">
        <v>1</v>
      </c>
      <c r="H2604" s="50" t="s">
        <v>2</v>
      </c>
      <c r="I2604" s="50" t="s">
        <v>291</v>
      </c>
      <c r="J2604" s="51">
        <v>46030</v>
      </c>
      <c r="K2604" s="50" t="s">
        <v>1</v>
      </c>
      <c r="L2604" s="50" t="s">
        <v>80</v>
      </c>
    </row>
    <row r="2605" spans="2:12">
      <c r="B2605" s="50" t="s">
        <v>422</v>
      </c>
      <c r="C2605" s="50" t="s">
        <v>26</v>
      </c>
      <c r="D2605" s="50" t="s">
        <v>27</v>
      </c>
      <c r="E2605" s="50">
        <v>50043471</v>
      </c>
      <c r="F2605" s="50" t="s">
        <v>257</v>
      </c>
      <c r="G2605" s="50">
        <v>1</v>
      </c>
      <c r="H2605" s="50" t="s">
        <v>2</v>
      </c>
      <c r="I2605" s="50" t="s">
        <v>291</v>
      </c>
      <c r="J2605" s="51">
        <v>46030</v>
      </c>
      <c r="K2605" s="50" t="s">
        <v>3</v>
      </c>
      <c r="L2605" s="50" t="s">
        <v>80</v>
      </c>
    </row>
    <row r="2606" spans="2:12">
      <c r="B2606" s="50" t="s">
        <v>478</v>
      </c>
      <c r="C2606" s="50" t="s">
        <v>51</v>
      </c>
      <c r="D2606" s="50" t="s">
        <v>27</v>
      </c>
      <c r="E2606" s="50">
        <v>50038956</v>
      </c>
      <c r="F2606" s="50" t="s">
        <v>177</v>
      </c>
      <c r="G2606" s="50">
        <v>1</v>
      </c>
      <c r="H2606" s="50" t="s">
        <v>2</v>
      </c>
      <c r="I2606" s="50" t="s">
        <v>291</v>
      </c>
      <c r="J2606" s="51">
        <v>46030</v>
      </c>
      <c r="K2606" s="50" t="s">
        <v>1</v>
      </c>
      <c r="L2606" s="50" t="s">
        <v>80</v>
      </c>
    </row>
    <row r="2607" spans="2:12">
      <c r="B2607" s="50" t="s">
        <v>412</v>
      </c>
      <c r="C2607" s="50" t="s">
        <v>51</v>
      </c>
      <c r="D2607" s="50" t="s">
        <v>41</v>
      </c>
      <c r="E2607" s="50">
        <v>50038956</v>
      </c>
      <c r="F2607" s="50" t="s">
        <v>177</v>
      </c>
      <c r="G2607" s="50">
        <v>1</v>
      </c>
      <c r="H2607" s="50" t="s">
        <v>2</v>
      </c>
      <c r="I2607" s="50" t="s">
        <v>291</v>
      </c>
      <c r="J2607" s="51">
        <v>46030</v>
      </c>
      <c r="K2607" s="50" t="s">
        <v>1</v>
      </c>
      <c r="L2607" s="50" t="s">
        <v>80</v>
      </c>
    </row>
    <row r="2608" spans="2:12">
      <c r="B2608" s="50" t="s">
        <v>397</v>
      </c>
      <c r="C2608" s="50" t="s">
        <v>26</v>
      </c>
      <c r="D2608" s="50" t="s">
        <v>41</v>
      </c>
      <c r="E2608" s="50">
        <v>50038854</v>
      </c>
      <c r="F2608" s="50" t="s">
        <v>101</v>
      </c>
      <c r="G2608" s="50">
        <v>1</v>
      </c>
      <c r="H2608" s="50" t="s">
        <v>2</v>
      </c>
      <c r="I2608" s="50" t="s">
        <v>291</v>
      </c>
      <c r="J2608" s="51">
        <v>46030</v>
      </c>
      <c r="K2608" s="50" t="s">
        <v>3</v>
      </c>
      <c r="L2608" s="50" t="s">
        <v>80</v>
      </c>
    </row>
    <row r="2609" spans="2:12">
      <c r="B2609" s="50" t="s">
        <v>397</v>
      </c>
      <c r="C2609" s="50" t="s">
        <v>26</v>
      </c>
      <c r="D2609" s="50" t="s">
        <v>41</v>
      </c>
      <c r="E2609" s="50">
        <v>50038854</v>
      </c>
      <c r="F2609" s="50" t="s">
        <v>101</v>
      </c>
      <c r="G2609" s="50">
        <v>1</v>
      </c>
      <c r="H2609" s="50" t="s">
        <v>2</v>
      </c>
      <c r="I2609" s="50" t="s">
        <v>291</v>
      </c>
      <c r="J2609" s="51">
        <v>46030</v>
      </c>
      <c r="K2609" s="50" t="s">
        <v>3</v>
      </c>
      <c r="L2609" s="50" t="s">
        <v>80</v>
      </c>
    </row>
    <row r="2610" spans="2:12">
      <c r="B2610" s="50" t="s">
        <v>412</v>
      </c>
      <c r="C2610" s="50" t="s">
        <v>51</v>
      </c>
      <c r="D2610" s="50" t="s">
        <v>41</v>
      </c>
      <c r="E2610" s="50">
        <v>50038956</v>
      </c>
      <c r="F2610" s="50" t="s">
        <v>177</v>
      </c>
      <c r="G2610" s="50">
        <v>1</v>
      </c>
      <c r="H2610" s="50" t="s">
        <v>2</v>
      </c>
      <c r="I2610" s="50" t="s">
        <v>291</v>
      </c>
      <c r="J2610" s="51">
        <v>46030</v>
      </c>
      <c r="K2610" s="50" t="s">
        <v>1</v>
      </c>
      <c r="L2610" s="50" t="s">
        <v>80</v>
      </c>
    </row>
    <row r="2611" spans="2:12">
      <c r="B2611" s="50" t="s">
        <v>439</v>
      </c>
      <c r="C2611" s="50" t="s">
        <v>62</v>
      </c>
      <c r="D2611" s="50" t="s">
        <v>27</v>
      </c>
      <c r="E2611" s="50">
        <v>50026357</v>
      </c>
      <c r="F2611" s="50" t="s">
        <v>192</v>
      </c>
      <c r="G2611" s="50">
        <v>1</v>
      </c>
      <c r="H2611" s="50" t="s">
        <v>2</v>
      </c>
      <c r="I2611" s="50" t="s">
        <v>291</v>
      </c>
      <c r="J2611" s="51">
        <v>46030</v>
      </c>
      <c r="K2611" s="50" t="s">
        <v>3</v>
      </c>
      <c r="L2611" s="50" t="s">
        <v>80</v>
      </c>
    </row>
    <row r="2612" spans="2:12">
      <c r="B2612" s="50" t="s">
        <v>478</v>
      </c>
      <c r="C2612" s="50" t="s">
        <v>51</v>
      </c>
      <c r="D2612" s="50" t="s">
        <v>27</v>
      </c>
      <c r="E2612" s="50">
        <v>50032781</v>
      </c>
      <c r="F2612" s="50" t="s">
        <v>237</v>
      </c>
      <c r="G2612" s="50">
        <v>1</v>
      </c>
      <c r="H2612" s="50" t="s">
        <v>2</v>
      </c>
      <c r="I2612" s="50" t="s">
        <v>291</v>
      </c>
      <c r="J2612" s="51">
        <v>46030</v>
      </c>
      <c r="K2612" s="50" t="s">
        <v>3</v>
      </c>
      <c r="L2612" s="50" t="s">
        <v>80</v>
      </c>
    </row>
    <row r="2613" spans="2:12">
      <c r="B2613" s="50" t="s">
        <v>423</v>
      </c>
      <c r="C2613" s="50" t="s">
        <v>62</v>
      </c>
      <c r="D2613" s="50" t="s">
        <v>27</v>
      </c>
      <c r="E2613" s="50">
        <v>50041195</v>
      </c>
      <c r="F2613" s="50" t="s">
        <v>206</v>
      </c>
      <c r="G2613" s="50">
        <v>1</v>
      </c>
      <c r="H2613" s="50" t="s">
        <v>2</v>
      </c>
      <c r="I2613" s="50" t="s">
        <v>291</v>
      </c>
      <c r="J2613" s="51">
        <v>46030</v>
      </c>
      <c r="K2613" s="50" t="s">
        <v>3</v>
      </c>
      <c r="L2613" s="50" t="s">
        <v>80</v>
      </c>
    </row>
    <row r="2614" spans="2:12">
      <c r="B2614" s="50" t="s">
        <v>397</v>
      </c>
      <c r="C2614" s="50" t="s">
        <v>26</v>
      </c>
      <c r="D2614" s="50" t="s">
        <v>41</v>
      </c>
      <c r="E2614" s="50">
        <v>50038517</v>
      </c>
      <c r="F2614" s="50" t="s">
        <v>181</v>
      </c>
      <c r="G2614" s="50">
        <v>1</v>
      </c>
      <c r="H2614" s="50" t="s">
        <v>2</v>
      </c>
      <c r="I2614" s="50" t="s">
        <v>291</v>
      </c>
      <c r="J2614" s="51">
        <v>46030</v>
      </c>
      <c r="K2614" s="50" t="s">
        <v>1</v>
      </c>
      <c r="L2614" s="50" t="s">
        <v>80</v>
      </c>
    </row>
    <row r="2615" spans="2:12">
      <c r="B2615" s="50" t="s">
        <v>397</v>
      </c>
      <c r="C2615" s="50" t="s">
        <v>26</v>
      </c>
      <c r="D2615" s="50" t="s">
        <v>41</v>
      </c>
      <c r="E2615" s="50">
        <v>50041195</v>
      </c>
      <c r="F2615" s="50" t="s">
        <v>206</v>
      </c>
      <c r="G2615" s="50">
        <v>1</v>
      </c>
      <c r="H2615" s="50" t="s">
        <v>2</v>
      </c>
      <c r="I2615" s="50" t="s">
        <v>291</v>
      </c>
      <c r="J2615" s="51">
        <v>46030</v>
      </c>
      <c r="K2615" s="50" t="s">
        <v>3</v>
      </c>
      <c r="L2615" s="50" t="s">
        <v>80</v>
      </c>
    </row>
    <row r="2616" spans="2:12">
      <c r="B2616" s="50" t="s">
        <v>399</v>
      </c>
      <c r="C2616" s="50" t="s">
        <v>51</v>
      </c>
      <c r="D2616" s="50" t="s">
        <v>27</v>
      </c>
      <c r="E2616" s="50">
        <v>50003173</v>
      </c>
      <c r="F2616" s="50" t="s">
        <v>74</v>
      </c>
      <c r="G2616" s="50">
        <v>1</v>
      </c>
      <c r="H2616" s="50" t="s">
        <v>2</v>
      </c>
      <c r="I2616" s="50" t="s">
        <v>291</v>
      </c>
      <c r="J2616" s="51">
        <v>46030</v>
      </c>
      <c r="K2616" s="50" t="s">
        <v>3</v>
      </c>
      <c r="L2616" s="50" t="s">
        <v>80</v>
      </c>
    </row>
    <row r="2617" spans="2:12">
      <c r="B2617" s="50" t="s">
        <v>399</v>
      </c>
      <c r="C2617" s="50" t="s">
        <v>51</v>
      </c>
      <c r="D2617" s="50" t="s">
        <v>27</v>
      </c>
      <c r="E2617" s="50">
        <v>50030486</v>
      </c>
      <c r="F2617" s="50" t="s">
        <v>153</v>
      </c>
      <c r="G2617" s="50">
        <v>1</v>
      </c>
      <c r="H2617" s="50" t="s">
        <v>2</v>
      </c>
      <c r="I2617" s="50" t="s">
        <v>291</v>
      </c>
      <c r="J2617" s="51">
        <v>46030</v>
      </c>
      <c r="K2617" s="50" t="s">
        <v>3</v>
      </c>
      <c r="L2617" s="50" t="s">
        <v>80</v>
      </c>
    </row>
    <row r="2618" spans="2:12">
      <c r="B2618" s="50" t="s">
        <v>399</v>
      </c>
      <c r="C2618" s="50" t="s">
        <v>51</v>
      </c>
      <c r="D2618" s="50" t="s">
        <v>27</v>
      </c>
      <c r="E2618" s="50">
        <v>50037892</v>
      </c>
      <c r="F2618" s="50" t="s">
        <v>178</v>
      </c>
      <c r="G2618" s="50">
        <v>1</v>
      </c>
      <c r="H2618" s="50" t="s">
        <v>2</v>
      </c>
      <c r="I2618" s="50" t="s">
        <v>291</v>
      </c>
      <c r="J2618" s="51">
        <v>46030</v>
      </c>
      <c r="K2618" s="50" t="s">
        <v>3</v>
      </c>
      <c r="L2618" s="50" t="s">
        <v>80</v>
      </c>
    </row>
    <row r="2619" spans="2:12">
      <c r="B2619" s="50" t="s">
        <v>399</v>
      </c>
      <c r="C2619" s="50" t="s">
        <v>51</v>
      </c>
      <c r="D2619" s="50" t="s">
        <v>27</v>
      </c>
      <c r="E2619" s="50">
        <v>50039065</v>
      </c>
      <c r="F2619" s="50" t="s">
        <v>186</v>
      </c>
      <c r="G2619" s="50">
        <v>1</v>
      </c>
      <c r="H2619" s="50" t="s">
        <v>2</v>
      </c>
      <c r="I2619" s="50" t="s">
        <v>291</v>
      </c>
      <c r="J2619" s="51">
        <v>46030</v>
      </c>
      <c r="K2619" s="50" t="s">
        <v>3</v>
      </c>
      <c r="L2619" s="50" t="s">
        <v>80</v>
      </c>
    </row>
    <row r="2620" spans="2:12">
      <c r="B2620" s="50" t="s">
        <v>439</v>
      </c>
      <c r="C2620" s="50" t="s">
        <v>62</v>
      </c>
      <c r="D2620" s="50" t="s">
        <v>27</v>
      </c>
      <c r="E2620" s="50">
        <v>50026357</v>
      </c>
      <c r="F2620" s="50" t="s">
        <v>192</v>
      </c>
      <c r="G2620" s="50">
        <v>1</v>
      </c>
      <c r="H2620" s="50" t="s">
        <v>2</v>
      </c>
      <c r="I2620" s="50" t="s">
        <v>291</v>
      </c>
      <c r="J2620" s="51">
        <v>46030</v>
      </c>
      <c r="K2620" s="50" t="s">
        <v>3</v>
      </c>
      <c r="L2620" s="50" t="s">
        <v>80</v>
      </c>
    </row>
    <row r="2621" spans="2:12">
      <c r="B2621" s="50" t="s">
        <v>406</v>
      </c>
      <c r="C2621" s="50" t="s">
        <v>26</v>
      </c>
      <c r="D2621" s="50" t="s">
        <v>27</v>
      </c>
      <c r="E2621" s="50">
        <v>50010031</v>
      </c>
      <c r="F2621" s="50" t="s">
        <v>89</v>
      </c>
      <c r="G2621" s="50">
        <v>1</v>
      </c>
      <c r="H2621" s="50" t="s">
        <v>2</v>
      </c>
      <c r="I2621" s="50" t="s">
        <v>290</v>
      </c>
      <c r="J2621" s="51">
        <v>46030</v>
      </c>
      <c r="K2621" s="50" t="s">
        <v>3</v>
      </c>
      <c r="L2621" s="50" t="s">
        <v>80</v>
      </c>
    </row>
    <row r="2622" spans="2:12">
      <c r="B2622" s="50" t="s">
        <v>422</v>
      </c>
      <c r="C2622" s="50" t="s">
        <v>26</v>
      </c>
      <c r="D2622" s="50" t="s">
        <v>27</v>
      </c>
      <c r="E2622" s="50">
        <v>50001995</v>
      </c>
      <c r="F2622" s="50" t="s">
        <v>185</v>
      </c>
      <c r="G2622" s="50">
        <v>1</v>
      </c>
      <c r="H2622" s="50" t="s">
        <v>2</v>
      </c>
      <c r="I2622" s="50" t="s">
        <v>290</v>
      </c>
      <c r="J2622" s="51">
        <v>46030</v>
      </c>
      <c r="K2622" s="50" t="s">
        <v>3</v>
      </c>
      <c r="L2622" s="50" t="s">
        <v>80</v>
      </c>
    </row>
    <row r="2623" spans="2:12">
      <c r="B2623" s="50" t="s">
        <v>422</v>
      </c>
      <c r="C2623" s="50" t="s">
        <v>26</v>
      </c>
      <c r="D2623" s="50" t="s">
        <v>27</v>
      </c>
      <c r="E2623" s="50">
        <v>50043471</v>
      </c>
      <c r="F2623" s="50" t="s">
        <v>257</v>
      </c>
      <c r="G2623" s="50">
        <v>1</v>
      </c>
      <c r="H2623" s="50" t="s">
        <v>2</v>
      </c>
      <c r="I2623" s="50" t="s">
        <v>290</v>
      </c>
      <c r="J2623" s="51">
        <v>46030</v>
      </c>
      <c r="K2623" s="50" t="s">
        <v>3</v>
      </c>
      <c r="L2623" s="50" t="s">
        <v>80</v>
      </c>
    </row>
    <row r="2624" spans="2:12">
      <c r="B2624" s="50" t="s">
        <v>412</v>
      </c>
      <c r="C2624" s="50" t="s">
        <v>51</v>
      </c>
      <c r="D2624" s="50" t="s">
        <v>41</v>
      </c>
      <c r="E2624" s="50">
        <v>50038517</v>
      </c>
      <c r="F2624" s="50" t="s">
        <v>181</v>
      </c>
      <c r="G2624" s="50">
        <v>1</v>
      </c>
      <c r="H2624" s="50" t="s">
        <v>2</v>
      </c>
      <c r="I2624" s="50" t="s">
        <v>290</v>
      </c>
      <c r="J2624" s="51">
        <v>46030</v>
      </c>
      <c r="K2624" s="50" t="s">
        <v>3</v>
      </c>
      <c r="L2624" s="50" t="s">
        <v>80</v>
      </c>
    </row>
    <row r="2625" spans="2:12">
      <c r="B2625" s="50" t="s">
        <v>465</v>
      </c>
      <c r="C2625" s="50" t="s">
        <v>26</v>
      </c>
      <c r="D2625" s="50" t="s">
        <v>27</v>
      </c>
      <c r="E2625" s="50">
        <v>50003297</v>
      </c>
      <c r="F2625" s="50" t="s">
        <v>158</v>
      </c>
      <c r="G2625" s="50">
        <v>1</v>
      </c>
      <c r="H2625" s="50" t="s">
        <v>2</v>
      </c>
      <c r="I2625" s="50" t="s">
        <v>290</v>
      </c>
      <c r="J2625" s="51">
        <v>46030</v>
      </c>
      <c r="K2625" s="50" t="s">
        <v>3</v>
      </c>
      <c r="L2625" s="50" t="s">
        <v>80</v>
      </c>
    </row>
    <row r="2626" spans="2:12">
      <c r="B2626" s="50" t="s">
        <v>427</v>
      </c>
      <c r="C2626" s="50" t="s">
        <v>26</v>
      </c>
      <c r="D2626" s="50" t="s">
        <v>27</v>
      </c>
      <c r="E2626" s="50">
        <v>50038549</v>
      </c>
      <c r="F2626" s="50" t="s">
        <v>173</v>
      </c>
      <c r="G2626" s="50">
        <v>1</v>
      </c>
      <c r="H2626" s="50" t="s">
        <v>2</v>
      </c>
      <c r="I2626" s="50" t="s">
        <v>290</v>
      </c>
      <c r="J2626" s="51">
        <v>46030</v>
      </c>
      <c r="K2626" s="50" t="s">
        <v>3</v>
      </c>
      <c r="L2626" s="50" t="s">
        <v>80</v>
      </c>
    </row>
    <row r="2627" spans="2:12">
      <c r="B2627" s="50" t="s">
        <v>397</v>
      </c>
      <c r="C2627" s="50" t="s">
        <v>26</v>
      </c>
      <c r="D2627" s="50" t="s">
        <v>41</v>
      </c>
      <c r="E2627" s="50">
        <v>50041195</v>
      </c>
      <c r="F2627" s="50" t="s">
        <v>206</v>
      </c>
      <c r="G2627" s="50">
        <v>1</v>
      </c>
      <c r="H2627" s="50" t="s">
        <v>2</v>
      </c>
      <c r="I2627" s="50" t="s">
        <v>290</v>
      </c>
      <c r="J2627" s="51">
        <v>46030</v>
      </c>
      <c r="K2627" s="50" t="s">
        <v>1</v>
      </c>
      <c r="L2627" s="50" t="s">
        <v>80</v>
      </c>
    </row>
    <row r="2628" spans="2:12">
      <c r="B2628" s="50" t="s">
        <v>399</v>
      </c>
      <c r="C2628" s="50" t="s">
        <v>51</v>
      </c>
      <c r="D2628" s="50" t="s">
        <v>27</v>
      </c>
      <c r="E2628" s="50">
        <v>50037892</v>
      </c>
      <c r="F2628" s="50" t="s">
        <v>178</v>
      </c>
      <c r="G2628" s="50">
        <v>1</v>
      </c>
      <c r="H2628" s="50" t="s">
        <v>2</v>
      </c>
      <c r="I2628" s="50" t="s">
        <v>297</v>
      </c>
      <c r="J2628" s="51">
        <v>46029</v>
      </c>
      <c r="K2628" s="50" t="s">
        <v>1</v>
      </c>
      <c r="L2628" s="50" t="s">
        <v>80</v>
      </c>
    </row>
    <row r="2629" spans="2:12">
      <c r="B2629" s="50" t="s">
        <v>399</v>
      </c>
      <c r="C2629" s="50" t="s">
        <v>51</v>
      </c>
      <c r="D2629" s="50" t="s">
        <v>27</v>
      </c>
      <c r="E2629" s="50">
        <v>50036086</v>
      </c>
      <c r="F2629" s="50" t="s">
        <v>28</v>
      </c>
      <c r="G2629" s="50">
        <v>1</v>
      </c>
      <c r="H2629" s="50" t="s">
        <v>2</v>
      </c>
      <c r="I2629" s="50" t="s">
        <v>293</v>
      </c>
      <c r="J2629" s="51">
        <v>46029</v>
      </c>
      <c r="K2629" s="50" t="s">
        <v>1</v>
      </c>
      <c r="L2629" s="50" t="s">
        <v>80</v>
      </c>
    </row>
    <row r="2630" spans="2:12">
      <c r="B2630" s="50" t="s">
        <v>399</v>
      </c>
      <c r="C2630" s="50" t="s">
        <v>51</v>
      </c>
      <c r="D2630" s="50" t="s">
        <v>27</v>
      </c>
      <c r="E2630" s="50">
        <v>50003173</v>
      </c>
      <c r="F2630" s="50" t="s">
        <v>74</v>
      </c>
      <c r="G2630" s="50">
        <v>1</v>
      </c>
      <c r="H2630" s="50" t="s">
        <v>2</v>
      </c>
      <c r="I2630" s="50" t="s">
        <v>293</v>
      </c>
      <c r="J2630" s="51">
        <v>46029</v>
      </c>
      <c r="K2630" s="50" t="s">
        <v>1</v>
      </c>
      <c r="L2630" s="50" t="s">
        <v>80</v>
      </c>
    </row>
    <row r="2631" spans="2:12">
      <c r="B2631" s="50" t="s">
        <v>483</v>
      </c>
      <c r="C2631" s="50" t="s">
        <v>62</v>
      </c>
      <c r="D2631" s="50" t="s">
        <v>27</v>
      </c>
      <c r="E2631" s="50">
        <v>50026357</v>
      </c>
      <c r="F2631" s="50" t="s">
        <v>192</v>
      </c>
      <c r="G2631" s="50">
        <v>1</v>
      </c>
      <c r="H2631" s="50" t="s">
        <v>2</v>
      </c>
      <c r="I2631" s="50" t="s">
        <v>293</v>
      </c>
      <c r="J2631" s="51">
        <v>46029</v>
      </c>
      <c r="K2631" s="50" t="s">
        <v>1</v>
      </c>
      <c r="L2631" s="50" t="s">
        <v>80</v>
      </c>
    </row>
    <row r="2632" spans="2:12">
      <c r="B2632" s="50" t="s">
        <v>427</v>
      </c>
      <c r="C2632" s="50" t="s">
        <v>26</v>
      </c>
      <c r="D2632" s="50" t="s">
        <v>27</v>
      </c>
      <c r="E2632" s="50">
        <v>50038549</v>
      </c>
      <c r="F2632" s="50" t="s">
        <v>173</v>
      </c>
      <c r="G2632" s="50">
        <v>1</v>
      </c>
      <c r="H2632" s="50" t="s">
        <v>2</v>
      </c>
      <c r="I2632" s="50" t="s">
        <v>297</v>
      </c>
      <c r="J2632" s="51">
        <v>46029</v>
      </c>
      <c r="K2632" s="50" t="s">
        <v>1</v>
      </c>
      <c r="L2632" s="50" t="s">
        <v>80</v>
      </c>
    </row>
    <row r="2633" spans="2:12">
      <c r="B2633" s="50" t="s">
        <v>474</v>
      </c>
      <c r="C2633" s="50" t="s">
        <v>51</v>
      </c>
      <c r="D2633" s="50" t="s">
        <v>27</v>
      </c>
      <c r="E2633" s="50">
        <v>50041195</v>
      </c>
      <c r="F2633" s="50" t="s">
        <v>206</v>
      </c>
      <c r="G2633" s="50">
        <v>1</v>
      </c>
      <c r="H2633" s="50" t="s">
        <v>2</v>
      </c>
      <c r="I2633" s="50" t="s">
        <v>297</v>
      </c>
      <c r="J2633" s="51">
        <v>46029</v>
      </c>
      <c r="K2633" s="50" t="s">
        <v>1</v>
      </c>
      <c r="L2633" s="50" t="s">
        <v>80</v>
      </c>
    </row>
    <row r="2634" spans="2:12">
      <c r="B2634" s="50" t="s">
        <v>399</v>
      </c>
      <c r="C2634" s="50" t="s">
        <v>51</v>
      </c>
      <c r="D2634" s="50" t="s">
        <v>27</v>
      </c>
      <c r="E2634" s="50">
        <v>50039065</v>
      </c>
      <c r="F2634" s="50" t="s">
        <v>186</v>
      </c>
      <c r="G2634" s="50">
        <v>1</v>
      </c>
      <c r="H2634" s="50" t="s">
        <v>2</v>
      </c>
      <c r="I2634" s="50" t="s">
        <v>297</v>
      </c>
      <c r="J2634" s="51">
        <v>46029</v>
      </c>
      <c r="K2634" s="50" t="s">
        <v>1</v>
      </c>
      <c r="L2634" s="50" t="s">
        <v>80</v>
      </c>
    </row>
    <row r="2635" spans="2:12">
      <c r="B2635" s="50" t="s">
        <v>409</v>
      </c>
      <c r="C2635" s="50" t="s">
        <v>51</v>
      </c>
      <c r="D2635" s="50" t="s">
        <v>27</v>
      </c>
      <c r="E2635" s="50">
        <v>50038517</v>
      </c>
      <c r="F2635" s="50" t="s">
        <v>181</v>
      </c>
      <c r="G2635" s="50">
        <v>1</v>
      </c>
      <c r="H2635" s="50" t="s">
        <v>2</v>
      </c>
      <c r="I2635" s="50" t="s">
        <v>293</v>
      </c>
      <c r="J2635" s="51">
        <v>46029</v>
      </c>
      <c r="K2635" s="50" t="s">
        <v>1</v>
      </c>
      <c r="L2635" s="50" t="s">
        <v>80</v>
      </c>
    </row>
    <row r="2636" spans="2:12">
      <c r="B2636" s="50" t="s">
        <v>389</v>
      </c>
      <c r="C2636" s="50" t="s">
        <v>56</v>
      </c>
      <c r="D2636" s="50" t="s">
        <v>27</v>
      </c>
      <c r="E2636" s="50">
        <v>50043520</v>
      </c>
      <c r="F2636" s="50" t="s">
        <v>266</v>
      </c>
      <c r="G2636" s="50">
        <v>1</v>
      </c>
      <c r="H2636" s="50" t="s">
        <v>2</v>
      </c>
      <c r="I2636" s="50" t="s">
        <v>293</v>
      </c>
      <c r="J2636" s="51">
        <v>46029</v>
      </c>
      <c r="K2636" s="50" t="s">
        <v>3</v>
      </c>
      <c r="L2636" s="50" t="s">
        <v>80</v>
      </c>
    </row>
    <row r="2637" spans="2:12">
      <c r="B2637" s="50" t="s">
        <v>483</v>
      </c>
      <c r="C2637" s="50" t="s">
        <v>62</v>
      </c>
      <c r="D2637" s="50" t="s">
        <v>27</v>
      </c>
      <c r="E2637" s="50">
        <v>50026357</v>
      </c>
      <c r="F2637" s="50" t="s">
        <v>192</v>
      </c>
      <c r="G2637" s="50">
        <v>1</v>
      </c>
      <c r="H2637" s="50" t="s">
        <v>2</v>
      </c>
      <c r="I2637" s="50" t="s">
        <v>293</v>
      </c>
      <c r="J2637" s="51">
        <v>46029</v>
      </c>
      <c r="K2637" s="50" t="s">
        <v>1</v>
      </c>
      <c r="L2637" s="50" t="s">
        <v>80</v>
      </c>
    </row>
    <row r="2638" spans="2:12">
      <c r="B2638" s="50" t="s">
        <v>483</v>
      </c>
      <c r="C2638" s="50" t="s">
        <v>62</v>
      </c>
      <c r="D2638" s="50" t="s">
        <v>27</v>
      </c>
      <c r="E2638" s="50">
        <v>50038956</v>
      </c>
      <c r="F2638" s="50" t="s">
        <v>177</v>
      </c>
      <c r="G2638" s="50">
        <v>1</v>
      </c>
      <c r="H2638" s="50" t="s">
        <v>2</v>
      </c>
      <c r="I2638" s="50" t="s">
        <v>293</v>
      </c>
      <c r="J2638" s="51">
        <v>46029</v>
      </c>
      <c r="K2638" s="50" t="s">
        <v>1</v>
      </c>
      <c r="L2638" s="50" t="s">
        <v>80</v>
      </c>
    </row>
    <row r="2639" spans="2:12">
      <c r="B2639" s="50" t="s">
        <v>483</v>
      </c>
      <c r="C2639" s="50" t="s">
        <v>62</v>
      </c>
      <c r="D2639" s="50" t="s">
        <v>27</v>
      </c>
      <c r="E2639" s="50">
        <v>50030486</v>
      </c>
      <c r="F2639" s="50" t="s">
        <v>153</v>
      </c>
      <c r="G2639" s="50">
        <v>1</v>
      </c>
      <c r="H2639" s="50" t="s">
        <v>2</v>
      </c>
      <c r="I2639" s="50" t="s">
        <v>297</v>
      </c>
      <c r="J2639" s="51">
        <v>46029</v>
      </c>
      <c r="K2639" s="50" t="s">
        <v>3</v>
      </c>
      <c r="L2639" s="50" t="s">
        <v>80</v>
      </c>
    </row>
    <row r="2640" spans="2:12">
      <c r="B2640" s="50" t="s">
        <v>389</v>
      </c>
      <c r="C2640" s="50" t="s">
        <v>56</v>
      </c>
      <c r="D2640" s="50" t="s">
        <v>27</v>
      </c>
      <c r="E2640" s="50">
        <v>50043520</v>
      </c>
      <c r="F2640" s="50" t="s">
        <v>266</v>
      </c>
      <c r="G2640" s="50">
        <v>1</v>
      </c>
      <c r="H2640" s="50" t="s">
        <v>2</v>
      </c>
      <c r="I2640" s="50" t="s">
        <v>293</v>
      </c>
      <c r="J2640" s="51">
        <v>46029</v>
      </c>
      <c r="K2640" s="50" t="s">
        <v>1</v>
      </c>
      <c r="L2640" s="50" t="s">
        <v>80</v>
      </c>
    </row>
    <row r="2641" spans="2:12">
      <c r="B2641" s="50" t="s">
        <v>471</v>
      </c>
      <c r="C2641" s="50" t="s">
        <v>26</v>
      </c>
      <c r="D2641" s="50" t="s">
        <v>39</v>
      </c>
      <c r="E2641" s="50">
        <v>50037905</v>
      </c>
      <c r="F2641" s="50" t="s">
        <v>150</v>
      </c>
      <c r="G2641" s="50">
        <v>1</v>
      </c>
      <c r="H2641" s="50" t="s">
        <v>2</v>
      </c>
      <c r="I2641" s="50" t="s">
        <v>292</v>
      </c>
      <c r="J2641" s="51">
        <v>46029</v>
      </c>
      <c r="K2641" s="50" t="s">
        <v>3</v>
      </c>
      <c r="L2641" s="50" t="s">
        <v>80</v>
      </c>
    </row>
    <row r="2642" spans="2:12">
      <c r="B2642" s="50" t="s">
        <v>399</v>
      </c>
      <c r="C2642" s="50" t="s">
        <v>51</v>
      </c>
      <c r="D2642" s="50" t="s">
        <v>27</v>
      </c>
      <c r="E2642" s="50">
        <v>50003173</v>
      </c>
      <c r="F2642" s="50" t="s">
        <v>74</v>
      </c>
      <c r="G2642" s="50">
        <v>1</v>
      </c>
      <c r="H2642" s="50" t="s">
        <v>2</v>
      </c>
      <c r="I2642" s="50" t="s">
        <v>293</v>
      </c>
      <c r="J2642" s="51">
        <v>46029</v>
      </c>
      <c r="K2642" s="50" t="s">
        <v>3</v>
      </c>
      <c r="L2642" s="50" t="s">
        <v>80</v>
      </c>
    </row>
    <row r="2643" spans="2:12">
      <c r="B2643" s="50" t="s">
        <v>399</v>
      </c>
      <c r="C2643" s="50" t="s">
        <v>51</v>
      </c>
      <c r="D2643" s="50" t="s">
        <v>27</v>
      </c>
      <c r="E2643" s="50">
        <v>50036086</v>
      </c>
      <c r="F2643" s="50" t="s">
        <v>28</v>
      </c>
      <c r="G2643" s="50">
        <v>1</v>
      </c>
      <c r="H2643" s="50" t="s">
        <v>2</v>
      </c>
      <c r="I2643" s="50" t="s">
        <v>293</v>
      </c>
      <c r="J2643" s="51">
        <v>46029</v>
      </c>
      <c r="K2643" s="50" t="s">
        <v>1</v>
      </c>
      <c r="L2643" s="50" t="s">
        <v>80</v>
      </c>
    </row>
    <row r="2644" spans="2:12">
      <c r="B2644" s="50" t="s">
        <v>386</v>
      </c>
      <c r="C2644" s="50" t="s">
        <v>26</v>
      </c>
      <c r="D2644" s="50" t="s">
        <v>27</v>
      </c>
      <c r="E2644" s="50">
        <v>50030486</v>
      </c>
      <c r="F2644" s="50" t="s">
        <v>153</v>
      </c>
      <c r="G2644" s="50">
        <v>1</v>
      </c>
      <c r="H2644" s="50" t="s">
        <v>2</v>
      </c>
      <c r="I2644" s="50" t="s">
        <v>293</v>
      </c>
      <c r="J2644" s="51">
        <v>46029</v>
      </c>
      <c r="K2644" s="50" t="s">
        <v>3</v>
      </c>
      <c r="L2644" s="50" t="s">
        <v>80</v>
      </c>
    </row>
    <row r="2645" spans="2:12">
      <c r="B2645" s="50" t="s">
        <v>483</v>
      </c>
      <c r="C2645" s="50" t="s">
        <v>62</v>
      </c>
      <c r="D2645" s="50" t="s">
        <v>27</v>
      </c>
      <c r="E2645" s="50">
        <v>50030486</v>
      </c>
      <c r="F2645" s="50" t="s">
        <v>153</v>
      </c>
      <c r="G2645" s="50">
        <v>1</v>
      </c>
      <c r="H2645" s="50" t="s">
        <v>2</v>
      </c>
      <c r="I2645" s="50" t="s">
        <v>297</v>
      </c>
      <c r="J2645" s="51">
        <v>46029</v>
      </c>
      <c r="K2645" s="50" t="s">
        <v>3</v>
      </c>
      <c r="L2645" s="50" t="s">
        <v>80</v>
      </c>
    </row>
    <row r="2646" spans="2:12">
      <c r="B2646" s="50" t="s">
        <v>471</v>
      </c>
      <c r="C2646" s="50" t="s">
        <v>26</v>
      </c>
      <c r="D2646" s="50" t="s">
        <v>39</v>
      </c>
      <c r="E2646" s="50">
        <v>50037905</v>
      </c>
      <c r="F2646" s="50" t="s">
        <v>150</v>
      </c>
      <c r="G2646" s="50">
        <v>1</v>
      </c>
      <c r="H2646" s="50" t="s">
        <v>2</v>
      </c>
      <c r="I2646" s="50" t="s">
        <v>292</v>
      </c>
      <c r="J2646" s="51">
        <v>46029</v>
      </c>
      <c r="K2646" s="50" t="s">
        <v>1</v>
      </c>
      <c r="L2646" s="50" t="s">
        <v>80</v>
      </c>
    </row>
    <row r="2647" spans="2:12">
      <c r="B2647" s="50" t="s">
        <v>316</v>
      </c>
      <c r="C2647" s="50" t="s">
        <v>56</v>
      </c>
      <c r="D2647" s="50" t="s">
        <v>27</v>
      </c>
      <c r="E2647" s="50">
        <v>50003297</v>
      </c>
      <c r="F2647" s="50" t="s">
        <v>158</v>
      </c>
      <c r="G2647" s="50">
        <v>1</v>
      </c>
      <c r="H2647" s="50" t="s">
        <v>2</v>
      </c>
      <c r="I2647" s="50" t="s">
        <v>297</v>
      </c>
      <c r="J2647" s="51">
        <v>46029</v>
      </c>
      <c r="K2647" s="50" t="s">
        <v>3</v>
      </c>
      <c r="L2647" s="50" t="s">
        <v>80</v>
      </c>
    </row>
    <row r="2648" spans="2:12">
      <c r="B2648" s="50" t="s">
        <v>409</v>
      </c>
      <c r="C2648" s="50" t="s">
        <v>51</v>
      </c>
      <c r="D2648" s="50" t="s">
        <v>27</v>
      </c>
      <c r="E2648" s="50">
        <v>50038517</v>
      </c>
      <c r="F2648" s="50" t="s">
        <v>181</v>
      </c>
      <c r="G2648" s="50">
        <v>1</v>
      </c>
      <c r="H2648" s="50" t="s">
        <v>2</v>
      </c>
      <c r="I2648" s="50" t="s">
        <v>293</v>
      </c>
      <c r="J2648" s="51">
        <v>46029</v>
      </c>
      <c r="K2648" s="50" t="s">
        <v>324</v>
      </c>
      <c r="L2648" s="50" t="s">
        <v>80</v>
      </c>
    </row>
    <row r="2649" spans="2:12">
      <c r="B2649" s="50" t="s">
        <v>396</v>
      </c>
      <c r="C2649" s="50" t="s">
        <v>26</v>
      </c>
      <c r="D2649" s="50" t="s">
        <v>41</v>
      </c>
      <c r="E2649" s="50">
        <v>50038517</v>
      </c>
      <c r="F2649" s="50" t="s">
        <v>181</v>
      </c>
      <c r="G2649" s="50">
        <v>1</v>
      </c>
      <c r="H2649" s="50" t="s">
        <v>2</v>
      </c>
      <c r="I2649" s="50" t="s">
        <v>293</v>
      </c>
      <c r="J2649" s="51">
        <v>46029</v>
      </c>
      <c r="K2649" s="50" t="s">
        <v>3</v>
      </c>
      <c r="L2649" s="50" t="s">
        <v>80</v>
      </c>
    </row>
    <row r="2650" spans="2:12">
      <c r="B2650" s="50" t="s">
        <v>471</v>
      </c>
      <c r="C2650" s="50" t="s">
        <v>26</v>
      </c>
      <c r="D2650" s="50" t="s">
        <v>39</v>
      </c>
      <c r="E2650" s="50">
        <v>50010031</v>
      </c>
      <c r="F2650" s="50" t="s">
        <v>89</v>
      </c>
      <c r="G2650" s="50">
        <v>1</v>
      </c>
      <c r="H2650" s="50" t="s">
        <v>2</v>
      </c>
      <c r="I2650" s="50" t="s">
        <v>293</v>
      </c>
      <c r="J2650" s="51">
        <v>46029</v>
      </c>
      <c r="K2650" s="50" t="s">
        <v>3</v>
      </c>
      <c r="L2650" s="50" t="s">
        <v>80</v>
      </c>
    </row>
    <row r="2651" spans="2:12">
      <c r="B2651" s="50" t="s">
        <v>483</v>
      </c>
      <c r="C2651" s="50" t="s">
        <v>62</v>
      </c>
      <c r="D2651" s="50" t="s">
        <v>27</v>
      </c>
      <c r="E2651" s="50">
        <v>50038956</v>
      </c>
      <c r="F2651" s="50" t="s">
        <v>177</v>
      </c>
      <c r="G2651" s="50">
        <v>1</v>
      </c>
      <c r="H2651" s="50" t="s">
        <v>2</v>
      </c>
      <c r="I2651" s="50" t="s">
        <v>290</v>
      </c>
      <c r="J2651" s="51">
        <v>46029</v>
      </c>
      <c r="K2651" s="50" t="s">
        <v>3</v>
      </c>
      <c r="L2651" s="50" t="s">
        <v>80</v>
      </c>
    </row>
    <row r="2652" spans="2:12">
      <c r="B2652" s="50" t="s">
        <v>396</v>
      </c>
      <c r="C2652" s="50" t="s">
        <v>26</v>
      </c>
      <c r="D2652" s="50" t="s">
        <v>41</v>
      </c>
      <c r="E2652" s="50">
        <v>50038517</v>
      </c>
      <c r="F2652" s="50" t="s">
        <v>181</v>
      </c>
      <c r="G2652" s="50">
        <v>1</v>
      </c>
      <c r="H2652" s="50" t="s">
        <v>2</v>
      </c>
      <c r="I2652" s="50" t="s">
        <v>290</v>
      </c>
      <c r="J2652" s="51">
        <v>46029</v>
      </c>
      <c r="K2652" s="50" t="s">
        <v>3</v>
      </c>
      <c r="L2652" s="50" t="s">
        <v>80</v>
      </c>
    </row>
    <row r="2653" spans="2:12">
      <c r="B2653" s="50" t="s">
        <v>422</v>
      </c>
      <c r="C2653" s="50" t="s">
        <v>26</v>
      </c>
      <c r="D2653" s="50" t="s">
        <v>27</v>
      </c>
      <c r="E2653" s="50">
        <v>50041095</v>
      </c>
      <c r="F2653" s="50" t="s">
        <v>248</v>
      </c>
      <c r="G2653" s="50">
        <v>1</v>
      </c>
      <c r="H2653" s="50" t="s">
        <v>4</v>
      </c>
      <c r="I2653" s="50" t="s">
        <v>290</v>
      </c>
      <c r="J2653" s="51">
        <v>46029</v>
      </c>
      <c r="K2653" s="50" t="s">
        <v>324</v>
      </c>
      <c r="L2653" s="50" t="s">
        <v>80</v>
      </c>
    </row>
    <row r="2654" spans="2:12">
      <c r="B2654" s="50" t="s">
        <v>273</v>
      </c>
      <c r="C2654" s="50" t="s">
        <v>274</v>
      </c>
      <c r="D2654" s="50" t="s">
        <v>27</v>
      </c>
      <c r="E2654" s="50">
        <v>50018168</v>
      </c>
      <c r="F2654" s="50" t="s">
        <v>251</v>
      </c>
      <c r="G2654" s="50">
        <v>1</v>
      </c>
      <c r="H2654" s="50" t="s">
        <v>2</v>
      </c>
      <c r="I2654" s="50" t="s">
        <v>291</v>
      </c>
      <c r="J2654" s="51">
        <v>46029</v>
      </c>
      <c r="K2654" s="50" t="s">
        <v>324</v>
      </c>
      <c r="L2654" s="50" t="s">
        <v>80</v>
      </c>
    </row>
    <row r="2655" spans="2:12">
      <c r="B2655" s="50" t="s">
        <v>273</v>
      </c>
      <c r="C2655" s="50" t="s">
        <v>274</v>
      </c>
      <c r="D2655" s="50" t="s">
        <v>27</v>
      </c>
      <c r="E2655" s="50">
        <v>50037933</v>
      </c>
      <c r="F2655" s="50" t="s">
        <v>250</v>
      </c>
      <c r="G2655" s="50">
        <v>1</v>
      </c>
      <c r="H2655" s="50" t="s">
        <v>2</v>
      </c>
      <c r="I2655" s="50" t="s">
        <v>291</v>
      </c>
      <c r="J2655" s="51">
        <v>46029</v>
      </c>
      <c r="K2655" s="50" t="s">
        <v>1</v>
      </c>
      <c r="L2655" s="50" t="s">
        <v>80</v>
      </c>
    </row>
    <row r="2656" spans="2:12">
      <c r="B2656" s="50" t="s">
        <v>386</v>
      </c>
      <c r="C2656" s="50" t="s">
        <v>62</v>
      </c>
      <c r="D2656" s="50" t="s">
        <v>27</v>
      </c>
      <c r="E2656" s="50">
        <v>50038517</v>
      </c>
      <c r="F2656" s="50" t="s">
        <v>181</v>
      </c>
      <c r="G2656" s="50">
        <v>1</v>
      </c>
      <c r="H2656" s="50" t="s">
        <v>2</v>
      </c>
      <c r="I2656" s="50" t="s">
        <v>291</v>
      </c>
      <c r="J2656" s="51">
        <v>46029</v>
      </c>
      <c r="K2656" s="50" t="s">
        <v>3</v>
      </c>
      <c r="L2656" s="50" t="s">
        <v>80</v>
      </c>
    </row>
    <row r="2657" spans="2:12">
      <c r="B2657" s="50" t="s">
        <v>427</v>
      </c>
      <c r="C2657" s="50" t="s">
        <v>26</v>
      </c>
      <c r="D2657" s="50" t="s">
        <v>27</v>
      </c>
      <c r="E2657" s="50">
        <v>50038549</v>
      </c>
      <c r="F2657" s="50" t="s">
        <v>173</v>
      </c>
      <c r="G2657" s="50">
        <v>1</v>
      </c>
      <c r="H2657" s="50" t="s">
        <v>2</v>
      </c>
      <c r="I2657" s="50" t="s">
        <v>290</v>
      </c>
      <c r="J2657" s="51">
        <v>46029</v>
      </c>
      <c r="K2657" s="50" t="s">
        <v>3</v>
      </c>
      <c r="L2657" s="50" t="s">
        <v>80</v>
      </c>
    </row>
    <row r="2658" spans="2:12">
      <c r="B2658" s="50" t="s">
        <v>386</v>
      </c>
      <c r="C2658" s="50" t="s">
        <v>62</v>
      </c>
      <c r="D2658" s="50" t="s">
        <v>27</v>
      </c>
      <c r="E2658" s="50">
        <v>50038517</v>
      </c>
      <c r="F2658" s="50" t="s">
        <v>181</v>
      </c>
      <c r="G2658" s="50">
        <v>1</v>
      </c>
      <c r="H2658" s="50" t="s">
        <v>2</v>
      </c>
      <c r="I2658" s="50" t="s">
        <v>291</v>
      </c>
      <c r="J2658" s="51">
        <v>46029</v>
      </c>
      <c r="K2658" s="50" t="s">
        <v>1</v>
      </c>
      <c r="L2658" s="50" t="s">
        <v>80</v>
      </c>
    </row>
    <row r="2659" spans="2:12">
      <c r="B2659" s="50" t="s">
        <v>481</v>
      </c>
      <c r="C2659" s="50" t="s">
        <v>26</v>
      </c>
      <c r="D2659" s="50" t="s">
        <v>27</v>
      </c>
      <c r="E2659" s="50">
        <v>50010031</v>
      </c>
      <c r="F2659" s="50" t="s">
        <v>89</v>
      </c>
      <c r="G2659" s="50">
        <v>1</v>
      </c>
      <c r="H2659" s="50" t="s">
        <v>2</v>
      </c>
      <c r="I2659" s="50" t="s">
        <v>291</v>
      </c>
      <c r="J2659" s="51">
        <v>46029</v>
      </c>
      <c r="K2659" s="50" t="s">
        <v>1</v>
      </c>
      <c r="L2659" s="50" t="s">
        <v>80</v>
      </c>
    </row>
    <row r="2660" spans="2:12">
      <c r="B2660" s="50" t="s">
        <v>410</v>
      </c>
      <c r="C2660" s="50" t="s">
        <v>51</v>
      </c>
      <c r="D2660" s="50" t="s">
        <v>27</v>
      </c>
      <c r="E2660" s="50">
        <v>50010031</v>
      </c>
      <c r="F2660" s="50" t="s">
        <v>89</v>
      </c>
      <c r="G2660" s="50">
        <v>1</v>
      </c>
      <c r="H2660" s="50" t="s">
        <v>2</v>
      </c>
      <c r="I2660" s="50" t="s">
        <v>291</v>
      </c>
      <c r="J2660" s="51">
        <v>46029</v>
      </c>
      <c r="K2660" s="50" t="s">
        <v>3</v>
      </c>
      <c r="L2660" s="50" t="s">
        <v>80</v>
      </c>
    </row>
    <row r="2661" spans="2:12">
      <c r="B2661" s="50" t="s">
        <v>386</v>
      </c>
      <c r="C2661" s="50" t="s">
        <v>26</v>
      </c>
      <c r="D2661" s="50" t="s">
        <v>27</v>
      </c>
      <c r="E2661" s="50">
        <v>50030486</v>
      </c>
      <c r="F2661" s="50" t="s">
        <v>153</v>
      </c>
      <c r="G2661" s="50">
        <v>1</v>
      </c>
      <c r="H2661" s="50" t="s">
        <v>2</v>
      </c>
      <c r="I2661" s="50" t="s">
        <v>291</v>
      </c>
      <c r="J2661" s="51">
        <v>46029</v>
      </c>
      <c r="K2661" s="50" t="s">
        <v>3</v>
      </c>
      <c r="L2661" s="50" t="s">
        <v>80</v>
      </c>
    </row>
    <row r="2662" spans="2:12">
      <c r="B2662" s="50" t="s">
        <v>481</v>
      </c>
      <c r="C2662" s="50" t="s">
        <v>26</v>
      </c>
      <c r="D2662" s="50" t="s">
        <v>27</v>
      </c>
      <c r="E2662" s="50">
        <v>50010031</v>
      </c>
      <c r="F2662" s="50" t="s">
        <v>89</v>
      </c>
      <c r="G2662" s="50">
        <v>1</v>
      </c>
      <c r="H2662" s="50" t="s">
        <v>2</v>
      </c>
      <c r="I2662" s="50" t="s">
        <v>291</v>
      </c>
      <c r="J2662" s="51">
        <v>46029</v>
      </c>
      <c r="K2662" s="50" t="s">
        <v>1</v>
      </c>
      <c r="L2662" s="50" t="s">
        <v>80</v>
      </c>
    </row>
    <row r="2663" spans="2:12">
      <c r="B2663" s="50" t="s">
        <v>316</v>
      </c>
      <c r="C2663" s="50" t="s">
        <v>51</v>
      </c>
      <c r="D2663" s="50" t="s">
        <v>27</v>
      </c>
      <c r="E2663" s="50">
        <v>50038517</v>
      </c>
      <c r="F2663" s="50" t="s">
        <v>181</v>
      </c>
      <c r="G2663" s="50">
        <v>1</v>
      </c>
      <c r="H2663" s="50" t="s">
        <v>2</v>
      </c>
      <c r="I2663" s="50" t="s">
        <v>291</v>
      </c>
      <c r="J2663" s="51">
        <v>46029</v>
      </c>
      <c r="K2663" s="50" t="s">
        <v>3</v>
      </c>
      <c r="L2663" s="50" t="s">
        <v>80</v>
      </c>
    </row>
    <row r="2664" spans="2:12">
      <c r="B2664" s="50" t="s">
        <v>316</v>
      </c>
      <c r="C2664" s="50" t="s">
        <v>51</v>
      </c>
      <c r="D2664" s="50" t="s">
        <v>27</v>
      </c>
      <c r="E2664" s="50">
        <v>50038517</v>
      </c>
      <c r="F2664" s="50" t="s">
        <v>181</v>
      </c>
      <c r="G2664" s="50">
        <v>1</v>
      </c>
      <c r="H2664" s="50" t="s">
        <v>2</v>
      </c>
      <c r="I2664" s="50" t="s">
        <v>291</v>
      </c>
      <c r="J2664" s="51">
        <v>46029</v>
      </c>
      <c r="K2664" s="50" t="s">
        <v>3</v>
      </c>
      <c r="L2664" s="50" t="s">
        <v>80</v>
      </c>
    </row>
    <row r="2665" spans="2:12">
      <c r="B2665" s="50" t="s">
        <v>316</v>
      </c>
      <c r="C2665" s="50" t="s">
        <v>56</v>
      </c>
      <c r="D2665" s="50" t="s">
        <v>27</v>
      </c>
      <c r="E2665" s="50">
        <v>50003297</v>
      </c>
      <c r="F2665" s="50" t="s">
        <v>158</v>
      </c>
      <c r="G2665" s="50">
        <v>1</v>
      </c>
      <c r="H2665" s="50" t="s">
        <v>2</v>
      </c>
      <c r="I2665" s="50" t="s">
        <v>291</v>
      </c>
      <c r="J2665" s="51">
        <v>46029</v>
      </c>
      <c r="K2665" s="50" t="s">
        <v>1</v>
      </c>
      <c r="L2665" s="50" t="s">
        <v>80</v>
      </c>
    </row>
    <row r="2666" spans="2:12">
      <c r="B2666" s="50" t="s">
        <v>386</v>
      </c>
      <c r="C2666" s="50" t="s">
        <v>62</v>
      </c>
      <c r="D2666" s="50" t="s">
        <v>27</v>
      </c>
      <c r="E2666" s="50">
        <v>50003297</v>
      </c>
      <c r="F2666" s="50" t="s">
        <v>158</v>
      </c>
      <c r="G2666" s="50">
        <v>1</v>
      </c>
      <c r="H2666" s="50" t="s">
        <v>2</v>
      </c>
      <c r="I2666" s="50" t="s">
        <v>291</v>
      </c>
      <c r="J2666" s="51">
        <v>46029</v>
      </c>
      <c r="K2666" s="50" t="s">
        <v>1</v>
      </c>
      <c r="L2666" s="50" t="s">
        <v>80</v>
      </c>
    </row>
    <row r="2667" spans="2:12">
      <c r="B2667" s="50" t="s">
        <v>386</v>
      </c>
      <c r="C2667" s="50" t="s">
        <v>62</v>
      </c>
      <c r="D2667" s="50" t="s">
        <v>27</v>
      </c>
      <c r="E2667" s="50">
        <v>50038517</v>
      </c>
      <c r="F2667" s="50" t="s">
        <v>181</v>
      </c>
      <c r="G2667" s="50">
        <v>1</v>
      </c>
      <c r="H2667" s="50" t="s">
        <v>2</v>
      </c>
      <c r="I2667" s="50" t="s">
        <v>291</v>
      </c>
      <c r="J2667" s="51">
        <v>46029</v>
      </c>
      <c r="K2667" s="50" t="s">
        <v>3</v>
      </c>
      <c r="L2667" s="50" t="s">
        <v>80</v>
      </c>
    </row>
    <row r="2668" spans="2:12">
      <c r="B2668" s="50" t="s">
        <v>474</v>
      </c>
      <c r="C2668" s="50" t="s">
        <v>51</v>
      </c>
      <c r="D2668" s="50" t="s">
        <v>27</v>
      </c>
      <c r="E2668" s="50">
        <v>50041195</v>
      </c>
      <c r="F2668" s="50" t="s">
        <v>206</v>
      </c>
      <c r="G2668" s="50">
        <v>1</v>
      </c>
      <c r="H2668" s="50" t="s">
        <v>2</v>
      </c>
      <c r="I2668" s="50" t="s">
        <v>291</v>
      </c>
      <c r="J2668" s="51">
        <v>46029</v>
      </c>
      <c r="K2668" s="50" t="s">
        <v>1</v>
      </c>
      <c r="L2668" s="50" t="s">
        <v>80</v>
      </c>
    </row>
    <row r="2669" spans="2:12">
      <c r="B2669" s="50" t="s">
        <v>55</v>
      </c>
      <c r="C2669" s="50" t="s">
        <v>51</v>
      </c>
      <c r="D2669" s="50" t="s">
        <v>41</v>
      </c>
      <c r="E2669" s="50">
        <v>50041195</v>
      </c>
      <c r="F2669" s="50" t="s">
        <v>206</v>
      </c>
      <c r="G2669" s="50">
        <v>1</v>
      </c>
      <c r="H2669" s="50" t="s">
        <v>2</v>
      </c>
      <c r="I2669" s="50" t="s">
        <v>291</v>
      </c>
      <c r="J2669" s="51">
        <v>46029</v>
      </c>
      <c r="K2669" s="50" t="s">
        <v>3</v>
      </c>
      <c r="L2669" s="50" t="s">
        <v>80</v>
      </c>
    </row>
    <row r="2670" spans="2:12">
      <c r="B2670" s="50" t="s">
        <v>386</v>
      </c>
      <c r="C2670" s="50" t="s">
        <v>62</v>
      </c>
      <c r="D2670" s="50" t="s">
        <v>27</v>
      </c>
      <c r="E2670" s="50">
        <v>50038517</v>
      </c>
      <c r="F2670" s="50" t="s">
        <v>181</v>
      </c>
      <c r="G2670" s="50">
        <v>1</v>
      </c>
      <c r="H2670" s="50" t="s">
        <v>2</v>
      </c>
      <c r="I2670" s="50" t="s">
        <v>291</v>
      </c>
      <c r="J2670" s="51">
        <v>46029</v>
      </c>
      <c r="K2670" s="50" t="s">
        <v>3</v>
      </c>
      <c r="L2670" s="50" t="s">
        <v>80</v>
      </c>
    </row>
    <row r="2671" spans="2:12">
      <c r="B2671" s="50" t="s">
        <v>386</v>
      </c>
      <c r="C2671" s="50" t="s">
        <v>62</v>
      </c>
      <c r="D2671" s="50" t="s">
        <v>27</v>
      </c>
      <c r="E2671" s="50">
        <v>50003297</v>
      </c>
      <c r="F2671" s="50" t="s">
        <v>158</v>
      </c>
      <c r="G2671" s="50">
        <v>1</v>
      </c>
      <c r="H2671" s="50" t="s">
        <v>2</v>
      </c>
      <c r="I2671" s="50" t="s">
        <v>291</v>
      </c>
      <c r="J2671" s="51">
        <v>46029</v>
      </c>
      <c r="K2671" s="50" t="s">
        <v>3</v>
      </c>
      <c r="L2671" s="50" t="s">
        <v>80</v>
      </c>
    </row>
    <row r="2672" spans="2:12">
      <c r="B2672" s="50" t="s">
        <v>410</v>
      </c>
      <c r="C2672" s="50" t="s">
        <v>51</v>
      </c>
      <c r="D2672" s="50" t="s">
        <v>27</v>
      </c>
      <c r="E2672" s="50">
        <v>50010031</v>
      </c>
      <c r="F2672" s="50" t="s">
        <v>89</v>
      </c>
      <c r="G2672" s="50">
        <v>1</v>
      </c>
      <c r="H2672" s="50" t="s">
        <v>2</v>
      </c>
      <c r="I2672" s="50" t="s">
        <v>291</v>
      </c>
      <c r="J2672" s="51">
        <v>46029</v>
      </c>
      <c r="K2672" s="50" t="s">
        <v>3</v>
      </c>
      <c r="L2672" s="50" t="s">
        <v>80</v>
      </c>
    </row>
    <row r="2673" spans="2:12">
      <c r="B2673" s="50" t="s">
        <v>399</v>
      </c>
      <c r="C2673" s="50" t="s">
        <v>51</v>
      </c>
      <c r="D2673" s="50" t="s">
        <v>27</v>
      </c>
      <c r="E2673" s="50">
        <v>50039065</v>
      </c>
      <c r="F2673" s="50" t="s">
        <v>186</v>
      </c>
      <c r="G2673" s="50">
        <v>1</v>
      </c>
      <c r="H2673" s="50" t="s">
        <v>2</v>
      </c>
      <c r="I2673" s="50" t="s">
        <v>291</v>
      </c>
      <c r="J2673" s="51">
        <v>46029</v>
      </c>
      <c r="K2673" s="50" t="s">
        <v>3</v>
      </c>
      <c r="L2673" s="50" t="s">
        <v>80</v>
      </c>
    </row>
    <row r="2674" spans="2:12">
      <c r="B2674" s="50" t="s">
        <v>399</v>
      </c>
      <c r="C2674" s="50" t="s">
        <v>51</v>
      </c>
      <c r="D2674" s="50" t="s">
        <v>27</v>
      </c>
      <c r="E2674" s="50">
        <v>50037892</v>
      </c>
      <c r="F2674" s="50" t="s">
        <v>178</v>
      </c>
      <c r="G2674" s="50">
        <v>1</v>
      </c>
      <c r="H2674" s="50" t="s">
        <v>2</v>
      </c>
      <c r="I2674" s="50" t="s">
        <v>291</v>
      </c>
      <c r="J2674" s="51">
        <v>46029</v>
      </c>
      <c r="K2674" s="50" t="s">
        <v>3</v>
      </c>
      <c r="L2674" s="50" t="s">
        <v>80</v>
      </c>
    </row>
    <row r="2675" spans="2:12">
      <c r="B2675" s="50" t="s">
        <v>273</v>
      </c>
      <c r="C2675" s="50" t="s">
        <v>274</v>
      </c>
      <c r="D2675" s="50" t="s">
        <v>27</v>
      </c>
      <c r="E2675" s="50">
        <v>50018168</v>
      </c>
      <c r="F2675" s="50" t="s">
        <v>251</v>
      </c>
      <c r="G2675" s="50">
        <v>1</v>
      </c>
      <c r="H2675" s="50" t="s">
        <v>2</v>
      </c>
      <c r="I2675" s="50" t="s">
        <v>291</v>
      </c>
      <c r="J2675" s="51">
        <v>46029</v>
      </c>
      <c r="K2675" s="50" t="s">
        <v>3</v>
      </c>
      <c r="L2675" s="50" t="s">
        <v>80</v>
      </c>
    </row>
    <row r="2676" spans="2:12">
      <c r="B2676" s="50" t="s">
        <v>273</v>
      </c>
      <c r="C2676" s="50" t="s">
        <v>274</v>
      </c>
      <c r="D2676" s="50" t="s">
        <v>27</v>
      </c>
      <c r="E2676" s="50">
        <v>50037933</v>
      </c>
      <c r="F2676" s="50" t="s">
        <v>250</v>
      </c>
      <c r="G2676" s="50">
        <v>1</v>
      </c>
      <c r="H2676" s="50" t="s">
        <v>2</v>
      </c>
      <c r="I2676" s="50" t="s">
        <v>291</v>
      </c>
      <c r="J2676" s="51">
        <v>46029</v>
      </c>
      <c r="K2676" s="50" t="s">
        <v>1</v>
      </c>
      <c r="L2676" s="50" t="s">
        <v>80</v>
      </c>
    </row>
    <row r="2677" spans="2:12">
      <c r="B2677" s="50" t="s">
        <v>401</v>
      </c>
      <c r="C2677" s="50" t="s">
        <v>26</v>
      </c>
      <c r="D2677" s="50" t="s">
        <v>36</v>
      </c>
      <c r="E2677" s="50">
        <v>50001740</v>
      </c>
      <c r="F2677" s="50" t="s">
        <v>294</v>
      </c>
      <c r="G2677" s="50">
        <v>1</v>
      </c>
      <c r="H2677" s="50" t="s">
        <v>2</v>
      </c>
      <c r="I2677" s="50" t="s">
        <v>291</v>
      </c>
      <c r="J2677" s="51">
        <v>46028</v>
      </c>
      <c r="K2677" s="50" t="s">
        <v>3</v>
      </c>
      <c r="L2677" s="50" t="s">
        <v>80</v>
      </c>
    </row>
    <row r="2678" spans="2:12">
      <c r="B2678" s="50" t="s">
        <v>401</v>
      </c>
      <c r="C2678" s="50" t="s">
        <v>26</v>
      </c>
      <c r="D2678" s="50" t="s">
        <v>36</v>
      </c>
      <c r="E2678" s="50">
        <v>50001740</v>
      </c>
      <c r="F2678" s="50" t="s">
        <v>294</v>
      </c>
      <c r="G2678" s="50">
        <v>1</v>
      </c>
      <c r="H2678" s="50" t="s">
        <v>2</v>
      </c>
      <c r="I2678" s="50" t="s">
        <v>291</v>
      </c>
      <c r="J2678" s="51">
        <v>46028</v>
      </c>
      <c r="K2678" s="50" t="s">
        <v>1</v>
      </c>
      <c r="L2678" s="50" t="s">
        <v>80</v>
      </c>
    </row>
    <row r="2679" spans="2:12">
      <c r="B2679" s="50" t="s">
        <v>386</v>
      </c>
      <c r="C2679" s="50" t="s">
        <v>26</v>
      </c>
      <c r="D2679" s="50" t="s">
        <v>27</v>
      </c>
      <c r="E2679" s="50">
        <v>50037948</v>
      </c>
      <c r="F2679" s="50" t="s">
        <v>232</v>
      </c>
      <c r="G2679" s="50">
        <v>1</v>
      </c>
      <c r="H2679" s="50" t="s">
        <v>2</v>
      </c>
      <c r="I2679" s="50" t="s">
        <v>289</v>
      </c>
      <c r="J2679" s="51">
        <v>46028</v>
      </c>
      <c r="K2679" s="50" t="s">
        <v>1</v>
      </c>
      <c r="L2679" s="50" t="s">
        <v>80</v>
      </c>
    </row>
    <row r="2680" spans="2:12">
      <c r="B2680" s="50" t="s">
        <v>386</v>
      </c>
      <c r="C2680" s="50" t="s">
        <v>26</v>
      </c>
      <c r="D2680" s="50" t="s">
        <v>27</v>
      </c>
      <c r="E2680" s="50">
        <v>50037949</v>
      </c>
      <c r="F2680" s="50" t="s">
        <v>233</v>
      </c>
      <c r="G2680" s="50">
        <v>1</v>
      </c>
      <c r="H2680" s="50" t="s">
        <v>2</v>
      </c>
      <c r="I2680" s="50" t="s">
        <v>289</v>
      </c>
      <c r="J2680" s="51">
        <v>46028</v>
      </c>
      <c r="K2680" s="50" t="s">
        <v>324</v>
      </c>
      <c r="L2680" s="50" t="s">
        <v>80</v>
      </c>
    </row>
    <row r="2681" spans="2:12">
      <c r="B2681" s="50" t="s">
        <v>418</v>
      </c>
      <c r="C2681" s="50" t="s">
        <v>26</v>
      </c>
      <c r="D2681" s="50" t="s">
        <v>27</v>
      </c>
      <c r="E2681" s="50">
        <v>50037892</v>
      </c>
      <c r="F2681" s="50" t="s">
        <v>178</v>
      </c>
      <c r="G2681" s="50">
        <v>1</v>
      </c>
      <c r="H2681" s="50" t="s">
        <v>2</v>
      </c>
      <c r="I2681" s="50" t="s">
        <v>292</v>
      </c>
      <c r="J2681" s="51">
        <v>46028</v>
      </c>
      <c r="K2681" s="50" t="s">
        <v>324</v>
      </c>
      <c r="L2681" s="50" t="s">
        <v>80</v>
      </c>
    </row>
    <row r="2682" spans="2:12">
      <c r="B2682" s="50" t="s">
        <v>444</v>
      </c>
      <c r="C2682" s="50" t="s">
        <v>51</v>
      </c>
      <c r="D2682" s="50" t="s">
        <v>27</v>
      </c>
      <c r="E2682" s="50">
        <v>50010031</v>
      </c>
      <c r="F2682" s="50" t="s">
        <v>89</v>
      </c>
      <c r="G2682" s="50">
        <v>1</v>
      </c>
      <c r="H2682" s="50" t="s">
        <v>2</v>
      </c>
      <c r="I2682" s="50" t="s">
        <v>293</v>
      </c>
      <c r="J2682" s="51">
        <v>46028</v>
      </c>
      <c r="K2682" s="50" t="s">
        <v>324</v>
      </c>
      <c r="L2682" s="50" t="s">
        <v>80</v>
      </c>
    </row>
    <row r="2683" spans="2:12">
      <c r="B2683" s="50" t="s">
        <v>444</v>
      </c>
      <c r="C2683" s="50" t="s">
        <v>51</v>
      </c>
      <c r="D2683" s="50" t="s">
        <v>27</v>
      </c>
      <c r="E2683" s="50">
        <v>50032781</v>
      </c>
      <c r="F2683" s="50" t="s">
        <v>237</v>
      </c>
      <c r="G2683" s="50">
        <v>1</v>
      </c>
      <c r="H2683" s="50" t="s">
        <v>2</v>
      </c>
      <c r="I2683" s="50" t="s">
        <v>293</v>
      </c>
      <c r="J2683" s="51">
        <v>46028</v>
      </c>
      <c r="K2683" s="50" t="s">
        <v>324</v>
      </c>
      <c r="L2683" s="50" t="s">
        <v>80</v>
      </c>
    </row>
    <row r="2684" spans="2:12">
      <c r="B2684" s="50" t="s">
        <v>399</v>
      </c>
      <c r="C2684" s="50" t="s">
        <v>51</v>
      </c>
      <c r="D2684" s="50" t="s">
        <v>27</v>
      </c>
      <c r="E2684" s="50">
        <v>50038956</v>
      </c>
      <c r="F2684" s="50" t="s">
        <v>177</v>
      </c>
      <c r="G2684" s="50">
        <v>1</v>
      </c>
      <c r="H2684" s="50" t="s">
        <v>2</v>
      </c>
      <c r="I2684" s="50" t="s">
        <v>293</v>
      </c>
      <c r="J2684" s="51">
        <v>46028</v>
      </c>
      <c r="K2684" s="50" t="s">
        <v>324</v>
      </c>
      <c r="L2684" s="50" t="s">
        <v>80</v>
      </c>
    </row>
    <row r="2685" spans="2:12">
      <c r="B2685" s="50" t="s">
        <v>483</v>
      </c>
      <c r="C2685" s="50" t="s">
        <v>62</v>
      </c>
      <c r="D2685" s="50" t="s">
        <v>27</v>
      </c>
      <c r="E2685" s="50">
        <v>50038517</v>
      </c>
      <c r="F2685" s="50" t="s">
        <v>181</v>
      </c>
      <c r="G2685" s="50">
        <v>1</v>
      </c>
      <c r="H2685" s="50" t="s">
        <v>2</v>
      </c>
      <c r="I2685" s="50" t="s">
        <v>293</v>
      </c>
      <c r="J2685" s="51">
        <v>46028</v>
      </c>
      <c r="K2685" s="50" t="s">
        <v>324</v>
      </c>
      <c r="L2685" s="50" t="s">
        <v>80</v>
      </c>
    </row>
    <row r="2686" spans="2:12">
      <c r="B2686" s="50" t="s">
        <v>386</v>
      </c>
      <c r="C2686" s="50" t="s">
        <v>286</v>
      </c>
      <c r="D2686" s="50" t="s">
        <v>27</v>
      </c>
      <c r="E2686" s="50">
        <v>50039065</v>
      </c>
      <c r="F2686" s="50" t="s">
        <v>186</v>
      </c>
      <c r="G2686" s="50">
        <v>1</v>
      </c>
      <c r="H2686" s="50" t="s">
        <v>2</v>
      </c>
      <c r="I2686" s="50" t="s">
        <v>293</v>
      </c>
      <c r="J2686" s="51">
        <v>46028</v>
      </c>
      <c r="K2686" s="50" t="s">
        <v>324</v>
      </c>
      <c r="L2686" s="50" t="s">
        <v>80</v>
      </c>
    </row>
    <row r="2687" spans="2:12">
      <c r="B2687" s="50" t="s">
        <v>483</v>
      </c>
      <c r="C2687" s="50" t="s">
        <v>62</v>
      </c>
      <c r="D2687" s="50" t="s">
        <v>27</v>
      </c>
      <c r="E2687" s="50">
        <v>50026357</v>
      </c>
      <c r="F2687" s="50" t="s">
        <v>192</v>
      </c>
      <c r="G2687" s="50">
        <v>1</v>
      </c>
      <c r="H2687" s="50" t="s">
        <v>2</v>
      </c>
      <c r="I2687" s="50" t="s">
        <v>292</v>
      </c>
      <c r="J2687" s="51">
        <v>46028</v>
      </c>
      <c r="K2687" s="50" t="s">
        <v>1</v>
      </c>
      <c r="L2687" s="50" t="s">
        <v>80</v>
      </c>
    </row>
    <row r="2688" spans="2:12">
      <c r="B2688" s="50" t="s">
        <v>277</v>
      </c>
      <c r="C2688" s="50" t="s">
        <v>62</v>
      </c>
      <c r="D2688" s="50" t="s">
        <v>27</v>
      </c>
      <c r="E2688" s="50">
        <v>50003297</v>
      </c>
      <c r="F2688" s="50" t="s">
        <v>158</v>
      </c>
      <c r="G2688" s="50">
        <v>1</v>
      </c>
      <c r="H2688" s="50" t="s">
        <v>2</v>
      </c>
      <c r="I2688" s="50" t="s">
        <v>293</v>
      </c>
      <c r="J2688" s="51">
        <v>46028</v>
      </c>
      <c r="K2688" s="50" t="s">
        <v>1</v>
      </c>
      <c r="L2688" s="50" t="s">
        <v>80</v>
      </c>
    </row>
    <row r="2689" spans="2:12">
      <c r="B2689" s="50" t="s">
        <v>427</v>
      </c>
      <c r="C2689" s="50" t="s">
        <v>26</v>
      </c>
      <c r="D2689" s="50" t="s">
        <v>27</v>
      </c>
      <c r="E2689" s="50">
        <v>50022878</v>
      </c>
      <c r="F2689" s="50" t="s">
        <v>296</v>
      </c>
      <c r="G2689" s="50">
        <v>1</v>
      </c>
      <c r="H2689" s="50" t="s">
        <v>2</v>
      </c>
      <c r="I2689" s="50" t="s">
        <v>292</v>
      </c>
      <c r="J2689" s="51">
        <v>46028</v>
      </c>
      <c r="K2689" s="50" t="s">
        <v>1</v>
      </c>
      <c r="L2689" s="50" t="s">
        <v>80</v>
      </c>
    </row>
    <row r="2690" spans="2:12">
      <c r="B2690" s="50" t="s">
        <v>427</v>
      </c>
      <c r="C2690" s="50" t="s">
        <v>26</v>
      </c>
      <c r="D2690" s="50" t="s">
        <v>27</v>
      </c>
      <c r="E2690" s="50">
        <v>50012902</v>
      </c>
      <c r="F2690" s="50" t="s">
        <v>225</v>
      </c>
      <c r="G2690" s="50">
        <v>1</v>
      </c>
      <c r="H2690" s="50" t="s">
        <v>2</v>
      </c>
      <c r="I2690" s="50" t="s">
        <v>292</v>
      </c>
      <c r="J2690" s="51">
        <v>46028</v>
      </c>
      <c r="K2690" s="50" t="s">
        <v>3</v>
      </c>
      <c r="L2690" s="50" t="s">
        <v>80</v>
      </c>
    </row>
    <row r="2691" spans="2:12">
      <c r="B2691" s="50" t="s">
        <v>418</v>
      </c>
      <c r="C2691" s="50" t="s">
        <v>26</v>
      </c>
      <c r="D2691" s="50" t="s">
        <v>27</v>
      </c>
      <c r="E2691" s="50">
        <v>50037892</v>
      </c>
      <c r="F2691" s="50" t="s">
        <v>178</v>
      </c>
      <c r="G2691" s="50">
        <v>1</v>
      </c>
      <c r="H2691" s="50" t="s">
        <v>2</v>
      </c>
      <c r="I2691" s="50" t="s">
        <v>292</v>
      </c>
      <c r="J2691" s="51">
        <v>46028</v>
      </c>
      <c r="K2691" s="50" t="s">
        <v>1</v>
      </c>
      <c r="L2691" s="50" t="s">
        <v>80</v>
      </c>
    </row>
    <row r="2692" spans="2:12">
      <c r="B2692" s="50" t="s">
        <v>278</v>
      </c>
      <c r="C2692" s="50" t="s">
        <v>62</v>
      </c>
      <c r="D2692" s="50" t="s">
        <v>27</v>
      </c>
      <c r="E2692" s="50">
        <v>50043520</v>
      </c>
      <c r="F2692" s="50" t="s">
        <v>266</v>
      </c>
      <c r="G2692" s="50">
        <v>1</v>
      </c>
      <c r="H2692" s="50" t="s">
        <v>2</v>
      </c>
      <c r="I2692" s="50" t="s">
        <v>297</v>
      </c>
      <c r="J2692" s="51">
        <v>46028</v>
      </c>
      <c r="K2692" s="50" t="s">
        <v>1</v>
      </c>
      <c r="L2692" s="50" t="s">
        <v>80</v>
      </c>
    </row>
    <row r="2693" spans="2:12">
      <c r="B2693" s="50" t="s">
        <v>273</v>
      </c>
      <c r="C2693" s="50" t="s">
        <v>274</v>
      </c>
      <c r="D2693" s="50" t="s">
        <v>27</v>
      </c>
      <c r="E2693" s="50">
        <v>50018168</v>
      </c>
      <c r="F2693" s="50" t="s">
        <v>251</v>
      </c>
      <c r="G2693" s="50">
        <v>1</v>
      </c>
      <c r="H2693" s="50" t="s">
        <v>2</v>
      </c>
      <c r="I2693" s="50" t="s">
        <v>293</v>
      </c>
      <c r="J2693" s="51">
        <v>46028</v>
      </c>
      <c r="K2693" s="50" t="s">
        <v>1</v>
      </c>
      <c r="L2693" s="50" t="s">
        <v>80</v>
      </c>
    </row>
    <row r="2694" spans="2:12">
      <c r="B2694" s="50" t="s">
        <v>273</v>
      </c>
      <c r="C2694" s="50" t="s">
        <v>274</v>
      </c>
      <c r="D2694" s="50" t="s">
        <v>27</v>
      </c>
      <c r="E2694" s="50">
        <v>50037933</v>
      </c>
      <c r="F2694" s="50" t="s">
        <v>250</v>
      </c>
      <c r="G2694" s="50">
        <v>1</v>
      </c>
      <c r="H2694" s="50" t="s">
        <v>2</v>
      </c>
      <c r="I2694" s="50" t="s">
        <v>293</v>
      </c>
      <c r="J2694" s="51">
        <v>46028</v>
      </c>
      <c r="K2694" s="50" t="s">
        <v>3</v>
      </c>
      <c r="L2694" s="50" t="s">
        <v>80</v>
      </c>
    </row>
    <row r="2695" spans="2:12">
      <c r="B2695" s="50" t="s">
        <v>386</v>
      </c>
      <c r="C2695" s="50" t="s">
        <v>26</v>
      </c>
      <c r="D2695" s="50" t="s">
        <v>27</v>
      </c>
      <c r="E2695" s="50">
        <v>50037949</v>
      </c>
      <c r="F2695" s="50" t="s">
        <v>233</v>
      </c>
      <c r="G2695" s="50">
        <v>1</v>
      </c>
      <c r="H2695" s="50" t="s">
        <v>2</v>
      </c>
      <c r="I2695" s="50" t="s">
        <v>293</v>
      </c>
      <c r="J2695" s="51">
        <v>46028</v>
      </c>
      <c r="K2695" s="50" t="s">
        <v>3</v>
      </c>
      <c r="L2695" s="50" t="s">
        <v>80</v>
      </c>
    </row>
    <row r="2696" spans="2:12">
      <c r="B2696" s="50" t="s">
        <v>386</v>
      </c>
      <c r="C2696" s="50" t="s">
        <v>26</v>
      </c>
      <c r="D2696" s="50" t="s">
        <v>27</v>
      </c>
      <c r="E2696" s="50">
        <v>50037948</v>
      </c>
      <c r="F2696" s="50" t="s">
        <v>232</v>
      </c>
      <c r="G2696" s="50">
        <v>1</v>
      </c>
      <c r="H2696" s="50" t="s">
        <v>2</v>
      </c>
      <c r="I2696" s="50" t="s">
        <v>293</v>
      </c>
      <c r="J2696" s="51">
        <v>46028</v>
      </c>
      <c r="K2696" s="50" t="s">
        <v>3</v>
      </c>
      <c r="L2696" s="50" t="s">
        <v>80</v>
      </c>
    </row>
    <row r="2697" spans="2:12">
      <c r="B2697" s="50" t="s">
        <v>427</v>
      </c>
      <c r="C2697" s="50" t="s">
        <v>26</v>
      </c>
      <c r="D2697" s="50" t="s">
        <v>27</v>
      </c>
      <c r="E2697" s="50">
        <v>50022878</v>
      </c>
      <c r="F2697" s="50" t="s">
        <v>296</v>
      </c>
      <c r="G2697" s="50">
        <v>1</v>
      </c>
      <c r="H2697" s="50" t="s">
        <v>2</v>
      </c>
      <c r="I2697" s="50" t="s">
        <v>293</v>
      </c>
      <c r="J2697" s="51">
        <v>46028</v>
      </c>
      <c r="K2697" s="50" t="s">
        <v>3</v>
      </c>
      <c r="L2697" s="50" t="s">
        <v>80</v>
      </c>
    </row>
    <row r="2698" spans="2:12">
      <c r="B2698" s="50" t="s">
        <v>277</v>
      </c>
      <c r="C2698" s="50" t="s">
        <v>62</v>
      </c>
      <c r="D2698" s="50" t="s">
        <v>27</v>
      </c>
      <c r="E2698" s="50">
        <v>50003297</v>
      </c>
      <c r="F2698" s="50" t="s">
        <v>158</v>
      </c>
      <c r="G2698" s="50">
        <v>1</v>
      </c>
      <c r="H2698" s="50" t="s">
        <v>2</v>
      </c>
      <c r="I2698" s="50" t="s">
        <v>293</v>
      </c>
      <c r="J2698" s="51">
        <v>46028</v>
      </c>
      <c r="K2698" s="50" t="s">
        <v>1</v>
      </c>
      <c r="L2698" s="50" t="s">
        <v>80</v>
      </c>
    </row>
    <row r="2699" spans="2:12">
      <c r="B2699" s="50" t="s">
        <v>394</v>
      </c>
      <c r="C2699" s="50" t="s">
        <v>51</v>
      </c>
      <c r="D2699" s="50" t="s">
        <v>27</v>
      </c>
      <c r="E2699" s="50">
        <v>50003297</v>
      </c>
      <c r="F2699" s="50" t="s">
        <v>158</v>
      </c>
      <c r="G2699" s="50">
        <v>1</v>
      </c>
      <c r="H2699" s="50" t="s">
        <v>2</v>
      </c>
      <c r="I2699" s="50" t="s">
        <v>291</v>
      </c>
      <c r="J2699" s="51">
        <v>46028</v>
      </c>
      <c r="K2699" s="50" t="s">
        <v>3</v>
      </c>
      <c r="L2699" s="50" t="s">
        <v>80</v>
      </c>
    </row>
    <row r="2700" spans="2:12">
      <c r="B2700" s="50" t="s">
        <v>427</v>
      </c>
      <c r="C2700" s="50" t="s">
        <v>26</v>
      </c>
      <c r="D2700" s="50" t="s">
        <v>27</v>
      </c>
      <c r="E2700" s="50">
        <v>50012902</v>
      </c>
      <c r="F2700" s="50" t="s">
        <v>225</v>
      </c>
      <c r="G2700" s="50">
        <v>1</v>
      </c>
      <c r="H2700" s="50" t="s">
        <v>2</v>
      </c>
      <c r="I2700" s="50" t="s">
        <v>297</v>
      </c>
      <c r="J2700" s="51">
        <v>46028</v>
      </c>
      <c r="K2700" s="50" t="s">
        <v>3</v>
      </c>
      <c r="L2700" s="50" t="s">
        <v>80</v>
      </c>
    </row>
    <row r="2701" spans="2:12">
      <c r="B2701" s="50" t="s">
        <v>444</v>
      </c>
      <c r="C2701" s="50" t="s">
        <v>51</v>
      </c>
      <c r="D2701" s="50" t="s">
        <v>27</v>
      </c>
      <c r="E2701" s="50">
        <v>50010031</v>
      </c>
      <c r="F2701" s="50" t="s">
        <v>89</v>
      </c>
      <c r="G2701" s="50">
        <v>1</v>
      </c>
      <c r="H2701" s="50" t="s">
        <v>2</v>
      </c>
      <c r="I2701" s="50" t="s">
        <v>293</v>
      </c>
      <c r="J2701" s="51">
        <v>46028</v>
      </c>
      <c r="K2701" s="50" t="s">
        <v>3</v>
      </c>
      <c r="L2701" s="50" t="s">
        <v>80</v>
      </c>
    </row>
    <row r="2702" spans="2:12">
      <c r="B2702" s="50" t="s">
        <v>278</v>
      </c>
      <c r="C2702" s="50" t="s">
        <v>62</v>
      </c>
      <c r="D2702" s="50" t="s">
        <v>27</v>
      </c>
      <c r="E2702" s="50">
        <v>50043520</v>
      </c>
      <c r="F2702" s="50" t="s">
        <v>266</v>
      </c>
      <c r="G2702" s="50">
        <v>1</v>
      </c>
      <c r="H2702" s="50" t="s">
        <v>2</v>
      </c>
      <c r="I2702" s="50" t="s">
        <v>292</v>
      </c>
      <c r="J2702" s="51">
        <v>46028</v>
      </c>
      <c r="K2702" s="50" t="s">
        <v>3</v>
      </c>
      <c r="L2702" s="50" t="s">
        <v>80</v>
      </c>
    </row>
    <row r="2703" spans="2:12">
      <c r="B2703" s="50" t="s">
        <v>483</v>
      </c>
      <c r="C2703" s="50" t="s">
        <v>62</v>
      </c>
      <c r="D2703" s="50" t="s">
        <v>27</v>
      </c>
      <c r="E2703" s="50">
        <v>50026357</v>
      </c>
      <c r="F2703" s="50" t="s">
        <v>192</v>
      </c>
      <c r="G2703" s="50">
        <v>1</v>
      </c>
      <c r="H2703" s="50" t="s">
        <v>2</v>
      </c>
      <c r="I2703" s="50" t="s">
        <v>292</v>
      </c>
      <c r="J2703" s="51">
        <v>46028</v>
      </c>
      <c r="K2703" s="50" t="s">
        <v>1</v>
      </c>
      <c r="L2703" s="50" t="s">
        <v>80</v>
      </c>
    </row>
    <row r="2704" spans="2:12">
      <c r="B2704" s="50" t="s">
        <v>445</v>
      </c>
      <c r="C2704" s="50" t="s">
        <v>51</v>
      </c>
      <c r="D2704" s="50" t="s">
        <v>41</v>
      </c>
      <c r="E2704" s="50">
        <v>50037892</v>
      </c>
      <c r="F2704" s="50" t="s">
        <v>178</v>
      </c>
      <c r="G2704" s="50">
        <v>1</v>
      </c>
      <c r="H2704" s="50" t="s">
        <v>2</v>
      </c>
      <c r="I2704" s="50" t="s">
        <v>293</v>
      </c>
      <c r="J2704" s="51">
        <v>46028</v>
      </c>
      <c r="K2704" s="50" t="s">
        <v>3</v>
      </c>
      <c r="L2704" s="50" t="s">
        <v>80</v>
      </c>
    </row>
    <row r="2705" spans="2:12">
      <c r="B2705" s="50" t="s">
        <v>394</v>
      </c>
      <c r="C2705" s="50" t="s">
        <v>51</v>
      </c>
      <c r="D2705" s="50" t="s">
        <v>27</v>
      </c>
      <c r="E2705" s="50">
        <v>50003297</v>
      </c>
      <c r="F2705" s="50" t="s">
        <v>158</v>
      </c>
      <c r="G2705" s="50">
        <v>1</v>
      </c>
      <c r="H2705" s="50" t="s">
        <v>2</v>
      </c>
      <c r="I2705" s="50" t="s">
        <v>291</v>
      </c>
      <c r="J2705" s="51">
        <v>46028</v>
      </c>
      <c r="K2705" s="50" t="s">
        <v>1</v>
      </c>
      <c r="L2705" s="50" t="s">
        <v>80</v>
      </c>
    </row>
    <row r="2706" spans="2:12">
      <c r="B2706" s="50" t="s">
        <v>466</v>
      </c>
      <c r="C2706" s="50" t="s">
        <v>62</v>
      </c>
      <c r="D2706" s="50" t="s">
        <v>27</v>
      </c>
      <c r="E2706" s="50">
        <v>50041194</v>
      </c>
      <c r="F2706" s="50" t="s">
        <v>249</v>
      </c>
      <c r="G2706" s="50">
        <v>1</v>
      </c>
      <c r="H2706" s="50" t="s">
        <v>2</v>
      </c>
      <c r="I2706" s="50" t="s">
        <v>291</v>
      </c>
      <c r="J2706" s="51">
        <v>46028</v>
      </c>
      <c r="K2706" s="50" t="s">
        <v>3</v>
      </c>
      <c r="L2706" s="50" t="s">
        <v>80</v>
      </c>
    </row>
    <row r="2707" spans="2:12">
      <c r="B2707" s="50" t="s">
        <v>444</v>
      </c>
      <c r="C2707" s="50" t="s">
        <v>51</v>
      </c>
      <c r="D2707" s="50" t="s">
        <v>27</v>
      </c>
      <c r="E2707" s="50">
        <v>50032781</v>
      </c>
      <c r="F2707" s="50" t="s">
        <v>237</v>
      </c>
      <c r="G2707" s="50">
        <v>1</v>
      </c>
      <c r="H2707" s="50" t="s">
        <v>2</v>
      </c>
      <c r="I2707" s="50" t="s">
        <v>291</v>
      </c>
      <c r="J2707" s="51">
        <v>46028</v>
      </c>
      <c r="K2707" s="50" t="s">
        <v>3</v>
      </c>
      <c r="L2707" s="50" t="s">
        <v>80</v>
      </c>
    </row>
    <row r="2708" spans="2:12">
      <c r="B2708" s="50" t="s">
        <v>273</v>
      </c>
      <c r="C2708" s="50" t="s">
        <v>274</v>
      </c>
      <c r="D2708" s="50" t="s">
        <v>27</v>
      </c>
      <c r="E2708" s="50">
        <v>50018168</v>
      </c>
      <c r="F2708" s="50" t="s">
        <v>251</v>
      </c>
      <c r="G2708" s="50">
        <v>1</v>
      </c>
      <c r="H2708" s="50" t="s">
        <v>2</v>
      </c>
      <c r="I2708" s="50" t="s">
        <v>291</v>
      </c>
      <c r="J2708" s="51">
        <v>46028</v>
      </c>
      <c r="K2708" s="50" t="s">
        <v>3</v>
      </c>
      <c r="L2708" s="50" t="s">
        <v>80</v>
      </c>
    </row>
    <row r="2709" spans="2:12">
      <c r="B2709" s="50" t="s">
        <v>273</v>
      </c>
      <c r="C2709" s="50" t="s">
        <v>274</v>
      </c>
      <c r="D2709" s="50" t="s">
        <v>27</v>
      </c>
      <c r="E2709" s="50">
        <v>50037933</v>
      </c>
      <c r="F2709" s="50" t="s">
        <v>250</v>
      </c>
      <c r="G2709" s="50">
        <v>1</v>
      </c>
      <c r="H2709" s="50" t="s">
        <v>2</v>
      </c>
      <c r="I2709" s="50" t="s">
        <v>291</v>
      </c>
      <c r="J2709" s="51">
        <v>46028</v>
      </c>
      <c r="K2709" s="50" t="s">
        <v>3</v>
      </c>
      <c r="L2709" s="50" t="s">
        <v>80</v>
      </c>
    </row>
    <row r="2710" spans="2:12">
      <c r="B2710" s="50" t="s">
        <v>399</v>
      </c>
      <c r="C2710" s="50" t="s">
        <v>51</v>
      </c>
      <c r="D2710" s="50" t="s">
        <v>27</v>
      </c>
      <c r="E2710" s="50">
        <v>50038956</v>
      </c>
      <c r="F2710" s="50" t="s">
        <v>177</v>
      </c>
      <c r="G2710" s="50">
        <v>1</v>
      </c>
      <c r="H2710" s="50" t="s">
        <v>2</v>
      </c>
      <c r="I2710" s="50" t="s">
        <v>291</v>
      </c>
      <c r="J2710" s="51">
        <v>46028</v>
      </c>
      <c r="K2710" s="50" t="s">
        <v>3</v>
      </c>
      <c r="L2710" s="50" t="s">
        <v>80</v>
      </c>
    </row>
    <row r="2711" spans="2:12">
      <c r="B2711" s="50" t="s">
        <v>445</v>
      </c>
      <c r="C2711" s="50" t="s">
        <v>51</v>
      </c>
      <c r="D2711" s="50" t="s">
        <v>41</v>
      </c>
      <c r="E2711" s="50">
        <v>50037892</v>
      </c>
      <c r="F2711" s="50" t="s">
        <v>178</v>
      </c>
      <c r="G2711" s="50">
        <v>1</v>
      </c>
      <c r="H2711" s="50" t="s">
        <v>2</v>
      </c>
      <c r="I2711" s="50" t="s">
        <v>291</v>
      </c>
      <c r="J2711" s="51">
        <v>46028</v>
      </c>
      <c r="K2711" s="50" t="s">
        <v>3</v>
      </c>
      <c r="L2711" s="50" t="s">
        <v>80</v>
      </c>
    </row>
    <row r="2712" spans="2:12">
      <c r="B2712" s="50" t="s">
        <v>483</v>
      </c>
      <c r="C2712" s="50" t="s">
        <v>62</v>
      </c>
      <c r="D2712" s="50" t="s">
        <v>27</v>
      </c>
      <c r="E2712" s="50">
        <v>50038517</v>
      </c>
      <c r="F2712" s="50" t="s">
        <v>181</v>
      </c>
      <c r="G2712" s="50">
        <v>1</v>
      </c>
      <c r="H2712" s="50" t="s">
        <v>2</v>
      </c>
      <c r="I2712" s="50" t="s">
        <v>291</v>
      </c>
      <c r="J2712" s="51">
        <v>46028</v>
      </c>
      <c r="K2712" s="50" t="s">
        <v>3</v>
      </c>
      <c r="L2712" s="50" t="s">
        <v>80</v>
      </c>
    </row>
    <row r="2713" spans="2:12">
      <c r="B2713" s="50" t="s">
        <v>386</v>
      </c>
      <c r="C2713" s="50" t="s">
        <v>286</v>
      </c>
      <c r="D2713" s="50" t="s">
        <v>27</v>
      </c>
      <c r="E2713" s="50">
        <v>50039065</v>
      </c>
      <c r="F2713" s="50" t="s">
        <v>186</v>
      </c>
      <c r="G2713" s="50">
        <v>1</v>
      </c>
      <c r="H2713" s="50" t="s">
        <v>2</v>
      </c>
      <c r="I2713" s="50" t="s">
        <v>291</v>
      </c>
      <c r="J2713" s="51">
        <v>46028</v>
      </c>
      <c r="K2713" s="50" t="s">
        <v>1</v>
      </c>
      <c r="L2713" s="50" t="s">
        <v>80</v>
      </c>
    </row>
    <row r="2714" spans="2:12">
      <c r="B2714" s="50" t="s">
        <v>407</v>
      </c>
      <c r="C2714" s="50" t="s">
        <v>26</v>
      </c>
      <c r="D2714" s="50" t="s">
        <v>39</v>
      </c>
      <c r="E2714" s="50">
        <v>50038956</v>
      </c>
      <c r="F2714" s="50" t="s">
        <v>177</v>
      </c>
      <c r="G2714" s="50">
        <v>1</v>
      </c>
      <c r="H2714" s="50" t="s">
        <v>2</v>
      </c>
      <c r="I2714" s="50" t="s">
        <v>291</v>
      </c>
      <c r="J2714" s="51">
        <v>46027</v>
      </c>
      <c r="K2714" s="50" t="s">
        <v>1</v>
      </c>
      <c r="L2714" s="50" t="s">
        <v>80</v>
      </c>
    </row>
    <row r="2715" spans="2:12">
      <c r="B2715" s="50" t="s">
        <v>399</v>
      </c>
      <c r="C2715" s="50" t="s">
        <v>51</v>
      </c>
      <c r="D2715" s="50" t="s">
        <v>27</v>
      </c>
      <c r="E2715" s="50">
        <v>50039065</v>
      </c>
      <c r="F2715" s="50" t="s">
        <v>186</v>
      </c>
      <c r="G2715" s="50">
        <v>1</v>
      </c>
      <c r="H2715" s="50" t="s">
        <v>2</v>
      </c>
      <c r="I2715" s="50" t="s">
        <v>291</v>
      </c>
      <c r="J2715" s="51">
        <v>46027</v>
      </c>
      <c r="K2715" s="50" t="s">
        <v>1</v>
      </c>
      <c r="L2715" s="50" t="s">
        <v>80</v>
      </c>
    </row>
    <row r="2716" spans="2:12">
      <c r="B2716" s="50" t="s">
        <v>399</v>
      </c>
      <c r="C2716" s="50" t="s">
        <v>51</v>
      </c>
      <c r="D2716" s="50" t="s">
        <v>27</v>
      </c>
      <c r="E2716" s="50">
        <v>50038517</v>
      </c>
      <c r="F2716" s="50" t="s">
        <v>181</v>
      </c>
      <c r="G2716" s="50">
        <v>1</v>
      </c>
      <c r="H2716" s="50" t="s">
        <v>2</v>
      </c>
      <c r="I2716" s="50" t="s">
        <v>291</v>
      </c>
      <c r="J2716" s="51">
        <v>46027</v>
      </c>
      <c r="K2716" s="50" t="s">
        <v>1</v>
      </c>
      <c r="L2716" s="50" t="s">
        <v>80</v>
      </c>
    </row>
    <row r="2717" spans="2:12">
      <c r="B2717" s="50" t="s">
        <v>386</v>
      </c>
      <c r="C2717" s="50" t="s">
        <v>62</v>
      </c>
      <c r="D2717" s="50" t="s">
        <v>27</v>
      </c>
      <c r="E2717" s="58">
        <v>50037892</v>
      </c>
      <c r="F2717" s="58" t="s">
        <v>178</v>
      </c>
      <c r="G2717" s="50">
        <v>1</v>
      </c>
      <c r="H2717" s="50" t="s">
        <v>2</v>
      </c>
      <c r="I2717" s="50" t="s">
        <v>292</v>
      </c>
      <c r="J2717" s="51">
        <v>46027</v>
      </c>
      <c r="K2717" s="50" t="s">
        <v>1</v>
      </c>
      <c r="L2717" s="50" t="s">
        <v>80</v>
      </c>
    </row>
    <row r="2718" spans="2:12">
      <c r="B2718" s="50" t="s">
        <v>402</v>
      </c>
      <c r="C2718" s="50" t="s">
        <v>56</v>
      </c>
      <c r="D2718" s="50" t="s">
        <v>39</v>
      </c>
      <c r="E2718" s="50">
        <v>50043150</v>
      </c>
      <c r="F2718" s="50" t="s">
        <v>259</v>
      </c>
      <c r="G2718" s="50">
        <v>1</v>
      </c>
      <c r="H2718" s="50" t="s">
        <v>2</v>
      </c>
      <c r="I2718" s="50" t="s">
        <v>292</v>
      </c>
      <c r="J2718" s="51">
        <v>46027</v>
      </c>
      <c r="K2718" s="50" t="s">
        <v>1</v>
      </c>
      <c r="L2718" s="50" t="s">
        <v>80</v>
      </c>
    </row>
    <row r="2719" spans="2:12">
      <c r="B2719" s="50" t="s">
        <v>278</v>
      </c>
      <c r="C2719" s="50" t="s">
        <v>62</v>
      </c>
      <c r="D2719" s="50" t="s">
        <v>27</v>
      </c>
      <c r="E2719" s="50">
        <v>50030486</v>
      </c>
      <c r="F2719" s="50" t="s">
        <v>153</v>
      </c>
      <c r="G2719" s="50">
        <v>1</v>
      </c>
      <c r="H2719" s="50" t="s">
        <v>2</v>
      </c>
      <c r="I2719" s="50" t="s">
        <v>292</v>
      </c>
      <c r="J2719" s="51">
        <v>46027</v>
      </c>
      <c r="K2719" s="50" t="s">
        <v>3</v>
      </c>
      <c r="L2719" s="50" t="s">
        <v>80</v>
      </c>
    </row>
    <row r="2720" spans="2:12">
      <c r="B2720" s="50" t="s">
        <v>386</v>
      </c>
      <c r="C2720" s="50" t="s">
        <v>62</v>
      </c>
      <c r="D2720" s="50" t="s">
        <v>27</v>
      </c>
      <c r="E2720" s="58">
        <v>50037892</v>
      </c>
      <c r="F2720" s="58" t="s">
        <v>178</v>
      </c>
      <c r="G2720" s="50">
        <v>1</v>
      </c>
      <c r="H2720" s="50" t="s">
        <v>2</v>
      </c>
      <c r="I2720" s="50" t="s">
        <v>292</v>
      </c>
      <c r="J2720" s="51">
        <v>46027</v>
      </c>
      <c r="K2720" s="50" t="s">
        <v>3</v>
      </c>
      <c r="L2720" s="50" t="s">
        <v>80</v>
      </c>
    </row>
    <row r="2721" spans="2:12">
      <c r="B2721" s="50" t="s">
        <v>407</v>
      </c>
      <c r="C2721" s="50" t="s">
        <v>26</v>
      </c>
      <c r="D2721" s="50" t="s">
        <v>39</v>
      </c>
      <c r="E2721" s="50">
        <v>50038956</v>
      </c>
      <c r="F2721" s="50" t="s">
        <v>177</v>
      </c>
      <c r="G2721" s="50">
        <v>1</v>
      </c>
      <c r="H2721" s="50" t="s">
        <v>2</v>
      </c>
      <c r="I2721" s="50" t="s">
        <v>292</v>
      </c>
      <c r="J2721" s="51">
        <v>46027</v>
      </c>
      <c r="K2721" s="50" t="s">
        <v>1</v>
      </c>
      <c r="L2721" s="50" t="s">
        <v>80</v>
      </c>
    </row>
    <row r="2722" spans="2:12">
      <c r="B2722" s="50" t="s">
        <v>415</v>
      </c>
      <c r="C2722" s="50" t="s">
        <v>51</v>
      </c>
      <c r="D2722" s="50" t="s">
        <v>27</v>
      </c>
      <c r="E2722" s="72">
        <v>50041195</v>
      </c>
      <c r="F2722" s="72" t="s">
        <v>206</v>
      </c>
      <c r="G2722" s="50">
        <v>1</v>
      </c>
      <c r="H2722" s="50" t="s">
        <v>2</v>
      </c>
      <c r="I2722" s="50" t="s">
        <v>292</v>
      </c>
      <c r="J2722" s="51">
        <v>46027</v>
      </c>
      <c r="K2722" s="50" t="s">
        <v>3</v>
      </c>
      <c r="L2722" s="50" t="s">
        <v>80</v>
      </c>
    </row>
    <row r="2723" spans="2:12">
      <c r="B2723" s="50" t="s">
        <v>415</v>
      </c>
      <c r="C2723" s="50" t="s">
        <v>51</v>
      </c>
      <c r="D2723" s="50" t="s">
        <v>27</v>
      </c>
      <c r="E2723" s="50">
        <v>50041195</v>
      </c>
      <c r="F2723" s="50" t="s">
        <v>206</v>
      </c>
      <c r="G2723" s="50">
        <v>1</v>
      </c>
      <c r="H2723" s="50" t="s">
        <v>2</v>
      </c>
      <c r="I2723" s="50" t="s">
        <v>292</v>
      </c>
      <c r="J2723" s="51">
        <v>46027</v>
      </c>
      <c r="K2723" s="50" t="s">
        <v>1</v>
      </c>
      <c r="L2723" s="50" t="s">
        <v>80</v>
      </c>
    </row>
    <row r="2724" spans="2:12">
      <c r="B2724" s="50" t="s">
        <v>445</v>
      </c>
      <c r="C2724" s="50" t="s">
        <v>51</v>
      </c>
      <c r="D2724" s="50" t="s">
        <v>41</v>
      </c>
      <c r="E2724" s="50">
        <v>50026357</v>
      </c>
      <c r="F2724" s="50" t="s">
        <v>192</v>
      </c>
      <c r="G2724" s="50">
        <v>1</v>
      </c>
      <c r="H2724" s="50" t="s">
        <v>2</v>
      </c>
      <c r="I2724" s="50" t="s">
        <v>292</v>
      </c>
      <c r="J2724" s="51">
        <v>46027</v>
      </c>
      <c r="K2724" s="50" t="s">
        <v>1</v>
      </c>
      <c r="L2724" s="50" t="s">
        <v>80</v>
      </c>
    </row>
    <row r="2725" spans="2:12">
      <c r="B2725" s="50" t="s">
        <v>445</v>
      </c>
      <c r="C2725" s="50" t="s">
        <v>51</v>
      </c>
      <c r="D2725" s="50" t="s">
        <v>41</v>
      </c>
      <c r="E2725" s="72">
        <v>50038956</v>
      </c>
      <c r="F2725" s="72" t="s">
        <v>177</v>
      </c>
      <c r="G2725" s="50">
        <v>1</v>
      </c>
      <c r="H2725" s="50" t="s">
        <v>2</v>
      </c>
      <c r="I2725" s="50" t="s">
        <v>292</v>
      </c>
      <c r="J2725" s="51">
        <v>46027</v>
      </c>
      <c r="K2725" s="50" t="s">
        <v>1</v>
      </c>
      <c r="L2725" s="50" t="s">
        <v>80</v>
      </c>
    </row>
    <row r="2726" spans="2:12">
      <c r="B2726" s="50" t="s">
        <v>445</v>
      </c>
      <c r="C2726" s="50" t="s">
        <v>51</v>
      </c>
      <c r="D2726" s="50" t="s">
        <v>41</v>
      </c>
      <c r="E2726" s="50">
        <v>50041195</v>
      </c>
      <c r="F2726" s="50" t="s">
        <v>206</v>
      </c>
      <c r="G2726" s="50">
        <v>1</v>
      </c>
      <c r="H2726" s="50" t="s">
        <v>2</v>
      </c>
      <c r="I2726" s="50" t="s">
        <v>292</v>
      </c>
      <c r="J2726" s="51">
        <v>46027</v>
      </c>
      <c r="K2726" s="50" t="s">
        <v>1</v>
      </c>
      <c r="L2726" s="50" t="s">
        <v>80</v>
      </c>
    </row>
    <row r="2727" spans="2:12">
      <c r="B2727" s="50" t="s">
        <v>437</v>
      </c>
      <c r="C2727" s="50" t="s">
        <v>51</v>
      </c>
      <c r="D2727" s="50" t="s">
        <v>41</v>
      </c>
      <c r="E2727" s="50">
        <v>50010031</v>
      </c>
      <c r="F2727" s="50" t="s">
        <v>89</v>
      </c>
      <c r="G2727" s="50">
        <v>1</v>
      </c>
      <c r="H2727" s="50" t="s">
        <v>2</v>
      </c>
      <c r="I2727" s="50" t="s">
        <v>292</v>
      </c>
      <c r="J2727" s="51">
        <v>46027</v>
      </c>
      <c r="K2727" s="50" t="s">
        <v>1</v>
      </c>
      <c r="L2727" s="50" t="s">
        <v>80</v>
      </c>
    </row>
    <row r="2728" spans="2:12">
      <c r="B2728" s="50" t="s">
        <v>483</v>
      </c>
      <c r="C2728" s="50" t="s">
        <v>62</v>
      </c>
      <c r="D2728" s="50" t="s">
        <v>27</v>
      </c>
      <c r="E2728" s="50">
        <v>50026357</v>
      </c>
      <c r="F2728" s="50" t="s">
        <v>192</v>
      </c>
      <c r="G2728" s="50">
        <v>1</v>
      </c>
      <c r="H2728" s="50" t="s">
        <v>2</v>
      </c>
      <c r="I2728" s="50" t="s">
        <v>292</v>
      </c>
      <c r="J2728" s="51">
        <v>46027</v>
      </c>
      <c r="K2728" s="50" t="s">
        <v>1</v>
      </c>
      <c r="L2728" s="50" t="s">
        <v>80</v>
      </c>
    </row>
    <row r="2729" spans="2:12">
      <c r="B2729" s="50" t="s">
        <v>483</v>
      </c>
      <c r="C2729" s="50" t="s">
        <v>62</v>
      </c>
      <c r="D2729" s="50" t="s">
        <v>27</v>
      </c>
      <c r="E2729" s="50">
        <v>50043471</v>
      </c>
      <c r="F2729" s="50" t="s">
        <v>257</v>
      </c>
      <c r="G2729" s="50">
        <v>1</v>
      </c>
      <c r="H2729" s="50" t="s">
        <v>2</v>
      </c>
      <c r="I2729" s="50" t="s">
        <v>292</v>
      </c>
      <c r="J2729" s="51">
        <v>46027</v>
      </c>
      <c r="K2729" s="50" t="s">
        <v>1</v>
      </c>
      <c r="L2729" s="50" t="s">
        <v>80</v>
      </c>
    </row>
    <row r="2730" spans="2:12">
      <c r="B2730" s="50" t="s">
        <v>483</v>
      </c>
      <c r="C2730" s="50" t="s">
        <v>62</v>
      </c>
      <c r="D2730" s="50" t="s">
        <v>27</v>
      </c>
      <c r="E2730" s="50">
        <v>50037892</v>
      </c>
      <c r="F2730" s="50" t="s">
        <v>178</v>
      </c>
      <c r="G2730" s="50">
        <v>1</v>
      </c>
      <c r="H2730" s="50" t="s">
        <v>2</v>
      </c>
      <c r="I2730" s="50" t="s">
        <v>292</v>
      </c>
      <c r="J2730" s="51">
        <v>46027</v>
      </c>
      <c r="K2730" s="50" t="s">
        <v>3</v>
      </c>
      <c r="L2730" s="50" t="s">
        <v>80</v>
      </c>
    </row>
    <row r="2731" spans="2:12">
      <c r="B2731" s="50" t="s">
        <v>445</v>
      </c>
      <c r="C2731" s="50" t="s">
        <v>51</v>
      </c>
      <c r="D2731" s="50" t="s">
        <v>41</v>
      </c>
      <c r="E2731" s="50">
        <v>50038956</v>
      </c>
      <c r="F2731" s="50" t="s">
        <v>177</v>
      </c>
      <c r="G2731" s="50">
        <v>1</v>
      </c>
      <c r="H2731" s="50" t="s">
        <v>4</v>
      </c>
      <c r="I2731" s="50" t="s">
        <v>354</v>
      </c>
      <c r="J2731" s="51">
        <v>46027</v>
      </c>
      <c r="K2731" s="50" t="s">
        <v>3</v>
      </c>
      <c r="L2731" s="50" t="s">
        <v>80</v>
      </c>
    </row>
    <row r="2732" spans="2:12">
      <c r="B2732" s="50" t="s">
        <v>445</v>
      </c>
      <c r="C2732" s="50" t="s">
        <v>51</v>
      </c>
      <c r="D2732" s="50" t="s">
        <v>41</v>
      </c>
      <c r="E2732" s="50">
        <v>50026357</v>
      </c>
      <c r="F2732" s="50" t="s">
        <v>192</v>
      </c>
      <c r="G2732" s="50">
        <v>1</v>
      </c>
      <c r="H2732" s="50" t="s">
        <v>4</v>
      </c>
      <c r="I2732" s="50" t="s">
        <v>354</v>
      </c>
      <c r="J2732" s="51">
        <v>46027</v>
      </c>
      <c r="K2732" s="50" t="s">
        <v>3</v>
      </c>
      <c r="L2732" s="50" t="s">
        <v>80</v>
      </c>
    </row>
    <row r="2733" spans="2:12">
      <c r="B2733" s="50" t="s">
        <v>445</v>
      </c>
      <c r="C2733" s="50" t="s">
        <v>51</v>
      </c>
      <c r="D2733" s="50" t="s">
        <v>41</v>
      </c>
      <c r="E2733" s="50">
        <v>50041195</v>
      </c>
      <c r="F2733" s="50" t="s">
        <v>206</v>
      </c>
      <c r="G2733" s="50">
        <v>1</v>
      </c>
      <c r="H2733" s="50" t="s">
        <v>4</v>
      </c>
      <c r="I2733" s="50" t="s">
        <v>354</v>
      </c>
      <c r="J2733" s="51">
        <v>46027</v>
      </c>
      <c r="K2733" s="50" t="s">
        <v>3</v>
      </c>
      <c r="L2733" s="50" t="s">
        <v>80</v>
      </c>
    </row>
    <row r="2734" spans="2:12">
      <c r="B2734" s="50" t="s">
        <v>399</v>
      </c>
      <c r="C2734" s="50" t="s">
        <v>51</v>
      </c>
      <c r="D2734" s="50" t="s">
        <v>27</v>
      </c>
      <c r="E2734" s="50">
        <v>50038517</v>
      </c>
      <c r="F2734" s="50" t="s">
        <v>181</v>
      </c>
      <c r="G2734" s="50">
        <v>1</v>
      </c>
      <c r="H2734" s="50" t="s">
        <v>4</v>
      </c>
      <c r="I2734" s="50" t="s">
        <v>290</v>
      </c>
      <c r="J2734" s="51">
        <v>46027</v>
      </c>
      <c r="K2734" s="50" t="s">
        <v>3</v>
      </c>
      <c r="L2734" s="50" t="s">
        <v>80</v>
      </c>
    </row>
    <row r="2735" spans="2:12">
      <c r="B2735" s="50" t="s">
        <v>386</v>
      </c>
      <c r="C2735" s="50" t="s">
        <v>62</v>
      </c>
      <c r="D2735" s="50" t="s">
        <v>27</v>
      </c>
      <c r="E2735" s="50">
        <v>50041124</v>
      </c>
      <c r="F2735" s="50" t="s">
        <v>202</v>
      </c>
      <c r="G2735" s="50">
        <v>1</v>
      </c>
      <c r="H2735" s="50"/>
      <c r="I2735" s="50" t="s">
        <v>290</v>
      </c>
      <c r="J2735" s="51">
        <v>46027</v>
      </c>
      <c r="K2735" s="50" t="s">
        <v>1</v>
      </c>
      <c r="L2735" s="50" t="s">
        <v>80</v>
      </c>
    </row>
    <row r="2736" spans="2:12">
      <c r="B2736" s="50" t="s">
        <v>398</v>
      </c>
      <c r="C2736" s="50" t="s">
        <v>60</v>
      </c>
      <c r="D2736" s="50" t="s">
        <v>41</v>
      </c>
      <c r="E2736" s="50">
        <v>50003297</v>
      </c>
      <c r="F2736" s="50" t="s">
        <v>158</v>
      </c>
      <c r="G2736" s="50">
        <v>1</v>
      </c>
      <c r="H2736" s="50" t="s">
        <v>2</v>
      </c>
      <c r="I2736" s="50" t="s">
        <v>291</v>
      </c>
      <c r="J2736" s="51">
        <v>46027</v>
      </c>
      <c r="K2736" s="50" t="s">
        <v>1</v>
      </c>
      <c r="L2736" s="50" t="s">
        <v>80</v>
      </c>
    </row>
    <row r="2737" spans="2:12">
      <c r="B2737" s="50" t="s">
        <v>444</v>
      </c>
      <c r="C2737" s="50" t="s">
        <v>51</v>
      </c>
      <c r="D2737" s="50" t="s">
        <v>27</v>
      </c>
      <c r="E2737" s="50">
        <v>50038194</v>
      </c>
      <c r="F2737" s="50" t="s">
        <v>238</v>
      </c>
      <c r="G2737" s="50">
        <v>1</v>
      </c>
      <c r="H2737" s="50" t="s">
        <v>2</v>
      </c>
      <c r="I2737" s="50" t="s">
        <v>291</v>
      </c>
      <c r="J2737" s="51">
        <v>46027</v>
      </c>
      <c r="K2737" s="50" t="s">
        <v>3</v>
      </c>
      <c r="L2737" s="50" t="s">
        <v>80</v>
      </c>
    </row>
    <row r="2738" spans="2:12">
      <c r="B2738" s="50" t="s">
        <v>437</v>
      </c>
      <c r="C2738" s="50" t="s">
        <v>51</v>
      </c>
      <c r="D2738" s="50" t="s">
        <v>41</v>
      </c>
      <c r="E2738" s="50">
        <v>50010031</v>
      </c>
      <c r="F2738" s="50" t="s">
        <v>89</v>
      </c>
      <c r="G2738" s="50">
        <v>1</v>
      </c>
      <c r="H2738" s="50" t="s">
        <v>2</v>
      </c>
      <c r="I2738" s="50" t="s">
        <v>291</v>
      </c>
      <c r="J2738" s="51">
        <v>46027</v>
      </c>
      <c r="K2738" s="50" t="s">
        <v>1</v>
      </c>
      <c r="L2738" s="50" t="s">
        <v>80</v>
      </c>
    </row>
    <row r="2739" spans="2:12">
      <c r="B2739" s="50" t="s">
        <v>280</v>
      </c>
      <c r="C2739" s="50" t="s">
        <v>62</v>
      </c>
      <c r="D2739" s="50" t="s">
        <v>27</v>
      </c>
      <c r="E2739" s="50">
        <v>50003173</v>
      </c>
      <c r="F2739" s="50" t="s">
        <v>74</v>
      </c>
      <c r="G2739" s="50">
        <v>1</v>
      </c>
      <c r="H2739" s="50" t="s">
        <v>2</v>
      </c>
      <c r="I2739" s="50" t="s">
        <v>291</v>
      </c>
      <c r="J2739" s="51">
        <v>46027</v>
      </c>
      <c r="K2739" s="50" t="s">
        <v>1</v>
      </c>
      <c r="L2739" s="50" t="s">
        <v>80</v>
      </c>
    </row>
    <row r="2740" spans="2:12">
      <c r="B2740" s="50" t="s">
        <v>418</v>
      </c>
      <c r="C2740" s="50" t="s">
        <v>26</v>
      </c>
      <c r="D2740" s="50" t="s">
        <v>27</v>
      </c>
      <c r="E2740" s="50">
        <v>50010031</v>
      </c>
      <c r="F2740" s="50" t="s">
        <v>89</v>
      </c>
      <c r="G2740" s="50">
        <v>1</v>
      </c>
      <c r="H2740" s="50" t="s">
        <v>2</v>
      </c>
      <c r="I2740" s="50" t="s">
        <v>291</v>
      </c>
      <c r="J2740" s="51">
        <v>46027</v>
      </c>
      <c r="K2740" s="50" t="s">
        <v>1</v>
      </c>
      <c r="L2740" s="50" t="s">
        <v>80</v>
      </c>
    </row>
    <row r="2741" spans="2:12">
      <c r="B2741" s="50" t="s">
        <v>420</v>
      </c>
      <c r="C2741" s="50" t="s">
        <v>26</v>
      </c>
      <c r="D2741" s="50" t="s">
        <v>41</v>
      </c>
      <c r="E2741" s="50">
        <v>50036086</v>
      </c>
      <c r="F2741" s="50" t="s">
        <v>28</v>
      </c>
      <c r="G2741" s="50">
        <v>1</v>
      </c>
      <c r="H2741" s="50" t="s">
        <v>2</v>
      </c>
      <c r="I2741" s="50" t="s">
        <v>291</v>
      </c>
      <c r="J2741" s="51">
        <v>46027</v>
      </c>
      <c r="K2741" s="50" t="s">
        <v>3</v>
      </c>
      <c r="L2741" s="50" t="s">
        <v>80</v>
      </c>
    </row>
    <row r="2742" spans="2:12">
      <c r="B2742" s="50" t="s">
        <v>466</v>
      </c>
      <c r="C2742" s="50" t="s">
        <v>62</v>
      </c>
      <c r="D2742" s="50" t="s">
        <v>27</v>
      </c>
      <c r="E2742" s="50">
        <v>50041194</v>
      </c>
      <c r="F2742" s="50" t="s">
        <v>249</v>
      </c>
      <c r="G2742" s="50">
        <v>1</v>
      </c>
      <c r="H2742" s="50" t="s">
        <v>2</v>
      </c>
      <c r="I2742" s="50" t="s">
        <v>291</v>
      </c>
      <c r="J2742" s="51">
        <v>46027</v>
      </c>
      <c r="K2742" s="50" t="s">
        <v>3</v>
      </c>
      <c r="L2742" s="50" t="s">
        <v>80</v>
      </c>
    </row>
    <row r="2743" spans="2:12">
      <c r="B2743" s="50" t="s">
        <v>402</v>
      </c>
      <c r="C2743" s="50" t="s">
        <v>56</v>
      </c>
      <c r="D2743" s="50" t="s">
        <v>39</v>
      </c>
      <c r="E2743" s="50">
        <v>50043150</v>
      </c>
      <c r="F2743" s="50" t="s">
        <v>259</v>
      </c>
      <c r="G2743" s="50">
        <v>1</v>
      </c>
      <c r="H2743" s="50" t="s">
        <v>2</v>
      </c>
      <c r="I2743" s="50" t="s">
        <v>291</v>
      </c>
      <c r="J2743" s="51">
        <v>46027</v>
      </c>
      <c r="K2743" s="50" t="s">
        <v>1</v>
      </c>
      <c r="L2743" s="50" t="s">
        <v>80</v>
      </c>
    </row>
    <row r="2744" spans="2:12">
      <c r="B2744" s="50" t="s">
        <v>419</v>
      </c>
      <c r="C2744" s="50" t="s">
        <v>51</v>
      </c>
      <c r="D2744" s="50" t="s">
        <v>41</v>
      </c>
      <c r="E2744" s="50">
        <v>50038517</v>
      </c>
      <c r="F2744" s="50" t="s">
        <v>181</v>
      </c>
      <c r="G2744" s="50">
        <v>1</v>
      </c>
      <c r="H2744" s="50" t="s">
        <v>2</v>
      </c>
      <c r="I2744" s="50" t="s">
        <v>291</v>
      </c>
      <c r="J2744" s="51">
        <v>46027</v>
      </c>
      <c r="K2744" s="50" t="s">
        <v>3</v>
      </c>
      <c r="L2744" s="50" t="s">
        <v>80</v>
      </c>
    </row>
    <row r="2745" spans="2:12">
      <c r="B2745" s="50" t="s">
        <v>483</v>
      </c>
      <c r="C2745" s="50" t="s">
        <v>62</v>
      </c>
      <c r="D2745" s="50" t="s">
        <v>27</v>
      </c>
      <c r="E2745" s="50">
        <v>50026357</v>
      </c>
      <c r="F2745" s="50" t="s">
        <v>192</v>
      </c>
      <c r="G2745" s="50">
        <v>1</v>
      </c>
      <c r="H2745" s="50" t="s">
        <v>2</v>
      </c>
      <c r="I2745" s="50" t="s">
        <v>291</v>
      </c>
      <c r="J2745" s="51">
        <v>46027</v>
      </c>
      <c r="K2745" s="50" t="s">
        <v>3</v>
      </c>
      <c r="L2745" s="50" t="s">
        <v>80</v>
      </c>
    </row>
    <row r="2746" spans="2:12">
      <c r="B2746" s="50" t="s">
        <v>280</v>
      </c>
      <c r="C2746" s="50" t="s">
        <v>62</v>
      </c>
      <c r="D2746" s="50" t="s">
        <v>27</v>
      </c>
      <c r="E2746" s="50">
        <v>50003173</v>
      </c>
      <c r="F2746" s="50" t="s">
        <v>74</v>
      </c>
      <c r="G2746" s="50">
        <v>1</v>
      </c>
      <c r="H2746" s="50" t="s">
        <v>2</v>
      </c>
      <c r="I2746" s="50" t="s">
        <v>291</v>
      </c>
      <c r="J2746" s="51">
        <v>46027</v>
      </c>
      <c r="K2746" s="50" t="s">
        <v>3</v>
      </c>
      <c r="L2746" s="50" t="s">
        <v>80</v>
      </c>
    </row>
    <row r="2747" spans="2:12">
      <c r="B2747" s="50" t="s">
        <v>418</v>
      </c>
      <c r="C2747" s="50" t="s">
        <v>26</v>
      </c>
      <c r="D2747" s="50" t="s">
        <v>27</v>
      </c>
      <c r="E2747" s="50">
        <v>50010031</v>
      </c>
      <c r="F2747" s="50" t="s">
        <v>89</v>
      </c>
      <c r="G2747" s="50">
        <v>1</v>
      </c>
      <c r="H2747" s="50" t="s">
        <v>2</v>
      </c>
      <c r="I2747" s="50" t="s">
        <v>291</v>
      </c>
      <c r="J2747" s="51">
        <v>46027</v>
      </c>
      <c r="K2747" s="50" t="s">
        <v>3</v>
      </c>
      <c r="L2747" s="50" t="s">
        <v>80</v>
      </c>
    </row>
    <row r="2748" spans="2:12">
      <c r="B2748" s="50" t="s">
        <v>419</v>
      </c>
      <c r="C2748" s="50" t="s">
        <v>51</v>
      </c>
      <c r="D2748" s="50" t="s">
        <v>41</v>
      </c>
      <c r="E2748" s="50">
        <v>50038517</v>
      </c>
      <c r="F2748" s="50" t="s">
        <v>181</v>
      </c>
      <c r="G2748" s="50">
        <v>1</v>
      </c>
      <c r="H2748" s="50" t="s">
        <v>2</v>
      </c>
      <c r="I2748" s="50" t="s">
        <v>291</v>
      </c>
      <c r="J2748" s="51">
        <v>46027</v>
      </c>
      <c r="K2748" s="50" t="s">
        <v>3</v>
      </c>
      <c r="L2748" s="50" t="s">
        <v>80</v>
      </c>
    </row>
    <row r="2749" spans="2:12">
      <c r="B2749" s="50" t="s">
        <v>278</v>
      </c>
      <c r="C2749" s="50" t="s">
        <v>62</v>
      </c>
      <c r="D2749" s="50" t="s">
        <v>27</v>
      </c>
      <c r="E2749" s="50">
        <v>50030486</v>
      </c>
      <c r="F2749" s="50" t="s">
        <v>153</v>
      </c>
      <c r="G2749" s="50">
        <v>1</v>
      </c>
      <c r="H2749" s="50" t="s">
        <v>2</v>
      </c>
      <c r="I2749" s="50" t="s">
        <v>291</v>
      </c>
      <c r="J2749" s="51">
        <v>46027</v>
      </c>
      <c r="K2749" s="50" t="s">
        <v>3</v>
      </c>
      <c r="L2749" s="50" t="s">
        <v>80</v>
      </c>
    </row>
    <row r="2750" spans="2:12">
      <c r="B2750" s="50" t="s">
        <v>444</v>
      </c>
      <c r="C2750" s="50" t="s">
        <v>51</v>
      </c>
      <c r="D2750" s="50" t="s">
        <v>27</v>
      </c>
      <c r="E2750" s="50">
        <v>50038194</v>
      </c>
      <c r="F2750" s="50" t="s">
        <v>238</v>
      </c>
      <c r="G2750" s="50">
        <v>1</v>
      </c>
      <c r="H2750" s="50" t="s">
        <v>2</v>
      </c>
      <c r="I2750" s="50" t="s">
        <v>291</v>
      </c>
      <c r="J2750" s="51">
        <v>46027</v>
      </c>
      <c r="K2750" s="50" t="s">
        <v>3</v>
      </c>
      <c r="L2750" s="50" t="s">
        <v>80</v>
      </c>
    </row>
    <row r="2751" spans="2:12">
      <c r="B2751" s="50" t="s">
        <v>399</v>
      </c>
      <c r="C2751" s="50" t="s">
        <v>51</v>
      </c>
      <c r="D2751" s="50" t="s">
        <v>27</v>
      </c>
      <c r="E2751" s="50">
        <v>50039065</v>
      </c>
      <c r="F2751" s="50" t="s">
        <v>186</v>
      </c>
      <c r="G2751" s="50">
        <v>1</v>
      </c>
      <c r="H2751" s="50" t="s">
        <v>2</v>
      </c>
      <c r="I2751" s="50" t="s">
        <v>291</v>
      </c>
      <c r="J2751" s="51">
        <v>46027</v>
      </c>
      <c r="K2751" s="50" t="s">
        <v>3</v>
      </c>
      <c r="L2751" s="50" t="s">
        <v>80</v>
      </c>
    </row>
    <row r="2752" spans="2:12">
      <c r="B2752" s="50" t="s">
        <v>483</v>
      </c>
      <c r="C2752" s="50" t="s">
        <v>62</v>
      </c>
      <c r="D2752" s="50" t="s">
        <v>27</v>
      </c>
      <c r="E2752" s="50">
        <v>50043471</v>
      </c>
      <c r="F2752" s="50" t="s">
        <v>257</v>
      </c>
      <c r="G2752" s="50">
        <v>1</v>
      </c>
      <c r="H2752" s="50" t="s">
        <v>2</v>
      </c>
      <c r="I2752" s="50" t="s">
        <v>291</v>
      </c>
      <c r="J2752" s="51">
        <v>46027</v>
      </c>
      <c r="K2752" s="50" t="s">
        <v>3</v>
      </c>
      <c r="L2752" s="50" t="s">
        <v>80</v>
      </c>
    </row>
    <row r="2753" spans="2:12">
      <c r="B2753" s="50" t="s">
        <v>483</v>
      </c>
      <c r="C2753" s="50" t="s">
        <v>62</v>
      </c>
      <c r="D2753" s="50" t="s">
        <v>27</v>
      </c>
      <c r="E2753" s="50">
        <v>50037892</v>
      </c>
      <c r="F2753" s="50" t="s">
        <v>178</v>
      </c>
      <c r="G2753" s="50">
        <v>1</v>
      </c>
      <c r="H2753" s="50" t="s">
        <v>2</v>
      </c>
      <c r="I2753" s="50" t="s">
        <v>291</v>
      </c>
      <c r="J2753" s="51">
        <v>46027</v>
      </c>
      <c r="K2753" s="50" t="s">
        <v>3</v>
      </c>
      <c r="L2753" s="50" t="s">
        <v>80</v>
      </c>
    </row>
    <row r="2754" spans="2:12">
      <c r="B2754" s="50" t="s">
        <v>420</v>
      </c>
      <c r="C2754" s="50" t="s">
        <v>26</v>
      </c>
      <c r="D2754" s="50" t="s">
        <v>41</v>
      </c>
      <c r="E2754" s="50">
        <v>50036086</v>
      </c>
      <c r="F2754" s="50" t="s">
        <v>28</v>
      </c>
      <c r="G2754" s="50">
        <v>1</v>
      </c>
      <c r="H2754" s="50" t="s">
        <v>2</v>
      </c>
      <c r="I2754" s="50" t="s">
        <v>291</v>
      </c>
      <c r="J2754" s="51">
        <v>46027</v>
      </c>
      <c r="K2754" s="50" t="s">
        <v>1</v>
      </c>
      <c r="L2754" s="50" t="s">
        <v>80</v>
      </c>
    </row>
    <row r="2755" spans="2:12">
      <c r="B2755" s="50" t="s">
        <v>445</v>
      </c>
      <c r="C2755" s="50" t="s">
        <v>51</v>
      </c>
      <c r="D2755" s="50" t="s">
        <v>41</v>
      </c>
      <c r="E2755" s="50">
        <v>50039065</v>
      </c>
      <c r="F2755" s="50" t="s">
        <v>186</v>
      </c>
      <c r="G2755" s="50">
        <v>1</v>
      </c>
      <c r="H2755" s="50" t="s">
        <v>2</v>
      </c>
      <c r="I2755" s="50" t="s">
        <v>289</v>
      </c>
      <c r="J2755" s="51">
        <v>46025</v>
      </c>
      <c r="K2755" s="50" t="s">
        <v>1</v>
      </c>
      <c r="L2755" s="50" t="s">
        <v>80</v>
      </c>
    </row>
    <row r="2756" spans="2:12">
      <c r="B2756" s="50" t="s">
        <v>437</v>
      </c>
      <c r="C2756" s="50" t="s">
        <v>51</v>
      </c>
      <c r="D2756" s="50" t="s">
        <v>41</v>
      </c>
      <c r="E2756" s="50">
        <v>50037892</v>
      </c>
      <c r="F2756" s="50" t="s">
        <v>178</v>
      </c>
      <c r="G2756" s="50">
        <v>1</v>
      </c>
      <c r="H2756" s="50" t="s">
        <v>2</v>
      </c>
      <c r="I2756" s="50" t="s">
        <v>289</v>
      </c>
      <c r="J2756" s="51">
        <v>46025</v>
      </c>
      <c r="K2756" s="50" t="s">
        <v>3</v>
      </c>
      <c r="L2756" s="50" t="s">
        <v>80</v>
      </c>
    </row>
    <row r="2757" spans="2:12">
      <c r="B2757" s="50" t="s">
        <v>445</v>
      </c>
      <c r="C2757" s="50" t="s">
        <v>51</v>
      </c>
      <c r="D2757" s="50" t="s">
        <v>41</v>
      </c>
      <c r="E2757" s="50">
        <v>50039065</v>
      </c>
      <c r="F2757" s="50" t="s">
        <v>186</v>
      </c>
      <c r="G2757" s="50">
        <v>1</v>
      </c>
      <c r="H2757" s="50" t="s">
        <v>2</v>
      </c>
      <c r="I2757" s="50" t="s">
        <v>289</v>
      </c>
      <c r="J2757" s="51">
        <v>46025</v>
      </c>
      <c r="K2757" s="50" t="s">
        <v>1</v>
      </c>
      <c r="L2757" s="50" t="s">
        <v>80</v>
      </c>
    </row>
    <row r="2758" spans="2:12">
      <c r="B2758" s="50" t="s">
        <v>437</v>
      </c>
      <c r="C2758" s="50" t="s">
        <v>51</v>
      </c>
      <c r="D2758" s="50" t="s">
        <v>41</v>
      </c>
      <c r="E2758" s="50">
        <v>50041195</v>
      </c>
      <c r="F2758" s="50" t="s">
        <v>206</v>
      </c>
      <c r="G2758" s="50">
        <v>1</v>
      </c>
      <c r="H2758" s="50" t="s">
        <v>2</v>
      </c>
      <c r="I2758" s="50" t="s">
        <v>289</v>
      </c>
      <c r="J2758" s="51">
        <v>46025</v>
      </c>
      <c r="K2758" s="50" t="s">
        <v>1</v>
      </c>
      <c r="L2758" s="50" t="s">
        <v>80</v>
      </c>
    </row>
    <row r="2759" spans="2:12">
      <c r="B2759" s="50" t="s">
        <v>482</v>
      </c>
      <c r="C2759" s="50" t="s">
        <v>51</v>
      </c>
      <c r="D2759" s="50" t="s">
        <v>39</v>
      </c>
      <c r="E2759" s="50">
        <v>50038956</v>
      </c>
      <c r="F2759" s="50" t="s">
        <v>177</v>
      </c>
      <c r="G2759" s="50">
        <v>1</v>
      </c>
      <c r="H2759" s="50" t="s">
        <v>2</v>
      </c>
      <c r="I2759" s="50" t="s">
        <v>289</v>
      </c>
      <c r="J2759" s="51">
        <v>46025</v>
      </c>
      <c r="K2759" s="50" t="s">
        <v>1</v>
      </c>
      <c r="L2759" s="50" t="s">
        <v>80</v>
      </c>
    </row>
    <row r="2760" spans="2:12">
      <c r="B2760" s="50" t="s">
        <v>428</v>
      </c>
      <c r="C2760" s="50" t="s">
        <v>26</v>
      </c>
      <c r="D2760" s="50" t="s">
        <v>27</v>
      </c>
      <c r="E2760" s="50">
        <v>50001995</v>
      </c>
      <c r="F2760" s="50" t="s">
        <v>185</v>
      </c>
      <c r="G2760" s="50">
        <v>1</v>
      </c>
      <c r="H2760" s="50" t="s">
        <v>2</v>
      </c>
      <c r="I2760" s="50" t="s">
        <v>289</v>
      </c>
      <c r="J2760" s="51">
        <v>46025</v>
      </c>
      <c r="K2760" s="50" t="s">
        <v>3</v>
      </c>
      <c r="L2760" s="50" t="s">
        <v>80</v>
      </c>
    </row>
    <row r="2761" spans="2:12">
      <c r="B2761" s="50" t="s">
        <v>428</v>
      </c>
      <c r="C2761" s="50" t="s">
        <v>26</v>
      </c>
      <c r="D2761" s="50" t="s">
        <v>27</v>
      </c>
      <c r="E2761" s="50">
        <v>50001995</v>
      </c>
      <c r="F2761" s="50" t="s">
        <v>185</v>
      </c>
      <c r="G2761" s="50">
        <v>1</v>
      </c>
      <c r="H2761" s="50" t="s">
        <v>2</v>
      </c>
      <c r="I2761" s="50" t="s">
        <v>289</v>
      </c>
      <c r="J2761" s="51">
        <v>46025</v>
      </c>
      <c r="K2761" s="50" t="s">
        <v>3</v>
      </c>
      <c r="L2761" s="50" t="s">
        <v>80</v>
      </c>
    </row>
    <row r="2762" spans="2:12">
      <c r="B2762" s="50" t="s">
        <v>437</v>
      </c>
      <c r="C2762" s="50" t="s">
        <v>51</v>
      </c>
      <c r="D2762" s="50" t="s">
        <v>41</v>
      </c>
      <c r="E2762" s="50">
        <v>50037892</v>
      </c>
      <c r="F2762" s="50" t="s">
        <v>178</v>
      </c>
      <c r="G2762" s="50">
        <v>1</v>
      </c>
      <c r="H2762" s="50" t="s">
        <v>2</v>
      </c>
      <c r="I2762" s="50" t="s">
        <v>289</v>
      </c>
      <c r="J2762" s="51">
        <v>46025</v>
      </c>
      <c r="K2762" s="50" t="s">
        <v>3</v>
      </c>
      <c r="L2762" s="50" t="s">
        <v>80</v>
      </c>
    </row>
    <row r="2763" spans="2:12">
      <c r="B2763" s="50" t="s">
        <v>437</v>
      </c>
      <c r="C2763" s="50" t="s">
        <v>51</v>
      </c>
      <c r="D2763" s="50" t="s">
        <v>41</v>
      </c>
      <c r="E2763" s="50">
        <v>50041195</v>
      </c>
      <c r="F2763" s="50" t="s">
        <v>206</v>
      </c>
      <c r="G2763" s="50">
        <v>1</v>
      </c>
      <c r="H2763" s="50" t="s">
        <v>2</v>
      </c>
      <c r="I2763" s="50" t="s">
        <v>289</v>
      </c>
      <c r="J2763" s="51">
        <v>46025</v>
      </c>
      <c r="K2763" s="50" t="s">
        <v>3</v>
      </c>
      <c r="L2763" s="50" t="s">
        <v>80</v>
      </c>
    </row>
    <row r="2764" spans="2:12">
      <c r="B2764" s="50" t="s">
        <v>482</v>
      </c>
      <c r="C2764" s="50" t="s">
        <v>51</v>
      </c>
      <c r="D2764" s="50" t="s">
        <v>39</v>
      </c>
      <c r="E2764" s="50">
        <v>50038956</v>
      </c>
      <c r="F2764" s="50" t="s">
        <v>177</v>
      </c>
      <c r="G2764" s="50">
        <v>1</v>
      </c>
      <c r="H2764" s="50" t="s">
        <v>2</v>
      </c>
      <c r="I2764" s="50" t="s">
        <v>289</v>
      </c>
      <c r="J2764" s="51">
        <v>46024</v>
      </c>
      <c r="K2764" s="50" t="s">
        <v>3</v>
      </c>
      <c r="L2764" s="50" t="s">
        <v>80</v>
      </c>
    </row>
    <row r="2765" spans="2:12">
      <c r="B2765" s="50" t="s">
        <v>456</v>
      </c>
      <c r="C2765" s="50" t="s">
        <v>56</v>
      </c>
      <c r="D2765" s="50" t="s">
        <v>39</v>
      </c>
      <c r="E2765" s="50">
        <v>50010031</v>
      </c>
      <c r="F2765" s="50" t="s">
        <v>89</v>
      </c>
      <c r="G2765" s="50">
        <v>1</v>
      </c>
      <c r="H2765" s="50" t="s">
        <v>2</v>
      </c>
      <c r="I2765" s="50" t="s">
        <v>289</v>
      </c>
      <c r="J2765" s="51">
        <v>46024</v>
      </c>
      <c r="K2765" s="50" t="s">
        <v>1</v>
      </c>
      <c r="L2765" s="50" t="s">
        <v>80</v>
      </c>
    </row>
    <row r="2766" spans="2:12">
      <c r="B2766" s="50" t="s">
        <v>445</v>
      </c>
      <c r="C2766" s="50" t="s">
        <v>51</v>
      </c>
      <c r="D2766" s="50" t="s">
        <v>41</v>
      </c>
      <c r="E2766" s="50">
        <v>50026357</v>
      </c>
      <c r="F2766" s="50" t="s">
        <v>192</v>
      </c>
      <c r="G2766" s="50">
        <v>1</v>
      </c>
      <c r="H2766" s="50" t="s">
        <v>2</v>
      </c>
      <c r="I2766" s="50" t="s">
        <v>289</v>
      </c>
      <c r="J2766" s="51">
        <v>46024</v>
      </c>
      <c r="K2766" s="50" t="s">
        <v>1</v>
      </c>
      <c r="L2766" s="50" t="s">
        <v>80</v>
      </c>
    </row>
    <row r="2767" spans="2:12">
      <c r="B2767" s="50" t="s">
        <v>399</v>
      </c>
      <c r="C2767" s="50" t="s">
        <v>51</v>
      </c>
      <c r="D2767" s="50" t="s">
        <v>27</v>
      </c>
      <c r="E2767" s="50">
        <v>50039065</v>
      </c>
      <c r="F2767" s="50" t="s">
        <v>186</v>
      </c>
      <c r="G2767" s="50">
        <v>1</v>
      </c>
      <c r="H2767" s="50" t="s">
        <v>2</v>
      </c>
      <c r="I2767" s="50" t="s">
        <v>289</v>
      </c>
      <c r="J2767" s="51">
        <v>46024</v>
      </c>
      <c r="K2767" s="50" t="s">
        <v>1</v>
      </c>
      <c r="L2767" s="50" t="s">
        <v>80</v>
      </c>
    </row>
    <row r="2768" spans="2:12">
      <c r="B2768" s="50" t="s">
        <v>399</v>
      </c>
      <c r="C2768" s="50" t="s">
        <v>51</v>
      </c>
      <c r="D2768" s="50" t="s">
        <v>27</v>
      </c>
      <c r="E2768" s="50">
        <v>50030486</v>
      </c>
      <c r="F2768" s="50" t="s">
        <v>153</v>
      </c>
      <c r="G2768" s="50">
        <v>1</v>
      </c>
      <c r="H2768" s="50" t="s">
        <v>2</v>
      </c>
      <c r="I2768" s="50" t="s">
        <v>289</v>
      </c>
      <c r="J2768" s="51">
        <v>46024</v>
      </c>
      <c r="K2768" s="50" t="s">
        <v>1</v>
      </c>
      <c r="L2768" s="50" t="s">
        <v>80</v>
      </c>
    </row>
    <row r="2769" spans="2:12">
      <c r="B2769" s="50" t="s">
        <v>25</v>
      </c>
      <c r="C2769" s="50" t="s">
        <v>26</v>
      </c>
      <c r="D2769" s="50" t="s">
        <v>27</v>
      </c>
      <c r="E2769" s="50">
        <v>50043151</v>
      </c>
      <c r="F2769" s="50" t="s">
        <v>331</v>
      </c>
      <c r="G2769" s="50">
        <v>1</v>
      </c>
      <c r="H2769" s="50" t="s">
        <v>2</v>
      </c>
      <c r="I2769" s="50" t="s">
        <v>289</v>
      </c>
      <c r="J2769" s="51">
        <v>46024</v>
      </c>
      <c r="K2769" s="50" t="s">
        <v>1</v>
      </c>
      <c r="L2769" s="50" t="s">
        <v>80</v>
      </c>
    </row>
    <row r="2770" spans="2:12">
      <c r="B2770" s="50" t="s">
        <v>445</v>
      </c>
      <c r="C2770" s="50" t="s">
        <v>51</v>
      </c>
      <c r="D2770" s="50" t="s">
        <v>41</v>
      </c>
      <c r="E2770" s="50">
        <v>50038956</v>
      </c>
      <c r="F2770" s="50" t="s">
        <v>177</v>
      </c>
      <c r="G2770" s="50">
        <v>1</v>
      </c>
      <c r="H2770" s="50" t="s">
        <v>2</v>
      </c>
      <c r="I2770" s="50" t="s">
        <v>289</v>
      </c>
      <c r="J2770" s="51">
        <v>46024</v>
      </c>
      <c r="K2770" s="50" t="s">
        <v>1</v>
      </c>
      <c r="L2770" s="50" t="s">
        <v>80</v>
      </c>
    </row>
    <row r="2771" spans="2:12">
      <c r="B2771" s="50" t="s">
        <v>422</v>
      </c>
      <c r="C2771" s="50" t="s">
        <v>26</v>
      </c>
      <c r="D2771" s="50" t="s">
        <v>27</v>
      </c>
      <c r="E2771" s="50">
        <v>50012902</v>
      </c>
      <c r="F2771" s="50" t="s">
        <v>225</v>
      </c>
      <c r="G2771" s="50">
        <v>1</v>
      </c>
      <c r="H2771" s="50" t="s">
        <v>2</v>
      </c>
      <c r="I2771" s="50" t="s">
        <v>290</v>
      </c>
      <c r="J2771" s="51">
        <v>46024</v>
      </c>
      <c r="K2771" s="50" t="s">
        <v>3</v>
      </c>
      <c r="L2771" s="50" t="s">
        <v>80</v>
      </c>
    </row>
    <row r="2772" spans="2:12">
      <c r="B2772" s="50" t="s">
        <v>422</v>
      </c>
      <c r="C2772" s="50" t="s">
        <v>26</v>
      </c>
      <c r="D2772" s="50" t="s">
        <v>27</v>
      </c>
      <c r="E2772" s="50">
        <v>50012902</v>
      </c>
      <c r="F2772" s="50" t="s">
        <v>225</v>
      </c>
      <c r="G2772" s="50">
        <v>1</v>
      </c>
      <c r="H2772" s="50" t="s">
        <v>2</v>
      </c>
      <c r="I2772" s="50" t="s">
        <v>290</v>
      </c>
      <c r="J2772" s="51">
        <v>46024</v>
      </c>
      <c r="K2772" s="50" t="s">
        <v>3</v>
      </c>
      <c r="L2772" s="50" t="s">
        <v>80</v>
      </c>
    </row>
    <row r="2773" spans="2:12">
      <c r="B2773" s="50" t="s">
        <v>25</v>
      </c>
      <c r="C2773" s="50" t="s">
        <v>26</v>
      </c>
      <c r="D2773" s="50" t="s">
        <v>27</v>
      </c>
      <c r="E2773" s="50">
        <v>50043151</v>
      </c>
      <c r="F2773" s="50" t="s">
        <v>331</v>
      </c>
      <c r="G2773" s="50">
        <v>1</v>
      </c>
      <c r="H2773" s="50" t="s">
        <v>2</v>
      </c>
      <c r="I2773" s="50" t="s">
        <v>289</v>
      </c>
      <c r="J2773" s="51">
        <v>46024</v>
      </c>
      <c r="K2773" s="50" t="s">
        <v>1</v>
      </c>
      <c r="L2773" s="50" t="s">
        <v>80</v>
      </c>
    </row>
    <row r="2774" spans="2:12">
      <c r="B2774" s="50" t="s">
        <v>427</v>
      </c>
      <c r="C2774" s="50" t="s">
        <v>26</v>
      </c>
      <c r="D2774" s="50" t="s">
        <v>27</v>
      </c>
      <c r="E2774" s="50">
        <v>50038517</v>
      </c>
      <c r="F2774" s="50" t="s">
        <v>181</v>
      </c>
      <c r="G2774" s="50">
        <v>1</v>
      </c>
      <c r="H2774" s="50" t="s">
        <v>2</v>
      </c>
      <c r="I2774" s="50" t="s">
        <v>289</v>
      </c>
      <c r="J2774" s="51">
        <v>46024</v>
      </c>
      <c r="K2774" s="50" t="s">
        <v>1</v>
      </c>
      <c r="L2774" s="50" t="s">
        <v>80</v>
      </c>
    </row>
    <row r="2775" spans="2:12">
      <c r="B2775" s="50" t="s">
        <v>468</v>
      </c>
      <c r="C2775" s="50" t="s">
        <v>56</v>
      </c>
      <c r="D2775" s="50" t="s">
        <v>41</v>
      </c>
      <c r="E2775" s="50">
        <v>50010031</v>
      </c>
      <c r="F2775" s="50" t="s">
        <v>89</v>
      </c>
      <c r="G2775" s="50">
        <v>1</v>
      </c>
      <c r="H2775" s="50" t="s">
        <v>2</v>
      </c>
      <c r="I2775" s="50" t="s">
        <v>289</v>
      </c>
      <c r="J2775" s="51">
        <v>46024</v>
      </c>
      <c r="K2775" s="50" t="s">
        <v>3</v>
      </c>
      <c r="L2775" s="50" t="s">
        <v>80</v>
      </c>
    </row>
    <row r="2776" spans="2:12">
      <c r="B2776" s="50" t="s">
        <v>399</v>
      </c>
      <c r="C2776" s="50" t="s">
        <v>51</v>
      </c>
      <c r="D2776" s="50" t="s">
        <v>27</v>
      </c>
      <c r="E2776" s="50">
        <v>50030486</v>
      </c>
      <c r="F2776" s="50" t="s">
        <v>153</v>
      </c>
      <c r="G2776" s="50">
        <v>1</v>
      </c>
      <c r="H2776" s="50" t="s">
        <v>2</v>
      </c>
      <c r="I2776" s="50" t="s">
        <v>289</v>
      </c>
      <c r="J2776" s="51">
        <v>46024</v>
      </c>
      <c r="K2776" s="50" t="s">
        <v>3</v>
      </c>
      <c r="L2776" s="50" t="s">
        <v>80</v>
      </c>
    </row>
    <row r="2777" spans="2:12">
      <c r="B2777" s="50" t="s">
        <v>427</v>
      </c>
      <c r="C2777" s="50" t="s">
        <v>26</v>
      </c>
      <c r="D2777" s="50" t="s">
        <v>27</v>
      </c>
      <c r="E2777" s="50">
        <v>50038517</v>
      </c>
      <c r="F2777" s="50" t="s">
        <v>181</v>
      </c>
      <c r="G2777" s="50">
        <v>1</v>
      </c>
      <c r="H2777" s="50" t="s">
        <v>2</v>
      </c>
      <c r="I2777" s="50" t="s">
        <v>289</v>
      </c>
      <c r="J2777" s="51">
        <v>46024</v>
      </c>
      <c r="K2777" s="50" t="s">
        <v>1</v>
      </c>
      <c r="L2777" s="50" t="s">
        <v>80</v>
      </c>
    </row>
    <row r="2778" spans="2:12">
      <c r="B2778" s="50" t="s">
        <v>277</v>
      </c>
      <c r="C2778" s="50" t="s">
        <v>62</v>
      </c>
      <c r="D2778" s="50" t="s">
        <v>27</v>
      </c>
      <c r="E2778" s="50">
        <v>50030486</v>
      </c>
      <c r="F2778" s="50" t="s">
        <v>153</v>
      </c>
      <c r="G2778" s="50">
        <v>1</v>
      </c>
      <c r="H2778" s="50" t="s">
        <v>2</v>
      </c>
      <c r="I2778" s="50" t="s">
        <v>289</v>
      </c>
      <c r="J2778" s="51">
        <v>46024</v>
      </c>
      <c r="K2778" s="50" t="s">
        <v>1</v>
      </c>
      <c r="L2778" s="50" t="s">
        <v>80</v>
      </c>
    </row>
    <row r="2779" spans="2:12">
      <c r="B2779" s="50" t="s">
        <v>347</v>
      </c>
      <c r="C2779" s="50" t="s">
        <v>26</v>
      </c>
      <c r="D2779" s="50" t="s">
        <v>41</v>
      </c>
      <c r="E2779" s="50">
        <v>50039718</v>
      </c>
      <c r="F2779" s="50" t="s">
        <v>149</v>
      </c>
      <c r="G2779" s="50">
        <v>1</v>
      </c>
      <c r="H2779" s="50" t="s">
        <v>2</v>
      </c>
      <c r="I2779" s="50" t="s">
        <v>289</v>
      </c>
      <c r="J2779" s="51">
        <v>46024</v>
      </c>
      <c r="K2779" s="50" t="s">
        <v>1</v>
      </c>
      <c r="L2779" s="50" t="s">
        <v>80</v>
      </c>
    </row>
    <row r="2780" spans="2:12">
      <c r="B2780" s="50" t="s">
        <v>347</v>
      </c>
      <c r="C2780" s="50" t="s">
        <v>26</v>
      </c>
      <c r="D2780" s="50" t="s">
        <v>41</v>
      </c>
      <c r="E2780" s="50">
        <v>50032781</v>
      </c>
      <c r="F2780" s="50" t="s">
        <v>237</v>
      </c>
      <c r="G2780" s="50">
        <v>1</v>
      </c>
      <c r="H2780" s="50" t="s">
        <v>2</v>
      </c>
      <c r="I2780" s="50" t="s">
        <v>289</v>
      </c>
      <c r="J2780" s="51">
        <v>46024</v>
      </c>
      <c r="K2780" s="50" t="s">
        <v>1</v>
      </c>
      <c r="L2780" s="50" t="s">
        <v>80</v>
      </c>
    </row>
    <row r="2781" spans="2:12">
      <c r="B2781" s="50" t="s">
        <v>478</v>
      </c>
      <c r="C2781" s="50" t="s">
        <v>51</v>
      </c>
      <c r="D2781" s="50" t="s">
        <v>27</v>
      </c>
      <c r="E2781" s="50">
        <v>50042623</v>
      </c>
      <c r="F2781" s="50" t="s">
        <v>141</v>
      </c>
      <c r="G2781" s="50">
        <v>1</v>
      </c>
      <c r="H2781" s="50" t="s">
        <v>2</v>
      </c>
      <c r="I2781" s="50" t="s">
        <v>289</v>
      </c>
      <c r="J2781" s="51">
        <v>46024</v>
      </c>
      <c r="K2781" s="50" t="s">
        <v>3</v>
      </c>
      <c r="L2781" s="50" t="s">
        <v>80</v>
      </c>
    </row>
    <row r="2782" spans="2:12">
      <c r="B2782" s="50" t="s">
        <v>399</v>
      </c>
      <c r="C2782" s="50" t="s">
        <v>51</v>
      </c>
      <c r="D2782" s="50" t="s">
        <v>27</v>
      </c>
      <c r="E2782" s="50">
        <v>50039065</v>
      </c>
      <c r="F2782" s="50" t="s">
        <v>186</v>
      </c>
      <c r="G2782" s="50">
        <v>1</v>
      </c>
      <c r="H2782" s="50" t="s">
        <v>2</v>
      </c>
      <c r="I2782" s="50" t="s">
        <v>289</v>
      </c>
      <c r="J2782" s="51">
        <v>46024</v>
      </c>
      <c r="K2782" s="50" t="s">
        <v>3</v>
      </c>
      <c r="L2782" s="50" t="s">
        <v>80</v>
      </c>
    </row>
    <row r="2783" spans="2:12">
      <c r="B2783" s="50" t="s">
        <v>445</v>
      </c>
      <c r="C2783" s="50" t="s">
        <v>51</v>
      </c>
      <c r="D2783" s="50" t="s">
        <v>41</v>
      </c>
      <c r="E2783" s="50">
        <v>50038956</v>
      </c>
      <c r="F2783" s="50" t="s">
        <v>177</v>
      </c>
      <c r="G2783" s="50">
        <v>1</v>
      </c>
      <c r="H2783" s="50" t="s">
        <v>2</v>
      </c>
      <c r="I2783" s="50" t="s">
        <v>289</v>
      </c>
      <c r="J2783" s="51">
        <v>46024</v>
      </c>
      <c r="K2783" s="50" t="s">
        <v>3</v>
      </c>
      <c r="L2783" s="50" t="s">
        <v>80</v>
      </c>
    </row>
    <row r="2784" spans="2:12">
      <c r="B2784" s="50" t="s">
        <v>478</v>
      </c>
      <c r="C2784" s="50" t="s">
        <v>51</v>
      </c>
      <c r="D2784" s="50" t="s">
        <v>27</v>
      </c>
      <c r="E2784" s="50">
        <v>50042623</v>
      </c>
      <c r="F2784" s="50" t="s">
        <v>141</v>
      </c>
      <c r="G2784" s="50">
        <v>1</v>
      </c>
      <c r="H2784" s="50" t="s">
        <v>2</v>
      </c>
      <c r="I2784" s="50" t="s">
        <v>289</v>
      </c>
      <c r="J2784" s="51">
        <v>46024</v>
      </c>
      <c r="K2784" s="50" t="s">
        <v>3</v>
      </c>
      <c r="L2784" s="50" t="s">
        <v>80</v>
      </c>
    </row>
    <row r="2785" spans="2:12">
      <c r="B2785" s="50" t="s">
        <v>398</v>
      </c>
      <c r="C2785" s="50" t="s">
        <v>60</v>
      </c>
      <c r="D2785" s="50" t="s">
        <v>41</v>
      </c>
      <c r="E2785" s="50">
        <v>50003297</v>
      </c>
      <c r="F2785" s="50" t="s">
        <v>158</v>
      </c>
      <c r="G2785" s="50">
        <v>1</v>
      </c>
      <c r="H2785" s="50" t="s">
        <v>2</v>
      </c>
      <c r="I2785" s="50" t="s">
        <v>289</v>
      </c>
      <c r="J2785" s="51">
        <v>46024</v>
      </c>
      <c r="K2785" s="50" t="s">
        <v>3</v>
      </c>
      <c r="L2785" s="50" t="s">
        <v>80</v>
      </c>
    </row>
    <row r="2786" spans="2:12">
      <c r="B2786" s="50" t="s">
        <v>277</v>
      </c>
      <c r="C2786" s="50" t="s">
        <v>62</v>
      </c>
      <c r="D2786" s="50" t="s">
        <v>27</v>
      </c>
      <c r="E2786" s="50">
        <v>50030486</v>
      </c>
      <c r="F2786" s="50" t="s">
        <v>153</v>
      </c>
      <c r="G2786" s="50">
        <v>1</v>
      </c>
      <c r="H2786" s="50" t="s">
        <v>2</v>
      </c>
      <c r="I2786" s="50" t="s">
        <v>289</v>
      </c>
      <c r="J2786" s="51">
        <v>46024</v>
      </c>
      <c r="K2786" s="50" t="s">
        <v>3</v>
      </c>
      <c r="L2786" s="50" t="s">
        <v>80</v>
      </c>
    </row>
    <row r="2787" spans="2:12">
      <c r="B2787" s="50" t="s">
        <v>347</v>
      </c>
      <c r="C2787" s="50" t="s">
        <v>26</v>
      </c>
      <c r="D2787" s="50" t="s">
        <v>41</v>
      </c>
      <c r="E2787" s="50">
        <v>50039718</v>
      </c>
      <c r="F2787" s="50" t="s">
        <v>149</v>
      </c>
      <c r="G2787" s="50">
        <v>1</v>
      </c>
      <c r="H2787" s="50" t="s">
        <v>2</v>
      </c>
      <c r="I2787" s="50" t="s">
        <v>289</v>
      </c>
      <c r="J2787" s="51">
        <v>46024</v>
      </c>
      <c r="K2787" s="50" t="s">
        <v>3</v>
      </c>
      <c r="L2787" s="50" t="s">
        <v>80</v>
      </c>
    </row>
    <row r="2788" spans="2:12">
      <c r="B2788" s="50" t="s">
        <v>347</v>
      </c>
      <c r="C2788" s="50" t="s">
        <v>26</v>
      </c>
      <c r="D2788" s="50" t="s">
        <v>41</v>
      </c>
      <c r="E2788" s="50">
        <v>50032781</v>
      </c>
      <c r="F2788" s="50" t="s">
        <v>237</v>
      </c>
      <c r="G2788" s="50">
        <v>1</v>
      </c>
      <c r="H2788" s="50" t="s">
        <v>2</v>
      </c>
      <c r="I2788" s="50" t="s">
        <v>289</v>
      </c>
      <c r="J2788" s="51">
        <v>46024</v>
      </c>
      <c r="K2788" s="50" t="s">
        <v>3</v>
      </c>
      <c r="L2788" s="50" t="s">
        <v>80</v>
      </c>
    </row>
    <row r="2789" spans="2:12">
      <c r="B2789" s="50" t="s">
        <v>445</v>
      </c>
      <c r="C2789" s="50" t="s">
        <v>51</v>
      </c>
      <c r="D2789" s="50" t="s">
        <v>41</v>
      </c>
      <c r="E2789" s="50">
        <v>50026357</v>
      </c>
      <c r="F2789" s="50" t="s">
        <v>192</v>
      </c>
      <c r="G2789" s="50">
        <v>1</v>
      </c>
      <c r="H2789" s="50" t="s">
        <v>2</v>
      </c>
      <c r="I2789" s="50" t="s">
        <v>289</v>
      </c>
      <c r="J2789" s="51">
        <v>46024</v>
      </c>
      <c r="K2789" s="50" t="s">
        <v>3</v>
      </c>
      <c r="L2789" s="50" t="s">
        <v>80</v>
      </c>
    </row>
    <row r="2790" spans="2:12">
      <c r="B2790" s="50" t="s">
        <v>468</v>
      </c>
      <c r="C2790" s="50" t="s">
        <v>56</v>
      </c>
      <c r="D2790" s="50" t="s">
        <v>41</v>
      </c>
      <c r="E2790" s="50">
        <v>50010031</v>
      </c>
      <c r="F2790" s="50" t="s">
        <v>89</v>
      </c>
      <c r="G2790" s="50">
        <v>1</v>
      </c>
      <c r="H2790" s="50" t="s">
        <v>2</v>
      </c>
      <c r="I2790" s="50" t="s">
        <v>289</v>
      </c>
      <c r="J2790" s="51">
        <v>46024</v>
      </c>
      <c r="K2790" s="50" t="s">
        <v>3</v>
      </c>
      <c r="L2790" s="50" t="s">
        <v>80</v>
      </c>
    </row>
    <row r="2791" spans="2:12">
      <c r="B2791" s="50" t="s">
        <v>316</v>
      </c>
      <c r="C2791" s="50" t="s">
        <v>56</v>
      </c>
      <c r="D2791" s="50" t="s">
        <v>27</v>
      </c>
      <c r="E2791" s="50">
        <v>50041195</v>
      </c>
      <c r="F2791" s="50" t="s">
        <v>206</v>
      </c>
      <c r="G2791" s="50">
        <v>1</v>
      </c>
      <c r="H2791" s="50" t="s">
        <v>2</v>
      </c>
      <c r="I2791" s="50" t="s">
        <v>289</v>
      </c>
      <c r="J2791" s="51">
        <v>46024</v>
      </c>
      <c r="K2791" s="50" t="s">
        <v>86</v>
      </c>
      <c r="L2791" s="50" t="s">
        <v>80</v>
      </c>
    </row>
    <row r="2792" spans="2:12">
      <c r="B2792" s="50" t="s">
        <v>415</v>
      </c>
      <c r="C2792" s="50" t="s">
        <v>51</v>
      </c>
      <c r="D2792" s="50" t="s">
        <v>27</v>
      </c>
      <c r="E2792" s="50">
        <v>50026357</v>
      </c>
      <c r="F2792" s="50" t="s">
        <v>192</v>
      </c>
      <c r="G2792" s="50">
        <v>1</v>
      </c>
      <c r="H2792" s="50" t="s">
        <v>4</v>
      </c>
      <c r="I2792" s="50" t="s">
        <v>290</v>
      </c>
      <c r="J2792" s="51">
        <v>46021</v>
      </c>
      <c r="K2792" s="50" t="s">
        <v>86</v>
      </c>
      <c r="L2792" s="50" t="s">
        <v>80</v>
      </c>
    </row>
    <row r="2793" spans="2:12">
      <c r="B2793" s="50" t="s">
        <v>411</v>
      </c>
      <c r="C2793" s="50" t="s">
        <v>26</v>
      </c>
      <c r="D2793" s="50" t="s">
        <v>27</v>
      </c>
      <c r="E2793" s="50">
        <v>50003297</v>
      </c>
      <c r="F2793" s="50" t="s">
        <v>158</v>
      </c>
      <c r="G2793" s="50">
        <v>1</v>
      </c>
      <c r="H2793" s="50" t="s">
        <v>2</v>
      </c>
      <c r="I2793" s="50" t="s">
        <v>290</v>
      </c>
      <c r="J2793" s="51">
        <v>46021</v>
      </c>
      <c r="K2793" s="50" t="s">
        <v>86</v>
      </c>
      <c r="L2793" s="50" t="s">
        <v>80</v>
      </c>
    </row>
    <row r="2794" spans="2:12">
      <c r="B2794" s="50" t="s">
        <v>415</v>
      </c>
      <c r="C2794" s="50" t="s">
        <v>51</v>
      </c>
      <c r="D2794" s="50" t="s">
        <v>27</v>
      </c>
      <c r="E2794" s="50">
        <v>50037892</v>
      </c>
      <c r="F2794" s="50" t="s">
        <v>178</v>
      </c>
      <c r="G2794" s="50">
        <v>1</v>
      </c>
      <c r="H2794" s="50" t="s">
        <v>4</v>
      </c>
      <c r="I2794" s="50" t="s">
        <v>290</v>
      </c>
      <c r="J2794" s="51">
        <v>46021</v>
      </c>
      <c r="K2794" s="50" t="s">
        <v>86</v>
      </c>
      <c r="L2794" s="50" t="s">
        <v>80</v>
      </c>
    </row>
    <row r="2795" spans="2:12">
      <c r="B2795" s="50" t="s">
        <v>399</v>
      </c>
      <c r="C2795" s="50" t="s">
        <v>51</v>
      </c>
      <c r="D2795" s="50" t="s">
        <v>27</v>
      </c>
      <c r="E2795" s="50">
        <v>50001995</v>
      </c>
      <c r="F2795" s="50" t="s">
        <v>185</v>
      </c>
      <c r="G2795" s="50">
        <v>1</v>
      </c>
      <c r="H2795" s="50" t="s">
        <v>2</v>
      </c>
      <c r="I2795" s="50" t="s">
        <v>290</v>
      </c>
      <c r="J2795" s="51">
        <v>46021</v>
      </c>
      <c r="K2795" s="50" t="s">
        <v>86</v>
      </c>
      <c r="L2795" s="50" t="s">
        <v>80</v>
      </c>
    </row>
    <row r="2796" spans="2:12">
      <c r="B2796" s="50" t="s">
        <v>466</v>
      </c>
      <c r="C2796" s="50" t="s">
        <v>62</v>
      </c>
      <c r="D2796" s="50" t="s">
        <v>27</v>
      </c>
      <c r="E2796" s="50">
        <v>50038516</v>
      </c>
      <c r="F2796" s="50" t="s">
        <v>191</v>
      </c>
      <c r="G2796" s="50">
        <v>1</v>
      </c>
      <c r="H2796" s="50" t="s">
        <v>2</v>
      </c>
      <c r="I2796" s="50" t="s">
        <v>290</v>
      </c>
      <c r="J2796" s="51">
        <v>46021</v>
      </c>
      <c r="K2796" s="50" t="s">
        <v>86</v>
      </c>
      <c r="L2796" s="50" t="s">
        <v>80</v>
      </c>
    </row>
    <row r="2797" spans="2:12">
      <c r="B2797" s="50" t="s">
        <v>461</v>
      </c>
      <c r="C2797" s="50" t="s">
        <v>26</v>
      </c>
      <c r="D2797" s="50" t="s">
        <v>39</v>
      </c>
      <c r="E2797" s="50">
        <v>50042283</v>
      </c>
      <c r="F2797" s="50" t="s">
        <v>247</v>
      </c>
      <c r="G2797" s="50">
        <v>1</v>
      </c>
      <c r="H2797" s="50" t="s">
        <v>2</v>
      </c>
      <c r="I2797" s="50" t="s">
        <v>290</v>
      </c>
      <c r="J2797" s="51">
        <v>46021</v>
      </c>
      <c r="K2797" s="50" t="s">
        <v>86</v>
      </c>
      <c r="L2797" s="50" t="s">
        <v>80</v>
      </c>
    </row>
    <row r="2798" spans="2:12">
      <c r="B2798" s="50" t="s">
        <v>458</v>
      </c>
      <c r="C2798" s="50" t="s">
        <v>26</v>
      </c>
      <c r="D2798" s="50" t="s">
        <v>27</v>
      </c>
      <c r="E2798" s="50">
        <v>50022878</v>
      </c>
      <c r="F2798" s="50" t="s">
        <v>296</v>
      </c>
      <c r="G2798" s="50">
        <v>1</v>
      </c>
      <c r="H2798" s="50" t="s">
        <v>2</v>
      </c>
      <c r="I2798" s="50" t="s">
        <v>290</v>
      </c>
      <c r="J2798" s="51">
        <v>46021</v>
      </c>
      <c r="K2798" s="50" t="s">
        <v>86</v>
      </c>
      <c r="L2798" s="50" t="s">
        <v>80</v>
      </c>
    </row>
    <row r="2799" spans="2:12">
      <c r="B2799" s="50" t="s">
        <v>43</v>
      </c>
      <c r="C2799" s="50" t="s">
        <v>26</v>
      </c>
      <c r="D2799" s="50" t="s">
        <v>41</v>
      </c>
      <c r="E2799" s="50">
        <v>50038845</v>
      </c>
      <c r="F2799" s="50" t="s">
        <v>234</v>
      </c>
      <c r="G2799" s="50">
        <v>1</v>
      </c>
      <c r="H2799" s="50" t="s">
        <v>2</v>
      </c>
      <c r="I2799" s="50" t="s">
        <v>290</v>
      </c>
      <c r="J2799" s="51">
        <v>46021</v>
      </c>
      <c r="K2799" s="50" t="s">
        <v>86</v>
      </c>
      <c r="L2799" s="50" t="s">
        <v>80</v>
      </c>
    </row>
    <row r="2800" spans="2:12">
      <c r="B2800" s="50" t="s">
        <v>345</v>
      </c>
      <c r="C2800" s="50" t="s">
        <v>62</v>
      </c>
      <c r="D2800" s="50" t="s">
        <v>27</v>
      </c>
      <c r="E2800" s="50">
        <v>50038618</v>
      </c>
      <c r="F2800" s="50" t="s">
        <v>241</v>
      </c>
      <c r="G2800" s="50">
        <v>1</v>
      </c>
      <c r="H2800" s="50" t="s">
        <v>2</v>
      </c>
      <c r="I2800" s="50" t="s">
        <v>291</v>
      </c>
      <c r="J2800" s="51">
        <v>46021</v>
      </c>
      <c r="K2800" s="50" t="s">
        <v>3</v>
      </c>
      <c r="L2800" s="50" t="s">
        <v>80</v>
      </c>
    </row>
    <row r="2801" spans="2:12">
      <c r="B2801" s="50" t="s">
        <v>466</v>
      </c>
      <c r="C2801" s="50" t="s">
        <v>62</v>
      </c>
      <c r="D2801" s="50" t="s">
        <v>27</v>
      </c>
      <c r="E2801" s="50">
        <v>50038516</v>
      </c>
      <c r="F2801" s="50" t="s">
        <v>191</v>
      </c>
      <c r="G2801" s="50">
        <v>1</v>
      </c>
      <c r="H2801" s="50" t="s">
        <v>2</v>
      </c>
      <c r="I2801" s="50" t="s">
        <v>290</v>
      </c>
      <c r="J2801" s="51">
        <v>46021</v>
      </c>
      <c r="K2801" s="50" t="s">
        <v>1</v>
      </c>
      <c r="L2801" s="50" t="s">
        <v>80</v>
      </c>
    </row>
    <row r="2802" spans="2:12">
      <c r="B2802" s="50" t="s">
        <v>483</v>
      </c>
      <c r="C2802" s="50" t="s">
        <v>62</v>
      </c>
      <c r="D2802" s="50" t="s">
        <v>27</v>
      </c>
      <c r="E2802" s="50">
        <v>50041124</v>
      </c>
      <c r="F2802" s="50" t="s">
        <v>202</v>
      </c>
      <c r="G2802" s="50">
        <v>1</v>
      </c>
      <c r="H2802" s="50" t="s">
        <v>2</v>
      </c>
      <c r="I2802" s="50" t="s">
        <v>290</v>
      </c>
      <c r="J2802" s="51">
        <v>46021</v>
      </c>
      <c r="K2802" s="50" t="s">
        <v>86</v>
      </c>
      <c r="L2802" s="50" t="s">
        <v>80</v>
      </c>
    </row>
    <row r="2803" spans="2:12">
      <c r="B2803" s="50" t="s">
        <v>273</v>
      </c>
      <c r="C2803" s="50" t="s">
        <v>274</v>
      </c>
      <c r="D2803" s="50" t="s">
        <v>27</v>
      </c>
      <c r="E2803" s="50">
        <v>50018168</v>
      </c>
      <c r="F2803" s="50" t="s">
        <v>251</v>
      </c>
      <c r="G2803" s="50">
        <v>1</v>
      </c>
      <c r="H2803" s="50" t="s">
        <v>2</v>
      </c>
      <c r="I2803" s="50" t="s">
        <v>290</v>
      </c>
      <c r="J2803" s="51">
        <v>46021</v>
      </c>
      <c r="K2803" s="50" t="s">
        <v>86</v>
      </c>
      <c r="L2803" s="50" t="s">
        <v>80</v>
      </c>
    </row>
    <row r="2804" spans="2:12">
      <c r="B2804" s="50" t="s">
        <v>273</v>
      </c>
      <c r="C2804" s="50" t="s">
        <v>274</v>
      </c>
      <c r="D2804" s="50" t="s">
        <v>27</v>
      </c>
      <c r="E2804" s="50">
        <v>50037933</v>
      </c>
      <c r="F2804" s="50" t="s">
        <v>250</v>
      </c>
      <c r="G2804" s="50">
        <v>1</v>
      </c>
      <c r="H2804" s="50" t="s">
        <v>2</v>
      </c>
      <c r="I2804" s="50" t="s">
        <v>290</v>
      </c>
      <c r="J2804" s="51">
        <v>46021</v>
      </c>
      <c r="K2804" s="50" t="s">
        <v>1</v>
      </c>
      <c r="L2804" s="50" t="s">
        <v>80</v>
      </c>
    </row>
    <row r="2805" spans="2:12">
      <c r="B2805" s="50" t="s">
        <v>386</v>
      </c>
      <c r="C2805" s="50" t="s">
        <v>62</v>
      </c>
      <c r="D2805" s="50" t="s">
        <v>27</v>
      </c>
      <c r="E2805" s="50">
        <v>50003173</v>
      </c>
      <c r="F2805" s="50" t="s">
        <v>74</v>
      </c>
      <c r="G2805" s="50">
        <v>1</v>
      </c>
      <c r="H2805" s="50" t="s">
        <v>2</v>
      </c>
      <c r="I2805" s="50" t="s">
        <v>290</v>
      </c>
      <c r="J2805" s="51">
        <v>46021</v>
      </c>
      <c r="K2805" s="50" t="s">
        <v>3</v>
      </c>
      <c r="L2805" s="50" t="s">
        <v>80</v>
      </c>
    </row>
    <row r="2806" spans="2:12">
      <c r="B2806" s="50" t="s">
        <v>399</v>
      </c>
      <c r="C2806" s="50" t="s">
        <v>51</v>
      </c>
      <c r="D2806" s="50" t="s">
        <v>27</v>
      </c>
      <c r="E2806" s="50">
        <v>50001995</v>
      </c>
      <c r="F2806" s="50" t="s">
        <v>185</v>
      </c>
      <c r="G2806" s="50">
        <v>1</v>
      </c>
      <c r="H2806" s="50" t="s">
        <v>2</v>
      </c>
      <c r="I2806" s="50" t="s">
        <v>290</v>
      </c>
      <c r="J2806" s="51">
        <v>46021</v>
      </c>
      <c r="K2806" s="50" t="s">
        <v>3</v>
      </c>
      <c r="L2806" s="50" t="s">
        <v>80</v>
      </c>
    </row>
    <row r="2807" spans="2:12">
      <c r="B2807" s="50" t="s">
        <v>43</v>
      </c>
      <c r="C2807" s="50" t="s">
        <v>26</v>
      </c>
      <c r="D2807" s="50" t="s">
        <v>41</v>
      </c>
      <c r="E2807" s="50">
        <v>50038845</v>
      </c>
      <c r="F2807" s="50" t="s">
        <v>234</v>
      </c>
      <c r="G2807" s="50">
        <v>1</v>
      </c>
      <c r="H2807" s="50" t="s">
        <v>2</v>
      </c>
      <c r="I2807" s="50" t="s">
        <v>290</v>
      </c>
      <c r="J2807" s="51">
        <v>46021</v>
      </c>
      <c r="K2807" s="50" t="s">
        <v>3</v>
      </c>
      <c r="L2807" s="50" t="s">
        <v>80</v>
      </c>
    </row>
    <row r="2808" spans="2:12">
      <c r="B2808" s="50" t="s">
        <v>345</v>
      </c>
      <c r="C2808" s="50" t="s">
        <v>62</v>
      </c>
      <c r="D2808" s="50" t="s">
        <v>27</v>
      </c>
      <c r="E2808" s="50">
        <v>50038618</v>
      </c>
      <c r="F2808" s="50" t="s">
        <v>241</v>
      </c>
      <c r="G2808" s="50">
        <v>1</v>
      </c>
      <c r="H2808" s="50" t="s">
        <v>2</v>
      </c>
      <c r="I2808" s="50" t="s">
        <v>291</v>
      </c>
      <c r="J2808" s="51">
        <v>46021</v>
      </c>
      <c r="K2808" s="50" t="s">
        <v>1</v>
      </c>
      <c r="L2808" s="50" t="s">
        <v>80</v>
      </c>
    </row>
    <row r="2809" spans="2:12">
      <c r="B2809" s="50" t="s">
        <v>466</v>
      </c>
      <c r="C2809" s="50" t="s">
        <v>62</v>
      </c>
      <c r="D2809" s="50" t="s">
        <v>27</v>
      </c>
      <c r="E2809" s="50">
        <v>50041194</v>
      </c>
      <c r="F2809" s="50" t="s">
        <v>249</v>
      </c>
      <c r="G2809" s="50">
        <v>1</v>
      </c>
      <c r="H2809" s="50" t="s">
        <v>2</v>
      </c>
      <c r="I2809" s="50" t="s">
        <v>290</v>
      </c>
      <c r="J2809" s="51">
        <v>46021</v>
      </c>
      <c r="K2809" s="50" t="s">
        <v>1</v>
      </c>
      <c r="L2809" s="50" t="s">
        <v>80</v>
      </c>
    </row>
    <row r="2810" spans="2:12">
      <c r="B2810" s="50" t="s">
        <v>427</v>
      </c>
      <c r="C2810" s="50" t="s">
        <v>26</v>
      </c>
      <c r="D2810" s="50" t="s">
        <v>27</v>
      </c>
      <c r="E2810" s="50">
        <v>50038549</v>
      </c>
      <c r="F2810" s="50" t="s">
        <v>173</v>
      </c>
      <c r="G2810" s="50">
        <v>1</v>
      </c>
      <c r="H2810" s="50" t="s">
        <v>2</v>
      </c>
      <c r="I2810" s="50" t="s">
        <v>290</v>
      </c>
      <c r="J2810" s="51">
        <v>46021</v>
      </c>
      <c r="K2810" s="50" t="s">
        <v>1</v>
      </c>
      <c r="L2810" s="50" t="s">
        <v>80</v>
      </c>
    </row>
    <row r="2811" spans="2:12">
      <c r="B2811" s="50" t="s">
        <v>463</v>
      </c>
      <c r="C2811" s="50" t="s">
        <v>56</v>
      </c>
      <c r="D2811" s="50" t="s">
        <v>27</v>
      </c>
      <c r="E2811" s="50">
        <v>50002644</v>
      </c>
      <c r="F2811" s="50" t="s">
        <v>91</v>
      </c>
      <c r="G2811" s="50">
        <v>1</v>
      </c>
      <c r="H2811" s="50" t="s">
        <v>2</v>
      </c>
      <c r="I2811" s="50" t="s">
        <v>290</v>
      </c>
      <c r="J2811" s="51">
        <v>46021</v>
      </c>
      <c r="K2811" s="50" t="s">
        <v>1</v>
      </c>
      <c r="L2811" s="50" t="s">
        <v>80</v>
      </c>
    </row>
    <row r="2812" spans="2:12">
      <c r="B2812" s="50" t="s">
        <v>461</v>
      </c>
      <c r="C2812" s="50" t="s">
        <v>26</v>
      </c>
      <c r="D2812" s="50" t="s">
        <v>39</v>
      </c>
      <c r="E2812" s="50">
        <v>50039718</v>
      </c>
      <c r="F2812" s="50" t="s">
        <v>149</v>
      </c>
      <c r="G2812" s="50">
        <v>1</v>
      </c>
      <c r="H2812" s="50" t="s">
        <v>2</v>
      </c>
      <c r="I2812" s="50" t="s">
        <v>290</v>
      </c>
      <c r="J2812" s="51">
        <v>46021</v>
      </c>
      <c r="K2812" s="50" t="s">
        <v>3</v>
      </c>
      <c r="L2812" s="50" t="s">
        <v>80</v>
      </c>
    </row>
    <row r="2813" spans="2:12">
      <c r="B2813" s="50" t="s">
        <v>461</v>
      </c>
      <c r="C2813" s="50" t="s">
        <v>26</v>
      </c>
      <c r="D2813" s="50" t="s">
        <v>39</v>
      </c>
      <c r="E2813" s="50">
        <v>50039718</v>
      </c>
      <c r="F2813" s="50" t="s">
        <v>149</v>
      </c>
      <c r="G2813" s="50">
        <v>1</v>
      </c>
      <c r="H2813" s="50" t="s">
        <v>2</v>
      </c>
      <c r="I2813" s="50" t="s">
        <v>290</v>
      </c>
      <c r="J2813" s="51">
        <v>46021</v>
      </c>
      <c r="K2813" s="50" t="s">
        <v>3</v>
      </c>
      <c r="L2813" s="50" t="s">
        <v>80</v>
      </c>
    </row>
    <row r="2814" spans="2:12">
      <c r="B2814" s="50" t="s">
        <v>461</v>
      </c>
      <c r="C2814" s="50" t="s">
        <v>26</v>
      </c>
      <c r="D2814" s="50" t="s">
        <v>39</v>
      </c>
      <c r="E2814" s="50">
        <v>50042283</v>
      </c>
      <c r="F2814" s="50" t="s">
        <v>247</v>
      </c>
      <c r="G2814" s="50">
        <v>1</v>
      </c>
      <c r="H2814" s="50" t="s">
        <v>2</v>
      </c>
      <c r="I2814" s="50" t="s">
        <v>290</v>
      </c>
      <c r="J2814" s="51">
        <v>46021</v>
      </c>
      <c r="K2814" s="50" t="s">
        <v>3</v>
      </c>
      <c r="L2814" s="50" t="s">
        <v>80</v>
      </c>
    </row>
    <row r="2815" spans="2:12">
      <c r="B2815" s="50" t="s">
        <v>463</v>
      </c>
      <c r="C2815" s="50" t="s">
        <v>56</v>
      </c>
      <c r="D2815" s="50" t="s">
        <v>27</v>
      </c>
      <c r="E2815" s="50">
        <v>50002644</v>
      </c>
      <c r="F2815" s="50" t="s">
        <v>91</v>
      </c>
      <c r="G2815" s="50">
        <v>1</v>
      </c>
      <c r="H2815" s="50" t="s">
        <v>2</v>
      </c>
      <c r="I2815" s="50" t="s">
        <v>290</v>
      </c>
      <c r="J2815" s="51">
        <v>46021</v>
      </c>
      <c r="K2815" s="50" t="s">
        <v>3</v>
      </c>
      <c r="L2815" s="50" t="s">
        <v>80</v>
      </c>
    </row>
    <row r="2816" spans="2:12">
      <c r="B2816" s="50" t="s">
        <v>466</v>
      </c>
      <c r="C2816" s="50" t="s">
        <v>62</v>
      </c>
      <c r="D2816" s="50" t="s">
        <v>27</v>
      </c>
      <c r="E2816" s="50">
        <v>50041194</v>
      </c>
      <c r="F2816" s="50" t="s">
        <v>249</v>
      </c>
      <c r="G2816" s="50">
        <v>1</v>
      </c>
      <c r="H2816" s="50" t="s">
        <v>2</v>
      </c>
      <c r="I2816" s="50" t="s">
        <v>290</v>
      </c>
      <c r="J2816" s="51">
        <v>46021</v>
      </c>
      <c r="K2816" s="50" t="s">
        <v>1</v>
      </c>
      <c r="L2816" s="50" t="s">
        <v>80</v>
      </c>
    </row>
    <row r="2817" spans="2:12">
      <c r="B2817" s="50" t="s">
        <v>277</v>
      </c>
      <c r="C2817" s="50" t="s">
        <v>62</v>
      </c>
      <c r="D2817" s="50" t="s">
        <v>27</v>
      </c>
      <c r="E2817" s="50">
        <v>50038956</v>
      </c>
      <c r="F2817" s="50" t="s">
        <v>177</v>
      </c>
      <c r="G2817" s="50">
        <v>1</v>
      </c>
      <c r="H2817" s="50" t="s">
        <v>2</v>
      </c>
      <c r="I2817" s="50" t="s">
        <v>290</v>
      </c>
      <c r="J2817" s="51">
        <v>46021</v>
      </c>
      <c r="K2817" s="50" t="s">
        <v>3</v>
      </c>
      <c r="L2817" s="50" t="s">
        <v>80</v>
      </c>
    </row>
    <row r="2818" spans="2:12">
      <c r="B2818" s="50" t="s">
        <v>427</v>
      </c>
      <c r="C2818" s="50" t="s">
        <v>26</v>
      </c>
      <c r="D2818" s="50" t="s">
        <v>27</v>
      </c>
      <c r="E2818" s="50">
        <v>50038549</v>
      </c>
      <c r="F2818" s="50" t="s">
        <v>173</v>
      </c>
      <c r="G2818" s="50">
        <v>1</v>
      </c>
      <c r="H2818" s="50" t="s">
        <v>2</v>
      </c>
      <c r="I2818" s="50" t="s">
        <v>290</v>
      </c>
      <c r="J2818" s="51">
        <v>46021</v>
      </c>
      <c r="K2818" s="50" t="s">
        <v>3</v>
      </c>
      <c r="L2818" s="50" t="s">
        <v>80</v>
      </c>
    </row>
    <row r="2819" spans="2:12">
      <c r="B2819" s="50" t="s">
        <v>415</v>
      </c>
      <c r="C2819" s="50" t="s">
        <v>51</v>
      </c>
      <c r="D2819" s="50" t="s">
        <v>27</v>
      </c>
      <c r="E2819" s="50">
        <v>50037892</v>
      </c>
      <c r="F2819" s="50" t="s">
        <v>178</v>
      </c>
      <c r="G2819" s="50">
        <v>1</v>
      </c>
      <c r="H2819" s="50" t="s">
        <v>4</v>
      </c>
      <c r="I2819" s="50" t="s">
        <v>290</v>
      </c>
      <c r="J2819" s="51">
        <v>46021</v>
      </c>
      <c r="K2819" s="50" t="s">
        <v>3</v>
      </c>
      <c r="L2819" s="50" t="s">
        <v>80</v>
      </c>
    </row>
    <row r="2820" spans="2:12">
      <c r="B2820" s="50" t="s">
        <v>483</v>
      </c>
      <c r="C2820" s="50" t="s">
        <v>62</v>
      </c>
      <c r="D2820" s="50" t="s">
        <v>27</v>
      </c>
      <c r="E2820" s="50">
        <v>50041124</v>
      </c>
      <c r="F2820" s="50" t="s">
        <v>202</v>
      </c>
      <c r="G2820" s="50">
        <v>1</v>
      </c>
      <c r="H2820" s="50" t="s">
        <v>4</v>
      </c>
      <c r="I2820" s="50" t="s">
        <v>290</v>
      </c>
      <c r="J2820" s="51">
        <v>46021</v>
      </c>
      <c r="K2820" s="50" t="s">
        <v>3</v>
      </c>
      <c r="L2820" s="50" t="s">
        <v>80</v>
      </c>
    </row>
    <row r="2821" spans="2:12">
      <c r="B2821" s="50" t="s">
        <v>415</v>
      </c>
      <c r="C2821" s="50" t="s">
        <v>51</v>
      </c>
      <c r="D2821" s="50" t="s">
        <v>27</v>
      </c>
      <c r="E2821" s="50">
        <v>50026357</v>
      </c>
      <c r="F2821" s="50" t="s">
        <v>192</v>
      </c>
      <c r="G2821" s="50">
        <v>1</v>
      </c>
      <c r="H2821" s="50" t="s">
        <v>4</v>
      </c>
      <c r="I2821" s="50" t="s">
        <v>290</v>
      </c>
      <c r="J2821" s="51">
        <v>46021</v>
      </c>
      <c r="K2821" s="50" t="s">
        <v>3</v>
      </c>
      <c r="L2821" s="50" t="s">
        <v>80</v>
      </c>
    </row>
    <row r="2822" spans="2:12">
      <c r="B2822" s="50" t="s">
        <v>402</v>
      </c>
      <c r="C2822" s="50" t="s">
        <v>56</v>
      </c>
      <c r="D2822" s="50" t="s">
        <v>39</v>
      </c>
      <c r="E2822" s="50">
        <v>50041195</v>
      </c>
      <c r="F2822" s="50" t="s">
        <v>206</v>
      </c>
      <c r="G2822" s="50">
        <v>1</v>
      </c>
      <c r="H2822" s="50" t="s">
        <v>4</v>
      </c>
      <c r="I2822" s="50" t="s">
        <v>290</v>
      </c>
      <c r="J2822" s="51">
        <v>46021</v>
      </c>
      <c r="K2822" s="50" t="s">
        <v>3</v>
      </c>
      <c r="L2822" s="50" t="s">
        <v>80</v>
      </c>
    </row>
    <row r="2823" spans="2:12">
      <c r="B2823" s="50" t="s">
        <v>402</v>
      </c>
      <c r="C2823" s="50" t="s">
        <v>56</v>
      </c>
      <c r="D2823" s="50" t="s">
        <v>39</v>
      </c>
      <c r="E2823" s="50">
        <v>50010031</v>
      </c>
      <c r="F2823" s="50" t="s">
        <v>89</v>
      </c>
      <c r="G2823" s="50">
        <v>1</v>
      </c>
      <c r="H2823" s="50" t="s">
        <v>4</v>
      </c>
      <c r="I2823" s="50" t="s">
        <v>290</v>
      </c>
      <c r="J2823" s="51">
        <v>46021</v>
      </c>
      <c r="K2823" s="50" t="s">
        <v>3</v>
      </c>
      <c r="L2823" s="50" t="s">
        <v>80</v>
      </c>
    </row>
    <row r="2824" spans="2:12">
      <c r="B2824" s="50" t="s">
        <v>277</v>
      </c>
      <c r="C2824" s="50" t="s">
        <v>62</v>
      </c>
      <c r="D2824" s="50" t="s">
        <v>27</v>
      </c>
      <c r="E2824" s="50">
        <v>50038956</v>
      </c>
      <c r="F2824" s="50" t="s">
        <v>177</v>
      </c>
      <c r="G2824" s="50">
        <v>1</v>
      </c>
      <c r="H2824" s="50" t="s">
        <v>2</v>
      </c>
      <c r="I2824" s="50" t="s">
        <v>290</v>
      </c>
      <c r="J2824" s="51">
        <v>46021</v>
      </c>
      <c r="K2824" s="50" t="s">
        <v>3</v>
      </c>
      <c r="L2824" s="50" t="s">
        <v>80</v>
      </c>
    </row>
    <row r="2825" spans="2:12">
      <c r="B2825" s="50" t="s">
        <v>458</v>
      </c>
      <c r="C2825" s="50" t="s">
        <v>26</v>
      </c>
      <c r="D2825" s="50" t="s">
        <v>27</v>
      </c>
      <c r="E2825" s="50">
        <v>50022878</v>
      </c>
      <c r="F2825" s="50" t="s">
        <v>296</v>
      </c>
      <c r="G2825" s="50">
        <v>1</v>
      </c>
      <c r="H2825" s="50" t="s">
        <v>2</v>
      </c>
      <c r="I2825" s="50" t="s">
        <v>290</v>
      </c>
      <c r="J2825" s="51">
        <v>46021</v>
      </c>
      <c r="K2825" s="50" t="s">
        <v>3</v>
      </c>
      <c r="L2825" s="50" t="s">
        <v>80</v>
      </c>
    </row>
    <row r="2826" spans="2:12">
      <c r="B2826" s="50" t="s">
        <v>411</v>
      </c>
      <c r="C2826" s="50" t="s">
        <v>26</v>
      </c>
      <c r="D2826" s="50" t="s">
        <v>27</v>
      </c>
      <c r="E2826" s="50">
        <v>50003297</v>
      </c>
      <c r="F2826" s="50" t="s">
        <v>158</v>
      </c>
      <c r="G2826" s="50">
        <v>1</v>
      </c>
      <c r="H2826" s="50" t="s">
        <v>2</v>
      </c>
      <c r="I2826" s="50" t="s">
        <v>290</v>
      </c>
      <c r="J2826" s="51">
        <v>46021</v>
      </c>
      <c r="K2826" s="50" t="s">
        <v>3</v>
      </c>
      <c r="L2826" s="50" t="s">
        <v>80</v>
      </c>
    </row>
    <row r="2827" spans="2:12">
      <c r="B2827" s="50" t="s">
        <v>386</v>
      </c>
      <c r="C2827" s="50" t="s">
        <v>62</v>
      </c>
      <c r="D2827" s="50" t="s">
        <v>27</v>
      </c>
      <c r="E2827" s="50">
        <v>50003173</v>
      </c>
      <c r="F2827" s="50" t="s">
        <v>74</v>
      </c>
      <c r="G2827" s="50">
        <v>1</v>
      </c>
      <c r="H2827" s="50" t="s">
        <v>2</v>
      </c>
      <c r="I2827" s="50" t="s">
        <v>290</v>
      </c>
      <c r="J2827" s="51">
        <v>46021</v>
      </c>
      <c r="K2827" s="50" t="s">
        <v>3</v>
      </c>
      <c r="L2827" s="50" t="s">
        <v>80</v>
      </c>
    </row>
    <row r="2828" spans="2:12">
      <c r="B2828" s="50" t="s">
        <v>273</v>
      </c>
      <c r="C2828" s="50" t="s">
        <v>274</v>
      </c>
      <c r="D2828" s="50" t="s">
        <v>27</v>
      </c>
      <c r="E2828" s="50">
        <v>50018168</v>
      </c>
      <c r="F2828" s="50" t="s">
        <v>251</v>
      </c>
      <c r="G2828" s="50">
        <v>1</v>
      </c>
      <c r="H2828" s="50" t="s">
        <v>2</v>
      </c>
      <c r="I2828" s="50" t="s">
        <v>290</v>
      </c>
      <c r="J2828" s="51">
        <v>46021</v>
      </c>
      <c r="K2828" s="50" t="s">
        <v>3</v>
      </c>
      <c r="L2828" s="50" t="s">
        <v>80</v>
      </c>
    </row>
    <row r="2829" spans="2:12">
      <c r="B2829" s="50" t="s">
        <v>273</v>
      </c>
      <c r="C2829" s="50" t="s">
        <v>274</v>
      </c>
      <c r="D2829" s="50" t="s">
        <v>27</v>
      </c>
      <c r="E2829" s="50">
        <v>50037933</v>
      </c>
      <c r="F2829" s="50" t="s">
        <v>250</v>
      </c>
      <c r="G2829" s="50">
        <v>1</v>
      </c>
      <c r="H2829" s="50" t="s">
        <v>2</v>
      </c>
      <c r="I2829" s="50" t="s">
        <v>290</v>
      </c>
      <c r="J2829" s="51">
        <v>46021</v>
      </c>
      <c r="K2829" s="50" t="s">
        <v>86</v>
      </c>
      <c r="L2829" s="50" t="s">
        <v>80</v>
      </c>
    </row>
    <row r="2830" spans="2:12">
      <c r="B2830" s="50" t="s">
        <v>470</v>
      </c>
      <c r="C2830" s="50" t="s">
        <v>51</v>
      </c>
      <c r="D2830" s="50" t="s">
        <v>39</v>
      </c>
      <c r="E2830" s="50">
        <v>50038517</v>
      </c>
      <c r="F2830" s="50" t="s">
        <v>181</v>
      </c>
      <c r="G2830" s="50">
        <v>1</v>
      </c>
      <c r="H2830" s="50" t="s">
        <v>2</v>
      </c>
      <c r="I2830" s="50" t="s">
        <v>290</v>
      </c>
      <c r="J2830" s="51">
        <v>46020</v>
      </c>
      <c r="K2830" s="50" t="s">
        <v>1</v>
      </c>
      <c r="L2830" s="50" t="s">
        <v>80</v>
      </c>
    </row>
    <row r="2831" spans="2:12">
      <c r="B2831" s="50" t="s">
        <v>430</v>
      </c>
      <c r="C2831" s="50" t="s">
        <v>61</v>
      </c>
      <c r="D2831" s="50" t="s">
        <v>39</v>
      </c>
      <c r="E2831" s="50">
        <v>50043151</v>
      </c>
      <c r="F2831" s="50" t="s">
        <v>331</v>
      </c>
      <c r="G2831" s="50">
        <v>1</v>
      </c>
      <c r="H2831" s="50" t="s">
        <v>2</v>
      </c>
      <c r="I2831" s="50" t="s">
        <v>289</v>
      </c>
      <c r="J2831" s="51">
        <v>46020</v>
      </c>
      <c r="K2831" s="50" t="s">
        <v>1</v>
      </c>
      <c r="L2831" s="50" t="s">
        <v>80</v>
      </c>
    </row>
    <row r="2832" spans="2:12">
      <c r="B2832" s="50" t="s">
        <v>345</v>
      </c>
      <c r="C2832" s="50" t="s">
        <v>62</v>
      </c>
      <c r="D2832" s="50" t="s">
        <v>27</v>
      </c>
      <c r="E2832" s="50">
        <v>50037892</v>
      </c>
      <c r="F2832" s="50" t="s">
        <v>178</v>
      </c>
      <c r="G2832" s="50">
        <v>1</v>
      </c>
      <c r="H2832" s="50" t="s">
        <v>2</v>
      </c>
      <c r="I2832" s="50" t="s">
        <v>289</v>
      </c>
      <c r="J2832" s="51">
        <v>46020</v>
      </c>
      <c r="K2832" s="50" t="s">
        <v>1</v>
      </c>
      <c r="L2832" s="50" t="s">
        <v>80</v>
      </c>
    </row>
    <row r="2833" spans="2:12">
      <c r="B2833" s="50" t="s">
        <v>278</v>
      </c>
      <c r="C2833" s="50" t="s">
        <v>62</v>
      </c>
      <c r="D2833" s="50" t="s">
        <v>27</v>
      </c>
      <c r="E2833" s="50">
        <v>50041194</v>
      </c>
      <c r="F2833" s="50" t="s">
        <v>249</v>
      </c>
      <c r="G2833" s="50">
        <v>1</v>
      </c>
      <c r="H2833" s="50" t="s">
        <v>2</v>
      </c>
      <c r="I2833" s="50" t="s">
        <v>289</v>
      </c>
      <c r="J2833" s="51">
        <v>46020</v>
      </c>
      <c r="K2833" s="50" t="s">
        <v>1</v>
      </c>
      <c r="L2833" s="50" t="s">
        <v>80</v>
      </c>
    </row>
    <row r="2834" spans="2:12">
      <c r="B2834" s="50" t="s">
        <v>399</v>
      </c>
      <c r="C2834" s="50" t="s">
        <v>51</v>
      </c>
      <c r="D2834" s="50" t="s">
        <v>27</v>
      </c>
      <c r="E2834" s="50">
        <v>50039065</v>
      </c>
      <c r="F2834" s="50" t="s">
        <v>186</v>
      </c>
      <c r="G2834" s="50">
        <v>1</v>
      </c>
      <c r="H2834" s="50" t="s">
        <v>2</v>
      </c>
      <c r="I2834" s="50" t="s">
        <v>289</v>
      </c>
      <c r="J2834" s="51">
        <v>46020</v>
      </c>
      <c r="K2834" s="50" t="s">
        <v>1</v>
      </c>
      <c r="L2834" s="50" t="s">
        <v>80</v>
      </c>
    </row>
    <row r="2835" spans="2:12">
      <c r="B2835" s="50" t="s">
        <v>399</v>
      </c>
      <c r="C2835" s="50" t="s">
        <v>51</v>
      </c>
      <c r="D2835" s="50" t="s">
        <v>27</v>
      </c>
      <c r="E2835" s="50">
        <v>50010031</v>
      </c>
      <c r="F2835" s="50" t="s">
        <v>89</v>
      </c>
      <c r="G2835" s="50">
        <v>1</v>
      </c>
      <c r="H2835" s="50" t="s">
        <v>2</v>
      </c>
      <c r="I2835" s="50" t="s">
        <v>289</v>
      </c>
      <c r="J2835" s="51">
        <v>46020</v>
      </c>
      <c r="K2835" s="50" t="s">
        <v>1</v>
      </c>
      <c r="L2835" s="50" t="s">
        <v>80</v>
      </c>
    </row>
    <row r="2836" spans="2:12">
      <c r="B2836" s="50" t="s">
        <v>483</v>
      </c>
      <c r="C2836" s="50" t="s">
        <v>62</v>
      </c>
      <c r="D2836" s="50" t="s">
        <v>27</v>
      </c>
      <c r="E2836" s="50">
        <v>50041124</v>
      </c>
      <c r="F2836" s="50" t="s">
        <v>202</v>
      </c>
      <c r="G2836" s="50">
        <v>1</v>
      </c>
      <c r="H2836" s="50" t="s">
        <v>2</v>
      </c>
      <c r="I2836" s="50" t="s">
        <v>289</v>
      </c>
      <c r="J2836" s="51">
        <v>46020</v>
      </c>
      <c r="K2836" s="50" t="s">
        <v>1</v>
      </c>
      <c r="L2836" s="50" t="s">
        <v>80</v>
      </c>
    </row>
    <row r="2837" spans="2:12">
      <c r="B2837" s="50" t="s">
        <v>483</v>
      </c>
      <c r="C2837" s="50" t="s">
        <v>62</v>
      </c>
      <c r="D2837" s="50" t="s">
        <v>27</v>
      </c>
      <c r="E2837" s="50">
        <v>50003297</v>
      </c>
      <c r="F2837" s="50" t="s">
        <v>158</v>
      </c>
      <c r="G2837" s="50">
        <v>1</v>
      </c>
      <c r="H2837" s="50" t="s">
        <v>2</v>
      </c>
      <c r="I2837" s="50" t="s">
        <v>289</v>
      </c>
      <c r="J2837" s="51">
        <v>46020</v>
      </c>
      <c r="K2837" s="50" t="s">
        <v>1</v>
      </c>
      <c r="L2837" s="50" t="s">
        <v>80</v>
      </c>
    </row>
    <row r="2838" spans="2:12">
      <c r="B2838" s="50" t="s">
        <v>394</v>
      </c>
      <c r="C2838" s="50" t="s">
        <v>26</v>
      </c>
      <c r="D2838" s="50" t="s">
        <v>41</v>
      </c>
      <c r="E2838" s="50">
        <v>50038854</v>
      </c>
      <c r="F2838" s="50" t="s">
        <v>101</v>
      </c>
      <c r="G2838" s="50">
        <v>1</v>
      </c>
      <c r="H2838" s="50" t="s">
        <v>2</v>
      </c>
      <c r="I2838" s="50" t="s">
        <v>289</v>
      </c>
      <c r="J2838" s="51">
        <v>46020</v>
      </c>
      <c r="K2838" s="50" t="s">
        <v>1</v>
      </c>
      <c r="L2838" s="50" t="s">
        <v>80</v>
      </c>
    </row>
    <row r="2839" spans="2:12">
      <c r="B2839" s="50" t="s">
        <v>430</v>
      </c>
      <c r="C2839" s="50" t="s">
        <v>61</v>
      </c>
      <c r="D2839" s="50" t="s">
        <v>39</v>
      </c>
      <c r="E2839" s="50">
        <v>50018168</v>
      </c>
      <c r="F2839" s="50" t="s">
        <v>251</v>
      </c>
      <c r="G2839" s="50">
        <v>1</v>
      </c>
      <c r="H2839" s="50" t="s">
        <v>2</v>
      </c>
      <c r="I2839" s="50" t="s">
        <v>289</v>
      </c>
      <c r="J2839" s="51">
        <v>46020</v>
      </c>
      <c r="K2839" s="50" t="s">
        <v>1</v>
      </c>
      <c r="L2839" s="50" t="s">
        <v>80</v>
      </c>
    </row>
    <row r="2840" spans="2:12">
      <c r="B2840" s="50" t="s">
        <v>394</v>
      </c>
      <c r="C2840" s="50" t="s">
        <v>26</v>
      </c>
      <c r="D2840" s="50" t="s">
        <v>41</v>
      </c>
      <c r="E2840" s="50">
        <v>50039718</v>
      </c>
      <c r="F2840" s="50" t="s">
        <v>149</v>
      </c>
      <c r="G2840" s="50">
        <v>1</v>
      </c>
      <c r="H2840" s="50" t="s">
        <v>2</v>
      </c>
      <c r="I2840" s="50" t="s">
        <v>290</v>
      </c>
      <c r="J2840" s="51">
        <v>46020</v>
      </c>
      <c r="K2840" s="50" t="s">
        <v>3</v>
      </c>
      <c r="L2840" s="50" t="s">
        <v>80</v>
      </c>
    </row>
    <row r="2841" spans="2:12">
      <c r="B2841" s="50" t="s">
        <v>430</v>
      </c>
      <c r="C2841" s="50" t="s">
        <v>61</v>
      </c>
      <c r="D2841" s="50" t="s">
        <v>39</v>
      </c>
      <c r="E2841" s="50">
        <v>50043151</v>
      </c>
      <c r="F2841" s="50" t="s">
        <v>331</v>
      </c>
      <c r="G2841" s="50">
        <v>1</v>
      </c>
      <c r="H2841" s="50" t="s">
        <v>2</v>
      </c>
      <c r="I2841" s="50" t="s">
        <v>290</v>
      </c>
      <c r="J2841" s="51">
        <v>46020</v>
      </c>
      <c r="K2841" s="50" t="s">
        <v>1</v>
      </c>
      <c r="L2841" s="50" t="s">
        <v>80</v>
      </c>
    </row>
    <row r="2842" spans="2:12">
      <c r="B2842" s="50" t="s">
        <v>481</v>
      </c>
      <c r="C2842" s="50" t="s">
        <v>26</v>
      </c>
      <c r="D2842" s="50" t="s">
        <v>27</v>
      </c>
      <c r="E2842" s="50">
        <v>50041195</v>
      </c>
      <c r="F2842" s="50" t="s">
        <v>206</v>
      </c>
      <c r="G2842" s="50">
        <v>1</v>
      </c>
      <c r="H2842" s="50" t="s">
        <v>2</v>
      </c>
      <c r="I2842" s="50" t="s">
        <v>290</v>
      </c>
      <c r="J2842" s="51">
        <v>46020</v>
      </c>
      <c r="K2842" s="50" t="s">
        <v>3</v>
      </c>
      <c r="L2842" s="50" t="s">
        <v>80</v>
      </c>
    </row>
    <row r="2843" spans="2:12">
      <c r="B2843" s="50" t="s">
        <v>481</v>
      </c>
      <c r="C2843" s="50" t="s">
        <v>26</v>
      </c>
      <c r="D2843" s="50" t="s">
        <v>27</v>
      </c>
      <c r="E2843" s="50">
        <v>50041195</v>
      </c>
      <c r="F2843" s="50" t="s">
        <v>206</v>
      </c>
      <c r="G2843" s="50">
        <v>1</v>
      </c>
      <c r="H2843" s="50" t="s">
        <v>2</v>
      </c>
      <c r="I2843" s="50" t="s">
        <v>290</v>
      </c>
      <c r="J2843" s="51">
        <v>46020</v>
      </c>
      <c r="K2843" s="50" t="s">
        <v>3</v>
      </c>
      <c r="L2843" s="50" t="s">
        <v>80</v>
      </c>
    </row>
    <row r="2844" spans="2:12">
      <c r="B2844" s="50" t="s">
        <v>461</v>
      </c>
      <c r="C2844" s="50" t="s">
        <v>26</v>
      </c>
      <c r="D2844" s="50" t="s">
        <v>39</v>
      </c>
      <c r="E2844" s="50">
        <v>50037902</v>
      </c>
      <c r="F2844" s="50" t="s">
        <v>179</v>
      </c>
      <c r="G2844" s="50">
        <v>1</v>
      </c>
      <c r="H2844" s="50" t="s">
        <v>2</v>
      </c>
      <c r="I2844" s="50" t="s">
        <v>290</v>
      </c>
      <c r="J2844" s="51">
        <v>46020</v>
      </c>
      <c r="K2844" s="50" t="s">
        <v>1</v>
      </c>
      <c r="L2844" s="50" t="s">
        <v>80</v>
      </c>
    </row>
    <row r="2845" spans="2:12">
      <c r="B2845" s="50" t="s">
        <v>461</v>
      </c>
      <c r="C2845" s="50" t="s">
        <v>26</v>
      </c>
      <c r="D2845" s="50" t="s">
        <v>39</v>
      </c>
      <c r="E2845" s="50">
        <v>50043471</v>
      </c>
      <c r="F2845" s="50" t="s">
        <v>257</v>
      </c>
      <c r="G2845" s="50">
        <v>1</v>
      </c>
      <c r="H2845" s="50" t="s">
        <v>2</v>
      </c>
      <c r="I2845" s="50" t="s">
        <v>290</v>
      </c>
      <c r="J2845" s="51">
        <v>46020</v>
      </c>
      <c r="K2845" s="50" t="s">
        <v>3</v>
      </c>
      <c r="L2845" s="50" t="s">
        <v>80</v>
      </c>
    </row>
    <row r="2846" spans="2:12">
      <c r="B2846" s="50" t="s">
        <v>461</v>
      </c>
      <c r="C2846" s="50" t="s">
        <v>26</v>
      </c>
      <c r="D2846" s="50" t="s">
        <v>39</v>
      </c>
      <c r="E2846" s="50">
        <v>50043471</v>
      </c>
      <c r="F2846" s="50" t="s">
        <v>257</v>
      </c>
      <c r="G2846" s="50">
        <v>1</v>
      </c>
      <c r="H2846" s="50" t="s">
        <v>2</v>
      </c>
      <c r="I2846" s="50" t="s">
        <v>290</v>
      </c>
      <c r="J2846" s="51">
        <v>46020</v>
      </c>
      <c r="K2846" s="50" t="s">
        <v>3</v>
      </c>
      <c r="L2846" s="50" t="s">
        <v>80</v>
      </c>
    </row>
    <row r="2847" spans="2:12">
      <c r="B2847" s="50" t="s">
        <v>394</v>
      </c>
      <c r="C2847" s="50" t="s">
        <v>26</v>
      </c>
      <c r="D2847" s="50" t="s">
        <v>41</v>
      </c>
      <c r="E2847" s="50">
        <v>50039718</v>
      </c>
      <c r="F2847" s="50" t="s">
        <v>149</v>
      </c>
      <c r="G2847" s="50">
        <v>1</v>
      </c>
      <c r="H2847" s="50" t="s">
        <v>2</v>
      </c>
      <c r="I2847" s="50" t="s">
        <v>290</v>
      </c>
      <c r="J2847" s="51">
        <v>46020</v>
      </c>
      <c r="K2847" s="50" t="s">
        <v>3</v>
      </c>
      <c r="L2847" s="50" t="s">
        <v>80</v>
      </c>
    </row>
    <row r="2848" spans="2:12">
      <c r="B2848" s="50" t="s">
        <v>470</v>
      </c>
      <c r="C2848" s="50" t="s">
        <v>51</v>
      </c>
      <c r="D2848" s="50" t="s">
        <v>39</v>
      </c>
      <c r="E2848" s="50">
        <v>50038517</v>
      </c>
      <c r="F2848" s="50" t="s">
        <v>181</v>
      </c>
      <c r="G2848" s="50">
        <v>1</v>
      </c>
      <c r="H2848" s="50" t="s">
        <v>2</v>
      </c>
      <c r="I2848" s="50" t="s">
        <v>290</v>
      </c>
      <c r="J2848" s="51">
        <v>46020</v>
      </c>
      <c r="K2848" s="50" t="s">
        <v>3</v>
      </c>
      <c r="L2848" s="50" t="s">
        <v>80</v>
      </c>
    </row>
    <row r="2849" spans="2:12">
      <c r="B2849" s="50" t="s">
        <v>430</v>
      </c>
      <c r="C2849" s="50" t="s">
        <v>61</v>
      </c>
      <c r="D2849" s="50" t="s">
        <v>39</v>
      </c>
      <c r="E2849" s="50">
        <v>50018168</v>
      </c>
      <c r="F2849" s="50" t="s">
        <v>251</v>
      </c>
      <c r="G2849" s="50">
        <v>1</v>
      </c>
      <c r="H2849" s="50" t="s">
        <v>2</v>
      </c>
      <c r="I2849" s="50" t="s">
        <v>290</v>
      </c>
      <c r="J2849" s="51">
        <v>46020</v>
      </c>
      <c r="K2849" s="50" t="s">
        <v>1</v>
      </c>
      <c r="L2849" s="50" t="s">
        <v>80</v>
      </c>
    </row>
    <row r="2850" spans="2:12">
      <c r="B2850" s="50" t="s">
        <v>444</v>
      </c>
      <c r="C2850" s="50" t="s">
        <v>51</v>
      </c>
      <c r="D2850" s="50" t="s">
        <v>27</v>
      </c>
      <c r="E2850" s="50">
        <v>50038956</v>
      </c>
      <c r="F2850" s="50" t="s">
        <v>177</v>
      </c>
      <c r="G2850" s="50">
        <v>1</v>
      </c>
      <c r="H2850" s="50" t="s">
        <v>2</v>
      </c>
      <c r="I2850" s="50" t="s">
        <v>290</v>
      </c>
      <c r="J2850" s="51">
        <v>46020</v>
      </c>
      <c r="K2850" s="50" t="s">
        <v>3</v>
      </c>
      <c r="L2850" s="50" t="s">
        <v>80</v>
      </c>
    </row>
    <row r="2851" spans="2:12">
      <c r="B2851" s="50" t="s">
        <v>444</v>
      </c>
      <c r="C2851" s="50" t="s">
        <v>51</v>
      </c>
      <c r="D2851" s="50" t="s">
        <v>27</v>
      </c>
      <c r="E2851" s="50">
        <v>50038956</v>
      </c>
      <c r="F2851" s="50" t="s">
        <v>177</v>
      </c>
      <c r="G2851" s="50">
        <v>1</v>
      </c>
      <c r="H2851" s="50" t="s">
        <v>2</v>
      </c>
      <c r="I2851" s="50" t="s">
        <v>290</v>
      </c>
      <c r="J2851" s="51">
        <v>46020</v>
      </c>
      <c r="K2851" s="50" t="s">
        <v>1</v>
      </c>
      <c r="L2851" s="50" t="s">
        <v>80</v>
      </c>
    </row>
    <row r="2852" spans="2:12">
      <c r="B2852" s="50" t="s">
        <v>396</v>
      </c>
      <c r="C2852" s="50" t="s">
        <v>26</v>
      </c>
      <c r="D2852" s="50" t="s">
        <v>41</v>
      </c>
      <c r="E2852" s="50">
        <v>50036086</v>
      </c>
      <c r="F2852" s="50" t="s">
        <v>28</v>
      </c>
      <c r="G2852" s="50">
        <v>1</v>
      </c>
      <c r="H2852" s="50" t="s">
        <v>2</v>
      </c>
      <c r="I2852" s="50" t="s">
        <v>290</v>
      </c>
      <c r="J2852" s="51">
        <v>46020</v>
      </c>
      <c r="K2852" s="50" t="s">
        <v>1</v>
      </c>
      <c r="L2852" s="50" t="s">
        <v>80</v>
      </c>
    </row>
    <row r="2853" spans="2:12">
      <c r="B2853" s="50" t="s">
        <v>438</v>
      </c>
      <c r="C2853" s="50" t="s">
        <v>51</v>
      </c>
      <c r="D2853" s="50" t="s">
        <v>36</v>
      </c>
      <c r="E2853" s="50">
        <v>50041195</v>
      </c>
      <c r="F2853" s="50" t="s">
        <v>206</v>
      </c>
      <c r="G2853" s="50">
        <v>1</v>
      </c>
      <c r="H2853" s="50" t="s">
        <v>2</v>
      </c>
      <c r="I2853" s="50" t="s">
        <v>290</v>
      </c>
      <c r="J2853" s="51">
        <v>46020</v>
      </c>
      <c r="K2853" s="50" t="s">
        <v>1</v>
      </c>
      <c r="L2853" s="50" t="s">
        <v>80</v>
      </c>
    </row>
    <row r="2854" spans="2:12">
      <c r="B2854" s="50" t="s">
        <v>444</v>
      </c>
      <c r="C2854" s="50" t="s">
        <v>51</v>
      </c>
      <c r="D2854" s="50" t="s">
        <v>27</v>
      </c>
      <c r="E2854" s="50">
        <v>50010031</v>
      </c>
      <c r="F2854" s="50" t="s">
        <v>89</v>
      </c>
      <c r="G2854" s="50">
        <v>1</v>
      </c>
      <c r="H2854" s="50" t="s">
        <v>2</v>
      </c>
      <c r="I2854" s="50" t="s">
        <v>290</v>
      </c>
      <c r="J2854" s="51">
        <v>46020</v>
      </c>
      <c r="K2854" s="50" t="s">
        <v>1</v>
      </c>
      <c r="L2854" s="50" t="s">
        <v>80</v>
      </c>
    </row>
    <row r="2855" spans="2:12">
      <c r="B2855" s="50" t="s">
        <v>316</v>
      </c>
      <c r="C2855" s="50" t="s">
        <v>51</v>
      </c>
      <c r="D2855" s="50" t="s">
        <v>27</v>
      </c>
      <c r="E2855" s="50">
        <v>50038956</v>
      </c>
      <c r="F2855" s="50" t="s">
        <v>177</v>
      </c>
      <c r="G2855" s="50">
        <v>1</v>
      </c>
      <c r="H2855" s="50" t="s">
        <v>2</v>
      </c>
      <c r="I2855" s="50" t="s">
        <v>290</v>
      </c>
      <c r="J2855" s="51">
        <v>46020</v>
      </c>
      <c r="K2855" s="50" t="s">
        <v>3</v>
      </c>
      <c r="L2855" s="50" t="s">
        <v>80</v>
      </c>
    </row>
    <row r="2856" spans="2:12">
      <c r="B2856" s="50" t="s">
        <v>278</v>
      </c>
      <c r="C2856" s="50" t="s">
        <v>62</v>
      </c>
      <c r="D2856" s="50" t="s">
        <v>27</v>
      </c>
      <c r="E2856" s="50">
        <v>50041194</v>
      </c>
      <c r="F2856" s="50" t="s">
        <v>249</v>
      </c>
      <c r="G2856" s="50">
        <v>1</v>
      </c>
      <c r="H2856" s="50" t="s">
        <v>2</v>
      </c>
      <c r="I2856" s="50" t="s">
        <v>290</v>
      </c>
      <c r="J2856" s="51">
        <v>46020</v>
      </c>
      <c r="K2856" s="50" t="s">
        <v>3</v>
      </c>
      <c r="L2856" s="50" t="s">
        <v>80</v>
      </c>
    </row>
    <row r="2857" spans="2:12">
      <c r="B2857" s="50" t="s">
        <v>396</v>
      </c>
      <c r="C2857" s="50" t="s">
        <v>26</v>
      </c>
      <c r="D2857" s="50" t="s">
        <v>41</v>
      </c>
      <c r="E2857" s="50">
        <v>50036086</v>
      </c>
      <c r="F2857" s="50" t="s">
        <v>28</v>
      </c>
      <c r="G2857" s="50">
        <v>1</v>
      </c>
      <c r="H2857" s="50" t="s">
        <v>2</v>
      </c>
      <c r="I2857" s="50" t="s">
        <v>290</v>
      </c>
      <c r="J2857" s="51">
        <v>46020</v>
      </c>
      <c r="K2857" s="50" t="s">
        <v>3</v>
      </c>
      <c r="L2857" s="50" t="s">
        <v>80</v>
      </c>
    </row>
    <row r="2858" spans="2:12">
      <c r="B2858" s="50" t="s">
        <v>316</v>
      </c>
      <c r="C2858" s="50" t="s">
        <v>51</v>
      </c>
      <c r="D2858" s="50" t="s">
        <v>27</v>
      </c>
      <c r="E2858" s="50">
        <v>50038956</v>
      </c>
      <c r="F2858" s="50" t="s">
        <v>177</v>
      </c>
      <c r="G2858" s="50">
        <v>1</v>
      </c>
      <c r="H2858" s="50" t="s">
        <v>2</v>
      </c>
      <c r="I2858" s="50" t="s">
        <v>290</v>
      </c>
      <c r="J2858" s="51">
        <v>46020</v>
      </c>
      <c r="K2858" s="50" t="s">
        <v>3</v>
      </c>
      <c r="L2858" s="50" t="s">
        <v>80</v>
      </c>
    </row>
    <row r="2859" spans="2:12">
      <c r="B2859" s="50" t="s">
        <v>394</v>
      </c>
      <c r="C2859" s="50" t="s">
        <v>26</v>
      </c>
      <c r="D2859" s="50" t="s">
        <v>41</v>
      </c>
      <c r="E2859" s="50">
        <v>50038854</v>
      </c>
      <c r="F2859" s="50" t="s">
        <v>101</v>
      </c>
      <c r="G2859" s="50">
        <v>1</v>
      </c>
      <c r="H2859" s="50" t="s">
        <v>2</v>
      </c>
      <c r="I2859" s="50" t="s">
        <v>290</v>
      </c>
      <c r="J2859" s="51">
        <v>46020</v>
      </c>
      <c r="K2859" s="50" t="s">
        <v>3</v>
      </c>
      <c r="L2859" s="50" t="s">
        <v>80</v>
      </c>
    </row>
    <row r="2860" spans="2:12">
      <c r="B2860" s="50" t="s">
        <v>483</v>
      </c>
      <c r="C2860" s="50" t="s">
        <v>62</v>
      </c>
      <c r="D2860" s="50" t="s">
        <v>27</v>
      </c>
      <c r="E2860" s="50">
        <v>50041124</v>
      </c>
      <c r="F2860" s="50" t="s">
        <v>202</v>
      </c>
      <c r="G2860" s="50">
        <v>1</v>
      </c>
      <c r="H2860" s="50" t="s">
        <v>2</v>
      </c>
      <c r="I2860" s="50" t="s">
        <v>290</v>
      </c>
      <c r="J2860" s="51">
        <v>46020</v>
      </c>
      <c r="K2860" s="50" t="s">
        <v>3</v>
      </c>
      <c r="L2860" s="50" t="s">
        <v>80</v>
      </c>
    </row>
    <row r="2861" spans="2:12">
      <c r="B2861" s="50" t="s">
        <v>483</v>
      </c>
      <c r="C2861" s="50" t="s">
        <v>62</v>
      </c>
      <c r="D2861" s="50" t="s">
        <v>27</v>
      </c>
      <c r="E2861" s="50">
        <v>50003297</v>
      </c>
      <c r="F2861" s="50" t="s">
        <v>158</v>
      </c>
      <c r="G2861" s="50">
        <v>1</v>
      </c>
      <c r="H2861" s="50" t="s">
        <v>2</v>
      </c>
      <c r="I2861" s="50" t="s">
        <v>290</v>
      </c>
      <c r="J2861" s="51">
        <v>46020</v>
      </c>
      <c r="K2861" s="50" t="s">
        <v>3</v>
      </c>
      <c r="L2861" s="50" t="s">
        <v>80</v>
      </c>
    </row>
    <row r="2862" spans="2:12">
      <c r="B2862" s="50" t="s">
        <v>399</v>
      </c>
      <c r="C2862" s="50" t="s">
        <v>51</v>
      </c>
      <c r="D2862" s="50" t="s">
        <v>27</v>
      </c>
      <c r="E2862" s="50">
        <v>50039065</v>
      </c>
      <c r="F2862" s="50" t="s">
        <v>186</v>
      </c>
      <c r="G2862" s="50">
        <v>1</v>
      </c>
      <c r="H2862" s="50" t="s">
        <v>2</v>
      </c>
      <c r="I2862" s="50" t="s">
        <v>290</v>
      </c>
      <c r="J2862" s="51">
        <v>46020</v>
      </c>
      <c r="K2862" s="50" t="s">
        <v>3</v>
      </c>
      <c r="L2862" s="50" t="s">
        <v>80</v>
      </c>
    </row>
    <row r="2863" spans="2:12">
      <c r="B2863" s="50" t="s">
        <v>399</v>
      </c>
      <c r="C2863" s="50" t="s">
        <v>51</v>
      </c>
      <c r="D2863" s="50" t="s">
        <v>27</v>
      </c>
      <c r="E2863" s="50">
        <v>50010031</v>
      </c>
      <c r="F2863" s="50" t="s">
        <v>89</v>
      </c>
      <c r="G2863" s="50">
        <v>1</v>
      </c>
      <c r="H2863" s="50" t="s">
        <v>2</v>
      </c>
      <c r="I2863" s="50" t="s">
        <v>290</v>
      </c>
      <c r="J2863" s="51">
        <v>46020</v>
      </c>
      <c r="K2863" s="50" t="s">
        <v>3</v>
      </c>
      <c r="L2863" s="50" t="s">
        <v>80</v>
      </c>
    </row>
    <row r="2864" spans="2:12">
      <c r="B2864" s="50" t="s">
        <v>345</v>
      </c>
      <c r="C2864" s="50" t="s">
        <v>62</v>
      </c>
      <c r="D2864" s="50" t="s">
        <v>27</v>
      </c>
      <c r="E2864" s="50">
        <v>50037892</v>
      </c>
      <c r="F2864" s="50" t="s">
        <v>178</v>
      </c>
      <c r="G2864" s="50">
        <v>1</v>
      </c>
      <c r="H2864" s="50" t="s">
        <v>2</v>
      </c>
      <c r="I2864" s="50" t="s">
        <v>290</v>
      </c>
      <c r="J2864" s="51">
        <v>46020</v>
      </c>
      <c r="K2864" s="50" t="s">
        <v>3</v>
      </c>
      <c r="L2864" s="50" t="s">
        <v>80</v>
      </c>
    </row>
    <row r="2865" spans="2:12">
      <c r="B2865" s="50" t="s">
        <v>438</v>
      </c>
      <c r="C2865" s="50" t="s">
        <v>51</v>
      </c>
      <c r="D2865" s="50" t="s">
        <v>36</v>
      </c>
      <c r="E2865" s="50">
        <v>50041195</v>
      </c>
      <c r="F2865" s="50" t="s">
        <v>206</v>
      </c>
      <c r="G2865" s="50">
        <v>1</v>
      </c>
      <c r="H2865" s="50" t="s">
        <v>2</v>
      </c>
      <c r="I2865" s="50" t="s">
        <v>290</v>
      </c>
      <c r="J2865" s="51">
        <v>46020</v>
      </c>
      <c r="K2865" s="50" t="s">
        <v>3</v>
      </c>
      <c r="L2865" s="50" t="s">
        <v>80</v>
      </c>
    </row>
    <row r="2866" spans="2:12">
      <c r="B2866" s="50" t="s">
        <v>444</v>
      </c>
      <c r="C2866" s="50" t="s">
        <v>51</v>
      </c>
      <c r="D2866" s="50" t="s">
        <v>27</v>
      </c>
      <c r="E2866" s="50">
        <v>50010031</v>
      </c>
      <c r="F2866" s="50" t="s">
        <v>89</v>
      </c>
      <c r="G2866" s="50">
        <v>1</v>
      </c>
      <c r="H2866" s="50" t="s">
        <v>2</v>
      </c>
      <c r="I2866" s="50" t="s">
        <v>290</v>
      </c>
      <c r="J2866" s="51">
        <v>46020</v>
      </c>
      <c r="K2866" s="50" t="s">
        <v>1</v>
      </c>
      <c r="L2866" s="50" t="s">
        <v>80</v>
      </c>
    </row>
    <row r="2867" spans="2:12">
      <c r="B2867" s="50" t="s">
        <v>478</v>
      </c>
      <c r="C2867" s="50" t="s">
        <v>51</v>
      </c>
      <c r="D2867" s="50" t="s">
        <v>27</v>
      </c>
      <c r="E2867" s="50">
        <v>50038956</v>
      </c>
      <c r="F2867" s="50" t="s">
        <v>177</v>
      </c>
      <c r="G2867" s="50">
        <v>1</v>
      </c>
      <c r="H2867" s="50" t="s">
        <v>2</v>
      </c>
      <c r="I2867" s="50" t="s">
        <v>289</v>
      </c>
      <c r="J2867" s="51">
        <v>46017</v>
      </c>
      <c r="K2867" s="50" t="s">
        <v>1</v>
      </c>
      <c r="L2867" s="50" t="s">
        <v>80</v>
      </c>
    </row>
    <row r="2868" spans="2:12">
      <c r="B2868" s="50" t="s">
        <v>399</v>
      </c>
      <c r="C2868" s="50" t="s">
        <v>51</v>
      </c>
      <c r="D2868" s="50" t="s">
        <v>27</v>
      </c>
      <c r="E2868" s="50">
        <v>50036296</v>
      </c>
      <c r="F2868" s="50" t="s">
        <v>109</v>
      </c>
      <c r="G2868" s="50">
        <v>1</v>
      </c>
      <c r="H2868" s="50" t="s">
        <v>2</v>
      </c>
      <c r="I2868" s="50" t="s">
        <v>290</v>
      </c>
      <c r="J2868" s="51">
        <v>46017</v>
      </c>
      <c r="K2868" s="50" t="s">
        <v>1</v>
      </c>
      <c r="L2868" s="50" t="s">
        <v>80</v>
      </c>
    </row>
    <row r="2869" spans="2:12">
      <c r="B2869" s="50" t="s">
        <v>399</v>
      </c>
      <c r="C2869" s="50" t="s">
        <v>51</v>
      </c>
      <c r="D2869" s="50" t="s">
        <v>27</v>
      </c>
      <c r="E2869" s="50">
        <v>50039065</v>
      </c>
      <c r="F2869" s="50" t="s">
        <v>186</v>
      </c>
      <c r="G2869" s="50">
        <v>1</v>
      </c>
      <c r="H2869" s="50" t="s">
        <v>2</v>
      </c>
      <c r="I2869" s="50" t="s">
        <v>290</v>
      </c>
      <c r="J2869" s="51">
        <v>46017</v>
      </c>
      <c r="K2869" s="50" t="s">
        <v>1</v>
      </c>
      <c r="L2869" s="50" t="s">
        <v>80</v>
      </c>
    </row>
    <row r="2870" spans="2:12">
      <c r="B2870" s="50" t="s">
        <v>467</v>
      </c>
      <c r="C2870" s="50" t="s">
        <v>51</v>
      </c>
      <c r="D2870" s="50" t="s">
        <v>39</v>
      </c>
      <c r="E2870" s="50">
        <v>50022878</v>
      </c>
      <c r="F2870" s="50" t="s">
        <v>296</v>
      </c>
      <c r="G2870" s="50">
        <v>1</v>
      </c>
      <c r="H2870" s="50" t="s">
        <v>2</v>
      </c>
      <c r="I2870" s="50" t="s">
        <v>290</v>
      </c>
      <c r="J2870" s="51">
        <v>46017</v>
      </c>
      <c r="K2870" s="50" t="s">
        <v>1</v>
      </c>
      <c r="L2870" s="50" t="s">
        <v>80</v>
      </c>
    </row>
    <row r="2871" spans="2:12">
      <c r="B2871" s="50" t="s">
        <v>345</v>
      </c>
      <c r="C2871" s="50" t="s">
        <v>62</v>
      </c>
      <c r="D2871" s="50" t="s">
        <v>27</v>
      </c>
      <c r="E2871" s="50">
        <v>50010031</v>
      </c>
      <c r="F2871" s="50" t="s">
        <v>89</v>
      </c>
      <c r="G2871" s="50">
        <v>1</v>
      </c>
      <c r="H2871" s="50" t="s">
        <v>2</v>
      </c>
      <c r="I2871" s="50" t="s">
        <v>290</v>
      </c>
      <c r="J2871" s="51">
        <v>46017</v>
      </c>
      <c r="K2871" s="50" t="s">
        <v>1</v>
      </c>
      <c r="L2871" s="50" t="s">
        <v>80</v>
      </c>
    </row>
    <row r="2872" spans="2:12">
      <c r="B2872" s="50" t="s">
        <v>413</v>
      </c>
      <c r="C2872" s="50" t="s">
        <v>51</v>
      </c>
      <c r="D2872" s="50" t="s">
        <v>39</v>
      </c>
      <c r="E2872" s="50">
        <v>50037892</v>
      </c>
      <c r="F2872" s="50" t="s">
        <v>178</v>
      </c>
      <c r="G2872" s="50">
        <v>1</v>
      </c>
      <c r="H2872" s="50" t="s">
        <v>2</v>
      </c>
      <c r="I2872" s="50" t="s">
        <v>290</v>
      </c>
      <c r="J2872" s="51">
        <v>46017</v>
      </c>
      <c r="K2872" s="50" t="s">
        <v>1</v>
      </c>
      <c r="L2872" s="50" t="s">
        <v>80</v>
      </c>
    </row>
    <row r="2873" spans="2:12">
      <c r="B2873" s="50" t="s">
        <v>446</v>
      </c>
      <c r="C2873" s="50" t="s">
        <v>56</v>
      </c>
      <c r="D2873" s="50" t="s">
        <v>27</v>
      </c>
      <c r="E2873" s="50">
        <v>50043320</v>
      </c>
      <c r="F2873" s="50" t="s">
        <v>264</v>
      </c>
      <c r="G2873" s="50">
        <v>1</v>
      </c>
      <c r="H2873" s="50" t="s">
        <v>2</v>
      </c>
      <c r="I2873" s="50" t="s">
        <v>290</v>
      </c>
      <c r="J2873" s="51">
        <v>46017</v>
      </c>
      <c r="K2873" s="50" t="s">
        <v>1</v>
      </c>
      <c r="L2873" s="50" t="s">
        <v>80</v>
      </c>
    </row>
    <row r="2874" spans="2:12">
      <c r="B2874" s="50" t="s">
        <v>446</v>
      </c>
      <c r="C2874" s="50" t="s">
        <v>56</v>
      </c>
      <c r="D2874" s="50" t="s">
        <v>27</v>
      </c>
      <c r="E2874" s="50">
        <v>50043471</v>
      </c>
      <c r="F2874" s="50" t="s">
        <v>257</v>
      </c>
      <c r="G2874" s="50">
        <v>1</v>
      </c>
      <c r="H2874" s="50" t="s">
        <v>2</v>
      </c>
      <c r="I2874" s="50" t="s">
        <v>290</v>
      </c>
      <c r="J2874" s="51">
        <v>46017</v>
      </c>
      <c r="K2874" s="50" t="s">
        <v>3</v>
      </c>
      <c r="L2874" s="50" t="s">
        <v>80</v>
      </c>
    </row>
    <row r="2875" spans="2:12">
      <c r="B2875" s="50" t="s">
        <v>474</v>
      </c>
      <c r="C2875" s="50" t="s">
        <v>51</v>
      </c>
      <c r="D2875" s="50" t="s">
        <v>27</v>
      </c>
      <c r="E2875" s="50">
        <v>50041195</v>
      </c>
      <c r="F2875" s="50" t="s">
        <v>206</v>
      </c>
      <c r="G2875" s="50">
        <v>1</v>
      </c>
      <c r="H2875" s="50" t="s">
        <v>2</v>
      </c>
      <c r="I2875" s="50" t="s">
        <v>289</v>
      </c>
      <c r="J2875" s="51">
        <v>46017</v>
      </c>
      <c r="K2875" s="50" t="s">
        <v>1</v>
      </c>
      <c r="L2875" s="50" t="s">
        <v>80</v>
      </c>
    </row>
    <row r="2876" spans="2:12">
      <c r="B2876" s="50" t="s">
        <v>483</v>
      </c>
      <c r="C2876" s="50" t="s">
        <v>62</v>
      </c>
      <c r="D2876" s="50" t="s">
        <v>27</v>
      </c>
      <c r="E2876" s="50">
        <v>50026357</v>
      </c>
      <c r="F2876" s="50" t="s">
        <v>192</v>
      </c>
      <c r="G2876" s="50">
        <v>1</v>
      </c>
      <c r="H2876" s="50" t="s">
        <v>2</v>
      </c>
      <c r="I2876" s="50" t="s">
        <v>289</v>
      </c>
      <c r="J2876" s="51">
        <v>46017</v>
      </c>
      <c r="K2876" s="50" t="s">
        <v>1</v>
      </c>
      <c r="L2876" s="50" t="s">
        <v>80</v>
      </c>
    </row>
    <row r="2877" spans="2:12">
      <c r="B2877" s="50" t="s">
        <v>481</v>
      </c>
      <c r="C2877" s="50" t="s">
        <v>56</v>
      </c>
      <c r="D2877" s="50" t="s">
        <v>27</v>
      </c>
      <c r="E2877" s="50">
        <v>50036298</v>
      </c>
      <c r="F2877" s="50" t="s">
        <v>102</v>
      </c>
      <c r="G2877" s="50">
        <v>1</v>
      </c>
      <c r="H2877" s="50" t="s">
        <v>2</v>
      </c>
      <c r="I2877" s="50" t="s">
        <v>289</v>
      </c>
      <c r="J2877" s="51">
        <v>46017</v>
      </c>
      <c r="K2877" s="50" t="s">
        <v>1</v>
      </c>
      <c r="L2877" s="50" t="s">
        <v>80</v>
      </c>
    </row>
    <row r="2878" spans="2:12">
      <c r="B2878" s="50" t="s">
        <v>25</v>
      </c>
      <c r="C2878" s="50" t="s">
        <v>26</v>
      </c>
      <c r="D2878" s="50" t="s">
        <v>27</v>
      </c>
      <c r="E2878" s="50">
        <v>50038549</v>
      </c>
      <c r="F2878" s="50" t="s">
        <v>173</v>
      </c>
      <c r="G2878" s="50">
        <v>1</v>
      </c>
      <c r="H2878" s="50" t="s">
        <v>2</v>
      </c>
      <c r="I2878" s="50" t="s">
        <v>289</v>
      </c>
      <c r="J2878" s="51">
        <v>46017</v>
      </c>
      <c r="K2878" s="50" t="s">
        <v>3</v>
      </c>
      <c r="L2878" s="50" t="s">
        <v>80</v>
      </c>
    </row>
    <row r="2879" spans="2:12">
      <c r="B2879" s="50" t="s">
        <v>467</v>
      </c>
      <c r="C2879" s="50" t="s">
        <v>51</v>
      </c>
      <c r="D2879" s="50" t="s">
        <v>39</v>
      </c>
      <c r="E2879" s="50">
        <v>50022878</v>
      </c>
      <c r="F2879" s="50" t="s">
        <v>296</v>
      </c>
      <c r="G2879" s="50">
        <v>1</v>
      </c>
      <c r="H2879" s="50" t="s">
        <v>2</v>
      </c>
      <c r="I2879" s="50" t="s">
        <v>289</v>
      </c>
      <c r="J2879" s="51">
        <v>46017</v>
      </c>
      <c r="K2879" s="50" t="s">
        <v>3</v>
      </c>
      <c r="L2879" s="50" t="s">
        <v>80</v>
      </c>
    </row>
    <row r="2880" spans="2:12">
      <c r="B2880" s="50" t="s">
        <v>446</v>
      </c>
      <c r="C2880" s="50" t="s">
        <v>56</v>
      </c>
      <c r="D2880" s="50" t="s">
        <v>27</v>
      </c>
      <c r="E2880" s="50">
        <v>50043320</v>
      </c>
      <c r="F2880" s="50" t="s">
        <v>264</v>
      </c>
      <c r="G2880" s="50">
        <v>1</v>
      </c>
      <c r="H2880" s="50" t="s">
        <v>2</v>
      </c>
      <c r="I2880" s="50" t="s">
        <v>289</v>
      </c>
      <c r="J2880" s="51">
        <v>46017</v>
      </c>
      <c r="K2880" s="50" t="s">
        <v>3</v>
      </c>
      <c r="L2880" s="50" t="s">
        <v>80</v>
      </c>
    </row>
    <row r="2881" spans="2:12">
      <c r="B2881" s="50" t="s">
        <v>446</v>
      </c>
      <c r="C2881" s="50" t="s">
        <v>56</v>
      </c>
      <c r="D2881" s="50" t="s">
        <v>27</v>
      </c>
      <c r="E2881" s="50">
        <v>50043471</v>
      </c>
      <c r="F2881" s="50" t="s">
        <v>257</v>
      </c>
      <c r="G2881" s="50">
        <v>1</v>
      </c>
      <c r="H2881" s="50" t="s">
        <v>2</v>
      </c>
      <c r="I2881" s="50" t="s">
        <v>289</v>
      </c>
      <c r="J2881" s="51">
        <v>46017</v>
      </c>
      <c r="K2881" s="50" t="s">
        <v>3</v>
      </c>
      <c r="L2881" s="50" t="s">
        <v>81</v>
      </c>
    </row>
    <row r="2882" spans="2:12">
      <c r="B2882" s="50" t="s">
        <v>413</v>
      </c>
      <c r="C2882" s="50" t="s">
        <v>51</v>
      </c>
      <c r="D2882" s="50" t="s">
        <v>39</v>
      </c>
      <c r="E2882" s="50">
        <v>50037892</v>
      </c>
      <c r="F2882" s="50" t="s">
        <v>178</v>
      </c>
      <c r="G2882" s="50">
        <v>1</v>
      </c>
      <c r="H2882" s="50" t="s">
        <v>2</v>
      </c>
      <c r="I2882" s="50" t="s">
        <v>289</v>
      </c>
      <c r="J2882" s="51">
        <v>46017</v>
      </c>
      <c r="K2882" s="50" t="s">
        <v>1</v>
      </c>
      <c r="L2882" s="50" t="s">
        <v>80</v>
      </c>
    </row>
    <row r="2883" spans="2:12">
      <c r="B2883" s="50" t="s">
        <v>392</v>
      </c>
      <c r="C2883" s="50" t="s">
        <v>51</v>
      </c>
      <c r="D2883" s="50" t="s">
        <v>39</v>
      </c>
      <c r="E2883" s="50">
        <v>50037892</v>
      </c>
      <c r="F2883" s="50" t="s">
        <v>178</v>
      </c>
      <c r="G2883" s="50">
        <v>1</v>
      </c>
      <c r="H2883" s="50" t="s">
        <v>2</v>
      </c>
      <c r="I2883" s="50" t="s">
        <v>289</v>
      </c>
      <c r="J2883" s="51">
        <v>46017</v>
      </c>
      <c r="K2883" s="50" t="s">
        <v>1</v>
      </c>
      <c r="L2883" s="50" t="s">
        <v>80</v>
      </c>
    </row>
    <row r="2884" spans="2:12">
      <c r="B2884" s="50" t="s">
        <v>463</v>
      </c>
      <c r="C2884" s="50" t="s">
        <v>56</v>
      </c>
      <c r="D2884" s="50" t="s">
        <v>27</v>
      </c>
      <c r="E2884" s="50">
        <v>50043471</v>
      </c>
      <c r="F2884" s="50" t="s">
        <v>257</v>
      </c>
      <c r="G2884" s="50">
        <v>1</v>
      </c>
      <c r="H2884" s="50" t="s">
        <v>2</v>
      </c>
      <c r="I2884" s="50" t="s">
        <v>289</v>
      </c>
      <c r="J2884" s="51">
        <v>46017</v>
      </c>
      <c r="K2884" s="50" t="s">
        <v>1</v>
      </c>
      <c r="L2884" s="50" t="s">
        <v>80</v>
      </c>
    </row>
    <row r="2885" spans="2:12">
      <c r="B2885" s="50" t="s">
        <v>411</v>
      </c>
      <c r="C2885" s="50" t="s">
        <v>26</v>
      </c>
      <c r="D2885" s="50" t="s">
        <v>27</v>
      </c>
      <c r="E2885" s="50">
        <v>50039718</v>
      </c>
      <c r="F2885" s="50" t="s">
        <v>149</v>
      </c>
      <c r="G2885" s="50">
        <v>1</v>
      </c>
      <c r="H2885" s="50" t="s">
        <v>2</v>
      </c>
      <c r="I2885" s="50" t="s">
        <v>289</v>
      </c>
      <c r="J2885" s="51">
        <v>46017</v>
      </c>
      <c r="K2885" s="50" t="s">
        <v>1</v>
      </c>
      <c r="L2885" s="50" t="s">
        <v>80</v>
      </c>
    </row>
    <row r="2886" spans="2:12">
      <c r="B2886" s="50" t="s">
        <v>481</v>
      </c>
      <c r="C2886" s="50" t="s">
        <v>56</v>
      </c>
      <c r="D2886" s="50" t="s">
        <v>27</v>
      </c>
      <c r="E2886" s="50">
        <v>50020623</v>
      </c>
      <c r="F2886" s="50" t="s">
        <v>217</v>
      </c>
      <c r="G2886" s="50">
        <v>1</v>
      </c>
      <c r="H2886" s="50" t="s">
        <v>2</v>
      </c>
      <c r="I2886" s="50" t="s">
        <v>289</v>
      </c>
      <c r="J2886" s="51">
        <v>46017</v>
      </c>
      <c r="K2886" s="50" t="s">
        <v>3</v>
      </c>
      <c r="L2886" s="50" t="s">
        <v>80</v>
      </c>
    </row>
    <row r="2887" spans="2:12">
      <c r="B2887" s="50" t="s">
        <v>411</v>
      </c>
      <c r="C2887" s="50" t="s">
        <v>26</v>
      </c>
      <c r="D2887" s="50" t="s">
        <v>27</v>
      </c>
      <c r="E2887" s="50">
        <v>50039718</v>
      </c>
      <c r="F2887" s="50" t="s">
        <v>149</v>
      </c>
      <c r="G2887" s="50">
        <v>1</v>
      </c>
      <c r="H2887" s="50" t="s">
        <v>2</v>
      </c>
      <c r="I2887" s="50" t="s">
        <v>289</v>
      </c>
      <c r="J2887" s="51">
        <v>46017</v>
      </c>
      <c r="K2887" s="50" t="s">
        <v>3</v>
      </c>
      <c r="L2887" s="50" t="s">
        <v>80</v>
      </c>
    </row>
    <row r="2888" spans="2:12">
      <c r="B2888" s="50" t="s">
        <v>463</v>
      </c>
      <c r="C2888" s="50" t="s">
        <v>56</v>
      </c>
      <c r="D2888" s="50" t="s">
        <v>27</v>
      </c>
      <c r="E2888" s="50">
        <v>50043471</v>
      </c>
      <c r="F2888" s="50" t="s">
        <v>257</v>
      </c>
      <c r="G2888" s="50">
        <v>1</v>
      </c>
      <c r="H2888" s="50" t="s">
        <v>2</v>
      </c>
      <c r="I2888" s="50" t="s">
        <v>289</v>
      </c>
      <c r="J2888" s="51">
        <v>46017</v>
      </c>
      <c r="K2888" s="50" t="s">
        <v>3</v>
      </c>
      <c r="L2888" s="50" t="s">
        <v>80</v>
      </c>
    </row>
    <row r="2889" spans="2:12">
      <c r="B2889" s="50" t="s">
        <v>392</v>
      </c>
      <c r="C2889" s="50" t="s">
        <v>51</v>
      </c>
      <c r="D2889" s="50" t="s">
        <v>39</v>
      </c>
      <c r="E2889" s="50">
        <v>50037892</v>
      </c>
      <c r="F2889" s="50" t="s">
        <v>178</v>
      </c>
      <c r="G2889" s="50">
        <v>1</v>
      </c>
      <c r="H2889" s="50" t="s">
        <v>2</v>
      </c>
      <c r="I2889" s="50" t="s">
        <v>289</v>
      </c>
      <c r="J2889" s="51">
        <v>46017</v>
      </c>
      <c r="K2889" s="50" t="s">
        <v>3</v>
      </c>
      <c r="L2889" s="50" t="s">
        <v>80</v>
      </c>
    </row>
    <row r="2890" spans="2:12">
      <c r="B2890" s="50" t="s">
        <v>399</v>
      </c>
      <c r="C2890" s="50" t="s">
        <v>51</v>
      </c>
      <c r="D2890" s="50" t="s">
        <v>27</v>
      </c>
      <c r="E2890" s="50">
        <v>50036296</v>
      </c>
      <c r="F2890" s="50" t="s">
        <v>109</v>
      </c>
      <c r="G2890" s="50">
        <v>1</v>
      </c>
      <c r="H2890" s="50" t="s">
        <v>2</v>
      </c>
      <c r="I2890" s="50" t="s">
        <v>289</v>
      </c>
      <c r="J2890" s="51">
        <v>46017</v>
      </c>
      <c r="K2890" s="50" t="s">
        <v>3</v>
      </c>
      <c r="L2890" s="50" t="s">
        <v>80</v>
      </c>
    </row>
    <row r="2891" spans="2:12">
      <c r="B2891" s="50" t="s">
        <v>399</v>
      </c>
      <c r="C2891" s="50" t="s">
        <v>51</v>
      </c>
      <c r="D2891" s="50" t="s">
        <v>27</v>
      </c>
      <c r="E2891" s="50">
        <v>50039065</v>
      </c>
      <c r="F2891" s="50" t="s">
        <v>186</v>
      </c>
      <c r="G2891" s="50">
        <v>1</v>
      </c>
      <c r="H2891" s="50" t="s">
        <v>2</v>
      </c>
      <c r="I2891" s="50" t="s">
        <v>289</v>
      </c>
      <c r="J2891" s="51">
        <v>46017</v>
      </c>
      <c r="K2891" s="50" t="s">
        <v>3</v>
      </c>
      <c r="L2891" s="50" t="s">
        <v>80</v>
      </c>
    </row>
    <row r="2892" spans="2:12">
      <c r="B2892" s="50" t="s">
        <v>481</v>
      </c>
      <c r="C2892" s="50" t="s">
        <v>56</v>
      </c>
      <c r="D2892" s="50" t="s">
        <v>27</v>
      </c>
      <c r="E2892" s="50">
        <v>50020623</v>
      </c>
      <c r="F2892" s="50" t="s">
        <v>217</v>
      </c>
      <c r="G2892" s="50">
        <v>1</v>
      </c>
      <c r="H2892" s="50" t="s">
        <v>2</v>
      </c>
      <c r="I2892" s="50" t="s">
        <v>289</v>
      </c>
      <c r="J2892" s="51">
        <v>46017</v>
      </c>
      <c r="K2892" s="50" t="s">
        <v>3</v>
      </c>
      <c r="L2892" s="50" t="s">
        <v>80</v>
      </c>
    </row>
    <row r="2893" spans="2:12">
      <c r="B2893" s="50" t="s">
        <v>481</v>
      </c>
      <c r="C2893" s="50" t="s">
        <v>56</v>
      </c>
      <c r="D2893" s="50" t="s">
        <v>27</v>
      </c>
      <c r="E2893" s="50">
        <v>50036298</v>
      </c>
      <c r="F2893" s="50" t="s">
        <v>102</v>
      </c>
      <c r="G2893" s="50">
        <v>1</v>
      </c>
      <c r="H2893" s="50" t="s">
        <v>2</v>
      </c>
      <c r="I2893" s="50" t="s">
        <v>289</v>
      </c>
      <c r="J2893" s="51">
        <v>46017</v>
      </c>
      <c r="K2893" s="50" t="s">
        <v>3</v>
      </c>
      <c r="L2893" s="50" t="s">
        <v>80</v>
      </c>
    </row>
    <row r="2894" spans="2:12">
      <c r="B2894" s="50" t="s">
        <v>345</v>
      </c>
      <c r="C2894" s="50" t="s">
        <v>62</v>
      </c>
      <c r="D2894" s="50" t="s">
        <v>27</v>
      </c>
      <c r="E2894" s="50">
        <v>50010031</v>
      </c>
      <c r="F2894" s="50" t="s">
        <v>89</v>
      </c>
      <c r="G2894" s="50">
        <v>1</v>
      </c>
      <c r="H2894" s="50" t="s">
        <v>2</v>
      </c>
      <c r="I2894" s="50" t="s">
        <v>289</v>
      </c>
      <c r="J2894" s="51">
        <v>46017</v>
      </c>
      <c r="K2894" s="50" t="s">
        <v>3</v>
      </c>
      <c r="L2894" s="50" t="s">
        <v>80</v>
      </c>
    </row>
    <row r="2895" spans="2:12">
      <c r="B2895" s="50" t="s">
        <v>483</v>
      </c>
      <c r="C2895" s="50" t="s">
        <v>62</v>
      </c>
      <c r="D2895" s="50" t="s">
        <v>27</v>
      </c>
      <c r="E2895" s="50">
        <v>50026357</v>
      </c>
      <c r="F2895" s="50" t="s">
        <v>192</v>
      </c>
      <c r="G2895" s="50">
        <v>1</v>
      </c>
      <c r="H2895" s="50" t="s">
        <v>2</v>
      </c>
      <c r="I2895" s="50" t="s">
        <v>289</v>
      </c>
      <c r="J2895" s="51">
        <v>46017</v>
      </c>
      <c r="K2895" s="50" t="s">
        <v>3</v>
      </c>
      <c r="L2895" s="50" t="s">
        <v>80</v>
      </c>
    </row>
    <row r="2896" spans="2:12">
      <c r="B2896" s="50" t="s">
        <v>478</v>
      </c>
      <c r="C2896" s="50" t="s">
        <v>51</v>
      </c>
      <c r="D2896" s="50" t="s">
        <v>27</v>
      </c>
      <c r="E2896" s="50">
        <v>50038956</v>
      </c>
      <c r="F2896" s="50" t="s">
        <v>177</v>
      </c>
      <c r="G2896" s="50">
        <v>1</v>
      </c>
      <c r="H2896" s="50" t="s">
        <v>2</v>
      </c>
      <c r="I2896" s="50" t="s">
        <v>289</v>
      </c>
      <c r="J2896" s="51">
        <v>46017</v>
      </c>
      <c r="K2896" s="50" t="s">
        <v>1</v>
      </c>
      <c r="L2896" s="50" t="s">
        <v>80</v>
      </c>
    </row>
    <row r="2897" spans="2:12">
      <c r="B2897" s="50" t="s">
        <v>400</v>
      </c>
      <c r="C2897" s="50" t="s">
        <v>51</v>
      </c>
      <c r="D2897" s="50" t="s">
        <v>39</v>
      </c>
      <c r="E2897" s="50">
        <v>50038956</v>
      </c>
      <c r="F2897" s="50" t="s">
        <v>177</v>
      </c>
      <c r="G2897" s="50">
        <v>1</v>
      </c>
      <c r="H2897" s="50" t="s">
        <v>2</v>
      </c>
      <c r="I2897" s="50" t="s">
        <v>289</v>
      </c>
      <c r="J2897" s="51">
        <v>46017</v>
      </c>
      <c r="K2897" s="50" t="s">
        <v>3</v>
      </c>
      <c r="L2897" s="50" t="s">
        <v>80</v>
      </c>
    </row>
    <row r="2898" spans="2:12">
      <c r="B2898" s="50" t="s">
        <v>25</v>
      </c>
      <c r="C2898" s="50" t="s">
        <v>26</v>
      </c>
      <c r="D2898" s="50" t="s">
        <v>27</v>
      </c>
      <c r="E2898" s="50">
        <v>50038549</v>
      </c>
      <c r="F2898" s="50" t="s">
        <v>173</v>
      </c>
      <c r="G2898" s="50">
        <v>1</v>
      </c>
      <c r="H2898" s="50" t="s">
        <v>2</v>
      </c>
      <c r="I2898" s="50" t="s">
        <v>289</v>
      </c>
      <c r="J2898" s="51">
        <v>46017</v>
      </c>
      <c r="K2898" s="50" t="s">
        <v>3</v>
      </c>
      <c r="L2898" s="50" t="s">
        <v>80</v>
      </c>
    </row>
    <row r="2899" spans="2:12">
      <c r="B2899" s="50" t="s">
        <v>400</v>
      </c>
      <c r="C2899" s="50" t="s">
        <v>51</v>
      </c>
      <c r="D2899" s="50" t="s">
        <v>39</v>
      </c>
      <c r="E2899" s="50">
        <v>50038956</v>
      </c>
      <c r="F2899" s="50" t="s">
        <v>177</v>
      </c>
      <c r="G2899" s="50">
        <v>1</v>
      </c>
      <c r="H2899" s="50" t="s">
        <v>2</v>
      </c>
      <c r="I2899" s="50" t="s">
        <v>289</v>
      </c>
      <c r="J2899" s="51">
        <v>46017</v>
      </c>
      <c r="K2899" s="50" t="s">
        <v>1</v>
      </c>
      <c r="L2899" s="50" t="s">
        <v>80</v>
      </c>
    </row>
    <row r="2900" spans="2:12">
      <c r="B2900" s="50" t="s">
        <v>345</v>
      </c>
      <c r="C2900" s="50" t="s">
        <v>62</v>
      </c>
      <c r="D2900" s="50" t="s">
        <v>27</v>
      </c>
      <c r="E2900" s="50">
        <v>50010031</v>
      </c>
      <c r="F2900" s="50" t="s">
        <v>89</v>
      </c>
      <c r="G2900" s="50">
        <v>1</v>
      </c>
      <c r="H2900" s="50" t="s">
        <v>2</v>
      </c>
      <c r="I2900" s="50" t="s">
        <v>290</v>
      </c>
      <c r="J2900" s="51">
        <v>46014</v>
      </c>
      <c r="K2900" s="50" t="s">
        <v>1</v>
      </c>
      <c r="L2900" s="50" t="s">
        <v>80</v>
      </c>
    </row>
    <row r="2901" spans="2:12">
      <c r="B2901" s="50" t="s">
        <v>427</v>
      </c>
      <c r="C2901" s="50" t="s">
        <v>26</v>
      </c>
      <c r="D2901" s="50" t="s">
        <v>27</v>
      </c>
      <c r="E2901" s="50">
        <v>50038549</v>
      </c>
      <c r="F2901" s="50" t="s">
        <v>173</v>
      </c>
      <c r="G2901" s="50">
        <v>1</v>
      </c>
      <c r="H2901" s="50" t="s">
        <v>2</v>
      </c>
      <c r="I2901" s="50" t="s">
        <v>290</v>
      </c>
      <c r="J2901" s="51">
        <v>46014</v>
      </c>
      <c r="K2901" s="50" t="s">
        <v>86</v>
      </c>
      <c r="L2901" s="50" t="s">
        <v>80</v>
      </c>
    </row>
    <row r="2902" spans="2:12">
      <c r="B2902" s="50" t="s">
        <v>461</v>
      </c>
      <c r="C2902" s="50" t="s">
        <v>26</v>
      </c>
      <c r="D2902" s="50" t="s">
        <v>39</v>
      </c>
      <c r="E2902" s="50">
        <v>50037892</v>
      </c>
      <c r="F2902" s="50" t="s">
        <v>178</v>
      </c>
      <c r="G2902" s="50">
        <v>1</v>
      </c>
      <c r="H2902" s="50" t="s">
        <v>2</v>
      </c>
      <c r="I2902" s="50" t="s">
        <v>290</v>
      </c>
      <c r="J2902" s="51">
        <v>46014</v>
      </c>
      <c r="K2902" s="50" t="s">
        <v>3</v>
      </c>
      <c r="L2902" s="50" t="s">
        <v>80</v>
      </c>
    </row>
    <row r="2903" spans="2:12">
      <c r="B2903" s="50" t="s">
        <v>461</v>
      </c>
      <c r="C2903" s="50" t="s">
        <v>26</v>
      </c>
      <c r="D2903" s="50" t="s">
        <v>39</v>
      </c>
      <c r="E2903" s="50">
        <v>50037892</v>
      </c>
      <c r="F2903" s="50" t="s">
        <v>178</v>
      </c>
      <c r="G2903" s="50">
        <v>1</v>
      </c>
      <c r="H2903" s="50" t="s">
        <v>2</v>
      </c>
      <c r="I2903" s="50" t="s">
        <v>290</v>
      </c>
      <c r="J2903" s="51">
        <v>46014</v>
      </c>
      <c r="K2903" s="50" t="s">
        <v>3</v>
      </c>
      <c r="L2903" s="50" t="s">
        <v>80</v>
      </c>
    </row>
    <row r="2904" spans="2:12">
      <c r="B2904" s="50" t="s">
        <v>345</v>
      </c>
      <c r="C2904" s="50" t="s">
        <v>62</v>
      </c>
      <c r="D2904" s="50" t="s">
        <v>27</v>
      </c>
      <c r="E2904" s="50">
        <v>50010031</v>
      </c>
      <c r="F2904" s="50" t="s">
        <v>89</v>
      </c>
      <c r="G2904" s="50">
        <v>1</v>
      </c>
      <c r="H2904" s="50" t="s">
        <v>2</v>
      </c>
      <c r="I2904" s="50" t="s">
        <v>290</v>
      </c>
      <c r="J2904" s="51">
        <v>46014</v>
      </c>
      <c r="K2904" s="50" t="s">
        <v>1</v>
      </c>
      <c r="L2904" s="50" t="s">
        <v>80</v>
      </c>
    </row>
    <row r="2905" spans="2:12">
      <c r="B2905" s="50" t="s">
        <v>444</v>
      </c>
      <c r="C2905" s="50" t="s">
        <v>51</v>
      </c>
      <c r="D2905" s="50" t="s">
        <v>27</v>
      </c>
      <c r="E2905" s="50">
        <v>50041995</v>
      </c>
      <c r="F2905" s="50" t="s">
        <v>206</v>
      </c>
      <c r="G2905" s="50">
        <v>1</v>
      </c>
      <c r="H2905" s="50" t="s">
        <v>2</v>
      </c>
      <c r="I2905" s="50" t="s">
        <v>290</v>
      </c>
      <c r="J2905" s="51">
        <v>46014</v>
      </c>
      <c r="K2905" s="50" t="s">
        <v>1</v>
      </c>
      <c r="L2905" s="50" t="s">
        <v>80</v>
      </c>
    </row>
    <row r="2906" spans="2:12">
      <c r="B2906" s="50" t="s">
        <v>413</v>
      </c>
      <c r="C2906" s="50" t="s">
        <v>51</v>
      </c>
      <c r="D2906" s="50" t="s">
        <v>39</v>
      </c>
      <c r="E2906" s="50">
        <v>50038195</v>
      </c>
      <c r="F2906" s="50" t="s">
        <v>239</v>
      </c>
      <c r="G2906" s="50">
        <v>1</v>
      </c>
      <c r="H2906" s="50" t="s">
        <v>4</v>
      </c>
      <c r="I2906" s="50" t="s">
        <v>290</v>
      </c>
      <c r="J2906" s="51">
        <v>46014</v>
      </c>
      <c r="K2906" s="50" t="s">
        <v>1</v>
      </c>
      <c r="L2906" s="50" t="s">
        <v>80</v>
      </c>
    </row>
    <row r="2907" spans="2:12">
      <c r="B2907" s="50" t="s">
        <v>478</v>
      </c>
      <c r="C2907" s="50" t="s">
        <v>51</v>
      </c>
      <c r="D2907" s="50" t="s">
        <v>27</v>
      </c>
      <c r="E2907" s="50">
        <v>50043471</v>
      </c>
      <c r="F2907" s="50" t="s">
        <v>257</v>
      </c>
      <c r="G2907" s="50">
        <v>1</v>
      </c>
      <c r="H2907" s="50" t="s">
        <v>2</v>
      </c>
      <c r="I2907" s="50" t="s">
        <v>290</v>
      </c>
      <c r="J2907" s="51">
        <v>46014</v>
      </c>
      <c r="K2907" s="50" t="s">
        <v>1</v>
      </c>
      <c r="L2907" s="50" t="s">
        <v>80</v>
      </c>
    </row>
    <row r="2908" spans="2:12">
      <c r="B2908" s="50" t="s">
        <v>478</v>
      </c>
      <c r="C2908" s="50" t="s">
        <v>51</v>
      </c>
      <c r="D2908" s="50" t="s">
        <v>27</v>
      </c>
      <c r="E2908" s="50">
        <v>50038956</v>
      </c>
      <c r="F2908" s="50" t="s">
        <v>177</v>
      </c>
      <c r="G2908" s="50">
        <v>1</v>
      </c>
      <c r="H2908" s="50" t="s">
        <v>2</v>
      </c>
      <c r="I2908" s="50" t="s">
        <v>290</v>
      </c>
      <c r="J2908" s="51">
        <v>46014</v>
      </c>
      <c r="K2908" s="50" t="s">
        <v>1</v>
      </c>
      <c r="L2908" s="50" t="s">
        <v>80</v>
      </c>
    </row>
    <row r="2909" spans="2:12">
      <c r="B2909" s="50" t="s">
        <v>466</v>
      </c>
      <c r="C2909" s="50" t="s">
        <v>62</v>
      </c>
      <c r="D2909" s="50" t="s">
        <v>27</v>
      </c>
      <c r="E2909" s="50">
        <v>50041194</v>
      </c>
      <c r="F2909" s="50" t="s">
        <v>249</v>
      </c>
      <c r="G2909" s="50">
        <v>1</v>
      </c>
      <c r="H2909" s="50" t="s">
        <v>4</v>
      </c>
      <c r="I2909" s="50" t="s">
        <v>290</v>
      </c>
      <c r="J2909" s="51">
        <v>46014</v>
      </c>
      <c r="K2909" s="50" t="s">
        <v>1</v>
      </c>
      <c r="L2909" s="50" t="s">
        <v>80</v>
      </c>
    </row>
    <row r="2910" spans="2:12">
      <c r="B2910" s="50" t="s">
        <v>386</v>
      </c>
      <c r="C2910" s="50" t="s">
        <v>26</v>
      </c>
      <c r="D2910" s="50" t="s">
        <v>27</v>
      </c>
      <c r="E2910" s="50">
        <v>50022878</v>
      </c>
      <c r="F2910" s="50" t="s">
        <v>296</v>
      </c>
      <c r="G2910" s="50">
        <v>1</v>
      </c>
      <c r="H2910" s="50" t="s">
        <v>2</v>
      </c>
      <c r="I2910" s="50" t="s">
        <v>290</v>
      </c>
      <c r="J2910" s="51">
        <v>46014</v>
      </c>
      <c r="K2910" s="50" t="s">
        <v>3</v>
      </c>
      <c r="L2910" s="50" t="s">
        <v>80</v>
      </c>
    </row>
    <row r="2911" spans="2:12">
      <c r="B2911" s="50" t="s">
        <v>444</v>
      </c>
      <c r="C2911" s="50" t="s">
        <v>51</v>
      </c>
      <c r="D2911" s="50" t="s">
        <v>27</v>
      </c>
      <c r="E2911" s="50">
        <v>50041995</v>
      </c>
      <c r="F2911" s="50" t="s">
        <v>206</v>
      </c>
      <c r="G2911" s="50">
        <v>1</v>
      </c>
      <c r="H2911" s="50" t="s">
        <v>2</v>
      </c>
      <c r="I2911" s="50" t="s">
        <v>290</v>
      </c>
      <c r="J2911" s="51">
        <v>46014</v>
      </c>
      <c r="K2911" s="50" t="s">
        <v>3</v>
      </c>
      <c r="L2911" s="50" t="s">
        <v>80</v>
      </c>
    </row>
    <row r="2912" spans="2:12">
      <c r="B2912" s="50" t="s">
        <v>413</v>
      </c>
      <c r="C2912" s="50" t="s">
        <v>51</v>
      </c>
      <c r="D2912" s="50" t="s">
        <v>39</v>
      </c>
      <c r="E2912" s="50">
        <v>50038195</v>
      </c>
      <c r="F2912" s="50" t="s">
        <v>239</v>
      </c>
      <c r="G2912" s="50">
        <v>1</v>
      </c>
      <c r="H2912" s="50" t="s">
        <v>4</v>
      </c>
      <c r="I2912" s="50" t="s">
        <v>290</v>
      </c>
      <c r="J2912" s="51">
        <v>46014</v>
      </c>
      <c r="K2912" s="50" t="s">
        <v>1</v>
      </c>
      <c r="L2912" s="50" t="s">
        <v>80</v>
      </c>
    </row>
    <row r="2913" spans="2:12">
      <c r="B2913" s="50" t="s">
        <v>409</v>
      </c>
      <c r="C2913" s="50" t="s">
        <v>51</v>
      </c>
      <c r="D2913" s="50" t="s">
        <v>27</v>
      </c>
      <c r="E2913" s="50">
        <v>50044453</v>
      </c>
      <c r="F2913" s="50" t="s">
        <v>320</v>
      </c>
      <c r="G2913" s="50">
        <v>1</v>
      </c>
      <c r="H2913" s="50" t="s">
        <v>4</v>
      </c>
      <c r="I2913" s="50" t="s">
        <v>290</v>
      </c>
      <c r="J2913" s="51">
        <v>46014</v>
      </c>
      <c r="K2913" s="50" t="s">
        <v>1</v>
      </c>
      <c r="L2913" s="50" t="s">
        <v>80</v>
      </c>
    </row>
    <row r="2914" spans="2:12">
      <c r="B2914" s="50" t="s">
        <v>458</v>
      </c>
      <c r="C2914" s="50" t="s">
        <v>26</v>
      </c>
      <c r="D2914" s="50" t="s">
        <v>27</v>
      </c>
      <c r="E2914" s="50">
        <v>50337895</v>
      </c>
      <c r="F2914" s="50" t="s">
        <v>226</v>
      </c>
      <c r="G2914" s="50">
        <v>1</v>
      </c>
      <c r="H2914" s="50" t="s">
        <v>2</v>
      </c>
      <c r="I2914" s="50" t="s">
        <v>290</v>
      </c>
      <c r="J2914" s="51">
        <v>46014</v>
      </c>
      <c r="K2914" s="50" t="s">
        <v>3</v>
      </c>
      <c r="L2914" s="50" t="s">
        <v>80</v>
      </c>
    </row>
    <row r="2915" spans="2:12">
      <c r="B2915" s="50" t="s">
        <v>386</v>
      </c>
      <c r="C2915" s="50" t="s">
        <v>26</v>
      </c>
      <c r="D2915" s="50" t="s">
        <v>27</v>
      </c>
      <c r="E2915" s="50">
        <v>50022878</v>
      </c>
      <c r="F2915" s="50" t="s">
        <v>296</v>
      </c>
      <c r="G2915" s="50">
        <v>1</v>
      </c>
      <c r="H2915" s="50" t="s">
        <v>2</v>
      </c>
      <c r="I2915" s="50" t="s">
        <v>290</v>
      </c>
      <c r="J2915" s="51">
        <v>46014</v>
      </c>
      <c r="K2915" s="50" t="s">
        <v>3</v>
      </c>
      <c r="L2915" s="50" t="s">
        <v>80</v>
      </c>
    </row>
    <row r="2916" spans="2:12">
      <c r="B2916" s="50" t="s">
        <v>409</v>
      </c>
      <c r="C2916" s="50" t="s">
        <v>51</v>
      </c>
      <c r="D2916" s="50" t="s">
        <v>27</v>
      </c>
      <c r="E2916" s="50">
        <v>50044453</v>
      </c>
      <c r="F2916" s="50" t="s">
        <v>320</v>
      </c>
      <c r="G2916" s="50">
        <v>1</v>
      </c>
      <c r="H2916" s="50" t="s">
        <v>4</v>
      </c>
      <c r="I2916" s="50" t="s">
        <v>290</v>
      </c>
      <c r="J2916" s="51">
        <v>46014</v>
      </c>
      <c r="K2916" s="50" t="s">
        <v>1</v>
      </c>
      <c r="L2916" s="50" t="s">
        <v>80</v>
      </c>
    </row>
    <row r="2917" spans="2:12">
      <c r="B2917" s="50" t="s">
        <v>481</v>
      </c>
      <c r="C2917" s="50" t="s">
        <v>56</v>
      </c>
      <c r="D2917" s="50" t="s">
        <v>27</v>
      </c>
      <c r="E2917" s="50">
        <v>50020623</v>
      </c>
      <c r="F2917" s="50" t="s">
        <v>217</v>
      </c>
      <c r="G2917" s="50">
        <v>1</v>
      </c>
      <c r="H2917" s="50" t="s">
        <v>2</v>
      </c>
      <c r="I2917" s="50" t="s">
        <v>290</v>
      </c>
      <c r="J2917" s="51">
        <v>46014</v>
      </c>
      <c r="K2917" s="50" t="s">
        <v>3</v>
      </c>
      <c r="L2917" s="50" t="s">
        <v>80</v>
      </c>
    </row>
    <row r="2918" spans="2:12">
      <c r="B2918" s="50" t="s">
        <v>458</v>
      </c>
      <c r="C2918" s="50" t="s">
        <v>26</v>
      </c>
      <c r="D2918" s="50" t="s">
        <v>27</v>
      </c>
      <c r="E2918" s="50">
        <v>50337895</v>
      </c>
      <c r="F2918" s="50" t="s">
        <v>226</v>
      </c>
      <c r="G2918" s="50">
        <v>1</v>
      </c>
      <c r="H2918" s="50" t="s">
        <v>2</v>
      </c>
      <c r="I2918" s="50" t="s">
        <v>290</v>
      </c>
      <c r="J2918" s="51">
        <v>46014</v>
      </c>
      <c r="K2918" s="50" t="s">
        <v>3</v>
      </c>
      <c r="L2918" s="50" t="s">
        <v>80</v>
      </c>
    </row>
    <row r="2919" spans="2:12">
      <c r="B2919" s="50" t="s">
        <v>466</v>
      </c>
      <c r="C2919" s="50" t="s">
        <v>62</v>
      </c>
      <c r="D2919" s="50" t="s">
        <v>27</v>
      </c>
      <c r="E2919" s="50">
        <v>50041194</v>
      </c>
      <c r="F2919" s="50" t="s">
        <v>249</v>
      </c>
      <c r="G2919" s="50">
        <v>1</v>
      </c>
      <c r="H2919" s="50" t="s">
        <v>4</v>
      </c>
      <c r="I2919" s="50" t="s">
        <v>290</v>
      </c>
      <c r="J2919" s="51">
        <v>46014</v>
      </c>
      <c r="K2919" s="50" t="s">
        <v>1</v>
      </c>
      <c r="L2919" s="50" t="s">
        <v>80</v>
      </c>
    </row>
    <row r="2920" spans="2:12">
      <c r="B2920" s="50" t="s">
        <v>407</v>
      </c>
      <c r="C2920" s="50" t="s">
        <v>26</v>
      </c>
      <c r="D2920" s="50" t="s">
        <v>39</v>
      </c>
      <c r="E2920" s="50">
        <v>50022878</v>
      </c>
      <c r="F2920" s="50" t="s">
        <v>296</v>
      </c>
      <c r="G2920" s="50">
        <v>1</v>
      </c>
      <c r="H2920" s="50" t="s">
        <v>2</v>
      </c>
      <c r="I2920" s="50" t="s">
        <v>290</v>
      </c>
      <c r="J2920" s="51">
        <v>46014</v>
      </c>
      <c r="K2920" s="50" t="s">
        <v>3</v>
      </c>
      <c r="L2920" s="50" t="s">
        <v>80</v>
      </c>
    </row>
    <row r="2921" spans="2:12">
      <c r="B2921" s="50" t="s">
        <v>407</v>
      </c>
      <c r="C2921" s="50" t="s">
        <v>26</v>
      </c>
      <c r="D2921" s="50" t="s">
        <v>39</v>
      </c>
      <c r="E2921" s="50">
        <v>50022878</v>
      </c>
      <c r="F2921" s="50" t="s">
        <v>296</v>
      </c>
      <c r="G2921" s="50">
        <v>1</v>
      </c>
      <c r="H2921" s="50" t="s">
        <v>2</v>
      </c>
      <c r="I2921" s="50" t="s">
        <v>290</v>
      </c>
      <c r="J2921" s="51">
        <v>46014</v>
      </c>
      <c r="K2921" s="50" t="s">
        <v>3</v>
      </c>
      <c r="L2921" s="50" t="s">
        <v>80</v>
      </c>
    </row>
    <row r="2922" spans="2:12">
      <c r="B2922" s="50" t="s">
        <v>427</v>
      </c>
      <c r="C2922" s="50" t="s">
        <v>26</v>
      </c>
      <c r="D2922" s="50" t="s">
        <v>27</v>
      </c>
      <c r="E2922" s="50">
        <v>50038549</v>
      </c>
      <c r="F2922" s="50" t="s">
        <v>173</v>
      </c>
      <c r="G2922" s="50">
        <v>1</v>
      </c>
      <c r="H2922" s="50" t="s">
        <v>2</v>
      </c>
      <c r="I2922" s="50" t="s">
        <v>290</v>
      </c>
      <c r="J2922" s="51">
        <v>46014</v>
      </c>
      <c r="K2922" s="50" t="s">
        <v>3</v>
      </c>
      <c r="L2922" s="50" t="s">
        <v>80</v>
      </c>
    </row>
    <row r="2923" spans="2:12">
      <c r="B2923" s="50" t="s">
        <v>478</v>
      </c>
      <c r="C2923" s="50" t="s">
        <v>51</v>
      </c>
      <c r="D2923" s="50" t="s">
        <v>27</v>
      </c>
      <c r="E2923" s="50">
        <v>50043471</v>
      </c>
      <c r="F2923" s="50" t="s">
        <v>257</v>
      </c>
      <c r="G2923" s="50">
        <v>1</v>
      </c>
      <c r="H2923" s="50" t="s">
        <v>2</v>
      </c>
      <c r="I2923" s="50" t="s">
        <v>290</v>
      </c>
      <c r="J2923" s="51">
        <v>46014</v>
      </c>
      <c r="K2923" s="50" t="s">
        <v>3</v>
      </c>
      <c r="L2923" s="50" t="s">
        <v>80</v>
      </c>
    </row>
    <row r="2924" spans="2:12">
      <c r="B2924" s="50" t="s">
        <v>478</v>
      </c>
      <c r="C2924" s="50" t="s">
        <v>51</v>
      </c>
      <c r="D2924" s="50" t="s">
        <v>27</v>
      </c>
      <c r="E2924" s="50">
        <v>50038956</v>
      </c>
      <c r="F2924" s="50" t="s">
        <v>177</v>
      </c>
      <c r="G2924" s="50">
        <v>1</v>
      </c>
      <c r="H2924" s="50" t="s">
        <v>2</v>
      </c>
      <c r="I2924" s="50" t="s">
        <v>290</v>
      </c>
      <c r="J2924" s="51">
        <v>46014</v>
      </c>
      <c r="K2924" s="50" t="s">
        <v>1</v>
      </c>
      <c r="L2924" s="50" t="s">
        <v>80</v>
      </c>
    </row>
    <row r="2925" spans="2:12">
      <c r="B2925" s="50" t="s">
        <v>410</v>
      </c>
      <c r="C2925" s="50" t="s">
        <v>51</v>
      </c>
      <c r="D2925" s="50" t="s">
        <v>27</v>
      </c>
      <c r="E2925" s="50">
        <v>50036332</v>
      </c>
      <c r="F2925" s="50" t="s">
        <v>188</v>
      </c>
      <c r="G2925" s="50">
        <v>1</v>
      </c>
      <c r="H2925" s="50" t="s">
        <v>2</v>
      </c>
      <c r="I2925" s="50" t="s">
        <v>290</v>
      </c>
      <c r="J2925" s="51">
        <v>46013</v>
      </c>
      <c r="K2925" s="50" t="s">
        <v>1</v>
      </c>
      <c r="L2925" s="50" t="s">
        <v>80</v>
      </c>
    </row>
    <row r="2926" spans="2:12">
      <c r="B2926" s="50" t="s">
        <v>413</v>
      </c>
      <c r="C2926" s="50" t="s">
        <v>51</v>
      </c>
      <c r="D2926" s="50" t="s">
        <v>39</v>
      </c>
      <c r="E2926" s="50">
        <v>50043471</v>
      </c>
      <c r="F2926" s="50" t="s">
        <v>257</v>
      </c>
      <c r="G2926" s="50">
        <v>1</v>
      </c>
      <c r="H2926" s="50" t="s">
        <v>2</v>
      </c>
      <c r="I2926" s="50" t="s">
        <v>289</v>
      </c>
      <c r="J2926" s="51">
        <v>46013</v>
      </c>
      <c r="K2926" s="50" t="s">
        <v>1</v>
      </c>
      <c r="L2926" s="50" t="s">
        <v>80</v>
      </c>
    </row>
    <row r="2927" spans="2:12">
      <c r="B2927" s="50" t="s">
        <v>478</v>
      </c>
      <c r="C2927" s="50" t="s">
        <v>51</v>
      </c>
      <c r="D2927" s="50" t="s">
        <v>27</v>
      </c>
      <c r="E2927" s="50">
        <v>50037902</v>
      </c>
      <c r="F2927" s="50" t="s">
        <v>179</v>
      </c>
      <c r="G2927" s="50">
        <v>1</v>
      </c>
      <c r="H2927" s="50" t="s">
        <v>2</v>
      </c>
      <c r="I2927" s="50" t="s">
        <v>289</v>
      </c>
      <c r="J2927" s="51">
        <v>46013</v>
      </c>
      <c r="K2927" s="50" t="s">
        <v>1</v>
      </c>
      <c r="L2927" s="50" t="s">
        <v>80</v>
      </c>
    </row>
    <row r="2928" spans="2:12">
      <c r="B2928" s="50" t="s">
        <v>445</v>
      </c>
      <c r="C2928" s="50" t="s">
        <v>51</v>
      </c>
      <c r="D2928" s="50" t="s">
        <v>41</v>
      </c>
      <c r="E2928" s="50">
        <v>50041195</v>
      </c>
      <c r="F2928" s="50" t="s">
        <v>206</v>
      </c>
      <c r="G2928" s="50">
        <v>1</v>
      </c>
      <c r="H2928" s="50" t="s">
        <v>2</v>
      </c>
      <c r="I2928" s="50" t="s">
        <v>289</v>
      </c>
      <c r="J2928" s="51">
        <v>46013</v>
      </c>
      <c r="K2928" s="50" t="s">
        <v>1</v>
      </c>
      <c r="L2928" s="50" t="s">
        <v>80</v>
      </c>
    </row>
    <row r="2929" spans="2:12">
      <c r="B2929" s="50" t="s">
        <v>316</v>
      </c>
      <c r="C2929" s="50" t="s">
        <v>56</v>
      </c>
      <c r="D2929" s="50" t="s">
        <v>27</v>
      </c>
      <c r="E2929" s="50">
        <v>50037902</v>
      </c>
      <c r="F2929" s="50" t="s">
        <v>179</v>
      </c>
      <c r="G2929" s="50">
        <v>1</v>
      </c>
      <c r="H2929" s="50" t="s">
        <v>2</v>
      </c>
      <c r="I2929" s="50" t="s">
        <v>289</v>
      </c>
      <c r="J2929" s="51">
        <v>46013</v>
      </c>
      <c r="K2929" s="50" t="s">
        <v>1</v>
      </c>
      <c r="L2929" s="50" t="s">
        <v>80</v>
      </c>
    </row>
    <row r="2930" spans="2:12">
      <c r="B2930" s="50" t="s">
        <v>413</v>
      </c>
      <c r="C2930" s="50" t="s">
        <v>51</v>
      </c>
      <c r="D2930" s="50" t="s">
        <v>39</v>
      </c>
      <c r="E2930" s="50">
        <v>50038841</v>
      </c>
      <c r="F2930" s="50" t="s">
        <v>180</v>
      </c>
      <c r="G2930" s="50">
        <v>1</v>
      </c>
      <c r="H2930" s="50" t="s">
        <v>2</v>
      </c>
      <c r="I2930" s="50" t="s">
        <v>290</v>
      </c>
      <c r="J2930" s="51">
        <v>46013</v>
      </c>
      <c r="K2930" s="50" t="s">
        <v>1</v>
      </c>
      <c r="L2930" s="50" t="s">
        <v>80</v>
      </c>
    </row>
    <row r="2931" spans="2:12">
      <c r="B2931" s="50" t="s">
        <v>474</v>
      </c>
      <c r="C2931" s="50" t="s">
        <v>51</v>
      </c>
      <c r="D2931" s="50" t="s">
        <v>27</v>
      </c>
      <c r="E2931" s="50">
        <v>50036299</v>
      </c>
      <c r="F2931" s="50" t="s">
        <v>163</v>
      </c>
      <c r="G2931" s="50">
        <v>1</v>
      </c>
      <c r="H2931" s="50" t="s">
        <v>2</v>
      </c>
      <c r="I2931" s="50" t="s">
        <v>290</v>
      </c>
      <c r="J2931" s="51">
        <v>46013</v>
      </c>
      <c r="K2931" s="50" t="s">
        <v>1</v>
      </c>
      <c r="L2931" s="50" t="s">
        <v>80</v>
      </c>
    </row>
    <row r="2932" spans="2:12">
      <c r="B2932" s="50" t="s">
        <v>439</v>
      </c>
      <c r="C2932" s="50" t="s">
        <v>62</v>
      </c>
      <c r="D2932" s="50" t="s">
        <v>27</v>
      </c>
      <c r="E2932" s="50">
        <v>50043320</v>
      </c>
      <c r="F2932" s="50" t="s">
        <v>264</v>
      </c>
      <c r="G2932" s="50">
        <v>1</v>
      </c>
      <c r="H2932" s="50" t="s">
        <v>2</v>
      </c>
      <c r="I2932" s="50" t="s">
        <v>290</v>
      </c>
      <c r="J2932" s="51">
        <v>46013</v>
      </c>
      <c r="K2932" s="50" t="s">
        <v>1</v>
      </c>
      <c r="L2932" s="50" t="s">
        <v>80</v>
      </c>
    </row>
    <row r="2933" spans="2:12">
      <c r="B2933" s="50" t="s">
        <v>390</v>
      </c>
      <c r="C2933" s="50" t="s">
        <v>56</v>
      </c>
      <c r="D2933" s="50" t="s">
        <v>27</v>
      </c>
      <c r="E2933" s="50">
        <v>50036298</v>
      </c>
      <c r="F2933" s="50" t="s">
        <v>102</v>
      </c>
      <c r="G2933" s="50">
        <v>1</v>
      </c>
      <c r="H2933" s="50" t="s">
        <v>2</v>
      </c>
      <c r="I2933" s="50" t="s">
        <v>290</v>
      </c>
      <c r="J2933" s="51">
        <v>46013</v>
      </c>
      <c r="K2933" s="50" t="s">
        <v>1</v>
      </c>
      <c r="L2933" s="50" t="s">
        <v>80</v>
      </c>
    </row>
    <row r="2934" spans="2:12">
      <c r="B2934" s="50" t="s">
        <v>407</v>
      </c>
      <c r="C2934" s="50" t="s">
        <v>26</v>
      </c>
      <c r="D2934" s="50" t="s">
        <v>39</v>
      </c>
      <c r="E2934" s="50">
        <v>50032775</v>
      </c>
      <c r="F2934" s="50" t="s">
        <v>307</v>
      </c>
      <c r="G2934" s="50">
        <v>1</v>
      </c>
      <c r="H2934" s="50" t="s">
        <v>2</v>
      </c>
      <c r="I2934" s="50" t="s">
        <v>290</v>
      </c>
      <c r="J2934" s="51">
        <v>46013</v>
      </c>
      <c r="K2934" s="50" t="s">
        <v>1</v>
      </c>
      <c r="L2934" s="50" t="s">
        <v>80</v>
      </c>
    </row>
    <row r="2935" spans="2:12">
      <c r="B2935" s="50" t="s">
        <v>386</v>
      </c>
      <c r="C2935" s="50" t="s">
        <v>62</v>
      </c>
      <c r="D2935" s="50" t="s">
        <v>27</v>
      </c>
      <c r="E2935" s="50">
        <v>50030486</v>
      </c>
      <c r="F2935" s="50" t="s">
        <v>153</v>
      </c>
      <c r="G2935" s="50">
        <v>1</v>
      </c>
      <c r="H2935" s="50" t="s">
        <v>2</v>
      </c>
      <c r="I2935" s="50" t="s">
        <v>290</v>
      </c>
      <c r="J2935" s="51">
        <v>46013</v>
      </c>
      <c r="K2935" s="50" t="s">
        <v>3</v>
      </c>
      <c r="L2935" s="50" t="s">
        <v>80</v>
      </c>
    </row>
    <row r="2936" spans="2:12">
      <c r="B2936" s="50" t="s">
        <v>439</v>
      </c>
      <c r="C2936" s="50" t="s">
        <v>62</v>
      </c>
      <c r="D2936" s="50" t="s">
        <v>27</v>
      </c>
      <c r="E2936" s="50">
        <v>50043320</v>
      </c>
      <c r="F2936" s="50" t="s">
        <v>264</v>
      </c>
      <c r="G2936" s="50">
        <v>1</v>
      </c>
      <c r="H2936" s="50" t="s">
        <v>2</v>
      </c>
      <c r="I2936" s="50" t="s">
        <v>290</v>
      </c>
      <c r="J2936" s="51">
        <v>46013</v>
      </c>
      <c r="K2936" s="50" t="s">
        <v>334</v>
      </c>
      <c r="L2936" s="50" t="s">
        <v>80</v>
      </c>
    </row>
    <row r="2937" spans="2:12">
      <c r="B2937" s="50" t="s">
        <v>407</v>
      </c>
      <c r="C2937" s="50" t="s">
        <v>26</v>
      </c>
      <c r="D2937" s="50" t="s">
        <v>39</v>
      </c>
      <c r="E2937" s="50">
        <v>50032775</v>
      </c>
      <c r="F2937" s="50" t="s">
        <v>307</v>
      </c>
      <c r="G2937" s="50">
        <v>1</v>
      </c>
      <c r="H2937" s="50" t="s">
        <v>2</v>
      </c>
      <c r="I2937" s="50" t="s">
        <v>290</v>
      </c>
      <c r="J2937" s="51">
        <v>46013</v>
      </c>
      <c r="K2937" s="50" t="s">
        <v>3</v>
      </c>
      <c r="L2937" s="50" t="s">
        <v>80</v>
      </c>
    </row>
    <row r="2938" spans="2:12">
      <c r="B2938" s="50" t="s">
        <v>386</v>
      </c>
      <c r="C2938" s="50" t="s">
        <v>62</v>
      </c>
      <c r="D2938" s="50" t="s">
        <v>27</v>
      </c>
      <c r="E2938" s="50">
        <v>50030486</v>
      </c>
      <c r="F2938" s="50" t="s">
        <v>153</v>
      </c>
      <c r="G2938" s="50">
        <v>1</v>
      </c>
      <c r="H2938" s="50" t="s">
        <v>2</v>
      </c>
      <c r="I2938" s="50" t="s">
        <v>290</v>
      </c>
      <c r="J2938" s="51">
        <v>46013</v>
      </c>
      <c r="K2938" s="50" t="s">
        <v>1</v>
      </c>
      <c r="L2938" s="50" t="s">
        <v>80</v>
      </c>
    </row>
    <row r="2939" spans="2:12">
      <c r="B2939" s="50" t="s">
        <v>406</v>
      </c>
      <c r="C2939" s="50" t="s">
        <v>26</v>
      </c>
      <c r="D2939" s="50" t="s">
        <v>27</v>
      </c>
      <c r="E2939" s="50">
        <v>50038549</v>
      </c>
      <c r="F2939" s="50" t="s">
        <v>173</v>
      </c>
      <c r="G2939" s="50">
        <v>1</v>
      </c>
      <c r="H2939" s="50" t="s">
        <v>2</v>
      </c>
      <c r="I2939" s="50" t="s">
        <v>290</v>
      </c>
      <c r="J2939" s="51">
        <v>46013</v>
      </c>
      <c r="K2939" s="50" t="s">
        <v>3</v>
      </c>
      <c r="L2939" s="50" t="s">
        <v>80</v>
      </c>
    </row>
    <row r="2940" spans="2:12">
      <c r="B2940" s="50" t="s">
        <v>390</v>
      </c>
      <c r="C2940" s="50" t="s">
        <v>56</v>
      </c>
      <c r="D2940" s="50" t="s">
        <v>27</v>
      </c>
      <c r="E2940" s="50">
        <v>50036298</v>
      </c>
      <c r="F2940" s="50" t="s">
        <v>102</v>
      </c>
      <c r="G2940" s="50">
        <v>1</v>
      </c>
      <c r="H2940" s="50" t="s">
        <v>2</v>
      </c>
      <c r="I2940" s="50" t="s">
        <v>290</v>
      </c>
      <c r="J2940" s="51">
        <v>46013</v>
      </c>
      <c r="K2940" s="50" t="s">
        <v>3</v>
      </c>
      <c r="L2940" s="50"/>
    </row>
    <row r="2941" spans="2:12">
      <c r="B2941" s="50" t="s">
        <v>410</v>
      </c>
      <c r="C2941" s="50" t="s">
        <v>51</v>
      </c>
      <c r="D2941" s="50" t="s">
        <v>27</v>
      </c>
      <c r="E2941" s="50">
        <v>50036332</v>
      </c>
      <c r="F2941" s="50" t="s">
        <v>188</v>
      </c>
      <c r="G2941" s="50">
        <v>1</v>
      </c>
      <c r="H2941" s="50" t="s">
        <v>2</v>
      </c>
      <c r="I2941" s="50" t="s">
        <v>290</v>
      </c>
      <c r="J2941" s="51">
        <v>46013</v>
      </c>
      <c r="K2941" s="50" t="s">
        <v>3</v>
      </c>
      <c r="L2941" s="50" t="s">
        <v>80</v>
      </c>
    </row>
    <row r="2942" spans="2:12">
      <c r="B2942" s="50" t="s">
        <v>478</v>
      </c>
      <c r="C2942" s="50" t="s">
        <v>51</v>
      </c>
      <c r="D2942" s="50" t="s">
        <v>27</v>
      </c>
      <c r="E2942" s="50">
        <v>50037902</v>
      </c>
      <c r="F2942" s="50" t="s">
        <v>179</v>
      </c>
      <c r="G2942" s="50">
        <v>1</v>
      </c>
      <c r="H2942" s="50" t="s">
        <v>2</v>
      </c>
      <c r="I2942" s="50" t="s">
        <v>290</v>
      </c>
      <c r="J2942" s="51">
        <v>46013</v>
      </c>
      <c r="K2942" s="50" t="s">
        <v>3</v>
      </c>
      <c r="L2942" s="50" t="s">
        <v>80</v>
      </c>
    </row>
    <row r="2943" spans="2:12">
      <c r="B2943" s="50" t="s">
        <v>445</v>
      </c>
      <c r="C2943" s="50" t="s">
        <v>51</v>
      </c>
      <c r="D2943" s="50" t="s">
        <v>41</v>
      </c>
      <c r="E2943" s="50">
        <v>50041195</v>
      </c>
      <c r="F2943" s="50" t="s">
        <v>206</v>
      </c>
      <c r="G2943" s="50">
        <v>1</v>
      </c>
      <c r="H2943" s="50" t="s">
        <v>2</v>
      </c>
      <c r="I2943" s="50" t="s">
        <v>290</v>
      </c>
      <c r="J2943" s="51">
        <v>46013</v>
      </c>
      <c r="K2943" s="50" t="s">
        <v>324</v>
      </c>
      <c r="L2943" s="50" t="s">
        <v>80</v>
      </c>
    </row>
    <row r="2944" spans="2:12">
      <c r="B2944" s="50" t="s">
        <v>316</v>
      </c>
      <c r="C2944" s="50" t="s">
        <v>51</v>
      </c>
      <c r="D2944" s="50" t="s">
        <v>27</v>
      </c>
      <c r="E2944" s="50">
        <v>50037902</v>
      </c>
      <c r="F2944" s="50" t="s">
        <v>179</v>
      </c>
      <c r="G2944" s="50">
        <v>1</v>
      </c>
      <c r="H2944" s="50" t="s">
        <v>2</v>
      </c>
      <c r="I2944" s="50" t="s">
        <v>290</v>
      </c>
      <c r="J2944" s="51">
        <v>46013</v>
      </c>
      <c r="K2944" s="50" t="s">
        <v>3</v>
      </c>
      <c r="L2944" s="50" t="s">
        <v>80</v>
      </c>
    </row>
    <row r="2945" spans="2:12">
      <c r="B2945" s="50" t="s">
        <v>474</v>
      </c>
      <c r="C2945" s="50" t="s">
        <v>51</v>
      </c>
      <c r="D2945" s="50" t="s">
        <v>27</v>
      </c>
      <c r="E2945" s="50">
        <v>50036299</v>
      </c>
      <c r="F2945" s="50" t="s">
        <v>163</v>
      </c>
      <c r="G2945" s="50">
        <v>1</v>
      </c>
      <c r="H2945" s="50" t="s">
        <v>2</v>
      </c>
      <c r="I2945" s="50" t="s">
        <v>290</v>
      </c>
      <c r="J2945" s="51">
        <v>46013</v>
      </c>
      <c r="K2945" s="50" t="s">
        <v>3</v>
      </c>
      <c r="L2945" s="50" t="s">
        <v>80</v>
      </c>
    </row>
    <row r="2946" spans="2:12">
      <c r="B2946" s="50" t="s">
        <v>316</v>
      </c>
      <c r="C2946" s="50" t="s">
        <v>51</v>
      </c>
      <c r="D2946" s="50" t="s">
        <v>27</v>
      </c>
      <c r="E2946" s="50">
        <v>50037902</v>
      </c>
      <c r="F2946" s="50" t="s">
        <v>179</v>
      </c>
      <c r="G2946" s="50">
        <v>1</v>
      </c>
      <c r="H2946" s="50" t="s">
        <v>2</v>
      </c>
      <c r="I2946" s="50" t="s">
        <v>290</v>
      </c>
      <c r="J2946" s="51">
        <v>46013</v>
      </c>
      <c r="K2946" s="50" t="s">
        <v>3</v>
      </c>
      <c r="L2946" s="50" t="s">
        <v>80</v>
      </c>
    </row>
    <row r="2947" spans="2:12">
      <c r="B2947" s="50" t="s">
        <v>413</v>
      </c>
      <c r="C2947" s="50" t="s">
        <v>51</v>
      </c>
      <c r="D2947" s="50" t="s">
        <v>39</v>
      </c>
      <c r="E2947" s="50">
        <v>50043471</v>
      </c>
      <c r="F2947" s="50" t="s">
        <v>257</v>
      </c>
      <c r="G2947" s="50">
        <v>1</v>
      </c>
      <c r="H2947" s="50" t="s">
        <v>2</v>
      </c>
      <c r="I2947" s="50" t="s">
        <v>290</v>
      </c>
      <c r="J2947" s="51">
        <v>46013</v>
      </c>
      <c r="K2947" s="50" t="s">
        <v>324</v>
      </c>
      <c r="L2947" s="50" t="s">
        <v>80</v>
      </c>
    </row>
    <row r="2948" spans="2:12">
      <c r="B2948" s="50" t="s">
        <v>444</v>
      </c>
      <c r="C2948" s="50" t="s">
        <v>51</v>
      </c>
      <c r="D2948" s="50" t="s">
        <v>27</v>
      </c>
      <c r="E2948" s="50">
        <v>50038517</v>
      </c>
      <c r="F2948" s="50" t="s">
        <v>181</v>
      </c>
      <c r="G2948" s="50">
        <v>1</v>
      </c>
      <c r="H2948" s="50" t="s">
        <v>2</v>
      </c>
      <c r="I2948" s="50" t="s">
        <v>290</v>
      </c>
      <c r="J2948" s="51">
        <v>46013</v>
      </c>
      <c r="K2948" s="50" t="s">
        <v>3</v>
      </c>
      <c r="L2948" s="50" t="s">
        <v>80</v>
      </c>
    </row>
    <row r="2949" spans="2:12">
      <c r="B2949" s="50" t="s">
        <v>316</v>
      </c>
      <c r="C2949" s="50" t="s">
        <v>56</v>
      </c>
      <c r="D2949" s="50" t="s">
        <v>27</v>
      </c>
      <c r="E2949" s="50">
        <v>50037902</v>
      </c>
      <c r="F2949" s="50" t="s">
        <v>179</v>
      </c>
      <c r="G2949" s="50">
        <v>1</v>
      </c>
      <c r="H2949" s="50" t="s">
        <v>2</v>
      </c>
      <c r="I2949" s="50" t="s">
        <v>290</v>
      </c>
      <c r="J2949" s="51">
        <v>46013</v>
      </c>
      <c r="K2949" s="50" t="s">
        <v>3</v>
      </c>
      <c r="L2949" s="50" t="s">
        <v>80</v>
      </c>
    </row>
    <row r="2950" spans="2:12">
      <c r="B2950" s="50" t="s">
        <v>481</v>
      </c>
      <c r="C2950" s="50" t="s">
        <v>56</v>
      </c>
      <c r="D2950" s="50" t="s">
        <v>27</v>
      </c>
      <c r="E2950" s="50">
        <v>50020623</v>
      </c>
      <c r="F2950" s="50" t="s">
        <v>217</v>
      </c>
      <c r="G2950" s="50">
        <v>1</v>
      </c>
      <c r="H2950" s="50" t="s">
        <v>2</v>
      </c>
      <c r="I2950" s="50" t="s">
        <v>290</v>
      </c>
      <c r="J2950" s="51">
        <v>46013</v>
      </c>
      <c r="K2950" s="50" t="s">
        <v>3</v>
      </c>
      <c r="L2950" s="50" t="s">
        <v>80</v>
      </c>
    </row>
    <row r="2951" spans="2:12">
      <c r="B2951" s="50" t="s">
        <v>413</v>
      </c>
      <c r="C2951" s="50" t="s">
        <v>51</v>
      </c>
      <c r="D2951" s="50" t="s">
        <v>39</v>
      </c>
      <c r="E2951" s="50">
        <v>50038841</v>
      </c>
      <c r="F2951" s="50" t="s">
        <v>180</v>
      </c>
      <c r="G2951" s="50">
        <v>1</v>
      </c>
      <c r="H2951" s="50" t="s">
        <v>2</v>
      </c>
      <c r="I2951" s="50" t="s">
        <v>290</v>
      </c>
      <c r="J2951" s="51">
        <v>46013</v>
      </c>
      <c r="K2951" s="50" t="s">
        <v>3</v>
      </c>
      <c r="L2951" s="50" t="s">
        <v>80</v>
      </c>
    </row>
    <row r="2952" spans="2:12">
      <c r="B2952" s="50" t="s">
        <v>406</v>
      </c>
      <c r="C2952" s="50" t="s">
        <v>26</v>
      </c>
      <c r="D2952" s="50" t="s">
        <v>27</v>
      </c>
      <c r="E2952" s="50">
        <v>50038549</v>
      </c>
      <c r="F2952" s="50" t="s">
        <v>173</v>
      </c>
      <c r="G2952" s="50">
        <v>1</v>
      </c>
      <c r="H2952" s="50" t="s">
        <v>2</v>
      </c>
      <c r="I2952" s="50" t="s">
        <v>290</v>
      </c>
      <c r="J2952" s="51">
        <v>46013</v>
      </c>
      <c r="K2952" s="50" t="s">
        <v>3</v>
      </c>
      <c r="L2952" s="50" t="s">
        <v>80</v>
      </c>
    </row>
    <row r="2953" spans="2:12">
      <c r="B2953" s="50" t="s">
        <v>444</v>
      </c>
      <c r="C2953" s="50" t="s">
        <v>51</v>
      </c>
      <c r="D2953" s="50" t="s">
        <v>27</v>
      </c>
      <c r="E2953" s="50">
        <v>50038517</v>
      </c>
      <c r="F2953" s="50" t="s">
        <v>181</v>
      </c>
      <c r="G2953" s="50">
        <v>1</v>
      </c>
      <c r="H2953" s="50" t="s">
        <v>2</v>
      </c>
      <c r="I2953" s="50" t="s">
        <v>290</v>
      </c>
      <c r="J2953" s="51">
        <v>46013</v>
      </c>
      <c r="K2953" s="50" t="s">
        <v>1</v>
      </c>
      <c r="L2953" s="50" t="s">
        <v>80</v>
      </c>
    </row>
    <row r="2954" spans="2:12">
      <c r="B2954" s="50" t="s">
        <v>415</v>
      </c>
      <c r="C2954" s="50" t="s">
        <v>51</v>
      </c>
      <c r="D2954" s="50" t="s">
        <v>27</v>
      </c>
      <c r="E2954" s="50">
        <v>50003173</v>
      </c>
      <c r="F2954" s="50" t="s">
        <v>74</v>
      </c>
      <c r="G2954" s="50">
        <v>1</v>
      </c>
      <c r="H2954" s="50" t="s">
        <v>2</v>
      </c>
      <c r="I2954" s="50" t="s">
        <v>293</v>
      </c>
      <c r="J2954" s="51">
        <v>46010</v>
      </c>
      <c r="K2954" s="50" t="s">
        <v>1</v>
      </c>
      <c r="L2954" s="50" t="s">
        <v>80</v>
      </c>
    </row>
    <row r="2955" spans="2:12">
      <c r="B2955" s="50" t="s">
        <v>483</v>
      </c>
      <c r="C2955" s="50" t="s">
        <v>62</v>
      </c>
      <c r="D2955" s="50" t="s">
        <v>27</v>
      </c>
      <c r="E2955" s="50">
        <v>50037892</v>
      </c>
      <c r="F2955" s="50" t="s">
        <v>178</v>
      </c>
      <c r="G2955" s="50">
        <v>1</v>
      </c>
      <c r="H2955" s="50" t="s">
        <v>2</v>
      </c>
      <c r="I2955" s="50" t="s">
        <v>292</v>
      </c>
      <c r="J2955" s="51">
        <v>46010</v>
      </c>
      <c r="K2955" s="50" t="s">
        <v>1</v>
      </c>
      <c r="L2955" s="50" t="s">
        <v>80</v>
      </c>
    </row>
    <row r="2956" spans="2:12">
      <c r="B2956" s="50" t="s">
        <v>437</v>
      </c>
      <c r="C2956" s="50" t="s">
        <v>51</v>
      </c>
      <c r="D2956" s="50" t="s">
        <v>41</v>
      </c>
      <c r="E2956" s="50">
        <v>50032775</v>
      </c>
      <c r="F2956" s="50" t="s">
        <v>307</v>
      </c>
      <c r="G2956" s="50">
        <v>1</v>
      </c>
      <c r="H2956" s="50" t="s">
        <v>2</v>
      </c>
      <c r="I2956" s="50" t="s">
        <v>293</v>
      </c>
      <c r="J2956" s="51">
        <v>46010</v>
      </c>
      <c r="K2956" s="50" t="s">
        <v>1</v>
      </c>
      <c r="L2956" s="50" t="s">
        <v>80</v>
      </c>
    </row>
    <row r="2957" spans="2:12">
      <c r="B2957" s="50" t="s">
        <v>465</v>
      </c>
      <c r="C2957" s="50" t="s">
        <v>26</v>
      </c>
      <c r="D2957" s="50" t="s">
        <v>27</v>
      </c>
      <c r="E2957" s="50">
        <v>50036293</v>
      </c>
      <c r="F2957" s="50" t="s">
        <v>130</v>
      </c>
      <c r="G2957" s="50">
        <v>1</v>
      </c>
      <c r="H2957" s="50" t="s">
        <v>2</v>
      </c>
      <c r="I2957" s="50" t="s">
        <v>292</v>
      </c>
      <c r="J2957" s="51">
        <v>46010</v>
      </c>
      <c r="K2957" s="50" t="s">
        <v>3</v>
      </c>
      <c r="L2957" s="50" t="s">
        <v>80</v>
      </c>
    </row>
    <row r="2958" spans="2:12">
      <c r="B2958" s="50" t="s">
        <v>413</v>
      </c>
      <c r="C2958" s="50" t="s">
        <v>51</v>
      </c>
      <c r="D2958" s="50" t="s">
        <v>39</v>
      </c>
      <c r="E2958" s="50">
        <v>50038517</v>
      </c>
      <c r="F2958" s="50" t="s">
        <v>181</v>
      </c>
      <c r="G2958" s="50">
        <v>1</v>
      </c>
      <c r="H2958" s="50" t="s">
        <v>2</v>
      </c>
      <c r="I2958" s="50" t="s">
        <v>292</v>
      </c>
      <c r="J2958" s="51">
        <v>46010</v>
      </c>
      <c r="K2958" s="50" t="s">
        <v>1</v>
      </c>
      <c r="L2958" s="50" t="s">
        <v>80</v>
      </c>
    </row>
    <row r="2959" spans="2:12">
      <c r="B2959" s="50" t="s">
        <v>474</v>
      </c>
      <c r="C2959" s="50" t="s">
        <v>51</v>
      </c>
      <c r="D2959" s="50" t="s">
        <v>27</v>
      </c>
      <c r="E2959" s="50">
        <v>50038517</v>
      </c>
      <c r="F2959" s="50" t="s">
        <v>181</v>
      </c>
      <c r="G2959" s="50">
        <v>1</v>
      </c>
      <c r="H2959" s="50" t="s">
        <v>2</v>
      </c>
      <c r="I2959" s="50" t="s">
        <v>292</v>
      </c>
      <c r="J2959" s="51">
        <v>46010</v>
      </c>
      <c r="K2959" s="50" t="s">
        <v>1</v>
      </c>
      <c r="L2959" s="50" t="s">
        <v>80</v>
      </c>
    </row>
    <row r="2960" spans="2:12">
      <c r="B2960" s="50" t="s">
        <v>389</v>
      </c>
      <c r="C2960" s="50" t="s">
        <v>56</v>
      </c>
      <c r="D2960" s="50" t="s">
        <v>27</v>
      </c>
      <c r="E2960" s="50">
        <v>50029865</v>
      </c>
      <c r="F2960" s="50" t="s">
        <v>162</v>
      </c>
      <c r="G2960" s="50">
        <v>1</v>
      </c>
      <c r="H2960" s="50" t="s">
        <v>2</v>
      </c>
      <c r="I2960" s="50" t="s">
        <v>292</v>
      </c>
      <c r="J2960" s="51">
        <v>46010</v>
      </c>
      <c r="K2960" s="50" t="s">
        <v>1</v>
      </c>
      <c r="L2960" s="50" t="s">
        <v>80</v>
      </c>
    </row>
    <row r="2961" spans="2:12">
      <c r="B2961" s="50" t="s">
        <v>389</v>
      </c>
      <c r="C2961" s="50" t="s">
        <v>56</v>
      </c>
      <c r="D2961" s="50" t="s">
        <v>27</v>
      </c>
      <c r="E2961" s="50">
        <v>50041195</v>
      </c>
      <c r="F2961" s="50" t="s">
        <v>206</v>
      </c>
      <c r="G2961" s="50">
        <v>1</v>
      </c>
      <c r="H2961" s="50" t="s">
        <v>2</v>
      </c>
      <c r="I2961" s="50" t="s">
        <v>292</v>
      </c>
      <c r="J2961" s="51">
        <v>46010</v>
      </c>
      <c r="K2961" s="50" t="s">
        <v>3</v>
      </c>
      <c r="L2961" s="50" t="s">
        <v>80</v>
      </c>
    </row>
    <row r="2962" spans="2:12">
      <c r="B2962" s="50" t="s">
        <v>415</v>
      </c>
      <c r="C2962" s="50" t="s">
        <v>51</v>
      </c>
      <c r="D2962" s="50" t="s">
        <v>27</v>
      </c>
      <c r="E2962" s="50">
        <v>50003173</v>
      </c>
      <c r="F2962" s="50" t="s">
        <v>74</v>
      </c>
      <c r="G2962" s="50">
        <v>1</v>
      </c>
      <c r="H2962" s="50" t="s">
        <v>2</v>
      </c>
      <c r="I2962" s="50" t="s">
        <v>292</v>
      </c>
      <c r="J2962" s="51">
        <v>46010</v>
      </c>
      <c r="K2962" s="50" t="s">
        <v>3</v>
      </c>
      <c r="L2962" s="50" t="s">
        <v>80</v>
      </c>
    </row>
    <row r="2963" spans="2:12">
      <c r="B2963" s="50" t="s">
        <v>389</v>
      </c>
      <c r="C2963" s="50" t="s">
        <v>56</v>
      </c>
      <c r="D2963" s="50" t="s">
        <v>27</v>
      </c>
      <c r="E2963" s="50">
        <v>50029865</v>
      </c>
      <c r="F2963" s="50" t="s">
        <v>162</v>
      </c>
      <c r="G2963" s="50">
        <v>1</v>
      </c>
      <c r="H2963" s="50" t="s">
        <v>2</v>
      </c>
      <c r="I2963" s="50" t="s">
        <v>292</v>
      </c>
      <c r="J2963" s="51">
        <v>46010</v>
      </c>
      <c r="K2963" s="50" t="s">
        <v>3</v>
      </c>
      <c r="L2963" s="50" t="s">
        <v>80</v>
      </c>
    </row>
    <row r="2964" spans="2:12">
      <c r="B2964" s="50" t="s">
        <v>389</v>
      </c>
      <c r="C2964" s="50" t="s">
        <v>56</v>
      </c>
      <c r="D2964" s="50" t="s">
        <v>27</v>
      </c>
      <c r="E2964" s="50">
        <v>50041195</v>
      </c>
      <c r="F2964" s="50" t="s">
        <v>206</v>
      </c>
      <c r="G2964" s="50">
        <v>1</v>
      </c>
      <c r="H2964" s="50" t="s">
        <v>2</v>
      </c>
      <c r="I2964" s="50" t="s">
        <v>292</v>
      </c>
      <c r="J2964" s="51">
        <v>46010</v>
      </c>
      <c r="K2964" s="50" t="s">
        <v>3</v>
      </c>
      <c r="L2964" s="50" t="s">
        <v>80</v>
      </c>
    </row>
    <row r="2965" spans="2:12">
      <c r="B2965" s="50" t="s">
        <v>483</v>
      </c>
      <c r="C2965" s="50" t="s">
        <v>62</v>
      </c>
      <c r="D2965" s="50" t="s">
        <v>27</v>
      </c>
      <c r="E2965" s="50">
        <v>50037892</v>
      </c>
      <c r="F2965" s="50" t="s">
        <v>178</v>
      </c>
      <c r="G2965" s="50">
        <v>1</v>
      </c>
      <c r="H2965" s="50" t="s">
        <v>2</v>
      </c>
      <c r="I2965" s="50" t="s">
        <v>292</v>
      </c>
      <c r="J2965" s="51">
        <v>46010</v>
      </c>
      <c r="K2965" s="50" t="s">
        <v>1</v>
      </c>
      <c r="L2965" s="50" t="s">
        <v>80</v>
      </c>
    </row>
    <row r="2966" spans="2:12">
      <c r="B2966" s="50" t="s">
        <v>439</v>
      </c>
      <c r="C2966" s="50" t="s">
        <v>62</v>
      </c>
      <c r="D2966" s="50" t="s">
        <v>27</v>
      </c>
      <c r="E2966" s="50">
        <v>50037892</v>
      </c>
      <c r="F2966" s="50" t="s">
        <v>178</v>
      </c>
      <c r="G2966" s="50">
        <v>1</v>
      </c>
      <c r="H2966" s="50" t="s">
        <v>2</v>
      </c>
      <c r="I2966" s="50" t="s">
        <v>292</v>
      </c>
      <c r="J2966" s="51">
        <v>46010</v>
      </c>
      <c r="K2966" s="50" t="s">
        <v>1</v>
      </c>
      <c r="L2966" s="50" t="s">
        <v>80</v>
      </c>
    </row>
    <row r="2967" spans="2:12">
      <c r="B2967" s="50" t="s">
        <v>439</v>
      </c>
      <c r="C2967" s="50" t="s">
        <v>62</v>
      </c>
      <c r="D2967" s="50" t="s">
        <v>27</v>
      </c>
      <c r="E2967" s="50">
        <v>50036086</v>
      </c>
      <c r="F2967" s="50" t="s">
        <v>28</v>
      </c>
      <c r="G2967" s="50">
        <v>1</v>
      </c>
      <c r="H2967" s="50" t="s">
        <v>2</v>
      </c>
      <c r="I2967" s="50" t="s">
        <v>292</v>
      </c>
      <c r="J2967" s="51">
        <v>46010</v>
      </c>
      <c r="K2967" s="50" t="s">
        <v>1</v>
      </c>
      <c r="L2967" s="50" t="s">
        <v>80</v>
      </c>
    </row>
    <row r="2968" spans="2:12">
      <c r="B2968" s="50" t="s">
        <v>59</v>
      </c>
      <c r="C2968" s="50" t="s">
        <v>56</v>
      </c>
      <c r="D2968" s="50" t="s">
        <v>41</v>
      </c>
      <c r="E2968" s="50">
        <v>50043150</v>
      </c>
      <c r="F2968" s="50" t="s">
        <v>259</v>
      </c>
      <c r="G2968" s="50">
        <v>1</v>
      </c>
      <c r="H2968" s="50" t="s">
        <v>2</v>
      </c>
      <c r="I2968" s="50" t="s">
        <v>292</v>
      </c>
      <c r="J2968" s="51">
        <v>46010</v>
      </c>
      <c r="K2968" s="50" t="s">
        <v>1</v>
      </c>
      <c r="L2968" s="50" t="s">
        <v>80</v>
      </c>
    </row>
    <row r="2969" spans="2:12">
      <c r="B2969" s="50" t="s">
        <v>444</v>
      </c>
      <c r="C2969" s="50" t="s">
        <v>51</v>
      </c>
      <c r="D2969" s="50" t="s">
        <v>27</v>
      </c>
      <c r="E2969" s="50">
        <v>50043471</v>
      </c>
      <c r="F2969" s="50" t="s">
        <v>257</v>
      </c>
      <c r="G2969" s="50">
        <v>1</v>
      </c>
      <c r="H2969" s="50" t="s">
        <v>2</v>
      </c>
      <c r="I2969" s="50" t="s">
        <v>288</v>
      </c>
      <c r="J2969" s="51">
        <v>46010</v>
      </c>
      <c r="K2969" s="50" t="s">
        <v>1</v>
      </c>
      <c r="L2969" s="50" t="s">
        <v>80</v>
      </c>
    </row>
    <row r="2970" spans="2:12">
      <c r="B2970" s="50" t="s">
        <v>345</v>
      </c>
      <c r="C2970" s="50" t="s">
        <v>56</v>
      </c>
      <c r="D2970" s="50" t="s">
        <v>27</v>
      </c>
      <c r="E2970" s="50">
        <v>50038549</v>
      </c>
      <c r="F2970" s="50" t="s">
        <v>173</v>
      </c>
      <c r="G2970" s="50">
        <v>1</v>
      </c>
      <c r="H2970" s="50" t="s">
        <v>2</v>
      </c>
      <c r="I2970" s="50" t="s">
        <v>288</v>
      </c>
      <c r="J2970" s="51">
        <v>46010</v>
      </c>
      <c r="K2970" s="50" t="s">
        <v>1</v>
      </c>
      <c r="L2970" s="50" t="s">
        <v>80</v>
      </c>
    </row>
    <row r="2971" spans="2:12">
      <c r="B2971" s="50" t="s">
        <v>345</v>
      </c>
      <c r="C2971" s="50" t="s">
        <v>56</v>
      </c>
      <c r="D2971" s="50" t="s">
        <v>27</v>
      </c>
      <c r="E2971" s="50">
        <v>50036255</v>
      </c>
      <c r="F2971" s="50" t="s">
        <v>120</v>
      </c>
      <c r="G2971" s="50">
        <v>1</v>
      </c>
      <c r="H2971" s="50" t="s">
        <v>2</v>
      </c>
      <c r="I2971" s="50" t="s">
        <v>288</v>
      </c>
      <c r="J2971" s="51">
        <v>46010</v>
      </c>
      <c r="K2971" s="50" t="s">
        <v>1</v>
      </c>
      <c r="L2971" s="50" t="s">
        <v>80</v>
      </c>
    </row>
    <row r="2972" spans="2:12">
      <c r="B2972" s="50" t="s">
        <v>463</v>
      </c>
      <c r="C2972" s="50" t="s">
        <v>56</v>
      </c>
      <c r="D2972" s="50" t="s">
        <v>27</v>
      </c>
      <c r="E2972" s="50">
        <v>50003297</v>
      </c>
      <c r="F2972" s="50" t="s">
        <v>158</v>
      </c>
      <c r="G2972" s="50">
        <v>1</v>
      </c>
      <c r="H2972" s="50" t="s">
        <v>2</v>
      </c>
      <c r="I2972" s="50" t="s">
        <v>288</v>
      </c>
      <c r="J2972" s="51">
        <v>46010</v>
      </c>
      <c r="K2972" s="50" t="s">
        <v>3</v>
      </c>
      <c r="L2972" s="50" t="s">
        <v>80</v>
      </c>
    </row>
    <row r="2973" spans="2:12">
      <c r="B2973" s="50" t="s">
        <v>463</v>
      </c>
      <c r="C2973" s="50" t="s">
        <v>56</v>
      </c>
      <c r="D2973" s="50" t="s">
        <v>27</v>
      </c>
      <c r="E2973" s="50">
        <v>50003297</v>
      </c>
      <c r="F2973" s="50" t="s">
        <v>158</v>
      </c>
      <c r="G2973" s="50">
        <v>1</v>
      </c>
      <c r="H2973" s="50" t="s">
        <v>2</v>
      </c>
      <c r="I2973" s="50" t="s">
        <v>288</v>
      </c>
      <c r="J2973" s="51">
        <v>46010</v>
      </c>
      <c r="K2973" s="50" t="s">
        <v>3</v>
      </c>
      <c r="L2973" s="50" t="s">
        <v>80</v>
      </c>
    </row>
    <row r="2974" spans="2:12">
      <c r="B2974" s="50" t="s">
        <v>59</v>
      </c>
      <c r="C2974" s="50" t="s">
        <v>56</v>
      </c>
      <c r="D2974" s="50" t="s">
        <v>41</v>
      </c>
      <c r="E2974" s="50">
        <v>50043150</v>
      </c>
      <c r="F2974" s="50" t="s">
        <v>259</v>
      </c>
      <c r="G2974" s="50">
        <v>1</v>
      </c>
      <c r="H2974" s="50" t="s">
        <v>2</v>
      </c>
      <c r="I2974" s="50" t="s">
        <v>288</v>
      </c>
      <c r="J2974" s="51">
        <v>46010</v>
      </c>
      <c r="K2974" s="50" t="s">
        <v>3</v>
      </c>
      <c r="L2974" s="50" t="s">
        <v>80</v>
      </c>
    </row>
    <row r="2975" spans="2:12">
      <c r="B2975" s="50" t="s">
        <v>474</v>
      </c>
      <c r="C2975" s="50" t="s">
        <v>51</v>
      </c>
      <c r="D2975" s="50" t="s">
        <v>27</v>
      </c>
      <c r="E2975" s="50">
        <v>50038517</v>
      </c>
      <c r="F2975" s="50" t="s">
        <v>181</v>
      </c>
      <c r="G2975" s="50">
        <v>1</v>
      </c>
      <c r="H2975" s="50" t="s">
        <v>2</v>
      </c>
      <c r="I2975" s="50" t="s">
        <v>291</v>
      </c>
      <c r="J2975" s="51">
        <v>46010</v>
      </c>
      <c r="K2975" s="50" t="s">
        <v>1</v>
      </c>
      <c r="L2975" s="50" t="s">
        <v>80</v>
      </c>
    </row>
    <row r="2976" spans="2:12">
      <c r="B2976" s="50" t="s">
        <v>347</v>
      </c>
      <c r="C2976" s="50" t="s">
        <v>26</v>
      </c>
      <c r="D2976" s="50" t="s">
        <v>41</v>
      </c>
      <c r="E2976" s="50">
        <v>50039718</v>
      </c>
      <c r="F2976" s="50" t="s">
        <v>149</v>
      </c>
      <c r="G2976" s="50">
        <v>1</v>
      </c>
      <c r="H2976" s="50" t="s">
        <v>2</v>
      </c>
      <c r="I2976" s="50" t="s">
        <v>291</v>
      </c>
      <c r="J2976" s="51">
        <v>46010</v>
      </c>
      <c r="K2976" s="50" t="s">
        <v>1</v>
      </c>
      <c r="L2976" s="50" t="s">
        <v>80</v>
      </c>
    </row>
    <row r="2977" spans="2:12">
      <c r="B2977" s="50" t="s">
        <v>347</v>
      </c>
      <c r="C2977" s="50" t="s">
        <v>26</v>
      </c>
      <c r="D2977" s="50" t="s">
        <v>41</v>
      </c>
      <c r="E2977" s="50">
        <v>50032781</v>
      </c>
      <c r="F2977" s="50" t="s">
        <v>237</v>
      </c>
      <c r="G2977" s="50">
        <v>1</v>
      </c>
      <c r="H2977" s="50" t="s">
        <v>2</v>
      </c>
      <c r="I2977" s="50" t="s">
        <v>291</v>
      </c>
      <c r="J2977" s="51">
        <v>46010</v>
      </c>
      <c r="K2977" s="50" t="s">
        <v>3</v>
      </c>
      <c r="L2977" s="50" t="s">
        <v>80</v>
      </c>
    </row>
    <row r="2978" spans="2:12">
      <c r="B2978" s="50" t="s">
        <v>437</v>
      </c>
      <c r="C2978" s="50" t="s">
        <v>51</v>
      </c>
      <c r="D2978" s="50" t="s">
        <v>41</v>
      </c>
      <c r="E2978" s="50">
        <v>50032775</v>
      </c>
      <c r="F2978" s="50" t="s">
        <v>307</v>
      </c>
      <c r="G2978" s="50">
        <v>1</v>
      </c>
      <c r="H2978" s="50" t="s">
        <v>2</v>
      </c>
      <c r="I2978" s="50" t="s">
        <v>291</v>
      </c>
      <c r="J2978" s="51">
        <v>46010</v>
      </c>
      <c r="K2978" s="50" t="s">
        <v>3</v>
      </c>
      <c r="L2978" s="50" t="s">
        <v>80</v>
      </c>
    </row>
    <row r="2979" spans="2:12">
      <c r="B2979" s="50" t="s">
        <v>345</v>
      </c>
      <c r="C2979" s="50" t="s">
        <v>56</v>
      </c>
      <c r="D2979" s="50" t="s">
        <v>27</v>
      </c>
      <c r="E2979" s="50">
        <v>50038549</v>
      </c>
      <c r="F2979" s="50" t="s">
        <v>173</v>
      </c>
      <c r="G2979" s="50">
        <v>1</v>
      </c>
      <c r="H2979" s="50" t="s">
        <v>2</v>
      </c>
      <c r="I2979" s="50" t="s">
        <v>291</v>
      </c>
      <c r="J2979" s="51">
        <v>46010</v>
      </c>
      <c r="K2979" s="50" t="s">
        <v>3</v>
      </c>
      <c r="L2979" s="50" t="s">
        <v>80</v>
      </c>
    </row>
    <row r="2980" spans="2:12">
      <c r="B2980" s="50" t="s">
        <v>345</v>
      </c>
      <c r="C2980" s="50" t="s">
        <v>56</v>
      </c>
      <c r="D2980" s="50" t="s">
        <v>27</v>
      </c>
      <c r="E2980" s="50">
        <v>50036255</v>
      </c>
      <c r="F2980" s="50" t="s">
        <v>120</v>
      </c>
      <c r="G2980" s="50">
        <v>1</v>
      </c>
      <c r="H2980" s="50" t="s">
        <v>2</v>
      </c>
      <c r="I2980" s="50" t="s">
        <v>291</v>
      </c>
      <c r="J2980" s="51">
        <v>46010</v>
      </c>
      <c r="K2980" s="50" t="s">
        <v>3</v>
      </c>
      <c r="L2980" s="50" t="s">
        <v>80</v>
      </c>
    </row>
    <row r="2981" spans="2:12">
      <c r="B2981" s="50" t="s">
        <v>427</v>
      </c>
      <c r="C2981" s="50" t="s">
        <v>26</v>
      </c>
      <c r="D2981" s="50" t="s">
        <v>27</v>
      </c>
      <c r="E2981" s="50">
        <v>50037902</v>
      </c>
      <c r="F2981" s="50" t="s">
        <v>179</v>
      </c>
      <c r="G2981" s="50">
        <v>1</v>
      </c>
      <c r="H2981" s="50" t="s">
        <v>2</v>
      </c>
      <c r="I2981" s="50" t="s">
        <v>291</v>
      </c>
      <c r="J2981" s="51">
        <v>46010</v>
      </c>
      <c r="K2981" s="50" t="s">
        <v>3</v>
      </c>
      <c r="L2981" s="50" t="s">
        <v>80</v>
      </c>
    </row>
    <row r="2982" spans="2:12">
      <c r="B2982" s="50" t="s">
        <v>465</v>
      </c>
      <c r="C2982" s="50" t="s">
        <v>26</v>
      </c>
      <c r="D2982" s="50" t="s">
        <v>27</v>
      </c>
      <c r="E2982" s="50">
        <v>50036293</v>
      </c>
      <c r="F2982" s="50" t="s">
        <v>130</v>
      </c>
      <c r="G2982" s="50">
        <v>1</v>
      </c>
      <c r="H2982" s="50" t="s">
        <v>2</v>
      </c>
      <c r="I2982" s="50" t="s">
        <v>291</v>
      </c>
      <c r="J2982" s="51">
        <v>46010</v>
      </c>
      <c r="K2982" s="50" t="s">
        <v>1</v>
      </c>
      <c r="L2982" s="50" t="s">
        <v>80</v>
      </c>
    </row>
    <row r="2983" spans="2:12">
      <c r="B2983" s="50" t="s">
        <v>386</v>
      </c>
      <c r="C2983" s="50" t="s">
        <v>26</v>
      </c>
      <c r="D2983" s="50" t="s">
        <v>27</v>
      </c>
      <c r="E2983" s="50">
        <v>50037902</v>
      </c>
      <c r="F2983" s="50" t="s">
        <v>179</v>
      </c>
      <c r="G2983" s="50">
        <v>1</v>
      </c>
      <c r="H2983" s="50" t="s">
        <v>2</v>
      </c>
      <c r="I2983" s="50" t="s">
        <v>291</v>
      </c>
      <c r="J2983" s="51">
        <v>46010</v>
      </c>
      <c r="K2983" s="50" t="s">
        <v>3</v>
      </c>
      <c r="L2983" s="50" t="s">
        <v>80</v>
      </c>
    </row>
    <row r="2984" spans="2:12">
      <c r="B2984" s="50" t="s">
        <v>347</v>
      </c>
      <c r="C2984" s="50" t="s">
        <v>26</v>
      </c>
      <c r="D2984" s="50" t="s">
        <v>41</v>
      </c>
      <c r="E2984" s="50">
        <v>50032781</v>
      </c>
      <c r="F2984" s="50" t="s">
        <v>237</v>
      </c>
      <c r="G2984" s="50">
        <v>1</v>
      </c>
      <c r="H2984" s="50" t="s">
        <v>2</v>
      </c>
      <c r="I2984" s="50" t="s">
        <v>291</v>
      </c>
      <c r="J2984" s="51">
        <v>46010</v>
      </c>
      <c r="K2984" s="50" t="s">
        <v>3</v>
      </c>
      <c r="L2984" s="50" t="s">
        <v>80</v>
      </c>
    </row>
    <row r="2985" spans="2:12">
      <c r="B2985" s="50" t="s">
        <v>347</v>
      </c>
      <c r="C2985" s="50" t="s">
        <v>26</v>
      </c>
      <c r="D2985" s="50" t="s">
        <v>41</v>
      </c>
      <c r="E2985" s="50">
        <v>50039718</v>
      </c>
      <c r="F2985" s="50" t="s">
        <v>149</v>
      </c>
      <c r="G2985" s="50">
        <v>1</v>
      </c>
      <c r="H2985" s="50" t="s">
        <v>2</v>
      </c>
      <c r="I2985" s="50" t="s">
        <v>291</v>
      </c>
      <c r="J2985" s="51">
        <v>46010</v>
      </c>
      <c r="K2985" s="50" t="s">
        <v>3</v>
      </c>
      <c r="L2985" s="50" t="s">
        <v>80</v>
      </c>
    </row>
    <row r="2986" spans="2:12">
      <c r="B2986" s="50" t="s">
        <v>386</v>
      </c>
      <c r="C2986" s="50" t="s">
        <v>26</v>
      </c>
      <c r="D2986" s="50" t="s">
        <v>27</v>
      </c>
      <c r="E2986" s="50">
        <v>50037902</v>
      </c>
      <c r="F2986" s="50" t="s">
        <v>179</v>
      </c>
      <c r="G2986" s="50">
        <v>1</v>
      </c>
      <c r="H2986" s="50" t="s">
        <v>2</v>
      </c>
      <c r="I2986" s="50" t="s">
        <v>291</v>
      </c>
      <c r="J2986" s="51">
        <v>46010</v>
      </c>
      <c r="K2986" s="50" t="s">
        <v>3</v>
      </c>
      <c r="L2986" s="50" t="s">
        <v>80</v>
      </c>
    </row>
    <row r="2987" spans="2:12">
      <c r="B2987" s="50" t="s">
        <v>439</v>
      </c>
      <c r="C2987" s="50" t="s">
        <v>62</v>
      </c>
      <c r="D2987" s="50" t="s">
        <v>27</v>
      </c>
      <c r="E2987" s="50">
        <v>50036086</v>
      </c>
      <c r="F2987" s="50" t="s">
        <v>28</v>
      </c>
      <c r="G2987" s="50">
        <v>1</v>
      </c>
      <c r="H2987" s="50" t="s">
        <v>2</v>
      </c>
      <c r="I2987" s="50" t="s">
        <v>291</v>
      </c>
      <c r="J2987" s="51">
        <v>46010</v>
      </c>
      <c r="K2987" s="50" t="s">
        <v>3</v>
      </c>
      <c r="L2987" s="50" t="s">
        <v>80</v>
      </c>
    </row>
    <row r="2988" spans="2:12">
      <c r="B2988" s="50" t="s">
        <v>439</v>
      </c>
      <c r="C2988" s="50" t="s">
        <v>62</v>
      </c>
      <c r="D2988" s="50" t="s">
        <v>27</v>
      </c>
      <c r="E2988" s="50">
        <v>50037892</v>
      </c>
      <c r="F2988" s="50" t="s">
        <v>178</v>
      </c>
      <c r="G2988" s="50">
        <v>1</v>
      </c>
      <c r="H2988" s="50" t="s">
        <v>2</v>
      </c>
      <c r="I2988" s="50" t="s">
        <v>291</v>
      </c>
      <c r="J2988" s="51">
        <v>46010</v>
      </c>
      <c r="K2988" s="50" t="s">
        <v>1</v>
      </c>
      <c r="L2988" s="50" t="s">
        <v>80</v>
      </c>
    </row>
    <row r="2989" spans="2:12">
      <c r="B2989" s="50" t="s">
        <v>347</v>
      </c>
      <c r="C2989" s="50" t="s">
        <v>26</v>
      </c>
      <c r="D2989" s="50" t="s">
        <v>41</v>
      </c>
      <c r="E2989" s="50">
        <v>50022878</v>
      </c>
      <c r="F2989" s="50" t="s">
        <v>296</v>
      </c>
      <c r="G2989" s="50">
        <v>1</v>
      </c>
      <c r="H2989" s="50" t="s">
        <v>2</v>
      </c>
      <c r="I2989" s="50" t="s">
        <v>291</v>
      </c>
      <c r="J2989" s="51">
        <v>46010</v>
      </c>
      <c r="K2989" s="50" t="s">
        <v>3</v>
      </c>
      <c r="L2989" s="50" t="s">
        <v>80</v>
      </c>
    </row>
    <row r="2990" spans="2:12">
      <c r="B2990" s="50" t="s">
        <v>347</v>
      </c>
      <c r="C2990" s="50" t="s">
        <v>26</v>
      </c>
      <c r="D2990" s="50" t="s">
        <v>41</v>
      </c>
      <c r="E2990" s="50">
        <v>50022878</v>
      </c>
      <c r="F2990" s="50" t="s">
        <v>296</v>
      </c>
      <c r="G2990" s="50">
        <v>1</v>
      </c>
      <c r="H2990" s="50" t="s">
        <v>2</v>
      </c>
      <c r="I2990" s="50" t="s">
        <v>291</v>
      </c>
      <c r="J2990" s="51">
        <v>46010</v>
      </c>
      <c r="K2990" s="50" t="s">
        <v>3</v>
      </c>
      <c r="L2990" s="50" t="s">
        <v>80</v>
      </c>
    </row>
    <row r="2991" spans="2:12">
      <c r="B2991" s="50" t="s">
        <v>444</v>
      </c>
      <c r="C2991" s="50" t="s">
        <v>51</v>
      </c>
      <c r="D2991" s="50" t="s">
        <v>27</v>
      </c>
      <c r="E2991" s="50">
        <v>50043471</v>
      </c>
      <c r="F2991" s="50" t="s">
        <v>257</v>
      </c>
      <c r="G2991" s="50">
        <v>1</v>
      </c>
      <c r="H2991" s="50" t="s">
        <v>2</v>
      </c>
      <c r="I2991" s="50" t="s">
        <v>291</v>
      </c>
      <c r="J2991" s="51">
        <v>46010</v>
      </c>
      <c r="K2991" s="50" t="s">
        <v>1</v>
      </c>
      <c r="L2991" s="50" t="s">
        <v>80</v>
      </c>
    </row>
    <row r="2992" spans="2:12">
      <c r="B2992" s="50" t="s">
        <v>422</v>
      </c>
      <c r="C2992" s="50" t="s">
        <v>26</v>
      </c>
      <c r="D2992" s="50" t="s">
        <v>27</v>
      </c>
      <c r="E2992" s="50">
        <v>50038956</v>
      </c>
      <c r="F2992" s="50" t="s">
        <v>177</v>
      </c>
      <c r="G2992" s="50">
        <v>1</v>
      </c>
      <c r="H2992" s="50" t="s">
        <v>2</v>
      </c>
      <c r="I2992" s="50" t="s">
        <v>291</v>
      </c>
      <c r="J2992" s="51">
        <v>46009</v>
      </c>
      <c r="K2992" s="50" t="s">
        <v>1</v>
      </c>
      <c r="L2992" s="50" t="s">
        <v>80</v>
      </c>
    </row>
    <row r="2993" spans="2:12">
      <c r="B2993" s="50" t="s">
        <v>273</v>
      </c>
      <c r="C2993" s="50" t="s">
        <v>274</v>
      </c>
      <c r="D2993" s="50" t="s">
        <v>27</v>
      </c>
      <c r="E2993" s="50">
        <v>50043316</v>
      </c>
      <c r="F2993" s="50" t="s">
        <v>319</v>
      </c>
      <c r="G2993" s="50">
        <v>1</v>
      </c>
      <c r="H2993" s="50" t="s">
        <v>2</v>
      </c>
      <c r="I2993" s="50" t="s">
        <v>291</v>
      </c>
      <c r="J2993" s="51">
        <v>46009</v>
      </c>
      <c r="K2993" s="50" t="s">
        <v>1</v>
      </c>
      <c r="L2993" s="50" t="s">
        <v>80</v>
      </c>
    </row>
    <row r="2994" spans="2:12">
      <c r="B2994" s="50" t="s">
        <v>471</v>
      </c>
      <c r="C2994" s="50" t="s">
        <v>26</v>
      </c>
      <c r="D2994" s="50" t="s">
        <v>39</v>
      </c>
      <c r="E2994" s="50">
        <v>50010031</v>
      </c>
      <c r="F2994" s="50" t="s">
        <v>89</v>
      </c>
      <c r="G2994" s="50">
        <v>1</v>
      </c>
      <c r="H2994" s="50" t="s">
        <v>2</v>
      </c>
      <c r="I2994" s="50" t="s">
        <v>291</v>
      </c>
      <c r="J2994" s="51">
        <v>46009</v>
      </c>
      <c r="K2994" s="50" t="s">
        <v>1</v>
      </c>
      <c r="L2994" s="50" t="s">
        <v>80</v>
      </c>
    </row>
    <row r="2995" spans="2:12">
      <c r="B2995" s="50" t="s">
        <v>470</v>
      </c>
      <c r="C2995" s="50" t="s">
        <v>51</v>
      </c>
      <c r="D2995" s="50" t="s">
        <v>39</v>
      </c>
      <c r="E2995" s="50">
        <v>50041195</v>
      </c>
      <c r="F2995" s="50" t="s">
        <v>206</v>
      </c>
      <c r="G2995" s="50">
        <v>1</v>
      </c>
      <c r="H2995" s="50" t="s">
        <v>2</v>
      </c>
      <c r="I2995" s="50" t="s">
        <v>289</v>
      </c>
      <c r="J2995" s="51">
        <v>46009</v>
      </c>
      <c r="K2995" s="50" t="s">
        <v>1</v>
      </c>
      <c r="L2995" s="50" t="s">
        <v>80</v>
      </c>
    </row>
    <row r="2996" spans="2:12">
      <c r="B2996" s="50" t="s">
        <v>413</v>
      </c>
      <c r="C2996" s="50" t="s">
        <v>51</v>
      </c>
      <c r="D2996" s="50" t="s">
        <v>39</v>
      </c>
      <c r="E2996" s="50">
        <v>50037892</v>
      </c>
      <c r="F2996" s="50" t="s">
        <v>178</v>
      </c>
      <c r="G2996" s="50">
        <v>1</v>
      </c>
      <c r="H2996" s="50" t="s">
        <v>2</v>
      </c>
      <c r="I2996" s="50" t="s">
        <v>289</v>
      </c>
      <c r="J2996" s="51">
        <v>46009</v>
      </c>
      <c r="K2996" s="50" t="s">
        <v>1</v>
      </c>
      <c r="L2996" s="50" t="s">
        <v>80</v>
      </c>
    </row>
    <row r="2997" spans="2:12">
      <c r="B2997" s="50" t="s">
        <v>413</v>
      </c>
      <c r="C2997" s="50" t="s">
        <v>51</v>
      </c>
      <c r="D2997" s="50" t="s">
        <v>39</v>
      </c>
      <c r="E2997" s="50">
        <v>50039065</v>
      </c>
      <c r="F2997" s="50" t="s">
        <v>186</v>
      </c>
      <c r="G2997" s="50">
        <v>1</v>
      </c>
      <c r="H2997" s="50" t="s">
        <v>2</v>
      </c>
      <c r="I2997" s="50" t="s">
        <v>289</v>
      </c>
      <c r="J2997" s="51">
        <v>46009</v>
      </c>
      <c r="K2997" s="50" t="s">
        <v>1</v>
      </c>
      <c r="L2997" s="50" t="s">
        <v>80</v>
      </c>
    </row>
    <row r="2998" spans="2:12">
      <c r="B2998" s="50" t="s">
        <v>394</v>
      </c>
      <c r="C2998" s="50" t="s">
        <v>51</v>
      </c>
      <c r="D2998" s="50" t="s">
        <v>27</v>
      </c>
      <c r="E2998" s="50">
        <v>50036294</v>
      </c>
      <c r="F2998" s="50" t="s">
        <v>131</v>
      </c>
      <c r="G2998" s="50">
        <v>1</v>
      </c>
      <c r="H2998" s="50" t="s">
        <v>2</v>
      </c>
      <c r="I2998" s="50" t="s">
        <v>292</v>
      </c>
      <c r="J2998" s="51">
        <v>46009</v>
      </c>
      <c r="K2998" s="50" t="s">
        <v>1</v>
      </c>
      <c r="L2998" s="50" t="s">
        <v>80</v>
      </c>
    </row>
    <row r="2999" spans="2:12">
      <c r="B2999" s="50" t="s">
        <v>394</v>
      </c>
      <c r="C2999" s="50" t="s">
        <v>51</v>
      </c>
      <c r="D2999" s="50" t="s">
        <v>27</v>
      </c>
      <c r="E2999" s="50">
        <v>50036293</v>
      </c>
      <c r="F2999" s="50" t="s">
        <v>130</v>
      </c>
      <c r="G2999" s="50">
        <v>1</v>
      </c>
      <c r="H2999" s="50" t="s">
        <v>2</v>
      </c>
      <c r="I2999" s="50" t="s">
        <v>292</v>
      </c>
      <c r="J2999" s="51">
        <v>46009</v>
      </c>
      <c r="K2999" s="50" t="s">
        <v>3</v>
      </c>
      <c r="L2999" s="50" t="s">
        <v>80</v>
      </c>
    </row>
    <row r="3000" spans="2:12">
      <c r="B3000" s="50" t="s">
        <v>470</v>
      </c>
      <c r="C3000" s="50" t="s">
        <v>51</v>
      </c>
      <c r="D3000" s="50" t="s">
        <v>39</v>
      </c>
      <c r="E3000" s="50">
        <v>50041195</v>
      </c>
      <c r="F3000" s="50" t="s">
        <v>206</v>
      </c>
      <c r="G3000" s="50">
        <v>1</v>
      </c>
      <c r="H3000" s="50" t="s">
        <v>2</v>
      </c>
      <c r="I3000" s="50" t="s">
        <v>292</v>
      </c>
      <c r="J3000" s="51">
        <v>46009</v>
      </c>
      <c r="K3000" s="50" t="s">
        <v>1</v>
      </c>
      <c r="L3000" s="50" t="s">
        <v>80</v>
      </c>
    </row>
    <row r="3001" spans="2:12">
      <c r="B3001" s="50" t="s">
        <v>427</v>
      </c>
      <c r="C3001" s="50" t="s">
        <v>26</v>
      </c>
      <c r="D3001" s="50" t="s">
        <v>27</v>
      </c>
      <c r="E3001" s="50">
        <v>50038549</v>
      </c>
      <c r="F3001" s="50" t="s">
        <v>173</v>
      </c>
      <c r="G3001" s="50">
        <v>1</v>
      </c>
      <c r="H3001" s="50" t="s">
        <v>2</v>
      </c>
      <c r="I3001" s="50" t="s">
        <v>292</v>
      </c>
      <c r="J3001" s="51">
        <v>46009</v>
      </c>
      <c r="K3001" s="50" t="s">
        <v>1</v>
      </c>
      <c r="L3001" s="50" t="s">
        <v>80</v>
      </c>
    </row>
    <row r="3002" spans="2:12">
      <c r="B3002" s="50" t="s">
        <v>427</v>
      </c>
      <c r="C3002" s="50" t="s">
        <v>26</v>
      </c>
      <c r="D3002" s="50" t="s">
        <v>27</v>
      </c>
      <c r="E3002" s="50">
        <v>50038517</v>
      </c>
      <c r="F3002" s="50" t="s">
        <v>181</v>
      </c>
      <c r="G3002" s="50">
        <v>1</v>
      </c>
      <c r="H3002" s="50" t="s">
        <v>2</v>
      </c>
      <c r="I3002" s="50" t="s">
        <v>292</v>
      </c>
      <c r="J3002" s="51">
        <v>46009</v>
      </c>
      <c r="K3002" s="50" t="s">
        <v>3</v>
      </c>
      <c r="L3002" s="50" t="s">
        <v>80</v>
      </c>
    </row>
    <row r="3003" spans="2:12">
      <c r="B3003" s="50" t="s">
        <v>413</v>
      </c>
      <c r="C3003" s="50" t="s">
        <v>51</v>
      </c>
      <c r="D3003" s="50" t="s">
        <v>39</v>
      </c>
      <c r="E3003" s="50">
        <v>50037892</v>
      </c>
      <c r="F3003" s="50" t="s">
        <v>178</v>
      </c>
      <c r="G3003" s="50">
        <v>1</v>
      </c>
      <c r="H3003" s="50" t="s">
        <v>2</v>
      </c>
      <c r="I3003" s="50" t="s">
        <v>292</v>
      </c>
      <c r="J3003" s="51">
        <v>46009</v>
      </c>
      <c r="K3003" s="50" t="s">
        <v>1</v>
      </c>
      <c r="L3003" s="50" t="s">
        <v>80</v>
      </c>
    </row>
    <row r="3004" spans="2:12">
      <c r="B3004" s="50" t="s">
        <v>483</v>
      </c>
      <c r="C3004" s="50" t="s">
        <v>62</v>
      </c>
      <c r="D3004" s="50" t="s">
        <v>27</v>
      </c>
      <c r="E3004" s="50">
        <v>50003297</v>
      </c>
      <c r="F3004" s="50" t="s">
        <v>158</v>
      </c>
      <c r="G3004" s="50">
        <v>1</v>
      </c>
      <c r="H3004" s="50" t="s">
        <v>2</v>
      </c>
      <c r="I3004" s="50" t="s">
        <v>292</v>
      </c>
      <c r="J3004" s="51">
        <v>46009</v>
      </c>
      <c r="K3004" s="50" t="s">
        <v>1</v>
      </c>
      <c r="L3004" s="50" t="s">
        <v>80</v>
      </c>
    </row>
    <row r="3005" spans="2:12">
      <c r="B3005" s="50" t="s">
        <v>483</v>
      </c>
      <c r="C3005" s="50" t="s">
        <v>62</v>
      </c>
      <c r="D3005" s="50" t="s">
        <v>27</v>
      </c>
      <c r="E3005" s="50">
        <v>50026357</v>
      </c>
      <c r="F3005" s="50" t="s">
        <v>192</v>
      </c>
      <c r="G3005" s="50">
        <v>1</v>
      </c>
      <c r="H3005" s="50" t="s">
        <v>2</v>
      </c>
      <c r="I3005" s="50" t="s">
        <v>292</v>
      </c>
      <c r="J3005" s="51">
        <v>46009</v>
      </c>
      <c r="K3005" s="50" t="s">
        <v>1</v>
      </c>
      <c r="L3005" s="50" t="s">
        <v>80</v>
      </c>
    </row>
    <row r="3006" spans="2:12">
      <c r="B3006" s="50" t="s">
        <v>483</v>
      </c>
      <c r="C3006" s="50" t="s">
        <v>62</v>
      </c>
      <c r="D3006" s="50" t="s">
        <v>27</v>
      </c>
      <c r="E3006" s="50">
        <v>50037892</v>
      </c>
      <c r="F3006" s="50" t="s">
        <v>178</v>
      </c>
      <c r="G3006" s="50">
        <v>1</v>
      </c>
      <c r="H3006" s="50" t="s">
        <v>2</v>
      </c>
      <c r="I3006" s="50" t="s">
        <v>292</v>
      </c>
      <c r="J3006" s="51">
        <v>46009</v>
      </c>
      <c r="K3006" s="50" t="s">
        <v>1</v>
      </c>
      <c r="L3006" s="50" t="s">
        <v>80</v>
      </c>
    </row>
    <row r="3007" spans="2:12">
      <c r="B3007" s="50" t="s">
        <v>402</v>
      </c>
      <c r="C3007" s="50" t="s">
        <v>56</v>
      </c>
      <c r="D3007" s="50" t="s">
        <v>39</v>
      </c>
      <c r="E3007" s="50">
        <v>50043150</v>
      </c>
      <c r="F3007" s="50" t="s">
        <v>259</v>
      </c>
      <c r="G3007" s="50">
        <v>1</v>
      </c>
      <c r="H3007" s="50" t="s">
        <v>2</v>
      </c>
      <c r="I3007" s="50" t="s">
        <v>292</v>
      </c>
      <c r="J3007" s="51">
        <v>46009</v>
      </c>
      <c r="K3007" s="50" t="s">
        <v>3</v>
      </c>
      <c r="L3007" s="50" t="s">
        <v>80</v>
      </c>
    </row>
    <row r="3008" spans="2:12">
      <c r="B3008" s="50" t="s">
        <v>471</v>
      </c>
      <c r="C3008" s="50" t="s">
        <v>26</v>
      </c>
      <c r="D3008" s="50" t="s">
        <v>39</v>
      </c>
      <c r="E3008" s="50">
        <v>50010031</v>
      </c>
      <c r="F3008" s="50" t="s">
        <v>89</v>
      </c>
      <c r="G3008" s="50">
        <v>1</v>
      </c>
      <c r="H3008" s="50" t="s">
        <v>2</v>
      </c>
      <c r="I3008" s="50" t="s">
        <v>292</v>
      </c>
      <c r="J3008" s="51">
        <v>46009</v>
      </c>
      <c r="K3008" s="50" t="s">
        <v>1</v>
      </c>
      <c r="L3008" s="50" t="s">
        <v>80</v>
      </c>
    </row>
    <row r="3009" spans="2:12">
      <c r="B3009" s="50" t="s">
        <v>406</v>
      </c>
      <c r="C3009" s="50" t="s">
        <v>26</v>
      </c>
      <c r="D3009" s="50" t="s">
        <v>27</v>
      </c>
      <c r="E3009" s="50">
        <v>50010031</v>
      </c>
      <c r="F3009" s="50" t="s">
        <v>89</v>
      </c>
      <c r="G3009" s="50">
        <v>1</v>
      </c>
      <c r="H3009" s="50" t="s">
        <v>2</v>
      </c>
      <c r="I3009" s="50" t="s">
        <v>292</v>
      </c>
      <c r="J3009" s="51">
        <v>46009</v>
      </c>
      <c r="K3009" s="50" t="s">
        <v>3</v>
      </c>
      <c r="L3009" s="50" t="s">
        <v>80</v>
      </c>
    </row>
    <row r="3010" spans="2:12">
      <c r="B3010" s="50" t="s">
        <v>406</v>
      </c>
      <c r="C3010" s="50" t="s">
        <v>26</v>
      </c>
      <c r="D3010" s="50" t="s">
        <v>27</v>
      </c>
      <c r="E3010" s="50">
        <v>50010031</v>
      </c>
      <c r="F3010" s="50" t="s">
        <v>89</v>
      </c>
      <c r="G3010" s="50">
        <v>1</v>
      </c>
      <c r="H3010" s="50" t="s">
        <v>2</v>
      </c>
      <c r="I3010" s="50" t="s">
        <v>292</v>
      </c>
      <c r="J3010" s="51">
        <v>46009</v>
      </c>
      <c r="K3010" s="50" t="s">
        <v>3</v>
      </c>
      <c r="L3010" s="50" t="s">
        <v>80</v>
      </c>
    </row>
    <row r="3011" spans="2:12">
      <c r="B3011" s="50" t="s">
        <v>413</v>
      </c>
      <c r="C3011" s="50" t="s">
        <v>51</v>
      </c>
      <c r="D3011" s="50" t="s">
        <v>39</v>
      </c>
      <c r="E3011" s="50">
        <v>50039065</v>
      </c>
      <c r="F3011" s="50" t="s">
        <v>186</v>
      </c>
      <c r="G3011" s="50">
        <v>1</v>
      </c>
      <c r="H3011" s="50" t="s">
        <v>2</v>
      </c>
      <c r="I3011" s="50" t="s">
        <v>292</v>
      </c>
      <c r="J3011" s="51">
        <v>46009</v>
      </c>
      <c r="K3011" s="50" t="s">
        <v>3</v>
      </c>
      <c r="L3011" s="50" t="s">
        <v>80</v>
      </c>
    </row>
    <row r="3012" spans="2:12">
      <c r="B3012" s="50" t="s">
        <v>427</v>
      </c>
      <c r="C3012" s="50" t="s">
        <v>26</v>
      </c>
      <c r="D3012" s="50" t="s">
        <v>27</v>
      </c>
      <c r="E3012" s="50">
        <v>50038517</v>
      </c>
      <c r="F3012" s="50" t="s">
        <v>181</v>
      </c>
      <c r="G3012" s="50">
        <v>1</v>
      </c>
      <c r="H3012" s="50" t="s">
        <v>2</v>
      </c>
      <c r="I3012" s="50" t="s">
        <v>292</v>
      </c>
      <c r="J3012" s="51">
        <v>46009</v>
      </c>
      <c r="K3012" s="50" t="s">
        <v>1</v>
      </c>
      <c r="L3012" s="50" t="s">
        <v>80</v>
      </c>
    </row>
    <row r="3013" spans="2:12">
      <c r="B3013" s="50" t="s">
        <v>386</v>
      </c>
      <c r="C3013" s="50" t="s">
        <v>62</v>
      </c>
      <c r="D3013" s="50" t="s">
        <v>27</v>
      </c>
      <c r="E3013" s="50">
        <v>50010031</v>
      </c>
      <c r="F3013" s="50" t="s">
        <v>89</v>
      </c>
      <c r="G3013" s="50">
        <v>1</v>
      </c>
      <c r="H3013" s="50" t="s">
        <v>2</v>
      </c>
      <c r="I3013" s="50" t="s">
        <v>292</v>
      </c>
      <c r="J3013" s="51">
        <v>46009</v>
      </c>
      <c r="K3013" s="50" t="s">
        <v>1</v>
      </c>
      <c r="L3013" s="50" t="s">
        <v>80</v>
      </c>
    </row>
    <row r="3014" spans="2:12">
      <c r="B3014" s="50" t="s">
        <v>386</v>
      </c>
      <c r="C3014" s="50" t="s">
        <v>62</v>
      </c>
      <c r="D3014" s="50" t="s">
        <v>27</v>
      </c>
      <c r="E3014" s="50">
        <v>50043471</v>
      </c>
      <c r="F3014" s="50" t="s">
        <v>257</v>
      </c>
      <c r="G3014" s="50">
        <v>1</v>
      </c>
      <c r="H3014" s="50" t="s">
        <v>2</v>
      </c>
      <c r="I3014" s="50" t="s">
        <v>292</v>
      </c>
      <c r="J3014" s="51">
        <v>46009</v>
      </c>
      <c r="K3014" s="50" t="s">
        <v>3</v>
      </c>
      <c r="L3014" s="50" t="s">
        <v>80</v>
      </c>
    </row>
    <row r="3015" spans="2:12">
      <c r="B3015" s="50" t="s">
        <v>402</v>
      </c>
      <c r="C3015" s="50" t="s">
        <v>56</v>
      </c>
      <c r="D3015" s="50" t="s">
        <v>39</v>
      </c>
      <c r="E3015" s="50">
        <v>50043150</v>
      </c>
      <c r="F3015" s="50" t="s">
        <v>259</v>
      </c>
      <c r="G3015" s="50">
        <v>1</v>
      </c>
      <c r="H3015" s="50" t="s">
        <v>2</v>
      </c>
      <c r="I3015" s="50" t="s">
        <v>292</v>
      </c>
      <c r="J3015" s="51">
        <v>46009</v>
      </c>
      <c r="K3015" s="50" t="s">
        <v>1</v>
      </c>
      <c r="L3015" s="50" t="s">
        <v>80</v>
      </c>
    </row>
    <row r="3016" spans="2:12">
      <c r="B3016" s="50" t="s">
        <v>445</v>
      </c>
      <c r="C3016" s="50" t="s">
        <v>51</v>
      </c>
      <c r="D3016" s="50" t="s">
        <v>41</v>
      </c>
      <c r="E3016" s="50">
        <v>50041195</v>
      </c>
      <c r="F3016" s="50" t="s">
        <v>206</v>
      </c>
      <c r="G3016" s="50">
        <v>1</v>
      </c>
      <c r="H3016" s="50" t="s">
        <v>2</v>
      </c>
      <c r="I3016" s="50" t="s">
        <v>290</v>
      </c>
      <c r="J3016" s="51">
        <v>46009</v>
      </c>
      <c r="K3016" s="50" t="s">
        <v>3</v>
      </c>
      <c r="L3016" s="50" t="s">
        <v>80</v>
      </c>
    </row>
    <row r="3017" spans="2:12">
      <c r="B3017" s="50" t="s">
        <v>386</v>
      </c>
      <c r="C3017" s="50" t="s">
        <v>62</v>
      </c>
      <c r="D3017" s="50" t="s">
        <v>27</v>
      </c>
      <c r="E3017" s="50">
        <v>50010031</v>
      </c>
      <c r="F3017" s="50" t="s">
        <v>89</v>
      </c>
      <c r="G3017" s="50">
        <v>1</v>
      </c>
      <c r="H3017" s="50" t="s">
        <v>2</v>
      </c>
      <c r="I3017" s="50" t="s">
        <v>290</v>
      </c>
      <c r="J3017" s="51">
        <v>46009</v>
      </c>
      <c r="K3017" s="50" t="s">
        <v>1</v>
      </c>
      <c r="L3017" s="50" t="s">
        <v>80</v>
      </c>
    </row>
    <row r="3018" spans="2:12">
      <c r="B3018" s="50" t="s">
        <v>386</v>
      </c>
      <c r="C3018" s="50" t="s">
        <v>62</v>
      </c>
      <c r="D3018" s="50" t="s">
        <v>27</v>
      </c>
      <c r="E3018" s="50">
        <v>50010031</v>
      </c>
      <c r="F3018" s="50" t="s">
        <v>89</v>
      </c>
      <c r="G3018" s="50">
        <v>1</v>
      </c>
      <c r="H3018" s="50" t="s">
        <v>2</v>
      </c>
      <c r="I3018" s="50" t="s">
        <v>291</v>
      </c>
      <c r="J3018" s="51">
        <v>46009</v>
      </c>
      <c r="K3018" s="50" t="s">
        <v>3</v>
      </c>
      <c r="L3018" s="50" t="s">
        <v>80</v>
      </c>
    </row>
    <row r="3019" spans="2:12">
      <c r="B3019" s="50" t="s">
        <v>386</v>
      </c>
      <c r="C3019" s="50" t="s">
        <v>62</v>
      </c>
      <c r="D3019" s="50" t="s">
        <v>27</v>
      </c>
      <c r="E3019" s="50">
        <v>50043471</v>
      </c>
      <c r="F3019" s="50" t="s">
        <v>257</v>
      </c>
      <c r="G3019" s="50">
        <v>1</v>
      </c>
      <c r="H3019" s="50" t="s">
        <v>2</v>
      </c>
      <c r="I3019" s="50" t="s">
        <v>291</v>
      </c>
      <c r="J3019" s="51">
        <v>46009</v>
      </c>
      <c r="K3019" s="50" t="s">
        <v>3</v>
      </c>
      <c r="L3019" s="50" t="s">
        <v>80</v>
      </c>
    </row>
    <row r="3020" spans="2:12">
      <c r="B3020" s="50" t="s">
        <v>273</v>
      </c>
      <c r="C3020" s="50" t="s">
        <v>274</v>
      </c>
      <c r="D3020" s="50" t="s">
        <v>27</v>
      </c>
      <c r="E3020" s="50">
        <v>50043316</v>
      </c>
      <c r="F3020" s="50" t="s">
        <v>319</v>
      </c>
      <c r="G3020" s="50">
        <v>1</v>
      </c>
      <c r="H3020" s="50" t="s">
        <v>2</v>
      </c>
      <c r="I3020" s="50" t="s">
        <v>291</v>
      </c>
      <c r="J3020" s="51">
        <v>46009</v>
      </c>
      <c r="K3020" s="50" t="s">
        <v>3</v>
      </c>
      <c r="L3020" s="50" t="s">
        <v>80</v>
      </c>
    </row>
    <row r="3021" spans="2:12">
      <c r="B3021" s="50" t="s">
        <v>427</v>
      </c>
      <c r="C3021" s="50" t="s">
        <v>26</v>
      </c>
      <c r="D3021" s="50" t="s">
        <v>27</v>
      </c>
      <c r="E3021" s="50">
        <v>50038549</v>
      </c>
      <c r="F3021" s="50" t="s">
        <v>173</v>
      </c>
      <c r="G3021" s="50">
        <v>1</v>
      </c>
      <c r="H3021" s="50" t="s">
        <v>2</v>
      </c>
      <c r="I3021" s="50" t="s">
        <v>291</v>
      </c>
      <c r="J3021" s="51">
        <v>46009</v>
      </c>
      <c r="K3021" s="50" t="s">
        <v>1</v>
      </c>
      <c r="L3021" s="50" t="s">
        <v>80</v>
      </c>
    </row>
    <row r="3022" spans="2:12">
      <c r="B3022" s="50" t="s">
        <v>439</v>
      </c>
      <c r="C3022" s="50" t="s">
        <v>62</v>
      </c>
      <c r="D3022" s="50" t="s">
        <v>27</v>
      </c>
      <c r="E3022" s="50">
        <v>50036086</v>
      </c>
      <c r="F3022" s="50" t="s">
        <v>28</v>
      </c>
      <c r="G3022" s="50">
        <v>1</v>
      </c>
      <c r="H3022" s="50" t="s">
        <v>2</v>
      </c>
      <c r="I3022" s="50" t="s">
        <v>291</v>
      </c>
      <c r="J3022" s="51">
        <v>46009</v>
      </c>
      <c r="K3022" s="50" t="s">
        <v>3</v>
      </c>
      <c r="L3022" s="50" t="s">
        <v>80</v>
      </c>
    </row>
    <row r="3023" spans="2:12">
      <c r="B3023" s="50" t="s">
        <v>394</v>
      </c>
      <c r="C3023" s="50" t="s">
        <v>51</v>
      </c>
      <c r="D3023" s="50" t="s">
        <v>27</v>
      </c>
      <c r="E3023" s="50">
        <v>50036294</v>
      </c>
      <c r="F3023" s="50" t="s">
        <v>131</v>
      </c>
      <c r="G3023" s="50">
        <v>1</v>
      </c>
      <c r="H3023" s="50" t="s">
        <v>2</v>
      </c>
      <c r="I3023" s="50" t="s">
        <v>291</v>
      </c>
      <c r="J3023" s="51">
        <v>46009</v>
      </c>
      <c r="K3023" s="50" t="s">
        <v>3</v>
      </c>
      <c r="L3023" s="50" t="s">
        <v>80</v>
      </c>
    </row>
    <row r="3024" spans="2:12">
      <c r="B3024" s="50" t="s">
        <v>394</v>
      </c>
      <c r="C3024" s="50" t="s">
        <v>51</v>
      </c>
      <c r="D3024" s="50" t="s">
        <v>27</v>
      </c>
      <c r="E3024" s="50">
        <v>50036293</v>
      </c>
      <c r="F3024" s="50" t="s">
        <v>130</v>
      </c>
      <c r="G3024" s="50">
        <v>1</v>
      </c>
      <c r="H3024" s="50" t="s">
        <v>2</v>
      </c>
      <c r="I3024" s="50" t="s">
        <v>291</v>
      </c>
      <c r="J3024" s="51">
        <v>46009</v>
      </c>
      <c r="K3024" s="50" t="s">
        <v>1</v>
      </c>
      <c r="L3024" s="50" t="s">
        <v>80</v>
      </c>
    </row>
    <row r="3025" spans="2:12" s="52" customFormat="1">
      <c r="B3025" s="50" t="s">
        <v>394</v>
      </c>
      <c r="C3025" s="50" t="s">
        <v>51</v>
      </c>
      <c r="D3025" s="50" t="s">
        <v>27</v>
      </c>
      <c r="E3025" s="50">
        <v>50036295</v>
      </c>
      <c r="F3025" s="50" t="s">
        <v>132</v>
      </c>
      <c r="G3025" s="50">
        <v>1</v>
      </c>
      <c r="H3025" s="50" t="s">
        <v>2</v>
      </c>
      <c r="I3025" s="50" t="s">
        <v>291</v>
      </c>
      <c r="J3025" s="51">
        <v>46009</v>
      </c>
      <c r="K3025" s="50" t="s">
        <v>1</v>
      </c>
      <c r="L3025" s="50" t="s">
        <v>80</v>
      </c>
    </row>
    <row r="3026" spans="2:12">
      <c r="B3026" s="50" t="s">
        <v>444</v>
      </c>
      <c r="C3026" s="50" t="s">
        <v>51</v>
      </c>
      <c r="D3026" s="50" t="s">
        <v>27</v>
      </c>
      <c r="E3026" s="50">
        <v>50043471</v>
      </c>
      <c r="F3026" s="50" t="s">
        <v>257</v>
      </c>
      <c r="G3026" s="50">
        <v>1</v>
      </c>
      <c r="H3026" s="50" t="s">
        <v>2</v>
      </c>
      <c r="I3026" s="50" t="s">
        <v>291</v>
      </c>
      <c r="J3026" s="51">
        <v>46009</v>
      </c>
      <c r="K3026" s="50" t="s">
        <v>1</v>
      </c>
      <c r="L3026" s="50" t="s">
        <v>80</v>
      </c>
    </row>
    <row r="3027" spans="2:12">
      <c r="B3027" s="50" t="s">
        <v>444</v>
      </c>
      <c r="C3027" s="50" t="s">
        <v>51</v>
      </c>
      <c r="D3027" s="50" t="s">
        <v>27</v>
      </c>
      <c r="E3027" s="50">
        <v>50036299</v>
      </c>
      <c r="F3027" s="50" t="s">
        <v>163</v>
      </c>
      <c r="G3027" s="50">
        <v>1</v>
      </c>
      <c r="H3027" s="50" t="s">
        <v>2</v>
      </c>
      <c r="I3027" s="50" t="s">
        <v>291</v>
      </c>
      <c r="J3027" s="51">
        <v>46009</v>
      </c>
      <c r="K3027" s="50" t="s">
        <v>3</v>
      </c>
      <c r="L3027" s="50" t="s">
        <v>80</v>
      </c>
    </row>
    <row r="3028" spans="2:12">
      <c r="B3028" s="50" t="s">
        <v>439</v>
      </c>
      <c r="C3028" s="50" t="s">
        <v>62</v>
      </c>
      <c r="D3028" s="50" t="s">
        <v>27</v>
      </c>
      <c r="E3028" s="50">
        <v>50036086</v>
      </c>
      <c r="F3028" s="50" t="s">
        <v>28</v>
      </c>
      <c r="G3028" s="50">
        <v>1</v>
      </c>
      <c r="H3028" s="50" t="s">
        <v>2</v>
      </c>
      <c r="I3028" s="50" t="s">
        <v>291</v>
      </c>
      <c r="J3028" s="51">
        <v>46009</v>
      </c>
      <c r="K3028" s="50" t="s">
        <v>3</v>
      </c>
      <c r="L3028" s="50" t="s">
        <v>80</v>
      </c>
    </row>
    <row r="3029" spans="2:12">
      <c r="B3029" s="50" t="s">
        <v>386</v>
      </c>
      <c r="C3029" s="50" t="s">
        <v>62</v>
      </c>
      <c r="D3029" s="50" t="s">
        <v>27</v>
      </c>
      <c r="E3029" s="50">
        <v>50010031</v>
      </c>
      <c r="F3029" s="50" t="s">
        <v>89</v>
      </c>
      <c r="G3029" s="50">
        <v>1</v>
      </c>
      <c r="H3029" s="50" t="s">
        <v>2</v>
      </c>
      <c r="I3029" s="50" t="s">
        <v>291</v>
      </c>
      <c r="J3029" s="51">
        <v>46009</v>
      </c>
      <c r="K3029" s="50" t="s">
        <v>1</v>
      </c>
      <c r="L3029" s="50" t="s">
        <v>80</v>
      </c>
    </row>
    <row r="3030" spans="2:12">
      <c r="B3030" s="50" t="s">
        <v>418</v>
      </c>
      <c r="C3030" s="50" t="s">
        <v>26</v>
      </c>
      <c r="D3030" s="50" t="s">
        <v>27</v>
      </c>
      <c r="E3030" s="50">
        <v>50010031</v>
      </c>
      <c r="F3030" s="50" t="s">
        <v>89</v>
      </c>
      <c r="G3030" s="50">
        <v>1</v>
      </c>
      <c r="H3030" s="50" t="s">
        <v>2</v>
      </c>
      <c r="I3030" s="50" t="s">
        <v>291</v>
      </c>
      <c r="J3030" s="51">
        <v>46009</v>
      </c>
      <c r="K3030" s="50" t="s">
        <v>1</v>
      </c>
      <c r="L3030" s="50" t="s">
        <v>80</v>
      </c>
    </row>
    <row r="3031" spans="2:12">
      <c r="B3031" s="50" t="s">
        <v>418</v>
      </c>
      <c r="C3031" s="50" t="s">
        <v>26</v>
      </c>
      <c r="D3031" s="50" t="s">
        <v>27</v>
      </c>
      <c r="E3031" s="50">
        <v>50039065</v>
      </c>
      <c r="F3031" s="50" t="s">
        <v>186</v>
      </c>
      <c r="G3031" s="50">
        <v>1</v>
      </c>
      <c r="H3031" s="50" t="s">
        <v>2</v>
      </c>
      <c r="I3031" s="50" t="s">
        <v>291</v>
      </c>
      <c r="J3031" s="51">
        <v>46009</v>
      </c>
      <c r="K3031" s="50" t="s">
        <v>3</v>
      </c>
      <c r="L3031" s="50" t="s">
        <v>80</v>
      </c>
    </row>
    <row r="3032" spans="2:12">
      <c r="B3032" s="50" t="s">
        <v>483</v>
      </c>
      <c r="C3032" s="50" t="s">
        <v>62</v>
      </c>
      <c r="D3032" s="50" t="s">
        <v>27</v>
      </c>
      <c r="E3032" s="50">
        <v>50003297</v>
      </c>
      <c r="F3032" s="50" t="s">
        <v>158</v>
      </c>
      <c r="G3032" s="50">
        <v>1</v>
      </c>
      <c r="H3032" s="50" t="s">
        <v>2</v>
      </c>
      <c r="I3032" s="50" t="s">
        <v>291</v>
      </c>
      <c r="J3032" s="51">
        <v>46009</v>
      </c>
      <c r="K3032" s="50" t="s">
        <v>3</v>
      </c>
      <c r="L3032" s="50" t="s">
        <v>80</v>
      </c>
    </row>
    <row r="3033" spans="2:12">
      <c r="B3033" s="50" t="s">
        <v>483</v>
      </c>
      <c r="C3033" s="50" t="s">
        <v>62</v>
      </c>
      <c r="D3033" s="50" t="s">
        <v>27</v>
      </c>
      <c r="E3033" s="50">
        <v>50026357</v>
      </c>
      <c r="F3033" s="50" t="s">
        <v>192</v>
      </c>
      <c r="G3033" s="50">
        <v>1</v>
      </c>
      <c r="H3033" s="50" t="s">
        <v>2</v>
      </c>
      <c r="I3033" s="50" t="s">
        <v>291</v>
      </c>
      <c r="J3033" s="51">
        <v>46009</v>
      </c>
      <c r="K3033" s="50" t="s">
        <v>3</v>
      </c>
      <c r="L3033" s="50" t="s">
        <v>80</v>
      </c>
    </row>
    <row r="3034" spans="2:12">
      <c r="B3034" s="50" t="s">
        <v>483</v>
      </c>
      <c r="C3034" s="50" t="s">
        <v>62</v>
      </c>
      <c r="D3034" s="50" t="s">
        <v>27</v>
      </c>
      <c r="E3034" s="50">
        <v>50037892</v>
      </c>
      <c r="F3034" s="50" t="s">
        <v>178</v>
      </c>
      <c r="G3034" s="50">
        <v>1</v>
      </c>
      <c r="H3034" s="50" t="s">
        <v>2</v>
      </c>
      <c r="I3034" s="50" t="s">
        <v>291</v>
      </c>
      <c r="J3034" s="51">
        <v>46009</v>
      </c>
      <c r="K3034" s="50" t="s">
        <v>3</v>
      </c>
      <c r="L3034" s="50" t="s">
        <v>80</v>
      </c>
    </row>
    <row r="3035" spans="2:12">
      <c r="B3035" s="50" t="s">
        <v>394</v>
      </c>
      <c r="C3035" s="50" t="s">
        <v>51</v>
      </c>
      <c r="D3035" s="50" t="s">
        <v>27</v>
      </c>
      <c r="E3035" s="50">
        <v>50036295</v>
      </c>
      <c r="F3035" s="50" t="s">
        <v>132</v>
      </c>
      <c r="G3035" s="50">
        <v>1</v>
      </c>
      <c r="H3035" s="50" t="s">
        <v>2</v>
      </c>
      <c r="I3035" s="50" t="s">
        <v>291</v>
      </c>
      <c r="J3035" s="51">
        <v>46009</v>
      </c>
      <c r="K3035" s="50" t="s">
        <v>3</v>
      </c>
      <c r="L3035" s="50" t="s">
        <v>80</v>
      </c>
    </row>
    <row r="3036" spans="2:12">
      <c r="B3036" s="50" t="s">
        <v>444</v>
      </c>
      <c r="C3036" s="50" t="s">
        <v>51</v>
      </c>
      <c r="D3036" s="50" t="s">
        <v>27</v>
      </c>
      <c r="E3036" s="50">
        <v>50036299</v>
      </c>
      <c r="F3036" s="50" t="s">
        <v>163</v>
      </c>
      <c r="G3036" s="50">
        <v>1</v>
      </c>
      <c r="H3036" s="50" t="s">
        <v>2</v>
      </c>
      <c r="I3036" s="50" t="s">
        <v>291</v>
      </c>
      <c r="J3036" s="51">
        <v>46009</v>
      </c>
      <c r="K3036" s="50" t="s">
        <v>3</v>
      </c>
      <c r="L3036" s="50" t="s">
        <v>80</v>
      </c>
    </row>
    <row r="3037" spans="2:12">
      <c r="B3037" s="50" t="s">
        <v>444</v>
      </c>
      <c r="C3037" s="50" t="s">
        <v>51</v>
      </c>
      <c r="D3037" s="50" t="s">
        <v>27</v>
      </c>
      <c r="E3037" s="50">
        <v>50043471</v>
      </c>
      <c r="F3037" s="50" t="s">
        <v>257</v>
      </c>
      <c r="G3037" s="50">
        <v>1</v>
      </c>
      <c r="H3037" s="50" t="s">
        <v>2</v>
      </c>
      <c r="I3037" s="50" t="s">
        <v>291</v>
      </c>
      <c r="J3037" s="51">
        <v>46009</v>
      </c>
      <c r="K3037" s="50" t="s">
        <v>3</v>
      </c>
      <c r="L3037" s="50" t="s">
        <v>80</v>
      </c>
    </row>
    <row r="3038" spans="2:12">
      <c r="B3038" s="50" t="s">
        <v>418</v>
      </c>
      <c r="C3038" s="50" t="s">
        <v>26</v>
      </c>
      <c r="D3038" s="50" t="s">
        <v>27</v>
      </c>
      <c r="E3038" s="50">
        <v>50010031</v>
      </c>
      <c r="F3038" s="50" t="s">
        <v>89</v>
      </c>
      <c r="G3038" s="50">
        <v>1</v>
      </c>
      <c r="H3038" s="50" t="s">
        <v>2</v>
      </c>
      <c r="I3038" s="50" t="s">
        <v>291</v>
      </c>
      <c r="J3038" s="51">
        <v>46009</v>
      </c>
      <c r="K3038" s="50" t="s">
        <v>3</v>
      </c>
      <c r="L3038" s="50" t="s">
        <v>351</v>
      </c>
    </row>
    <row r="3039" spans="2:12">
      <c r="B3039" s="50" t="s">
        <v>418</v>
      </c>
      <c r="C3039" s="50" t="s">
        <v>26</v>
      </c>
      <c r="D3039" s="50" t="s">
        <v>27</v>
      </c>
      <c r="E3039" s="50">
        <v>50039065</v>
      </c>
      <c r="F3039" s="50" t="s">
        <v>186</v>
      </c>
      <c r="G3039" s="50">
        <v>1</v>
      </c>
      <c r="H3039" s="50" t="s">
        <v>2</v>
      </c>
      <c r="I3039" s="50" t="s">
        <v>291</v>
      </c>
      <c r="J3039" s="51">
        <v>46009</v>
      </c>
      <c r="K3039" s="50" t="s">
        <v>3</v>
      </c>
      <c r="L3039" s="50" t="s">
        <v>80</v>
      </c>
    </row>
    <row r="3040" spans="2:12">
      <c r="B3040" s="50" t="s">
        <v>422</v>
      </c>
      <c r="C3040" s="50" t="s">
        <v>26</v>
      </c>
      <c r="D3040" s="50" t="s">
        <v>27</v>
      </c>
      <c r="E3040" s="50">
        <v>50038956</v>
      </c>
      <c r="F3040" s="50" t="s">
        <v>177</v>
      </c>
      <c r="G3040" s="50">
        <v>1</v>
      </c>
      <c r="H3040" s="50" t="s">
        <v>2</v>
      </c>
      <c r="I3040" s="50" t="s">
        <v>291</v>
      </c>
      <c r="J3040" s="51">
        <v>46009</v>
      </c>
      <c r="K3040" s="50" t="s">
        <v>1</v>
      </c>
      <c r="L3040" s="50" t="s">
        <v>80</v>
      </c>
    </row>
    <row r="3041" spans="2:12">
      <c r="B3041" s="50" t="s">
        <v>413</v>
      </c>
      <c r="C3041" s="50" t="s">
        <v>51</v>
      </c>
      <c r="D3041" s="50" t="s">
        <v>39</v>
      </c>
      <c r="E3041" s="50">
        <v>50039065</v>
      </c>
      <c r="F3041" s="50" t="s">
        <v>186</v>
      </c>
      <c r="G3041" s="50">
        <v>1</v>
      </c>
      <c r="H3041" s="50" t="s">
        <v>2</v>
      </c>
      <c r="I3041" s="50" t="s">
        <v>289</v>
      </c>
      <c r="J3041" s="51">
        <v>46008</v>
      </c>
      <c r="K3041" s="50" t="s">
        <v>1</v>
      </c>
      <c r="L3041" s="50" t="s">
        <v>80</v>
      </c>
    </row>
    <row r="3042" spans="2:12">
      <c r="B3042" s="50" t="s">
        <v>407</v>
      </c>
      <c r="C3042" s="50" t="s">
        <v>26</v>
      </c>
      <c r="D3042" s="50" t="s">
        <v>39</v>
      </c>
      <c r="E3042" s="50">
        <v>50037902</v>
      </c>
      <c r="F3042" s="50" t="s">
        <v>179</v>
      </c>
      <c r="G3042" s="50">
        <v>1</v>
      </c>
      <c r="H3042" s="50" t="s">
        <v>2</v>
      </c>
      <c r="I3042" s="50" t="s">
        <v>289</v>
      </c>
      <c r="J3042" s="51">
        <v>46008</v>
      </c>
      <c r="K3042" s="50" t="s">
        <v>1</v>
      </c>
      <c r="L3042" s="50" t="s">
        <v>80</v>
      </c>
    </row>
    <row r="3043" spans="2:12">
      <c r="B3043" s="50" t="s">
        <v>411</v>
      </c>
      <c r="C3043" s="50" t="s">
        <v>26</v>
      </c>
      <c r="D3043" s="50" t="s">
        <v>27</v>
      </c>
      <c r="E3043" s="50">
        <v>50038854</v>
      </c>
      <c r="F3043" s="50" t="s">
        <v>101</v>
      </c>
      <c r="G3043" s="50">
        <v>1</v>
      </c>
      <c r="H3043" s="50" t="s">
        <v>2</v>
      </c>
      <c r="I3043" s="50" t="s">
        <v>289</v>
      </c>
      <c r="J3043" s="51">
        <v>46008</v>
      </c>
      <c r="K3043" s="50" t="s">
        <v>1</v>
      </c>
      <c r="L3043" s="50" t="s">
        <v>80</v>
      </c>
    </row>
    <row r="3044" spans="2:12">
      <c r="B3044" s="50" t="s">
        <v>427</v>
      </c>
      <c r="C3044" s="50" t="s">
        <v>26</v>
      </c>
      <c r="D3044" s="50" t="s">
        <v>27</v>
      </c>
      <c r="E3044" s="50">
        <v>50038549</v>
      </c>
      <c r="F3044" s="50" t="s">
        <v>173</v>
      </c>
      <c r="G3044" s="50">
        <v>1</v>
      </c>
      <c r="H3044" s="50" t="s">
        <v>2</v>
      </c>
      <c r="I3044" s="50" t="s">
        <v>297</v>
      </c>
      <c r="J3044" s="51">
        <v>46008</v>
      </c>
      <c r="K3044" s="50" t="s">
        <v>1</v>
      </c>
      <c r="L3044" s="50" t="s">
        <v>80</v>
      </c>
    </row>
    <row r="3045" spans="2:12">
      <c r="B3045" s="50" t="s">
        <v>444</v>
      </c>
      <c r="C3045" s="50" t="s">
        <v>51</v>
      </c>
      <c r="D3045" s="50" t="s">
        <v>27</v>
      </c>
      <c r="E3045" s="50">
        <v>50038517</v>
      </c>
      <c r="F3045" s="50" t="s">
        <v>181</v>
      </c>
      <c r="G3045" s="50">
        <v>1</v>
      </c>
      <c r="H3045" s="50" t="s">
        <v>2</v>
      </c>
      <c r="I3045" s="50" t="s">
        <v>293</v>
      </c>
      <c r="J3045" s="51">
        <v>46008</v>
      </c>
      <c r="K3045" s="50" t="s">
        <v>1</v>
      </c>
      <c r="L3045" s="50" t="s">
        <v>80</v>
      </c>
    </row>
    <row r="3046" spans="2:12">
      <c r="B3046" s="50" t="s">
        <v>407</v>
      </c>
      <c r="C3046" s="50" t="s">
        <v>26</v>
      </c>
      <c r="D3046" s="50" t="s">
        <v>39</v>
      </c>
      <c r="E3046" s="50">
        <v>50043471</v>
      </c>
      <c r="F3046" s="50" t="s">
        <v>257</v>
      </c>
      <c r="G3046" s="50">
        <v>1</v>
      </c>
      <c r="H3046" s="50" t="s">
        <v>2</v>
      </c>
      <c r="I3046" s="50" t="s">
        <v>297</v>
      </c>
      <c r="J3046" s="51">
        <v>46008</v>
      </c>
      <c r="K3046" s="50" t="s">
        <v>1</v>
      </c>
      <c r="L3046" s="50" t="s">
        <v>80</v>
      </c>
    </row>
    <row r="3047" spans="2:12">
      <c r="B3047" s="50" t="s">
        <v>410</v>
      </c>
      <c r="C3047" s="50" t="s">
        <v>51</v>
      </c>
      <c r="D3047" s="50" t="s">
        <v>27</v>
      </c>
      <c r="E3047" s="50">
        <v>50036279</v>
      </c>
      <c r="F3047" s="50" t="s">
        <v>133</v>
      </c>
      <c r="G3047" s="50">
        <v>1</v>
      </c>
      <c r="H3047" s="50" t="s">
        <v>2</v>
      </c>
      <c r="I3047" s="50" t="s">
        <v>293</v>
      </c>
      <c r="J3047" s="51">
        <v>46008</v>
      </c>
      <c r="K3047" s="50" t="s">
        <v>1</v>
      </c>
      <c r="L3047" s="50" t="s">
        <v>80</v>
      </c>
    </row>
    <row r="3048" spans="2:12">
      <c r="B3048" s="50" t="s">
        <v>439</v>
      </c>
      <c r="C3048" s="50" t="s">
        <v>62</v>
      </c>
      <c r="D3048" s="50" t="s">
        <v>27</v>
      </c>
      <c r="E3048" s="50">
        <v>50010031</v>
      </c>
      <c r="F3048" s="50" t="s">
        <v>89</v>
      </c>
      <c r="G3048" s="50">
        <v>1</v>
      </c>
      <c r="H3048" s="50" t="s">
        <v>2</v>
      </c>
      <c r="I3048" s="50" t="s">
        <v>293</v>
      </c>
      <c r="J3048" s="51">
        <v>46008</v>
      </c>
      <c r="K3048" s="50" t="s">
        <v>1</v>
      </c>
      <c r="L3048" s="50" t="s">
        <v>80</v>
      </c>
    </row>
    <row r="3049" spans="2:12">
      <c r="B3049" s="50" t="s">
        <v>423</v>
      </c>
      <c r="C3049" s="50" t="s">
        <v>62</v>
      </c>
      <c r="D3049" s="50" t="s">
        <v>27</v>
      </c>
      <c r="E3049" s="50">
        <v>50041195</v>
      </c>
      <c r="F3049" s="50" t="s">
        <v>206</v>
      </c>
      <c r="G3049" s="50">
        <v>1</v>
      </c>
      <c r="H3049" s="50" t="s">
        <v>2</v>
      </c>
      <c r="I3049" s="50" t="s">
        <v>293</v>
      </c>
      <c r="J3049" s="51">
        <v>46008</v>
      </c>
      <c r="K3049" s="50" t="s">
        <v>1</v>
      </c>
      <c r="L3049" s="50" t="s">
        <v>80</v>
      </c>
    </row>
    <row r="3050" spans="2:12">
      <c r="B3050" s="50" t="s">
        <v>386</v>
      </c>
      <c r="C3050" s="50" t="s">
        <v>62</v>
      </c>
      <c r="D3050" s="50" t="s">
        <v>27</v>
      </c>
      <c r="E3050" s="50">
        <v>50038956</v>
      </c>
      <c r="F3050" s="50" t="s">
        <v>177</v>
      </c>
      <c r="G3050" s="50">
        <v>1</v>
      </c>
      <c r="H3050" s="50" t="s">
        <v>2</v>
      </c>
      <c r="I3050" s="50" t="s">
        <v>292</v>
      </c>
      <c r="J3050" s="51">
        <v>46008</v>
      </c>
      <c r="K3050" s="50" t="s">
        <v>3</v>
      </c>
      <c r="L3050" s="50" t="s">
        <v>80</v>
      </c>
    </row>
    <row r="3051" spans="2:12">
      <c r="B3051" s="50" t="s">
        <v>413</v>
      </c>
      <c r="C3051" s="50" t="s">
        <v>51</v>
      </c>
      <c r="D3051" s="50" t="s">
        <v>39</v>
      </c>
      <c r="E3051" s="50">
        <v>50039065</v>
      </c>
      <c r="F3051" s="50" t="s">
        <v>186</v>
      </c>
      <c r="G3051" s="50">
        <v>1</v>
      </c>
      <c r="H3051" s="50" t="s">
        <v>2</v>
      </c>
      <c r="I3051" s="50" t="s">
        <v>293</v>
      </c>
      <c r="J3051" s="51">
        <v>46008</v>
      </c>
      <c r="K3051" s="50" t="s">
        <v>3</v>
      </c>
      <c r="L3051" s="50" t="s">
        <v>80</v>
      </c>
    </row>
    <row r="3052" spans="2:12">
      <c r="B3052" s="50" t="s">
        <v>386</v>
      </c>
      <c r="C3052" s="50" t="s">
        <v>62</v>
      </c>
      <c r="D3052" s="50" t="s">
        <v>27</v>
      </c>
      <c r="E3052" s="50">
        <v>50038956</v>
      </c>
      <c r="F3052" s="50" t="s">
        <v>177</v>
      </c>
      <c r="G3052" s="50">
        <v>1</v>
      </c>
      <c r="H3052" s="50" t="s">
        <v>2</v>
      </c>
      <c r="I3052" s="50" t="s">
        <v>292</v>
      </c>
      <c r="J3052" s="51">
        <v>46008</v>
      </c>
      <c r="K3052" s="50" t="s">
        <v>1</v>
      </c>
      <c r="L3052" s="50" t="s">
        <v>80</v>
      </c>
    </row>
    <row r="3053" spans="2:12">
      <c r="B3053" s="50" t="s">
        <v>483</v>
      </c>
      <c r="C3053" s="50" t="s">
        <v>62</v>
      </c>
      <c r="D3053" s="50" t="s">
        <v>27</v>
      </c>
      <c r="E3053" s="50">
        <v>50038956</v>
      </c>
      <c r="F3053" s="50" t="s">
        <v>177</v>
      </c>
      <c r="G3053" s="50">
        <v>1</v>
      </c>
      <c r="H3053" s="50" t="s">
        <v>2</v>
      </c>
      <c r="I3053" s="50" t="s">
        <v>293</v>
      </c>
      <c r="J3053" s="51">
        <v>46008</v>
      </c>
      <c r="K3053" s="50" t="s">
        <v>3</v>
      </c>
      <c r="L3053" s="50" t="s">
        <v>80</v>
      </c>
    </row>
    <row r="3054" spans="2:12">
      <c r="B3054" s="50" t="s">
        <v>411</v>
      </c>
      <c r="C3054" s="50" t="s">
        <v>26</v>
      </c>
      <c r="D3054" s="50" t="s">
        <v>27</v>
      </c>
      <c r="E3054" s="50">
        <v>50038854</v>
      </c>
      <c r="F3054" s="50" t="s">
        <v>101</v>
      </c>
      <c r="G3054" s="50">
        <v>1</v>
      </c>
      <c r="H3054" s="50" t="s">
        <v>2</v>
      </c>
      <c r="I3054" s="50" t="s">
        <v>293</v>
      </c>
      <c r="J3054" s="51">
        <v>46008</v>
      </c>
      <c r="K3054" s="50" t="s">
        <v>3</v>
      </c>
      <c r="L3054" s="50" t="s">
        <v>80</v>
      </c>
    </row>
    <row r="3055" spans="2:12">
      <c r="B3055" s="50" t="s">
        <v>410</v>
      </c>
      <c r="C3055" s="50" t="s">
        <v>51</v>
      </c>
      <c r="D3055" s="50" t="s">
        <v>27</v>
      </c>
      <c r="E3055" s="50">
        <v>50036279</v>
      </c>
      <c r="F3055" s="50" t="s">
        <v>133</v>
      </c>
      <c r="G3055" s="50">
        <v>1</v>
      </c>
      <c r="H3055" s="50" t="s">
        <v>2</v>
      </c>
      <c r="I3055" s="50" t="s">
        <v>293</v>
      </c>
      <c r="J3055" s="51">
        <v>46008</v>
      </c>
      <c r="K3055" s="50" t="s">
        <v>1</v>
      </c>
      <c r="L3055" s="50" t="s">
        <v>80</v>
      </c>
    </row>
    <row r="3056" spans="2:12">
      <c r="B3056" s="50" t="s">
        <v>25</v>
      </c>
      <c r="C3056" s="50" t="s">
        <v>26</v>
      </c>
      <c r="D3056" s="50" t="s">
        <v>27</v>
      </c>
      <c r="E3056" s="50">
        <v>50012902</v>
      </c>
      <c r="F3056" s="50" t="s">
        <v>225</v>
      </c>
      <c r="G3056" s="50">
        <v>1</v>
      </c>
      <c r="H3056" s="50" t="s">
        <v>2</v>
      </c>
      <c r="I3056" s="50" t="s">
        <v>293</v>
      </c>
      <c r="J3056" s="51">
        <v>46008</v>
      </c>
      <c r="K3056" s="50" t="s">
        <v>3</v>
      </c>
      <c r="L3056" s="50" t="s">
        <v>80</v>
      </c>
    </row>
    <row r="3057" spans="2:12">
      <c r="B3057" s="50" t="s">
        <v>407</v>
      </c>
      <c r="C3057" s="50" t="s">
        <v>26</v>
      </c>
      <c r="D3057" s="50" t="s">
        <v>39</v>
      </c>
      <c r="E3057" s="50">
        <v>50037902</v>
      </c>
      <c r="F3057" s="50" t="s">
        <v>179</v>
      </c>
      <c r="G3057" s="50">
        <v>1</v>
      </c>
      <c r="H3057" s="50" t="s">
        <v>2</v>
      </c>
      <c r="I3057" s="50" t="s">
        <v>292</v>
      </c>
      <c r="J3057" s="51">
        <v>46008</v>
      </c>
      <c r="K3057" s="50" t="s">
        <v>3</v>
      </c>
      <c r="L3057" s="50" t="s">
        <v>80</v>
      </c>
    </row>
    <row r="3058" spans="2:12">
      <c r="B3058" s="50" t="s">
        <v>407</v>
      </c>
      <c r="C3058" s="50" t="s">
        <v>26</v>
      </c>
      <c r="D3058" s="50" t="s">
        <v>39</v>
      </c>
      <c r="E3058" s="50">
        <v>50043471</v>
      </c>
      <c r="F3058" s="50" t="s">
        <v>257</v>
      </c>
      <c r="G3058" s="50">
        <v>1</v>
      </c>
      <c r="H3058" s="50" t="s">
        <v>2</v>
      </c>
      <c r="I3058" s="50" t="s">
        <v>292</v>
      </c>
      <c r="J3058" s="51">
        <v>46008</v>
      </c>
      <c r="K3058" s="50" t="s">
        <v>1</v>
      </c>
      <c r="L3058" s="50" t="s">
        <v>80</v>
      </c>
    </row>
    <row r="3059" spans="2:12">
      <c r="B3059" s="50" t="s">
        <v>25</v>
      </c>
      <c r="C3059" s="50" t="s">
        <v>26</v>
      </c>
      <c r="D3059" s="50" t="s">
        <v>27</v>
      </c>
      <c r="E3059" s="50">
        <v>50012903</v>
      </c>
      <c r="F3059" s="50" t="s">
        <v>308</v>
      </c>
      <c r="G3059" s="50">
        <v>1</v>
      </c>
      <c r="H3059" s="50" t="s">
        <v>2</v>
      </c>
      <c r="I3059" s="50" t="s">
        <v>291</v>
      </c>
      <c r="J3059" s="51">
        <v>46008</v>
      </c>
      <c r="K3059" s="50" t="s">
        <v>1</v>
      </c>
      <c r="L3059" s="50" t="s">
        <v>80</v>
      </c>
    </row>
    <row r="3060" spans="2:12">
      <c r="B3060" s="50" t="s">
        <v>428</v>
      </c>
      <c r="C3060" s="50" t="s">
        <v>26</v>
      </c>
      <c r="D3060" s="50" t="s">
        <v>27</v>
      </c>
      <c r="E3060" s="50">
        <v>50043471</v>
      </c>
      <c r="F3060" s="50" t="s">
        <v>257</v>
      </c>
      <c r="G3060" s="50">
        <v>1</v>
      </c>
      <c r="H3060" s="50" t="s">
        <v>2</v>
      </c>
      <c r="I3060" s="50" t="s">
        <v>291</v>
      </c>
      <c r="J3060" s="51">
        <v>46008</v>
      </c>
      <c r="K3060" s="50" t="s">
        <v>1</v>
      </c>
      <c r="L3060" s="50" t="s">
        <v>80</v>
      </c>
    </row>
    <row r="3061" spans="2:12">
      <c r="B3061" s="50" t="s">
        <v>428</v>
      </c>
      <c r="C3061" s="50" t="s">
        <v>26</v>
      </c>
      <c r="D3061" s="50" t="s">
        <v>27</v>
      </c>
      <c r="E3061" s="50">
        <v>50037892</v>
      </c>
      <c r="F3061" s="50" t="s">
        <v>178</v>
      </c>
      <c r="G3061" s="50">
        <v>1</v>
      </c>
      <c r="H3061" s="50" t="s">
        <v>2</v>
      </c>
      <c r="I3061" s="50" t="s">
        <v>291</v>
      </c>
      <c r="J3061" s="51">
        <v>46008</v>
      </c>
      <c r="K3061" s="50" t="s">
        <v>1</v>
      </c>
      <c r="L3061" s="50" t="s">
        <v>80</v>
      </c>
    </row>
    <row r="3062" spans="2:12">
      <c r="B3062" s="50" t="s">
        <v>411</v>
      </c>
      <c r="C3062" s="50" t="s">
        <v>26</v>
      </c>
      <c r="D3062" s="50" t="s">
        <v>27</v>
      </c>
      <c r="E3062" s="50">
        <v>50037902</v>
      </c>
      <c r="F3062" s="50" t="s">
        <v>179</v>
      </c>
      <c r="G3062" s="50">
        <v>1</v>
      </c>
      <c r="H3062" s="50" t="s">
        <v>2</v>
      </c>
      <c r="I3062" s="50" t="s">
        <v>291</v>
      </c>
      <c r="J3062" s="51">
        <v>46008</v>
      </c>
      <c r="K3062" s="50" t="s">
        <v>3</v>
      </c>
      <c r="L3062" s="50" t="s">
        <v>80</v>
      </c>
    </row>
    <row r="3063" spans="2:12">
      <c r="B3063" s="50" t="s">
        <v>25</v>
      </c>
      <c r="C3063" s="50" t="s">
        <v>26</v>
      </c>
      <c r="D3063" s="50" t="s">
        <v>27</v>
      </c>
      <c r="E3063" s="50">
        <v>50012903</v>
      </c>
      <c r="F3063" s="50" t="s">
        <v>308</v>
      </c>
      <c r="G3063" s="50">
        <v>1</v>
      </c>
      <c r="H3063" s="50" t="s">
        <v>2</v>
      </c>
      <c r="I3063" s="50" t="s">
        <v>291</v>
      </c>
      <c r="J3063" s="51">
        <v>46008</v>
      </c>
      <c r="K3063" s="50" t="s">
        <v>3</v>
      </c>
      <c r="L3063" s="50" t="s">
        <v>80</v>
      </c>
    </row>
    <row r="3064" spans="2:12">
      <c r="B3064" s="50" t="s">
        <v>427</v>
      </c>
      <c r="C3064" s="50" t="s">
        <v>26</v>
      </c>
      <c r="D3064" s="50" t="s">
        <v>27</v>
      </c>
      <c r="E3064" s="50">
        <v>50038549</v>
      </c>
      <c r="F3064" s="50" t="s">
        <v>173</v>
      </c>
      <c r="G3064" s="50">
        <v>1</v>
      </c>
      <c r="H3064" s="50" t="s">
        <v>2</v>
      </c>
      <c r="I3064" s="50" t="s">
        <v>291</v>
      </c>
      <c r="J3064" s="51">
        <v>46008</v>
      </c>
      <c r="K3064" s="50" t="s">
        <v>3</v>
      </c>
      <c r="L3064" s="50" t="s">
        <v>80</v>
      </c>
    </row>
    <row r="3065" spans="2:12">
      <c r="B3065" s="50" t="s">
        <v>25</v>
      </c>
      <c r="C3065" s="50" t="s">
        <v>26</v>
      </c>
      <c r="D3065" s="50" t="s">
        <v>27</v>
      </c>
      <c r="E3065" s="50">
        <v>50012902</v>
      </c>
      <c r="F3065" s="50" t="s">
        <v>225</v>
      </c>
      <c r="G3065" s="50">
        <v>1</v>
      </c>
      <c r="H3065" s="50" t="s">
        <v>2</v>
      </c>
      <c r="I3065" s="50" t="s">
        <v>291</v>
      </c>
      <c r="J3065" s="51">
        <v>46008</v>
      </c>
      <c r="K3065" s="50" t="s">
        <v>3</v>
      </c>
      <c r="L3065" s="50" t="s">
        <v>80</v>
      </c>
    </row>
    <row r="3066" spans="2:12">
      <c r="B3066" s="50" t="s">
        <v>439</v>
      </c>
      <c r="C3066" s="50" t="s">
        <v>62</v>
      </c>
      <c r="D3066" s="50" t="s">
        <v>27</v>
      </c>
      <c r="E3066" s="50">
        <v>50010031</v>
      </c>
      <c r="F3066" s="50" t="s">
        <v>89</v>
      </c>
      <c r="G3066" s="50">
        <v>1</v>
      </c>
      <c r="H3066" s="50" t="s">
        <v>2</v>
      </c>
      <c r="I3066" s="50" t="s">
        <v>291</v>
      </c>
      <c r="J3066" s="51">
        <v>46008</v>
      </c>
      <c r="K3066" s="50" t="s">
        <v>3</v>
      </c>
      <c r="L3066" s="50" t="s">
        <v>80</v>
      </c>
    </row>
    <row r="3067" spans="2:12" s="52" customFormat="1">
      <c r="B3067" s="50" t="s">
        <v>411</v>
      </c>
      <c r="C3067" s="50" t="s">
        <v>26</v>
      </c>
      <c r="D3067" s="50" t="s">
        <v>27</v>
      </c>
      <c r="E3067" s="50">
        <v>50037902</v>
      </c>
      <c r="F3067" s="50" t="s">
        <v>179</v>
      </c>
      <c r="G3067" s="50">
        <v>1</v>
      </c>
      <c r="H3067" s="50" t="s">
        <v>2</v>
      </c>
      <c r="I3067" s="50" t="s">
        <v>291</v>
      </c>
      <c r="J3067" s="51">
        <v>46008</v>
      </c>
      <c r="K3067" s="50" t="s">
        <v>3</v>
      </c>
      <c r="L3067" s="50" t="s">
        <v>80</v>
      </c>
    </row>
    <row r="3068" spans="2:12" s="52" customFormat="1">
      <c r="B3068" s="50" t="s">
        <v>444</v>
      </c>
      <c r="C3068" s="50" t="s">
        <v>51</v>
      </c>
      <c r="D3068" s="50" t="s">
        <v>27</v>
      </c>
      <c r="E3068" s="50">
        <v>50038517</v>
      </c>
      <c r="F3068" s="50" t="s">
        <v>181</v>
      </c>
      <c r="G3068" s="50">
        <v>1</v>
      </c>
      <c r="H3068" s="50" t="s">
        <v>2</v>
      </c>
      <c r="I3068" s="50" t="s">
        <v>291</v>
      </c>
      <c r="J3068" s="51">
        <v>46008</v>
      </c>
      <c r="K3068" s="50" t="s">
        <v>3</v>
      </c>
      <c r="L3068" s="50" t="s">
        <v>80</v>
      </c>
    </row>
    <row r="3069" spans="2:12">
      <c r="B3069" s="50" t="s">
        <v>483</v>
      </c>
      <c r="C3069" s="50" t="s">
        <v>62</v>
      </c>
      <c r="D3069" s="50" t="s">
        <v>27</v>
      </c>
      <c r="E3069" s="50">
        <v>50038956</v>
      </c>
      <c r="F3069" s="50" t="s">
        <v>177</v>
      </c>
      <c r="G3069" s="50">
        <v>1</v>
      </c>
      <c r="H3069" s="50" t="s">
        <v>2</v>
      </c>
      <c r="I3069" s="50" t="s">
        <v>291</v>
      </c>
      <c r="J3069" s="51">
        <v>46008</v>
      </c>
      <c r="K3069" s="50" t="s">
        <v>3</v>
      </c>
      <c r="L3069" s="50" t="s">
        <v>80</v>
      </c>
    </row>
    <row r="3070" spans="2:12">
      <c r="B3070" s="50" t="s">
        <v>423</v>
      </c>
      <c r="C3070" s="50" t="s">
        <v>62</v>
      </c>
      <c r="D3070" s="50" t="s">
        <v>27</v>
      </c>
      <c r="E3070" s="50">
        <v>50041195</v>
      </c>
      <c r="F3070" s="50" t="s">
        <v>206</v>
      </c>
      <c r="G3070" s="50">
        <v>1</v>
      </c>
      <c r="H3070" s="50" t="s">
        <v>2</v>
      </c>
      <c r="I3070" s="50" t="s">
        <v>291</v>
      </c>
      <c r="J3070" s="51">
        <v>46008</v>
      </c>
      <c r="K3070" s="50" t="s">
        <v>3</v>
      </c>
      <c r="L3070" s="50" t="s">
        <v>80</v>
      </c>
    </row>
    <row r="3071" spans="2:12">
      <c r="B3071" s="50" t="s">
        <v>428</v>
      </c>
      <c r="C3071" s="50" t="s">
        <v>26</v>
      </c>
      <c r="D3071" s="50" t="s">
        <v>27</v>
      </c>
      <c r="E3071" s="50">
        <v>50043471</v>
      </c>
      <c r="F3071" s="50" t="s">
        <v>257</v>
      </c>
      <c r="G3071" s="50">
        <v>1</v>
      </c>
      <c r="H3071" s="50" t="s">
        <v>2</v>
      </c>
      <c r="I3071" s="50" t="s">
        <v>291</v>
      </c>
      <c r="J3071" s="51">
        <v>46008</v>
      </c>
      <c r="K3071" s="50" t="s">
        <v>3</v>
      </c>
      <c r="L3071" s="50" t="s">
        <v>80</v>
      </c>
    </row>
    <row r="3072" spans="2:12">
      <c r="B3072" s="50" t="s">
        <v>428</v>
      </c>
      <c r="C3072" s="50" t="s">
        <v>26</v>
      </c>
      <c r="D3072" s="50" t="s">
        <v>27</v>
      </c>
      <c r="E3072" s="50">
        <v>50037892</v>
      </c>
      <c r="F3072" s="50" t="s">
        <v>178</v>
      </c>
      <c r="G3072" s="50">
        <v>1</v>
      </c>
      <c r="H3072" s="50" t="s">
        <v>2</v>
      </c>
      <c r="I3072" s="50" t="s">
        <v>291</v>
      </c>
      <c r="J3072" s="51">
        <v>46008</v>
      </c>
      <c r="K3072" s="50" t="s">
        <v>1</v>
      </c>
      <c r="L3072" s="50" t="s">
        <v>80</v>
      </c>
    </row>
    <row r="3073" spans="2:12">
      <c r="B3073" s="50" t="s">
        <v>446</v>
      </c>
      <c r="C3073" s="50" t="s">
        <v>56</v>
      </c>
      <c r="D3073" s="50" t="s">
        <v>27</v>
      </c>
      <c r="E3073" s="50">
        <v>50010031</v>
      </c>
      <c r="F3073" s="50" t="s">
        <v>89</v>
      </c>
      <c r="G3073" s="50">
        <v>1</v>
      </c>
      <c r="H3073" s="50" t="s">
        <v>2</v>
      </c>
      <c r="I3073" s="50" t="s">
        <v>291</v>
      </c>
      <c r="J3073" s="51">
        <v>46007</v>
      </c>
      <c r="K3073" s="50" t="s">
        <v>1</v>
      </c>
      <c r="L3073" s="50" t="s">
        <v>350</v>
      </c>
    </row>
    <row r="3074" spans="2:12">
      <c r="B3074" s="50" t="s">
        <v>413</v>
      </c>
      <c r="C3074" s="50" t="s">
        <v>51</v>
      </c>
      <c r="D3074" s="50" t="s">
        <v>39</v>
      </c>
      <c r="E3074" s="50">
        <v>50040566</v>
      </c>
      <c r="F3074" s="50" t="s">
        <v>210</v>
      </c>
      <c r="G3074" s="50">
        <v>1</v>
      </c>
      <c r="H3074" s="50" t="s">
        <v>2</v>
      </c>
      <c r="I3074" s="50" t="s">
        <v>291</v>
      </c>
      <c r="J3074" s="51">
        <v>46007</v>
      </c>
      <c r="K3074" s="50" t="s">
        <v>1</v>
      </c>
      <c r="L3074" s="50" t="s">
        <v>80</v>
      </c>
    </row>
    <row r="3075" spans="2:12">
      <c r="B3075" s="50" t="s">
        <v>434</v>
      </c>
      <c r="C3075" s="50" t="s">
        <v>51</v>
      </c>
      <c r="D3075" s="50" t="s">
        <v>39</v>
      </c>
      <c r="E3075" s="50">
        <v>50028220</v>
      </c>
      <c r="F3075" s="50" t="s">
        <v>242</v>
      </c>
      <c r="G3075" s="50">
        <v>1</v>
      </c>
      <c r="H3075" s="50" t="s">
        <v>2</v>
      </c>
      <c r="I3075" s="50" t="s">
        <v>291</v>
      </c>
      <c r="J3075" s="51">
        <v>46007</v>
      </c>
      <c r="K3075" s="50" t="s">
        <v>3</v>
      </c>
      <c r="L3075" s="50" t="s">
        <v>80</v>
      </c>
    </row>
    <row r="3076" spans="2:12">
      <c r="B3076" s="50" t="s">
        <v>413</v>
      </c>
      <c r="C3076" s="50" t="s">
        <v>51</v>
      </c>
      <c r="D3076" s="50" t="s">
        <v>39</v>
      </c>
      <c r="E3076" s="50">
        <v>50040566</v>
      </c>
      <c r="F3076" s="50" t="s">
        <v>210</v>
      </c>
      <c r="G3076" s="50">
        <v>1</v>
      </c>
      <c r="H3076" s="50" t="s">
        <v>2</v>
      </c>
      <c r="I3076" s="50" t="s">
        <v>293</v>
      </c>
      <c r="J3076" s="51">
        <v>46007</v>
      </c>
      <c r="K3076" s="50" t="s">
        <v>1</v>
      </c>
      <c r="L3076" s="50" t="s">
        <v>80</v>
      </c>
    </row>
    <row r="3077" spans="2:12">
      <c r="B3077" s="50" t="s">
        <v>483</v>
      </c>
      <c r="C3077" s="50" t="s">
        <v>62</v>
      </c>
      <c r="D3077" s="50" t="s">
        <v>27</v>
      </c>
      <c r="E3077" s="50">
        <v>50038841</v>
      </c>
      <c r="F3077" s="50" t="s">
        <v>180</v>
      </c>
      <c r="G3077" s="50">
        <v>1</v>
      </c>
      <c r="H3077" s="50" t="s">
        <v>2</v>
      </c>
      <c r="I3077" s="50" t="s">
        <v>290</v>
      </c>
      <c r="J3077" s="51">
        <v>46007</v>
      </c>
      <c r="K3077" s="50" t="s">
        <v>1</v>
      </c>
      <c r="L3077" s="50" t="s">
        <v>80</v>
      </c>
    </row>
    <row r="3078" spans="2:12">
      <c r="B3078" s="50" t="s">
        <v>483</v>
      </c>
      <c r="C3078" s="50" t="s">
        <v>62</v>
      </c>
      <c r="D3078" s="50" t="s">
        <v>27</v>
      </c>
      <c r="E3078" s="50">
        <v>50038517</v>
      </c>
      <c r="F3078" s="50" t="s">
        <v>181</v>
      </c>
      <c r="G3078" s="50">
        <v>1</v>
      </c>
      <c r="H3078" s="50" t="s">
        <v>2</v>
      </c>
      <c r="I3078" s="50" t="s">
        <v>293</v>
      </c>
      <c r="J3078" s="51">
        <v>46007</v>
      </c>
      <c r="K3078" s="50" t="s">
        <v>1</v>
      </c>
      <c r="L3078" s="50" t="s">
        <v>80</v>
      </c>
    </row>
    <row r="3079" spans="2:12">
      <c r="B3079" s="50" t="s">
        <v>481</v>
      </c>
      <c r="C3079" s="50" t="s">
        <v>56</v>
      </c>
      <c r="D3079" s="50" t="s">
        <v>27</v>
      </c>
      <c r="E3079" s="50">
        <v>50041195</v>
      </c>
      <c r="F3079" s="50" t="s">
        <v>206</v>
      </c>
      <c r="G3079" s="50">
        <v>1</v>
      </c>
      <c r="H3079" s="50" t="s">
        <v>2</v>
      </c>
      <c r="I3079" s="50" t="s">
        <v>292</v>
      </c>
      <c r="J3079" s="51">
        <v>46007</v>
      </c>
      <c r="K3079" s="50" t="s">
        <v>1</v>
      </c>
      <c r="L3079" s="50" t="s">
        <v>80</v>
      </c>
    </row>
    <row r="3080" spans="2:12">
      <c r="B3080" s="50" t="s">
        <v>481</v>
      </c>
      <c r="C3080" s="50" t="s">
        <v>26</v>
      </c>
      <c r="D3080" s="50" t="s">
        <v>27</v>
      </c>
      <c r="E3080" s="50">
        <v>50029865</v>
      </c>
      <c r="F3080" s="50" t="s">
        <v>162</v>
      </c>
      <c r="G3080" s="50">
        <v>1</v>
      </c>
      <c r="H3080" s="50" t="s">
        <v>2</v>
      </c>
      <c r="I3080" s="50" t="s">
        <v>292</v>
      </c>
      <c r="J3080" s="51">
        <v>46007</v>
      </c>
      <c r="K3080" s="50" t="s">
        <v>1</v>
      </c>
      <c r="L3080" s="50" t="s">
        <v>80</v>
      </c>
    </row>
    <row r="3081" spans="2:12">
      <c r="B3081" s="50" t="s">
        <v>316</v>
      </c>
      <c r="C3081" s="50" t="s">
        <v>51</v>
      </c>
      <c r="D3081" s="50" t="s">
        <v>27</v>
      </c>
      <c r="E3081" s="50">
        <v>50037902</v>
      </c>
      <c r="F3081" s="50" t="s">
        <v>179</v>
      </c>
      <c r="G3081" s="50">
        <v>1</v>
      </c>
      <c r="H3081" s="50" t="s">
        <v>2</v>
      </c>
      <c r="I3081" s="50" t="s">
        <v>293</v>
      </c>
      <c r="J3081" s="51">
        <v>46007</v>
      </c>
      <c r="K3081" s="50" t="s">
        <v>3</v>
      </c>
      <c r="L3081" s="50" t="s">
        <v>80</v>
      </c>
    </row>
    <row r="3082" spans="2:12">
      <c r="B3082" s="50" t="s">
        <v>434</v>
      </c>
      <c r="C3082" s="50" t="s">
        <v>51</v>
      </c>
      <c r="D3082" s="50" t="s">
        <v>39</v>
      </c>
      <c r="E3082" s="50">
        <v>50028220</v>
      </c>
      <c r="F3082" s="50" t="s">
        <v>242</v>
      </c>
      <c r="G3082" s="50">
        <v>1</v>
      </c>
      <c r="H3082" s="50" t="s">
        <v>2</v>
      </c>
      <c r="I3082" s="50" t="s">
        <v>293</v>
      </c>
      <c r="J3082" s="51">
        <v>46007</v>
      </c>
      <c r="K3082" s="50" t="s">
        <v>3</v>
      </c>
      <c r="L3082" s="50" t="s">
        <v>80</v>
      </c>
    </row>
    <row r="3083" spans="2:12">
      <c r="B3083" s="50" t="s">
        <v>481</v>
      </c>
      <c r="C3083" s="50" t="s">
        <v>26</v>
      </c>
      <c r="D3083" s="50" t="s">
        <v>27</v>
      </c>
      <c r="E3083" s="50">
        <v>50029865</v>
      </c>
      <c r="F3083" s="50" t="s">
        <v>162</v>
      </c>
      <c r="G3083" s="50">
        <v>1</v>
      </c>
      <c r="H3083" s="50" t="s">
        <v>2</v>
      </c>
      <c r="I3083" s="50" t="s">
        <v>292</v>
      </c>
      <c r="J3083" s="51">
        <v>46007</v>
      </c>
      <c r="K3083" s="50" t="s">
        <v>3</v>
      </c>
      <c r="L3083" s="50" t="s">
        <v>80</v>
      </c>
    </row>
    <row r="3084" spans="2:12">
      <c r="B3084" s="50" t="s">
        <v>481</v>
      </c>
      <c r="C3084" s="50" t="s">
        <v>56</v>
      </c>
      <c r="D3084" s="50" t="s">
        <v>27</v>
      </c>
      <c r="E3084" s="50">
        <v>50041195</v>
      </c>
      <c r="F3084" s="50" t="s">
        <v>206</v>
      </c>
      <c r="G3084" s="50">
        <v>1</v>
      </c>
      <c r="H3084" s="50" t="s">
        <v>2</v>
      </c>
      <c r="I3084" s="50" t="s">
        <v>292</v>
      </c>
      <c r="J3084" s="51">
        <v>46007</v>
      </c>
      <c r="K3084" s="50" t="s">
        <v>1</v>
      </c>
      <c r="L3084" s="50" t="s">
        <v>80</v>
      </c>
    </row>
    <row r="3085" spans="2:12">
      <c r="B3085" s="50" t="s">
        <v>316</v>
      </c>
      <c r="C3085" s="50" t="s">
        <v>56</v>
      </c>
      <c r="D3085" s="50" t="s">
        <v>27</v>
      </c>
      <c r="E3085" s="50">
        <v>50043320</v>
      </c>
      <c r="F3085" s="50" t="s">
        <v>264</v>
      </c>
      <c r="G3085" s="50">
        <v>1</v>
      </c>
      <c r="H3085" s="50" t="s">
        <v>2</v>
      </c>
      <c r="I3085" s="50" t="s">
        <v>293</v>
      </c>
      <c r="J3085" s="51">
        <v>46007</v>
      </c>
      <c r="K3085" s="50" t="s">
        <v>1</v>
      </c>
      <c r="L3085" s="50" t="s">
        <v>80</v>
      </c>
    </row>
    <row r="3086" spans="2:12">
      <c r="B3086" s="50" t="s">
        <v>316</v>
      </c>
      <c r="C3086" s="50" t="s">
        <v>56</v>
      </c>
      <c r="D3086" s="50" t="s">
        <v>27</v>
      </c>
      <c r="E3086" s="50">
        <v>50041195</v>
      </c>
      <c r="F3086" s="50" t="s">
        <v>206</v>
      </c>
      <c r="G3086" s="50">
        <v>1</v>
      </c>
      <c r="H3086" s="50" t="s">
        <v>2</v>
      </c>
      <c r="I3086" s="50" t="s">
        <v>293</v>
      </c>
      <c r="J3086" s="51">
        <v>46007</v>
      </c>
      <c r="K3086" s="50" t="s">
        <v>1</v>
      </c>
      <c r="L3086" s="50" t="s">
        <v>80</v>
      </c>
    </row>
    <row r="3087" spans="2:12">
      <c r="B3087" s="50" t="s">
        <v>427</v>
      </c>
      <c r="C3087" s="50" t="s">
        <v>26</v>
      </c>
      <c r="D3087" s="50" t="s">
        <v>27</v>
      </c>
      <c r="E3087" s="50">
        <v>50003297</v>
      </c>
      <c r="F3087" s="50" t="s">
        <v>158</v>
      </c>
      <c r="G3087" s="50">
        <v>1</v>
      </c>
      <c r="H3087" s="50" t="s">
        <v>2</v>
      </c>
      <c r="I3087" s="50" t="s">
        <v>293</v>
      </c>
      <c r="J3087" s="51">
        <v>46007</v>
      </c>
      <c r="K3087" s="50" t="s">
        <v>1</v>
      </c>
      <c r="L3087" s="50" t="s">
        <v>80</v>
      </c>
    </row>
    <row r="3088" spans="2:12">
      <c r="B3088" s="50" t="s">
        <v>481</v>
      </c>
      <c r="C3088" s="50" t="s">
        <v>26</v>
      </c>
      <c r="D3088" s="50" t="s">
        <v>27</v>
      </c>
      <c r="E3088" s="50">
        <v>50038549</v>
      </c>
      <c r="F3088" s="50" t="s">
        <v>173</v>
      </c>
      <c r="G3088" s="50">
        <v>1</v>
      </c>
      <c r="H3088" s="50" t="s">
        <v>2</v>
      </c>
      <c r="I3088" s="50" t="s">
        <v>293</v>
      </c>
      <c r="J3088" s="51">
        <v>46007</v>
      </c>
      <c r="K3088" s="50" t="s">
        <v>1</v>
      </c>
      <c r="L3088" s="50" t="s">
        <v>80</v>
      </c>
    </row>
    <row r="3089" spans="2:12">
      <c r="B3089" s="50" t="s">
        <v>407</v>
      </c>
      <c r="C3089" s="50" t="s">
        <v>26</v>
      </c>
      <c r="D3089" s="50" t="s">
        <v>39</v>
      </c>
      <c r="E3089" s="50">
        <v>50022878</v>
      </c>
      <c r="F3089" s="50" t="s">
        <v>296</v>
      </c>
      <c r="G3089" s="50">
        <v>1</v>
      </c>
      <c r="H3089" s="50" t="s">
        <v>2</v>
      </c>
      <c r="I3089" s="50" t="s">
        <v>293</v>
      </c>
      <c r="J3089" s="51">
        <v>46007</v>
      </c>
      <c r="K3089" s="50" t="s">
        <v>3</v>
      </c>
      <c r="L3089" s="50" t="s">
        <v>80</v>
      </c>
    </row>
    <row r="3090" spans="2:12">
      <c r="B3090" s="50" t="s">
        <v>407</v>
      </c>
      <c r="C3090" s="50" t="s">
        <v>26</v>
      </c>
      <c r="D3090" s="50" t="s">
        <v>39</v>
      </c>
      <c r="E3090" s="50">
        <v>50022878</v>
      </c>
      <c r="F3090" s="50" t="s">
        <v>296</v>
      </c>
      <c r="G3090" s="50">
        <v>1</v>
      </c>
      <c r="H3090" s="50" t="s">
        <v>2</v>
      </c>
      <c r="I3090" s="50" t="s">
        <v>293</v>
      </c>
      <c r="J3090" s="51">
        <v>46007</v>
      </c>
      <c r="K3090" s="50" t="s">
        <v>3</v>
      </c>
      <c r="L3090" s="50" t="s">
        <v>80</v>
      </c>
    </row>
    <row r="3091" spans="2:12">
      <c r="B3091" s="50" t="s">
        <v>316</v>
      </c>
      <c r="C3091" s="50" t="s">
        <v>51</v>
      </c>
      <c r="D3091" s="50" t="s">
        <v>27</v>
      </c>
      <c r="E3091" s="50">
        <v>50037902</v>
      </c>
      <c r="F3091" s="50" t="s">
        <v>179</v>
      </c>
      <c r="G3091" s="50">
        <v>1</v>
      </c>
      <c r="H3091" s="50" t="s">
        <v>2</v>
      </c>
      <c r="I3091" s="50" t="s">
        <v>293</v>
      </c>
      <c r="J3091" s="51">
        <v>46007</v>
      </c>
      <c r="K3091" s="50" t="s">
        <v>1</v>
      </c>
      <c r="L3091" s="50" t="s">
        <v>80</v>
      </c>
    </row>
    <row r="3092" spans="2:12">
      <c r="B3092" s="50" t="s">
        <v>444</v>
      </c>
      <c r="C3092" s="50" t="s">
        <v>51</v>
      </c>
      <c r="D3092" s="50" t="s">
        <v>27</v>
      </c>
      <c r="E3092" s="50">
        <v>50037892</v>
      </c>
      <c r="F3092" s="50" t="s">
        <v>178</v>
      </c>
      <c r="G3092" s="50">
        <v>1</v>
      </c>
      <c r="H3092" s="50" t="s">
        <v>2</v>
      </c>
      <c r="I3092" s="50" t="s">
        <v>292</v>
      </c>
      <c r="J3092" s="51">
        <v>46007</v>
      </c>
      <c r="K3092" s="50" t="s">
        <v>1</v>
      </c>
      <c r="L3092" s="50" t="s">
        <v>80</v>
      </c>
    </row>
    <row r="3093" spans="2:12">
      <c r="B3093" s="50" t="s">
        <v>428</v>
      </c>
      <c r="C3093" s="50" t="s">
        <v>26</v>
      </c>
      <c r="D3093" s="50" t="s">
        <v>27</v>
      </c>
      <c r="E3093" s="50">
        <v>50030486</v>
      </c>
      <c r="F3093" s="50" t="s">
        <v>153</v>
      </c>
      <c r="G3093" s="50">
        <v>1</v>
      </c>
      <c r="H3093" s="50" t="s">
        <v>2</v>
      </c>
      <c r="I3093" s="50" t="s">
        <v>288</v>
      </c>
      <c r="J3093" s="51">
        <v>46007</v>
      </c>
      <c r="K3093" s="50" t="s">
        <v>1</v>
      </c>
      <c r="L3093" s="50" t="s">
        <v>80</v>
      </c>
    </row>
    <row r="3094" spans="2:12">
      <c r="B3094" s="50" t="s">
        <v>422</v>
      </c>
      <c r="C3094" s="50" t="s">
        <v>26</v>
      </c>
      <c r="D3094" s="50" t="s">
        <v>27</v>
      </c>
      <c r="E3094" s="50">
        <v>50003173</v>
      </c>
      <c r="F3094" s="50" t="s">
        <v>74</v>
      </c>
      <c r="G3094" s="50">
        <v>1</v>
      </c>
      <c r="H3094" s="50" t="s">
        <v>2</v>
      </c>
      <c r="I3094" s="50" t="s">
        <v>288</v>
      </c>
      <c r="J3094" s="51">
        <v>46007</v>
      </c>
      <c r="K3094" s="50" t="s">
        <v>3</v>
      </c>
      <c r="L3094" s="50" t="s">
        <v>80</v>
      </c>
    </row>
    <row r="3095" spans="2:12">
      <c r="B3095" s="50" t="s">
        <v>428</v>
      </c>
      <c r="C3095" s="50" t="s">
        <v>26</v>
      </c>
      <c r="D3095" s="50" t="s">
        <v>27</v>
      </c>
      <c r="E3095" s="50">
        <v>50030486</v>
      </c>
      <c r="F3095" s="50" t="s">
        <v>153</v>
      </c>
      <c r="G3095" s="50">
        <v>1</v>
      </c>
      <c r="H3095" s="50" t="s">
        <v>2</v>
      </c>
      <c r="I3095" s="50" t="s">
        <v>288</v>
      </c>
      <c r="J3095" s="51">
        <v>46007</v>
      </c>
      <c r="K3095" s="50" t="s">
        <v>3</v>
      </c>
      <c r="L3095" s="50" t="s">
        <v>80</v>
      </c>
    </row>
    <row r="3096" spans="2:12">
      <c r="B3096" s="50" t="s">
        <v>316</v>
      </c>
      <c r="C3096" s="50" t="s">
        <v>56</v>
      </c>
      <c r="D3096" s="50" t="s">
        <v>27</v>
      </c>
      <c r="E3096" s="50">
        <v>50043320</v>
      </c>
      <c r="F3096" s="50" t="s">
        <v>264</v>
      </c>
      <c r="G3096" s="50">
        <v>1</v>
      </c>
      <c r="H3096" s="50" t="s">
        <v>2</v>
      </c>
      <c r="I3096" s="50" t="s">
        <v>288</v>
      </c>
      <c r="J3096" s="51">
        <v>46007</v>
      </c>
      <c r="K3096" s="50" t="s">
        <v>3</v>
      </c>
      <c r="L3096" s="50" t="s">
        <v>80</v>
      </c>
    </row>
    <row r="3097" spans="2:12">
      <c r="B3097" s="50" t="s">
        <v>483</v>
      </c>
      <c r="C3097" s="50" t="s">
        <v>62</v>
      </c>
      <c r="D3097" s="50" t="s">
        <v>27</v>
      </c>
      <c r="E3097" s="50">
        <v>50038517</v>
      </c>
      <c r="F3097" s="50" t="s">
        <v>181</v>
      </c>
      <c r="G3097" s="50">
        <v>1</v>
      </c>
      <c r="H3097" s="50" t="s">
        <v>2</v>
      </c>
      <c r="I3097" s="50" t="s">
        <v>288</v>
      </c>
      <c r="J3097" s="51">
        <v>46007</v>
      </c>
      <c r="K3097" s="50" t="s">
        <v>3</v>
      </c>
      <c r="L3097" s="50" t="s">
        <v>80</v>
      </c>
    </row>
    <row r="3098" spans="2:12">
      <c r="B3098" s="50" t="s">
        <v>481</v>
      </c>
      <c r="C3098" s="50" t="s">
        <v>26</v>
      </c>
      <c r="D3098" s="50" t="s">
        <v>27</v>
      </c>
      <c r="E3098" s="50">
        <v>50038549</v>
      </c>
      <c r="F3098" s="50" t="s">
        <v>173</v>
      </c>
      <c r="G3098" s="50">
        <v>1</v>
      </c>
      <c r="H3098" s="50" t="s">
        <v>2</v>
      </c>
      <c r="I3098" s="50" t="s">
        <v>288</v>
      </c>
      <c r="J3098" s="51">
        <v>46007</v>
      </c>
      <c r="K3098" s="50" t="s">
        <v>3</v>
      </c>
      <c r="L3098" s="50" t="s">
        <v>80</v>
      </c>
    </row>
    <row r="3099" spans="2:12">
      <c r="B3099" s="50" t="s">
        <v>483</v>
      </c>
      <c r="C3099" s="50" t="s">
        <v>62</v>
      </c>
      <c r="D3099" s="50" t="s">
        <v>27</v>
      </c>
      <c r="E3099" s="50">
        <v>50038841</v>
      </c>
      <c r="F3099" s="50" t="s">
        <v>180</v>
      </c>
      <c r="G3099" s="50">
        <v>1</v>
      </c>
      <c r="H3099" s="50" t="s">
        <v>2</v>
      </c>
      <c r="I3099" s="50" t="s">
        <v>288</v>
      </c>
      <c r="J3099" s="51">
        <v>46007</v>
      </c>
      <c r="K3099" s="50" t="s">
        <v>3</v>
      </c>
      <c r="L3099" s="50" t="s">
        <v>80</v>
      </c>
    </row>
    <row r="3100" spans="2:12">
      <c r="B3100" s="50" t="s">
        <v>446</v>
      </c>
      <c r="C3100" s="50" t="s">
        <v>56</v>
      </c>
      <c r="D3100" s="50" t="s">
        <v>27</v>
      </c>
      <c r="E3100" s="50">
        <v>50010031</v>
      </c>
      <c r="F3100" s="50" t="s">
        <v>89</v>
      </c>
      <c r="G3100" s="50">
        <v>1</v>
      </c>
      <c r="H3100" s="50" t="s">
        <v>2</v>
      </c>
      <c r="I3100" s="50" t="s">
        <v>288</v>
      </c>
      <c r="J3100" s="51">
        <v>46007</v>
      </c>
      <c r="K3100" s="50" t="s">
        <v>3</v>
      </c>
      <c r="L3100" s="50" t="s">
        <v>80</v>
      </c>
    </row>
    <row r="3101" spans="2:12">
      <c r="B3101" s="50" t="s">
        <v>422</v>
      </c>
      <c r="C3101" s="50" t="s">
        <v>26</v>
      </c>
      <c r="D3101" s="50" t="s">
        <v>27</v>
      </c>
      <c r="E3101" s="50">
        <v>50003173</v>
      </c>
      <c r="F3101" s="50" t="s">
        <v>74</v>
      </c>
      <c r="G3101" s="50">
        <v>1</v>
      </c>
      <c r="H3101" s="50" t="s">
        <v>2</v>
      </c>
      <c r="I3101" s="50" t="s">
        <v>288</v>
      </c>
      <c r="J3101" s="51">
        <v>46007</v>
      </c>
      <c r="K3101" s="50" t="s">
        <v>3</v>
      </c>
      <c r="L3101" s="50" t="s">
        <v>80</v>
      </c>
    </row>
    <row r="3102" spans="2:12">
      <c r="B3102" s="50" t="s">
        <v>427</v>
      </c>
      <c r="C3102" s="50" t="s">
        <v>26</v>
      </c>
      <c r="D3102" s="50" t="s">
        <v>27</v>
      </c>
      <c r="E3102" s="50">
        <v>50003297</v>
      </c>
      <c r="F3102" s="50" t="s">
        <v>158</v>
      </c>
      <c r="G3102" s="50">
        <v>1</v>
      </c>
      <c r="H3102" s="50" t="s">
        <v>2</v>
      </c>
      <c r="I3102" s="50" t="s">
        <v>288</v>
      </c>
      <c r="J3102" s="51">
        <v>46007</v>
      </c>
      <c r="K3102" s="50" t="s">
        <v>86</v>
      </c>
      <c r="L3102" s="50" t="s">
        <v>80</v>
      </c>
    </row>
    <row r="3103" spans="2:12">
      <c r="B3103" s="50" t="s">
        <v>316</v>
      </c>
      <c r="C3103" s="50" t="s">
        <v>56</v>
      </c>
      <c r="D3103" s="50" t="s">
        <v>27</v>
      </c>
      <c r="E3103" s="50">
        <v>50041195</v>
      </c>
      <c r="F3103" s="50" t="s">
        <v>206</v>
      </c>
      <c r="G3103" s="50">
        <v>1</v>
      </c>
      <c r="H3103" s="50" t="s">
        <v>2</v>
      </c>
      <c r="I3103" s="50" t="s">
        <v>288</v>
      </c>
      <c r="J3103" s="51">
        <v>46007</v>
      </c>
      <c r="K3103" s="50" t="s">
        <v>86</v>
      </c>
      <c r="L3103" s="50" t="s">
        <v>80</v>
      </c>
    </row>
    <row r="3104" spans="2:12">
      <c r="B3104" s="50" t="s">
        <v>407</v>
      </c>
      <c r="C3104" s="50" t="s">
        <v>56</v>
      </c>
      <c r="D3104" s="50" t="s">
        <v>39</v>
      </c>
      <c r="E3104" s="50">
        <v>50029865</v>
      </c>
      <c r="F3104" s="50" t="s">
        <v>162</v>
      </c>
      <c r="G3104" s="50">
        <v>1</v>
      </c>
      <c r="H3104" s="50" t="s">
        <v>2</v>
      </c>
      <c r="I3104" s="50" t="s">
        <v>293</v>
      </c>
      <c r="J3104" s="51">
        <v>46006</v>
      </c>
      <c r="K3104" s="50" t="s">
        <v>86</v>
      </c>
      <c r="L3104" s="50" t="s">
        <v>80</v>
      </c>
    </row>
    <row r="3105" spans="2:12">
      <c r="B3105" s="50" t="s">
        <v>427</v>
      </c>
      <c r="C3105" s="50" t="s">
        <v>26</v>
      </c>
      <c r="D3105" s="50" t="s">
        <v>27</v>
      </c>
      <c r="E3105" s="50">
        <v>50003297</v>
      </c>
      <c r="F3105" s="50" t="s">
        <v>158</v>
      </c>
      <c r="G3105" s="50">
        <v>1</v>
      </c>
      <c r="H3105" s="50" t="s">
        <v>2</v>
      </c>
      <c r="I3105" s="50" t="s">
        <v>293</v>
      </c>
      <c r="J3105" s="51">
        <v>46006</v>
      </c>
      <c r="K3105" s="50" t="s">
        <v>86</v>
      </c>
      <c r="L3105" s="50" t="s">
        <v>80</v>
      </c>
    </row>
    <row r="3106" spans="2:12">
      <c r="B3106" s="50" t="s">
        <v>427</v>
      </c>
      <c r="C3106" s="50" t="s">
        <v>26</v>
      </c>
      <c r="D3106" s="50" t="s">
        <v>27</v>
      </c>
      <c r="E3106" s="50">
        <v>50038549</v>
      </c>
      <c r="F3106" s="50" t="s">
        <v>173</v>
      </c>
      <c r="G3106" s="50">
        <v>1</v>
      </c>
      <c r="H3106" s="50" t="s">
        <v>2</v>
      </c>
      <c r="I3106" s="50" t="s">
        <v>293</v>
      </c>
      <c r="J3106" s="51">
        <v>46006</v>
      </c>
      <c r="K3106" s="50" t="s">
        <v>86</v>
      </c>
      <c r="L3106" s="50" t="s">
        <v>80</v>
      </c>
    </row>
    <row r="3107" spans="2:12">
      <c r="B3107" s="50" t="s">
        <v>270</v>
      </c>
      <c r="C3107" s="50" t="s">
        <v>51</v>
      </c>
      <c r="D3107" s="50" t="s">
        <v>27</v>
      </c>
      <c r="E3107" s="50">
        <v>50043471</v>
      </c>
      <c r="F3107" s="50" t="s">
        <v>257</v>
      </c>
      <c r="G3107" s="50">
        <v>1</v>
      </c>
      <c r="H3107" s="50" t="s">
        <v>2</v>
      </c>
      <c r="I3107" s="50" t="s">
        <v>293</v>
      </c>
      <c r="J3107" s="51">
        <v>46006</v>
      </c>
      <c r="K3107" s="50" t="s">
        <v>86</v>
      </c>
      <c r="L3107" s="50" t="s">
        <v>80</v>
      </c>
    </row>
    <row r="3108" spans="2:12">
      <c r="B3108" s="50" t="s">
        <v>444</v>
      </c>
      <c r="C3108" s="50" t="s">
        <v>51</v>
      </c>
      <c r="D3108" s="50" t="s">
        <v>27</v>
      </c>
      <c r="E3108" s="50">
        <v>50037892</v>
      </c>
      <c r="F3108" s="50" t="s">
        <v>178</v>
      </c>
      <c r="G3108" s="50">
        <v>1</v>
      </c>
      <c r="H3108" s="50" t="s">
        <v>2</v>
      </c>
      <c r="I3108" s="50" t="s">
        <v>293</v>
      </c>
      <c r="J3108" s="51">
        <v>46006</v>
      </c>
      <c r="K3108" s="50" t="s">
        <v>86</v>
      </c>
      <c r="L3108" s="50" t="s">
        <v>80</v>
      </c>
    </row>
    <row r="3109" spans="2:12">
      <c r="B3109" s="50" t="s">
        <v>446</v>
      </c>
      <c r="C3109" s="50" t="s">
        <v>56</v>
      </c>
      <c r="D3109" s="50" t="s">
        <v>27</v>
      </c>
      <c r="E3109" s="50">
        <v>50030486</v>
      </c>
      <c r="F3109" s="50" t="s">
        <v>153</v>
      </c>
      <c r="G3109" s="50">
        <v>1</v>
      </c>
      <c r="H3109" s="50" t="s">
        <v>2</v>
      </c>
      <c r="I3109" s="50" t="s">
        <v>293</v>
      </c>
      <c r="J3109" s="51">
        <v>46006</v>
      </c>
      <c r="K3109" s="50" t="s">
        <v>86</v>
      </c>
      <c r="L3109" s="50" t="s">
        <v>80</v>
      </c>
    </row>
    <row r="3110" spans="2:12">
      <c r="B3110" s="50" t="s">
        <v>446</v>
      </c>
      <c r="C3110" s="50" t="s">
        <v>56</v>
      </c>
      <c r="D3110" s="50" t="s">
        <v>27</v>
      </c>
      <c r="E3110" s="50">
        <v>50010031</v>
      </c>
      <c r="F3110" s="50" t="s">
        <v>89</v>
      </c>
      <c r="G3110" s="50">
        <v>1</v>
      </c>
      <c r="H3110" s="50" t="s">
        <v>2</v>
      </c>
      <c r="I3110" s="50" t="s">
        <v>293</v>
      </c>
      <c r="J3110" s="51">
        <v>46006</v>
      </c>
      <c r="K3110" s="50" t="s">
        <v>86</v>
      </c>
      <c r="L3110" s="50" t="s">
        <v>80</v>
      </c>
    </row>
    <row r="3111" spans="2:12">
      <c r="B3111" s="50" t="s">
        <v>446</v>
      </c>
      <c r="C3111" s="50" t="s">
        <v>56</v>
      </c>
      <c r="D3111" s="50" t="s">
        <v>27</v>
      </c>
      <c r="E3111" s="50">
        <v>50043320</v>
      </c>
      <c r="F3111" s="50" t="s">
        <v>264</v>
      </c>
      <c r="G3111" s="50">
        <v>1</v>
      </c>
      <c r="H3111" s="50" t="s">
        <v>2</v>
      </c>
      <c r="I3111" s="50" t="s">
        <v>293</v>
      </c>
      <c r="J3111" s="51">
        <v>46006</v>
      </c>
      <c r="K3111" s="50" t="s">
        <v>3</v>
      </c>
      <c r="L3111" s="50" t="s">
        <v>80</v>
      </c>
    </row>
    <row r="3112" spans="2:12">
      <c r="B3112" s="50" t="s">
        <v>423</v>
      </c>
      <c r="C3112" s="50" t="s">
        <v>62</v>
      </c>
      <c r="D3112" s="50" t="s">
        <v>27</v>
      </c>
      <c r="E3112" s="50">
        <v>50041195</v>
      </c>
      <c r="F3112" s="50" t="s">
        <v>206</v>
      </c>
      <c r="G3112" s="50">
        <v>1</v>
      </c>
      <c r="H3112" s="50" t="s">
        <v>2</v>
      </c>
      <c r="I3112" s="50" t="s">
        <v>293</v>
      </c>
      <c r="J3112" s="51">
        <v>46006</v>
      </c>
      <c r="K3112" s="50" t="s">
        <v>3</v>
      </c>
      <c r="L3112" s="50" t="s">
        <v>80</v>
      </c>
    </row>
    <row r="3113" spans="2:12">
      <c r="B3113" s="50" t="s">
        <v>444</v>
      </c>
      <c r="C3113" s="50" t="s">
        <v>51</v>
      </c>
      <c r="D3113" s="50" t="s">
        <v>27</v>
      </c>
      <c r="E3113" s="50">
        <v>50037892</v>
      </c>
      <c r="F3113" s="50" t="s">
        <v>178</v>
      </c>
      <c r="G3113" s="50">
        <v>1</v>
      </c>
      <c r="H3113" s="50" t="s">
        <v>2</v>
      </c>
      <c r="I3113" s="50" t="s">
        <v>293</v>
      </c>
      <c r="J3113" s="51">
        <v>46006</v>
      </c>
      <c r="K3113" s="50" t="s">
        <v>3</v>
      </c>
      <c r="L3113" s="50" t="s">
        <v>80</v>
      </c>
    </row>
    <row r="3114" spans="2:12">
      <c r="B3114" s="50" t="s">
        <v>427</v>
      </c>
      <c r="C3114" s="50" t="s">
        <v>26</v>
      </c>
      <c r="D3114" s="50" t="s">
        <v>27</v>
      </c>
      <c r="E3114" s="50">
        <v>50003297</v>
      </c>
      <c r="F3114" s="50" t="s">
        <v>158</v>
      </c>
      <c r="G3114" s="50">
        <v>1</v>
      </c>
      <c r="H3114" s="50" t="s">
        <v>2</v>
      </c>
      <c r="I3114" s="50" t="s">
        <v>293</v>
      </c>
      <c r="J3114" s="51">
        <v>46006</v>
      </c>
      <c r="K3114" s="50" t="s">
        <v>86</v>
      </c>
      <c r="L3114" s="50" t="s">
        <v>80</v>
      </c>
    </row>
    <row r="3115" spans="2:12">
      <c r="B3115" s="50" t="s">
        <v>413</v>
      </c>
      <c r="C3115" s="50" t="s">
        <v>51</v>
      </c>
      <c r="D3115" s="50" t="s">
        <v>39</v>
      </c>
      <c r="E3115" s="50">
        <v>50040566</v>
      </c>
      <c r="F3115" s="50" t="s">
        <v>210</v>
      </c>
      <c r="G3115" s="50">
        <v>1</v>
      </c>
      <c r="H3115" s="50" t="s">
        <v>2</v>
      </c>
      <c r="I3115" s="50" t="s">
        <v>293</v>
      </c>
      <c r="J3115" s="51">
        <v>46006</v>
      </c>
      <c r="K3115" s="50" t="s">
        <v>86</v>
      </c>
      <c r="L3115" s="50" t="s">
        <v>80</v>
      </c>
    </row>
    <row r="3116" spans="2:12">
      <c r="B3116" s="50" t="s">
        <v>444</v>
      </c>
      <c r="C3116" s="50" t="s">
        <v>51</v>
      </c>
      <c r="D3116" s="50" t="s">
        <v>27</v>
      </c>
      <c r="E3116" s="50">
        <v>50032781</v>
      </c>
      <c r="F3116" s="50" t="s">
        <v>237</v>
      </c>
      <c r="G3116" s="50">
        <v>1</v>
      </c>
      <c r="H3116" s="50" t="s">
        <v>2</v>
      </c>
      <c r="I3116" s="50" t="s">
        <v>293</v>
      </c>
      <c r="J3116" s="51">
        <v>46006</v>
      </c>
      <c r="K3116" s="50" t="s">
        <v>1</v>
      </c>
      <c r="L3116" s="50" t="s">
        <v>80</v>
      </c>
    </row>
    <row r="3117" spans="2:12">
      <c r="B3117" s="50" t="s">
        <v>439</v>
      </c>
      <c r="C3117" s="50" t="s">
        <v>62</v>
      </c>
      <c r="D3117" s="50" t="s">
        <v>27</v>
      </c>
      <c r="E3117" s="50">
        <v>50028220</v>
      </c>
      <c r="F3117" s="50" t="s">
        <v>242</v>
      </c>
      <c r="G3117" s="50">
        <v>1</v>
      </c>
      <c r="H3117" s="50" t="s">
        <v>2</v>
      </c>
      <c r="I3117" s="50" t="s">
        <v>293</v>
      </c>
      <c r="J3117" s="51">
        <v>46006</v>
      </c>
      <c r="K3117" s="50" t="s">
        <v>3</v>
      </c>
      <c r="L3117" s="50" t="s">
        <v>80</v>
      </c>
    </row>
    <row r="3118" spans="2:12">
      <c r="B3118" s="50" t="s">
        <v>413</v>
      </c>
      <c r="C3118" s="50" t="s">
        <v>51</v>
      </c>
      <c r="D3118" s="50" t="s">
        <v>39</v>
      </c>
      <c r="E3118" s="50">
        <v>50040566</v>
      </c>
      <c r="F3118" s="50" t="s">
        <v>210</v>
      </c>
      <c r="G3118" s="50">
        <v>1</v>
      </c>
      <c r="H3118" s="50" t="s">
        <v>2</v>
      </c>
      <c r="I3118" s="50" t="s">
        <v>293</v>
      </c>
      <c r="J3118" s="51">
        <v>46006</v>
      </c>
      <c r="K3118" s="50" t="s">
        <v>3</v>
      </c>
      <c r="L3118" s="50" t="s">
        <v>80</v>
      </c>
    </row>
    <row r="3119" spans="2:12">
      <c r="B3119" s="50" t="s">
        <v>444</v>
      </c>
      <c r="C3119" s="50" t="s">
        <v>51</v>
      </c>
      <c r="D3119" s="50" t="s">
        <v>27</v>
      </c>
      <c r="E3119" s="50">
        <v>50032781</v>
      </c>
      <c r="F3119" s="50" t="s">
        <v>237</v>
      </c>
      <c r="G3119" s="50">
        <v>1</v>
      </c>
      <c r="H3119" s="50" t="s">
        <v>2</v>
      </c>
      <c r="I3119" s="50" t="s">
        <v>293</v>
      </c>
      <c r="J3119" s="51">
        <v>46006</v>
      </c>
      <c r="K3119" s="50" t="s">
        <v>3</v>
      </c>
      <c r="L3119" s="50" t="s">
        <v>80</v>
      </c>
    </row>
    <row r="3120" spans="2:12">
      <c r="B3120" s="50" t="s">
        <v>446</v>
      </c>
      <c r="C3120" s="50" t="s">
        <v>56</v>
      </c>
      <c r="D3120" s="50" t="s">
        <v>27</v>
      </c>
      <c r="E3120" s="50">
        <v>50043320</v>
      </c>
      <c r="F3120" s="50" t="s">
        <v>264</v>
      </c>
      <c r="G3120" s="50">
        <v>1</v>
      </c>
      <c r="H3120" s="50" t="s">
        <v>2</v>
      </c>
      <c r="I3120" s="50" t="s">
        <v>293</v>
      </c>
      <c r="J3120" s="51">
        <v>46006</v>
      </c>
      <c r="K3120" s="50" t="s">
        <v>3</v>
      </c>
      <c r="L3120" s="50" t="s">
        <v>80</v>
      </c>
    </row>
    <row r="3121" spans="2:12">
      <c r="B3121" s="50" t="s">
        <v>446</v>
      </c>
      <c r="C3121" s="50" t="s">
        <v>56</v>
      </c>
      <c r="D3121" s="50" t="s">
        <v>27</v>
      </c>
      <c r="E3121" s="50">
        <v>50030486</v>
      </c>
      <c r="F3121" s="50" t="s">
        <v>153</v>
      </c>
      <c r="G3121" s="50">
        <v>1</v>
      </c>
      <c r="H3121" s="50" t="s">
        <v>2</v>
      </c>
      <c r="I3121" s="50" t="s">
        <v>293</v>
      </c>
      <c r="J3121" s="51">
        <v>46006</v>
      </c>
      <c r="K3121" s="50" t="s">
        <v>3</v>
      </c>
      <c r="L3121" s="50" t="s">
        <v>80</v>
      </c>
    </row>
    <row r="3122" spans="2:12">
      <c r="B3122" s="50" t="s">
        <v>417</v>
      </c>
      <c r="C3122" s="50" t="s">
        <v>51</v>
      </c>
      <c r="D3122" s="50" t="s">
        <v>41</v>
      </c>
      <c r="E3122" s="50">
        <v>50037892</v>
      </c>
      <c r="F3122" s="50" t="s">
        <v>178</v>
      </c>
      <c r="G3122" s="50">
        <v>1</v>
      </c>
      <c r="H3122" s="50" t="s">
        <v>2</v>
      </c>
      <c r="I3122" s="50" t="s">
        <v>293</v>
      </c>
      <c r="J3122" s="51">
        <v>46006</v>
      </c>
      <c r="K3122" s="50" t="s">
        <v>86</v>
      </c>
      <c r="L3122" s="50" t="s">
        <v>80</v>
      </c>
    </row>
    <row r="3123" spans="2:12">
      <c r="B3123" s="50" t="s">
        <v>417</v>
      </c>
      <c r="C3123" s="50" t="s">
        <v>51</v>
      </c>
      <c r="D3123" s="50" t="s">
        <v>41</v>
      </c>
      <c r="E3123" s="50">
        <v>50037892</v>
      </c>
      <c r="F3123" s="50" t="s">
        <v>178</v>
      </c>
      <c r="G3123" s="50">
        <v>1</v>
      </c>
      <c r="H3123" s="50" t="s">
        <v>2</v>
      </c>
      <c r="I3123" s="50" t="s">
        <v>293</v>
      </c>
      <c r="J3123" s="51">
        <v>46006</v>
      </c>
      <c r="K3123" s="50" t="s">
        <v>3</v>
      </c>
      <c r="L3123" s="50" t="s">
        <v>80</v>
      </c>
    </row>
    <row r="3124" spans="2:12">
      <c r="B3124" s="50" t="s">
        <v>444</v>
      </c>
      <c r="C3124" s="50" t="s">
        <v>51</v>
      </c>
      <c r="D3124" s="50" t="s">
        <v>27</v>
      </c>
      <c r="E3124" s="50">
        <v>50037892</v>
      </c>
      <c r="F3124" s="50" t="s">
        <v>178</v>
      </c>
      <c r="G3124" s="50">
        <v>1</v>
      </c>
      <c r="H3124" s="50" t="s">
        <v>2</v>
      </c>
      <c r="I3124" s="50" t="s">
        <v>293</v>
      </c>
      <c r="J3124" s="51">
        <v>46006</v>
      </c>
      <c r="K3124" s="50" t="s">
        <v>86</v>
      </c>
      <c r="L3124" s="50" t="s">
        <v>80</v>
      </c>
    </row>
    <row r="3125" spans="2:12">
      <c r="B3125" s="50" t="s">
        <v>444</v>
      </c>
      <c r="C3125" s="50" t="s">
        <v>51</v>
      </c>
      <c r="D3125" s="50" t="s">
        <v>27</v>
      </c>
      <c r="E3125" s="50">
        <v>50037892</v>
      </c>
      <c r="F3125" s="50" t="s">
        <v>178</v>
      </c>
      <c r="G3125" s="50">
        <v>1</v>
      </c>
      <c r="H3125" s="50" t="s">
        <v>2</v>
      </c>
      <c r="I3125" s="50" t="s">
        <v>290</v>
      </c>
      <c r="J3125" s="51">
        <v>46006</v>
      </c>
      <c r="K3125" s="50" t="s">
        <v>86</v>
      </c>
      <c r="L3125" s="50" t="s">
        <v>80</v>
      </c>
    </row>
    <row r="3126" spans="2:12">
      <c r="B3126" s="50" t="s">
        <v>422</v>
      </c>
      <c r="C3126" s="50" t="s">
        <v>26</v>
      </c>
      <c r="D3126" s="50" t="s">
        <v>27</v>
      </c>
      <c r="E3126" s="50">
        <v>50022878</v>
      </c>
      <c r="F3126" s="50" t="s">
        <v>296</v>
      </c>
      <c r="G3126" s="50">
        <v>1</v>
      </c>
      <c r="H3126" s="50" t="s">
        <v>2</v>
      </c>
      <c r="I3126" s="50" t="s">
        <v>291</v>
      </c>
      <c r="J3126" s="51">
        <v>46006</v>
      </c>
      <c r="K3126" s="50" t="s">
        <v>3</v>
      </c>
      <c r="L3126" s="50" t="s">
        <v>80</v>
      </c>
    </row>
    <row r="3127" spans="2:12">
      <c r="B3127" s="50" t="s">
        <v>481</v>
      </c>
      <c r="C3127" s="50" t="s">
        <v>26</v>
      </c>
      <c r="D3127" s="50" t="s">
        <v>27</v>
      </c>
      <c r="E3127" s="50">
        <v>50037902</v>
      </c>
      <c r="F3127" s="50" t="s">
        <v>179</v>
      </c>
      <c r="G3127" s="50">
        <v>1</v>
      </c>
      <c r="H3127" s="50" t="s">
        <v>2</v>
      </c>
      <c r="I3127" s="50" t="s">
        <v>291</v>
      </c>
      <c r="J3127" s="51">
        <v>46006</v>
      </c>
      <c r="K3127" s="50" t="s">
        <v>3</v>
      </c>
      <c r="L3127" s="50" t="s">
        <v>80</v>
      </c>
    </row>
    <row r="3128" spans="2:12">
      <c r="B3128" s="50" t="s">
        <v>446</v>
      </c>
      <c r="C3128" s="50" t="s">
        <v>56</v>
      </c>
      <c r="D3128" s="50" t="s">
        <v>27</v>
      </c>
      <c r="E3128" s="50">
        <v>50010031</v>
      </c>
      <c r="F3128" s="50" t="s">
        <v>89</v>
      </c>
      <c r="G3128" s="50">
        <v>1</v>
      </c>
      <c r="H3128" s="50" t="s">
        <v>2</v>
      </c>
      <c r="I3128" s="50" t="s">
        <v>291</v>
      </c>
      <c r="J3128" s="51">
        <v>46006</v>
      </c>
      <c r="K3128" s="50" t="s">
        <v>3</v>
      </c>
      <c r="L3128" s="50" t="s">
        <v>80</v>
      </c>
    </row>
    <row r="3129" spans="2:12">
      <c r="B3129" s="50" t="s">
        <v>270</v>
      </c>
      <c r="C3129" s="50" t="s">
        <v>51</v>
      </c>
      <c r="D3129" s="50" t="s">
        <v>27</v>
      </c>
      <c r="E3129" s="50">
        <v>50043471</v>
      </c>
      <c r="F3129" s="50" t="s">
        <v>257</v>
      </c>
      <c r="G3129" s="50">
        <v>1</v>
      </c>
      <c r="H3129" s="50" t="s">
        <v>2</v>
      </c>
      <c r="I3129" s="50" t="s">
        <v>291</v>
      </c>
      <c r="J3129" s="51">
        <v>46006</v>
      </c>
      <c r="K3129" s="50" t="s">
        <v>1</v>
      </c>
      <c r="L3129" s="50" t="s">
        <v>80</v>
      </c>
    </row>
    <row r="3130" spans="2:12">
      <c r="B3130" s="50" t="s">
        <v>481</v>
      </c>
      <c r="C3130" s="50" t="s">
        <v>56</v>
      </c>
      <c r="D3130" s="50" t="s">
        <v>27</v>
      </c>
      <c r="E3130" s="50">
        <v>50038956</v>
      </c>
      <c r="F3130" s="50" t="s">
        <v>177</v>
      </c>
      <c r="G3130" s="50">
        <v>1</v>
      </c>
      <c r="H3130" s="50" t="s">
        <v>2</v>
      </c>
      <c r="I3130" s="50" t="s">
        <v>291</v>
      </c>
      <c r="J3130" s="51">
        <v>46006</v>
      </c>
      <c r="K3130" s="50" t="s">
        <v>1</v>
      </c>
      <c r="L3130" s="50" t="s">
        <v>80</v>
      </c>
    </row>
    <row r="3131" spans="2:12">
      <c r="B3131" s="50" t="s">
        <v>423</v>
      </c>
      <c r="C3131" s="50" t="s">
        <v>62</v>
      </c>
      <c r="D3131" s="50" t="s">
        <v>27</v>
      </c>
      <c r="E3131" s="50">
        <v>50041195</v>
      </c>
      <c r="F3131" s="50" t="s">
        <v>206</v>
      </c>
      <c r="G3131" s="50">
        <v>1</v>
      </c>
      <c r="H3131" s="50" t="s">
        <v>2</v>
      </c>
      <c r="I3131" s="50" t="s">
        <v>291</v>
      </c>
      <c r="J3131" s="51">
        <v>46006</v>
      </c>
      <c r="K3131" s="50" t="s">
        <v>3</v>
      </c>
      <c r="L3131" s="50" t="s">
        <v>80</v>
      </c>
    </row>
    <row r="3132" spans="2:12">
      <c r="B3132" s="50" t="s">
        <v>439</v>
      </c>
      <c r="C3132" s="50" t="s">
        <v>62</v>
      </c>
      <c r="D3132" s="50" t="s">
        <v>27</v>
      </c>
      <c r="E3132" s="50">
        <v>50041195</v>
      </c>
      <c r="F3132" s="50" t="s">
        <v>206</v>
      </c>
      <c r="G3132" s="50">
        <v>1</v>
      </c>
      <c r="H3132" s="50" t="s">
        <v>2</v>
      </c>
      <c r="I3132" s="50" t="s">
        <v>291</v>
      </c>
      <c r="J3132" s="51">
        <v>46006</v>
      </c>
      <c r="K3132" s="50" t="s">
        <v>3</v>
      </c>
      <c r="L3132" s="50" t="s">
        <v>80</v>
      </c>
    </row>
    <row r="3133" spans="2:12">
      <c r="B3133" s="50" t="s">
        <v>439</v>
      </c>
      <c r="C3133" s="50" t="s">
        <v>62</v>
      </c>
      <c r="D3133" s="50" t="s">
        <v>27</v>
      </c>
      <c r="E3133" s="50">
        <v>50028220</v>
      </c>
      <c r="F3133" s="50" t="s">
        <v>242</v>
      </c>
      <c r="G3133" s="50">
        <v>1</v>
      </c>
      <c r="H3133" s="50" t="s">
        <v>2</v>
      </c>
      <c r="I3133" s="50" t="s">
        <v>291</v>
      </c>
      <c r="J3133" s="51">
        <v>46006</v>
      </c>
      <c r="K3133" s="50" t="s">
        <v>3</v>
      </c>
      <c r="L3133" s="50" t="s">
        <v>80</v>
      </c>
    </row>
    <row r="3134" spans="2:12">
      <c r="B3134" s="50" t="s">
        <v>427</v>
      </c>
      <c r="C3134" s="50" t="s">
        <v>26</v>
      </c>
      <c r="D3134" s="50" t="s">
        <v>27</v>
      </c>
      <c r="E3134" s="50">
        <v>50038549</v>
      </c>
      <c r="F3134" s="50" t="s">
        <v>173</v>
      </c>
      <c r="G3134" s="50">
        <v>1</v>
      </c>
      <c r="H3134" s="50" t="s">
        <v>2</v>
      </c>
      <c r="I3134" s="50" t="s">
        <v>291</v>
      </c>
      <c r="J3134" s="51">
        <v>46006</v>
      </c>
      <c r="K3134" s="50" t="s">
        <v>3</v>
      </c>
      <c r="L3134" s="50" t="s">
        <v>80</v>
      </c>
    </row>
    <row r="3135" spans="2:12">
      <c r="B3135" s="50" t="s">
        <v>407</v>
      </c>
      <c r="C3135" s="50" t="s">
        <v>56</v>
      </c>
      <c r="D3135" s="50" t="s">
        <v>39</v>
      </c>
      <c r="E3135" s="50">
        <v>50029865</v>
      </c>
      <c r="F3135" s="50" t="s">
        <v>162</v>
      </c>
      <c r="G3135" s="50">
        <v>1</v>
      </c>
      <c r="H3135" s="50" t="s">
        <v>2</v>
      </c>
      <c r="I3135" s="50" t="s">
        <v>291</v>
      </c>
      <c r="J3135" s="51">
        <v>46006</v>
      </c>
      <c r="K3135" s="50" t="s">
        <v>3</v>
      </c>
      <c r="L3135" s="50" t="s">
        <v>80</v>
      </c>
    </row>
    <row r="3136" spans="2:12">
      <c r="B3136" s="50" t="s">
        <v>481</v>
      </c>
      <c r="C3136" s="50" t="s">
        <v>26</v>
      </c>
      <c r="D3136" s="50" t="s">
        <v>27</v>
      </c>
      <c r="E3136" s="50">
        <v>50037902</v>
      </c>
      <c r="F3136" s="50" t="s">
        <v>179</v>
      </c>
      <c r="G3136" s="50">
        <v>1</v>
      </c>
      <c r="H3136" s="50" t="s">
        <v>2</v>
      </c>
      <c r="I3136" s="50" t="s">
        <v>291</v>
      </c>
      <c r="J3136" s="51">
        <v>46006</v>
      </c>
      <c r="K3136" s="50" t="s">
        <v>3</v>
      </c>
      <c r="L3136" s="50" t="s">
        <v>80</v>
      </c>
    </row>
    <row r="3137" spans="2:12">
      <c r="B3137" s="50" t="s">
        <v>422</v>
      </c>
      <c r="C3137" s="50" t="s">
        <v>26</v>
      </c>
      <c r="D3137" s="50" t="s">
        <v>27</v>
      </c>
      <c r="E3137" s="50">
        <v>50022878</v>
      </c>
      <c r="F3137" s="50" t="s">
        <v>296</v>
      </c>
      <c r="G3137" s="50">
        <v>1</v>
      </c>
      <c r="H3137" s="50" t="s">
        <v>2</v>
      </c>
      <c r="I3137" s="50" t="s">
        <v>291</v>
      </c>
      <c r="J3137" s="51">
        <v>46006</v>
      </c>
      <c r="K3137" s="50" t="s">
        <v>1</v>
      </c>
      <c r="L3137" s="50" t="s">
        <v>80</v>
      </c>
    </row>
    <row r="3138" spans="2:12">
      <c r="B3138" s="50" t="s">
        <v>483</v>
      </c>
      <c r="C3138" s="50" t="s">
        <v>62</v>
      </c>
      <c r="D3138" s="50" t="s">
        <v>27</v>
      </c>
      <c r="E3138" s="50">
        <v>50037892</v>
      </c>
      <c r="F3138" s="50" t="s">
        <v>178</v>
      </c>
      <c r="G3138" s="50">
        <v>1</v>
      </c>
      <c r="H3138" s="50" t="s">
        <v>2</v>
      </c>
      <c r="I3138" s="50" t="s">
        <v>293</v>
      </c>
      <c r="J3138" s="51">
        <v>46003</v>
      </c>
      <c r="K3138" s="50" t="s">
        <v>1</v>
      </c>
      <c r="L3138" s="50" t="s">
        <v>80</v>
      </c>
    </row>
    <row r="3139" spans="2:12">
      <c r="B3139" s="50" t="s">
        <v>483</v>
      </c>
      <c r="C3139" s="50" t="s">
        <v>62</v>
      </c>
      <c r="D3139" s="50" t="s">
        <v>27</v>
      </c>
      <c r="E3139" s="50">
        <v>50026357</v>
      </c>
      <c r="F3139" s="50" t="s">
        <v>192</v>
      </c>
      <c r="G3139" s="50">
        <v>1</v>
      </c>
      <c r="H3139" s="50" t="s">
        <v>2</v>
      </c>
      <c r="I3139" s="50" t="s">
        <v>291</v>
      </c>
      <c r="J3139" s="51">
        <v>46003</v>
      </c>
      <c r="K3139" s="50" t="s">
        <v>1</v>
      </c>
      <c r="L3139" s="50" t="s">
        <v>80</v>
      </c>
    </row>
    <row r="3140" spans="2:12">
      <c r="B3140" s="50" t="s">
        <v>483</v>
      </c>
      <c r="C3140" s="50" t="s">
        <v>62</v>
      </c>
      <c r="D3140" s="50" t="s">
        <v>27</v>
      </c>
      <c r="E3140" s="50">
        <v>50043471</v>
      </c>
      <c r="F3140" s="50" t="s">
        <v>257</v>
      </c>
      <c r="G3140" s="50">
        <v>1</v>
      </c>
      <c r="H3140" s="50" t="s">
        <v>2</v>
      </c>
      <c r="I3140" s="50" t="s">
        <v>291</v>
      </c>
      <c r="J3140" s="51">
        <v>46003</v>
      </c>
      <c r="K3140" s="50" t="s">
        <v>3</v>
      </c>
      <c r="L3140" s="50" t="s">
        <v>80</v>
      </c>
    </row>
    <row r="3141" spans="2:12">
      <c r="B3141" s="50" t="s">
        <v>427</v>
      </c>
      <c r="C3141" s="50" t="s">
        <v>26</v>
      </c>
      <c r="D3141" s="50" t="s">
        <v>27</v>
      </c>
      <c r="E3141" s="50">
        <v>50038841</v>
      </c>
      <c r="F3141" s="50" t="s">
        <v>180</v>
      </c>
      <c r="G3141" s="50">
        <v>1</v>
      </c>
      <c r="H3141" s="50" t="s">
        <v>2</v>
      </c>
      <c r="I3141" s="50" t="s">
        <v>293</v>
      </c>
      <c r="J3141" s="51">
        <v>46003</v>
      </c>
      <c r="K3141" s="50" t="s">
        <v>1</v>
      </c>
      <c r="L3141" s="50" t="s">
        <v>80</v>
      </c>
    </row>
    <row r="3142" spans="2:12">
      <c r="B3142" s="50" t="s">
        <v>465</v>
      </c>
      <c r="C3142" s="50" t="s">
        <v>26</v>
      </c>
      <c r="D3142" s="50" t="s">
        <v>27</v>
      </c>
      <c r="E3142" s="50">
        <v>50038854</v>
      </c>
      <c r="F3142" s="50" t="s">
        <v>101</v>
      </c>
      <c r="G3142" s="50">
        <v>1</v>
      </c>
      <c r="H3142" s="50" t="s">
        <v>2</v>
      </c>
      <c r="I3142" s="50" t="s">
        <v>293</v>
      </c>
      <c r="J3142" s="51">
        <v>46003</v>
      </c>
      <c r="K3142" s="50" t="s">
        <v>3</v>
      </c>
      <c r="L3142" s="50" t="s">
        <v>80</v>
      </c>
    </row>
    <row r="3143" spans="2:12">
      <c r="B3143" s="50" t="s">
        <v>481</v>
      </c>
      <c r="C3143" s="50" t="s">
        <v>26</v>
      </c>
      <c r="D3143" s="50" t="s">
        <v>27</v>
      </c>
      <c r="E3143" s="50">
        <v>50038517</v>
      </c>
      <c r="F3143" s="50" t="s">
        <v>181</v>
      </c>
      <c r="G3143" s="50">
        <v>1</v>
      </c>
      <c r="H3143" s="50" t="s">
        <v>2</v>
      </c>
      <c r="I3143" s="50" t="s">
        <v>293</v>
      </c>
      <c r="J3143" s="51">
        <v>46003</v>
      </c>
      <c r="K3143" s="50" t="s">
        <v>3</v>
      </c>
      <c r="L3143" s="50" t="s">
        <v>80</v>
      </c>
    </row>
    <row r="3144" spans="2:12">
      <c r="B3144" s="50" t="s">
        <v>481</v>
      </c>
      <c r="C3144" s="50" t="s">
        <v>26</v>
      </c>
      <c r="D3144" s="50" t="s">
        <v>27</v>
      </c>
      <c r="E3144" s="50">
        <v>50038517</v>
      </c>
      <c r="F3144" s="50" t="s">
        <v>181</v>
      </c>
      <c r="G3144" s="50">
        <v>1</v>
      </c>
      <c r="H3144" s="50" t="s">
        <v>2</v>
      </c>
      <c r="I3144" s="50" t="s">
        <v>293</v>
      </c>
      <c r="J3144" s="51">
        <v>46003</v>
      </c>
      <c r="K3144" s="50" t="s">
        <v>3</v>
      </c>
      <c r="L3144" s="50" t="s">
        <v>80</v>
      </c>
    </row>
    <row r="3145" spans="2:12">
      <c r="B3145" s="50" t="s">
        <v>465</v>
      </c>
      <c r="C3145" s="50" t="s">
        <v>26</v>
      </c>
      <c r="D3145" s="50" t="s">
        <v>27</v>
      </c>
      <c r="E3145" s="50">
        <v>50038854</v>
      </c>
      <c r="F3145" s="50" t="s">
        <v>101</v>
      </c>
      <c r="G3145" s="50">
        <v>1</v>
      </c>
      <c r="H3145" s="50" t="s">
        <v>2</v>
      </c>
      <c r="I3145" s="50" t="s">
        <v>293</v>
      </c>
      <c r="J3145" s="51">
        <v>46003</v>
      </c>
      <c r="K3145" s="50" t="s">
        <v>1</v>
      </c>
      <c r="L3145" s="50" t="s">
        <v>80</v>
      </c>
    </row>
    <row r="3146" spans="2:12">
      <c r="B3146" s="50" t="s">
        <v>427</v>
      </c>
      <c r="C3146" s="50" t="s">
        <v>26</v>
      </c>
      <c r="D3146" s="50" t="s">
        <v>27</v>
      </c>
      <c r="E3146" s="50">
        <v>50038841</v>
      </c>
      <c r="F3146" s="50" t="s">
        <v>180</v>
      </c>
      <c r="G3146" s="50">
        <v>1</v>
      </c>
      <c r="H3146" s="50" t="s">
        <v>2</v>
      </c>
      <c r="I3146" s="50" t="s">
        <v>293</v>
      </c>
      <c r="J3146" s="51">
        <v>46003</v>
      </c>
      <c r="K3146" s="50" t="s">
        <v>86</v>
      </c>
      <c r="L3146" s="50" t="s">
        <v>80</v>
      </c>
    </row>
    <row r="3147" spans="2:12">
      <c r="B3147" s="50" t="s">
        <v>481</v>
      </c>
      <c r="C3147" s="50" t="s">
        <v>26</v>
      </c>
      <c r="D3147" s="50" t="s">
        <v>27</v>
      </c>
      <c r="E3147" s="50">
        <v>50036279</v>
      </c>
      <c r="F3147" s="50" t="s">
        <v>133</v>
      </c>
      <c r="G3147" s="50">
        <v>1</v>
      </c>
      <c r="H3147" s="50" t="s">
        <v>2</v>
      </c>
      <c r="I3147" s="50" t="s">
        <v>293</v>
      </c>
      <c r="J3147" s="51">
        <v>46003</v>
      </c>
      <c r="K3147" s="50" t="s">
        <v>1</v>
      </c>
      <c r="L3147" s="50" t="s">
        <v>80</v>
      </c>
    </row>
    <row r="3148" spans="2:12">
      <c r="B3148" s="50" t="s">
        <v>483</v>
      </c>
      <c r="C3148" s="50" t="s">
        <v>62</v>
      </c>
      <c r="D3148" s="50" t="s">
        <v>27</v>
      </c>
      <c r="E3148" s="50">
        <v>50037892</v>
      </c>
      <c r="F3148" s="50" t="s">
        <v>178</v>
      </c>
      <c r="G3148" s="50">
        <v>1</v>
      </c>
      <c r="H3148" s="50" t="s">
        <v>2</v>
      </c>
      <c r="I3148" s="50" t="s">
        <v>293</v>
      </c>
      <c r="J3148" s="51">
        <v>46003</v>
      </c>
      <c r="K3148" s="50" t="s">
        <v>1</v>
      </c>
      <c r="L3148" s="50" t="s">
        <v>80</v>
      </c>
    </row>
    <row r="3149" spans="2:12">
      <c r="B3149" s="50" t="s">
        <v>316</v>
      </c>
      <c r="C3149" s="50" t="s">
        <v>51</v>
      </c>
      <c r="D3149" s="50" t="s">
        <v>27</v>
      </c>
      <c r="E3149" s="50">
        <v>50038841</v>
      </c>
      <c r="F3149" s="50" t="s">
        <v>180</v>
      </c>
      <c r="G3149" s="50">
        <v>1</v>
      </c>
      <c r="H3149" s="50" t="s">
        <v>2</v>
      </c>
      <c r="I3149" s="50" t="s">
        <v>290</v>
      </c>
      <c r="J3149" s="51">
        <v>46003</v>
      </c>
      <c r="K3149" s="50" t="s">
        <v>86</v>
      </c>
      <c r="L3149" s="50" t="s">
        <v>80</v>
      </c>
    </row>
    <row r="3150" spans="2:12">
      <c r="B3150" s="50" t="s">
        <v>412</v>
      </c>
      <c r="C3150" s="50" t="s">
        <v>51</v>
      </c>
      <c r="D3150" s="50" t="s">
        <v>41</v>
      </c>
      <c r="E3150" s="50">
        <v>50003297</v>
      </c>
      <c r="F3150" s="50" t="s">
        <v>158</v>
      </c>
      <c r="G3150" s="50">
        <v>1</v>
      </c>
      <c r="H3150" s="50" t="s">
        <v>2</v>
      </c>
      <c r="I3150" s="50" t="s">
        <v>288</v>
      </c>
      <c r="J3150" s="51">
        <v>46003</v>
      </c>
      <c r="K3150" s="50" t="s">
        <v>3</v>
      </c>
      <c r="L3150" s="50" t="s">
        <v>80</v>
      </c>
    </row>
    <row r="3151" spans="2:12">
      <c r="B3151" s="50" t="s">
        <v>481</v>
      </c>
      <c r="C3151" s="50" t="s">
        <v>56</v>
      </c>
      <c r="D3151" s="50" t="s">
        <v>27</v>
      </c>
      <c r="E3151" s="50">
        <v>50038956</v>
      </c>
      <c r="F3151" s="50" t="s">
        <v>177</v>
      </c>
      <c r="G3151" s="50">
        <v>1</v>
      </c>
      <c r="H3151" s="50" t="s">
        <v>2</v>
      </c>
      <c r="I3151" s="50" t="s">
        <v>288</v>
      </c>
      <c r="J3151" s="51">
        <v>46003</v>
      </c>
      <c r="K3151" s="50" t="s">
        <v>86</v>
      </c>
      <c r="L3151" s="50" t="s">
        <v>80</v>
      </c>
    </row>
    <row r="3152" spans="2:12">
      <c r="B3152" s="50" t="s">
        <v>427</v>
      </c>
      <c r="C3152" s="50" t="s">
        <v>26</v>
      </c>
      <c r="D3152" s="50" t="s">
        <v>27</v>
      </c>
      <c r="E3152" s="50">
        <v>50039718</v>
      </c>
      <c r="F3152" s="50" t="s">
        <v>149</v>
      </c>
      <c r="G3152" s="50">
        <v>1</v>
      </c>
      <c r="H3152" s="50" t="s">
        <v>2</v>
      </c>
      <c r="I3152" s="50" t="s">
        <v>288</v>
      </c>
      <c r="J3152" s="51">
        <v>46003</v>
      </c>
      <c r="K3152" s="50" t="s">
        <v>3</v>
      </c>
      <c r="L3152" s="50" t="s">
        <v>80</v>
      </c>
    </row>
    <row r="3153" spans="2:12">
      <c r="B3153" s="50" t="s">
        <v>412</v>
      </c>
      <c r="C3153" s="50" t="s">
        <v>51</v>
      </c>
      <c r="D3153" s="50" t="s">
        <v>41</v>
      </c>
      <c r="E3153" s="50">
        <v>50003297</v>
      </c>
      <c r="F3153" s="50" t="s">
        <v>158</v>
      </c>
      <c r="G3153" s="50">
        <v>1</v>
      </c>
      <c r="H3153" s="50" t="s">
        <v>2</v>
      </c>
      <c r="I3153" s="50" t="s">
        <v>288</v>
      </c>
      <c r="J3153" s="51">
        <v>46003</v>
      </c>
      <c r="K3153" s="50" t="s">
        <v>3</v>
      </c>
      <c r="L3153" s="50" t="s">
        <v>80</v>
      </c>
    </row>
    <row r="3154" spans="2:12">
      <c r="B3154" s="50" t="s">
        <v>427</v>
      </c>
      <c r="C3154" s="50" t="s">
        <v>26</v>
      </c>
      <c r="D3154" s="50" t="s">
        <v>27</v>
      </c>
      <c r="E3154" s="50">
        <v>50039718</v>
      </c>
      <c r="F3154" s="50" t="s">
        <v>149</v>
      </c>
      <c r="G3154" s="50">
        <v>1</v>
      </c>
      <c r="H3154" s="50" t="s">
        <v>2</v>
      </c>
      <c r="I3154" s="50" t="s">
        <v>288</v>
      </c>
      <c r="J3154" s="51">
        <v>46003</v>
      </c>
      <c r="K3154" s="50" t="s">
        <v>1</v>
      </c>
      <c r="L3154" s="50" t="s">
        <v>80</v>
      </c>
    </row>
    <row r="3155" spans="2:12">
      <c r="B3155" s="50" t="s">
        <v>273</v>
      </c>
      <c r="C3155" s="50" t="s">
        <v>274</v>
      </c>
      <c r="D3155" s="50" t="s">
        <v>27</v>
      </c>
      <c r="E3155" s="50">
        <v>50018168</v>
      </c>
      <c r="F3155" s="50" t="s">
        <v>251</v>
      </c>
      <c r="G3155" s="50">
        <v>1</v>
      </c>
      <c r="H3155" s="50" t="s">
        <v>2</v>
      </c>
      <c r="I3155" s="50" t="s">
        <v>291</v>
      </c>
      <c r="J3155" s="51">
        <v>46003</v>
      </c>
      <c r="K3155" s="50" t="s">
        <v>1</v>
      </c>
      <c r="L3155" s="50" t="s">
        <v>80</v>
      </c>
    </row>
    <row r="3156" spans="2:12">
      <c r="B3156" s="50" t="s">
        <v>427</v>
      </c>
      <c r="C3156" s="50" t="s">
        <v>26</v>
      </c>
      <c r="D3156" s="50" t="s">
        <v>27</v>
      </c>
      <c r="E3156" s="50">
        <v>50012902</v>
      </c>
      <c r="F3156" s="50" t="s">
        <v>225</v>
      </c>
      <c r="G3156" s="50">
        <v>1</v>
      </c>
      <c r="H3156" s="50" t="s">
        <v>2</v>
      </c>
      <c r="I3156" s="50" t="s">
        <v>291</v>
      </c>
      <c r="J3156" s="51">
        <v>46003</v>
      </c>
      <c r="K3156" s="50" t="s">
        <v>3</v>
      </c>
      <c r="L3156" s="50" t="s">
        <v>80</v>
      </c>
    </row>
    <row r="3157" spans="2:12">
      <c r="B3157" s="50" t="s">
        <v>427</v>
      </c>
      <c r="C3157" s="50" t="s">
        <v>26</v>
      </c>
      <c r="D3157" s="50" t="s">
        <v>27</v>
      </c>
      <c r="E3157" s="50">
        <v>50010031</v>
      </c>
      <c r="F3157" s="50" t="s">
        <v>89</v>
      </c>
      <c r="G3157" s="50">
        <v>1</v>
      </c>
      <c r="H3157" s="50" t="s">
        <v>2</v>
      </c>
      <c r="I3157" s="50" t="s">
        <v>291</v>
      </c>
      <c r="J3157" s="51">
        <v>46003</v>
      </c>
      <c r="K3157" s="50" t="s">
        <v>3</v>
      </c>
      <c r="L3157" s="50" t="s">
        <v>80</v>
      </c>
    </row>
    <row r="3158" spans="2:12">
      <c r="B3158" s="50" t="s">
        <v>481</v>
      </c>
      <c r="C3158" s="50" t="s">
        <v>26</v>
      </c>
      <c r="D3158" s="50" t="s">
        <v>27</v>
      </c>
      <c r="E3158" s="50">
        <v>50036279</v>
      </c>
      <c r="F3158" s="50" t="s">
        <v>133</v>
      </c>
      <c r="G3158" s="50">
        <v>1</v>
      </c>
      <c r="H3158" s="50" t="s">
        <v>2</v>
      </c>
      <c r="I3158" s="50" t="s">
        <v>291</v>
      </c>
      <c r="J3158" s="51">
        <v>46003</v>
      </c>
      <c r="K3158" s="50" t="s">
        <v>3</v>
      </c>
      <c r="L3158" s="50" t="s">
        <v>80</v>
      </c>
    </row>
    <row r="3159" spans="2:12">
      <c r="B3159" s="50" t="s">
        <v>427</v>
      </c>
      <c r="C3159" s="50" t="s">
        <v>26</v>
      </c>
      <c r="D3159" s="50" t="s">
        <v>27</v>
      </c>
      <c r="E3159" s="50">
        <v>50010031</v>
      </c>
      <c r="F3159" s="50" t="s">
        <v>89</v>
      </c>
      <c r="G3159" s="50">
        <v>1</v>
      </c>
      <c r="H3159" s="50" t="s">
        <v>2</v>
      </c>
      <c r="I3159" s="50" t="s">
        <v>291</v>
      </c>
      <c r="J3159" s="51">
        <v>46003</v>
      </c>
      <c r="K3159" s="50" t="s">
        <v>3</v>
      </c>
      <c r="L3159" s="50" t="s">
        <v>80</v>
      </c>
    </row>
    <row r="3160" spans="2:12">
      <c r="B3160" s="50" t="s">
        <v>483</v>
      </c>
      <c r="C3160" s="50" t="s">
        <v>62</v>
      </c>
      <c r="D3160" s="50" t="s">
        <v>27</v>
      </c>
      <c r="E3160" s="50">
        <v>50026357</v>
      </c>
      <c r="F3160" s="50" t="s">
        <v>192</v>
      </c>
      <c r="G3160" s="50">
        <v>1</v>
      </c>
      <c r="H3160" s="50" t="s">
        <v>2</v>
      </c>
      <c r="I3160" s="50" t="s">
        <v>291</v>
      </c>
      <c r="J3160" s="51">
        <v>46003</v>
      </c>
      <c r="K3160" s="50" t="s">
        <v>3</v>
      </c>
      <c r="L3160" s="50" t="s">
        <v>80</v>
      </c>
    </row>
    <row r="3161" spans="2:12">
      <c r="B3161" s="50" t="s">
        <v>483</v>
      </c>
      <c r="C3161" s="50" t="s">
        <v>62</v>
      </c>
      <c r="D3161" s="50" t="s">
        <v>27</v>
      </c>
      <c r="E3161" s="50">
        <v>50043471</v>
      </c>
      <c r="F3161" s="50" t="s">
        <v>257</v>
      </c>
      <c r="G3161" s="50">
        <v>1</v>
      </c>
      <c r="H3161" s="50" t="s">
        <v>2</v>
      </c>
      <c r="I3161" s="50" t="s">
        <v>291</v>
      </c>
      <c r="J3161" s="51">
        <v>46003</v>
      </c>
      <c r="K3161" s="50" t="s">
        <v>3</v>
      </c>
      <c r="L3161" s="50" t="s">
        <v>80</v>
      </c>
    </row>
    <row r="3162" spans="2:12">
      <c r="B3162" s="50" t="s">
        <v>427</v>
      </c>
      <c r="C3162" s="50" t="s">
        <v>26</v>
      </c>
      <c r="D3162" s="50" t="s">
        <v>27</v>
      </c>
      <c r="E3162" s="50">
        <v>50012902</v>
      </c>
      <c r="F3162" s="50" t="s">
        <v>225</v>
      </c>
      <c r="G3162" s="50">
        <v>1</v>
      </c>
      <c r="H3162" s="50" t="s">
        <v>2</v>
      </c>
      <c r="I3162" s="50" t="s">
        <v>291</v>
      </c>
      <c r="J3162" s="51">
        <v>46003</v>
      </c>
      <c r="K3162" s="50" t="s">
        <v>86</v>
      </c>
      <c r="L3162" s="50" t="s">
        <v>80</v>
      </c>
    </row>
    <row r="3163" spans="2:12">
      <c r="B3163" s="50" t="s">
        <v>427</v>
      </c>
      <c r="C3163" s="50" t="s">
        <v>26</v>
      </c>
      <c r="D3163" s="50" t="s">
        <v>27</v>
      </c>
      <c r="E3163" s="50">
        <v>50012903</v>
      </c>
      <c r="F3163" s="50" t="s">
        <v>308</v>
      </c>
      <c r="G3163" s="50">
        <v>1</v>
      </c>
      <c r="H3163" s="50" t="s">
        <v>2</v>
      </c>
      <c r="I3163" s="50" t="s">
        <v>291</v>
      </c>
      <c r="J3163" s="51">
        <v>46003</v>
      </c>
      <c r="K3163" s="50" t="s">
        <v>3</v>
      </c>
      <c r="L3163" s="50" t="s">
        <v>80</v>
      </c>
    </row>
    <row r="3164" spans="2:12">
      <c r="B3164" s="50" t="s">
        <v>427</v>
      </c>
      <c r="C3164" s="50" t="s">
        <v>26</v>
      </c>
      <c r="D3164" s="50" t="s">
        <v>27</v>
      </c>
      <c r="E3164" s="50">
        <v>50012903</v>
      </c>
      <c r="F3164" s="50" t="s">
        <v>308</v>
      </c>
      <c r="G3164" s="50">
        <v>1</v>
      </c>
      <c r="H3164" s="50" t="s">
        <v>2</v>
      </c>
      <c r="I3164" s="50" t="s">
        <v>291</v>
      </c>
      <c r="J3164" s="51">
        <v>46003</v>
      </c>
      <c r="K3164" s="50" t="s">
        <v>3</v>
      </c>
      <c r="L3164" s="50" t="s">
        <v>80</v>
      </c>
    </row>
    <row r="3165" spans="2:12">
      <c r="B3165" s="50" t="s">
        <v>439</v>
      </c>
      <c r="C3165" s="50" t="s">
        <v>62</v>
      </c>
      <c r="D3165" s="50" t="s">
        <v>27</v>
      </c>
      <c r="E3165" s="50">
        <v>50041195</v>
      </c>
      <c r="F3165" s="50" t="s">
        <v>206</v>
      </c>
      <c r="G3165" s="50">
        <v>1</v>
      </c>
      <c r="H3165" s="50" t="s">
        <v>2</v>
      </c>
      <c r="I3165" s="50" t="s">
        <v>291</v>
      </c>
      <c r="J3165" s="51">
        <v>46003</v>
      </c>
      <c r="K3165" s="50" t="s">
        <v>3</v>
      </c>
      <c r="L3165" s="50" t="s">
        <v>80</v>
      </c>
    </row>
    <row r="3166" spans="2:12">
      <c r="B3166" s="50" t="s">
        <v>273</v>
      </c>
      <c r="C3166" s="50" t="s">
        <v>274</v>
      </c>
      <c r="D3166" s="50" t="s">
        <v>27</v>
      </c>
      <c r="E3166" s="50">
        <v>50018168</v>
      </c>
      <c r="F3166" s="50" t="s">
        <v>251</v>
      </c>
      <c r="G3166" s="50">
        <v>1</v>
      </c>
      <c r="H3166" s="50" t="s">
        <v>2</v>
      </c>
      <c r="I3166" s="50" t="s">
        <v>291</v>
      </c>
      <c r="J3166" s="51">
        <v>46003</v>
      </c>
      <c r="K3166" s="50" t="s">
        <v>1</v>
      </c>
      <c r="L3166" s="50" t="s">
        <v>80</v>
      </c>
    </row>
    <row r="3167" spans="2:12">
      <c r="B3167" s="50" t="s">
        <v>316</v>
      </c>
      <c r="C3167" s="50" t="s">
        <v>51</v>
      </c>
      <c r="D3167" s="50" t="s">
        <v>27</v>
      </c>
      <c r="E3167" s="50">
        <v>50038841</v>
      </c>
      <c r="F3167" s="50" t="s">
        <v>180</v>
      </c>
      <c r="G3167" s="50">
        <v>1</v>
      </c>
      <c r="H3167" s="50" t="s">
        <v>2</v>
      </c>
      <c r="I3167" s="50" t="s">
        <v>291</v>
      </c>
      <c r="J3167" s="51">
        <v>46003</v>
      </c>
      <c r="K3167" s="50" t="s">
        <v>1</v>
      </c>
      <c r="L3167" s="50" t="s">
        <v>80</v>
      </c>
    </row>
    <row r="3168" spans="2:12">
      <c r="B3168" s="50" t="s">
        <v>316</v>
      </c>
      <c r="C3168" s="50" t="s">
        <v>51</v>
      </c>
      <c r="D3168" s="50" t="s">
        <v>27</v>
      </c>
      <c r="E3168" s="50">
        <v>50038841</v>
      </c>
      <c r="F3168" s="50" t="s">
        <v>180</v>
      </c>
      <c r="G3168" s="50">
        <v>1</v>
      </c>
      <c r="H3168" s="50" t="s">
        <v>2</v>
      </c>
      <c r="I3168" s="50" t="s">
        <v>292</v>
      </c>
      <c r="J3168" s="51">
        <v>46002</v>
      </c>
      <c r="K3168" s="50" t="s">
        <v>1</v>
      </c>
      <c r="L3168" s="50" t="s">
        <v>80</v>
      </c>
    </row>
    <row r="3169" spans="2:12">
      <c r="B3169" s="50" t="s">
        <v>277</v>
      </c>
      <c r="C3169" s="50" t="s">
        <v>62</v>
      </c>
      <c r="D3169" s="50" t="s">
        <v>27</v>
      </c>
      <c r="E3169" s="50">
        <v>50037892</v>
      </c>
      <c r="F3169" s="50" t="s">
        <v>178</v>
      </c>
      <c r="G3169" s="50">
        <v>1</v>
      </c>
      <c r="H3169" s="50" t="s">
        <v>2</v>
      </c>
      <c r="I3169" s="50" t="s">
        <v>292</v>
      </c>
      <c r="J3169" s="51">
        <v>46002</v>
      </c>
      <c r="K3169" s="50" t="s">
        <v>1</v>
      </c>
      <c r="L3169" s="50" t="s">
        <v>80</v>
      </c>
    </row>
    <row r="3170" spans="2:12">
      <c r="B3170" s="50" t="s">
        <v>438</v>
      </c>
      <c r="C3170" s="50" t="s">
        <v>51</v>
      </c>
      <c r="D3170" s="50" t="s">
        <v>36</v>
      </c>
      <c r="E3170" s="50">
        <v>50041195</v>
      </c>
      <c r="F3170" s="50" t="s">
        <v>206</v>
      </c>
      <c r="G3170" s="50">
        <v>1</v>
      </c>
      <c r="H3170" s="50" t="s">
        <v>2</v>
      </c>
      <c r="I3170" s="50" t="s">
        <v>292</v>
      </c>
      <c r="J3170" s="51">
        <v>46002</v>
      </c>
      <c r="K3170" s="50" t="s">
        <v>1</v>
      </c>
      <c r="L3170" s="50" t="s">
        <v>80</v>
      </c>
    </row>
    <row r="3171" spans="2:12">
      <c r="B3171" s="50" t="s">
        <v>483</v>
      </c>
      <c r="C3171" s="50" t="s">
        <v>62</v>
      </c>
      <c r="D3171" s="50" t="s">
        <v>27</v>
      </c>
      <c r="E3171" s="50">
        <v>50026357</v>
      </c>
      <c r="F3171" s="50" t="s">
        <v>192</v>
      </c>
      <c r="G3171" s="50">
        <v>1</v>
      </c>
      <c r="H3171" s="50" t="s">
        <v>2</v>
      </c>
      <c r="I3171" s="50" t="s">
        <v>292</v>
      </c>
      <c r="J3171" s="51">
        <v>46002</v>
      </c>
      <c r="K3171" s="50" t="s">
        <v>1</v>
      </c>
      <c r="L3171" s="50" t="s">
        <v>80</v>
      </c>
    </row>
    <row r="3172" spans="2:12">
      <c r="B3172" s="50" t="s">
        <v>444</v>
      </c>
      <c r="C3172" s="50" t="s">
        <v>51</v>
      </c>
      <c r="D3172" s="50" t="s">
        <v>27</v>
      </c>
      <c r="E3172" s="50">
        <v>50032781</v>
      </c>
      <c r="F3172" s="50" t="s">
        <v>237</v>
      </c>
      <c r="G3172" s="50">
        <v>1</v>
      </c>
      <c r="H3172" s="50" t="s">
        <v>2</v>
      </c>
      <c r="I3172" s="50" t="s">
        <v>292</v>
      </c>
      <c r="J3172" s="51">
        <v>46002</v>
      </c>
      <c r="K3172" s="50" t="s">
        <v>1</v>
      </c>
      <c r="L3172" s="50" t="s">
        <v>80</v>
      </c>
    </row>
    <row r="3173" spans="2:12">
      <c r="B3173" s="50" t="s">
        <v>483</v>
      </c>
      <c r="C3173" s="50" t="s">
        <v>62</v>
      </c>
      <c r="D3173" s="50" t="s">
        <v>27</v>
      </c>
      <c r="E3173" s="50">
        <v>50030486</v>
      </c>
      <c r="F3173" s="50" t="s">
        <v>153</v>
      </c>
      <c r="G3173" s="50">
        <v>1</v>
      </c>
      <c r="H3173" s="50" t="s">
        <v>2</v>
      </c>
      <c r="I3173" s="50" t="s">
        <v>292</v>
      </c>
      <c r="J3173" s="51">
        <v>46002</v>
      </c>
      <c r="K3173" s="50" t="s">
        <v>1</v>
      </c>
      <c r="L3173" s="50" t="s">
        <v>80</v>
      </c>
    </row>
    <row r="3174" spans="2:12">
      <c r="B3174" s="50" t="s">
        <v>316</v>
      </c>
      <c r="C3174" s="50" t="s">
        <v>51</v>
      </c>
      <c r="D3174" s="50" t="s">
        <v>27</v>
      </c>
      <c r="E3174" s="50">
        <v>50003297</v>
      </c>
      <c r="F3174" s="50" t="s">
        <v>158</v>
      </c>
      <c r="G3174" s="50">
        <v>1</v>
      </c>
      <c r="H3174" s="50" t="s">
        <v>2</v>
      </c>
      <c r="I3174" s="50" t="s">
        <v>292</v>
      </c>
      <c r="J3174" s="51">
        <v>46002</v>
      </c>
      <c r="K3174" s="50" t="s">
        <v>1</v>
      </c>
      <c r="L3174" s="50" t="s">
        <v>80</v>
      </c>
    </row>
    <row r="3175" spans="2:12">
      <c r="B3175" s="50" t="s">
        <v>277</v>
      </c>
      <c r="C3175" s="50" t="s">
        <v>62</v>
      </c>
      <c r="D3175" s="50" t="s">
        <v>27</v>
      </c>
      <c r="E3175" s="50">
        <v>50037892</v>
      </c>
      <c r="F3175" s="50" t="s">
        <v>178</v>
      </c>
      <c r="G3175" s="50">
        <v>1</v>
      </c>
      <c r="H3175" s="50" t="s">
        <v>2</v>
      </c>
      <c r="I3175" s="50" t="s">
        <v>292</v>
      </c>
      <c r="J3175" s="51">
        <v>46002</v>
      </c>
      <c r="K3175" s="50" t="s">
        <v>1</v>
      </c>
      <c r="L3175" s="50" t="s">
        <v>80</v>
      </c>
    </row>
    <row r="3176" spans="2:12">
      <c r="B3176" s="50" t="s">
        <v>277</v>
      </c>
      <c r="C3176" s="50" t="s">
        <v>62</v>
      </c>
      <c r="D3176" s="50" t="s">
        <v>27</v>
      </c>
      <c r="E3176" s="50">
        <v>50043471</v>
      </c>
      <c r="F3176" s="50" t="s">
        <v>257</v>
      </c>
      <c r="G3176" s="50">
        <v>1</v>
      </c>
      <c r="H3176" s="50" t="s">
        <v>2</v>
      </c>
      <c r="I3176" s="50" t="s">
        <v>292</v>
      </c>
      <c r="J3176" s="51">
        <v>46002</v>
      </c>
      <c r="K3176" s="50" t="s">
        <v>3</v>
      </c>
      <c r="L3176" s="50" t="s">
        <v>80</v>
      </c>
    </row>
    <row r="3177" spans="2:12">
      <c r="B3177" s="50" t="s">
        <v>277</v>
      </c>
      <c r="C3177" s="50" t="s">
        <v>62</v>
      </c>
      <c r="D3177" s="50" t="s">
        <v>27</v>
      </c>
      <c r="E3177" s="50">
        <v>50037892</v>
      </c>
      <c r="F3177" s="50" t="s">
        <v>178</v>
      </c>
      <c r="G3177" s="50">
        <v>1</v>
      </c>
      <c r="H3177" s="50" t="s">
        <v>2</v>
      </c>
      <c r="I3177" s="50" t="s">
        <v>292</v>
      </c>
      <c r="J3177" s="51">
        <v>46002</v>
      </c>
      <c r="K3177" s="50" t="s">
        <v>3</v>
      </c>
      <c r="L3177" s="50" t="s">
        <v>80</v>
      </c>
    </row>
    <row r="3178" spans="2:12">
      <c r="B3178" s="50" t="s">
        <v>277</v>
      </c>
      <c r="C3178" s="50" t="s">
        <v>62</v>
      </c>
      <c r="D3178" s="50" t="s">
        <v>27</v>
      </c>
      <c r="E3178" s="50">
        <v>50043471</v>
      </c>
      <c r="F3178" s="50" t="s">
        <v>257</v>
      </c>
      <c r="G3178" s="50">
        <v>1</v>
      </c>
      <c r="H3178" s="50" t="s">
        <v>2</v>
      </c>
      <c r="I3178" s="50" t="s">
        <v>292</v>
      </c>
      <c r="J3178" s="51">
        <v>46002</v>
      </c>
      <c r="K3178" s="50" t="s">
        <v>1</v>
      </c>
      <c r="L3178" s="50" t="s">
        <v>80</v>
      </c>
    </row>
    <row r="3179" spans="2:12">
      <c r="B3179" s="50" t="s">
        <v>481</v>
      </c>
      <c r="C3179" s="50" t="s">
        <v>56</v>
      </c>
      <c r="D3179" s="50" t="s">
        <v>27</v>
      </c>
      <c r="E3179" s="50">
        <v>50037892</v>
      </c>
      <c r="F3179" s="50" t="s">
        <v>178</v>
      </c>
      <c r="G3179" s="50">
        <v>1</v>
      </c>
      <c r="H3179" s="50" t="s">
        <v>2</v>
      </c>
      <c r="I3179" s="50" t="s">
        <v>292</v>
      </c>
      <c r="J3179" s="51">
        <v>46002</v>
      </c>
      <c r="K3179" s="50" t="s">
        <v>1</v>
      </c>
      <c r="L3179" s="50" t="s">
        <v>80</v>
      </c>
    </row>
    <row r="3180" spans="2:12">
      <c r="B3180" s="50" t="s">
        <v>447</v>
      </c>
      <c r="C3180" s="50" t="s">
        <v>56</v>
      </c>
      <c r="D3180" s="50" t="s">
        <v>41</v>
      </c>
      <c r="E3180" s="50">
        <v>50043471</v>
      </c>
      <c r="F3180" s="50" t="s">
        <v>257</v>
      </c>
      <c r="G3180" s="50">
        <v>1</v>
      </c>
      <c r="H3180" s="50" t="s">
        <v>2</v>
      </c>
      <c r="I3180" s="50" t="s">
        <v>292</v>
      </c>
      <c r="J3180" s="51">
        <v>46002</v>
      </c>
      <c r="K3180" s="50" t="s">
        <v>3</v>
      </c>
      <c r="L3180" s="50" t="s">
        <v>80</v>
      </c>
    </row>
    <row r="3181" spans="2:12">
      <c r="B3181" s="50" t="s">
        <v>471</v>
      </c>
      <c r="C3181" s="50" t="s">
        <v>26</v>
      </c>
      <c r="D3181" s="50" t="s">
        <v>27</v>
      </c>
      <c r="E3181" s="50">
        <v>50038517</v>
      </c>
      <c r="F3181" s="50" t="s">
        <v>181</v>
      </c>
      <c r="G3181" s="50">
        <v>1</v>
      </c>
      <c r="H3181" s="50" t="s">
        <v>2</v>
      </c>
      <c r="I3181" s="50" t="s">
        <v>292</v>
      </c>
      <c r="J3181" s="51">
        <v>46002</v>
      </c>
      <c r="K3181" s="50" t="s">
        <v>3</v>
      </c>
      <c r="L3181" s="50" t="s">
        <v>80</v>
      </c>
    </row>
    <row r="3182" spans="2:12">
      <c r="B3182" s="50" t="s">
        <v>481</v>
      </c>
      <c r="C3182" s="50" t="s">
        <v>56</v>
      </c>
      <c r="D3182" s="50" t="s">
        <v>27</v>
      </c>
      <c r="E3182" s="50">
        <v>50037892</v>
      </c>
      <c r="F3182" s="50" t="s">
        <v>178</v>
      </c>
      <c r="G3182" s="50">
        <v>1</v>
      </c>
      <c r="H3182" s="50" t="s">
        <v>2</v>
      </c>
      <c r="I3182" s="50" t="s">
        <v>292</v>
      </c>
      <c r="J3182" s="51">
        <v>46002</v>
      </c>
      <c r="K3182" s="50" t="s">
        <v>1</v>
      </c>
      <c r="L3182" s="50" t="s">
        <v>80</v>
      </c>
    </row>
    <row r="3183" spans="2:12">
      <c r="B3183" s="50" t="s">
        <v>481</v>
      </c>
      <c r="C3183" s="50" t="s">
        <v>56</v>
      </c>
      <c r="D3183" s="50" t="s">
        <v>27</v>
      </c>
      <c r="E3183" s="50">
        <v>50020623</v>
      </c>
      <c r="F3183" s="50" t="s">
        <v>217</v>
      </c>
      <c r="G3183" s="50">
        <v>1</v>
      </c>
      <c r="H3183" s="50" t="s">
        <v>2</v>
      </c>
      <c r="I3183" s="50" t="s">
        <v>291</v>
      </c>
      <c r="J3183" s="51">
        <v>46002</v>
      </c>
      <c r="K3183" s="50" t="s">
        <v>1</v>
      </c>
      <c r="L3183" s="50" t="s">
        <v>80</v>
      </c>
    </row>
    <row r="3184" spans="2:12">
      <c r="B3184" s="50" t="s">
        <v>347</v>
      </c>
      <c r="C3184" s="50" t="s">
        <v>26</v>
      </c>
      <c r="D3184" s="50" t="s">
        <v>41</v>
      </c>
      <c r="E3184" s="50">
        <v>50038549</v>
      </c>
      <c r="F3184" s="50" t="s">
        <v>173</v>
      </c>
      <c r="G3184" s="50">
        <v>1</v>
      </c>
      <c r="H3184" s="50" t="s">
        <v>2</v>
      </c>
      <c r="I3184" s="50" t="s">
        <v>291</v>
      </c>
      <c r="J3184" s="51">
        <v>46002</v>
      </c>
      <c r="K3184" s="50" t="s">
        <v>1</v>
      </c>
      <c r="L3184" s="50" t="s">
        <v>80</v>
      </c>
    </row>
    <row r="3185" spans="2:12">
      <c r="B3185" s="50" t="s">
        <v>347</v>
      </c>
      <c r="C3185" s="50" t="s">
        <v>26</v>
      </c>
      <c r="D3185" s="50" t="s">
        <v>41</v>
      </c>
      <c r="E3185" s="50">
        <v>50038854</v>
      </c>
      <c r="F3185" s="50" t="s">
        <v>101</v>
      </c>
      <c r="G3185" s="50">
        <v>1</v>
      </c>
      <c r="H3185" s="50" t="s">
        <v>2</v>
      </c>
      <c r="I3185" s="50" t="s">
        <v>291</v>
      </c>
      <c r="J3185" s="51">
        <v>46002</v>
      </c>
      <c r="K3185" s="50" t="s">
        <v>3</v>
      </c>
      <c r="L3185" s="50" t="s">
        <v>80</v>
      </c>
    </row>
    <row r="3186" spans="2:12">
      <c r="B3186" s="50" t="s">
        <v>427</v>
      </c>
      <c r="C3186" s="50" t="s">
        <v>26</v>
      </c>
      <c r="D3186" s="50" t="s">
        <v>27</v>
      </c>
      <c r="E3186" s="50">
        <v>50038517</v>
      </c>
      <c r="F3186" s="50" t="s">
        <v>181</v>
      </c>
      <c r="G3186" s="50">
        <v>1</v>
      </c>
      <c r="H3186" s="50" t="s">
        <v>2</v>
      </c>
      <c r="I3186" s="50" t="s">
        <v>288</v>
      </c>
      <c r="J3186" s="51">
        <v>46002</v>
      </c>
      <c r="K3186" s="50" t="s">
        <v>1</v>
      </c>
      <c r="L3186" s="50" t="s">
        <v>80</v>
      </c>
    </row>
    <row r="3187" spans="2:12">
      <c r="B3187" s="50" t="s">
        <v>427</v>
      </c>
      <c r="C3187" s="50" t="s">
        <v>26</v>
      </c>
      <c r="D3187" s="50" t="s">
        <v>27</v>
      </c>
      <c r="E3187" s="50">
        <v>50038517</v>
      </c>
      <c r="F3187" s="50" t="s">
        <v>181</v>
      </c>
      <c r="G3187" s="50">
        <v>1</v>
      </c>
      <c r="H3187" s="50" t="s">
        <v>2</v>
      </c>
      <c r="I3187" s="50" t="s">
        <v>291</v>
      </c>
      <c r="J3187" s="51">
        <v>46002</v>
      </c>
      <c r="K3187" s="50" t="s">
        <v>3</v>
      </c>
      <c r="L3187" s="50" t="s">
        <v>80</v>
      </c>
    </row>
    <row r="3188" spans="2:12">
      <c r="B3188" s="50" t="s">
        <v>410</v>
      </c>
      <c r="C3188" s="50" t="s">
        <v>51</v>
      </c>
      <c r="D3188" s="50" t="s">
        <v>27</v>
      </c>
      <c r="E3188" s="50">
        <v>50038517</v>
      </c>
      <c r="F3188" s="50" t="s">
        <v>181</v>
      </c>
      <c r="G3188" s="50">
        <v>1</v>
      </c>
      <c r="H3188" s="50" t="s">
        <v>2</v>
      </c>
      <c r="I3188" s="50" t="s">
        <v>291</v>
      </c>
      <c r="J3188" s="51">
        <v>46002</v>
      </c>
      <c r="K3188" s="50" t="s">
        <v>3</v>
      </c>
      <c r="L3188" s="50" t="s">
        <v>80</v>
      </c>
    </row>
    <row r="3189" spans="2:12">
      <c r="B3189" s="50" t="s">
        <v>347</v>
      </c>
      <c r="C3189" s="50" t="s">
        <v>26</v>
      </c>
      <c r="D3189" s="50" t="s">
        <v>41</v>
      </c>
      <c r="E3189" s="50">
        <v>50038854</v>
      </c>
      <c r="F3189" s="50" t="s">
        <v>101</v>
      </c>
      <c r="G3189" s="50">
        <v>1</v>
      </c>
      <c r="H3189" s="50" t="s">
        <v>2</v>
      </c>
      <c r="I3189" s="50" t="s">
        <v>291</v>
      </c>
      <c r="J3189" s="51">
        <v>46002</v>
      </c>
      <c r="K3189" s="50" t="s">
        <v>3</v>
      </c>
      <c r="L3189" s="50" t="s">
        <v>80</v>
      </c>
    </row>
    <row r="3190" spans="2:12">
      <c r="B3190" s="50" t="s">
        <v>438</v>
      </c>
      <c r="C3190" s="50" t="s">
        <v>51</v>
      </c>
      <c r="D3190" s="50" t="s">
        <v>36</v>
      </c>
      <c r="E3190" s="50">
        <v>50041195</v>
      </c>
      <c r="F3190" s="50" t="s">
        <v>206</v>
      </c>
      <c r="G3190" s="50">
        <v>1</v>
      </c>
      <c r="H3190" s="50" t="s">
        <v>2</v>
      </c>
      <c r="I3190" s="50" t="s">
        <v>291</v>
      </c>
      <c r="J3190" s="51">
        <v>46002</v>
      </c>
      <c r="K3190" s="50" t="s">
        <v>3</v>
      </c>
      <c r="L3190" s="50" t="s">
        <v>80</v>
      </c>
    </row>
    <row r="3191" spans="2:12">
      <c r="B3191" s="50" t="s">
        <v>483</v>
      </c>
      <c r="C3191" s="50" t="s">
        <v>62</v>
      </c>
      <c r="D3191" s="50" t="s">
        <v>27</v>
      </c>
      <c r="E3191" s="50">
        <v>50026357</v>
      </c>
      <c r="F3191" s="50" t="s">
        <v>192</v>
      </c>
      <c r="G3191" s="50">
        <v>1</v>
      </c>
      <c r="H3191" s="50" t="s">
        <v>2</v>
      </c>
      <c r="I3191" s="50" t="s">
        <v>291</v>
      </c>
      <c r="J3191" s="51">
        <v>46002</v>
      </c>
      <c r="K3191" s="50" t="s">
        <v>3</v>
      </c>
      <c r="L3191" s="50" t="s">
        <v>80</v>
      </c>
    </row>
    <row r="3192" spans="2:12">
      <c r="B3192" s="50" t="s">
        <v>347</v>
      </c>
      <c r="C3192" s="50" t="s">
        <v>26</v>
      </c>
      <c r="D3192" s="50" t="s">
        <v>41</v>
      </c>
      <c r="E3192" s="50">
        <v>50038549</v>
      </c>
      <c r="F3192" s="50" t="s">
        <v>173</v>
      </c>
      <c r="G3192" s="50">
        <v>1</v>
      </c>
      <c r="H3192" s="50" t="s">
        <v>2</v>
      </c>
      <c r="I3192" s="50" t="s">
        <v>291</v>
      </c>
      <c r="J3192" s="51">
        <v>46002</v>
      </c>
      <c r="K3192" s="50" t="s">
        <v>3</v>
      </c>
      <c r="L3192" s="50" t="s">
        <v>80</v>
      </c>
    </row>
    <row r="3193" spans="2:12">
      <c r="B3193" s="50" t="s">
        <v>427</v>
      </c>
      <c r="C3193" s="50" t="s">
        <v>26</v>
      </c>
      <c r="D3193" s="50" t="s">
        <v>27</v>
      </c>
      <c r="E3193" s="50">
        <v>50038517</v>
      </c>
      <c r="F3193" s="50" t="s">
        <v>181</v>
      </c>
      <c r="G3193" s="50">
        <v>1</v>
      </c>
      <c r="H3193" s="50" t="s">
        <v>2</v>
      </c>
      <c r="I3193" s="50" t="s">
        <v>291</v>
      </c>
      <c r="J3193" s="51">
        <v>46002</v>
      </c>
      <c r="K3193" s="50" t="s">
        <v>3</v>
      </c>
      <c r="L3193" s="50" t="s">
        <v>80</v>
      </c>
    </row>
    <row r="3194" spans="2:12">
      <c r="B3194" s="50" t="s">
        <v>410</v>
      </c>
      <c r="C3194" s="50" t="s">
        <v>51</v>
      </c>
      <c r="D3194" s="50" t="s">
        <v>27</v>
      </c>
      <c r="E3194" s="50">
        <v>50038517</v>
      </c>
      <c r="F3194" s="50" t="s">
        <v>181</v>
      </c>
      <c r="G3194" s="50">
        <v>1</v>
      </c>
      <c r="H3194" s="50" t="s">
        <v>2</v>
      </c>
      <c r="I3194" s="50" t="s">
        <v>291</v>
      </c>
      <c r="J3194" s="51">
        <v>46002</v>
      </c>
      <c r="K3194" s="50" t="s">
        <v>3</v>
      </c>
      <c r="L3194" s="50" t="s">
        <v>80</v>
      </c>
    </row>
    <row r="3195" spans="2:12">
      <c r="B3195" s="50" t="s">
        <v>444</v>
      </c>
      <c r="C3195" s="50" t="s">
        <v>51</v>
      </c>
      <c r="D3195" s="50" t="s">
        <v>27</v>
      </c>
      <c r="E3195" s="50">
        <v>50032781</v>
      </c>
      <c r="F3195" s="50" t="s">
        <v>237</v>
      </c>
      <c r="G3195" s="50">
        <v>1</v>
      </c>
      <c r="H3195" s="50" t="s">
        <v>2</v>
      </c>
      <c r="I3195" s="50" t="s">
        <v>291</v>
      </c>
      <c r="J3195" s="51">
        <v>46002</v>
      </c>
      <c r="K3195" s="50" t="s">
        <v>3</v>
      </c>
      <c r="L3195" s="50" t="s">
        <v>80</v>
      </c>
    </row>
    <row r="3196" spans="2:12">
      <c r="B3196" s="50" t="s">
        <v>483</v>
      </c>
      <c r="C3196" s="50" t="s">
        <v>62</v>
      </c>
      <c r="D3196" s="50" t="s">
        <v>27</v>
      </c>
      <c r="E3196" s="50">
        <v>50030486</v>
      </c>
      <c r="F3196" s="50" t="s">
        <v>153</v>
      </c>
      <c r="G3196" s="50">
        <v>1</v>
      </c>
      <c r="H3196" s="50" t="s">
        <v>2</v>
      </c>
      <c r="I3196" s="50" t="s">
        <v>291</v>
      </c>
      <c r="J3196" s="51">
        <v>46002</v>
      </c>
      <c r="K3196" s="50" t="s">
        <v>3</v>
      </c>
      <c r="L3196" s="50" t="s">
        <v>80</v>
      </c>
    </row>
    <row r="3197" spans="2:12">
      <c r="B3197" s="50" t="s">
        <v>483</v>
      </c>
      <c r="C3197" s="50" t="s">
        <v>62</v>
      </c>
      <c r="D3197" s="50" t="s">
        <v>27</v>
      </c>
      <c r="E3197" s="50">
        <v>50010031</v>
      </c>
      <c r="F3197" s="50" t="s">
        <v>89</v>
      </c>
      <c r="G3197" s="50">
        <v>1</v>
      </c>
      <c r="H3197" s="50" t="s">
        <v>2</v>
      </c>
      <c r="I3197" s="50" t="s">
        <v>291</v>
      </c>
      <c r="J3197" s="51">
        <v>46002</v>
      </c>
      <c r="K3197" s="50" t="s">
        <v>3</v>
      </c>
      <c r="L3197" s="50" t="s">
        <v>80</v>
      </c>
    </row>
    <row r="3198" spans="2:12">
      <c r="B3198" s="50" t="s">
        <v>447</v>
      </c>
      <c r="C3198" s="50" t="s">
        <v>56</v>
      </c>
      <c r="D3198" s="50" t="s">
        <v>41</v>
      </c>
      <c r="E3198" s="50">
        <v>50043471</v>
      </c>
      <c r="F3198" s="50" t="s">
        <v>257</v>
      </c>
      <c r="G3198" s="50">
        <v>1</v>
      </c>
      <c r="H3198" s="50" t="s">
        <v>2</v>
      </c>
      <c r="I3198" s="50" t="s">
        <v>291</v>
      </c>
      <c r="J3198" s="51">
        <v>46002</v>
      </c>
      <c r="K3198" s="50" t="s">
        <v>3</v>
      </c>
      <c r="L3198" s="50" t="s">
        <v>80</v>
      </c>
    </row>
    <row r="3199" spans="2:12">
      <c r="B3199" s="50" t="s">
        <v>481</v>
      </c>
      <c r="C3199" s="50" t="s">
        <v>56</v>
      </c>
      <c r="D3199" s="50" t="s">
        <v>27</v>
      </c>
      <c r="E3199" s="50">
        <v>50020623</v>
      </c>
      <c r="F3199" s="50" t="s">
        <v>217</v>
      </c>
      <c r="G3199" s="50">
        <v>1</v>
      </c>
      <c r="H3199" s="50" t="s">
        <v>2</v>
      </c>
      <c r="I3199" s="50" t="s">
        <v>291</v>
      </c>
      <c r="J3199" s="51">
        <v>46002</v>
      </c>
      <c r="K3199" s="50" t="s">
        <v>1</v>
      </c>
      <c r="L3199" s="50" t="s">
        <v>80</v>
      </c>
    </row>
    <row r="3200" spans="2:12">
      <c r="B3200" s="50" t="s">
        <v>468</v>
      </c>
      <c r="C3200" s="50" t="s">
        <v>56</v>
      </c>
      <c r="D3200" s="50" t="s">
        <v>41</v>
      </c>
      <c r="E3200" s="50">
        <v>50043471</v>
      </c>
      <c r="F3200" s="50" t="s">
        <v>257</v>
      </c>
      <c r="G3200" s="50">
        <v>1</v>
      </c>
      <c r="H3200" s="50" t="s">
        <v>2</v>
      </c>
      <c r="I3200" s="50" t="s">
        <v>291</v>
      </c>
      <c r="J3200" s="51">
        <v>46002</v>
      </c>
      <c r="K3200" s="50" t="s">
        <v>3</v>
      </c>
      <c r="L3200" s="50" t="s">
        <v>80</v>
      </c>
    </row>
    <row r="3201" spans="2:12">
      <c r="B3201" s="50" t="s">
        <v>468</v>
      </c>
      <c r="C3201" s="50" t="s">
        <v>56</v>
      </c>
      <c r="D3201" s="50" t="s">
        <v>41</v>
      </c>
      <c r="E3201" s="50">
        <v>50037892</v>
      </c>
      <c r="F3201" s="50" t="s">
        <v>178</v>
      </c>
      <c r="G3201" s="50">
        <v>1</v>
      </c>
      <c r="H3201" s="50" t="s">
        <v>2</v>
      </c>
      <c r="I3201" s="50" t="s">
        <v>291</v>
      </c>
      <c r="J3201" s="51">
        <v>46002</v>
      </c>
      <c r="K3201" s="50" t="s">
        <v>3</v>
      </c>
      <c r="L3201" s="50" t="s">
        <v>80</v>
      </c>
    </row>
    <row r="3202" spans="2:12">
      <c r="B3202" s="50" t="s">
        <v>316</v>
      </c>
      <c r="C3202" s="50" t="s">
        <v>51</v>
      </c>
      <c r="D3202" s="50" t="s">
        <v>27</v>
      </c>
      <c r="E3202" s="50">
        <v>50003297</v>
      </c>
      <c r="F3202" s="50" t="s">
        <v>158</v>
      </c>
      <c r="G3202" s="50">
        <v>1</v>
      </c>
      <c r="H3202" s="50" t="s">
        <v>2</v>
      </c>
      <c r="I3202" s="50" t="s">
        <v>291</v>
      </c>
      <c r="J3202" s="51">
        <v>46002</v>
      </c>
      <c r="K3202" s="50" t="s">
        <v>3</v>
      </c>
      <c r="L3202" s="50" t="s">
        <v>80</v>
      </c>
    </row>
    <row r="3203" spans="2:12">
      <c r="B3203" s="50" t="s">
        <v>316</v>
      </c>
      <c r="C3203" s="50" t="s">
        <v>51</v>
      </c>
      <c r="D3203" s="50" t="s">
        <v>27</v>
      </c>
      <c r="E3203" s="50">
        <v>50038841</v>
      </c>
      <c r="F3203" s="50" t="s">
        <v>180</v>
      </c>
      <c r="G3203" s="50">
        <v>1</v>
      </c>
      <c r="H3203" s="50" t="s">
        <v>2</v>
      </c>
      <c r="I3203" s="50" t="s">
        <v>291</v>
      </c>
      <c r="J3203" s="51">
        <v>46002</v>
      </c>
      <c r="K3203" s="50" t="s">
        <v>3</v>
      </c>
      <c r="L3203" s="50" t="s">
        <v>80</v>
      </c>
    </row>
    <row r="3204" spans="2:12">
      <c r="B3204" s="50" t="s">
        <v>427</v>
      </c>
      <c r="C3204" s="50" t="s">
        <v>26</v>
      </c>
      <c r="D3204" s="50" t="s">
        <v>27</v>
      </c>
      <c r="E3204" s="50">
        <v>50038517</v>
      </c>
      <c r="F3204" s="50" t="s">
        <v>181</v>
      </c>
      <c r="G3204" s="50">
        <v>1</v>
      </c>
      <c r="H3204" s="50" t="s">
        <v>2</v>
      </c>
      <c r="I3204" s="50" t="s">
        <v>291</v>
      </c>
      <c r="J3204" s="51">
        <v>46002</v>
      </c>
      <c r="K3204" s="50" t="s">
        <v>3</v>
      </c>
      <c r="L3204" s="50" t="s">
        <v>80</v>
      </c>
    </row>
    <row r="3205" spans="2:12">
      <c r="B3205" s="50" t="s">
        <v>468</v>
      </c>
      <c r="C3205" s="50" t="s">
        <v>56</v>
      </c>
      <c r="D3205" s="50" t="s">
        <v>41</v>
      </c>
      <c r="E3205" s="50">
        <v>50037892</v>
      </c>
      <c r="F3205" s="50" t="s">
        <v>178</v>
      </c>
      <c r="G3205" s="50">
        <v>1</v>
      </c>
      <c r="H3205" s="50" t="s">
        <v>2</v>
      </c>
      <c r="I3205" s="50" t="s">
        <v>291</v>
      </c>
      <c r="J3205" s="51">
        <v>46002</v>
      </c>
      <c r="K3205" s="50" t="s">
        <v>3</v>
      </c>
      <c r="L3205" s="50" t="s">
        <v>80</v>
      </c>
    </row>
    <row r="3206" spans="2:12">
      <c r="B3206" s="50" t="s">
        <v>468</v>
      </c>
      <c r="C3206" s="50" t="s">
        <v>56</v>
      </c>
      <c r="D3206" s="50" t="s">
        <v>41</v>
      </c>
      <c r="E3206" s="50">
        <v>50043471</v>
      </c>
      <c r="F3206" s="50" t="s">
        <v>257</v>
      </c>
      <c r="G3206" s="50">
        <v>1</v>
      </c>
      <c r="H3206" s="50" t="s">
        <v>2</v>
      </c>
      <c r="I3206" s="50" t="s">
        <v>291</v>
      </c>
      <c r="J3206" s="51">
        <v>46002</v>
      </c>
      <c r="K3206" s="50" t="s">
        <v>1</v>
      </c>
      <c r="L3206" s="50"/>
    </row>
    <row r="3207" spans="2:12">
      <c r="B3207" s="50" t="s">
        <v>471</v>
      </c>
      <c r="C3207" s="50" t="s">
        <v>26</v>
      </c>
      <c r="D3207" s="50" t="s">
        <v>27</v>
      </c>
      <c r="E3207" s="50">
        <v>50039065</v>
      </c>
      <c r="F3207" s="50" t="s">
        <v>186</v>
      </c>
      <c r="G3207" s="50">
        <v>1</v>
      </c>
      <c r="H3207" s="50" t="s">
        <v>2</v>
      </c>
      <c r="I3207" s="50" t="s">
        <v>289</v>
      </c>
      <c r="J3207" s="51">
        <v>46001</v>
      </c>
      <c r="K3207" s="50" t="s">
        <v>3</v>
      </c>
      <c r="L3207" s="50" t="s">
        <v>80</v>
      </c>
    </row>
    <row r="3208" spans="2:12">
      <c r="B3208" s="50" t="s">
        <v>471</v>
      </c>
      <c r="C3208" s="50" t="s">
        <v>26</v>
      </c>
      <c r="D3208" s="50" t="s">
        <v>27</v>
      </c>
      <c r="E3208" s="50">
        <v>50038517</v>
      </c>
      <c r="F3208" s="50" t="s">
        <v>181</v>
      </c>
      <c r="G3208" s="50">
        <v>1</v>
      </c>
      <c r="H3208" s="50" t="s">
        <v>2</v>
      </c>
      <c r="I3208" s="50" t="s">
        <v>289</v>
      </c>
      <c r="J3208" s="51">
        <v>46001</v>
      </c>
      <c r="K3208" s="50" t="s">
        <v>1</v>
      </c>
      <c r="L3208" s="50" t="s">
        <v>80</v>
      </c>
    </row>
    <row r="3209" spans="2:12">
      <c r="B3209" s="50" t="s">
        <v>25</v>
      </c>
      <c r="C3209" s="50" t="s">
        <v>26</v>
      </c>
      <c r="D3209" s="50" t="s">
        <v>27</v>
      </c>
      <c r="E3209" s="50">
        <v>50037933</v>
      </c>
      <c r="F3209" s="50" t="s">
        <v>250</v>
      </c>
      <c r="G3209" s="50">
        <v>1</v>
      </c>
      <c r="H3209" s="50" t="s">
        <v>2</v>
      </c>
      <c r="I3209" s="50" t="s">
        <v>289</v>
      </c>
      <c r="J3209" s="51">
        <v>46001</v>
      </c>
      <c r="K3209" s="50" t="s">
        <v>1</v>
      </c>
      <c r="L3209" s="50" t="s">
        <v>80</v>
      </c>
    </row>
    <row r="3210" spans="2:12">
      <c r="B3210" s="50" t="s">
        <v>389</v>
      </c>
      <c r="C3210" s="50" t="s">
        <v>56</v>
      </c>
      <c r="D3210" s="50" t="s">
        <v>27</v>
      </c>
      <c r="E3210" s="50">
        <v>50029865</v>
      </c>
      <c r="F3210" s="50" t="s">
        <v>162</v>
      </c>
      <c r="G3210" s="50">
        <v>1</v>
      </c>
      <c r="H3210" s="50" t="s">
        <v>2</v>
      </c>
      <c r="I3210" s="50" t="s">
        <v>289</v>
      </c>
      <c r="J3210" s="51">
        <v>46001</v>
      </c>
      <c r="K3210" s="50" t="s">
        <v>1</v>
      </c>
      <c r="L3210" s="50" t="s">
        <v>80</v>
      </c>
    </row>
    <row r="3211" spans="2:12">
      <c r="B3211" s="50" t="s">
        <v>389</v>
      </c>
      <c r="C3211" s="50" t="s">
        <v>56</v>
      </c>
      <c r="D3211" s="50" t="s">
        <v>27</v>
      </c>
      <c r="E3211" s="50">
        <v>50003297</v>
      </c>
      <c r="F3211" s="50" t="s">
        <v>158</v>
      </c>
      <c r="G3211" s="50">
        <v>1</v>
      </c>
      <c r="H3211" s="50" t="s">
        <v>2</v>
      </c>
      <c r="I3211" s="50" t="s">
        <v>289</v>
      </c>
      <c r="J3211" s="51">
        <v>46001</v>
      </c>
      <c r="K3211" s="50" t="s">
        <v>1</v>
      </c>
      <c r="L3211" s="50" t="s">
        <v>80</v>
      </c>
    </row>
    <row r="3212" spans="2:12">
      <c r="B3212" s="50" t="s">
        <v>465</v>
      </c>
      <c r="C3212" s="50" t="s">
        <v>26</v>
      </c>
      <c r="D3212" s="50" t="s">
        <v>27</v>
      </c>
      <c r="E3212" s="50">
        <v>50043471</v>
      </c>
      <c r="F3212" s="50" t="s">
        <v>257</v>
      </c>
      <c r="G3212" s="50">
        <v>1</v>
      </c>
      <c r="H3212" s="50" t="s">
        <v>2</v>
      </c>
      <c r="I3212" s="50" t="s">
        <v>289</v>
      </c>
      <c r="J3212" s="51">
        <v>46001</v>
      </c>
      <c r="K3212" s="50" t="s">
        <v>1</v>
      </c>
      <c r="L3212" s="50" t="s">
        <v>80</v>
      </c>
    </row>
    <row r="3213" spans="2:12">
      <c r="B3213" s="50" t="s">
        <v>483</v>
      </c>
      <c r="C3213" s="50" t="s">
        <v>62</v>
      </c>
      <c r="D3213" s="50" t="s">
        <v>27</v>
      </c>
      <c r="E3213" s="50">
        <v>50037892</v>
      </c>
      <c r="F3213" s="50" t="s">
        <v>178</v>
      </c>
      <c r="G3213" s="50">
        <v>1</v>
      </c>
      <c r="H3213" s="50" t="s">
        <v>2</v>
      </c>
      <c r="I3213" s="50" t="s">
        <v>289</v>
      </c>
      <c r="J3213" s="51">
        <v>46001</v>
      </c>
      <c r="K3213" s="50" t="s">
        <v>1</v>
      </c>
      <c r="L3213" s="50" t="s">
        <v>80</v>
      </c>
    </row>
    <row r="3214" spans="2:12">
      <c r="B3214" s="50" t="s">
        <v>386</v>
      </c>
      <c r="C3214" s="50" t="s">
        <v>26</v>
      </c>
      <c r="D3214" s="50" t="s">
        <v>27</v>
      </c>
      <c r="E3214" s="50">
        <v>50037900</v>
      </c>
      <c r="F3214" s="50" t="s">
        <v>240</v>
      </c>
      <c r="G3214" s="50">
        <v>1</v>
      </c>
      <c r="H3214" s="50" t="s">
        <v>2</v>
      </c>
      <c r="I3214" s="50" t="s">
        <v>289</v>
      </c>
      <c r="J3214" s="51">
        <v>46001</v>
      </c>
      <c r="K3214" s="50" t="s">
        <v>1</v>
      </c>
      <c r="L3214" s="50" t="s">
        <v>80</v>
      </c>
    </row>
    <row r="3215" spans="2:12">
      <c r="B3215" s="50" t="s">
        <v>418</v>
      </c>
      <c r="C3215" s="50" t="s">
        <v>26</v>
      </c>
      <c r="D3215" s="50" t="s">
        <v>27</v>
      </c>
      <c r="E3215" s="50">
        <v>50039718</v>
      </c>
      <c r="F3215" s="50" t="s">
        <v>149</v>
      </c>
      <c r="G3215" s="50">
        <v>1</v>
      </c>
      <c r="H3215" s="50" t="s">
        <v>2</v>
      </c>
      <c r="I3215" s="50" t="s">
        <v>293</v>
      </c>
      <c r="J3215" s="51">
        <v>46001</v>
      </c>
      <c r="K3215" s="50" t="s">
        <v>1</v>
      </c>
      <c r="L3215" s="50" t="s">
        <v>80</v>
      </c>
    </row>
    <row r="3216" spans="2:12">
      <c r="B3216" s="50" t="s">
        <v>430</v>
      </c>
      <c r="C3216" s="50" t="s">
        <v>61</v>
      </c>
      <c r="D3216" s="50" t="s">
        <v>39</v>
      </c>
      <c r="E3216" s="50">
        <v>50030486</v>
      </c>
      <c r="F3216" s="50" t="s">
        <v>153</v>
      </c>
      <c r="G3216" s="50">
        <v>1</v>
      </c>
      <c r="H3216" s="50" t="s">
        <v>2</v>
      </c>
      <c r="I3216" s="50" t="s">
        <v>293</v>
      </c>
      <c r="J3216" s="51">
        <v>46001</v>
      </c>
      <c r="K3216" s="50" t="s">
        <v>3</v>
      </c>
      <c r="L3216" s="50" t="s">
        <v>80</v>
      </c>
    </row>
    <row r="3217" spans="2:12">
      <c r="B3217" s="50" t="s">
        <v>316</v>
      </c>
      <c r="C3217" s="50" t="s">
        <v>51</v>
      </c>
      <c r="D3217" s="50" t="s">
        <v>27</v>
      </c>
      <c r="E3217" s="50">
        <v>50038841</v>
      </c>
      <c r="F3217" s="50" t="s">
        <v>180</v>
      </c>
      <c r="G3217" s="50">
        <v>1</v>
      </c>
      <c r="H3217" s="50" t="s">
        <v>2</v>
      </c>
      <c r="I3217" s="50" t="s">
        <v>293</v>
      </c>
      <c r="J3217" s="51">
        <v>46001</v>
      </c>
      <c r="K3217" s="50" t="s">
        <v>3</v>
      </c>
      <c r="L3217" s="50" t="s">
        <v>80</v>
      </c>
    </row>
    <row r="3218" spans="2:12">
      <c r="B3218" s="50" t="s">
        <v>418</v>
      </c>
      <c r="C3218" s="50" t="s">
        <v>26</v>
      </c>
      <c r="D3218" s="50" t="s">
        <v>27</v>
      </c>
      <c r="E3218" s="50">
        <v>50039718</v>
      </c>
      <c r="F3218" s="50" t="s">
        <v>149</v>
      </c>
      <c r="G3218" s="50">
        <v>1</v>
      </c>
      <c r="H3218" s="50" t="s">
        <v>2</v>
      </c>
      <c r="I3218" s="50" t="s">
        <v>293</v>
      </c>
      <c r="J3218" s="51">
        <v>46001</v>
      </c>
      <c r="K3218" s="50" t="s">
        <v>3</v>
      </c>
      <c r="L3218" s="50" t="s">
        <v>80</v>
      </c>
    </row>
    <row r="3219" spans="2:12">
      <c r="B3219" s="50" t="s">
        <v>471</v>
      </c>
      <c r="C3219" s="50" t="s">
        <v>26</v>
      </c>
      <c r="D3219" s="50" t="s">
        <v>27</v>
      </c>
      <c r="E3219" s="50">
        <v>50039065</v>
      </c>
      <c r="F3219" s="50" t="s">
        <v>186</v>
      </c>
      <c r="G3219" s="50">
        <v>1</v>
      </c>
      <c r="H3219" s="50" t="s">
        <v>2</v>
      </c>
      <c r="I3219" s="50" t="s">
        <v>297</v>
      </c>
      <c r="J3219" s="51">
        <v>46001</v>
      </c>
      <c r="K3219" s="50" t="s">
        <v>3</v>
      </c>
      <c r="L3219" s="50" t="s">
        <v>80</v>
      </c>
    </row>
    <row r="3220" spans="2:12">
      <c r="B3220" s="50" t="s">
        <v>471</v>
      </c>
      <c r="C3220" s="50" t="s">
        <v>26</v>
      </c>
      <c r="D3220" s="50" t="s">
        <v>27</v>
      </c>
      <c r="E3220" s="50">
        <v>50038517</v>
      </c>
      <c r="F3220" s="50" t="s">
        <v>181</v>
      </c>
      <c r="G3220" s="50">
        <v>1</v>
      </c>
      <c r="H3220" s="50" t="s">
        <v>2</v>
      </c>
      <c r="I3220" s="50" t="s">
        <v>297</v>
      </c>
      <c r="J3220" s="51">
        <v>46001</v>
      </c>
      <c r="K3220" s="50" t="s">
        <v>3</v>
      </c>
      <c r="L3220" s="50" t="s">
        <v>80</v>
      </c>
    </row>
    <row r="3221" spans="2:12">
      <c r="B3221" s="50" t="s">
        <v>430</v>
      </c>
      <c r="C3221" s="50" t="s">
        <v>61</v>
      </c>
      <c r="D3221" s="50" t="s">
        <v>39</v>
      </c>
      <c r="E3221" s="50">
        <v>50030486</v>
      </c>
      <c r="F3221" s="50" t="s">
        <v>153</v>
      </c>
      <c r="G3221" s="50">
        <v>1</v>
      </c>
      <c r="H3221" s="50" t="s">
        <v>2</v>
      </c>
      <c r="I3221" s="50" t="s">
        <v>293</v>
      </c>
      <c r="J3221" s="51">
        <v>46001</v>
      </c>
      <c r="K3221" s="50" t="s">
        <v>3</v>
      </c>
      <c r="L3221" s="50" t="s">
        <v>80</v>
      </c>
    </row>
    <row r="3222" spans="2:12">
      <c r="B3222" s="50" t="s">
        <v>316</v>
      </c>
      <c r="C3222" s="50" t="s">
        <v>51</v>
      </c>
      <c r="D3222" s="50" t="s">
        <v>27</v>
      </c>
      <c r="E3222" s="50">
        <v>50038841</v>
      </c>
      <c r="F3222" s="50" t="s">
        <v>180</v>
      </c>
      <c r="G3222" s="50">
        <v>1</v>
      </c>
      <c r="H3222" s="50" t="s">
        <v>2</v>
      </c>
      <c r="I3222" s="50" t="s">
        <v>290</v>
      </c>
      <c r="J3222" s="51">
        <v>46001</v>
      </c>
      <c r="K3222" s="50" t="s">
        <v>3</v>
      </c>
      <c r="L3222" s="50" t="s">
        <v>80</v>
      </c>
    </row>
    <row r="3223" spans="2:12">
      <c r="B3223" s="50" t="s">
        <v>25</v>
      </c>
      <c r="C3223" s="50" t="s">
        <v>26</v>
      </c>
      <c r="D3223" s="50" t="s">
        <v>27</v>
      </c>
      <c r="E3223" s="50">
        <v>50037933</v>
      </c>
      <c r="F3223" s="50" t="s">
        <v>250</v>
      </c>
      <c r="G3223" s="50">
        <v>1</v>
      </c>
      <c r="H3223" s="50" t="s">
        <v>2</v>
      </c>
      <c r="I3223" s="50" t="s">
        <v>290</v>
      </c>
      <c r="J3223" s="51">
        <v>46001</v>
      </c>
      <c r="K3223" s="50" t="s">
        <v>1</v>
      </c>
      <c r="L3223" s="50" t="s">
        <v>80</v>
      </c>
    </row>
    <row r="3224" spans="2:12">
      <c r="B3224" s="50" t="s">
        <v>386</v>
      </c>
      <c r="C3224" s="50" t="s">
        <v>56</v>
      </c>
      <c r="D3224" s="50" t="s">
        <v>41</v>
      </c>
      <c r="E3224" s="50">
        <v>50037933</v>
      </c>
      <c r="F3224" s="50" t="s">
        <v>250</v>
      </c>
      <c r="G3224" s="50">
        <v>1</v>
      </c>
      <c r="H3224" s="50" t="s">
        <v>2</v>
      </c>
      <c r="I3224" s="50" t="s">
        <v>290</v>
      </c>
      <c r="J3224" s="51">
        <v>46001</v>
      </c>
      <c r="K3224" s="50" t="s">
        <v>3</v>
      </c>
      <c r="L3224" s="50" t="s">
        <v>80</v>
      </c>
    </row>
    <row r="3225" spans="2:12">
      <c r="B3225" s="50" t="s">
        <v>427</v>
      </c>
      <c r="C3225" s="50" t="s">
        <v>26</v>
      </c>
      <c r="D3225" s="50" t="s">
        <v>27</v>
      </c>
      <c r="E3225" s="50">
        <v>50038517</v>
      </c>
      <c r="F3225" s="50" t="s">
        <v>181</v>
      </c>
      <c r="G3225" s="50">
        <v>1</v>
      </c>
      <c r="H3225" s="50" t="s">
        <v>2</v>
      </c>
      <c r="I3225" s="50" t="s">
        <v>290</v>
      </c>
      <c r="J3225" s="51">
        <v>46001</v>
      </c>
      <c r="K3225" s="50" t="s">
        <v>1</v>
      </c>
      <c r="L3225" s="50" t="s">
        <v>80</v>
      </c>
    </row>
    <row r="3226" spans="2:12">
      <c r="B3226" s="50" t="s">
        <v>427</v>
      </c>
      <c r="C3226" s="50" t="s">
        <v>26</v>
      </c>
      <c r="D3226" s="50" t="s">
        <v>27</v>
      </c>
      <c r="E3226" s="50">
        <v>50038517</v>
      </c>
      <c r="F3226" s="50" t="s">
        <v>181</v>
      </c>
      <c r="G3226" s="50">
        <v>1</v>
      </c>
      <c r="H3226" s="50" t="s">
        <v>2</v>
      </c>
      <c r="I3226" s="50" t="s">
        <v>290</v>
      </c>
      <c r="J3226" s="51">
        <v>46001</v>
      </c>
      <c r="K3226" s="50" t="s">
        <v>3</v>
      </c>
      <c r="L3226" s="50" t="s">
        <v>80</v>
      </c>
    </row>
    <row r="3227" spans="2:12">
      <c r="B3227" s="50" t="s">
        <v>444</v>
      </c>
      <c r="C3227" s="50" t="s">
        <v>51</v>
      </c>
      <c r="D3227" s="50" t="s">
        <v>27</v>
      </c>
      <c r="E3227" s="50">
        <v>50041195</v>
      </c>
      <c r="F3227" s="50" t="s">
        <v>206</v>
      </c>
      <c r="G3227" s="50">
        <v>1</v>
      </c>
      <c r="H3227" s="50" t="s">
        <v>2</v>
      </c>
      <c r="I3227" s="50" t="s">
        <v>291</v>
      </c>
      <c r="J3227" s="51">
        <v>46001</v>
      </c>
      <c r="K3227" s="50" t="s">
        <v>3</v>
      </c>
      <c r="L3227" s="50" t="s">
        <v>80</v>
      </c>
    </row>
    <row r="3228" spans="2:12">
      <c r="B3228" s="50" t="s">
        <v>389</v>
      </c>
      <c r="C3228" s="50" t="s">
        <v>56</v>
      </c>
      <c r="D3228" s="50" t="s">
        <v>27</v>
      </c>
      <c r="E3228" s="50">
        <v>50029865</v>
      </c>
      <c r="F3228" s="50" t="s">
        <v>162</v>
      </c>
      <c r="G3228" s="50">
        <v>1</v>
      </c>
      <c r="H3228" s="50" t="s">
        <v>2</v>
      </c>
      <c r="I3228" s="50" t="s">
        <v>291</v>
      </c>
      <c r="J3228" s="51">
        <v>46001</v>
      </c>
      <c r="K3228" s="50" t="s">
        <v>3</v>
      </c>
      <c r="L3228" s="50" t="s">
        <v>80</v>
      </c>
    </row>
    <row r="3229" spans="2:12">
      <c r="B3229" s="50" t="s">
        <v>389</v>
      </c>
      <c r="C3229" s="50" t="s">
        <v>56</v>
      </c>
      <c r="D3229" s="50" t="s">
        <v>27</v>
      </c>
      <c r="E3229" s="50">
        <v>50003297</v>
      </c>
      <c r="F3229" s="50" t="s">
        <v>158</v>
      </c>
      <c r="G3229" s="50">
        <v>1</v>
      </c>
      <c r="H3229" s="50" t="s">
        <v>2</v>
      </c>
      <c r="I3229" s="50" t="s">
        <v>291</v>
      </c>
      <c r="J3229" s="51">
        <v>46001</v>
      </c>
      <c r="K3229" s="50" t="s">
        <v>3</v>
      </c>
      <c r="L3229" s="50" t="s">
        <v>80</v>
      </c>
    </row>
    <row r="3230" spans="2:12">
      <c r="B3230" s="50" t="s">
        <v>465</v>
      </c>
      <c r="C3230" s="50" t="s">
        <v>26</v>
      </c>
      <c r="D3230" s="50" t="s">
        <v>27</v>
      </c>
      <c r="E3230" s="50">
        <v>50043471</v>
      </c>
      <c r="F3230" s="50" t="s">
        <v>257</v>
      </c>
      <c r="G3230" s="50">
        <v>1</v>
      </c>
      <c r="H3230" s="50" t="s">
        <v>2</v>
      </c>
      <c r="I3230" s="50" t="s">
        <v>291</v>
      </c>
      <c r="J3230" s="51">
        <v>46001</v>
      </c>
      <c r="K3230" s="50" t="s">
        <v>1</v>
      </c>
      <c r="L3230" s="50" t="s">
        <v>80</v>
      </c>
    </row>
    <row r="3231" spans="2:12">
      <c r="B3231" s="50" t="s">
        <v>465</v>
      </c>
      <c r="C3231" s="50" t="s">
        <v>26</v>
      </c>
      <c r="D3231" s="50" t="s">
        <v>27</v>
      </c>
      <c r="E3231" s="50">
        <v>50037902</v>
      </c>
      <c r="F3231" s="50" t="s">
        <v>179</v>
      </c>
      <c r="G3231" s="50">
        <v>1</v>
      </c>
      <c r="H3231" s="50" t="s">
        <v>2</v>
      </c>
      <c r="I3231" s="50" t="s">
        <v>291</v>
      </c>
      <c r="J3231" s="51">
        <v>46001</v>
      </c>
      <c r="K3231" s="50" t="s">
        <v>3</v>
      </c>
      <c r="L3231" s="50" t="s">
        <v>80</v>
      </c>
    </row>
    <row r="3232" spans="2:12">
      <c r="B3232" s="50" t="s">
        <v>428</v>
      </c>
      <c r="C3232" s="50" t="s">
        <v>26</v>
      </c>
      <c r="D3232" s="50" t="s">
        <v>27</v>
      </c>
      <c r="E3232" s="50">
        <v>50038841</v>
      </c>
      <c r="F3232" s="50" t="s">
        <v>180</v>
      </c>
      <c r="G3232" s="50">
        <v>1</v>
      </c>
      <c r="H3232" s="50" t="s">
        <v>2</v>
      </c>
      <c r="I3232" s="50" t="s">
        <v>291</v>
      </c>
      <c r="J3232" s="51">
        <v>46001</v>
      </c>
      <c r="K3232" s="50" t="s">
        <v>1</v>
      </c>
      <c r="L3232" s="50" t="s">
        <v>80</v>
      </c>
    </row>
    <row r="3233" spans="2:12">
      <c r="B3233" s="50" t="s">
        <v>437</v>
      </c>
      <c r="C3233" s="50" t="s">
        <v>51</v>
      </c>
      <c r="D3233" s="50" t="s">
        <v>41</v>
      </c>
      <c r="E3233" s="50">
        <v>50003297</v>
      </c>
      <c r="F3233" s="50" t="s">
        <v>158</v>
      </c>
      <c r="G3233" s="50">
        <v>1</v>
      </c>
      <c r="H3233" s="50" t="s">
        <v>2</v>
      </c>
      <c r="I3233" s="50" t="s">
        <v>291</v>
      </c>
      <c r="J3233" s="51">
        <v>46001</v>
      </c>
      <c r="K3233" s="50" t="s">
        <v>3</v>
      </c>
      <c r="L3233" s="50" t="s">
        <v>80</v>
      </c>
    </row>
    <row r="3234" spans="2:12">
      <c r="B3234" s="50" t="s">
        <v>483</v>
      </c>
      <c r="C3234" s="50" t="s">
        <v>62</v>
      </c>
      <c r="D3234" s="50" t="s">
        <v>27</v>
      </c>
      <c r="E3234" s="50">
        <v>50037892</v>
      </c>
      <c r="F3234" s="50" t="s">
        <v>178</v>
      </c>
      <c r="G3234" s="50">
        <v>1</v>
      </c>
      <c r="H3234" s="50" t="s">
        <v>2</v>
      </c>
      <c r="I3234" s="50" t="s">
        <v>291</v>
      </c>
      <c r="J3234" s="51">
        <v>46001</v>
      </c>
      <c r="K3234" s="50" t="s">
        <v>1</v>
      </c>
      <c r="L3234" s="50" t="s">
        <v>80</v>
      </c>
    </row>
    <row r="3235" spans="2:12">
      <c r="B3235" s="50" t="s">
        <v>428</v>
      </c>
      <c r="C3235" s="50" t="s">
        <v>26</v>
      </c>
      <c r="D3235" s="50" t="s">
        <v>27</v>
      </c>
      <c r="E3235" s="50">
        <v>50038841</v>
      </c>
      <c r="F3235" s="50" t="s">
        <v>180</v>
      </c>
      <c r="G3235" s="50">
        <v>1</v>
      </c>
      <c r="H3235" s="50" t="s">
        <v>2</v>
      </c>
      <c r="I3235" s="50" t="s">
        <v>291</v>
      </c>
      <c r="J3235" s="51">
        <v>46001</v>
      </c>
      <c r="K3235" s="50" t="s">
        <v>1</v>
      </c>
      <c r="L3235" s="50" t="s">
        <v>80</v>
      </c>
    </row>
    <row r="3236" spans="2:12">
      <c r="B3236" s="50" t="s">
        <v>418</v>
      </c>
      <c r="C3236" s="50" t="s">
        <v>26</v>
      </c>
      <c r="D3236" s="50" t="s">
        <v>27</v>
      </c>
      <c r="E3236" s="50">
        <v>50038956</v>
      </c>
      <c r="F3236" s="50" t="s">
        <v>177</v>
      </c>
      <c r="G3236" s="50">
        <v>1</v>
      </c>
      <c r="H3236" s="50" t="s">
        <v>2</v>
      </c>
      <c r="I3236" s="50" t="s">
        <v>291</v>
      </c>
      <c r="J3236" s="51">
        <v>46001</v>
      </c>
      <c r="K3236" s="50" t="s">
        <v>1</v>
      </c>
      <c r="L3236" s="50" t="s">
        <v>80</v>
      </c>
    </row>
    <row r="3237" spans="2:12">
      <c r="B3237" s="50" t="s">
        <v>444</v>
      </c>
      <c r="C3237" s="50" t="s">
        <v>51</v>
      </c>
      <c r="D3237" s="50" t="s">
        <v>27</v>
      </c>
      <c r="E3237" s="50">
        <v>50043471</v>
      </c>
      <c r="F3237" s="50" t="s">
        <v>257</v>
      </c>
      <c r="G3237" s="50">
        <v>1</v>
      </c>
      <c r="H3237" s="50" t="s">
        <v>2</v>
      </c>
      <c r="I3237" s="50" t="s">
        <v>291</v>
      </c>
      <c r="J3237" s="51">
        <v>46001</v>
      </c>
      <c r="K3237" s="50" t="s">
        <v>3</v>
      </c>
      <c r="L3237" s="50" t="s">
        <v>80</v>
      </c>
    </row>
    <row r="3238" spans="2:12">
      <c r="B3238" s="50" t="s">
        <v>418</v>
      </c>
      <c r="C3238" s="50" t="s">
        <v>26</v>
      </c>
      <c r="D3238" s="50" t="s">
        <v>27</v>
      </c>
      <c r="E3238" s="50">
        <v>50038956</v>
      </c>
      <c r="F3238" s="50" t="s">
        <v>177</v>
      </c>
      <c r="G3238" s="50">
        <v>1</v>
      </c>
      <c r="H3238" s="50" t="s">
        <v>2</v>
      </c>
      <c r="I3238" s="50" t="s">
        <v>291</v>
      </c>
      <c r="J3238" s="51">
        <v>46001</v>
      </c>
      <c r="K3238" s="50" t="s">
        <v>1</v>
      </c>
      <c r="L3238" s="50" t="s">
        <v>80</v>
      </c>
    </row>
    <row r="3239" spans="2:12">
      <c r="B3239" s="50" t="s">
        <v>418</v>
      </c>
      <c r="C3239" s="50" t="s">
        <v>26</v>
      </c>
      <c r="D3239" s="50" t="s">
        <v>27</v>
      </c>
      <c r="E3239" s="50">
        <v>50032781</v>
      </c>
      <c r="F3239" s="50" t="s">
        <v>237</v>
      </c>
      <c r="G3239" s="50">
        <v>1</v>
      </c>
      <c r="H3239" s="50" t="s">
        <v>2</v>
      </c>
      <c r="I3239" s="50" t="s">
        <v>291</v>
      </c>
      <c r="J3239" s="51">
        <v>46001</v>
      </c>
      <c r="K3239" s="50" t="s">
        <v>3</v>
      </c>
      <c r="L3239" s="50" t="s">
        <v>80</v>
      </c>
    </row>
    <row r="3240" spans="2:12">
      <c r="B3240" s="50" t="s">
        <v>437</v>
      </c>
      <c r="C3240" s="50" t="s">
        <v>51</v>
      </c>
      <c r="D3240" s="50" t="s">
        <v>41</v>
      </c>
      <c r="E3240" s="50">
        <v>50003297</v>
      </c>
      <c r="F3240" s="50" t="s">
        <v>158</v>
      </c>
      <c r="G3240" s="50">
        <v>1</v>
      </c>
      <c r="H3240" s="50" t="s">
        <v>2</v>
      </c>
      <c r="I3240" s="50" t="s">
        <v>291</v>
      </c>
      <c r="J3240" s="51">
        <v>46001</v>
      </c>
      <c r="K3240" s="50" t="s">
        <v>1</v>
      </c>
      <c r="L3240" s="50" t="s">
        <v>80</v>
      </c>
    </row>
    <row r="3241" spans="2:12">
      <c r="B3241" s="50" t="s">
        <v>437</v>
      </c>
      <c r="C3241" s="50" t="s">
        <v>51</v>
      </c>
      <c r="D3241" s="50" t="s">
        <v>41</v>
      </c>
      <c r="E3241" s="50">
        <v>50038956</v>
      </c>
      <c r="F3241" s="50" t="s">
        <v>177</v>
      </c>
      <c r="G3241" s="50">
        <v>1</v>
      </c>
      <c r="H3241" s="50" t="s">
        <v>2</v>
      </c>
      <c r="I3241" s="50" t="s">
        <v>291</v>
      </c>
      <c r="J3241" s="51">
        <v>46001</v>
      </c>
      <c r="K3241" s="50" t="s">
        <v>3</v>
      </c>
      <c r="L3241" s="50" t="s">
        <v>80</v>
      </c>
    </row>
    <row r="3242" spans="2:12">
      <c r="B3242" s="50" t="s">
        <v>418</v>
      </c>
      <c r="C3242" s="50" t="s">
        <v>26</v>
      </c>
      <c r="D3242" s="50" t="s">
        <v>27</v>
      </c>
      <c r="E3242" s="50">
        <v>50032781</v>
      </c>
      <c r="F3242" s="50" t="s">
        <v>237</v>
      </c>
      <c r="G3242" s="50">
        <v>1</v>
      </c>
      <c r="H3242" s="50" t="s">
        <v>2</v>
      </c>
      <c r="I3242" s="50" t="s">
        <v>291</v>
      </c>
      <c r="J3242" s="51">
        <v>46001</v>
      </c>
      <c r="K3242" s="50" t="s">
        <v>3</v>
      </c>
      <c r="L3242" s="50" t="s">
        <v>80</v>
      </c>
    </row>
    <row r="3243" spans="2:12">
      <c r="B3243" s="50" t="s">
        <v>437</v>
      </c>
      <c r="C3243" s="50" t="s">
        <v>51</v>
      </c>
      <c r="D3243" s="50" t="s">
        <v>41</v>
      </c>
      <c r="E3243" s="50">
        <v>50038956</v>
      </c>
      <c r="F3243" s="50" t="s">
        <v>177</v>
      </c>
      <c r="G3243" s="50">
        <v>1</v>
      </c>
      <c r="H3243" s="50" t="s">
        <v>2</v>
      </c>
      <c r="I3243" s="50" t="s">
        <v>291</v>
      </c>
      <c r="J3243" s="51">
        <v>46001</v>
      </c>
      <c r="K3243" s="50" t="s">
        <v>1</v>
      </c>
      <c r="L3243" s="50" t="s">
        <v>80</v>
      </c>
    </row>
    <row r="3244" spans="2:12">
      <c r="B3244" s="50" t="s">
        <v>437</v>
      </c>
      <c r="C3244" s="50" t="s">
        <v>51</v>
      </c>
      <c r="D3244" s="50" t="s">
        <v>41</v>
      </c>
      <c r="E3244" s="50">
        <v>50037944</v>
      </c>
      <c r="F3244" s="50" t="s">
        <v>228</v>
      </c>
      <c r="G3244" s="50">
        <v>1</v>
      </c>
      <c r="H3244" s="50" t="s">
        <v>2</v>
      </c>
      <c r="I3244" s="50" t="s">
        <v>291</v>
      </c>
      <c r="J3244" s="51">
        <v>46001</v>
      </c>
      <c r="K3244" s="50" t="s">
        <v>3</v>
      </c>
      <c r="L3244" s="50" t="s">
        <v>80</v>
      </c>
    </row>
    <row r="3245" spans="2:12">
      <c r="B3245" s="50" t="s">
        <v>444</v>
      </c>
      <c r="C3245" s="50" t="s">
        <v>51</v>
      </c>
      <c r="D3245" s="50" t="s">
        <v>27</v>
      </c>
      <c r="E3245" s="50">
        <v>50043471</v>
      </c>
      <c r="F3245" s="50" t="s">
        <v>257</v>
      </c>
      <c r="G3245" s="50">
        <v>1</v>
      </c>
      <c r="H3245" s="50" t="s">
        <v>2</v>
      </c>
      <c r="I3245" s="50" t="s">
        <v>291</v>
      </c>
      <c r="J3245" s="51">
        <v>46001</v>
      </c>
      <c r="K3245" s="50" t="s">
        <v>3</v>
      </c>
      <c r="L3245" s="50" t="s">
        <v>80</v>
      </c>
    </row>
    <row r="3246" spans="2:12">
      <c r="B3246" s="50" t="s">
        <v>437</v>
      </c>
      <c r="C3246" s="50" t="s">
        <v>51</v>
      </c>
      <c r="D3246" s="50" t="s">
        <v>41</v>
      </c>
      <c r="E3246" s="50">
        <v>50037944</v>
      </c>
      <c r="F3246" s="50" t="s">
        <v>228</v>
      </c>
      <c r="G3246" s="50">
        <v>1</v>
      </c>
      <c r="H3246" s="50" t="s">
        <v>2</v>
      </c>
      <c r="I3246" s="50" t="s">
        <v>291</v>
      </c>
      <c r="J3246" s="51">
        <v>46001</v>
      </c>
      <c r="K3246" s="50" t="s">
        <v>3</v>
      </c>
      <c r="L3246" s="50" t="s">
        <v>80</v>
      </c>
    </row>
    <row r="3247" spans="2:12">
      <c r="B3247" s="50" t="s">
        <v>465</v>
      </c>
      <c r="C3247" s="50" t="s">
        <v>26</v>
      </c>
      <c r="D3247" s="50" t="s">
        <v>27</v>
      </c>
      <c r="E3247" s="50">
        <v>50037902</v>
      </c>
      <c r="F3247" s="50" t="s">
        <v>179</v>
      </c>
      <c r="G3247" s="50">
        <v>1</v>
      </c>
      <c r="H3247" s="50" t="s">
        <v>2</v>
      </c>
      <c r="I3247" s="50" t="s">
        <v>291</v>
      </c>
      <c r="J3247" s="51">
        <v>46001</v>
      </c>
      <c r="K3247" s="50" t="s">
        <v>3</v>
      </c>
      <c r="L3247" s="50" t="s">
        <v>80</v>
      </c>
    </row>
    <row r="3248" spans="2:12">
      <c r="B3248" s="50" t="s">
        <v>444</v>
      </c>
      <c r="C3248" s="50" t="s">
        <v>51</v>
      </c>
      <c r="D3248" s="50" t="s">
        <v>27</v>
      </c>
      <c r="E3248" s="50">
        <v>50041195</v>
      </c>
      <c r="F3248" s="50" t="s">
        <v>206</v>
      </c>
      <c r="G3248" s="50">
        <v>1</v>
      </c>
      <c r="H3248" s="50" t="s">
        <v>2</v>
      </c>
      <c r="I3248" s="50" t="s">
        <v>291</v>
      </c>
      <c r="J3248" s="51">
        <v>46001</v>
      </c>
      <c r="K3248" s="50" t="s">
        <v>3</v>
      </c>
      <c r="L3248" s="50" t="s">
        <v>80</v>
      </c>
    </row>
    <row r="3249" spans="2:12">
      <c r="B3249" s="50" t="s">
        <v>386</v>
      </c>
      <c r="C3249" s="50" t="s">
        <v>26</v>
      </c>
      <c r="D3249" s="50" t="s">
        <v>27</v>
      </c>
      <c r="E3249" s="50">
        <v>50037900</v>
      </c>
      <c r="F3249" s="50" t="s">
        <v>240</v>
      </c>
      <c r="G3249" s="50">
        <v>1</v>
      </c>
      <c r="H3249" s="50" t="s">
        <v>2</v>
      </c>
      <c r="I3249" s="50" t="s">
        <v>291</v>
      </c>
      <c r="J3249" s="51">
        <v>46001</v>
      </c>
      <c r="K3249" s="50" t="s">
        <v>3</v>
      </c>
      <c r="L3249" s="50" t="s">
        <v>80</v>
      </c>
    </row>
    <row r="3250" spans="2:12">
      <c r="B3250" s="50" t="s">
        <v>386</v>
      </c>
      <c r="C3250" s="50" t="s">
        <v>56</v>
      </c>
      <c r="D3250" s="50" t="s">
        <v>41</v>
      </c>
      <c r="E3250" s="50">
        <v>50037933</v>
      </c>
      <c r="F3250" s="50" t="s">
        <v>250</v>
      </c>
      <c r="G3250" s="50">
        <v>1</v>
      </c>
      <c r="H3250" s="50" t="s">
        <v>2</v>
      </c>
      <c r="I3250" s="50" t="s">
        <v>291</v>
      </c>
      <c r="J3250" s="51">
        <v>46001</v>
      </c>
      <c r="K3250" s="50" t="s">
        <v>1</v>
      </c>
      <c r="L3250" s="50" t="s">
        <v>80</v>
      </c>
    </row>
    <row r="3251" spans="2:12">
      <c r="B3251" s="50" t="s">
        <v>471</v>
      </c>
      <c r="C3251" s="50" t="s">
        <v>26</v>
      </c>
      <c r="D3251" s="50" t="s">
        <v>27</v>
      </c>
      <c r="E3251" s="50">
        <v>50038517</v>
      </c>
      <c r="F3251" s="50" t="s">
        <v>181</v>
      </c>
      <c r="G3251" s="50">
        <v>1</v>
      </c>
      <c r="H3251" s="50" t="s">
        <v>2</v>
      </c>
      <c r="I3251" s="50" t="s">
        <v>289</v>
      </c>
      <c r="J3251" s="51">
        <v>46000</v>
      </c>
      <c r="K3251" s="50" t="s">
        <v>1</v>
      </c>
      <c r="L3251" s="50" t="s">
        <v>80</v>
      </c>
    </row>
    <row r="3252" spans="2:12">
      <c r="B3252" s="50" t="s">
        <v>478</v>
      </c>
      <c r="C3252" s="50" t="s">
        <v>51</v>
      </c>
      <c r="D3252" s="50" t="s">
        <v>27</v>
      </c>
      <c r="E3252" s="50">
        <v>50037892</v>
      </c>
      <c r="F3252" s="50" t="s">
        <v>178</v>
      </c>
      <c r="G3252" s="50">
        <v>1</v>
      </c>
      <c r="H3252" s="50" t="s">
        <v>2</v>
      </c>
      <c r="I3252" s="50" t="s">
        <v>289</v>
      </c>
      <c r="J3252" s="51">
        <v>46000</v>
      </c>
      <c r="K3252" s="50" t="s">
        <v>1</v>
      </c>
      <c r="L3252" s="50" t="s">
        <v>80</v>
      </c>
    </row>
    <row r="3253" spans="2:12">
      <c r="B3253" s="50" t="s">
        <v>406</v>
      </c>
      <c r="C3253" s="50" t="s">
        <v>26</v>
      </c>
      <c r="D3253" s="50" t="s">
        <v>39</v>
      </c>
      <c r="E3253" s="50">
        <v>50038549</v>
      </c>
      <c r="F3253" s="50" t="s">
        <v>173</v>
      </c>
      <c r="G3253" s="50">
        <v>1</v>
      </c>
      <c r="H3253" s="50" t="s">
        <v>2</v>
      </c>
      <c r="I3253" s="50" t="s">
        <v>293</v>
      </c>
      <c r="J3253" s="51">
        <v>46000</v>
      </c>
      <c r="K3253" s="50" t="s">
        <v>1</v>
      </c>
      <c r="L3253" s="50" t="s">
        <v>80</v>
      </c>
    </row>
    <row r="3254" spans="2:12">
      <c r="B3254" s="50" t="s">
        <v>427</v>
      </c>
      <c r="C3254" s="50" t="s">
        <v>26</v>
      </c>
      <c r="D3254" s="50" t="s">
        <v>27</v>
      </c>
      <c r="E3254" s="50">
        <v>50036296</v>
      </c>
      <c r="F3254" s="50" t="s">
        <v>109</v>
      </c>
      <c r="G3254" s="50">
        <v>1</v>
      </c>
      <c r="H3254" s="50" t="s">
        <v>2</v>
      </c>
      <c r="I3254" s="50" t="s">
        <v>293</v>
      </c>
      <c r="J3254" s="51">
        <v>46000</v>
      </c>
      <c r="K3254" s="50" t="s">
        <v>1</v>
      </c>
      <c r="L3254" s="50" t="s">
        <v>80</v>
      </c>
    </row>
    <row r="3255" spans="2:12">
      <c r="B3255" s="50" t="s">
        <v>406</v>
      </c>
      <c r="C3255" s="50" t="s">
        <v>26</v>
      </c>
      <c r="D3255" s="50" t="s">
        <v>39</v>
      </c>
      <c r="E3255" s="50">
        <v>50039718</v>
      </c>
      <c r="F3255" s="50" t="s">
        <v>149</v>
      </c>
      <c r="G3255" s="50">
        <v>1</v>
      </c>
      <c r="H3255" s="50" t="s">
        <v>2</v>
      </c>
      <c r="I3255" s="50" t="s">
        <v>293</v>
      </c>
      <c r="J3255" s="51">
        <v>46000</v>
      </c>
      <c r="K3255" s="50" t="s">
        <v>1</v>
      </c>
      <c r="L3255" s="50" t="s">
        <v>80</v>
      </c>
    </row>
    <row r="3256" spans="2:12">
      <c r="B3256" s="50" t="s">
        <v>277</v>
      </c>
      <c r="C3256" s="50" t="s">
        <v>62</v>
      </c>
      <c r="D3256" s="50" t="s">
        <v>27</v>
      </c>
      <c r="E3256" s="50">
        <v>50020623</v>
      </c>
      <c r="F3256" s="50" t="s">
        <v>217</v>
      </c>
      <c r="G3256" s="50">
        <v>1</v>
      </c>
      <c r="H3256" s="50" t="s">
        <v>2</v>
      </c>
      <c r="I3256" s="50" t="s">
        <v>293</v>
      </c>
      <c r="J3256" s="51">
        <v>46000</v>
      </c>
      <c r="K3256" s="50" t="s">
        <v>1</v>
      </c>
      <c r="L3256" s="50" t="s">
        <v>80</v>
      </c>
    </row>
    <row r="3257" spans="2:12">
      <c r="B3257" s="50" t="s">
        <v>277</v>
      </c>
      <c r="C3257" s="50" t="s">
        <v>62</v>
      </c>
      <c r="D3257" s="50" t="s">
        <v>27</v>
      </c>
      <c r="E3257" s="50">
        <v>50041195</v>
      </c>
      <c r="F3257" s="50" t="s">
        <v>206</v>
      </c>
      <c r="G3257" s="50">
        <v>1</v>
      </c>
      <c r="H3257" s="50" t="s">
        <v>2</v>
      </c>
      <c r="I3257" s="50" t="s">
        <v>293</v>
      </c>
      <c r="J3257" s="51">
        <v>46000</v>
      </c>
      <c r="K3257" s="50" t="s">
        <v>1</v>
      </c>
      <c r="L3257" s="50" t="s">
        <v>80</v>
      </c>
    </row>
    <row r="3258" spans="2:12">
      <c r="B3258" s="50" t="s">
        <v>277</v>
      </c>
      <c r="C3258" s="50" t="s">
        <v>62</v>
      </c>
      <c r="D3258" s="50" t="s">
        <v>27</v>
      </c>
      <c r="E3258" s="50">
        <v>50037902</v>
      </c>
      <c r="F3258" s="50" t="s">
        <v>179</v>
      </c>
      <c r="G3258" s="50">
        <v>1</v>
      </c>
      <c r="H3258" s="50" t="s">
        <v>2</v>
      </c>
      <c r="I3258" s="50" t="s">
        <v>293</v>
      </c>
      <c r="J3258" s="51">
        <v>46000</v>
      </c>
      <c r="K3258" s="50" t="s">
        <v>1</v>
      </c>
      <c r="L3258" s="50" t="s">
        <v>80</v>
      </c>
    </row>
    <row r="3259" spans="2:12">
      <c r="B3259" s="50" t="s">
        <v>270</v>
      </c>
      <c r="C3259" s="50" t="s">
        <v>51</v>
      </c>
      <c r="D3259" s="50" t="s">
        <v>27</v>
      </c>
      <c r="E3259" s="50">
        <v>50003297</v>
      </c>
      <c r="F3259" s="50" t="s">
        <v>158</v>
      </c>
      <c r="G3259" s="50">
        <v>1</v>
      </c>
      <c r="H3259" s="50" t="s">
        <v>2</v>
      </c>
      <c r="I3259" s="50" t="s">
        <v>297</v>
      </c>
      <c r="J3259" s="51">
        <v>46000</v>
      </c>
      <c r="K3259" s="50" t="s">
        <v>3</v>
      </c>
      <c r="L3259" s="50" t="s">
        <v>80</v>
      </c>
    </row>
    <row r="3260" spans="2:12">
      <c r="B3260" s="50" t="s">
        <v>471</v>
      </c>
      <c r="C3260" s="50" t="s">
        <v>26</v>
      </c>
      <c r="D3260" s="50" t="s">
        <v>27</v>
      </c>
      <c r="E3260" s="50">
        <v>50038517</v>
      </c>
      <c r="F3260" s="50" t="s">
        <v>181</v>
      </c>
      <c r="G3260" s="50">
        <v>1</v>
      </c>
      <c r="H3260" s="50" t="s">
        <v>2</v>
      </c>
      <c r="I3260" s="50" t="s">
        <v>293</v>
      </c>
      <c r="J3260" s="51">
        <v>46000</v>
      </c>
      <c r="K3260" s="50" t="s">
        <v>3</v>
      </c>
      <c r="L3260" s="50" t="s">
        <v>80</v>
      </c>
    </row>
    <row r="3261" spans="2:12">
      <c r="B3261" s="50" t="s">
        <v>270</v>
      </c>
      <c r="C3261" s="50" t="s">
        <v>51</v>
      </c>
      <c r="D3261" s="50" t="s">
        <v>27</v>
      </c>
      <c r="E3261" s="50">
        <v>50003297</v>
      </c>
      <c r="F3261" s="50" t="s">
        <v>158</v>
      </c>
      <c r="G3261" s="50">
        <v>1</v>
      </c>
      <c r="H3261" s="50" t="s">
        <v>2</v>
      </c>
      <c r="I3261" s="50" t="s">
        <v>297</v>
      </c>
      <c r="J3261" s="51">
        <v>46000</v>
      </c>
      <c r="K3261" s="50" t="s">
        <v>3</v>
      </c>
      <c r="L3261" s="50" t="s">
        <v>80</v>
      </c>
    </row>
    <row r="3262" spans="2:12">
      <c r="B3262" s="50" t="s">
        <v>277</v>
      </c>
      <c r="C3262" s="50" t="s">
        <v>62</v>
      </c>
      <c r="D3262" s="50" t="s">
        <v>27</v>
      </c>
      <c r="E3262" s="50">
        <v>50020623</v>
      </c>
      <c r="F3262" s="50" t="s">
        <v>217</v>
      </c>
      <c r="G3262" s="50">
        <v>1</v>
      </c>
      <c r="H3262" s="50" t="s">
        <v>2</v>
      </c>
      <c r="I3262" s="50" t="s">
        <v>297</v>
      </c>
      <c r="J3262" s="51">
        <v>46000</v>
      </c>
      <c r="K3262" s="50" t="s">
        <v>3</v>
      </c>
      <c r="L3262" s="50" t="s">
        <v>80</v>
      </c>
    </row>
    <row r="3263" spans="2:12">
      <c r="B3263" s="50" t="s">
        <v>465</v>
      </c>
      <c r="C3263" s="50" t="s">
        <v>26</v>
      </c>
      <c r="D3263" s="50" t="s">
        <v>27</v>
      </c>
      <c r="E3263" s="50">
        <v>50038517</v>
      </c>
      <c r="F3263" s="50" t="s">
        <v>181</v>
      </c>
      <c r="G3263" s="50">
        <v>1</v>
      </c>
      <c r="H3263" s="50" t="s">
        <v>2</v>
      </c>
      <c r="I3263" s="50" t="s">
        <v>293</v>
      </c>
      <c r="J3263" s="51">
        <v>46000</v>
      </c>
      <c r="K3263" s="50" t="s">
        <v>3</v>
      </c>
      <c r="L3263" s="50" t="s">
        <v>80</v>
      </c>
    </row>
    <row r="3264" spans="2:12">
      <c r="B3264" s="50" t="s">
        <v>406</v>
      </c>
      <c r="C3264" s="50" t="s">
        <v>26</v>
      </c>
      <c r="D3264" s="50" t="s">
        <v>39</v>
      </c>
      <c r="E3264" s="50">
        <v>50039718</v>
      </c>
      <c r="F3264" s="50" t="s">
        <v>149</v>
      </c>
      <c r="G3264" s="50">
        <v>1</v>
      </c>
      <c r="H3264" s="50" t="s">
        <v>2</v>
      </c>
      <c r="I3264" s="50" t="s">
        <v>293</v>
      </c>
      <c r="J3264" s="51">
        <v>46000</v>
      </c>
      <c r="K3264" s="50" t="s">
        <v>1</v>
      </c>
      <c r="L3264" s="50" t="s">
        <v>80</v>
      </c>
    </row>
    <row r="3265" spans="2:12">
      <c r="B3265" s="50" t="s">
        <v>465</v>
      </c>
      <c r="C3265" s="50" t="s">
        <v>26</v>
      </c>
      <c r="D3265" s="50" t="s">
        <v>27</v>
      </c>
      <c r="E3265" s="50">
        <v>50003297</v>
      </c>
      <c r="F3265" s="50" t="s">
        <v>158</v>
      </c>
      <c r="G3265" s="50">
        <v>1</v>
      </c>
      <c r="H3265" s="50" t="s">
        <v>2</v>
      </c>
      <c r="I3265" s="50" t="s">
        <v>293</v>
      </c>
      <c r="J3265" s="51">
        <v>46000</v>
      </c>
      <c r="K3265" s="50" t="s">
        <v>3</v>
      </c>
      <c r="L3265" s="50" t="s">
        <v>80</v>
      </c>
    </row>
    <row r="3266" spans="2:12">
      <c r="B3266" s="50" t="s">
        <v>465</v>
      </c>
      <c r="C3266" s="50" t="s">
        <v>26</v>
      </c>
      <c r="D3266" s="50" t="s">
        <v>27</v>
      </c>
      <c r="E3266" s="50">
        <v>50038517</v>
      </c>
      <c r="F3266" s="50" t="s">
        <v>181</v>
      </c>
      <c r="G3266" s="50">
        <v>1</v>
      </c>
      <c r="H3266" s="50" t="s">
        <v>2</v>
      </c>
      <c r="I3266" s="50" t="s">
        <v>293</v>
      </c>
      <c r="J3266" s="51">
        <v>46000</v>
      </c>
      <c r="K3266" s="50" t="s">
        <v>3</v>
      </c>
      <c r="L3266" s="50" t="s">
        <v>80</v>
      </c>
    </row>
    <row r="3267" spans="2:12">
      <c r="B3267" s="50" t="s">
        <v>478</v>
      </c>
      <c r="C3267" s="50" t="s">
        <v>51</v>
      </c>
      <c r="D3267" s="50" t="s">
        <v>27</v>
      </c>
      <c r="E3267" s="50">
        <v>50037892</v>
      </c>
      <c r="F3267" s="50" t="s">
        <v>178</v>
      </c>
      <c r="G3267" s="50">
        <v>1</v>
      </c>
      <c r="H3267" s="50" t="s">
        <v>2</v>
      </c>
      <c r="I3267" s="50" t="s">
        <v>292</v>
      </c>
      <c r="J3267" s="51">
        <v>46000</v>
      </c>
      <c r="K3267" s="50" t="s">
        <v>3</v>
      </c>
      <c r="L3267" s="50" t="s">
        <v>80</v>
      </c>
    </row>
    <row r="3268" spans="2:12">
      <c r="B3268" s="50" t="s">
        <v>465</v>
      </c>
      <c r="C3268" s="50" t="s">
        <v>26</v>
      </c>
      <c r="D3268" s="50" t="s">
        <v>27</v>
      </c>
      <c r="E3268" s="50">
        <v>50003297</v>
      </c>
      <c r="F3268" s="50" t="s">
        <v>158</v>
      </c>
      <c r="G3268" s="50">
        <v>1</v>
      </c>
      <c r="H3268" s="50" t="s">
        <v>2</v>
      </c>
      <c r="I3268" s="50" t="s">
        <v>293</v>
      </c>
      <c r="J3268" s="51">
        <v>46000</v>
      </c>
      <c r="K3268" s="50" t="s">
        <v>3</v>
      </c>
      <c r="L3268" s="50" t="s">
        <v>80</v>
      </c>
    </row>
    <row r="3269" spans="2:12">
      <c r="B3269" s="50" t="s">
        <v>277</v>
      </c>
      <c r="C3269" s="50" t="s">
        <v>62</v>
      </c>
      <c r="D3269" s="50" t="s">
        <v>27</v>
      </c>
      <c r="E3269" s="50">
        <v>50037902</v>
      </c>
      <c r="F3269" s="50" t="s">
        <v>179</v>
      </c>
      <c r="G3269" s="50">
        <v>1</v>
      </c>
      <c r="H3269" s="50" t="s">
        <v>4</v>
      </c>
      <c r="I3269" s="50" t="s">
        <v>290</v>
      </c>
      <c r="J3269" s="51">
        <v>46000</v>
      </c>
      <c r="K3269" s="50" t="s">
        <v>86</v>
      </c>
      <c r="L3269" s="50" t="s">
        <v>80</v>
      </c>
    </row>
    <row r="3270" spans="2:12">
      <c r="B3270" s="50" t="s">
        <v>277</v>
      </c>
      <c r="C3270" s="50" t="s">
        <v>62</v>
      </c>
      <c r="D3270" s="50" t="s">
        <v>27</v>
      </c>
      <c r="E3270" s="50">
        <v>50041195</v>
      </c>
      <c r="F3270" s="50" t="s">
        <v>206</v>
      </c>
      <c r="G3270" s="50">
        <v>1</v>
      </c>
      <c r="H3270" s="50" t="s">
        <v>2</v>
      </c>
      <c r="I3270" s="50" t="s">
        <v>290</v>
      </c>
      <c r="J3270" s="51">
        <v>46000</v>
      </c>
      <c r="K3270" s="50" t="s">
        <v>324</v>
      </c>
      <c r="L3270" s="50" t="s">
        <v>80</v>
      </c>
    </row>
    <row r="3271" spans="2:12">
      <c r="B3271" s="50" t="s">
        <v>427</v>
      </c>
      <c r="C3271" s="50" t="s">
        <v>26</v>
      </c>
      <c r="D3271" s="50" t="s">
        <v>27</v>
      </c>
      <c r="E3271" s="50">
        <v>50042283</v>
      </c>
      <c r="F3271" s="50" t="s">
        <v>247</v>
      </c>
      <c r="G3271" s="50">
        <v>1</v>
      </c>
      <c r="H3271" s="50" t="s">
        <v>2</v>
      </c>
      <c r="I3271" s="50" t="s">
        <v>290</v>
      </c>
      <c r="J3271" s="51">
        <v>46000</v>
      </c>
      <c r="K3271" s="50" t="s">
        <v>1</v>
      </c>
      <c r="L3271" s="50" t="s">
        <v>80</v>
      </c>
    </row>
    <row r="3272" spans="2:12">
      <c r="B3272" s="50" t="s">
        <v>427</v>
      </c>
      <c r="C3272" s="50" t="s">
        <v>26</v>
      </c>
      <c r="D3272" s="50" t="s">
        <v>27</v>
      </c>
      <c r="E3272" s="50">
        <v>50037902</v>
      </c>
      <c r="F3272" s="50" t="s">
        <v>179</v>
      </c>
      <c r="G3272" s="50">
        <v>1</v>
      </c>
      <c r="H3272" s="50" t="s">
        <v>2</v>
      </c>
      <c r="I3272" s="50" t="s">
        <v>290</v>
      </c>
      <c r="J3272" s="51">
        <v>46000</v>
      </c>
      <c r="K3272" s="50" t="s">
        <v>3</v>
      </c>
      <c r="L3272" s="50" t="s">
        <v>80</v>
      </c>
    </row>
    <row r="3273" spans="2:12">
      <c r="B3273" s="50" t="s">
        <v>394</v>
      </c>
      <c r="C3273" s="50" t="s">
        <v>51</v>
      </c>
      <c r="D3273" s="50" t="s">
        <v>27</v>
      </c>
      <c r="E3273" s="50">
        <v>50010031</v>
      </c>
      <c r="F3273" s="50" t="s">
        <v>89</v>
      </c>
      <c r="G3273" s="50">
        <v>1</v>
      </c>
      <c r="H3273" s="50" t="s">
        <v>2</v>
      </c>
      <c r="I3273" s="50" t="s">
        <v>288</v>
      </c>
      <c r="J3273" s="51">
        <v>46000</v>
      </c>
      <c r="K3273" s="50" t="s">
        <v>1</v>
      </c>
      <c r="L3273" s="50" t="s">
        <v>80</v>
      </c>
    </row>
    <row r="3274" spans="2:12">
      <c r="B3274" s="50" t="s">
        <v>427</v>
      </c>
      <c r="C3274" s="50" t="s">
        <v>26</v>
      </c>
      <c r="D3274" s="50" t="s">
        <v>27</v>
      </c>
      <c r="E3274" s="50">
        <v>50037902</v>
      </c>
      <c r="F3274" s="50" t="s">
        <v>179</v>
      </c>
      <c r="G3274" s="50">
        <v>1</v>
      </c>
      <c r="H3274" s="50" t="s">
        <v>2</v>
      </c>
      <c r="I3274" s="50" t="s">
        <v>288</v>
      </c>
      <c r="J3274" s="51">
        <v>46000</v>
      </c>
      <c r="K3274" s="50" t="s">
        <v>3</v>
      </c>
      <c r="L3274" s="50" t="s">
        <v>80</v>
      </c>
    </row>
    <row r="3275" spans="2:12">
      <c r="B3275" s="50" t="s">
        <v>316</v>
      </c>
      <c r="C3275" s="50" t="s">
        <v>51</v>
      </c>
      <c r="D3275" s="50" t="s">
        <v>27</v>
      </c>
      <c r="E3275" s="50">
        <v>50038841</v>
      </c>
      <c r="F3275" s="50" t="s">
        <v>180</v>
      </c>
      <c r="G3275" s="50">
        <v>1</v>
      </c>
      <c r="H3275" s="50" t="s">
        <v>2</v>
      </c>
      <c r="I3275" s="50" t="s">
        <v>288</v>
      </c>
      <c r="J3275" s="51">
        <v>46000</v>
      </c>
      <c r="K3275" s="50" t="s">
        <v>3</v>
      </c>
      <c r="L3275" s="50" t="s">
        <v>80</v>
      </c>
    </row>
    <row r="3276" spans="2:12">
      <c r="B3276" s="50" t="s">
        <v>394</v>
      </c>
      <c r="C3276" s="50" t="s">
        <v>51</v>
      </c>
      <c r="D3276" s="50" t="s">
        <v>27</v>
      </c>
      <c r="E3276" s="50">
        <v>50010031</v>
      </c>
      <c r="F3276" s="50" t="s">
        <v>89</v>
      </c>
      <c r="G3276" s="50">
        <v>1</v>
      </c>
      <c r="H3276" s="50" t="s">
        <v>2</v>
      </c>
      <c r="I3276" s="50" t="s">
        <v>288</v>
      </c>
      <c r="J3276" s="51">
        <v>46000</v>
      </c>
      <c r="K3276" s="50" t="s">
        <v>3</v>
      </c>
      <c r="L3276" s="50" t="s">
        <v>80</v>
      </c>
    </row>
    <row r="3277" spans="2:12">
      <c r="B3277" s="50" t="s">
        <v>427</v>
      </c>
      <c r="C3277" s="50" t="s">
        <v>26</v>
      </c>
      <c r="D3277" s="50" t="s">
        <v>27</v>
      </c>
      <c r="E3277" s="50">
        <v>50042283</v>
      </c>
      <c r="F3277" s="50" t="s">
        <v>247</v>
      </c>
      <c r="G3277" s="50">
        <v>1</v>
      </c>
      <c r="H3277" s="50" t="s">
        <v>2</v>
      </c>
      <c r="I3277" s="50" t="s">
        <v>288</v>
      </c>
      <c r="J3277" s="51">
        <v>46000</v>
      </c>
      <c r="K3277" s="50" t="s">
        <v>3</v>
      </c>
      <c r="L3277" s="50" t="s">
        <v>80</v>
      </c>
    </row>
    <row r="3278" spans="2:12">
      <c r="B3278" s="50" t="s">
        <v>406</v>
      </c>
      <c r="C3278" s="50" t="s">
        <v>26</v>
      </c>
      <c r="D3278" s="50" t="s">
        <v>39</v>
      </c>
      <c r="E3278" s="50">
        <v>50038549</v>
      </c>
      <c r="F3278" s="50" t="s">
        <v>173</v>
      </c>
      <c r="G3278" s="50">
        <v>1</v>
      </c>
      <c r="H3278" s="50" t="s">
        <v>2</v>
      </c>
      <c r="I3278" s="50" t="s">
        <v>288</v>
      </c>
      <c r="J3278" s="51">
        <v>46000</v>
      </c>
      <c r="K3278" s="50" t="s">
        <v>3</v>
      </c>
      <c r="L3278" s="50" t="s">
        <v>80</v>
      </c>
    </row>
    <row r="3279" spans="2:12">
      <c r="B3279" s="50" t="s">
        <v>427</v>
      </c>
      <c r="C3279" s="50" t="s">
        <v>26</v>
      </c>
      <c r="D3279" s="50" t="s">
        <v>27</v>
      </c>
      <c r="E3279" s="50">
        <v>50036296</v>
      </c>
      <c r="F3279" s="50" t="s">
        <v>109</v>
      </c>
      <c r="G3279" s="50">
        <v>1</v>
      </c>
      <c r="H3279" s="50" t="s">
        <v>2</v>
      </c>
      <c r="I3279" s="50" t="s">
        <v>288</v>
      </c>
      <c r="J3279" s="51">
        <v>46000</v>
      </c>
      <c r="K3279" s="50" t="s">
        <v>1</v>
      </c>
      <c r="L3279" s="50" t="s">
        <v>80</v>
      </c>
    </row>
    <row r="3280" spans="2:12">
      <c r="B3280" s="50" t="s">
        <v>316</v>
      </c>
      <c r="C3280" s="50" t="s">
        <v>51</v>
      </c>
      <c r="D3280" s="50" t="s">
        <v>27</v>
      </c>
      <c r="E3280" s="50">
        <v>50038841</v>
      </c>
      <c r="F3280" s="50" t="s">
        <v>180</v>
      </c>
      <c r="G3280" s="50">
        <v>1</v>
      </c>
      <c r="H3280" s="50" t="s">
        <v>2</v>
      </c>
      <c r="I3280" s="50" t="s">
        <v>288</v>
      </c>
      <c r="J3280" s="51">
        <v>46000</v>
      </c>
      <c r="K3280" s="50" t="s">
        <v>1</v>
      </c>
      <c r="L3280" s="50" t="s">
        <v>80</v>
      </c>
    </row>
    <row r="3281" spans="2:12">
      <c r="B3281" s="50" t="s">
        <v>407</v>
      </c>
      <c r="C3281" s="50" t="s">
        <v>26</v>
      </c>
      <c r="D3281" s="50" t="s">
        <v>39</v>
      </c>
      <c r="E3281" s="50">
        <v>50041195</v>
      </c>
      <c r="F3281" s="50" t="s">
        <v>206</v>
      </c>
      <c r="G3281" s="50">
        <v>1</v>
      </c>
      <c r="H3281" s="50" t="s">
        <v>2</v>
      </c>
      <c r="I3281" s="50" t="s">
        <v>289</v>
      </c>
      <c r="J3281" s="51">
        <v>45999</v>
      </c>
      <c r="K3281" s="50" t="s">
        <v>1</v>
      </c>
      <c r="L3281" s="50" t="s">
        <v>80</v>
      </c>
    </row>
    <row r="3282" spans="2:12">
      <c r="B3282" s="50" t="s">
        <v>407</v>
      </c>
      <c r="C3282" s="50" t="s">
        <v>26</v>
      </c>
      <c r="D3282" s="50" t="s">
        <v>39</v>
      </c>
      <c r="E3282" s="50">
        <v>50037892</v>
      </c>
      <c r="F3282" s="50" t="s">
        <v>178</v>
      </c>
      <c r="G3282" s="50">
        <v>1</v>
      </c>
      <c r="H3282" s="50" t="s">
        <v>2</v>
      </c>
      <c r="I3282" s="50" t="s">
        <v>289</v>
      </c>
      <c r="J3282" s="51">
        <v>45999</v>
      </c>
      <c r="K3282" s="50" t="s">
        <v>1</v>
      </c>
      <c r="L3282" s="50" t="s">
        <v>80</v>
      </c>
    </row>
    <row r="3283" spans="2:12">
      <c r="B3283" s="50" t="s">
        <v>396</v>
      </c>
      <c r="C3283" s="50" t="s">
        <v>26</v>
      </c>
      <c r="D3283" s="50" t="s">
        <v>41</v>
      </c>
      <c r="E3283" s="50">
        <v>50003297</v>
      </c>
      <c r="F3283" s="50" t="s">
        <v>158</v>
      </c>
      <c r="G3283" s="50">
        <v>1</v>
      </c>
      <c r="H3283" s="50" t="s">
        <v>2</v>
      </c>
      <c r="I3283" s="50" t="s">
        <v>289</v>
      </c>
      <c r="J3283" s="51">
        <v>45999</v>
      </c>
      <c r="K3283" s="50" t="s">
        <v>1</v>
      </c>
      <c r="L3283" s="50" t="s">
        <v>80</v>
      </c>
    </row>
    <row r="3284" spans="2:12">
      <c r="B3284" s="50" t="s">
        <v>478</v>
      </c>
      <c r="C3284" s="50" t="s">
        <v>51</v>
      </c>
      <c r="D3284" s="50" t="s">
        <v>27</v>
      </c>
      <c r="E3284" s="50">
        <v>50038517</v>
      </c>
      <c r="F3284" s="50" t="s">
        <v>181</v>
      </c>
      <c r="G3284" s="50">
        <v>1</v>
      </c>
      <c r="H3284" s="50" t="s">
        <v>2</v>
      </c>
      <c r="I3284" s="50" t="s">
        <v>289</v>
      </c>
      <c r="J3284" s="51">
        <v>45999</v>
      </c>
      <c r="K3284" s="50" t="s">
        <v>1</v>
      </c>
      <c r="L3284" s="50" t="s">
        <v>80</v>
      </c>
    </row>
    <row r="3285" spans="2:12">
      <c r="B3285" s="50" t="s">
        <v>25</v>
      </c>
      <c r="C3285" s="50" t="s">
        <v>26</v>
      </c>
      <c r="D3285" s="50" t="s">
        <v>27</v>
      </c>
      <c r="E3285" s="50">
        <v>50036255</v>
      </c>
      <c r="F3285" s="50" t="s">
        <v>120</v>
      </c>
      <c r="G3285" s="50">
        <v>1</v>
      </c>
      <c r="H3285" s="50" t="s">
        <v>2</v>
      </c>
      <c r="I3285" s="50" t="s">
        <v>289</v>
      </c>
      <c r="J3285" s="51">
        <v>45999</v>
      </c>
      <c r="K3285" s="50" t="s">
        <v>1</v>
      </c>
      <c r="L3285" s="50" t="s">
        <v>80</v>
      </c>
    </row>
    <row r="3286" spans="2:12">
      <c r="B3286" s="50" t="s">
        <v>444</v>
      </c>
      <c r="C3286" s="50" t="s">
        <v>51</v>
      </c>
      <c r="D3286" s="50" t="s">
        <v>27</v>
      </c>
      <c r="E3286" s="50">
        <v>50043471</v>
      </c>
      <c r="F3286" s="50" t="s">
        <v>257</v>
      </c>
      <c r="G3286" s="50">
        <v>1</v>
      </c>
      <c r="H3286" s="50" t="s">
        <v>2</v>
      </c>
      <c r="I3286" s="50" t="s">
        <v>289</v>
      </c>
      <c r="J3286" s="51">
        <v>45999</v>
      </c>
      <c r="K3286" s="50" t="s">
        <v>1</v>
      </c>
      <c r="L3286" s="50" t="s">
        <v>80</v>
      </c>
    </row>
    <row r="3287" spans="2:12">
      <c r="B3287" s="50" t="s">
        <v>25</v>
      </c>
      <c r="C3287" s="50" t="s">
        <v>26</v>
      </c>
      <c r="D3287" s="50" t="s">
        <v>27</v>
      </c>
      <c r="E3287" s="50">
        <v>50041089</v>
      </c>
      <c r="F3287" s="50" t="s">
        <v>254</v>
      </c>
      <c r="G3287" s="50">
        <v>1</v>
      </c>
      <c r="H3287" s="50" t="s">
        <v>2</v>
      </c>
      <c r="I3287" s="50" t="s">
        <v>289</v>
      </c>
      <c r="J3287" s="51">
        <v>45999</v>
      </c>
      <c r="K3287" s="50" t="s">
        <v>1</v>
      </c>
      <c r="L3287" s="50" t="s">
        <v>80</v>
      </c>
    </row>
    <row r="3288" spans="2:12">
      <c r="B3288" s="50" t="s">
        <v>431</v>
      </c>
      <c r="C3288" s="50" t="s">
        <v>51</v>
      </c>
      <c r="D3288" s="50" t="s">
        <v>39</v>
      </c>
      <c r="E3288" s="50">
        <v>50037905</v>
      </c>
      <c r="F3288" s="50" t="s">
        <v>150</v>
      </c>
      <c r="G3288" s="50">
        <v>1</v>
      </c>
      <c r="H3288" s="50" t="s">
        <v>2</v>
      </c>
      <c r="I3288" s="50" t="s">
        <v>289</v>
      </c>
      <c r="J3288" s="51">
        <v>45999</v>
      </c>
      <c r="K3288" s="50" t="s">
        <v>3</v>
      </c>
      <c r="L3288" s="50" t="s">
        <v>80</v>
      </c>
    </row>
    <row r="3289" spans="2:12">
      <c r="B3289" s="50" t="s">
        <v>407</v>
      </c>
      <c r="C3289" s="50" t="s">
        <v>26</v>
      </c>
      <c r="D3289" s="50" t="s">
        <v>39</v>
      </c>
      <c r="E3289" s="50">
        <v>50041195</v>
      </c>
      <c r="F3289" s="50" t="s">
        <v>206</v>
      </c>
      <c r="G3289" s="50">
        <v>1</v>
      </c>
      <c r="H3289" s="50" t="s">
        <v>2</v>
      </c>
      <c r="I3289" s="50" t="s">
        <v>289</v>
      </c>
      <c r="J3289" s="51">
        <v>45999</v>
      </c>
      <c r="K3289" s="50" t="s">
        <v>3</v>
      </c>
      <c r="L3289" s="50" t="s">
        <v>80</v>
      </c>
    </row>
    <row r="3290" spans="2:12">
      <c r="B3290" s="50" t="s">
        <v>478</v>
      </c>
      <c r="C3290" s="50" t="s">
        <v>51</v>
      </c>
      <c r="D3290" s="50" t="s">
        <v>27</v>
      </c>
      <c r="E3290" s="50">
        <v>50038517</v>
      </c>
      <c r="F3290" s="50" t="s">
        <v>181</v>
      </c>
      <c r="G3290" s="50">
        <v>1</v>
      </c>
      <c r="H3290" s="50" t="s">
        <v>2</v>
      </c>
      <c r="I3290" s="50" t="s">
        <v>289</v>
      </c>
      <c r="J3290" s="51">
        <v>45999</v>
      </c>
      <c r="K3290" s="50" t="s">
        <v>3</v>
      </c>
      <c r="L3290" s="50" t="s">
        <v>80</v>
      </c>
    </row>
    <row r="3291" spans="2:12">
      <c r="B3291" s="50" t="s">
        <v>407</v>
      </c>
      <c r="C3291" s="50" t="s">
        <v>26</v>
      </c>
      <c r="D3291" s="50" t="s">
        <v>39</v>
      </c>
      <c r="E3291" s="50">
        <v>50037892</v>
      </c>
      <c r="F3291" s="50" t="s">
        <v>178</v>
      </c>
      <c r="G3291" s="50">
        <v>1</v>
      </c>
      <c r="H3291" s="50" t="s">
        <v>2</v>
      </c>
      <c r="I3291" s="50" t="s">
        <v>289</v>
      </c>
      <c r="J3291" s="51">
        <v>45999</v>
      </c>
      <c r="K3291" s="50" t="s">
        <v>3</v>
      </c>
      <c r="L3291" s="50" t="s">
        <v>80</v>
      </c>
    </row>
    <row r="3292" spans="2:12">
      <c r="B3292" s="50" t="s">
        <v>25</v>
      </c>
      <c r="C3292" s="50" t="s">
        <v>26</v>
      </c>
      <c r="D3292" s="50" t="s">
        <v>27</v>
      </c>
      <c r="E3292" s="50">
        <v>50036255</v>
      </c>
      <c r="F3292" s="50" t="s">
        <v>120</v>
      </c>
      <c r="G3292" s="50">
        <v>1</v>
      </c>
      <c r="H3292" s="50" t="s">
        <v>2</v>
      </c>
      <c r="I3292" s="50" t="s">
        <v>289</v>
      </c>
      <c r="J3292" s="51">
        <v>45999</v>
      </c>
      <c r="K3292" s="50" t="s">
        <v>3</v>
      </c>
      <c r="L3292" s="50" t="s">
        <v>80</v>
      </c>
    </row>
    <row r="3293" spans="2:12">
      <c r="B3293" s="50" t="s">
        <v>431</v>
      </c>
      <c r="C3293" s="50" t="s">
        <v>51</v>
      </c>
      <c r="D3293" s="50" t="s">
        <v>39</v>
      </c>
      <c r="E3293" s="50">
        <v>50037905</v>
      </c>
      <c r="F3293" s="50" t="s">
        <v>150</v>
      </c>
      <c r="G3293" s="50">
        <v>1</v>
      </c>
      <c r="H3293" s="50" t="s">
        <v>2</v>
      </c>
      <c r="I3293" s="50" t="s">
        <v>289</v>
      </c>
      <c r="J3293" s="51">
        <v>45999</v>
      </c>
      <c r="K3293" s="50" t="s">
        <v>1</v>
      </c>
      <c r="L3293" s="50" t="s">
        <v>80</v>
      </c>
    </row>
    <row r="3294" spans="2:12">
      <c r="B3294" s="50" t="s">
        <v>478</v>
      </c>
      <c r="C3294" s="50" t="s">
        <v>51</v>
      </c>
      <c r="D3294" s="50" t="s">
        <v>27</v>
      </c>
      <c r="E3294" s="50">
        <v>50037902</v>
      </c>
      <c r="F3294" s="50" t="s">
        <v>179</v>
      </c>
      <c r="G3294" s="50">
        <v>1</v>
      </c>
      <c r="H3294" s="50" t="s">
        <v>2</v>
      </c>
      <c r="I3294" s="50" t="s">
        <v>289</v>
      </c>
      <c r="J3294" s="51">
        <v>45999</v>
      </c>
      <c r="K3294" s="50" t="s">
        <v>1</v>
      </c>
      <c r="L3294" s="50" t="s">
        <v>80</v>
      </c>
    </row>
    <row r="3295" spans="2:12">
      <c r="B3295" s="50" t="s">
        <v>397</v>
      </c>
      <c r="C3295" s="50" t="s">
        <v>26</v>
      </c>
      <c r="D3295" s="50" t="s">
        <v>41</v>
      </c>
      <c r="E3295" s="50">
        <v>50041653</v>
      </c>
      <c r="F3295" s="50" t="s">
        <v>201</v>
      </c>
      <c r="G3295" s="50">
        <v>1</v>
      </c>
      <c r="H3295" s="50" t="s">
        <v>2</v>
      </c>
      <c r="I3295" s="50" t="s">
        <v>289</v>
      </c>
      <c r="J3295" s="51">
        <v>45999</v>
      </c>
      <c r="K3295" s="50" t="s">
        <v>3</v>
      </c>
      <c r="L3295" s="50" t="s">
        <v>80</v>
      </c>
    </row>
    <row r="3296" spans="2:12">
      <c r="B3296" s="50" t="s">
        <v>422</v>
      </c>
      <c r="C3296" s="50" t="s">
        <v>26</v>
      </c>
      <c r="D3296" s="50" t="s">
        <v>27</v>
      </c>
      <c r="E3296" s="50">
        <v>50037892</v>
      </c>
      <c r="F3296" s="50" t="s">
        <v>178</v>
      </c>
      <c r="G3296" s="50">
        <v>1</v>
      </c>
      <c r="H3296" s="50" t="s">
        <v>2</v>
      </c>
      <c r="I3296" s="50" t="s">
        <v>289</v>
      </c>
      <c r="J3296" s="51">
        <v>45999</v>
      </c>
      <c r="K3296" s="50" t="s">
        <v>3</v>
      </c>
      <c r="L3296" s="50" t="s">
        <v>80</v>
      </c>
    </row>
    <row r="3297" spans="2:12">
      <c r="B3297" s="50" t="s">
        <v>444</v>
      </c>
      <c r="C3297" s="50" t="s">
        <v>51</v>
      </c>
      <c r="D3297" s="50" t="s">
        <v>27</v>
      </c>
      <c r="E3297" s="50">
        <v>50043471</v>
      </c>
      <c r="F3297" s="50" t="s">
        <v>257</v>
      </c>
      <c r="G3297" s="50">
        <v>1</v>
      </c>
      <c r="H3297" s="50" t="s">
        <v>2</v>
      </c>
      <c r="I3297" s="50" t="s">
        <v>289</v>
      </c>
      <c r="J3297" s="51">
        <v>45999</v>
      </c>
      <c r="K3297" s="50" t="s">
        <v>1</v>
      </c>
      <c r="L3297" s="50" t="s">
        <v>80</v>
      </c>
    </row>
    <row r="3298" spans="2:12">
      <c r="B3298" s="50" t="s">
        <v>54</v>
      </c>
      <c r="C3298" s="50" t="s">
        <v>51</v>
      </c>
      <c r="D3298" s="50" t="s">
        <v>41</v>
      </c>
      <c r="E3298" s="50">
        <v>50043471</v>
      </c>
      <c r="F3298" s="50" t="s">
        <v>257</v>
      </c>
      <c r="G3298" s="50">
        <v>1</v>
      </c>
      <c r="H3298" s="50" t="s">
        <v>2</v>
      </c>
      <c r="I3298" s="50" t="s">
        <v>289</v>
      </c>
      <c r="J3298" s="51">
        <v>45999</v>
      </c>
      <c r="K3298" s="50" t="s">
        <v>3</v>
      </c>
      <c r="L3298" s="50" t="s">
        <v>80</v>
      </c>
    </row>
    <row r="3299" spans="2:12">
      <c r="B3299" s="50" t="s">
        <v>396</v>
      </c>
      <c r="C3299" s="50" t="s">
        <v>26</v>
      </c>
      <c r="D3299" s="50" t="s">
        <v>41</v>
      </c>
      <c r="E3299" s="50">
        <v>50003297</v>
      </c>
      <c r="F3299" s="50" t="s">
        <v>158</v>
      </c>
      <c r="G3299" s="50">
        <v>1</v>
      </c>
      <c r="H3299" s="50" t="s">
        <v>2</v>
      </c>
      <c r="I3299" s="50" t="s">
        <v>289</v>
      </c>
      <c r="J3299" s="51">
        <v>45999</v>
      </c>
      <c r="K3299" s="50" t="s">
        <v>3</v>
      </c>
      <c r="L3299" s="50" t="s">
        <v>80</v>
      </c>
    </row>
    <row r="3300" spans="2:12">
      <c r="B3300" s="50" t="s">
        <v>446</v>
      </c>
      <c r="C3300" s="50" t="s">
        <v>56</v>
      </c>
      <c r="D3300" s="50" t="s">
        <v>27</v>
      </c>
      <c r="E3300" s="50">
        <v>50038517</v>
      </c>
      <c r="F3300" s="50" t="s">
        <v>181</v>
      </c>
      <c r="G3300" s="50">
        <v>1</v>
      </c>
      <c r="H3300" s="50" t="s">
        <v>2</v>
      </c>
      <c r="I3300" s="50" t="s">
        <v>289</v>
      </c>
      <c r="J3300" s="51">
        <v>45999</v>
      </c>
      <c r="K3300" s="50" t="s">
        <v>3</v>
      </c>
      <c r="L3300" s="50" t="s">
        <v>80</v>
      </c>
    </row>
    <row r="3301" spans="2:12">
      <c r="B3301" s="50" t="s">
        <v>446</v>
      </c>
      <c r="C3301" s="50" t="s">
        <v>56</v>
      </c>
      <c r="D3301" s="50" t="s">
        <v>27</v>
      </c>
      <c r="E3301" s="50">
        <v>50038517</v>
      </c>
      <c r="F3301" s="50" t="s">
        <v>181</v>
      </c>
      <c r="G3301" s="50">
        <v>1</v>
      </c>
      <c r="H3301" s="50" t="s">
        <v>2</v>
      </c>
      <c r="I3301" s="50" t="s">
        <v>289</v>
      </c>
      <c r="J3301" s="51">
        <v>45999</v>
      </c>
      <c r="K3301" s="50" t="s">
        <v>3</v>
      </c>
      <c r="L3301" s="50" t="s">
        <v>80</v>
      </c>
    </row>
    <row r="3302" spans="2:12">
      <c r="B3302" s="50" t="s">
        <v>478</v>
      </c>
      <c r="C3302" s="50" t="s">
        <v>51</v>
      </c>
      <c r="D3302" s="50" t="s">
        <v>27</v>
      </c>
      <c r="E3302" s="50">
        <v>50037902</v>
      </c>
      <c r="F3302" s="50" t="s">
        <v>179</v>
      </c>
      <c r="G3302" s="50">
        <v>1</v>
      </c>
      <c r="H3302" s="50" t="s">
        <v>2</v>
      </c>
      <c r="I3302" s="50" t="s">
        <v>289</v>
      </c>
      <c r="J3302" s="51">
        <v>45999</v>
      </c>
      <c r="K3302" s="50" t="s">
        <v>3</v>
      </c>
      <c r="L3302" s="50" t="s">
        <v>80</v>
      </c>
    </row>
    <row r="3303" spans="2:12">
      <c r="B3303" s="50" t="s">
        <v>397</v>
      </c>
      <c r="C3303" s="50" t="s">
        <v>26</v>
      </c>
      <c r="D3303" s="50" t="s">
        <v>41</v>
      </c>
      <c r="E3303" s="50">
        <v>50041653</v>
      </c>
      <c r="F3303" s="50" t="s">
        <v>201</v>
      </c>
      <c r="G3303" s="50">
        <v>1</v>
      </c>
      <c r="H3303" s="50" t="s">
        <v>2</v>
      </c>
      <c r="I3303" s="50" t="s">
        <v>289</v>
      </c>
      <c r="J3303" s="51">
        <v>45999</v>
      </c>
      <c r="K3303" s="50" t="s">
        <v>1</v>
      </c>
      <c r="L3303" s="50" t="s">
        <v>80</v>
      </c>
    </row>
    <row r="3304" spans="2:12">
      <c r="B3304" s="50" t="s">
        <v>418</v>
      </c>
      <c r="C3304" s="50" t="s">
        <v>26</v>
      </c>
      <c r="D3304" s="50" t="s">
        <v>27</v>
      </c>
      <c r="E3304" s="50">
        <v>50039065</v>
      </c>
      <c r="F3304" s="50" t="s">
        <v>186</v>
      </c>
      <c r="G3304" s="50">
        <v>1</v>
      </c>
      <c r="H3304" s="50" t="s">
        <v>2</v>
      </c>
      <c r="I3304" s="50" t="s">
        <v>289</v>
      </c>
      <c r="J3304" s="51">
        <v>45999</v>
      </c>
      <c r="K3304" s="50" t="s">
        <v>1</v>
      </c>
      <c r="L3304" s="50" t="s">
        <v>80</v>
      </c>
    </row>
    <row r="3305" spans="2:12">
      <c r="B3305" s="50" t="s">
        <v>422</v>
      </c>
      <c r="C3305" s="50" t="s">
        <v>26</v>
      </c>
      <c r="D3305" s="50" t="s">
        <v>27</v>
      </c>
      <c r="E3305" s="50">
        <v>50037892</v>
      </c>
      <c r="F3305" s="50" t="s">
        <v>178</v>
      </c>
      <c r="G3305" s="50">
        <v>1</v>
      </c>
      <c r="H3305" s="50" t="s">
        <v>2</v>
      </c>
      <c r="I3305" s="50" t="s">
        <v>289</v>
      </c>
      <c r="J3305" s="51">
        <v>45999</v>
      </c>
      <c r="K3305" s="50" t="s">
        <v>1</v>
      </c>
      <c r="L3305" s="50" t="s">
        <v>80</v>
      </c>
    </row>
    <row r="3306" spans="2:12">
      <c r="B3306" s="50" t="s">
        <v>386</v>
      </c>
      <c r="C3306" s="50" t="s">
        <v>26</v>
      </c>
      <c r="D3306" s="50" t="s">
        <v>27</v>
      </c>
      <c r="E3306" s="50">
        <v>50001740</v>
      </c>
      <c r="F3306" s="50" t="s">
        <v>294</v>
      </c>
      <c r="G3306" s="50">
        <v>1</v>
      </c>
      <c r="H3306" s="50" t="s">
        <v>2</v>
      </c>
      <c r="I3306" s="50" t="s">
        <v>289</v>
      </c>
      <c r="J3306" s="51">
        <v>45999</v>
      </c>
      <c r="K3306" s="50" t="s">
        <v>3</v>
      </c>
      <c r="L3306" s="50" t="s">
        <v>80</v>
      </c>
    </row>
    <row r="3307" spans="2:12">
      <c r="B3307" s="50" t="s">
        <v>418</v>
      </c>
      <c r="C3307" s="50" t="s">
        <v>26</v>
      </c>
      <c r="D3307" s="50" t="s">
        <v>27</v>
      </c>
      <c r="E3307" s="50">
        <v>50039065</v>
      </c>
      <c r="F3307" s="50" t="s">
        <v>186</v>
      </c>
      <c r="G3307" s="50">
        <v>1</v>
      </c>
      <c r="H3307" s="50" t="s">
        <v>2</v>
      </c>
      <c r="I3307" s="50" t="s">
        <v>289</v>
      </c>
      <c r="J3307" s="51">
        <v>45999</v>
      </c>
      <c r="K3307" s="50" t="s">
        <v>3</v>
      </c>
      <c r="L3307" s="50" t="s">
        <v>80</v>
      </c>
    </row>
    <row r="3308" spans="2:12">
      <c r="B3308" s="50" t="s">
        <v>386</v>
      </c>
      <c r="C3308" s="50" t="s">
        <v>26</v>
      </c>
      <c r="D3308" s="50" t="s">
        <v>27</v>
      </c>
      <c r="E3308" s="50">
        <v>50001740</v>
      </c>
      <c r="F3308" s="50" t="s">
        <v>294</v>
      </c>
      <c r="G3308" s="50">
        <v>1</v>
      </c>
      <c r="H3308" s="50" t="s">
        <v>2</v>
      </c>
      <c r="I3308" s="50" t="s">
        <v>289</v>
      </c>
      <c r="J3308" s="51">
        <v>45999</v>
      </c>
      <c r="K3308" s="50" t="s">
        <v>3</v>
      </c>
      <c r="L3308" s="50" t="s">
        <v>80</v>
      </c>
    </row>
    <row r="3309" spans="2:12">
      <c r="B3309" s="50" t="s">
        <v>25</v>
      </c>
      <c r="C3309" s="50" t="s">
        <v>26</v>
      </c>
      <c r="D3309" s="50" t="s">
        <v>27</v>
      </c>
      <c r="E3309" s="50">
        <v>50041089</v>
      </c>
      <c r="F3309" s="50" t="s">
        <v>254</v>
      </c>
      <c r="G3309" s="50">
        <v>1</v>
      </c>
      <c r="H3309" s="50" t="s">
        <v>2</v>
      </c>
      <c r="I3309" s="50" t="s">
        <v>289</v>
      </c>
      <c r="J3309" s="51">
        <v>45999</v>
      </c>
      <c r="K3309" s="50" t="s">
        <v>1</v>
      </c>
      <c r="L3309" s="50" t="s">
        <v>80</v>
      </c>
    </row>
    <row r="3310" spans="2:12">
      <c r="B3310" s="50" t="s">
        <v>418</v>
      </c>
      <c r="C3310" s="50" t="s">
        <v>26</v>
      </c>
      <c r="D3310" s="50" t="s">
        <v>27</v>
      </c>
      <c r="E3310" s="50">
        <v>50022878</v>
      </c>
      <c r="F3310" s="50" t="s">
        <v>296</v>
      </c>
      <c r="G3310" s="50">
        <v>1</v>
      </c>
      <c r="H3310" s="50" t="s">
        <v>2</v>
      </c>
      <c r="I3310" s="50" t="s">
        <v>289</v>
      </c>
      <c r="J3310" s="51">
        <v>45999</v>
      </c>
      <c r="K3310" s="50" t="s">
        <v>3</v>
      </c>
      <c r="L3310" s="50" t="s">
        <v>80</v>
      </c>
    </row>
    <row r="3311" spans="2:12">
      <c r="B3311" s="50" t="s">
        <v>418</v>
      </c>
      <c r="C3311" s="50" t="s">
        <v>26</v>
      </c>
      <c r="D3311" s="50" t="s">
        <v>27</v>
      </c>
      <c r="E3311" s="50">
        <v>50022878</v>
      </c>
      <c r="F3311" s="50" t="s">
        <v>296</v>
      </c>
      <c r="G3311" s="50">
        <v>1</v>
      </c>
      <c r="H3311" s="50" t="s">
        <v>2</v>
      </c>
      <c r="I3311" s="50" t="s">
        <v>289</v>
      </c>
      <c r="J3311" s="51">
        <v>45999</v>
      </c>
      <c r="K3311" s="50" t="s">
        <v>3</v>
      </c>
      <c r="L3311" s="50" t="s">
        <v>80</v>
      </c>
    </row>
    <row r="3312" spans="2:12">
      <c r="B3312" s="50" t="s">
        <v>54</v>
      </c>
      <c r="C3312" s="50" t="s">
        <v>51</v>
      </c>
      <c r="D3312" s="50" t="s">
        <v>41</v>
      </c>
      <c r="E3312" s="50">
        <v>50043471</v>
      </c>
      <c r="F3312" s="50" t="s">
        <v>257</v>
      </c>
      <c r="G3312" s="50">
        <v>1</v>
      </c>
      <c r="H3312" s="50" t="s">
        <v>2</v>
      </c>
      <c r="I3312" s="50" t="s">
        <v>289</v>
      </c>
      <c r="J3312" s="51">
        <v>45999</v>
      </c>
      <c r="K3312" s="50" t="s">
        <v>1</v>
      </c>
      <c r="L3312" s="50" t="s">
        <v>80</v>
      </c>
    </row>
    <row r="3313" spans="2:12">
      <c r="B3313" s="50" t="s">
        <v>461</v>
      </c>
      <c r="C3313" s="50" t="s">
        <v>26</v>
      </c>
      <c r="D3313" s="50" t="s">
        <v>39</v>
      </c>
      <c r="E3313" s="50">
        <v>50038549</v>
      </c>
      <c r="F3313" s="50" t="s">
        <v>173</v>
      </c>
      <c r="G3313" s="50">
        <v>1</v>
      </c>
      <c r="H3313" s="50" t="s">
        <v>2</v>
      </c>
      <c r="I3313" s="50" t="s">
        <v>289</v>
      </c>
      <c r="J3313" s="51">
        <v>45998</v>
      </c>
      <c r="K3313" s="50" t="s">
        <v>1</v>
      </c>
      <c r="L3313" s="50" t="s">
        <v>80</v>
      </c>
    </row>
    <row r="3314" spans="2:12">
      <c r="B3314" s="50" t="s">
        <v>461</v>
      </c>
      <c r="C3314" s="50" t="s">
        <v>26</v>
      </c>
      <c r="D3314" s="50" t="s">
        <v>39</v>
      </c>
      <c r="E3314" s="50">
        <v>50041095</v>
      </c>
      <c r="F3314" s="50" t="s">
        <v>248</v>
      </c>
      <c r="G3314" s="50">
        <v>1</v>
      </c>
      <c r="H3314" s="50" t="s">
        <v>2</v>
      </c>
      <c r="I3314" s="50" t="s">
        <v>289</v>
      </c>
      <c r="J3314" s="51">
        <v>45998</v>
      </c>
      <c r="K3314" s="50" t="s">
        <v>3</v>
      </c>
      <c r="L3314" s="50" t="s">
        <v>80</v>
      </c>
    </row>
    <row r="3315" spans="2:12">
      <c r="B3315" s="50" t="s">
        <v>461</v>
      </c>
      <c r="C3315" s="50" t="s">
        <v>26</v>
      </c>
      <c r="D3315" s="50" t="s">
        <v>39</v>
      </c>
      <c r="E3315" s="50">
        <v>50037892</v>
      </c>
      <c r="F3315" s="50" t="s">
        <v>178</v>
      </c>
      <c r="G3315" s="50">
        <v>1</v>
      </c>
      <c r="H3315" s="50" t="s">
        <v>2</v>
      </c>
      <c r="I3315" s="50" t="s">
        <v>289</v>
      </c>
      <c r="J3315" s="51">
        <v>45998</v>
      </c>
      <c r="K3315" s="50" t="s">
        <v>3</v>
      </c>
      <c r="L3315" s="50" t="s">
        <v>80</v>
      </c>
    </row>
    <row r="3316" spans="2:12">
      <c r="B3316" s="50" t="s">
        <v>461</v>
      </c>
      <c r="C3316" s="50" t="s">
        <v>26</v>
      </c>
      <c r="D3316" s="50" t="s">
        <v>39</v>
      </c>
      <c r="E3316" s="50">
        <v>50037892</v>
      </c>
      <c r="F3316" s="50" t="s">
        <v>178</v>
      </c>
      <c r="G3316" s="50">
        <v>1</v>
      </c>
      <c r="H3316" s="50" t="s">
        <v>2</v>
      </c>
      <c r="I3316" s="50" t="s">
        <v>289</v>
      </c>
      <c r="J3316" s="51">
        <v>45998</v>
      </c>
      <c r="K3316" s="50" t="s">
        <v>3</v>
      </c>
      <c r="L3316" s="50" t="s">
        <v>80</v>
      </c>
    </row>
    <row r="3317" spans="2:12">
      <c r="B3317" s="50" t="s">
        <v>461</v>
      </c>
      <c r="C3317" s="50" t="s">
        <v>26</v>
      </c>
      <c r="D3317" s="50" t="s">
        <v>39</v>
      </c>
      <c r="E3317" s="50">
        <v>50041095</v>
      </c>
      <c r="F3317" s="50" t="s">
        <v>248</v>
      </c>
      <c r="G3317" s="50">
        <v>1</v>
      </c>
      <c r="H3317" s="50" t="s">
        <v>2</v>
      </c>
      <c r="I3317" s="50" t="s">
        <v>289</v>
      </c>
      <c r="J3317" s="51">
        <v>45998</v>
      </c>
      <c r="K3317" s="50" t="s">
        <v>3</v>
      </c>
      <c r="L3317" s="50" t="s">
        <v>80</v>
      </c>
    </row>
    <row r="3318" spans="2:12">
      <c r="B3318" s="50" t="s">
        <v>461</v>
      </c>
      <c r="C3318" s="50" t="s">
        <v>26</v>
      </c>
      <c r="D3318" s="50" t="s">
        <v>39</v>
      </c>
      <c r="E3318" s="50">
        <v>50038549</v>
      </c>
      <c r="F3318" s="50" t="s">
        <v>173</v>
      </c>
      <c r="G3318" s="50">
        <v>1</v>
      </c>
      <c r="H3318" s="50" t="s">
        <v>2</v>
      </c>
      <c r="I3318" s="50" t="s">
        <v>289</v>
      </c>
      <c r="J3318" s="51">
        <v>45998</v>
      </c>
      <c r="K3318" s="50" t="s">
        <v>1</v>
      </c>
      <c r="L3318" s="50" t="s">
        <v>80</v>
      </c>
    </row>
    <row r="3319" spans="2:12">
      <c r="B3319" s="50" t="s">
        <v>458</v>
      </c>
      <c r="C3319" s="50" t="s">
        <v>26</v>
      </c>
      <c r="D3319" s="50" t="s">
        <v>27</v>
      </c>
      <c r="E3319" s="50">
        <v>50037905</v>
      </c>
      <c r="F3319" s="50" t="s">
        <v>150</v>
      </c>
      <c r="G3319" s="50">
        <v>1</v>
      </c>
      <c r="H3319" s="50" t="s">
        <v>4</v>
      </c>
      <c r="I3319" s="50" t="s">
        <v>289</v>
      </c>
      <c r="J3319" s="51">
        <v>45998</v>
      </c>
      <c r="K3319" s="50" t="s">
        <v>1</v>
      </c>
      <c r="L3319" s="50" t="s">
        <v>80</v>
      </c>
    </row>
    <row r="3320" spans="2:12">
      <c r="B3320" s="50" t="s">
        <v>471</v>
      </c>
      <c r="C3320" s="50" t="s">
        <v>26</v>
      </c>
      <c r="D3320" s="50" t="s">
        <v>27</v>
      </c>
      <c r="E3320" s="50">
        <v>50037926</v>
      </c>
      <c r="F3320" s="50" t="s">
        <v>184</v>
      </c>
      <c r="G3320" s="50">
        <v>1</v>
      </c>
      <c r="H3320" s="50" t="s">
        <v>2</v>
      </c>
      <c r="I3320" s="50" t="s">
        <v>289</v>
      </c>
      <c r="J3320" s="51">
        <v>45997</v>
      </c>
      <c r="K3320" s="50" t="s">
        <v>1</v>
      </c>
      <c r="L3320" s="50" t="s">
        <v>80</v>
      </c>
    </row>
    <row r="3321" spans="2:12">
      <c r="B3321" s="50" t="s">
        <v>458</v>
      </c>
      <c r="C3321" s="50" t="s">
        <v>26</v>
      </c>
      <c r="D3321" s="50" t="s">
        <v>27</v>
      </c>
      <c r="E3321" s="50">
        <v>50039718</v>
      </c>
      <c r="F3321" s="50" t="s">
        <v>149</v>
      </c>
      <c r="G3321" s="50">
        <v>1</v>
      </c>
      <c r="H3321" s="50" t="s">
        <v>2</v>
      </c>
      <c r="I3321" s="50" t="s">
        <v>289</v>
      </c>
      <c r="J3321" s="51">
        <v>45997</v>
      </c>
      <c r="K3321" s="50" t="s">
        <v>3</v>
      </c>
      <c r="L3321" s="50" t="s">
        <v>80</v>
      </c>
    </row>
    <row r="3322" spans="2:12">
      <c r="B3322" s="50" t="s">
        <v>415</v>
      </c>
      <c r="C3322" s="50" t="s">
        <v>51</v>
      </c>
      <c r="D3322" s="50" t="s">
        <v>27</v>
      </c>
      <c r="E3322" s="50">
        <v>50037892</v>
      </c>
      <c r="F3322" s="50" t="s">
        <v>178</v>
      </c>
      <c r="G3322" s="50">
        <v>1</v>
      </c>
      <c r="H3322" s="50" t="s">
        <v>2</v>
      </c>
      <c r="I3322" s="50" t="s">
        <v>289</v>
      </c>
      <c r="J3322" s="51">
        <v>45997</v>
      </c>
      <c r="K3322" s="50" t="s">
        <v>3</v>
      </c>
      <c r="L3322" s="50" t="s">
        <v>80</v>
      </c>
    </row>
    <row r="3323" spans="2:12">
      <c r="B3323" s="50" t="s">
        <v>458</v>
      </c>
      <c r="C3323" s="50" t="s">
        <v>26</v>
      </c>
      <c r="D3323" s="50" t="s">
        <v>27</v>
      </c>
      <c r="E3323" s="50">
        <v>50037905</v>
      </c>
      <c r="F3323" s="50" t="s">
        <v>150</v>
      </c>
      <c r="G3323" s="50">
        <v>1</v>
      </c>
      <c r="H3323" s="50" t="s">
        <v>4</v>
      </c>
      <c r="I3323" s="50" t="s">
        <v>289</v>
      </c>
      <c r="J3323" s="51">
        <v>45997</v>
      </c>
      <c r="K3323" s="50" t="s">
        <v>3</v>
      </c>
      <c r="L3323" s="50" t="s">
        <v>80</v>
      </c>
    </row>
    <row r="3324" spans="2:12">
      <c r="B3324" s="50" t="s">
        <v>458</v>
      </c>
      <c r="C3324" s="50" t="s">
        <v>26</v>
      </c>
      <c r="D3324" s="50" t="s">
        <v>27</v>
      </c>
      <c r="E3324" s="50">
        <v>50039718</v>
      </c>
      <c r="F3324" s="50" t="s">
        <v>149</v>
      </c>
      <c r="G3324" s="50">
        <v>1</v>
      </c>
      <c r="H3324" s="50" t="s">
        <v>2</v>
      </c>
      <c r="I3324" s="50" t="s">
        <v>289</v>
      </c>
      <c r="J3324" s="51">
        <v>45997</v>
      </c>
      <c r="K3324" s="50" t="s">
        <v>3</v>
      </c>
      <c r="L3324" s="50" t="s">
        <v>80</v>
      </c>
    </row>
    <row r="3325" spans="2:12">
      <c r="B3325" s="50" t="s">
        <v>471</v>
      </c>
      <c r="C3325" s="50" t="s">
        <v>26</v>
      </c>
      <c r="D3325" s="50" t="s">
        <v>27</v>
      </c>
      <c r="E3325" s="50">
        <v>50037926</v>
      </c>
      <c r="F3325" s="50" t="s">
        <v>184</v>
      </c>
      <c r="G3325" s="50">
        <v>1</v>
      </c>
      <c r="H3325" s="50" t="s">
        <v>2</v>
      </c>
      <c r="I3325" s="50" t="s">
        <v>289</v>
      </c>
      <c r="J3325" s="51">
        <v>45997</v>
      </c>
      <c r="K3325" s="50" t="s">
        <v>1</v>
      </c>
      <c r="L3325" s="50" t="s">
        <v>80</v>
      </c>
    </row>
    <row r="3326" spans="2:12">
      <c r="B3326" s="50" t="s">
        <v>415</v>
      </c>
      <c r="C3326" s="50" t="s">
        <v>51</v>
      </c>
      <c r="D3326" s="50" t="s">
        <v>27</v>
      </c>
      <c r="E3326" s="50">
        <v>50037892</v>
      </c>
      <c r="F3326" s="50" t="s">
        <v>178</v>
      </c>
      <c r="G3326" s="50">
        <v>1</v>
      </c>
      <c r="H3326" s="50" t="s">
        <v>2</v>
      </c>
      <c r="I3326" s="50" t="s">
        <v>289</v>
      </c>
      <c r="J3326" s="51">
        <v>45997</v>
      </c>
      <c r="K3326" s="50" t="s">
        <v>1</v>
      </c>
      <c r="L3326" s="50" t="s">
        <v>80</v>
      </c>
    </row>
    <row r="3327" spans="2:12">
      <c r="B3327" s="50" t="s">
        <v>393</v>
      </c>
      <c r="C3327" s="50" t="s">
        <v>56</v>
      </c>
      <c r="D3327" s="50" t="s">
        <v>39</v>
      </c>
      <c r="E3327" s="50">
        <v>50038991</v>
      </c>
      <c r="F3327" s="50" t="s">
        <v>108</v>
      </c>
      <c r="G3327" s="50">
        <v>1</v>
      </c>
      <c r="H3327" s="50" t="s">
        <v>2</v>
      </c>
      <c r="I3327" s="50" t="s">
        <v>289</v>
      </c>
      <c r="J3327" s="51">
        <v>45996</v>
      </c>
      <c r="K3327" s="50" t="s">
        <v>3</v>
      </c>
      <c r="L3327" s="50" t="s">
        <v>80</v>
      </c>
    </row>
    <row r="3328" spans="2:12">
      <c r="B3328" s="50" t="s">
        <v>471</v>
      </c>
      <c r="C3328" s="50" t="s">
        <v>26</v>
      </c>
      <c r="D3328" s="50" t="s">
        <v>27</v>
      </c>
      <c r="E3328" s="50">
        <v>50038841</v>
      </c>
      <c r="F3328" s="50" t="s">
        <v>180</v>
      </c>
      <c r="G3328" s="50">
        <v>1</v>
      </c>
      <c r="H3328" s="50" t="s">
        <v>2</v>
      </c>
      <c r="I3328" s="50" t="s">
        <v>289</v>
      </c>
      <c r="J3328" s="51">
        <v>45996</v>
      </c>
      <c r="K3328" s="50" t="s">
        <v>3</v>
      </c>
      <c r="L3328" s="50" t="s">
        <v>80</v>
      </c>
    </row>
    <row r="3329" spans="2:12">
      <c r="B3329" s="50" t="s">
        <v>393</v>
      </c>
      <c r="C3329" s="50" t="s">
        <v>56</v>
      </c>
      <c r="D3329" s="50" t="s">
        <v>39</v>
      </c>
      <c r="E3329" s="50">
        <v>50038991</v>
      </c>
      <c r="F3329" s="50" t="s">
        <v>108</v>
      </c>
      <c r="G3329" s="50">
        <v>1</v>
      </c>
      <c r="H3329" s="50" t="s">
        <v>2</v>
      </c>
      <c r="I3329" s="50" t="s">
        <v>289</v>
      </c>
      <c r="J3329" s="51">
        <v>45996</v>
      </c>
      <c r="K3329" s="50" t="s">
        <v>1</v>
      </c>
      <c r="L3329" s="50" t="s">
        <v>80</v>
      </c>
    </row>
    <row r="3330" spans="2:12">
      <c r="B3330" s="50" t="s">
        <v>471</v>
      </c>
      <c r="C3330" s="50" t="s">
        <v>26</v>
      </c>
      <c r="D3330" s="50" t="s">
        <v>27</v>
      </c>
      <c r="E3330" s="50">
        <v>50038841</v>
      </c>
      <c r="F3330" s="50" t="s">
        <v>180</v>
      </c>
      <c r="G3330" s="50">
        <v>1</v>
      </c>
      <c r="H3330" s="50" t="s">
        <v>2</v>
      </c>
      <c r="I3330" s="50" t="s">
        <v>289</v>
      </c>
      <c r="J3330" s="51">
        <v>45996</v>
      </c>
      <c r="K3330" s="50" t="s">
        <v>1</v>
      </c>
      <c r="L3330" s="50" t="s">
        <v>80</v>
      </c>
    </row>
    <row r="3331" spans="2:12">
      <c r="B3331" s="50" t="s">
        <v>471</v>
      </c>
      <c r="C3331" s="50" t="s">
        <v>26</v>
      </c>
      <c r="D3331" s="50" t="s">
        <v>27</v>
      </c>
      <c r="E3331" s="50">
        <v>50037892</v>
      </c>
      <c r="F3331" s="50" t="s">
        <v>178</v>
      </c>
      <c r="G3331" s="50">
        <v>1</v>
      </c>
      <c r="H3331" s="50" t="s">
        <v>2</v>
      </c>
      <c r="I3331" s="50" t="s">
        <v>289</v>
      </c>
      <c r="J3331" s="51">
        <v>45996</v>
      </c>
      <c r="K3331" s="50" t="s">
        <v>1</v>
      </c>
      <c r="L3331" s="50" t="s">
        <v>80</v>
      </c>
    </row>
    <row r="3332" spans="2:12">
      <c r="B3332" s="50" t="s">
        <v>461</v>
      </c>
      <c r="C3332" s="50" t="s">
        <v>26</v>
      </c>
      <c r="D3332" s="50" t="s">
        <v>39</v>
      </c>
      <c r="E3332" s="50">
        <v>50039065</v>
      </c>
      <c r="F3332" s="50" t="s">
        <v>186</v>
      </c>
      <c r="G3332" s="50">
        <v>1</v>
      </c>
      <c r="H3332" s="50" t="s">
        <v>2</v>
      </c>
      <c r="I3332" s="50" t="s">
        <v>289</v>
      </c>
      <c r="J3332" s="51">
        <v>45996</v>
      </c>
      <c r="K3332" s="50" t="s">
        <v>1</v>
      </c>
      <c r="L3332" s="50" t="s">
        <v>80</v>
      </c>
    </row>
    <row r="3333" spans="2:12">
      <c r="B3333" s="50" t="s">
        <v>465</v>
      </c>
      <c r="C3333" s="50" t="s">
        <v>26</v>
      </c>
      <c r="D3333" s="50" t="s">
        <v>27</v>
      </c>
      <c r="E3333" s="50">
        <v>50030486</v>
      </c>
      <c r="F3333" s="50" t="s">
        <v>153</v>
      </c>
      <c r="G3333" s="50">
        <v>1</v>
      </c>
      <c r="H3333" s="50" t="s">
        <v>2</v>
      </c>
      <c r="I3333" s="50" t="s">
        <v>292</v>
      </c>
      <c r="J3333" s="51">
        <v>45996</v>
      </c>
      <c r="K3333" s="50" t="s">
        <v>1</v>
      </c>
      <c r="L3333" s="50" t="s">
        <v>80</v>
      </c>
    </row>
    <row r="3334" spans="2:12">
      <c r="B3334" s="50" t="s">
        <v>465</v>
      </c>
      <c r="C3334" s="50" t="s">
        <v>26</v>
      </c>
      <c r="D3334" s="50" t="s">
        <v>27</v>
      </c>
      <c r="E3334" s="50">
        <v>50026357</v>
      </c>
      <c r="F3334" s="50" t="s">
        <v>192</v>
      </c>
      <c r="G3334" s="50">
        <v>1</v>
      </c>
      <c r="H3334" s="50" t="s">
        <v>2</v>
      </c>
      <c r="I3334" s="50" t="s">
        <v>292</v>
      </c>
      <c r="J3334" s="51">
        <v>45996</v>
      </c>
      <c r="K3334" s="50" t="s">
        <v>1</v>
      </c>
      <c r="L3334" s="50" t="s">
        <v>80</v>
      </c>
    </row>
    <row r="3335" spans="2:12">
      <c r="B3335" s="50" t="s">
        <v>418</v>
      </c>
      <c r="C3335" s="50" t="s">
        <v>26</v>
      </c>
      <c r="D3335" s="50" t="s">
        <v>27</v>
      </c>
      <c r="E3335" s="50">
        <v>50038195</v>
      </c>
      <c r="F3335" s="50" t="s">
        <v>239</v>
      </c>
      <c r="G3335" s="50">
        <v>1</v>
      </c>
      <c r="H3335" s="50" t="s">
        <v>2</v>
      </c>
      <c r="I3335" s="50" t="s">
        <v>292</v>
      </c>
      <c r="J3335" s="51">
        <v>45996</v>
      </c>
      <c r="K3335" s="50" t="s">
        <v>1</v>
      </c>
      <c r="L3335" s="50" t="s">
        <v>80</v>
      </c>
    </row>
    <row r="3336" spans="2:12">
      <c r="B3336" s="50" t="s">
        <v>273</v>
      </c>
      <c r="C3336" s="50" t="s">
        <v>274</v>
      </c>
      <c r="D3336" s="50" t="s">
        <v>27</v>
      </c>
      <c r="E3336" s="50">
        <v>50038549</v>
      </c>
      <c r="F3336" s="50" t="s">
        <v>173</v>
      </c>
      <c r="G3336" s="50">
        <v>1</v>
      </c>
      <c r="H3336" s="50" t="s">
        <v>2</v>
      </c>
      <c r="I3336" s="50" t="s">
        <v>292</v>
      </c>
      <c r="J3336" s="51">
        <v>45996</v>
      </c>
      <c r="K3336" s="50" t="s">
        <v>3</v>
      </c>
      <c r="L3336" s="50" t="s">
        <v>80</v>
      </c>
    </row>
    <row r="3337" spans="2:12">
      <c r="B3337" s="50" t="s">
        <v>418</v>
      </c>
      <c r="C3337" s="50" t="s">
        <v>26</v>
      </c>
      <c r="D3337" s="50" t="s">
        <v>27</v>
      </c>
      <c r="E3337" s="50">
        <v>50038195</v>
      </c>
      <c r="F3337" s="50" t="s">
        <v>239</v>
      </c>
      <c r="G3337" s="50">
        <v>1</v>
      </c>
      <c r="H3337" s="50" t="s">
        <v>2</v>
      </c>
      <c r="I3337" s="50" t="s">
        <v>292</v>
      </c>
      <c r="J3337" s="51">
        <v>45996</v>
      </c>
      <c r="K3337" s="50" t="s">
        <v>1</v>
      </c>
      <c r="L3337" s="50" t="s">
        <v>80</v>
      </c>
    </row>
    <row r="3338" spans="2:12">
      <c r="B3338" s="50" t="s">
        <v>471</v>
      </c>
      <c r="C3338" s="50" t="s">
        <v>26</v>
      </c>
      <c r="D3338" s="50" t="s">
        <v>27</v>
      </c>
      <c r="E3338" s="50">
        <v>50037892</v>
      </c>
      <c r="F3338" s="50" t="s">
        <v>178</v>
      </c>
      <c r="G3338" s="50">
        <v>1</v>
      </c>
      <c r="H3338" s="50" t="s">
        <v>2</v>
      </c>
      <c r="I3338" s="50" t="s">
        <v>290</v>
      </c>
      <c r="J3338" s="51">
        <v>45996</v>
      </c>
      <c r="K3338" s="50" t="s">
        <v>1</v>
      </c>
      <c r="L3338" s="50" t="s">
        <v>80</v>
      </c>
    </row>
    <row r="3339" spans="2:12">
      <c r="B3339" s="50" t="s">
        <v>481</v>
      </c>
      <c r="C3339" s="50" t="s">
        <v>56</v>
      </c>
      <c r="D3339" s="50" t="s">
        <v>27</v>
      </c>
      <c r="E3339" s="50">
        <v>50003297</v>
      </c>
      <c r="F3339" s="50" t="s">
        <v>158</v>
      </c>
      <c r="G3339" s="50">
        <v>1</v>
      </c>
      <c r="H3339" s="50" t="s">
        <v>2</v>
      </c>
      <c r="I3339" s="50" t="s">
        <v>292</v>
      </c>
      <c r="J3339" s="51">
        <v>45996</v>
      </c>
      <c r="K3339" s="50" t="s">
        <v>1</v>
      </c>
      <c r="L3339" s="50" t="s">
        <v>80</v>
      </c>
    </row>
    <row r="3340" spans="2:12">
      <c r="B3340" s="50" t="s">
        <v>386</v>
      </c>
      <c r="C3340" s="50" t="s">
        <v>62</v>
      </c>
      <c r="D3340" s="50" t="s">
        <v>27</v>
      </c>
      <c r="E3340" s="50">
        <v>50041195</v>
      </c>
      <c r="F3340" s="50" t="s">
        <v>206</v>
      </c>
      <c r="G3340" s="50">
        <v>1</v>
      </c>
      <c r="H3340" s="50" t="s">
        <v>2</v>
      </c>
      <c r="I3340" s="50" t="s">
        <v>292</v>
      </c>
      <c r="J3340" s="51">
        <v>45996</v>
      </c>
      <c r="K3340" s="50" t="s">
        <v>1</v>
      </c>
      <c r="L3340" s="50" t="s">
        <v>80</v>
      </c>
    </row>
    <row r="3341" spans="2:12">
      <c r="B3341" s="50" t="s">
        <v>386</v>
      </c>
      <c r="C3341" s="50" t="s">
        <v>26</v>
      </c>
      <c r="D3341" s="50" t="s">
        <v>27</v>
      </c>
      <c r="E3341" s="50">
        <v>50037900</v>
      </c>
      <c r="F3341" s="50" t="s">
        <v>240</v>
      </c>
      <c r="G3341" s="50">
        <v>1</v>
      </c>
      <c r="H3341" s="50" t="s">
        <v>2</v>
      </c>
      <c r="I3341" s="50" t="s">
        <v>292</v>
      </c>
      <c r="J3341" s="51">
        <v>45996</v>
      </c>
      <c r="K3341" s="50" t="s">
        <v>1</v>
      </c>
      <c r="L3341" s="50" t="s">
        <v>80</v>
      </c>
    </row>
    <row r="3342" spans="2:12">
      <c r="B3342" s="50" t="s">
        <v>386</v>
      </c>
      <c r="C3342" s="50" t="s">
        <v>62</v>
      </c>
      <c r="D3342" s="50" t="s">
        <v>27</v>
      </c>
      <c r="E3342" s="50">
        <v>50041195</v>
      </c>
      <c r="F3342" s="50" t="s">
        <v>206</v>
      </c>
      <c r="G3342" s="50">
        <v>1</v>
      </c>
      <c r="H3342" s="50" t="s">
        <v>2</v>
      </c>
      <c r="I3342" s="50" t="s">
        <v>292</v>
      </c>
      <c r="J3342" s="51">
        <v>45996</v>
      </c>
      <c r="K3342" s="50" t="s">
        <v>1</v>
      </c>
      <c r="L3342" s="50" t="s">
        <v>80</v>
      </c>
    </row>
    <row r="3343" spans="2:12">
      <c r="B3343" s="50" t="s">
        <v>478</v>
      </c>
      <c r="C3343" s="50" t="s">
        <v>51</v>
      </c>
      <c r="D3343" s="50" t="s">
        <v>27</v>
      </c>
      <c r="E3343" s="50">
        <v>50041195</v>
      </c>
      <c r="F3343" s="50" t="s">
        <v>206</v>
      </c>
      <c r="G3343" s="50">
        <v>1</v>
      </c>
      <c r="H3343" s="50" t="s">
        <v>2</v>
      </c>
      <c r="I3343" s="50" t="s">
        <v>292</v>
      </c>
      <c r="J3343" s="51">
        <v>45996</v>
      </c>
      <c r="K3343" s="50" t="s">
        <v>1</v>
      </c>
      <c r="L3343" s="50" t="s">
        <v>80</v>
      </c>
    </row>
    <row r="3344" spans="2:12">
      <c r="B3344" s="50" t="s">
        <v>386</v>
      </c>
      <c r="C3344" s="50" t="s">
        <v>62</v>
      </c>
      <c r="D3344" s="50" t="s">
        <v>27</v>
      </c>
      <c r="E3344" s="50">
        <v>50038517</v>
      </c>
      <c r="F3344" s="50" t="s">
        <v>181</v>
      </c>
      <c r="G3344" s="50">
        <v>1</v>
      </c>
      <c r="H3344" s="50" t="s">
        <v>2</v>
      </c>
      <c r="I3344" s="50" t="s">
        <v>292</v>
      </c>
      <c r="J3344" s="51">
        <v>45996</v>
      </c>
      <c r="K3344" s="50" t="s">
        <v>1</v>
      </c>
      <c r="L3344" s="50" t="s">
        <v>80</v>
      </c>
    </row>
    <row r="3345" spans="2:12">
      <c r="B3345" s="50" t="s">
        <v>478</v>
      </c>
      <c r="C3345" s="50" t="s">
        <v>51</v>
      </c>
      <c r="D3345" s="50" t="s">
        <v>27</v>
      </c>
      <c r="E3345" s="50">
        <v>50041195</v>
      </c>
      <c r="F3345" s="50" t="s">
        <v>206</v>
      </c>
      <c r="G3345" s="50">
        <v>1</v>
      </c>
      <c r="H3345" s="50" t="s">
        <v>2</v>
      </c>
      <c r="I3345" s="50" t="s">
        <v>292</v>
      </c>
      <c r="J3345" s="51">
        <v>45996</v>
      </c>
      <c r="K3345" s="50" t="s">
        <v>3</v>
      </c>
      <c r="L3345" s="50" t="s">
        <v>80</v>
      </c>
    </row>
    <row r="3346" spans="2:12">
      <c r="B3346" s="50" t="s">
        <v>412</v>
      </c>
      <c r="C3346" s="50" t="s">
        <v>51</v>
      </c>
      <c r="D3346" s="50" t="s">
        <v>41</v>
      </c>
      <c r="E3346" s="50">
        <v>50038841</v>
      </c>
      <c r="F3346" s="50" t="s">
        <v>180</v>
      </c>
      <c r="G3346" s="50">
        <v>1</v>
      </c>
      <c r="H3346" s="50" t="s">
        <v>2</v>
      </c>
      <c r="I3346" s="50" t="s">
        <v>292</v>
      </c>
      <c r="J3346" s="51">
        <v>45996</v>
      </c>
      <c r="K3346" s="50" t="s">
        <v>3</v>
      </c>
      <c r="L3346" s="50" t="s">
        <v>80</v>
      </c>
    </row>
    <row r="3347" spans="2:12">
      <c r="B3347" s="50" t="s">
        <v>461</v>
      </c>
      <c r="C3347" s="50" t="s">
        <v>26</v>
      </c>
      <c r="D3347" s="50" t="s">
        <v>39</v>
      </c>
      <c r="E3347" s="50">
        <v>50039065</v>
      </c>
      <c r="F3347" s="50" t="s">
        <v>186</v>
      </c>
      <c r="G3347" s="50">
        <v>1</v>
      </c>
      <c r="H3347" s="50" t="s">
        <v>2</v>
      </c>
      <c r="I3347" s="50" t="s">
        <v>293</v>
      </c>
      <c r="J3347" s="51">
        <v>45996</v>
      </c>
      <c r="K3347" s="50" t="s">
        <v>1</v>
      </c>
      <c r="L3347" s="50" t="s">
        <v>80</v>
      </c>
    </row>
    <row r="3348" spans="2:12">
      <c r="B3348" s="50" t="s">
        <v>386</v>
      </c>
      <c r="C3348" s="50" t="s">
        <v>62</v>
      </c>
      <c r="D3348" s="50" t="s">
        <v>27</v>
      </c>
      <c r="E3348" s="50">
        <v>50038517</v>
      </c>
      <c r="F3348" s="50" t="s">
        <v>181</v>
      </c>
      <c r="G3348" s="50">
        <v>1</v>
      </c>
      <c r="H3348" s="50" t="s">
        <v>2</v>
      </c>
      <c r="I3348" s="50" t="s">
        <v>293</v>
      </c>
      <c r="J3348" s="51">
        <v>45996</v>
      </c>
      <c r="K3348" s="50" t="s">
        <v>1</v>
      </c>
      <c r="L3348" s="50" t="s">
        <v>80</v>
      </c>
    </row>
    <row r="3349" spans="2:12">
      <c r="B3349" s="50" t="s">
        <v>280</v>
      </c>
      <c r="C3349" s="50" t="s">
        <v>62</v>
      </c>
      <c r="D3349" s="50" t="s">
        <v>27</v>
      </c>
      <c r="E3349" s="50">
        <v>50010031</v>
      </c>
      <c r="F3349" s="50" t="s">
        <v>89</v>
      </c>
      <c r="G3349" s="50">
        <v>1</v>
      </c>
      <c r="H3349" s="50" t="s">
        <v>2</v>
      </c>
      <c r="I3349" s="50" t="s">
        <v>288</v>
      </c>
      <c r="J3349" s="51">
        <v>45996</v>
      </c>
      <c r="K3349" s="50" t="s">
        <v>1</v>
      </c>
      <c r="L3349" s="50" t="s">
        <v>80</v>
      </c>
    </row>
    <row r="3350" spans="2:12">
      <c r="B3350" s="50" t="s">
        <v>463</v>
      </c>
      <c r="C3350" s="50" t="s">
        <v>56</v>
      </c>
      <c r="D3350" s="50" t="s">
        <v>27</v>
      </c>
      <c r="E3350" s="50">
        <v>50029865</v>
      </c>
      <c r="F3350" s="50" t="s">
        <v>162</v>
      </c>
      <c r="G3350" s="50">
        <v>1</v>
      </c>
      <c r="H3350" s="50" t="s">
        <v>2</v>
      </c>
      <c r="I3350" s="50" t="s">
        <v>288</v>
      </c>
      <c r="J3350" s="51">
        <v>45996</v>
      </c>
      <c r="K3350" s="50" t="s">
        <v>3</v>
      </c>
      <c r="L3350" s="50" t="s">
        <v>80</v>
      </c>
    </row>
    <row r="3351" spans="2:12">
      <c r="B3351" s="50" t="s">
        <v>463</v>
      </c>
      <c r="C3351" s="50" t="s">
        <v>56</v>
      </c>
      <c r="D3351" s="50" t="s">
        <v>27</v>
      </c>
      <c r="E3351" s="50">
        <v>50041195</v>
      </c>
      <c r="F3351" s="50" t="s">
        <v>206</v>
      </c>
      <c r="G3351" s="50">
        <v>1</v>
      </c>
      <c r="H3351" s="50" t="s">
        <v>2</v>
      </c>
      <c r="I3351" s="50" t="s">
        <v>288</v>
      </c>
      <c r="J3351" s="51">
        <v>45996</v>
      </c>
      <c r="K3351" s="50" t="s">
        <v>1</v>
      </c>
      <c r="L3351" s="50" t="s">
        <v>80</v>
      </c>
    </row>
    <row r="3352" spans="2:12">
      <c r="B3352" s="50" t="s">
        <v>280</v>
      </c>
      <c r="C3352" s="50" t="s">
        <v>62</v>
      </c>
      <c r="D3352" s="50" t="s">
        <v>27</v>
      </c>
      <c r="E3352" s="50">
        <v>50010031</v>
      </c>
      <c r="F3352" s="50" t="s">
        <v>89</v>
      </c>
      <c r="G3352" s="50">
        <v>1</v>
      </c>
      <c r="H3352" s="50" t="s">
        <v>2</v>
      </c>
      <c r="I3352" s="50" t="s">
        <v>288</v>
      </c>
      <c r="J3352" s="51">
        <v>45996</v>
      </c>
      <c r="K3352" s="50" t="s">
        <v>3</v>
      </c>
      <c r="L3352" s="50" t="s">
        <v>80</v>
      </c>
    </row>
    <row r="3353" spans="2:12">
      <c r="B3353" s="50" t="s">
        <v>386</v>
      </c>
      <c r="C3353" s="50" t="s">
        <v>26</v>
      </c>
      <c r="D3353" s="50" t="s">
        <v>27</v>
      </c>
      <c r="E3353" s="50">
        <v>50037892</v>
      </c>
      <c r="F3353" s="50" t="s">
        <v>178</v>
      </c>
      <c r="G3353" s="50">
        <v>1</v>
      </c>
      <c r="H3353" s="50" t="s">
        <v>2</v>
      </c>
      <c r="I3353" s="50" t="s">
        <v>288</v>
      </c>
      <c r="J3353" s="51">
        <v>45996</v>
      </c>
      <c r="K3353" s="50" t="s">
        <v>3</v>
      </c>
      <c r="L3353" s="50" t="s">
        <v>80</v>
      </c>
    </row>
    <row r="3354" spans="2:12">
      <c r="B3354" s="50" t="s">
        <v>465</v>
      </c>
      <c r="C3354" s="50" t="s">
        <v>26</v>
      </c>
      <c r="D3354" s="50" t="s">
        <v>27</v>
      </c>
      <c r="E3354" s="50">
        <v>50030486</v>
      </c>
      <c r="F3354" s="50" t="s">
        <v>153</v>
      </c>
      <c r="G3354" s="50">
        <v>1</v>
      </c>
      <c r="H3354" s="50" t="s">
        <v>2</v>
      </c>
      <c r="I3354" s="50" t="s">
        <v>288</v>
      </c>
      <c r="J3354" s="51">
        <v>45996</v>
      </c>
      <c r="K3354" s="50" t="s">
        <v>3</v>
      </c>
      <c r="L3354" s="50" t="s">
        <v>80</v>
      </c>
    </row>
    <row r="3355" spans="2:12">
      <c r="B3355" s="50" t="s">
        <v>412</v>
      </c>
      <c r="C3355" s="50" t="s">
        <v>51</v>
      </c>
      <c r="D3355" s="50" t="s">
        <v>41</v>
      </c>
      <c r="E3355" s="50">
        <v>50038841</v>
      </c>
      <c r="F3355" s="50" t="s">
        <v>180</v>
      </c>
      <c r="G3355" s="50">
        <v>1</v>
      </c>
      <c r="H3355" s="50" t="s">
        <v>2</v>
      </c>
      <c r="I3355" s="50" t="s">
        <v>288</v>
      </c>
      <c r="J3355" s="51">
        <v>45996</v>
      </c>
      <c r="K3355" s="50" t="s">
        <v>3</v>
      </c>
      <c r="L3355" s="50" t="s">
        <v>80</v>
      </c>
    </row>
    <row r="3356" spans="2:12">
      <c r="B3356" s="50" t="s">
        <v>465</v>
      </c>
      <c r="C3356" s="50" t="s">
        <v>26</v>
      </c>
      <c r="D3356" s="50" t="s">
        <v>27</v>
      </c>
      <c r="E3356" s="50">
        <v>50026357</v>
      </c>
      <c r="F3356" s="50" t="s">
        <v>192</v>
      </c>
      <c r="G3356" s="50">
        <v>1</v>
      </c>
      <c r="H3356" s="50" t="s">
        <v>2</v>
      </c>
      <c r="I3356" s="50" t="s">
        <v>288</v>
      </c>
      <c r="J3356" s="51">
        <v>45996</v>
      </c>
      <c r="K3356" s="50" t="s">
        <v>3</v>
      </c>
      <c r="L3356" s="50" t="s">
        <v>80</v>
      </c>
    </row>
    <row r="3357" spans="2:12">
      <c r="B3357" s="50" t="s">
        <v>463</v>
      </c>
      <c r="C3357" s="50" t="s">
        <v>56</v>
      </c>
      <c r="D3357" s="50" t="s">
        <v>27</v>
      </c>
      <c r="E3357" s="50">
        <v>50029865</v>
      </c>
      <c r="F3357" s="50" t="s">
        <v>162</v>
      </c>
      <c r="G3357" s="50">
        <v>1</v>
      </c>
      <c r="H3357" s="50" t="s">
        <v>2</v>
      </c>
      <c r="I3357" s="50" t="s">
        <v>288</v>
      </c>
      <c r="J3357" s="51">
        <v>45996</v>
      </c>
      <c r="K3357" s="50" t="s">
        <v>3</v>
      </c>
      <c r="L3357" s="50" t="s">
        <v>80</v>
      </c>
    </row>
    <row r="3358" spans="2:12">
      <c r="B3358" s="50" t="s">
        <v>481</v>
      </c>
      <c r="C3358" s="50" t="s">
        <v>56</v>
      </c>
      <c r="D3358" s="50" t="s">
        <v>27</v>
      </c>
      <c r="E3358" s="50">
        <v>50003297</v>
      </c>
      <c r="F3358" s="50" t="s">
        <v>158</v>
      </c>
      <c r="G3358" s="50">
        <v>1</v>
      </c>
      <c r="H3358" s="50" t="s">
        <v>2</v>
      </c>
      <c r="I3358" s="50" t="s">
        <v>288</v>
      </c>
      <c r="J3358" s="51">
        <v>45996</v>
      </c>
      <c r="K3358" s="50" t="s">
        <v>1</v>
      </c>
      <c r="L3358" s="50" t="s">
        <v>80</v>
      </c>
    </row>
    <row r="3359" spans="2:12">
      <c r="B3359" s="50" t="s">
        <v>463</v>
      </c>
      <c r="C3359" s="50" t="s">
        <v>56</v>
      </c>
      <c r="D3359" s="50" t="s">
        <v>27</v>
      </c>
      <c r="E3359" s="50">
        <v>50041195</v>
      </c>
      <c r="F3359" s="50" t="s">
        <v>206</v>
      </c>
      <c r="G3359" s="50">
        <v>1</v>
      </c>
      <c r="H3359" s="50" t="s">
        <v>2</v>
      </c>
      <c r="I3359" s="50" t="s">
        <v>288</v>
      </c>
      <c r="J3359" s="51">
        <v>45996</v>
      </c>
      <c r="K3359" s="50" t="s">
        <v>1</v>
      </c>
      <c r="L3359" s="50" t="s">
        <v>80</v>
      </c>
    </row>
    <row r="3360" spans="2:12">
      <c r="B3360" s="50" t="s">
        <v>446</v>
      </c>
      <c r="C3360" s="50" t="s">
        <v>56</v>
      </c>
      <c r="D3360" s="50" t="s">
        <v>27</v>
      </c>
      <c r="E3360" s="50">
        <v>50029865</v>
      </c>
      <c r="F3360" s="50" t="s">
        <v>162</v>
      </c>
      <c r="G3360" s="50">
        <v>1</v>
      </c>
      <c r="H3360" s="50" t="s">
        <v>2</v>
      </c>
      <c r="I3360" s="50" t="s">
        <v>288</v>
      </c>
      <c r="J3360" s="51">
        <v>45996</v>
      </c>
      <c r="K3360" s="50" t="s">
        <v>1</v>
      </c>
      <c r="L3360" s="50" t="s">
        <v>80</v>
      </c>
    </row>
    <row r="3361" spans="2:12">
      <c r="B3361" s="50" t="s">
        <v>446</v>
      </c>
      <c r="C3361" s="50" t="s">
        <v>56</v>
      </c>
      <c r="D3361" s="50" t="s">
        <v>27</v>
      </c>
      <c r="E3361" s="50">
        <v>50041195</v>
      </c>
      <c r="F3361" s="50" t="s">
        <v>206</v>
      </c>
      <c r="G3361" s="50">
        <v>1</v>
      </c>
      <c r="H3361" s="50" t="s">
        <v>2</v>
      </c>
      <c r="I3361" s="50" t="s">
        <v>288</v>
      </c>
      <c r="J3361" s="51">
        <v>45996</v>
      </c>
      <c r="K3361" s="50" t="s">
        <v>1</v>
      </c>
      <c r="L3361" s="50" t="s">
        <v>80</v>
      </c>
    </row>
    <row r="3362" spans="2:12">
      <c r="B3362" s="50" t="s">
        <v>273</v>
      </c>
      <c r="C3362" s="50" t="s">
        <v>274</v>
      </c>
      <c r="D3362" s="50" t="s">
        <v>27</v>
      </c>
      <c r="E3362" s="50">
        <v>50038841</v>
      </c>
      <c r="F3362" s="50" t="s">
        <v>180</v>
      </c>
      <c r="G3362" s="50">
        <v>1</v>
      </c>
      <c r="H3362" s="50" t="s">
        <v>2</v>
      </c>
      <c r="I3362" s="50" t="s">
        <v>288</v>
      </c>
      <c r="J3362" s="51">
        <v>45996</v>
      </c>
      <c r="K3362" s="50" t="s">
        <v>1</v>
      </c>
      <c r="L3362" s="50" t="s">
        <v>80</v>
      </c>
    </row>
    <row r="3363" spans="2:12">
      <c r="B3363" s="50" t="s">
        <v>273</v>
      </c>
      <c r="C3363" s="50" t="s">
        <v>274</v>
      </c>
      <c r="D3363" s="50" t="s">
        <v>27</v>
      </c>
      <c r="E3363" s="50">
        <v>50003297</v>
      </c>
      <c r="F3363" s="50" t="s">
        <v>158</v>
      </c>
      <c r="G3363" s="50">
        <v>1</v>
      </c>
      <c r="H3363" s="50" t="s">
        <v>2</v>
      </c>
      <c r="I3363" s="50" t="s">
        <v>288</v>
      </c>
      <c r="J3363" s="51">
        <v>45996</v>
      </c>
      <c r="K3363" s="50" t="s">
        <v>3</v>
      </c>
      <c r="L3363" s="50" t="s">
        <v>80</v>
      </c>
    </row>
    <row r="3364" spans="2:12">
      <c r="B3364" s="50" t="s">
        <v>386</v>
      </c>
      <c r="C3364" s="50" t="s">
        <v>26</v>
      </c>
      <c r="D3364" s="50" t="s">
        <v>27</v>
      </c>
      <c r="E3364" s="50">
        <v>50037892</v>
      </c>
      <c r="F3364" s="50" t="s">
        <v>178</v>
      </c>
      <c r="G3364" s="50">
        <v>1</v>
      </c>
      <c r="H3364" s="50" t="s">
        <v>2</v>
      </c>
      <c r="I3364" s="50" t="s">
        <v>291</v>
      </c>
      <c r="J3364" s="51">
        <v>45996</v>
      </c>
      <c r="K3364" s="50" t="s">
        <v>3</v>
      </c>
      <c r="L3364" s="50" t="s">
        <v>80</v>
      </c>
    </row>
    <row r="3365" spans="2:12">
      <c r="B3365" s="50" t="s">
        <v>273</v>
      </c>
      <c r="C3365" s="50" t="s">
        <v>274</v>
      </c>
      <c r="D3365" s="50" t="s">
        <v>27</v>
      </c>
      <c r="E3365" s="50">
        <v>50038841</v>
      </c>
      <c r="F3365" s="50" t="s">
        <v>180</v>
      </c>
      <c r="G3365" s="50">
        <v>1</v>
      </c>
      <c r="H3365" s="50" t="s">
        <v>2</v>
      </c>
      <c r="I3365" s="50" t="s">
        <v>291</v>
      </c>
      <c r="J3365" s="51">
        <v>45996</v>
      </c>
      <c r="K3365" s="50" t="s">
        <v>3</v>
      </c>
      <c r="L3365" s="50" t="s">
        <v>80</v>
      </c>
    </row>
    <row r="3366" spans="2:12">
      <c r="B3366" s="50" t="s">
        <v>273</v>
      </c>
      <c r="C3366" s="50" t="s">
        <v>274</v>
      </c>
      <c r="D3366" s="50" t="s">
        <v>27</v>
      </c>
      <c r="E3366" s="50">
        <v>50003297</v>
      </c>
      <c r="F3366" s="50" t="s">
        <v>158</v>
      </c>
      <c r="G3366" s="50">
        <v>1</v>
      </c>
      <c r="H3366" s="50" t="s">
        <v>2</v>
      </c>
      <c r="I3366" s="50" t="s">
        <v>291</v>
      </c>
      <c r="J3366" s="51">
        <v>45996</v>
      </c>
      <c r="K3366" s="50" t="s">
        <v>3</v>
      </c>
      <c r="L3366" s="50" t="s">
        <v>80</v>
      </c>
    </row>
    <row r="3367" spans="2:12">
      <c r="B3367" s="50" t="s">
        <v>446</v>
      </c>
      <c r="C3367" s="50" t="s">
        <v>56</v>
      </c>
      <c r="D3367" s="50" t="s">
        <v>27</v>
      </c>
      <c r="E3367" s="50">
        <v>50029865</v>
      </c>
      <c r="F3367" s="50" t="s">
        <v>162</v>
      </c>
      <c r="G3367" s="50">
        <v>1</v>
      </c>
      <c r="H3367" s="50" t="s">
        <v>2</v>
      </c>
      <c r="I3367" s="50" t="s">
        <v>291</v>
      </c>
      <c r="J3367" s="51">
        <v>45996</v>
      </c>
      <c r="K3367" s="50" t="s">
        <v>1</v>
      </c>
      <c r="L3367" s="50" t="s">
        <v>80</v>
      </c>
    </row>
    <row r="3368" spans="2:12">
      <c r="B3368" s="50" t="s">
        <v>446</v>
      </c>
      <c r="C3368" s="50" t="s">
        <v>56</v>
      </c>
      <c r="D3368" s="50" t="s">
        <v>27</v>
      </c>
      <c r="E3368" s="50">
        <v>50041195</v>
      </c>
      <c r="F3368" s="50" t="s">
        <v>206</v>
      </c>
      <c r="G3368" s="50">
        <v>1</v>
      </c>
      <c r="H3368" s="50" t="s">
        <v>2</v>
      </c>
      <c r="I3368" s="50" t="s">
        <v>291</v>
      </c>
      <c r="J3368" s="51">
        <v>45996</v>
      </c>
      <c r="K3368" s="50" t="s">
        <v>3</v>
      </c>
      <c r="L3368" s="50" t="s">
        <v>80</v>
      </c>
    </row>
    <row r="3369" spans="2:12">
      <c r="B3369" s="50" t="s">
        <v>386</v>
      </c>
      <c r="C3369" s="50" t="s">
        <v>26</v>
      </c>
      <c r="D3369" s="50" t="s">
        <v>27</v>
      </c>
      <c r="E3369" s="50">
        <v>50037900</v>
      </c>
      <c r="F3369" s="50" t="s">
        <v>240</v>
      </c>
      <c r="G3369" s="50">
        <v>1</v>
      </c>
      <c r="H3369" s="50" t="s">
        <v>2</v>
      </c>
      <c r="I3369" s="50" t="s">
        <v>291</v>
      </c>
      <c r="J3369" s="51">
        <v>45996</v>
      </c>
      <c r="K3369" s="50" t="s">
        <v>3</v>
      </c>
      <c r="L3369" s="50" t="s">
        <v>80</v>
      </c>
    </row>
    <row r="3370" spans="2:12">
      <c r="B3370" s="50" t="s">
        <v>273</v>
      </c>
      <c r="C3370" s="50" t="s">
        <v>274</v>
      </c>
      <c r="D3370" s="50" t="s">
        <v>27</v>
      </c>
      <c r="E3370" s="50">
        <v>50038549</v>
      </c>
      <c r="F3370" s="50" t="s">
        <v>173</v>
      </c>
      <c r="G3370" s="50">
        <v>1</v>
      </c>
      <c r="H3370" s="50" t="s">
        <v>2</v>
      </c>
      <c r="I3370" s="50" t="s">
        <v>291</v>
      </c>
      <c r="J3370" s="51">
        <v>45996</v>
      </c>
      <c r="K3370" s="50" t="s">
        <v>1</v>
      </c>
      <c r="L3370" s="50" t="s">
        <v>80</v>
      </c>
    </row>
    <row r="3371" spans="2:12">
      <c r="B3371" s="50" t="s">
        <v>415</v>
      </c>
      <c r="C3371" s="50" t="s">
        <v>51</v>
      </c>
      <c r="D3371" s="50" t="s">
        <v>27</v>
      </c>
      <c r="E3371" s="50">
        <v>50038517</v>
      </c>
      <c r="F3371" s="50" t="s">
        <v>181</v>
      </c>
      <c r="G3371" s="50">
        <v>1</v>
      </c>
      <c r="H3371" s="50" t="s">
        <v>2</v>
      </c>
      <c r="I3371" s="50" t="s">
        <v>290</v>
      </c>
      <c r="J3371" s="51">
        <v>45995</v>
      </c>
      <c r="K3371" s="50" t="s">
        <v>1</v>
      </c>
      <c r="L3371" s="50" t="s">
        <v>80</v>
      </c>
    </row>
    <row r="3372" spans="2:12">
      <c r="B3372" s="50" t="s">
        <v>478</v>
      </c>
      <c r="C3372" s="50" t="s">
        <v>51</v>
      </c>
      <c r="D3372" s="50" t="s">
        <v>27</v>
      </c>
      <c r="E3372" s="50">
        <v>50037892</v>
      </c>
      <c r="F3372" s="50" t="s">
        <v>178</v>
      </c>
      <c r="G3372" s="50">
        <v>1</v>
      </c>
      <c r="H3372" s="50" t="s">
        <v>2</v>
      </c>
      <c r="I3372" s="50" t="s">
        <v>291</v>
      </c>
      <c r="J3372" s="51">
        <v>45995</v>
      </c>
      <c r="K3372" s="50" t="s">
        <v>1</v>
      </c>
      <c r="L3372" s="50" t="s">
        <v>80</v>
      </c>
    </row>
    <row r="3373" spans="2:12">
      <c r="B3373" s="50" t="s">
        <v>478</v>
      </c>
      <c r="C3373" s="50" t="s">
        <v>51</v>
      </c>
      <c r="D3373" s="50" t="s">
        <v>27</v>
      </c>
      <c r="E3373" s="50">
        <v>50043471</v>
      </c>
      <c r="F3373" s="50" t="s">
        <v>257</v>
      </c>
      <c r="G3373" s="50">
        <v>1</v>
      </c>
      <c r="H3373" s="50" t="s">
        <v>2</v>
      </c>
      <c r="I3373" s="50" t="s">
        <v>291</v>
      </c>
      <c r="J3373" s="51">
        <v>45995</v>
      </c>
      <c r="K3373" s="50" t="s">
        <v>1</v>
      </c>
      <c r="L3373" s="50" t="s">
        <v>80</v>
      </c>
    </row>
    <row r="3374" spans="2:12">
      <c r="B3374" s="50" t="s">
        <v>270</v>
      </c>
      <c r="C3374" s="50" t="s">
        <v>51</v>
      </c>
      <c r="D3374" s="50" t="s">
        <v>27</v>
      </c>
      <c r="E3374" s="50">
        <v>50003297</v>
      </c>
      <c r="F3374" s="50" t="s">
        <v>158</v>
      </c>
      <c r="G3374" s="50">
        <v>1</v>
      </c>
      <c r="H3374" s="50" t="s">
        <v>2</v>
      </c>
      <c r="I3374" s="50" t="s">
        <v>291</v>
      </c>
      <c r="J3374" s="51">
        <v>45995</v>
      </c>
      <c r="K3374" s="50" t="s">
        <v>1</v>
      </c>
      <c r="L3374" s="50" t="s">
        <v>80</v>
      </c>
    </row>
    <row r="3375" spans="2:12">
      <c r="B3375" s="50" t="s">
        <v>423</v>
      </c>
      <c r="C3375" s="50" t="s">
        <v>62</v>
      </c>
      <c r="D3375" s="50" t="s">
        <v>27</v>
      </c>
      <c r="E3375" s="50">
        <v>50010031</v>
      </c>
      <c r="F3375" s="50" t="s">
        <v>89</v>
      </c>
      <c r="G3375" s="50">
        <v>1</v>
      </c>
      <c r="H3375" s="50" t="s">
        <v>2</v>
      </c>
      <c r="I3375" s="50" t="s">
        <v>291</v>
      </c>
      <c r="J3375" s="51">
        <v>45995</v>
      </c>
      <c r="K3375" s="50" t="s">
        <v>3</v>
      </c>
      <c r="L3375" s="50" t="s">
        <v>80</v>
      </c>
    </row>
    <row r="3376" spans="2:12">
      <c r="B3376" s="50" t="s">
        <v>463</v>
      </c>
      <c r="C3376" s="50" t="s">
        <v>56</v>
      </c>
      <c r="D3376" s="50" t="s">
        <v>27</v>
      </c>
      <c r="E3376" s="50">
        <v>50041195</v>
      </c>
      <c r="F3376" s="50" t="s">
        <v>206</v>
      </c>
      <c r="G3376" s="50">
        <v>1</v>
      </c>
      <c r="H3376" s="50" t="s">
        <v>2</v>
      </c>
      <c r="I3376" s="50" t="s">
        <v>291</v>
      </c>
      <c r="J3376" s="51">
        <v>45995</v>
      </c>
      <c r="K3376" s="50" t="s">
        <v>1</v>
      </c>
      <c r="L3376" s="50" t="s">
        <v>80</v>
      </c>
    </row>
    <row r="3377" spans="2:12">
      <c r="B3377" s="50" t="s">
        <v>407</v>
      </c>
      <c r="C3377" s="50" t="s">
        <v>26</v>
      </c>
      <c r="D3377" s="50" t="s">
        <v>39</v>
      </c>
      <c r="E3377" s="50">
        <v>50037902</v>
      </c>
      <c r="F3377" s="50" t="s">
        <v>179</v>
      </c>
      <c r="G3377" s="50">
        <v>1</v>
      </c>
      <c r="H3377" s="50" t="s">
        <v>2</v>
      </c>
      <c r="I3377" s="50" t="s">
        <v>291</v>
      </c>
      <c r="J3377" s="51">
        <v>45995</v>
      </c>
      <c r="K3377" s="50" t="s">
        <v>1</v>
      </c>
      <c r="L3377" s="50" t="s">
        <v>80</v>
      </c>
    </row>
    <row r="3378" spans="2:12">
      <c r="B3378" s="50" t="s">
        <v>415</v>
      </c>
      <c r="C3378" s="50" t="s">
        <v>51</v>
      </c>
      <c r="D3378" s="50" t="s">
        <v>27</v>
      </c>
      <c r="E3378" s="50">
        <v>50038517</v>
      </c>
      <c r="F3378" s="50" t="s">
        <v>181</v>
      </c>
      <c r="G3378" s="50">
        <v>1</v>
      </c>
      <c r="H3378" s="50" t="s">
        <v>2</v>
      </c>
      <c r="I3378" s="50" t="s">
        <v>291</v>
      </c>
      <c r="J3378" s="51">
        <v>45995</v>
      </c>
      <c r="K3378" s="50" t="s">
        <v>1</v>
      </c>
      <c r="L3378" s="50" t="s">
        <v>80</v>
      </c>
    </row>
    <row r="3379" spans="2:12">
      <c r="B3379" s="50" t="s">
        <v>415</v>
      </c>
      <c r="C3379" s="50" t="s">
        <v>51</v>
      </c>
      <c r="D3379" s="50" t="s">
        <v>27</v>
      </c>
      <c r="E3379" s="50">
        <v>50038841</v>
      </c>
      <c r="F3379" s="50" t="s">
        <v>180</v>
      </c>
      <c r="G3379" s="50">
        <v>1</v>
      </c>
      <c r="H3379" s="50" t="s">
        <v>2</v>
      </c>
      <c r="I3379" s="50" t="s">
        <v>291</v>
      </c>
      <c r="J3379" s="51">
        <v>45995</v>
      </c>
      <c r="K3379" s="50" t="s">
        <v>1</v>
      </c>
      <c r="L3379" s="50" t="s">
        <v>80</v>
      </c>
    </row>
    <row r="3380" spans="2:12">
      <c r="B3380" s="50" t="s">
        <v>465</v>
      </c>
      <c r="C3380" s="50" t="s">
        <v>26</v>
      </c>
      <c r="D3380" s="50" t="s">
        <v>27</v>
      </c>
      <c r="E3380" s="50">
        <v>50038549</v>
      </c>
      <c r="F3380" s="50" t="s">
        <v>173</v>
      </c>
      <c r="G3380" s="50">
        <v>1</v>
      </c>
      <c r="H3380" s="50" t="s">
        <v>2</v>
      </c>
      <c r="I3380" s="50" t="s">
        <v>291</v>
      </c>
      <c r="J3380" s="51">
        <v>45995</v>
      </c>
      <c r="K3380" s="50" t="s">
        <v>1</v>
      </c>
      <c r="L3380" s="50" t="s">
        <v>80</v>
      </c>
    </row>
    <row r="3381" spans="2:12">
      <c r="B3381" s="50" t="s">
        <v>406</v>
      </c>
      <c r="C3381" s="50" t="s">
        <v>26</v>
      </c>
      <c r="D3381" s="50" t="s">
        <v>39</v>
      </c>
      <c r="E3381" s="50">
        <v>50030486</v>
      </c>
      <c r="F3381" s="50" t="s">
        <v>153</v>
      </c>
      <c r="G3381" s="50">
        <v>1</v>
      </c>
      <c r="H3381" s="50" t="s">
        <v>2</v>
      </c>
      <c r="I3381" s="50" t="s">
        <v>292</v>
      </c>
      <c r="J3381" s="51">
        <v>45995</v>
      </c>
      <c r="K3381" s="50" t="s">
        <v>1</v>
      </c>
      <c r="L3381" s="50" t="s">
        <v>80</v>
      </c>
    </row>
    <row r="3382" spans="2:12">
      <c r="B3382" s="50" t="s">
        <v>415</v>
      </c>
      <c r="C3382" s="50" t="s">
        <v>51</v>
      </c>
      <c r="D3382" s="50" t="s">
        <v>27</v>
      </c>
      <c r="E3382" s="50">
        <v>50038517</v>
      </c>
      <c r="F3382" s="50" t="s">
        <v>181</v>
      </c>
      <c r="G3382" s="50">
        <v>1</v>
      </c>
      <c r="H3382" s="50" t="s">
        <v>2</v>
      </c>
      <c r="I3382" s="50" t="s">
        <v>292</v>
      </c>
      <c r="J3382" s="51">
        <v>45995</v>
      </c>
      <c r="K3382" s="50" t="s">
        <v>1</v>
      </c>
      <c r="L3382" s="50" t="s">
        <v>80</v>
      </c>
    </row>
    <row r="3383" spans="2:12">
      <c r="B3383" s="50" t="s">
        <v>427</v>
      </c>
      <c r="C3383" s="50" t="s">
        <v>26</v>
      </c>
      <c r="D3383" s="50" t="s">
        <v>27</v>
      </c>
      <c r="E3383" s="50">
        <v>50038854</v>
      </c>
      <c r="F3383" s="50" t="s">
        <v>101</v>
      </c>
      <c r="G3383" s="50">
        <v>1</v>
      </c>
      <c r="H3383" s="50" t="s">
        <v>2</v>
      </c>
      <c r="I3383" s="50" t="s">
        <v>292</v>
      </c>
      <c r="J3383" s="51">
        <v>45995</v>
      </c>
      <c r="K3383" s="50" t="s">
        <v>3</v>
      </c>
      <c r="L3383" s="50" t="s">
        <v>80</v>
      </c>
    </row>
    <row r="3384" spans="2:12">
      <c r="B3384" s="50" t="s">
        <v>427</v>
      </c>
      <c r="C3384" s="50" t="s">
        <v>26</v>
      </c>
      <c r="D3384" s="50" t="s">
        <v>27</v>
      </c>
      <c r="E3384" s="50">
        <v>50038854</v>
      </c>
      <c r="F3384" s="50" t="s">
        <v>101</v>
      </c>
      <c r="G3384" s="50">
        <v>1</v>
      </c>
      <c r="H3384" s="50" t="s">
        <v>2</v>
      </c>
      <c r="I3384" s="50" t="s">
        <v>292</v>
      </c>
      <c r="J3384" s="51">
        <v>45995</v>
      </c>
      <c r="K3384" s="50" t="s">
        <v>3</v>
      </c>
      <c r="L3384" s="50" t="s">
        <v>80</v>
      </c>
    </row>
    <row r="3385" spans="2:12">
      <c r="B3385" s="50" t="s">
        <v>415</v>
      </c>
      <c r="C3385" s="50" t="s">
        <v>51</v>
      </c>
      <c r="D3385" s="50" t="s">
        <v>27</v>
      </c>
      <c r="E3385" s="50">
        <v>50038841</v>
      </c>
      <c r="F3385" s="50" t="s">
        <v>180</v>
      </c>
      <c r="G3385" s="50">
        <v>1</v>
      </c>
      <c r="H3385" s="50" t="s">
        <v>2</v>
      </c>
      <c r="I3385" s="50" t="s">
        <v>290</v>
      </c>
      <c r="J3385" s="51">
        <v>45995</v>
      </c>
      <c r="K3385" s="50" t="s">
        <v>1</v>
      </c>
      <c r="L3385" s="50" t="s">
        <v>80</v>
      </c>
    </row>
    <row r="3386" spans="2:12">
      <c r="B3386" s="50" t="s">
        <v>415</v>
      </c>
      <c r="C3386" s="50" t="s">
        <v>51</v>
      </c>
      <c r="D3386" s="50" t="s">
        <v>27</v>
      </c>
      <c r="E3386" s="50">
        <v>50038517</v>
      </c>
      <c r="F3386" s="50" t="s">
        <v>181</v>
      </c>
      <c r="G3386" s="50">
        <v>1</v>
      </c>
      <c r="H3386" s="50" t="s">
        <v>2</v>
      </c>
      <c r="I3386" s="50" t="s">
        <v>290</v>
      </c>
      <c r="J3386" s="51">
        <v>45995</v>
      </c>
      <c r="K3386" s="50" t="s">
        <v>1</v>
      </c>
      <c r="L3386" s="50" t="s">
        <v>80</v>
      </c>
    </row>
    <row r="3387" spans="2:12">
      <c r="B3387" s="50" t="s">
        <v>406</v>
      </c>
      <c r="C3387" s="50" t="s">
        <v>26</v>
      </c>
      <c r="D3387" s="50" t="s">
        <v>39</v>
      </c>
      <c r="E3387" s="50">
        <v>50032781</v>
      </c>
      <c r="F3387" s="50" t="s">
        <v>237</v>
      </c>
      <c r="G3387" s="50">
        <v>1</v>
      </c>
      <c r="H3387" s="50" t="s">
        <v>2</v>
      </c>
      <c r="I3387" s="50" t="s">
        <v>290</v>
      </c>
      <c r="J3387" s="51">
        <v>45995</v>
      </c>
      <c r="K3387" s="50" t="s">
        <v>3</v>
      </c>
      <c r="L3387" s="50" t="s">
        <v>80</v>
      </c>
    </row>
    <row r="3388" spans="2:12">
      <c r="B3388" s="50" t="s">
        <v>407</v>
      </c>
      <c r="C3388" s="50" t="s">
        <v>26</v>
      </c>
      <c r="D3388" s="50" t="s">
        <v>27</v>
      </c>
      <c r="E3388" s="50">
        <v>50037902</v>
      </c>
      <c r="F3388" s="50" t="s">
        <v>179</v>
      </c>
      <c r="G3388" s="50">
        <v>1</v>
      </c>
      <c r="H3388" s="50" t="s">
        <v>2</v>
      </c>
      <c r="I3388" s="50" t="s">
        <v>290</v>
      </c>
      <c r="J3388" s="51">
        <v>45995</v>
      </c>
      <c r="K3388" s="50" t="s">
        <v>3</v>
      </c>
      <c r="L3388" s="50" t="s">
        <v>80</v>
      </c>
    </row>
    <row r="3389" spans="2:12">
      <c r="B3389" s="50" t="s">
        <v>406</v>
      </c>
      <c r="C3389" s="50" t="s">
        <v>26</v>
      </c>
      <c r="D3389" s="50" t="s">
        <v>39</v>
      </c>
      <c r="E3389" s="50">
        <v>50030486</v>
      </c>
      <c r="F3389" s="50" t="s">
        <v>153</v>
      </c>
      <c r="G3389" s="50">
        <v>1</v>
      </c>
      <c r="H3389" s="50" t="s">
        <v>2</v>
      </c>
      <c r="I3389" s="50" t="s">
        <v>290</v>
      </c>
      <c r="J3389" s="51">
        <v>45995</v>
      </c>
      <c r="K3389" s="50" t="s">
        <v>3</v>
      </c>
      <c r="L3389" s="50" t="s">
        <v>80</v>
      </c>
    </row>
    <row r="3390" spans="2:12">
      <c r="B3390" s="50" t="s">
        <v>406</v>
      </c>
      <c r="C3390" s="50" t="s">
        <v>26</v>
      </c>
      <c r="D3390" s="50" t="s">
        <v>39</v>
      </c>
      <c r="E3390" s="50">
        <v>50032781</v>
      </c>
      <c r="F3390" s="50" t="s">
        <v>237</v>
      </c>
      <c r="G3390" s="50">
        <v>1</v>
      </c>
      <c r="H3390" s="50" t="s">
        <v>2</v>
      </c>
      <c r="I3390" s="50" t="s">
        <v>290</v>
      </c>
      <c r="J3390" s="51">
        <v>45995</v>
      </c>
      <c r="K3390" s="50" t="s">
        <v>1</v>
      </c>
      <c r="L3390" s="50" t="s">
        <v>80</v>
      </c>
    </row>
    <row r="3391" spans="2:12">
      <c r="B3391" s="50" t="s">
        <v>397</v>
      </c>
      <c r="C3391" s="50" t="s">
        <v>26</v>
      </c>
      <c r="D3391" s="50" t="s">
        <v>41</v>
      </c>
      <c r="E3391" s="50">
        <v>50042283</v>
      </c>
      <c r="F3391" s="50" t="s">
        <v>247</v>
      </c>
      <c r="G3391" s="50">
        <v>1</v>
      </c>
      <c r="H3391" s="50" t="s">
        <v>2</v>
      </c>
      <c r="I3391" s="50" t="s">
        <v>291</v>
      </c>
      <c r="J3391" s="51">
        <v>45995</v>
      </c>
      <c r="K3391" s="50" t="s">
        <v>1</v>
      </c>
      <c r="L3391" s="50" t="s">
        <v>80</v>
      </c>
    </row>
    <row r="3392" spans="2:12">
      <c r="B3392" s="50" t="s">
        <v>420</v>
      </c>
      <c r="C3392" s="50" t="s">
        <v>26</v>
      </c>
      <c r="D3392" s="50" t="s">
        <v>41</v>
      </c>
      <c r="E3392" s="50">
        <v>50022878</v>
      </c>
      <c r="F3392" s="50" t="s">
        <v>296</v>
      </c>
      <c r="G3392" s="50">
        <v>1</v>
      </c>
      <c r="H3392" s="50" t="s">
        <v>2</v>
      </c>
      <c r="I3392" s="50" t="s">
        <v>291</v>
      </c>
      <c r="J3392" s="51">
        <v>45995</v>
      </c>
      <c r="K3392" s="50" t="s">
        <v>1</v>
      </c>
      <c r="L3392" s="50" t="s">
        <v>80</v>
      </c>
    </row>
    <row r="3393" spans="2:12">
      <c r="B3393" s="50" t="s">
        <v>316</v>
      </c>
      <c r="C3393" s="50" t="s">
        <v>51</v>
      </c>
      <c r="D3393" s="50" t="s">
        <v>27</v>
      </c>
      <c r="E3393" s="50">
        <v>50038517</v>
      </c>
      <c r="F3393" s="50" t="s">
        <v>181</v>
      </c>
      <c r="G3393" s="50">
        <v>1</v>
      </c>
      <c r="H3393" s="50" t="s">
        <v>2</v>
      </c>
      <c r="I3393" s="50" t="s">
        <v>291</v>
      </c>
      <c r="J3393" s="51">
        <v>45995</v>
      </c>
      <c r="K3393" s="50" t="s">
        <v>1</v>
      </c>
      <c r="L3393" s="50" t="s">
        <v>80</v>
      </c>
    </row>
    <row r="3394" spans="2:12">
      <c r="B3394" s="50" t="s">
        <v>444</v>
      </c>
      <c r="C3394" s="50" t="s">
        <v>51</v>
      </c>
      <c r="D3394" s="50" t="s">
        <v>27</v>
      </c>
      <c r="E3394" s="50">
        <v>50036291</v>
      </c>
      <c r="F3394" s="50" t="s">
        <v>128</v>
      </c>
      <c r="G3394" s="50">
        <v>1</v>
      </c>
      <c r="H3394" s="50" t="s">
        <v>2</v>
      </c>
      <c r="I3394" s="50" t="s">
        <v>291</v>
      </c>
      <c r="J3394" s="51">
        <v>45995</v>
      </c>
      <c r="K3394" s="50" t="s">
        <v>1</v>
      </c>
      <c r="L3394" s="50" t="s">
        <v>80</v>
      </c>
    </row>
    <row r="3395" spans="2:12">
      <c r="B3395" s="50" t="s">
        <v>418</v>
      </c>
      <c r="C3395" s="50" t="s">
        <v>26</v>
      </c>
      <c r="D3395" s="50" t="s">
        <v>27</v>
      </c>
      <c r="E3395" s="50">
        <v>50038956</v>
      </c>
      <c r="F3395" s="50" t="s">
        <v>177</v>
      </c>
      <c r="G3395" s="50">
        <v>1</v>
      </c>
      <c r="H3395" s="50" t="s">
        <v>2</v>
      </c>
      <c r="I3395" s="50" t="s">
        <v>291</v>
      </c>
      <c r="J3395" s="51">
        <v>45995</v>
      </c>
      <c r="K3395" s="50" t="s">
        <v>1</v>
      </c>
      <c r="L3395" s="50" t="s">
        <v>80</v>
      </c>
    </row>
    <row r="3396" spans="2:12">
      <c r="B3396" s="50" t="s">
        <v>418</v>
      </c>
      <c r="C3396" s="50" t="s">
        <v>26</v>
      </c>
      <c r="D3396" s="50" t="s">
        <v>27</v>
      </c>
      <c r="E3396" s="50">
        <v>50039065</v>
      </c>
      <c r="F3396" s="50" t="s">
        <v>186</v>
      </c>
      <c r="G3396" s="50">
        <v>1</v>
      </c>
      <c r="H3396" s="50" t="s">
        <v>2</v>
      </c>
      <c r="I3396" s="50" t="s">
        <v>291</v>
      </c>
      <c r="J3396" s="51">
        <v>45995</v>
      </c>
      <c r="K3396" s="50" t="s">
        <v>3</v>
      </c>
      <c r="L3396" s="50" t="s">
        <v>80</v>
      </c>
    </row>
    <row r="3397" spans="2:12">
      <c r="B3397" s="50" t="s">
        <v>420</v>
      </c>
      <c r="C3397" s="50" t="s">
        <v>26</v>
      </c>
      <c r="D3397" s="50" t="s">
        <v>41</v>
      </c>
      <c r="E3397" s="50">
        <v>50022878</v>
      </c>
      <c r="F3397" s="50" t="s">
        <v>296</v>
      </c>
      <c r="G3397" s="50">
        <v>1</v>
      </c>
      <c r="H3397" s="50" t="s">
        <v>2</v>
      </c>
      <c r="I3397" s="50" t="s">
        <v>291</v>
      </c>
      <c r="J3397" s="51">
        <v>45995</v>
      </c>
      <c r="K3397" s="50" t="s">
        <v>1</v>
      </c>
      <c r="L3397" s="50" t="s">
        <v>80</v>
      </c>
    </row>
    <row r="3398" spans="2:12">
      <c r="B3398" s="50" t="s">
        <v>463</v>
      </c>
      <c r="C3398" s="50" t="s">
        <v>56</v>
      </c>
      <c r="D3398" s="50" t="s">
        <v>27</v>
      </c>
      <c r="E3398" s="50">
        <v>50041195</v>
      </c>
      <c r="F3398" s="50" t="s">
        <v>206</v>
      </c>
      <c r="G3398" s="50">
        <v>1</v>
      </c>
      <c r="H3398" s="50" t="s">
        <v>2</v>
      </c>
      <c r="I3398" s="50" t="s">
        <v>291</v>
      </c>
      <c r="J3398" s="51">
        <v>45995</v>
      </c>
      <c r="K3398" s="50" t="s">
        <v>1</v>
      </c>
      <c r="L3398" s="50" t="s">
        <v>80</v>
      </c>
    </row>
    <row r="3399" spans="2:12">
      <c r="B3399" s="50" t="s">
        <v>411</v>
      </c>
      <c r="C3399" s="50" t="s">
        <v>26</v>
      </c>
      <c r="D3399" s="50" t="s">
        <v>27</v>
      </c>
      <c r="E3399" s="50">
        <v>50037933</v>
      </c>
      <c r="F3399" s="50" t="s">
        <v>250</v>
      </c>
      <c r="G3399" s="50">
        <v>1</v>
      </c>
      <c r="H3399" s="50" t="s">
        <v>2</v>
      </c>
      <c r="I3399" s="50" t="s">
        <v>291</v>
      </c>
      <c r="J3399" s="51">
        <v>45995</v>
      </c>
      <c r="K3399" s="50" t="s">
        <v>3</v>
      </c>
      <c r="L3399" s="50" t="s">
        <v>80</v>
      </c>
    </row>
    <row r="3400" spans="2:12">
      <c r="B3400" s="50" t="s">
        <v>418</v>
      </c>
      <c r="C3400" s="50" t="s">
        <v>26</v>
      </c>
      <c r="D3400" s="50" t="s">
        <v>27</v>
      </c>
      <c r="E3400" s="50">
        <v>50039065</v>
      </c>
      <c r="F3400" s="50" t="s">
        <v>186</v>
      </c>
      <c r="G3400" s="50">
        <v>1</v>
      </c>
      <c r="H3400" s="50" t="s">
        <v>2</v>
      </c>
      <c r="I3400" s="50" t="s">
        <v>291</v>
      </c>
      <c r="J3400" s="51">
        <v>45995</v>
      </c>
      <c r="K3400" s="50" t="s">
        <v>3</v>
      </c>
      <c r="L3400" s="50" t="s">
        <v>80</v>
      </c>
    </row>
    <row r="3401" spans="2:12">
      <c r="B3401" s="50" t="s">
        <v>418</v>
      </c>
      <c r="C3401" s="50" t="s">
        <v>26</v>
      </c>
      <c r="D3401" s="50" t="s">
        <v>27</v>
      </c>
      <c r="E3401" s="50">
        <v>50038956</v>
      </c>
      <c r="F3401" s="50" t="s">
        <v>177</v>
      </c>
      <c r="G3401" s="50">
        <v>1</v>
      </c>
      <c r="H3401" s="50" t="s">
        <v>2</v>
      </c>
      <c r="I3401" s="50" t="s">
        <v>291</v>
      </c>
      <c r="J3401" s="51">
        <v>45995</v>
      </c>
      <c r="K3401" s="50" t="s">
        <v>3</v>
      </c>
      <c r="L3401" s="50" t="s">
        <v>80</v>
      </c>
    </row>
    <row r="3402" spans="2:12">
      <c r="B3402" s="50" t="s">
        <v>316</v>
      </c>
      <c r="C3402" s="50" t="s">
        <v>51</v>
      </c>
      <c r="D3402" s="50" t="s">
        <v>27</v>
      </c>
      <c r="E3402" s="50">
        <v>50038517</v>
      </c>
      <c r="F3402" s="50" t="s">
        <v>181</v>
      </c>
      <c r="G3402" s="50">
        <v>1</v>
      </c>
      <c r="H3402" s="50" t="s">
        <v>2</v>
      </c>
      <c r="I3402" s="50" t="s">
        <v>291</v>
      </c>
      <c r="J3402" s="51">
        <v>45995</v>
      </c>
      <c r="K3402" s="50" t="s">
        <v>1</v>
      </c>
      <c r="L3402" s="50" t="s">
        <v>80</v>
      </c>
    </row>
    <row r="3403" spans="2:12">
      <c r="B3403" s="50" t="s">
        <v>423</v>
      </c>
      <c r="C3403" s="50" t="s">
        <v>62</v>
      </c>
      <c r="D3403" s="50" t="s">
        <v>27</v>
      </c>
      <c r="E3403" s="50">
        <v>50010031</v>
      </c>
      <c r="F3403" s="50" t="s">
        <v>89</v>
      </c>
      <c r="G3403" s="50">
        <v>1</v>
      </c>
      <c r="H3403" s="50" t="s">
        <v>2</v>
      </c>
      <c r="I3403" s="50" t="s">
        <v>291</v>
      </c>
      <c r="J3403" s="51">
        <v>45995</v>
      </c>
      <c r="K3403" s="50" t="s">
        <v>1</v>
      </c>
      <c r="L3403" s="50" t="s">
        <v>80</v>
      </c>
    </row>
    <row r="3404" spans="2:12">
      <c r="B3404" s="50" t="s">
        <v>450</v>
      </c>
      <c r="C3404" s="50" t="s">
        <v>61</v>
      </c>
      <c r="D3404" s="50" t="s">
        <v>39</v>
      </c>
      <c r="E3404" s="50">
        <v>50037952</v>
      </c>
      <c r="F3404" s="50" t="s">
        <v>245</v>
      </c>
      <c r="G3404" s="50">
        <v>1</v>
      </c>
      <c r="H3404" s="50" t="s">
        <v>2</v>
      </c>
      <c r="I3404" s="50" t="s">
        <v>291</v>
      </c>
      <c r="J3404" s="51">
        <v>45995</v>
      </c>
      <c r="K3404" s="50" t="s">
        <v>3</v>
      </c>
      <c r="L3404" s="50" t="s">
        <v>80</v>
      </c>
    </row>
    <row r="3405" spans="2:12">
      <c r="B3405" s="50" t="s">
        <v>450</v>
      </c>
      <c r="C3405" s="50" t="s">
        <v>61</v>
      </c>
      <c r="D3405" s="50" t="s">
        <v>39</v>
      </c>
      <c r="E3405" s="50">
        <v>50041195</v>
      </c>
      <c r="F3405" s="50" t="s">
        <v>206</v>
      </c>
      <c r="G3405" s="50">
        <v>1</v>
      </c>
      <c r="H3405" s="50" t="s">
        <v>2</v>
      </c>
      <c r="I3405" s="50" t="s">
        <v>291</v>
      </c>
      <c r="J3405" s="51">
        <v>45995</v>
      </c>
      <c r="K3405" s="50" t="s">
        <v>3</v>
      </c>
      <c r="L3405" s="50" t="s">
        <v>80</v>
      </c>
    </row>
    <row r="3406" spans="2:12">
      <c r="B3406" s="50" t="s">
        <v>270</v>
      </c>
      <c r="C3406" s="50" t="s">
        <v>51</v>
      </c>
      <c r="D3406" s="50" t="s">
        <v>27</v>
      </c>
      <c r="E3406" s="50">
        <v>50003297</v>
      </c>
      <c r="F3406" s="50" t="s">
        <v>158</v>
      </c>
      <c r="G3406" s="50">
        <v>1</v>
      </c>
      <c r="H3406" s="50" t="s">
        <v>2</v>
      </c>
      <c r="I3406" s="50" t="s">
        <v>291</v>
      </c>
      <c r="J3406" s="51">
        <v>45995</v>
      </c>
      <c r="K3406" s="50" t="s">
        <v>3</v>
      </c>
      <c r="L3406" s="50" t="s">
        <v>80</v>
      </c>
    </row>
    <row r="3407" spans="2:12">
      <c r="B3407" s="50" t="s">
        <v>411</v>
      </c>
      <c r="C3407" s="50" t="s">
        <v>26</v>
      </c>
      <c r="D3407" s="50" t="s">
        <v>27</v>
      </c>
      <c r="E3407" s="50">
        <v>50037933</v>
      </c>
      <c r="F3407" s="50" t="s">
        <v>250</v>
      </c>
      <c r="G3407" s="50">
        <v>1</v>
      </c>
      <c r="H3407" s="50" t="s">
        <v>2</v>
      </c>
      <c r="I3407" s="50" t="s">
        <v>291</v>
      </c>
      <c r="J3407" s="51">
        <v>45995</v>
      </c>
      <c r="K3407" s="50" t="s">
        <v>3</v>
      </c>
      <c r="L3407" s="50" t="s">
        <v>80</v>
      </c>
    </row>
    <row r="3408" spans="2:12">
      <c r="B3408" s="50" t="s">
        <v>478</v>
      </c>
      <c r="C3408" s="50" t="s">
        <v>51</v>
      </c>
      <c r="D3408" s="50" t="s">
        <v>27</v>
      </c>
      <c r="E3408" s="50">
        <v>50043471</v>
      </c>
      <c r="F3408" s="50" t="s">
        <v>257</v>
      </c>
      <c r="G3408" s="50">
        <v>1</v>
      </c>
      <c r="H3408" s="50" t="s">
        <v>2</v>
      </c>
      <c r="I3408" s="50" t="s">
        <v>291</v>
      </c>
      <c r="J3408" s="51">
        <v>45995</v>
      </c>
      <c r="K3408" s="50" t="s">
        <v>3</v>
      </c>
      <c r="L3408" s="50" t="s">
        <v>80</v>
      </c>
    </row>
    <row r="3409" spans="2:12">
      <c r="B3409" s="50" t="s">
        <v>478</v>
      </c>
      <c r="C3409" s="50" t="s">
        <v>51</v>
      </c>
      <c r="D3409" s="50" t="s">
        <v>27</v>
      </c>
      <c r="E3409" s="50">
        <v>50037892</v>
      </c>
      <c r="F3409" s="50" t="s">
        <v>178</v>
      </c>
      <c r="G3409" s="50">
        <v>1</v>
      </c>
      <c r="H3409" s="50" t="s">
        <v>2</v>
      </c>
      <c r="I3409" s="50" t="s">
        <v>291</v>
      </c>
      <c r="J3409" s="51">
        <v>45995</v>
      </c>
      <c r="K3409" s="50" t="s">
        <v>3</v>
      </c>
      <c r="L3409" s="50" t="s">
        <v>80</v>
      </c>
    </row>
    <row r="3410" spans="2:12">
      <c r="B3410" s="50" t="s">
        <v>465</v>
      </c>
      <c r="C3410" s="50" t="s">
        <v>26</v>
      </c>
      <c r="D3410" s="50" t="s">
        <v>27</v>
      </c>
      <c r="E3410" s="50">
        <v>50038549</v>
      </c>
      <c r="F3410" s="50" t="s">
        <v>173</v>
      </c>
      <c r="G3410" s="50">
        <v>1</v>
      </c>
      <c r="H3410" s="50" t="s">
        <v>2</v>
      </c>
      <c r="I3410" s="50" t="s">
        <v>291</v>
      </c>
      <c r="J3410" s="51">
        <v>45995</v>
      </c>
      <c r="K3410" s="50" t="s">
        <v>3</v>
      </c>
      <c r="L3410" s="50" t="s">
        <v>80</v>
      </c>
    </row>
    <row r="3411" spans="2:12">
      <c r="B3411" s="50" t="s">
        <v>450</v>
      </c>
      <c r="C3411" s="50" t="s">
        <v>61</v>
      </c>
      <c r="D3411" s="50" t="s">
        <v>39</v>
      </c>
      <c r="E3411" s="50">
        <v>50041195</v>
      </c>
      <c r="F3411" s="50" t="s">
        <v>206</v>
      </c>
      <c r="G3411" s="50">
        <v>1</v>
      </c>
      <c r="H3411" s="50" t="s">
        <v>2</v>
      </c>
      <c r="I3411" s="50" t="s">
        <v>291</v>
      </c>
      <c r="J3411" s="51">
        <v>45995</v>
      </c>
      <c r="K3411" s="50" t="s">
        <v>3</v>
      </c>
      <c r="L3411" s="50" t="s">
        <v>80</v>
      </c>
    </row>
    <row r="3412" spans="2:12">
      <c r="B3412" s="50" t="s">
        <v>450</v>
      </c>
      <c r="C3412" s="50" t="s">
        <v>61</v>
      </c>
      <c r="D3412" s="50" t="s">
        <v>39</v>
      </c>
      <c r="E3412" s="50">
        <v>50037952</v>
      </c>
      <c r="F3412" s="50" t="s">
        <v>245</v>
      </c>
      <c r="G3412" s="50">
        <v>1</v>
      </c>
      <c r="H3412" s="50" t="s">
        <v>2</v>
      </c>
      <c r="I3412" s="50" t="s">
        <v>291</v>
      </c>
      <c r="J3412" s="51">
        <v>45995</v>
      </c>
      <c r="K3412" s="50" t="s">
        <v>1</v>
      </c>
      <c r="L3412" s="50" t="s">
        <v>80</v>
      </c>
    </row>
    <row r="3413" spans="2:12">
      <c r="B3413" s="50" t="s">
        <v>386</v>
      </c>
      <c r="C3413" s="50" t="s">
        <v>62</v>
      </c>
      <c r="D3413" s="50" t="s">
        <v>27</v>
      </c>
      <c r="E3413" s="50">
        <v>50028220</v>
      </c>
      <c r="F3413" s="50" t="s">
        <v>242</v>
      </c>
      <c r="G3413" s="50">
        <v>1</v>
      </c>
      <c r="H3413" s="50" t="s">
        <v>2</v>
      </c>
      <c r="I3413" s="50" t="s">
        <v>292</v>
      </c>
      <c r="J3413" s="51">
        <v>45994</v>
      </c>
      <c r="K3413" s="50" t="s">
        <v>1</v>
      </c>
      <c r="L3413" s="50" t="s">
        <v>80</v>
      </c>
    </row>
    <row r="3414" spans="2:12">
      <c r="B3414" s="50" t="s">
        <v>444</v>
      </c>
      <c r="C3414" s="50" t="s">
        <v>51</v>
      </c>
      <c r="D3414" s="50" t="s">
        <v>27</v>
      </c>
      <c r="E3414" s="50">
        <v>50003297</v>
      </c>
      <c r="F3414" s="50" t="s">
        <v>158</v>
      </c>
      <c r="G3414" s="50">
        <v>1</v>
      </c>
      <c r="H3414" s="50" t="s">
        <v>2</v>
      </c>
      <c r="I3414" s="50" t="s">
        <v>293</v>
      </c>
      <c r="J3414" s="51">
        <v>45994</v>
      </c>
      <c r="K3414" s="50" t="s">
        <v>1</v>
      </c>
      <c r="L3414" s="50" t="s">
        <v>80</v>
      </c>
    </row>
    <row r="3415" spans="2:12">
      <c r="B3415" s="50" t="s">
        <v>461</v>
      </c>
      <c r="C3415" s="50" t="s">
        <v>26</v>
      </c>
      <c r="D3415" s="50" t="s">
        <v>39</v>
      </c>
      <c r="E3415" s="50">
        <v>50038549</v>
      </c>
      <c r="F3415" s="50" t="s">
        <v>173</v>
      </c>
      <c r="G3415" s="50">
        <v>1</v>
      </c>
      <c r="H3415" s="50" t="s">
        <v>2</v>
      </c>
      <c r="I3415" s="50" t="s">
        <v>293</v>
      </c>
      <c r="J3415" s="51">
        <v>45994</v>
      </c>
      <c r="K3415" s="50" t="s">
        <v>1</v>
      </c>
      <c r="L3415" s="50" t="s">
        <v>80</v>
      </c>
    </row>
    <row r="3416" spans="2:12">
      <c r="B3416" s="50" t="s">
        <v>422</v>
      </c>
      <c r="C3416" s="50" t="s">
        <v>26</v>
      </c>
      <c r="D3416" s="50" t="s">
        <v>27</v>
      </c>
      <c r="E3416" s="50">
        <v>50039718</v>
      </c>
      <c r="F3416" s="50" t="s">
        <v>149</v>
      </c>
      <c r="G3416" s="50">
        <v>1</v>
      </c>
      <c r="H3416" s="50" t="s">
        <v>2</v>
      </c>
      <c r="I3416" s="50" t="s">
        <v>293</v>
      </c>
      <c r="J3416" s="51">
        <v>45994</v>
      </c>
      <c r="K3416" s="50" t="s">
        <v>1</v>
      </c>
      <c r="L3416" s="50" t="s">
        <v>80</v>
      </c>
    </row>
    <row r="3417" spans="2:12">
      <c r="B3417" s="50" t="s">
        <v>270</v>
      </c>
      <c r="C3417" s="50" t="s">
        <v>51</v>
      </c>
      <c r="D3417" s="50" t="s">
        <v>41</v>
      </c>
      <c r="E3417" s="50">
        <v>50038518</v>
      </c>
      <c r="F3417" s="50" t="s">
        <v>340</v>
      </c>
      <c r="G3417" s="50">
        <v>1</v>
      </c>
      <c r="H3417" s="50" t="s">
        <v>2</v>
      </c>
      <c r="I3417" s="50" t="s">
        <v>293</v>
      </c>
      <c r="J3417" s="51">
        <v>45994</v>
      </c>
      <c r="K3417" s="50" t="s">
        <v>1</v>
      </c>
      <c r="L3417" s="50" t="s">
        <v>80</v>
      </c>
    </row>
    <row r="3418" spans="2:12">
      <c r="B3418" s="50" t="s">
        <v>418</v>
      </c>
      <c r="C3418" s="50" t="s">
        <v>26</v>
      </c>
      <c r="D3418" s="50" t="s">
        <v>27</v>
      </c>
      <c r="E3418" s="50">
        <v>50037892</v>
      </c>
      <c r="F3418" s="50" t="s">
        <v>178</v>
      </c>
      <c r="G3418" s="50">
        <v>1</v>
      </c>
      <c r="H3418" s="50" t="s">
        <v>2</v>
      </c>
      <c r="I3418" s="50" t="s">
        <v>293</v>
      </c>
      <c r="J3418" s="51">
        <v>45994</v>
      </c>
      <c r="K3418" s="50" t="s">
        <v>1</v>
      </c>
      <c r="L3418" s="50" t="s">
        <v>80</v>
      </c>
    </row>
    <row r="3419" spans="2:12">
      <c r="B3419" s="50" t="s">
        <v>478</v>
      </c>
      <c r="C3419" s="50" t="s">
        <v>51</v>
      </c>
      <c r="D3419" s="50" t="s">
        <v>27</v>
      </c>
      <c r="E3419" s="50">
        <v>50038956</v>
      </c>
      <c r="F3419" s="50" t="s">
        <v>177</v>
      </c>
      <c r="G3419" s="50">
        <v>1</v>
      </c>
      <c r="H3419" s="50" t="s">
        <v>2</v>
      </c>
      <c r="I3419" s="50" t="s">
        <v>293</v>
      </c>
      <c r="J3419" s="51">
        <v>45994</v>
      </c>
      <c r="K3419" s="50" t="s">
        <v>1</v>
      </c>
      <c r="L3419" s="50" t="s">
        <v>80</v>
      </c>
    </row>
    <row r="3420" spans="2:12">
      <c r="B3420" s="50" t="s">
        <v>478</v>
      </c>
      <c r="C3420" s="50" t="s">
        <v>51</v>
      </c>
      <c r="D3420" s="50" t="s">
        <v>27</v>
      </c>
      <c r="E3420" s="50">
        <v>50038517</v>
      </c>
      <c r="F3420" s="50" t="s">
        <v>181</v>
      </c>
      <c r="G3420" s="50">
        <v>1</v>
      </c>
      <c r="H3420" s="50" t="s">
        <v>2</v>
      </c>
      <c r="I3420" s="50" t="s">
        <v>293</v>
      </c>
      <c r="J3420" s="51">
        <v>45994</v>
      </c>
      <c r="K3420" s="50" t="s">
        <v>1</v>
      </c>
      <c r="L3420" s="50" t="s">
        <v>80</v>
      </c>
    </row>
    <row r="3421" spans="2:12">
      <c r="B3421" s="50" t="s">
        <v>418</v>
      </c>
      <c r="C3421" s="50" t="s">
        <v>26</v>
      </c>
      <c r="D3421" s="50" t="s">
        <v>27</v>
      </c>
      <c r="E3421" s="50">
        <v>50039065</v>
      </c>
      <c r="F3421" s="50" t="s">
        <v>186</v>
      </c>
      <c r="G3421" s="50">
        <v>1</v>
      </c>
      <c r="H3421" s="50" t="s">
        <v>2</v>
      </c>
      <c r="I3421" s="50" t="s">
        <v>293</v>
      </c>
      <c r="J3421" s="51">
        <v>45994</v>
      </c>
      <c r="K3421" s="50" t="s">
        <v>3</v>
      </c>
      <c r="L3421" s="50" t="s">
        <v>80</v>
      </c>
    </row>
    <row r="3422" spans="2:12">
      <c r="B3422" s="50" t="s">
        <v>418</v>
      </c>
      <c r="C3422" s="50" t="s">
        <v>26</v>
      </c>
      <c r="D3422" s="50" t="s">
        <v>27</v>
      </c>
      <c r="E3422" s="50">
        <v>50037943</v>
      </c>
      <c r="F3422" s="50" t="s">
        <v>227</v>
      </c>
      <c r="G3422" s="50">
        <v>1</v>
      </c>
      <c r="H3422" s="50" t="s">
        <v>2</v>
      </c>
      <c r="I3422" s="50" t="s">
        <v>293</v>
      </c>
      <c r="J3422" s="51">
        <v>45994</v>
      </c>
      <c r="K3422" s="50" t="s">
        <v>3</v>
      </c>
      <c r="L3422" s="50" t="s">
        <v>80</v>
      </c>
    </row>
    <row r="3423" spans="2:12">
      <c r="B3423" s="50" t="s">
        <v>461</v>
      </c>
      <c r="C3423" s="50" t="s">
        <v>26</v>
      </c>
      <c r="D3423" s="50" t="s">
        <v>39</v>
      </c>
      <c r="E3423" s="50">
        <v>50038549</v>
      </c>
      <c r="F3423" s="50" t="s">
        <v>173</v>
      </c>
      <c r="G3423" s="50">
        <v>1</v>
      </c>
      <c r="H3423" s="50" t="s">
        <v>2</v>
      </c>
      <c r="I3423" s="50" t="s">
        <v>293</v>
      </c>
      <c r="J3423" s="51">
        <v>45994</v>
      </c>
      <c r="K3423" s="50" t="s">
        <v>1</v>
      </c>
      <c r="L3423" s="50" t="s">
        <v>80</v>
      </c>
    </row>
    <row r="3424" spans="2:12">
      <c r="B3424" s="50" t="s">
        <v>270</v>
      </c>
      <c r="C3424" s="50" t="s">
        <v>51</v>
      </c>
      <c r="D3424" s="50" t="s">
        <v>41</v>
      </c>
      <c r="E3424" s="50">
        <v>50038518</v>
      </c>
      <c r="F3424" s="50" t="s">
        <v>340</v>
      </c>
      <c r="G3424" s="50">
        <v>1</v>
      </c>
      <c r="H3424" s="50" t="s">
        <v>2</v>
      </c>
      <c r="I3424" s="50" t="s">
        <v>293</v>
      </c>
      <c r="J3424" s="51">
        <v>45994</v>
      </c>
      <c r="K3424" s="50" t="s">
        <v>1</v>
      </c>
      <c r="L3424" s="50" t="s">
        <v>80</v>
      </c>
    </row>
    <row r="3425" spans="2:12">
      <c r="B3425" s="50" t="s">
        <v>386</v>
      </c>
      <c r="C3425" s="50" t="s">
        <v>62</v>
      </c>
      <c r="D3425" s="50" t="s">
        <v>27</v>
      </c>
      <c r="E3425" s="50">
        <v>50038662</v>
      </c>
      <c r="F3425" s="50" t="s">
        <v>193</v>
      </c>
      <c r="G3425" s="50">
        <v>1</v>
      </c>
      <c r="H3425" s="50" t="s">
        <v>2</v>
      </c>
      <c r="I3425" s="50" t="s">
        <v>293</v>
      </c>
      <c r="J3425" s="51">
        <v>45994</v>
      </c>
      <c r="K3425" s="50" t="s">
        <v>1</v>
      </c>
      <c r="L3425" s="50" t="s">
        <v>80</v>
      </c>
    </row>
    <row r="3426" spans="2:12">
      <c r="B3426" s="50" t="s">
        <v>277</v>
      </c>
      <c r="C3426" s="50" t="s">
        <v>62</v>
      </c>
      <c r="D3426" s="50" t="s">
        <v>27</v>
      </c>
      <c r="E3426" s="50">
        <v>50038854</v>
      </c>
      <c r="F3426" s="50" t="s">
        <v>101</v>
      </c>
      <c r="G3426" s="50">
        <v>1</v>
      </c>
      <c r="H3426" s="50" t="s">
        <v>2</v>
      </c>
      <c r="I3426" s="50" t="s">
        <v>293</v>
      </c>
      <c r="J3426" s="51">
        <v>45994</v>
      </c>
      <c r="K3426" s="50" t="s">
        <v>3</v>
      </c>
      <c r="L3426" s="50" t="s">
        <v>80</v>
      </c>
    </row>
    <row r="3427" spans="2:12">
      <c r="B3427" s="50" t="s">
        <v>277</v>
      </c>
      <c r="C3427" s="50" t="s">
        <v>62</v>
      </c>
      <c r="D3427" s="50" t="s">
        <v>27</v>
      </c>
      <c r="E3427" s="50">
        <v>50038854</v>
      </c>
      <c r="F3427" s="50" t="s">
        <v>101</v>
      </c>
      <c r="G3427" s="50">
        <v>1</v>
      </c>
      <c r="H3427" s="50" t="s">
        <v>2</v>
      </c>
      <c r="I3427" s="50" t="s">
        <v>293</v>
      </c>
      <c r="J3427" s="51">
        <v>45994</v>
      </c>
      <c r="K3427" s="50" t="s">
        <v>1</v>
      </c>
      <c r="L3427" s="50" t="s">
        <v>80</v>
      </c>
    </row>
    <row r="3428" spans="2:12">
      <c r="B3428" s="50" t="s">
        <v>474</v>
      </c>
      <c r="C3428" s="50" t="s">
        <v>51</v>
      </c>
      <c r="D3428" s="50" t="s">
        <v>27</v>
      </c>
      <c r="E3428" s="50">
        <v>50043471</v>
      </c>
      <c r="F3428" s="50" t="s">
        <v>257</v>
      </c>
      <c r="G3428" s="50">
        <v>1</v>
      </c>
      <c r="H3428" s="50" t="s">
        <v>2</v>
      </c>
      <c r="I3428" s="50" t="s">
        <v>293</v>
      </c>
      <c r="J3428" s="51">
        <v>45994</v>
      </c>
      <c r="K3428" s="50" t="s">
        <v>3</v>
      </c>
      <c r="L3428" s="50" t="s">
        <v>80</v>
      </c>
    </row>
    <row r="3429" spans="2:12">
      <c r="B3429" s="50" t="s">
        <v>386</v>
      </c>
      <c r="C3429" s="50" t="s">
        <v>62</v>
      </c>
      <c r="D3429" s="50" t="s">
        <v>27</v>
      </c>
      <c r="E3429" s="50">
        <v>50038662</v>
      </c>
      <c r="F3429" s="50" t="s">
        <v>193</v>
      </c>
      <c r="G3429" s="50">
        <v>1</v>
      </c>
      <c r="H3429" s="50" t="s">
        <v>2</v>
      </c>
      <c r="I3429" s="50" t="s">
        <v>292</v>
      </c>
      <c r="J3429" s="51">
        <v>45994</v>
      </c>
      <c r="K3429" s="50" t="s">
        <v>1</v>
      </c>
      <c r="L3429" s="50" t="s">
        <v>80</v>
      </c>
    </row>
    <row r="3430" spans="2:12">
      <c r="B3430" s="50" t="s">
        <v>407</v>
      </c>
      <c r="C3430" s="50" t="s">
        <v>26</v>
      </c>
      <c r="D3430" s="50" t="s">
        <v>27</v>
      </c>
      <c r="E3430" s="50">
        <v>50041195</v>
      </c>
      <c r="F3430" s="50" t="s">
        <v>206</v>
      </c>
      <c r="G3430" s="50">
        <v>1</v>
      </c>
      <c r="H3430" s="50" t="s">
        <v>2</v>
      </c>
      <c r="I3430" s="50" t="s">
        <v>292</v>
      </c>
      <c r="J3430" s="51">
        <v>45994</v>
      </c>
      <c r="K3430" s="50" t="s">
        <v>3</v>
      </c>
      <c r="L3430" s="50" t="s">
        <v>80</v>
      </c>
    </row>
    <row r="3431" spans="2:12">
      <c r="B3431" s="50" t="s">
        <v>447</v>
      </c>
      <c r="C3431" s="50" t="s">
        <v>56</v>
      </c>
      <c r="D3431" s="50" t="s">
        <v>41</v>
      </c>
      <c r="E3431" s="50">
        <v>50010031</v>
      </c>
      <c r="F3431" s="50" t="s">
        <v>89</v>
      </c>
      <c r="G3431" s="50">
        <v>1</v>
      </c>
      <c r="H3431" s="50" t="s">
        <v>2</v>
      </c>
      <c r="I3431" s="50" t="s">
        <v>293</v>
      </c>
      <c r="J3431" s="51">
        <v>45994</v>
      </c>
      <c r="K3431" s="50" t="s">
        <v>3</v>
      </c>
      <c r="L3431" s="50" t="s">
        <v>80</v>
      </c>
    </row>
    <row r="3432" spans="2:12">
      <c r="B3432" s="50" t="s">
        <v>386</v>
      </c>
      <c r="C3432" s="50" t="s">
        <v>62</v>
      </c>
      <c r="D3432" s="50" t="s">
        <v>27</v>
      </c>
      <c r="E3432" s="50">
        <v>50028220</v>
      </c>
      <c r="F3432" s="50" t="s">
        <v>242</v>
      </c>
      <c r="G3432" s="50">
        <v>1</v>
      </c>
      <c r="H3432" s="50" t="s">
        <v>2</v>
      </c>
      <c r="I3432" s="50" t="s">
        <v>292</v>
      </c>
      <c r="J3432" s="51">
        <v>45994</v>
      </c>
      <c r="K3432" s="50" t="s">
        <v>1</v>
      </c>
      <c r="L3432" s="50" t="s">
        <v>80</v>
      </c>
    </row>
    <row r="3433" spans="2:12">
      <c r="B3433" s="50" t="s">
        <v>407</v>
      </c>
      <c r="C3433" s="50" t="s">
        <v>26</v>
      </c>
      <c r="D3433" s="50" t="s">
        <v>27</v>
      </c>
      <c r="E3433" s="50">
        <v>50038841</v>
      </c>
      <c r="F3433" s="50" t="s">
        <v>180</v>
      </c>
      <c r="G3433" s="50">
        <v>1</v>
      </c>
      <c r="H3433" s="50" t="s">
        <v>2</v>
      </c>
      <c r="I3433" s="50" t="s">
        <v>293</v>
      </c>
      <c r="J3433" s="51">
        <v>45994</v>
      </c>
      <c r="K3433" s="50" t="s">
        <v>1</v>
      </c>
      <c r="L3433" s="50" t="s">
        <v>80</v>
      </c>
    </row>
    <row r="3434" spans="2:12">
      <c r="B3434" s="50" t="s">
        <v>394</v>
      </c>
      <c r="C3434" s="50" t="s">
        <v>51</v>
      </c>
      <c r="D3434" s="50" t="s">
        <v>27</v>
      </c>
      <c r="E3434" s="50">
        <v>50038517</v>
      </c>
      <c r="F3434" s="50" t="s">
        <v>181</v>
      </c>
      <c r="G3434" s="50">
        <v>1</v>
      </c>
      <c r="H3434" s="50" t="s">
        <v>2</v>
      </c>
      <c r="I3434" s="50" t="s">
        <v>293</v>
      </c>
      <c r="J3434" s="51">
        <v>45994</v>
      </c>
      <c r="K3434" s="50" t="s">
        <v>3</v>
      </c>
      <c r="L3434" s="50" t="s">
        <v>80</v>
      </c>
    </row>
    <row r="3435" spans="2:12">
      <c r="B3435" s="50" t="s">
        <v>412</v>
      </c>
      <c r="C3435" s="50" t="s">
        <v>51</v>
      </c>
      <c r="D3435" s="50" t="s">
        <v>41</v>
      </c>
      <c r="E3435" s="50">
        <v>50038841</v>
      </c>
      <c r="F3435" s="50" t="s">
        <v>180</v>
      </c>
      <c r="G3435" s="50">
        <v>1</v>
      </c>
      <c r="H3435" s="50" t="s">
        <v>2</v>
      </c>
      <c r="I3435" s="50" t="s">
        <v>297</v>
      </c>
      <c r="J3435" s="51">
        <v>45994</v>
      </c>
      <c r="K3435" s="50" t="s">
        <v>1</v>
      </c>
      <c r="L3435" s="50" t="s">
        <v>80</v>
      </c>
    </row>
    <row r="3436" spans="2:12">
      <c r="B3436" s="50" t="s">
        <v>418</v>
      </c>
      <c r="C3436" s="50" t="s">
        <v>26</v>
      </c>
      <c r="D3436" s="50" t="s">
        <v>27</v>
      </c>
      <c r="E3436" s="50">
        <v>50037943</v>
      </c>
      <c r="F3436" s="50" t="s">
        <v>227</v>
      </c>
      <c r="G3436" s="50">
        <v>1</v>
      </c>
      <c r="H3436" s="50" t="s">
        <v>2</v>
      </c>
      <c r="I3436" s="50" t="s">
        <v>291</v>
      </c>
      <c r="J3436" s="51">
        <v>45994</v>
      </c>
      <c r="K3436" s="50" t="s">
        <v>1</v>
      </c>
      <c r="L3436" s="50" t="s">
        <v>80</v>
      </c>
    </row>
    <row r="3437" spans="2:12">
      <c r="B3437" s="50" t="s">
        <v>422</v>
      </c>
      <c r="C3437" s="50" t="s">
        <v>26</v>
      </c>
      <c r="D3437" s="50" t="s">
        <v>27</v>
      </c>
      <c r="E3437" s="50">
        <v>50037926</v>
      </c>
      <c r="F3437" s="50" t="s">
        <v>184</v>
      </c>
      <c r="G3437" s="50">
        <v>1</v>
      </c>
      <c r="H3437" s="50" t="s">
        <v>2</v>
      </c>
      <c r="I3437" s="50" t="s">
        <v>291</v>
      </c>
      <c r="J3437" s="51">
        <v>45994</v>
      </c>
      <c r="K3437" s="50" t="s">
        <v>3</v>
      </c>
      <c r="L3437" s="50" t="s">
        <v>80</v>
      </c>
    </row>
    <row r="3438" spans="2:12">
      <c r="B3438" s="50" t="s">
        <v>474</v>
      </c>
      <c r="C3438" s="50" t="s">
        <v>51</v>
      </c>
      <c r="D3438" s="50" t="s">
        <v>27</v>
      </c>
      <c r="E3438" s="50">
        <v>50043471</v>
      </c>
      <c r="F3438" s="50" t="s">
        <v>257</v>
      </c>
      <c r="G3438" s="50">
        <v>1</v>
      </c>
      <c r="H3438" s="50" t="s">
        <v>2</v>
      </c>
      <c r="I3438" s="50" t="s">
        <v>291</v>
      </c>
      <c r="J3438" s="51">
        <v>45994</v>
      </c>
      <c r="K3438" s="50" t="s">
        <v>1</v>
      </c>
      <c r="L3438" s="50" t="s">
        <v>80</v>
      </c>
    </row>
    <row r="3439" spans="2:12">
      <c r="B3439" s="50" t="s">
        <v>463</v>
      </c>
      <c r="C3439" s="50" t="s">
        <v>56</v>
      </c>
      <c r="D3439" s="50" t="s">
        <v>27</v>
      </c>
      <c r="E3439" s="50">
        <v>50029865</v>
      </c>
      <c r="F3439" s="50" t="s">
        <v>162</v>
      </c>
      <c r="G3439" s="50">
        <v>1</v>
      </c>
      <c r="H3439" s="50" t="s">
        <v>2</v>
      </c>
      <c r="I3439" s="50" t="s">
        <v>291</v>
      </c>
      <c r="J3439" s="51">
        <v>45994</v>
      </c>
      <c r="K3439" s="50" t="s">
        <v>1</v>
      </c>
      <c r="L3439" s="50" t="s">
        <v>80</v>
      </c>
    </row>
    <row r="3440" spans="2:12">
      <c r="B3440" s="50" t="s">
        <v>463</v>
      </c>
      <c r="C3440" s="50" t="s">
        <v>56</v>
      </c>
      <c r="D3440" s="50" t="s">
        <v>27</v>
      </c>
      <c r="E3440" s="50">
        <v>50043471</v>
      </c>
      <c r="F3440" s="50" t="s">
        <v>257</v>
      </c>
      <c r="G3440" s="50">
        <v>1</v>
      </c>
      <c r="H3440" s="50" t="s">
        <v>2</v>
      </c>
      <c r="I3440" s="50" t="s">
        <v>291</v>
      </c>
      <c r="J3440" s="51">
        <v>45994</v>
      </c>
      <c r="K3440" s="50" t="s">
        <v>3</v>
      </c>
      <c r="L3440" s="50" t="s">
        <v>80</v>
      </c>
    </row>
    <row r="3441" spans="2:12">
      <c r="B3441" s="50" t="s">
        <v>422</v>
      </c>
      <c r="C3441" s="50" t="s">
        <v>26</v>
      </c>
      <c r="D3441" s="50" t="s">
        <v>27</v>
      </c>
      <c r="E3441" s="50">
        <v>50037926</v>
      </c>
      <c r="F3441" s="50" t="s">
        <v>184</v>
      </c>
      <c r="G3441" s="50">
        <v>1</v>
      </c>
      <c r="H3441" s="50" t="s">
        <v>2</v>
      </c>
      <c r="I3441" s="50" t="s">
        <v>291</v>
      </c>
      <c r="J3441" s="51">
        <v>45994</v>
      </c>
      <c r="K3441" s="50" t="s">
        <v>3</v>
      </c>
      <c r="L3441" s="50" t="s">
        <v>80</v>
      </c>
    </row>
    <row r="3442" spans="2:12">
      <c r="B3442" s="50" t="s">
        <v>465</v>
      </c>
      <c r="C3442" s="50" t="s">
        <v>26</v>
      </c>
      <c r="D3442" s="50" t="s">
        <v>27</v>
      </c>
      <c r="E3442" s="50">
        <v>50037902</v>
      </c>
      <c r="F3442" s="50" t="s">
        <v>179</v>
      </c>
      <c r="G3442" s="50">
        <v>1</v>
      </c>
      <c r="H3442" s="50" t="s">
        <v>2</v>
      </c>
      <c r="I3442" s="50" t="s">
        <v>291</v>
      </c>
      <c r="J3442" s="51">
        <v>45994</v>
      </c>
      <c r="K3442" s="50" t="s">
        <v>1</v>
      </c>
      <c r="L3442" s="50" t="s">
        <v>80</v>
      </c>
    </row>
    <row r="3443" spans="2:12">
      <c r="B3443" s="50" t="s">
        <v>447</v>
      </c>
      <c r="C3443" s="50" t="s">
        <v>56</v>
      </c>
      <c r="D3443" s="50" t="s">
        <v>41</v>
      </c>
      <c r="E3443" s="50">
        <v>50010031</v>
      </c>
      <c r="F3443" s="50" t="s">
        <v>89</v>
      </c>
      <c r="G3443" s="50">
        <v>1</v>
      </c>
      <c r="H3443" s="50" t="s">
        <v>2</v>
      </c>
      <c r="I3443" s="50" t="s">
        <v>291</v>
      </c>
      <c r="J3443" s="51">
        <v>45994</v>
      </c>
      <c r="K3443" s="50" t="s">
        <v>3</v>
      </c>
      <c r="L3443" s="50" t="s">
        <v>80</v>
      </c>
    </row>
    <row r="3444" spans="2:12">
      <c r="B3444" s="50" t="e">
        <v>#N/A</v>
      </c>
      <c r="C3444" s="50" t="s">
        <v>62</v>
      </c>
      <c r="D3444" s="50" t="s">
        <v>27</v>
      </c>
      <c r="E3444" s="50">
        <v>50010031</v>
      </c>
      <c r="F3444" s="50" t="s">
        <v>89</v>
      </c>
      <c r="G3444" s="50">
        <v>1</v>
      </c>
      <c r="H3444" s="50" t="s">
        <v>2</v>
      </c>
      <c r="I3444" s="50" t="s">
        <v>291</v>
      </c>
      <c r="J3444" s="51">
        <v>45994</v>
      </c>
      <c r="K3444" s="50" t="s">
        <v>3</v>
      </c>
      <c r="L3444" s="50" t="s">
        <v>80</v>
      </c>
    </row>
    <row r="3445" spans="2:12">
      <c r="B3445" s="50" t="s">
        <v>394</v>
      </c>
      <c r="C3445" s="50" t="s">
        <v>51</v>
      </c>
      <c r="D3445" s="50" t="s">
        <v>27</v>
      </c>
      <c r="E3445" s="50">
        <v>50038517</v>
      </c>
      <c r="F3445" s="50" t="s">
        <v>181</v>
      </c>
      <c r="G3445" s="50">
        <v>1</v>
      </c>
      <c r="H3445" s="50" t="s">
        <v>2</v>
      </c>
      <c r="I3445" s="50" t="s">
        <v>291</v>
      </c>
      <c r="J3445" s="51">
        <v>45994</v>
      </c>
      <c r="K3445" s="50" t="s">
        <v>3</v>
      </c>
      <c r="L3445" s="50" t="s">
        <v>80</v>
      </c>
    </row>
    <row r="3446" spans="2:12">
      <c r="B3446" s="50" t="s">
        <v>478</v>
      </c>
      <c r="C3446" s="50" t="s">
        <v>51</v>
      </c>
      <c r="D3446" s="50" t="s">
        <v>27</v>
      </c>
      <c r="E3446" s="50">
        <v>50038956</v>
      </c>
      <c r="F3446" s="50" t="s">
        <v>177</v>
      </c>
      <c r="G3446" s="50">
        <v>1</v>
      </c>
      <c r="H3446" s="50" t="s">
        <v>2</v>
      </c>
      <c r="I3446" s="50" t="s">
        <v>291</v>
      </c>
      <c r="J3446" s="51">
        <v>45994</v>
      </c>
      <c r="K3446" s="50" t="s">
        <v>1</v>
      </c>
      <c r="L3446" s="50" t="s">
        <v>80</v>
      </c>
    </row>
    <row r="3447" spans="2:12">
      <c r="B3447" s="50" t="e">
        <v>#N/A</v>
      </c>
      <c r="C3447" s="50" t="s">
        <v>62</v>
      </c>
      <c r="D3447" s="50" t="s">
        <v>27</v>
      </c>
      <c r="E3447" s="50">
        <v>50010031</v>
      </c>
      <c r="F3447" s="50" t="s">
        <v>89</v>
      </c>
      <c r="G3447" s="50">
        <v>1</v>
      </c>
      <c r="H3447" s="50" t="s">
        <v>2</v>
      </c>
      <c r="I3447" s="50" t="s">
        <v>291</v>
      </c>
      <c r="J3447" s="51">
        <v>45994</v>
      </c>
      <c r="K3447" s="50" t="s">
        <v>1</v>
      </c>
      <c r="L3447" s="50" t="s">
        <v>80</v>
      </c>
    </row>
    <row r="3448" spans="2:12">
      <c r="B3448" s="50" t="e">
        <v>#N/A</v>
      </c>
      <c r="C3448" s="50" t="s">
        <v>62</v>
      </c>
      <c r="D3448" s="50" t="s">
        <v>27</v>
      </c>
      <c r="E3448" s="50">
        <v>50026357</v>
      </c>
      <c r="F3448" s="50" t="s">
        <v>192</v>
      </c>
      <c r="G3448" s="50">
        <v>1</v>
      </c>
      <c r="H3448" s="50" t="s">
        <v>2</v>
      </c>
      <c r="I3448" s="50" t="s">
        <v>291</v>
      </c>
      <c r="J3448" s="51">
        <v>45994</v>
      </c>
      <c r="K3448" s="50" t="s">
        <v>1</v>
      </c>
      <c r="L3448" s="50" t="s">
        <v>80</v>
      </c>
    </row>
    <row r="3449" spans="2:12">
      <c r="B3449" s="50" t="s">
        <v>273</v>
      </c>
      <c r="C3449" s="50" t="s">
        <v>274</v>
      </c>
      <c r="D3449" s="50" t="s">
        <v>27</v>
      </c>
      <c r="E3449" s="50">
        <v>50037907</v>
      </c>
      <c r="F3449" s="50" t="s">
        <v>216</v>
      </c>
      <c r="G3449" s="50">
        <v>1</v>
      </c>
      <c r="H3449" s="50" t="s">
        <v>2</v>
      </c>
      <c r="I3449" s="50" t="s">
        <v>291</v>
      </c>
      <c r="J3449" s="51">
        <v>45994</v>
      </c>
      <c r="K3449" s="50" t="s">
        <v>3</v>
      </c>
      <c r="L3449" s="50" t="s">
        <v>80</v>
      </c>
    </row>
    <row r="3450" spans="2:12">
      <c r="B3450" s="50" t="s">
        <v>273</v>
      </c>
      <c r="C3450" s="50" t="s">
        <v>274</v>
      </c>
      <c r="D3450" s="50" t="s">
        <v>27</v>
      </c>
      <c r="E3450" s="50">
        <v>50041195</v>
      </c>
      <c r="F3450" s="50" t="s">
        <v>206</v>
      </c>
      <c r="G3450" s="50">
        <v>1</v>
      </c>
      <c r="H3450" s="50" t="s">
        <v>2</v>
      </c>
      <c r="I3450" s="50" t="s">
        <v>291</v>
      </c>
      <c r="J3450" s="51">
        <v>45994</v>
      </c>
      <c r="K3450" s="50" t="s">
        <v>3</v>
      </c>
      <c r="L3450" s="50" t="s">
        <v>80</v>
      </c>
    </row>
    <row r="3451" spans="2:12">
      <c r="B3451" s="50" t="e">
        <v>#N/A</v>
      </c>
      <c r="C3451" s="50" t="s">
        <v>62</v>
      </c>
      <c r="D3451" s="50" t="s">
        <v>27</v>
      </c>
      <c r="E3451" s="50">
        <v>50026357</v>
      </c>
      <c r="F3451" s="50" t="s">
        <v>192</v>
      </c>
      <c r="G3451" s="50">
        <v>1</v>
      </c>
      <c r="H3451" s="50" t="s">
        <v>2</v>
      </c>
      <c r="I3451" s="50" t="s">
        <v>291</v>
      </c>
      <c r="J3451" s="51">
        <v>45994</v>
      </c>
      <c r="K3451" s="50" t="s">
        <v>3</v>
      </c>
      <c r="L3451" s="50" t="s">
        <v>80</v>
      </c>
    </row>
    <row r="3452" spans="2:12">
      <c r="B3452" s="50" t="s">
        <v>412</v>
      </c>
      <c r="C3452" s="50" t="s">
        <v>51</v>
      </c>
      <c r="D3452" s="50" t="s">
        <v>41</v>
      </c>
      <c r="E3452" s="50">
        <v>50038841</v>
      </c>
      <c r="F3452" s="50" t="s">
        <v>180</v>
      </c>
      <c r="G3452" s="50">
        <v>1</v>
      </c>
      <c r="H3452" s="50" t="s">
        <v>2</v>
      </c>
      <c r="I3452" s="50" t="s">
        <v>291</v>
      </c>
      <c r="J3452" s="51">
        <v>45994</v>
      </c>
      <c r="K3452" s="50" t="s">
        <v>3</v>
      </c>
      <c r="L3452" s="50" t="s">
        <v>80</v>
      </c>
    </row>
    <row r="3453" spans="2:12">
      <c r="B3453" s="50" t="s">
        <v>418</v>
      </c>
      <c r="C3453" s="50" t="s">
        <v>26</v>
      </c>
      <c r="D3453" s="50" t="s">
        <v>27</v>
      </c>
      <c r="E3453" s="50">
        <v>50037892</v>
      </c>
      <c r="F3453" s="50" t="s">
        <v>178</v>
      </c>
      <c r="G3453" s="50">
        <v>1</v>
      </c>
      <c r="H3453" s="50" t="s">
        <v>2</v>
      </c>
      <c r="I3453" s="50" t="s">
        <v>291</v>
      </c>
      <c r="J3453" s="51">
        <v>45994</v>
      </c>
      <c r="K3453" s="50" t="s">
        <v>3</v>
      </c>
      <c r="L3453" s="50" t="s">
        <v>80</v>
      </c>
    </row>
    <row r="3454" spans="2:12">
      <c r="B3454" s="50" t="s">
        <v>418</v>
      </c>
      <c r="C3454" s="50" t="s">
        <v>26</v>
      </c>
      <c r="D3454" s="50" t="s">
        <v>27</v>
      </c>
      <c r="E3454" s="50">
        <v>50039065</v>
      </c>
      <c r="F3454" s="50" t="s">
        <v>186</v>
      </c>
      <c r="G3454" s="50">
        <v>1</v>
      </c>
      <c r="H3454" s="50" t="s">
        <v>2</v>
      </c>
      <c r="I3454" s="50" t="s">
        <v>291</v>
      </c>
      <c r="J3454" s="51">
        <v>45994</v>
      </c>
      <c r="K3454" s="50" t="s">
        <v>3</v>
      </c>
      <c r="L3454" s="50" t="s">
        <v>80</v>
      </c>
    </row>
    <row r="3455" spans="2:12">
      <c r="B3455" s="50" t="s">
        <v>444</v>
      </c>
      <c r="C3455" s="50" t="s">
        <v>51</v>
      </c>
      <c r="D3455" s="50" t="s">
        <v>27</v>
      </c>
      <c r="E3455" s="50">
        <v>50003297</v>
      </c>
      <c r="F3455" s="50" t="s">
        <v>158</v>
      </c>
      <c r="G3455" s="50">
        <v>1</v>
      </c>
      <c r="H3455" s="50" t="s">
        <v>2</v>
      </c>
      <c r="I3455" s="50" t="s">
        <v>291</v>
      </c>
      <c r="J3455" s="51">
        <v>45994</v>
      </c>
      <c r="K3455" s="50" t="s">
        <v>3</v>
      </c>
      <c r="L3455" s="50" t="s">
        <v>80</v>
      </c>
    </row>
    <row r="3456" spans="2:12">
      <c r="B3456" s="50" t="s">
        <v>463</v>
      </c>
      <c r="C3456" s="50" t="s">
        <v>56</v>
      </c>
      <c r="D3456" s="50" t="s">
        <v>27</v>
      </c>
      <c r="E3456" s="50">
        <v>50029865</v>
      </c>
      <c r="F3456" s="50" t="s">
        <v>162</v>
      </c>
      <c r="G3456" s="50">
        <v>1</v>
      </c>
      <c r="H3456" s="50" t="s">
        <v>2</v>
      </c>
      <c r="I3456" s="50" t="s">
        <v>291</v>
      </c>
      <c r="J3456" s="51">
        <v>45994</v>
      </c>
      <c r="K3456" s="50" t="s">
        <v>3</v>
      </c>
      <c r="L3456" s="50" t="s">
        <v>80</v>
      </c>
    </row>
    <row r="3457" spans="2:12">
      <c r="B3457" s="50" t="s">
        <v>463</v>
      </c>
      <c r="C3457" s="50" t="s">
        <v>56</v>
      </c>
      <c r="D3457" s="50" t="s">
        <v>27</v>
      </c>
      <c r="E3457" s="50">
        <v>50043471</v>
      </c>
      <c r="F3457" s="50" t="s">
        <v>257</v>
      </c>
      <c r="G3457" s="50">
        <v>1</v>
      </c>
      <c r="H3457" s="50" t="s">
        <v>2</v>
      </c>
      <c r="I3457" s="50" t="s">
        <v>291</v>
      </c>
      <c r="J3457" s="51">
        <v>45994</v>
      </c>
      <c r="K3457" s="50" t="s">
        <v>1</v>
      </c>
      <c r="L3457" s="50" t="s">
        <v>80</v>
      </c>
    </row>
    <row r="3458" spans="2:12">
      <c r="B3458" s="50" t="s">
        <v>270</v>
      </c>
      <c r="C3458" s="50" t="s">
        <v>51</v>
      </c>
      <c r="D3458" s="50" t="s">
        <v>41</v>
      </c>
      <c r="E3458" s="50">
        <v>50038841</v>
      </c>
      <c r="F3458" s="50" t="s">
        <v>180</v>
      </c>
      <c r="G3458" s="50">
        <v>1</v>
      </c>
      <c r="H3458" s="50" t="s">
        <v>2</v>
      </c>
      <c r="I3458" s="50" t="s">
        <v>291</v>
      </c>
      <c r="J3458" s="51">
        <v>45994</v>
      </c>
      <c r="K3458" s="50" t="s">
        <v>3</v>
      </c>
      <c r="L3458" s="50" t="s">
        <v>80</v>
      </c>
    </row>
    <row r="3459" spans="2:12">
      <c r="B3459" s="50" t="s">
        <v>437</v>
      </c>
      <c r="C3459" s="50" t="s">
        <v>51</v>
      </c>
      <c r="D3459" s="50" t="s">
        <v>41</v>
      </c>
      <c r="E3459" s="50">
        <v>50010031</v>
      </c>
      <c r="F3459" s="50" t="s">
        <v>89</v>
      </c>
      <c r="G3459" s="50">
        <v>1</v>
      </c>
      <c r="H3459" s="50" t="s">
        <v>2</v>
      </c>
      <c r="I3459" s="50" t="s">
        <v>291</v>
      </c>
      <c r="J3459" s="51">
        <v>45994</v>
      </c>
      <c r="K3459" s="50" t="s">
        <v>3</v>
      </c>
      <c r="L3459" s="50" t="s">
        <v>80</v>
      </c>
    </row>
    <row r="3460" spans="2:12">
      <c r="B3460" s="50" t="s">
        <v>270</v>
      </c>
      <c r="C3460" s="50" t="s">
        <v>51</v>
      </c>
      <c r="D3460" s="50" t="s">
        <v>41</v>
      </c>
      <c r="E3460" s="50">
        <v>50038841</v>
      </c>
      <c r="F3460" s="50" t="s">
        <v>180</v>
      </c>
      <c r="G3460" s="50">
        <v>1</v>
      </c>
      <c r="H3460" s="50" t="s">
        <v>2</v>
      </c>
      <c r="I3460" s="50" t="s">
        <v>291</v>
      </c>
      <c r="J3460" s="51">
        <v>45994</v>
      </c>
      <c r="K3460" s="50" t="s">
        <v>3</v>
      </c>
      <c r="L3460" s="50" t="s">
        <v>80</v>
      </c>
    </row>
    <row r="3461" spans="2:12">
      <c r="B3461" s="50" t="s">
        <v>465</v>
      </c>
      <c r="C3461" s="50" t="s">
        <v>26</v>
      </c>
      <c r="D3461" s="50" t="s">
        <v>27</v>
      </c>
      <c r="E3461" s="50">
        <v>50037902</v>
      </c>
      <c r="F3461" s="50" t="s">
        <v>179</v>
      </c>
      <c r="G3461" s="50">
        <v>1</v>
      </c>
      <c r="H3461" s="50" t="s">
        <v>2</v>
      </c>
      <c r="I3461" s="50" t="s">
        <v>291</v>
      </c>
      <c r="J3461" s="51">
        <v>45994</v>
      </c>
      <c r="K3461" s="50" t="s">
        <v>3</v>
      </c>
      <c r="L3461" s="50" t="s">
        <v>80</v>
      </c>
    </row>
    <row r="3462" spans="2:12">
      <c r="B3462" s="50" t="s">
        <v>437</v>
      </c>
      <c r="C3462" s="50" t="s">
        <v>51</v>
      </c>
      <c r="D3462" s="50" t="s">
        <v>41</v>
      </c>
      <c r="E3462" s="50">
        <v>50010031</v>
      </c>
      <c r="F3462" s="50" t="s">
        <v>89</v>
      </c>
      <c r="G3462" s="50">
        <v>1</v>
      </c>
      <c r="H3462" s="50" t="s">
        <v>2</v>
      </c>
      <c r="I3462" s="50" t="s">
        <v>291</v>
      </c>
      <c r="J3462" s="51">
        <v>45994</v>
      </c>
      <c r="K3462" s="50" t="s">
        <v>3</v>
      </c>
      <c r="L3462" s="50" t="s">
        <v>80</v>
      </c>
    </row>
    <row r="3463" spans="2:12">
      <c r="B3463" s="50" t="s">
        <v>444</v>
      </c>
      <c r="C3463" s="50" t="s">
        <v>51</v>
      </c>
      <c r="D3463" s="50" t="s">
        <v>27</v>
      </c>
      <c r="E3463" s="50">
        <v>50036291</v>
      </c>
      <c r="F3463" s="50" t="s">
        <v>128</v>
      </c>
      <c r="G3463" s="50">
        <v>1</v>
      </c>
      <c r="H3463" s="50" t="s">
        <v>2</v>
      </c>
      <c r="I3463" s="50" t="s">
        <v>291</v>
      </c>
      <c r="J3463" s="51">
        <v>45994</v>
      </c>
      <c r="K3463" s="50" t="s">
        <v>3</v>
      </c>
      <c r="L3463" s="50" t="s">
        <v>80</v>
      </c>
    </row>
    <row r="3464" spans="2:12">
      <c r="B3464" s="50" t="s">
        <v>273</v>
      </c>
      <c r="C3464" s="50" t="s">
        <v>274</v>
      </c>
      <c r="D3464" s="50" t="s">
        <v>27</v>
      </c>
      <c r="E3464" s="50">
        <v>50037907</v>
      </c>
      <c r="F3464" s="50" t="s">
        <v>216</v>
      </c>
      <c r="G3464" s="50">
        <v>1</v>
      </c>
      <c r="H3464" s="50" t="s">
        <v>2</v>
      </c>
      <c r="I3464" s="50" t="s">
        <v>291</v>
      </c>
      <c r="J3464" s="51">
        <v>45994</v>
      </c>
      <c r="K3464" s="50" t="s">
        <v>3</v>
      </c>
      <c r="L3464" s="50" t="s">
        <v>80</v>
      </c>
    </row>
    <row r="3465" spans="2:12">
      <c r="B3465" s="50" t="s">
        <v>273</v>
      </c>
      <c r="C3465" s="50" t="s">
        <v>274</v>
      </c>
      <c r="D3465" s="50" t="s">
        <v>27</v>
      </c>
      <c r="E3465" s="50">
        <v>50041195</v>
      </c>
      <c r="F3465" s="50" t="s">
        <v>206</v>
      </c>
      <c r="G3465" s="50">
        <v>1</v>
      </c>
      <c r="H3465" s="50" t="s">
        <v>2</v>
      </c>
      <c r="I3465" s="50" t="s">
        <v>291</v>
      </c>
      <c r="J3465" s="51">
        <v>45994</v>
      </c>
      <c r="K3465" s="50" t="s">
        <v>3</v>
      </c>
      <c r="L3465" s="50" t="s">
        <v>80</v>
      </c>
    </row>
    <row r="3466" spans="2:12">
      <c r="B3466" s="50" t="s">
        <v>422</v>
      </c>
      <c r="C3466" s="50" t="s">
        <v>26</v>
      </c>
      <c r="D3466" s="50" t="s">
        <v>27</v>
      </c>
      <c r="E3466" s="50">
        <v>50039718</v>
      </c>
      <c r="F3466" s="50" t="s">
        <v>149</v>
      </c>
      <c r="G3466" s="50">
        <v>1</v>
      </c>
      <c r="H3466" s="50" t="s">
        <v>2</v>
      </c>
      <c r="I3466" s="50" t="s">
        <v>291</v>
      </c>
      <c r="J3466" s="51">
        <v>45994</v>
      </c>
      <c r="K3466" s="50" t="s">
        <v>1</v>
      </c>
      <c r="L3466" s="50" t="s">
        <v>80</v>
      </c>
    </row>
    <row r="3467" spans="2:12">
      <c r="B3467" s="50" t="s">
        <v>444</v>
      </c>
      <c r="C3467" s="50" t="s">
        <v>51</v>
      </c>
      <c r="D3467" s="50" t="s">
        <v>27</v>
      </c>
      <c r="E3467" s="50">
        <v>50010031</v>
      </c>
      <c r="F3467" s="50" t="s">
        <v>89</v>
      </c>
      <c r="G3467" s="50">
        <v>1</v>
      </c>
      <c r="H3467" s="50" t="s">
        <v>4</v>
      </c>
      <c r="I3467" s="50" t="s">
        <v>289</v>
      </c>
      <c r="J3467" s="51">
        <v>45993</v>
      </c>
      <c r="K3467" s="50" t="s">
        <v>1</v>
      </c>
      <c r="L3467" s="50" t="s">
        <v>80</v>
      </c>
    </row>
    <row r="3468" spans="2:12">
      <c r="B3468" s="50" t="s">
        <v>469</v>
      </c>
      <c r="C3468" s="50" t="s">
        <v>26</v>
      </c>
      <c r="D3468" s="50" t="s">
        <v>39</v>
      </c>
      <c r="E3468" s="50">
        <v>50041195</v>
      </c>
      <c r="F3468" s="50" t="s">
        <v>206</v>
      </c>
      <c r="G3468" s="50">
        <v>1</v>
      </c>
      <c r="H3468" s="50" t="s">
        <v>2</v>
      </c>
      <c r="I3468" s="50" t="s">
        <v>289</v>
      </c>
      <c r="J3468" s="51">
        <v>45993</v>
      </c>
      <c r="K3468" s="50" t="s">
        <v>1</v>
      </c>
      <c r="L3468" s="50" t="s">
        <v>80</v>
      </c>
    </row>
    <row r="3469" spans="2:12">
      <c r="B3469" s="50" t="s">
        <v>407</v>
      </c>
      <c r="C3469" s="50" t="s">
        <v>26</v>
      </c>
      <c r="D3469" s="50" t="s">
        <v>27</v>
      </c>
      <c r="E3469" s="50">
        <v>50037933</v>
      </c>
      <c r="F3469" s="50" t="s">
        <v>250</v>
      </c>
      <c r="G3469" s="50">
        <v>1</v>
      </c>
      <c r="H3469" s="50" t="s">
        <v>2</v>
      </c>
      <c r="I3469" s="50" t="s">
        <v>289</v>
      </c>
      <c r="J3469" s="51">
        <v>45993</v>
      </c>
      <c r="K3469" s="50" t="s">
        <v>1</v>
      </c>
      <c r="L3469" s="50" t="s">
        <v>80</v>
      </c>
    </row>
    <row r="3470" spans="2:12">
      <c r="B3470" s="50" t="s">
        <v>469</v>
      </c>
      <c r="C3470" s="50" t="s">
        <v>26</v>
      </c>
      <c r="D3470" s="50" t="s">
        <v>39</v>
      </c>
      <c r="E3470" s="50">
        <v>50041195</v>
      </c>
      <c r="F3470" s="50" t="s">
        <v>206</v>
      </c>
      <c r="G3470" s="50">
        <v>1</v>
      </c>
      <c r="H3470" s="50" t="s">
        <v>2</v>
      </c>
      <c r="I3470" s="50" t="s">
        <v>289</v>
      </c>
      <c r="J3470" s="51">
        <v>45993</v>
      </c>
      <c r="K3470" s="50" t="s">
        <v>1</v>
      </c>
      <c r="L3470" s="50" t="s">
        <v>80</v>
      </c>
    </row>
    <row r="3471" spans="2:12">
      <c r="B3471" s="50" t="s">
        <v>455</v>
      </c>
      <c r="C3471" s="50" t="s">
        <v>56</v>
      </c>
      <c r="D3471" s="50" t="s">
        <v>41</v>
      </c>
      <c r="E3471" s="50">
        <v>50003297</v>
      </c>
      <c r="F3471" s="50" t="s">
        <v>158</v>
      </c>
      <c r="G3471" s="50">
        <v>1</v>
      </c>
      <c r="H3471" s="50" t="s">
        <v>2</v>
      </c>
      <c r="I3471" s="50" t="s">
        <v>289</v>
      </c>
      <c r="J3471" s="51">
        <v>45993</v>
      </c>
      <c r="K3471" s="50" t="s">
        <v>1</v>
      </c>
      <c r="L3471" s="50" t="s">
        <v>80</v>
      </c>
    </row>
    <row r="3472" spans="2:12">
      <c r="B3472" s="50" t="s">
        <v>469</v>
      </c>
      <c r="C3472" s="50" t="s">
        <v>26</v>
      </c>
      <c r="D3472" s="50" t="s">
        <v>39</v>
      </c>
      <c r="E3472" s="50">
        <v>50037922</v>
      </c>
      <c r="F3472" s="50" t="s">
        <v>117</v>
      </c>
      <c r="G3472" s="50">
        <v>1</v>
      </c>
      <c r="H3472" s="50" t="s">
        <v>2</v>
      </c>
      <c r="I3472" s="50" t="s">
        <v>289</v>
      </c>
      <c r="J3472" s="51">
        <v>45993</v>
      </c>
      <c r="K3472" s="50" t="s">
        <v>1</v>
      </c>
      <c r="L3472" s="50" t="s">
        <v>80</v>
      </c>
    </row>
    <row r="3473" spans="2:12">
      <c r="B3473" s="50" t="s">
        <v>407</v>
      </c>
      <c r="C3473" s="50" t="s">
        <v>26</v>
      </c>
      <c r="D3473" s="50" t="s">
        <v>27</v>
      </c>
      <c r="E3473" s="50">
        <v>50037905</v>
      </c>
      <c r="F3473" s="50" t="s">
        <v>150</v>
      </c>
      <c r="G3473" s="50">
        <v>1</v>
      </c>
      <c r="H3473" s="50" t="s">
        <v>2</v>
      </c>
      <c r="I3473" s="50" t="s">
        <v>289</v>
      </c>
      <c r="J3473" s="51">
        <v>45993</v>
      </c>
      <c r="K3473" s="50" t="s">
        <v>1</v>
      </c>
      <c r="L3473" s="50" t="s">
        <v>80</v>
      </c>
    </row>
    <row r="3474" spans="2:12">
      <c r="B3474" s="50" t="s">
        <v>471</v>
      </c>
      <c r="C3474" s="50" t="s">
        <v>26</v>
      </c>
      <c r="D3474" s="50" t="s">
        <v>27</v>
      </c>
      <c r="E3474" s="50">
        <v>50038841</v>
      </c>
      <c r="F3474" s="50" t="s">
        <v>180</v>
      </c>
      <c r="G3474" s="50">
        <v>1</v>
      </c>
      <c r="H3474" s="50" t="s">
        <v>2</v>
      </c>
      <c r="I3474" s="50" t="s">
        <v>289</v>
      </c>
      <c r="J3474" s="51">
        <v>45993</v>
      </c>
      <c r="K3474" s="50" t="s">
        <v>1</v>
      </c>
      <c r="L3474" s="50" t="s">
        <v>80</v>
      </c>
    </row>
    <row r="3475" spans="2:12">
      <c r="B3475" s="50" t="s">
        <v>471</v>
      </c>
      <c r="C3475" s="50" t="s">
        <v>26</v>
      </c>
      <c r="D3475" s="50" t="s">
        <v>27</v>
      </c>
      <c r="E3475" s="50">
        <v>50039065</v>
      </c>
      <c r="F3475" s="50" t="s">
        <v>186</v>
      </c>
      <c r="G3475" s="50">
        <v>1</v>
      </c>
      <c r="H3475" s="50" t="s">
        <v>2</v>
      </c>
      <c r="I3475" s="50" t="s">
        <v>289</v>
      </c>
      <c r="J3475" s="51">
        <v>45993</v>
      </c>
      <c r="K3475" s="50" t="s">
        <v>1</v>
      </c>
      <c r="L3475" s="50" t="s">
        <v>80</v>
      </c>
    </row>
    <row r="3476" spans="2:12">
      <c r="B3476" s="50" t="s">
        <v>394</v>
      </c>
      <c r="C3476" s="50" t="s">
        <v>26</v>
      </c>
      <c r="D3476" s="50" t="s">
        <v>41</v>
      </c>
      <c r="E3476" s="50">
        <v>50039065</v>
      </c>
      <c r="F3476" s="50" t="s">
        <v>186</v>
      </c>
      <c r="G3476" s="50">
        <v>1</v>
      </c>
      <c r="H3476" s="50" t="s">
        <v>2</v>
      </c>
      <c r="I3476" s="50" t="s">
        <v>289</v>
      </c>
      <c r="J3476" s="51">
        <v>45993</v>
      </c>
      <c r="K3476" s="50" t="s">
        <v>1</v>
      </c>
      <c r="L3476" s="50" t="s">
        <v>80</v>
      </c>
    </row>
    <row r="3477" spans="2:12">
      <c r="B3477" s="50" t="s">
        <v>444</v>
      </c>
      <c r="C3477" s="50" t="s">
        <v>51</v>
      </c>
      <c r="D3477" s="50" t="s">
        <v>27</v>
      </c>
      <c r="E3477" s="50">
        <v>50036293</v>
      </c>
      <c r="F3477" s="50" t="s">
        <v>130</v>
      </c>
      <c r="G3477" s="50">
        <v>1</v>
      </c>
      <c r="H3477" s="50" t="s">
        <v>2</v>
      </c>
      <c r="I3477" s="50" t="s">
        <v>289</v>
      </c>
      <c r="J3477" s="51">
        <v>45993</v>
      </c>
      <c r="K3477" s="50" t="s">
        <v>1</v>
      </c>
      <c r="L3477" s="50" t="s">
        <v>80</v>
      </c>
    </row>
    <row r="3478" spans="2:12">
      <c r="B3478" s="50" t="s">
        <v>437</v>
      </c>
      <c r="C3478" s="50" t="s">
        <v>51</v>
      </c>
      <c r="D3478" s="50" t="s">
        <v>41</v>
      </c>
      <c r="E3478" s="50">
        <v>50030486</v>
      </c>
      <c r="F3478" s="50" t="s">
        <v>153</v>
      </c>
      <c r="G3478" s="50">
        <v>1</v>
      </c>
      <c r="H3478" s="50" t="s">
        <v>2</v>
      </c>
      <c r="I3478" s="50" t="s">
        <v>289</v>
      </c>
      <c r="J3478" s="51">
        <v>45993</v>
      </c>
      <c r="K3478" s="50" t="s">
        <v>1</v>
      </c>
      <c r="L3478" s="50" t="s">
        <v>80</v>
      </c>
    </row>
    <row r="3479" spans="2:12">
      <c r="B3479" s="50" t="s">
        <v>427</v>
      </c>
      <c r="C3479" s="50" t="s">
        <v>26</v>
      </c>
      <c r="D3479" s="50" t="s">
        <v>27</v>
      </c>
      <c r="E3479" s="50">
        <v>50038549</v>
      </c>
      <c r="F3479" s="50" t="s">
        <v>173</v>
      </c>
      <c r="G3479" s="50">
        <v>1</v>
      </c>
      <c r="H3479" s="50" t="s">
        <v>2</v>
      </c>
      <c r="I3479" s="50" t="s">
        <v>289</v>
      </c>
      <c r="J3479" s="51">
        <v>45993</v>
      </c>
      <c r="K3479" s="50" t="s">
        <v>1</v>
      </c>
      <c r="L3479" s="50" t="s">
        <v>80</v>
      </c>
    </row>
    <row r="3480" spans="2:12">
      <c r="B3480" s="50" t="s">
        <v>455</v>
      </c>
      <c r="C3480" s="50" t="s">
        <v>56</v>
      </c>
      <c r="D3480" s="50" t="s">
        <v>41</v>
      </c>
      <c r="E3480" s="50">
        <v>50043320</v>
      </c>
      <c r="F3480" s="50" t="s">
        <v>264</v>
      </c>
      <c r="G3480" s="50">
        <v>1</v>
      </c>
      <c r="H3480" s="50" t="s">
        <v>2</v>
      </c>
      <c r="I3480" s="50" t="s">
        <v>292</v>
      </c>
      <c r="J3480" s="51">
        <v>45993</v>
      </c>
      <c r="K3480" s="50" t="s">
        <v>1</v>
      </c>
      <c r="L3480" s="50" t="s">
        <v>80</v>
      </c>
    </row>
    <row r="3481" spans="2:12">
      <c r="B3481" s="50" t="s">
        <v>386</v>
      </c>
      <c r="C3481" s="50" t="s">
        <v>62</v>
      </c>
      <c r="D3481" s="50" t="s">
        <v>27</v>
      </c>
      <c r="E3481" s="50">
        <v>50038844</v>
      </c>
      <c r="F3481" s="50" t="s">
        <v>204</v>
      </c>
      <c r="G3481" s="50">
        <v>1</v>
      </c>
      <c r="H3481" s="50" t="s">
        <v>2</v>
      </c>
      <c r="I3481" s="50" t="s">
        <v>293</v>
      </c>
      <c r="J3481" s="51">
        <v>45993</v>
      </c>
      <c r="K3481" s="50" t="s">
        <v>1</v>
      </c>
      <c r="L3481" s="50" t="s">
        <v>80</v>
      </c>
    </row>
    <row r="3482" spans="2:12">
      <c r="B3482" s="50" t="s">
        <v>396</v>
      </c>
      <c r="C3482" s="50" t="s">
        <v>26</v>
      </c>
      <c r="D3482" s="50" t="s">
        <v>27</v>
      </c>
      <c r="E3482" s="50">
        <v>50038956</v>
      </c>
      <c r="F3482" s="50" t="s">
        <v>177</v>
      </c>
      <c r="G3482" s="50">
        <v>1</v>
      </c>
      <c r="H3482" s="50" t="s">
        <v>2</v>
      </c>
      <c r="I3482" s="50" t="s">
        <v>293</v>
      </c>
      <c r="J3482" s="51">
        <v>45993</v>
      </c>
      <c r="K3482" s="50" t="s">
        <v>1</v>
      </c>
      <c r="L3482" s="50" t="s">
        <v>80</v>
      </c>
    </row>
    <row r="3483" spans="2:12">
      <c r="B3483" s="50" t="s">
        <v>316</v>
      </c>
      <c r="C3483" s="50" t="s">
        <v>51</v>
      </c>
      <c r="D3483" s="50" t="s">
        <v>27</v>
      </c>
      <c r="E3483" s="50">
        <v>50037902</v>
      </c>
      <c r="F3483" s="50" t="s">
        <v>179</v>
      </c>
      <c r="G3483" s="50">
        <v>1</v>
      </c>
      <c r="H3483" s="50" t="s">
        <v>2</v>
      </c>
      <c r="I3483" s="50" t="s">
        <v>293</v>
      </c>
      <c r="J3483" s="51">
        <v>45993</v>
      </c>
      <c r="K3483" s="50" t="s">
        <v>3</v>
      </c>
      <c r="L3483" s="50" t="s">
        <v>80</v>
      </c>
    </row>
    <row r="3484" spans="2:12">
      <c r="B3484" s="50" t="s">
        <v>316</v>
      </c>
      <c r="C3484" s="50" t="s">
        <v>56</v>
      </c>
      <c r="D3484" s="50" t="s">
        <v>27</v>
      </c>
      <c r="E3484" s="50">
        <v>50041195</v>
      </c>
      <c r="F3484" s="50" t="s">
        <v>206</v>
      </c>
      <c r="G3484" s="50">
        <v>1</v>
      </c>
      <c r="H3484" s="50" t="s">
        <v>2</v>
      </c>
      <c r="I3484" s="50" t="s">
        <v>292</v>
      </c>
      <c r="J3484" s="51">
        <v>45993</v>
      </c>
      <c r="K3484" s="50" t="s">
        <v>3</v>
      </c>
      <c r="L3484" s="50" t="s">
        <v>80</v>
      </c>
    </row>
    <row r="3485" spans="2:12">
      <c r="B3485" s="50" t="s">
        <v>316</v>
      </c>
      <c r="C3485" s="50" t="s">
        <v>56</v>
      </c>
      <c r="D3485" s="50" t="s">
        <v>27</v>
      </c>
      <c r="E3485" s="50">
        <v>50041195</v>
      </c>
      <c r="F3485" s="50" t="s">
        <v>206</v>
      </c>
      <c r="G3485" s="50">
        <v>1</v>
      </c>
      <c r="H3485" s="50" t="s">
        <v>2</v>
      </c>
      <c r="I3485" s="50" t="s">
        <v>292</v>
      </c>
      <c r="J3485" s="51">
        <v>45993</v>
      </c>
      <c r="K3485" s="50" t="s">
        <v>3</v>
      </c>
      <c r="L3485" s="50" t="s">
        <v>80</v>
      </c>
    </row>
    <row r="3486" spans="2:12">
      <c r="B3486" s="50" t="s">
        <v>407</v>
      </c>
      <c r="C3486" s="50" t="s">
        <v>26</v>
      </c>
      <c r="D3486" s="50" t="s">
        <v>27</v>
      </c>
      <c r="E3486" s="50">
        <v>50037905</v>
      </c>
      <c r="F3486" s="50" t="s">
        <v>150</v>
      </c>
      <c r="G3486" s="50">
        <v>1</v>
      </c>
      <c r="H3486" s="50" t="s">
        <v>2</v>
      </c>
      <c r="I3486" s="50" t="s">
        <v>292</v>
      </c>
      <c r="J3486" s="51">
        <v>45993</v>
      </c>
      <c r="K3486" s="50" t="s">
        <v>3</v>
      </c>
      <c r="L3486" s="50" t="s">
        <v>80</v>
      </c>
    </row>
    <row r="3487" spans="2:12">
      <c r="B3487" s="50" t="s">
        <v>407</v>
      </c>
      <c r="C3487" s="50" t="s">
        <v>26</v>
      </c>
      <c r="D3487" s="50" t="s">
        <v>27</v>
      </c>
      <c r="E3487" s="50">
        <v>50037933</v>
      </c>
      <c r="F3487" s="50" t="s">
        <v>250</v>
      </c>
      <c r="G3487" s="50">
        <v>1</v>
      </c>
      <c r="H3487" s="50" t="s">
        <v>2</v>
      </c>
      <c r="I3487" s="50" t="s">
        <v>292</v>
      </c>
      <c r="J3487" s="51">
        <v>45993</v>
      </c>
      <c r="K3487" s="50" t="s">
        <v>3</v>
      </c>
      <c r="L3487" s="50" t="s">
        <v>80</v>
      </c>
    </row>
    <row r="3488" spans="2:12">
      <c r="B3488" s="50" t="s">
        <v>471</v>
      </c>
      <c r="C3488" s="50" t="s">
        <v>26</v>
      </c>
      <c r="D3488" s="50" t="s">
        <v>27</v>
      </c>
      <c r="E3488" s="50">
        <v>50038841</v>
      </c>
      <c r="F3488" s="50" t="s">
        <v>180</v>
      </c>
      <c r="G3488" s="50">
        <v>1</v>
      </c>
      <c r="H3488" s="50" t="s">
        <v>2</v>
      </c>
      <c r="I3488" s="50" t="s">
        <v>292</v>
      </c>
      <c r="J3488" s="51">
        <v>45993</v>
      </c>
      <c r="K3488" s="50" t="s">
        <v>3</v>
      </c>
      <c r="L3488" s="50" t="s">
        <v>80</v>
      </c>
    </row>
    <row r="3489" spans="2:12">
      <c r="B3489" s="50" t="s">
        <v>471</v>
      </c>
      <c r="C3489" s="50" t="s">
        <v>26</v>
      </c>
      <c r="D3489" s="50" t="s">
        <v>27</v>
      </c>
      <c r="E3489" s="50">
        <v>50039065</v>
      </c>
      <c r="F3489" s="50" t="s">
        <v>186</v>
      </c>
      <c r="G3489" s="50">
        <v>1</v>
      </c>
      <c r="H3489" s="50" t="s">
        <v>2</v>
      </c>
      <c r="I3489" s="50" t="s">
        <v>292</v>
      </c>
      <c r="J3489" s="51">
        <v>45993</v>
      </c>
      <c r="K3489" s="50" t="s">
        <v>3</v>
      </c>
      <c r="L3489" s="50" t="s">
        <v>80</v>
      </c>
    </row>
    <row r="3490" spans="2:12">
      <c r="B3490" s="50" t="s">
        <v>469</v>
      </c>
      <c r="C3490" s="50" t="s">
        <v>26</v>
      </c>
      <c r="D3490" s="50" t="s">
        <v>39</v>
      </c>
      <c r="E3490" s="50">
        <v>50037922</v>
      </c>
      <c r="F3490" s="50" t="s">
        <v>117</v>
      </c>
      <c r="G3490" s="50">
        <v>1</v>
      </c>
      <c r="H3490" s="50" t="s">
        <v>2</v>
      </c>
      <c r="I3490" s="50" t="s">
        <v>297</v>
      </c>
      <c r="J3490" s="51">
        <v>45993</v>
      </c>
      <c r="K3490" s="50" t="s">
        <v>1</v>
      </c>
      <c r="L3490" s="50" t="s">
        <v>80</v>
      </c>
    </row>
    <row r="3491" spans="2:12">
      <c r="B3491" s="50" t="s">
        <v>478</v>
      </c>
      <c r="C3491" s="50" t="s">
        <v>51</v>
      </c>
      <c r="D3491" s="50" t="s">
        <v>27</v>
      </c>
      <c r="E3491" s="50">
        <v>50043471</v>
      </c>
      <c r="F3491" s="50" t="s">
        <v>257</v>
      </c>
      <c r="G3491" s="50">
        <v>1</v>
      </c>
      <c r="H3491" s="50" t="s">
        <v>2</v>
      </c>
      <c r="I3491" s="50" t="s">
        <v>293</v>
      </c>
      <c r="J3491" s="51">
        <v>45993</v>
      </c>
      <c r="K3491" s="50" t="s">
        <v>1</v>
      </c>
      <c r="L3491" s="50" t="s">
        <v>80</v>
      </c>
    </row>
    <row r="3492" spans="2:12">
      <c r="B3492" s="50" t="s">
        <v>478</v>
      </c>
      <c r="C3492" s="50" t="s">
        <v>51</v>
      </c>
      <c r="D3492" s="50" t="s">
        <v>27</v>
      </c>
      <c r="E3492" s="50">
        <v>50037892</v>
      </c>
      <c r="F3492" s="50" t="s">
        <v>178</v>
      </c>
      <c r="G3492" s="50">
        <v>1</v>
      </c>
      <c r="H3492" s="50" t="s">
        <v>2</v>
      </c>
      <c r="I3492" s="50" t="s">
        <v>293</v>
      </c>
      <c r="J3492" s="51">
        <v>45993</v>
      </c>
      <c r="K3492" s="50" t="s">
        <v>3</v>
      </c>
      <c r="L3492" s="50" t="s">
        <v>80</v>
      </c>
    </row>
    <row r="3493" spans="2:12">
      <c r="B3493" s="50" t="s">
        <v>478</v>
      </c>
      <c r="C3493" s="50" t="s">
        <v>51</v>
      </c>
      <c r="D3493" s="50" t="s">
        <v>27</v>
      </c>
      <c r="E3493" s="50">
        <v>50041195</v>
      </c>
      <c r="F3493" s="50" t="s">
        <v>206</v>
      </c>
      <c r="G3493" s="50">
        <v>1</v>
      </c>
      <c r="H3493" s="50" t="s">
        <v>2</v>
      </c>
      <c r="I3493" s="50" t="s">
        <v>293</v>
      </c>
      <c r="J3493" s="51">
        <v>45993</v>
      </c>
      <c r="K3493" s="50" t="s">
        <v>3</v>
      </c>
      <c r="L3493" s="50" t="s">
        <v>80</v>
      </c>
    </row>
    <row r="3494" spans="2:12">
      <c r="B3494" s="50" t="s">
        <v>444</v>
      </c>
      <c r="C3494" s="50" t="s">
        <v>51</v>
      </c>
      <c r="D3494" s="50" t="s">
        <v>27</v>
      </c>
      <c r="E3494" s="50">
        <v>50036293</v>
      </c>
      <c r="F3494" s="50" t="s">
        <v>130</v>
      </c>
      <c r="G3494" s="50">
        <v>1</v>
      </c>
      <c r="H3494" s="50" t="s">
        <v>2</v>
      </c>
      <c r="I3494" s="50" t="s">
        <v>293</v>
      </c>
      <c r="J3494" s="51">
        <v>45993</v>
      </c>
      <c r="K3494" s="50" t="s">
        <v>3</v>
      </c>
      <c r="L3494" s="50" t="s">
        <v>80</v>
      </c>
    </row>
    <row r="3495" spans="2:12">
      <c r="B3495" s="50" t="s">
        <v>396</v>
      </c>
      <c r="C3495" s="50" t="s">
        <v>26</v>
      </c>
      <c r="D3495" s="50" t="s">
        <v>27</v>
      </c>
      <c r="E3495" s="50">
        <v>50038956</v>
      </c>
      <c r="F3495" s="50" t="s">
        <v>177</v>
      </c>
      <c r="G3495" s="50">
        <v>1</v>
      </c>
      <c r="H3495" s="50" t="s">
        <v>2</v>
      </c>
      <c r="I3495" s="50" t="s">
        <v>293</v>
      </c>
      <c r="J3495" s="51">
        <v>45993</v>
      </c>
      <c r="K3495" s="50" t="s">
        <v>1</v>
      </c>
      <c r="L3495" s="50" t="s">
        <v>80</v>
      </c>
    </row>
    <row r="3496" spans="2:12">
      <c r="B3496" s="50" t="s">
        <v>316</v>
      </c>
      <c r="C3496" s="50" t="s">
        <v>51</v>
      </c>
      <c r="D3496" s="50" t="s">
        <v>27</v>
      </c>
      <c r="E3496" s="50">
        <v>50037902</v>
      </c>
      <c r="F3496" s="50" t="s">
        <v>179</v>
      </c>
      <c r="G3496" s="50">
        <v>1</v>
      </c>
      <c r="H3496" s="50" t="s">
        <v>2</v>
      </c>
      <c r="I3496" s="50" t="s">
        <v>288</v>
      </c>
      <c r="J3496" s="51">
        <v>45993</v>
      </c>
      <c r="K3496" s="50" t="s">
        <v>3</v>
      </c>
      <c r="L3496" s="50" t="s">
        <v>80</v>
      </c>
    </row>
    <row r="3497" spans="2:12">
      <c r="B3497" s="50" t="s">
        <v>394</v>
      </c>
      <c r="C3497" s="50" t="s">
        <v>26</v>
      </c>
      <c r="D3497" s="50" t="s">
        <v>41</v>
      </c>
      <c r="E3497" s="50">
        <v>50038517</v>
      </c>
      <c r="F3497" s="50" t="s">
        <v>181</v>
      </c>
      <c r="G3497" s="50">
        <v>1</v>
      </c>
      <c r="H3497" s="50" t="s">
        <v>2</v>
      </c>
      <c r="I3497" s="50" t="s">
        <v>288</v>
      </c>
      <c r="J3497" s="51">
        <v>45993</v>
      </c>
      <c r="K3497" s="50" t="s">
        <v>3</v>
      </c>
      <c r="L3497" s="50" t="s">
        <v>80</v>
      </c>
    </row>
    <row r="3498" spans="2:12">
      <c r="B3498" s="50" t="s">
        <v>394</v>
      </c>
      <c r="C3498" s="50" t="s">
        <v>26</v>
      </c>
      <c r="D3498" s="50" t="s">
        <v>41</v>
      </c>
      <c r="E3498" s="50">
        <v>50038517</v>
      </c>
      <c r="F3498" s="50" t="s">
        <v>181</v>
      </c>
      <c r="G3498" s="50">
        <v>1</v>
      </c>
      <c r="H3498" s="50" t="s">
        <v>2</v>
      </c>
      <c r="I3498" s="50" t="s">
        <v>288</v>
      </c>
      <c r="J3498" s="51">
        <v>45993</v>
      </c>
      <c r="K3498" s="50" t="s">
        <v>3</v>
      </c>
      <c r="L3498" s="50" t="s">
        <v>80</v>
      </c>
    </row>
    <row r="3499" spans="2:12">
      <c r="B3499" s="50" t="s">
        <v>444</v>
      </c>
      <c r="C3499" s="50" t="s">
        <v>51</v>
      </c>
      <c r="D3499" s="50" t="s">
        <v>27</v>
      </c>
      <c r="E3499" s="50">
        <v>50010031</v>
      </c>
      <c r="F3499" s="50" t="s">
        <v>89</v>
      </c>
      <c r="G3499" s="50">
        <v>1</v>
      </c>
      <c r="H3499" s="50" t="s">
        <v>2</v>
      </c>
      <c r="I3499" s="50" t="s">
        <v>288</v>
      </c>
      <c r="J3499" s="51">
        <v>45993</v>
      </c>
      <c r="K3499" s="50" t="s">
        <v>3</v>
      </c>
      <c r="L3499" s="50" t="s">
        <v>80</v>
      </c>
    </row>
    <row r="3500" spans="2:12">
      <c r="B3500" s="50" t="s">
        <v>394</v>
      </c>
      <c r="C3500" s="50" t="s">
        <v>26</v>
      </c>
      <c r="D3500" s="50" t="s">
        <v>41</v>
      </c>
      <c r="E3500" s="50">
        <v>50039065</v>
      </c>
      <c r="F3500" s="50" t="s">
        <v>186</v>
      </c>
      <c r="G3500" s="50">
        <v>1</v>
      </c>
      <c r="H3500" s="50" t="s">
        <v>2</v>
      </c>
      <c r="I3500" s="50" t="s">
        <v>288</v>
      </c>
      <c r="J3500" s="51">
        <v>45993</v>
      </c>
      <c r="K3500" s="50" t="s">
        <v>3</v>
      </c>
      <c r="L3500" s="50" t="s">
        <v>80</v>
      </c>
    </row>
    <row r="3501" spans="2:12">
      <c r="B3501" s="50" t="s">
        <v>386</v>
      </c>
      <c r="C3501" s="50" t="s">
        <v>62</v>
      </c>
      <c r="D3501" s="50" t="s">
        <v>27</v>
      </c>
      <c r="E3501" s="50">
        <v>50038844</v>
      </c>
      <c r="F3501" s="50" t="s">
        <v>204</v>
      </c>
      <c r="G3501" s="50">
        <v>1</v>
      </c>
      <c r="H3501" s="50" t="s">
        <v>2</v>
      </c>
      <c r="I3501" s="50" t="s">
        <v>288</v>
      </c>
      <c r="J3501" s="51">
        <v>45993</v>
      </c>
      <c r="K3501" s="50" t="s">
        <v>3</v>
      </c>
      <c r="L3501" s="50" t="s">
        <v>80</v>
      </c>
    </row>
    <row r="3502" spans="2:12">
      <c r="B3502" s="50" t="s">
        <v>455</v>
      </c>
      <c r="C3502" s="50" t="s">
        <v>56</v>
      </c>
      <c r="D3502" s="50" t="s">
        <v>41</v>
      </c>
      <c r="E3502" s="50">
        <v>50003297</v>
      </c>
      <c r="F3502" s="50" t="s">
        <v>158</v>
      </c>
      <c r="G3502" s="50">
        <v>1</v>
      </c>
      <c r="H3502" s="50" t="s">
        <v>2</v>
      </c>
      <c r="I3502" s="50" t="s">
        <v>288</v>
      </c>
      <c r="J3502" s="51">
        <v>45993</v>
      </c>
      <c r="K3502" s="50" t="s">
        <v>3</v>
      </c>
      <c r="L3502" s="50" t="s">
        <v>80</v>
      </c>
    </row>
    <row r="3503" spans="2:12">
      <c r="B3503" s="50" t="s">
        <v>455</v>
      </c>
      <c r="C3503" s="50" t="s">
        <v>56</v>
      </c>
      <c r="D3503" s="50" t="s">
        <v>41</v>
      </c>
      <c r="E3503" s="50">
        <v>50043320</v>
      </c>
      <c r="F3503" s="50" t="s">
        <v>264</v>
      </c>
      <c r="G3503" s="50">
        <v>1</v>
      </c>
      <c r="H3503" s="50" t="s">
        <v>2</v>
      </c>
      <c r="I3503" s="50" t="s">
        <v>288</v>
      </c>
      <c r="J3503" s="51">
        <v>45993</v>
      </c>
      <c r="K3503" s="50" t="s">
        <v>3</v>
      </c>
      <c r="L3503" s="50" t="s">
        <v>80</v>
      </c>
    </row>
    <row r="3504" spans="2:12">
      <c r="B3504" s="50" t="s">
        <v>427</v>
      </c>
      <c r="C3504" s="50" t="s">
        <v>26</v>
      </c>
      <c r="D3504" s="50" t="s">
        <v>27</v>
      </c>
      <c r="E3504" s="50">
        <v>50038549</v>
      </c>
      <c r="F3504" s="50" t="s">
        <v>173</v>
      </c>
      <c r="G3504" s="50">
        <v>1</v>
      </c>
      <c r="H3504" s="50" t="s">
        <v>2</v>
      </c>
      <c r="I3504" s="50" t="s">
        <v>288</v>
      </c>
      <c r="J3504" s="51">
        <v>45993</v>
      </c>
      <c r="K3504" s="50" t="s">
        <v>3</v>
      </c>
      <c r="L3504" s="50" t="s">
        <v>80</v>
      </c>
    </row>
    <row r="3505" spans="2:12">
      <c r="B3505" s="50" t="s">
        <v>437</v>
      </c>
      <c r="C3505" s="50" t="s">
        <v>51</v>
      </c>
      <c r="D3505" s="50" t="s">
        <v>41</v>
      </c>
      <c r="E3505" s="50">
        <v>50030486</v>
      </c>
      <c r="F3505" s="50" t="s">
        <v>153</v>
      </c>
      <c r="G3505" s="50">
        <v>1</v>
      </c>
      <c r="H3505" s="50" t="s">
        <v>2</v>
      </c>
      <c r="I3505" s="50" t="s">
        <v>288</v>
      </c>
      <c r="J3505" s="51">
        <v>45993</v>
      </c>
      <c r="K3505" s="50" t="s">
        <v>3</v>
      </c>
      <c r="L3505" s="50" t="s">
        <v>80</v>
      </c>
    </row>
    <row r="3506" spans="2:12">
      <c r="B3506" s="50" t="s">
        <v>478</v>
      </c>
      <c r="C3506" s="50" t="s">
        <v>51</v>
      </c>
      <c r="D3506" s="50" t="s">
        <v>27</v>
      </c>
      <c r="E3506" s="50">
        <v>50043471</v>
      </c>
      <c r="F3506" s="50" t="s">
        <v>257</v>
      </c>
      <c r="G3506" s="50">
        <v>1</v>
      </c>
      <c r="H3506" s="50" t="s">
        <v>2</v>
      </c>
      <c r="I3506" s="50" t="s">
        <v>288</v>
      </c>
      <c r="J3506" s="51">
        <v>45993</v>
      </c>
      <c r="K3506" s="50" t="s">
        <v>3</v>
      </c>
      <c r="L3506" s="50" t="s">
        <v>80</v>
      </c>
    </row>
    <row r="3507" spans="2:12">
      <c r="B3507" s="50" t="s">
        <v>478</v>
      </c>
      <c r="C3507" s="50" t="s">
        <v>51</v>
      </c>
      <c r="D3507" s="50" t="s">
        <v>27</v>
      </c>
      <c r="E3507" s="50">
        <v>50037892</v>
      </c>
      <c r="F3507" s="50" t="s">
        <v>178</v>
      </c>
      <c r="G3507" s="50">
        <v>1</v>
      </c>
      <c r="H3507" s="50" t="s">
        <v>2</v>
      </c>
      <c r="I3507" s="50" t="s">
        <v>288</v>
      </c>
      <c r="J3507" s="51">
        <v>45993</v>
      </c>
      <c r="K3507" s="50" t="s">
        <v>1</v>
      </c>
      <c r="L3507" s="50" t="s">
        <v>80</v>
      </c>
    </row>
    <row r="3508" spans="2:12">
      <c r="B3508" s="50" t="s">
        <v>478</v>
      </c>
      <c r="C3508" s="50" t="s">
        <v>51</v>
      </c>
      <c r="D3508" s="50" t="s">
        <v>27</v>
      </c>
      <c r="E3508" s="50">
        <v>50041195</v>
      </c>
      <c r="F3508" s="50" t="s">
        <v>206</v>
      </c>
      <c r="G3508" s="50">
        <v>1</v>
      </c>
      <c r="H3508" s="50" t="s">
        <v>2</v>
      </c>
      <c r="I3508" s="50" t="s">
        <v>288</v>
      </c>
      <c r="J3508" s="51">
        <v>45993</v>
      </c>
      <c r="K3508" s="50" t="s">
        <v>1</v>
      </c>
      <c r="L3508" s="50" t="s">
        <v>80</v>
      </c>
    </row>
    <row r="3509" spans="2:12">
      <c r="B3509" s="50" t="s">
        <v>478</v>
      </c>
      <c r="C3509" s="50" t="s">
        <v>51</v>
      </c>
      <c r="D3509" s="50" t="s">
        <v>27</v>
      </c>
      <c r="E3509" s="50">
        <v>50043471</v>
      </c>
      <c r="F3509" s="50" t="s">
        <v>257</v>
      </c>
      <c r="G3509" s="50">
        <v>1</v>
      </c>
      <c r="H3509" s="50" t="s">
        <v>2</v>
      </c>
      <c r="I3509" s="50" t="s">
        <v>293</v>
      </c>
      <c r="J3509" s="51">
        <v>45992</v>
      </c>
      <c r="K3509" s="50" t="s">
        <v>1</v>
      </c>
      <c r="L3509" s="50" t="s">
        <v>80</v>
      </c>
    </row>
    <row r="3510" spans="2:12">
      <c r="B3510" s="50" t="s">
        <v>413</v>
      </c>
      <c r="C3510" s="50" t="s">
        <v>51</v>
      </c>
      <c r="D3510" s="50" t="s">
        <v>39</v>
      </c>
      <c r="E3510" s="50">
        <v>50038841</v>
      </c>
      <c r="F3510" s="50" t="s">
        <v>180</v>
      </c>
      <c r="G3510" s="50">
        <v>1</v>
      </c>
      <c r="H3510" s="50" t="s">
        <v>2</v>
      </c>
      <c r="I3510" s="50" t="s">
        <v>293</v>
      </c>
      <c r="J3510" s="51">
        <v>45992</v>
      </c>
      <c r="K3510" s="50" t="s">
        <v>1</v>
      </c>
      <c r="L3510" s="50" t="s">
        <v>80</v>
      </c>
    </row>
    <row r="3511" spans="2:12">
      <c r="B3511" s="50" t="s">
        <v>413</v>
      </c>
      <c r="C3511" s="50" t="s">
        <v>51</v>
      </c>
      <c r="D3511" s="50" t="s">
        <v>39</v>
      </c>
      <c r="E3511" s="50">
        <v>50038517</v>
      </c>
      <c r="F3511" s="50" t="s">
        <v>181</v>
      </c>
      <c r="G3511" s="50">
        <v>1</v>
      </c>
      <c r="H3511" s="50" t="s">
        <v>2</v>
      </c>
      <c r="I3511" s="50" t="s">
        <v>293</v>
      </c>
      <c r="J3511" s="51">
        <v>45992</v>
      </c>
      <c r="K3511" s="50" t="s">
        <v>1</v>
      </c>
      <c r="L3511" s="50" t="s">
        <v>80</v>
      </c>
    </row>
    <row r="3512" spans="2:12">
      <c r="B3512" s="50" t="s">
        <v>478</v>
      </c>
      <c r="C3512" s="50" t="s">
        <v>51</v>
      </c>
      <c r="D3512" s="50" t="s">
        <v>27</v>
      </c>
      <c r="E3512" s="50">
        <v>50041195</v>
      </c>
      <c r="F3512" s="50" t="s">
        <v>206</v>
      </c>
      <c r="G3512" s="50">
        <v>1</v>
      </c>
      <c r="H3512" s="50" t="s">
        <v>2</v>
      </c>
      <c r="I3512" s="50" t="s">
        <v>293</v>
      </c>
      <c r="J3512" s="51">
        <v>45992</v>
      </c>
      <c r="K3512" s="50" t="s">
        <v>1</v>
      </c>
      <c r="L3512" s="50" t="s">
        <v>80</v>
      </c>
    </row>
    <row r="3513" spans="2:12">
      <c r="B3513" s="50" t="s">
        <v>316</v>
      </c>
      <c r="C3513" s="50" t="s">
        <v>51</v>
      </c>
      <c r="D3513" s="50" t="s">
        <v>27</v>
      </c>
      <c r="E3513" s="50">
        <v>50038195</v>
      </c>
      <c r="F3513" s="50" t="s">
        <v>239</v>
      </c>
      <c r="G3513" s="50">
        <v>1</v>
      </c>
      <c r="H3513" s="50" t="s">
        <v>2</v>
      </c>
      <c r="I3513" s="50" t="s">
        <v>293</v>
      </c>
      <c r="J3513" s="51">
        <v>45992</v>
      </c>
      <c r="K3513" s="50" t="s">
        <v>1</v>
      </c>
      <c r="L3513" s="50" t="s">
        <v>80</v>
      </c>
    </row>
    <row r="3514" spans="2:12">
      <c r="B3514" s="50" t="s">
        <v>316</v>
      </c>
      <c r="C3514" s="50" t="s">
        <v>51</v>
      </c>
      <c r="D3514" s="50" t="s">
        <v>27</v>
      </c>
      <c r="E3514" s="50">
        <v>50037892</v>
      </c>
      <c r="F3514" s="50" t="s">
        <v>178</v>
      </c>
      <c r="G3514" s="50">
        <v>1</v>
      </c>
      <c r="H3514" s="50" t="s">
        <v>2</v>
      </c>
      <c r="I3514" s="50" t="s">
        <v>293</v>
      </c>
      <c r="J3514" s="51">
        <v>45992</v>
      </c>
      <c r="K3514" s="50" t="s">
        <v>1</v>
      </c>
      <c r="L3514" s="50" t="s">
        <v>80</v>
      </c>
    </row>
    <row r="3515" spans="2:12">
      <c r="B3515" s="50" t="s">
        <v>407</v>
      </c>
      <c r="C3515" s="50" t="s">
        <v>56</v>
      </c>
      <c r="D3515" s="50" t="s">
        <v>39</v>
      </c>
      <c r="E3515" s="50">
        <v>50044003</v>
      </c>
      <c r="F3515" s="50" t="s">
        <v>263</v>
      </c>
      <c r="G3515" s="50">
        <v>1</v>
      </c>
      <c r="H3515" s="50" t="s">
        <v>2</v>
      </c>
      <c r="I3515" s="50" t="s">
        <v>293</v>
      </c>
      <c r="J3515" s="51">
        <v>45992</v>
      </c>
      <c r="K3515" s="50" t="s">
        <v>1</v>
      </c>
      <c r="L3515" s="50" t="s">
        <v>80</v>
      </c>
    </row>
    <row r="3516" spans="2:12">
      <c r="B3516" s="50" t="s">
        <v>394</v>
      </c>
      <c r="C3516" s="50" t="s">
        <v>51</v>
      </c>
      <c r="D3516" s="50" t="s">
        <v>27</v>
      </c>
      <c r="E3516" s="50">
        <v>50032781</v>
      </c>
      <c r="F3516" s="50" t="s">
        <v>237</v>
      </c>
      <c r="G3516" s="50">
        <v>1</v>
      </c>
      <c r="H3516" s="50" t="s">
        <v>2</v>
      </c>
      <c r="I3516" s="50" t="s">
        <v>293</v>
      </c>
      <c r="J3516" s="51">
        <v>45992</v>
      </c>
      <c r="K3516" s="50" t="s">
        <v>1</v>
      </c>
      <c r="L3516" s="50" t="s">
        <v>80</v>
      </c>
    </row>
    <row r="3517" spans="2:12">
      <c r="B3517" s="50" t="s">
        <v>427</v>
      </c>
      <c r="C3517" s="50" t="s">
        <v>26</v>
      </c>
      <c r="D3517" s="50" t="s">
        <v>27</v>
      </c>
      <c r="E3517" s="50">
        <v>50022878</v>
      </c>
      <c r="F3517" s="50" t="s">
        <v>296</v>
      </c>
      <c r="G3517" s="50">
        <v>1</v>
      </c>
      <c r="H3517" s="50" t="s">
        <v>2</v>
      </c>
      <c r="I3517" s="50" t="s">
        <v>293</v>
      </c>
      <c r="J3517" s="51">
        <v>45992</v>
      </c>
      <c r="K3517" s="50" t="s">
        <v>3</v>
      </c>
      <c r="L3517" s="50" t="s">
        <v>80</v>
      </c>
    </row>
    <row r="3518" spans="2:12">
      <c r="B3518" s="50" t="s">
        <v>427</v>
      </c>
      <c r="C3518" s="50" t="s">
        <v>26</v>
      </c>
      <c r="D3518" s="50" t="s">
        <v>27</v>
      </c>
      <c r="E3518" s="50">
        <v>50022878</v>
      </c>
      <c r="F3518" s="50" t="s">
        <v>296</v>
      </c>
      <c r="G3518" s="50">
        <v>1</v>
      </c>
      <c r="H3518" s="50" t="s">
        <v>2</v>
      </c>
      <c r="I3518" s="50" t="s">
        <v>293</v>
      </c>
      <c r="J3518" s="51">
        <v>45992</v>
      </c>
      <c r="K3518" s="50" t="s">
        <v>3</v>
      </c>
      <c r="L3518" s="50" t="s">
        <v>80</v>
      </c>
    </row>
    <row r="3519" spans="2:12">
      <c r="B3519" s="50" t="s">
        <v>394</v>
      </c>
      <c r="C3519" s="50" t="s">
        <v>51</v>
      </c>
      <c r="D3519" s="50" t="s">
        <v>27</v>
      </c>
      <c r="E3519" s="50">
        <v>50032781</v>
      </c>
      <c r="F3519" s="50" t="s">
        <v>237</v>
      </c>
      <c r="G3519" s="50">
        <v>1</v>
      </c>
      <c r="H3519" s="50" t="s">
        <v>2</v>
      </c>
      <c r="I3519" s="50" t="s">
        <v>293</v>
      </c>
      <c r="J3519" s="51">
        <v>45992</v>
      </c>
      <c r="K3519" s="50" t="s">
        <v>3</v>
      </c>
      <c r="L3519" s="50" t="s">
        <v>80</v>
      </c>
    </row>
    <row r="3520" spans="2:12">
      <c r="B3520" s="50" t="s">
        <v>389</v>
      </c>
      <c r="C3520" s="50" t="s">
        <v>56</v>
      </c>
      <c r="D3520" s="50" t="s">
        <v>27</v>
      </c>
      <c r="E3520" s="50">
        <v>50036280</v>
      </c>
      <c r="F3520" s="50" t="s">
        <v>152</v>
      </c>
      <c r="G3520" s="50">
        <v>1</v>
      </c>
      <c r="H3520" s="50" t="s">
        <v>2</v>
      </c>
      <c r="I3520" s="50" t="s">
        <v>293</v>
      </c>
      <c r="J3520" s="51">
        <v>45992</v>
      </c>
      <c r="K3520" s="50" t="s">
        <v>3</v>
      </c>
      <c r="L3520" s="50" t="s">
        <v>80</v>
      </c>
    </row>
    <row r="3521" spans="2:12">
      <c r="B3521" s="50" t="s">
        <v>478</v>
      </c>
      <c r="C3521" s="50" t="s">
        <v>51</v>
      </c>
      <c r="D3521" s="50" t="s">
        <v>27</v>
      </c>
      <c r="E3521" s="50">
        <v>50043471</v>
      </c>
      <c r="F3521" s="50" t="s">
        <v>257</v>
      </c>
      <c r="G3521" s="50">
        <v>1</v>
      </c>
      <c r="H3521" s="50" t="s">
        <v>2</v>
      </c>
      <c r="I3521" s="50" t="s">
        <v>293</v>
      </c>
      <c r="J3521" s="51">
        <v>45992</v>
      </c>
      <c r="K3521" s="50" t="s">
        <v>3</v>
      </c>
      <c r="L3521" s="50" t="s">
        <v>80</v>
      </c>
    </row>
    <row r="3522" spans="2:12">
      <c r="B3522" s="50" t="s">
        <v>478</v>
      </c>
      <c r="C3522" s="50" t="s">
        <v>51</v>
      </c>
      <c r="D3522" s="50" t="s">
        <v>27</v>
      </c>
      <c r="E3522" s="50">
        <v>50041195</v>
      </c>
      <c r="F3522" s="50" t="s">
        <v>206</v>
      </c>
      <c r="G3522" s="50">
        <v>1</v>
      </c>
      <c r="H3522" s="50" t="s">
        <v>2</v>
      </c>
      <c r="I3522" s="50" t="s">
        <v>293</v>
      </c>
      <c r="J3522" s="51">
        <v>45992</v>
      </c>
      <c r="K3522" s="50" t="s">
        <v>3</v>
      </c>
      <c r="L3522" s="50" t="s">
        <v>80</v>
      </c>
    </row>
    <row r="3523" spans="2:12">
      <c r="B3523" s="50" t="s">
        <v>413</v>
      </c>
      <c r="C3523" s="50" t="s">
        <v>51</v>
      </c>
      <c r="D3523" s="50" t="s">
        <v>39</v>
      </c>
      <c r="E3523" s="50">
        <v>50038841</v>
      </c>
      <c r="F3523" s="50" t="s">
        <v>180</v>
      </c>
      <c r="G3523" s="50">
        <v>1</v>
      </c>
      <c r="H3523" s="50" t="s">
        <v>2</v>
      </c>
      <c r="I3523" s="50" t="s">
        <v>297</v>
      </c>
      <c r="J3523" s="51">
        <v>45992</v>
      </c>
      <c r="K3523" s="50" t="s">
        <v>3</v>
      </c>
      <c r="L3523" s="50" t="s">
        <v>80</v>
      </c>
    </row>
    <row r="3524" spans="2:12">
      <c r="B3524" s="50" t="s">
        <v>413</v>
      </c>
      <c r="C3524" s="50" t="s">
        <v>51</v>
      </c>
      <c r="D3524" s="50" t="s">
        <v>39</v>
      </c>
      <c r="E3524" s="50">
        <v>50038517</v>
      </c>
      <c r="F3524" s="50" t="s">
        <v>181</v>
      </c>
      <c r="G3524" s="50">
        <v>1</v>
      </c>
      <c r="H3524" s="50" t="s">
        <v>2</v>
      </c>
      <c r="I3524" s="50" t="s">
        <v>297</v>
      </c>
      <c r="J3524" s="51">
        <v>45992</v>
      </c>
      <c r="K3524" s="50" t="s">
        <v>3</v>
      </c>
      <c r="L3524" s="50" t="s">
        <v>80</v>
      </c>
    </row>
    <row r="3525" spans="2:12">
      <c r="B3525" s="50" t="s">
        <v>316</v>
      </c>
      <c r="C3525" s="50" t="s">
        <v>51</v>
      </c>
      <c r="D3525" s="50" t="s">
        <v>27</v>
      </c>
      <c r="E3525" s="50">
        <v>50038195</v>
      </c>
      <c r="F3525" s="50" t="s">
        <v>239</v>
      </c>
      <c r="G3525" s="50">
        <v>1</v>
      </c>
      <c r="H3525" s="50" t="s">
        <v>2</v>
      </c>
      <c r="I3525" s="50" t="s">
        <v>297</v>
      </c>
      <c r="J3525" s="51">
        <v>45992</v>
      </c>
      <c r="K3525" s="50" t="s">
        <v>1</v>
      </c>
      <c r="L3525" s="50" t="s">
        <v>80</v>
      </c>
    </row>
    <row r="3526" spans="2:12">
      <c r="B3526" s="50" t="s">
        <v>444</v>
      </c>
      <c r="C3526" s="50" t="s">
        <v>51</v>
      </c>
      <c r="D3526" s="50" t="s">
        <v>27</v>
      </c>
      <c r="E3526" s="50">
        <v>50038517</v>
      </c>
      <c r="F3526" s="50" t="s">
        <v>181</v>
      </c>
      <c r="G3526" s="50">
        <v>1</v>
      </c>
      <c r="H3526" s="50" t="s">
        <v>2</v>
      </c>
      <c r="I3526" s="50" t="s">
        <v>293</v>
      </c>
      <c r="J3526" s="51">
        <v>45992</v>
      </c>
      <c r="K3526" s="50" t="s">
        <v>1</v>
      </c>
      <c r="L3526" s="50" t="s">
        <v>80</v>
      </c>
    </row>
    <row r="3527" spans="2:12">
      <c r="B3527" s="50" t="s">
        <v>273</v>
      </c>
      <c r="C3527" s="50" t="s">
        <v>274</v>
      </c>
      <c r="D3527" s="50" t="s">
        <v>27</v>
      </c>
      <c r="E3527" s="50">
        <v>50037906</v>
      </c>
      <c r="F3527" s="50" t="s">
        <v>215</v>
      </c>
      <c r="G3527" s="50">
        <v>1</v>
      </c>
      <c r="H3527" s="50" t="s">
        <v>2</v>
      </c>
      <c r="I3527" s="50" t="s">
        <v>293</v>
      </c>
      <c r="J3527" s="51">
        <v>45992</v>
      </c>
      <c r="K3527" s="50" t="s">
        <v>3</v>
      </c>
      <c r="L3527" s="50" t="s">
        <v>80</v>
      </c>
    </row>
    <row r="3528" spans="2:12">
      <c r="B3528" s="50" t="s">
        <v>273</v>
      </c>
      <c r="C3528" s="50" t="s">
        <v>274</v>
      </c>
      <c r="D3528" s="50" t="s">
        <v>27</v>
      </c>
      <c r="E3528" s="50">
        <v>50041195</v>
      </c>
      <c r="F3528" s="50" t="s">
        <v>206</v>
      </c>
      <c r="G3528" s="50">
        <v>1</v>
      </c>
      <c r="H3528" s="50" t="s">
        <v>2</v>
      </c>
      <c r="I3528" s="50" t="s">
        <v>293</v>
      </c>
      <c r="J3528" s="51">
        <v>45992</v>
      </c>
      <c r="K3528" s="50" t="s">
        <v>1</v>
      </c>
      <c r="L3528" s="50" t="s">
        <v>80</v>
      </c>
    </row>
    <row r="3529" spans="2:12">
      <c r="B3529" s="50" t="s">
        <v>316</v>
      </c>
      <c r="C3529" s="50" t="s">
        <v>51</v>
      </c>
      <c r="D3529" s="50" t="s">
        <v>27</v>
      </c>
      <c r="E3529" s="50">
        <v>50037892</v>
      </c>
      <c r="F3529" s="50" t="s">
        <v>178</v>
      </c>
      <c r="G3529" s="50">
        <v>1</v>
      </c>
      <c r="H3529" s="50" t="s">
        <v>2</v>
      </c>
      <c r="I3529" s="50" t="s">
        <v>291</v>
      </c>
      <c r="J3529" s="51">
        <v>45992</v>
      </c>
      <c r="K3529" s="50" t="s">
        <v>1</v>
      </c>
      <c r="L3529" s="50" t="s">
        <v>80</v>
      </c>
    </row>
    <row r="3530" spans="2:12">
      <c r="B3530" s="50" t="s">
        <v>428</v>
      </c>
      <c r="C3530" s="50" t="s">
        <v>26</v>
      </c>
      <c r="D3530" s="50" t="s">
        <v>27</v>
      </c>
      <c r="E3530" s="50">
        <v>50022878</v>
      </c>
      <c r="F3530" s="50" t="s">
        <v>296</v>
      </c>
      <c r="G3530" s="50">
        <v>1</v>
      </c>
      <c r="H3530" s="50" t="s">
        <v>2</v>
      </c>
      <c r="I3530" s="50" t="s">
        <v>291</v>
      </c>
      <c r="J3530" s="51">
        <v>45992</v>
      </c>
      <c r="K3530" s="50" t="s">
        <v>3</v>
      </c>
      <c r="L3530" s="50" t="s">
        <v>80</v>
      </c>
    </row>
    <row r="3531" spans="2:12">
      <c r="B3531" s="50" t="s">
        <v>407</v>
      </c>
      <c r="C3531" s="50" t="s">
        <v>56</v>
      </c>
      <c r="D3531" s="50" t="s">
        <v>39</v>
      </c>
      <c r="E3531" s="50">
        <v>50044003</v>
      </c>
      <c r="F3531" s="50" t="s">
        <v>263</v>
      </c>
      <c r="G3531" s="50">
        <v>1</v>
      </c>
      <c r="H3531" s="50" t="s">
        <v>2</v>
      </c>
      <c r="I3531" s="50" t="s">
        <v>291</v>
      </c>
      <c r="J3531" s="51">
        <v>45992</v>
      </c>
      <c r="K3531" s="50" t="s">
        <v>1</v>
      </c>
      <c r="L3531" s="50" t="s">
        <v>80</v>
      </c>
    </row>
    <row r="3532" spans="2:12">
      <c r="B3532" s="50" t="s">
        <v>386</v>
      </c>
      <c r="C3532" s="50" t="s">
        <v>56</v>
      </c>
      <c r="D3532" s="50" t="s">
        <v>41</v>
      </c>
      <c r="E3532" s="50">
        <v>50044003</v>
      </c>
      <c r="F3532" s="50" t="s">
        <v>263</v>
      </c>
      <c r="G3532" s="50">
        <v>1</v>
      </c>
      <c r="H3532" s="50" t="s">
        <v>2</v>
      </c>
      <c r="I3532" s="50" t="s">
        <v>291</v>
      </c>
      <c r="J3532" s="51">
        <v>45992</v>
      </c>
      <c r="K3532" s="50" t="s">
        <v>3</v>
      </c>
      <c r="L3532" s="50" t="s">
        <v>80</v>
      </c>
    </row>
    <row r="3533" spans="2:12">
      <c r="B3533" s="50" t="s">
        <v>428</v>
      </c>
      <c r="C3533" s="50" t="s">
        <v>26</v>
      </c>
      <c r="D3533" s="50" t="s">
        <v>27</v>
      </c>
      <c r="E3533" s="50">
        <v>50022878</v>
      </c>
      <c r="F3533" s="50" t="s">
        <v>296</v>
      </c>
      <c r="G3533" s="50">
        <v>1</v>
      </c>
      <c r="H3533" s="50" t="s">
        <v>2</v>
      </c>
      <c r="I3533" s="50" t="s">
        <v>291</v>
      </c>
      <c r="J3533" s="51">
        <v>45992</v>
      </c>
      <c r="K3533" s="50" t="s">
        <v>3</v>
      </c>
      <c r="L3533" s="50" t="s">
        <v>80</v>
      </c>
    </row>
    <row r="3534" spans="2:12">
      <c r="B3534" s="50" t="s">
        <v>273</v>
      </c>
      <c r="C3534" s="50" t="s">
        <v>274</v>
      </c>
      <c r="D3534" s="50" t="s">
        <v>27</v>
      </c>
      <c r="E3534" s="50">
        <v>50037906</v>
      </c>
      <c r="F3534" s="50" t="s">
        <v>215</v>
      </c>
      <c r="G3534" s="50">
        <v>1</v>
      </c>
      <c r="H3534" s="50" t="s">
        <v>2</v>
      </c>
      <c r="I3534" s="50" t="s">
        <v>291</v>
      </c>
      <c r="J3534" s="51">
        <v>45992</v>
      </c>
      <c r="K3534" s="50" t="s">
        <v>3</v>
      </c>
      <c r="L3534" s="50" t="s">
        <v>80</v>
      </c>
    </row>
    <row r="3535" spans="2:12">
      <c r="B3535" s="50" t="s">
        <v>273</v>
      </c>
      <c r="C3535" s="50" t="s">
        <v>274</v>
      </c>
      <c r="D3535" s="50" t="s">
        <v>27</v>
      </c>
      <c r="E3535" s="50">
        <v>50041195</v>
      </c>
      <c r="F3535" s="50" t="s">
        <v>206</v>
      </c>
      <c r="G3535" s="50">
        <v>1</v>
      </c>
      <c r="H3535" s="50" t="s">
        <v>2</v>
      </c>
      <c r="I3535" s="50" t="s">
        <v>291</v>
      </c>
      <c r="J3535" s="51">
        <v>45992</v>
      </c>
      <c r="K3535" s="50" t="s">
        <v>3</v>
      </c>
      <c r="L3535" s="50" t="s">
        <v>80</v>
      </c>
    </row>
    <row r="3536" spans="2:12">
      <c r="B3536" s="50" t="s">
        <v>444</v>
      </c>
      <c r="C3536" s="50" t="s">
        <v>51</v>
      </c>
      <c r="D3536" s="50" t="s">
        <v>27</v>
      </c>
      <c r="E3536" s="50">
        <v>50038517</v>
      </c>
      <c r="F3536" s="50" t="s">
        <v>181</v>
      </c>
      <c r="G3536" s="50">
        <v>1</v>
      </c>
      <c r="H3536" s="50" t="s">
        <v>2</v>
      </c>
      <c r="I3536" s="50" t="s">
        <v>291</v>
      </c>
      <c r="J3536" s="51">
        <v>45992</v>
      </c>
      <c r="K3536" s="50" t="s">
        <v>3</v>
      </c>
      <c r="L3536" s="50" t="s">
        <v>80</v>
      </c>
    </row>
    <row r="3537" spans="2:12">
      <c r="B3537" s="50" t="s">
        <v>386</v>
      </c>
      <c r="C3537" s="50" t="s">
        <v>56</v>
      </c>
      <c r="D3537" s="50" t="s">
        <v>41</v>
      </c>
      <c r="E3537" s="50">
        <v>50044003</v>
      </c>
      <c r="F3537" s="50" t="s">
        <v>263</v>
      </c>
      <c r="G3537" s="50">
        <v>1</v>
      </c>
      <c r="H3537" s="50" t="s">
        <v>2</v>
      </c>
      <c r="I3537" s="50" t="s">
        <v>291</v>
      </c>
      <c r="J3537" s="51">
        <v>45992</v>
      </c>
      <c r="K3537" s="50" t="s">
        <v>1</v>
      </c>
      <c r="L3537" s="50" t="s">
        <v>80</v>
      </c>
    </row>
    <row r="3538" spans="2:12">
      <c r="B3538" s="50" t="s">
        <v>461</v>
      </c>
      <c r="C3538" s="50" t="s">
        <v>26</v>
      </c>
      <c r="D3538" s="50" t="s">
        <v>39</v>
      </c>
      <c r="E3538" s="50">
        <v>50036279</v>
      </c>
      <c r="F3538" s="50" t="s">
        <v>133</v>
      </c>
      <c r="G3538" s="50">
        <v>1</v>
      </c>
      <c r="H3538" s="50" t="s">
        <v>2</v>
      </c>
      <c r="I3538" s="50" t="s">
        <v>291</v>
      </c>
      <c r="J3538" s="51">
        <v>45992</v>
      </c>
      <c r="K3538" s="59" t="s">
        <v>1</v>
      </c>
      <c r="L3538" s="50" t="s">
        <v>346</v>
      </c>
    </row>
    <row r="3539" spans="2:12">
      <c r="B3539" s="50" t="s">
        <v>459</v>
      </c>
      <c r="C3539" s="50" t="s">
        <v>51</v>
      </c>
      <c r="D3539" s="58" t="s">
        <v>41</v>
      </c>
      <c r="E3539" s="50">
        <v>50037902</v>
      </c>
      <c r="F3539" s="50" t="s">
        <v>179</v>
      </c>
      <c r="G3539" s="50">
        <v>1</v>
      </c>
      <c r="H3539" s="50" t="s">
        <v>2</v>
      </c>
      <c r="I3539" s="59" t="s">
        <v>316</v>
      </c>
      <c r="J3539" s="63">
        <v>45992</v>
      </c>
      <c r="K3539" s="59" t="s">
        <v>3</v>
      </c>
      <c r="L3539" s="50" t="s">
        <v>80</v>
      </c>
    </row>
    <row r="3540" spans="2:12">
      <c r="B3540" s="50" t="s">
        <v>459</v>
      </c>
      <c r="C3540" s="50" t="s">
        <v>51</v>
      </c>
      <c r="D3540" s="58" t="s">
        <v>41</v>
      </c>
      <c r="E3540" s="50">
        <v>50037902</v>
      </c>
      <c r="F3540" s="50" t="s">
        <v>179</v>
      </c>
      <c r="G3540" s="50">
        <v>1</v>
      </c>
      <c r="H3540" s="50" t="s">
        <v>2</v>
      </c>
      <c r="I3540" s="59" t="s">
        <v>316</v>
      </c>
      <c r="J3540" s="63">
        <v>45992</v>
      </c>
      <c r="K3540" s="50" t="s">
        <v>1</v>
      </c>
      <c r="L3540" s="50" t="s">
        <v>80</v>
      </c>
    </row>
    <row r="3541" spans="2:12">
      <c r="B3541" s="50" t="s">
        <v>458</v>
      </c>
      <c r="C3541" s="50" t="s">
        <v>26</v>
      </c>
      <c r="D3541" s="50" t="s">
        <v>27</v>
      </c>
      <c r="E3541" s="50">
        <v>50041653</v>
      </c>
      <c r="F3541" s="50" t="s">
        <v>201</v>
      </c>
      <c r="G3541" s="50">
        <v>1</v>
      </c>
      <c r="H3541" s="50" t="s">
        <v>2</v>
      </c>
      <c r="I3541" s="50" t="s">
        <v>289</v>
      </c>
      <c r="J3541" s="51">
        <v>45991</v>
      </c>
      <c r="K3541" s="50" t="s">
        <v>3</v>
      </c>
      <c r="L3541" s="50" t="s">
        <v>80</v>
      </c>
    </row>
    <row r="3542" spans="2:12">
      <c r="B3542" s="50" t="s">
        <v>461</v>
      </c>
      <c r="C3542" s="50" t="s">
        <v>26</v>
      </c>
      <c r="D3542" s="50" t="s">
        <v>39</v>
      </c>
      <c r="E3542" s="50">
        <v>50036279</v>
      </c>
      <c r="F3542" s="50" t="s">
        <v>133</v>
      </c>
      <c r="G3542" s="50">
        <v>1</v>
      </c>
      <c r="H3542" s="50" t="s">
        <v>2</v>
      </c>
      <c r="I3542" s="50" t="s">
        <v>289</v>
      </c>
      <c r="J3542" s="51">
        <v>45991</v>
      </c>
      <c r="K3542" s="50" t="s">
        <v>3</v>
      </c>
      <c r="L3542" s="50" t="s">
        <v>80</v>
      </c>
    </row>
    <row r="3543" spans="2:12">
      <c r="B3543" s="50" t="s">
        <v>458</v>
      </c>
      <c r="C3543" s="50" t="s">
        <v>26</v>
      </c>
      <c r="D3543" s="50" t="s">
        <v>27</v>
      </c>
      <c r="E3543" s="50">
        <v>50041653</v>
      </c>
      <c r="F3543" s="50" t="s">
        <v>201</v>
      </c>
      <c r="G3543" s="50">
        <v>1</v>
      </c>
      <c r="H3543" s="50" t="s">
        <v>2</v>
      </c>
      <c r="I3543" s="50" t="s">
        <v>289</v>
      </c>
      <c r="J3543" s="51">
        <v>45991</v>
      </c>
      <c r="K3543" s="50" t="s">
        <v>1</v>
      </c>
      <c r="L3543" s="50" t="s">
        <v>80</v>
      </c>
    </row>
    <row r="3544" spans="2:12">
      <c r="B3544" s="50" t="s">
        <v>458</v>
      </c>
      <c r="C3544" s="50" t="s">
        <v>26</v>
      </c>
      <c r="D3544" s="50" t="s">
        <v>27</v>
      </c>
      <c r="E3544" s="50">
        <v>50037905</v>
      </c>
      <c r="F3544" s="50" t="s">
        <v>150</v>
      </c>
      <c r="G3544" s="50">
        <v>1</v>
      </c>
      <c r="H3544" s="50" t="s">
        <v>2</v>
      </c>
      <c r="I3544" s="50" t="s">
        <v>289</v>
      </c>
      <c r="J3544" s="51">
        <v>45991</v>
      </c>
      <c r="K3544" s="59" t="s">
        <v>1</v>
      </c>
      <c r="L3544" s="50" t="s">
        <v>80</v>
      </c>
    </row>
    <row r="3545" spans="2:12">
      <c r="B3545" s="50" t="s">
        <v>386</v>
      </c>
      <c r="C3545" s="50" t="s">
        <v>62</v>
      </c>
      <c r="D3545" s="50" t="s">
        <v>27</v>
      </c>
      <c r="E3545" s="50">
        <v>50041195</v>
      </c>
      <c r="F3545" s="50" t="s">
        <v>206</v>
      </c>
      <c r="G3545" s="50">
        <v>1</v>
      </c>
      <c r="H3545" s="50" t="s">
        <v>2</v>
      </c>
      <c r="I3545" s="59" t="s">
        <v>289</v>
      </c>
      <c r="J3545" s="63">
        <v>45991</v>
      </c>
      <c r="K3545" s="59" t="s">
        <v>3</v>
      </c>
      <c r="L3545" s="50" t="s">
        <v>80</v>
      </c>
    </row>
    <row r="3546" spans="2:12">
      <c r="B3546" s="50" t="s">
        <v>386</v>
      </c>
      <c r="C3546" s="50" t="s">
        <v>62</v>
      </c>
      <c r="D3546" s="50" t="s">
        <v>27</v>
      </c>
      <c r="E3546" s="50">
        <v>50041195</v>
      </c>
      <c r="F3546" s="50" t="s">
        <v>206</v>
      </c>
      <c r="G3546" s="50">
        <v>1</v>
      </c>
      <c r="H3546" s="50" t="s">
        <v>2</v>
      </c>
      <c r="I3546" s="59" t="s">
        <v>289</v>
      </c>
      <c r="J3546" s="63">
        <v>45991</v>
      </c>
      <c r="K3546" s="59" t="s">
        <v>1</v>
      </c>
      <c r="L3546" s="50" t="s">
        <v>80</v>
      </c>
    </row>
    <row r="3547" spans="2:12">
      <c r="B3547" s="50" t="s">
        <v>386</v>
      </c>
      <c r="C3547" s="50" t="s">
        <v>62</v>
      </c>
      <c r="D3547" s="50" t="s">
        <v>27</v>
      </c>
      <c r="E3547" s="50">
        <v>50037892</v>
      </c>
      <c r="F3547" s="50" t="s">
        <v>178</v>
      </c>
      <c r="G3547" s="50">
        <v>1</v>
      </c>
      <c r="H3547" s="50" t="s">
        <v>2</v>
      </c>
      <c r="I3547" s="59" t="s">
        <v>289</v>
      </c>
      <c r="J3547" s="63">
        <v>45991</v>
      </c>
      <c r="K3547" s="59" t="s">
        <v>3</v>
      </c>
      <c r="L3547" s="50" t="s">
        <v>80</v>
      </c>
    </row>
    <row r="3548" spans="2:12">
      <c r="B3548" s="50" t="s">
        <v>386</v>
      </c>
      <c r="C3548" s="50" t="s">
        <v>62</v>
      </c>
      <c r="D3548" s="50" t="s">
        <v>27</v>
      </c>
      <c r="E3548" s="50">
        <v>50037892</v>
      </c>
      <c r="F3548" s="50" t="s">
        <v>178</v>
      </c>
      <c r="G3548" s="50">
        <v>1</v>
      </c>
      <c r="H3548" s="50" t="s">
        <v>2</v>
      </c>
      <c r="I3548" s="59" t="s">
        <v>289</v>
      </c>
      <c r="J3548" s="63">
        <v>45991</v>
      </c>
      <c r="K3548" s="59" t="s">
        <v>1</v>
      </c>
      <c r="L3548" s="50" t="s">
        <v>80</v>
      </c>
    </row>
    <row r="3549" spans="2:12">
      <c r="B3549" s="50" t="s">
        <v>394</v>
      </c>
      <c r="C3549" s="50" t="s">
        <v>26</v>
      </c>
      <c r="D3549" s="58" t="s">
        <v>41</v>
      </c>
      <c r="E3549" s="50">
        <v>50041095</v>
      </c>
      <c r="F3549" s="50" t="s">
        <v>248</v>
      </c>
      <c r="G3549" s="50">
        <v>1</v>
      </c>
      <c r="H3549" s="50" t="s">
        <v>2</v>
      </c>
      <c r="I3549" s="59" t="s">
        <v>289</v>
      </c>
      <c r="J3549" s="63">
        <v>45991</v>
      </c>
      <c r="K3549" s="59" t="s">
        <v>3</v>
      </c>
      <c r="L3549" s="50" t="s">
        <v>80</v>
      </c>
    </row>
    <row r="3550" spans="2:12">
      <c r="B3550" s="50" t="s">
        <v>394</v>
      </c>
      <c r="C3550" s="50" t="s">
        <v>26</v>
      </c>
      <c r="D3550" s="58" t="s">
        <v>41</v>
      </c>
      <c r="E3550" s="50">
        <v>50041095</v>
      </c>
      <c r="F3550" s="50" t="s">
        <v>248</v>
      </c>
      <c r="G3550" s="50">
        <v>1</v>
      </c>
      <c r="H3550" s="50" t="s">
        <v>2</v>
      </c>
      <c r="I3550" s="59" t="s">
        <v>289</v>
      </c>
      <c r="J3550" s="63">
        <v>45991</v>
      </c>
      <c r="K3550" s="59" t="s">
        <v>1</v>
      </c>
      <c r="L3550" s="50" t="s">
        <v>80</v>
      </c>
    </row>
    <row r="3551" spans="2:12">
      <c r="B3551" s="50" t="e">
        <v>#N/A</v>
      </c>
      <c r="C3551" s="50" t="s">
        <v>51</v>
      </c>
      <c r="D3551" s="58" t="s">
        <v>41</v>
      </c>
      <c r="E3551" s="50">
        <v>50038956</v>
      </c>
      <c r="F3551" s="50" t="s">
        <v>177</v>
      </c>
      <c r="G3551" s="50">
        <v>1</v>
      </c>
      <c r="H3551" s="50" t="s">
        <v>2</v>
      </c>
      <c r="I3551" s="59" t="s">
        <v>289</v>
      </c>
      <c r="J3551" s="63">
        <v>45991</v>
      </c>
      <c r="K3551" s="59" t="s">
        <v>3</v>
      </c>
      <c r="L3551" s="50" t="s">
        <v>80</v>
      </c>
    </row>
    <row r="3552" spans="2:12">
      <c r="B3552" s="50" t="e">
        <v>#N/A</v>
      </c>
      <c r="C3552" s="50" t="s">
        <v>51</v>
      </c>
      <c r="D3552" s="58" t="s">
        <v>41</v>
      </c>
      <c r="E3552" s="50">
        <v>50038956</v>
      </c>
      <c r="F3552" s="50" t="s">
        <v>177</v>
      </c>
      <c r="G3552" s="50">
        <v>1</v>
      </c>
      <c r="H3552" s="50" t="s">
        <v>2</v>
      </c>
      <c r="I3552" s="59" t="s">
        <v>289</v>
      </c>
      <c r="J3552" s="63">
        <v>45991</v>
      </c>
      <c r="K3552" s="50" t="s">
        <v>1</v>
      </c>
      <c r="L3552" s="50" t="s">
        <v>80</v>
      </c>
    </row>
    <row r="3553" spans="2:12">
      <c r="B3553" s="50" t="s">
        <v>415</v>
      </c>
      <c r="C3553" s="50" t="s">
        <v>51</v>
      </c>
      <c r="D3553" s="50" t="s">
        <v>27</v>
      </c>
      <c r="E3553" s="50">
        <v>50038956</v>
      </c>
      <c r="F3553" s="50" t="s">
        <v>177</v>
      </c>
      <c r="G3553" s="50">
        <v>1</v>
      </c>
      <c r="H3553" s="50" t="s">
        <v>2</v>
      </c>
      <c r="I3553" s="50" t="s">
        <v>289</v>
      </c>
      <c r="J3553" s="51">
        <v>45990</v>
      </c>
      <c r="K3553" s="50" t="s">
        <v>3</v>
      </c>
      <c r="L3553" s="50" t="s">
        <v>80</v>
      </c>
    </row>
    <row r="3554" spans="2:12">
      <c r="B3554" s="50" t="s">
        <v>434</v>
      </c>
      <c r="C3554" s="50" t="s">
        <v>51</v>
      </c>
      <c r="D3554" s="50" t="s">
        <v>39</v>
      </c>
      <c r="E3554" s="50">
        <v>50038841</v>
      </c>
      <c r="F3554" s="50" t="s">
        <v>180</v>
      </c>
      <c r="G3554" s="50">
        <v>1</v>
      </c>
      <c r="H3554" s="50" t="s">
        <v>2</v>
      </c>
      <c r="I3554" s="50" t="s">
        <v>289</v>
      </c>
      <c r="J3554" s="51">
        <v>45990</v>
      </c>
      <c r="K3554" s="50" t="s">
        <v>3</v>
      </c>
      <c r="L3554" s="50" t="s">
        <v>80</v>
      </c>
    </row>
    <row r="3555" spans="2:12">
      <c r="B3555" s="50" t="s">
        <v>458</v>
      </c>
      <c r="C3555" s="50" t="s">
        <v>26</v>
      </c>
      <c r="D3555" s="50" t="s">
        <v>27</v>
      </c>
      <c r="E3555" s="50">
        <v>50037905</v>
      </c>
      <c r="F3555" s="50" t="s">
        <v>150</v>
      </c>
      <c r="G3555" s="50">
        <v>1</v>
      </c>
      <c r="H3555" s="50" t="s">
        <v>2</v>
      </c>
      <c r="I3555" s="50" t="s">
        <v>289</v>
      </c>
      <c r="J3555" s="51">
        <v>45990</v>
      </c>
      <c r="K3555" s="50" t="s">
        <v>3</v>
      </c>
      <c r="L3555" s="50" t="s">
        <v>80</v>
      </c>
    </row>
    <row r="3556" spans="2:12">
      <c r="B3556" s="50" t="s">
        <v>415</v>
      </c>
      <c r="C3556" s="50" t="s">
        <v>51</v>
      </c>
      <c r="D3556" s="50" t="s">
        <v>27</v>
      </c>
      <c r="E3556" s="50">
        <v>50038956</v>
      </c>
      <c r="F3556" s="50" t="s">
        <v>177</v>
      </c>
      <c r="G3556" s="50">
        <v>1</v>
      </c>
      <c r="H3556" s="50" t="s">
        <v>2</v>
      </c>
      <c r="I3556" s="50" t="s">
        <v>289</v>
      </c>
      <c r="J3556" s="51">
        <v>45990</v>
      </c>
      <c r="K3556" s="50" t="s">
        <v>3</v>
      </c>
      <c r="L3556" s="50" t="s">
        <v>80</v>
      </c>
    </row>
    <row r="3557" spans="2:12">
      <c r="B3557" s="50" t="s">
        <v>434</v>
      </c>
      <c r="C3557" s="50" t="s">
        <v>51</v>
      </c>
      <c r="D3557" s="50" t="s">
        <v>39</v>
      </c>
      <c r="E3557" s="50">
        <v>50038841</v>
      </c>
      <c r="F3557" s="50" t="s">
        <v>180</v>
      </c>
      <c r="G3557" s="50">
        <v>1</v>
      </c>
      <c r="H3557" s="50" t="s">
        <v>2</v>
      </c>
      <c r="I3557" s="50" t="s">
        <v>289</v>
      </c>
      <c r="J3557" s="51">
        <v>45990</v>
      </c>
      <c r="K3557" s="59" t="s">
        <v>1</v>
      </c>
      <c r="L3557" s="50" t="s">
        <v>80</v>
      </c>
    </row>
    <row r="3558" spans="2:12">
      <c r="B3558" s="50" t="s">
        <v>439</v>
      </c>
      <c r="C3558" s="50" t="s">
        <v>62</v>
      </c>
      <c r="D3558" s="50" t="s">
        <v>27</v>
      </c>
      <c r="E3558" s="50">
        <v>50038517</v>
      </c>
      <c r="F3558" s="50" t="s">
        <v>181</v>
      </c>
      <c r="G3558" s="50">
        <v>1</v>
      </c>
      <c r="H3558" s="50" t="s">
        <v>2</v>
      </c>
      <c r="I3558" s="59" t="s">
        <v>289</v>
      </c>
      <c r="J3558" s="60">
        <v>45990</v>
      </c>
      <c r="K3558" s="59" t="s">
        <v>3</v>
      </c>
      <c r="L3558" s="50" t="s">
        <v>80</v>
      </c>
    </row>
    <row r="3559" spans="2:12">
      <c r="B3559" s="50" t="s">
        <v>439</v>
      </c>
      <c r="C3559" s="50" t="s">
        <v>62</v>
      </c>
      <c r="D3559" s="50" t="s">
        <v>27</v>
      </c>
      <c r="E3559" s="50">
        <v>50038517</v>
      </c>
      <c r="F3559" s="50" t="s">
        <v>181</v>
      </c>
      <c r="G3559" s="50">
        <v>1</v>
      </c>
      <c r="H3559" s="50" t="s">
        <v>2</v>
      </c>
      <c r="I3559" s="59" t="s">
        <v>289</v>
      </c>
      <c r="J3559" s="63">
        <v>45990</v>
      </c>
      <c r="K3559" s="59" t="s">
        <v>1</v>
      </c>
      <c r="L3559" s="50" t="s">
        <v>80</v>
      </c>
    </row>
    <row r="3560" spans="2:12">
      <c r="B3560" s="50" t="s">
        <v>437</v>
      </c>
      <c r="C3560" s="50" t="s">
        <v>51</v>
      </c>
      <c r="D3560" s="58" t="s">
        <v>41</v>
      </c>
      <c r="E3560" s="50">
        <v>50038841</v>
      </c>
      <c r="F3560" s="50" t="s">
        <v>180</v>
      </c>
      <c r="G3560" s="50">
        <v>1</v>
      </c>
      <c r="H3560" s="50" t="s">
        <v>2</v>
      </c>
      <c r="I3560" s="59" t="s">
        <v>289</v>
      </c>
      <c r="J3560" s="60">
        <v>45990</v>
      </c>
      <c r="K3560" s="59" t="s">
        <v>3</v>
      </c>
      <c r="L3560" s="50" t="s">
        <v>80</v>
      </c>
    </row>
    <row r="3561" spans="2:12">
      <c r="B3561" s="50" t="s">
        <v>437</v>
      </c>
      <c r="C3561" s="50" t="s">
        <v>51</v>
      </c>
      <c r="D3561" s="58" t="s">
        <v>41</v>
      </c>
      <c r="E3561" s="50">
        <v>50038841</v>
      </c>
      <c r="F3561" s="50" t="s">
        <v>180</v>
      </c>
      <c r="G3561" s="50">
        <v>1</v>
      </c>
      <c r="H3561" s="50" t="s">
        <v>2</v>
      </c>
      <c r="I3561" s="59" t="s">
        <v>289</v>
      </c>
      <c r="J3561" s="63">
        <v>45990</v>
      </c>
      <c r="K3561" s="50" t="s">
        <v>1</v>
      </c>
      <c r="L3561" s="50" t="s">
        <v>80</v>
      </c>
    </row>
    <row r="3562" spans="2:12">
      <c r="B3562" s="50" t="s">
        <v>423</v>
      </c>
      <c r="C3562" s="50" t="s">
        <v>62</v>
      </c>
      <c r="D3562" s="50" t="s">
        <v>27</v>
      </c>
      <c r="E3562" s="50">
        <v>50043917</v>
      </c>
      <c r="F3562" s="50" t="s">
        <v>262</v>
      </c>
      <c r="G3562" s="50">
        <v>1</v>
      </c>
      <c r="H3562" s="50" t="s">
        <v>2</v>
      </c>
      <c r="I3562" s="50" t="s">
        <v>289</v>
      </c>
      <c r="J3562" s="51">
        <v>45989</v>
      </c>
      <c r="K3562" s="50" t="s">
        <v>1</v>
      </c>
      <c r="L3562" s="50" t="s">
        <v>80</v>
      </c>
    </row>
    <row r="3563" spans="2:12">
      <c r="B3563" s="50" t="s">
        <v>458</v>
      </c>
      <c r="C3563" s="50" t="s">
        <v>26</v>
      </c>
      <c r="D3563" s="50" t="s">
        <v>27</v>
      </c>
      <c r="E3563" s="50">
        <v>50037905</v>
      </c>
      <c r="F3563" s="50" t="s">
        <v>150</v>
      </c>
      <c r="G3563" s="50">
        <v>1</v>
      </c>
      <c r="H3563" s="50" t="s">
        <v>2</v>
      </c>
      <c r="I3563" s="50" t="s">
        <v>289</v>
      </c>
      <c r="J3563" s="51">
        <v>45989</v>
      </c>
      <c r="K3563" s="50" t="s">
        <v>3</v>
      </c>
      <c r="L3563" s="50" t="s">
        <v>80</v>
      </c>
    </row>
    <row r="3564" spans="2:12">
      <c r="B3564" s="50" t="s">
        <v>458</v>
      </c>
      <c r="C3564" s="50" t="s">
        <v>26</v>
      </c>
      <c r="D3564" s="50" t="s">
        <v>27</v>
      </c>
      <c r="E3564" s="50">
        <v>50037905</v>
      </c>
      <c r="F3564" s="50" t="s">
        <v>150</v>
      </c>
      <c r="G3564" s="50">
        <v>1</v>
      </c>
      <c r="H3564" s="50" t="s">
        <v>2</v>
      </c>
      <c r="I3564" s="50" t="s">
        <v>289</v>
      </c>
      <c r="J3564" s="51">
        <v>45989</v>
      </c>
      <c r="K3564" s="50" t="s">
        <v>1</v>
      </c>
      <c r="L3564" s="50" t="s">
        <v>80</v>
      </c>
    </row>
    <row r="3565" spans="2:12">
      <c r="B3565" s="50" t="s">
        <v>394</v>
      </c>
      <c r="C3565" s="50" t="s">
        <v>51</v>
      </c>
      <c r="D3565" s="50" t="s">
        <v>27</v>
      </c>
      <c r="E3565" s="50">
        <v>50038956</v>
      </c>
      <c r="F3565" s="50" t="s">
        <v>177</v>
      </c>
      <c r="G3565" s="50">
        <v>1</v>
      </c>
      <c r="H3565" s="50" t="s">
        <v>2</v>
      </c>
      <c r="I3565" s="50" t="s">
        <v>289</v>
      </c>
      <c r="J3565" s="51">
        <v>45989</v>
      </c>
      <c r="K3565" s="50" t="s">
        <v>1</v>
      </c>
      <c r="L3565" s="50" t="s">
        <v>80</v>
      </c>
    </row>
    <row r="3566" spans="2:12">
      <c r="B3566" s="50" t="s">
        <v>409</v>
      </c>
      <c r="C3566" s="50" t="s">
        <v>51</v>
      </c>
      <c r="D3566" s="50" t="s">
        <v>27</v>
      </c>
      <c r="E3566" s="50">
        <v>50030486</v>
      </c>
      <c r="F3566" s="50" t="s">
        <v>153</v>
      </c>
      <c r="G3566" s="50">
        <v>1</v>
      </c>
      <c r="H3566" s="50" t="s">
        <v>2</v>
      </c>
      <c r="I3566" s="50" t="s">
        <v>289</v>
      </c>
      <c r="J3566" s="51">
        <v>45989</v>
      </c>
      <c r="K3566" s="50" t="s">
        <v>1</v>
      </c>
      <c r="L3566" s="50" t="s">
        <v>80</v>
      </c>
    </row>
    <row r="3567" spans="2:12">
      <c r="B3567" s="50" t="s">
        <v>471</v>
      </c>
      <c r="C3567" s="50" t="s">
        <v>26</v>
      </c>
      <c r="D3567" s="50" t="s">
        <v>27</v>
      </c>
      <c r="E3567" s="50">
        <v>50037905</v>
      </c>
      <c r="F3567" s="50" t="s">
        <v>150</v>
      </c>
      <c r="G3567" s="50">
        <v>1</v>
      </c>
      <c r="H3567" s="50" t="s">
        <v>2</v>
      </c>
      <c r="I3567" s="50" t="s">
        <v>289</v>
      </c>
      <c r="J3567" s="51">
        <v>45989</v>
      </c>
      <c r="K3567" s="50" t="s">
        <v>1</v>
      </c>
      <c r="L3567" s="50" t="s">
        <v>80</v>
      </c>
    </row>
    <row r="3568" spans="2:12">
      <c r="B3568" s="50" t="s">
        <v>481</v>
      </c>
      <c r="C3568" s="50" t="s">
        <v>26</v>
      </c>
      <c r="D3568" s="50" t="s">
        <v>27</v>
      </c>
      <c r="E3568" s="50">
        <v>50043471</v>
      </c>
      <c r="F3568" s="50" t="s">
        <v>257</v>
      </c>
      <c r="G3568" s="50">
        <v>1</v>
      </c>
      <c r="H3568" s="50" t="s">
        <v>2</v>
      </c>
      <c r="I3568" s="50" t="s">
        <v>292</v>
      </c>
      <c r="J3568" s="51">
        <v>45989</v>
      </c>
      <c r="K3568" s="50" t="s">
        <v>1</v>
      </c>
      <c r="L3568" s="50" t="s">
        <v>80</v>
      </c>
    </row>
    <row r="3569" spans="2:12">
      <c r="B3569" s="50" t="s">
        <v>316</v>
      </c>
      <c r="C3569" s="50" t="s">
        <v>51</v>
      </c>
      <c r="D3569" s="50" t="s">
        <v>27</v>
      </c>
      <c r="E3569" s="50">
        <v>50037892</v>
      </c>
      <c r="F3569" s="50" t="s">
        <v>178</v>
      </c>
      <c r="G3569" s="50">
        <v>1</v>
      </c>
      <c r="H3569" s="50" t="s">
        <v>2</v>
      </c>
      <c r="I3569" s="50" t="s">
        <v>292</v>
      </c>
      <c r="J3569" s="51">
        <v>45989</v>
      </c>
      <c r="K3569" s="50" t="s">
        <v>1</v>
      </c>
      <c r="L3569" s="50" t="s">
        <v>80</v>
      </c>
    </row>
    <row r="3570" spans="2:12">
      <c r="B3570" s="50" t="s">
        <v>406</v>
      </c>
      <c r="C3570" s="50" t="s">
        <v>26</v>
      </c>
      <c r="D3570" s="50" t="s">
        <v>39</v>
      </c>
      <c r="E3570" s="50">
        <v>50037902</v>
      </c>
      <c r="F3570" s="50" t="s">
        <v>179</v>
      </c>
      <c r="G3570" s="50">
        <v>1</v>
      </c>
      <c r="H3570" s="50" t="s">
        <v>2</v>
      </c>
      <c r="I3570" s="50" t="s">
        <v>292</v>
      </c>
      <c r="J3570" s="51">
        <v>45989</v>
      </c>
      <c r="K3570" s="50" t="s">
        <v>1</v>
      </c>
      <c r="L3570" s="50" t="s">
        <v>80</v>
      </c>
    </row>
    <row r="3571" spans="2:12">
      <c r="B3571" s="50" t="s">
        <v>444</v>
      </c>
      <c r="C3571" s="50" t="s">
        <v>51</v>
      </c>
      <c r="D3571" s="50" t="s">
        <v>27</v>
      </c>
      <c r="E3571" s="50">
        <v>50036296</v>
      </c>
      <c r="F3571" s="50" t="s">
        <v>109</v>
      </c>
      <c r="G3571" s="50">
        <v>1</v>
      </c>
      <c r="H3571" s="50" t="s">
        <v>2</v>
      </c>
      <c r="I3571" s="50" t="s">
        <v>292</v>
      </c>
      <c r="J3571" s="51">
        <v>45989</v>
      </c>
      <c r="K3571" s="50" t="s">
        <v>1</v>
      </c>
      <c r="L3571" s="50" t="s">
        <v>80</v>
      </c>
    </row>
    <row r="3572" spans="2:12">
      <c r="B3572" s="50" t="s">
        <v>444</v>
      </c>
      <c r="C3572" s="50" t="s">
        <v>51</v>
      </c>
      <c r="D3572" s="50" t="s">
        <v>27</v>
      </c>
      <c r="E3572" s="50">
        <v>50036290</v>
      </c>
      <c r="F3572" s="50" t="s">
        <v>127</v>
      </c>
      <c r="G3572" s="50">
        <v>1</v>
      </c>
      <c r="H3572" s="50" t="s">
        <v>2</v>
      </c>
      <c r="I3572" s="50" t="s">
        <v>292</v>
      </c>
      <c r="J3572" s="51">
        <v>45989</v>
      </c>
      <c r="K3572" s="50" t="s">
        <v>1</v>
      </c>
      <c r="L3572" s="50" t="s">
        <v>80</v>
      </c>
    </row>
    <row r="3573" spans="2:12">
      <c r="B3573" s="50" t="s">
        <v>444</v>
      </c>
      <c r="C3573" s="50" t="s">
        <v>51</v>
      </c>
      <c r="D3573" s="50" t="s">
        <v>27</v>
      </c>
      <c r="E3573" s="50">
        <v>50036293</v>
      </c>
      <c r="F3573" s="50" t="s">
        <v>130</v>
      </c>
      <c r="G3573" s="50">
        <v>1</v>
      </c>
      <c r="H3573" s="50" t="s">
        <v>2</v>
      </c>
      <c r="I3573" s="50" t="s">
        <v>292</v>
      </c>
      <c r="J3573" s="51">
        <v>45989</v>
      </c>
      <c r="K3573" s="50" t="s">
        <v>3</v>
      </c>
      <c r="L3573" s="50" t="s">
        <v>80</v>
      </c>
    </row>
    <row r="3574" spans="2:12">
      <c r="B3574" s="50" t="s">
        <v>471</v>
      </c>
      <c r="C3574" s="50" t="s">
        <v>26</v>
      </c>
      <c r="D3574" s="50" t="s">
        <v>27</v>
      </c>
      <c r="E3574" s="50">
        <v>50037905</v>
      </c>
      <c r="F3574" s="50" t="s">
        <v>150</v>
      </c>
      <c r="G3574" s="50">
        <v>1</v>
      </c>
      <c r="H3574" s="50" t="s">
        <v>2</v>
      </c>
      <c r="I3574" s="50" t="s">
        <v>292</v>
      </c>
      <c r="J3574" s="51">
        <v>45989</v>
      </c>
      <c r="K3574" s="50" t="s">
        <v>3</v>
      </c>
      <c r="L3574" s="50" t="s">
        <v>80</v>
      </c>
    </row>
    <row r="3575" spans="2:12">
      <c r="B3575" s="50" t="s">
        <v>406</v>
      </c>
      <c r="C3575" s="50" t="s">
        <v>26</v>
      </c>
      <c r="D3575" s="50" t="s">
        <v>39</v>
      </c>
      <c r="E3575" s="50">
        <v>50037902</v>
      </c>
      <c r="F3575" s="50" t="s">
        <v>179</v>
      </c>
      <c r="G3575" s="50">
        <v>1</v>
      </c>
      <c r="H3575" s="50" t="s">
        <v>2</v>
      </c>
      <c r="I3575" s="50" t="s">
        <v>292</v>
      </c>
      <c r="J3575" s="51">
        <v>45989</v>
      </c>
      <c r="K3575" s="50" t="s">
        <v>1</v>
      </c>
      <c r="L3575" s="50" t="s">
        <v>80</v>
      </c>
    </row>
    <row r="3576" spans="2:12">
      <c r="B3576" s="50" t="s">
        <v>316</v>
      </c>
      <c r="C3576" s="50" t="s">
        <v>51</v>
      </c>
      <c r="D3576" s="50" t="s">
        <v>27</v>
      </c>
      <c r="E3576" s="50">
        <v>50037892</v>
      </c>
      <c r="F3576" s="50" t="s">
        <v>178</v>
      </c>
      <c r="G3576" s="50">
        <v>1</v>
      </c>
      <c r="H3576" s="50" t="s">
        <v>2</v>
      </c>
      <c r="I3576" s="50" t="s">
        <v>292</v>
      </c>
      <c r="J3576" s="51">
        <v>45989</v>
      </c>
      <c r="K3576" s="50" t="s">
        <v>1</v>
      </c>
      <c r="L3576" s="50" t="s">
        <v>80</v>
      </c>
    </row>
    <row r="3577" spans="2:12">
      <c r="B3577" s="50" t="e">
        <v>#N/A</v>
      </c>
      <c r="C3577" s="50" t="s">
        <v>62</v>
      </c>
      <c r="D3577" s="50" t="s">
        <v>27</v>
      </c>
      <c r="E3577" s="50">
        <v>50020623</v>
      </c>
      <c r="F3577" s="50" t="s">
        <v>217</v>
      </c>
      <c r="G3577" s="50">
        <v>1</v>
      </c>
      <c r="H3577" s="50" t="s">
        <v>2</v>
      </c>
      <c r="I3577" s="50" t="s">
        <v>293</v>
      </c>
      <c r="J3577" s="51">
        <v>45989</v>
      </c>
      <c r="K3577" s="50" t="s">
        <v>1</v>
      </c>
      <c r="L3577" s="50" t="s">
        <v>80</v>
      </c>
    </row>
    <row r="3578" spans="2:12">
      <c r="B3578" s="50" t="s">
        <v>394</v>
      </c>
      <c r="C3578" s="50" t="s">
        <v>51</v>
      </c>
      <c r="D3578" s="50" t="s">
        <v>27</v>
      </c>
      <c r="E3578" s="50">
        <v>50041195</v>
      </c>
      <c r="F3578" s="50" t="s">
        <v>206</v>
      </c>
      <c r="G3578" s="50">
        <v>1</v>
      </c>
      <c r="H3578" s="50" t="s">
        <v>2</v>
      </c>
      <c r="I3578" s="50" t="s">
        <v>293</v>
      </c>
      <c r="J3578" s="51">
        <v>45989</v>
      </c>
      <c r="K3578" s="50" t="s">
        <v>3</v>
      </c>
      <c r="L3578" s="50" t="s">
        <v>80</v>
      </c>
    </row>
    <row r="3579" spans="2:12">
      <c r="B3579" s="50" t="s">
        <v>386</v>
      </c>
      <c r="C3579" s="50" t="s">
        <v>26</v>
      </c>
      <c r="D3579" s="50" t="s">
        <v>27</v>
      </c>
      <c r="E3579" s="50">
        <v>50037892</v>
      </c>
      <c r="F3579" s="50" t="s">
        <v>178</v>
      </c>
      <c r="G3579" s="50">
        <v>1</v>
      </c>
      <c r="H3579" s="50" t="s">
        <v>2</v>
      </c>
      <c r="I3579" s="50" t="s">
        <v>289</v>
      </c>
      <c r="J3579" s="51">
        <v>45989</v>
      </c>
      <c r="K3579" s="50" t="s">
        <v>3</v>
      </c>
      <c r="L3579" s="50" t="s">
        <v>80</v>
      </c>
    </row>
    <row r="3580" spans="2:12">
      <c r="B3580" s="50" t="s">
        <v>386</v>
      </c>
      <c r="C3580" s="50" t="s">
        <v>26</v>
      </c>
      <c r="D3580" s="50" t="s">
        <v>27</v>
      </c>
      <c r="E3580" s="50">
        <v>50037892</v>
      </c>
      <c r="F3580" s="50" t="s">
        <v>178</v>
      </c>
      <c r="G3580" s="50">
        <v>1</v>
      </c>
      <c r="H3580" s="50" t="s">
        <v>2</v>
      </c>
      <c r="I3580" s="50" t="s">
        <v>289</v>
      </c>
      <c r="J3580" s="51">
        <v>45989</v>
      </c>
      <c r="K3580" s="50" t="s">
        <v>3</v>
      </c>
      <c r="L3580" s="50" t="s">
        <v>80</v>
      </c>
    </row>
    <row r="3581" spans="2:12" s="53" customFormat="1">
      <c r="B3581" s="50" t="s">
        <v>409</v>
      </c>
      <c r="C3581" s="50" t="s">
        <v>51</v>
      </c>
      <c r="D3581" s="50" t="s">
        <v>27</v>
      </c>
      <c r="E3581" s="50">
        <v>50030486</v>
      </c>
      <c r="F3581" s="50" t="s">
        <v>153</v>
      </c>
      <c r="G3581" s="50">
        <v>1</v>
      </c>
      <c r="H3581" s="50" t="s">
        <v>2</v>
      </c>
      <c r="I3581" s="50" t="s">
        <v>289</v>
      </c>
      <c r="J3581" s="51">
        <v>45989</v>
      </c>
      <c r="K3581" s="50" t="s">
        <v>3</v>
      </c>
      <c r="L3581" s="50" t="s">
        <v>80</v>
      </c>
    </row>
    <row r="3582" spans="2:12">
      <c r="B3582" s="50" t="s">
        <v>394</v>
      </c>
      <c r="C3582" s="50" t="s">
        <v>51</v>
      </c>
      <c r="D3582" s="50" t="s">
        <v>27</v>
      </c>
      <c r="E3582" s="50">
        <v>50038956</v>
      </c>
      <c r="F3582" s="50" t="s">
        <v>177</v>
      </c>
      <c r="G3582" s="50">
        <v>1</v>
      </c>
      <c r="H3582" s="50" t="s">
        <v>2</v>
      </c>
      <c r="I3582" s="50" t="s">
        <v>288</v>
      </c>
      <c r="J3582" s="51">
        <v>45989</v>
      </c>
      <c r="K3582" s="50" t="s">
        <v>1</v>
      </c>
      <c r="L3582" s="50" t="s">
        <v>80</v>
      </c>
    </row>
    <row r="3583" spans="2:12">
      <c r="B3583" s="50" t="s">
        <v>397</v>
      </c>
      <c r="C3583" s="50" t="s">
        <v>26</v>
      </c>
      <c r="D3583" s="50" t="s">
        <v>41</v>
      </c>
      <c r="E3583" s="50">
        <v>50037900</v>
      </c>
      <c r="F3583" s="50" t="s">
        <v>240</v>
      </c>
      <c r="G3583" s="50">
        <v>1</v>
      </c>
      <c r="H3583" s="50" t="s">
        <v>2</v>
      </c>
      <c r="I3583" s="50" t="s">
        <v>288</v>
      </c>
      <c r="J3583" s="51">
        <v>45989</v>
      </c>
      <c r="K3583" s="50" t="s">
        <v>3</v>
      </c>
      <c r="L3583" s="50" t="s">
        <v>80</v>
      </c>
    </row>
    <row r="3584" spans="2:12">
      <c r="B3584" s="50" t="s">
        <v>444</v>
      </c>
      <c r="C3584" s="50" t="s">
        <v>51</v>
      </c>
      <c r="D3584" s="50" t="s">
        <v>27</v>
      </c>
      <c r="E3584" s="50">
        <v>50036296</v>
      </c>
      <c r="F3584" s="50" t="s">
        <v>109</v>
      </c>
      <c r="G3584" s="50">
        <v>1</v>
      </c>
      <c r="H3584" s="50" t="s">
        <v>2</v>
      </c>
      <c r="I3584" s="50" t="s">
        <v>288</v>
      </c>
      <c r="J3584" s="51">
        <v>45989</v>
      </c>
      <c r="K3584" s="50" t="s">
        <v>1</v>
      </c>
      <c r="L3584" s="50" t="s">
        <v>80</v>
      </c>
    </row>
    <row r="3585" spans="2:12">
      <c r="B3585" s="50" t="s">
        <v>394</v>
      </c>
      <c r="C3585" s="50" t="s">
        <v>51</v>
      </c>
      <c r="D3585" s="50" t="s">
        <v>27</v>
      </c>
      <c r="E3585" s="50">
        <v>50032781</v>
      </c>
      <c r="F3585" s="50" t="s">
        <v>237</v>
      </c>
      <c r="G3585" s="50">
        <v>1</v>
      </c>
      <c r="H3585" s="50" t="s">
        <v>2</v>
      </c>
      <c r="I3585" s="50" t="s">
        <v>291</v>
      </c>
      <c r="J3585" s="51">
        <v>45989</v>
      </c>
      <c r="K3585" s="50" t="s">
        <v>3</v>
      </c>
      <c r="L3585" s="50" t="s">
        <v>80</v>
      </c>
    </row>
    <row r="3586" spans="2:12">
      <c r="B3586" s="50" t="s">
        <v>394</v>
      </c>
      <c r="C3586" s="50" t="s">
        <v>51</v>
      </c>
      <c r="D3586" s="50" t="s">
        <v>27</v>
      </c>
      <c r="E3586" s="50">
        <v>50038841</v>
      </c>
      <c r="F3586" s="50" t="s">
        <v>180</v>
      </c>
      <c r="G3586" s="50">
        <v>1</v>
      </c>
      <c r="H3586" s="50" t="s">
        <v>2</v>
      </c>
      <c r="I3586" s="50" t="s">
        <v>291</v>
      </c>
      <c r="J3586" s="51">
        <v>45989</v>
      </c>
      <c r="K3586" s="50" t="s">
        <v>1</v>
      </c>
      <c r="L3586" s="50" t="s">
        <v>80</v>
      </c>
    </row>
    <row r="3587" spans="2:12">
      <c r="B3587" s="50" t="s">
        <v>394</v>
      </c>
      <c r="C3587" s="50" t="s">
        <v>51</v>
      </c>
      <c r="D3587" s="50" t="s">
        <v>27</v>
      </c>
      <c r="E3587" s="50">
        <v>50041195</v>
      </c>
      <c r="F3587" s="50" t="s">
        <v>206</v>
      </c>
      <c r="G3587" s="50">
        <v>1</v>
      </c>
      <c r="H3587" s="50" t="s">
        <v>2</v>
      </c>
      <c r="I3587" s="50" t="s">
        <v>291</v>
      </c>
      <c r="J3587" s="51">
        <v>45989</v>
      </c>
      <c r="K3587" s="50" t="s">
        <v>1</v>
      </c>
      <c r="L3587" s="50" t="s">
        <v>80</v>
      </c>
    </row>
    <row r="3588" spans="2:12">
      <c r="B3588" s="50" t="s">
        <v>447</v>
      </c>
      <c r="C3588" s="50" t="s">
        <v>56</v>
      </c>
      <c r="D3588" s="50" t="s">
        <v>41</v>
      </c>
      <c r="E3588" s="50">
        <v>50029865</v>
      </c>
      <c r="F3588" s="50" t="s">
        <v>162</v>
      </c>
      <c r="G3588" s="50">
        <v>1</v>
      </c>
      <c r="H3588" s="50" t="s">
        <v>2</v>
      </c>
      <c r="I3588" s="50" t="s">
        <v>291</v>
      </c>
      <c r="J3588" s="51">
        <v>45989</v>
      </c>
      <c r="K3588" s="50" t="s">
        <v>1</v>
      </c>
      <c r="L3588" s="50" t="s">
        <v>80</v>
      </c>
    </row>
    <row r="3589" spans="2:12">
      <c r="B3589" s="50" t="s">
        <v>447</v>
      </c>
      <c r="C3589" s="50" t="s">
        <v>56</v>
      </c>
      <c r="D3589" s="50" t="s">
        <v>41</v>
      </c>
      <c r="E3589" s="50">
        <v>50041195</v>
      </c>
      <c r="F3589" s="50" t="s">
        <v>206</v>
      </c>
      <c r="G3589" s="50">
        <v>1</v>
      </c>
      <c r="H3589" s="50" t="s">
        <v>2</v>
      </c>
      <c r="I3589" s="50" t="s">
        <v>291</v>
      </c>
      <c r="J3589" s="51">
        <v>45989</v>
      </c>
      <c r="K3589" s="50" t="s">
        <v>1</v>
      </c>
      <c r="L3589" s="50" t="s">
        <v>80</v>
      </c>
    </row>
    <row r="3590" spans="2:12">
      <c r="B3590" s="50" t="s">
        <v>394</v>
      </c>
      <c r="C3590" s="50" t="s">
        <v>26</v>
      </c>
      <c r="D3590" s="50" t="s">
        <v>41</v>
      </c>
      <c r="E3590" s="50">
        <v>50003173</v>
      </c>
      <c r="F3590" s="50" t="s">
        <v>74</v>
      </c>
      <c r="G3590" s="50">
        <v>1</v>
      </c>
      <c r="H3590" s="50" t="s">
        <v>2</v>
      </c>
      <c r="I3590" s="50" t="s">
        <v>291</v>
      </c>
      <c r="J3590" s="51">
        <v>45989</v>
      </c>
      <c r="K3590" s="50" t="s">
        <v>3</v>
      </c>
      <c r="L3590" s="50" t="s">
        <v>80</v>
      </c>
    </row>
    <row r="3591" spans="2:12">
      <c r="B3591" s="50" t="s">
        <v>394</v>
      </c>
      <c r="C3591" s="50" t="s">
        <v>51</v>
      </c>
      <c r="D3591" s="50" t="s">
        <v>27</v>
      </c>
      <c r="E3591" s="50">
        <v>50038841</v>
      </c>
      <c r="F3591" s="50" t="s">
        <v>180</v>
      </c>
      <c r="G3591" s="50">
        <v>1</v>
      </c>
      <c r="H3591" s="50" t="s">
        <v>2</v>
      </c>
      <c r="I3591" s="50" t="s">
        <v>291</v>
      </c>
      <c r="J3591" s="51">
        <v>45989</v>
      </c>
      <c r="K3591" s="50" t="s">
        <v>3</v>
      </c>
      <c r="L3591" s="50" t="s">
        <v>80</v>
      </c>
    </row>
    <row r="3592" spans="2:12">
      <c r="B3592" s="50" t="s">
        <v>394</v>
      </c>
      <c r="C3592" s="50" t="s">
        <v>51</v>
      </c>
      <c r="D3592" s="50" t="s">
        <v>27</v>
      </c>
      <c r="E3592" s="50">
        <v>50032781</v>
      </c>
      <c r="F3592" s="50" t="s">
        <v>237</v>
      </c>
      <c r="G3592" s="50">
        <v>1</v>
      </c>
      <c r="H3592" s="50" t="s">
        <v>2</v>
      </c>
      <c r="I3592" s="50" t="s">
        <v>291</v>
      </c>
      <c r="J3592" s="51">
        <v>45989</v>
      </c>
      <c r="K3592" s="50" t="s">
        <v>3</v>
      </c>
      <c r="L3592" s="50" t="s">
        <v>80</v>
      </c>
    </row>
    <row r="3593" spans="2:12">
      <c r="B3593" s="50" t="e">
        <v>#N/A</v>
      </c>
      <c r="C3593" s="50" t="s">
        <v>62</v>
      </c>
      <c r="D3593" s="50" t="s">
        <v>27</v>
      </c>
      <c r="E3593" s="50">
        <v>50020623</v>
      </c>
      <c r="F3593" s="50" t="s">
        <v>217</v>
      </c>
      <c r="G3593" s="50">
        <v>1</v>
      </c>
      <c r="H3593" s="50" t="s">
        <v>2</v>
      </c>
      <c r="I3593" s="50" t="s">
        <v>291</v>
      </c>
      <c r="J3593" s="51">
        <v>45989</v>
      </c>
      <c r="K3593" s="50" t="s">
        <v>3</v>
      </c>
      <c r="L3593" s="50" t="s">
        <v>80</v>
      </c>
    </row>
    <row r="3594" spans="2:12">
      <c r="B3594" s="50" t="e">
        <v>#N/A</v>
      </c>
      <c r="C3594" s="50" t="s">
        <v>62</v>
      </c>
      <c r="D3594" s="50" t="s">
        <v>27</v>
      </c>
      <c r="E3594" s="50">
        <v>50043917</v>
      </c>
      <c r="F3594" s="50" t="s">
        <v>262</v>
      </c>
      <c r="G3594" s="50">
        <v>1</v>
      </c>
      <c r="H3594" s="50" t="s">
        <v>2</v>
      </c>
      <c r="I3594" s="50" t="s">
        <v>291</v>
      </c>
      <c r="J3594" s="51">
        <v>45989</v>
      </c>
      <c r="K3594" s="50" t="s">
        <v>3</v>
      </c>
      <c r="L3594" s="50" t="s">
        <v>80</v>
      </c>
    </row>
    <row r="3595" spans="2:12">
      <c r="B3595" s="50" t="s">
        <v>447</v>
      </c>
      <c r="C3595" s="50" t="s">
        <v>56</v>
      </c>
      <c r="D3595" s="50" t="s">
        <v>41</v>
      </c>
      <c r="E3595" s="50">
        <v>50029865</v>
      </c>
      <c r="F3595" s="50" t="s">
        <v>162</v>
      </c>
      <c r="G3595" s="50">
        <v>1</v>
      </c>
      <c r="H3595" s="50" t="s">
        <v>2</v>
      </c>
      <c r="I3595" s="50" t="s">
        <v>291</v>
      </c>
      <c r="J3595" s="51">
        <v>45989</v>
      </c>
      <c r="K3595" s="50" t="s">
        <v>3</v>
      </c>
      <c r="L3595" s="50" t="s">
        <v>80</v>
      </c>
    </row>
    <row r="3596" spans="2:12">
      <c r="B3596" s="50" t="s">
        <v>447</v>
      </c>
      <c r="C3596" s="50" t="s">
        <v>56</v>
      </c>
      <c r="D3596" s="50" t="s">
        <v>41</v>
      </c>
      <c r="E3596" s="50">
        <v>50041195</v>
      </c>
      <c r="F3596" s="50" t="s">
        <v>206</v>
      </c>
      <c r="G3596" s="50">
        <v>1</v>
      </c>
      <c r="H3596" s="50" t="s">
        <v>2</v>
      </c>
      <c r="I3596" s="50" t="s">
        <v>291</v>
      </c>
      <c r="J3596" s="51">
        <v>45989</v>
      </c>
      <c r="K3596" s="50" t="s">
        <v>3</v>
      </c>
      <c r="L3596" s="50" t="s">
        <v>80</v>
      </c>
    </row>
    <row r="3597" spans="2:12">
      <c r="B3597" s="50" t="s">
        <v>397</v>
      </c>
      <c r="C3597" s="50" t="s">
        <v>26</v>
      </c>
      <c r="D3597" s="50" t="s">
        <v>41</v>
      </c>
      <c r="E3597" s="50">
        <v>50037900</v>
      </c>
      <c r="F3597" s="50" t="s">
        <v>240</v>
      </c>
      <c r="G3597" s="50">
        <v>1</v>
      </c>
      <c r="H3597" s="50" t="s">
        <v>2</v>
      </c>
      <c r="I3597" s="50" t="s">
        <v>291</v>
      </c>
      <c r="J3597" s="51">
        <v>45989</v>
      </c>
      <c r="K3597" s="50" t="s">
        <v>3</v>
      </c>
      <c r="L3597" s="50" t="s">
        <v>80</v>
      </c>
    </row>
    <row r="3598" spans="2:12">
      <c r="B3598" s="50" t="s">
        <v>394</v>
      </c>
      <c r="C3598" s="50" t="s">
        <v>26</v>
      </c>
      <c r="D3598" s="50" t="s">
        <v>41</v>
      </c>
      <c r="E3598" s="50">
        <v>50003173</v>
      </c>
      <c r="F3598" s="50" t="s">
        <v>74</v>
      </c>
      <c r="G3598" s="50">
        <v>1</v>
      </c>
      <c r="H3598" s="50" t="s">
        <v>2</v>
      </c>
      <c r="I3598" s="50" t="s">
        <v>291</v>
      </c>
      <c r="J3598" s="51">
        <v>45989</v>
      </c>
      <c r="K3598" s="50" t="s">
        <v>3</v>
      </c>
      <c r="L3598" s="50" t="s">
        <v>80</v>
      </c>
    </row>
    <row r="3599" spans="2:12">
      <c r="B3599" s="50" t="s">
        <v>481</v>
      </c>
      <c r="C3599" s="50" t="s">
        <v>26</v>
      </c>
      <c r="D3599" s="50" t="s">
        <v>27</v>
      </c>
      <c r="E3599" s="50">
        <v>50043471</v>
      </c>
      <c r="F3599" s="50" t="s">
        <v>257</v>
      </c>
      <c r="G3599" s="50">
        <v>1</v>
      </c>
      <c r="H3599" s="50" t="s">
        <v>2</v>
      </c>
      <c r="I3599" s="50" t="s">
        <v>291</v>
      </c>
      <c r="J3599" s="51">
        <v>45989</v>
      </c>
      <c r="K3599" s="50" t="s">
        <v>3</v>
      </c>
      <c r="L3599" s="50" t="s">
        <v>80</v>
      </c>
    </row>
    <row r="3600" spans="2:12">
      <c r="B3600" s="50" t="s">
        <v>444</v>
      </c>
      <c r="C3600" s="50" t="s">
        <v>51</v>
      </c>
      <c r="D3600" s="50" t="s">
        <v>27</v>
      </c>
      <c r="E3600" s="50">
        <v>50036290</v>
      </c>
      <c r="F3600" s="50" t="s">
        <v>127</v>
      </c>
      <c r="G3600" s="50">
        <v>1</v>
      </c>
      <c r="H3600" s="50" t="s">
        <v>2</v>
      </c>
      <c r="I3600" s="50" t="s">
        <v>291</v>
      </c>
      <c r="J3600" s="51">
        <v>45989</v>
      </c>
      <c r="K3600" s="50" t="s">
        <v>3</v>
      </c>
      <c r="L3600" s="50" t="s">
        <v>80</v>
      </c>
    </row>
    <row r="3601" spans="2:12">
      <c r="B3601" s="50" t="s">
        <v>444</v>
      </c>
      <c r="C3601" s="50" t="s">
        <v>51</v>
      </c>
      <c r="D3601" s="50" t="s">
        <v>27</v>
      </c>
      <c r="E3601" s="50">
        <v>50036293</v>
      </c>
      <c r="F3601" s="50" t="s">
        <v>130</v>
      </c>
      <c r="G3601" s="50">
        <v>1</v>
      </c>
      <c r="H3601" s="50" t="s">
        <v>2</v>
      </c>
      <c r="I3601" s="50" t="s">
        <v>291</v>
      </c>
      <c r="J3601" s="51">
        <v>45989</v>
      </c>
      <c r="K3601" s="50" t="s">
        <v>1</v>
      </c>
      <c r="L3601" s="50" t="s">
        <v>80</v>
      </c>
    </row>
    <row r="3602" spans="2:12">
      <c r="B3602" s="50" t="s">
        <v>471</v>
      </c>
      <c r="C3602" s="50" t="s">
        <v>26</v>
      </c>
      <c r="D3602" s="50" t="s">
        <v>27</v>
      </c>
      <c r="E3602" s="50">
        <v>50003297</v>
      </c>
      <c r="F3602" s="50" t="s">
        <v>158</v>
      </c>
      <c r="G3602" s="50">
        <v>1</v>
      </c>
      <c r="H3602" s="50" t="s">
        <v>2</v>
      </c>
      <c r="I3602" s="50" t="s">
        <v>291</v>
      </c>
      <c r="J3602" s="51">
        <v>45989</v>
      </c>
      <c r="K3602" s="59" t="s">
        <v>1</v>
      </c>
      <c r="L3602" s="50" t="s">
        <v>80</v>
      </c>
    </row>
    <row r="3603" spans="2:12">
      <c r="B3603" s="50" t="s">
        <v>345</v>
      </c>
      <c r="C3603" s="50" t="s">
        <v>51</v>
      </c>
      <c r="D3603" s="58" t="s">
        <v>36</v>
      </c>
      <c r="E3603" s="50">
        <v>50030486</v>
      </c>
      <c r="F3603" s="50" t="s">
        <v>153</v>
      </c>
      <c r="G3603" s="50">
        <v>1</v>
      </c>
      <c r="H3603" s="50" t="s">
        <v>2</v>
      </c>
      <c r="I3603" s="59" t="s">
        <v>313</v>
      </c>
      <c r="J3603" s="60">
        <v>45989</v>
      </c>
      <c r="K3603" s="59" t="s">
        <v>3</v>
      </c>
      <c r="L3603" s="50" t="s">
        <v>80</v>
      </c>
    </row>
    <row r="3604" spans="2:12">
      <c r="B3604" s="50" t="s">
        <v>345</v>
      </c>
      <c r="C3604" s="50" t="s">
        <v>51</v>
      </c>
      <c r="D3604" s="58" t="s">
        <v>36</v>
      </c>
      <c r="E3604" s="50">
        <v>50030486</v>
      </c>
      <c r="F3604" s="50" t="s">
        <v>153</v>
      </c>
      <c r="G3604" s="50">
        <v>1</v>
      </c>
      <c r="H3604" s="50" t="s">
        <v>2</v>
      </c>
      <c r="I3604" s="59" t="s">
        <v>313</v>
      </c>
      <c r="J3604" s="60">
        <v>45989</v>
      </c>
      <c r="K3604" s="50" t="s">
        <v>3</v>
      </c>
      <c r="L3604" s="50" t="s">
        <v>80</v>
      </c>
    </row>
    <row r="3605" spans="2:12">
      <c r="B3605" s="50" t="s">
        <v>471</v>
      </c>
      <c r="C3605" s="50" t="s">
        <v>26</v>
      </c>
      <c r="D3605" s="50" t="s">
        <v>27</v>
      </c>
      <c r="E3605" s="50">
        <v>50003297</v>
      </c>
      <c r="F3605" s="50" t="s">
        <v>158</v>
      </c>
      <c r="G3605" s="50">
        <v>1</v>
      </c>
      <c r="H3605" s="50" t="s">
        <v>2</v>
      </c>
      <c r="I3605" s="50" t="s">
        <v>289</v>
      </c>
      <c r="J3605" s="51">
        <v>45988</v>
      </c>
      <c r="K3605" s="50" t="s">
        <v>1</v>
      </c>
      <c r="L3605" s="50" t="s">
        <v>80</v>
      </c>
    </row>
    <row r="3606" spans="2:12">
      <c r="B3606" s="50" t="e">
        <v>#N/A</v>
      </c>
      <c r="C3606" s="50" t="s">
        <v>62</v>
      </c>
      <c r="D3606" s="50" t="s">
        <v>27</v>
      </c>
      <c r="E3606" s="50">
        <v>50041195</v>
      </c>
      <c r="F3606" s="50" t="s">
        <v>206</v>
      </c>
      <c r="G3606" s="50">
        <v>1</v>
      </c>
      <c r="H3606" s="50" t="s">
        <v>2</v>
      </c>
      <c r="I3606" s="50" t="s">
        <v>289</v>
      </c>
      <c r="J3606" s="51">
        <v>45988</v>
      </c>
      <c r="K3606" s="50" t="s">
        <v>1</v>
      </c>
      <c r="L3606" s="50" t="s">
        <v>80</v>
      </c>
    </row>
    <row r="3607" spans="2:12">
      <c r="B3607" s="50" t="s">
        <v>434</v>
      </c>
      <c r="C3607" s="50" t="s">
        <v>51</v>
      </c>
      <c r="D3607" s="50" t="s">
        <v>39</v>
      </c>
      <c r="E3607" s="50">
        <v>50043917</v>
      </c>
      <c r="F3607" s="50" t="s">
        <v>262</v>
      </c>
      <c r="G3607" s="50">
        <v>1</v>
      </c>
      <c r="H3607" s="50" t="s">
        <v>2</v>
      </c>
      <c r="I3607" s="50" t="s">
        <v>289</v>
      </c>
      <c r="J3607" s="51">
        <v>45988</v>
      </c>
      <c r="K3607" s="50" t="s">
        <v>1</v>
      </c>
      <c r="L3607" s="50" t="s">
        <v>80</v>
      </c>
    </row>
    <row r="3608" spans="2:12">
      <c r="B3608" s="50" t="s">
        <v>444</v>
      </c>
      <c r="C3608" s="50" t="s">
        <v>51</v>
      </c>
      <c r="D3608" s="50" t="s">
        <v>27</v>
      </c>
      <c r="E3608" s="50">
        <v>50036293</v>
      </c>
      <c r="F3608" s="50" t="s">
        <v>130</v>
      </c>
      <c r="G3608" s="50">
        <v>1</v>
      </c>
      <c r="H3608" s="50" t="s">
        <v>2</v>
      </c>
      <c r="I3608" s="50" t="s">
        <v>289</v>
      </c>
      <c r="J3608" s="51">
        <v>45988</v>
      </c>
      <c r="K3608" s="50" t="s">
        <v>1</v>
      </c>
      <c r="L3608" s="50" t="s">
        <v>80</v>
      </c>
    </row>
    <row r="3609" spans="2:12">
      <c r="B3609" s="50" t="s">
        <v>461</v>
      </c>
      <c r="C3609" s="50" t="s">
        <v>26</v>
      </c>
      <c r="D3609" s="50" t="s">
        <v>39</v>
      </c>
      <c r="E3609" s="50">
        <v>50038195</v>
      </c>
      <c r="F3609" s="50" t="s">
        <v>239</v>
      </c>
      <c r="G3609" s="50">
        <v>1</v>
      </c>
      <c r="H3609" s="50" t="s">
        <v>2</v>
      </c>
      <c r="I3609" s="50" t="s">
        <v>292</v>
      </c>
      <c r="J3609" s="51">
        <v>45988</v>
      </c>
      <c r="K3609" s="50" t="s">
        <v>1</v>
      </c>
      <c r="L3609" s="50" t="s">
        <v>80</v>
      </c>
    </row>
    <row r="3610" spans="2:12">
      <c r="B3610" s="50" t="s">
        <v>394</v>
      </c>
      <c r="C3610" s="50" t="s">
        <v>51</v>
      </c>
      <c r="D3610" s="50" t="s">
        <v>27</v>
      </c>
      <c r="E3610" s="50">
        <v>50038517</v>
      </c>
      <c r="F3610" s="50" t="s">
        <v>181</v>
      </c>
      <c r="G3610" s="50">
        <v>1</v>
      </c>
      <c r="H3610" s="50" t="s">
        <v>2</v>
      </c>
      <c r="I3610" s="50" t="s">
        <v>292</v>
      </c>
      <c r="J3610" s="51">
        <v>45988</v>
      </c>
      <c r="K3610" s="50" t="s">
        <v>1</v>
      </c>
      <c r="L3610" s="50" t="s">
        <v>80</v>
      </c>
    </row>
    <row r="3611" spans="2:12">
      <c r="B3611" s="50" t="s">
        <v>461</v>
      </c>
      <c r="C3611" s="50" t="s">
        <v>26</v>
      </c>
      <c r="D3611" s="50" t="s">
        <v>39</v>
      </c>
      <c r="E3611" s="50">
        <v>50037892</v>
      </c>
      <c r="F3611" s="50" t="s">
        <v>178</v>
      </c>
      <c r="G3611" s="50">
        <v>1</v>
      </c>
      <c r="H3611" s="50" t="s">
        <v>2</v>
      </c>
      <c r="I3611" s="50" t="s">
        <v>292</v>
      </c>
      <c r="J3611" s="51">
        <v>45988</v>
      </c>
      <c r="K3611" s="50" t="s">
        <v>1</v>
      </c>
      <c r="L3611" s="50" t="s">
        <v>80</v>
      </c>
    </row>
    <row r="3612" spans="2:12">
      <c r="B3612" s="50" t="s">
        <v>478</v>
      </c>
      <c r="C3612" s="50" t="s">
        <v>51</v>
      </c>
      <c r="D3612" s="50" t="s">
        <v>27</v>
      </c>
      <c r="E3612" s="50">
        <v>50003173</v>
      </c>
      <c r="F3612" s="50" t="s">
        <v>74</v>
      </c>
      <c r="G3612" s="50">
        <v>1</v>
      </c>
      <c r="H3612" s="50" t="s">
        <v>2</v>
      </c>
      <c r="I3612" s="50" t="s">
        <v>293</v>
      </c>
      <c r="J3612" s="51">
        <v>45988</v>
      </c>
      <c r="K3612" s="50" t="s">
        <v>1</v>
      </c>
      <c r="L3612" s="50" t="s">
        <v>80</v>
      </c>
    </row>
    <row r="3613" spans="2:12">
      <c r="B3613" s="50" t="s">
        <v>439</v>
      </c>
      <c r="C3613" s="50" t="s">
        <v>62</v>
      </c>
      <c r="D3613" s="50" t="s">
        <v>27</v>
      </c>
      <c r="E3613" s="50">
        <v>50036086</v>
      </c>
      <c r="F3613" s="50" t="s">
        <v>28</v>
      </c>
      <c r="G3613" s="50">
        <v>1</v>
      </c>
      <c r="H3613" s="50" t="s">
        <v>2</v>
      </c>
      <c r="I3613" s="50" t="s">
        <v>293</v>
      </c>
      <c r="J3613" s="51">
        <v>45988</v>
      </c>
      <c r="K3613" s="50" t="s">
        <v>1</v>
      </c>
      <c r="L3613" s="50" t="s">
        <v>80</v>
      </c>
    </row>
    <row r="3614" spans="2:12">
      <c r="B3614" s="50" t="s">
        <v>474</v>
      </c>
      <c r="C3614" s="50" t="s">
        <v>51</v>
      </c>
      <c r="D3614" s="50" t="s">
        <v>27</v>
      </c>
      <c r="E3614" s="50">
        <v>50039065</v>
      </c>
      <c r="F3614" s="50" t="s">
        <v>186</v>
      </c>
      <c r="G3614" s="50">
        <v>1</v>
      </c>
      <c r="H3614" s="50" t="s">
        <v>2</v>
      </c>
      <c r="I3614" s="50" t="s">
        <v>293</v>
      </c>
      <c r="J3614" s="51">
        <v>45988</v>
      </c>
      <c r="K3614" s="50" t="s">
        <v>1</v>
      </c>
      <c r="L3614" s="50" t="s">
        <v>80</v>
      </c>
    </row>
    <row r="3615" spans="2:12">
      <c r="B3615" s="50" t="s">
        <v>434</v>
      </c>
      <c r="C3615" s="50" t="s">
        <v>51</v>
      </c>
      <c r="D3615" s="50" t="s">
        <v>39</v>
      </c>
      <c r="E3615" s="50">
        <v>50043917</v>
      </c>
      <c r="F3615" s="50" t="s">
        <v>262</v>
      </c>
      <c r="G3615" s="50">
        <v>1</v>
      </c>
      <c r="H3615" s="50" t="s">
        <v>2</v>
      </c>
      <c r="I3615" s="50" t="s">
        <v>293</v>
      </c>
      <c r="J3615" s="51">
        <v>45988</v>
      </c>
      <c r="K3615" s="50" t="s">
        <v>1</v>
      </c>
      <c r="L3615" s="50" t="s">
        <v>80</v>
      </c>
    </row>
    <row r="3616" spans="2:12">
      <c r="B3616" s="50" t="s">
        <v>481</v>
      </c>
      <c r="C3616" s="50" t="s">
        <v>56</v>
      </c>
      <c r="D3616" s="50" t="s">
        <v>27</v>
      </c>
      <c r="E3616" s="50">
        <v>50038840</v>
      </c>
      <c r="F3616" s="50" t="s">
        <v>235</v>
      </c>
      <c r="G3616" s="50">
        <v>1</v>
      </c>
      <c r="H3616" s="50" t="s">
        <v>2</v>
      </c>
      <c r="I3616" s="50" t="s">
        <v>293</v>
      </c>
      <c r="J3616" s="51">
        <v>45988</v>
      </c>
      <c r="K3616" s="50" t="s">
        <v>1</v>
      </c>
      <c r="L3616" s="50" t="s">
        <v>80</v>
      </c>
    </row>
    <row r="3617" spans="2:12">
      <c r="B3617" s="50" t="s">
        <v>409</v>
      </c>
      <c r="C3617" s="50" t="s">
        <v>51</v>
      </c>
      <c r="D3617" s="50" t="s">
        <v>27</v>
      </c>
      <c r="E3617" s="50">
        <v>50043471</v>
      </c>
      <c r="F3617" s="50" t="s">
        <v>257</v>
      </c>
      <c r="G3617" s="50">
        <v>1</v>
      </c>
      <c r="H3617" s="50" t="s">
        <v>2</v>
      </c>
      <c r="I3617" s="50" t="s">
        <v>293</v>
      </c>
      <c r="J3617" s="51">
        <v>45988</v>
      </c>
      <c r="K3617" s="50" t="s">
        <v>1</v>
      </c>
      <c r="L3617" s="50" t="s">
        <v>80</v>
      </c>
    </row>
    <row r="3618" spans="2:12">
      <c r="B3618" s="50" t="s">
        <v>423</v>
      </c>
      <c r="C3618" s="50" t="s">
        <v>62</v>
      </c>
      <c r="D3618" s="50" t="s">
        <v>27</v>
      </c>
      <c r="E3618" s="50">
        <v>50043917</v>
      </c>
      <c r="F3618" s="50" t="s">
        <v>262</v>
      </c>
      <c r="G3618" s="50">
        <v>1</v>
      </c>
      <c r="H3618" s="50" t="s">
        <v>2</v>
      </c>
      <c r="I3618" s="50" t="s">
        <v>293</v>
      </c>
      <c r="J3618" s="51">
        <v>45988</v>
      </c>
      <c r="K3618" s="50" t="s">
        <v>3</v>
      </c>
      <c r="L3618" s="50" t="s">
        <v>80</v>
      </c>
    </row>
    <row r="3619" spans="2:12">
      <c r="B3619" s="50" t="s">
        <v>394</v>
      </c>
      <c r="C3619" s="50" t="s">
        <v>51</v>
      </c>
      <c r="D3619" s="50" t="s">
        <v>27</v>
      </c>
      <c r="E3619" s="50">
        <v>50038841</v>
      </c>
      <c r="F3619" s="50" t="s">
        <v>180</v>
      </c>
      <c r="G3619" s="50">
        <v>1</v>
      </c>
      <c r="H3619" s="50" t="s">
        <v>2</v>
      </c>
      <c r="I3619" s="50" t="s">
        <v>293</v>
      </c>
      <c r="J3619" s="51">
        <v>45988</v>
      </c>
      <c r="K3619" s="50" t="s">
        <v>3</v>
      </c>
      <c r="L3619" s="50" t="s">
        <v>80</v>
      </c>
    </row>
    <row r="3620" spans="2:12">
      <c r="B3620" s="50" t="s">
        <v>461</v>
      </c>
      <c r="C3620" s="50" t="s">
        <v>26</v>
      </c>
      <c r="D3620" s="50" t="s">
        <v>39</v>
      </c>
      <c r="E3620" s="50">
        <v>50037892</v>
      </c>
      <c r="F3620" s="50" t="s">
        <v>178</v>
      </c>
      <c r="G3620" s="50">
        <v>1</v>
      </c>
      <c r="H3620" s="50" t="s">
        <v>2</v>
      </c>
      <c r="I3620" s="50" t="s">
        <v>292</v>
      </c>
      <c r="J3620" s="51">
        <v>45988</v>
      </c>
      <c r="K3620" s="50" t="s">
        <v>3</v>
      </c>
      <c r="L3620" s="50" t="s">
        <v>80</v>
      </c>
    </row>
    <row r="3621" spans="2:12">
      <c r="B3621" s="50" t="s">
        <v>461</v>
      </c>
      <c r="C3621" s="50" t="s">
        <v>26</v>
      </c>
      <c r="D3621" s="50" t="s">
        <v>39</v>
      </c>
      <c r="E3621" s="50">
        <v>50038195</v>
      </c>
      <c r="F3621" s="50" t="s">
        <v>239</v>
      </c>
      <c r="G3621" s="50">
        <v>1</v>
      </c>
      <c r="H3621" s="50" t="s">
        <v>2</v>
      </c>
      <c r="I3621" s="50" t="s">
        <v>292</v>
      </c>
      <c r="J3621" s="51">
        <v>45988</v>
      </c>
      <c r="K3621" s="50" t="s">
        <v>1</v>
      </c>
      <c r="L3621" s="50" t="s">
        <v>80</v>
      </c>
    </row>
    <row r="3622" spans="2:12">
      <c r="B3622" s="50" t="s">
        <v>444</v>
      </c>
      <c r="C3622" s="50" t="s">
        <v>56</v>
      </c>
      <c r="D3622" s="50" t="s">
        <v>27</v>
      </c>
      <c r="E3622" s="50">
        <v>50037933</v>
      </c>
      <c r="F3622" s="50" t="s">
        <v>250</v>
      </c>
      <c r="G3622" s="50">
        <v>1</v>
      </c>
      <c r="H3622" s="50" t="s">
        <v>2</v>
      </c>
      <c r="I3622" s="50" t="s">
        <v>292</v>
      </c>
      <c r="J3622" s="51">
        <v>45988</v>
      </c>
      <c r="K3622" s="50" t="s">
        <v>3</v>
      </c>
      <c r="L3622" s="50" t="s">
        <v>80</v>
      </c>
    </row>
    <row r="3623" spans="2:12">
      <c r="B3623" s="50" t="s">
        <v>481</v>
      </c>
      <c r="C3623" s="50" t="s">
        <v>56</v>
      </c>
      <c r="D3623" s="50" t="s">
        <v>27</v>
      </c>
      <c r="E3623" s="50">
        <v>50038840</v>
      </c>
      <c r="F3623" s="50" t="s">
        <v>235</v>
      </c>
      <c r="G3623" s="50">
        <v>1</v>
      </c>
      <c r="H3623" s="50" t="s">
        <v>2</v>
      </c>
      <c r="I3623" s="50" t="s">
        <v>292</v>
      </c>
      <c r="J3623" s="51">
        <v>45988</v>
      </c>
      <c r="K3623" s="50" t="s">
        <v>3</v>
      </c>
      <c r="L3623" s="50" t="s">
        <v>80</v>
      </c>
    </row>
    <row r="3624" spans="2:12">
      <c r="B3624" s="50" t="s">
        <v>409</v>
      </c>
      <c r="C3624" s="50" t="s">
        <v>51</v>
      </c>
      <c r="D3624" s="50" t="s">
        <v>27</v>
      </c>
      <c r="E3624" s="50">
        <v>50043471</v>
      </c>
      <c r="F3624" s="50" t="s">
        <v>257</v>
      </c>
      <c r="G3624" s="50">
        <v>1</v>
      </c>
      <c r="H3624" s="50" t="s">
        <v>2</v>
      </c>
      <c r="I3624" s="50" t="s">
        <v>292</v>
      </c>
      <c r="J3624" s="51">
        <v>45988</v>
      </c>
      <c r="K3624" s="50" t="s">
        <v>3</v>
      </c>
      <c r="L3624" s="50" t="s">
        <v>80</v>
      </c>
    </row>
    <row r="3625" spans="2:12">
      <c r="B3625" s="50" t="s">
        <v>444</v>
      </c>
      <c r="C3625" s="50" t="s">
        <v>56</v>
      </c>
      <c r="D3625" s="50" t="s">
        <v>27</v>
      </c>
      <c r="E3625" s="50">
        <v>50037933</v>
      </c>
      <c r="F3625" s="50" t="s">
        <v>250</v>
      </c>
      <c r="G3625" s="50">
        <v>1</v>
      </c>
      <c r="H3625" s="50" t="s">
        <v>2</v>
      </c>
      <c r="I3625" s="50" t="s">
        <v>292</v>
      </c>
      <c r="J3625" s="51">
        <v>45988</v>
      </c>
      <c r="K3625" s="50" t="s">
        <v>3</v>
      </c>
      <c r="L3625" s="50" t="s">
        <v>80</v>
      </c>
    </row>
    <row r="3626" spans="2:12">
      <c r="B3626" s="50" t="s">
        <v>474</v>
      </c>
      <c r="C3626" s="50" t="s">
        <v>51</v>
      </c>
      <c r="D3626" s="50" t="s">
        <v>27</v>
      </c>
      <c r="E3626" s="50">
        <v>50039065</v>
      </c>
      <c r="F3626" s="50" t="s">
        <v>186</v>
      </c>
      <c r="G3626" s="50">
        <v>1</v>
      </c>
      <c r="H3626" s="50" t="s">
        <v>2</v>
      </c>
      <c r="I3626" s="50" t="s">
        <v>293</v>
      </c>
      <c r="J3626" s="51">
        <v>45988</v>
      </c>
      <c r="K3626" s="50" t="s">
        <v>1</v>
      </c>
      <c r="L3626" s="50" t="s">
        <v>80</v>
      </c>
    </row>
    <row r="3627" spans="2:12">
      <c r="B3627" s="50" t="e">
        <v>#N/A</v>
      </c>
      <c r="C3627" s="50" t="s">
        <v>62</v>
      </c>
      <c r="D3627" s="50" t="s">
        <v>27</v>
      </c>
      <c r="E3627" s="50">
        <v>50041195</v>
      </c>
      <c r="F3627" s="50" t="s">
        <v>206</v>
      </c>
      <c r="G3627" s="50">
        <v>1</v>
      </c>
      <c r="H3627" s="50" t="s">
        <v>2</v>
      </c>
      <c r="I3627" s="50" t="s">
        <v>289</v>
      </c>
      <c r="J3627" s="51">
        <v>45988</v>
      </c>
      <c r="K3627" s="50" t="s">
        <v>1</v>
      </c>
      <c r="L3627" s="50" t="s">
        <v>80</v>
      </c>
    </row>
    <row r="3628" spans="2:12">
      <c r="B3628" s="50" t="s">
        <v>446</v>
      </c>
      <c r="C3628" s="50" t="s">
        <v>56</v>
      </c>
      <c r="D3628" s="50" t="s">
        <v>27</v>
      </c>
      <c r="E3628" s="50">
        <v>50041195</v>
      </c>
      <c r="F3628" s="50" t="s">
        <v>206</v>
      </c>
      <c r="G3628" s="50">
        <v>1</v>
      </c>
      <c r="H3628" s="50" t="s">
        <v>2</v>
      </c>
      <c r="I3628" s="50" t="s">
        <v>289</v>
      </c>
      <c r="J3628" s="51">
        <v>45988</v>
      </c>
      <c r="K3628" s="50" t="s">
        <v>1</v>
      </c>
      <c r="L3628" s="50" t="s">
        <v>80</v>
      </c>
    </row>
    <row r="3629" spans="2:12">
      <c r="B3629" s="50" t="s">
        <v>394</v>
      </c>
      <c r="C3629" s="50" t="s">
        <v>51</v>
      </c>
      <c r="D3629" s="50" t="s">
        <v>27</v>
      </c>
      <c r="E3629" s="50">
        <v>50043471</v>
      </c>
      <c r="F3629" s="50" t="s">
        <v>257</v>
      </c>
      <c r="G3629" s="50">
        <v>1</v>
      </c>
      <c r="H3629" s="50" t="s">
        <v>2</v>
      </c>
      <c r="I3629" s="50" t="s">
        <v>289</v>
      </c>
      <c r="J3629" s="51">
        <v>45988</v>
      </c>
      <c r="K3629" s="50" t="s">
        <v>3</v>
      </c>
      <c r="L3629" s="50" t="s">
        <v>80</v>
      </c>
    </row>
    <row r="3630" spans="2:12">
      <c r="B3630" s="50" t="s">
        <v>394</v>
      </c>
      <c r="C3630" s="50" t="s">
        <v>51</v>
      </c>
      <c r="D3630" s="50" t="s">
        <v>27</v>
      </c>
      <c r="E3630" s="50">
        <v>50043471</v>
      </c>
      <c r="F3630" s="50" t="s">
        <v>257</v>
      </c>
      <c r="G3630" s="50">
        <v>1</v>
      </c>
      <c r="H3630" s="50" t="s">
        <v>2</v>
      </c>
      <c r="I3630" s="50" t="s">
        <v>291</v>
      </c>
      <c r="J3630" s="51">
        <v>45988</v>
      </c>
      <c r="K3630" s="50" t="s">
        <v>1</v>
      </c>
      <c r="L3630" s="50" t="s">
        <v>80</v>
      </c>
    </row>
    <row r="3631" spans="2:12">
      <c r="B3631" s="50" t="s">
        <v>455</v>
      </c>
      <c r="C3631" s="50" t="s">
        <v>56</v>
      </c>
      <c r="D3631" s="50" t="s">
        <v>41</v>
      </c>
      <c r="E3631" s="50">
        <v>50043320</v>
      </c>
      <c r="F3631" s="50" t="s">
        <v>264</v>
      </c>
      <c r="G3631" s="50">
        <v>1</v>
      </c>
      <c r="H3631" s="50" t="s">
        <v>2</v>
      </c>
      <c r="I3631" s="50" t="s">
        <v>291</v>
      </c>
      <c r="J3631" s="51">
        <v>45988</v>
      </c>
      <c r="K3631" s="50" t="s">
        <v>1</v>
      </c>
      <c r="L3631" s="50" t="s">
        <v>80</v>
      </c>
    </row>
    <row r="3632" spans="2:12">
      <c r="B3632" s="50" t="s">
        <v>423</v>
      </c>
      <c r="C3632" s="50" t="s">
        <v>62</v>
      </c>
      <c r="D3632" s="50" t="s">
        <v>27</v>
      </c>
      <c r="E3632" s="50">
        <v>50043917</v>
      </c>
      <c r="F3632" s="50" t="s">
        <v>262</v>
      </c>
      <c r="G3632" s="50">
        <v>1</v>
      </c>
      <c r="H3632" s="50" t="s">
        <v>2</v>
      </c>
      <c r="I3632" s="50" t="s">
        <v>291</v>
      </c>
      <c r="J3632" s="51">
        <v>45988</v>
      </c>
      <c r="K3632" s="50" t="s">
        <v>1</v>
      </c>
      <c r="L3632" s="50" t="s">
        <v>80</v>
      </c>
    </row>
    <row r="3633" spans="2:12">
      <c r="B3633" s="50" t="s">
        <v>463</v>
      </c>
      <c r="C3633" s="50" t="s">
        <v>56</v>
      </c>
      <c r="D3633" s="50" t="s">
        <v>27</v>
      </c>
      <c r="E3633" s="50">
        <v>50038956</v>
      </c>
      <c r="F3633" s="50" t="s">
        <v>177</v>
      </c>
      <c r="G3633" s="50">
        <v>1</v>
      </c>
      <c r="H3633" s="50" t="s">
        <v>2</v>
      </c>
      <c r="I3633" s="50" t="s">
        <v>291</v>
      </c>
      <c r="J3633" s="51">
        <v>45988</v>
      </c>
      <c r="K3633" s="50" t="s">
        <v>3</v>
      </c>
      <c r="L3633" s="50" t="s">
        <v>80</v>
      </c>
    </row>
    <row r="3634" spans="2:12">
      <c r="B3634" s="50" t="s">
        <v>455</v>
      </c>
      <c r="C3634" s="50" t="s">
        <v>56</v>
      </c>
      <c r="D3634" s="50" t="s">
        <v>41</v>
      </c>
      <c r="E3634" s="50">
        <v>50043320</v>
      </c>
      <c r="F3634" s="50" t="s">
        <v>264</v>
      </c>
      <c r="G3634" s="50">
        <v>1</v>
      </c>
      <c r="H3634" s="50" t="s">
        <v>2</v>
      </c>
      <c r="I3634" s="50" t="s">
        <v>291</v>
      </c>
      <c r="J3634" s="51">
        <v>45988</v>
      </c>
      <c r="K3634" s="50" t="s">
        <v>3</v>
      </c>
      <c r="L3634" s="50" t="s">
        <v>80</v>
      </c>
    </row>
    <row r="3635" spans="2:12">
      <c r="B3635" s="50" t="s">
        <v>478</v>
      </c>
      <c r="C3635" s="50" t="s">
        <v>51</v>
      </c>
      <c r="D3635" s="50" t="s">
        <v>27</v>
      </c>
      <c r="E3635" s="50">
        <v>50003173</v>
      </c>
      <c r="F3635" s="50" t="s">
        <v>74</v>
      </c>
      <c r="G3635" s="50">
        <v>1</v>
      </c>
      <c r="H3635" s="50" t="s">
        <v>2</v>
      </c>
      <c r="I3635" s="50" t="s">
        <v>291</v>
      </c>
      <c r="J3635" s="51">
        <v>45988</v>
      </c>
      <c r="K3635" s="50" t="s">
        <v>3</v>
      </c>
      <c r="L3635" s="50" t="s">
        <v>80</v>
      </c>
    </row>
    <row r="3636" spans="2:12">
      <c r="B3636" s="50" t="s">
        <v>444</v>
      </c>
      <c r="C3636" s="50" t="s">
        <v>51</v>
      </c>
      <c r="D3636" s="50" t="s">
        <v>27</v>
      </c>
      <c r="E3636" s="50">
        <v>50036293</v>
      </c>
      <c r="F3636" s="50" t="s">
        <v>130</v>
      </c>
      <c r="G3636" s="50">
        <v>1</v>
      </c>
      <c r="H3636" s="50" t="s">
        <v>2</v>
      </c>
      <c r="I3636" s="50" t="s">
        <v>291</v>
      </c>
      <c r="J3636" s="51">
        <v>45988</v>
      </c>
      <c r="K3636" s="50" t="s">
        <v>3</v>
      </c>
      <c r="L3636" s="50" t="s">
        <v>80</v>
      </c>
    </row>
    <row r="3637" spans="2:12">
      <c r="B3637" s="50" t="s">
        <v>463</v>
      </c>
      <c r="C3637" s="50" t="s">
        <v>56</v>
      </c>
      <c r="D3637" s="50" t="s">
        <v>27</v>
      </c>
      <c r="E3637" s="50">
        <v>50038956</v>
      </c>
      <c r="F3637" s="50" t="s">
        <v>177</v>
      </c>
      <c r="G3637" s="50">
        <v>1</v>
      </c>
      <c r="H3637" s="50" t="s">
        <v>2</v>
      </c>
      <c r="I3637" s="50" t="s">
        <v>291</v>
      </c>
      <c r="J3637" s="51">
        <v>45988</v>
      </c>
      <c r="K3637" s="50" t="s">
        <v>1</v>
      </c>
      <c r="L3637" s="50" t="s">
        <v>80</v>
      </c>
    </row>
    <row r="3638" spans="2:12">
      <c r="B3638" s="50" t="s">
        <v>394</v>
      </c>
      <c r="C3638" s="50" t="s">
        <v>26</v>
      </c>
      <c r="D3638" s="50" t="s">
        <v>41</v>
      </c>
      <c r="E3638" s="50">
        <v>50037922</v>
      </c>
      <c r="F3638" s="50" t="s">
        <v>117</v>
      </c>
      <c r="G3638" s="50">
        <v>1</v>
      </c>
      <c r="H3638" s="50" t="s">
        <v>2</v>
      </c>
      <c r="I3638" s="50" t="s">
        <v>291</v>
      </c>
      <c r="J3638" s="51">
        <v>45988</v>
      </c>
      <c r="K3638" s="50" t="s">
        <v>3</v>
      </c>
      <c r="L3638" s="50" t="s">
        <v>80</v>
      </c>
    </row>
    <row r="3639" spans="2:12">
      <c r="B3639" s="50" t="s">
        <v>446</v>
      </c>
      <c r="C3639" s="50" t="s">
        <v>56</v>
      </c>
      <c r="D3639" s="50" t="s">
        <v>27</v>
      </c>
      <c r="E3639" s="50">
        <v>50041195</v>
      </c>
      <c r="F3639" s="50" t="s">
        <v>206</v>
      </c>
      <c r="G3639" s="50">
        <v>1</v>
      </c>
      <c r="H3639" s="50" t="s">
        <v>2</v>
      </c>
      <c r="I3639" s="50" t="s">
        <v>291</v>
      </c>
      <c r="J3639" s="51">
        <v>45988</v>
      </c>
      <c r="K3639" s="50" t="s">
        <v>3</v>
      </c>
      <c r="L3639" s="50" t="s">
        <v>80</v>
      </c>
    </row>
    <row r="3640" spans="2:12">
      <c r="B3640" s="50" t="s">
        <v>439</v>
      </c>
      <c r="C3640" s="50" t="s">
        <v>62</v>
      </c>
      <c r="D3640" s="50" t="s">
        <v>27</v>
      </c>
      <c r="E3640" s="50">
        <v>50036086</v>
      </c>
      <c r="F3640" s="50" t="s">
        <v>28</v>
      </c>
      <c r="G3640" s="50">
        <v>1</v>
      </c>
      <c r="H3640" s="50" t="s">
        <v>2</v>
      </c>
      <c r="I3640" s="50" t="s">
        <v>291</v>
      </c>
      <c r="J3640" s="51">
        <v>45988</v>
      </c>
      <c r="K3640" s="50" t="s">
        <v>1</v>
      </c>
      <c r="L3640" s="50" t="s">
        <v>80</v>
      </c>
    </row>
    <row r="3641" spans="2:12">
      <c r="B3641" s="50" t="s">
        <v>394</v>
      </c>
      <c r="C3641" s="50" t="s">
        <v>26</v>
      </c>
      <c r="D3641" s="50" t="s">
        <v>41</v>
      </c>
      <c r="E3641" s="50">
        <v>50038956</v>
      </c>
      <c r="F3641" s="50" t="s">
        <v>177</v>
      </c>
      <c r="G3641" s="50">
        <v>1</v>
      </c>
      <c r="H3641" s="50" t="s">
        <v>2</v>
      </c>
      <c r="I3641" s="50" t="s">
        <v>291</v>
      </c>
      <c r="J3641" s="51">
        <v>45988</v>
      </c>
      <c r="K3641" s="50" t="s">
        <v>3</v>
      </c>
      <c r="L3641" s="50" t="s">
        <v>80</v>
      </c>
    </row>
    <row r="3642" spans="2:12">
      <c r="B3642" s="50" t="s">
        <v>394</v>
      </c>
      <c r="C3642" s="50" t="s">
        <v>51</v>
      </c>
      <c r="D3642" s="50" t="s">
        <v>27</v>
      </c>
      <c r="E3642" s="50">
        <v>50038517</v>
      </c>
      <c r="F3642" s="50" t="s">
        <v>181</v>
      </c>
      <c r="G3642" s="50">
        <v>1</v>
      </c>
      <c r="H3642" s="50" t="s">
        <v>2</v>
      </c>
      <c r="I3642" s="50" t="s">
        <v>291</v>
      </c>
      <c r="J3642" s="51">
        <v>45988</v>
      </c>
      <c r="K3642" s="50" t="s">
        <v>3</v>
      </c>
      <c r="L3642" s="50" t="s">
        <v>80</v>
      </c>
    </row>
    <row r="3643" spans="2:12">
      <c r="B3643" s="50" t="s">
        <v>394</v>
      </c>
      <c r="C3643" s="50" t="s">
        <v>51</v>
      </c>
      <c r="D3643" s="50" t="s">
        <v>27</v>
      </c>
      <c r="E3643" s="50">
        <v>50038841</v>
      </c>
      <c r="F3643" s="50" t="s">
        <v>180</v>
      </c>
      <c r="G3643" s="50">
        <v>1</v>
      </c>
      <c r="H3643" s="50" t="s">
        <v>2</v>
      </c>
      <c r="I3643" s="50" t="s">
        <v>291</v>
      </c>
      <c r="J3643" s="51">
        <v>45988</v>
      </c>
      <c r="K3643" s="50" t="s">
        <v>3</v>
      </c>
      <c r="L3643" s="50" t="s">
        <v>80</v>
      </c>
    </row>
    <row r="3644" spans="2:12">
      <c r="B3644" s="50" t="s">
        <v>394</v>
      </c>
      <c r="C3644" s="50" t="s">
        <v>26</v>
      </c>
      <c r="D3644" s="50" t="s">
        <v>41</v>
      </c>
      <c r="E3644" s="50">
        <v>50038956</v>
      </c>
      <c r="F3644" s="50" t="s">
        <v>177</v>
      </c>
      <c r="G3644" s="50">
        <v>1</v>
      </c>
      <c r="H3644" s="50" t="s">
        <v>2</v>
      </c>
      <c r="I3644" s="50" t="s">
        <v>291</v>
      </c>
      <c r="J3644" s="51">
        <v>45988</v>
      </c>
      <c r="K3644" s="50" t="s">
        <v>3</v>
      </c>
      <c r="L3644" s="50" t="s">
        <v>80</v>
      </c>
    </row>
    <row r="3645" spans="2:12">
      <c r="B3645" s="50" t="s">
        <v>394</v>
      </c>
      <c r="C3645" s="50" t="s">
        <v>26</v>
      </c>
      <c r="D3645" s="50" t="s">
        <v>41</v>
      </c>
      <c r="E3645" s="50">
        <v>50037922</v>
      </c>
      <c r="F3645" s="50" t="s">
        <v>117</v>
      </c>
      <c r="G3645" s="50">
        <v>1</v>
      </c>
      <c r="H3645" s="50" t="s">
        <v>2</v>
      </c>
      <c r="I3645" s="50" t="s">
        <v>291</v>
      </c>
      <c r="J3645" s="51">
        <v>45988</v>
      </c>
      <c r="K3645" s="50" t="s">
        <v>1</v>
      </c>
      <c r="L3645" s="50" t="s">
        <v>80</v>
      </c>
    </row>
    <row r="3646" spans="2:12">
      <c r="B3646" s="50" t="e">
        <v>#N/A</v>
      </c>
      <c r="C3646" s="50" t="s">
        <v>62</v>
      </c>
      <c r="D3646" s="50" t="s">
        <v>27</v>
      </c>
      <c r="E3646" s="50">
        <v>50041195</v>
      </c>
      <c r="F3646" s="50" t="s">
        <v>206</v>
      </c>
      <c r="G3646" s="50">
        <v>1</v>
      </c>
      <c r="H3646" s="50" t="s">
        <v>2</v>
      </c>
      <c r="I3646" s="50" t="s">
        <v>292</v>
      </c>
      <c r="J3646" s="51">
        <v>45987</v>
      </c>
      <c r="K3646" s="50" t="s">
        <v>1</v>
      </c>
      <c r="L3646" s="50" t="s">
        <v>80</v>
      </c>
    </row>
    <row r="3647" spans="2:12">
      <c r="B3647" s="50" t="s">
        <v>474</v>
      </c>
      <c r="C3647" s="50" t="s">
        <v>51</v>
      </c>
      <c r="D3647" s="50" t="s">
        <v>27</v>
      </c>
      <c r="E3647" s="50">
        <v>50030486</v>
      </c>
      <c r="F3647" s="50" t="s">
        <v>153</v>
      </c>
      <c r="G3647" s="50">
        <v>1</v>
      </c>
      <c r="H3647" s="50" t="s">
        <v>2</v>
      </c>
      <c r="I3647" s="50" t="s">
        <v>292</v>
      </c>
      <c r="J3647" s="51">
        <v>45987</v>
      </c>
      <c r="K3647" s="50" t="s">
        <v>1</v>
      </c>
      <c r="L3647" s="50" t="s">
        <v>80</v>
      </c>
    </row>
    <row r="3648" spans="2:12">
      <c r="B3648" s="50" t="s">
        <v>456</v>
      </c>
      <c r="C3648" s="50" t="s">
        <v>56</v>
      </c>
      <c r="D3648" s="50" t="s">
        <v>39</v>
      </c>
      <c r="E3648" s="50">
        <v>50029865</v>
      </c>
      <c r="F3648" s="50" t="s">
        <v>162</v>
      </c>
      <c r="G3648" s="50">
        <v>1</v>
      </c>
      <c r="H3648" s="50" t="s">
        <v>2</v>
      </c>
      <c r="I3648" s="50" t="s">
        <v>292</v>
      </c>
      <c r="J3648" s="51">
        <v>45987</v>
      </c>
      <c r="K3648" s="50" t="s">
        <v>1</v>
      </c>
      <c r="L3648" s="50" t="s">
        <v>80</v>
      </c>
    </row>
    <row r="3649" spans="2:12">
      <c r="B3649" s="50" t="s">
        <v>456</v>
      </c>
      <c r="C3649" s="50" t="s">
        <v>56</v>
      </c>
      <c r="D3649" s="50" t="s">
        <v>39</v>
      </c>
      <c r="E3649" s="50">
        <v>50036280</v>
      </c>
      <c r="F3649" s="50" t="s">
        <v>152</v>
      </c>
      <c r="G3649" s="50">
        <v>1</v>
      </c>
      <c r="H3649" s="50" t="s">
        <v>2</v>
      </c>
      <c r="I3649" s="50" t="s">
        <v>292</v>
      </c>
      <c r="J3649" s="51">
        <v>45987</v>
      </c>
      <c r="K3649" s="50" t="s">
        <v>1</v>
      </c>
      <c r="L3649" s="50" t="s">
        <v>80</v>
      </c>
    </row>
    <row r="3650" spans="2:12">
      <c r="B3650" s="50" t="s">
        <v>439</v>
      </c>
      <c r="C3650" s="50" t="s">
        <v>62</v>
      </c>
      <c r="D3650" s="50" t="s">
        <v>27</v>
      </c>
      <c r="E3650" s="50">
        <v>50038956</v>
      </c>
      <c r="F3650" s="50" t="s">
        <v>177</v>
      </c>
      <c r="G3650" s="50">
        <v>1</v>
      </c>
      <c r="H3650" s="50" t="s">
        <v>2</v>
      </c>
      <c r="I3650" s="50" t="s">
        <v>292</v>
      </c>
      <c r="J3650" s="51">
        <v>45987</v>
      </c>
      <c r="K3650" s="50" t="s">
        <v>1</v>
      </c>
      <c r="L3650" s="50" t="s">
        <v>80</v>
      </c>
    </row>
    <row r="3651" spans="2:12">
      <c r="B3651" s="50" t="s">
        <v>481</v>
      </c>
      <c r="C3651" s="50" t="s">
        <v>56</v>
      </c>
      <c r="D3651" s="50" t="s">
        <v>27</v>
      </c>
      <c r="E3651" s="50">
        <v>50036298</v>
      </c>
      <c r="F3651" s="50" t="s">
        <v>102</v>
      </c>
      <c r="G3651" s="50">
        <v>1</v>
      </c>
      <c r="H3651" s="50" t="s">
        <v>2</v>
      </c>
      <c r="I3651" s="50" t="s">
        <v>292</v>
      </c>
      <c r="J3651" s="51">
        <v>45987</v>
      </c>
      <c r="K3651" s="50" t="s">
        <v>1</v>
      </c>
      <c r="L3651" s="50" t="s">
        <v>80</v>
      </c>
    </row>
    <row r="3652" spans="2:12">
      <c r="B3652" s="50" t="s">
        <v>277</v>
      </c>
      <c r="C3652" s="50" t="s">
        <v>62</v>
      </c>
      <c r="D3652" s="50" t="s">
        <v>27</v>
      </c>
      <c r="E3652" s="50">
        <v>50043917</v>
      </c>
      <c r="F3652" s="50" t="s">
        <v>262</v>
      </c>
      <c r="G3652" s="50">
        <v>1</v>
      </c>
      <c r="H3652" s="50" t="s">
        <v>2</v>
      </c>
      <c r="I3652" s="50" t="s">
        <v>292</v>
      </c>
      <c r="J3652" s="51">
        <v>45987</v>
      </c>
      <c r="K3652" s="50" t="s">
        <v>1</v>
      </c>
      <c r="L3652" s="50" t="s">
        <v>80</v>
      </c>
    </row>
    <row r="3653" spans="2:12">
      <c r="B3653" s="50" t="s">
        <v>386</v>
      </c>
      <c r="C3653" s="50" t="s">
        <v>62</v>
      </c>
      <c r="D3653" s="50" t="s">
        <v>27</v>
      </c>
      <c r="E3653" s="50">
        <v>50036086</v>
      </c>
      <c r="F3653" s="50" t="s">
        <v>28</v>
      </c>
      <c r="G3653" s="50">
        <v>1</v>
      </c>
      <c r="H3653" s="50" t="s">
        <v>2</v>
      </c>
      <c r="I3653" s="50" t="s">
        <v>292</v>
      </c>
      <c r="J3653" s="51">
        <v>45987</v>
      </c>
      <c r="K3653" s="50" t="s">
        <v>1</v>
      </c>
      <c r="L3653" s="50" t="s">
        <v>80</v>
      </c>
    </row>
    <row r="3654" spans="2:12">
      <c r="B3654" s="50" t="s">
        <v>427</v>
      </c>
      <c r="C3654" s="50" t="s">
        <v>26</v>
      </c>
      <c r="D3654" s="50" t="s">
        <v>27</v>
      </c>
      <c r="E3654" s="50">
        <v>50043471</v>
      </c>
      <c r="F3654" s="50" t="s">
        <v>257</v>
      </c>
      <c r="G3654" s="50">
        <v>1</v>
      </c>
      <c r="H3654" s="50" t="s">
        <v>2</v>
      </c>
      <c r="I3654" s="50" t="s">
        <v>292</v>
      </c>
      <c r="J3654" s="51">
        <v>45987</v>
      </c>
      <c r="K3654" s="50" t="s">
        <v>1</v>
      </c>
      <c r="L3654" s="50" t="s">
        <v>80</v>
      </c>
    </row>
    <row r="3655" spans="2:12">
      <c r="B3655" s="50" t="s">
        <v>316</v>
      </c>
      <c r="C3655" s="50" t="s">
        <v>51</v>
      </c>
      <c r="D3655" s="50" t="s">
        <v>27</v>
      </c>
      <c r="E3655" s="50">
        <v>50038518</v>
      </c>
      <c r="F3655" s="50" t="s">
        <v>340</v>
      </c>
      <c r="G3655" s="50">
        <v>1</v>
      </c>
      <c r="H3655" s="50" t="s">
        <v>2</v>
      </c>
      <c r="I3655" s="50" t="s">
        <v>292</v>
      </c>
      <c r="J3655" s="51">
        <v>45987</v>
      </c>
      <c r="K3655" s="50" t="s">
        <v>1</v>
      </c>
      <c r="L3655" s="50" t="s">
        <v>80</v>
      </c>
    </row>
    <row r="3656" spans="2:12">
      <c r="B3656" s="50" t="s">
        <v>316</v>
      </c>
      <c r="C3656" s="50" t="s">
        <v>51</v>
      </c>
      <c r="D3656" s="50" t="s">
        <v>27</v>
      </c>
      <c r="E3656" s="50">
        <v>50038841</v>
      </c>
      <c r="F3656" s="50" t="s">
        <v>180</v>
      </c>
      <c r="G3656" s="50">
        <v>1</v>
      </c>
      <c r="H3656" s="50" t="s">
        <v>2</v>
      </c>
      <c r="I3656" s="50" t="s">
        <v>292</v>
      </c>
      <c r="J3656" s="51">
        <v>45987</v>
      </c>
      <c r="K3656" s="50" t="s">
        <v>1</v>
      </c>
      <c r="L3656" s="50" t="s">
        <v>80</v>
      </c>
    </row>
    <row r="3657" spans="2:12">
      <c r="B3657" s="50" t="s">
        <v>316</v>
      </c>
      <c r="C3657" s="50" t="s">
        <v>51</v>
      </c>
      <c r="D3657" s="50" t="s">
        <v>27</v>
      </c>
      <c r="E3657" s="50">
        <v>50010031</v>
      </c>
      <c r="F3657" s="50" t="s">
        <v>89</v>
      </c>
      <c r="G3657" s="50">
        <v>1</v>
      </c>
      <c r="H3657" s="50" t="s">
        <v>2</v>
      </c>
      <c r="I3657" s="50" t="s">
        <v>292</v>
      </c>
      <c r="J3657" s="51">
        <v>45987</v>
      </c>
      <c r="K3657" s="50" t="s">
        <v>1</v>
      </c>
      <c r="L3657" s="50" t="s">
        <v>80</v>
      </c>
    </row>
    <row r="3658" spans="2:12">
      <c r="B3658" s="50" t="s">
        <v>474</v>
      </c>
      <c r="C3658" s="50" t="s">
        <v>51</v>
      </c>
      <c r="D3658" s="50" t="s">
        <v>27</v>
      </c>
      <c r="E3658" s="50">
        <v>50037902</v>
      </c>
      <c r="F3658" s="50" t="s">
        <v>179</v>
      </c>
      <c r="G3658" s="50">
        <v>1</v>
      </c>
      <c r="H3658" s="50" t="s">
        <v>2</v>
      </c>
      <c r="I3658" s="50" t="s">
        <v>292</v>
      </c>
      <c r="J3658" s="51">
        <v>45987</v>
      </c>
      <c r="K3658" s="50" t="s">
        <v>1</v>
      </c>
      <c r="L3658" s="50" t="s">
        <v>80</v>
      </c>
    </row>
    <row r="3659" spans="2:12">
      <c r="B3659" s="50" t="s">
        <v>406</v>
      </c>
      <c r="C3659" s="50" t="s">
        <v>26</v>
      </c>
      <c r="D3659" s="50" t="s">
        <v>39</v>
      </c>
      <c r="E3659" s="50">
        <v>50038517</v>
      </c>
      <c r="F3659" s="50" t="s">
        <v>181</v>
      </c>
      <c r="G3659" s="50">
        <v>1</v>
      </c>
      <c r="H3659" s="50" t="s">
        <v>2</v>
      </c>
      <c r="I3659" s="50" t="s">
        <v>292</v>
      </c>
      <c r="J3659" s="51">
        <v>45987</v>
      </c>
      <c r="K3659" s="50" t="s">
        <v>1</v>
      </c>
      <c r="L3659" s="50" t="s">
        <v>80</v>
      </c>
    </row>
    <row r="3660" spans="2:12">
      <c r="B3660" s="50" t="s">
        <v>277</v>
      </c>
      <c r="C3660" s="50" t="s">
        <v>62</v>
      </c>
      <c r="D3660" s="50" t="s">
        <v>27</v>
      </c>
      <c r="E3660" s="50">
        <v>50020623</v>
      </c>
      <c r="F3660" s="50" t="s">
        <v>217</v>
      </c>
      <c r="G3660" s="50">
        <v>1</v>
      </c>
      <c r="H3660" s="50" t="s">
        <v>2</v>
      </c>
      <c r="I3660" s="50" t="s">
        <v>292</v>
      </c>
      <c r="J3660" s="51">
        <v>45987</v>
      </c>
      <c r="K3660" s="50" t="s">
        <v>1</v>
      </c>
      <c r="L3660" s="50" t="s">
        <v>80</v>
      </c>
    </row>
    <row r="3661" spans="2:12">
      <c r="B3661" s="50" t="s">
        <v>445</v>
      </c>
      <c r="C3661" s="50" t="s">
        <v>51</v>
      </c>
      <c r="D3661" s="50" t="s">
        <v>41</v>
      </c>
      <c r="E3661" s="50">
        <v>50044003</v>
      </c>
      <c r="F3661" s="50" t="s">
        <v>263</v>
      </c>
      <c r="G3661" s="50">
        <v>1</v>
      </c>
      <c r="H3661" s="50" t="s">
        <v>2</v>
      </c>
      <c r="I3661" s="50" t="s">
        <v>292</v>
      </c>
      <c r="J3661" s="51">
        <v>45987</v>
      </c>
      <c r="K3661" s="50" t="s">
        <v>3</v>
      </c>
      <c r="L3661" s="50" t="s">
        <v>80</v>
      </c>
    </row>
    <row r="3662" spans="2:12">
      <c r="B3662" s="50" t="s">
        <v>456</v>
      </c>
      <c r="C3662" s="50" t="s">
        <v>56</v>
      </c>
      <c r="D3662" s="50" t="s">
        <v>39</v>
      </c>
      <c r="E3662" s="50">
        <v>50029865</v>
      </c>
      <c r="F3662" s="50" t="s">
        <v>162</v>
      </c>
      <c r="G3662" s="50">
        <v>1</v>
      </c>
      <c r="H3662" s="50" t="s">
        <v>2</v>
      </c>
      <c r="I3662" s="50" t="s">
        <v>292</v>
      </c>
      <c r="J3662" s="51">
        <v>45987</v>
      </c>
      <c r="K3662" s="50" t="s">
        <v>3</v>
      </c>
      <c r="L3662" s="50" t="s">
        <v>80</v>
      </c>
    </row>
    <row r="3663" spans="2:12">
      <c r="B3663" s="50" t="s">
        <v>456</v>
      </c>
      <c r="C3663" s="50" t="s">
        <v>56</v>
      </c>
      <c r="D3663" s="50" t="s">
        <v>39</v>
      </c>
      <c r="E3663" s="50">
        <v>50036280</v>
      </c>
      <c r="F3663" s="50" t="s">
        <v>152</v>
      </c>
      <c r="G3663" s="50">
        <v>1</v>
      </c>
      <c r="H3663" s="50" t="s">
        <v>2</v>
      </c>
      <c r="I3663" s="50" t="s">
        <v>292</v>
      </c>
      <c r="J3663" s="51">
        <v>45987</v>
      </c>
      <c r="K3663" s="50" t="s">
        <v>1</v>
      </c>
      <c r="L3663" s="50" t="s">
        <v>80</v>
      </c>
    </row>
    <row r="3664" spans="2:12">
      <c r="B3664" s="50" t="s">
        <v>412</v>
      </c>
      <c r="C3664" s="50" t="s">
        <v>51</v>
      </c>
      <c r="D3664" s="50" t="s">
        <v>41</v>
      </c>
      <c r="E3664" s="50">
        <v>50037892</v>
      </c>
      <c r="F3664" s="50" t="s">
        <v>178</v>
      </c>
      <c r="G3664" s="50">
        <v>1</v>
      </c>
      <c r="H3664" s="50" t="s">
        <v>2</v>
      </c>
      <c r="I3664" s="50" t="s">
        <v>292</v>
      </c>
      <c r="J3664" s="51">
        <v>45987</v>
      </c>
      <c r="K3664" s="50" t="s">
        <v>1</v>
      </c>
      <c r="L3664" s="50" t="s">
        <v>80</v>
      </c>
    </row>
    <row r="3665" spans="2:12">
      <c r="B3665" s="50" t="s">
        <v>474</v>
      </c>
      <c r="C3665" s="50" t="s">
        <v>51</v>
      </c>
      <c r="D3665" s="50" t="s">
        <v>27</v>
      </c>
      <c r="E3665" s="50">
        <v>50032781</v>
      </c>
      <c r="F3665" s="50" t="s">
        <v>237</v>
      </c>
      <c r="G3665" s="50">
        <v>1</v>
      </c>
      <c r="H3665" s="50" t="s">
        <v>2</v>
      </c>
      <c r="I3665" s="50" t="s">
        <v>292</v>
      </c>
      <c r="J3665" s="51">
        <v>45987</v>
      </c>
      <c r="K3665" s="50" t="s">
        <v>3</v>
      </c>
      <c r="L3665" s="50" t="s">
        <v>80</v>
      </c>
    </row>
    <row r="3666" spans="2:12">
      <c r="B3666" s="50" t="s">
        <v>406</v>
      </c>
      <c r="C3666" s="50" t="s">
        <v>26</v>
      </c>
      <c r="D3666" s="50" t="s">
        <v>39</v>
      </c>
      <c r="E3666" s="50">
        <v>50038517</v>
      </c>
      <c r="F3666" s="50" t="s">
        <v>181</v>
      </c>
      <c r="G3666" s="50">
        <v>1</v>
      </c>
      <c r="H3666" s="50" t="s">
        <v>2</v>
      </c>
      <c r="I3666" s="50" t="s">
        <v>293</v>
      </c>
      <c r="J3666" s="51">
        <v>45987</v>
      </c>
      <c r="K3666" s="50" t="s">
        <v>3</v>
      </c>
      <c r="L3666" s="50" t="s">
        <v>80</v>
      </c>
    </row>
    <row r="3667" spans="2:12">
      <c r="B3667" s="50" t="s">
        <v>474</v>
      </c>
      <c r="C3667" s="50" t="s">
        <v>51</v>
      </c>
      <c r="D3667" s="50" t="s">
        <v>27</v>
      </c>
      <c r="E3667" s="50">
        <v>50030486</v>
      </c>
      <c r="F3667" s="50" t="s">
        <v>153</v>
      </c>
      <c r="G3667" s="50">
        <v>1</v>
      </c>
      <c r="H3667" s="50" t="s">
        <v>2</v>
      </c>
      <c r="I3667" s="50" t="s">
        <v>293</v>
      </c>
      <c r="J3667" s="51">
        <v>45987</v>
      </c>
      <c r="K3667" s="50" t="s">
        <v>3</v>
      </c>
      <c r="L3667" s="50" t="s">
        <v>80</v>
      </c>
    </row>
    <row r="3668" spans="2:12">
      <c r="B3668" s="50" t="s">
        <v>386</v>
      </c>
      <c r="C3668" s="50" t="s">
        <v>62</v>
      </c>
      <c r="D3668" s="50" t="s">
        <v>27</v>
      </c>
      <c r="E3668" s="50">
        <v>50036086</v>
      </c>
      <c r="F3668" s="50" t="s">
        <v>28</v>
      </c>
      <c r="G3668" s="50">
        <v>1</v>
      </c>
      <c r="H3668" s="50" t="s">
        <v>2</v>
      </c>
      <c r="I3668" s="50" t="s">
        <v>293</v>
      </c>
      <c r="J3668" s="51">
        <v>45987</v>
      </c>
      <c r="K3668" s="50" t="s">
        <v>3</v>
      </c>
      <c r="L3668" s="50" t="s">
        <v>80</v>
      </c>
    </row>
    <row r="3669" spans="2:12">
      <c r="B3669" s="50" t="s">
        <v>474</v>
      </c>
      <c r="C3669" s="50" t="s">
        <v>51</v>
      </c>
      <c r="D3669" s="50" t="s">
        <v>27</v>
      </c>
      <c r="E3669" s="50">
        <v>50032781</v>
      </c>
      <c r="F3669" s="50" t="s">
        <v>237</v>
      </c>
      <c r="G3669" s="50">
        <v>1</v>
      </c>
      <c r="H3669" s="50" t="s">
        <v>2</v>
      </c>
      <c r="I3669" s="50" t="s">
        <v>291</v>
      </c>
      <c r="J3669" s="51">
        <v>45987</v>
      </c>
      <c r="K3669" s="50" t="s">
        <v>1</v>
      </c>
      <c r="L3669" s="50" t="s">
        <v>80</v>
      </c>
    </row>
    <row r="3670" spans="2:12">
      <c r="B3670" s="50" t="s">
        <v>427</v>
      </c>
      <c r="C3670" s="50" t="s">
        <v>26</v>
      </c>
      <c r="D3670" s="50" t="s">
        <v>27</v>
      </c>
      <c r="E3670" s="50">
        <v>50004486</v>
      </c>
      <c r="F3670" s="50" t="s">
        <v>221</v>
      </c>
      <c r="G3670" s="50">
        <v>1</v>
      </c>
      <c r="H3670" s="50" t="s">
        <v>2</v>
      </c>
      <c r="I3670" s="50" t="s">
        <v>291</v>
      </c>
      <c r="J3670" s="51">
        <v>45987</v>
      </c>
      <c r="K3670" s="50" t="s">
        <v>1</v>
      </c>
      <c r="L3670" s="50" t="s">
        <v>80</v>
      </c>
    </row>
    <row r="3671" spans="2:12">
      <c r="B3671" s="50" t="s">
        <v>427</v>
      </c>
      <c r="C3671" s="50" t="s">
        <v>26</v>
      </c>
      <c r="D3671" s="50" t="s">
        <v>27</v>
      </c>
      <c r="E3671" s="50">
        <v>50043320</v>
      </c>
      <c r="F3671" s="50" t="s">
        <v>264</v>
      </c>
      <c r="G3671" s="50">
        <v>1</v>
      </c>
      <c r="H3671" s="50" t="s">
        <v>2</v>
      </c>
      <c r="I3671" s="50" t="s">
        <v>291</v>
      </c>
      <c r="J3671" s="51">
        <v>45987</v>
      </c>
      <c r="K3671" s="50" t="s">
        <v>3</v>
      </c>
      <c r="L3671" s="50" t="s">
        <v>80</v>
      </c>
    </row>
    <row r="3672" spans="2:12">
      <c r="B3672" s="50" t="s">
        <v>481</v>
      </c>
      <c r="C3672" s="50" t="s">
        <v>56</v>
      </c>
      <c r="D3672" s="50" t="s">
        <v>27</v>
      </c>
      <c r="E3672" s="50">
        <v>50036298</v>
      </c>
      <c r="F3672" s="50" t="s">
        <v>102</v>
      </c>
      <c r="G3672" s="50">
        <v>1</v>
      </c>
      <c r="H3672" s="50" t="s">
        <v>2</v>
      </c>
      <c r="I3672" s="50" t="s">
        <v>291</v>
      </c>
      <c r="J3672" s="51">
        <v>45987</v>
      </c>
      <c r="K3672" s="50" t="s">
        <v>3</v>
      </c>
      <c r="L3672" s="50" t="s">
        <v>80</v>
      </c>
    </row>
    <row r="3673" spans="2:12">
      <c r="B3673" s="50" t="s">
        <v>427</v>
      </c>
      <c r="C3673" s="50" t="s">
        <v>26</v>
      </c>
      <c r="D3673" s="50" t="s">
        <v>27</v>
      </c>
      <c r="E3673" s="50">
        <v>50004486</v>
      </c>
      <c r="F3673" s="50" t="s">
        <v>221</v>
      </c>
      <c r="G3673" s="50">
        <v>1</v>
      </c>
      <c r="H3673" s="50" t="s">
        <v>2</v>
      </c>
      <c r="I3673" s="50" t="s">
        <v>291</v>
      </c>
      <c r="J3673" s="51">
        <v>45987</v>
      </c>
      <c r="K3673" s="50" t="s">
        <v>3</v>
      </c>
      <c r="L3673" s="50" t="s">
        <v>80</v>
      </c>
    </row>
    <row r="3674" spans="2:12">
      <c r="B3674" s="50" t="s">
        <v>316</v>
      </c>
      <c r="C3674" s="50" t="s">
        <v>51</v>
      </c>
      <c r="D3674" s="50" t="s">
        <v>27</v>
      </c>
      <c r="E3674" s="50">
        <v>50038518</v>
      </c>
      <c r="F3674" s="50" t="s">
        <v>340</v>
      </c>
      <c r="G3674" s="50">
        <v>1</v>
      </c>
      <c r="H3674" s="50" t="s">
        <v>2</v>
      </c>
      <c r="I3674" s="50" t="s">
        <v>291</v>
      </c>
      <c r="J3674" s="51">
        <v>45987</v>
      </c>
      <c r="K3674" s="50" t="s">
        <v>3</v>
      </c>
      <c r="L3674" s="50" t="s">
        <v>80</v>
      </c>
    </row>
    <row r="3675" spans="2:12">
      <c r="B3675" s="50" t="s">
        <v>427</v>
      </c>
      <c r="C3675" s="50" t="s">
        <v>26</v>
      </c>
      <c r="D3675" s="50" t="s">
        <v>27</v>
      </c>
      <c r="E3675" s="50">
        <v>50043471</v>
      </c>
      <c r="F3675" s="50" t="s">
        <v>257</v>
      </c>
      <c r="G3675" s="50">
        <v>1</v>
      </c>
      <c r="H3675" s="50" t="s">
        <v>2</v>
      </c>
      <c r="I3675" s="50" t="s">
        <v>291</v>
      </c>
      <c r="J3675" s="51">
        <v>45987</v>
      </c>
      <c r="K3675" s="50" t="s">
        <v>3</v>
      </c>
      <c r="L3675" s="50" t="s">
        <v>80</v>
      </c>
    </row>
    <row r="3676" spans="2:12">
      <c r="B3676" s="50" t="s">
        <v>427</v>
      </c>
      <c r="C3676" s="50" t="s">
        <v>26</v>
      </c>
      <c r="D3676" s="50" t="s">
        <v>27</v>
      </c>
      <c r="E3676" s="50">
        <v>50043320</v>
      </c>
      <c r="F3676" s="50" t="s">
        <v>264</v>
      </c>
      <c r="G3676" s="50">
        <v>1</v>
      </c>
      <c r="H3676" s="50" t="s">
        <v>2</v>
      </c>
      <c r="I3676" s="50" t="s">
        <v>291</v>
      </c>
      <c r="J3676" s="51">
        <v>45987</v>
      </c>
      <c r="K3676" s="50" t="s">
        <v>3</v>
      </c>
      <c r="L3676" s="50" t="s">
        <v>80</v>
      </c>
    </row>
    <row r="3677" spans="2:12">
      <c r="B3677" s="50" t="e">
        <v>#N/A</v>
      </c>
      <c r="C3677" s="50" t="s">
        <v>62</v>
      </c>
      <c r="D3677" s="50" t="s">
        <v>27</v>
      </c>
      <c r="E3677" s="50">
        <v>50041195</v>
      </c>
      <c r="F3677" s="50" t="s">
        <v>206</v>
      </c>
      <c r="G3677" s="50">
        <v>1</v>
      </c>
      <c r="H3677" s="50" t="s">
        <v>2</v>
      </c>
      <c r="I3677" s="50" t="s">
        <v>291</v>
      </c>
      <c r="J3677" s="51">
        <v>45987</v>
      </c>
      <c r="K3677" s="50" t="s">
        <v>3</v>
      </c>
      <c r="L3677" s="50" t="s">
        <v>80</v>
      </c>
    </row>
    <row r="3678" spans="2:12">
      <c r="B3678" s="50" t="s">
        <v>277</v>
      </c>
      <c r="C3678" s="50" t="s">
        <v>62</v>
      </c>
      <c r="D3678" s="50" t="s">
        <v>27</v>
      </c>
      <c r="E3678" s="50">
        <v>50020623</v>
      </c>
      <c r="F3678" s="50" t="s">
        <v>217</v>
      </c>
      <c r="G3678" s="50">
        <v>1</v>
      </c>
      <c r="H3678" s="50" t="s">
        <v>2</v>
      </c>
      <c r="I3678" s="50" t="s">
        <v>291</v>
      </c>
      <c r="J3678" s="51">
        <v>45987</v>
      </c>
      <c r="K3678" s="50" t="s">
        <v>3</v>
      </c>
      <c r="L3678" s="50" t="s">
        <v>80</v>
      </c>
    </row>
    <row r="3679" spans="2:12">
      <c r="B3679" s="50" t="s">
        <v>277</v>
      </c>
      <c r="C3679" s="50" t="s">
        <v>62</v>
      </c>
      <c r="D3679" s="50" t="s">
        <v>27</v>
      </c>
      <c r="E3679" s="50">
        <v>50043917</v>
      </c>
      <c r="F3679" s="50" t="s">
        <v>262</v>
      </c>
      <c r="G3679" s="50">
        <v>1</v>
      </c>
      <c r="H3679" s="50" t="s">
        <v>2</v>
      </c>
      <c r="I3679" s="50" t="s">
        <v>291</v>
      </c>
      <c r="J3679" s="51">
        <v>45987</v>
      </c>
      <c r="K3679" s="50" t="s">
        <v>3</v>
      </c>
      <c r="L3679" s="50" t="s">
        <v>80</v>
      </c>
    </row>
    <row r="3680" spans="2:12">
      <c r="B3680" s="50" t="s">
        <v>316</v>
      </c>
      <c r="C3680" s="50" t="s">
        <v>51</v>
      </c>
      <c r="D3680" s="50" t="s">
        <v>27</v>
      </c>
      <c r="E3680" s="50">
        <v>50038841</v>
      </c>
      <c r="F3680" s="50" t="s">
        <v>180</v>
      </c>
      <c r="G3680" s="50">
        <v>1</v>
      </c>
      <c r="H3680" s="50" t="s">
        <v>2</v>
      </c>
      <c r="I3680" s="50" t="s">
        <v>291</v>
      </c>
      <c r="J3680" s="51">
        <v>45987</v>
      </c>
      <c r="K3680" s="50" t="s">
        <v>1</v>
      </c>
      <c r="L3680" s="50" t="s">
        <v>80</v>
      </c>
    </row>
    <row r="3681" spans="2:12">
      <c r="B3681" s="50" t="s">
        <v>316</v>
      </c>
      <c r="C3681" s="50" t="s">
        <v>51</v>
      </c>
      <c r="D3681" s="50" t="s">
        <v>27</v>
      </c>
      <c r="E3681" s="50">
        <v>50010031</v>
      </c>
      <c r="F3681" s="50" t="s">
        <v>89</v>
      </c>
      <c r="G3681" s="50">
        <v>1</v>
      </c>
      <c r="H3681" s="50" t="s">
        <v>2</v>
      </c>
      <c r="I3681" s="50" t="s">
        <v>291</v>
      </c>
      <c r="J3681" s="51">
        <v>45987</v>
      </c>
      <c r="K3681" s="50" t="s">
        <v>3</v>
      </c>
      <c r="L3681" s="50" t="s">
        <v>80</v>
      </c>
    </row>
    <row r="3682" spans="2:12">
      <c r="B3682" s="50" t="s">
        <v>54</v>
      </c>
      <c r="C3682" s="50" t="s">
        <v>51</v>
      </c>
      <c r="D3682" s="50" t="s">
        <v>41</v>
      </c>
      <c r="E3682" s="50">
        <v>50043917</v>
      </c>
      <c r="F3682" s="50" t="s">
        <v>262</v>
      </c>
      <c r="G3682" s="50">
        <v>1</v>
      </c>
      <c r="H3682" s="50" t="s">
        <v>2</v>
      </c>
      <c r="I3682" s="50" t="s">
        <v>291</v>
      </c>
      <c r="J3682" s="51">
        <v>45987</v>
      </c>
      <c r="K3682" s="50" t="s">
        <v>1</v>
      </c>
      <c r="L3682" s="50" t="s">
        <v>80</v>
      </c>
    </row>
    <row r="3683" spans="2:12">
      <c r="B3683" s="50" t="s">
        <v>474</v>
      </c>
      <c r="C3683" s="50" t="s">
        <v>51</v>
      </c>
      <c r="D3683" s="50" t="s">
        <v>27</v>
      </c>
      <c r="E3683" s="50">
        <v>50037902</v>
      </c>
      <c r="F3683" s="50" t="s">
        <v>179</v>
      </c>
      <c r="G3683" s="50">
        <v>1</v>
      </c>
      <c r="H3683" s="50" t="s">
        <v>2</v>
      </c>
      <c r="I3683" s="50" t="s">
        <v>291</v>
      </c>
      <c r="J3683" s="51">
        <v>45987</v>
      </c>
      <c r="K3683" s="50" t="s">
        <v>3</v>
      </c>
      <c r="L3683" s="50" t="s">
        <v>80</v>
      </c>
    </row>
    <row r="3684" spans="2:12">
      <c r="B3684" s="50" t="s">
        <v>422</v>
      </c>
      <c r="C3684" s="50" t="s">
        <v>26</v>
      </c>
      <c r="D3684" s="50" t="s">
        <v>27</v>
      </c>
      <c r="E3684" s="50">
        <v>50041195</v>
      </c>
      <c r="F3684" s="50" t="s">
        <v>206</v>
      </c>
      <c r="G3684" s="50">
        <v>1</v>
      </c>
      <c r="H3684" s="50" t="s">
        <v>2</v>
      </c>
      <c r="I3684" s="50" t="s">
        <v>291</v>
      </c>
      <c r="J3684" s="51">
        <v>45987</v>
      </c>
      <c r="K3684" s="50" t="s">
        <v>3</v>
      </c>
      <c r="L3684" s="50" t="s">
        <v>80</v>
      </c>
    </row>
    <row r="3685" spans="2:12">
      <c r="B3685" s="50" t="s">
        <v>422</v>
      </c>
      <c r="C3685" s="50" t="s">
        <v>26</v>
      </c>
      <c r="D3685" s="50" t="s">
        <v>27</v>
      </c>
      <c r="E3685" s="50">
        <v>50041195</v>
      </c>
      <c r="F3685" s="50" t="s">
        <v>206</v>
      </c>
      <c r="G3685" s="50">
        <v>1</v>
      </c>
      <c r="H3685" s="50" t="s">
        <v>2</v>
      </c>
      <c r="I3685" s="50" t="s">
        <v>291</v>
      </c>
      <c r="J3685" s="51">
        <v>45987</v>
      </c>
      <c r="K3685" s="50" t="s">
        <v>3</v>
      </c>
      <c r="L3685" s="50" t="s">
        <v>80</v>
      </c>
    </row>
    <row r="3686" spans="2:12">
      <c r="B3686" s="50" t="s">
        <v>54</v>
      </c>
      <c r="C3686" s="50" t="s">
        <v>51</v>
      </c>
      <c r="D3686" s="50" t="s">
        <v>41</v>
      </c>
      <c r="E3686" s="50">
        <v>50043917</v>
      </c>
      <c r="F3686" s="50" t="s">
        <v>262</v>
      </c>
      <c r="G3686" s="50">
        <v>1</v>
      </c>
      <c r="H3686" s="50" t="s">
        <v>2</v>
      </c>
      <c r="I3686" s="50" t="s">
        <v>291</v>
      </c>
      <c r="J3686" s="51">
        <v>45987</v>
      </c>
      <c r="K3686" s="50" t="s">
        <v>3</v>
      </c>
      <c r="L3686" s="50" t="s">
        <v>80</v>
      </c>
    </row>
    <row r="3687" spans="2:12">
      <c r="B3687" s="50" t="s">
        <v>439</v>
      </c>
      <c r="C3687" s="50" t="s">
        <v>62</v>
      </c>
      <c r="D3687" s="50" t="s">
        <v>27</v>
      </c>
      <c r="E3687" s="50">
        <v>50038956</v>
      </c>
      <c r="F3687" s="50" t="s">
        <v>177</v>
      </c>
      <c r="G3687" s="50">
        <v>1</v>
      </c>
      <c r="H3687" s="50" t="s">
        <v>2</v>
      </c>
      <c r="I3687" s="50" t="s">
        <v>291</v>
      </c>
      <c r="J3687" s="51">
        <v>45987</v>
      </c>
      <c r="K3687" s="50" t="s">
        <v>1</v>
      </c>
      <c r="L3687" s="50" t="s">
        <v>80</v>
      </c>
    </row>
    <row r="3688" spans="2:12">
      <c r="B3688" s="50" t="s">
        <v>406</v>
      </c>
      <c r="C3688" s="50" t="s">
        <v>26</v>
      </c>
      <c r="D3688" s="50" t="s">
        <v>39</v>
      </c>
      <c r="E3688" s="50">
        <v>50038517</v>
      </c>
      <c r="F3688" s="50" t="s">
        <v>181</v>
      </c>
      <c r="G3688" s="50">
        <v>1</v>
      </c>
      <c r="H3688" s="50" t="s">
        <v>2</v>
      </c>
      <c r="I3688" s="50" t="s">
        <v>291</v>
      </c>
      <c r="J3688" s="51">
        <v>45987</v>
      </c>
      <c r="K3688" s="50" t="s">
        <v>1</v>
      </c>
      <c r="L3688" s="50" t="s">
        <v>80</v>
      </c>
    </row>
    <row r="3689" spans="2:12">
      <c r="B3689" s="50" t="s">
        <v>422</v>
      </c>
      <c r="C3689" s="50" t="s">
        <v>26</v>
      </c>
      <c r="D3689" s="50" t="s">
        <v>27</v>
      </c>
      <c r="E3689" s="50">
        <v>50032781</v>
      </c>
      <c r="F3689" s="50" t="s">
        <v>237</v>
      </c>
      <c r="G3689" s="50">
        <v>1</v>
      </c>
      <c r="H3689" s="50" t="s">
        <v>2</v>
      </c>
      <c r="I3689" s="50" t="s">
        <v>291</v>
      </c>
      <c r="J3689" s="51">
        <v>45987</v>
      </c>
      <c r="K3689" s="50" t="s">
        <v>3</v>
      </c>
      <c r="L3689" s="50" t="s">
        <v>80</v>
      </c>
    </row>
    <row r="3690" spans="2:12">
      <c r="B3690" s="50" t="s">
        <v>445</v>
      </c>
      <c r="C3690" s="50" t="s">
        <v>51</v>
      </c>
      <c r="D3690" s="50" t="s">
        <v>41</v>
      </c>
      <c r="E3690" s="50">
        <v>50044003</v>
      </c>
      <c r="F3690" s="50" t="s">
        <v>263</v>
      </c>
      <c r="G3690" s="50">
        <v>1</v>
      </c>
      <c r="H3690" s="50" t="s">
        <v>2</v>
      </c>
      <c r="I3690" s="50" t="s">
        <v>291</v>
      </c>
      <c r="J3690" s="51">
        <v>45987</v>
      </c>
      <c r="K3690" s="50" t="s">
        <v>1</v>
      </c>
      <c r="L3690" s="50" t="s">
        <v>80</v>
      </c>
    </row>
    <row r="3691" spans="2:12">
      <c r="B3691" s="50" t="s">
        <v>422</v>
      </c>
      <c r="C3691" s="50" t="s">
        <v>26</v>
      </c>
      <c r="D3691" s="50" t="s">
        <v>27</v>
      </c>
      <c r="E3691" s="50">
        <v>50039718</v>
      </c>
      <c r="F3691" s="50" t="s">
        <v>149</v>
      </c>
      <c r="G3691" s="50">
        <v>1</v>
      </c>
      <c r="H3691" s="50" t="s">
        <v>2</v>
      </c>
      <c r="I3691" s="50" t="s">
        <v>291</v>
      </c>
      <c r="J3691" s="51">
        <v>45987</v>
      </c>
      <c r="K3691" s="50" t="s">
        <v>3</v>
      </c>
      <c r="L3691" s="50" t="s">
        <v>80</v>
      </c>
    </row>
    <row r="3692" spans="2:12">
      <c r="B3692" s="50" t="s">
        <v>412</v>
      </c>
      <c r="C3692" s="50" t="s">
        <v>51</v>
      </c>
      <c r="D3692" s="50" t="s">
        <v>41</v>
      </c>
      <c r="E3692" s="50">
        <v>50037892</v>
      </c>
      <c r="F3692" s="50" t="s">
        <v>178</v>
      </c>
      <c r="G3692" s="50">
        <v>1</v>
      </c>
      <c r="H3692" s="50" t="s">
        <v>2</v>
      </c>
      <c r="I3692" s="50" t="s">
        <v>291</v>
      </c>
      <c r="J3692" s="51">
        <v>45987</v>
      </c>
      <c r="K3692" s="50" t="s">
        <v>3</v>
      </c>
      <c r="L3692" s="50" t="s">
        <v>80</v>
      </c>
    </row>
    <row r="3693" spans="2:12">
      <c r="B3693" s="50" t="s">
        <v>422</v>
      </c>
      <c r="C3693" s="50" t="s">
        <v>26</v>
      </c>
      <c r="D3693" s="50" t="s">
        <v>27</v>
      </c>
      <c r="E3693" s="50">
        <v>50032781</v>
      </c>
      <c r="F3693" s="50" t="s">
        <v>237</v>
      </c>
      <c r="G3693" s="50">
        <v>1</v>
      </c>
      <c r="H3693" s="50" t="s">
        <v>2</v>
      </c>
      <c r="I3693" s="50" t="s">
        <v>291</v>
      </c>
      <c r="J3693" s="51">
        <v>45987</v>
      </c>
      <c r="K3693" s="50" t="s">
        <v>3</v>
      </c>
      <c r="L3693" s="50" t="s">
        <v>80</v>
      </c>
    </row>
    <row r="3694" spans="2:12">
      <c r="B3694" s="50" t="s">
        <v>422</v>
      </c>
      <c r="C3694" s="50" t="s">
        <v>26</v>
      </c>
      <c r="D3694" s="50" t="s">
        <v>27</v>
      </c>
      <c r="E3694" s="50">
        <v>50039718</v>
      </c>
      <c r="F3694" s="50" t="s">
        <v>149</v>
      </c>
      <c r="G3694" s="50">
        <v>1</v>
      </c>
      <c r="H3694" s="50" t="s">
        <v>2</v>
      </c>
      <c r="I3694" s="50" t="s">
        <v>291</v>
      </c>
      <c r="J3694" s="51">
        <v>45987</v>
      </c>
      <c r="K3694" s="59" t="s">
        <v>3</v>
      </c>
      <c r="L3694" s="50" t="s">
        <v>80</v>
      </c>
    </row>
    <row r="3695" spans="2:12">
      <c r="B3695" s="50" t="s">
        <v>432</v>
      </c>
      <c r="C3695" s="50" t="s">
        <v>26</v>
      </c>
      <c r="D3695" s="58" t="s">
        <v>36</v>
      </c>
      <c r="E3695" s="50">
        <v>50037922</v>
      </c>
      <c r="F3695" s="50" t="s">
        <v>117</v>
      </c>
      <c r="G3695" s="50">
        <v>1</v>
      </c>
      <c r="H3695" s="50" t="s">
        <v>2</v>
      </c>
      <c r="I3695" s="59" t="s">
        <v>345</v>
      </c>
      <c r="J3695" s="60">
        <v>45987</v>
      </c>
      <c r="K3695" s="59" t="s">
        <v>1</v>
      </c>
      <c r="L3695" s="50" t="s">
        <v>80</v>
      </c>
    </row>
    <row r="3696" spans="2:12">
      <c r="B3696" s="50" t="s">
        <v>446</v>
      </c>
      <c r="C3696" s="50" t="s">
        <v>51</v>
      </c>
      <c r="D3696" s="58" t="s">
        <v>36</v>
      </c>
      <c r="E3696" s="50">
        <v>50043471</v>
      </c>
      <c r="F3696" s="50" t="s">
        <v>257</v>
      </c>
      <c r="G3696" s="50">
        <v>1</v>
      </c>
      <c r="H3696" s="50" t="s">
        <v>2</v>
      </c>
      <c r="I3696" s="59" t="s">
        <v>345</v>
      </c>
      <c r="J3696" s="60">
        <v>45987</v>
      </c>
      <c r="K3696" s="59" t="s">
        <v>3</v>
      </c>
      <c r="L3696" s="50" t="s">
        <v>80</v>
      </c>
    </row>
    <row r="3697" spans="2:12">
      <c r="B3697" s="50" t="s">
        <v>446</v>
      </c>
      <c r="C3697" s="50" t="s">
        <v>51</v>
      </c>
      <c r="D3697" s="58" t="s">
        <v>36</v>
      </c>
      <c r="E3697" s="50">
        <v>50043471</v>
      </c>
      <c r="F3697" s="50" t="s">
        <v>257</v>
      </c>
      <c r="G3697" s="50">
        <v>1</v>
      </c>
      <c r="H3697" s="50" t="s">
        <v>2</v>
      </c>
      <c r="I3697" s="59" t="s">
        <v>345</v>
      </c>
      <c r="J3697" s="60">
        <v>45987</v>
      </c>
      <c r="K3697" s="59" t="s">
        <v>1</v>
      </c>
      <c r="L3697" s="50" t="s">
        <v>80</v>
      </c>
    </row>
    <row r="3698" spans="2:12">
      <c r="B3698" s="50" t="s">
        <v>441</v>
      </c>
      <c r="C3698" s="50" t="s">
        <v>51</v>
      </c>
      <c r="D3698" s="58" t="s">
        <v>36</v>
      </c>
      <c r="E3698" s="50">
        <v>50038517</v>
      </c>
      <c r="F3698" s="50" t="s">
        <v>181</v>
      </c>
      <c r="G3698" s="50">
        <v>1</v>
      </c>
      <c r="H3698" s="50" t="s">
        <v>2</v>
      </c>
      <c r="I3698" s="59" t="s">
        <v>313</v>
      </c>
      <c r="J3698" s="60">
        <v>45987</v>
      </c>
      <c r="K3698" s="59" t="s">
        <v>3</v>
      </c>
      <c r="L3698" s="50" t="s">
        <v>80</v>
      </c>
    </row>
    <row r="3699" spans="2:12">
      <c r="B3699" s="50" t="s">
        <v>441</v>
      </c>
      <c r="C3699" s="50" t="s">
        <v>51</v>
      </c>
      <c r="D3699" s="58" t="s">
        <v>36</v>
      </c>
      <c r="E3699" s="50">
        <v>50038517</v>
      </c>
      <c r="F3699" s="50" t="s">
        <v>181</v>
      </c>
      <c r="G3699" s="50">
        <v>1</v>
      </c>
      <c r="H3699" s="50" t="s">
        <v>2</v>
      </c>
      <c r="I3699" s="59" t="s">
        <v>313</v>
      </c>
      <c r="J3699" s="60">
        <v>45987</v>
      </c>
      <c r="K3699" s="59" t="s">
        <v>1</v>
      </c>
      <c r="L3699" s="50" t="s">
        <v>80</v>
      </c>
    </row>
    <row r="3700" spans="2:12">
      <c r="B3700" s="50" t="s">
        <v>422</v>
      </c>
      <c r="C3700" s="50" t="s">
        <v>26</v>
      </c>
      <c r="D3700" s="50" t="s">
        <v>27</v>
      </c>
      <c r="E3700" s="50">
        <v>50032781</v>
      </c>
      <c r="F3700" s="50" t="s">
        <v>237</v>
      </c>
      <c r="G3700" s="50">
        <v>1</v>
      </c>
      <c r="H3700" s="50" t="s">
        <v>2</v>
      </c>
      <c r="I3700" s="59" t="s">
        <v>289</v>
      </c>
      <c r="J3700" s="60">
        <v>45987</v>
      </c>
      <c r="K3700" s="59" t="s">
        <v>3</v>
      </c>
      <c r="L3700" s="50" t="s">
        <v>80</v>
      </c>
    </row>
    <row r="3701" spans="2:12">
      <c r="B3701" s="50" t="s">
        <v>422</v>
      </c>
      <c r="C3701" s="50" t="s">
        <v>26</v>
      </c>
      <c r="D3701" s="50" t="s">
        <v>27</v>
      </c>
      <c r="E3701" s="50">
        <v>50032781</v>
      </c>
      <c r="F3701" s="50" t="s">
        <v>237</v>
      </c>
      <c r="G3701" s="50">
        <v>1</v>
      </c>
      <c r="H3701" s="50" t="s">
        <v>2</v>
      </c>
      <c r="I3701" s="59" t="s">
        <v>289</v>
      </c>
      <c r="J3701" s="60">
        <v>45987</v>
      </c>
      <c r="K3701" s="50" t="s">
        <v>1</v>
      </c>
      <c r="L3701" s="50" t="s">
        <v>80</v>
      </c>
    </row>
    <row r="3702" spans="2:12">
      <c r="B3702" s="50" t="s">
        <v>478</v>
      </c>
      <c r="C3702" s="50" t="s">
        <v>51</v>
      </c>
      <c r="D3702" s="50" t="s">
        <v>27</v>
      </c>
      <c r="E3702" s="50">
        <v>50038841</v>
      </c>
      <c r="F3702" s="50" t="s">
        <v>180</v>
      </c>
      <c r="G3702" s="50">
        <v>1</v>
      </c>
      <c r="H3702" s="50" t="s">
        <v>2</v>
      </c>
      <c r="I3702" s="50" t="s">
        <v>293</v>
      </c>
      <c r="J3702" s="51">
        <v>45986</v>
      </c>
      <c r="K3702" s="50" t="s">
        <v>1</v>
      </c>
      <c r="L3702" s="50" t="s">
        <v>80</v>
      </c>
    </row>
    <row r="3703" spans="2:12">
      <c r="B3703" s="50" t="s">
        <v>394</v>
      </c>
      <c r="C3703" s="50" t="s">
        <v>51</v>
      </c>
      <c r="D3703" s="50" t="s">
        <v>27</v>
      </c>
      <c r="E3703" s="50">
        <v>50003297</v>
      </c>
      <c r="F3703" s="50" t="s">
        <v>158</v>
      </c>
      <c r="G3703" s="50">
        <v>1</v>
      </c>
      <c r="H3703" s="50" t="s">
        <v>2</v>
      </c>
      <c r="I3703" s="50" t="s">
        <v>293</v>
      </c>
      <c r="J3703" s="51">
        <v>45986</v>
      </c>
      <c r="K3703" s="50" t="s">
        <v>1</v>
      </c>
      <c r="L3703" s="50" t="s">
        <v>80</v>
      </c>
    </row>
    <row r="3704" spans="2:12">
      <c r="B3704" s="50" t="s">
        <v>439</v>
      </c>
      <c r="C3704" s="50" t="s">
        <v>62</v>
      </c>
      <c r="D3704" s="50" t="s">
        <v>27</v>
      </c>
      <c r="E3704" s="50">
        <v>50037916</v>
      </c>
      <c r="F3704" s="50" t="s">
        <v>164</v>
      </c>
      <c r="G3704" s="50">
        <v>1</v>
      </c>
      <c r="H3704" s="50" t="s">
        <v>2</v>
      </c>
      <c r="I3704" s="50" t="s">
        <v>293</v>
      </c>
      <c r="J3704" s="51">
        <v>45986</v>
      </c>
      <c r="K3704" s="50" t="s">
        <v>1</v>
      </c>
      <c r="L3704" s="50" t="s">
        <v>80</v>
      </c>
    </row>
    <row r="3705" spans="2:12">
      <c r="B3705" s="50" t="e">
        <v>#N/A</v>
      </c>
      <c r="C3705" s="50" t="s">
        <v>62</v>
      </c>
      <c r="D3705" s="50" t="s">
        <v>27</v>
      </c>
      <c r="E3705" s="50">
        <v>50043917</v>
      </c>
      <c r="F3705" s="50" t="s">
        <v>262</v>
      </c>
      <c r="G3705" s="50">
        <v>1</v>
      </c>
      <c r="H3705" s="50" t="s">
        <v>2</v>
      </c>
      <c r="I3705" s="50" t="s">
        <v>293</v>
      </c>
      <c r="J3705" s="51">
        <v>45986</v>
      </c>
      <c r="K3705" s="50" t="s">
        <v>1</v>
      </c>
      <c r="L3705" s="50" t="s">
        <v>80</v>
      </c>
    </row>
    <row r="3706" spans="2:12">
      <c r="B3706" s="50" t="s">
        <v>410</v>
      </c>
      <c r="C3706" s="50" t="s">
        <v>51</v>
      </c>
      <c r="D3706" s="50" t="s">
        <v>27</v>
      </c>
      <c r="E3706" s="50">
        <v>50043471</v>
      </c>
      <c r="F3706" s="50" t="s">
        <v>257</v>
      </c>
      <c r="G3706" s="50">
        <v>1</v>
      </c>
      <c r="H3706" s="50" t="s">
        <v>2</v>
      </c>
      <c r="I3706" s="50" t="s">
        <v>293</v>
      </c>
      <c r="J3706" s="51">
        <v>45986</v>
      </c>
      <c r="K3706" s="50" t="s">
        <v>1</v>
      </c>
      <c r="L3706" s="50" t="s">
        <v>80</v>
      </c>
    </row>
    <row r="3707" spans="2:12">
      <c r="B3707" s="50" t="s">
        <v>386</v>
      </c>
      <c r="C3707" s="50" t="s">
        <v>62</v>
      </c>
      <c r="D3707" s="50" t="s">
        <v>27</v>
      </c>
      <c r="E3707" s="50">
        <v>50038854</v>
      </c>
      <c r="F3707" s="50" t="s">
        <v>101</v>
      </c>
      <c r="G3707" s="50">
        <v>1</v>
      </c>
      <c r="H3707" s="50" t="s">
        <v>2</v>
      </c>
      <c r="I3707" s="50" t="s">
        <v>293</v>
      </c>
      <c r="J3707" s="51">
        <v>45986</v>
      </c>
      <c r="K3707" s="50" t="s">
        <v>1</v>
      </c>
      <c r="L3707" s="50" t="s">
        <v>80</v>
      </c>
    </row>
    <row r="3708" spans="2:12">
      <c r="B3708" s="50" t="s">
        <v>481</v>
      </c>
      <c r="C3708" s="50" t="s">
        <v>56</v>
      </c>
      <c r="D3708" s="50" t="s">
        <v>27</v>
      </c>
      <c r="E3708" s="50">
        <v>50041195</v>
      </c>
      <c r="F3708" s="50" t="s">
        <v>206</v>
      </c>
      <c r="G3708" s="50">
        <v>1</v>
      </c>
      <c r="H3708" s="50" t="s">
        <v>2</v>
      </c>
      <c r="I3708" s="50" t="s">
        <v>293</v>
      </c>
      <c r="J3708" s="51">
        <v>45986</v>
      </c>
      <c r="K3708" s="50" t="s">
        <v>1</v>
      </c>
      <c r="L3708" s="50" t="s">
        <v>80</v>
      </c>
    </row>
    <row r="3709" spans="2:12">
      <c r="B3709" s="50" t="s">
        <v>456</v>
      </c>
      <c r="C3709" s="50" t="s">
        <v>56</v>
      </c>
      <c r="D3709" s="50" t="s">
        <v>39</v>
      </c>
      <c r="E3709" s="50">
        <v>50029865</v>
      </c>
      <c r="F3709" s="50" t="s">
        <v>162</v>
      </c>
      <c r="G3709" s="50">
        <v>1</v>
      </c>
      <c r="H3709" s="50" t="s">
        <v>2</v>
      </c>
      <c r="I3709" s="50" t="s">
        <v>293</v>
      </c>
      <c r="J3709" s="51">
        <v>45986</v>
      </c>
      <c r="K3709" s="50" t="s">
        <v>3</v>
      </c>
      <c r="L3709" s="50" t="s">
        <v>80</v>
      </c>
    </row>
    <row r="3710" spans="2:12">
      <c r="B3710" s="50" t="s">
        <v>386</v>
      </c>
      <c r="C3710" s="50" t="s">
        <v>62</v>
      </c>
      <c r="D3710" s="50" t="s">
        <v>27</v>
      </c>
      <c r="E3710" s="50">
        <v>50038854</v>
      </c>
      <c r="F3710" s="50" t="s">
        <v>101</v>
      </c>
      <c r="G3710" s="50">
        <v>1</v>
      </c>
      <c r="H3710" s="50" t="s">
        <v>2</v>
      </c>
      <c r="I3710" s="50" t="s">
        <v>293</v>
      </c>
      <c r="J3710" s="51">
        <v>45986</v>
      </c>
      <c r="K3710" s="50" t="s">
        <v>3</v>
      </c>
      <c r="L3710" s="50" t="s">
        <v>80</v>
      </c>
    </row>
    <row r="3711" spans="2:12">
      <c r="B3711" s="50" t="s">
        <v>410</v>
      </c>
      <c r="C3711" s="50" t="s">
        <v>51</v>
      </c>
      <c r="D3711" s="50" t="s">
        <v>27</v>
      </c>
      <c r="E3711" s="50">
        <v>50043471</v>
      </c>
      <c r="F3711" s="50" t="s">
        <v>257</v>
      </c>
      <c r="G3711" s="50">
        <v>1</v>
      </c>
      <c r="H3711" s="50" t="s">
        <v>2</v>
      </c>
      <c r="I3711" s="50" t="s">
        <v>293</v>
      </c>
      <c r="J3711" s="51">
        <v>45986</v>
      </c>
      <c r="K3711" s="50" t="s">
        <v>3</v>
      </c>
      <c r="L3711" s="50" t="s">
        <v>80</v>
      </c>
    </row>
    <row r="3712" spans="2:12">
      <c r="B3712" s="50" t="s">
        <v>456</v>
      </c>
      <c r="C3712" s="50" t="s">
        <v>56</v>
      </c>
      <c r="D3712" s="50" t="s">
        <v>39</v>
      </c>
      <c r="E3712" s="50">
        <v>50029865</v>
      </c>
      <c r="F3712" s="50" t="s">
        <v>162</v>
      </c>
      <c r="G3712" s="50">
        <v>1</v>
      </c>
      <c r="H3712" s="50" t="s">
        <v>2</v>
      </c>
      <c r="I3712" s="50" t="s">
        <v>293</v>
      </c>
      <c r="J3712" s="51">
        <v>45986</v>
      </c>
      <c r="K3712" s="50" t="s">
        <v>1</v>
      </c>
      <c r="L3712" s="50" t="s">
        <v>80</v>
      </c>
    </row>
    <row r="3713" spans="2:12">
      <c r="B3713" s="50" t="s">
        <v>277</v>
      </c>
      <c r="C3713" s="50" t="s">
        <v>62</v>
      </c>
      <c r="D3713" s="50" t="s">
        <v>27</v>
      </c>
      <c r="E3713" s="50">
        <v>50038956</v>
      </c>
      <c r="F3713" s="50" t="s">
        <v>177</v>
      </c>
      <c r="G3713" s="50">
        <v>1</v>
      </c>
      <c r="H3713" s="50" t="s">
        <v>2</v>
      </c>
      <c r="I3713" s="50" t="s">
        <v>293</v>
      </c>
      <c r="J3713" s="51">
        <v>45986</v>
      </c>
      <c r="K3713" s="50" t="s">
        <v>1</v>
      </c>
      <c r="L3713" s="50" t="s">
        <v>80</v>
      </c>
    </row>
    <row r="3714" spans="2:12">
      <c r="B3714" s="50" t="s">
        <v>277</v>
      </c>
      <c r="C3714" s="50" t="s">
        <v>62</v>
      </c>
      <c r="D3714" s="50" t="s">
        <v>27</v>
      </c>
      <c r="E3714" s="50">
        <v>50038854</v>
      </c>
      <c r="F3714" s="50" t="s">
        <v>101</v>
      </c>
      <c r="G3714" s="50">
        <v>1</v>
      </c>
      <c r="H3714" s="50" t="s">
        <v>2</v>
      </c>
      <c r="I3714" s="50" t="s">
        <v>293</v>
      </c>
      <c r="J3714" s="51">
        <v>45986</v>
      </c>
      <c r="K3714" s="50" t="s">
        <v>1</v>
      </c>
      <c r="L3714" s="50" t="s">
        <v>80</v>
      </c>
    </row>
    <row r="3715" spans="2:12">
      <c r="B3715" s="50" t="s">
        <v>418</v>
      </c>
      <c r="C3715" s="50" t="s">
        <v>26</v>
      </c>
      <c r="D3715" s="50" t="s">
        <v>27</v>
      </c>
      <c r="E3715" s="50">
        <v>50039065</v>
      </c>
      <c r="F3715" s="50" t="s">
        <v>186</v>
      </c>
      <c r="G3715" s="50">
        <v>1</v>
      </c>
      <c r="H3715" s="50" t="s">
        <v>2</v>
      </c>
      <c r="I3715" s="50" t="s">
        <v>293</v>
      </c>
      <c r="J3715" s="51">
        <v>45986</v>
      </c>
      <c r="K3715" s="50" t="s">
        <v>1</v>
      </c>
      <c r="L3715" s="50" t="s">
        <v>80</v>
      </c>
    </row>
    <row r="3716" spans="2:12">
      <c r="B3716" s="50" t="s">
        <v>418</v>
      </c>
      <c r="C3716" s="50" t="s">
        <v>26</v>
      </c>
      <c r="D3716" s="50" t="s">
        <v>27</v>
      </c>
      <c r="E3716" s="50">
        <v>50037949</v>
      </c>
      <c r="F3716" s="50" t="s">
        <v>233</v>
      </c>
      <c r="G3716" s="50">
        <v>1</v>
      </c>
      <c r="H3716" s="50" t="s">
        <v>2</v>
      </c>
      <c r="I3716" s="50" t="s">
        <v>293</v>
      </c>
      <c r="J3716" s="51">
        <v>45986</v>
      </c>
      <c r="K3716" s="50" t="s">
        <v>3</v>
      </c>
      <c r="L3716" s="50" t="s">
        <v>80</v>
      </c>
    </row>
    <row r="3717" spans="2:12">
      <c r="B3717" s="50" t="s">
        <v>418</v>
      </c>
      <c r="C3717" s="50" t="s">
        <v>26</v>
      </c>
      <c r="D3717" s="50" t="s">
        <v>27</v>
      </c>
      <c r="E3717" s="50">
        <v>50038517</v>
      </c>
      <c r="F3717" s="50" t="s">
        <v>181</v>
      </c>
      <c r="G3717" s="50">
        <v>1</v>
      </c>
      <c r="H3717" s="50" t="s">
        <v>2</v>
      </c>
      <c r="I3717" s="50" t="s">
        <v>293</v>
      </c>
      <c r="J3717" s="51">
        <v>45986</v>
      </c>
      <c r="K3717" s="50" t="s">
        <v>3</v>
      </c>
      <c r="L3717" s="50" t="s">
        <v>80</v>
      </c>
    </row>
    <row r="3718" spans="2:12">
      <c r="B3718" s="50" t="s">
        <v>394</v>
      </c>
      <c r="C3718" s="50" t="s">
        <v>51</v>
      </c>
      <c r="D3718" s="50" t="s">
        <v>27</v>
      </c>
      <c r="E3718" s="50">
        <v>50003297</v>
      </c>
      <c r="F3718" s="50" t="s">
        <v>158</v>
      </c>
      <c r="G3718" s="50">
        <v>1</v>
      </c>
      <c r="H3718" s="50" t="s">
        <v>2</v>
      </c>
      <c r="I3718" s="50" t="s">
        <v>293</v>
      </c>
      <c r="J3718" s="51">
        <v>45986</v>
      </c>
      <c r="K3718" s="50" t="s">
        <v>3</v>
      </c>
      <c r="L3718" s="50" t="s">
        <v>80</v>
      </c>
    </row>
    <row r="3719" spans="2:12">
      <c r="B3719" s="50" t="s">
        <v>418</v>
      </c>
      <c r="C3719" s="50" t="s">
        <v>26</v>
      </c>
      <c r="D3719" s="50" t="s">
        <v>27</v>
      </c>
      <c r="E3719" s="50">
        <v>50037949</v>
      </c>
      <c r="F3719" s="50" t="s">
        <v>233</v>
      </c>
      <c r="G3719" s="50">
        <v>1</v>
      </c>
      <c r="H3719" s="50" t="s">
        <v>2</v>
      </c>
      <c r="I3719" s="50" t="s">
        <v>293</v>
      </c>
      <c r="J3719" s="51">
        <v>45986</v>
      </c>
      <c r="K3719" s="50" t="s">
        <v>1</v>
      </c>
      <c r="L3719" s="50" t="s">
        <v>80</v>
      </c>
    </row>
    <row r="3720" spans="2:12">
      <c r="B3720" s="50" t="s">
        <v>412</v>
      </c>
      <c r="C3720" s="50" t="s">
        <v>51</v>
      </c>
      <c r="D3720" s="50" t="s">
        <v>41</v>
      </c>
      <c r="E3720" s="50">
        <v>50043471</v>
      </c>
      <c r="F3720" s="50" t="s">
        <v>257</v>
      </c>
      <c r="G3720" s="50">
        <v>1</v>
      </c>
      <c r="H3720" s="50" t="s">
        <v>2</v>
      </c>
      <c r="I3720" s="50" t="s">
        <v>293</v>
      </c>
      <c r="J3720" s="51">
        <v>45986</v>
      </c>
      <c r="K3720" s="50" t="s">
        <v>3</v>
      </c>
      <c r="L3720" s="50" t="s">
        <v>80</v>
      </c>
    </row>
    <row r="3721" spans="2:12">
      <c r="B3721" s="50" t="s">
        <v>418</v>
      </c>
      <c r="C3721" s="50" t="s">
        <v>26</v>
      </c>
      <c r="D3721" s="50" t="s">
        <v>27</v>
      </c>
      <c r="E3721" s="50">
        <v>50038517</v>
      </c>
      <c r="F3721" s="50" t="s">
        <v>181</v>
      </c>
      <c r="G3721" s="50">
        <v>1</v>
      </c>
      <c r="H3721" s="50" t="s">
        <v>2</v>
      </c>
      <c r="I3721" s="50" t="s">
        <v>293</v>
      </c>
      <c r="J3721" s="51">
        <v>45986</v>
      </c>
      <c r="K3721" s="50" t="s">
        <v>3</v>
      </c>
      <c r="L3721" s="50" t="s">
        <v>80</v>
      </c>
    </row>
    <row r="3722" spans="2:12">
      <c r="B3722" s="50" t="s">
        <v>481</v>
      </c>
      <c r="C3722" s="50" t="s">
        <v>56</v>
      </c>
      <c r="D3722" s="50" t="s">
        <v>27</v>
      </c>
      <c r="E3722" s="50">
        <v>50041195</v>
      </c>
      <c r="F3722" s="50" t="s">
        <v>206</v>
      </c>
      <c r="G3722" s="50">
        <v>1</v>
      </c>
      <c r="H3722" s="50" t="s">
        <v>2</v>
      </c>
      <c r="I3722" s="50" t="s">
        <v>293</v>
      </c>
      <c r="J3722" s="51">
        <v>45986</v>
      </c>
      <c r="K3722" s="50" t="s">
        <v>3</v>
      </c>
      <c r="L3722" s="50" t="s">
        <v>80</v>
      </c>
    </row>
    <row r="3723" spans="2:12">
      <c r="B3723" s="50" t="s">
        <v>418</v>
      </c>
      <c r="C3723" s="50" t="s">
        <v>26</v>
      </c>
      <c r="D3723" s="50" t="s">
        <v>27</v>
      </c>
      <c r="E3723" s="50">
        <v>50039065</v>
      </c>
      <c r="F3723" s="50" t="s">
        <v>186</v>
      </c>
      <c r="G3723" s="50">
        <v>1</v>
      </c>
      <c r="H3723" s="50" t="s">
        <v>2</v>
      </c>
      <c r="I3723" s="50" t="s">
        <v>293</v>
      </c>
      <c r="J3723" s="51">
        <v>45986</v>
      </c>
      <c r="K3723" s="50" t="s">
        <v>1</v>
      </c>
      <c r="L3723" s="50" t="s">
        <v>80</v>
      </c>
    </row>
    <row r="3724" spans="2:12">
      <c r="B3724" s="50" t="s">
        <v>399</v>
      </c>
      <c r="C3724" s="50" t="s">
        <v>51</v>
      </c>
      <c r="D3724" s="50" t="s">
        <v>27</v>
      </c>
      <c r="E3724" s="50">
        <v>50003297</v>
      </c>
      <c r="F3724" s="50" t="s">
        <v>158</v>
      </c>
      <c r="G3724" s="50">
        <v>1</v>
      </c>
      <c r="H3724" s="50" t="s">
        <v>2</v>
      </c>
      <c r="I3724" s="50" t="s">
        <v>293</v>
      </c>
      <c r="J3724" s="51">
        <v>45986</v>
      </c>
      <c r="K3724" s="50" t="s">
        <v>3</v>
      </c>
      <c r="L3724" s="50" t="s">
        <v>80</v>
      </c>
    </row>
    <row r="3725" spans="2:12">
      <c r="B3725" s="50" t="s">
        <v>278</v>
      </c>
      <c r="C3725" s="50" t="s">
        <v>62</v>
      </c>
      <c r="D3725" s="50" t="s">
        <v>27</v>
      </c>
      <c r="E3725" s="50">
        <v>50041195</v>
      </c>
      <c r="F3725" s="50" t="s">
        <v>206</v>
      </c>
      <c r="G3725" s="50">
        <v>1</v>
      </c>
      <c r="H3725" s="50" t="s">
        <v>2</v>
      </c>
      <c r="I3725" s="50" t="s">
        <v>293</v>
      </c>
      <c r="J3725" s="51">
        <v>45986</v>
      </c>
      <c r="K3725" s="50" t="s">
        <v>3</v>
      </c>
      <c r="L3725" s="50" t="s">
        <v>80</v>
      </c>
    </row>
    <row r="3726" spans="2:12">
      <c r="B3726" s="50" t="s">
        <v>277</v>
      </c>
      <c r="C3726" s="50" t="s">
        <v>62</v>
      </c>
      <c r="D3726" s="50" t="s">
        <v>27</v>
      </c>
      <c r="E3726" s="50">
        <v>50038854</v>
      </c>
      <c r="F3726" s="50" t="s">
        <v>101</v>
      </c>
      <c r="G3726" s="50">
        <v>1</v>
      </c>
      <c r="H3726" s="50" t="s">
        <v>2</v>
      </c>
      <c r="I3726" s="50" t="s">
        <v>290</v>
      </c>
      <c r="J3726" s="51">
        <v>45986</v>
      </c>
      <c r="K3726" s="50" t="s">
        <v>3</v>
      </c>
      <c r="L3726" s="50" t="s">
        <v>80</v>
      </c>
    </row>
    <row r="3727" spans="2:12">
      <c r="B3727" s="50" t="s">
        <v>277</v>
      </c>
      <c r="C3727" s="50" t="s">
        <v>62</v>
      </c>
      <c r="D3727" s="50" t="s">
        <v>27</v>
      </c>
      <c r="E3727" s="50">
        <v>50038956</v>
      </c>
      <c r="F3727" s="50" t="s">
        <v>177</v>
      </c>
      <c r="G3727" s="50">
        <v>1</v>
      </c>
      <c r="H3727" s="50" t="s">
        <v>2</v>
      </c>
      <c r="I3727" s="50" t="s">
        <v>290</v>
      </c>
      <c r="J3727" s="51">
        <v>45986</v>
      </c>
      <c r="K3727" s="50" t="s">
        <v>3</v>
      </c>
      <c r="L3727" s="50" t="s">
        <v>80</v>
      </c>
    </row>
    <row r="3728" spans="2:12">
      <c r="B3728" s="50" t="s">
        <v>439</v>
      </c>
      <c r="C3728" s="50" t="s">
        <v>62</v>
      </c>
      <c r="D3728" s="50" t="s">
        <v>27</v>
      </c>
      <c r="E3728" s="50">
        <v>50037916</v>
      </c>
      <c r="F3728" s="50" t="s">
        <v>164</v>
      </c>
      <c r="G3728" s="50">
        <v>1</v>
      </c>
      <c r="H3728" s="50" t="s">
        <v>2</v>
      </c>
      <c r="I3728" s="50" t="s">
        <v>290</v>
      </c>
      <c r="J3728" s="51">
        <v>45986</v>
      </c>
      <c r="K3728" s="50" t="s">
        <v>3</v>
      </c>
      <c r="L3728" s="50" t="s">
        <v>80</v>
      </c>
    </row>
    <row r="3729" spans="2:12">
      <c r="B3729" s="50" t="s">
        <v>399</v>
      </c>
      <c r="C3729" s="50" t="s">
        <v>51</v>
      </c>
      <c r="D3729" s="50" t="s">
        <v>27</v>
      </c>
      <c r="E3729" s="50">
        <v>50003297</v>
      </c>
      <c r="F3729" s="50" t="s">
        <v>158</v>
      </c>
      <c r="G3729" s="50">
        <v>1</v>
      </c>
      <c r="H3729" s="50" t="s">
        <v>2</v>
      </c>
      <c r="I3729" s="50" t="s">
        <v>290</v>
      </c>
      <c r="J3729" s="51">
        <v>45986</v>
      </c>
      <c r="K3729" s="50" t="s">
        <v>86</v>
      </c>
      <c r="L3729" s="50" t="s">
        <v>80</v>
      </c>
    </row>
    <row r="3730" spans="2:12">
      <c r="B3730" s="50" t="s">
        <v>418</v>
      </c>
      <c r="C3730" s="50" t="s">
        <v>26</v>
      </c>
      <c r="D3730" s="50" t="s">
        <v>27</v>
      </c>
      <c r="E3730" s="50">
        <v>50037892</v>
      </c>
      <c r="F3730" s="50" t="s">
        <v>178</v>
      </c>
      <c r="G3730" s="50">
        <v>1</v>
      </c>
      <c r="H3730" s="50" t="s">
        <v>2</v>
      </c>
      <c r="I3730" s="50" t="s">
        <v>288</v>
      </c>
      <c r="J3730" s="51">
        <v>45986</v>
      </c>
      <c r="K3730" s="50" t="s">
        <v>1</v>
      </c>
      <c r="L3730" s="50" t="s">
        <v>80</v>
      </c>
    </row>
    <row r="3731" spans="2:12">
      <c r="B3731" s="50" t="s">
        <v>418</v>
      </c>
      <c r="C3731" s="50" t="s">
        <v>26</v>
      </c>
      <c r="D3731" s="50" t="s">
        <v>27</v>
      </c>
      <c r="E3731" s="50">
        <v>50039065</v>
      </c>
      <c r="F3731" s="50" t="s">
        <v>186</v>
      </c>
      <c r="G3731" s="50">
        <v>1</v>
      </c>
      <c r="H3731" s="50" t="s">
        <v>2</v>
      </c>
      <c r="I3731" s="50" t="s">
        <v>288</v>
      </c>
      <c r="J3731" s="51">
        <v>45986</v>
      </c>
      <c r="K3731" s="50" t="s">
        <v>3</v>
      </c>
      <c r="L3731" s="50" t="s">
        <v>80</v>
      </c>
    </row>
    <row r="3732" spans="2:12">
      <c r="B3732" s="50" t="s">
        <v>412</v>
      </c>
      <c r="C3732" s="50" t="s">
        <v>51</v>
      </c>
      <c r="D3732" s="50" t="s">
        <v>41</v>
      </c>
      <c r="E3732" s="50">
        <v>50043471</v>
      </c>
      <c r="F3732" s="50" t="s">
        <v>257</v>
      </c>
      <c r="G3732" s="50">
        <v>1</v>
      </c>
      <c r="H3732" s="50" t="s">
        <v>2</v>
      </c>
      <c r="I3732" s="50" t="s">
        <v>288</v>
      </c>
      <c r="J3732" s="51">
        <v>45986</v>
      </c>
      <c r="K3732" s="50" t="s">
        <v>1</v>
      </c>
      <c r="L3732" s="50" t="s">
        <v>80</v>
      </c>
    </row>
    <row r="3733" spans="2:12">
      <c r="B3733" s="50" t="s">
        <v>478</v>
      </c>
      <c r="C3733" s="50" t="s">
        <v>51</v>
      </c>
      <c r="D3733" s="50" t="s">
        <v>27</v>
      </c>
      <c r="E3733" s="50">
        <v>50038841</v>
      </c>
      <c r="F3733" s="50" t="s">
        <v>180</v>
      </c>
      <c r="G3733" s="50">
        <v>1</v>
      </c>
      <c r="H3733" s="50" t="s">
        <v>2</v>
      </c>
      <c r="I3733" s="50" t="s">
        <v>288</v>
      </c>
      <c r="J3733" s="51">
        <v>45986</v>
      </c>
      <c r="K3733" s="50" t="s">
        <v>3</v>
      </c>
      <c r="L3733" s="50" t="s">
        <v>80</v>
      </c>
    </row>
    <row r="3734" spans="2:12">
      <c r="B3734" s="50" t="s">
        <v>280</v>
      </c>
      <c r="C3734" s="50" t="s">
        <v>62</v>
      </c>
      <c r="D3734" s="50" t="s">
        <v>27</v>
      </c>
      <c r="E3734" s="50">
        <v>50038841</v>
      </c>
      <c r="F3734" s="50" t="s">
        <v>180</v>
      </c>
      <c r="G3734" s="50">
        <v>1</v>
      </c>
      <c r="H3734" s="50" t="s">
        <v>2</v>
      </c>
      <c r="I3734" s="50" t="s">
        <v>288</v>
      </c>
      <c r="J3734" s="51">
        <v>45986</v>
      </c>
      <c r="K3734" s="50" t="s">
        <v>3</v>
      </c>
      <c r="L3734" s="50" t="s">
        <v>80</v>
      </c>
    </row>
    <row r="3735" spans="2:12">
      <c r="B3735" s="50" t="e">
        <v>#N/A</v>
      </c>
      <c r="C3735" s="50" t="s">
        <v>62</v>
      </c>
      <c r="D3735" s="50" t="s">
        <v>27</v>
      </c>
      <c r="E3735" s="50">
        <v>50043917</v>
      </c>
      <c r="F3735" s="50" t="s">
        <v>262</v>
      </c>
      <c r="G3735" s="50">
        <v>1</v>
      </c>
      <c r="H3735" s="50" t="s">
        <v>2</v>
      </c>
      <c r="I3735" s="50" t="s">
        <v>288</v>
      </c>
      <c r="J3735" s="51">
        <v>45986</v>
      </c>
      <c r="K3735" s="50" t="s">
        <v>3</v>
      </c>
      <c r="L3735" s="50" t="s">
        <v>80</v>
      </c>
    </row>
    <row r="3736" spans="2:12">
      <c r="B3736" s="50" t="s">
        <v>280</v>
      </c>
      <c r="C3736" s="50" t="s">
        <v>62</v>
      </c>
      <c r="D3736" s="50" t="s">
        <v>27</v>
      </c>
      <c r="E3736" s="50">
        <v>50038841</v>
      </c>
      <c r="F3736" s="50" t="s">
        <v>180</v>
      </c>
      <c r="G3736" s="50">
        <v>1</v>
      </c>
      <c r="H3736" s="50" t="s">
        <v>2</v>
      </c>
      <c r="I3736" s="50" t="s">
        <v>288</v>
      </c>
      <c r="J3736" s="51">
        <v>45986</v>
      </c>
      <c r="K3736" s="50" t="s">
        <v>3</v>
      </c>
      <c r="L3736" s="50" t="s">
        <v>80</v>
      </c>
    </row>
    <row r="3737" spans="2:12">
      <c r="B3737" s="50" t="s">
        <v>418</v>
      </c>
      <c r="C3737" s="50" t="s">
        <v>26</v>
      </c>
      <c r="D3737" s="50" t="s">
        <v>27</v>
      </c>
      <c r="E3737" s="50">
        <v>50039065</v>
      </c>
      <c r="F3737" s="50" t="s">
        <v>186</v>
      </c>
      <c r="G3737" s="50">
        <v>1</v>
      </c>
      <c r="H3737" s="50" t="s">
        <v>2</v>
      </c>
      <c r="I3737" s="50" t="s">
        <v>288</v>
      </c>
      <c r="J3737" s="51">
        <v>45986</v>
      </c>
      <c r="K3737" s="50" t="s">
        <v>3</v>
      </c>
      <c r="L3737" s="50" t="s">
        <v>80</v>
      </c>
    </row>
    <row r="3738" spans="2:12">
      <c r="B3738" s="50" t="s">
        <v>278</v>
      </c>
      <c r="C3738" s="50" t="s">
        <v>62</v>
      </c>
      <c r="D3738" s="50" t="s">
        <v>27</v>
      </c>
      <c r="E3738" s="50">
        <v>50041195</v>
      </c>
      <c r="F3738" s="50" t="s">
        <v>206</v>
      </c>
      <c r="G3738" s="50">
        <v>1</v>
      </c>
      <c r="H3738" s="50" t="s">
        <v>2</v>
      </c>
      <c r="I3738" s="50" t="s">
        <v>288</v>
      </c>
      <c r="J3738" s="51">
        <v>45986</v>
      </c>
      <c r="K3738" s="50" t="s">
        <v>1</v>
      </c>
      <c r="L3738" s="50" t="s">
        <v>80</v>
      </c>
    </row>
    <row r="3739" spans="2:12">
      <c r="B3739" s="50" t="s">
        <v>418</v>
      </c>
      <c r="C3739" s="50" t="s">
        <v>26</v>
      </c>
      <c r="D3739" s="50" t="s">
        <v>27</v>
      </c>
      <c r="E3739" s="50">
        <v>50037892</v>
      </c>
      <c r="F3739" s="50" t="s">
        <v>178</v>
      </c>
      <c r="G3739" s="50">
        <v>1</v>
      </c>
      <c r="H3739" s="50" t="s">
        <v>2</v>
      </c>
      <c r="I3739" s="50" t="s">
        <v>288</v>
      </c>
      <c r="J3739" s="51">
        <v>45986</v>
      </c>
      <c r="K3739" s="59" t="s">
        <v>1</v>
      </c>
      <c r="L3739" s="50" t="s">
        <v>80</v>
      </c>
    </row>
    <row r="3740" spans="2:12">
      <c r="B3740" s="50" t="s">
        <v>432</v>
      </c>
      <c r="C3740" s="50" t="s">
        <v>26</v>
      </c>
      <c r="D3740" s="58" t="s">
        <v>36</v>
      </c>
      <c r="E3740" s="50">
        <v>60037922</v>
      </c>
      <c r="F3740" s="50" t="s">
        <v>117</v>
      </c>
      <c r="G3740" s="50">
        <v>1</v>
      </c>
      <c r="H3740" s="50" t="s">
        <v>2</v>
      </c>
      <c r="I3740" s="59" t="s">
        <v>345</v>
      </c>
      <c r="J3740" s="60">
        <v>45986</v>
      </c>
      <c r="K3740" s="50" t="s">
        <v>1</v>
      </c>
      <c r="L3740" s="50" t="s">
        <v>80</v>
      </c>
    </row>
    <row r="3741" spans="2:12">
      <c r="B3741" s="50" t="s">
        <v>471</v>
      </c>
      <c r="C3741" s="50" t="s">
        <v>26</v>
      </c>
      <c r="D3741" s="50" t="s">
        <v>27</v>
      </c>
      <c r="E3741" s="50">
        <v>50038956</v>
      </c>
      <c r="F3741" s="50" t="s">
        <v>177</v>
      </c>
      <c r="G3741" s="50">
        <v>1</v>
      </c>
      <c r="H3741" s="50" t="s">
        <v>2</v>
      </c>
      <c r="I3741" s="50" t="s">
        <v>289</v>
      </c>
      <c r="J3741" s="51">
        <v>45985</v>
      </c>
      <c r="K3741" s="50" t="s">
        <v>1</v>
      </c>
      <c r="L3741" s="50" t="s">
        <v>80</v>
      </c>
    </row>
    <row r="3742" spans="2:12">
      <c r="B3742" s="50" t="s">
        <v>413</v>
      </c>
      <c r="C3742" s="50" t="s">
        <v>51</v>
      </c>
      <c r="D3742" s="50" t="s">
        <v>39</v>
      </c>
      <c r="E3742" s="50">
        <v>50040566</v>
      </c>
      <c r="F3742" s="50" t="s">
        <v>210</v>
      </c>
      <c r="G3742" s="50">
        <v>1</v>
      </c>
      <c r="H3742" s="50" t="s">
        <v>2</v>
      </c>
      <c r="I3742" s="50" t="s">
        <v>289</v>
      </c>
      <c r="J3742" s="51">
        <v>45985</v>
      </c>
      <c r="K3742" s="50" t="s">
        <v>1</v>
      </c>
      <c r="L3742" s="50" t="s">
        <v>80</v>
      </c>
    </row>
    <row r="3743" spans="2:12">
      <c r="B3743" s="50" t="s">
        <v>418</v>
      </c>
      <c r="C3743" s="50" t="s">
        <v>26</v>
      </c>
      <c r="D3743" s="50" t="s">
        <v>27</v>
      </c>
      <c r="E3743" s="50">
        <v>50039718</v>
      </c>
      <c r="F3743" s="50" t="s">
        <v>149</v>
      </c>
      <c r="G3743" s="50">
        <v>1</v>
      </c>
      <c r="H3743" s="50" t="s">
        <v>2</v>
      </c>
      <c r="I3743" s="50" t="s">
        <v>293</v>
      </c>
      <c r="J3743" s="51">
        <v>45985</v>
      </c>
      <c r="K3743" s="50" t="s">
        <v>3</v>
      </c>
      <c r="L3743" s="50" t="s">
        <v>80</v>
      </c>
    </row>
    <row r="3744" spans="2:12">
      <c r="B3744" s="50" t="s">
        <v>413</v>
      </c>
      <c r="C3744" s="50" t="s">
        <v>51</v>
      </c>
      <c r="D3744" s="50" t="s">
        <v>39</v>
      </c>
      <c r="E3744" s="50">
        <v>50040566</v>
      </c>
      <c r="F3744" s="50" t="s">
        <v>210</v>
      </c>
      <c r="G3744" s="50">
        <v>1</v>
      </c>
      <c r="H3744" s="50" t="s">
        <v>2</v>
      </c>
      <c r="I3744" s="50" t="s">
        <v>293</v>
      </c>
      <c r="J3744" s="51">
        <v>45985</v>
      </c>
      <c r="K3744" s="50" t="s">
        <v>1</v>
      </c>
      <c r="L3744" s="50" t="s">
        <v>80</v>
      </c>
    </row>
    <row r="3745" spans="2:12">
      <c r="B3745" s="50" t="s">
        <v>406</v>
      </c>
      <c r="C3745" s="50" t="s">
        <v>26</v>
      </c>
      <c r="D3745" s="50" t="s">
        <v>39</v>
      </c>
      <c r="E3745" s="50">
        <v>50012902</v>
      </c>
      <c r="F3745" s="50" t="s">
        <v>225</v>
      </c>
      <c r="G3745" s="50">
        <v>1</v>
      </c>
      <c r="H3745" s="50" t="s">
        <v>2</v>
      </c>
      <c r="I3745" s="50" t="s">
        <v>293</v>
      </c>
      <c r="J3745" s="51">
        <v>45985</v>
      </c>
      <c r="K3745" s="50" t="s">
        <v>1</v>
      </c>
      <c r="L3745" s="50" t="s">
        <v>80</v>
      </c>
    </row>
    <row r="3746" spans="2:12">
      <c r="B3746" s="50" t="s">
        <v>386</v>
      </c>
      <c r="C3746" s="50" t="s">
        <v>62</v>
      </c>
      <c r="D3746" s="50" t="s">
        <v>27</v>
      </c>
      <c r="E3746" s="50">
        <v>50036086</v>
      </c>
      <c r="F3746" s="50" t="s">
        <v>28</v>
      </c>
      <c r="G3746" s="50">
        <v>1</v>
      </c>
      <c r="H3746" s="50" t="s">
        <v>2</v>
      </c>
      <c r="I3746" s="50" t="s">
        <v>293</v>
      </c>
      <c r="J3746" s="51">
        <v>45985</v>
      </c>
      <c r="K3746" s="50" t="s">
        <v>3</v>
      </c>
      <c r="L3746" s="50" t="s">
        <v>80</v>
      </c>
    </row>
    <row r="3747" spans="2:12">
      <c r="B3747" s="50" t="s">
        <v>469</v>
      </c>
      <c r="C3747" s="50" t="s">
        <v>26</v>
      </c>
      <c r="D3747" s="50" t="s">
        <v>39</v>
      </c>
      <c r="E3747" s="50">
        <v>50042283</v>
      </c>
      <c r="F3747" s="50" t="s">
        <v>247</v>
      </c>
      <c r="G3747" s="50">
        <v>1</v>
      </c>
      <c r="H3747" s="50" t="s">
        <v>2</v>
      </c>
      <c r="I3747" s="50" t="s">
        <v>293</v>
      </c>
      <c r="J3747" s="51">
        <v>45985</v>
      </c>
      <c r="K3747" s="50" t="s">
        <v>1</v>
      </c>
      <c r="L3747" s="50" t="s">
        <v>80</v>
      </c>
    </row>
    <row r="3748" spans="2:12">
      <c r="B3748" s="50" t="s">
        <v>481</v>
      </c>
      <c r="C3748" s="50" t="s">
        <v>56</v>
      </c>
      <c r="D3748" s="50" t="s">
        <v>27</v>
      </c>
      <c r="E3748" s="50">
        <v>50041195</v>
      </c>
      <c r="F3748" s="50" t="s">
        <v>206</v>
      </c>
      <c r="G3748" s="50">
        <v>1</v>
      </c>
      <c r="H3748" s="50" t="s">
        <v>2</v>
      </c>
      <c r="I3748" s="50" t="s">
        <v>293</v>
      </c>
      <c r="J3748" s="51">
        <v>45985</v>
      </c>
      <c r="K3748" s="50" t="s">
        <v>3</v>
      </c>
      <c r="L3748" s="50" t="s">
        <v>80</v>
      </c>
    </row>
    <row r="3749" spans="2:12">
      <c r="B3749" s="50" t="s">
        <v>478</v>
      </c>
      <c r="C3749" s="50" t="s">
        <v>51</v>
      </c>
      <c r="D3749" s="50" t="s">
        <v>27</v>
      </c>
      <c r="E3749" s="50">
        <v>50038517</v>
      </c>
      <c r="F3749" s="50" t="s">
        <v>181</v>
      </c>
      <c r="G3749" s="50">
        <v>1</v>
      </c>
      <c r="H3749" s="50" t="s">
        <v>2</v>
      </c>
      <c r="I3749" s="50" t="s">
        <v>293</v>
      </c>
      <c r="J3749" s="51">
        <v>45985</v>
      </c>
      <c r="K3749" s="50" t="s">
        <v>3</v>
      </c>
      <c r="L3749" s="50" t="s">
        <v>80</v>
      </c>
    </row>
    <row r="3750" spans="2:12">
      <c r="B3750" s="50" t="s">
        <v>418</v>
      </c>
      <c r="C3750" s="50" t="s">
        <v>26</v>
      </c>
      <c r="D3750" s="50" t="s">
        <v>27</v>
      </c>
      <c r="E3750" s="50">
        <v>50039718</v>
      </c>
      <c r="F3750" s="50" t="s">
        <v>149</v>
      </c>
      <c r="G3750" s="50">
        <v>1</v>
      </c>
      <c r="H3750" s="50" t="s">
        <v>2</v>
      </c>
      <c r="I3750" s="50" t="s">
        <v>293</v>
      </c>
      <c r="J3750" s="51">
        <v>45985</v>
      </c>
      <c r="K3750" s="50" t="s">
        <v>3</v>
      </c>
      <c r="L3750" s="50" t="s">
        <v>80</v>
      </c>
    </row>
    <row r="3751" spans="2:12">
      <c r="B3751" s="50" t="s">
        <v>386</v>
      </c>
      <c r="C3751" s="50" t="s">
        <v>62</v>
      </c>
      <c r="D3751" s="50" t="s">
        <v>27</v>
      </c>
      <c r="E3751" s="50">
        <v>50036086</v>
      </c>
      <c r="F3751" s="50" t="s">
        <v>28</v>
      </c>
      <c r="G3751" s="50">
        <v>1</v>
      </c>
      <c r="H3751" s="50" t="s">
        <v>2</v>
      </c>
      <c r="I3751" s="50" t="s">
        <v>293</v>
      </c>
      <c r="J3751" s="51">
        <v>45985</v>
      </c>
      <c r="K3751" s="50" t="s">
        <v>3</v>
      </c>
      <c r="L3751" s="50" t="s">
        <v>80</v>
      </c>
    </row>
    <row r="3752" spans="2:12">
      <c r="B3752" s="50" t="s">
        <v>471</v>
      </c>
      <c r="C3752" s="50" t="s">
        <v>26</v>
      </c>
      <c r="D3752" s="50" t="s">
        <v>27</v>
      </c>
      <c r="E3752" s="50">
        <v>50038956</v>
      </c>
      <c r="F3752" s="50" t="s">
        <v>177</v>
      </c>
      <c r="G3752" s="50">
        <v>1</v>
      </c>
      <c r="H3752" s="50" t="s">
        <v>2</v>
      </c>
      <c r="I3752" s="50" t="s">
        <v>293</v>
      </c>
      <c r="J3752" s="51">
        <v>45985</v>
      </c>
      <c r="K3752" s="50" t="s">
        <v>3</v>
      </c>
      <c r="L3752" s="50" t="s">
        <v>80</v>
      </c>
    </row>
    <row r="3753" spans="2:12">
      <c r="B3753" s="50" t="s">
        <v>406</v>
      </c>
      <c r="C3753" s="50" t="s">
        <v>26</v>
      </c>
      <c r="D3753" s="50" t="s">
        <v>39</v>
      </c>
      <c r="E3753" s="50">
        <v>50012902</v>
      </c>
      <c r="F3753" s="50" t="s">
        <v>225</v>
      </c>
      <c r="G3753" s="50">
        <v>1</v>
      </c>
      <c r="H3753" s="50" t="s">
        <v>2</v>
      </c>
      <c r="I3753" s="50" t="s">
        <v>293</v>
      </c>
      <c r="J3753" s="51">
        <v>45985</v>
      </c>
      <c r="K3753" s="50" t="s">
        <v>1</v>
      </c>
      <c r="L3753" s="50" t="s">
        <v>80</v>
      </c>
    </row>
    <row r="3754" spans="2:12">
      <c r="B3754" s="50" t="s">
        <v>418</v>
      </c>
      <c r="C3754" s="50" t="s">
        <v>26</v>
      </c>
      <c r="D3754" s="50" t="s">
        <v>27</v>
      </c>
      <c r="E3754" s="50">
        <v>50038854</v>
      </c>
      <c r="F3754" s="50" t="s">
        <v>101</v>
      </c>
      <c r="G3754" s="50">
        <v>1</v>
      </c>
      <c r="H3754" s="50" t="s">
        <v>2</v>
      </c>
      <c r="I3754" s="50" t="s">
        <v>293</v>
      </c>
      <c r="J3754" s="51">
        <v>45985</v>
      </c>
      <c r="K3754" s="50" t="s">
        <v>1</v>
      </c>
      <c r="L3754" s="50" t="s">
        <v>80</v>
      </c>
    </row>
    <row r="3755" spans="2:12">
      <c r="B3755" s="50" t="s">
        <v>466</v>
      </c>
      <c r="C3755" s="50" t="s">
        <v>62</v>
      </c>
      <c r="D3755" s="50" t="s">
        <v>27</v>
      </c>
      <c r="E3755" s="50">
        <v>50020623</v>
      </c>
      <c r="F3755" s="50" t="s">
        <v>217</v>
      </c>
      <c r="G3755" s="50">
        <v>1</v>
      </c>
      <c r="H3755" s="50" t="s">
        <v>2</v>
      </c>
      <c r="I3755" s="50" t="s">
        <v>293</v>
      </c>
      <c r="J3755" s="51">
        <v>45985</v>
      </c>
      <c r="K3755" s="50" t="s">
        <v>3</v>
      </c>
      <c r="L3755" s="50" t="s">
        <v>80</v>
      </c>
    </row>
    <row r="3756" spans="2:12">
      <c r="B3756" s="50" t="s">
        <v>466</v>
      </c>
      <c r="C3756" s="50" t="s">
        <v>62</v>
      </c>
      <c r="D3756" s="50" t="s">
        <v>27</v>
      </c>
      <c r="E3756" s="50">
        <v>50043917</v>
      </c>
      <c r="F3756" s="50" t="s">
        <v>262</v>
      </c>
      <c r="G3756" s="50">
        <v>1</v>
      </c>
      <c r="H3756" s="50" t="s">
        <v>2</v>
      </c>
      <c r="I3756" s="50" t="s">
        <v>293</v>
      </c>
      <c r="J3756" s="51">
        <v>45985</v>
      </c>
      <c r="K3756" s="50" t="s">
        <v>3</v>
      </c>
      <c r="L3756" s="50" t="s">
        <v>80</v>
      </c>
    </row>
    <row r="3757" spans="2:12">
      <c r="B3757" s="50" t="s">
        <v>418</v>
      </c>
      <c r="C3757" s="50" t="s">
        <v>26</v>
      </c>
      <c r="D3757" s="50" t="s">
        <v>27</v>
      </c>
      <c r="E3757" s="50">
        <v>50038854</v>
      </c>
      <c r="F3757" s="50" t="s">
        <v>101</v>
      </c>
      <c r="G3757" s="50">
        <v>1</v>
      </c>
      <c r="H3757" s="50" t="s">
        <v>2</v>
      </c>
      <c r="I3757" s="50" t="s">
        <v>290</v>
      </c>
      <c r="J3757" s="51">
        <v>45985</v>
      </c>
      <c r="K3757" s="50" t="s">
        <v>3</v>
      </c>
      <c r="L3757" s="50" t="s">
        <v>80</v>
      </c>
    </row>
    <row r="3758" spans="2:12">
      <c r="B3758" s="50" t="s">
        <v>466</v>
      </c>
      <c r="C3758" s="50" t="s">
        <v>62</v>
      </c>
      <c r="D3758" s="50" t="s">
        <v>27</v>
      </c>
      <c r="E3758" s="50">
        <v>50020623</v>
      </c>
      <c r="F3758" s="50" t="s">
        <v>217</v>
      </c>
      <c r="G3758" s="50">
        <v>1</v>
      </c>
      <c r="H3758" s="50" t="s">
        <v>2</v>
      </c>
      <c r="I3758" s="50" t="s">
        <v>290</v>
      </c>
      <c r="J3758" s="51">
        <v>45985</v>
      </c>
      <c r="K3758" s="50" t="s">
        <v>1</v>
      </c>
      <c r="L3758" s="50" t="s">
        <v>80</v>
      </c>
    </row>
    <row r="3759" spans="2:12">
      <c r="B3759" s="50" t="s">
        <v>466</v>
      </c>
      <c r="C3759" s="50" t="s">
        <v>62</v>
      </c>
      <c r="D3759" s="50" t="s">
        <v>27</v>
      </c>
      <c r="E3759" s="50">
        <v>50043917</v>
      </c>
      <c r="F3759" s="50" t="s">
        <v>262</v>
      </c>
      <c r="G3759" s="50">
        <v>1</v>
      </c>
      <c r="H3759" s="50" t="s">
        <v>2</v>
      </c>
      <c r="I3759" s="50" t="s">
        <v>290</v>
      </c>
      <c r="J3759" s="51">
        <v>45985</v>
      </c>
      <c r="K3759" s="50" t="s">
        <v>1</v>
      </c>
      <c r="L3759" s="50" t="s">
        <v>80</v>
      </c>
    </row>
    <row r="3760" spans="2:12">
      <c r="B3760" s="50" t="s">
        <v>394</v>
      </c>
      <c r="C3760" s="50" t="s">
        <v>51</v>
      </c>
      <c r="D3760" s="50" t="s">
        <v>27</v>
      </c>
      <c r="E3760" s="50">
        <v>50043917</v>
      </c>
      <c r="F3760" s="50" t="s">
        <v>262</v>
      </c>
      <c r="G3760" s="50">
        <v>1</v>
      </c>
      <c r="H3760" s="50" t="s">
        <v>2</v>
      </c>
      <c r="I3760" s="50" t="s">
        <v>291</v>
      </c>
      <c r="J3760" s="51">
        <v>45985</v>
      </c>
      <c r="K3760" s="50" t="s">
        <v>1</v>
      </c>
      <c r="L3760" s="50" t="s">
        <v>80</v>
      </c>
    </row>
    <row r="3761" spans="2:12">
      <c r="B3761" s="50" t="s">
        <v>446</v>
      </c>
      <c r="C3761" s="50" t="s">
        <v>56</v>
      </c>
      <c r="D3761" s="50" t="s">
        <v>27</v>
      </c>
      <c r="E3761" s="50">
        <v>50038841</v>
      </c>
      <c r="F3761" s="50" t="s">
        <v>180</v>
      </c>
      <c r="G3761" s="50">
        <v>1</v>
      </c>
      <c r="H3761" s="50" t="s">
        <v>2</v>
      </c>
      <c r="I3761" s="50" t="s">
        <v>291</v>
      </c>
      <c r="J3761" s="51">
        <v>45985</v>
      </c>
      <c r="K3761" s="50" t="s">
        <v>1</v>
      </c>
      <c r="L3761" s="50" t="s">
        <v>80</v>
      </c>
    </row>
    <row r="3762" spans="2:12">
      <c r="B3762" s="50" t="s">
        <v>386</v>
      </c>
      <c r="C3762" s="50" t="s">
        <v>286</v>
      </c>
      <c r="D3762" s="50" t="s">
        <v>27</v>
      </c>
      <c r="E3762" s="50">
        <v>50039065</v>
      </c>
      <c r="F3762" s="50" t="s">
        <v>186</v>
      </c>
      <c r="G3762" s="50">
        <v>1</v>
      </c>
      <c r="H3762" s="50" t="s">
        <v>2</v>
      </c>
      <c r="I3762" s="50" t="s">
        <v>288</v>
      </c>
      <c r="J3762" s="51">
        <v>45985</v>
      </c>
      <c r="K3762" s="50" t="s">
        <v>3</v>
      </c>
      <c r="L3762" s="50" t="s">
        <v>80</v>
      </c>
    </row>
    <row r="3763" spans="2:12">
      <c r="B3763" s="50" t="s">
        <v>478</v>
      </c>
      <c r="C3763" s="50" t="s">
        <v>51</v>
      </c>
      <c r="D3763" s="50" t="s">
        <v>27</v>
      </c>
      <c r="E3763" s="50">
        <v>50038517</v>
      </c>
      <c r="F3763" s="50" t="s">
        <v>181</v>
      </c>
      <c r="G3763" s="50">
        <v>1</v>
      </c>
      <c r="H3763" s="50" t="s">
        <v>2</v>
      </c>
      <c r="I3763" s="50" t="s">
        <v>291</v>
      </c>
      <c r="J3763" s="51">
        <v>45985</v>
      </c>
      <c r="K3763" s="50" t="s">
        <v>1</v>
      </c>
      <c r="L3763" s="50" t="s">
        <v>80</v>
      </c>
    </row>
    <row r="3764" spans="2:12">
      <c r="B3764" s="50" t="s">
        <v>446</v>
      </c>
      <c r="C3764" s="50" t="s">
        <v>56</v>
      </c>
      <c r="D3764" s="50" t="s">
        <v>27</v>
      </c>
      <c r="E3764" s="50">
        <v>50038841</v>
      </c>
      <c r="F3764" s="50" t="s">
        <v>180</v>
      </c>
      <c r="G3764" s="50">
        <v>1</v>
      </c>
      <c r="H3764" s="50" t="s">
        <v>2</v>
      </c>
      <c r="I3764" s="50" t="s">
        <v>291</v>
      </c>
      <c r="J3764" s="51">
        <v>45985</v>
      </c>
      <c r="K3764" s="50" t="s">
        <v>3</v>
      </c>
      <c r="L3764" s="50" t="s">
        <v>80</v>
      </c>
    </row>
    <row r="3765" spans="2:12">
      <c r="B3765" s="50" t="s">
        <v>399</v>
      </c>
      <c r="C3765" s="50" t="s">
        <v>51</v>
      </c>
      <c r="D3765" s="50" t="s">
        <v>27</v>
      </c>
      <c r="E3765" s="50">
        <v>50038841</v>
      </c>
      <c r="F3765" s="50" t="s">
        <v>180</v>
      </c>
      <c r="G3765" s="50">
        <v>1</v>
      </c>
      <c r="H3765" s="50" t="s">
        <v>2</v>
      </c>
      <c r="I3765" s="50" t="s">
        <v>291</v>
      </c>
      <c r="J3765" s="51">
        <v>45985</v>
      </c>
      <c r="K3765" s="50" t="s">
        <v>1</v>
      </c>
      <c r="L3765" s="50" t="s">
        <v>80</v>
      </c>
    </row>
    <row r="3766" spans="2:12">
      <c r="B3766" s="50" t="s">
        <v>399</v>
      </c>
      <c r="C3766" s="50" t="s">
        <v>51</v>
      </c>
      <c r="D3766" s="50" t="s">
        <v>27</v>
      </c>
      <c r="E3766" s="50">
        <v>50038841</v>
      </c>
      <c r="F3766" s="50" t="s">
        <v>180</v>
      </c>
      <c r="G3766" s="50">
        <v>1</v>
      </c>
      <c r="H3766" s="50" t="s">
        <v>2</v>
      </c>
      <c r="I3766" s="50" t="s">
        <v>291</v>
      </c>
      <c r="J3766" s="51">
        <v>45985</v>
      </c>
      <c r="K3766" s="50" t="s">
        <v>3</v>
      </c>
      <c r="L3766" s="50" t="s">
        <v>80</v>
      </c>
    </row>
    <row r="3767" spans="2:12">
      <c r="B3767" s="50" t="s">
        <v>394</v>
      </c>
      <c r="C3767" s="50" t="s">
        <v>51</v>
      </c>
      <c r="D3767" s="50" t="s">
        <v>27</v>
      </c>
      <c r="E3767" s="50">
        <v>50037892</v>
      </c>
      <c r="F3767" s="50" t="s">
        <v>178</v>
      </c>
      <c r="G3767" s="50">
        <v>1</v>
      </c>
      <c r="H3767" s="50" t="s">
        <v>2</v>
      </c>
      <c r="I3767" s="50" t="s">
        <v>291</v>
      </c>
      <c r="J3767" s="51">
        <v>45985</v>
      </c>
      <c r="K3767" s="50" t="s">
        <v>3</v>
      </c>
      <c r="L3767" s="50" t="s">
        <v>80</v>
      </c>
    </row>
    <row r="3768" spans="2:12">
      <c r="B3768" s="50" t="s">
        <v>386</v>
      </c>
      <c r="C3768" s="50" t="s">
        <v>286</v>
      </c>
      <c r="D3768" s="50" t="s">
        <v>27</v>
      </c>
      <c r="E3768" s="50">
        <v>50039065</v>
      </c>
      <c r="F3768" s="50" t="s">
        <v>186</v>
      </c>
      <c r="G3768" s="50">
        <v>1</v>
      </c>
      <c r="H3768" s="50" t="s">
        <v>2</v>
      </c>
      <c r="I3768" s="50" t="s">
        <v>291</v>
      </c>
      <c r="J3768" s="51">
        <v>45985</v>
      </c>
      <c r="K3768" s="50" t="s">
        <v>1</v>
      </c>
      <c r="L3768" s="50" t="s">
        <v>80</v>
      </c>
    </row>
    <row r="3769" spans="2:12">
      <c r="B3769" s="50" t="s">
        <v>394</v>
      </c>
      <c r="C3769" s="50" t="s">
        <v>51</v>
      </c>
      <c r="D3769" s="50" t="s">
        <v>27</v>
      </c>
      <c r="E3769" s="50">
        <v>50037892</v>
      </c>
      <c r="F3769" s="50" t="s">
        <v>178</v>
      </c>
      <c r="G3769" s="50">
        <v>1</v>
      </c>
      <c r="H3769" s="50" t="s">
        <v>2</v>
      </c>
      <c r="I3769" s="50" t="s">
        <v>291</v>
      </c>
      <c r="J3769" s="51">
        <v>45985</v>
      </c>
      <c r="K3769" s="50" t="s">
        <v>1</v>
      </c>
      <c r="L3769" s="50" t="s">
        <v>80</v>
      </c>
    </row>
    <row r="3770" spans="2:12">
      <c r="B3770" s="50" t="s">
        <v>54</v>
      </c>
      <c r="C3770" s="50" t="s">
        <v>51</v>
      </c>
      <c r="D3770" s="50" t="s">
        <v>41</v>
      </c>
      <c r="E3770" s="50">
        <v>50038517</v>
      </c>
      <c r="F3770" s="50" t="s">
        <v>181</v>
      </c>
      <c r="G3770" s="50">
        <v>1</v>
      </c>
      <c r="H3770" s="50" t="s">
        <v>2</v>
      </c>
      <c r="I3770" s="50" t="s">
        <v>291</v>
      </c>
      <c r="J3770" s="51">
        <v>45985</v>
      </c>
      <c r="K3770" s="50" t="s">
        <v>1</v>
      </c>
      <c r="L3770" s="50" t="s">
        <v>80</v>
      </c>
    </row>
    <row r="3771" spans="2:12">
      <c r="B3771" s="50" t="s">
        <v>54</v>
      </c>
      <c r="C3771" s="50" t="s">
        <v>51</v>
      </c>
      <c r="D3771" s="50" t="s">
        <v>41</v>
      </c>
      <c r="E3771" s="50">
        <v>50039065</v>
      </c>
      <c r="F3771" s="50" t="s">
        <v>186</v>
      </c>
      <c r="G3771" s="50">
        <v>1</v>
      </c>
      <c r="H3771" s="50" t="s">
        <v>2</v>
      </c>
      <c r="I3771" s="50" t="s">
        <v>291</v>
      </c>
      <c r="J3771" s="51">
        <v>45985</v>
      </c>
      <c r="K3771" s="50" t="s">
        <v>1</v>
      </c>
      <c r="L3771" s="50" t="s">
        <v>80</v>
      </c>
    </row>
    <row r="3772" spans="2:12">
      <c r="B3772" s="50" t="s">
        <v>478</v>
      </c>
      <c r="C3772" s="50" t="s">
        <v>51</v>
      </c>
      <c r="D3772" s="50" t="s">
        <v>27</v>
      </c>
      <c r="E3772" s="50">
        <v>50038956</v>
      </c>
      <c r="F3772" s="50" t="s">
        <v>177</v>
      </c>
      <c r="G3772" s="50">
        <v>1</v>
      </c>
      <c r="H3772" s="50" t="s">
        <v>2</v>
      </c>
      <c r="I3772" s="50" t="s">
        <v>291</v>
      </c>
      <c r="J3772" s="51">
        <v>45985</v>
      </c>
      <c r="K3772" s="50" t="s">
        <v>3</v>
      </c>
      <c r="L3772" s="50" t="s">
        <v>80</v>
      </c>
    </row>
    <row r="3773" spans="2:12">
      <c r="B3773" s="50" t="s">
        <v>394</v>
      </c>
      <c r="C3773" s="50" t="s">
        <v>51</v>
      </c>
      <c r="D3773" s="50" t="s">
        <v>27</v>
      </c>
      <c r="E3773" s="50">
        <v>50043917</v>
      </c>
      <c r="F3773" s="50" t="s">
        <v>262</v>
      </c>
      <c r="G3773" s="50">
        <v>1</v>
      </c>
      <c r="H3773" s="50" t="s">
        <v>2</v>
      </c>
      <c r="I3773" s="50" t="s">
        <v>291</v>
      </c>
      <c r="J3773" s="51">
        <v>45985</v>
      </c>
      <c r="K3773" s="50" t="s">
        <v>3</v>
      </c>
      <c r="L3773" s="50" t="s">
        <v>80</v>
      </c>
    </row>
    <row r="3774" spans="2:12">
      <c r="B3774" s="50" t="s">
        <v>54</v>
      </c>
      <c r="C3774" s="50" t="s">
        <v>51</v>
      </c>
      <c r="D3774" s="50" t="s">
        <v>41</v>
      </c>
      <c r="E3774" s="50">
        <v>50039065</v>
      </c>
      <c r="F3774" s="50" t="s">
        <v>186</v>
      </c>
      <c r="G3774" s="50">
        <v>1</v>
      </c>
      <c r="H3774" s="50" t="s">
        <v>2</v>
      </c>
      <c r="I3774" s="50" t="s">
        <v>291</v>
      </c>
      <c r="J3774" s="51">
        <v>45985</v>
      </c>
      <c r="K3774" s="50" t="s">
        <v>1</v>
      </c>
      <c r="L3774" s="50" t="s">
        <v>80</v>
      </c>
    </row>
    <row r="3775" spans="2:12">
      <c r="B3775" s="50" t="s">
        <v>54</v>
      </c>
      <c r="C3775" s="50" t="s">
        <v>51</v>
      </c>
      <c r="D3775" s="50" t="s">
        <v>41</v>
      </c>
      <c r="E3775" s="50">
        <v>50038517</v>
      </c>
      <c r="F3775" s="50" t="s">
        <v>181</v>
      </c>
      <c r="G3775" s="50">
        <v>1</v>
      </c>
      <c r="H3775" s="50" t="s">
        <v>2</v>
      </c>
      <c r="I3775" s="50" t="s">
        <v>291</v>
      </c>
      <c r="J3775" s="51">
        <v>45985</v>
      </c>
      <c r="K3775" s="50" t="s">
        <v>1</v>
      </c>
      <c r="L3775" s="50" t="s">
        <v>80</v>
      </c>
    </row>
    <row r="3776" spans="2:12">
      <c r="B3776" s="50" t="s">
        <v>273</v>
      </c>
      <c r="C3776" s="50" t="s">
        <v>274</v>
      </c>
      <c r="D3776" s="50" t="s">
        <v>27</v>
      </c>
      <c r="E3776" s="50">
        <v>50003297</v>
      </c>
      <c r="F3776" s="50" t="s">
        <v>158</v>
      </c>
      <c r="G3776" s="50">
        <v>1</v>
      </c>
      <c r="H3776" s="50" t="s">
        <v>2</v>
      </c>
      <c r="I3776" s="50" t="s">
        <v>291</v>
      </c>
      <c r="J3776" s="51">
        <v>45985</v>
      </c>
      <c r="K3776" s="50" t="s">
        <v>3</v>
      </c>
      <c r="L3776" s="50" t="s">
        <v>80</v>
      </c>
    </row>
    <row r="3777" spans="2:12">
      <c r="B3777" s="50" t="s">
        <v>478</v>
      </c>
      <c r="C3777" s="50" t="s">
        <v>51</v>
      </c>
      <c r="D3777" s="50" t="s">
        <v>27</v>
      </c>
      <c r="E3777" s="50">
        <v>50038956</v>
      </c>
      <c r="F3777" s="50" t="s">
        <v>177</v>
      </c>
      <c r="G3777" s="50">
        <v>1</v>
      </c>
      <c r="H3777" s="50" t="s">
        <v>2</v>
      </c>
      <c r="I3777" s="50" t="s">
        <v>291</v>
      </c>
      <c r="J3777" s="51">
        <v>45985</v>
      </c>
      <c r="K3777" s="50" t="s">
        <v>3</v>
      </c>
      <c r="L3777" s="50" t="s">
        <v>80</v>
      </c>
    </row>
    <row r="3778" spans="2:12">
      <c r="B3778" s="50" t="s">
        <v>406</v>
      </c>
      <c r="C3778" s="50" t="s">
        <v>26</v>
      </c>
      <c r="D3778" s="50" t="s">
        <v>39</v>
      </c>
      <c r="E3778" s="50">
        <v>50038841</v>
      </c>
      <c r="F3778" s="50" t="s">
        <v>180</v>
      </c>
      <c r="G3778" s="50">
        <v>1</v>
      </c>
      <c r="H3778" s="50" t="s">
        <v>2</v>
      </c>
      <c r="I3778" s="50" t="s">
        <v>291</v>
      </c>
      <c r="J3778" s="51">
        <v>45985</v>
      </c>
      <c r="K3778" s="50" t="s">
        <v>1</v>
      </c>
      <c r="L3778" s="50" t="s">
        <v>80</v>
      </c>
    </row>
    <row r="3779" spans="2:12">
      <c r="B3779" s="50" t="s">
        <v>406</v>
      </c>
      <c r="C3779" s="50" t="s">
        <v>26</v>
      </c>
      <c r="D3779" s="50" t="s">
        <v>39</v>
      </c>
      <c r="E3779" s="50">
        <v>50038841</v>
      </c>
      <c r="F3779" s="50" t="s">
        <v>180</v>
      </c>
      <c r="G3779" s="50">
        <v>1</v>
      </c>
      <c r="H3779" s="50" t="s">
        <v>2</v>
      </c>
      <c r="I3779" s="50" t="s">
        <v>291</v>
      </c>
      <c r="J3779" s="51">
        <v>45985</v>
      </c>
      <c r="K3779" s="50" t="s">
        <v>3</v>
      </c>
      <c r="L3779" s="50" t="s">
        <v>80</v>
      </c>
    </row>
    <row r="3780" spans="2:12">
      <c r="B3780" s="50" t="s">
        <v>43</v>
      </c>
      <c r="C3780" s="50" t="s">
        <v>26</v>
      </c>
      <c r="D3780" s="50" t="s">
        <v>41</v>
      </c>
      <c r="E3780" s="50">
        <v>50043917</v>
      </c>
      <c r="F3780" s="50" t="s">
        <v>262</v>
      </c>
      <c r="G3780" s="50">
        <v>1</v>
      </c>
      <c r="H3780" s="50" t="s">
        <v>2</v>
      </c>
      <c r="I3780" s="50" t="s">
        <v>291</v>
      </c>
      <c r="J3780" s="51">
        <v>45985</v>
      </c>
      <c r="K3780" s="50" t="s">
        <v>3</v>
      </c>
      <c r="L3780" s="50" t="s">
        <v>80</v>
      </c>
    </row>
    <row r="3781" spans="2:12">
      <c r="B3781" s="50" t="s">
        <v>273</v>
      </c>
      <c r="C3781" s="50" t="s">
        <v>274</v>
      </c>
      <c r="D3781" s="50" t="s">
        <v>27</v>
      </c>
      <c r="E3781" s="50">
        <v>50003297</v>
      </c>
      <c r="F3781" s="50" t="s">
        <v>158</v>
      </c>
      <c r="G3781" s="50">
        <v>1</v>
      </c>
      <c r="H3781" s="50" t="s">
        <v>2</v>
      </c>
      <c r="I3781" s="50" t="s">
        <v>291</v>
      </c>
      <c r="J3781" s="51">
        <v>45985</v>
      </c>
      <c r="K3781" s="50" t="s">
        <v>3</v>
      </c>
      <c r="L3781" s="50" t="s">
        <v>80</v>
      </c>
    </row>
    <row r="3782" spans="2:12">
      <c r="B3782" s="50" t="s">
        <v>43</v>
      </c>
      <c r="C3782" s="50" t="s">
        <v>26</v>
      </c>
      <c r="D3782" s="50" t="s">
        <v>41</v>
      </c>
      <c r="E3782" s="50">
        <v>50043917</v>
      </c>
      <c r="F3782" s="50" t="s">
        <v>262</v>
      </c>
      <c r="G3782" s="50">
        <v>1</v>
      </c>
      <c r="H3782" s="50" t="s">
        <v>2</v>
      </c>
      <c r="I3782" s="50" t="s">
        <v>291</v>
      </c>
      <c r="J3782" s="51">
        <v>45985</v>
      </c>
      <c r="K3782" s="50" t="s">
        <v>1</v>
      </c>
      <c r="L3782" s="50" t="s">
        <v>80</v>
      </c>
    </row>
    <row r="3783" spans="2:12">
      <c r="B3783" s="50" t="s">
        <v>481</v>
      </c>
      <c r="C3783" s="50" t="s">
        <v>56</v>
      </c>
      <c r="D3783" s="50" t="s">
        <v>27</v>
      </c>
      <c r="E3783" s="50">
        <v>50041195</v>
      </c>
      <c r="F3783" s="50" t="s">
        <v>206</v>
      </c>
      <c r="G3783" s="50">
        <v>1</v>
      </c>
      <c r="H3783" s="50" t="s">
        <v>2</v>
      </c>
      <c r="I3783" s="50" t="s">
        <v>291</v>
      </c>
      <c r="J3783" s="51">
        <v>45985</v>
      </c>
      <c r="K3783" s="50" t="s">
        <v>1</v>
      </c>
      <c r="L3783" s="50" t="s">
        <v>80</v>
      </c>
    </row>
    <row r="3784" spans="2:12">
      <c r="B3784" s="50" t="s">
        <v>454</v>
      </c>
      <c r="C3784" s="50" t="s">
        <v>51</v>
      </c>
      <c r="D3784" s="50" t="s">
        <v>39</v>
      </c>
      <c r="E3784" s="50">
        <v>50041195</v>
      </c>
      <c r="F3784" s="50" t="s">
        <v>206</v>
      </c>
      <c r="G3784" s="50">
        <v>1</v>
      </c>
      <c r="H3784" s="50" t="s">
        <v>2</v>
      </c>
      <c r="I3784" s="50" t="s">
        <v>289</v>
      </c>
      <c r="J3784" s="51">
        <v>45983</v>
      </c>
      <c r="K3784" s="50" t="s">
        <v>1</v>
      </c>
      <c r="L3784" s="50" t="s">
        <v>80</v>
      </c>
    </row>
    <row r="3785" spans="2:12">
      <c r="B3785" s="50" t="s">
        <v>461</v>
      </c>
      <c r="C3785" s="50" t="s">
        <v>26</v>
      </c>
      <c r="D3785" s="50" t="s">
        <v>39</v>
      </c>
      <c r="E3785" s="50">
        <v>50038549</v>
      </c>
      <c r="F3785" s="50" t="s">
        <v>173</v>
      </c>
      <c r="G3785" s="50">
        <v>1</v>
      </c>
      <c r="H3785" s="50" t="s">
        <v>2</v>
      </c>
      <c r="I3785" s="50" t="s">
        <v>289</v>
      </c>
      <c r="J3785" s="51">
        <v>45983</v>
      </c>
      <c r="K3785" s="50" t="s">
        <v>1</v>
      </c>
      <c r="L3785" s="50" t="s">
        <v>80</v>
      </c>
    </row>
    <row r="3786" spans="2:12">
      <c r="B3786" s="50" t="s">
        <v>458</v>
      </c>
      <c r="C3786" s="50" t="s">
        <v>26</v>
      </c>
      <c r="D3786" s="50" t="s">
        <v>27</v>
      </c>
      <c r="E3786" s="50">
        <v>50037905</v>
      </c>
      <c r="F3786" s="50" t="s">
        <v>150</v>
      </c>
      <c r="G3786" s="50">
        <v>1</v>
      </c>
      <c r="H3786" s="50" t="s">
        <v>2</v>
      </c>
      <c r="I3786" s="50" t="s">
        <v>289</v>
      </c>
      <c r="J3786" s="51">
        <v>45983</v>
      </c>
      <c r="K3786" s="50" t="s">
        <v>3</v>
      </c>
      <c r="L3786" s="50" t="s">
        <v>80</v>
      </c>
    </row>
    <row r="3787" spans="2:12">
      <c r="B3787" s="50" t="s">
        <v>454</v>
      </c>
      <c r="C3787" s="50" t="s">
        <v>51</v>
      </c>
      <c r="D3787" s="50" t="s">
        <v>39</v>
      </c>
      <c r="E3787" s="50">
        <v>50041195</v>
      </c>
      <c r="F3787" s="50" t="s">
        <v>206</v>
      </c>
      <c r="G3787" s="50">
        <v>1</v>
      </c>
      <c r="H3787" s="50" t="s">
        <v>2</v>
      </c>
      <c r="I3787" s="50" t="s">
        <v>289</v>
      </c>
      <c r="J3787" s="51">
        <v>45983</v>
      </c>
      <c r="K3787" s="50" t="s">
        <v>3</v>
      </c>
      <c r="L3787" s="50" t="s">
        <v>80</v>
      </c>
    </row>
    <row r="3788" spans="2:12">
      <c r="B3788" s="50" t="s">
        <v>461</v>
      </c>
      <c r="C3788" s="50" t="s">
        <v>26</v>
      </c>
      <c r="D3788" s="50" t="s">
        <v>39</v>
      </c>
      <c r="E3788" s="50">
        <v>50038549</v>
      </c>
      <c r="F3788" s="50" t="s">
        <v>173</v>
      </c>
      <c r="G3788" s="50">
        <v>1</v>
      </c>
      <c r="H3788" s="50" t="s">
        <v>2</v>
      </c>
      <c r="I3788" s="50" t="s">
        <v>289</v>
      </c>
      <c r="J3788" s="51">
        <v>45983</v>
      </c>
      <c r="K3788" s="50" t="s">
        <v>3</v>
      </c>
      <c r="L3788" s="50" t="s">
        <v>80</v>
      </c>
    </row>
    <row r="3789" spans="2:12">
      <c r="B3789" s="50" t="s">
        <v>458</v>
      </c>
      <c r="C3789" s="50" t="s">
        <v>26</v>
      </c>
      <c r="D3789" s="50" t="s">
        <v>27</v>
      </c>
      <c r="E3789" s="50">
        <v>50037905</v>
      </c>
      <c r="F3789" s="50" t="s">
        <v>150</v>
      </c>
      <c r="G3789" s="50">
        <v>1</v>
      </c>
      <c r="H3789" s="50" t="s">
        <v>2</v>
      </c>
      <c r="I3789" s="50" t="s">
        <v>289</v>
      </c>
      <c r="J3789" s="51">
        <v>45983</v>
      </c>
      <c r="K3789" s="50" t="s">
        <v>1</v>
      </c>
      <c r="L3789" s="50" t="s">
        <v>80</v>
      </c>
    </row>
    <row r="3790" spans="2:12">
      <c r="B3790" s="50" t="s">
        <v>402</v>
      </c>
      <c r="C3790" s="58" t="s">
        <v>26</v>
      </c>
      <c r="D3790" s="58" t="s">
        <v>36</v>
      </c>
      <c r="E3790" s="50">
        <v>50038549</v>
      </c>
      <c r="F3790" s="50" t="s">
        <v>173</v>
      </c>
      <c r="G3790" s="50">
        <v>1</v>
      </c>
      <c r="H3790" s="50" t="s">
        <v>2</v>
      </c>
      <c r="I3790" s="50" t="s">
        <v>313</v>
      </c>
      <c r="J3790" s="51">
        <v>45983</v>
      </c>
      <c r="K3790" s="50" t="s">
        <v>3</v>
      </c>
      <c r="L3790" s="50" t="s">
        <v>80</v>
      </c>
    </row>
    <row r="3791" spans="2:12">
      <c r="B3791" s="50" t="s">
        <v>402</v>
      </c>
      <c r="C3791" s="58" t="s">
        <v>26</v>
      </c>
      <c r="D3791" s="58" t="s">
        <v>36</v>
      </c>
      <c r="E3791" s="50">
        <v>50038549</v>
      </c>
      <c r="F3791" s="50" t="s">
        <v>173</v>
      </c>
      <c r="G3791" s="50">
        <v>1</v>
      </c>
      <c r="H3791" s="50" t="s">
        <v>2</v>
      </c>
      <c r="I3791" s="50" t="s">
        <v>313</v>
      </c>
      <c r="J3791" s="51">
        <v>45983</v>
      </c>
      <c r="K3791" s="50" t="s">
        <v>1</v>
      </c>
      <c r="L3791" s="50" t="s">
        <v>80</v>
      </c>
    </row>
    <row r="3792" spans="2:12">
      <c r="B3792" s="50" t="s">
        <v>394</v>
      </c>
      <c r="C3792" s="50" t="s">
        <v>26</v>
      </c>
      <c r="D3792" s="50" t="s">
        <v>27</v>
      </c>
      <c r="E3792" s="50">
        <v>50043917</v>
      </c>
      <c r="F3792" s="50" t="s">
        <v>262</v>
      </c>
      <c r="G3792" s="50">
        <v>1</v>
      </c>
      <c r="H3792" s="50" t="s">
        <v>2</v>
      </c>
      <c r="I3792" s="50" t="s">
        <v>289</v>
      </c>
      <c r="J3792" s="51">
        <v>45983</v>
      </c>
      <c r="K3792" s="59" t="s">
        <v>3</v>
      </c>
      <c r="L3792" s="50" t="s">
        <v>80</v>
      </c>
    </row>
    <row r="3793" spans="2:12">
      <c r="B3793" s="50" t="s">
        <v>394</v>
      </c>
      <c r="C3793" s="50" t="s">
        <v>26</v>
      </c>
      <c r="D3793" s="50" t="s">
        <v>27</v>
      </c>
      <c r="E3793" s="50">
        <v>50043917</v>
      </c>
      <c r="F3793" s="50" t="s">
        <v>262</v>
      </c>
      <c r="G3793" s="50">
        <v>1</v>
      </c>
      <c r="H3793" s="50" t="s">
        <v>2</v>
      </c>
      <c r="I3793" s="50" t="s">
        <v>289</v>
      </c>
      <c r="J3793" s="51">
        <v>45983</v>
      </c>
      <c r="K3793" s="59" t="s">
        <v>1</v>
      </c>
      <c r="L3793" s="50" t="s">
        <v>80</v>
      </c>
    </row>
    <row r="3794" spans="2:12">
      <c r="B3794" s="50" t="s">
        <v>394</v>
      </c>
      <c r="C3794" s="50" t="s">
        <v>26</v>
      </c>
      <c r="D3794" s="50" t="s">
        <v>27</v>
      </c>
      <c r="E3794" s="50">
        <v>50003297</v>
      </c>
      <c r="F3794" s="50" t="s">
        <v>158</v>
      </c>
      <c r="G3794" s="50">
        <v>1</v>
      </c>
      <c r="H3794" s="50" t="s">
        <v>2</v>
      </c>
      <c r="I3794" s="50" t="s">
        <v>289</v>
      </c>
      <c r="J3794" s="51">
        <v>45983</v>
      </c>
      <c r="K3794" s="59" t="s">
        <v>3</v>
      </c>
      <c r="L3794" s="50" t="s">
        <v>80</v>
      </c>
    </row>
    <row r="3795" spans="2:12">
      <c r="B3795" s="50" t="s">
        <v>394</v>
      </c>
      <c r="C3795" s="50" t="s">
        <v>26</v>
      </c>
      <c r="D3795" s="50" t="s">
        <v>27</v>
      </c>
      <c r="E3795" s="50">
        <v>50003297</v>
      </c>
      <c r="F3795" s="50" t="s">
        <v>158</v>
      </c>
      <c r="G3795" s="50">
        <v>1</v>
      </c>
      <c r="H3795" s="50" t="s">
        <v>2</v>
      </c>
      <c r="I3795" s="50" t="s">
        <v>289</v>
      </c>
      <c r="J3795" s="51">
        <v>45983</v>
      </c>
      <c r="K3795" s="59" t="s">
        <v>1</v>
      </c>
      <c r="L3795" s="50" t="s">
        <v>80</v>
      </c>
    </row>
    <row r="3796" spans="2:12">
      <c r="B3796" s="50" t="s">
        <v>394</v>
      </c>
      <c r="C3796" s="50" t="s">
        <v>26</v>
      </c>
      <c r="D3796" s="50" t="s">
        <v>27</v>
      </c>
      <c r="E3796" s="50">
        <v>50037892</v>
      </c>
      <c r="F3796" s="50" t="s">
        <v>178</v>
      </c>
      <c r="G3796" s="50">
        <v>1</v>
      </c>
      <c r="H3796" s="50" t="s">
        <v>2</v>
      </c>
      <c r="I3796" s="50" t="s">
        <v>289</v>
      </c>
      <c r="J3796" s="51">
        <v>45983</v>
      </c>
      <c r="K3796" s="59" t="s">
        <v>3</v>
      </c>
      <c r="L3796" s="50" t="s">
        <v>80</v>
      </c>
    </row>
    <row r="3797" spans="2:12">
      <c r="B3797" s="50" t="s">
        <v>394</v>
      </c>
      <c r="C3797" s="50" t="s">
        <v>26</v>
      </c>
      <c r="D3797" s="50" t="s">
        <v>27</v>
      </c>
      <c r="E3797" s="50">
        <v>50037892</v>
      </c>
      <c r="F3797" s="50" t="s">
        <v>178</v>
      </c>
      <c r="G3797" s="50">
        <v>1</v>
      </c>
      <c r="H3797" s="50" t="s">
        <v>2</v>
      </c>
      <c r="I3797" s="50" t="s">
        <v>289</v>
      </c>
      <c r="J3797" s="51">
        <v>45983</v>
      </c>
      <c r="K3797" s="59" t="s">
        <v>1</v>
      </c>
      <c r="L3797" s="50" t="s">
        <v>80</v>
      </c>
    </row>
    <row r="3798" spans="2:12">
      <c r="B3798" s="50" t="s">
        <v>422</v>
      </c>
      <c r="C3798" s="50" t="s">
        <v>26</v>
      </c>
      <c r="D3798" s="50" t="s">
        <v>27</v>
      </c>
      <c r="E3798" s="50">
        <v>50038517</v>
      </c>
      <c r="F3798" s="50" t="s">
        <v>181</v>
      </c>
      <c r="G3798" s="50">
        <v>1</v>
      </c>
      <c r="H3798" s="50" t="s">
        <v>2</v>
      </c>
      <c r="I3798" s="50" t="s">
        <v>289</v>
      </c>
      <c r="J3798" s="51">
        <v>45983</v>
      </c>
      <c r="K3798" s="59" t="s">
        <v>3</v>
      </c>
      <c r="L3798" s="50" t="s">
        <v>80</v>
      </c>
    </row>
    <row r="3799" spans="2:12">
      <c r="B3799" s="50" t="s">
        <v>422</v>
      </c>
      <c r="C3799" s="50" t="s">
        <v>26</v>
      </c>
      <c r="D3799" s="50" t="s">
        <v>27</v>
      </c>
      <c r="E3799" s="50">
        <v>50038517</v>
      </c>
      <c r="F3799" s="50" t="s">
        <v>181</v>
      </c>
      <c r="G3799" s="50">
        <v>1</v>
      </c>
      <c r="H3799" s="50" t="s">
        <v>2</v>
      </c>
      <c r="I3799" s="50" t="s">
        <v>289</v>
      </c>
      <c r="J3799" s="51">
        <v>45983</v>
      </c>
      <c r="K3799" s="59" t="s">
        <v>1</v>
      </c>
      <c r="L3799" s="50" t="s">
        <v>80</v>
      </c>
    </row>
    <row r="3800" spans="2:12">
      <c r="B3800" s="50" t="s">
        <v>394</v>
      </c>
      <c r="C3800" s="50" t="s">
        <v>26</v>
      </c>
      <c r="D3800" s="50" t="s">
        <v>27</v>
      </c>
      <c r="E3800" s="50">
        <v>50039718</v>
      </c>
      <c r="F3800" s="50" t="s">
        <v>149</v>
      </c>
      <c r="G3800" s="50">
        <v>1</v>
      </c>
      <c r="H3800" s="50" t="s">
        <v>2</v>
      </c>
      <c r="I3800" s="50" t="s">
        <v>289</v>
      </c>
      <c r="J3800" s="51">
        <v>45983</v>
      </c>
      <c r="K3800" s="59" t="s">
        <v>3</v>
      </c>
      <c r="L3800" s="50" t="s">
        <v>80</v>
      </c>
    </row>
    <row r="3801" spans="2:12">
      <c r="B3801" s="50" t="s">
        <v>394</v>
      </c>
      <c r="C3801" s="50" t="s">
        <v>26</v>
      </c>
      <c r="D3801" s="50" t="s">
        <v>27</v>
      </c>
      <c r="E3801" s="50">
        <v>50039718</v>
      </c>
      <c r="F3801" s="50" t="s">
        <v>149</v>
      </c>
      <c r="G3801" s="50">
        <v>1</v>
      </c>
      <c r="H3801" s="50" t="s">
        <v>2</v>
      </c>
      <c r="I3801" s="50" t="s">
        <v>289</v>
      </c>
      <c r="J3801" s="51">
        <v>45983</v>
      </c>
      <c r="K3801" s="59" t="s">
        <v>1</v>
      </c>
      <c r="L3801" s="50" t="s">
        <v>80</v>
      </c>
    </row>
    <row r="3802" spans="2:12">
      <c r="B3802" s="50" t="s">
        <v>422</v>
      </c>
      <c r="C3802" s="50" t="s">
        <v>26</v>
      </c>
      <c r="D3802" s="50" t="s">
        <v>27</v>
      </c>
      <c r="E3802" s="50">
        <v>50004486</v>
      </c>
      <c r="F3802" s="50" t="s">
        <v>336</v>
      </c>
      <c r="G3802" s="50">
        <v>1</v>
      </c>
      <c r="H3802" s="50" t="s">
        <v>2</v>
      </c>
      <c r="I3802" s="50" t="s">
        <v>289</v>
      </c>
      <c r="J3802" s="51">
        <v>45983</v>
      </c>
      <c r="K3802" s="59" t="s">
        <v>3</v>
      </c>
      <c r="L3802" s="50" t="s">
        <v>80</v>
      </c>
    </row>
    <row r="3803" spans="2:12">
      <c r="B3803" s="50" t="s">
        <v>422</v>
      </c>
      <c r="C3803" s="50" t="s">
        <v>26</v>
      </c>
      <c r="D3803" s="50" t="s">
        <v>27</v>
      </c>
      <c r="E3803" s="50">
        <v>50004486</v>
      </c>
      <c r="F3803" s="50" t="s">
        <v>336</v>
      </c>
      <c r="G3803" s="50">
        <v>1</v>
      </c>
      <c r="H3803" s="50" t="s">
        <v>2</v>
      </c>
      <c r="I3803" s="50" t="s">
        <v>289</v>
      </c>
      <c r="J3803" s="51">
        <v>45983</v>
      </c>
      <c r="K3803" s="59" t="s">
        <v>1</v>
      </c>
      <c r="L3803" s="50" t="s">
        <v>80</v>
      </c>
    </row>
    <row r="3804" spans="2:12">
      <c r="B3804" s="50" t="s">
        <v>422</v>
      </c>
      <c r="C3804" s="50" t="s">
        <v>26</v>
      </c>
      <c r="D3804" s="50" t="s">
        <v>27</v>
      </c>
      <c r="E3804" s="50">
        <v>50041195</v>
      </c>
      <c r="F3804" s="50" t="s">
        <v>206</v>
      </c>
      <c r="G3804" s="50">
        <v>1</v>
      </c>
      <c r="H3804" s="50" t="s">
        <v>2</v>
      </c>
      <c r="I3804" s="50" t="s">
        <v>289</v>
      </c>
      <c r="J3804" s="51">
        <v>45983</v>
      </c>
      <c r="K3804" s="59" t="s">
        <v>3</v>
      </c>
      <c r="L3804" s="50" t="s">
        <v>80</v>
      </c>
    </row>
    <row r="3805" spans="2:12">
      <c r="B3805" s="50" t="s">
        <v>422</v>
      </c>
      <c r="C3805" s="50" t="s">
        <v>26</v>
      </c>
      <c r="D3805" s="50" t="s">
        <v>27</v>
      </c>
      <c r="E3805" s="50">
        <v>50041195</v>
      </c>
      <c r="F3805" s="50" t="s">
        <v>206</v>
      </c>
      <c r="G3805" s="50">
        <v>1</v>
      </c>
      <c r="H3805" s="50" t="s">
        <v>2</v>
      </c>
      <c r="I3805" s="50" t="s">
        <v>289</v>
      </c>
      <c r="J3805" s="51">
        <v>45983</v>
      </c>
      <c r="K3805" s="59" t="s">
        <v>1</v>
      </c>
      <c r="L3805" s="50" t="s">
        <v>80</v>
      </c>
    </row>
    <row r="3806" spans="2:12">
      <c r="B3806" s="50" t="s">
        <v>422</v>
      </c>
      <c r="C3806" s="50" t="s">
        <v>26</v>
      </c>
      <c r="D3806" s="50" t="s">
        <v>27</v>
      </c>
      <c r="E3806" s="50">
        <v>50038549</v>
      </c>
      <c r="F3806" s="50" t="s">
        <v>173</v>
      </c>
      <c r="G3806" s="50">
        <v>1</v>
      </c>
      <c r="H3806" s="50" t="s">
        <v>2</v>
      </c>
      <c r="I3806" s="50" t="s">
        <v>289</v>
      </c>
      <c r="J3806" s="51">
        <v>45983</v>
      </c>
      <c r="K3806" s="59" t="s">
        <v>3</v>
      </c>
      <c r="L3806" s="50" t="s">
        <v>80</v>
      </c>
    </row>
    <row r="3807" spans="2:12">
      <c r="B3807" s="50" t="s">
        <v>422</v>
      </c>
      <c r="C3807" s="50" t="s">
        <v>26</v>
      </c>
      <c r="D3807" s="50" t="s">
        <v>27</v>
      </c>
      <c r="E3807" s="50">
        <v>50038549</v>
      </c>
      <c r="F3807" s="50" t="s">
        <v>173</v>
      </c>
      <c r="G3807" s="50">
        <v>1</v>
      </c>
      <c r="H3807" s="50" t="s">
        <v>2</v>
      </c>
      <c r="I3807" s="50" t="s">
        <v>289</v>
      </c>
      <c r="J3807" s="51">
        <v>45983</v>
      </c>
      <c r="K3807" s="59" t="s">
        <v>1</v>
      </c>
      <c r="L3807" s="50" t="s">
        <v>80</v>
      </c>
    </row>
    <row r="3808" spans="2:12">
      <c r="B3808" s="50" t="s">
        <v>394</v>
      </c>
      <c r="C3808" s="50" t="s">
        <v>26</v>
      </c>
      <c r="D3808" s="50" t="s">
        <v>27</v>
      </c>
      <c r="E3808" s="50">
        <v>50039065</v>
      </c>
      <c r="F3808" s="50" t="s">
        <v>186</v>
      </c>
      <c r="G3808" s="50">
        <v>1</v>
      </c>
      <c r="H3808" s="50" t="s">
        <v>2</v>
      </c>
      <c r="I3808" s="50" t="s">
        <v>289</v>
      </c>
      <c r="J3808" s="51">
        <v>45983</v>
      </c>
      <c r="K3808" s="59" t="s">
        <v>3</v>
      </c>
      <c r="L3808" s="50" t="s">
        <v>80</v>
      </c>
    </row>
    <row r="3809" spans="2:12">
      <c r="B3809" s="50" t="s">
        <v>394</v>
      </c>
      <c r="C3809" s="50" t="s">
        <v>26</v>
      </c>
      <c r="D3809" s="50" t="s">
        <v>27</v>
      </c>
      <c r="E3809" s="50">
        <v>50039065</v>
      </c>
      <c r="F3809" s="50" t="s">
        <v>186</v>
      </c>
      <c r="G3809" s="50">
        <v>1</v>
      </c>
      <c r="H3809" s="50" t="s">
        <v>2</v>
      </c>
      <c r="I3809" s="50" t="s">
        <v>289</v>
      </c>
      <c r="J3809" s="51">
        <v>45983</v>
      </c>
      <c r="K3809" s="50" t="s">
        <v>1</v>
      </c>
      <c r="L3809" s="50" t="s">
        <v>80</v>
      </c>
    </row>
    <row r="3810" spans="2:12">
      <c r="B3810" s="50" t="s">
        <v>458</v>
      </c>
      <c r="C3810" s="50" t="s">
        <v>26</v>
      </c>
      <c r="D3810" s="50" t="s">
        <v>27</v>
      </c>
      <c r="E3810" s="50">
        <v>50037905</v>
      </c>
      <c r="F3810" s="50" t="s">
        <v>150</v>
      </c>
      <c r="G3810" s="50">
        <v>1</v>
      </c>
      <c r="H3810" s="50" t="s">
        <v>2</v>
      </c>
      <c r="I3810" s="50" t="s">
        <v>289</v>
      </c>
      <c r="J3810" s="51">
        <v>45982</v>
      </c>
      <c r="K3810" s="50" t="s">
        <v>1</v>
      </c>
      <c r="L3810" s="50" t="s">
        <v>80</v>
      </c>
    </row>
    <row r="3811" spans="2:12">
      <c r="B3811" s="50" t="s">
        <v>482</v>
      </c>
      <c r="C3811" s="50" t="s">
        <v>51</v>
      </c>
      <c r="D3811" s="50" t="s">
        <v>39</v>
      </c>
      <c r="E3811" s="50">
        <v>50003297</v>
      </c>
      <c r="F3811" s="50" t="s">
        <v>158</v>
      </c>
      <c r="G3811" s="50">
        <v>1</v>
      </c>
      <c r="H3811" s="50" t="s">
        <v>2</v>
      </c>
      <c r="I3811" s="50" t="s">
        <v>289</v>
      </c>
      <c r="J3811" s="51">
        <v>45982</v>
      </c>
      <c r="K3811" s="50" t="s">
        <v>1</v>
      </c>
      <c r="L3811" s="50" t="s">
        <v>80</v>
      </c>
    </row>
    <row r="3812" spans="2:12">
      <c r="B3812" s="50" t="s">
        <v>454</v>
      </c>
      <c r="C3812" s="50" t="s">
        <v>51</v>
      </c>
      <c r="D3812" s="50" t="s">
        <v>39</v>
      </c>
      <c r="E3812" s="50">
        <v>50041195</v>
      </c>
      <c r="F3812" s="50" t="s">
        <v>206</v>
      </c>
      <c r="G3812" s="50">
        <v>1</v>
      </c>
      <c r="H3812" s="50" t="s">
        <v>2</v>
      </c>
      <c r="I3812" s="50" t="s">
        <v>289</v>
      </c>
      <c r="J3812" s="51">
        <v>45982</v>
      </c>
      <c r="K3812" s="50" t="s">
        <v>1</v>
      </c>
      <c r="L3812" s="50" t="s">
        <v>80</v>
      </c>
    </row>
    <row r="3813" spans="2:12">
      <c r="B3813" s="50" t="s">
        <v>454</v>
      </c>
      <c r="C3813" s="50" t="s">
        <v>51</v>
      </c>
      <c r="D3813" s="50" t="s">
        <v>39</v>
      </c>
      <c r="E3813" s="50">
        <v>50037892</v>
      </c>
      <c r="F3813" s="50" t="s">
        <v>178</v>
      </c>
      <c r="G3813" s="50">
        <v>1</v>
      </c>
      <c r="H3813" s="50" t="s">
        <v>2</v>
      </c>
      <c r="I3813" s="50" t="s">
        <v>289</v>
      </c>
      <c r="J3813" s="51">
        <v>45982</v>
      </c>
      <c r="K3813" s="50" t="s">
        <v>1</v>
      </c>
      <c r="L3813" s="50" t="s">
        <v>80</v>
      </c>
    </row>
    <row r="3814" spans="2:12">
      <c r="B3814" s="50" t="s">
        <v>413</v>
      </c>
      <c r="C3814" s="50" t="s">
        <v>51</v>
      </c>
      <c r="D3814" s="50" t="s">
        <v>39</v>
      </c>
      <c r="E3814" s="50">
        <v>50040566</v>
      </c>
      <c r="F3814" s="50" t="s">
        <v>210</v>
      </c>
      <c r="G3814" s="50">
        <v>1</v>
      </c>
      <c r="H3814" s="50" t="s">
        <v>2</v>
      </c>
      <c r="I3814" s="50" t="s">
        <v>289</v>
      </c>
      <c r="J3814" s="51">
        <v>45982</v>
      </c>
      <c r="K3814" s="50" t="s">
        <v>3</v>
      </c>
      <c r="L3814" s="50" t="s">
        <v>80</v>
      </c>
    </row>
    <row r="3815" spans="2:12">
      <c r="B3815" s="50" t="s">
        <v>413</v>
      </c>
      <c r="C3815" s="50" t="s">
        <v>51</v>
      </c>
      <c r="D3815" s="50" t="s">
        <v>39</v>
      </c>
      <c r="E3815" s="50">
        <v>50040566</v>
      </c>
      <c r="F3815" s="50" t="s">
        <v>210</v>
      </c>
      <c r="G3815" s="50">
        <v>1</v>
      </c>
      <c r="H3815" s="50" t="s">
        <v>2</v>
      </c>
      <c r="I3815" s="50" t="s">
        <v>289</v>
      </c>
      <c r="J3815" s="51">
        <v>45982</v>
      </c>
      <c r="K3815" s="50" t="s">
        <v>3</v>
      </c>
      <c r="L3815" s="50" t="s">
        <v>80</v>
      </c>
    </row>
    <row r="3816" spans="2:12">
      <c r="B3816" s="50" t="s">
        <v>458</v>
      </c>
      <c r="C3816" s="50" t="s">
        <v>26</v>
      </c>
      <c r="D3816" s="50" t="s">
        <v>27</v>
      </c>
      <c r="E3816" s="50">
        <v>50037905</v>
      </c>
      <c r="F3816" s="50" t="s">
        <v>150</v>
      </c>
      <c r="G3816" s="50">
        <v>1</v>
      </c>
      <c r="H3816" s="50" t="s">
        <v>2</v>
      </c>
      <c r="I3816" s="50" t="s">
        <v>289</v>
      </c>
      <c r="J3816" s="51">
        <v>45982</v>
      </c>
      <c r="K3816" s="50" t="s">
        <v>3</v>
      </c>
      <c r="L3816" s="50" t="s">
        <v>80</v>
      </c>
    </row>
    <row r="3817" spans="2:12">
      <c r="B3817" s="50" t="s">
        <v>482</v>
      </c>
      <c r="C3817" s="50" t="s">
        <v>51</v>
      </c>
      <c r="D3817" s="50" t="s">
        <v>39</v>
      </c>
      <c r="E3817" s="50">
        <v>50003297</v>
      </c>
      <c r="F3817" s="50" t="s">
        <v>158</v>
      </c>
      <c r="G3817" s="50">
        <v>1</v>
      </c>
      <c r="H3817" s="50" t="s">
        <v>2</v>
      </c>
      <c r="I3817" s="50" t="s">
        <v>289</v>
      </c>
      <c r="J3817" s="51">
        <v>45982</v>
      </c>
      <c r="K3817" s="50" t="s">
        <v>3</v>
      </c>
      <c r="L3817" s="50" t="s">
        <v>80</v>
      </c>
    </row>
    <row r="3818" spans="2:12">
      <c r="B3818" s="50" t="s">
        <v>454</v>
      </c>
      <c r="C3818" s="50" t="s">
        <v>51</v>
      </c>
      <c r="D3818" s="50" t="s">
        <v>39</v>
      </c>
      <c r="E3818" s="50">
        <v>50041195</v>
      </c>
      <c r="F3818" s="50" t="s">
        <v>206</v>
      </c>
      <c r="G3818" s="50">
        <v>1</v>
      </c>
      <c r="H3818" s="50" t="s">
        <v>2</v>
      </c>
      <c r="I3818" s="50" t="s">
        <v>289</v>
      </c>
      <c r="J3818" s="51">
        <v>45982</v>
      </c>
      <c r="K3818" s="50" t="s">
        <v>1</v>
      </c>
      <c r="L3818" s="50" t="s">
        <v>80</v>
      </c>
    </row>
    <row r="3819" spans="2:12">
      <c r="B3819" s="50" t="s">
        <v>454</v>
      </c>
      <c r="C3819" s="50" t="s">
        <v>51</v>
      </c>
      <c r="D3819" s="50" t="s">
        <v>39</v>
      </c>
      <c r="E3819" s="50">
        <v>50037892</v>
      </c>
      <c r="F3819" s="50" t="s">
        <v>178</v>
      </c>
      <c r="G3819" s="50">
        <v>1</v>
      </c>
      <c r="H3819" s="50" t="s">
        <v>2</v>
      </c>
      <c r="I3819" s="50" t="s">
        <v>289</v>
      </c>
      <c r="J3819" s="51">
        <v>45982</v>
      </c>
      <c r="K3819" s="50" t="s">
        <v>1</v>
      </c>
      <c r="L3819" s="50" t="s">
        <v>80</v>
      </c>
    </row>
    <row r="3820" spans="2:12">
      <c r="B3820" s="50" t="s">
        <v>461</v>
      </c>
      <c r="C3820" s="50" t="s">
        <v>26</v>
      </c>
      <c r="D3820" s="50" t="s">
        <v>39</v>
      </c>
      <c r="E3820" s="50">
        <v>50038549</v>
      </c>
      <c r="F3820" s="50" t="s">
        <v>173</v>
      </c>
      <c r="G3820" s="50">
        <v>1</v>
      </c>
      <c r="H3820" s="50" t="s">
        <v>2</v>
      </c>
      <c r="I3820" s="50" t="s">
        <v>289</v>
      </c>
      <c r="J3820" s="51">
        <v>45982</v>
      </c>
      <c r="K3820" s="50" t="s">
        <v>3</v>
      </c>
      <c r="L3820" s="50" t="s">
        <v>80</v>
      </c>
    </row>
    <row r="3821" spans="2:12">
      <c r="B3821" s="50" t="s">
        <v>461</v>
      </c>
      <c r="C3821" s="50" t="s">
        <v>26</v>
      </c>
      <c r="D3821" s="50" t="s">
        <v>39</v>
      </c>
      <c r="E3821" s="50">
        <v>50038549</v>
      </c>
      <c r="F3821" s="50" t="s">
        <v>173</v>
      </c>
      <c r="G3821" s="50">
        <v>1</v>
      </c>
      <c r="H3821" s="50" t="s">
        <v>2</v>
      </c>
      <c r="I3821" s="50" t="s">
        <v>289</v>
      </c>
      <c r="J3821" s="51">
        <v>45982</v>
      </c>
      <c r="K3821" s="50" t="s">
        <v>1</v>
      </c>
      <c r="L3821" s="50" t="s">
        <v>80</v>
      </c>
    </row>
    <row r="3822" spans="2:12">
      <c r="B3822" s="50" t="s">
        <v>474</v>
      </c>
      <c r="C3822" s="50" t="s">
        <v>51</v>
      </c>
      <c r="D3822" s="50" t="s">
        <v>27</v>
      </c>
      <c r="E3822" s="50">
        <v>50038841</v>
      </c>
      <c r="F3822" s="50" t="s">
        <v>180</v>
      </c>
      <c r="G3822" s="50">
        <v>1</v>
      </c>
      <c r="H3822" s="50" t="s">
        <v>2</v>
      </c>
      <c r="I3822" s="50" t="s">
        <v>292</v>
      </c>
      <c r="J3822" s="51">
        <v>45982</v>
      </c>
      <c r="K3822" s="50" t="s">
        <v>1</v>
      </c>
      <c r="L3822" s="50" t="s">
        <v>80</v>
      </c>
    </row>
    <row r="3823" spans="2:12">
      <c r="B3823" s="50" t="s">
        <v>399</v>
      </c>
      <c r="C3823" s="50" t="s">
        <v>51</v>
      </c>
      <c r="D3823" s="50" t="s">
        <v>27</v>
      </c>
      <c r="E3823" s="50">
        <v>50043917</v>
      </c>
      <c r="F3823" s="50" t="s">
        <v>262</v>
      </c>
      <c r="G3823" s="50">
        <v>1</v>
      </c>
      <c r="H3823" s="50" t="s">
        <v>2</v>
      </c>
      <c r="I3823" s="50" t="s">
        <v>292</v>
      </c>
      <c r="J3823" s="51">
        <v>45982</v>
      </c>
      <c r="K3823" s="50" t="s">
        <v>1</v>
      </c>
      <c r="L3823" s="50" t="s">
        <v>80</v>
      </c>
    </row>
    <row r="3824" spans="2:12">
      <c r="B3824" s="50" t="s">
        <v>465</v>
      </c>
      <c r="C3824" s="50" t="s">
        <v>26</v>
      </c>
      <c r="D3824" s="50" t="s">
        <v>27</v>
      </c>
      <c r="E3824" s="50">
        <v>50039718</v>
      </c>
      <c r="F3824" s="50" t="s">
        <v>149</v>
      </c>
      <c r="G3824" s="50">
        <v>1</v>
      </c>
      <c r="H3824" s="50" t="s">
        <v>2</v>
      </c>
      <c r="I3824" s="50" t="s">
        <v>293</v>
      </c>
      <c r="J3824" s="51">
        <v>45982</v>
      </c>
      <c r="K3824" s="50" t="s">
        <v>3</v>
      </c>
      <c r="L3824" s="50" t="s">
        <v>80</v>
      </c>
    </row>
    <row r="3825" spans="2:12">
      <c r="B3825" s="50" t="s">
        <v>465</v>
      </c>
      <c r="C3825" s="50" t="s">
        <v>26</v>
      </c>
      <c r="D3825" s="50" t="s">
        <v>27</v>
      </c>
      <c r="E3825" s="50">
        <v>50039718</v>
      </c>
      <c r="F3825" s="50" t="s">
        <v>149</v>
      </c>
      <c r="G3825" s="50">
        <v>1</v>
      </c>
      <c r="H3825" s="50" t="s">
        <v>2</v>
      </c>
      <c r="I3825" s="50" t="s">
        <v>293</v>
      </c>
      <c r="J3825" s="51">
        <v>45982</v>
      </c>
      <c r="K3825" s="50" t="s">
        <v>3</v>
      </c>
      <c r="L3825" s="50" t="s">
        <v>80</v>
      </c>
    </row>
    <row r="3826" spans="2:12">
      <c r="B3826" s="50" t="s">
        <v>386</v>
      </c>
      <c r="C3826" s="50" t="s">
        <v>62</v>
      </c>
      <c r="D3826" s="50" t="s">
        <v>27</v>
      </c>
      <c r="E3826" s="50">
        <v>50037892</v>
      </c>
      <c r="F3826" s="50" t="s">
        <v>178</v>
      </c>
      <c r="G3826" s="50">
        <v>1</v>
      </c>
      <c r="H3826" s="50" t="s">
        <v>2</v>
      </c>
      <c r="I3826" s="50" t="s">
        <v>292</v>
      </c>
      <c r="J3826" s="51">
        <v>45982</v>
      </c>
      <c r="K3826" s="50" t="s">
        <v>1</v>
      </c>
      <c r="L3826" s="50" t="s">
        <v>80</v>
      </c>
    </row>
    <row r="3827" spans="2:12">
      <c r="B3827" s="50" t="s">
        <v>386</v>
      </c>
      <c r="C3827" s="50" t="s">
        <v>62</v>
      </c>
      <c r="D3827" s="50" t="s">
        <v>27</v>
      </c>
      <c r="E3827" s="50">
        <v>50037892</v>
      </c>
      <c r="F3827" s="50" t="s">
        <v>178</v>
      </c>
      <c r="G3827" s="50">
        <v>1</v>
      </c>
      <c r="H3827" s="50" t="s">
        <v>2</v>
      </c>
      <c r="I3827" s="50" t="s">
        <v>292</v>
      </c>
      <c r="J3827" s="51">
        <v>45982</v>
      </c>
      <c r="K3827" s="50" t="s">
        <v>1</v>
      </c>
      <c r="L3827" s="50" t="s">
        <v>80</v>
      </c>
    </row>
    <row r="3828" spans="2:12">
      <c r="B3828" s="50" t="s">
        <v>458</v>
      </c>
      <c r="C3828" s="50" t="s">
        <v>26</v>
      </c>
      <c r="D3828" s="50" t="s">
        <v>27</v>
      </c>
      <c r="E3828" s="50">
        <v>50043471</v>
      </c>
      <c r="F3828" s="50" t="s">
        <v>257</v>
      </c>
      <c r="G3828" s="50">
        <v>1</v>
      </c>
      <c r="H3828" s="50" t="s">
        <v>2</v>
      </c>
      <c r="I3828" s="50" t="s">
        <v>292</v>
      </c>
      <c r="J3828" s="51">
        <v>45982</v>
      </c>
      <c r="K3828" s="50" t="s">
        <v>3</v>
      </c>
      <c r="L3828" s="50" t="s">
        <v>80</v>
      </c>
    </row>
    <row r="3829" spans="2:12">
      <c r="B3829" s="50" t="s">
        <v>458</v>
      </c>
      <c r="C3829" s="50" t="s">
        <v>26</v>
      </c>
      <c r="D3829" s="50" t="s">
        <v>27</v>
      </c>
      <c r="E3829" s="50">
        <v>50043471</v>
      </c>
      <c r="F3829" s="50" t="s">
        <v>257</v>
      </c>
      <c r="G3829" s="50">
        <v>1</v>
      </c>
      <c r="H3829" s="50" t="s">
        <v>2</v>
      </c>
      <c r="I3829" s="50" t="s">
        <v>292</v>
      </c>
      <c r="J3829" s="51">
        <v>45982</v>
      </c>
      <c r="K3829" s="50" t="s">
        <v>1</v>
      </c>
      <c r="L3829" s="50" t="s">
        <v>80</v>
      </c>
    </row>
    <row r="3830" spans="2:12">
      <c r="B3830" s="50" t="s">
        <v>422</v>
      </c>
      <c r="C3830" s="50" t="s">
        <v>26</v>
      </c>
      <c r="D3830" s="50" t="s">
        <v>27</v>
      </c>
      <c r="E3830" s="50">
        <v>50043471</v>
      </c>
      <c r="F3830" s="50" t="s">
        <v>257</v>
      </c>
      <c r="G3830" s="50">
        <v>1</v>
      </c>
      <c r="H3830" s="50" t="s">
        <v>2</v>
      </c>
      <c r="I3830" s="50" t="s">
        <v>293</v>
      </c>
      <c r="J3830" s="51">
        <v>45982</v>
      </c>
      <c r="K3830" s="50" t="s">
        <v>3</v>
      </c>
      <c r="L3830" s="50" t="s">
        <v>80</v>
      </c>
    </row>
    <row r="3831" spans="2:12">
      <c r="B3831" s="50" t="s">
        <v>422</v>
      </c>
      <c r="C3831" s="50" t="s">
        <v>26</v>
      </c>
      <c r="D3831" s="50" t="s">
        <v>27</v>
      </c>
      <c r="E3831" s="50">
        <v>50043471</v>
      </c>
      <c r="F3831" s="50" t="s">
        <v>257</v>
      </c>
      <c r="G3831" s="50">
        <v>1</v>
      </c>
      <c r="H3831" s="50" t="s">
        <v>2</v>
      </c>
      <c r="I3831" s="50" t="s">
        <v>293</v>
      </c>
      <c r="J3831" s="51">
        <v>45982</v>
      </c>
      <c r="K3831" s="50" t="s">
        <v>1</v>
      </c>
      <c r="L3831" s="50" t="s">
        <v>80</v>
      </c>
    </row>
    <row r="3832" spans="2:12">
      <c r="B3832" s="50" t="s">
        <v>474</v>
      </c>
      <c r="C3832" s="50" t="s">
        <v>51</v>
      </c>
      <c r="D3832" s="50" t="s">
        <v>27</v>
      </c>
      <c r="E3832" s="50">
        <v>50003297</v>
      </c>
      <c r="F3832" s="50" t="s">
        <v>158</v>
      </c>
      <c r="G3832" s="50">
        <v>1</v>
      </c>
      <c r="H3832" s="50" t="s">
        <v>2</v>
      </c>
      <c r="I3832" s="50" t="s">
        <v>293</v>
      </c>
      <c r="J3832" s="51">
        <v>45982</v>
      </c>
      <c r="K3832" s="50" t="s">
        <v>1</v>
      </c>
      <c r="L3832" s="50" t="s">
        <v>80</v>
      </c>
    </row>
    <row r="3833" spans="2:12">
      <c r="B3833" s="50" t="s">
        <v>412</v>
      </c>
      <c r="C3833" s="50" t="s">
        <v>51</v>
      </c>
      <c r="D3833" s="50" t="s">
        <v>41</v>
      </c>
      <c r="E3833" s="50">
        <v>50037892</v>
      </c>
      <c r="F3833" s="50" t="s">
        <v>178</v>
      </c>
      <c r="G3833" s="50">
        <v>1</v>
      </c>
      <c r="H3833" s="50" t="s">
        <v>2</v>
      </c>
      <c r="I3833" s="50" t="s">
        <v>293</v>
      </c>
      <c r="J3833" s="51">
        <v>45982</v>
      </c>
      <c r="K3833" s="50" t="s">
        <v>1</v>
      </c>
      <c r="L3833" s="50" t="s">
        <v>80</v>
      </c>
    </row>
    <row r="3834" spans="2:12">
      <c r="B3834" s="50" t="e">
        <v>#N/A</v>
      </c>
      <c r="C3834" s="50" t="s">
        <v>62</v>
      </c>
      <c r="D3834" s="50" t="s">
        <v>27</v>
      </c>
      <c r="E3834" s="50">
        <v>50041195</v>
      </c>
      <c r="F3834" s="50" t="s">
        <v>206</v>
      </c>
      <c r="G3834" s="50">
        <v>1</v>
      </c>
      <c r="H3834" s="50" t="s">
        <v>2</v>
      </c>
      <c r="I3834" s="50" t="s">
        <v>293</v>
      </c>
      <c r="J3834" s="51">
        <v>45982</v>
      </c>
      <c r="K3834" s="50" t="s">
        <v>1</v>
      </c>
      <c r="L3834" s="50" t="s">
        <v>80</v>
      </c>
    </row>
    <row r="3835" spans="2:12">
      <c r="B3835" s="50" t="s">
        <v>450</v>
      </c>
      <c r="C3835" s="50" t="s">
        <v>61</v>
      </c>
      <c r="D3835" s="50" t="s">
        <v>39</v>
      </c>
      <c r="E3835" s="50">
        <v>50032775</v>
      </c>
      <c r="F3835" s="50" t="s">
        <v>307</v>
      </c>
      <c r="G3835" s="50">
        <v>1</v>
      </c>
      <c r="H3835" s="50" t="s">
        <v>2</v>
      </c>
      <c r="I3835" s="50" t="s">
        <v>292</v>
      </c>
      <c r="J3835" s="51">
        <v>45982</v>
      </c>
      <c r="K3835" s="50" t="s">
        <v>1</v>
      </c>
      <c r="L3835" s="50" t="s">
        <v>80</v>
      </c>
    </row>
    <row r="3836" spans="2:12">
      <c r="B3836" s="50" t="s">
        <v>278</v>
      </c>
      <c r="C3836" s="50" t="s">
        <v>62</v>
      </c>
      <c r="D3836" s="50" t="s">
        <v>27</v>
      </c>
      <c r="E3836" s="50">
        <v>50030486</v>
      </c>
      <c r="F3836" s="50" t="s">
        <v>153</v>
      </c>
      <c r="G3836" s="50">
        <v>1</v>
      </c>
      <c r="H3836" s="50" t="s">
        <v>2</v>
      </c>
      <c r="I3836" s="50" t="s">
        <v>288</v>
      </c>
      <c r="J3836" s="51">
        <v>45982</v>
      </c>
      <c r="K3836" s="50" t="s">
        <v>3</v>
      </c>
      <c r="L3836" s="50" t="s">
        <v>80</v>
      </c>
    </row>
    <row r="3837" spans="2:12">
      <c r="B3837" s="50" t="s">
        <v>278</v>
      </c>
      <c r="C3837" s="50" t="s">
        <v>62</v>
      </c>
      <c r="D3837" s="50" t="s">
        <v>27</v>
      </c>
      <c r="E3837" s="50">
        <v>50030486</v>
      </c>
      <c r="F3837" s="50" t="s">
        <v>153</v>
      </c>
      <c r="G3837" s="50">
        <v>1</v>
      </c>
      <c r="H3837" s="50" t="s">
        <v>2</v>
      </c>
      <c r="I3837" s="50" t="s">
        <v>288</v>
      </c>
      <c r="J3837" s="51">
        <v>45982</v>
      </c>
      <c r="K3837" s="50" t="s">
        <v>1</v>
      </c>
      <c r="L3837" s="50" t="s">
        <v>80</v>
      </c>
    </row>
    <row r="3838" spans="2:12">
      <c r="B3838" s="50" t="s">
        <v>478</v>
      </c>
      <c r="C3838" s="50" t="s">
        <v>51</v>
      </c>
      <c r="D3838" s="50" t="s">
        <v>27</v>
      </c>
      <c r="E3838" s="50">
        <v>50043471</v>
      </c>
      <c r="F3838" s="50" t="s">
        <v>257</v>
      </c>
      <c r="G3838" s="50">
        <v>1</v>
      </c>
      <c r="H3838" s="50" t="s">
        <v>2</v>
      </c>
      <c r="I3838" s="50" t="s">
        <v>288</v>
      </c>
      <c r="J3838" s="51">
        <v>45982</v>
      </c>
      <c r="K3838" s="50" t="s">
        <v>3</v>
      </c>
      <c r="L3838" s="50" t="s">
        <v>80</v>
      </c>
    </row>
    <row r="3839" spans="2:12">
      <c r="B3839" s="50" t="s">
        <v>478</v>
      </c>
      <c r="C3839" s="50" t="s">
        <v>51</v>
      </c>
      <c r="D3839" s="50" t="s">
        <v>27</v>
      </c>
      <c r="E3839" s="50">
        <v>50043471</v>
      </c>
      <c r="F3839" s="50" t="s">
        <v>257</v>
      </c>
      <c r="G3839" s="50">
        <v>1</v>
      </c>
      <c r="H3839" s="50" t="s">
        <v>2</v>
      </c>
      <c r="I3839" s="50" t="s">
        <v>288</v>
      </c>
      <c r="J3839" s="51">
        <v>45982</v>
      </c>
      <c r="K3839" s="50" t="s">
        <v>3</v>
      </c>
      <c r="L3839" s="50" t="s">
        <v>80</v>
      </c>
    </row>
    <row r="3840" spans="2:12">
      <c r="B3840" s="50" t="s">
        <v>474</v>
      </c>
      <c r="C3840" s="50" t="s">
        <v>51</v>
      </c>
      <c r="D3840" s="50" t="s">
        <v>27</v>
      </c>
      <c r="E3840" s="50">
        <v>50003297</v>
      </c>
      <c r="F3840" s="50" t="s">
        <v>158</v>
      </c>
      <c r="G3840" s="50">
        <v>1</v>
      </c>
      <c r="H3840" s="50" t="s">
        <v>2</v>
      </c>
      <c r="I3840" s="50" t="s">
        <v>288</v>
      </c>
      <c r="J3840" s="51">
        <v>45982</v>
      </c>
      <c r="K3840" s="50" t="s">
        <v>1</v>
      </c>
      <c r="L3840" s="50" t="s">
        <v>80</v>
      </c>
    </row>
    <row r="3841" spans="2:12">
      <c r="B3841" s="50" t="s">
        <v>316</v>
      </c>
      <c r="C3841" s="50" t="s">
        <v>51</v>
      </c>
      <c r="D3841" s="50" t="s">
        <v>27</v>
      </c>
      <c r="E3841" s="50">
        <v>50038956</v>
      </c>
      <c r="F3841" s="50" t="s">
        <v>177</v>
      </c>
      <c r="G3841" s="50">
        <v>1</v>
      </c>
      <c r="H3841" s="50" t="s">
        <v>2</v>
      </c>
      <c r="I3841" s="50" t="s">
        <v>290</v>
      </c>
      <c r="J3841" s="51">
        <v>45982</v>
      </c>
      <c r="K3841" s="50" t="s">
        <v>3</v>
      </c>
      <c r="L3841" s="50" t="s">
        <v>80</v>
      </c>
    </row>
    <row r="3842" spans="2:12">
      <c r="B3842" s="50" t="s">
        <v>316</v>
      </c>
      <c r="C3842" s="50" t="s">
        <v>51</v>
      </c>
      <c r="D3842" s="50" t="s">
        <v>27</v>
      </c>
      <c r="E3842" s="50">
        <v>50038956</v>
      </c>
      <c r="F3842" s="50" t="s">
        <v>177</v>
      </c>
      <c r="G3842" s="50">
        <v>1</v>
      </c>
      <c r="H3842" s="50" t="s">
        <v>2</v>
      </c>
      <c r="I3842" s="50" t="s">
        <v>288</v>
      </c>
      <c r="J3842" s="51">
        <v>45982</v>
      </c>
      <c r="K3842" s="50" t="s">
        <v>3</v>
      </c>
      <c r="L3842" s="50" t="s">
        <v>80</v>
      </c>
    </row>
    <row r="3843" spans="2:12">
      <c r="B3843" s="50" t="s">
        <v>412</v>
      </c>
      <c r="C3843" s="50" t="s">
        <v>51</v>
      </c>
      <c r="D3843" s="50" t="s">
        <v>41</v>
      </c>
      <c r="E3843" s="50">
        <v>50037892</v>
      </c>
      <c r="F3843" s="50" t="s">
        <v>178</v>
      </c>
      <c r="G3843" s="50">
        <v>1</v>
      </c>
      <c r="H3843" s="50" t="s">
        <v>2</v>
      </c>
      <c r="I3843" s="50" t="s">
        <v>288</v>
      </c>
      <c r="J3843" s="51">
        <v>45982</v>
      </c>
      <c r="K3843" s="50" t="s">
        <v>86</v>
      </c>
      <c r="L3843" s="50" t="s">
        <v>80</v>
      </c>
    </row>
    <row r="3844" spans="2:12">
      <c r="B3844" s="50" t="s">
        <v>474</v>
      </c>
      <c r="C3844" s="50" t="s">
        <v>51</v>
      </c>
      <c r="D3844" s="50" t="s">
        <v>27</v>
      </c>
      <c r="E3844" s="50">
        <v>50038841</v>
      </c>
      <c r="F3844" s="50" t="s">
        <v>180</v>
      </c>
      <c r="G3844" s="50">
        <v>1</v>
      </c>
      <c r="H3844" s="50" t="s">
        <v>2</v>
      </c>
      <c r="I3844" s="50" t="s">
        <v>288</v>
      </c>
      <c r="J3844" s="51">
        <v>45982</v>
      </c>
      <c r="K3844" s="50" t="s">
        <v>1</v>
      </c>
      <c r="L3844" s="50" t="s">
        <v>80</v>
      </c>
    </row>
    <row r="3845" spans="2:12">
      <c r="B3845" s="50" t="s">
        <v>394</v>
      </c>
      <c r="C3845" s="50" t="s">
        <v>51</v>
      </c>
      <c r="D3845" s="50" t="s">
        <v>27</v>
      </c>
      <c r="E3845" s="50">
        <v>50039065</v>
      </c>
      <c r="F3845" s="50" t="s">
        <v>185</v>
      </c>
      <c r="G3845" s="50">
        <v>1</v>
      </c>
      <c r="H3845" s="50" t="s">
        <v>2</v>
      </c>
      <c r="I3845" s="50" t="s">
        <v>288</v>
      </c>
      <c r="J3845" s="51">
        <v>45982</v>
      </c>
      <c r="K3845" s="50" t="s">
        <v>3</v>
      </c>
      <c r="L3845" s="50" t="s">
        <v>80</v>
      </c>
    </row>
    <row r="3846" spans="2:12">
      <c r="B3846" s="50" t="s">
        <v>394</v>
      </c>
      <c r="C3846" s="50" t="s">
        <v>51</v>
      </c>
      <c r="D3846" s="50" t="s">
        <v>27</v>
      </c>
      <c r="E3846" s="50">
        <v>50039065</v>
      </c>
      <c r="F3846" s="50" t="s">
        <v>185</v>
      </c>
      <c r="G3846" s="50">
        <v>1</v>
      </c>
      <c r="H3846" s="50" t="s">
        <v>2</v>
      </c>
      <c r="I3846" s="50" t="s">
        <v>288</v>
      </c>
      <c r="J3846" s="51">
        <v>45982</v>
      </c>
      <c r="K3846" s="50" t="s">
        <v>3</v>
      </c>
      <c r="L3846" s="50" t="s">
        <v>344</v>
      </c>
    </row>
    <row r="3847" spans="2:12">
      <c r="B3847" s="50" t="e">
        <v>#N/A</v>
      </c>
      <c r="C3847" s="50" t="s">
        <v>62</v>
      </c>
      <c r="D3847" s="50" t="s">
        <v>27</v>
      </c>
      <c r="E3847" s="50">
        <v>50041195</v>
      </c>
      <c r="F3847" s="50" t="s">
        <v>206</v>
      </c>
      <c r="G3847" s="50">
        <v>1</v>
      </c>
      <c r="H3847" s="50" t="s">
        <v>2</v>
      </c>
      <c r="I3847" s="50" t="s">
        <v>288</v>
      </c>
      <c r="J3847" s="51">
        <v>45982</v>
      </c>
      <c r="K3847" s="50" t="s">
        <v>3</v>
      </c>
      <c r="L3847" s="50" t="s">
        <v>80</v>
      </c>
    </row>
    <row r="3848" spans="2:12">
      <c r="B3848" s="50" t="s">
        <v>399</v>
      </c>
      <c r="C3848" s="50" t="s">
        <v>51</v>
      </c>
      <c r="D3848" s="50" t="s">
        <v>27</v>
      </c>
      <c r="E3848" s="50">
        <v>50043917</v>
      </c>
      <c r="F3848" s="50" t="s">
        <v>262</v>
      </c>
      <c r="G3848" s="50">
        <v>1</v>
      </c>
      <c r="H3848" s="50" t="s">
        <v>2</v>
      </c>
      <c r="I3848" s="50" t="s">
        <v>290</v>
      </c>
      <c r="J3848" s="51">
        <v>45982</v>
      </c>
      <c r="K3848" s="50" t="s">
        <v>3</v>
      </c>
      <c r="L3848" s="50" t="s">
        <v>80</v>
      </c>
    </row>
    <row r="3849" spans="2:12">
      <c r="B3849" s="50" t="s">
        <v>450</v>
      </c>
      <c r="C3849" s="50" t="s">
        <v>61</v>
      </c>
      <c r="D3849" s="50" t="s">
        <v>39</v>
      </c>
      <c r="E3849" s="50">
        <v>50032775</v>
      </c>
      <c r="F3849" s="50" t="s">
        <v>307</v>
      </c>
      <c r="G3849" s="50">
        <v>1</v>
      </c>
      <c r="H3849" s="50" t="s">
        <v>2</v>
      </c>
      <c r="I3849" s="50" t="s">
        <v>288</v>
      </c>
      <c r="J3849" s="51">
        <v>45982</v>
      </c>
      <c r="K3849" s="50" t="s">
        <v>1</v>
      </c>
      <c r="L3849" s="50" t="s">
        <v>80</v>
      </c>
    </row>
    <row r="3850" spans="2:12">
      <c r="B3850" s="50" t="s">
        <v>397</v>
      </c>
      <c r="C3850" s="50" t="s">
        <v>26</v>
      </c>
      <c r="D3850" s="50" t="s">
        <v>41</v>
      </c>
      <c r="E3850" s="50">
        <v>50037952</v>
      </c>
      <c r="F3850" s="50" t="s">
        <v>245</v>
      </c>
      <c r="G3850" s="50">
        <v>1</v>
      </c>
      <c r="H3850" s="50" t="s">
        <v>2</v>
      </c>
      <c r="I3850" s="50" t="s">
        <v>288</v>
      </c>
      <c r="J3850" s="51">
        <v>45982</v>
      </c>
      <c r="K3850" s="50" t="s">
        <v>3</v>
      </c>
      <c r="L3850" s="50" t="s">
        <v>80</v>
      </c>
    </row>
    <row r="3851" spans="2:12">
      <c r="B3851" s="50" t="s">
        <v>397</v>
      </c>
      <c r="C3851" s="50" t="s">
        <v>26</v>
      </c>
      <c r="D3851" s="50" t="s">
        <v>41</v>
      </c>
      <c r="E3851" s="50">
        <v>50037952</v>
      </c>
      <c r="F3851" s="50" t="s">
        <v>245</v>
      </c>
      <c r="G3851" s="50">
        <v>1</v>
      </c>
      <c r="H3851" s="50" t="s">
        <v>2</v>
      </c>
      <c r="I3851" s="50" t="s">
        <v>288</v>
      </c>
      <c r="J3851" s="51">
        <v>45982</v>
      </c>
      <c r="K3851" s="50" t="s">
        <v>1</v>
      </c>
      <c r="L3851" s="50" t="s">
        <v>80</v>
      </c>
    </row>
    <row r="3852" spans="2:12">
      <c r="B3852" s="50" t="s">
        <v>458</v>
      </c>
      <c r="C3852" s="50" t="s">
        <v>26</v>
      </c>
      <c r="D3852" s="50" t="s">
        <v>27</v>
      </c>
      <c r="E3852" s="50">
        <v>50037905</v>
      </c>
      <c r="F3852" s="50" t="s">
        <v>150</v>
      </c>
      <c r="G3852" s="50">
        <v>1</v>
      </c>
      <c r="H3852" s="50" t="s">
        <v>2</v>
      </c>
      <c r="I3852" s="50" t="s">
        <v>289</v>
      </c>
      <c r="J3852" s="51">
        <v>45981</v>
      </c>
      <c r="K3852" s="50" t="s">
        <v>3</v>
      </c>
      <c r="L3852" s="50" t="s">
        <v>80</v>
      </c>
    </row>
    <row r="3853" spans="2:12">
      <c r="B3853" s="50" t="s">
        <v>458</v>
      </c>
      <c r="C3853" s="50" t="s">
        <v>26</v>
      </c>
      <c r="D3853" s="50" t="s">
        <v>27</v>
      </c>
      <c r="E3853" s="50">
        <v>50037905</v>
      </c>
      <c r="F3853" s="50" t="s">
        <v>150</v>
      </c>
      <c r="G3853" s="50">
        <v>1</v>
      </c>
      <c r="H3853" s="50" t="s">
        <v>2</v>
      </c>
      <c r="I3853" s="50" t="s">
        <v>289</v>
      </c>
      <c r="J3853" s="51">
        <v>45981</v>
      </c>
      <c r="K3853" s="50" t="s">
        <v>1</v>
      </c>
      <c r="L3853" s="50" t="s">
        <v>80</v>
      </c>
    </row>
    <row r="3854" spans="2:12">
      <c r="B3854" s="50" t="s">
        <v>277</v>
      </c>
      <c r="C3854" s="50" t="s">
        <v>62</v>
      </c>
      <c r="D3854" s="50" t="s">
        <v>27</v>
      </c>
      <c r="E3854" s="50">
        <v>50043471</v>
      </c>
      <c r="F3854" s="50" t="s">
        <v>257</v>
      </c>
      <c r="G3854" s="50">
        <v>1</v>
      </c>
      <c r="H3854" s="50" t="s">
        <v>2</v>
      </c>
      <c r="I3854" s="50" t="s">
        <v>290</v>
      </c>
      <c r="J3854" s="51">
        <v>45981</v>
      </c>
      <c r="K3854" s="50" t="s">
        <v>3</v>
      </c>
      <c r="L3854" s="50" t="s">
        <v>80</v>
      </c>
    </row>
    <row r="3855" spans="2:12">
      <c r="B3855" s="50" t="s">
        <v>277</v>
      </c>
      <c r="C3855" s="50" t="s">
        <v>62</v>
      </c>
      <c r="D3855" s="50" t="s">
        <v>27</v>
      </c>
      <c r="E3855" s="50">
        <v>50043471</v>
      </c>
      <c r="F3855" s="50" t="s">
        <v>257</v>
      </c>
      <c r="G3855" s="50">
        <v>1</v>
      </c>
      <c r="H3855" s="50" t="s">
        <v>2</v>
      </c>
      <c r="I3855" s="50" t="s">
        <v>290</v>
      </c>
      <c r="J3855" s="51">
        <v>45981</v>
      </c>
      <c r="K3855" s="50" t="s">
        <v>1</v>
      </c>
      <c r="L3855" s="50" t="s">
        <v>80</v>
      </c>
    </row>
    <row r="3856" spans="2:12">
      <c r="B3856" s="50" t="s">
        <v>399</v>
      </c>
      <c r="C3856" s="50" t="s">
        <v>51</v>
      </c>
      <c r="D3856" s="50" t="s">
        <v>27</v>
      </c>
      <c r="E3856" s="50">
        <v>50003297</v>
      </c>
      <c r="F3856" s="50" t="s">
        <v>158</v>
      </c>
      <c r="G3856" s="50">
        <v>1</v>
      </c>
      <c r="H3856" s="50" t="s">
        <v>2</v>
      </c>
      <c r="I3856" s="50" t="s">
        <v>289</v>
      </c>
      <c r="J3856" s="51">
        <v>45981</v>
      </c>
      <c r="K3856" s="50" t="s">
        <v>3</v>
      </c>
      <c r="L3856" s="50" t="s">
        <v>80</v>
      </c>
    </row>
    <row r="3857" spans="2:12">
      <c r="B3857" s="50" t="s">
        <v>399</v>
      </c>
      <c r="C3857" s="50" t="s">
        <v>51</v>
      </c>
      <c r="D3857" s="50" t="s">
        <v>27</v>
      </c>
      <c r="E3857" s="50">
        <v>50003297</v>
      </c>
      <c r="F3857" s="50" t="s">
        <v>158</v>
      </c>
      <c r="G3857" s="50">
        <v>1</v>
      </c>
      <c r="H3857" s="50" t="s">
        <v>2</v>
      </c>
      <c r="I3857" s="50" t="s">
        <v>290</v>
      </c>
      <c r="J3857" s="51">
        <v>45981</v>
      </c>
      <c r="K3857" s="50" t="s">
        <v>1</v>
      </c>
      <c r="L3857" s="50" t="s">
        <v>80</v>
      </c>
    </row>
    <row r="3858" spans="2:12">
      <c r="B3858" s="50" t="s">
        <v>418</v>
      </c>
      <c r="C3858" s="50" t="s">
        <v>26</v>
      </c>
      <c r="D3858" s="50" t="s">
        <v>27</v>
      </c>
      <c r="E3858" s="50">
        <v>50003297</v>
      </c>
      <c r="F3858" s="50" t="s">
        <v>158</v>
      </c>
      <c r="G3858" s="50">
        <v>1</v>
      </c>
      <c r="H3858" s="50" t="s">
        <v>2</v>
      </c>
      <c r="I3858" s="50" t="s">
        <v>290</v>
      </c>
      <c r="J3858" s="51">
        <v>45981</v>
      </c>
      <c r="K3858" s="50" t="s">
        <v>3</v>
      </c>
      <c r="L3858" s="50" t="s">
        <v>80</v>
      </c>
    </row>
    <row r="3859" spans="2:12">
      <c r="B3859" s="50" t="s">
        <v>418</v>
      </c>
      <c r="C3859" s="50" t="s">
        <v>26</v>
      </c>
      <c r="D3859" s="50" t="s">
        <v>27</v>
      </c>
      <c r="E3859" s="50">
        <v>50003297</v>
      </c>
      <c r="F3859" s="50" t="s">
        <v>158</v>
      </c>
      <c r="G3859" s="50">
        <v>1</v>
      </c>
      <c r="H3859" s="50" t="s">
        <v>2</v>
      </c>
      <c r="I3859" s="50" t="s">
        <v>290</v>
      </c>
      <c r="J3859" s="51">
        <v>45981</v>
      </c>
      <c r="K3859" s="50" t="s">
        <v>1</v>
      </c>
      <c r="L3859" s="50" t="s">
        <v>80</v>
      </c>
    </row>
    <row r="3860" spans="2:12">
      <c r="B3860" s="50" t="s">
        <v>389</v>
      </c>
      <c r="C3860" s="50" t="s">
        <v>56</v>
      </c>
      <c r="D3860" s="50" t="s">
        <v>27</v>
      </c>
      <c r="E3860" s="50">
        <v>50043320</v>
      </c>
      <c r="F3860" s="50" t="s">
        <v>264</v>
      </c>
      <c r="G3860" s="50">
        <v>1</v>
      </c>
      <c r="H3860" s="50" t="s">
        <v>2</v>
      </c>
      <c r="I3860" s="50" t="s">
        <v>290</v>
      </c>
      <c r="J3860" s="51">
        <v>45981</v>
      </c>
      <c r="K3860" s="50" t="s">
        <v>3</v>
      </c>
      <c r="L3860" s="50" t="s">
        <v>80</v>
      </c>
    </row>
    <row r="3861" spans="2:12">
      <c r="B3861" s="50" t="s">
        <v>389</v>
      </c>
      <c r="C3861" s="50" t="s">
        <v>56</v>
      </c>
      <c r="D3861" s="50" t="s">
        <v>27</v>
      </c>
      <c r="E3861" s="50">
        <v>50043320</v>
      </c>
      <c r="F3861" s="50" t="s">
        <v>264</v>
      </c>
      <c r="G3861" s="50">
        <v>1</v>
      </c>
      <c r="H3861" s="50" t="s">
        <v>2</v>
      </c>
      <c r="I3861" s="50" t="s">
        <v>290</v>
      </c>
      <c r="J3861" s="51">
        <v>45981</v>
      </c>
      <c r="K3861" s="50" t="s">
        <v>1</v>
      </c>
      <c r="L3861" s="50" t="s">
        <v>80</v>
      </c>
    </row>
    <row r="3862" spans="2:12">
      <c r="B3862" s="50" t="s">
        <v>471</v>
      </c>
      <c r="C3862" s="50" t="s">
        <v>26</v>
      </c>
      <c r="D3862" s="50" t="s">
        <v>27</v>
      </c>
      <c r="E3862" s="50">
        <v>50038956</v>
      </c>
      <c r="F3862" s="50" t="s">
        <v>177</v>
      </c>
      <c r="G3862" s="50">
        <v>1</v>
      </c>
      <c r="H3862" s="50" t="s">
        <v>2</v>
      </c>
      <c r="I3862" s="50" t="s">
        <v>289</v>
      </c>
      <c r="J3862" s="51">
        <v>45981</v>
      </c>
      <c r="K3862" s="50" t="s">
        <v>3</v>
      </c>
      <c r="L3862" s="50" t="s">
        <v>80</v>
      </c>
    </row>
    <row r="3863" spans="2:12">
      <c r="B3863" s="50" t="s">
        <v>471</v>
      </c>
      <c r="C3863" s="50" t="s">
        <v>26</v>
      </c>
      <c r="D3863" s="50" t="s">
        <v>27</v>
      </c>
      <c r="E3863" s="50">
        <v>50038956</v>
      </c>
      <c r="F3863" s="50" t="s">
        <v>177</v>
      </c>
      <c r="G3863" s="50">
        <v>1</v>
      </c>
      <c r="H3863" s="50" t="s">
        <v>2</v>
      </c>
      <c r="I3863" s="50" t="s">
        <v>289</v>
      </c>
      <c r="J3863" s="51">
        <v>45981</v>
      </c>
      <c r="K3863" s="50" t="s">
        <v>1</v>
      </c>
      <c r="L3863" s="50" t="s">
        <v>80</v>
      </c>
    </row>
    <row r="3864" spans="2:12">
      <c r="B3864" s="50" t="s">
        <v>471</v>
      </c>
      <c r="C3864" s="50" t="s">
        <v>26</v>
      </c>
      <c r="D3864" s="50" t="s">
        <v>27</v>
      </c>
      <c r="E3864" s="50">
        <v>50038956</v>
      </c>
      <c r="F3864" s="50" t="s">
        <v>177</v>
      </c>
      <c r="G3864" s="50">
        <v>1</v>
      </c>
      <c r="H3864" s="50" t="s">
        <v>2</v>
      </c>
      <c r="I3864" s="50" t="s">
        <v>290</v>
      </c>
      <c r="J3864" s="51">
        <v>45981</v>
      </c>
      <c r="K3864" s="50" t="s">
        <v>3</v>
      </c>
      <c r="L3864" s="50" t="s">
        <v>80</v>
      </c>
    </row>
    <row r="3865" spans="2:12">
      <c r="B3865" s="50" t="s">
        <v>471</v>
      </c>
      <c r="C3865" s="50" t="s">
        <v>26</v>
      </c>
      <c r="D3865" s="50" t="s">
        <v>27</v>
      </c>
      <c r="E3865" s="50">
        <v>50038956</v>
      </c>
      <c r="F3865" s="50" t="s">
        <v>177</v>
      </c>
      <c r="G3865" s="50">
        <v>1</v>
      </c>
      <c r="H3865" s="50" t="s">
        <v>2</v>
      </c>
      <c r="I3865" s="50" t="s">
        <v>290</v>
      </c>
      <c r="J3865" s="51">
        <v>45981</v>
      </c>
      <c r="K3865" s="50" t="s">
        <v>3</v>
      </c>
      <c r="L3865" s="50" t="s">
        <v>80</v>
      </c>
    </row>
    <row r="3866" spans="2:12">
      <c r="B3866" s="50" t="s">
        <v>399</v>
      </c>
      <c r="C3866" s="50" t="s">
        <v>51</v>
      </c>
      <c r="D3866" s="50" t="s">
        <v>27</v>
      </c>
      <c r="E3866" s="50">
        <v>50037892</v>
      </c>
      <c r="F3866" s="50" t="s">
        <v>178</v>
      </c>
      <c r="G3866" s="50">
        <v>1</v>
      </c>
      <c r="H3866" s="50" t="s">
        <v>2</v>
      </c>
      <c r="I3866" s="50" t="s">
        <v>289</v>
      </c>
      <c r="J3866" s="51">
        <v>45981</v>
      </c>
      <c r="K3866" s="50" t="s">
        <v>324</v>
      </c>
      <c r="L3866" s="50" t="s">
        <v>80</v>
      </c>
    </row>
    <row r="3867" spans="2:12">
      <c r="B3867" s="50" t="s">
        <v>399</v>
      </c>
      <c r="C3867" s="50" t="s">
        <v>51</v>
      </c>
      <c r="D3867" s="50" t="s">
        <v>27</v>
      </c>
      <c r="E3867" s="50">
        <v>50037892</v>
      </c>
      <c r="F3867" s="50" t="s">
        <v>178</v>
      </c>
      <c r="G3867" s="50">
        <v>1</v>
      </c>
      <c r="H3867" s="50" t="s">
        <v>2</v>
      </c>
      <c r="I3867" s="50" t="s">
        <v>290</v>
      </c>
      <c r="J3867" s="51">
        <v>45981</v>
      </c>
      <c r="K3867" s="50" t="s">
        <v>3</v>
      </c>
      <c r="L3867" s="50" t="s">
        <v>80</v>
      </c>
    </row>
    <row r="3868" spans="2:12">
      <c r="B3868" s="50" t="s">
        <v>316</v>
      </c>
      <c r="C3868" s="50" t="s">
        <v>51</v>
      </c>
      <c r="D3868" s="50" t="s">
        <v>27</v>
      </c>
      <c r="E3868" s="50">
        <v>50037902</v>
      </c>
      <c r="F3868" s="50" t="s">
        <v>179</v>
      </c>
      <c r="G3868" s="50">
        <v>1</v>
      </c>
      <c r="H3868" s="50" t="s">
        <v>2</v>
      </c>
      <c r="I3868" s="50" t="s">
        <v>290</v>
      </c>
      <c r="J3868" s="51">
        <v>45981</v>
      </c>
      <c r="K3868" s="50" t="s">
        <v>1</v>
      </c>
      <c r="L3868" s="50" t="s">
        <v>80</v>
      </c>
    </row>
    <row r="3869" spans="2:12">
      <c r="B3869" s="50" t="s">
        <v>316</v>
      </c>
      <c r="C3869" s="50" t="s">
        <v>51</v>
      </c>
      <c r="D3869" s="50" t="s">
        <v>27</v>
      </c>
      <c r="E3869" s="50">
        <v>50037902</v>
      </c>
      <c r="F3869" s="50" t="s">
        <v>179</v>
      </c>
      <c r="G3869" s="50">
        <v>1</v>
      </c>
      <c r="H3869" s="50" t="s">
        <v>2</v>
      </c>
      <c r="I3869" s="50" t="s">
        <v>290</v>
      </c>
      <c r="J3869" s="51">
        <v>45981</v>
      </c>
      <c r="K3869" s="50" t="s">
        <v>3</v>
      </c>
      <c r="L3869" s="50" t="s">
        <v>80</v>
      </c>
    </row>
    <row r="3870" spans="2:12">
      <c r="B3870" s="50" t="s">
        <v>277</v>
      </c>
      <c r="C3870" s="50" t="s">
        <v>62</v>
      </c>
      <c r="D3870" s="50" t="s">
        <v>27</v>
      </c>
      <c r="E3870" s="50">
        <v>50037902</v>
      </c>
      <c r="F3870" s="50" t="s">
        <v>179</v>
      </c>
      <c r="G3870" s="50">
        <v>1</v>
      </c>
      <c r="H3870" s="50" t="s">
        <v>2</v>
      </c>
      <c r="I3870" s="50" t="s">
        <v>290</v>
      </c>
      <c r="J3870" s="51">
        <v>45981</v>
      </c>
      <c r="K3870" s="50" t="s">
        <v>1</v>
      </c>
      <c r="L3870" s="50" t="s">
        <v>80</v>
      </c>
    </row>
    <row r="3871" spans="2:12">
      <c r="B3871" s="50" t="s">
        <v>277</v>
      </c>
      <c r="C3871" s="50" t="s">
        <v>62</v>
      </c>
      <c r="D3871" s="50" t="s">
        <v>27</v>
      </c>
      <c r="E3871" s="50">
        <v>50037902</v>
      </c>
      <c r="F3871" s="50" t="s">
        <v>179</v>
      </c>
      <c r="G3871" s="50">
        <v>1</v>
      </c>
      <c r="H3871" s="50" t="s">
        <v>2</v>
      </c>
      <c r="I3871" s="50" t="s">
        <v>290</v>
      </c>
      <c r="J3871" s="51">
        <v>45981</v>
      </c>
      <c r="K3871" s="50" t="s">
        <v>3</v>
      </c>
      <c r="L3871" s="50" t="s">
        <v>80</v>
      </c>
    </row>
    <row r="3872" spans="2:12">
      <c r="B3872" s="50" t="s">
        <v>59</v>
      </c>
      <c r="C3872" s="50" t="s">
        <v>56</v>
      </c>
      <c r="D3872" s="50" t="s">
        <v>41</v>
      </c>
      <c r="E3872" s="50">
        <v>50038517</v>
      </c>
      <c r="F3872" s="50" t="s">
        <v>181</v>
      </c>
      <c r="G3872" s="50">
        <v>1</v>
      </c>
      <c r="H3872" s="50" t="s">
        <v>2</v>
      </c>
      <c r="I3872" s="50" t="s">
        <v>290</v>
      </c>
      <c r="J3872" s="51">
        <v>45981</v>
      </c>
      <c r="K3872" s="50" t="s">
        <v>3</v>
      </c>
      <c r="L3872" s="50" t="s">
        <v>80</v>
      </c>
    </row>
    <row r="3873" spans="2:12">
      <c r="B3873" s="50" t="s">
        <v>59</v>
      </c>
      <c r="C3873" s="50" t="s">
        <v>56</v>
      </c>
      <c r="D3873" s="50" t="s">
        <v>41</v>
      </c>
      <c r="E3873" s="50">
        <v>50038517</v>
      </c>
      <c r="F3873" s="50" t="s">
        <v>181</v>
      </c>
      <c r="G3873" s="50">
        <v>1</v>
      </c>
      <c r="H3873" s="50" t="s">
        <v>2</v>
      </c>
      <c r="I3873" s="50" t="s">
        <v>290</v>
      </c>
      <c r="J3873" s="51">
        <v>45981</v>
      </c>
      <c r="K3873" s="50" t="s">
        <v>3</v>
      </c>
      <c r="L3873" s="50" t="s">
        <v>80</v>
      </c>
    </row>
    <row r="3874" spans="2:12">
      <c r="B3874" s="50" t="s">
        <v>389</v>
      </c>
      <c r="C3874" s="50" t="s">
        <v>56</v>
      </c>
      <c r="D3874" s="50" t="s">
        <v>27</v>
      </c>
      <c r="E3874" s="50">
        <v>50041195</v>
      </c>
      <c r="F3874" s="50" t="s">
        <v>206</v>
      </c>
      <c r="G3874" s="50">
        <v>1</v>
      </c>
      <c r="H3874" s="50" t="s">
        <v>2</v>
      </c>
      <c r="I3874" s="50" t="s">
        <v>290</v>
      </c>
      <c r="J3874" s="51">
        <v>45981</v>
      </c>
      <c r="K3874" s="50" t="s">
        <v>1</v>
      </c>
      <c r="L3874" s="50" t="s">
        <v>80</v>
      </c>
    </row>
    <row r="3875" spans="2:12">
      <c r="B3875" s="50" t="s">
        <v>389</v>
      </c>
      <c r="C3875" s="50" t="s">
        <v>56</v>
      </c>
      <c r="D3875" s="50" t="s">
        <v>27</v>
      </c>
      <c r="E3875" s="50">
        <v>50041195</v>
      </c>
      <c r="F3875" s="50" t="s">
        <v>206</v>
      </c>
      <c r="G3875" s="50">
        <v>1</v>
      </c>
      <c r="H3875" s="50" t="s">
        <v>2</v>
      </c>
      <c r="I3875" s="50" t="s">
        <v>290</v>
      </c>
      <c r="J3875" s="51">
        <v>45981</v>
      </c>
      <c r="K3875" s="50" t="s">
        <v>3</v>
      </c>
      <c r="L3875" s="50" t="s">
        <v>80</v>
      </c>
    </row>
    <row r="3876" spans="2:12">
      <c r="B3876" s="50" t="s">
        <v>59</v>
      </c>
      <c r="C3876" s="50" t="s">
        <v>56</v>
      </c>
      <c r="D3876" s="50" t="s">
        <v>41</v>
      </c>
      <c r="E3876" s="50">
        <v>50043917</v>
      </c>
      <c r="F3876" s="50" t="s">
        <v>262</v>
      </c>
      <c r="G3876" s="50">
        <v>1</v>
      </c>
      <c r="H3876" s="50" t="s">
        <v>2</v>
      </c>
      <c r="I3876" s="50" t="s">
        <v>290</v>
      </c>
      <c r="J3876" s="51">
        <v>45981</v>
      </c>
      <c r="K3876" s="50" t="s">
        <v>3</v>
      </c>
      <c r="L3876" s="50" t="s">
        <v>80</v>
      </c>
    </row>
    <row r="3877" spans="2:12">
      <c r="B3877" s="50" t="s">
        <v>59</v>
      </c>
      <c r="C3877" s="50" t="s">
        <v>56</v>
      </c>
      <c r="D3877" s="50" t="s">
        <v>41</v>
      </c>
      <c r="E3877" s="50">
        <v>50043917</v>
      </c>
      <c r="F3877" s="50" t="s">
        <v>262</v>
      </c>
      <c r="G3877" s="50">
        <v>1</v>
      </c>
      <c r="H3877" s="50" t="s">
        <v>2</v>
      </c>
      <c r="I3877" s="50" t="s">
        <v>290</v>
      </c>
      <c r="J3877" s="51">
        <v>45981</v>
      </c>
      <c r="K3877" s="50" t="s">
        <v>1</v>
      </c>
      <c r="L3877" s="50" t="s">
        <v>80</v>
      </c>
    </row>
    <row r="3878" spans="2:12">
      <c r="B3878" s="50" t="s">
        <v>316</v>
      </c>
      <c r="C3878" s="50" t="s">
        <v>51</v>
      </c>
      <c r="D3878" s="50" t="s">
        <v>27</v>
      </c>
      <c r="E3878" s="50">
        <v>50007151</v>
      </c>
      <c r="F3878" s="50" t="s">
        <v>223</v>
      </c>
      <c r="G3878" s="50">
        <v>1</v>
      </c>
      <c r="H3878" s="50" t="s">
        <v>2</v>
      </c>
      <c r="I3878" s="50" t="s">
        <v>290</v>
      </c>
      <c r="J3878" s="51">
        <v>45981</v>
      </c>
      <c r="K3878" s="50" t="s">
        <v>1</v>
      </c>
      <c r="L3878" s="50" t="s">
        <v>80</v>
      </c>
    </row>
    <row r="3879" spans="2:12">
      <c r="B3879" s="50" t="s">
        <v>277</v>
      </c>
      <c r="C3879" s="50" t="s">
        <v>62</v>
      </c>
      <c r="D3879" s="50" t="s">
        <v>27</v>
      </c>
      <c r="E3879" s="50">
        <v>50032781</v>
      </c>
      <c r="F3879" s="50" t="s">
        <v>237</v>
      </c>
      <c r="G3879" s="50">
        <v>1</v>
      </c>
      <c r="H3879" s="50" t="s">
        <v>2</v>
      </c>
      <c r="I3879" s="50" t="s">
        <v>290</v>
      </c>
      <c r="J3879" s="51">
        <v>45981</v>
      </c>
      <c r="K3879" s="50" t="s">
        <v>3</v>
      </c>
      <c r="L3879" s="50" t="s">
        <v>80</v>
      </c>
    </row>
    <row r="3880" spans="2:12">
      <c r="B3880" s="50" t="s">
        <v>277</v>
      </c>
      <c r="C3880" s="50" t="s">
        <v>62</v>
      </c>
      <c r="D3880" s="50" t="s">
        <v>27</v>
      </c>
      <c r="E3880" s="50">
        <v>50032781</v>
      </c>
      <c r="F3880" s="50" t="s">
        <v>237</v>
      </c>
      <c r="G3880" s="50">
        <v>1</v>
      </c>
      <c r="H3880" s="50" t="s">
        <v>2</v>
      </c>
      <c r="I3880" s="50" t="s">
        <v>290</v>
      </c>
      <c r="J3880" s="51">
        <v>45981</v>
      </c>
      <c r="K3880" s="50" t="s">
        <v>1</v>
      </c>
      <c r="L3880" s="50" t="s">
        <v>80</v>
      </c>
    </row>
    <row r="3881" spans="2:12">
      <c r="B3881" s="50" t="s">
        <v>397</v>
      </c>
      <c r="C3881" s="50" t="s">
        <v>26</v>
      </c>
      <c r="D3881" s="50" t="s">
        <v>41</v>
      </c>
      <c r="E3881" s="50">
        <v>50037900</v>
      </c>
      <c r="F3881" s="50" t="s">
        <v>240</v>
      </c>
      <c r="G3881" s="50">
        <v>1</v>
      </c>
      <c r="H3881" s="50" t="s">
        <v>2</v>
      </c>
      <c r="I3881" s="50" t="s">
        <v>290</v>
      </c>
      <c r="J3881" s="51">
        <v>45981</v>
      </c>
      <c r="K3881" s="50" t="s">
        <v>3</v>
      </c>
      <c r="L3881" s="50" t="s">
        <v>80</v>
      </c>
    </row>
    <row r="3882" spans="2:12">
      <c r="B3882" s="50" t="s">
        <v>397</v>
      </c>
      <c r="C3882" s="50" t="s">
        <v>26</v>
      </c>
      <c r="D3882" s="50" t="s">
        <v>41</v>
      </c>
      <c r="E3882" s="50">
        <v>50037900</v>
      </c>
      <c r="F3882" s="50" t="s">
        <v>240</v>
      </c>
      <c r="G3882" s="50">
        <v>1</v>
      </c>
      <c r="H3882" s="50" t="s">
        <v>2</v>
      </c>
      <c r="I3882" s="50" t="s">
        <v>290</v>
      </c>
      <c r="J3882" s="51">
        <v>45981</v>
      </c>
      <c r="K3882" s="50" t="s">
        <v>1</v>
      </c>
      <c r="L3882" s="50" t="s">
        <v>80</v>
      </c>
    </row>
    <row r="3883" spans="2:12">
      <c r="B3883" s="50" t="s">
        <v>465</v>
      </c>
      <c r="C3883" s="50" t="s">
        <v>26</v>
      </c>
      <c r="D3883" s="50" t="s">
        <v>27</v>
      </c>
      <c r="E3883" s="50">
        <v>50030486</v>
      </c>
      <c r="F3883" s="50" t="s">
        <v>153</v>
      </c>
      <c r="G3883" s="50">
        <v>1</v>
      </c>
      <c r="H3883" s="50" t="s">
        <v>2</v>
      </c>
      <c r="I3883" s="50" t="s">
        <v>292</v>
      </c>
      <c r="J3883" s="51">
        <v>45980</v>
      </c>
      <c r="K3883" s="50" t="s">
        <v>3</v>
      </c>
      <c r="L3883" s="50" t="s">
        <v>80</v>
      </c>
    </row>
    <row r="3884" spans="2:12">
      <c r="B3884" s="50" t="s">
        <v>465</v>
      </c>
      <c r="C3884" s="50" t="s">
        <v>26</v>
      </c>
      <c r="D3884" s="50" t="s">
        <v>27</v>
      </c>
      <c r="E3884" s="50">
        <v>50030486</v>
      </c>
      <c r="F3884" s="50" t="s">
        <v>153</v>
      </c>
      <c r="G3884" s="50">
        <v>1</v>
      </c>
      <c r="H3884" s="50" t="s">
        <v>2</v>
      </c>
      <c r="I3884" s="50" t="s">
        <v>292</v>
      </c>
      <c r="J3884" s="51">
        <v>45980</v>
      </c>
      <c r="K3884" s="50" t="s">
        <v>1</v>
      </c>
      <c r="L3884" s="50" t="s">
        <v>80</v>
      </c>
    </row>
    <row r="3885" spans="2:12">
      <c r="B3885" s="50" t="s">
        <v>399</v>
      </c>
      <c r="C3885" s="50" t="s">
        <v>51</v>
      </c>
      <c r="D3885" s="50" t="s">
        <v>27</v>
      </c>
      <c r="E3885" s="50">
        <v>50043471</v>
      </c>
      <c r="F3885" s="50" t="s">
        <v>257</v>
      </c>
      <c r="G3885" s="50">
        <v>1</v>
      </c>
      <c r="H3885" s="50" t="s">
        <v>2</v>
      </c>
      <c r="I3885" s="50" t="s">
        <v>292</v>
      </c>
      <c r="J3885" s="51">
        <v>45980</v>
      </c>
      <c r="K3885" s="50" t="s">
        <v>3</v>
      </c>
      <c r="L3885" s="50" t="s">
        <v>80</v>
      </c>
    </row>
    <row r="3886" spans="2:12">
      <c r="B3886" s="50" t="s">
        <v>399</v>
      </c>
      <c r="C3886" s="50" t="s">
        <v>51</v>
      </c>
      <c r="D3886" s="50" t="s">
        <v>27</v>
      </c>
      <c r="E3886" s="50">
        <v>50043471</v>
      </c>
      <c r="F3886" s="50" t="s">
        <v>257</v>
      </c>
      <c r="G3886" s="50">
        <v>1</v>
      </c>
      <c r="H3886" s="50" t="s">
        <v>2</v>
      </c>
      <c r="I3886" s="50" t="s">
        <v>288</v>
      </c>
      <c r="J3886" s="51">
        <v>45980</v>
      </c>
      <c r="K3886" s="50" t="s">
        <v>1</v>
      </c>
      <c r="L3886" s="50" t="s">
        <v>80</v>
      </c>
    </row>
    <row r="3887" spans="2:12">
      <c r="B3887" s="50" t="s">
        <v>461</v>
      </c>
      <c r="C3887" s="50" t="s">
        <v>26</v>
      </c>
      <c r="D3887" s="50" t="s">
        <v>39</v>
      </c>
      <c r="E3887" s="50">
        <v>50003297</v>
      </c>
      <c r="F3887" s="50" t="s">
        <v>158</v>
      </c>
      <c r="G3887" s="50">
        <v>1</v>
      </c>
      <c r="H3887" s="50" t="s">
        <v>2</v>
      </c>
      <c r="I3887" s="50" t="s">
        <v>289</v>
      </c>
      <c r="J3887" s="51">
        <v>45980</v>
      </c>
      <c r="K3887" s="50" t="s">
        <v>3</v>
      </c>
      <c r="L3887" s="50" t="s">
        <v>80</v>
      </c>
    </row>
    <row r="3888" spans="2:12">
      <c r="B3888" s="50" t="s">
        <v>461</v>
      </c>
      <c r="C3888" s="50" t="s">
        <v>26</v>
      </c>
      <c r="D3888" s="50" t="s">
        <v>39</v>
      </c>
      <c r="E3888" s="50">
        <v>50003297</v>
      </c>
      <c r="F3888" s="50" t="s">
        <v>158</v>
      </c>
      <c r="G3888" s="50">
        <v>1</v>
      </c>
      <c r="H3888" s="50" t="s">
        <v>2</v>
      </c>
      <c r="I3888" s="50" t="s">
        <v>293</v>
      </c>
      <c r="J3888" s="51">
        <v>45980</v>
      </c>
      <c r="K3888" s="50" t="s">
        <v>1</v>
      </c>
      <c r="L3888" s="50" t="s">
        <v>80</v>
      </c>
    </row>
    <row r="3889" spans="2:12">
      <c r="B3889" s="50" t="s">
        <v>478</v>
      </c>
      <c r="C3889" s="50" t="s">
        <v>51</v>
      </c>
      <c r="D3889" s="50" t="s">
        <v>27</v>
      </c>
      <c r="E3889" s="50">
        <v>50003297</v>
      </c>
      <c r="F3889" s="50" t="s">
        <v>158</v>
      </c>
      <c r="G3889" s="50">
        <v>1</v>
      </c>
      <c r="H3889" s="50" t="s">
        <v>2</v>
      </c>
      <c r="I3889" s="50" t="s">
        <v>288</v>
      </c>
      <c r="J3889" s="51">
        <v>45980</v>
      </c>
      <c r="K3889" s="50" t="s">
        <v>86</v>
      </c>
      <c r="L3889" s="50" t="s">
        <v>80</v>
      </c>
    </row>
    <row r="3890" spans="2:12">
      <c r="B3890" s="50" t="s">
        <v>406</v>
      </c>
      <c r="C3890" s="50" t="s">
        <v>26</v>
      </c>
      <c r="D3890" s="50" t="s">
        <v>39</v>
      </c>
      <c r="E3890" s="50">
        <v>50038549</v>
      </c>
      <c r="F3890" s="50" t="s">
        <v>173</v>
      </c>
      <c r="G3890" s="50">
        <v>1</v>
      </c>
      <c r="H3890" s="50" t="s">
        <v>2</v>
      </c>
      <c r="I3890" s="50" t="s">
        <v>292</v>
      </c>
      <c r="J3890" s="51">
        <v>45980</v>
      </c>
      <c r="K3890" s="50" t="s">
        <v>3</v>
      </c>
      <c r="L3890" s="50" t="s">
        <v>80</v>
      </c>
    </row>
    <row r="3891" spans="2:12">
      <c r="B3891" s="50" t="s">
        <v>406</v>
      </c>
      <c r="C3891" s="50" t="s">
        <v>26</v>
      </c>
      <c r="D3891" s="50" t="s">
        <v>39</v>
      </c>
      <c r="E3891" s="50">
        <v>50038549</v>
      </c>
      <c r="F3891" s="50" t="s">
        <v>173</v>
      </c>
      <c r="G3891" s="50">
        <v>1</v>
      </c>
      <c r="H3891" s="50" t="s">
        <v>2</v>
      </c>
      <c r="I3891" s="50" t="s">
        <v>288</v>
      </c>
      <c r="J3891" s="51">
        <v>45980</v>
      </c>
      <c r="K3891" s="50" t="s">
        <v>86</v>
      </c>
      <c r="L3891" s="50" t="s">
        <v>80</v>
      </c>
    </row>
    <row r="3892" spans="2:12">
      <c r="B3892" s="50" t="s">
        <v>316</v>
      </c>
      <c r="C3892" s="50" t="s">
        <v>51</v>
      </c>
      <c r="D3892" s="50" t="s">
        <v>27</v>
      </c>
      <c r="E3892" s="50">
        <v>50038956</v>
      </c>
      <c r="F3892" s="50" t="s">
        <v>177</v>
      </c>
      <c r="G3892" s="50">
        <v>1</v>
      </c>
      <c r="H3892" s="50" t="s">
        <v>2</v>
      </c>
      <c r="I3892" s="50" t="s">
        <v>288</v>
      </c>
      <c r="J3892" s="51">
        <v>45980</v>
      </c>
      <c r="K3892" s="50" t="s">
        <v>3</v>
      </c>
      <c r="L3892" s="50" t="s">
        <v>80</v>
      </c>
    </row>
    <row r="3893" spans="2:12">
      <c r="B3893" s="50" t="s">
        <v>316</v>
      </c>
      <c r="C3893" s="50" t="s">
        <v>51</v>
      </c>
      <c r="D3893" s="50" t="s">
        <v>27</v>
      </c>
      <c r="E3893" s="50">
        <v>50038956</v>
      </c>
      <c r="F3893" s="50" t="s">
        <v>177</v>
      </c>
      <c r="G3893" s="50">
        <v>1</v>
      </c>
      <c r="H3893" s="50" t="s">
        <v>2</v>
      </c>
      <c r="I3893" s="50" t="s">
        <v>288</v>
      </c>
      <c r="J3893" s="51">
        <v>45980</v>
      </c>
      <c r="K3893" s="50" t="s">
        <v>3</v>
      </c>
      <c r="L3893" s="50" t="s">
        <v>80</v>
      </c>
    </row>
    <row r="3894" spans="2:12">
      <c r="B3894" s="50" t="s">
        <v>481</v>
      </c>
      <c r="C3894" s="50" t="s">
        <v>56</v>
      </c>
      <c r="D3894" s="50" t="s">
        <v>27</v>
      </c>
      <c r="E3894" s="50">
        <v>50038841</v>
      </c>
      <c r="F3894" s="50" t="s">
        <v>180</v>
      </c>
      <c r="G3894" s="50">
        <v>1</v>
      </c>
      <c r="H3894" s="50" t="s">
        <v>2</v>
      </c>
      <c r="I3894" s="50" t="s">
        <v>289</v>
      </c>
      <c r="J3894" s="51">
        <v>45980</v>
      </c>
      <c r="K3894" s="50" t="s">
        <v>1</v>
      </c>
      <c r="L3894" s="50" t="s">
        <v>80</v>
      </c>
    </row>
    <row r="3895" spans="2:12">
      <c r="B3895" s="50" t="s">
        <v>481</v>
      </c>
      <c r="C3895" s="50" t="s">
        <v>56</v>
      </c>
      <c r="D3895" s="50" t="s">
        <v>27</v>
      </c>
      <c r="E3895" s="50">
        <v>50038841</v>
      </c>
      <c r="F3895" s="50" t="s">
        <v>180</v>
      </c>
      <c r="G3895" s="50">
        <v>1</v>
      </c>
      <c r="H3895" s="50" t="s">
        <v>2</v>
      </c>
      <c r="I3895" s="50" t="s">
        <v>293</v>
      </c>
      <c r="J3895" s="51">
        <v>45980</v>
      </c>
      <c r="K3895" s="50" t="s">
        <v>3</v>
      </c>
      <c r="L3895" s="50" t="s">
        <v>80</v>
      </c>
    </row>
    <row r="3896" spans="2:12">
      <c r="B3896" s="50" t="s">
        <v>427</v>
      </c>
      <c r="C3896" s="50" t="s">
        <v>26</v>
      </c>
      <c r="D3896" s="50" t="s">
        <v>27</v>
      </c>
      <c r="E3896" s="50">
        <v>50038841</v>
      </c>
      <c r="F3896" s="50" t="s">
        <v>180</v>
      </c>
      <c r="G3896" s="50">
        <v>1</v>
      </c>
      <c r="H3896" s="50" t="s">
        <v>2</v>
      </c>
      <c r="I3896" s="50" t="s">
        <v>292</v>
      </c>
      <c r="J3896" s="51">
        <v>45980</v>
      </c>
      <c r="K3896" s="50" t="s">
        <v>1</v>
      </c>
      <c r="L3896" s="50" t="s">
        <v>80</v>
      </c>
    </row>
    <row r="3897" spans="2:12">
      <c r="B3897" s="50" t="s">
        <v>427</v>
      </c>
      <c r="C3897" s="50" t="s">
        <v>26</v>
      </c>
      <c r="D3897" s="50" t="s">
        <v>27</v>
      </c>
      <c r="E3897" s="50">
        <v>50038841</v>
      </c>
      <c r="F3897" s="50" t="s">
        <v>180</v>
      </c>
      <c r="G3897" s="50">
        <v>1</v>
      </c>
      <c r="H3897" s="50" t="s">
        <v>2</v>
      </c>
      <c r="I3897" s="50" t="s">
        <v>288</v>
      </c>
      <c r="J3897" s="51">
        <v>45980</v>
      </c>
      <c r="K3897" s="50" t="s">
        <v>3</v>
      </c>
      <c r="L3897" s="50" t="s">
        <v>80</v>
      </c>
    </row>
    <row r="3898" spans="2:12">
      <c r="B3898" s="50" t="s">
        <v>461</v>
      </c>
      <c r="C3898" s="50" t="s">
        <v>26</v>
      </c>
      <c r="D3898" s="50" t="s">
        <v>39</v>
      </c>
      <c r="E3898" s="50">
        <v>50038517</v>
      </c>
      <c r="F3898" s="50" t="s">
        <v>181</v>
      </c>
      <c r="G3898" s="50">
        <v>1</v>
      </c>
      <c r="H3898" s="50" t="s">
        <v>2</v>
      </c>
      <c r="I3898" s="50" t="s">
        <v>289</v>
      </c>
      <c r="J3898" s="51">
        <v>45980</v>
      </c>
      <c r="K3898" s="50" t="s">
        <v>1</v>
      </c>
      <c r="L3898" s="50" t="s">
        <v>80</v>
      </c>
    </row>
    <row r="3899" spans="2:12">
      <c r="B3899" s="50" t="s">
        <v>461</v>
      </c>
      <c r="C3899" s="50" t="s">
        <v>26</v>
      </c>
      <c r="D3899" s="50" t="s">
        <v>39</v>
      </c>
      <c r="E3899" s="50">
        <v>50038517</v>
      </c>
      <c r="F3899" s="50" t="s">
        <v>181</v>
      </c>
      <c r="G3899" s="50">
        <v>1</v>
      </c>
      <c r="H3899" s="50" t="s">
        <v>2</v>
      </c>
      <c r="I3899" s="50" t="s">
        <v>293</v>
      </c>
      <c r="J3899" s="51">
        <v>45980</v>
      </c>
      <c r="K3899" s="50" t="s">
        <v>1</v>
      </c>
      <c r="L3899" s="50" t="s">
        <v>80</v>
      </c>
    </row>
    <row r="3900" spans="2:12">
      <c r="B3900" s="50" t="s">
        <v>399</v>
      </c>
      <c r="C3900" s="50" t="s">
        <v>51</v>
      </c>
      <c r="D3900" s="50" t="s">
        <v>27</v>
      </c>
      <c r="E3900" s="50">
        <v>50001995</v>
      </c>
      <c r="F3900" s="50" t="s">
        <v>185</v>
      </c>
      <c r="G3900" s="50">
        <v>1</v>
      </c>
      <c r="H3900" s="50" t="s">
        <v>2</v>
      </c>
      <c r="I3900" s="50" t="s">
        <v>293</v>
      </c>
      <c r="J3900" s="51">
        <v>45980</v>
      </c>
      <c r="K3900" s="50" t="s">
        <v>3</v>
      </c>
      <c r="L3900" s="50" t="s">
        <v>80</v>
      </c>
    </row>
    <row r="3901" spans="2:12">
      <c r="B3901" s="50" t="s">
        <v>399</v>
      </c>
      <c r="C3901" s="50" t="s">
        <v>51</v>
      </c>
      <c r="D3901" s="50" t="s">
        <v>27</v>
      </c>
      <c r="E3901" s="50">
        <v>50001995</v>
      </c>
      <c r="F3901" s="50" t="s">
        <v>185</v>
      </c>
      <c r="G3901" s="50">
        <v>1</v>
      </c>
      <c r="H3901" s="50" t="s">
        <v>2</v>
      </c>
      <c r="I3901" s="50" t="s">
        <v>290</v>
      </c>
      <c r="J3901" s="51">
        <v>45980</v>
      </c>
      <c r="K3901" s="50" t="s">
        <v>1</v>
      </c>
      <c r="L3901" s="50" t="s">
        <v>80</v>
      </c>
    </row>
    <row r="3902" spans="2:12">
      <c r="B3902" s="50" t="s">
        <v>409</v>
      </c>
      <c r="C3902" s="50" t="s">
        <v>51</v>
      </c>
      <c r="D3902" s="50" t="s">
        <v>27</v>
      </c>
      <c r="E3902" s="50">
        <v>50039065</v>
      </c>
      <c r="F3902" s="50" t="s">
        <v>186</v>
      </c>
      <c r="G3902" s="50">
        <v>1</v>
      </c>
      <c r="H3902" s="50" t="s">
        <v>2</v>
      </c>
      <c r="I3902" s="50" t="s">
        <v>288</v>
      </c>
      <c r="J3902" s="51">
        <v>45980</v>
      </c>
      <c r="K3902" s="50" t="s">
        <v>3</v>
      </c>
      <c r="L3902" s="50" t="s">
        <v>80</v>
      </c>
    </row>
    <row r="3903" spans="2:12">
      <c r="B3903" s="50" t="s">
        <v>409</v>
      </c>
      <c r="C3903" s="50" t="s">
        <v>51</v>
      </c>
      <c r="D3903" s="50" t="s">
        <v>27</v>
      </c>
      <c r="E3903" s="50">
        <v>50039065</v>
      </c>
      <c r="F3903" s="50" t="s">
        <v>186</v>
      </c>
      <c r="G3903" s="50">
        <v>1</v>
      </c>
      <c r="H3903" s="50" t="s">
        <v>2</v>
      </c>
      <c r="I3903" s="50" t="s">
        <v>288</v>
      </c>
      <c r="J3903" s="51">
        <v>45980</v>
      </c>
      <c r="K3903" s="50" t="s">
        <v>1</v>
      </c>
      <c r="L3903" s="50" t="s">
        <v>80</v>
      </c>
    </row>
    <row r="3904" spans="2:12">
      <c r="B3904" s="50" t="s">
        <v>461</v>
      </c>
      <c r="C3904" s="50" t="s">
        <v>26</v>
      </c>
      <c r="D3904" s="50" t="s">
        <v>39</v>
      </c>
      <c r="E3904" s="50">
        <v>50038626</v>
      </c>
      <c r="F3904" s="50" t="s">
        <v>190</v>
      </c>
      <c r="G3904" s="50">
        <v>1</v>
      </c>
      <c r="H3904" s="50" t="s">
        <v>2</v>
      </c>
      <c r="I3904" s="50" t="s">
        <v>289</v>
      </c>
      <c r="J3904" s="51">
        <v>45980</v>
      </c>
      <c r="K3904" s="50" t="s">
        <v>3</v>
      </c>
      <c r="L3904" s="50" t="s">
        <v>80</v>
      </c>
    </row>
    <row r="3905" spans="2:12">
      <c r="B3905" s="50" t="s">
        <v>461</v>
      </c>
      <c r="C3905" s="50" t="s">
        <v>26</v>
      </c>
      <c r="D3905" s="50" t="s">
        <v>39</v>
      </c>
      <c r="E3905" s="50">
        <v>50038626</v>
      </c>
      <c r="F3905" s="50" t="s">
        <v>190</v>
      </c>
      <c r="G3905" s="50">
        <v>1</v>
      </c>
      <c r="H3905" s="50" t="s">
        <v>2</v>
      </c>
      <c r="I3905" s="50" t="s">
        <v>293</v>
      </c>
      <c r="J3905" s="51">
        <v>45980</v>
      </c>
      <c r="K3905" s="50" t="s">
        <v>3</v>
      </c>
      <c r="L3905" s="50" t="s">
        <v>80</v>
      </c>
    </row>
    <row r="3906" spans="2:12">
      <c r="B3906" s="50" t="s">
        <v>278</v>
      </c>
      <c r="C3906" s="50" t="s">
        <v>62</v>
      </c>
      <c r="D3906" s="50" t="s">
        <v>27</v>
      </c>
      <c r="E3906" s="50">
        <v>50041195</v>
      </c>
      <c r="F3906" s="50" t="s">
        <v>206</v>
      </c>
      <c r="G3906" s="50">
        <v>1</v>
      </c>
      <c r="H3906" s="50" t="s">
        <v>2</v>
      </c>
      <c r="I3906" s="50" t="s">
        <v>289</v>
      </c>
      <c r="J3906" s="51">
        <v>45980</v>
      </c>
      <c r="K3906" s="50" t="s">
        <v>1</v>
      </c>
      <c r="L3906" s="50" t="s">
        <v>80</v>
      </c>
    </row>
    <row r="3907" spans="2:12">
      <c r="B3907" s="50" t="s">
        <v>278</v>
      </c>
      <c r="C3907" s="50" t="s">
        <v>62</v>
      </c>
      <c r="D3907" s="50" t="s">
        <v>27</v>
      </c>
      <c r="E3907" s="50">
        <v>50041195</v>
      </c>
      <c r="F3907" s="50" t="s">
        <v>206</v>
      </c>
      <c r="G3907" s="50">
        <v>1</v>
      </c>
      <c r="H3907" s="50" t="s">
        <v>2</v>
      </c>
      <c r="I3907" s="50" t="s">
        <v>288</v>
      </c>
      <c r="J3907" s="51">
        <v>45980</v>
      </c>
      <c r="K3907" s="50" t="s">
        <v>1</v>
      </c>
      <c r="L3907" s="50" t="s">
        <v>80</v>
      </c>
    </row>
    <row r="3908" spans="2:12">
      <c r="B3908" s="50" t="s">
        <v>386</v>
      </c>
      <c r="C3908" s="50" t="s">
        <v>62</v>
      </c>
      <c r="D3908" s="50" t="s">
        <v>27</v>
      </c>
      <c r="E3908" s="50">
        <v>50041195</v>
      </c>
      <c r="F3908" s="50" t="s">
        <v>206</v>
      </c>
      <c r="G3908" s="50">
        <v>1</v>
      </c>
      <c r="H3908" s="50" t="s">
        <v>2</v>
      </c>
      <c r="I3908" s="50" t="s">
        <v>288</v>
      </c>
      <c r="J3908" s="51">
        <v>45980</v>
      </c>
      <c r="K3908" s="50" t="s">
        <v>3</v>
      </c>
      <c r="L3908" s="50" t="s">
        <v>80</v>
      </c>
    </row>
    <row r="3909" spans="2:12">
      <c r="B3909" s="50" t="s">
        <v>386</v>
      </c>
      <c r="C3909" s="50" t="s">
        <v>62</v>
      </c>
      <c r="D3909" s="50" t="s">
        <v>27</v>
      </c>
      <c r="E3909" s="50">
        <v>50043917</v>
      </c>
      <c r="F3909" s="50" t="s">
        <v>262</v>
      </c>
      <c r="G3909" s="50">
        <v>1</v>
      </c>
      <c r="H3909" s="50" t="s">
        <v>2</v>
      </c>
      <c r="I3909" s="50" t="s">
        <v>289</v>
      </c>
      <c r="J3909" s="51">
        <v>45980</v>
      </c>
      <c r="K3909" s="50" t="s">
        <v>1</v>
      </c>
      <c r="L3909" s="50" t="s">
        <v>80</v>
      </c>
    </row>
    <row r="3910" spans="2:12">
      <c r="B3910" s="50" t="s">
        <v>278</v>
      </c>
      <c r="C3910" s="50" t="s">
        <v>62</v>
      </c>
      <c r="D3910" s="50" t="s">
        <v>27</v>
      </c>
      <c r="E3910" s="50">
        <v>50043917</v>
      </c>
      <c r="F3910" s="50" t="s">
        <v>262</v>
      </c>
      <c r="G3910" s="50">
        <v>1</v>
      </c>
      <c r="H3910" s="50" t="s">
        <v>2</v>
      </c>
      <c r="I3910" s="50" t="s">
        <v>288</v>
      </c>
      <c r="J3910" s="51">
        <v>45980</v>
      </c>
      <c r="K3910" s="50" t="s">
        <v>1</v>
      </c>
      <c r="L3910" s="50" t="s">
        <v>80</v>
      </c>
    </row>
    <row r="3911" spans="2:12">
      <c r="B3911" s="50" t="s">
        <v>386</v>
      </c>
      <c r="C3911" s="50" t="s">
        <v>26</v>
      </c>
      <c r="D3911" s="50" t="s">
        <v>27</v>
      </c>
      <c r="E3911" s="50">
        <v>50012902</v>
      </c>
      <c r="F3911" s="50" t="s">
        <v>225</v>
      </c>
      <c r="G3911" s="50">
        <v>1</v>
      </c>
      <c r="H3911" s="50" t="s">
        <v>2</v>
      </c>
      <c r="I3911" s="50" t="s">
        <v>290</v>
      </c>
      <c r="J3911" s="51">
        <v>45980</v>
      </c>
      <c r="K3911" s="50" t="s">
        <v>3</v>
      </c>
      <c r="L3911" s="50" t="s">
        <v>80</v>
      </c>
    </row>
    <row r="3912" spans="2:12">
      <c r="B3912" s="50" t="s">
        <v>386</v>
      </c>
      <c r="C3912" s="50" t="s">
        <v>26</v>
      </c>
      <c r="D3912" s="50" t="s">
        <v>27</v>
      </c>
      <c r="E3912" s="50">
        <v>50012902</v>
      </c>
      <c r="F3912" s="50" t="s">
        <v>225</v>
      </c>
      <c r="G3912" s="50">
        <v>1</v>
      </c>
      <c r="H3912" s="50" t="s">
        <v>2</v>
      </c>
      <c r="I3912" s="50" t="s">
        <v>288</v>
      </c>
      <c r="J3912" s="51">
        <v>45980</v>
      </c>
      <c r="K3912" s="50" t="s">
        <v>1</v>
      </c>
      <c r="L3912" s="50" t="s">
        <v>80</v>
      </c>
    </row>
    <row r="3913" spans="2:12">
      <c r="B3913" s="50" t="s">
        <v>397</v>
      </c>
      <c r="C3913" s="50" t="s">
        <v>26</v>
      </c>
      <c r="D3913" s="50" t="s">
        <v>41</v>
      </c>
      <c r="E3913" s="50">
        <v>50041095</v>
      </c>
      <c r="F3913" s="50" t="s">
        <v>248</v>
      </c>
      <c r="G3913" s="50">
        <v>1</v>
      </c>
      <c r="H3913" s="50" t="s">
        <v>2</v>
      </c>
      <c r="I3913" s="50" t="s">
        <v>288</v>
      </c>
      <c r="J3913" s="51">
        <v>45980</v>
      </c>
      <c r="K3913" s="50" t="s">
        <v>3</v>
      </c>
      <c r="L3913" s="50" t="s">
        <v>80</v>
      </c>
    </row>
    <row r="3914" spans="2:12">
      <c r="B3914" s="50" t="s">
        <v>397</v>
      </c>
      <c r="C3914" s="50" t="s">
        <v>26</v>
      </c>
      <c r="D3914" s="50" t="s">
        <v>41</v>
      </c>
      <c r="E3914" s="50">
        <v>50041095</v>
      </c>
      <c r="F3914" s="50" t="s">
        <v>248</v>
      </c>
      <c r="G3914" s="50">
        <v>1</v>
      </c>
      <c r="H3914" s="50" t="s">
        <v>2</v>
      </c>
      <c r="I3914" s="50" t="s">
        <v>288</v>
      </c>
      <c r="J3914" s="51">
        <v>45980</v>
      </c>
      <c r="K3914" s="50" t="s">
        <v>1</v>
      </c>
      <c r="L3914" s="50" t="s">
        <v>80</v>
      </c>
    </row>
    <row r="3915" spans="2:12">
      <c r="B3915" s="50" t="s">
        <v>277</v>
      </c>
      <c r="C3915" s="50" t="s">
        <v>62</v>
      </c>
      <c r="D3915" s="50" t="s">
        <v>27</v>
      </c>
      <c r="E3915" s="50">
        <v>50038854</v>
      </c>
      <c r="F3915" s="50" t="s">
        <v>101</v>
      </c>
      <c r="G3915" s="50">
        <v>1</v>
      </c>
      <c r="H3915" s="50" t="s">
        <v>2</v>
      </c>
      <c r="I3915" s="50" t="s">
        <v>288</v>
      </c>
      <c r="J3915" s="51">
        <v>45979</v>
      </c>
      <c r="K3915" s="50" t="s">
        <v>3</v>
      </c>
      <c r="L3915" s="50" t="s">
        <v>80</v>
      </c>
    </row>
    <row r="3916" spans="2:12">
      <c r="B3916" s="50" t="s">
        <v>277</v>
      </c>
      <c r="C3916" s="50" t="s">
        <v>62</v>
      </c>
      <c r="D3916" s="50" t="s">
        <v>27</v>
      </c>
      <c r="E3916" s="50">
        <v>50038854</v>
      </c>
      <c r="F3916" s="50" t="s">
        <v>101</v>
      </c>
      <c r="G3916" s="50">
        <v>1</v>
      </c>
      <c r="H3916" s="50" t="s">
        <v>2</v>
      </c>
      <c r="I3916" s="50" t="s">
        <v>288</v>
      </c>
      <c r="J3916" s="51">
        <v>45979</v>
      </c>
      <c r="K3916" s="50" t="s">
        <v>1</v>
      </c>
      <c r="L3916" s="50" t="s">
        <v>80</v>
      </c>
    </row>
    <row r="3917" spans="2:12">
      <c r="B3917" s="50" t="s">
        <v>386</v>
      </c>
      <c r="C3917" s="50" t="s">
        <v>26</v>
      </c>
      <c r="D3917" s="50" t="s">
        <v>27</v>
      </c>
      <c r="E3917" s="50">
        <v>50036086</v>
      </c>
      <c r="F3917" s="50" t="s">
        <v>28</v>
      </c>
      <c r="G3917" s="50">
        <v>2</v>
      </c>
      <c r="H3917" s="50" t="s">
        <v>2</v>
      </c>
      <c r="I3917" s="50" t="s">
        <v>292</v>
      </c>
      <c r="J3917" s="51">
        <v>45979</v>
      </c>
      <c r="K3917" s="50" t="s">
        <v>3</v>
      </c>
      <c r="L3917" s="50" t="s">
        <v>80</v>
      </c>
    </row>
    <row r="3918" spans="2:12">
      <c r="B3918" s="50" t="s">
        <v>386</v>
      </c>
      <c r="C3918" s="50" t="s">
        <v>26</v>
      </c>
      <c r="D3918" s="50" t="s">
        <v>27</v>
      </c>
      <c r="E3918" s="50">
        <v>50036086</v>
      </c>
      <c r="F3918" s="50" t="s">
        <v>28</v>
      </c>
      <c r="G3918" s="50">
        <v>2</v>
      </c>
      <c r="H3918" s="50" t="s">
        <v>2</v>
      </c>
      <c r="I3918" s="50" t="s">
        <v>288</v>
      </c>
      <c r="J3918" s="51">
        <v>45979</v>
      </c>
      <c r="K3918" s="50" t="s">
        <v>1</v>
      </c>
      <c r="L3918" s="50" t="s">
        <v>80</v>
      </c>
    </row>
    <row r="3919" spans="2:12">
      <c r="B3919" s="50" t="s">
        <v>386</v>
      </c>
      <c r="C3919" s="50" t="s">
        <v>26</v>
      </c>
      <c r="D3919" s="50" t="s">
        <v>27</v>
      </c>
      <c r="E3919" s="50">
        <v>50003173</v>
      </c>
      <c r="F3919" s="50" t="s">
        <v>74</v>
      </c>
      <c r="G3919" s="50">
        <v>1</v>
      </c>
      <c r="H3919" s="50" t="s">
        <v>2</v>
      </c>
      <c r="I3919" s="50" t="s">
        <v>293</v>
      </c>
      <c r="J3919" s="51">
        <v>45979</v>
      </c>
      <c r="K3919" s="50" t="s">
        <v>3</v>
      </c>
      <c r="L3919" s="50" t="s">
        <v>80</v>
      </c>
    </row>
    <row r="3920" spans="2:12">
      <c r="B3920" s="50" t="s">
        <v>386</v>
      </c>
      <c r="C3920" s="50" t="s">
        <v>26</v>
      </c>
      <c r="D3920" s="50" t="s">
        <v>27</v>
      </c>
      <c r="E3920" s="50">
        <v>50003173</v>
      </c>
      <c r="F3920" s="50" t="s">
        <v>74</v>
      </c>
      <c r="G3920" s="50">
        <v>1</v>
      </c>
      <c r="H3920" s="50" t="s">
        <v>2</v>
      </c>
      <c r="I3920" s="50" t="s">
        <v>293</v>
      </c>
      <c r="J3920" s="51">
        <v>45979</v>
      </c>
      <c r="K3920" s="50" t="s">
        <v>1</v>
      </c>
      <c r="L3920" s="50" t="s">
        <v>80</v>
      </c>
    </row>
    <row r="3921" spans="2:12">
      <c r="B3921" s="50" t="s">
        <v>465</v>
      </c>
      <c r="C3921" s="50" t="s">
        <v>26</v>
      </c>
      <c r="D3921" s="50" t="s">
        <v>27</v>
      </c>
      <c r="E3921" s="50">
        <v>50030486</v>
      </c>
      <c r="F3921" s="50" t="s">
        <v>153</v>
      </c>
      <c r="G3921" s="50">
        <v>1</v>
      </c>
      <c r="H3921" s="50" t="s">
        <v>2</v>
      </c>
      <c r="I3921" s="50" t="s">
        <v>292</v>
      </c>
      <c r="J3921" s="51">
        <v>45979</v>
      </c>
      <c r="K3921" s="50" t="s">
        <v>3</v>
      </c>
      <c r="L3921" s="50" t="s">
        <v>80</v>
      </c>
    </row>
    <row r="3922" spans="2:12">
      <c r="B3922" s="50" t="s">
        <v>465</v>
      </c>
      <c r="C3922" s="50" t="s">
        <v>26</v>
      </c>
      <c r="D3922" s="50" t="s">
        <v>27</v>
      </c>
      <c r="E3922" s="50">
        <v>50030486</v>
      </c>
      <c r="F3922" s="50" t="s">
        <v>153</v>
      </c>
      <c r="G3922" s="50">
        <v>1</v>
      </c>
      <c r="H3922" s="50" t="s">
        <v>2</v>
      </c>
      <c r="I3922" s="50" t="s">
        <v>292</v>
      </c>
      <c r="J3922" s="51">
        <v>45979</v>
      </c>
      <c r="K3922" s="50" t="s">
        <v>3</v>
      </c>
      <c r="L3922" s="50" t="s">
        <v>80</v>
      </c>
    </row>
    <row r="3923" spans="2:12">
      <c r="B3923" s="50" t="s">
        <v>478</v>
      </c>
      <c r="C3923" s="50" t="s">
        <v>51</v>
      </c>
      <c r="D3923" s="50" t="s">
        <v>27</v>
      </c>
      <c r="E3923" s="50">
        <v>50003297</v>
      </c>
      <c r="F3923" s="50" t="s">
        <v>158</v>
      </c>
      <c r="G3923" s="50">
        <v>1</v>
      </c>
      <c r="H3923" s="50" t="s">
        <v>2</v>
      </c>
      <c r="I3923" s="50" t="s">
        <v>288</v>
      </c>
      <c r="J3923" s="51">
        <v>45979</v>
      </c>
      <c r="K3923" s="50" t="s">
        <v>1</v>
      </c>
      <c r="L3923" s="50" t="s">
        <v>80</v>
      </c>
    </row>
    <row r="3924" spans="2:12">
      <c r="B3924" s="50" t="s">
        <v>386</v>
      </c>
      <c r="C3924" s="50" t="s">
        <v>26</v>
      </c>
      <c r="D3924" s="50" t="s">
        <v>27</v>
      </c>
      <c r="E3924" s="50">
        <v>50037916</v>
      </c>
      <c r="F3924" s="50" t="s">
        <v>164</v>
      </c>
      <c r="G3924" s="50">
        <v>1</v>
      </c>
      <c r="H3924" s="50" t="s">
        <v>2</v>
      </c>
      <c r="I3924" s="50" t="s">
        <v>293</v>
      </c>
      <c r="J3924" s="51">
        <v>45979</v>
      </c>
      <c r="K3924" s="50" t="s">
        <v>3</v>
      </c>
      <c r="L3924" s="50" t="s">
        <v>80</v>
      </c>
    </row>
    <row r="3925" spans="2:12">
      <c r="B3925" s="50" t="s">
        <v>386</v>
      </c>
      <c r="C3925" s="50" t="s">
        <v>26</v>
      </c>
      <c r="D3925" s="50" t="s">
        <v>27</v>
      </c>
      <c r="E3925" s="50">
        <v>50037916</v>
      </c>
      <c r="F3925" s="50" t="s">
        <v>164</v>
      </c>
      <c r="G3925" s="50">
        <v>1</v>
      </c>
      <c r="H3925" s="50" t="s">
        <v>2</v>
      </c>
      <c r="I3925" s="50" t="s">
        <v>293</v>
      </c>
      <c r="J3925" s="51">
        <v>45979</v>
      </c>
      <c r="K3925" s="50" t="s">
        <v>1</v>
      </c>
      <c r="L3925" s="50" t="s">
        <v>80</v>
      </c>
    </row>
    <row r="3926" spans="2:12">
      <c r="B3926" s="50" t="s">
        <v>273</v>
      </c>
      <c r="C3926" s="50" t="s">
        <v>274</v>
      </c>
      <c r="D3926" s="50" t="s">
        <v>27</v>
      </c>
      <c r="E3926" s="50">
        <v>50038549</v>
      </c>
      <c r="F3926" s="50" t="s">
        <v>173</v>
      </c>
      <c r="G3926" s="50">
        <v>1</v>
      </c>
      <c r="H3926" s="50" t="s">
        <v>2</v>
      </c>
      <c r="I3926" s="50" t="s">
        <v>292</v>
      </c>
      <c r="J3926" s="51">
        <v>45979</v>
      </c>
      <c r="K3926" s="50" t="s">
        <v>3</v>
      </c>
      <c r="L3926" s="50" t="s">
        <v>80</v>
      </c>
    </row>
    <row r="3927" spans="2:12">
      <c r="B3927" s="50" t="s">
        <v>273</v>
      </c>
      <c r="C3927" s="50" t="s">
        <v>274</v>
      </c>
      <c r="D3927" s="50" t="s">
        <v>27</v>
      </c>
      <c r="E3927" s="50">
        <v>50038549</v>
      </c>
      <c r="F3927" s="50" t="s">
        <v>173</v>
      </c>
      <c r="G3927" s="50">
        <v>1</v>
      </c>
      <c r="H3927" s="50" t="s">
        <v>2</v>
      </c>
      <c r="I3927" s="50" t="s">
        <v>288</v>
      </c>
      <c r="J3927" s="51">
        <v>45979</v>
      </c>
      <c r="K3927" s="50" t="s">
        <v>1</v>
      </c>
      <c r="L3927" s="50" t="s">
        <v>80</v>
      </c>
    </row>
    <row r="3928" spans="2:12">
      <c r="B3928" s="50" t="s">
        <v>481</v>
      </c>
      <c r="C3928" s="50" t="s">
        <v>26</v>
      </c>
      <c r="D3928" s="50" t="s">
        <v>27</v>
      </c>
      <c r="E3928" s="50">
        <v>50038549</v>
      </c>
      <c r="F3928" s="50" t="s">
        <v>173</v>
      </c>
      <c r="G3928" s="50">
        <v>1</v>
      </c>
      <c r="H3928" s="50" t="s">
        <v>2</v>
      </c>
      <c r="I3928" s="50" t="s">
        <v>288</v>
      </c>
      <c r="J3928" s="51">
        <v>45979</v>
      </c>
      <c r="K3928" s="50" t="s">
        <v>1</v>
      </c>
      <c r="L3928" s="50" t="s">
        <v>80</v>
      </c>
    </row>
    <row r="3929" spans="2:12">
      <c r="B3929" s="50" t="s">
        <v>316</v>
      </c>
      <c r="C3929" s="50" t="s">
        <v>51</v>
      </c>
      <c r="D3929" s="50" t="s">
        <v>27</v>
      </c>
      <c r="E3929" s="50">
        <v>50038956</v>
      </c>
      <c r="F3929" s="50" t="s">
        <v>177</v>
      </c>
      <c r="G3929" s="50">
        <v>1</v>
      </c>
      <c r="H3929" s="50" t="s">
        <v>2</v>
      </c>
      <c r="I3929" s="50" t="s">
        <v>288</v>
      </c>
      <c r="J3929" s="51">
        <v>45979</v>
      </c>
      <c r="K3929" s="50" t="s">
        <v>3</v>
      </c>
      <c r="L3929" s="50" t="s">
        <v>80</v>
      </c>
    </row>
    <row r="3930" spans="2:12">
      <c r="B3930" s="50" t="s">
        <v>316</v>
      </c>
      <c r="C3930" s="50" t="s">
        <v>51</v>
      </c>
      <c r="D3930" s="50" t="s">
        <v>27</v>
      </c>
      <c r="E3930" s="50">
        <v>50038956</v>
      </c>
      <c r="F3930" s="50" t="s">
        <v>177</v>
      </c>
      <c r="G3930" s="50">
        <v>1</v>
      </c>
      <c r="H3930" s="50" t="s">
        <v>2</v>
      </c>
      <c r="I3930" s="50" t="s">
        <v>288</v>
      </c>
      <c r="J3930" s="51">
        <v>45979</v>
      </c>
      <c r="K3930" s="50" t="s">
        <v>3</v>
      </c>
      <c r="L3930" s="50" t="s">
        <v>80</v>
      </c>
    </row>
    <row r="3931" spans="2:12">
      <c r="B3931" s="50" t="s">
        <v>277</v>
      </c>
      <c r="C3931" s="50" t="s">
        <v>62</v>
      </c>
      <c r="D3931" s="50" t="s">
        <v>27</v>
      </c>
      <c r="E3931" s="50">
        <v>50037902</v>
      </c>
      <c r="F3931" s="50" t="s">
        <v>179</v>
      </c>
      <c r="G3931" s="50">
        <v>1</v>
      </c>
      <c r="H3931" s="50" t="s">
        <v>2</v>
      </c>
      <c r="I3931" s="50" t="s">
        <v>288</v>
      </c>
      <c r="J3931" s="51">
        <v>45979</v>
      </c>
      <c r="K3931" s="50" t="s">
        <v>1</v>
      </c>
      <c r="L3931" s="50"/>
    </row>
    <row r="3932" spans="2:12">
      <c r="B3932" s="50" t="s">
        <v>277</v>
      </c>
      <c r="C3932" s="50" t="s">
        <v>62</v>
      </c>
      <c r="D3932" s="50" t="s">
        <v>27</v>
      </c>
      <c r="E3932" s="50">
        <v>50037902</v>
      </c>
      <c r="F3932" s="50" t="s">
        <v>179</v>
      </c>
      <c r="G3932" s="50">
        <v>1</v>
      </c>
      <c r="H3932" s="50" t="s">
        <v>2</v>
      </c>
      <c r="I3932" s="50" t="s">
        <v>288</v>
      </c>
      <c r="J3932" s="51">
        <v>45979</v>
      </c>
      <c r="K3932" s="50" t="s">
        <v>1</v>
      </c>
      <c r="L3932" s="50" t="s">
        <v>80</v>
      </c>
    </row>
    <row r="3933" spans="2:12">
      <c r="B3933" s="50" t="s">
        <v>397</v>
      </c>
      <c r="C3933" s="50" t="s">
        <v>26</v>
      </c>
      <c r="D3933" s="50" t="s">
        <v>41</v>
      </c>
      <c r="E3933" s="50">
        <v>50038841</v>
      </c>
      <c r="F3933" s="50" t="s">
        <v>180</v>
      </c>
      <c r="G3933" s="50">
        <v>1</v>
      </c>
      <c r="H3933" s="50" t="s">
        <v>2</v>
      </c>
      <c r="I3933" s="50" t="s">
        <v>292</v>
      </c>
      <c r="J3933" s="51">
        <v>45979</v>
      </c>
      <c r="K3933" s="50" t="s">
        <v>3</v>
      </c>
      <c r="L3933" s="50" t="s">
        <v>80</v>
      </c>
    </row>
    <row r="3934" spans="2:12">
      <c r="B3934" s="50" t="s">
        <v>386</v>
      </c>
      <c r="C3934" s="50" t="s">
        <v>26</v>
      </c>
      <c r="D3934" s="50" t="s">
        <v>27</v>
      </c>
      <c r="E3934" s="50">
        <v>50038841</v>
      </c>
      <c r="F3934" s="50" t="s">
        <v>180</v>
      </c>
      <c r="G3934" s="50">
        <v>1</v>
      </c>
      <c r="H3934" s="50" t="s">
        <v>2</v>
      </c>
      <c r="I3934" s="50" t="s">
        <v>292</v>
      </c>
      <c r="J3934" s="51">
        <v>45979</v>
      </c>
      <c r="K3934" s="50" t="s">
        <v>3</v>
      </c>
      <c r="L3934" s="50" t="s">
        <v>80</v>
      </c>
    </row>
    <row r="3935" spans="2:12">
      <c r="B3935" s="50" t="s">
        <v>397</v>
      </c>
      <c r="C3935" s="50" t="s">
        <v>26</v>
      </c>
      <c r="D3935" s="50" t="s">
        <v>41</v>
      </c>
      <c r="E3935" s="50">
        <v>50038841</v>
      </c>
      <c r="F3935" s="50" t="s">
        <v>180</v>
      </c>
      <c r="G3935" s="50">
        <v>1</v>
      </c>
      <c r="H3935" s="50" t="s">
        <v>2</v>
      </c>
      <c r="I3935" s="50" t="s">
        <v>290</v>
      </c>
      <c r="J3935" s="51">
        <v>45979</v>
      </c>
      <c r="K3935" s="50" t="s">
        <v>1</v>
      </c>
      <c r="L3935" s="50" t="s">
        <v>80</v>
      </c>
    </row>
    <row r="3936" spans="2:12">
      <c r="B3936" s="50" t="s">
        <v>478</v>
      </c>
      <c r="C3936" s="50" t="s">
        <v>51</v>
      </c>
      <c r="D3936" s="50" t="s">
        <v>27</v>
      </c>
      <c r="E3936" s="50">
        <v>50038517</v>
      </c>
      <c r="F3936" s="50" t="s">
        <v>181</v>
      </c>
      <c r="G3936" s="50">
        <v>1</v>
      </c>
      <c r="H3936" s="50" t="s">
        <v>2</v>
      </c>
      <c r="I3936" s="50" t="s">
        <v>288</v>
      </c>
      <c r="J3936" s="51">
        <v>45979</v>
      </c>
      <c r="K3936" s="50" t="s">
        <v>1</v>
      </c>
      <c r="L3936" s="50" t="s">
        <v>80</v>
      </c>
    </row>
    <row r="3937" spans="2:12">
      <c r="B3937" s="50" t="s">
        <v>316</v>
      </c>
      <c r="C3937" s="50" t="s">
        <v>51</v>
      </c>
      <c r="D3937" s="50" t="s">
        <v>27</v>
      </c>
      <c r="E3937" s="50">
        <v>50039065</v>
      </c>
      <c r="F3937" s="50" t="s">
        <v>186</v>
      </c>
      <c r="G3937" s="50">
        <v>1</v>
      </c>
      <c r="H3937" s="50" t="s">
        <v>2</v>
      </c>
      <c r="I3937" s="50" t="s">
        <v>288</v>
      </c>
      <c r="J3937" s="51">
        <v>45979</v>
      </c>
      <c r="K3937" s="50" t="s">
        <v>3</v>
      </c>
      <c r="L3937" s="50" t="s">
        <v>80</v>
      </c>
    </row>
    <row r="3938" spans="2:12">
      <c r="B3938" s="50" t="s">
        <v>316</v>
      </c>
      <c r="C3938" s="50" t="s">
        <v>51</v>
      </c>
      <c r="D3938" s="50" t="s">
        <v>27</v>
      </c>
      <c r="E3938" s="50">
        <v>50039065</v>
      </c>
      <c r="F3938" s="50" t="s">
        <v>186</v>
      </c>
      <c r="G3938" s="50">
        <v>1</v>
      </c>
      <c r="H3938" s="50" t="s">
        <v>2</v>
      </c>
      <c r="I3938" s="50" t="s">
        <v>288</v>
      </c>
      <c r="J3938" s="51">
        <v>45979</v>
      </c>
      <c r="K3938" s="50" t="s">
        <v>1</v>
      </c>
      <c r="L3938" s="50" t="s">
        <v>80</v>
      </c>
    </row>
    <row r="3939" spans="2:12">
      <c r="B3939" s="50" t="s">
        <v>278</v>
      </c>
      <c r="C3939" s="50" t="s">
        <v>62</v>
      </c>
      <c r="D3939" s="50" t="s">
        <v>27</v>
      </c>
      <c r="E3939" s="50">
        <v>50041124</v>
      </c>
      <c r="F3939" s="50" t="s">
        <v>202</v>
      </c>
      <c r="G3939" s="50">
        <v>1</v>
      </c>
      <c r="H3939" s="50" t="s">
        <v>2</v>
      </c>
      <c r="I3939" s="50" t="s">
        <v>292</v>
      </c>
      <c r="J3939" s="51">
        <v>45979</v>
      </c>
      <c r="K3939" s="50" t="s">
        <v>3</v>
      </c>
      <c r="L3939" s="50" t="s">
        <v>80</v>
      </c>
    </row>
    <row r="3940" spans="2:12">
      <c r="B3940" s="50" t="s">
        <v>278</v>
      </c>
      <c r="C3940" s="50" t="s">
        <v>62</v>
      </c>
      <c r="D3940" s="50" t="s">
        <v>27</v>
      </c>
      <c r="E3940" s="50">
        <v>50041124</v>
      </c>
      <c r="F3940" s="50" t="s">
        <v>202</v>
      </c>
      <c r="G3940" s="50">
        <v>1</v>
      </c>
      <c r="H3940" s="50" t="s">
        <v>2</v>
      </c>
      <c r="I3940" s="50" t="s">
        <v>288</v>
      </c>
      <c r="J3940" s="51">
        <v>45979</v>
      </c>
      <c r="K3940" s="50" t="s">
        <v>3</v>
      </c>
      <c r="L3940" s="50"/>
    </row>
    <row r="3941" spans="2:12">
      <c r="B3941" s="50" t="s">
        <v>386</v>
      </c>
      <c r="C3941" s="50" t="s">
        <v>62</v>
      </c>
      <c r="D3941" s="50" t="s">
        <v>27</v>
      </c>
      <c r="E3941" s="50">
        <v>50041195</v>
      </c>
      <c r="F3941" s="50" t="s">
        <v>206</v>
      </c>
      <c r="G3941" s="50">
        <v>1</v>
      </c>
      <c r="H3941" s="50" t="s">
        <v>2</v>
      </c>
      <c r="I3941" s="50" t="s">
        <v>293</v>
      </c>
      <c r="J3941" s="51">
        <v>45979</v>
      </c>
      <c r="K3941" s="50" t="s">
        <v>1</v>
      </c>
      <c r="L3941" s="50" t="s">
        <v>80</v>
      </c>
    </row>
    <row r="3942" spans="2:12">
      <c r="B3942" s="50" t="s">
        <v>411</v>
      </c>
      <c r="C3942" s="50" t="s">
        <v>26</v>
      </c>
      <c r="D3942" s="50" t="s">
        <v>27</v>
      </c>
      <c r="E3942" s="50">
        <v>50043917</v>
      </c>
      <c r="F3942" s="50" t="s">
        <v>262</v>
      </c>
      <c r="G3942" s="50">
        <v>1</v>
      </c>
      <c r="H3942" s="50" t="s">
        <v>2</v>
      </c>
      <c r="I3942" s="50" t="s">
        <v>292</v>
      </c>
      <c r="J3942" s="51">
        <v>45979</v>
      </c>
      <c r="K3942" s="50" t="s">
        <v>3</v>
      </c>
      <c r="L3942" s="50" t="s">
        <v>80</v>
      </c>
    </row>
    <row r="3943" spans="2:12">
      <c r="B3943" s="50" t="s">
        <v>481</v>
      </c>
      <c r="C3943" s="50" t="s">
        <v>26</v>
      </c>
      <c r="D3943" s="50" t="s">
        <v>27</v>
      </c>
      <c r="E3943" s="50">
        <v>50043917</v>
      </c>
      <c r="F3943" s="50" t="s">
        <v>262</v>
      </c>
      <c r="G3943" s="50">
        <v>1</v>
      </c>
      <c r="H3943" s="50" t="s">
        <v>2</v>
      </c>
      <c r="I3943" s="50" t="s">
        <v>292</v>
      </c>
      <c r="J3943" s="51">
        <v>45979</v>
      </c>
      <c r="K3943" s="50" t="s">
        <v>1</v>
      </c>
      <c r="L3943" s="50" t="s">
        <v>80</v>
      </c>
    </row>
    <row r="3944" spans="2:12">
      <c r="B3944" s="50" t="s">
        <v>481</v>
      </c>
      <c r="C3944" s="50" t="s">
        <v>26</v>
      </c>
      <c r="D3944" s="50" t="s">
        <v>27</v>
      </c>
      <c r="E3944" s="50">
        <v>50043917</v>
      </c>
      <c r="F3944" s="50" t="s">
        <v>262</v>
      </c>
      <c r="G3944" s="50">
        <v>1</v>
      </c>
      <c r="H3944" s="50" t="s">
        <v>2</v>
      </c>
      <c r="I3944" s="50" t="s">
        <v>288</v>
      </c>
      <c r="J3944" s="51">
        <v>45979</v>
      </c>
      <c r="K3944" s="50" t="s">
        <v>1</v>
      </c>
      <c r="L3944" s="50" t="s">
        <v>80</v>
      </c>
    </row>
    <row r="3945" spans="2:12">
      <c r="B3945" s="50" t="s">
        <v>316</v>
      </c>
      <c r="C3945" s="50" t="s">
        <v>51</v>
      </c>
      <c r="D3945" s="50" t="s">
        <v>27</v>
      </c>
      <c r="E3945" s="50">
        <v>50032781</v>
      </c>
      <c r="F3945" s="50" t="s">
        <v>237</v>
      </c>
      <c r="G3945" s="50">
        <v>1</v>
      </c>
      <c r="H3945" s="50" t="s">
        <v>2</v>
      </c>
      <c r="I3945" s="50" t="s">
        <v>292</v>
      </c>
      <c r="J3945" s="51">
        <v>45979</v>
      </c>
      <c r="K3945" s="50" t="s">
        <v>3</v>
      </c>
      <c r="L3945" s="50" t="s">
        <v>80</v>
      </c>
    </row>
    <row r="3946" spans="2:12">
      <c r="B3946" s="50" t="s">
        <v>270</v>
      </c>
      <c r="C3946" s="50" t="s">
        <v>51</v>
      </c>
      <c r="D3946" s="50" t="s">
        <v>41</v>
      </c>
      <c r="E3946" s="50">
        <v>50032781</v>
      </c>
      <c r="F3946" s="50" t="s">
        <v>237</v>
      </c>
      <c r="G3946" s="50">
        <v>1</v>
      </c>
      <c r="H3946" s="50" t="s">
        <v>2</v>
      </c>
      <c r="I3946" s="50" t="s">
        <v>292</v>
      </c>
      <c r="J3946" s="51">
        <v>45979</v>
      </c>
      <c r="K3946" s="50" t="s">
        <v>1</v>
      </c>
      <c r="L3946" s="50" t="s">
        <v>80</v>
      </c>
    </row>
    <row r="3947" spans="2:12">
      <c r="B3947" s="50" t="s">
        <v>316</v>
      </c>
      <c r="C3947" s="50" t="s">
        <v>51</v>
      </c>
      <c r="D3947" s="50" t="s">
        <v>27</v>
      </c>
      <c r="E3947" s="50">
        <v>50032781</v>
      </c>
      <c r="F3947" s="50" t="s">
        <v>237</v>
      </c>
      <c r="G3947" s="50">
        <v>1</v>
      </c>
      <c r="H3947" s="50" t="s">
        <v>2</v>
      </c>
      <c r="I3947" s="50" t="s">
        <v>297</v>
      </c>
      <c r="J3947" s="51">
        <v>45979</v>
      </c>
      <c r="K3947" s="50" t="s">
        <v>3</v>
      </c>
      <c r="L3947" s="50" t="s">
        <v>80</v>
      </c>
    </row>
    <row r="3948" spans="2:12">
      <c r="B3948" s="50" t="s">
        <v>270</v>
      </c>
      <c r="C3948" s="50" t="s">
        <v>51</v>
      </c>
      <c r="D3948" s="50" t="s">
        <v>41</v>
      </c>
      <c r="E3948" s="50">
        <v>50032781</v>
      </c>
      <c r="F3948" s="50" t="s">
        <v>237</v>
      </c>
      <c r="G3948" s="50">
        <v>1</v>
      </c>
      <c r="H3948" s="50" t="s">
        <v>2</v>
      </c>
      <c r="I3948" s="50" t="s">
        <v>288</v>
      </c>
      <c r="J3948" s="51">
        <v>45979</v>
      </c>
      <c r="K3948" s="50" t="s">
        <v>1</v>
      </c>
      <c r="L3948" s="50" t="s">
        <v>80</v>
      </c>
    </row>
    <row r="3949" spans="2:12">
      <c r="B3949" s="50" t="s">
        <v>280</v>
      </c>
      <c r="C3949" s="50" t="s">
        <v>62</v>
      </c>
      <c r="D3949" s="50" t="s">
        <v>27</v>
      </c>
      <c r="E3949" s="50">
        <v>50028220</v>
      </c>
      <c r="F3949" s="50" t="s">
        <v>242</v>
      </c>
      <c r="G3949" s="50">
        <v>1</v>
      </c>
      <c r="H3949" s="50" t="s">
        <v>2</v>
      </c>
      <c r="I3949" s="50" t="s">
        <v>288</v>
      </c>
      <c r="J3949" s="51">
        <v>45979</v>
      </c>
      <c r="K3949" s="50" t="s">
        <v>3</v>
      </c>
      <c r="L3949" s="50" t="s">
        <v>80</v>
      </c>
    </row>
    <row r="3950" spans="2:12">
      <c r="B3950" s="50" t="s">
        <v>280</v>
      </c>
      <c r="C3950" s="50" t="s">
        <v>62</v>
      </c>
      <c r="D3950" s="50" t="s">
        <v>27</v>
      </c>
      <c r="E3950" s="50">
        <v>50028220</v>
      </c>
      <c r="F3950" s="50" t="s">
        <v>242</v>
      </c>
      <c r="G3950" s="50">
        <v>1</v>
      </c>
      <c r="H3950" s="50" t="s">
        <v>2</v>
      </c>
      <c r="I3950" s="50" t="s">
        <v>288</v>
      </c>
      <c r="J3950" s="51">
        <v>45979</v>
      </c>
      <c r="K3950" s="50" t="s">
        <v>1</v>
      </c>
      <c r="L3950" s="50" t="s">
        <v>80</v>
      </c>
    </row>
    <row r="3951" spans="2:12">
      <c r="B3951" s="50" t="s">
        <v>466</v>
      </c>
      <c r="C3951" s="50" t="s">
        <v>62</v>
      </c>
      <c r="D3951" s="50" t="s">
        <v>27</v>
      </c>
      <c r="E3951" s="50">
        <v>50040133</v>
      </c>
      <c r="F3951" s="50" t="s">
        <v>92</v>
      </c>
      <c r="G3951" s="50">
        <v>1</v>
      </c>
      <c r="H3951" s="50" t="s">
        <v>2</v>
      </c>
      <c r="I3951" s="50" t="s">
        <v>291</v>
      </c>
      <c r="J3951" s="51">
        <v>45978</v>
      </c>
      <c r="K3951" s="50" t="s">
        <v>3</v>
      </c>
      <c r="L3951" s="50" t="s">
        <v>80</v>
      </c>
    </row>
    <row r="3952" spans="2:12">
      <c r="B3952" s="50" t="s">
        <v>466</v>
      </c>
      <c r="C3952" s="50" t="s">
        <v>62</v>
      </c>
      <c r="D3952" s="50" t="s">
        <v>27</v>
      </c>
      <c r="E3952" s="50">
        <v>50040133</v>
      </c>
      <c r="F3952" s="50" t="s">
        <v>92</v>
      </c>
      <c r="G3952" s="50">
        <v>1</v>
      </c>
      <c r="H3952" s="50" t="s">
        <v>2</v>
      </c>
      <c r="I3952" s="50" t="s">
        <v>291</v>
      </c>
      <c r="J3952" s="51">
        <v>45978</v>
      </c>
      <c r="K3952" s="50" t="s">
        <v>1</v>
      </c>
      <c r="L3952" s="50" t="s">
        <v>80</v>
      </c>
    </row>
    <row r="3953" spans="2:12">
      <c r="B3953" s="50" t="s">
        <v>394</v>
      </c>
      <c r="C3953" s="50" t="s">
        <v>51</v>
      </c>
      <c r="D3953" s="50" t="s">
        <v>27</v>
      </c>
      <c r="E3953" s="50">
        <v>50036280</v>
      </c>
      <c r="F3953" s="50" t="s">
        <v>152</v>
      </c>
      <c r="G3953" s="50">
        <v>1</v>
      </c>
      <c r="H3953" s="50" t="s">
        <v>2</v>
      </c>
      <c r="I3953" s="50" t="s">
        <v>297</v>
      </c>
      <c r="J3953" s="51">
        <v>45978</v>
      </c>
      <c r="K3953" s="50" t="s">
        <v>3</v>
      </c>
      <c r="L3953" s="50" t="s">
        <v>80</v>
      </c>
    </row>
    <row r="3954" spans="2:12">
      <c r="B3954" s="50" t="s">
        <v>394</v>
      </c>
      <c r="C3954" s="50" t="s">
        <v>51</v>
      </c>
      <c r="D3954" s="50" t="s">
        <v>27</v>
      </c>
      <c r="E3954" s="50">
        <v>50036280</v>
      </c>
      <c r="F3954" s="50" t="s">
        <v>152</v>
      </c>
      <c r="G3954" s="50">
        <v>1</v>
      </c>
      <c r="H3954" s="50" t="s">
        <v>2</v>
      </c>
      <c r="I3954" s="50" t="s">
        <v>297</v>
      </c>
      <c r="J3954" s="51">
        <v>45978</v>
      </c>
      <c r="K3954" s="50" t="s">
        <v>1</v>
      </c>
      <c r="L3954" s="50" t="s">
        <v>80</v>
      </c>
    </row>
    <row r="3955" spans="2:12">
      <c r="B3955" s="50" t="s">
        <v>394</v>
      </c>
      <c r="C3955" s="50" t="s">
        <v>51</v>
      </c>
      <c r="D3955" s="50" t="s">
        <v>27</v>
      </c>
      <c r="E3955" s="50">
        <v>50036280</v>
      </c>
      <c r="F3955" s="50" t="s">
        <v>152</v>
      </c>
      <c r="G3955" s="50">
        <v>1</v>
      </c>
      <c r="H3955" s="50" t="s">
        <v>2</v>
      </c>
      <c r="I3955" s="50" t="s">
        <v>297</v>
      </c>
      <c r="J3955" s="51">
        <v>45978</v>
      </c>
      <c r="K3955" s="50" t="s">
        <v>3</v>
      </c>
      <c r="L3955" s="50" t="s">
        <v>80</v>
      </c>
    </row>
    <row r="3956" spans="2:12">
      <c r="B3956" s="50" t="s">
        <v>394</v>
      </c>
      <c r="C3956" s="50" t="s">
        <v>51</v>
      </c>
      <c r="D3956" s="50" t="s">
        <v>27</v>
      </c>
      <c r="E3956" s="50">
        <v>50036280</v>
      </c>
      <c r="F3956" s="50" t="s">
        <v>152</v>
      </c>
      <c r="G3956" s="50">
        <v>1</v>
      </c>
      <c r="H3956" s="50" t="s">
        <v>2</v>
      </c>
      <c r="I3956" s="50" t="s">
        <v>297</v>
      </c>
      <c r="J3956" s="51">
        <v>45978</v>
      </c>
      <c r="K3956" s="50" t="s">
        <v>1</v>
      </c>
      <c r="L3956" s="50" t="s">
        <v>80</v>
      </c>
    </row>
    <row r="3957" spans="2:12">
      <c r="B3957" s="50" t="s">
        <v>316</v>
      </c>
      <c r="C3957" s="50" t="s">
        <v>51</v>
      </c>
      <c r="D3957" s="50" t="s">
        <v>27</v>
      </c>
      <c r="E3957" s="50">
        <v>50030486</v>
      </c>
      <c r="F3957" s="50" t="s">
        <v>153</v>
      </c>
      <c r="G3957" s="50">
        <v>1</v>
      </c>
      <c r="H3957" s="50" t="s">
        <v>2</v>
      </c>
      <c r="I3957" s="50" t="s">
        <v>291</v>
      </c>
      <c r="J3957" s="51">
        <v>45978</v>
      </c>
      <c r="K3957" s="50" t="s">
        <v>1</v>
      </c>
      <c r="L3957" s="50" t="s">
        <v>80</v>
      </c>
    </row>
    <row r="3958" spans="2:12">
      <c r="B3958" s="50" t="s">
        <v>465</v>
      </c>
      <c r="C3958" s="50" t="s">
        <v>26</v>
      </c>
      <c r="D3958" s="50" t="s">
        <v>27</v>
      </c>
      <c r="E3958" s="50">
        <v>50043471</v>
      </c>
      <c r="F3958" s="50" t="s">
        <v>257</v>
      </c>
      <c r="G3958" s="50">
        <v>1</v>
      </c>
      <c r="H3958" s="50" t="s">
        <v>2</v>
      </c>
      <c r="I3958" s="50" t="s">
        <v>297</v>
      </c>
      <c r="J3958" s="51">
        <v>45978</v>
      </c>
      <c r="K3958" s="50" t="s">
        <v>3</v>
      </c>
      <c r="L3958" s="50" t="s">
        <v>80</v>
      </c>
    </row>
    <row r="3959" spans="2:12">
      <c r="B3959" s="50" t="s">
        <v>465</v>
      </c>
      <c r="C3959" s="50" t="s">
        <v>26</v>
      </c>
      <c r="D3959" s="50" t="s">
        <v>27</v>
      </c>
      <c r="E3959" s="50">
        <v>50043471</v>
      </c>
      <c r="F3959" s="50" t="s">
        <v>257</v>
      </c>
      <c r="G3959" s="50">
        <v>1</v>
      </c>
      <c r="H3959" s="50" t="s">
        <v>2</v>
      </c>
      <c r="I3959" s="50" t="s">
        <v>291</v>
      </c>
      <c r="J3959" s="51">
        <v>45978</v>
      </c>
      <c r="K3959" s="50" t="s">
        <v>1</v>
      </c>
      <c r="L3959" s="50" t="s">
        <v>80</v>
      </c>
    </row>
    <row r="3960" spans="2:12">
      <c r="B3960" s="50" t="s">
        <v>481</v>
      </c>
      <c r="C3960" s="50" t="s">
        <v>26</v>
      </c>
      <c r="D3960" s="50" t="s">
        <v>27</v>
      </c>
      <c r="E3960" s="50">
        <v>50022878</v>
      </c>
      <c r="F3960" s="50" t="s">
        <v>296</v>
      </c>
      <c r="G3960" s="50">
        <v>1</v>
      </c>
      <c r="H3960" s="50" t="s">
        <v>2</v>
      </c>
      <c r="I3960" s="50" t="s">
        <v>297</v>
      </c>
      <c r="J3960" s="51">
        <v>45978</v>
      </c>
      <c r="K3960" s="50" t="s">
        <v>3</v>
      </c>
      <c r="L3960" s="50" t="s">
        <v>80</v>
      </c>
    </row>
    <row r="3961" spans="2:12">
      <c r="B3961" s="50" t="s">
        <v>481</v>
      </c>
      <c r="C3961" s="50" t="s">
        <v>26</v>
      </c>
      <c r="D3961" s="50" t="s">
        <v>27</v>
      </c>
      <c r="E3961" s="50">
        <v>50022878</v>
      </c>
      <c r="F3961" s="50" t="s">
        <v>296</v>
      </c>
      <c r="G3961" s="50">
        <v>1</v>
      </c>
      <c r="H3961" s="50" t="s">
        <v>2</v>
      </c>
      <c r="I3961" s="50" t="s">
        <v>297</v>
      </c>
      <c r="J3961" s="51">
        <v>45978</v>
      </c>
      <c r="K3961" s="50" t="s">
        <v>3</v>
      </c>
      <c r="L3961" s="50" t="s">
        <v>80</v>
      </c>
    </row>
    <row r="3962" spans="2:12">
      <c r="B3962" s="50" t="s">
        <v>394</v>
      </c>
      <c r="C3962" s="50" t="s">
        <v>51</v>
      </c>
      <c r="D3962" s="50" t="s">
        <v>27</v>
      </c>
      <c r="E3962" s="50">
        <v>50038841</v>
      </c>
      <c r="F3962" s="50" t="s">
        <v>180</v>
      </c>
      <c r="G3962" s="50">
        <v>1</v>
      </c>
      <c r="H3962" s="50" t="s">
        <v>2</v>
      </c>
      <c r="I3962" s="50" t="s">
        <v>297</v>
      </c>
      <c r="J3962" s="51">
        <v>45978</v>
      </c>
      <c r="K3962" s="50" t="s">
        <v>3</v>
      </c>
      <c r="L3962" s="50" t="s">
        <v>80</v>
      </c>
    </row>
    <row r="3963" spans="2:12">
      <c r="B3963" s="50" t="s">
        <v>394</v>
      </c>
      <c r="C3963" s="50" t="s">
        <v>51</v>
      </c>
      <c r="D3963" s="50" t="s">
        <v>27</v>
      </c>
      <c r="E3963" s="50">
        <v>50038841</v>
      </c>
      <c r="F3963" s="50" t="s">
        <v>180</v>
      </c>
      <c r="G3963" s="50">
        <v>1</v>
      </c>
      <c r="H3963" s="50" t="s">
        <v>2</v>
      </c>
      <c r="I3963" s="50" t="s">
        <v>291</v>
      </c>
      <c r="J3963" s="51">
        <v>45978</v>
      </c>
      <c r="K3963" s="50" t="s">
        <v>1</v>
      </c>
      <c r="L3963" s="50" t="s">
        <v>80</v>
      </c>
    </row>
    <row r="3964" spans="2:12">
      <c r="B3964" s="50" t="s">
        <v>316</v>
      </c>
      <c r="C3964" s="50" t="s">
        <v>51</v>
      </c>
      <c r="D3964" s="50" t="s">
        <v>27</v>
      </c>
      <c r="E3964" s="50">
        <v>50038517</v>
      </c>
      <c r="F3964" s="50" t="s">
        <v>181</v>
      </c>
      <c r="G3964" s="50">
        <v>1</v>
      </c>
      <c r="H3964" s="50" t="s">
        <v>4</v>
      </c>
      <c r="I3964" s="50" t="s">
        <v>290</v>
      </c>
      <c r="J3964" s="51">
        <v>45978</v>
      </c>
      <c r="K3964" s="50" t="s">
        <v>3</v>
      </c>
      <c r="L3964" s="50" t="s">
        <v>80</v>
      </c>
    </row>
    <row r="3965" spans="2:12">
      <c r="B3965" s="50" t="s">
        <v>316</v>
      </c>
      <c r="C3965" s="50" t="s">
        <v>51</v>
      </c>
      <c r="D3965" s="50" t="s">
        <v>27</v>
      </c>
      <c r="E3965" s="50">
        <v>50038517</v>
      </c>
      <c r="F3965" s="50" t="s">
        <v>181</v>
      </c>
      <c r="G3965" s="50">
        <v>1</v>
      </c>
      <c r="H3965" s="50" t="s">
        <v>2</v>
      </c>
      <c r="I3965" s="50" t="s">
        <v>291</v>
      </c>
      <c r="J3965" s="51">
        <v>45978</v>
      </c>
      <c r="K3965" s="50" t="s">
        <v>1</v>
      </c>
      <c r="L3965" s="50" t="s">
        <v>80</v>
      </c>
    </row>
    <row r="3966" spans="2:12">
      <c r="B3966" s="50" t="s">
        <v>316</v>
      </c>
      <c r="C3966" s="50" t="s">
        <v>51</v>
      </c>
      <c r="D3966" s="50" t="s">
        <v>27</v>
      </c>
      <c r="E3966" s="50">
        <v>50038517</v>
      </c>
      <c r="F3966" s="50" t="s">
        <v>181</v>
      </c>
      <c r="G3966" s="50">
        <v>1</v>
      </c>
      <c r="H3966" s="50" t="s">
        <v>2</v>
      </c>
      <c r="I3966" s="50" t="s">
        <v>291</v>
      </c>
      <c r="J3966" s="51">
        <v>45978</v>
      </c>
      <c r="K3966" s="50" t="s">
        <v>1</v>
      </c>
      <c r="L3966" s="50" t="s">
        <v>80</v>
      </c>
    </row>
    <row r="3967" spans="2:12">
      <c r="B3967" s="50" t="s">
        <v>394</v>
      </c>
      <c r="C3967" s="50" t="s">
        <v>51</v>
      </c>
      <c r="D3967" s="50" t="s">
        <v>27</v>
      </c>
      <c r="E3967" s="50">
        <v>50039065</v>
      </c>
      <c r="F3967" s="50" t="s">
        <v>186</v>
      </c>
      <c r="G3967" s="50">
        <v>1</v>
      </c>
      <c r="H3967" s="50" t="s">
        <v>4</v>
      </c>
      <c r="I3967" s="50" t="s">
        <v>297</v>
      </c>
      <c r="J3967" s="51">
        <v>45978</v>
      </c>
      <c r="K3967" s="50" t="s">
        <v>3</v>
      </c>
      <c r="L3967" s="50" t="s">
        <v>80</v>
      </c>
    </row>
    <row r="3968" spans="2:12">
      <c r="B3968" s="50" t="s">
        <v>394</v>
      </c>
      <c r="C3968" s="50" t="s">
        <v>51</v>
      </c>
      <c r="D3968" s="50" t="s">
        <v>27</v>
      </c>
      <c r="E3968" s="50">
        <v>50039065</v>
      </c>
      <c r="F3968" s="50" t="s">
        <v>186</v>
      </c>
      <c r="G3968" s="50">
        <v>1</v>
      </c>
      <c r="H3968" s="50" t="s">
        <v>2</v>
      </c>
      <c r="I3968" s="50" t="s">
        <v>291</v>
      </c>
      <c r="J3968" s="51">
        <v>45978</v>
      </c>
      <c r="K3968" s="50" t="s">
        <v>3</v>
      </c>
      <c r="L3968" s="50" t="s">
        <v>80</v>
      </c>
    </row>
    <row r="3969" spans="2:12">
      <c r="B3969" s="50" t="s">
        <v>277</v>
      </c>
      <c r="C3969" s="50" t="s">
        <v>62</v>
      </c>
      <c r="D3969" s="50" t="s">
        <v>27</v>
      </c>
      <c r="E3969" s="50">
        <v>50043917</v>
      </c>
      <c r="F3969" s="50" t="s">
        <v>262</v>
      </c>
      <c r="G3969" s="50">
        <v>1</v>
      </c>
      <c r="H3969" s="50" t="s">
        <v>2</v>
      </c>
      <c r="I3969" s="50" t="s">
        <v>297</v>
      </c>
      <c r="J3969" s="51">
        <v>45978</v>
      </c>
      <c r="K3969" s="50" t="s">
        <v>1</v>
      </c>
      <c r="L3969" s="50" t="s">
        <v>80</v>
      </c>
    </row>
    <row r="3970" spans="2:12">
      <c r="B3970" s="50" t="s">
        <v>423</v>
      </c>
      <c r="C3970" s="50" t="s">
        <v>62</v>
      </c>
      <c r="D3970" s="50" t="s">
        <v>27</v>
      </c>
      <c r="E3970" s="50">
        <v>50043917</v>
      </c>
      <c r="F3970" s="50" t="s">
        <v>262</v>
      </c>
      <c r="G3970" s="50">
        <v>1</v>
      </c>
      <c r="H3970" s="50" t="s">
        <v>2</v>
      </c>
      <c r="I3970" s="50" t="s">
        <v>291</v>
      </c>
      <c r="J3970" s="51">
        <v>45978</v>
      </c>
      <c r="K3970" s="50" t="s">
        <v>1</v>
      </c>
      <c r="L3970" s="50" t="s">
        <v>80</v>
      </c>
    </row>
    <row r="3971" spans="2:12">
      <c r="B3971" s="50" t="s">
        <v>428</v>
      </c>
      <c r="C3971" s="50" t="s">
        <v>26</v>
      </c>
      <c r="D3971" s="50" t="s">
        <v>27</v>
      </c>
      <c r="E3971" s="50">
        <v>50032775</v>
      </c>
      <c r="F3971" s="50" t="s">
        <v>307</v>
      </c>
      <c r="G3971" s="50">
        <v>1</v>
      </c>
      <c r="H3971" s="50" t="s">
        <v>2</v>
      </c>
      <c r="I3971" s="50" t="s">
        <v>297</v>
      </c>
      <c r="J3971" s="51">
        <v>45978</v>
      </c>
      <c r="K3971" s="50" t="s">
        <v>3</v>
      </c>
      <c r="L3971" s="50" t="s">
        <v>80</v>
      </c>
    </row>
    <row r="3972" spans="2:12">
      <c r="B3972" s="50" t="s">
        <v>428</v>
      </c>
      <c r="C3972" s="50" t="s">
        <v>26</v>
      </c>
      <c r="D3972" s="50" t="s">
        <v>27</v>
      </c>
      <c r="E3972" s="50">
        <v>50032775</v>
      </c>
      <c r="F3972" s="50" t="s">
        <v>307</v>
      </c>
      <c r="G3972" s="50">
        <v>1</v>
      </c>
      <c r="H3972" s="50" t="s">
        <v>2</v>
      </c>
      <c r="I3972" s="50" t="s">
        <v>291</v>
      </c>
      <c r="J3972" s="51">
        <v>45978</v>
      </c>
      <c r="K3972" s="50" t="s">
        <v>1</v>
      </c>
      <c r="L3972" s="50" t="s">
        <v>80</v>
      </c>
    </row>
    <row r="3973" spans="2:12">
      <c r="B3973" s="50" t="s">
        <v>278</v>
      </c>
      <c r="C3973" s="50" t="s">
        <v>62</v>
      </c>
      <c r="D3973" s="50" t="s">
        <v>27</v>
      </c>
      <c r="E3973" s="50">
        <v>50041194</v>
      </c>
      <c r="F3973" s="50" t="s">
        <v>249</v>
      </c>
      <c r="G3973" s="50">
        <v>1</v>
      </c>
      <c r="H3973" s="50" t="s">
        <v>2</v>
      </c>
      <c r="I3973" s="50" t="s">
        <v>291</v>
      </c>
      <c r="J3973" s="51">
        <v>45978</v>
      </c>
      <c r="K3973" s="50" t="s">
        <v>3</v>
      </c>
      <c r="L3973" s="50" t="s">
        <v>80</v>
      </c>
    </row>
    <row r="3974" spans="2:12">
      <c r="B3974" s="50" t="s">
        <v>278</v>
      </c>
      <c r="C3974" s="50" t="s">
        <v>62</v>
      </c>
      <c r="D3974" s="50" t="s">
        <v>27</v>
      </c>
      <c r="E3974" s="50">
        <v>50041194</v>
      </c>
      <c r="F3974" s="50" t="s">
        <v>249</v>
      </c>
      <c r="G3974" s="50">
        <v>1</v>
      </c>
      <c r="H3974" s="50" t="s">
        <v>2</v>
      </c>
      <c r="I3974" s="50" t="s">
        <v>291</v>
      </c>
      <c r="J3974" s="51">
        <v>45978</v>
      </c>
      <c r="K3974" s="50" t="s">
        <v>1</v>
      </c>
      <c r="L3974" s="50" t="s">
        <v>80</v>
      </c>
    </row>
    <row r="3975" spans="2:12">
      <c r="B3975" s="50" t="s">
        <v>474</v>
      </c>
      <c r="C3975" s="50" t="s">
        <v>51</v>
      </c>
      <c r="D3975" s="50" t="s">
        <v>27</v>
      </c>
      <c r="E3975" s="50">
        <v>50010031</v>
      </c>
      <c r="F3975" s="50" t="s">
        <v>89</v>
      </c>
      <c r="G3975" s="50">
        <v>1</v>
      </c>
      <c r="H3975" s="50" t="s">
        <v>2</v>
      </c>
      <c r="I3975" s="50" t="s">
        <v>291</v>
      </c>
      <c r="J3975" s="51">
        <v>45975</v>
      </c>
      <c r="K3975" s="50" t="s">
        <v>1</v>
      </c>
      <c r="L3975" s="50" t="s">
        <v>80</v>
      </c>
    </row>
    <row r="3976" spans="2:12">
      <c r="B3976" s="50" t="s">
        <v>444</v>
      </c>
      <c r="C3976" s="50" t="s">
        <v>51</v>
      </c>
      <c r="D3976" s="50" t="s">
        <v>27</v>
      </c>
      <c r="E3976" s="50">
        <v>50036296</v>
      </c>
      <c r="F3976" s="50" t="s">
        <v>109</v>
      </c>
      <c r="G3976" s="50">
        <v>1</v>
      </c>
      <c r="H3976" s="50" t="s">
        <v>2</v>
      </c>
      <c r="I3976" s="50" t="s">
        <v>291</v>
      </c>
      <c r="J3976" s="51">
        <v>45975</v>
      </c>
      <c r="K3976" s="50" t="s">
        <v>3</v>
      </c>
      <c r="L3976" s="50" t="s">
        <v>80</v>
      </c>
    </row>
    <row r="3977" spans="2:12">
      <c r="B3977" s="50" t="s">
        <v>444</v>
      </c>
      <c r="C3977" s="50" t="s">
        <v>51</v>
      </c>
      <c r="D3977" s="50" t="s">
        <v>27</v>
      </c>
      <c r="E3977" s="50">
        <v>50036296</v>
      </c>
      <c r="F3977" s="50" t="s">
        <v>109</v>
      </c>
      <c r="G3977" s="50">
        <v>1</v>
      </c>
      <c r="H3977" s="50" t="s">
        <v>2</v>
      </c>
      <c r="I3977" s="50" t="s">
        <v>291</v>
      </c>
      <c r="J3977" s="51">
        <v>45975</v>
      </c>
      <c r="K3977" s="50" t="s">
        <v>1</v>
      </c>
      <c r="L3977" s="50" t="s">
        <v>80</v>
      </c>
    </row>
    <row r="3978" spans="2:12">
      <c r="B3978" s="50" t="s">
        <v>473</v>
      </c>
      <c r="C3978" s="50" t="s">
        <v>26</v>
      </c>
      <c r="D3978" s="50" t="s">
        <v>36</v>
      </c>
      <c r="E3978" s="50">
        <v>50036255</v>
      </c>
      <c r="F3978" s="50" t="s">
        <v>120</v>
      </c>
      <c r="G3978" s="50">
        <v>1</v>
      </c>
      <c r="H3978" s="50" t="s">
        <v>2</v>
      </c>
      <c r="I3978" s="50" t="s">
        <v>288</v>
      </c>
      <c r="J3978" s="51">
        <v>45975</v>
      </c>
      <c r="K3978" s="50" t="s">
        <v>3</v>
      </c>
      <c r="L3978" s="50" t="s">
        <v>80</v>
      </c>
    </row>
    <row r="3979" spans="2:12">
      <c r="B3979" s="50" t="s">
        <v>473</v>
      </c>
      <c r="C3979" s="50" t="s">
        <v>26</v>
      </c>
      <c r="D3979" s="50" t="s">
        <v>36</v>
      </c>
      <c r="E3979" s="50">
        <v>50036255</v>
      </c>
      <c r="F3979" s="50" t="s">
        <v>120</v>
      </c>
      <c r="G3979" s="50">
        <v>1</v>
      </c>
      <c r="H3979" s="50" t="s">
        <v>2</v>
      </c>
      <c r="I3979" s="50" t="s">
        <v>288</v>
      </c>
      <c r="J3979" s="51">
        <v>45975</v>
      </c>
      <c r="K3979" s="50" t="s">
        <v>3</v>
      </c>
      <c r="L3979" s="50" t="s">
        <v>80</v>
      </c>
    </row>
    <row r="3980" spans="2:12">
      <c r="B3980" s="50" t="s">
        <v>316</v>
      </c>
      <c r="C3980" s="50" t="s">
        <v>51</v>
      </c>
      <c r="D3980" s="50" t="s">
        <v>27</v>
      </c>
      <c r="E3980" s="50">
        <v>50030486</v>
      </c>
      <c r="F3980" s="50" t="s">
        <v>153</v>
      </c>
      <c r="G3980" s="50">
        <v>1</v>
      </c>
      <c r="H3980" s="50" t="s">
        <v>2</v>
      </c>
      <c r="I3980" s="50" t="s">
        <v>291</v>
      </c>
      <c r="J3980" s="51">
        <v>45975</v>
      </c>
      <c r="K3980" s="50" t="s">
        <v>1</v>
      </c>
      <c r="L3980" s="50" t="s">
        <v>80</v>
      </c>
    </row>
    <row r="3981" spans="2:12">
      <c r="B3981" s="50" t="s">
        <v>444</v>
      </c>
      <c r="C3981" s="50" t="s">
        <v>51</v>
      </c>
      <c r="D3981" s="50" t="s">
        <v>27</v>
      </c>
      <c r="E3981" s="50">
        <v>50043471</v>
      </c>
      <c r="F3981" s="50" t="s">
        <v>257</v>
      </c>
      <c r="G3981" s="50">
        <v>1</v>
      </c>
      <c r="H3981" s="50" t="s">
        <v>2</v>
      </c>
      <c r="I3981" s="50" t="s">
        <v>291</v>
      </c>
      <c r="J3981" s="51">
        <v>45975</v>
      </c>
      <c r="K3981" s="50" t="s">
        <v>3</v>
      </c>
      <c r="L3981" s="50" t="s">
        <v>80</v>
      </c>
    </row>
    <row r="3982" spans="2:12">
      <c r="B3982" s="50" t="s">
        <v>444</v>
      </c>
      <c r="C3982" s="50" t="s">
        <v>51</v>
      </c>
      <c r="D3982" s="50" t="s">
        <v>27</v>
      </c>
      <c r="E3982" s="50">
        <v>50043471</v>
      </c>
      <c r="F3982" s="50" t="s">
        <v>257</v>
      </c>
      <c r="G3982" s="50">
        <v>1</v>
      </c>
      <c r="H3982" s="50" t="s">
        <v>2</v>
      </c>
      <c r="I3982" s="50" t="s">
        <v>291</v>
      </c>
      <c r="J3982" s="51">
        <v>45975</v>
      </c>
      <c r="K3982" s="50" t="s">
        <v>1</v>
      </c>
      <c r="L3982" s="50" t="s">
        <v>80</v>
      </c>
    </row>
    <row r="3983" spans="2:12">
      <c r="B3983" s="50" t="s">
        <v>394</v>
      </c>
      <c r="C3983" s="50" t="s">
        <v>51</v>
      </c>
      <c r="D3983" s="50" t="s">
        <v>27</v>
      </c>
      <c r="E3983" s="50">
        <v>50043471</v>
      </c>
      <c r="F3983" s="50" t="s">
        <v>257</v>
      </c>
      <c r="G3983" s="50">
        <v>1</v>
      </c>
      <c r="H3983" s="50" t="s">
        <v>2</v>
      </c>
      <c r="I3983" s="50" t="s">
        <v>291</v>
      </c>
      <c r="J3983" s="51">
        <v>45975</v>
      </c>
      <c r="K3983" s="50" t="s">
        <v>3</v>
      </c>
      <c r="L3983" s="50" t="s">
        <v>80</v>
      </c>
    </row>
    <row r="3984" spans="2:12">
      <c r="B3984" s="50" t="s">
        <v>394</v>
      </c>
      <c r="C3984" s="50" t="s">
        <v>51</v>
      </c>
      <c r="D3984" s="50" t="s">
        <v>27</v>
      </c>
      <c r="E3984" s="50">
        <v>50043471</v>
      </c>
      <c r="F3984" s="50" t="s">
        <v>257</v>
      </c>
      <c r="G3984" s="50">
        <v>1</v>
      </c>
      <c r="H3984" s="50" t="s">
        <v>2</v>
      </c>
      <c r="I3984" s="50" t="s">
        <v>291</v>
      </c>
      <c r="J3984" s="51">
        <v>45975</v>
      </c>
      <c r="K3984" s="50" t="s">
        <v>1</v>
      </c>
      <c r="L3984" s="50" t="s">
        <v>80</v>
      </c>
    </row>
    <row r="3985" spans="2:12">
      <c r="B3985" s="50" t="s">
        <v>270</v>
      </c>
      <c r="C3985" s="50" t="s">
        <v>51</v>
      </c>
      <c r="D3985" s="50" t="s">
        <v>41</v>
      </c>
      <c r="E3985" s="50">
        <v>50043471</v>
      </c>
      <c r="F3985" s="50" t="s">
        <v>257</v>
      </c>
      <c r="G3985" s="50">
        <v>1</v>
      </c>
      <c r="H3985" s="50" t="s">
        <v>2</v>
      </c>
      <c r="I3985" s="50" t="s">
        <v>288</v>
      </c>
      <c r="J3985" s="51">
        <v>45975</v>
      </c>
      <c r="K3985" s="50" t="s">
        <v>3</v>
      </c>
      <c r="L3985" s="50" t="s">
        <v>80</v>
      </c>
    </row>
    <row r="3986" spans="2:12">
      <c r="B3986" s="50" t="s">
        <v>270</v>
      </c>
      <c r="C3986" s="50" t="s">
        <v>51</v>
      </c>
      <c r="D3986" s="50" t="s">
        <v>41</v>
      </c>
      <c r="E3986" s="50">
        <v>50043471</v>
      </c>
      <c r="F3986" s="50" t="s">
        <v>257</v>
      </c>
      <c r="G3986" s="50">
        <v>1</v>
      </c>
      <c r="H3986" s="50" t="s">
        <v>2</v>
      </c>
      <c r="I3986" s="50" t="s">
        <v>288</v>
      </c>
      <c r="J3986" s="51">
        <v>45975</v>
      </c>
      <c r="K3986" s="50" t="s">
        <v>1</v>
      </c>
      <c r="L3986" s="50" t="s">
        <v>80</v>
      </c>
    </row>
    <row r="3987" spans="2:12">
      <c r="B3987" s="50" t="s">
        <v>402</v>
      </c>
      <c r="C3987" s="50" t="s">
        <v>56</v>
      </c>
      <c r="D3987" s="50" t="s">
        <v>39</v>
      </c>
      <c r="E3987" s="50">
        <v>50043320</v>
      </c>
      <c r="F3987" s="50" t="s">
        <v>264</v>
      </c>
      <c r="G3987" s="50">
        <v>1</v>
      </c>
      <c r="H3987" s="50" t="s">
        <v>2</v>
      </c>
      <c r="I3987" s="50" t="s">
        <v>291</v>
      </c>
      <c r="J3987" s="51">
        <v>45975</v>
      </c>
      <c r="K3987" s="50" t="s">
        <v>3</v>
      </c>
      <c r="L3987" s="50" t="s">
        <v>80</v>
      </c>
    </row>
    <row r="3988" spans="2:12">
      <c r="B3988" s="50" t="s">
        <v>402</v>
      </c>
      <c r="C3988" s="50" t="s">
        <v>56</v>
      </c>
      <c r="D3988" s="50" t="s">
        <v>39</v>
      </c>
      <c r="E3988" s="50">
        <v>50043320</v>
      </c>
      <c r="F3988" s="50" t="s">
        <v>264</v>
      </c>
      <c r="G3988" s="50">
        <v>1</v>
      </c>
      <c r="H3988" s="50" t="s">
        <v>2</v>
      </c>
      <c r="I3988" s="50" t="s">
        <v>288</v>
      </c>
      <c r="J3988" s="51">
        <v>45975</v>
      </c>
      <c r="K3988" s="50" t="s">
        <v>1</v>
      </c>
      <c r="L3988" s="50" t="s">
        <v>80</v>
      </c>
    </row>
    <row r="3989" spans="2:12">
      <c r="B3989" s="50" t="s">
        <v>345</v>
      </c>
      <c r="C3989" s="50" t="s">
        <v>56</v>
      </c>
      <c r="D3989" s="50" t="s">
        <v>27</v>
      </c>
      <c r="E3989" s="50">
        <v>50043320</v>
      </c>
      <c r="F3989" s="50" t="s">
        <v>264</v>
      </c>
      <c r="G3989" s="50">
        <v>1</v>
      </c>
      <c r="H3989" s="50" t="s">
        <v>2</v>
      </c>
      <c r="I3989" s="50" t="s">
        <v>288</v>
      </c>
      <c r="J3989" s="51">
        <v>45975</v>
      </c>
      <c r="K3989" s="50" t="s">
        <v>3</v>
      </c>
      <c r="L3989" s="50" t="s">
        <v>80</v>
      </c>
    </row>
    <row r="3990" spans="2:12">
      <c r="B3990" s="50" t="s">
        <v>345</v>
      </c>
      <c r="C3990" s="50" t="s">
        <v>56</v>
      </c>
      <c r="D3990" s="50" t="s">
        <v>27</v>
      </c>
      <c r="E3990" s="50">
        <v>50043320</v>
      </c>
      <c r="F3990" s="50" t="s">
        <v>264</v>
      </c>
      <c r="G3990" s="50">
        <v>1</v>
      </c>
      <c r="H3990" s="50" t="s">
        <v>2</v>
      </c>
      <c r="I3990" s="50" t="s">
        <v>288</v>
      </c>
      <c r="J3990" s="51">
        <v>45975</v>
      </c>
      <c r="K3990" s="50" t="s">
        <v>3</v>
      </c>
      <c r="L3990" s="50" t="s">
        <v>80</v>
      </c>
    </row>
    <row r="3991" spans="2:12">
      <c r="B3991" s="50" t="s">
        <v>481</v>
      </c>
      <c r="C3991" s="50" t="s">
        <v>26</v>
      </c>
      <c r="D3991" s="50" t="s">
        <v>27</v>
      </c>
      <c r="E3991" s="50">
        <v>50038549</v>
      </c>
      <c r="F3991" s="50" t="s">
        <v>173</v>
      </c>
      <c r="G3991" s="50">
        <v>1</v>
      </c>
      <c r="H3991" s="50" t="s">
        <v>2</v>
      </c>
      <c r="I3991" s="50" t="s">
        <v>288</v>
      </c>
      <c r="J3991" s="51">
        <v>45975</v>
      </c>
      <c r="K3991" s="50" t="s">
        <v>1</v>
      </c>
      <c r="L3991" s="50" t="s">
        <v>80</v>
      </c>
    </row>
    <row r="3992" spans="2:12">
      <c r="B3992" s="50" t="s">
        <v>481</v>
      </c>
      <c r="C3992" s="50" t="s">
        <v>26</v>
      </c>
      <c r="D3992" s="50" t="s">
        <v>27</v>
      </c>
      <c r="E3992" s="50">
        <v>50038549</v>
      </c>
      <c r="F3992" s="50" t="s">
        <v>173</v>
      </c>
      <c r="G3992" s="50">
        <v>1</v>
      </c>
      <c r="H3992" s="50" t="s">
        <v>2</v>
      </c>
      <c r="I3992" s="50" t="s">
        <v>288</v>
      </c>
      <c r="J3992" s="51">
        <v>45975</v>
      </c>
      <c r="K3992" s="50" t="s">
        <v>1</v>
      </c>
      <c r="L3992" s="50" t="s">
        <v>80</v>
      </c>
    </row>
    <row r="3993" spans="2:12">
      <c r="B3993" s="50" t="s">
        <v>481</v>
      </c>
      <c r="C3993" s="50" t="s">
        <v>26</v>
      </c>
      <c r="D3993" s="50" t="s">
        <v>27</v>
      </c>
      <c r="E3993" s="50">
        <v>50022878</v>
      </c>
      <c r="F3993" s="50" t="s">
        <v>296</v>
      </c>
      <c r="G3993" s="50">
        <v>1</v>
      </c>
      <c r="H3993" s="50" t="s">
        <v>2</v>
      </c>
      <c r="I3993" s="50" t="s">
        <v>288</v>
      </c>
      <c r="J3993" s="51">
        <v>45975</v>
      </c>
      <c r="K3993" s="50" t="s">
        <v>3</v>
      </c>
      <c r="L3993" s="50" t="s">
        <v>80</v>
      </c>
    </row>
    <row r="3994" spans="2:12">
      <c r="B3994" s="50" t="s">
        <v>481</v>
      </c>
      <c r="C3994" s="50" t="s">
        <v>26</v>
      </c>
      <c r="D3994" s="50" t="s">
        <v>27</v>
      </c>
      <c r="E3994" s="50">
        <v>50022878</v>
      </c>
      <c r="F3994" s="50" t="s">
        <v>296</v>
      </c>
      <c r="G3994" s="50">
        <v>1</v>
      </c>
      <c r="H3994" s="50" t="s">
        <v>2</v>
      </c>
      <c r="I3994" s="50" t="s">
        <v>288</v>
      </c>
      <c r="J3994" s="51">
        <v>45975</v>
      </c>
      <c r="K3994" s="50" t="s">
        <v>1</v>
      </c>
      <c r="L3994" s="50" t="s">
        <v>80</v>
      </c>
    </row>
    <row r="3995" spans="2:12">
      <c r="B3995" s="50" t="s">
        <v>394</v>
      </c>
      <c r="C3995" s="50" t="s">
        <v>51</v>
      </c>
      <c r="D3995" s="50" t="s">
        <v>27</v>
      </c>
      <c r="E3995" s="50">
        <v>50038956</v>
      </c>
      <c r="F3995" s="50" t="s">
        <v>177</v>
      </c>
      <c r="G3995" s="50">
        <v>1</v>
      </c>
      <c r="H3995" s="50" t="s">
        <v>2</v>
      </c>
      <c r="I3995" s="50" t="s">
        <v>291</v>
      </c>
      <c r="J3995" s="51">
        <v>45975</v>
      </c>
      <c r="K3995" s="50" t="s">
        <v>3</v>
      </c>
      <c r="L3995" s="50" t="s">
        <v>80</v>
      </c>
    </row>
    <row r="3996" spans="2:12">
      <c r="B3996" s="50" t="s">
        <v>394</v>
      </c>
      <c r="C3996" s="50" t="s">
        <v>51</v>
      </c>
      <c r="D3996" s="50" t="s">
        <v>27</v>
      </c>
      <c r="E3996" s="50">
        <v>50038956</v>
      </c>
      <c r="F3996" s="50" t="s">
        <v>177</v>
      </c>
      <c r="G3996" s="50">
        <v>1</v>
      </c>
      <c r="H3996" s="50" t="s">
        <v>2</v>
      </c>
      <c r="I3996" s="50" t="s">
        <v>291</v>
      </c>
      <c r="J3996" s="51">
        <v>45975</v>
      </c>
      <c r="K3996" s="50" t="s">
        <v>3</v>
      </c>
      <c r="L3996" s="50" t="s">
        <v>80</v>
      </c>
    </row>
    <row r="3997" spans="2:12">
      <c r="B3997" s="50" t="s">
        <v>406</v>
      </c>
      <c r="C3997" s="50" t="s">
        <v>26</v>
      </c>
      <c r="D3997" s="50" t="s">
        <v>39</v>
      </c>
      <c r="E3997" s="50">
        <v>50037892</v>
      </c>
      <c r="F3997" s="50" t="s">
        <v>178</v>
      </c>
      <c r="G3997" s="50">
        <v>1</v>
      </c>
      <c r="H3997" s="50" t="s">
        <v>2</v>
      </c>
      <c r="I3997" s="50" t="s">
        <v>291</v>
      </c>
      <c r="J3997" s="51">
        <v>45975</v>
      </c>
      <c r="K3997" s="50" t="s">
        <v>1</v>
      </c>
      <c r="L3997" s="50" t="s">
        <v>80</v>
      </c>
    </row>
    <row r="3998" spans="2:12">
      <c r="B3998" s="50" t="s">
        <v>406</v>
      </c>
      <c r="C3998" s="50" t="s">
        <v>26</v>
      </c>
      <c r="D3998" s="50" t="s">
        <v>39</v>
      </c>
      <c r="E3998" s="50">
        <v>50037892</v>
      </c>
      <c r="F3998" s="50" t="s">
        <v>178</v>
      </c>
      <c r="G3998" s="50">
        <v>1</v>
      </c>
      <c r="H3998" s="50" t="s">
        <v>2</v>
      </c>
      <c r="I3998" s="50" t="s">
        <v>288</v>
      </c>
      <c r="J3998" s="51">
        <v>45975</v>
      </c>
      <c r="K3998" s="50" t="s">
        <v>3</v>
      </c>
      <c r="L3998" s="50" t="s">
        <v>80</v>
      </c>
    </row>
    <row r="3999" spans="2:12">
      <c r="B3999" s="50" t="s">
        <v>316</v>
      </c>
      <c r="C3999" s="50" t="s">
        <v>51</v>
      </c>
      <c r="D3999" s="50" t="s">
        <v>27</v>
      </c>
      <c r="E3999" s="50">
        <v>50037902</v>
      </c>
      <c r="F3999" s="50" t="s">
        <v>179</v>
      </c>
      <c r="G3999" s="50">
        <v>1</v>
      </c>
      <c r="H3999" s="50" t="s">
        <v>2</v>
      </c>
      <c r="I3999" s="50" t="s">
        <v>291</v>
      </c>
      <c r="J3999" s="51">
        <v>45975</v>
      </c>
      <c r="K3999" s="50" t="s">
        <v>1</v>
      </c>
      <c r="L3999" s="50" t="s">
        <v>80</v>
      </c>
    </row>
    <row r="4000" spans="2:12">
      <c r="B4000" s="50" t="s">
        <v>316</v>
      </c>
      <c r="C4000" s="50" t="s">
        <v>51</v>
      </c>
      <c r="D4000" s="50" t="s">
        <v>27</v>
      </c>
      <c r="E4000" s="50">
        <v>50037902</v>
      </c>
      <c r="F4000" s="50" t="s">
        <v>179</v>
      </c>
      <c r="G4000" s="50">
        <v>1</v>
      </c>
      <c r="H4000" s="50" t="s">
        <v>2</v>
      </c>
      <c r="I4000" s="50" t="s">
        <v>288</v>
      </c>
      <c r="J4000" s="51">
        <v>45975</v>
      </c>
      <c r="K4000" s="50" t="s">
        <v>3</v>
      </c>
      <c r="L4000" s="50" t="s">
        <v>80</v>
      </c>
    </row>
    <row r="4001" spans="2:12">
      <c r="B4001" s="50" t="s">
        <v>437</v>
      </c>
      <c r="C4001" s="50" t="s">
        <v>51</v>
      </c>
      <c r="D4001" s="50" t="s">
        <v>41</v>
      </c>
      <c r="E4001" s="50">
        <v>50038841</v>
      </c>
      <c r="F4001" s="50" t="s">
        <v>180</v>
      </c>
      <c r="G4001" s="50">
        <v>1</v>
      </c>
      <c r="H4001" s="50" t="s">
        <v>2</v>
      </c>
      <c r="I4001" s="50" t="s">
        <v>291</v>
      </c>
      <c r="J4001" s="51">
        <v>45975</v>
      </c>
      <c r="K4001" s="50" t="s">
        <v>1</v>
      </c>
      <c r="L4001" s="50" t="s">
        <v>80</v>
      </c>
    </row>
    <row r="4002" spans="2:12">
      <c r="B4002" s="50" t="s">
        <v>437</v>
      </c>
      <c r="C4002" s="50" t="s">
        <v>51</v>
      </c>
      <c r="D4002" s="50" t="s">
        <v>41</v>
      </c>
      <c r="E4002" s="50">
        <v>50038841</v>
      </c>
      <c r="F4002" s="50" t="s">
        <v>180</v>
      </c>
      <c r="G4002" s="50">
        <v>1</v>
      </c>
      <c r="H4002" s="50" t="s">
        <v>2</v>
      </c>
      <c r="I4002" s="50" t="s">
        <v>288</v>
      </c>
      <c r="J4002" s="51">
        <v>45975</v>
      </c>
      <c r="K4002" s="50" t="s">
        <v>3</v>
      </c>
      <c r="L4002" s="50" t="s">
        <v>80</v>
      </c>
    </row>
    <row r="4003" spans="2:12">
      <c r="B4003" s="50" t="s">
        <v>481</v>
      </c>
      <c r="C4003" s="50" t="s">
        <v>56</v>
      </c>
      <c r="D4003" s="50" t="s">
        <v>27</v>
      </c>
      <c r="E4003" s="50">
        <v>50041195</v>
      </c>
      <c r="F4003" s="50" t="s">
        <v>206</v>
      </c>
      <c r="G4003" s="50">
        <v>1</v>
      </c>
      <c r="H4003" s="50" t="s">
        <v>2</v>
      </c>
      <c r="I4003" s="50" t="s">
        <v>291</v>
      </c>
      <c r="J4003" s="51">
        <v>45975</v>
      </c>
      <c r="K4003" s="50" t="s">
        <v>1</v>
      </c>
      <c r="L4003" s="50" t="s">
        <v>80</v>
      </c>
    </row>
    <row r="4004" spans="2:12">
      <c r="B4004" s="50" t="s">
        <v>481</v>
      </c>
      <c r="C4004" s="50" t="s">
        <v>56</v>
      </c>
      <c r="D4004" s="50" t="s">
        <v>27</v>
      </c>
      <c r="E4004" s="50">
        <v>50041195</v>
      </c>
      <c r="F4004" s="50" t="s">
        <v>206</v>
      </c>
      <c r="G4004" s="50">
        <v>1</v>
      </c>
      <c r="H4004" s="50" t="s">
        <v>2</v>
      </c>
      <c r="I4004" s="50" t="s">
        <v>291</v>
      </c>
      <c r="J4004" s="51">
        <v>45975</v>
      </c>
      <c r="K4004" s="50" t="s">
        <v>3</v>
      </c>
      <c r="L4004" s="50" t="s">
        <v>80</v>
      </c>
    </row>
    <row r="4005" spans="2:12">
      <c r="B4005" s="50" t="s">
        <v>413</v>
      </c>
      <c r="C4005" s="50" t="s">
        <v>51</v>
      </c>
      <c r="D4005" s="50" t="s">
        <v>39</v>
      </c>
      <c r="E4005" s="50">
        <v>50041195</v>
      </c>
      <c r="F4005" s="50" t="s">
        <v>206</v>
      </c>
      <c r="G4005" s="50">
        <v>1</v>
      </c>
      <c r="H4005" s="50" t="s">
        <v>2</v>
      </c>
      <c r="I4005" s="50" t="s">
        <v>291</v>
      </c>
      <c r="J4005" s="51">
        <v>45975</v>
      </c>
      <c r="K4005" s="54" t="s">
        <v>1</v>
      </c>
      <c r="L4005" s="50" t="s">
        <v>80</v>
      </c>
    </row>
    <row r="4006" spans="2:12">
      <c r="B4006" s="50" t="s">
        <v>413</v>
      </c>
      <c r="C4006" s="50" t="s">
        <v>51</v>
      </c>
      <c r="D4006" s="50" t="s">
        <v>39</v>
      </c>
      <c r="E4006" s="50">
        <v>50041195</v>
      </c>
      <c r="F4006" s="50" t="s">
        <v>206</v>
      </c>
      <c r="G4006" s="50">
        <v>1</v>
      </c>
      <c r="H4006" s="50" t="s">
        <v>2</v>
      </c>
      <c r="I4006" s="50" t="s">
        <v>291</v>
      </c>
      <c r="J4006" s="51">
        <v>45975</v>
      </c>
      <c r="K4006" s="50" t="s">
        <v>3</v>
      </c>
      <c r="L4006" s="50" t="s">
        <v>80</v>
      </c>
    </row>
    <row r="4007" spans="2:12">
      <c r="B4007" s="50" t="s">
        <v>345</v>
      </c>
      <c r="C4007" s="54" t="s">
        <v>62</v>
      </c>
      <c r="D4007" s="54" t="s">
        <v>27</v>
      </c>
      <c r="E4007" s="54">
        <v>50041195</v>
      </c>
      <c r="F4007" s="54" t="s">
        <v>206</v>
      </c>
      <c r="G4007" s="54">
        <v>1</v>
      </c>
      <c r="H4007" s="54" t="s">
        <v>2</v>
      </c>
      <c r="I4007" s="54" t="s">
        <v>291</v>
      </c>
      <c r="J4007" s="55">
        <v>45975</v>
      </c>
      <c r="K4007" s="50" t="s">
        <v>1</v>
      </c>
      <c r="L4007" s="50" t="s">
        <v>80</v>
      </c>
    </row>
    <row r="4008" spans="2:12">
      <c r="B4008" s="50" t="s">
        <v>345</v>
      </c>
      <c r="C4008" s="50" t="s">
        <v>62</v>
      </c>
      <c r="D4008" s="50" t="s">
        <v>27</v>
      </c>
      <c r="E4008" s="50">
        <v>50041195</v>
      </c>
      <c r="F4008" s="50" t="s">
        <v>206</v>
      </c>
      <c r="G4008" s="50">
        <v>1</v>
      </c>
      <c r="H4008" s="50" t="s">
        <v>2</v>
      </c>
      <c r="I4008" s="50" t="s">
        <v>291</v>
      </c>
      <c r="J4008" s="51">
        <v>45975</v>
      </c>
      <c r="K4008" s="50" t="s">
        <v>3</v>
      </c>
      <c r="L4008" s="54" t="s">
        <v>80</v>
      </c>
    </row>
    <row r="4009" spans="2:12">
      <c r="B4009" s="50" t="s">
        <v>345</v>
      </c>
      <c r="C4009" s="50" t="s">
        <v>56</v>
      </c>
      <c r="D4009" s="50" t="s">
        <v>27</v>
      </c>
      <c r="E4009" s="50">
        <v>50041195</v>
      </c>
      <c r="F4009" s="50" t="s">
        <v>206</v>
      </c>
      <c r="G4009" s="50">
        <v>1</v>
      </c>
      <c r="H4009" s="50" t="s">
        <v>2</v>
      </c>
      <c r="I4009" s="50" t="s">
        <v>288</v>
      </c>
      <c r="J4009" s="51">
        <v>45975</v>
      </c>
      <c r="K4009" s="50" t="s">
        <v>1</v>
      </c>
      <c r="L4009" s="50" t="s">
        <v>80</v>
      </c>
    </row>
    <row r="4010" spans="2:12">
      <c r="B4010" s="50" t="s">
        <v>345</v>
      </c>
      <c r="C4010" s="50" t="s">
        <v>56</v>
      </c>
      <c r="D4010" s="50" t="s">
        <v>27</v>
      </c>
      <c r="E4010" s="50">
        <v>50041195</v>
      </c>
      <c r="F4010" s="50" t="s">
        <v>206</v>
      </c>
      <c r="G4010" s="50">
        <v>1</v>
      </c>
      <c r="H4010" s="50" t="s">
        <v>2</v>
      </c>
      <c r="I4010" s="50" t="s">
        <v>288</v>
      </c>
      <c r="J4010" s="51">
        <v>45975</v>
      </c>
      <c r="K4010" s="50" t="s">
        <v>3</v>
      </c>
      <c r="L4010" s="50" t="s">
        <v>80</v>
      </c>
    </row>
    <row r="4011" spans="2:12">
      <c r="B4011" s="50" t="s">
        <v>406</v>
      </c>
      <c r="C4011" s="50" t="s">
        <v>26</v>
      </c>
      <c r="D4011" s="50" t="s">
        <v>39</v>
      </c>
      <c r="E4011" s="50">
        <v>50043917</v>
      </c>
      <c r="F4011" s="50" t="s">
        <v>262</v>
      </c>
      <c r="G4011" s="50">
        <v>1</v>
      </c>
      <c r="H4011" s="50" t="s">
        <v>2</v>
      </c>
      <c r="I4011" s="50" t="s">
        <v>291</v>
      </c>
      <c r="J4011" s="51">
        <v>45975</v>
      </c>
      <c r="K4011" s="50" t="s">
        <v>1</v>
      </c>
      <c r="L4011" s="50" t="s">
        <v>80</v>
      </c>
    </row>
    <row r="4012" spans="2:12">
      <c r="B4012" s="50" t="s">
        <v>406</v>
      </c>
      <c r="C4012" s="50" t="s">
        <v>26</v>
      </c>
      <c r="D4012" s="50" t="s">
        <v>39</v>
      </c>
      <c r="E4012" s="50">
        <v>50043917</v>
      </c>
      <c r="F4012" s="50" t="s">
        <v>262</v>
      </c>
      <c r="G4012" s="50">
        <v>1</v>
      </c>
      <c r="H4012" s="50" t="s">
        <v>2</v>
      </c>
      <c r="I4012" s="50" t="s">
        <v>288</v>
      </c>
      <c r="J4012" s="51">
        <v>45975</v>
      </c>
      <c r="K4012" s="50" t="s">
        <v>3</v>
      </c>
      <c r="L4012" s="50" t="s">
        <v>80</v>
      </c>
    </row>
    <row r="4013" spans="2:12">
      <c r="B4013" s="50" t="s">
        <v>345</v>
      </c>
      <c r="C4013" s="50" t="s">
        <v>51</v>
      </c>
      <c r="D4013" s="50" t="s">
        <v>36</v>
      </c>
      <c r="E4013" s="50">
        <v>50043917</v>
      </c>
      <c r="F4013" s="50" t="s">
        <v>262</v>
      </c>
      <c r="G4013" s="50">
        <v>1</v>
      </c>
      <c r="H4013" s="50" t="s">
        <v>2</v>
      </c>
      <c r="I4013" s="50" t="s">
        <v>288</v>
      </c>
      <c r="J4013" s="51">
        <v>45975</v>
      </c>
      <c r="K4013" s="50" t="s">
        <v>1</v>
      </c>
      <c r="L4013" s="50" t="s">
        <v>80</v>
      </c>
    </row>
    <row r="4014" spans="2:12">
      <c r="B4014" s="50" t="s">
        <v>345</v>
      </c>
      <c r="C4014" s="50" t="s">
        <v>51</v>
      </c>
      <c r="D4014" s="50" t="s">
        <v>36</v>
      </c>
      <c r="E4014" s="50">
        <v>50043917</v>
      </c>
      <c r="F4014" s="50" t="s">
        <v>262</v>
      </c>
      <c r="G4014" s="50">
        <v>1</v>
      </c>
      <c r="H4014" s="50" t="s">
        <v>2</v>
      </c>
      <c r="I4014" s="50" t="s">
        <v>288</v>
      </c>
      <c r="J4014" s="51">
        <v>45975</v>
      </c>
      <c r="K4014" s="50" t="s">
        <v>1</v>
      </c>
      <c r="L4014" s="50" t="s">
        <v>80</v>
      </c>
    </row>
    <row r="4015" spans="2:12">
      <c r="B4015" s="50" t="s">
        <v>345</v>
      </c>
      <c r="C4015" s="50" t="s">
        <v>62</v>
      </c>
      <c r="D4015" s="50" t="s">
        <v>27</v>
      </c>
      <c r="E4015" s="50">
        <v>50020624</v>
      </c>
      <c r="F4015" s="50" t="s">
        <v>217</v>
      </c>
      <c r="G4015" s="50">
        <v>1</v>
      </c>
      <c r="H4015" s="50" t="s">
        <v>2</v>
      </c>
      <c r="I4015" s="50" t="s">
        <v>291</v>
      </c>
      <c r="J4015" s="51">
        <v>45975</v>
      </c>
      <c r="K4015" s="50" t="s">
        <v>3</v>
      </c>
      <c r="L4015" s="50" t="s">
        <v>80</v>
      </c>
    </row>
    <row r="4016" spans="2:12">
      <c r="B4016" s="50" t="s">
        <v>345</v>
      </c>
      <c r="C4016" s="50" t="s">
        <v>62</v>
      </c>
      <c r="D4016" s="50" t="s">
        <v>27</v>
      </c>
      <c r="E4016" s="50">
        <v>50020624</v>
      </c>
      <c r="F4016" s="50" t="s">
        <v>217</v>
      </c>
      <c r="G4016" s="50">
        <v>1</v>
      </c>
      <c r="H4016" s="50" t="s">
        <v>2</v>
      </c>
      <c r="I4016" s="50" t="s">
        <v>291</v>
      </c>
      <c r="J4016" s="51">
        <v>45975</v>
      </c>
      <c r="K4016" s="50" t="s">
        <v>1</v>
      </c>
      <c r="L4016" s="50" t="s">
        <v>80</v>
      </c>
    </row>
    <row r="4017" spans="2:12">
      <c r="B4017" s="50" t="s">
        <v>427</v>
      </c>
      <c r="C4017" s="50" t="s">
        <v>26</v>
      </c>
      <c r="D4017" s="50" t="s">
        <v>27</v>
      </c>
      <c r="E4017" s="50">
        <v>50037948</v>
      </c>
      <c r="F4017" s="50" t="s">
        <v>232</v>
      </c>
      <c r="G4017" s="50">
        <v>1</v>
      </c>
      <c r="H4017" s="50" t="s">
        <v>2</v>
      </c>
      <c r="I4017" s="50" t="s">
        <v>288</v>
      </c>
      <c r="J4017" s="51">
        <v>45975</v>
      </c>
      <c r="K4017" s="50" t="s">
        <v>3</v>
      </c>
      <c r="L4017" s="50" t="s">
        <v>80</v>
      </c>
    </row>
    <row r="4018" spans="2:12">
      <c r="B4018" s="50" t="s">
        <v>427</v>
      </c>
      <c r="C4018" s="50" t="s">
        <v>26</v>
      </c>
      <c r="D4018" s="50" t="s">
        <v>27</v>
      </c>
      <c r="E4018" s="50">
        <v>50037948</v>
      </c>
      <c r="F4018" s="50" t="s">
        <v>232</v>
      </c>
      <c r="G4018" s="50">
        <v>1</v>
      </c>
      <c r="H4018" s="50" t="s">
        <v>2</v>
      </c>
      <c r="I4018" s="50" t="s">
        <v>288</v>
      </c>
      <c r="J4018" s="51">
        <v>45975</v>
      </c>
      <c r="K4018" s="50" t="s">
        <v>3</v>
      </c>
      <c r="L4018" s="50" t="s">
        <v>80</v>
      </c>
    </row>
    <row r="4019" spans="2:12">
      <c r="B4019" s="50" t="s">
        <v>316</v>
      </c>
      <c r="C4019" s="50" t="s">
        <v>51</v>
      </c>
      <c r="D4019" s="50" t="s">
        <v>27</v>
      </c>
      <c r="E4019" s="50">
        <v>50010031</v>
      </c>
      <c r="F4019" s="50" t="s">
        <v>89</v>
      </c>
      <c r="G4019" s="50">
        <v>1</v>
      </c>
      <c r="H4019" s="50" t="s">
        <v>2</v>
      </c>
      <c r="I4019" s="50" t="s">
        <v>291</v>
      </c>
      <c r="J4019" s="51">
        <v>45974</v>
      </c>
      <c r="K4019" s="50" t="s">
        <v>3</v>
      </c>
      <c r="L4019" s="50" t="s">
        <v>80</v>
      </c>
    </row>
    <row r="4020" spans="2:12">
      <c r="B4020" s="50" t="s">
        <v>316</v>
      </c>
      <c r="C4020" s="50" t="s">
        <v>51</v>
      </c>
      <c r="D4020" s="50" t="s">
        <v>27</v>
      </c>
      <c r="E4020" s="50">
        <v>50010031</v>
      </c>
      <c r="F4020" s="50" t="s">
        <v>89</v>
      </c>
      <c r="G4020" s="50">
        <v>1</v>
      </c>
      <c r="H4020" s="50" t="s">
        <v>2</v>
      </c>
      <c r="I4020" s="50" t="s">
        <v>291</v>
      </c>
      <c r="J4020" s="51">
        <v>45974</v>
      </c>
      <c r="K4020" s="50" t="s">
        <v>1</v>
      </c>
      <c r="L4020" s="50" t="s">
        <v>80</v>
      </c>
    </row>
    <row r="4021" spans="2:12">
      <c r="B4021" s="50" t="s">
        <v>422</v>
      </c>
      <c r="C4021" s="50" t="s">
        <v>26</v>
      </c>
      <c r="D4021" s="50" t="s">
        <v>27</v>
      </c>
      <c r="E4021" s="50">
        <v>50037905</v>
      </c>
      <c r="F4021" s="50" t="s">
        <v>150</v>
      </c>
      <c r="G4021" s="50">
        <v>1</v>
      </c>
      <c r="H4021" s="50" t="s">
        <v>2</v>
      </c>
      <c r="I4021" s="50" t="s">
        <v>291</v>
      </c>
      <c r="J4021" s="51">
        <v>45974</v>
      </c>
      <c r="K4021" s="50" t="s">
        <v>3</v>
      </c>
      <c r="L4021" s="50" t="s">
        <v>80</v>
      </c>
    </row>
    <row r="4022" spans="2:12">
      <c r="B4022" s="50" t="s">
        <v>422</v>
      </c>
      <c r="C4022" s="50" t="s">
        <v>26</v>
      </c>
      <c r="D4022" s="50" t="s">
        <v>27</v>
      </c>
      <c r="E4022" s="50">
        <v>50037905</v>
      </c>
      <c r="F4022" s="50" t="s">
        <v>150</v>
      </c>
      <c r="G4022" s="50">
        <v>1</v>
      </c>
      <c r="H4022" s="50" t="s">
        <v>2</v>
      </c>
      <c r="I4022" s="50" t="s">
        <v>288</v>
      </c>
      <c r="J4022" s="51">
        <v>45974</v>
      </c>
      <c r="K4022" s="50" t="s">
        <v>1</v>
      </c>
      <c r="L4022" s="50" t="s">
        <v>80</v>
      </c>
    </row>
    <row r="4023" spans="2:12">
      <c r="B4023" s="50" t="s">
        <v>463</v>
      </c>
      <c r="C4023" s="50" t="s">
        <v>56</v>
      </c>
      <c r="D4023" s="50" t="s">
        <v>27</v>
      </c>
      <c r="E4023" s="50">
        <v>50030486</v>
      </c>
      <c r="F4023" s="50" t="s">
        <v>153</v>
      </c>
      <c r="G4023" s="50">
        <v>1</v>
      </c>
      <c r="H4023" s="50" t="s">
        <v>2</v>
      </c>
      <c r="I4023" s="50" t="s">
        <v>291</v>
      </c>
      <c r="J4023" s="51">
        <v>45974</v>
      </c>
      <c r="K4023" s="50" t="s">
        <v>3</v>
      </c>
      <c r="L4023" s="50" t="s">
        <v>80</v>
      </c>
    </row>
    <row r="4024" spans="2:12">
      <c r="B4024" s="50" t="s">
        <v>463</v>
      </c>
      <c r="C4024" s="50" t="s">
        <v>56</v>
      </c>
      <c r="D4024" s="50" t="s">
        <v>27</v>
      </c>
      <c r="E4024" s="50">
        <v>50030486</v>
      </c>
      <c r="F4024" s="50" t="s">
        <v>153</v>
      </c>
      <c r="G4024" s="50">
        <v>1</v>
      </c>
      <c r="H4024" s="50" t="s">
        <v>2</v>
      </c>
      <c r="I4024" s="50" t="s">
        <v>288</v>
      </c>
      <c r="J4024" s="51">
        <v>45974</v>
      </c>
      <c r="K4024" s="50" t="s">
        <v>1</v>
      </c>
      <c r="L4024" s="50" t="s">
        <v>80</v>
      </c>
    </row>
    <row r="4025" spans="2:12">
      <c r="B4025" s="50" t="s">
        <v>394</v>
      </c>
      <c r="C4025" s="50" t="s">
        <v>51</v>
      </c>
      <c r="D4025" s="50" t="s">
        <v>27</v>
      </c>
      <c r="E4025" s="50">
        <v>50030486</v>
      </c>
      <c r="F4025" s="50" t="s">
        <v>153</v>
      </c>
      <c r="G4025" s="50">
        <v>1</v>
      </c>
      <c r="H4025" s="50" t="s">
        <v>2</v>
      </c>
      <c r="I4025" s="50" t="s">
        <v>288</v>
      </c>
      <c r="J4025" s="51">
        <v>45974</v>
      </c>
      <c r="K4025" s="50" t="s">
        <v>3</v>
      </c>
      <c r="L4025" s="50" t="s">
        <v>80</v>
      </c>
    </row>
    <row r="4026" spans="2:12">
      <c r="B4026" s="50" t="s">
        <v>394</v>
      </c>
      <c r="C4026" s="50" t="s">
        <v>51</v>
      </c>
      <c r="D4026" s="50" t="s">
        <v>27</v>
      </c>
      <c r="E4026" s="50">
        <v>50030486</v>
      </c>
      <c r="F4026" s="50" t="s">
        <v>153</v>
      </c>
      <c r="G4026" s="50">
        <v>1</v>
      </c>
      <c r="H4026" s="50" t="s">
        <v>2</v>
      </c>
      <c r="I4026" s="50" t="s">
        <v>288</v>
      </c>
      <c r="J4026" s="51">
        <v>45974</v>
      </c>
      <c r="K4026" s="50" t="s">
        <v>1</v>
      </c>
      <c r="L4026" s="50" t="s">
        <v>80</v>
      </c>
    </row>
    <row r="4027" spans="2:12">
      <c r="B4027" s="50" t="s">
        <v>474</v>
      </c>
      <c r="C4027" s="50" t="s">
        <v>51</v>
      </c>
      <c r="D4027" s="50" t="s">
        <v>27</v>
      </c>
      <c r="E4027" s="50">
        <v>50043471</v>
      </c>
      <c r="F4027" s="50" t="s">
        <v>257</v>
      </c>
      <c r="G4027" s="50">
        <v>1</v>
      </c>
      <c r="H4027" s="50" t="s">
        <v>2</v>
      </c>
      <c r="I4027" s="50" t="s">
        <v>291</v>
      </c>
      <c r="J4027" s="51">
        <v>45974</v>
      </c>
      <c r="K4027" s="50" t="s">
        <v>1</v>
      </c>
      <c r="L4027" s="50" t="s">
        <v>80</v>
      </c>
    </row>
    <row r="4028" spans="2:12">
      <c r="B4028" s="50" t="s">
        <v>463</v>
      </c>
      <c r="C4028" s="50" t="s">
        <v>56</v>
      </c>
      <c r="D4028" s="50" t="s">
        <v>27</v>
      </c>
      <c r="E4028" s="50">
        <v>50029865</v>
      </c>
      <c r="F4028" s="50" t="s">
        <v>162</v>
      </c>
      <c r="G4028" s="50">
        <v>1</v>
      </c>
      <c r="H4028" s="50" t="s">
        <v>2</v>
      </c>
      <c r="I4028" s="50" t="s">
        <v>291</v>
      </c>
      <c r="J4028" s="51">
        <v>45974</v>
      </c>
      <c r="K4028" s="50" t="s">
        <v>3</v>
      </c>
      <c r="L4028" s="50" t="s">
        <v>80</v>
      </c>
    </row>
    <row r="4029" spans="2:12">
      <c r="B4029" s="50" t="s">
        <v>463</v>
      </c>
      <c r="C4029" s="50" t="s">
        <v>56</v>
      </c>
      <c r="D4029" s="50" t="s">
        <v>27</v>
      </c>
      <c r="E4029" s="50">
        <v>50029865</v>
      </c>
      <c r="F4029" s="50" t="s">
        <v>162</v>
      </c>
      <c r="G4029" s="50">
        <v>1</v>
      </c>
      <c r="H4029" s="50" t="s">
        <v>2</v>
      </c>
      <c r="I4029" s="50" t="s">
        <v>288</v>
      </c>
      <c r="J4029" s="51">
        <v>45974</v>
      </c>
      <c r="K4029" s="50" t="s">
        <v>1</v>
      </c>
      <c r="L4029" s="50" t="s">
        <v>80</v>
      </c>
    </row>
    <row r="4030" spans="2:12">
      <c r="B4030" s="50" t="s">
        <v>407</v>
      </c>
      <c r="C4030" s="50" t="s">
        <v>26</v>
      </c>
      <c r="D4030" s="50" t="s">
        <v>27</v>
      </c>
      <c r="E4030" s="50">
        <v>50022878</v>
      </c>
      <c r="F4030" s="50" t="s">
        <v>296</v>
      </c>
      <c r="G4030" s="50">
        <v>1</v>
      </c>
      <c r="H4030" s="50" t="s">
        <v>2</v>
      </c>
      <c r="I4030" s="50" t="s">
        <v>291</v>
      </c>
      <c r="J4030" s="51">
        <v>45974</v>
      </c>
      <c r="K4030" s="50" t="s">
        <v>3</v>
      </c>
      <c r="L4030" s="50" t="s">
        <v>80</v>
      </c>
    </row>
    <row r="4031" spans="2:12">
      <c r="B4031" s="50" t="s">
        <v>407</v>
      </c>
      <c r="C4031" s="50" t="s">
        <v>26</v>
      </c>
      <c r="D4031" s="50" t="s">
        <v>27</v>
      </c>
      <c r="E4031" s="50">
        <v>50022878</v>
      </c>
      <c r="F4031" s="50" t="s">
        <v>296</v>
      </c>
      <c r="G4031" s="50">
        <v>1</v>
      </c>
      <c r="H4031" s="50" t="s">
        <v>2</v>
      </c>
      <c r="I4031" s="50" t="s">
        <v>291</v>
      </c>
      <c r="J4031" s="51">
        <v>45974</v>
      </c>
      <c r="K4031" s="50" t="s">
        <v>1</v>
      </c>
      <c r="L4031" s="50" t="s">
        <v>80</v>
      </c>
    </row>
    <row r="4032" spans="2:12">
      <c r="B4032" s="50" t="s">
        <v>316</v>
      </c>
      <c r="C4032" s="50" t="s">
        <v>56</v>
      </c>
      <c r="D4032" s="50" t="s">
        <v>27</v>
      </c>
      <c r="E4032" s="50">
        <v>50038956</v>
      </c>
      <c r="F4032" s="50" t="s">
        <v>177</v>
      </c>
      <c r="G4032" s="50">
        <v>1</v>
      </c>
      <c r="H4032" s="50" t="s">
        <v>2</v>
      </c>
      <c r="I4032" s="50" t="s">
        <v>291</v>
      </c>
      <c r="J4032" s="51">
        <v>45974</v>
      </c>
      <c r="K4032" s="50" t="s">
        <v>3</v>
      </c>
      <c r="L4032" s="50" t="s">
        <v>80</v>
      </c>
    </row>
    <row r="4033" spans="2:12">
      <c r="B4033" s="50" t="s">
        <v>316</v>
      </c>
      <c r="C4033" s="50" t="s">
        <v>56</v>
      </c>
      <c r="D4033" s="50" t="s">
        <v>27</v>
      </c>
      <c r="E4033" s="50">
        <v>50038956</v>
      </c>
      <c r="F4033" s="50" t="s">
        <v>177</v>
      </c>
      <c r="G4033" s="50">
        <v>1</v>
      </c>
      <c r="H4033" s="50" t="s">
        <v>2</v>
      </c>
      <c r="I4033" s="50" t="s">
        <v>288</v>
      </c>
      <c r="J4033" s="51">
        <v>45974</v>
      </c>
      <c r="K4033" s="50" t="s">
        <v>1</v>
      </c>
      <c r="L4033" s="50" t="s">
        <v>80</v>
      </c>
    </row>
    <row r="4034" spans="2:12">
      <c r="B4034" s="50" t="s">
        <v>474</v>
      </c>
      <c r="C4034" s="50" t="s">
        <v>51</v>
      </c>
      <c r="D4034" s="50" t="s">
        <v>27</v>
      </c>
      <c r="E4034" s="50">
        <v>50037892</v>
      </c>
      <c r="F4034" s="50" t="s">
        <v>178</v>
      </c>
      <c r="G4034" s="50">
        <v>1</v>
      </c>
      <c r="H4034" s="50" t="s">
        <v>2</v>
      </c>
      <c r="I4034" s="50" t="s">
        <v>291</v>
      </c>
      <c r="J4034" s="51">
        <v>45974</v>
      </c>
      <c r="K4034" s="50" t="s">
        <v>1</v>
      </c>
      <c r="L4034" s="50" t="s">
        <v>80</v>
      </c>
    </row>
    <row r="4035" spans="2:12">
      <c r="B4035" s="50" t="s">
        <v>427</v>
      </c>
      <c r="C4035" s="50" t="s">
        <v>26</v>
      </c>
      <c r="D4035" s="50" t="s">
        <v>27</v>
      </c>
      <c r="E4035" s="50">
        <v>50037902</v>
      </c>
      <c r="F4035" s="50" t="s">
        <v>179</v>
      </c>
      <c r="G4035" s="50">
        <v>1</v>
      </c>
      <c r="H4035" s="50" t="s">
        <v>2</v>
      </c>
      <c r="I4035" s="50" t="s">
        <v>291</v>
      </c>
      <c r="J4035" s="51">
        <v>45974</v>
      </c>
      <c r="K4035" s="50" t="s">
        <v>3</v>
      </c>
      <c r="L4035" s="50" t="s">
        <v>80</v>
      </c>
    </row>
    <row r="4036" spans="2:12">
      <c r="B4036" s="50" t="s">
        <v>316</v>
      </c>
      <c r="C4036" s="50" t="s">
        <v>51</v>
      </c>
      <c r="D4036" s="50" t="s">
        <v>27</v>
      </c>
      <c r="E4036" s="50">
        <v>50038517</v>
      </c>
      <c r="F4036" s="50" t="s">
        <v>181</v>
      </c>
      <c r="G4036" s="50">
        <v>1</v>
      </c>
      <c r="H4036" s="50" t="s">
        <v>2</v>
      </c>
      <c r="I4036" s="50" t="s">
        <v>291</v>
      </c>
      <c r="J4036" s="51">
        <v>45974</v>
      </c>
      <c r="K4036" s="50" t="s">
        <v>1</v>
      </c>
      <c r="L4036" s="50" t="s">
        <v>80</v>
      </c>
    </row>
    <row r="4037" spans="2:12">
      <c r="B4037" s="50" t="s">
        <v>316</v>
      </c>
      <c r="C4037" s="50" t="s">
        <v>51</v>
      </c>
      <c r="D4037" s="50" t="s">
        <v>27</v>
      </c>
      <c r="E4037" s="50">
        <v>50038517</v>
      </c>
      <c r="F4037" s="50" t="s">
        <v>181</v>
      </c>
      <c r="G4037" s="50">
        <v>1</v>
      </c>
      <c r="H4037" s="50" t="s">
        <v>2</v>
      </c>
      <c r="I4037" s="50" t="s">
        <v>288</v>
      </c>
      <c r="J4037" s="51">
        <v>45974</v>
      </c>
      <c r="K4037" s="50" t="s">
        <v>3</v>
      </c>
      <c r="L4037" s="50" t="s">
        <v>80</v>
      </c>
    </row>
    <row r="4038" spans="2:12">
      <c r="B4038" s="50" t="s">
        <v>446</v>
      </c>
      <c r="C4038" s="50" t="s">
        <v>56</v>
      </c>
      <c r="D4038" s="50" t="s">
        <v>27</v>
      </c>
      <c r="E4038" s="50">
        <v>50038518</v>
      </c>
      <c r="F4038" s="50" t="s">
        <v>340</v>
      </c>
      <c r="G4038" s="50">
        <v>1</v>
      </c>
      <c r="H4038" s="50" t="s">
        <v>2</v>
      </c>
      <c r="I4038" s="50" t="s">
        <v>291</v>
      </c>
      <c r="J4038" s="51">
        <v>45974</v>
      </c>
      <c r="K4038" s="50" t="s">
        <v>1</v>
      </c>
      <c r="L4038" s="50" t="s">
        <v>80</v>
      </c>
    </row>
    <row r="4039" spans="2:12">
      <c r="B4039" s="50" t="s">
        <v>446</v>
      </c>
      <c r="C4039" s="50" t="s">
        <v>56</v>
      </c>
      <c r="D4039" s="50" t="s">
        <v>27</v>
      </c>
      <c r="E4039" s="50">
        <v>50038518</v>
      </c>
      <c r="F4039" s="50" t="s">
        <v>340</v>
      </c>
      <c r="G4039" s="50">
        <v>1</v>
      </c>
      <c r="H4039" s="50" t="s">
        <v>2</v>
      </c>
      <c r="I4039" s="50" t="s">
        <v>288</v>
      </c>
      <c r="J4039" s="51">
        <v>45974</v>
      </c>
      <c r="K4039" s="50" t="s">
        <v>3</v>
      </c>
      <c r="L4039" s="50" t="s">
        <v>80</v>
      </c>
    </row>
    <row r="4040" spans="2:12">
      <c r="B4040" s="50" t="s">
        <v>386</v>
      </c>
      <c r="C4040" s="50" t="s">
        <v>26</v>
      </c>
      <c r="D4040" s="50" t="s">
        <v>27</v>
      </c>
      <c r="E4040" s="50">
        <v>50041195</v>
      </c>
      <c r="F4040" s="50" t="s">
        <v>206</v>
      </c>
      <c r="G4040" s="50">
        <v>1</v>
      </c>
      <c r="H4040" s="50" t="s">
        <v>2</v>
      </c>
      <c r="I4040" s="50" t="s">
        <v>291</v>
      </c>
      <c r="J4040" s="51">
        <v>45974</v>
      </c>
      <c r="K4040" s="50" t="s">
        <v>3</v>
      </c>
      <c r="L4040" s="50" t="s">
        <v>80</v>
      </c>
    </row>
    <row r="4041" spans="2:12">
      <c r="B4041" s="50" t="s">
        <v>386</v>
      </c>
      <c r="C4041" s="50" t="s">
        <v>26</v>
      </c>
      <c r="D4041" s="50" t="s">
        <v>27</v>
      </c>
      <c r="E4041" s="50">
        <v>50041195</v>
      </c>
      <c r="F4041" s="50" t="s">
        <v>206</v>
      </c>
      <c r="G4041" s="50">
        <v>1</v>
      </c>
      <c r="H4041" s="50" t="s">
        <v>2</v>
      </c>
      <c r="I4041" s="50" t="s">
        <v>288</v>
      </c>
      <c r="J4041" s="51">
        <v>45974</v>
      </c>
      <c r="K4041" s="50" t="s">
        <v>1</v>
      </c>
      <c r="L4041" s="50" t="s">
        <v>80</v>
      </c>
    </row>
    <row r="4042" spans="2:12">
      <c r="B4042" s="50" t="s">
        <v>482</v>
      </c>
      <c r="C4042" s="50" t="s">
        <v>51</v>
      </c>
      <c r="D4042" s="50" t="s">
        <v>39</v>
      </c>
      <c r="E4042" s="50">
        <v>50043917</v>
      </c>
      <c r="F4042" s="50" t="s">
        <v>262</v>
      </c>
      <c r="G4042" s="50">
        <v>1</v>
      </c>
      <c r="H4042" s="50" t="s">
        <v>2</v>
      </c>
      <c r="I4042" s="50" t="s">
        <v>291</v>
      </c>
      <c r="J4042" s="51">
        <v>45974</v>
      </c>
      <c r="K4042" s="50" t="s">
        <v>3</v>
      </c>
      <c r="L4042" s="50" t="s">
        <v>80</v>
      </c>
    </row>
    <row r="4043" spans="2:12">
      <c r="B4043" s="50" t="s">
        <v>471</v>
      </c>
      <c r="C4043" s="50" t="s">
        <v>26</v>
      </c>
      <c r="D4043" s="50" t="s">
        <v>27</v>
      </c>
      <c r="E4043" s="50">
        <v>50010031</v>
      </c>
      <c r="F4043" s="50" t="s">
        <v>89</v>
      </c>
      <c r="G4043" s="50">
        <v>1</v>
      </c>
      <c r="H4043" s="50" t="s">
        <v>2</v>
      </c>
      <c r="I4043" s="50" t="s">
        <v>291</v>
      </c>
      <c r="J4043" s="51">
        <v>45973</v>
      </c>
      <c r="K4043" s="50" t="s">
        <v>1</v>
      </c>
      <c r="L4043" s="50" t="s">
        <v>80</v>
      </c>
    </row>
    <row r="4044" spans="2:12">
      <c r="B4044" s="50" t="s">
        <v>471</v>
      </c>
      <c r="C4044" s="50" t="s">
        <v>26</v>
      </c>
      <c r="D4044" s="50" t="s">
        <v>27</v>
      </c>
      <c r="E4044" s="50">
        <v>50010031</v>
      </c>
      <c r="F4044" s="50" t="s">
        <v>89</v>
      </c>
      <c r="G4044" s="50">
        <v>1</v>
      </c>
      <c r="H4044" s="50" t="s">
        <v>2</v>
      </c>
      <c r="I4044" s="50" t="s">
        <v>291</v>
      </c>
      <c r="J4044" s="51">
        <v>45973</v>
      </c>
      <c r="K4044" s="50" t="s">
        <v>1</v>
      </c>
      <c r="L4044" s="50" t="s">
        <v>80</v>
      </c>
    </row>
    <row r="4045" spans="2:12">
      <c r="B4045" s="50" t="s">
        <v>420</v>
      </c>
      <c r="C4045" s="50" t="s">
        <v>26</v>
      </c>
      <c r="D4045" s="50" t="s">
        <v>41</v>
      </c>
      <c r="E4045" s="50">
        <v>50037905</v>
      </c>
      <c r="F4045" s="50" t="s">
        <v>150</v>
      </c>
      <c r="G4045" s="50">
        <v>1</v>
      </c>
      <c r="H4045" s="50" t="s">
        <v>2</v>
      </c>
      <c r="I4045" s="50" t="s">
        <v>291</v>
      </c>
      <c r="J4045" s="51">
        <v>45973</v>
      </c>
      <c r="K4045" s="50" t="s">
        <v>3</v>
      </c>
      <c r="L4045" s="50" t="s">
        <v>80</v>
      </c>
    </row>
    <row r="4046" spans="2:12">
      <c r="B4046" s="50" t="s">
        <v>420</v>
      </c>
      <c r="C4046" s="50" t="s">
        <v>26</v>
      </c>
      <c r="D4046" s="50" t="s">
        <v>41</v>
      </c>
      <c r="E4046" s="50">
        <v>50037905</v>
      </c>
      <c r="F4046" s="50" t="s">
        <v>150</v>
      </c>
      <c r="G4046" s="50">
        <v>1</v>
      </c>
      <c r="H4046" s="50" t="s">
        <v>2</v>
      </c>
      <c r="I4046" s="50" t="s">
        <v>291</v>
      </c>
      <c r="J4046" s="51">
        <v>45973</v>
      </c>
      <c r="K4046" s="50" t="s">
        <v>1</v>
      </c>
      <c r="L4046" s="50" t="s">
        <v>80</v>
      </c>
    </row>
    <row r="4047" spans="2:12">
      <c r="B4047" s="50" t="s">
        <v>394</v>
      </c>
      <c r="C4047" s="50" t="s">
        <v>26</v>
      </c>
      <c r="D4047" s="50" t="s">
        <v>41</v>
      </c>
      <c r="E4047" s="50">
        <v>50030486</v>
      </c>
      <c r="F4047" s="50" t="s">
        <v>153</v>
      </c>
      <c r="G4047" s="50">
        <v>1</v>
      </c>
      <c r="H4047" s="50" t="s">
        <v>2</v>
      </c>
      <c r="I4047" s="50" t="s">
        <v>291</v>
      </c>
      <c r="J4047" s="51">
        <v>45973</v>
      </c>
      <c r="K4047" s="50" t="s">
        <v>3</v>
      </c>
      <c r="L4047" s="50" t="s">
        <v>80</v>
      </c>
    </row>
    <row r="4048" spans="2:12">
      <c r="B4048" s="50" t="s">
        <v>394</v>
      </c>
      <c r="C4048" s="50" t="s">
        <v>26</v>
      </c>
      <c r="D4048" s="50" t="s">
        <v>41</v>
      </c>
      <c r="E4048" s="50">
        <v>50030486</v>
      </c>
      <c r="F4048" s="50" t="s">
        <v>153</v>
      </c>
      <c r="G4048" s="50">
        <v>1</v>
      </c>
      <c r="H4048" s="50" t="s">
        <v>2</v>
      </c>
      <c r="I4048" s="50" t="s">
        <v>288</v>
      </c>
      <c r="J4048" s="51">
        <v>45973</v>
      </c>
      <c r="K4048" s="50" t="s">
        <v>3</v>
      </c>
      <c r="L4048" s="50" t="s">
        <v>80</v>
      </c>
    </row>
    <row r="4049" spans="2:12">
      <c r="B4049" s="50" t="s">
        <v>474</v>
      </c>
      <c r="C4049" s="50" t="s">
        <v>51</v>
      </c>
      <c r="D4049" s="50" t="s">
        <v>27</v>
      </c>
      <c r="E4049" s="50">
        <v>50043471</v>
      </c>
      <c r="F4049" s="50" t="s">
        <v>257</v>
      </c>
      <c r="G4049" s="50">
        <v>1</v>
      </c>
      <c r="H4049" s="50" t="s">
        <v>2</v>
      </c>
      <c r="I4049" s="50" t="s">
        <v>291</v>
      </c>
      <c r="J4049" s="51">
        <v>45973</v>
      </c>
      <c r="K4049" s="50" t="s">
        <v>1</v>
      </c>
      <c r="L4049" s="50" t="s">
        <v>80</v>
      </c>
    </row>
    <row r="4050" spans="2:12">
      <c r="B4050" s="50" t="s">
        <v>446</v>
      </c>
      <c r="C4050" s="50" t="s">
        <v>56</v>
      </c>
      <c r="D4050" s="50" t="s">
        <v>27</v>
      </c>
      <c r="E4050" s="50">
        <v>50003297</v>
      </c>
      <c r="F4050" s="50" t="s">
        <v>158</v>
      </c>
      <c r="G4050" s="50">
        <v>1</v>
      </c>
      <c r="H4050" s="50" t="s">
        <v>2</v>
      </c>
      <c r="I4050" s="50" t="s">
        <v>291</v>
      </c>
      <c r="J4050" s="51">
        <v>45973</v>
      </c>
      <c r="K4050" s="50" t="s">
        <v>3</v>
      </c>
      <c r="L4050" s="50" t="s">
        <v>80</v>
      </c>
    </row>
    <row r="4051" spans="2:12">
      <c r="B4051" s="50" t="s">
        <v>446</v>
      </c>
      <c r="C4051" s="50" t="s">
        <v>56</v>
      </c>
      <c r="D4051" s="50" t="s">
        <v>27</v>
      </c>
      <c r="E4051" s="50">
        <v>50003297</v>
      </c>
      <c r="F4051" s="50" t="s">
        <v>158</v>
      </c>
      <c r="G4051" s="50">
        <v>1</v>
      </c>
      <c r="H4051" s="50" t="s">
        <v>2</v>
      </c>
      <c r="I4051" s="50" t="s">
        <v>291</v>
      </c>
      <c r="J4051" s="51">
        <v>45973</v>
      </c>
      <c r="K4051" s="50" t="s">
        <v>1</v>
      </c>
      <c r="L4051" s="50" t="s">
        <v>80</v>
      </c>
    </row>
    <row r="4052" spans="2:12">
      <c r="B4052" s="50" t="s">
        <v>394</v>
      </c>
      <c r="C4052" s="50" t="s">
        <v>51</v>
      </c>
      <c r="D4052" s="50" t="s">
        <v>27</v>
      </c>
      <c r="E4052" s="50">
        <v>50003297</v>
      </c>
      <c r="F4052" s="50" t="s">
        <v>158</v>
      </c>
      <c r="G4052" s="50">
        <v>1</v>
      </c>
      <c r="H4052" s="50" t="s">
        <v>2</v>
      </c>
      <c r="I4052" s="50" t="s">
        <v>291</v>
      </c>
      <c r="J4052" s="51">
        <v>45973</v>
      </c>
      <c r="K4052" s="50" t="s">
        <v>3</v>
      </c>
      <c r="L4052" s="50" t="s">
        <v>80</v>
      </c>
    </row>
    <row r="4053" spans="2:12">
      <c r="B4053" s="50" t="s">
        <v>394</v>
      </c>
      <c r="C4053" s="50" t="s">
        <v>51</v>
      </c>
      <c r="D4053" s="50" t="s">
        <v>27</v>
      </c>
      <c r="E4053" s="50">
        <v>50003297</v>
      </c>
      <c r="F4053" s="50" t="s">
        <v>158</v>
      </c>
      <c r="G4053" s="50">
        <v>1</v>
      </c>
      <c r="H4053" s="50" t="s">
        <v>2</v>
      </c>
      <c r="I4053" s="50" t="s">
        <v>291</v>
      </c>
      <c r="J4053" s="51">
        <v>45973</v>
      </c>
      <c r="K4053" s="50" t="s">
        <v>1</v>
      </c>
      <c r="L4053" s="50" t="s">
        <v>80</v>
      </c>
    </row>
    <row r="4054" spans="2:12">
      <c r="B4054" s="50" t="s">
        <v>446</v>
      </c>
      <c r="C4054" s="50" t="s">
        <v>56</v>
      </c>
      <c r="D4054" s="50" t="s">
        <v>27</v>
      </c>
      <c r="E4054" s="50">
        <v>50043320</v>
      </c>
      <c r="F4054" s="50" t="s">
        <v>264</v>
      </c>
      <c r="G4054" s="50">
        <v>1</v>
      </c>
      <c r="H4054" s="50" t="s">
        <v>2</v>
      </c>
      <c r="I4054" s="50" t="s">
        <v>291</v>
      </c>
      <c r="J4054" s="51">
        <v>45973</v>
      </c>
      <c r="K4054" s="50" t="s">
        <v>3</v>
      </c>
      <c r="L4054" s="50" t="s">
        <v>80</v>
      </c>
    </row>
    <row r="4055" spans="2:12">
      <c r="B4055" s="50" t="s">
        <v>446</v>
      </c>
      <c r="C4055" s="50" t="s">
        <v>56</v>
      </c>
      <c r="D4055" s="50" t="s">
        <v>27</v>
      </c>
      <c r="E4055" s="50">
        <v>50043320</v>
      </c>
      <c r="F4055" s="50" t="s">
        <v>264</v>
      </c>
      <c r="G4055" s="50">
        <v>1</v>
      </c>
      <c r="H4055" s="50" t="s">
        <v>2</v>
      </c>
      <c r="I4055" s="50" t="s">
        <v>288</v>
      </c>
      <c r="J4055" s="51">
        <v>45973</v>
      </c>
      <c r="K4055" s="50" t="s">
        <v>3</v>
      </c>
      <c r="L4055" s="50" t="s">
        <v>80</v>
      </c>
    </row>
    <row r="4056" spans="2:12">
      <c r="B4056" s="50" t="s">
        <v>427</v>
      </c>
      <c r="C4056" s="50" t="s">
        <v>26</v>
      </c>
      <c r="D4056" s="50" t="s">
        <v>27</v>
      </c>
      <c r="E4056" s="50">
        <v>50038549</v>
      </c>
      <c r="F4056" s="50" t="s">
        <v>173</v>
      </c>
      <c r="G4056" s="50">
        <v>1</v>
      </c>
      <c r="H4056" s="50" t="s">
        <v>2</v>
      </c>
      <c r="I4056" s="50" t="s">
        <v>291</v>
      </c>
      <c r="J4056" s="51">
        <v>45973</v>
      </c>
      <c r="K4056" s="50" t="s">
        <v>1</v>
      </c>
      <c r="L4056" s="50" t="s">
        <v>80</v>
      </c>
    </row>
    <row r="4057" spans="2:12">
      <c r="B4057" s="50" t="s">
        <v>427</v>
      </c>
      <c r="C4057" s="50" t="s">
        <v>26</v>
      </c>
      <c r="D4057" s="50" t="s">
        <v>27</v>
      </c>
      <c r="E4057" s="50">
        <v>50038549</v>
      </c>
      <c r="F4057" s="50" t="s">
        <v>173</v>
      </c>
      <c r="G4057" s="50">
        <v>1</v>
      </c>
      <c r="H4057" s="50" t="s">
        <v>2</v>
      </c>
      <c r="I4057" s="50" t="s">
        <v>288</v>
      </c>
      <c r="J4057" s="51">
        <v>45973</v>
      </c>
      <c r="K4057" s="50" t="s">
        <v>1</v>
      </c>
      <c r="L4057" s="50" t="s">
        <v>80</v>
      </c>
    </row>
    <row r="4058" spans="2:12">
      <c r="B4058" s="50" t="s">
        <v>418</v>
      </c>
      <c r="C4058" s="50" t="s">
        <v>26</v>
      </c>
      <c r="D4058" s="50" t="s">
        <v>27</v>
      </c>
      <c r="E4058" s="50">
        <v>50022878</v>
      </c>
      <c r="F4058" s="50" t="s">
        <v>296</v>
      </c>
      <c r="G4058" s="50">
        <v>1</v>
      </c>
      <c r="H4058" s="50" t="s">
        <v>2</v>
      </c>
      <c r="I4058" s="50" t="s">
        <v>288</v>
      </c>
      <c r="J4058" s="51">
        <v>45973</v>
      </c>
      <c r="K4058" s="50" t="s">
        <v>3</v>
      </c>
      <c r="L4058" s="50" t="s">
        <v>80</v>
      </c>
    </row>
    <row r="4059" spans="2:12">
      <c r="B4059" s="50" t="s">
        <v>418</v>
      </c>
      <c r="C4059" s="50" t="s">
        <v>26</v>
      </c>
      <c r="D4059" s="50" t="s">
        <v>27</v>
      </c>
      <c r="E4059" s="50">
        <v>50022878</v>
      </c>
      <c r="F4059" s="50" t="s">
        <v>296</v>
      </c>
      <c r="G4059" s="50">
        <v>1</v>
      </c>
      <c r="H4059" s="50" t="s">
        <v>2</v>
      </c>
      <c r="I4059" s="50" t="s">
        <v>288</v>
      </c>
      <c r="J4059" s="51">
        <v>45973</v>
      </c>
      <c r="K4059" s="50" t="s">
        <v>1</v>
      </c>
      <c r="L4059" s="50" t="s">
        <v>80</v>
      </c>
    </row>
    <row r="4060" spans="2:12">
      <c r="B4060" s="50" t="s">
        <v>406</v>
      </c>
      <c r="C4060" s="50" t="s">
        <v>26</v>
      </c>
      <c r="D4060" s="50" t="s">
        <v>39</v>
      </c>
      <c r="E4060" s="50">
        <v>50038956</v>
      </c>
      <c r="F4060" s="50" t="s">
        <v>177</v>
      </c>
      <c r="G4060" s="50">
        <v>1</v>
      </c>
      <c r="H4060" s="50" t="s">
        <v>2</v>
      </c>
      <c r="I4060" s="50" t="s">
        <v>291</v>
      </c>
      <c r="J4060" s="51">
        <v>45973</v>
      </c>
      <c r="K4060" s="50" t="s">
        <v>3</v>
      </c>
      <c r="L4060" s="50" t="s">
        <v>80</v>
      </c>
    </row>
    <row r="4061" spans="2:12">
      <c r="B4061" s="50" t="s">
        <v>406</v>
      </c>
      <c r="C4061" s="50" t="s">
        <v>26</v>
      </c>
      <c r="D4061" s="50" t="s">
        <v>39</v>
      </c>
      <c r="E4061" s="50">
        <v>50038956</v>
      </c>
      <c r="F4061" s="50" t="s">
        <v>177</v>
      </c>
      <c r="G4061" s="50">
        <v>1</v>
      </c>
      <c r="H4061" s="50" t="s">
        <v>2</v>
      </c>
      <c r="I4061" s="50" t="s">
        <v>288</v>
      </c>
      <c r="J4061" s="51">
        <v>45973</v>
      </c>
      <c r="K4061" s="50" t="s">
        <v>1</v>
      </c>
      <c r="L4061" s="50" t="s">
        <v>80</v>
      </c>
    </row>
    <row r="4062" spans="2:12">
      <c r="B4062" s="50" t="s">
        <v>474</v>
      </c>
      <c r="C4062" s="50" t="s">
        <v>51</v>
      </c>
      <c r="D4062" s="50" t="s">
        <v>27</v>
      </c>
      <c r="E4062" s="50">
        <v>50037892</v>
      </c>
      <c r="F4062" s="50" t="s">
        <v>178</v>
      </c>
      <c r="G4062" s="50">
        <v>1</v>
      </c>
      <c r="H4062" s="50" t="s">
        <v>2</v>
      </c>
      <c r="I4062" s="50" t="s">
        <v>291</v>
      </c>
      <c r="J4062" s="51">
        <v>45973</v>
      </c>
      <c r="K4062" s="50" t="s">
        <v>3</v>
      </c>
      <c r="L4062" s="50" t="s">
        <v>80</v>
      </c>
    </row>
    <row r="4063" spans="2:12">
      <c r="B4063" s="50" t="s">
        <v>406</v>
      </c>
      <c r="C4063" s="50" t="s">
        <v>26</v>
      </c>
      <c r="D4063" s="50" t="s">
        <v>39</v>
      </c>
      <c r="E4063" s="50">
        <v>50037892</v>
      </c>
      <c r="F4063" s="50" t="s">
        <v>178</v>
      </c>
      <c r="G4063" s="50">
        <v>1</v>
      </c>
      <c r="H4063" s="50" t="s">
        <v>2</v>
      </c>
      <c r="I4063" s="50" t="s">
        <v>291</v>
      </c>
      <c r="J4063" s="51">
        <v>45973</v>
      </c>
      <c r="K4063" s="50" t="s">
        <v>1</v>
      </c>
      <c r="L4063" s="50" t="s">
        <v>80</v>
      </c>
    </row>
    <row r="4064" spans="2:12">
      <c r="B4064" s="50" t="s">
        <v>406</v>
      </c>
      <c r="C4064" s="50" t="s">
        <v>26</v>
      </c>
      <c r="D4064" s="50" t="s">
        <v>39</v>
      </c>
      <c r="E4064" s="50">
        <v>50037892</v>
      </c>
      <c r="F4064" s="50" t="s">
        <v>178</v>
      </c>
      <c r="G4064" s="50">
        <v>1</v>
      </c>
      <c r="H4064" s="50" t="s">
        <v>2</v>
      </c>
      <c r="I4064" s="50" t="s">
        <v>288</v>
      </c>
      <c r="J4064" s="51">
        <v>45973</v>
      </c>
      <c r="K4064" s="50" t="s">
        <v>3</v>
      </c>
      <c r="L4064" s="50" t="s">
        <v>80</v>
      </c>
    </row>
    <row r="4065" spans="2:12">
      <c r="B4065" s="50" t="s">
        <v>474</v>
      </c>
      <c r="C4065" s="50" t="s">
        <v>51</v>
      </c>
      <c r="D4065" s="50" t="s">
        <v>27</v>
      </c>
      <c r="E4065" s="50">
        <v>50038841</v>
      </c>
      <c r="F4065" s="50" t="s">
        <v>180</v>
      </c>
      <c r="G4065" s="50">
        <v>1</v>
      </c>
      <c r="H4065" s="50" t="s">
        <v>2</v>
      </c>
      <c r="I4065" s="50" t="s">
        <v>291</v>
      </c>
      <c r="J4065" s="51">
        <v>45973</v>
      </c>
      <c r="K4065" s="50" t="s">
        <v>1</v>
      </c>
      <c r="L4065" s="50" t="s">
        <v>80</v>
      </c>
    </row>
    <row r="4066" spans="2:12">
      <c r="B4066" s="50" t="s">
        <v>474</v>
      </c>
      <c r="C4066" s="50" t="s">
        <v>51</v>
      </c>
      <c r="D4066" s="50" t="s">
        <v>27</v>
      </c>
      <c r="E4066" s="50">
        <v>50038841</v>
      </c>
      <c r="F4066" s="50" t="s">
        <v>180</v>
      </c>
      <c r="G4066" s="50">
        <v>1</v>
      </c>
      <c r="H4066" s="50" t="s">
        <v>2</v>
      </c>
      <c r="I4066" s="50" t="s">
        <v>291</v>
      </c>
      <c r="J4066" s="51">
        <v>45973</v>
      </c>
      <c r="K4066" s="50" t="s">
        <v>1</v>
      </c>
      <c r="L4066" s="50" t="s">
        <v>80</v>
      </c>
    </row>
    <row r="4067" spans="2:12">
      <c r="B4067" s="50" t="s">
        <v>427</v>
      </c>
      <c r="C4067" s="50" t="s">
        <v>26</v>
      </c>
      <c r="D4067" s="50" t="s">
        <v>27</v>
      </c>
      <c r="E4067" s="50">
        <v>50038841</v>
      </c>
      <c r="F4067" s="50" t="s">
        <v>180</v>
      </c>
      <c r="G4067" s="50">
        <v>1</v>
      </c>
      <c r="H4067" s="50" t="s">
        <v>2</v>
      </c>
      <c r="I4067" s="50" t="s">
        <v>291</v>
      </c>
      <c r="J4067" s="51">
        <v>45973</v>
      </c>
      <c r="K4067" s="50" t="s">
        <v>3</v>
      </c>
      <c r="L4067" s="50" t="s">
        <v>80</v>
      </c>
    </row>
    <row r="4068" spans="2:12">
      <c r="B4068" s="50" t="s">
        <v>446</v>
      </c>
      <c r="C4068" s="50" t="s">
        <v>56</v>
      </c>
      <c r="D4068" s="50" t="s">
        <v>27</v>
      </c>
      <c r="E4068" s="50">
        <v>50038841</v>
      </c>
      <c r="F4068" s="50" t="s">
        <v>180</v>
      </c>
      <c r="G4068" s="50">
        <v>1</v>
      </c>
      <c r="H4068" s="50" t="s">
        <v>2</v>
      </c>
      <c r="I4068" s="50" t="s">
        <v>291</v>
      </c>
      <c r="J4068" s="51">
        <v>45973</v>
      </c>
      <c r="K4068" s="50" t="s">
        <v>1</v>
      </c>
      <c r="L4068" s="50" t="s">
        <v>80</v>
      </c>
    </row>
    <row r="4069" spans="2:12">
      <c r="B4069" s="50" t="s">
        <v>446</v>
      </c>
      <c r="C4069" s="50" t="s">
        <v>56</v>
      </c>
      <c r="D4069" s="50" t="s">
        <v>27</v>
      </c>
      <c r="E4069" s="50">
        <v>50038841</v>
      </c>
      <c r="F4069" s="50" t="s">
        <v>180</v>
      </c>
      <c r="G4069" s="50">
        <v>1</v>
      </c>
      <c r="H4069" s="50" t="s">
        <v>2</v>
      </c>
      <c r="I4069" s="50" t="s">
        <v>291</v>
      </c>
      <c r="J4069" s="51">
        <v>45973</v>
      </c>
      <c r="K4069" s="50" t="s">
        <v>3</v>
      </c>
      <c r="L4069" s="50" t="s">
        <v>80</v>
      </c>
    </row>
    <row r="4070" spans="2:12">
      <c r="B4070" s="50" t="s">
        <v>418</v>
      </c>
      <c r="C4070" s="50" t="s">
        <v>26</v>
      </c>
      <c r="D4070" s="50" t="s">
        <v>27</v>
      </c>
      <c r="E4070" s="50">
        <v>50038841</v>
      </c>
      <c r="F4070" s="50" t="s">
        <v>180</v>
      </c>
      <c r="G4070" s="50">
        <v>1</v>
      </c>
      <c r="H4070" s="50" t="s">
        <v>2</v>
      </c>
      <c r="I4070" s="50" t="s">
        <v>288</v>
      </c>
      <c r="J4070" s="51">
        <v>45973</v>
      </c>
      <c r="K4070" s="50" t="s">
        <v>1</v>
      </c>
      <c r="L4070" s="50" t="s">
        <v>80</v>
      </c>
    </row>
    <row r="4071" spans="2:12">
      <c r="B4071" s="50" t="s">
        <v>418</v>
      </c>
      <c r="C4071" s="50" t="s">
        <v>26</v>
      </c>
      <c r="D4071" s="50" t="s">
        <v>27</v>
      </c>
      <c r="E4071" s="50">
        <v>50038841</v>
      </c>
      <c r="F4071" s="50" t="s">
        <v>180</v>
      </c>
      <c r="G4071" s="50">
        <v>1</v>
      </c>
      <c r="H4071" s="50" t="s">
        <v>2</v>
      </c>
      <c r="I4071" s="50" t="s">
        <v>288</v>
      </c>
      <c r="J4071" s="51">
        <v>45973</v>
      </c>
      <c r="K4071" s="50" t="s">
        <v>3</v>
      </c>
      <c r="L4071" s="50" t="s">
        <v>80</v>
      </c>
    </row>
    <row r="4072" spans="2:12">
      <c r="B4072" s="50" t="s">
        <v>394</v>
      </c>
      <c r="C4072" s="50" t="s">
        <v>51</v>
      </c>
      <c r="D4072" s="50" t="s">
        <v>27</v>
      </c>
      <c r="E4072" s="50">
        <v>50038517</v>
      </c>
      <c r="F4072" s="50" t="s">
        <v>181</v>
      </c>
      <c r="G4072" s="50">
        <v>1</v>
      </c>
      <c r="H4072" s="50" t="s">
        <v>2</v>
      </c>
      <c r="I4072" s="50" t="s">
        <v>291</v>
      </c>
      <c r="J4072" s="51">
        <v>45973</v>
      </c>
      <c r="K4072" s="50" t="s">
        <v>1</v>
      </c>
      <c r="L4072" s="50" t="s">
        <v>80</v>
      </c>
    </row>
    <row r="4073" spans="2:12">
      <c r="B4073" s="50" t="s">
        <v>394</v>
      </c>
      <c r="C4073" s="50" t="s">
        <v>51</v>
      </c>
      <c r="D4073" s="50" t="s">
        <v>27</v>
      </c>
      <c r="E4073" s="50">
        <v>50038517</v>
      </c>
      <c r="F4073" s="50" t="s">
        <v>181</v>
      </c>
      <c r="G4073" s="50">
        <v>1</v>
      </c>
      <c r="H4073" s="50" t="s">
        <v>2</v>
      </c>
      <c r="I4073" s="50" t="s">
        <v>291</v>
      </c>
      <c r="J4073" s="51">
        <v>45973</v>
      </c>
      <c r="K4073" s="50" t="s">
        <v>1</v>
      </c>
      <c r="L4073" s="50" t="s">
        <v>80</v>
      </c>
    </row>
    <row r="4074" spans="2:12">
      <c r="B4074" s="50" t="s">
        <v>397</v>
      </c>
      <c r="C4074" s="50" t="s">
        <v>26</v>
      </c>
      <c r="D4074" s="50" t="s">
        <v>41</v>
      </c>
      <c r="E4074" s="50">
        <v>50039065</v>
      </c>
      <c r="F4074" s="50" t="s">
        <v>186</v>
      </c>
      <c r="G4074" s="50">
        <v>1</v>
      </c>
      <c r="H4074" s="50" t="s">
        <v>2</v>
      </c>
      <c r="I4074" s="50" t="s">
        <v>293</v>
      </c>
      <c r="J4074" s="51">
        <v>45973</v>
      </c>
      <c r="K4074" s="50" t="s">
        <v>3</v>
      </c>
      <c r="L4074" s="50" t="s">
        <v>80</v>
      </c>
    </row>
    <row r="4075" spans="2:12">
      <c r="B4075" s="50" t="s">
        <v>397</v>
      </c>
      <c r="C4075" s="50" t="s">
        <v>26</v>
      </c>
      <c r="D4075" s="50" t="s">
        <v>41</v>
      </c>
      <c r="E4075" s="50">
        <v>50039065</v>
      </c>
      <c r="F4075" s="50" t="s">
        <v>186</v>
      </c>
      <c r="G4075" s="50">
        <v>1</v>
      </c>
      <c r="H4075" s="50" t="s">
        <v>2</v>
      </c>
      <c r="I4075" s="50" t="s">
        <v>291</v>
      </c>
      <c r="J4075" s="51">
        <v>45973</v>
      </c>
      <c r="K4075" s="50" t="s">
        <v>1</v>
      </c>
      <c r="L4075" s="50" t="s">
        <v>80</v>
      </c>
    </row>
    <row r="4076" spans="2:12">
      <c r="B4076" s="50" t="s">
        <v>427</v>
      </c>
      <c r="C4076" s="50" t="s">
        <v>26</v>
      </c>
      <c r="D4076" s="50" t="s">
        <v>27</v>
      </c>
      <c r="E4076" s="50">
        <v>50036332</v>
      </c>
      <c r="F4076" s="50" t="s">
        <v>188</v>
      </c>
      <c r="G4076" s="50">
        <v>1</v>
      </c>
      <c r="H4076" s="50" t="s">
        <v>2</v>
      </c>
      <c r="I4076" s="50" t="s">
        <v>288</v>
      </c>
      <c r="J4076" s="51">
        <v>45973</v>
      </c>
      <c r="K4076" s="50" t="s">
        <v>3</v>
      </c>
      <c r="L4076" s="50" t="s">
        <v>80</v>
      </c>
    </row>
    <row r="4077" spans="2:12">
      <c r="B4077" s="50" t="s">
        <v>427</v>
      </c>
      <c r="C4077" s="50" t="s">
        <v>26</v>
      </c>
      <c r="D4077" s="50" t="s">
        <v>27</v>
      </c>
      <c r="E4077" s="50">
        <v>50036332</v>
      </c>
      <c r="F4077" s="50" t="s">
        <v>188</v>
      </c>
      <c r="G4077" s="50">
        <v>1</v>
      </c>
      <c r="H4077" s="50" t="s">
        <v>2</v>
      </c>
      <c r="I4077" s="50" t="s">
        <v>288</v>
      </c>
      <c r="J4077" s="51">
        <v>45973</v>
      </c>
      <c r="K4077" s="50" t="s">
        <v>1</v>
      </c>
      <c r="L4077" s="50" t="s">
        <v>80</v>
      </c>
    </row>
    <row r="4078" spans="2:12">
      <c r="B4078" s="50" t="s">
        <v>446</v>
      </c>
      <c r="C4078" s="50" t="s">
        <v>56</v>
      </c>
      <c r="D4078" s="50" t="s">
        <v>27</v>
      </c>
      <c r="E4078" s="50">
        <v>50026357</v>
      </c>
      <c r="F4078" s="50" t="s">
        <v>192</v>
      </c>
      <c r="G4078" s="50">
        <v>1</v>
      </c>
      <c r="H4078" s="50" t="s">
        <v>2</v>
      </c>
      <c r="I4078" s="50" t="s">
        <v>291</v>
      </c>
      <c r="J4078" s="51">
        <v>45973</v>
      </c>
      <c r="K4078" s="50" t="s">
        <v>3</v>
      </c>
      <c r="L4078" s="50" t="s">
        <v>80</v>
      </c>
    </row>
    <row r="4079" spans="2:12">
      <c r="B4079" s="50" t="s">
        <v>446</v>
      </c>
      <c r="C4079" s="50" t="s">
        <v>56</v>
      </c>
      <c r="D4079" s="50" t="s">
        <v>27</v>
      </c>
      <c r="E4079" s="50">
        <v>50026357</v>
      </c>
      <c r="F4079" s="50" t="s">
        <v>192</v>
      </c>
      <c r="G4079" s="50">
        <v>1</v>
      </c>
      <c r="H4079" s="50" t="s">
        <v>2</v>
      </c>
      <c r="I4079" s="50" t="s">
        <v>288</v>
      </c>
      <c r="J4079" s="51">
        <v>45973</v>
      </c>
      <c r="K4079" s="50" t="s">
        <v>3</v>
      </c>
      <c r="L4079" s="50" t="s">
        <v>80</v>
      </c>
    </row>
    <row r="4080" spans="2:12">
      <c r="B4080" s="50" t="s">
        <v>278</v>
      </c>
      <c r="C4080" s="50" t="s">
        <v>62</v>
      </c>
      <c r="D4080" s="50" t="s">
        <v>27</v>
      </c>
      <c r="E4080" s="50">
        <v>50041195</v>
      </c>
      <c r="F4080" s="50" t="s">
        <v>206</v>
      </c>
      <c r="G4080" s="50">
        <v>1</v>
      </c>
      <c r="H4080" s="50" t="s">
        <v>2</v>
      </c>
      <c r="I4080" s="50" t="s">
        <v>291</v>
      </c>
      <c r="J4080" s="51">
        <v>45973</v>
      </c>
      <c r="K4080" s="50" t="s">
        <v>1</v>
      </c>
      <c r="L4080" s="50" t="s">
        <v>80</v>
      </c>
    </row>
    <row r="4081" spans="2:12">
      <c r="B4081" s="50" t="s">
        <v>278</v>
      </c>
      <c r="C4081" s="50" t="s">
        <v>62</v>
      </c>
      <c r="D4081" s="50" t="s">
        <v>27</v>
      </c>
      <c r="E4081" s="50">
        <v>50041195</v>
      </c>
      <c r="F4081" s="50" t="s">
        <v>206</v>
      </c>
      <c r="G4081" s="50">
        <v>1</v>
      </c>
      <c r="H4081" s="50" t="s">
        <v>2</v>
      </c>
      <c r="I4081" s="50" t="s">
        <v>288</v>
      </c>
      <c r="J4081" s="51">
        <v>45973</v>
      </c>
      <c r="K4081" s="50" t="s">
        <v>3</v>
      </c>
      <c r="L4081" s="50" t="s">
        <v>80</v>
      </c>
    </row>
    <row r="4082" spans="2:12">
      <c r="B4082" s="50" t="s">
        <v>481</v>
      </c>
      <c r="C4082" s="50" t="s">
        <v>56</v>
      </c>
      <c r="D4082" s="50" t="s">
        <v>27</v>
      </c>
      <c r="E4082" s="50">
        <v>50043917</v>
      </c>
      <c r="F4082" s="50" t="s">
        <v>262</v>
      </c>
      <c r="G4082" s="50">
        <v>1</v>
      </c>
      <c r="H4082" s="50" t="s">
        <v>2</v>
      </c>
      <c r="I4082" s="50" t="s">
        <v>291</v>
      </c>
      <c r="J4082" s="51">
        <v>45973</v>
      </c>
      <c r="K4082" s="50" t="s">
        <v>1</v>
      </c>
      <c r="L4082" s="50" t="s">
        <v>80</v>
      </c>
    </row>
    <row r="4083" spans="2:12">
      <c r="B4083" s="50" t="s">
        <v>481</v>
      </c>
      <c r="C4083" s="50" t="s">
        <v>56</v>
      </c>
      <c r="D4083" s="50" t="s">
        <v>27</v>
      </c>
      <c r="E4083" s="50">
        <v>50043917</v>
      </c>
      <c r="F4083" s="50" t="s">
        <v>262</v>
      </c>
      <c r="G4083" s="50">
        <v>1</v>
      </c>
      <c r="H4083" s="50" t="s">
        <v>2</v>
      </c>
      <c r="I4083" s="50" t="s">
        <v>288</v>
      </c>
      <c r="J4083" s="51">
        <v>45973</v>
      </c>
      <c r="K4083" s="50" t="s">
        <v>1</v>
      </c>
      <c r="L4083" s="50" t="s">
        <v>80</v>
      </c>
    </row>
    <row r="4084" spans="2:12">
      <c r="B4084" s="50" t="s">
        <v>394</v>
      </c>
      <c r="C4084" s="50" t="s">
        <v>26</v>
      </c>
      <c r="D4084" s="50" t="s">
        <v>41</v>
      </c>
      <c r="E4084" s="50">
        <v>50020623</v>
      </c>
      <c r="F4084" s="50" t="s">
        <v>217</v>
      </c>
      <c r="G4084" s="50">
        <v>1</v>
      </c>
      <c r="H4084" s="50" t="s">
        <v>2</v>
      </c>
      <c r="I4084" s="50" t="s">
        <v>291</v>
      </c>
      <c r="J4084" s="51">
        <v>45973</v>
      </c>
      <c r="K4084" s="50" t="s">
        <v>3</v>
      </c>
      <c r="L4084" s="50" t="s">
        <v>80</v>
      </c>
    </row>
    <row r="4085" spans="2:12">
      <c r="B4085" s="50" t="s">
        <v>394</v>
      </c>
      <c r="C4085" s="50" t="s">
        <v>26</v>
      </c>
      <c r="D4085" s="50" t="s">
        <v>41</v>
      </c>
      <c r="E4085" s="50">
        <v>50020623</v>
      </c>
      <c r="F4085" s="50" t="s">
        <v>217</v>
      </c>
      <c r="G4085" s="50">
        <v>1</v>
      </c>
      <c r="H4085" s="50" t="s">
        <v>2</v>
      </c>
      <c r="I4085" s="50" t="s">
        <v>288</v>
      </c>
      <c r="J4085" s="51">
        <v>45973</v>
      </c>
      <c r="K4085" s="50" t="s">
        <v>1</v>
      </c>
      <c r="L4085" s="50" t="s">
        <v>80</v>
      </c>
    </row>
    <row r="4086" spans="2:12">
      <c r="B4086" s="50" t="s">
        <v>427</v>
      </c>
      <c r="C4086" s="50" t="s">
        <v>26</v>
      </c>
      <c r="D4086" s="50" t="s">
        <v>27</v>
      </c>
      <c r="E4086" s="50">
        <v>50012902</v>
      </c>
      <c r="F4086" s="50" t="s">
        <v>225</v>
      </c>
      <c r="G4086" s="50">
        <v>1</v>
      </c>
      <c r="H4086" s="50" t="s">
        <v>2</v>
      </c>
      <c r="I4086" s="50" t="s">
        <v>288</v>
      </c>
      <c r="J4086" s="51">
        <v>45973</v>
      </c>
      <c r="K4086" s="50" t="s">
        <v>3</v>
      </c>
      <c r="L4086" s="50" t="s">
        <v>80</v>
      </c>
    </row>
    <row r="4087" spans="2:12">
      <c r="B4087" s="50" t="s">
        <v>427</v>
      </c>
      <c r="C4087" s="50" t="s">
        <v>26</v>
      </c>
      <c r="D4087" s="50" t="s">
        <v>27</v>
      </c>
      <c r="E4087" s="50">
        <v>50012902</v>
      </c>
      <c r="F4087" s="50" t="s">
        <v>225</v>
      </c>
      <c r="G4087" s="50">
        <v>1</v>
      </c>
      <c r="H4087" s="50" t="s">
        <v>2</v>
      </c>
      <c r="I4087" s="50" t="s">
        <v>288</v>
      </c>
      <c r="J4087" s="51">
        <v>45973</v>
      </c>
      <c r="K4087" s="50" t="s">
        <v>1</v>
      </c>
      <c r="L4087" s="50" t="s">
        <v>80</v>
      </c>
    </row>
    <row r="4088" spans="2:12">
      <c r="B4088" s="50" t="s">
        <v>345</v>
      </c>
      <c r="C4088" s="50" t="s">
        <v>62</v>
      </c>
      <c r="D4088" s="50" t="s">
        <v>27</v>
      </c>
      <c r="E4088" s="50">
        <v>50028220</v>
      </c>
      <c r="F4088" s="50" t="s">
        <v>242</v>
      </c>
      <c r="G4088" s="50">
        <v>1</v>
      </c>
      <c r="H4088" s="50" t="s">
        <v>2</v>
      </c>
      <c r="I4088" s="50" t="s">
        <v>291</v>
      </c>
      <c r="J4088" s="51">
        <v>45973</v>
      </c>
      <c r="K4088" s="50" t="s">
        <v>3</v>
      </c>
      <c r="L4088" s="50" t="s">
        <v>80</v>
      </c>
    </row>
    <row r="4089" spans="2:12">
      <c r="B4089" s="50" t="s">
        <v>345</v>
      </c>
      <c r="C4089" s="50" t="s">
        <v>62</v>
      </c>
      <c r="D4089" s="50" t="s">
        <v>27</v>
      </c>
      <c r="E4089" s="50">
        <v>50028220</v>
      </c>
      <c r="F4089" s="50" t="s">
        <v>242</v>
      </c>
      <c r="G4089" s="50">
        <v>1</v>
      </c>
      <c r="H4089" s="50" t="s">
        <v>2</v>
      </c>
      <c r="I4089" s="50" t="s">
        <v>291</v>
      </c>
      <c r="J4089" s="51">
        <v>45973</v>
      </c>
      <c r="K4089" s="50" t="s">
        <v>1</v>
      </c>
      <c r="L4089" s="50" t="s">
        <v>80</v>
      </c>
    </row>
    <row r="4090" spans="2:12">
      <c r="B4090" s="50" t="s">
        <v>427</v>
      </c>
      <c r="C4090" s="50" t="s">
        <v>26</v>
      </c>
      <c r="D4090" s="50" t="s">
        <v>27</v>
      </c>
      <c r="E4090" s="50">
        <v>50042283</v>
      </c>
      <c r="F4090" s="50" t="s">
        <v>247</v>
      </c>
      <c r="G4090" s="50">
        <v>1</v>
      </c>
      <c r="H4090" s="50" t="s">
        <v>2</v>
      </c>
      <c r="I4090" s="50" t="s">
        <v>291</v>
      </c>
      <c r="J4090" s="51">
        <v>45973</v>
      </c>
      <c r="K4090" s="50" t="s">
        <v>3</v>
      </c>
      <c r="L4090" s="50" t="s">
        <v>80</v>
      </c>
    </row>
    <row r="4091" spans="2:12">
      <c r="B4091" s="50" t="s">
        <v>427</v>
      </c>
      <c r="C4091" s="50" t="s">
        <v>26</v>
      </c>
      <c r="D4091" s="50" t="s">
        <v>27</v>
      </c>
      <c r="E4091" s="50">
        <v>50042283</v>
      </c>
      <c r="F4091" s="50" t="s">
        <v>247</v>
      </c>
      <c r="G4091" s="50">
        <v>1</v>
      </c>
      <c r="H4091" s="50" t="s">
        <v>2</v>
      </c>
      <c r="I4091" s="50" t="s">
        <v>291</v>
      </c>
      <c r="J4091" s="51">
        <v>45973</v>
      </c>
      <c r="K4091" s="50" t="s">
        <v>1</v>
      </c>
      <c r="L4091" s="50" t="s">
        <v>80</v>
      </c>
    </row>
    <row r="4092" spans="2:12">
      <c r="B4092" s="50" t="s">
        <v>427</v>
      </c>
      <c r="C4092" s="50" t="s">
        <v>26</v>
      </c>
      <c r="D4092" s="50" t="s">
        <v>27</v>
      </c>
      <c r="E4092" s="50">
        <v>50042283</v>
      </c>
      <c r="F4092" s="50" t="s">
        <v>247</v>
      </c>
      <c r="G4092" s="50">
        <v>1</v>
      </c>
      <c r="H4092" s="50" t="s">
        <v>2</v>
      </c>
      <c r="I4092" s="50" t="s">
        <v>288</v>
      </c>
      <c r="J4092" s="51">
        <v>45973</v>
      </c>
      <c r="K4092" s="50" t="s">
        <v>3</v>
      </c>
      <c r="L4092" s="50" t="s">
        <v>80</v>
      </c>
    </row>
    <row r="4093" spans="2:12">
      <c r="B4093" s="50" t="s">
        <v>427</v>
      </c>
      <c r="C4093" s="50" t="s">
        <v>26</v>
      </c>
      <c r="D4093" s="50" t="s">
        <v>27</v>
      </c>
      <c r="E4093" s="50">
        <v>50042283</v>
      </c>
      <c r="F4093" s="50" t="s">
        <v>247</v>
      </c>
      <c r="G4093" s="50">
        <v>1</v>
      </c>
      <c r="H4093" s="50" t="s">
        <v>2</v>
      </c>
      <c r="I4093" s="50" t="s">
        <v>288</v>
      </c>
      <c r="J4093" s="51">
        <v>45973</v>
      </c>
      <c r="K4093" s="50" t="s">
        <v>1</v>
      </c>
      <c r="L4093" s="50" t="s">
        <v>80</v>
      </c>
    </row>
    <row r="4094" spans="2:12">
      <c r="B4094" s="50" t="s">
        <v>463</v>
      </c>
      <c r="C4094" s="50" t="s">
        <v>56</v>
      </c>
      <c r="D4094" s="50" t="s">
        <v>27</v>
      </c>
      <c r="E4094" s="50">
        <v>50002644</v>
      </c>
      <c r="F4094" s="50" t="s">
        <v>91</v>
      </c>
      <c r="G4094" s="50">
        <v>1</v>
      </c>
      <c r="H4094" s="50" t="s">
        <v>2</v>
      </c>
      <c r="I4094" s="50" t="s">
        <v>292</v>
      </c>
      <c r="J4094" s="51">
        <v>45972</v>
      </c>
      <c r="K4094" s="50" t="s">
        <v>3</v>
      </c>
      <c r="L4094" s="50" t="s">
        <v>80</v>
      </c>
    </row>
    <row r="4095" spans="2:12">
      <c r="B4095" s="50" t="s">
        <v>463</v>
      </c>
      <c r="C4095" s="50" t="s">
        <v>56</v>
      </c>
      <c r="D4095" s="50" t="s">
        <v>27</v>
      </c>
      <c r="E4095" s="50">
        <v>50002644</v>
      </c>
      <c r="F4095" s="50" t="s">
        <v>91</v>
      </c>
      <c r="G4095" s="50">
        <v>1</v>
      </c>
      <c r="H4095" s="50" t="s">
        <v>2</v>
      </c>
      <c r="I4095" s="50" t="s">
        <v>293</v>
      </c>
      <c r="J4095" s="51">
        <v>45972</v>
      </c>
      <c r="K4095" s="50" t="s">
        <v>1</v>
      </c>
      <c r="L4095" s="56"/>
    </row>
    <row r="4096" spans="2:12">
      <c r="B4096" s="50" t="s">
        <v>390</v>
      </c>
      <c r="C4096" s="50" t="s">
        <v>56</v>
      </c>
      <c r="D4096" s="50" t="s">
        <v>27</v>
      </c>
      <c r="E4096" s="50">
        <v>50036298</v>
      </c>
      <c r="F4096" s="50" t="s">
        <v>102</v>
      </c>
      <c r="G4096" s="50">
        <v>1</v>
      </c>
      <c r="H4096" s="50" t="s">
        <v>2</v>
      </c>
      <c r="I4096" s="50" t="s">
        <v>293</v>
      </c>
      <c r="J4096" s="51">
        <v>45972</v>
      </c>
      <c r="K4096" s="50" t="s">
        <v>3</v>
      </c>
      <c r="L4096" s="50" t="s">
        <v>80</v>
      </c>
    </row>
    <row r="4097" spans="2:12">
      <c r="B4097" s="50" t="s">
        <v>390</v>
      </c>
      <c r="C4097" s="50" t="s">
        <v>56</v>
      </c>
      <c r="D4097" s="50" t="s">
        <v>27</v>
      </c>
      <c r="E4097" s="50">
        <v>50036298</v>
      </c>
      <c r="F4097" s="50" t="s">
        <v>102</v>
      </c>
      <c r="G4097" s="50">
        <v>1</v>
      </c>
      <c r="H4097" s="50" t="s">
        <v>2</v>
      </c>
      <c r="I4097" s="50" t="s">
        <v>293</v>
      </c>
      <c r="J4097" s="51">
        <v>45972</v>
      </c>
      <c r="K4097" s="50" t="s">
        <v>1</v>
      </c>
      <c r="L4097" s="50" t="s">
        <v>80</v>
      </c>
    </row>
    <row r="4098" spans="2:12">
      <c r="B4098" s="50" t="s">
        <v>25</v>
      </c>
      <c r="C4098" s="50" t="s">
        <v>26</v>
      </c>
      <c r="D4098" s="50" t="s">
        <v>27</v>
      </c>
      <c r="E4098" s="50">
        <v>50036255</v>
      </c>
      <c r="F4098" s="50" t="s">
        <v>120</v>
      </c>
      <c r="G4098" s="50">
        <v>1</v>
      </c>
      <c r="H4098" s="50" t="s">
        <v>2</v>
      </c>
      <c r="I4098" s="50" t="s">
        <v>290</v>
      </c>
      <c r="J4098" s="51">
        <v>45972</v>
      </c>
      <c r="K4098" s="50" t="s">
        <v>3</v>
      </c>
      <c r="L4098" s="50" t="s">
        <v>80</v>
      </c>
    </row>
    <row r="4099" spans="2:12">
      <c r="B4099" s="50" t="s">
        <v>25</v>
      </c>
      <c r="C4099" s="50" t="s">
        <v>26</v>
      </c>
      <c r="D4099" s="50" t="s">
        <v>27</v>
      </c>
      <c r="E4099" s="50">
        <v>50036255</v>
      </c>
      <c r="F4099" s="50" t="s">
        <v>120</v>
      </c>
      <c r="G4099" s="50">
        <v>1</v>
      </c>
      <c r="H4099" s="50" t="s">
        <v>2</v>
      </c>
      <c r="I4099" s="50" t="s">
        <v>288</v>
      </c>
      <c r="J4099" s="51">
        <v>45972</v>
      </c>
      <c r="K4099" s="50" t="s">
        <v>1</v>
      </c>
      <c r="L4099" s="50" t="s">
        <v>80</v>
      </c>
    </row>
    <row r="4100" spans="2:12">
      <c r="B4100" s="50" t="s">
        <v>430</v>
      </c>
      <c r="C4100" s="50" t="s">
        <v>61</v>
      </c>
      <c r="D4100" s="50" t="s">
        <v>39</v>
      </c>
      <c r="E4100" s="50">
        <v>50038842</v>
      </c>
      <c r="F4100" s="50" t="s">
        <v>133</v>
      </c>
      <c r="G4100" s="50">
        <v>1</v>
      </c>
      <c r="H4100" s="50" t="s">
        <v>2</v>
      </c>
      <c r="I4100" s="50" t="s">
        <v>293</v>
      </c>
      <c r="J4100" s="51">
        <v>45972</v>
      </c>
      <c r="K4100" s="50" t="s">
        <v>3</v>
      </c>
      <c r="L4100" s="50" t="s">
        <v>80</v>
      </c>
    </row>
    <row r="4101" spans="2:12">
      <c r="B4101" s="50" t="s">
        <v>430</v>
      </c>
      <c r="C4101" s="50" t="s">
        <v>61</v>
      </c>
      <c r="D4101" s="50" t="s">
        <v>39</v>
      </c>
      <c r="E4101" s="50">
        <v>50038842</v>
      </c>
      <c r="F4101" s="50" t="s">
        <v>133</v>
      </c>
      <c r="G4101" s="50">
        <v>1</v>
      </c>
      <c r="H4101" s="50" t="s">
        <v>2</v>
      </c>
      <c r="I4101" s="50" t="s">
        <v>293</v>
      </c>
      <c r="J4101" s="51">
        <v>45972</v>
      </c>
      <c r="K4101" s="50" t="s">
        <v>1</v>
      </c>
      <c r="L4101" s="50" t="s">
        <v>80</v>
      </c>
    </row>
    <row r="4102" spans="2:12">
      <c r="B4102" s="50" t="s">
        <v>463</v>
      </c>
      <c r="C4102" s="50" t="s">
        <v>56</v>
      </c>
      <c r="D4102" s="50" t="s">
        <v>27</v>
      </c>
      <c r="E4102" s="50">
        <v>50039236</v>
      </c>
      <c r="F4102" s="50" t="s">
        <v>154</v>
      </c>
      <c r="G4102" s="50">
        <v>1</v>
      </c>
      <c r="H4102" s="50" t="s">
        <v>2</v>
      </c>
      <c r="I4102" s="50" t="s">
        <v>288</v>
      </c>
      <c r="J4102" s="51">
        <v>45972</v>
      </c>
      <c r="K4102" s="50" t="s">
        <v>1</v>
      </c>
      <c r="L4102" s="50" t="s">
        <v>80</v>
      </c>
    </row>
    <row r="4103" spans="2:12">
      <c r="B4103" s="50" t="s">
        <v>463</v>
      </c>
      <c r="C4103" s="50" t="s">
        <v>56</v>
      </c>
      <c r="D4103" s="50" t="s">
        <v>27</v>
      </c>
      <c r="E4103" s="50">
        <v>50029865</v>
      </c>
      <c r="F4103" s="50" t="s">
        <v>162</v>
      </c>
      <c r="G4103" s="50">
        <v>1</v>
      </c>
      <c r="H4103" s="50" t="s">
        <v>2</v>
      </c>
      <c r="I4103" s="50" t="s">
        <v>288</v>
      </c>
      <c r="J4103" s="51">
        <v>45972</v>
      </c>
      <c r="K4103" s="50" t="s">
        <v>1</v>
      </c>
      <c r="L4103" s="50" t="s">
        <v>80</v>
      </c>
    </row>
    <row r="4104" spans="2:12">
      <c r="B4104" s="50" t="s">
        <v>406</v>
      </c>
      <c r="C4104" s="50" t="s">
        <v>26</v>
      </c>
      <c r="D4104" s="50" t="s">
        <v>39</v>
      </c>
      <c r="E4104" s="50">
        <v>50038956</v>
      </c>
      <c r="F4104" s="50" t="s">
        <v>177</v>
      </c>
      <c r="G4104" s="50">
        <v>1</v>
      </c>
      <c r="H4104" s="50" t="s">
        <v>2</v>
      </c>
      <c r="I4104" s="50" t="s">
        <v>292</v>
      </c>
      <c r="J4104" s="51">
        <v>45972</v>
      </c>
      <c r="K4104" s="50" t="s">
        <v>3</v>
      </c>
      <c r="L4104" s="50" t="s">
        <v>80</v>
      </c>
    </row>
    <row r="4105" spans="2:12">
      <c r="B4105" s="50" t="s">
        <v>406</v>
      </c>
      <c r="C4105" s="50" t="s">
        <v>26</v>
      </c>
      <c r="D4105" s="50" t="s">
        <v>39</v>
      </c>
      <c r="E4105" s="50">
        <v>50038956</v>
      </c>
      <c r="F4105" s="50" t="s">
        <v>177</v>
      </c>
      <c r="G4105" s="50">
        <v>1</v>
      </c>
      <c r="H4105" s="50" t="s">
        <v>2</v>
      </c>
      <c r="I4105" s="50" t="s">
        <v>292</v>
      </c>
      <c r="J4105" s="51">
        <v>45972</v>
      </c>
      <c r="K4105" s="50" t="s">
        <v>1</v>
      </c>
      <c r="L4105" s="50" t="s">
        <v>80</v>
      </c>
    </row>
    <row r="4106" spans="2:12">
      <c r="B4106" s="50" t="s">
        <v>463</v>
      </c>
      <c r="C4106" s="50" t="s">
        <v>56</v>
      </c>
      <c r="D4106" s="50" t="s">
        <v>27</v>
      </c>
      <c r="E4106" s="50">
        <v>50038956</v>
      </c>
      <c r="F4106" s="50" t="s">
        <v>177</v>
      </c>
      <c r="G4106" s="50">
        <v>1</v>
      </c>
      <c r="H4106" s="50" t="s">
        <v>2</v>
      </c>
      <c r="I4106" s="50" t="s">
        <v>288</v>
      </c>
      <c r="J4106" s="51">
        <v>45972</v>
      </c>
      <c r="K4106" s="50" t="s">
        <v>3</v>
      </c>
      <c r="L4106" s="50" t="s">
        <v>80</v>
      </c>
    </row>
    <row r="4107" spans="2:12">
      <c r="B4107" s="50" t="s">
        <v>386</v>
      </c>
      <c r="C4107" s="50" t="s">
        <v>62</v>
      </c>
      <c r="D4107" s="50" t="s">
        <v>27</v>
      </c>
      <c r="E4107" s="50">
        <v>50037892</v>
      </c>
      <c r="F4107" s="50" t="s">
        <v>178</v>
      </c>
      <c r="G4107" s="50">
        <v>1</v>
      </c>
      <c r="H4107" s="50" t="s">
        <v>2</v>
      </c>
      <c r="I4107" s="50" t="s">
        <v>293</v>
      </c>
      <c r="J4107" s="51">
        <v>45972</v>
      </c>
      <c r="K4107" s="50" t="s">
        <v>3</v>
      </c>
      <c r="L4107" s="50" t="s">
        <v>80</v>
      </c>
    </row>
    <row r="4108" spans="2:12">
      <c r="B4108" s="50" t="s">
        <v>386</v>
      </c>
      <c r="C4108" s="50" t="s">
        <v>62</v>
      </c>
      <c r="D4108" s="50" t="s">
        <v>27</v>
      </c>
      <c r="E4108" s="50">
        <v>50037892</v>
      </c>
      <c r="F4108" s="50" t="s">
        <v>178</v>
      </c>
      <c r="G4108" s="50">
        <v>1</v>
      </c>
      <c r="H4108" s="50" t="s">
        <v>2</v>
      </c>
      <c r="I4108" s="50" t="s">
        <v>288</v>
      </c>
      <c r="J4108" s="51">
        <v>45972</v>
      </c>
      <c r="K4108" s="50" t="s">
        <v>1</v>
      </c>
      <c r="L4108" s="50" t="s">
        <v>80</v>
      </c>
    </row>
    <row r="4109" spans="2:12">
      <c r="B4109" s="50" t="s">
        <v>394</v>
      </c>
      <c r="C4109" s="50" t="s">
        <v>51</v>
      </c>
      <c r="D4109" s="50" t="s">
        <v>27</v>
      </c>
      <c r="E4109" s="50">
        <v>50037902</v>
      </c>
      <c r="F4109" s="50" t="s">
        <v>179</v>
      </c>
      <c r="G4109" s="50">
        <v>1</v>
      </c>
      <c r="H4109" s="50" t="s">
        <v>2</v>
      </c>
      <c r="I4109" s="50" t="s">
        <v>288</v>
      </c>
      <c r="J4109" s="51">
        <v>45972</v>
      </c>
      <c r="K4109" s="50" t="s">
        <v>3</v>
      </c>
      <c r="L4109" s="50" t="s">
        <v>80</v>
      </c>
    </row>
    <row r="4110" spans="2:12">
      <c r="B4110" s="50" t="s">
        <v>273</v>
      </c>
      <c r="C4110" s="50" t="s">
        <v>274</v>
      </c>
      <c r="D4110" s="50" t="s">
        <v>27</v>
      </c>
      <c r="E4110" s="50">
        <v>50038841</v>
      </c>
      <c r="F4110" s="50" t="s">
        <v>180</v>
      </c>
      <c r="G4110" s="50">
        <v>1</v>
      </c>
      <c r="H4110" s="50" t="s">
        <v>2</v>
      </c>
      <c r="I4110" s="50" t="s">
        <v>288</v>
      </c>
      <c r="J4110" s="51">
        <v>45972</v>
      </c>
      <c r="K4110" s="50" t="s">
        <v>1</v>
      </c>
      <c r="L4110" s="50" t="s">
        <v>80</v>
      </c>
    </row>
    <row r="4111" spans="2:12">
      <c r="B4111" s="50" t="s">
        <v>273</v>
      </c>
      <c r="C4111" s="50" t="s">
        <v>274</v>
      </c>
      <c r="D4111" s="50" t="s">
        <v>27</v>
      </c>
      <c r="E4111" s="50">
        <v>50038841</v>
      </c>
      <c r="F4111" s="50" t="s">
        <v>180</v>
      </c>
      <c r="G4111" s="50">
        <v>1</v>
      </c>
      <c r="H4111" s="50" t="s">
        <v>2</v>
      </c>
      <c r="I4111" s="50" t="s">
        <v>288</v>
      </c>
      <c r="J4111" s="51">
        <v>45972</v>
      </c>
      <c r="K4111" s="50" t="s">
        <v>3</v>
      </c>
      <c r="L4111" s="50" t="s">
        <v>80</v>
      </c>
    </row>
    <row r="4112" spans="2:12">
      <c r="B4112" s="50" t="s">
        <v>418</v>
      </c>
      <c r="C4112" s="50" t="s">
        <v>26</v>
      </c>
      <c r="D4112" s="50" t="s">
        <v>27</v>
      </c>
      <c r="E4112" s="50">
        <v>50038517</v>
      </c>
      <c r="F4112" s="50" t="s">
        <v>181</v>
      </c>
      <c r="G4112" s="50">
        <v>1</v>
      </c>
      <c r="H4112" s="50" t="s">
        <v>2</v>
      </c>
      <c r="I4112" s="50" t="s">
        <v>292</v>
      </c>
      <c r="J4112" s="51">
        <v>45972</v>
      </c>
      <c r="K4112" s="50" t="s">
        <v>3</v>
      </c>
      <c r="L4112" s="50" t="s">
        <v>80</v>
      </c>
    </row>
    <row r="4113" spans="2:12">
      <c r="B4113" s="50" t="s">
        <v>418</v>
      </c>
      <c r="C4113" s="50" t="s">
        <v>26</v>
      </c>
      <c r="D4113" s="50" t="s">
        <v>27</v>
      </c>
      <c r="E4113" s="50">
        <v>50038517</v>
      </c>
      <c r="F4113" s="50" t="s">
        <v>181</v>
      </c>
      <c r="G4113" s="50">
        <v>1</v>
      </c>
      <c r="H4113" s="50" t="s">
        <v>2</v>
      </c>
      <c r="I4113" s="50" t="s">
        <v>292</v>
      </c>
      <c r="J4113" s="51">
        <v>45972</v>
      </c>
      <c r="K4113" s="50" t="s">
        <v>1</v>
      </c>
      <c r="L4113" s="50" t="s">
        <v>80</v>
      </c>
    </row>
    <row r="4114" spans="2:12">
      <c r="B4114" s="50" t="e">
        <v>#N/A</v>
      </c>
      <c r="C4114" s="50" t="s">
        <v>51</v>
      </c>
      <c r="D4114" s="50" t="s">
        <v>41</v>
      </c>
      <c r="E4114" s="50">
        <v>50038517</v>
      </c>
      <c r="F4114" s="50" t="s">
        <v>181</v>
      </c>
      <c r="G4114" s="50">
        <v>1</v>
      </c>
      <c r="H4114" s="50" t="s">
        <v>2</v>
      </c>
      <c r="I4114" s="50" t="s">
        <v>288</v>
      </c>
      <c r="J4114" s="51">
        <v>45972</v>
      </c>
      <c r="K4114" s="50" t="s">
        <v>1</v>
      </c>
      <c r="L4114" s="50" t="s">
        <v>80</v>
      </c>
    </row>
    <row r="4115" spans="2:12">
      <c r="B4115" s="50" t="s">
        <v>394</v>
      </c>
      <c r="C4115" s="50" t="s">
        <v>26</v>
      </c>
      <c r="D4115" s="50" t="s">
        <v>41</v>
      </c>
      <c r="E4115" s="50">
        <v>50039065</v>
      </c>
      <c r="F4115" s="50" t="s">
        <v>186</v>
      </c>
      <c r="G4115" s="50">
        <v>1</v>
      </c>
      <c r="H4115" s="50" t="s">
        <v>2</v>
      </c>
      <c r="I4115" s="50" t="s">
        <v>293</v>
      </c>
      <c r="J4115" s="51">
        <v>45972</v>
      </c>
      <c r="K4115" s="50" t="s">
        <v>3</v>
      </c>
      <c r="L4115" s="50" t="s">
        <v>80</v>
      </c>
    </row>
    <row r="4116" spans="2:12">
      <c r="B4116" s="50" t="s">
        <v>394</v>
      </c>
      <c r="C4116" s="50" t="s">
        <v>26</v>
      </c>
      <c r="D4116" s="50" t="s">
        <v>41</v>
      </c>
      <c r="E4116" s="50">
        <v>50039065</v>
      </c>
      <c r="F4116" s="50" t="s">
        <v>186</v>
      </c>
      <c r="G4116" s="50">
        <v>1</v>
      </c>
      <c r="H4116" s="50" t="s">
        <v>2</v>
      </c>
      <c r="I4116" s="50" t="s">
        <v>288</v>
      </c>
      <c r="J4116" s="51">
        <v>45972</v>
      </c>
      <c r="K4116" s="50" t="s">
        <v>1</v>
      </c>
      <c r="L4116" s="50" t="s">
        <v>80</v>
      </c>
    </row>
    <row r="4117" spans="2:12">
      <c r="B4117" s="50" t="s">
        <v>386</v>
      </c>
      <c r="C4117" s="50" t="s">
        <v>62</v>
      </c>
      <c r="D4117" s="50" t="s">
        <v>27</v>
      </c>
      <c r="E4117" s="50">
        <v>50026357</v>
      </c>
      <c r="F4117" s="50" t="s">
        <v>192</v>
      </c>
      <c r="G4117" s="50">
        <v>1</v>
      </c>
      <c r="H4117" s="50" t="s">
        <v>2</v>
      </c>
      <c r="I4117" s="50" t="s">
        <v>292</v>
      </c>
      <c r="J4117" s="51">
        <v>45972</v>
      </c>
      <c r="K4117" s="50" t="s">
        <v>3</v>
      </c>
      <c r="L4117" s="50" t="s">
        <v>80</v>
      </c>
    </row>
    <row r="4118" spans="2:12">
      <c r="B4118" s="50" t="s">
        <v>386</v>
      </c>
      <c r="C4118" s="50" t="s">
        <v>62</v>
      </c>
      <c r="D4118" s="50" t="s">
        <v>27</v>
      </c>
      <c r="E4118" s="50">
        <v>50026357</v>
      </c>
      <c r="F4118" s="50" t="s">
        <v>192</v>
      </c>
      <c r="G4118" s="50">
        <v>1</v>
      </c>
      <c r="H4118" s="50" t="s">
        <v>2</v>
      </c>
      <c r="I4118" s="50" t="s">
        <v>292</v>
      </c>
      <c r="J4118" s="51">
        <v>45972</v>
      </c>
      <c r="K4118" s="50" t="s">
        <v>3</v>
      </c>
      <c r="L4118" s="50" t="s">
        <v>80</v>
      </c>
    </row>
    <row r="4119" spans="2:12">
      <c r="B4119" s="50" t="s">
        <v>277</v>
      </c>
      <c r="C4119" s="50" t="s">
        <v>62</v>
      </c>
      <c r="D4119" s="50" t="s">
        <v>27</v>
      </c>
      <c r="E4119" s="50">
        <v>50041195</v>
      </c>
      <c r="F4119" s="50" t="s">
        <v>206</v>
      </c>
      <c r="G4119" s="50">
        <v>1</v>
      </c>
      <c r="H4119" s="50" t="s">
        <v>2</v>
      </c>
      <c r="I4119" s="50" t="s">
        <v>293</v>
      </c>
      <c r="J4119" s="51">
        <v>45972</v>
      </c>
      <c r="K4119" s="50" t="s">
        <v>1</v>
      </c>
      <c r="L4119" s="50" t="s">
        <v>80</v>
      </c>
    </row>
    <row r="4120" spans="2:12">
      <c r="B4120" s="50" t="s">
        <v>277</v>
      </c>
      <c r="C4120" s="50" t="s">
        <v>62</v>
      </c>
      <c r="D4120" s="50" t="s">
        <v>27</v>
      </c>
      <c r="E4120" s="50">
        <v>50041195</v>
      </c>
      <c r="F4120" s="50" t="s">
        <v>206</v>
      </c>
      <c r="G4120" s="50">
        <v>1</v>
      </c>
      <c r="H4120" s="50" t="s">
        <v>2</v>
      </c>
      <c r="I4120" s="50" t="s">
        <v>288</v>
      </c>
      <c r="J4120" s="51">
        <v>45972</v>
      </c>
      <c r="K4120" s="50" t="s">
        <v>3</v>
      </c>
      <c r="L4120" s="50" t="s">
        <v>80</v>
      </c>
    </row>
    <row r="4121" spans="2:12">
      <c r="B4121" s="50" t="s">
        <v>428</v>
      </c>
      <c r="C4121" s="50" t="s">
        <v>26</v>
      </c>
      <c r="D4121" s="50" t="s">
        <v>27</v>
      </c>
      <c r="E4121" s="50">
        <v>50043917</v>
      </c>
      <c r="F4121" s="50" t="s">
        <v>262</v>
      </c>
      <c r="G4121" s="50">
        <v>1</v>
      </c>
      <c r="H4121" s="50" t="s">
        <v>2</v>
      </c>
      <c r="I4121" s="50" t="s">
        <v>293</v>
      </c>
      <c r="J4121" s="51">
        <v>45972</v>
      </c>
      <c r="K4121" s="50" t="s">
        <v>1</v>
      </c>
      <c r="L4121" s="50" t="s">
        <v>80</v>
      </c>
    </row>
    <row r="4122" spans="2:12">
      <c r="B4122" s="50" t="s">
        <v>428</v>
      </c>
      <c r="C4122" s="50" t="s">
        <v>26</v>
      </c>
      <c r="D4122" s="50" t="s">
        <v>27</v>
      </c>
      <c r="E4122" s="50">
        <v>50043917</v>
      </c>
      <c r="F4122" s="50" t="s">
        <v>262</v>
      </c>
      <c r="G4122" s="50">
        <v>1</v>
      </c>
      <c r="H4122" s="50" t="s">
        <v>2</v>
      </c>
      <c r="I4122" s="50" t="s">
        <v>288</v>
      </c>
      <c r="J4122" s="51">
        <v>45972</v>
      </c>
      <c r="K4122" s="50" t="s">
        <v>1</v>
      </c>
      <c r="L4122" s="50" t="s">
        <v>80</v>
      </c>
    </row>
    <row r="4123" spans="2:12">
      <c r="B4123" s="50" t="s">
        <v>25</v>
      </c>
      <c r="C4123" s="50" t="s">
        <v>26</v>
      </c>
      <c r="D4123" s="50" t="s">
        <v>27</v>
      </c>
      <c r="E4123" s="50">
        <v>50032775</v>
      </c>
      <c r="F4123" s="50" t="s">
        <v>307</v>
      </c>
      <c r="G4123" s="50">
        <v>1</v>
      </c>
      <c r="H4123" s="50" t="s">
        <v>2</v>
      </c>
      <c r="I4123" s="50" t="s">
        <v>293</v>
      </c>
      <c r="J4123" s="51">
        <v>45972</v>
      </c>
      <c r="K4123" s="50" t="s">
        <v>3</v>
      </c>
      <c r="L4123" s="50" t="s">
        <v>80</v>
      </c>
    </row>
    <row r="4124" spans="2:12">
      <c r="B4124" s="50" t="s">
        <v>25</v>
      </c>
      <c r="C4124" s="50" t="s">
        <v>26</v>
      </c>
      <c r="D4124" s="50" t="s">
        <v>27</v>
      </c>
      <c r="E4124" s="50">
        <v>50032775</v>
      </c>
      <c r="F4124" s="50" t="s">
        <v>307</v>
      </c>
      <c r="G4124" s="50">
        <v>1</v>
      </c>
      <c r="H4124" s="50" t="s">
        <v>2</v>
      </c>
      <c r="I4124" s="50" t="s">
        <v>288</v>
      </c>
      <c r="J4124" s="51">
        <v>45972</v>
      </c>
      <c r="K4124" s="50" t="s">
        <v>1</v>
      </c>
      <c r="L4124" s="50" t="s">
        <v>80</v>
      </c>
    </row>
    <row r="4125" spans="2:12">
      <c r="B4125" s="50" t="s">
        <v>439</v>
      </c>
      <c r="C4125" s="50" t="s">
        <v>62</v>
      </c>
      <c r="D4125" s="50" t="s">
        <v>27</v>
      </c>
      <c r="E4125" s="50">
        <v>50028220</v>
      </c>
      <c r="F4125" s="50" t="s">
        <v>242</v>
      </c>
      <c r="G4125" s="50">
        <v>1</v>
      </c>
      <c r="H4125" s="50" t="s">
        <v>2</v>
      </c>
      <c r="I4125" s="50" t="s">
        <v>288</v>
      </c>
      <c r="J4125" s="51">
        <v>45972</v>
      </c>
      <c r="K4125" s="50" t="s">
        <v>3</v>
      </c>
      <c r="L4125" s="50" t="s">
        <v>80</v>
      </c>
    </row>
    <row r="4126" spans="2:12">
      <c r="B4126" s="50" t="s">
        <v>439</v>
      </c>
      <c r="C4126" s="50" t="s">
        <v>62</v>
      </c>
      <c r="D4126" s="50" t="s">
        <v>27</v>
      </c>
      <c r="E4126" s="50">
        <v>50028220</v>
      </c>
      <c r="F4126" s="50" t="s">
        <v>242</v>
      </c>
      <c r="G4126" s="50">
        <v>1</v>
      </c>
      <c r="H4126" s="50" t="s">
        <v>2</v>
      </c>
      <c r="I4126" s="50" t="s">
        <v>288</v>
      </c>
      <c r="J4126" s="51">
        <v>45972</v>
      </c>
      <c r="K4126" s="50" t="s">
        <v>1</v>
      </c>
      <c r="L4126" s="50" t="s">
        <v>80</v>
      </c>
    </row>
    <row r="4127" spans="2:12">
      <c r="B4127" s="50" t="s">
        <v>273</v>
      </c>
      <c r="C4127" s="50" t="s">
        <v>274</v>
      </c>
      <c r="D4127" s="50" t="s">
        <v>27</v>
      </c>
      <c r="E4127" s="50">
        <v>50042002</v>
      </c>
      <c r="F4127" s="50" t="s">
        <v>299</v>
      </c>
      <c r="G4127" s="50">
        <v>1</v>
      </c>
      <c r="H4127" s="50" t="s">
        <v>2</v>
      </c>
      <c r="I4127" s="50" t="s">
        <v>288</v>
      </c>
      <c r="J4127" s="51">
        <v>45972</v>
      </c>
      <c r="K4127" s="50" t="s">
        <v>3</v>
      </c>
      <c r="L4127" s="50" t="s">
        <v>80</v>
      </c>
    </row>
    <row r="4128" spans="2:12">
      <c r="B4128" s="50" t="s">
        <v>481</v>
      </c>
      <c r="C4128" s="50" t="s">
        <v>56</v>
      </c>
      <c r="D4128" s="50" t="s">
        <v>27</v>
      </c>
      <c r="E4128" s="50">
        <v>50010031</v>
      </c>
      <c r="F4128" s="50" t="s">
        <v>89</v>
      </c>
      <c r="G4128" s="50">
        <v>1</v>
      </c>
      <c r="H4128" s="50" t="s">
        <v>2</v>
      </c>
      <c r="I4128" s="50" t="s">
        <v>293</v>
      </c>
      <c r="J4128" s="51">
        <v>45971</v>
      </c>
      <c r="K4128" s="50" t="s">
        <v>1</v>
      </c>
      <c r="L4128" s="50" t="s">
        <v>80</v>
      </c>
    </row>
    <row r="4129" spans="2:12">
      <c r="B4129" s="50" t="s">
        <v>481</v>
      </c>
      <c r="C4129" s="50" t="s">
        <v>56</v>
      </c>
      <c r="D4129" s="50" t="s">
        <v>27</v>
      </c>
      <c r="E4129" s="50">
        <v>50010031</v>
      </c>
      <c r="F4129" s="50" t="s">
        <v>89</v>
      </c>
      <c r="G4129" s="50">
        <v>1</v>
      </c>
      <c r="H4129" s="50" t="s">
        <v>2</v>
      </c>
      <c r="I4129" s="50" t="s">
        <v>293</v>
      </c>
      <c r="J4129" s="51">
        <v>45971</v>
      </c>
      <c r="K4129" s="50" t="s">
        <v>3</v>
      </c>
      <c r="L4129" s="50" t="s">
        <v>80</v>
      </c>
    </row>
    <row r="4130" spans="2:12">
      <c r="B4130" s="50" t="s">
        <v>345</v>
      </c>
      <c r="C4130" s="50" t="s">
        <v>62</v>
      </c>
      <c r="D4130" s="50" t="s">
        <v>27</v>
      </c>
      <c r="E4130" s="50">
        <v>50010031</v>
      </c>
      <c r="F4130" s="50" t="s">
        <v>89</v>
      </c>
      <c r="G4130" s="50">
        <v>1</v>
      </c>
      <c r="H4130" s="50" t="s">
        <v>2</v>
      </c>
      <c r="I4130" s="50" t="s">
        <v>291</v>
      </c>
      <c r="J4130" s="51">
        <v>45971</v>
      </c>
      <c r="K4130" s="50" t="s">
        <v>1</v>
      </c>
      <c r="L4130" s="50" t="s">
        <v>80</v>
      </c>
    </row>
    <row r="4131" spans="2:12">
      <c r="B4131" s="50" t="s">
        <v>345</v>
      </c>
      <c r="C4131" s="50" t="s">
        <v>62</v>
      </c>
      <c r="D4131" s="50" t="s">
        <v>27</v>
      </c>
      <c r="E4131" s="50">
        <v>50010031</v>
      </c>
      <c r="F4131" s="50" t="s">
        <v>89</v>
      </c>
      <c r="G4131" s="50">
        <v>1</v>
      </c>
      <c r="H4131" s="50" t="s">
        <v>2</v>
      </c>
      <c r="I4131" s="50" t="s">
        <v>291</v>
      </c>
      <c r="J4131" s="51">
        <v>45971</v>
      </c>
      <c r="K4131" s="50" t="s">
        <v>1</v>
      </c>
      <c r="L4131" s="50" t="s">
        <v>80</v>
      </c>
    </row>
    <row r="4132" spans="2:12">
      <c r="B4132" s="50" t="s">
        <v>386</v>
      </c>
      <c r="C4132" s="50" t="s">
        <v>62</v>
      </c>
      <c r="D4132" s="50" t="s">
        <v>27</v>
      </c>
      <c r="E4132" s="50">
        <v>50038854</v>
      </c>
      <c r="F4132" s="50" t="s">
        <v>101</v>
      </c>
      <c r="G4132" s="50">
        <v>1</v>
      </c>
      <c r="H4132" s="50" t="s">
        <v>2</v>
      </c>
      <c r="I4132" s="50" t="s">
        <v>293</v>
      </c>
      <c r="J4132" s="51">
        <v>45971</v>
      </c>
      <c r="K4132" s="50" t="s">
        <v>3</v>
      </c>
      <c r="L4132" s="50" t="s">
        <v>80</v>
      </c>
    </row>
    <row r="4133" spans="2:12">
      <c r="B4133" s="50" t="s">
        <v>386</v>
      </c>
      <c r="C4133" s="50" t="s">
        <v>62</v>
      </c>
      <c r="D4133" s="50" t="s">
        <v>27</v>
      </c>
      <c r="E4133" s="50">
        <v>50038854</v>
      </c>
      <c r="F4133" s="50" t="s">
        <v>101</v>
      </c>
      <c r="G4133" s="50">
        <v>1</v>
      </c>
      <c r="H4133" s="50" t="s">
        <v>2</v>
      </c>
      <c r="I4133" s="50" t="s">
        <v>293</v>
      </c>
      <c r="J4133" s="51">
        <v>45971</v>
      </c>
      <c r="K4133" s="50" t="s">
        <v>1</v>
      </c>
      <c r="L4133" s="50" t="s">
        <v>80</v>
      </c>
    </row>
    <row r="4134" spans="2:12">
      <c r="B4134" s="50" t="s">
        <v>456</v>
      </c>
      <c r="C4134" s="50" t="s">
        <v>56</v>
      </c>
      <c r="D4134" s="50" t="s">
        <v>39</v>
      </c>
      <c r="E4134" s="50">
        <v>50036298</v>
      </c>
      <c r="F4134" s="50" t="s">
        <v>102</v>
      </c>
      <c r="G4134" s="50">
        <v>1</v>
      </c>
      <c r="H4134" s="50" t="s">
        <v>2</v>
      </c>
      <c r="I4134" s="50" t="s">
        <v>293</v>
      </c>
      <c r="J4134" s="51">
        <v>45971</v>
      </c>
      <c r="K4134" s="50" t="s">
        <v>3</v>
      </c>
      <c r="L4134" s="50" t="s">
        <v>80</v>
      </c>
    </row>
    <row r="4135" spans="2:12">
      <c r="B4135" s="50" t="s">
        <v>456</v>
      </c>
      <c r="C4135" s="50" t="s">
        <v>56</v>
      </c>
      <c r="D4135" s="50" t="s">
        <v>39</v>
      </c>
      <c r="E4135" s="50">
        <v>50036298</v>
      </c>
      <c r="F4135" s="50" t="s">
        <v>102</v>
      </c>
      <c r="G4135" s="50">
        <v>1</v>
      </c>
      <c r="H4135" s="50" t="s">
        <v>2</v>
      </c>
      <c r="I4135" s="50" t="s">
        <v>293</v>
      </c>
      <c r="J4135" s="51">
        <v>45971</v>
      </c>
      <c r="K4135" s="50" t="s">
        <v>1</v>
      </c>
      <c r="L4135" s="50" t="s">
        <v>80</v>
      </c>
    </row>
    <row r="4136" spans="2:12">
      <c r="B4136" s="50" t="s">
        <v>427</v>
      </c>
      <c r="C4136" s="50" t="s">
        <v>26</v>
      </c>
      <c r="D4136" s="50" t="s">
        <v>27</v>
      </c>
      <c r="E4136" s="50">
        <v>50003173</v>
      </c>
      <c r="F4136" s="50" t="s">
        <v>74</v>
      </c>
      <c r="G4136" s="50">
        <v>1</v>
      </c>
      <c r="H4136" s="50" t="s">
        <v>2</v>
      </c>
      <c r="I4136" s="50" t="s">
        <v>293</v>
      </c>
      <c r="J4136" s="51">
        <v>45971</v>
      </c>
      <c r="K4136" s="50" t="s">
        <v>3</v>
      </c>
      <c r="L4136" s="50" t="s">
        <v>80</v>
      </c>
    </row>
    <row r="4137" spans="2:12">
      <c r="B4137" s="50" t="s">
        <v>427</v>
      </c>
      <c r="C4137" s="50" t="s">
        <v>26</v>
      </c>
      <c r="D4137" s="50" t="s">
        <v>27</v>
      </c>
      <c r="E4137" s="50">
        <v>50003173</v>
      </c>
      <c r="F4137" s="50" t="s">
        <v>74</v>
      </c>
      <c r="G4137" s="50">
        <v>1</v>
      </c>
      <c r="H4137" s="50" t="s">
        <v>2</v>
      </c>
      <c r="I4137" s="50" t="s">
        <v>290</v>
      </c>
      <c r="J4137" s="51">
        <v>45971</v>
      </c>
      <c r="K4137" s="50" t="s">
        <v>1</v>
      </c>
      <c r="L4137" s="50" t="s">
        <v>80</v>
      </c>
    </row>
    <row r="4138" spans="2:12">
      <c r="B4138" s="50" t="s">
        <v>411</v>
      </c>
      <c r="C4138" s="50" t="s">
        <v>26</v>
      </c>
      <c r="D4138" s="50" t="s">
        <v>27</v>
      </c>
      <c r="E4138" s="50">
        <v>50039718</v>
      </c>
      <c r="F4138" s="50" t="s">
        <v>149</v>
      </c>
      <c r="G4138" s="50">
        <v>1</v>
      </c>
      <c r="H4138" s="50" t="s">
        <v>2</v>
      </c>
      <c r="I4138" s="50" t="s">
        <v>293</v>
      </c>
      <c r="J4138" s="51">
        <v>45971</v>
      </c>
      <c r="K4138" s="50" t="s">
        <v>3</v>
      </c>
      <c r="L4138" s="50" t="s">
        <v>80</v>
      </c>
    </row>
    <row r="4139" spans="2:12">
      <c r="B4139" s="50" t="s">
        <v>411</v>
      </c>
      <c r="C4139" s="50" t="s">
        <v>26</v>
      </c>
      <c r="D4139" s="50" t="s">
        <v>27</v>
      </c>
      <c r="E4139" s="50">
        <v>50039718</v>
      </c>
      <c r="F4139" s="50" t="s">
        <v>149</v>
      </c>
      <c r="G4139" s="50">
        <v>1</v>
      </c>
      <c r="H4139" s="50" t="s">
        <v>2</v>
      </c>
      <c r="I4139" s="50" t="s">
        <v>293</v>
      </c>
      <c r="J4139" s="51">
        <v>45971</v>
      </c>
      <c r="K4139" s="50" t="s">
        <v>1</v>
      </c>
      <c r="L4139" s="50" t="s">
        <v>80</v>
      </c>
    </row>
    <row r="4140" spans="2:12">
      <c r="B4140" s="50" t="s">
        <v>446</v>
      </c>
      <c r="C4140" s="50" t="s">
        <v>56</v>
      </c>
      <c r="D4140" s="50" t="s">
        <v>27</v>
      </c>
      <c r="E4140" s="50">
        <v>50030486</v>
      </c>
      <c r="F4140" s="50" t="s">
        <v>153</v>
      </c>
      <c r="G4140" s="50">
        <v>1</v>
      </c>
      <c r="H4140" s="50" t="s">
        <v>2</v>
      </c>
      <c r="I4140" s="50" t="s">
        <v>293</v>
      </c>
      <c r="J4140" s="51">
        <v>45971</v>
      </c>
      <c r="K4140" s="50" t="s">
        <v>3</v>
      </c>
      <c r="L4140" s="50" t="s">
        <v>80</v>
      </c>
    </row>
    <row r="4141" spans="2:12">
      <c r="B4141" s="50" t="s">
        <v>446</v>
      </c>
      <c r="C4141" s="50" t="s">
        <v>56</v>
      </c>
      <c r="D4141" s="50" t="s">
        <v>27</v>
      </c>
      <c r="E4141" s="50">
        <v>50030486</v>
      </c>
      <c r="F4141" s="50" t="s">
        <v>153</v>
      </c>
      <c r="G4141" s="50">
        <v>1</v>
      </c>
      <c r="H4141" s="50" t="s">
        <v>2</v>
      </c>
      <c r="I4141" s="50" t="s">
        <v>291</v>
      </c>
      <c r="J4141" s="51">
        <v>45971</v>
      </c>
      <c r="K4141" s="50" t="s">
        <v>3</v>
      </c>
      <c r="L4141" s="50" t="s">
        <v>80</v>
      </c>
    </row>
    <row r="4142" spans="2:12">
      <c r="B4142" s="50" t="s">
        <v>463</v>
      </c>
      <c r="C4142" s="50" t="s">
        <v>56</v>
      </c>
      <c r="D4142" s="50" t="s">
        <v>27</v>
      </c>
      <c r="E4142" s="50">
        <v>50039236</v>
      </c>
      <c r="F4142" s="50" t="s">
        <v>154</v>
      </c>
      <c r="G4142" s="50">
        <v>1</v>
      </c>
      <c r="H4142" s="50" t="s">
        <v>2</v>
      </c>
      <c r="I4142" s="50" t="s">
        <v>293</v>
      </c>
      <c r="J4142" s="51">
        <v>45971</v>
      </c>
      <c r="K4142" s="50" t="s">
        <v>1</v>
      </c>
      <c r="L4142" s="50" t="s">
        <v>80</v>
      </c>
    </row>
    <row r="4143" spans="2:12">
      <c r="B4143" s="50" t="s">
        <v>411</v>
      </c>
      <c r="C4143" s="50" t="s">
        <v>26</v>
      </c>
      <c r="D4143" s="50" t="s">
        <v>27</v>
      </c>
      <c r="E4143" s="50">
        <v>50043471</v>
      </c>
      <c r="F4143" s="50" t="s">
        <v>257</v>
      </c>
      <c r="G4143" s="50">
        <v>1</v>
      </c>
      <c r="H4143" s="50" t="s">
        <v>2</v>
      </c>
      <c r="I4143" s="50" t="s">
        <v>293</v>
      </c>
      <c r="J4143" s="51">
        <v>45971</v>
      </c>
      <c r="K4143" s="50" t="s">
        <v>3</v>
      </c>
      <c r="L4143" s="50" t="s">
        <v>80</v>
      </c>
    </row>
    <row r="4144" spans="2:12">
      <c r="B4144" s="50" t="s">
        <v>411</v>
      </c>
      <c r="C4144" s="50" t="s">
        <v>26</v>
      </c>
      <c r="D4144" s="50" t="s">
        <v>27</v>
      </c>
      <c r="E4144" s="50">
        <v>50043471</v>
      </c>
      <c r="F4144" s="50" t="s">
        <v>257</v>
      </c>
      <c r="G4144" s="50">
        <v>1</v>
      </c>
      <c r="H4144" s="50" t="s">
        <v>2</v>
      </c>
      <c r="I4144" s="50" t="s">
        <v>293</v>
      </c>
      <c r="J4144" s="51">
        <v>45971</v>
      </c>
      <c r="K4144" s="50" t="s">
        <v>1</v>
      </c>
      <c r="L4144" s="50" t="s">
        <v>80</v>
      </c>
    </row>
    <row r="4145" spans="2:12">
      <c r="B4145" s="50" t="s">
        <v>273</v>
      </c>
      <c r="C4145" s="50" t="s">
        <v>274</v>
      </c>
      <c r="D4145" s="50" t="s">
        <v>27</v>
      </c>
      <c r="E4145" s="50">
        <v>50043471</v>
      </c>
      <c r="F4145" s="50" t="s">
        <v>257</v>
      </c>
      <c r="G4145" s="50">
        <v>1</v>
      </c>
      <c r="H4145" s="50" t="s">
        <v>2</v>
      </c>
      <c r="I4145" s="50" t="s">
        <v>293</v>
      </c>
      <c r="J4145" s="51">
        <v>45971</v>
      </c>
      <c r="K4145" s="50" t="s">
        <v>3</v>
      </c>
      <c r="L4145" s="50" t="s">
        <v>80</v>
      </c>
    </row>
    <row r="4146" spans="2:12">
      <c r="B4146" s="50" t="s">
        <v>273</v>
      </c>
      <c r="C4146" s="50" t="s">
        <v>274</v>
      </c>
      <c r="D4146" s="50" t="s">
        <v>27</v>
      </c>
      <c r="E4146" s="50">
        <v>50043471</v>
      </c>
      <c r="F4146" s="50" t="s">
        <v>257</v>
      </c>
      <c r="G4146" s="50">
        <v>1</v>
      </c>
      <c r="H4146" s="50" t="s">
        <v>2</v>
      </c>
      <c r="I4146" s="50" t="s">
        <v>287</v>
      </c>
      <c r="J4146" s="51">
        <v>45971</v>
      </c>
      <c r="K4146" s="50" t="s">
        <v>1</v>
      </c>
      <c r="L4146" s="50" t="s">
        <v>80</v>
      </c>
    </row>
    <row r="4147" spans="2:12">
      <c r="B4147" s="50" t="s">
        <v>407</v>
      </c>
      <c r="C4147" s="50" t="s">
        <v>26</v>
      </c>
      <c r="D4147" s="50" t="s">
        <v>27</v>
      </c>
      <c r="E4147" s="50">
        <v>50003297</v>
      </c>
      <c r="F4147" s="50" t="s">
        <v>158</v>
      </c>
      <c r="G4147" s="50">
        <v>1</v>
      </c>
      <c r="H4147" s="50" t="s">
        <v>2</v>
      </c>
      <c r="I4147" s="50" t="s">
        <v>293</v>
      </c>
      <c r="J4147" s="51">
        <v>45971</v>
      </c>
      <c r="K4147" s="50" t="s">
        <v>3</v>
      </c>
      <c r="L4147" s="50" t="s">
        <v>80</v>
      </c>
    </row>
    <row r="4148" spans="2:12">
      <c r="B4148" s="50" t="s">
        <v>407</v>
      </c>
      <c r="C4148" s="50" t="s">
        <v>26</v>
      </c>
      <c r="D4148" s="50" t="s">
        <v>27</v>
      </c>
      <c r="E4148" s="50">
        <v>50003297</v>
      </c>
      <c r="F4148" s="50" t="s">
        <v>158</v>
      </c>
      <c r="G4148" s="50">
        <v>1</v>
      </c>
      <c r="H4148" s="50" t="s">
        <v>2</v>
      </c>
      <c r="I4148" s="50" t="s">
        <v>293</v>
      </c>
      <c r="J4148" s="51">
        <v>45971</v>
      </c>
      <c r="K4148" s="50" t="s">
        <v>1</v>
      </c>
      <c r="L4148" s="50" t="s">
        <v>80</v>
      </c>
    </row>
    <row r="4149" spans="2:12">
      <c r="B4149" s="50" t="s">
        <v>474</v>
      </c>
      <c r="C4149" s="50" t="s">
        <v>51</v>
      </c>
      <c r="D4149" s="50" t="s">
        <v>27</v>
      </c>
      <c r="E4149" s="50">
        <v>50003297</v>
      </c>
      <c r="F4149" s="50" t="s">
        <v>158</v>
      </c>
      <c r="G4149" s="50">
        <v>1</v>
      </c>
      <c r="H4149" s="50" t="s">
        <v>2</v>
      </c>
      <c r="I4149" s="50" t="s">
        <v>291</v>
      </c>
      <c r="J4149" s="51">
        <v>45971</v>
      </c>
      <c r="K4149" s="50" t="s">
        <v>3</v>
      </c>
      <c r="L4149" s="50" t="s">
        <v>80</v>
      </c>
    </row>
    <row r="4150" spans="2:12">
      <c r="B4150" s="50" t="s">
        <v>474</v>
      </c>
      <c r="C4150" s="50" t="s">
        <v>51</v>
      </c>
      <c r="D4150" s="50" t="s">
        <v>27</v>
      </c>
      <c r="E4150" s="50">
        <v>50003297</v>
      </c>
      <c r="F4150" s="50" t="s">
        <v>158</v>
      </c>
      <c r="G4150" s="50">
        <v>1</v>
      </c>
      <c r="H4150" s="50" t="s">
        <v>2</v>
      </c>
      <c r="I4150" s="50" t="s">
        <v>291</v>
      </c>
      <c r="J4150" s="51">
        <v>45971</v>
      </c>
      <c r="K4150" s="50" t="s">
        <v>3</v>
      </c>
      <c r="L4150" s="50" t="s">
        <v>80</v>
      </c>
    </row>
    <row r="4151" spans="2:12">
      <c r="B4151" s="50" t="s">
        <v>463</v>
      </c>
      <c r="C4151" s="50" t="s">
        <v>56</v>
      </c>
      <c r="D4151" s="50" t="s">
        <v>27</v>
      </c>
      <c r="E4151" s="50">
        <v>50029865</v>
      </c>
      <c r="F4151" s="50" t="s">
        <v>162</v>
      </c>
      <c r="G4151" s="50">
        <v>1</v>
      </c>
      <c r="H4151" s="50" t="s">
        <v>2</v>
      </c>
      <c r="I4151" s="50" t="s">
        <v>293</v>
      </c>
      <c r="J4151" s="51">
        <v>45971</v>
      </c>
      <c r="K4151" s="50" t="s">
        <v>3</v>
      </c>
      <c r="L4151" s="50" t="s">
        <v>80</v>
      </c>
    </row>
    <row r="4152" spans="2:12">
      <c r="B4152" s="50" t="s">
        <v>427</v>
      </c>
      <c r="C4152" s="50" t="s">
        <v>26</v>
      </c>
      <c r="D4152" s="50" t="s">
        <v>27</v>
      </c>
      <c r="E4152" s="50">
        <v>50038549</v>
      </c>
      <c r="F4152" s="50" t="s">
        <v>173</v>
      </c>
      <c r="G4152" s="50">
        <v>1</v>
      </c>
      <c r="H4152" s="50" t="s">
        <v>2</v>
      </c>
      <c r="I4152" s="50" t="s">
        <v>291</v>
      </c>
      <c r="J4152" s="51">
        <v>45971</v>
      </c>
      <c r="K4152" s="50" t="s">
        <v>1</v>
      </c>
      <c r="L4152" s="50" t="s">
        <v>80</v>
      </c>
    </row>
    <row r="4153" spans="2:12">
      <c r="B4153" s="50" t="s">
        <v>418</v>
      </c>
      <c r="C4153" s="50" t="s">
        <v>26</v>
      </c>
      <c r="D4153" s="50" t="s">
        <v>27</v>
      </c>
      <c r="E4153" s="50">
        <v>50022878</v>
      </c>
      <c r="F4153" s="50" t="s">
        <v>296</v>
      </c>
      <c r="G4153" s="50">
        <v>1</v>
      </c>
      <c r="H4153" s="50" t="s">
        <v>2</v>
      </c>
      <c r="I4153" s="50" t="s">
        <v>293</v>
      </c>
      <c r="J4153" s="51">
        <v>45971</v>
      </c>
      <c r="K4153" s="50" t="s">
        <v>3</v>
      </c>
      <c r="L4153" s="50" t="s">
        <v>80</v>
      </c>
    </row>
    <row r="4154" spans="2:12">
      <c r="B4154" s="50" t="s">
        <v>418</v>
      </c>
      <c r="C4154" s="50" t="s">
        <v>26</v>
      </c>
      <c r="D4154" s="50" t="s">
        <v>27</v>
      </c>
      <c r="E4154" s="50">
        <v>50022878</v>
      </c>
      <c r="F4154" s="50" t="s">
        <v>296</v>
      </c>
      <c r="G4154" s="50">
        <v>1</v>
      </c>
      <c r="H4154" s="50" t="s">
        <v>2</v>
      </c>
      <c r="I4154" s="50" t="s">
        <v>293</v>
      </c>
      <c r="J4154" s="51">
        <v>45971</v>
      </c>
      <c r="K4154" s="50" t="s">
        <v>3</v>
      </c>
      <c r="L4154" s="50" t="s">
        <v>80</v>
      </c>
    </row>
    <row r="4155" spans="2:12">
      <c r="B4155" s="50" t="s">
        <v>463</v>
      </c>
      <c r="C4155" s="50" t="s">
        <v>56</v>
      </c>
      <c r="D4155" s="50" t="s">
        <v>27</v>
      </c>
      <c r="E4155" s="50">
        <v>50038956</v>
      </c>
      <c r="F4155" s="50" t="s">
        <v>177</v>
      </c>
      <c r="G4155" s="50">
        <v>1</v>
      </c>
      <c r="H4155" s="50" t="s">
        <v>2</v>
      </c>
      <c r="I4155" s="50" t="s">
        <v>293</v>
      </c>
      <c r="J4155" s="51">
        <v>45971</v>
      </c>
      <c r="K4155" s="50" t="s">
        <v>1</v>
      </c>
      <c r="L4155" s="50" t="s">
        <v>80</v>
      </c>
    </row>
    <row r="4156" spans="2:12">
      <c r="B4156" s="50" t="s">
        <v>445</v>
      </c>
      <c r="C4156" s="50" t="s">
        <v>51</v>
      </c>
      <c r="D4156" s="50" t="s">
        <v>41</v>
      </c>
      <c r="E4156" s="50">
        <v>50038956</v>
      </c>
      <c r="F4156" s="50" t="s">
        <v>177</v>
      </c>
      <c r="G4156" s="50">
        <v>1</v>
      </c>
      <c r="H4156" s="50" t="s">
        <v>2</v>
      </c>
      <c r="I4156" s="50" t="s">
        <v>290</v>
      </c>
      <c r="J4156" s="51">
        <v>45971</v>
      </c>
      <c r="K4156" s="50" t="s">
        <v>3</v>
      </c>
      <c r="L4156" s="50" t="s">
        <v>80</v>
      </c>
    </row>
    <row r="4157" spans="2:12">
      <c r="B4157" s="50" t="s">
        <v>445</v>
      </c>
      <c r="C4157" s="50" t="s">
        <v>51</v>
      </c>
      <c r="D4157" s="50" t="s">
        <v>41</v>
      </c>
      <c r="E4157" s="50">
        <v>50038956</v>
      </c>
      <c r="F4157" s="50" t="s">
        <v>177</v>
      </c>
      <c r="G4157" s="50">
        <v>1</v>
      </c>
      <c r="H4157" s="50" t="s">
        <v>2</v>
      </c>
      <c r="I4157" s="50" t="s">
        <v>291</v>
      </c>
      <c r="J4157" s="51">
        <v>45971</v>
      </c>
      <c r="K4157" s="50" t="s">
        <v>3</v>
      </c>
      <c r="L4157" s="50" t="s">
        <v>80</v>
      </c>
    </row>
    <row r="4158" spans="2:12">
      <c r="B4158" s="50" t="s">
        <v>399</v>
      </c>
      <c r="C4158" s="50" t="s">
        <v>51</v>
      </c>
      <c r="D4158" s="50" t="s">
        <v>27</v>
      </c>
      <c r="E4158" s="50">
        <v>50037892</v>
      </c>
      <c r="F4158" s="50" t="s">
        <v>178</v>
      </c>
      <c r="G4158" s="50">
        <v>1</v>
      </c>
      <c r="H4158" s="50" t="s">
        <v>2</v>
      </c>
      <c r="I4158" s="50" t="s">
        <v>293</v>
      </c>
      <c r="J4158" s="51">
        <v>45971</v>
      </c>
      <c r="K4158" s="50" t="s">
        <v>1</v>
      </c>
      <c r="L4158" s="50" t="s">
        <v>80</v>
      </c>
    </row>
    <row r="4159" spans="2:12">
      <c r="B4159" s="50" t="s">
        <v>399</v>
      </c>
      <c r="C4159" s="50" t="s">
        <v>51</v>
      </c>
      <c r="D4159" s="50" t="s">
        <v>27</v>
      </c>
      <c r="E4159" s="50">
        <v>50037892</v>
      </c>
      <c r="F4159" s="50" t="s">
        <v>178</v>
      </c>
      <c r="G4159" s="50">
        <v>1</v>
      </c>
      <c r="H4159" s="50" t="s">
        <v>2</v>
      </c>
      <c r="I4159" s="50" t="s">
        <v>293</v>
      </c>
      <c r="J4159" s="51">
        <v>45971</v>
      </c>
      <c r="K4159" s="50" t="s">
        <v>3</v>
      </c>
      <c r="L4159" s="50" t="s">
        <v>80</v>
      </c>
    </row>
    <row r="4160" spans="2:12">
      <c r="B4160" s="50" t="s">
        <v>386</v>
      </c>
      <c r="C4160" s="50" t="s">
        <v>62</v>
      </c>
      <c r="D4160" s="50" t="s">
        <v>27</v>
      </c>
      <c r="E4160" s="50">
        <v>50037892</v>
      </c>
      <c r="F4160" s="50" t="s">
        <v>178</v>
      </c>
      <c r="G4160" s="50">
        <v>1</v>
      </c>
      <c r="H4160" s="50" t="s">
        <v>2</v>
      </c>
      <c r="I4160" s="50" t="s">
        <v>291</v>
      </c>
      <c r="J4160" s="51">
        <v>45971</v>
      </c>
      <c r="K4160" s="50" t="s">
        <v>1</v>
      </c>
      <c r="L4160" s="50" t="s">
        <v>80</v>
      </c>
    </row>
    <row r="4161" spans="2:12">
      <c r="B4161" s="50" t="s">
        <v>386</v>
      </c>
      <c r="C4161" s="50" t="s">
        <v>62</v>
      </c>
      <c r="D4161" s="50" t="s">
        <v>27</v>
      </c>
      <c r="E4161" s="50">
        <v>50037892</v>
      </c>
      <c r="F4161" s="50" t="s">
        <v>178</v>
      </c>
      <c r="G4161" s="50">
        <v>1</v>
      </c>
      <c r="H4161" s="50" t="s">
        <v>2</v>
      </c>
      <c r="I4161" s="50" t="s">
        <v>291</v>
      </c>
      <c r="J4161" s="51">
        <v>45971</v>
      </c>
      <c r="K4161" s="50" t="s">
        <v>1</v>
      </c>
      <c r="L4161" s="50" t="s">
        <v>80</v>
      </c>
    </row>
    <row r="4162" spans="2:12">
      <c r="B4162" s="50" t="s">
        <v>394</v>
      </c>
      <c r="C4162" s="50" t="s">
        <v>51</v>
      </c>
      <c r="D4162" s="50" t="s">
        <v>27</v>
      </c>
      <c r="E4162" s="50">
        <v>50037902</v>
      </c>
      <c r="F4162" s="50" t="s">
        <v>179</v>
      </c>
      <c r="G4162" s="50">
        <v>1</v>
      </c>
      <c r="H4162" s="50" t="s">
        <v>2</v>
      </c>
      <c r="I4162" s="50" t="s">
        <v>293</v>
      </c>
      <c r="J4162" s="51">
        <v>45971</v>
      </c>
      <c r="K4162" s="50" t="s">
        <v>3</v>
      </c>
      <c r="L4162" s="50" t="s">
        <v>80</v>
      </c>
    </row>
    <row r="4163" spans="2:12">
      <c r="B4163" s="50" t="s">
        <v>407</v>
      </c>
      <c r="C4163" s="50" t="s">
        <v>26</v>
      </c>
      <c r="D4163" s="50" t="s">
        <v>27</v>
      </c>
      <c r="E4163" s="50">
        <v>50038841</v>
      </c>
      <c r="F4163" s="50" t="s">
        <v>180</v>
      </c>
      <c r="G4163" s="50">
        <v>1</v>
      </c>
      <c r="H4163" s="50" t="s">
        <v>2</v>
      </c>
      <c r="I4163" s="50" t="s">
        <v>293</v>
      </c>
      <c r="J4163" s="51">
        <v>45971</v>
      </c>
      <c r="K4163" s="50" t="s">
        <v>1</v>
      </c>
      <c r="L4163" s="50" t="s">
        <v>80</v>
      </c>
    </row>
    <row r="4164" spans="2:12">
      <c r="B4164" s="50" t="s">
        <v>407</v>
      </c>
      <c r="C4164" s="50" t="s">
        <v>26</v>
      </c>
      <c r="D4164" s="50" t="s">
        <v>27</v>
      </c>
      <c r="E4164" s="50">
        <v>50038841</v>
      </c>
      <c r="F4164" s="50" t="s">
        <v>180</v>
      </c>
      <c r="G4164" s="50">
        <v>1</v>
      </c>
      <c r="H4164" s="50" t="s">
        <v>2</v>
      </c>
      <c r="I4164" s="50" t="s">
        <v>293</v>
      </c>
      <c r="J4164" s="51">
        <v>45971</v>
      </c>
      <c r="K4164" s="50" t="s">
        <v>3</v>
      </c>
      <c r="L4164" s="50" t="s">
        <v>80</v>
      </c>
    </row>
    <row r="4165" spans="2:12">
      <c r="B4165" s="50" t="s">
        <v>273</v>
      </c>
      <c r="C4165" s="50" t="s">
        <v>274</v>
      </c>
      <c r="D4165" s="50" t="s">
        <v>27</v>
      </c>
      <c r="E4165" s="50">
        <v>50038841</v>
      </c>
      <c r="F4165" s="50" t="s">
        <v>180</v>
      </c>
      <c r="G4165" s="50">
        <v>1</v>
      </c>
      <c r="H4165" s="50" t="s">
        <v>2</v>
      </c>
      <c r="I4165" s="50" t="s">
        <v>293</v>
      </c>
      <c r="J4165" s="51">
        <v>45971</v>
      </c>
      <c r="K4165" s="50" t="s">
        <v>1</v>
      </c>
      <c r="L4165" s="50" t="s">
        <v>80</v>
      </c>
    </row>
    <row r="4166" spans="2:12">
      <c r="B4166" s="50" t="s">
        <v>273</v>
      </c>
      <c r="C4166" s="50" t="s">
        <v>274</v>
      </c>
      <c r="D4166" s="50" t="s">
        <v>27</v>
      </c>
      <c r="E4166" s="50">
        <v>50038841</v>
      </c>
      <c r="F4166" s="50" t="s">
        <v>180</v>
      </c>
      <c r="G4166" s="50">
        <v>1</v>
      </c>
      <c r="H4166" s="50" t="s">
        <v>2</v>
      </c>
      <c r="I4166" s="50" t="s">
        <v>287</v>
      </c>
      <c r="J4166" s="51">
        <v>45971</v>
      </c>
      <c r="K4166" s="50" t="s">
        <v>3</v>
      </c>
      <c r="L4166" s="50" t="s">
        <v>80</v>
      </c>
    </row>
    <row r="4167" spans="2:12">
      <c r="B4167" s="50" t="s">
        <v>345</v>
      </c>
      <c r="C4167" s="50" t="s">
        <v>62</v>
      </c>
      <c r="D4167" s="50" t="s">
        <v>27</v>
      </c>
      <c r="E4167" s="50">
        <v>50038517</v>
      </c>
      <c r="F4167" s="50" t="s">
        <v>181</v>
      </c>
      <c r="G4167" s="50">
        <v>1</v>
      </c>
      <c r="H4167" s="50" t="s">
        <v>2</v>
      </c>
      <c r="I4167" s="50" t="s">
        <v>293</v>
      </c>
      <c r="J4167" s="51">
        <v>45971</v>
      </c>
      <c r="K4167" s="50" t="s">
        <v>3</v>
      </c>
      <c r="L4167" s="50" t="s">
        <v>80</v>
      </c>
    </row>
    <row r="4168" spans="2:12">
      <c r="B4168" s="50" t="s">
        <v>345</v>
      </c>
      <c r="C4168" s="50" t="s">
        <v>62</v>
      </c>
      <c r="D4168" s="50" t="s">
        <v>27</v>
      </c>
      <c r="E4168" s="50">
        <v>50038517</v>
      </c>
      <c r="F4168" s="50" t="s">
        <v>181</v>
      </c>
      <c r="G4168" s="50">
        <v>1</v>
      </c>
      <c r="H4168" s="50" t="s">
        <v>2</v>
      </c>
      <c r="I4168" s="50" t="s">
        <v>291</v>
      </c>
      <c r="J4168" s="51">
        <v>45971</v>
      </c>
      <c r="K4168" s="50" t="s">
        <v>1</v>
      </c>
      <c r="L4168" s="50" t="s">
        <v>80</v>
      </c>
    </row>
    <row r="4169" spans="2:12">
      <c r="B4169" s="50" t="s">
        <v>316</v>
      </c>
      <c r="C4169" s="50" t="s">
        <v>51</v>
      </c>
      <c r="D4169" s="50" t="s">
        <v>27</v>
      </c>
      <c r="E4169" s="50">
        <v>50041195</v>
      </c>
      <c r="F4169" s="50" t="s">
        <v>206</v>
      </c>
      <c r="G4169" s="50">
        <v>1</v>
      </c>
      <c r="H4169" s="50" t="s">
        <v>2</v>
      </c>
      <c r="I4169" s="50" t="s">
        <v>293</v>
      </c>
      <c r="J4169" s="51">
        <v>45971</v>
      </c>
      <c r="K4169" s="50" t="s">
        <v>3</v>
      </c>
      <c r="L4169" s="50" t="s">
        <v>80</v>
      </c>
    </row>
    <row r="4170" spans="2:12">
      <c r="B4170" s="50" t="s">
        <v>439</v>
      </c>
      <c r="C4170" s="50" t="s">
        <v>62</v>
      </c>
      <c r="D4170" s="50" t="s">
        <v>27</v>
      </c>
      <c r="E4170" s="50">
        <v>50041195</v>
      </c>
      <c r="F4170" s="50" t="s">
        <v>206</v>
      </c>
      <c r="G4170" s="50">
        <v>1</v>
      </c>
      <c r="H4170" s="50" t="s">
        <v>2</v>
      </c>
      <c r="I4170" s="50" t="s">
        <v>293</v>
      </c>
      <c r="J4170" s="51">
        <v>45971</v>
      </c>
      <c r="K4170" s="50" t="s">
        <v>1</v>
      </c>
      <c r="L4170" s="50" t="s">
        <v>80</v>
      </c>
    </row>
    <row r="4171" spans="2:12">
      <c r="B4171" s="50" t="s">
        <v>439</v>
      </c>
      <c r="C4171" s="50" t="s">
        <v>62</v>
      </c>
      <c r="D4171" s="50" t="s">
        <v>27</v>
      </c>
      <c r="E4171" s="50">
        <v>50041195</v>
      </c>
      <c r="F4171" s="50" t="s">
        <v>206</v>
      </c>
      <c r="G4171" s="50">
        <v>1</v>
      </c>
      <c r="H4171" s="50" t="s">
        <v>2</v>
      </c>
      <c r="I4171" s="50" t="s">
        <v>287</v>
      </c>
      <c r="J4171" s="51">
        <v>45971</v>
      </c>
      <c r="K4171" s="50" t="s">
        <v>3</v>
      </c>
      <c r="L4171" s="50" t="s">
        <v>80</v>
      </c>
    </row>
    <row r="4172" spans="2:12">
      <c r="B4172" s="50" t="s">
        <v>439</v>
      </c>
      <c r="C4172" s="50" t="s">
        <v>62</v>
      </c>
      <c r="D4172" s="50" t="s">
        <v>27</v>
      </c>
      <c r="E4172" s="50">
        <v>50043917</v>
      </c>
      <c r="F4172" s="50" t="s">
        <v>262</v>
      </c>
      <c r="G4172" s="50">
        <v>1</v>
      </c>
      <c r="H4172" s="50" t="s">
        <v>2</v>
      </c>
      <c r="I4172" s="50" t="s">
        <v>293</v>
      </c>
      <c r="J4172" s="51">
        <v>45971</v>
      </c>
      <c r="K4172" s="50" t="s">
        <v>1</v>
      </c>
      <c r="L4172" s="50" t="s">
        <v>80</v>
      </c>
    </row>
    <row r="4173" spans="2:12">
      <c r="B4173" s="50" t="s">
        <v>345</v>
      </c>
      <c r="C4173" s="50" t="s">
        <v>62</v>
      </c>
      <c r="D4173" s="50" t="s">
        <v>27</v>
      </c>
      <c r="E4173" s="50">
        <v>50043917</v>
      </c>
      <c r="F4173" s="50" t="s">
        <v>262</v>
      </c>
      <c r="G4173" s="50">
        <v>1</v>
      </c>
      <c r="H4173" s="50" t="s">
        <v>2</v>
      </c>
      <c r="I4173" s="50" t="s">
        <v>291</v>
      </c>
      <c r="J4173" s="51">
        <v>45971</v>
      </c>
      <c r="K4173" s="50" t="s">
        <v>1</v>
      </c>
      <c r="L4173" s="50" t="s">
        <v>80</v>
      </c>
    </row>
    <row r="4174" spans="2:12">
      <c r="B4174" s="50" t="s">
        <v>400</v>
      </c>
      <c r="C4174" s="50" t="s">
        <v>51</v>
      </c>
      <c r="D4174" s="50" t="s">
        <v>39</v>
      </c>
      <c r="E4174" s="50">
        <v>50020622</v>
      </c>
      <c r="F4174" s="50" t="s">
        <v>217</v>
      </c>
      <c r="G4174" s="50">
        <v>1</v>
      </c>
      <c r="H4174" s="50" t="s">
        <v>2</v>
      </c>
      <c r="I4174" s="50" t="s">
        <v>293</v>
      </c>
      <c r="J4174" s="51">
        <v>45971</v>
      </c>
      <c r="K4174" s="50" t="s">
        <v>3</v>
      </c>
      <c r="L4174" s="50" t="s">
        <v>80</v>
      </c>
    </row>
    <row r="4175" spans="2:12">
      <c r="B4175" s="50" t="s">
        <v>400</v>
      </c>
      <c r="C4175" s="50" t="s">
        <v>51</v>
      </c>
      <c r="D4175" s="50" t="s">
        <v>39</v>
      </c>
      <c r="E4175" s="50">
        <v>50020622</v>
      </c>
      <c r="F4175" s="50" t="s">
        <v>217</v>
      </c>
      <c r="G4175" s="50">
        <v>1</v>
      </c>
      <c r="H4175" s="50" t="s">
        <v>2</v>
      </c>
      <c r="I4175" s="50" t="s">
        <v>293</v>
      </c>
      <c r="J4175" s="51">
        <v>45971</v>
      </c>
      <c r="K4175" s="50" t="s">
        <v>1</v>
      </c>
      <c r="L4175" s="50" t="s">
        <v>80</v>
      </c>
    </row>
    <row r="4176" spans="2:12">
      <c r="B4176" s="50" t="s">
        <v>399</v>
      </c>
      <c r="C4176" s="50" t="s">
        <v>51</v>
      </c>
      <c r="D4176" s="50" t="s">
        <v>27</v>
      </c>
      <c r="E4176" s="50">
        <v>50004486</v>
      </c>
      <c r="F4176" s="50" t="s">
        <v>221</v>
      </c>
      <c r="G4176" s="50">
        <v>1</v>
      </c>
      <c r="H4176" s="50" t="s">
        <v>2</v>
      </c>
      <c r="I4176" s="50" t="s">
        <v>293</v>
      </c>
      <c r="J4176" s="51">
        <v>45971</v>
      </c>
      <c r="K4176" s="50" t="s">
        <v>3</v>
      </c>
      <c r="L4176" s="50" t="s">
        <v>80</v>
      </c>
    </row>
    <row r="4177" spans="2:12">
      <c r="B4177" s="50" t="s">
        <v>399</v>
      </c>
      <c r="C4177" s="50" t="s">
        <v>51</v>
      </c>
      <c r="D4177" s="50" t="s">
        <v>27</v>
      </c>
      <c r="E4177" s="50">
        <v>50004486</v>
      </c>
      <c r="F4177" s="50" t="s">
        <v>221</v>
      </c>
      <c r="G4177" s="50">
        <v>1</v>
      </c>
      <c r="H4177" s="50" t="s">
        <v>2</v>
      </c>
      <c r="I4177" s="50" t="s">
        <v>293</v>
      </c>
      <c r="J4177" s="51">
        <v>45971</v>
      </c>
      <c r="K4177" s="50" t="s">
        <v>1</v>
      </c>
      <c r="L4177" s="50" t="s">
        <v>80</v>
      </c>
    </row>
    <row r="4178" spans="2:12">
      <c r="B4178" s="50" t="s">
        <v>316</v>
      </c>
      <c r="C4178" s="50" t="s">
        <v>51</v>
      </c>
      <c r="D4178" s="50" t="s">
        <v>27</v>
      </c>
      <c r="E4178" s="50">
        <v>50032781</v>
      </c>
      <c r="F4178" s="50" t="s">
        <v>237</v>
      </c>
      <c r="G4178" s="50">
        <v>1</v>
      </c>
      <c r="H4178" s="50" t="s">
        <v>2</v>
      </c>
      <c r="I4178" s="50" t="s">
        <v>293</v>
      </c>
      <c r="J4178" s="51">
        <v>45971</v>
      </c>
      <c r="K4178" s="50" t="s">
        <v>3</v>
      </c>
      <c r="L4178" s="50" t="s">
        <v>80</v>
      </c>
    </row>
    <row r="4179" spans="2:12">
      <c r="B4179" s="50" t="s">
        <v>316</v>
      </c>
      <c r="C4179" s="50" t="s">
        <v>51</v>
      </c>
      <c r="D4179" s="50" t="s">
        <v>27</v>
      </c>
      <c r="E4179" s="50">
        <v>50032781</v>
      </c>
      <c r="F4179" s="50" t="s">
        <v>237</v>
      </c>
      <c r="G4179" s="50">
        <v>1</v>
      </c>
      <c r="H4179" s="50" t="s">
        <v>2</v>
      </c>
      <c r="I4179" s="50" t="s">
        <v>293</v>
      </c>
      <c r="J4179" s="51">
        <v>45971</v>
      </c>
      <c r="K4179" s="50" t="s">
        <v>1</v>
      </c>
      <c r="L4179" s="50" t="s">
        <v>80</v>
      </c>
    </row>
    <row r="4180" spans="2:12">
      <c r="B4180" s="50" t="s">
        <v>413</v>
      </c>
      <c r="C4180" s="50" t="s">
        <v>51</v>
      </c>
      <c r="D4180" s="50" t="s">
        <v>39</v>
      </c>
      <c r="E4180" s="50">
        <v>50032781</v>
      </c>
      <c r="F4180" s="50" t="s">
        <v>237</v>
      </c>
      <c r="G4180" s="50">
        <v>1</v>
      </c>
      <c r="H4180" s="50" t="s">
        <v>2</v>
      </c>
      <c r="I4180" s="50" t="s">
        <v>293</v>
      </c>
      <c r="J4180" s="51">
        <v>45971</v>
      </c>
      <c r="K4180" s="50" t="s">
        <v>3</v>
      </c>
      <c r="L4180" s="50" t="s">
        <v>80</v>
      </c>
    </row>
    <row r="4181" spans="2:12">
      <c r="B4181" s="50" t="s">
        <v>413</v>
      </c>
      <c r="C4181" s="50" t="s">
        <v>51</v>
      </c>
      <c r="D4181" s="50" t="s">
        <v>39</v>
      </c>
      <c r="E4181" s="50">
        <v>50032781</v>
      </c>
      <c r="F4181" s="50" t="s">
        <v>237</v>
      </c>
      <c r="G4181" s="50">
        <v>1</v>
      </c>
      <c r="H4181" s="50" t="s">
        <v>2</v>
      </c>
      <c r="I4181" s="50" t="s">
        <v>293</v>
      </c>
      <c r="J4181" s="51">
        <v>45971</v>
      </c>
      <c r="K4181" s="50" t="s">
        <v>3</v>
      </c>
      <c r="L4181" s="50" t="s">
        <v>80</v>
      </c>
    </row>
    <row r="4182" spans="2:12">
      <c r="B4182" s="50" t="s">
        <v>409</v>
      </c>
      <c r="C4182" s="50" t="s">
        <v>51</v>
      </c>
      <c r="D4182" s="50" t="s">
        <v>27</v>
      </c>
      <c r="E4182" s="50">
        <v>50037902</v>
      </c>
      <c r="F4182" s="50" t="s">
        <v>179</v>
      </c>
      <c r="G4182" s="50">
        <v>1</v>
      </c>
      <c r="H4182" s="50" t="s">
        <v>2</v>
      </c>
      <c r="I4182" s="50" t="s">
        <v>290</v>
      </c>
      <c r="J4182" s="51">
        <v>45969</v>
      </c>
      <c r="K4182" s="50" t="s">
        <v>1</v>
      </c>
      <c r="L4182" s="50" t="s">
        <v>80</v>
      </c>
    </row>
    <row r="4183" spans="2:12">
      <c r="B4183" s="50" t="s">
        <v>409</v>
      </c>
      <c r="C4183" s="50" t="s">
        <v>51</v>
      </c>
      <c r="D4183" s="50" t="s">
        <v>27</v>
      </c>
      <c r="E4183" s="50">
        <v>50037902</v>
      </c>
      <c r="F4183" s="50" t="s">
        <v>179</v>
      </c>
      <c r="G4183" s="50">
        <v>1</v>
      </c>
      <c r="H4183" s="50" t="s">
        <v>2</v>
      </c>
      <c r="I4183" s="50" t="s">
        <v>290</v>
      </c>
      <c r="J4183" s="51">
        <v>45969</v>
      </c>
      <c r="K4183" s="50" t="s">
        <v>3</v>
      </c>
      <c r="L4183" s="50" t="s">
        <v>80</v>
      </c>
    </row>
    <row r="4184" spans="2:12">
      <c r="B4184" s="50" t="s">
        <v>483</v>
      </c>
      <c r="C4184" s="50" t="s">
        <v>62</v>
      </c>
      <c r="D4184" s="50" t="s">
        <v>27</v>
      </c>
      <c r="E4184" s="50">
        <v>50010031</v>
      </c>
      <c r="F4184" s="50" t="s">
        <v>89</v>
      </c>
      <c r="G4184" s="50">
        <v>1</v>
      </c>
      <c r="H4184" s="50" t="s">
        <v>2</v>
      </c>
      <c r="I4184" s="50" t="s">
        <v>293</v>
      </c>
      <c r="J4184" s="51">
        <v>45968</v>
      </c>
      <c r="K4184" s="50" t="s">
        <v>1</v>
      </c>
      <c r="L4184" s="50" t="s">
        <v>80</v>
      </c>
    </row>
    <row r="4185" spans="2:12">
      <c r="B4185" s="50" t="s">
        <v>483</v>
      </c>
      <c r="C4185" s="50" t="s">
        <v>62</v>
      </c>
      <c r="D4185" s="50" t="s">
        <v>27</v>
      </c>
      <c r="E4185" s="50">
        <v>50010031</v>
      </c>
      <c r="F4185" s="50" t="s">
        <v>89</v>
      </c>
      <c r="G4185" s="50">
        <v>1</v>
      </c>
      <c r="H4185" s="50" t="s">
        <v>2</v>
      </c>
      <c r="I4185" s="50" t="s">
        <v>288</v>
      </c>
      <c r="J4185" s="51">
        <v>45968</v>
      </c>
      <c r="K4185" s="50" t="s">
        <v>3</v>
      </c>
      <c r="L4185" s="50" t="s">
        <v>80</v>
      </c>
    </row>
    <row r="4186" spans="2:12">
      <c r="B4186" s="50" t="s">
        <v>459</v>
      </c>
      <c r="C4186" s="50" t="s">
        <v>51</v>
      </c>
      <c r="D4186" s="50" t="s">
        <v>41</v>
      </c>
      <c r="E4186" s="50">
        <v>50010031</v>
      </c>
      <c r="F4186" s="50" t="s">
        <v>89</v>
      </c>
      <c r="G4186" s="50">
        <v>1</v>
      </c>
      <c r="H4186" s="50" t="s">
        <v>2</v>
      </c>
      <c r="I4186" s="50" t="s">
        <v>288</v>
      </c>
      <c r="J4186" s="51">
        <v>45968</v>
      </c>
      <c r="K4186" s="50" t="s">
        <v>1</v>
      </c>
      <c r="L4186" s="50" t="s">
        <v>80</v>
      </c>
    </row>
    <row r="4187" spans="2:12">
      <c r="B4187" s="50" t="s">
        <v>459</v>
      </c>
      <c r="C4187" s="50" t="s">
        <v>51</v>
      </c>
      <c r="D4187" s="50" t="s">
        <v>41</v>
      </c>
      <c r="E4187" s="50">
        <v>50010031</v>
      </c>
      <c r="F4187" s="50" t="s">
        <v>89</v>
      </c>
      <c r="G4187" s="50">
        <v>1</v>
      </c>
      <c r="H4187" s="50" t="s">
        <v>2</v>
      </c>
      <c r="I4187" s="50" t="s">
        <v>287</v>
      </c>
      <c r="J4187" s="51">
        <v>45968</v>
      </c>
      <c r="K4187" s="50" t="s">
        <v>1</v>
      </c>
      <c r="L4187" s="50" t="s">
        <v>80</v>
      </c>
    </row>
    <row r="4188" spans="2:12">
      <c r="B4188" s="50" t="s">
        <v>483</v>
      </c>
      <c r="C4188" s="50" t="s">
        <v>62</v>
      </c>
      <c r="D4188" s="50" t="s">
        <v>27</v>
      </c>
      <c r="E4188" s="50">
        <v>50038854</v>
      </c>
      <c r="F4188" s="50" t="s">
        <v>101</v>
      </c>
      <c r="G4188" s="50">
        <v>1</v>
      </c>
      <c r="H4188" s="50" t="s">
        <v>2</v>
      </c>
      <c r="I4188" s="50" t="s">
        <v>293</v>
      </c>
      <c r="J4188" s="51">
        <v>45968</v>
      </c>
      <c r="K4188" s="50" t="s">
        <v>3</v>
      </c>
      <c r="L4188" s="50" t="s">
        <v>80</v>
      </c>
    </row>
    <row r="4189" spans="2:12">
      <c r="B4189" s="50" t="s">
        <v>483</v>
      </c>
      <c r="C4189" s="50" t="s">
        <v>62</v>
      </c>
      <c r="D4189" s="50" t="s">
        <v>27</v>
      </c>
      <c r="E4189" s="50">
        <v>50038854</v>
      </c>
      <c r="F4189" s="50" t="s">
        <v>101</v>
      </c>
      <c r="G4189" s="50">
        <v>1</v>
      </c>
      <c r="H4189" s="50" t="s">
        <v>2</v>
      </c>
      <c r="I4189" s="50" t="s">
        <v>292</v>
      </c>
      <c r="J4189" s="51">
        <v>45968</v>
      </c>
      <c r="K4189" s="50" t="s">
        <v>86</v>
      </c>
      <c r="L4189" s="50" t="s">
        <v>80</v>
      </c>
    </row>
    <row r="4190" spans="2:12">
      <c r="B4190" s="50" t="s">
        <v>439</v>
      </c>
      <c r="C4190" s="50" t="s">
        <v>62</v>
      </c>
      <c r="D4190" s="50" t="s">
        <v>27</v>
      </c>
      <c r="E4190" s="50">
        <v>50036086</v>
      </c>
      <c r="F4190" s="50" t="s">
        <v>28</v>
      </c>
      <c r="G4190" s="50">
        <v>1</v>
      </c>
      <c r="H4190" s="50" t="s">
        <v>2</v>
      </c>
      <c r="I4190" s="50" t="s">
        <v>293</v>
      </c>
      <c r="J4190" s="51">
        <v>45968</v>
      </c>
      <c r="K4190" s="50" t="s">
        <v>3</v>
      </c>
      <c r="L4190" s="50" t="s">
        <v>80</v>
      </c>
    </row>
    <row r="4191" spans="2:12">
      <c r="B4191" s="50" t="s">
        <v>439</v>
      </c>
      <c r="C4191" s="50" t="s">
        <v>62</v>
      </c>
      <c r="D4191" s="50" t="s">
        <v>27</v>
      </c>
      <c r="E4191" s="50">
        <v>50036086</v>
      </c>
      <c r="F4191" s="50" t="s">
        <v>28</v>
      </c>
      <c r="G4191" s="50">
        <v>1</v>
      </c>
      <c r="H4191" s="50" t="s">
        <v>2</v>
      </c>
      <c r="I4191" s="50" t="s">
        <v>288</v>
      </c>
      <c r="J4191" s="51">
        <v>45968</v>
      </c>
      <c r="K4191" s="50" t="s">
        <v>86</v>
      </c>
      <c r="L4191" s="50" t="s">
        <v>80</v>
      </c>
    </row>
    <row r="4192" spans="2:12">
      <c r="B4192" s="50" t="s">
        <v>422</v>
      </c>
      <c r="C4192" s="50" t="s">
        <v>26</v>
      </c>
      <c r="D4192" s="50" t="s">
        <v>27</v>
      </c>
      <c r="E4192" s="50">
        <v>50037905</v>
      </c>
      <c r="F4192" s="50" t="s">
        <v>150</v>
      </c>
      <c r="G4192" s="50">
        <v>1</v>
      </c>
      <c r="H4192" s="50" t="s">
        <v>2</v>
      </c>
      <c r="I4192" s="50" t="s">
        <v>288</v>
      </c>
      <c r="J4192" s="51">
        <v>45968</v>
      </c>
      <c r="K4192" s="50" t="s">
        <v>3</v>
      </c>
      <c r="L4192" s="50" t="s">
        <v>80</v>
      </c>
    </row>
    <row r="4193" spans="2:12">
      <c r="B4193" s="50" t="s">
        <v>422</v>
      </c>
      <c r="C4193" s="50" t="s">
        <v>26</v>
      </c>
      <c r="D4193" s="50" t="s">
        <v>27</v>
      </c>
      <c r="E4193" s="50">
        <v>50037905</v>
      </c>
      <c r="F4193" s="50" t="s">
        <v>150</v>
      </c>
      <c r="G4193" s="50">
        <v>1</v>
      </c>
      <c r="H4193" s="50" t="s">
        <v>2</v>
      </c>
      <c r="I4193" s="50" t="s">
        <v>288</v>
      </c>
      <c r="J4193" s="51">
        <v>45968</v>
      </c>
      <c r="K4193" s="50" t="s">
        <v>1</v>
      </c>
      <c r="L4193" s="50" t="s">
        <v>80</v>
      </c>
    </row>
    <row r="4194" spans="2:12">
      <c r="B4194" s="50" t="s">
        <v>399</v>
      </c>
      <c r="C4194" s="50" t="s">
        <v>51</v>
      </c>
      <c r="D4194" s="50" t="s">
        <v>27</v>
      </c>
      <c r="E4194" s="50">
        <v>50030486</v>
      </c>
      <c r="F4194" s="50" t="s">
        <v>153</v>
      </c>
      <c r="G4194" s="50">
        <v>1</v>
      </c>
      <c r="H4194" s="50" t="s">
        <v>2</v>
      </c>
      <c r="I4194" s="50" t="s">
        <v>293</v>
      </c>
      <c r="J4194" s="51">
        <v>45968</v>
      </c>
      <c r="K4194" s="50" t="s">
        <v>3</v>
      </c>
      <c r="L4194" s="50" t="s">
        <v>80</v>
      </c>
    </row>
    <row r="4195" spans="2:12">
      <c r="B4195" s="50" t="s">
        <v>399</v>
      </c>
      <c r="C4195" s="50" t="s">
        <v>51</v>
      </c>
      <c r="D4195" s="50" t="s">
        <v>27</v>
      </c>
      <c r="E4195" s="50">
        <v>50030486</v>
      </c>
      <c r="F4195" s="50" t="s">
        <v>153</v>
      </c>
      <c r="G4195" s="50">
        <v>1</v>
      </c>
      <c r="H4195" s="50" t="s">
        <v>2</v>
      </c>
      <c r="I4195" s="50" t="s">
        <v>293</v>
      </c>
      <c r="J4195" s="51">
        <v>45968</v>
      </c>
      <c r="K4195" s="50" t="s">
        <v>1</v>
      </c>
      <c r="L4195" s="50" t="s">
        <v>80</v>
      </c>
    </row>
    <row r="4196" spans="2:12">
      <c r="B4196" s="50" t="s">
        <v>411</v>
      </c>
      <c r="C4196" s="50" t="s">
        <v>26</v>
      </c>
      <c r="D4196" s="50" t="s">
        <v>27</v>
      </c>
      <c r="E4196" s="50">
        <v>50030486</v>
      </c>
      <c r="F4196" s="50" t="s">
        <v>153</v>
      </c>
      <c r="G4196" s="50">
        <v>1</v>
      </c>
      <c r="H4196" s="50" t="s">
        <v>2</v>
      </c>
      <c r="I4196" s="50" t="s">
        <v>292</v>
      </c>
      <c r="J4196" s="51">
        <v>45968</v>
      </c>
      <c r="K4196" s="50" t="s">
        <v>3</v>
      </c>
      <c r="L4196" s="50" t="s">
        <v>80</v>
      </c>
    </row>
    <row r="4197" spans="2:12">
      <c r="B4197" s="50" t="s">
        <v>411</v>
      </c>
      <c r="C4197" s="50" t="s">
        <v>26</v>
      </c>
      <c r="D4197" s="50" t="s">
        <v>27</v>
      </c>
      <c r="E4197" s="50">
        <v>50030486</v>
      </c>
      <c r="F4197" s="50" t="s">
        <v>153</v>
      </c>
      <c r="G4197" s="50">
        <v>1</v>
      </c>
      <c r="H4197" s="50" t="s">
        <v>2</v>
      </c>
      <c r="I4197" s="50" t="s">
        <v>292</v>
      </c>
      <c r="J4197" s="51">
        <v>45968</v>
      </c>
      <c r="K4197" s="50" t="s">
        <v>1</v>
      </c>
      <c r="L4197" s="50" t="s">
        <v>80</v>
      </c>
    </row>
    <row r="4198" spans="2:12">
      <c r="B4198" s="50" t="s">
        <v>316</v>
      </c>
      <c r="C4198" s="50" t="s">
        <v>51</v>
      </c>
      <c r="D4198" s="50" t="s">
        <v>27</v>
      </c>
      <c r="E4198" s="50">
        <v>50030486</v>
      </c>
      <c r="F4198" s="50" t="s">
        <v>153</v>
      </c>
      <c r="G4198" s="50">
        <v>1</v>
      </c>
      <c r="H4198" s="50" t="s">
        <v>2</v>
      </c>
      <c r="I4198" s="50" t="s">
        <v>287</v>
      </c>
      <c r="J4198" s="51">
        <v>45968</v>
      </c>
      <c r="K4198" s="50" t="s">
        <v>3</v>
      </c>
      <c r="L4198" s="50" t="s">
        <v>80</v>
      </c>
    </row>
    <row r="4199" spans="2:12">
      <c r="B4199" s="50" t="s">
        <v>316</v>
      </c>
      <c r="C4199" s="50" t="s">
        <v>51</v>
      </c>
      <c r="D4199" s="50" t="s">
        <v>27</v>
      </c>
      <c r="E4199" s="50">
        <v>50030486</v>
      </c>
      <c r="F4199" s="50" t="s">
        <v>153</v>
      </c>
      <c r="G4199" s="50">
        <v>1</v>
      </c>
      <c r="H4199" s="50" t="s">
        <v>2</v>
      </c>
      <c r="I4199" s="50" t="s">
        <v>288</v>
      </c>
      <c r="J4199" s="51">
        <v>45968</v>
      </c>
      <c r="K4199" s="50" t="s">
        <v>1</v>
      </c>
      <c r="L4199" s="50" t="s">
        <v>80</v>
      </c>
    </row>
    <row r="4200" spans="2:12">
      <c r="B4200" s="50" t="s">
        <v>463</v>
      </c>
      <c r="C4200" s="50" t="s">
        <v>56</v>
      </c>
      <c r="D4200" s="50" t="s">
        <v>27</v>
      </c>
      <c r="E4200" s="50">
        <v>50039236</v>
      </c>
      <c r="F4200" s="50" t="s">
        <v>154</v>
      </c>
      <c r="G4200" s="50">
        <v>1</v>
      </c>
      <c r="H4200" s="50" t="s">
        <v>2</v>
      </c>
      <c r="I4200" s="50" t="s">
        <v>293</v>
      </c>
      <c r="J4200" s="51">
        <v>45968</v>
      </c>
      <c r="K4200" s="50" t="s">
        <v>3</v>
      </c>
      <c r="L4200" s="50" t="s">
        <v>80</v>
      </c>
    </row>
    <row r="4201" spans="2:12">
      <c r="B4201" s="50" t="s">
        <v>463</v>
      </c>
      <c r="C4201" s="50" t="s">
        <v>56</v>
      </c>
      <c r="D4201" s="50" t="s">
        <v>27</v>
      </c>
      <c r="E4201" s="50">
        <v>50039236</v>
      </c>
      <c r="F4201" s="50" t="s">
        <v>154</v>
      </c>
      <c r="G4201" s="50">
        <v>1</v>
      </c>
      <c r="H4201" s="50" t="s">
        <v>2</v>
      </c>
      <c r="I4201" s="50" t="s">
        <v>292</v>
      </c>
      <c r="J4201" s="51">
        <v>45968</v>
      </c>
      <c r="K4201" s="50" t="s">
        <v>1</v>
      </c>
      <c r="L4201" s="50" t="s">
        <v>80</v>
      </c>
    </row>
    <row r="4202" spans="2:12">
      <c r="B4202" s="50" t="s">
        <v>466</v>
      </c>
      <c r="C4202" s="50" t="s">
        <v>62</v>
      </c>
      <c r="D4202" s="50" t="s">
        <v>27</v>
      </c>
      <c r="E4202" s="50">
        <v>50039236</v>
      </c>
      <c r="F4202" s="50" t="s">
        <v>154</v>
      </c>
      <c r="G4202" s="50">
        <v>1</v>
      </c>
      <c r="H4202" s="50" t="s">
        <v>2</v>
      </c>
      <c r="I4202" s="50" t="s">
        <v>293</v>
      </c>
      <c r="J4202" s="51">
        <v>45968</v>
      </c>
      <c r="K4202" s="50" t="s">
        <v>3</v>
      </c>
      <c r="L4202" s="50" t="s">
        <v>80</v>
      </c>
    </row>
    <row r="4203" spans="2:12">
      <c r="B4203" s="50" t="s">
        <v>466</v>
      </c>
      <c r="C4203" s="50" t="s">
        <v>62</v>
      </c>
      <c r="D4203" s="50" t="s">
        <v>27</v>
      </c>
      <c r="E4203" s="50">
        <v>50039236</v>
      </c>
      <c r="F4203" s="50" t="s">
        <v>154</v>
      </c>
      <c r="G4203" s="50">
        <v>1</v>
      </c>
      <c r="H4203" s="50" t="s">
        <v>2</v>
      </c>
      <c r="I4203" s="50" t="s">
        <v>292</v>
      </c>
      <c r="J4203" s="51">
        <v>45968</v>
      </c>
      <c r="K4203" s="50" t="s">
        <v>1</v>
      </c>
      <c r="L4203" s="50" t="s">
        <v>80</v>
      </c>
    </row>
    <row r="4204" spans="2:12">
      <c r="B4204" s="50" t="s">
        <v>418</v>
      </c>
      <c r="C4204" s="50" t="s">
        <v>26</v>
      </c>
      <c r="D4204" s="50" t="s">
        <v>27</v>
      </c>
      <c r="E4204" s="50">
        <v>50039236</v>
      </c>
      <c r="F4204" s="50" t="s">
        <v>154</v>
      </c>
      <c r="G4204" s="50">
        <v>1</v>
      </c>
      <c r="H4204" s="50" t="s">
        <v>2</v>
      </c>
      <c r="I4204" s="50" t="s">
        <v>292</v>
      </c>
      <c r="J4204" s="51">
        <v>45968</v>
      </c>
      <c r="K4204" s="50" t="s">
        <v>3</v>
      </c>
      <c r="L4204" s="50" t="s">
        <v>80</v>
      </c>
    </row>
    <row r="4205" spans="2:12">
      <c r="B4205" s="50" t="s">
        <v>418</v>
      </c>
      <c r="C4205" s="50" t="s">
        <v>26</v>
      </c>
      <c r="D4205" s="50" t="s">
        <v>27</v>
      </c>
      <c r="E4205" s="50">
        <v>50039236</v>
      </c>
      <c r="F4205" s="50" t="s">
        <v>154</v>
      </c>
      <c r="G4205" s="50">
        <v>1</v>
      </c>
      <c r="H4205" s="50" t="s">
        <v>2</v>
      </c>
      <c r="I4205" s="50" t="s">
        <v>288</v>
      </c>
      <c r="J4205" s="51">
        <v>45968</v>
      </c>
      <c r="K4205" s="50" t="s">
        <v>1</v>
      </c>
      <c r="L4205" s="50" t="s">
        <v>80</v>
      </c>
    </row>
    <row r="4206" spans="2:12">
      <c r="B4206" s="50" t="s">
        <v>444</v>
      </c>
      <c r="C4206" s="50" t="s">
        <v>51</v>
      </c>
      <c r="D4206" s="50" t="s">
        <v>27</v>
      </c>
      <c r="E4206" s="50">
        <v>50043471</v>
      </c>
      <c r="F4206" s="50" t="s">
        <v>257</v>
      </c>
      <c r="G4206" s="50">
        <v>1</v>
      </c>
      <c r="H4206" s="50" t="s">
        <v>2</v>
      </c>
      <c r="I4206" s="50" t="s">
        <v>293</v>
      </c>
      <c r="J4206" s="51">
        <v>45968</v>
      </c>
      <c r="K4206" s="50" t="s">
        <v>3</v>
      </c>
      <c r="L4206" s="50" t="s">
        <v>80</v>
      </c>
    </row>
    <row r="4207" spans="2:12">
      <c r="B4207" s="50" t="s">
        <v>444</v>
      </c>
      <c r="C4207" s="50" t="s">
        <v>51</v>
      </c>
      <c r="D4207" s="50" t="s">
        <v>27</v>
      </c>
      <c r="E4207" s="50">
        <v>50043471</v>
      </c>
      <c r="F4207" s="50" t="s">
        <v>257</v>
      </c>
      <c r="G4207" s="50">
        <v>1</v>
      </c>
      <c r="H4207" s="50" t="s">
        <v>2</v>
      </c>
      <c r="I4207" s="50" t="s">
        <v>287</v>
      </c>
      <c r="J4207" s="51">
        <v>45968</v>
      </c>
      <c r="K4207" s="50" t="s">
        <v>1</v>
      </c>
      <c r="L4207" s="50" t="s">
        <v>80</v>
      </c>
    </row>
    <row r="4208" spans="2:12">
      <c r="B4208" s="50" t="s">
        <v>446</v>
      </c>
      <c r="C4208" s="50" t="s">
        <v>56</v>
      </c>
      <c r="D4208" s="50" t="s">
        <v>27</v>
      </c>
      <c r="E4208" s="50">
        <v>50003297</v>
      </c>
      <c r="F4208" s="50" t="s">
        <v>158</v>
      </c>
      <c r="G4208" s="50">
        <v>1</v>
      </c>
      <c r="H4208" s="50" t="s">
        <v>2</v>
      </c>
      <c r="I4208" s="50" t="s">
        <v>287</v>
      </c>
      <c r="J4208" s="51">
        <v>45968</v>
      </c>
      <c r="K4208" s="50" t="s">
        <v>3</v>
      </c>
      <c r="L4208" s="50" t="s">
        <v>80</v>
      </c>
    </row>
    <row r="4209" spans="2:12">
      <c r="B4209" s="50" t="s">
        <v>446</v>
      </c>
      <c r="C4209" s="50" t="s">
        <v>56</v>
      </c>
      <c r="D4209" s="50" t="s">
        <v>27</v>
      </c>
      <c r="E4209" s="50">
        <v>50003297</v>
      </c>
      <c r="F4209" s="50" t="s">
        <v>158</v>
      </c>
      <c r="G4209" s="50">
        <v>1</v>
      </c>
      <c r="H4209" s="50" t="s">
        <v>2</v>
      </c>
      <c r="I4209" s="50" t="s">
        <v>288</v>
      </c>
      <c r="J4209" s="51">
        <v>45968</v>
      </c>
      <c r="K4209" s="50" t="s">
        <v>1</v>
      </c>
      <c r="L4209" s="50" t="s">
        <v>80</v>
      </c>
    </row>
    <row r="4210" spans="2:12">
      <c r="B4210" s="50" t="s">
        <v>345</v>
      </c>
      <c r="C4210" s="50" t="s">
        <v>56</v>
      </c>
      <c r="D4210" s="50" t="s">
        <v>27</v>
      </c>
      <c r="E4210" s="50">
        <v>50029865</v>
      </c>
      <c r="F4210" s="50" t="s">
        <v>162</v>
      </c>
      <c r="G4210" s="50">
        <v>1</v>
      </c>
      <c r="H4210" s="50" t="s">
        <v>2</v>
      </c>
      <c r="I4210" s="50" t="s">
        <v>293</v>
      </c>
      <c r="J4210" s="51">
        <v>45968</v>
      </c>
      <c r="K4210" s="50" t="s">
        <v>3</v>
      </c>
      <c r="L4210" s="50" t="s">
        <v>80</v>
      </c>
    </row>
    <row r="4211" spans="2:12">
      <c r="B4211" s="50" t="s">
        <v>345</v>
      </c>
      <c r="C4211" s="50" t="s">
        <v>56</v>
      </c>
      <c r="D4211" s="50" t="s">
        <v>27</v>
      </c>
      <c r="E4211" s="50">
        <v>50029865</v>
      </c>
      <c r="F4211" s="50" t="s">
        <v>162</v>
      </c>
      <c r="G4211" s="50">
        <v>1</v>
      </c>
      <c r="H4211" s="50" t="s">
        <v>2</v>
      </c>
      <c r="I4211" s="50" t="s">
        <v>288</v>
      </c>
      <c r="J4211" s="51">
        <v>45968</v>
      </c>
      <c r="K4211" s="50" t="s">
        <v>1</v>
      </c>
      <c r="L4211" s="50" t="s">
        <v>80</v>
      </c>
    </row>
    <row r="4212" spans="2:12">
      <c r="B4212" s="50" t="s">
        <v>455</v>
      </c>
      <c r="C4212" s="50" t="s">
        <v>56</v>
      </c>
      <c r="D4212" s="50" t="s">
        <v>41</v>
      </c>
      <c r="E4212" s="50">
        <v>50043320</v>
      </c>
      <c r="F4212" s="50" t="s">
        <v>264</v>
      </c>
      <c r="G4212" s="50">
        <v>1</v>
      </c>
      <c r="H4212" s="50" t="s">
        <v>2</v>
      </c>
      <c r="I4212" s="50" t="s">
        <v>288</v>
      </c>
      <c r="J4212" s="51">
        <v>45968</v>
      </c>
      <c r="K4212" s="50" t="s">
        <v>3</v>
      </c>
      <c r="L4212" s="50" t="s">
        <v>80</v>
      </c>
    </row>
    <row r="4213" spans="2:12">
      <c r="B4213" s="50" t="s">
        <v>455</v>
      </c>
      <c r="C4213" s="50" t="s">
        <v>56</v>
      </c>
      <c r="D4213" s="50" t="s">
        <v>41</v>
      </c>
      <c r="E4213" s="50">
        <v>50043320</v>
      </c>
      <c r="F4213" s="50" t="s">
        <v>264</v>
      </c>
      <c r="G4213" s="50">
        <v>1</v>
      </c>
      <c r="H4213" s="50" t="s">
        <v>2</v>
      </c>
      <c r="I4213" s="50" t="s">
        <v>288</v>
      </c>
      <c r="J4213" s="51">
        <v>45968</v>
      </c>
      <c r="K4213" s="50" t="s">
        <v>1</v>
      </c>
      <c r="L4213" s="50" t="s">
        <v>80</v>
      </c>
    </row>
    <row r="4214" spans="2:12">
      <c r="B4214" s="50" t="s">
        <v>394</v>
      </c>
      <c r="C4214" s="50" t="s">
        <v>26</v>
      </c>
      <c r="D4214" s="50" t="s">
        <v>41</v>
      </c>
      <c r="E4214" s="50">
        <v>50038549</v>
      </c>
      <c r="F4214" s="50" t="s">
        <v>173</v>
      </c>
      <c r="G4214" s="50">
        <v>1</v>
      </c>
      <c r="H4214" s="50" t="s">
        <v>2</v>
      </c>
      <c r="I4214" s="50" t="s">
        <v>287</v>
      </c>
      <c r="J4214" s="51">
        <v>45968</v>
      </c>
      <c r="K4214" s="50" t="s">
        <v>3</v>
      </c>
      <c r="L4214" s="50" t="s">
        <v>80</v>
      </c>
    </row>
    <row r="4215" spans="2:12">
      <c r="B4215" s="50" t="s">
        <v>394</v>
      </c>
      <c r="C4215" s="50" t="s">
        <v>26</v>
      </c>
      <c r="D4215" s="50" t="s">
        <v>41</v>
      </c>
      <c r="E4215" s="50">
        <v>50038549</v>
      </c>
      <c r="F4215" s="50" t="s">
        <v>173</v>
      </c>
      <c r="G4215" s="50">
        <v>1</v>
      </c>
      <c r="H4215" s="50" t="s">
        <v>2</v>
      </c>
      <c r="I4215" s="50" t="s">
        <v>288</v>
      </c>
      <c r="J4215" s="51">
        <v>45968</v>
      </c>
      <c r="K4215" s="50" t="s">
        <v>3</v>
      </c>
      <c r="L4215" s="50" t="s">
        <v>80</v>
      </c>
    </row>
    <row r="4216" spans="2:12">
      <c r="B4216" s="50" t="s">
        <v>439</v>
      </c>
      <c r="C4216" s="50" t="s">
        <v>62</v>
      </c>
      <c r="D4216" s="50" t="s">
        <v>27</v>
      </c>
      <c r="E4216" s="50">
        <v>50037921</v>
      </c>
      <c r="F4216" s="50" t="s">
        <v>174</v>
      </c>
      <c r="G4216" s="50">
        <v>1</v>
      </c>
      <c r="H4216" s="50" t="s">
        <v>2</v>
      </c>
      <c r="I4216" s="50" t="s">
        <v>292</v>
      </c>
      <c r="J4216" s="51">
        <v>45968</v>
      </c>
      <c r="K4216" s="50" t="s">
        <v>1</v>
      </c>
      <c r="L4216" s="50" t="s">
        <v>80</v>
      </c>
    </row>
    <row r="4217" spans="2:12">
      <c r="B4217" s="50" t="s">
        <v>439</v>
      </c>
      <c r="C4217" s="50" t="s">
        <v>62</v>
      </c>
      <c r="D4217" s="50" t="s">
        <v>27</v>
      </c>
      <c r="E4217" s="50">
        <v>50037921</v>
      </c>
      <c r="F4217" s="50" t="s">
        <v>174</v>
      </c>
      <c r="G4217" s="50">
        <v>1</v>
      </c>
      <c r="H4217" s="50" t="s">
        <v>2</v>
      </c>
      <c r="I4217" s="50" t="s">
        <v>292</v>
      </c>
      <c r="J4217" s="51">
        <v>45968</v>
      </c>
      <c r="K4217" s="50" t="s">
        <v>1</v>
      </c>
      <c r="L4217" s="50" t="s">
        <v>80</v>
      </c>
    </row>
    <row r="4218" spans="2:12">
      <c r="B4218" s="50" t="s">
        <v>418</v>
      </c>
      <c r="C4218" s="50" t="s">
        <v>26</v>
      </c>
      <c r="D4218" s="50" t="s">
        <v>27</v>
      </c>
      <c r="E4218" s="50">
        <v>50022878</v>
      </c>
      <c r="F4218" s="50" t="s">
        <v>296</v>
      </c>
      <c r="G4218" s="50">
        <v>1</v>
      </c>
      <c r="H4218" s="50" t="s">
        <v>2</v>
      </c>
      <c r="I4218" s="50" t="s">
        <v>288</v>
      </c>
      <c r="J4218" s="51">
        <v>45968</v>
      </c>
      <c r="K4218" s="50" t="s">
        <v>3</v>
      </c>
      <c r="L4218" s="50" t="s">
        <v>80</v>
      </c>
    </row>
    <row r="4219" spans="2:12">
      <c r="B4219" s="50" t="s">
        <v>418</v>
      </c>
      <c r="C4219" s="50" t="s">
        <v>26</v>
      </c>
      <c r="D4219" s="50" t="s">
        <v>27</v>
      </c>
      <c r="E4219" s="50">
        <v>50022878</v>
      </c>
      <c r="F4219" s="50" t="s">
        <v>296</v>
      </c>
      <c r="G4219" s="50">
        <v>1</v>
      </c>
      <c r="H4219" s="50" t="s">
        <v>2</v>
      </c>
      <c r="I4219" s="50" t="s">
        <v>288</v>
      </c>
      <c r="J4219" s="51">
        <v>45968</v>
      </c>
      <c r="K4219" s="50" t="s">
        <v>1</v>
      </c>
      <c r="L4219" s="50" t="s">
        <v>80</v>
      </c>
    </row>
    <row r="4220" spans="2:12">
      <c r="B4220" s="50" t="s">
        <v>427</v>
      </c>
      <c r="C4220" s="50" t="s">
        <v>26</v>
      </c>
      <c r="D4220" s="50" t="s">
        <v>27</v>
      </c>
      <c r="E4220" s="50">
        <v>50038956</v>
      </c>
      <c r="F4220" s="50" t="s">
        <v>177</v>
      </c>
      <c r="G4220" s="50">
        <v>1</v>
      </c>
      <c r="H4220" s="50" t="s">
        <v>2</v>
      </c>
      <c r="I4220" s="50" t="s">
        <v>293</v>
      </c>
      <c r="J4220" s="51">
        <v>45968</v>
      </c>
      <c r="K4220" s="50" t="s">
        <v>3</v>
      </c>
      <c r="L4220" s="50" t="s">
        <v>80</v>
      </c>
    </row>
    <row r="4221" spans="2:12">
      <c r="B4221" s="50" t="s">
        <v>427</v>
      </c>
      <c r="C4221" s="50" t="s">
        <v>26</v>
      </c>
      <c r="D4221" s="50" t="s">
        <v>27</v>
      </c>
      <c r="E4221" s="50">
        <v>50038956</v>
      </c>
      <c r="F4221" s="50" t="s">
        <v>177</v>
      </c>
      <c r="G4221" s="50">
        <v>1</v>
      </c>
      <c r="H4221" s="50" t="s">
        <v>2</v>
      </c>
      <c r="I4221" s="50" t="s">
        <v>287</v>
      </c>
      <c r="J4221" s="51">
        <v>45968</v>
      </c>
      <c r="K4221" s="50" t="s">
        <v>1</v>
      </c>
      <c r="L4221" s="50" t="s">
        <v>80</v>
      </c>
    </row>
    <row r="4222" spans="2:12">
      <c r="B4222" s="50" t="s">
        <v>316</v>
      </c>
      <c r="C4222" s="50" t="s">
        <v>51</v>
      </c>
      <c r="D4222" s="50" t="s">
        <v>27</v>
      </c>
      <c r="E4222" s="50">
        <v>50037892</v>
      </c>
      <c r="F4222" s="50" t="s">
        <v>178</v>
      </c>
      <c r="G4222" s="50">
        <v>1</v>
      </c>
      <c r="H4222" s="50" t="s">
        <v>2</v>
      </c>
      <c r="I4222" s="50" t="s">
        <v>293</v>
      </c>
      <c r="J4222" s="51">
        <v>45968</v>
      </c>
      <c r="K4222" s="50" t="s">
        <v>3</v>
      </c>
      <c r="L4222" s="50" t="s">
        <v>80</v>
      </c>
    </row>
    <row r="4223" spans="2:12">
      <c r="B4223" s="50" t="s">
        <v>316</v>
      </c>
      <c r="C4223" s="50" t="s">
        <v>51</v>
      </c>
      <c r="D4223" s="50" t="s">
        <v>27</v>
      </c>
      <c r="E4223" s="50">
        <v>50037892</v>
      </c>
      <c r="F4223" s="50" t="s">
        <v>178</v>
      </c>
      <c r="G4223" s="50">
        <v>1</v>
      </c>
      <c r="H4223" s="50" t="s">
        <v>2</v>
      </c>
      <c r="I4223" s="50" t="s">
        <v>293</v>
      </c>
      <c r="J4223" s="51">
        <v>45968</v>
      </c>
      <c r="K4223" s="50" t="s">
        <v>1</v>
      </c>
      <c r="L4223" s="50" t="s">
        <v>80</v>
      </c>
    </row>
    <row r="4224" spans="2:12">
      <c r="B4224" s="50" t="s">
        <v>316</v>
      </c>
      <c r="C4224" s="50" t="s">
        <v>51</v>
      </c>
      <c r="D4224" s="50" t="s">
        <v>27</v>
      </c>
      <c r="E4224" s="50">
        <v>50037892</v>
      </c>
      <c r="F4224" s="50" t="s">
        <v>178</v>
      </c>
      <c r="G4224" s="50">
        <v>1</v>
      </c>
      <c r="H4224" s="50" t="s">
        <v>2</v>
      </c>
      <c r="I4224" s="50" t="s">
        <v>293</v>
      </c>
      <c r="J4224" s="51">
        <v>45968</v>
      </c>
      <c r="K4224" s="50" t="s">
        <v>3</v>
      </c>
      <c r="L4224" s="50" t="s">
        <v>80</v>
      </c>
    </row>
    <row r="4225" spans="2:12">
      <c r="B4225" s="50" t="s">
        <v>443</v>
      </c>
      <c r="C4225" s="50" t="s">
        <v>56</v>
      </c>
      <c r="D4225" s="50" t="s">
        <v>36</v>
      </c>
      <c r="E4225" s="50">
        <v>50037892</v>
      </c>
      <c r="F4225" s="50" t="s">
        <v>178</v>
      </c>
      <c r="G4225" s="50">
        <v>1</v>
      </c>
      <c r="H4225" s="50" t="s">
        <v>2</v>
      </c>
      <c r="I4225" s="50" t="s">
        <v>293</v>
      </c>
      <c r="J4225" s="51">
        <v>45968</v>
      </c>
      <c r="K4225" s="50" t="s">
        <v>1</v>
      </c>
      <c r="L4225" s="50" t="s">
        <v>80</v>
      </c>
    </row>
    <row r="4226" spans="2:12">
      <c r="B4226" s="50" t="s">
        <v>443</v>
      </c>
      <c r="C4226" s="50" t="s">
        <v>56</v>
      </c>
      <c r="D4226" s="50" t="s">
        <v>36</v>
      </c>
      <c r="E4226" s="50">
        <v>50037892</v>
      </c>
      <c r="F4226" s="50" t="s">
        <v>178</v>
      </c>
      <c r="G4226" s="50">
        <v>1</v>
      </c>
      <c r="H4226" s="50" t="s">
        <v>2</v>
      </c>
      <c r="I4226" s="50" t="s">
        <v>293</v>
      </c>
      <c r="J4226" s="51">
        <v>45968</v>
      </c>
      <c r="K4226" s="50" t="s">
        <v>3</v>
      </c>
      <c r="L4226" s="50" t="s">
        <v>80</v>
      </c>
    </row>
    <row r="4227" spans="2:12">
      <c r="B4227" s="50" t="s">
        <v>427</v>
      </c>
      <c r="C4227" s="50" t="s">
        <v>26</v>
      </c>
      <c r="D4227" s="50" t="s">
        <v>27</v>
      </c>
      <c r="E4227" s="50">
        <v>50037892</v>
      </c>
      <c r="F4227" s="50" t="s">
        <v>178</v>
      </c>
      <c r="G4227" s="50">
        <v>1</v>
      </c>
      <c r="H4227" s="50" t="s">
        <v>2</v>
      </c>
      <c r="I4227" s="50" t="s">
        <v>293</v>
      </c>
      <c r="J4227" s="51">
        <v>45968</v>
      </c>
      <c r="K4227" s="50" t="s">
        <v>1</v>
      </c>
      <c r="L4227" s="50" t="s">
        <v>80</v>
      </c>
    </row>
    <row r="4228" spans="2:12">
      <c r="B4228" s="50" t="s">
        <v>427</v>
      </c>
      <c r="C4228" s="50" t="s">
        <v>26</v>
      </c>
      <c r="D4228" s="50" t="s">
        <v>27</v>
      </c>
      <c r="E4228" s="50">
        <v>50037892</v>
      </c>
      <c r="F4228" s="50" t="s">
        <v>178</v>
      </c>
      <c r="G4228" s="50">
        <v>1</v>
      </c>
      <c r="H4228" s="50" t="s">
        <v>2</v>
      </c>
      <c r="I4228" s="50" t="s">
        <v>292</v>
      </c>
      <c r="J4228" s="51">
        <v>45968</v>
      </c>
      <c r="K4228" s="50" t="s">
        <v>3</v>
      </c>
      <c r="L4228" s="50" t="s">
        <v>80</v>
      </c>
    </row>
    <row r="4229" spans="2:12">
      <c r="B4229" s="50" t="s">
        <v>278</v>
      </c>
      <c r="C4229" s="50" t="s">
        <v>62</v>
      </c>
      <c r="D4229" s="50" t="s">
        <v>27</v>
      </c>
      <c r="E4229" s="50">
        <v>50037902</v>
      </c>
      <c r="F4229" s="50" t="s">
        <v>179</v>
      </c>
      <c r="G4229" s="50">
        <v>1</v>
      </c>
      <c r="H4229" s="50" t="s">
        <v>2</v>
      </c>
      <c r="I4229" s="50" t="s">
        <v>293</v>
      </c>
      <c r="J4229" s="51">
        <v>45968</v>
      </c>
      <c r="K4229" s="50" t="s">
        <v>1</v>
      </c>
      <c r="L4229" s="50" t="s">
        <v>80</v>
      </c>
    </row>
    <row r="4230" spans="2:12">
      <c r="B4230" s="50" t="s">
        <v>278</v>
      </c>
      <c r="C4230" s="50" t="s">
        <v>62</v>
      </c>
      <c r="D4230" s="50" t="s">
        <v>27</v>
      </c>
      <c r="E4230" s="50">
        <v>50037902</v>
      </c>
      <c r="F4230" s="50" t="s">
        <v>179</v>
      </c>
      <c r="G4230" s="50">
        <v>1</v>
      </c>
      <c r="H4230" s="50" t="s">
        <v>2</v>
      </c>
      <c r="I4230" s="50" t="s">
        <v>292</v>
      </c>
      <c r="J4230" s="51">
        <v>45968</v>
      </c>
      <c r="K4230" s="50" t="s">
        <v>3</v>
      </c>
      <c r="L4230" s="50" t="s">
        <v>80</v>
      </c>
    </row>
    <row r="4231" spans="2:12">
      <c r="B4231" s="50" t="s">
        <v>481</v>
      </c>
      <c r="C4231" s="50" t="s">
        <v>26</v>
      </c>
      <c r="D4231" s="50" t="s">
        <v>27</v>
      </c>
      <c r="E4231" s="50">
        <v>50037902</v>
      </c>
      <c r="F4231" s="50" t="s">
        <v>179</v>
      </c>
      <c r="G4231" s="50">
        <v>1</v>
      </c>
      <c r="H4231" s="50" t="s">
        <v>2</v>
      </c>
      <c r="I4231" s="50" t="s">
        <v>292</v>
      </c>
      <c r="J4231" s="51">
        <v>45968</v>
      </c>
      <c r="K4231" s="50" t="s">
        <v>1</v>
      </c>
      <c r="L4231" s="50" t="s">
        <v>80</v>
      </c>
    </row>
    <row r="4232" spans="2:12">
      <c r="B4232" s="50" t="s">
        <v>481</v>
      </c>
      <c r="C4232" s="50" t="s">
        <v>26</v>
      </c>
      <c r="D4232" s="50" t="s">
        <v>27</v>
      </c>
      <c r="E4232" s="50">
        <v>50037902</v>
      </c>
      <c r="F4232" s="50" t="s">
        <v>179</v>
      </c>
      <c r="G4232" s="50">
        <v>1</v>
      </c>
      <c r="H4232" s="50" t="s">
        <v>2</v>
      </c>
      <c r="I4232" s="50" t="s">
        <v>292</v>
      </c>
      <c r="J4232" s="51">
        <v>45968</v>
      </c>
      <c r="K4232" s="50" t="s">
        <v>3</v>
      </c>
      <c r="L4232" s="50" t="s">
        <v>80</v>
      </c>
    </row>
    <row r="4233" spans="2:12">
      <c r="B4233" s="50" t="s">
        <v>418</v>
      </c>
      <c r="C4233" s="50" t="s">
        <v>26</v>
      </c>
      <c r="D4233" s="50" t="s">
        <v>27</v>
      </c>
      <c r="E4233" s="50">
        <v>50037902</v>
      </c>
      <c r="F4233" s="50" t="s">
        <v>179</v>
      </c>
      <c r="G4233" s="50">
        <v>1</v>
      </c>
      <c r="H4233" s="50" t="s">
        <v>2</v>
      </c>
      <c r="I4233" s="50" t="s">
        <v>287</v>
      </c>
      <c r="J4233" s="51">
        <v>45968</v>
      </c>
      <c r="K4233" s="50" t="s">
        <v>1</v>
      </c>
      <c r="L4233" s="50" t="s">
        <v>80</v>
      </c>
    </row>
    <row r="4234" spans="2:12">
      <c r="B4234" s="50" t="s">
        <v>418</v>
      </c>
      <c r="C4234" s="50" t="s">
        <v>26</v>
      </c>
      <c r="D4234" s="50" t="s">
        <v>27</v>
      </c>
      <c r="E4234" s="50">
        <v>50037902</v>
      </c>
      <c r="F4234" s="50" t="s">
        <v>179</v>
      </c>
      <c r="G4234" s="50">
        <v>1</v>
      </c>
      <c r="H4234" s="50" t="s">
        <v>2</v>
      </c>
      <c r="I4234" s="50" t="s">
        <v>287</v>
      </c>
      <c r="J4234" s="51">
        <v>45968</v>
      </c>
      <c r="K4234" s="50" t="s">
        <v>3</v>
      </c>
      <c r="L4234" s="50" t="s">
        <v>80</v>
      </c>
    </row>
    <row r="4235" spans="2:12">
      <c r="B4235" s="50" t="s">
        <v>418</v>
      </c>
      <c r="C4235" s="50" t="s">
        <v>26</v>
      </c>
      <c r="D4235" s="50" t="s">
        <v>27</v>
      </c>
      <c r="E4235" s="50">
        <v>50038841</v>
      </c>
      <c r="F4235" s="50" t="s">
        <v>180</v>
      </c>
      <c r="G4235" s="50">
        <v>1</v>
      </c>
      <c r="H4235" s="50" t="s">
        <v>2</v>
      </c>
      <c r="I4235" s="50" t="s">
        <v>293</v>
      </c>
      <c r="J4235" s="51">
        <v>45968</v>
      </c>
      <c r="K4235" s="50" t="s">
        <v>1</v>
      </c>
      <c r="L4235" s="50" t="s">
        <v>80</v>
      </c>
    </row>
    <row r="4236" spans="2:12">
      <c r="B4236" s="50" t="s">
        <v>418</v>
      </c>
      <c r="C4236" s="50" t="s">
        <v>26</v>
      </c>
      <c r="D4236" s="50" t="s">
        <v>27</v>
      </c>
      <c r="E4236" s="50">
        <v>50038841</v>
      </c>
      <c r="F4236" s="50" t="s">
        <v>180</v>
      </c>
      <c r="G4236" s="50">
        <v>1</v>
      </c>
      <c r="H4236" s="50" t="s">
        <v>2</v>
      </c>
      <c r="I4236" s="50" t="s">
        <v>293</v>
      </c>
      <c r="J4236" s="51">
        <v>45968</v>
      </c>
      <c r="K4236" s="50" t="s">
        <v>3</v>
      </c>
      <c r="L4236" s="50" t="s">
        <v>80</v>
      </c>
    </row>
    <row r="4237" spans="2:12">
      <c r="B4237" s="50" t="s">
        <v>463</v>
      </c>
      <c r="C4237" s="50" t="s">
        <v>56</v>
      </c>
      <c r="D4237" s="50" t="s">
        <v>27</v>
      </c>
      <c r="E4237" s="50">
        <v>50038841</v>
      </c>
      <c r="F4237" s="50" t="s">
        <v>180</v>
      </c>
      <c r="G4237" s="50">
        <v>1</v>
      </c>
      <c r="H4237" s="50" t="s">
        <v>2</v>
      </c>
      <c r="I4237" s="50" t="s">
        <v>287</v>
      </c>
      <c r="J4237" s="51">
        <v>45968</v>
      </c>
      <c r="K4237" s="50" t="s">
        <v>1</v>
      </c>
      <c r="L4237" s="50" t="s">
        <v>80</v>
      </c>
    </row>
    <row r="4238" spans="2:12">
      <c r="B4238" s="50" t="s">
        <v>463</v>
      </c>
      <c r="C4238" s="50" t="s">
        <v>56</v>
      </c>
      <c r="D4238" s="50" t="s">
        <v>27</v>
      </c>
      <c r="E4238" s="50">
        <v>50038841</v>
      </c>
      <c r="F4238" s="50" t="s">
        <v>180</v>
      </c>
      <c r="G4238" s="50">
        <v>1</v>
      </c>
      <c r="H4238" s="50" t="s">
        <v>2</v>
      </c>
      <c r="I4238" s="50" t="s">
        <v>288</v>
      </c>
      <c r="J4238" s="51">
        <v>45968</v>
      </c>
      <c r="K4238" s="50" t="s">
        <v>3</v>
      </c>
      <c r="L4238" s="50" t="s">
        <v>80</v>
      </c>
    </row>
    <row r="4239" spans="2:12">
      <c r="B4239" s="50" t="s">
        <v>443</v>
      </c>
      <c r="C4239" s="50" t="s">
        <v>56</v>
      </c>
      <c r="D4239" s="50" t="s">
        <v>36</v>
      </c>
      <c r="E4239" s="50">
        <v>50038841</v>
      </c>
      <c r="F4239" s="50" t="s">
        <v>180</v>
      </c>
      <c r="G4239" s="50">
        <v>1</v>
      </c>
      <c r="H4239" s="50" t="s">
        <v>2</v>
      </c>
      <c r="I4239" s="50" t="s">
        <v>288</v>
      </c>
      <c r="J4239" s="51">
        <v>45968</v>
      </c>
      <c r="K4239" s="50" t="s">
        <v>1</v>
      </c>
      <c r="L4239" s="50" t="s">
        <v>80</v>
      </c>
    </row>
    <row r="4240" spans="2:12">
      <c r="B4240" s="50" t="s">
        <v>443</v>
      </c>
      <c r="C4240" s="50" t="s">
        <v>56</v>
      </c>
      <c r="D4240" s="50" t="s">
        <v>36</v>
      </c>
      <c r="E4240" s="50">
        <v>50038841</v>
      </c>
      <c r="F4240" s="50" t="s">
        <v>180</v>
      </c>
      <c r="G4240" s="50">
        <v>1</v>
      </c>
      <c r="H4240" s="50" t="s">
        <v>2</v>
      </c>
      <c r="I4240" s="50" t="s">
        <v>288</v>
      </c>
      <c r="J4240" s="51">
        <v>45968</v>
      </c>
      <c r="K4240" s="50" t="s">
        <v>3</v>
      </c>
      <c r="L4240" s="50" t="s">
        <v>80</v>
      </c>
    </row>
    <row r="4241" spans="2:12">
      <c r="B4241" s="50" t="s">
        <v>394</v>
      </c>
      <c r="C4241" s="50" t="s">
        <v>51</v>
      </c>
      <c r="D4241" s="50" t="s">
        <v>27</v>
      </c>
      <c r="E4241" s="50">
        <v>50038517</v>
      </c>
      <c r="F4241" s="50" t="s">
        <v>181</v>
      </c>
      <c r="G4241" s="50">
        <v>1</v>
      </c>
      <c r="H4241" s="50" t="s">
        <v>2</v>
      </c>
      <c r="I4241" s="50" t="s">
        <v>293</v>
      </c>
      <c r="J4241" s="51">
        <v>45968</v>
      </c>
      <c r="K4241" s="50" t="s">
        <v>1</v>
      </c>
      <c r="L4241" s="50" t="s">
        <v>80</v>
      </c>
    </row>
    <row r="4242" spans="2:12">
      <c r="B4242" s="50" t="s">
        <v>394</v>
      </c>
      <c r="C4242" s="50" t="s">
        <v>51</v>
      </c>
      <c r="D4242" s="50" t="s">
        <v>27</v>
      </c>
      <c r="E4242" s="50">
        <v>50038517</v>
      </c>
      <c r="F4242" s="50" t="s">
        <v>181</v>
      </c>
      <c r="G4242" s="50">
        <v>1</v>
      </c>
      <c r="H4242" s="50" t="s">
        <v>2</v>
      </c>
      <c r="I4242" s="50" t="s">
        <v>288</v>
      </c>
      <c r="J4242" s="51">
        <v>45968</v>
      </c>
      <c r="K4242" s="50" t="s">
        <v>3</v>
      </c>
      <c r="L4242" s="50" t="s">
        <v>80</v>
      </c>
    </row>
    <row r="4243" spans="2:12">
      <c r="B4243" s="50" t="s">
        <v>316</v>
      </c>
      <c r="C4243" s="50" t="s">
        <v>51</v>
      </c>
      <c r="D4243" s="50" t="s">
        <v>27</v>
      </c>
      <c r="E4243" s="50">
        <v>50038518</v>
      </c>
      <c r="F4243" s="50" t="s">
        <v>340</v>
      </c>
      <c r="G4243" s="50">
        <v>1</v>
      </c>
      <c r="H4243" s="50" t="s">
        <v>2</v>
      </c>
      <c r="I4243" s="50" t="s">
        <v>288</v>
      </c>
      <c r="J4243" s="51">
        <v>45968</v>
      </c>
      <c r="K4243" s="50" t="s">
        <v>1</v>
      </c>
      <c r="L4243" s="50" t="s">
        <v>80</v>
      </c>
    </row>
    <row r="4244" spans="2:12">
      <c r="B4244" s="50" t="s">
        <v>316</v>
      </c>
      <c r="C4244" s="50" t="s">
        <v>51</v>
      </c>
      <c r="D4244" s="50" t="s">
        <v>27</v>
      </c>
      <c r="E4244" s="50">
        <v>50038518</v>
      </c>
      <c r="F4244" s="50" t="s">
        <v>340</v>
      </c>
      <c r="G4244" s="50">
        <v>1</v>
      </c>
      <c r="H4244" s="50" t="s">
        <v>2</v>
      </c>
      <c r="I4244" s="50" t="s">
        <v>288</v>
      </c>
      <c r="J4244" s="51">
        <v>45968</v>
      </c>
      <c r="K4244" s="50" t="s">
        <v>1</v>
      </c>
      <c r="L4244" s="50" t="s">
        <v>80</v>
      </c>
    </row>
    <row r="4245" spans="2:12">
      <c r="B4245" s="50" t="s">
        <v>418</v>
      </c>
      <c r="C4245" s="50" t="s">
        <v>26</v>
      </c>
      <c r="D4245" s="50" t="s">
        <v>27</v>
      </c>
      <c r="E4245" s="50">
        <v>50039065</v>
      </c>
      <c r="F4245" s="50" t="s">
        <v>186</v>
      </c>
      <c r="G4245" s="50">
        <v>1</v>
      </c>
      <c r="H4245" s="50" t="s">
        <v>2</v>
      </c>
      <c r="I4245" s="50" t="s">
        <v>293</v>
      </c>
      <c r="J4245" s="51">
        <v>45968</v>
      </c>
      <c r="K4245" s="50" t="s">
        <v>3</v>
      </c>
      <c r="L4245" s="50" t="s">
        <v>80</v>
      </c>
    </row>
    <row r="4246" spans="2:12">
      <c r="B4246" s="50" t="s">
        <v>418</v>
      </c>
      <c r="C4246" s="50" t="s">
        <v>26</v>
      </c>
      <c r="D4246" s="50" t="s">
        <v>27</v>
      </c>
      <c r="E4246" s="50">
        <v>50039065</v>
      </c>
      <c r="F4246" s="50" t="s">
        <v>186</v>
      </c>
      <c r="G4246" s="50">
        <v>1</v>
      </c>
      <c r="H4246" s="50" t="s">
        <v>2</v>
      </c>
      <c r="I4246" s="50" t="s">
        <v>293</v>
      </c>
      <c r="J4246" s="51">
        <v>45968</v>
      </c>
      <c r="K4246" s="50" t="s">
        <v>1</v>
      </c>
      <c r="L4246" s="50" t="s">
        <v>80</v>
      </c>
    </row>
    <row r="4247" spans="2:12">
      <c r="B4247" s="50" t="s">
        <v>483</v>
      </c>
      <c r="C4247" s="50" t="s">
        <v>62</v>
      </c>
      <c r="D4247" s="50" t="s">
        <v>27</v>
      </c>
      <c r="E4247" s="50">
        <v>50026357</v>
      </c>
      <c r="F4247" s="50" t="s">
        <v>192</v>
      </c>
      <c r="G4247" s="50">
        <v>1</v>
      </c>
      <c r="H4247" s="50" t="s">
        <v>2</v>
      </c>
      <c r="I4247" s="50" t="s">
        <v>293</v>
      </c>
      <c r="J4247" s="51">
        <v>45968</v>
      </c>
      <c r="K4247" s="50" t="s">
        <v>3</v>
      </c>
      <c r="L4247" s="50" t="s">
        <v>80</v>
      </c>
    </row>
    <row r="4248" spans="2:12">
      <c r="B4248" s="50" t="s">
        <v>483</v>
      </c>
      <c r="C4248" s="50" t="s">
        <v>62</v>
      </c>
      <c r="D4248" s="50" t="s">
        <v>27</v>
      </c>
      <c r="E4248" s="50">
        <v>50026357</v>
      </c>
      <c r="F4248" s="50" t="s">
        <v>192</v>
      </c>
      <c r="G4248" s="50">
        <v>1</v>
      </c>
      <c r="H4248" s="50" t="s">
        <v>2</v>
      </c>
      <c r="I4248" s="50" t="s">
        <v>288</v>
      </c>
      <c r="J4248" s="51">
        <v>45968</v>
      </c>
      <c r="K4248" s="50" t="s">
        <v>3</v>
      </c>
      <c r="L4248" s="50" t="s">
        <v>80</v>
      </c>
    </row>
    <row r="4249" spans="2:12">
      <c r="B4249" s="50" t="s">
        <v>345</v>
      </c>
      <c r="C4249" s="50" t="s">
        <v>56</v>
      </c>
      <c r="D4249" s="50" t="s">
        <v>27</v>
      </c>
      <c r="E4249" s="50">
        <v>50041195</v>
      </c>
      <c r="F4249" s="50" t="s">
        <v>206</v>
      </c>
      <c r="G4249" s="50">
        <v>1</v>
      </c>
      <c r="H4249" s="50" t="s">
        <v>2</v>
      </c>
      <c r="I4249" s="50" t="s">
        <v>293</v>
      </c>
      <c r="J4249" s="51">
        <v>45968</v>
      </c>
      <c r="K4249" s="50" t="s">
        <v>1</v>
      </c>
      <c r="L4249" s="50" t="s">
        <v>80</v>
      </c>
    </row>
    <row r="4250" spans="2:12">
      <c r="B4250" s="50" t="s">
        <v>345</v>
      </c>
      <c r="C4250" s="50" t="s">
        <v>56</v>
      </c>
      <c r="D4250" s="50" t="s">
        <v>27</v>
      </c>
      <c r="E4250" s="50">
        <v>50041195</v>
      </c>
      <c r="F4250" s="50" t="s">
        <v>206</v>
      </c>
      <c r="G4250" s="50">
        <v>1</v>
      </c>
      <c r="H4250" s="50" t="s">
        <v>2</v>
      </c>
      <c r="I4250" s="50" t="s">
        <v>288</v>
      </c>
      <c r="J4250" s="51">
        <v>45968</v>
      </c>
      <c r="K4250" s="50" t="s">
        <v>3</v>
      </c>
      <c r="L4250" s="50" t="s">
        <v>80</v>
      </c>
    </row>
    <row r="4251" spans="2:12">
      <c r="B4251" s="50" t="s">
        <v>345</v>
      </c>
      <c r="C4251" s="50" t="s">
        <v>62</v>
      </c>
      <c r="D4251" s="50" t="s">
        <v>27</v>
      </c>
      <c r="E4251" s="50">
        <v>50043917</v>
      </c>
      <c r="F4251" s="50" t="s">
        <v>262</v>
      </c>
      <c r="G4251" s="50">
        <v>1</v>
      </c>
      <c r="H4251" s="50" t="s">
        <v>2</v>
      </c>
      <c r="I4251" s="50" t="s">
        <v>293</v>
      </c>
      <c r="J4251" s="51">
        <v>45968</v>
      </c>
      <c r="K4251" s="50" t="s">
        <v>1</v>
      </c>
      <c r="L4251" s="50" t="s">
        <v>80</v>
      </c>
    </row>
    <row r="4252" spans="2:12">
      <c r="B4252" s="50" t="s">
        <v>345</v>
      </c>
      <c r="C4252" s="50" t="s">
        <v>62</v>
      </c>
      <c r="D4252" s="50" t="s">
        <v>27</v>
      </c>
      <c r="E4252" s="50">
        <v>50043917</v>
      </c>
      <c r="F4252" s="50" t="s">
        <v>262</v>
      </c>
      <c r="G4252" s="50">
        <v>1</v>
      </c>
      <c r="H4252" s="50" t="s">
        <v>2</v>
      </c>
      <c r="I4252" s="50" t="s">
        <v>288</v>
      </c>
      <c r="J4252" s="51">
        <v>45968</v>
      </c>
      <c r="K4252" s="50" t="s">
        <v>1</v>
      </c>
      <c r="L4252" s="50" t="s">
        <v>80</v>
      </c>
    </row>
    <row r="4253" spans="2:12">
      <c r="B4253" s="50" t="s">
        <v>466</v>
      </c>
      <c r="C4253" s="50" t="s">
        <v>62</v>
      </c>
      <c r="D4253" s="50" t="s">
        <v>27</v>
      </c>
      <c r="E4253" s="50">
        <v>50020623</v>
      </c>
      <c r="F4253" s="50" t="s">
        <v>217</v>
      </c>
      <c r="G4253" s="50">
        <v>1</v>
      </c>
      <c r="H4253" s="50" t="s">
        <v>2</v>
      </c>
      <c r="I4253" s="50" t="s">
        <v>293</v>
      </c>
      <c r="J4253" s="51">
        <v>45968</v>
      </c>
      <c r="K4253" s="50" t="s">
        <v>3</v>
      </c>
      <c r="L4253" s="50" t="s">
        <v>80</v>
      </c>
    </row>
    <row r="4254" spans="2:12">
      <c r="B4254" s="50" t="s">
        <v>466</v>
      </c>
      <c r="C4254" s="50" t="s">
        <v>62</v>
      </c>
      <c r="D4254" s="50" t="s">
        <v>27</v>
      </c>
      <c r="E4254" s="50">
        <v>50020623</v>
      </c>
      <c r="F4254" s="50" t="s">
        <v>217</v>
      </c>
      <c r="G4254" s="50">
        <v>1</v>
      </c>
      <c r="H4254" s="50" t="s">
        <v>2</v>
      </c>
      <c r="I4254" s="50" t="s">
        <v>292</v>
      </c>
      <c r="J4254" s="51">
        <v>45968</v>
      </c>
      <c r="K4254" s="50" t="s">
        <v>1</v>
      </c>
      <c r="L4254" s="50" t="s">
        <v>80</v>
      </c>
    </row>
    <row r="4255" spans="2:12">
      <c r="B4255" s="50" t="s">
        <v>446</v>
      </c>
      <c r="C4255" s="50" t="s">
        <v>56</v>
      </c>
      <c r="D4255" s="50" t="s">
        <v>27</v>
      </c>
      <c r="E4255" s="50">
        <v>50020623</v>
      </c>
      <c r="F4255" s="50" t="s">
        <v>217</v>
      </c>
      <c r="G4255" s="50">
        <v>1</v>
      </c>
      <c r="H4255" s="50" t="s">
        <v>2</v>
      </c>
      <c r="I4255" s="50" t="s">
        <v>288</v>
      </c>
      <c r="J4255" s="51">
        <v>45968</v>
      </c>
      <c r="K4255" s="50" t="s">
        <v>3</v>
      </c>
      <c r="L4255" s="50" t="s">
        <v>80</v>
      </c>
    </row>
    <row r="4256" spans="2:12">
      <c r="B4256" s="50" t="s">
        <v>446</v>
      </c>
      <c r="C4256" s="50" t="s">
        <v>56</v>
      </c>
      <c r="D4256" s="50" t="s">
        <v>27</v>
      </c>
      <c r="E4256" s="50">
        <v>50020623</v>
      </c>
      <c r="F4256" s="50" t="s">
        <v>217</v>
      </c>
      <c r="G4256" s="50">
        <v>1</v>
      </c>
      <c r="H4256" s="50" t="s">
        <v>2</v>
      </c>
      <c r="I4256" s="50" t="s">
        <v>288</v>
      </c>
      <c r="J4256" s="51">
        <v>45968</v>
      </c>
      <c r="K4256" s="50" t="s">
        <v>1</v>
      </c>
      <c r="L4256" s="50" t="s">
        <v>80</v>
      </c>
    </row>
    <row r="4257" spans="2:12">
      <c r="B4257" s="50" t="s">
        <v>411</v>
      </c>
      <c r="C4257" s="50" t="s">
        <v>26</v>
      </c>
      <c r="D4257" s="50" t="s">
        <v>27</v>
      </c>
      <c r="E4257" s="50">
        <v>50038195</v>
      </c>
      <c r="F4257" s="50" t="s">
        <v>239</v>
      </c>
      <c r="G4257" s="50">
        <v>1</v>
      </c>
      <c r="H4257" s="50" t="s">
        <v>2</v>
      </c>
      <c r="I4257" s="50" t="s">
        <v>292</v>
      </c>
      <c r="J4257" s="51">
        <v>45968</v>
      </c>
      <c r="K4257" s="50" t="s">
        <v>3</v>
      </c>
      <c r="L4257" s="50" t="s">
        <v>80</v>
      </c>
    </row>
    <row r="4258" spans="2:12">
      <c r="B4258" s="50" t="s">
        <v>411</v>
      </c>
      <c r="C4258" s="50" t="s">
        <v>26</v>
      </c>
      <c r="D4258" s="50" t="s">
        <v>27</v>
      </c>
      <c r="E4258" s="50">
        <v>50038195</v>
      </c>
      <c r="F4258" s="50" t="s">
        <v>239</v>
      </c>
      <c r="G4258" s="50">
        <v>1</v>
      </c>
      <c r="H4258" s="50" t="s">
        <v>2</v>
      </c>
      <c r="I4258" s="50" t="s">
        <v>292</v>
      </c>
      <c r="J4258" s="51">
        <v>45968</v>
      </c>
      <c r="K4258" s="50" t="s">
        <v>1</v>
      </c>
      <c r="L4258" s="50" t="s">
        <v>80</v>
      </c>
    </row>
    <row r="4259" spans="2:12">
      <c r="B4259" s="50" t="s">
        <v>345</v>
      </c>
      <c r="C4259" s="50" t="s">
        <v>62</v>
      </c>
      <c r="D4259" s="50" t="s">
        <v>27</v>
      </c>
      <c r="E4259" s="50">
        <v>50028220</v>
      </c>
      <c r="F4259" s="50" t="s">
        <v>242</v>
      </c>
      <c r="G4259" s="50">
        <v>1</v>
      </c>
      <c r="H4259" s="50" t="s">
        <v>2</v>
      </c>
      <c r="I4259" s="50" t="s">
        <v>293</v>
      </c>
      <c r="J4259" s="51">
        <v>45968</v>
      </c>
      <c r="K4259" s="50" t="s">
        <v>3</v>
      </c>
      <c r="L4259" s="50" t="s">
        <v>80</v>
      </c>
    </row>
    <row r="4260" spans="2:12">
      <c r="B4260" s="50" t="s">
        <v>345</v>
      </c>
      <c r="C4260" s="50" t="s">
        <v>62</v>
      </c>
      <c r="D4260" s="50" t="s">
        <v>27</v>
      </c>
      <c r="E4260" s="50">
        <v>50028220</v>
      </c>
      <c r="F4260" s="50" t="s">
        <v>242</v>
      </c>
      <c r="G4260" s="50">
        <v>1</v>
      </c>
      <c r="H4260" s="50" t="s">
        <v>2</v>
      </c>
      <c r="I4260" s="50" t="s">
        <v>288</v>
      </c>
      <c r="J4260" s="51">
        <v>45968</v>
      </c>
      <c r="K4260" s="50" t="s">
        <v>1</v>
      </c>
      <c r="L4260" s="50" t="s">
        <v>80</v>
      </c>
    </row>
    <row r="4261" spans="2:12">
      <c r="B4261" s="50" t="s">
        <v>386</v>
      </c>
      <c r="C4261" s="50" t="s">
        <v>26</v>
      </c>
      <c r="D4261" s="50" t="s">
        <v>27</v>
      </c>
      <c r="E4261" s="50">
        <v>50043151</v>
      </c>
      <c r="F4261" s="50" t="s">
        <v>331</v>
      </c>
      <c r="G4261" s="50">
        <v>1</v>
      </c>
      <c r="H4261" s="50" t="s">
        <v>2</v>
      </c>
      <c r="I4261" s="50" t="s">
        <v>287</v>
      </c>
      <c r="J4261" s="51">
        <v>45968</v>
      </c>
      <c r="K4261" s="50" t="s">
        <v>3</v>
      </c>
      <c r="L4261" s="50" t="s">
        <v>80</v>
      </c>
    </row>
    <row r="4262" spans="2:12">
      <c r="B4262" s="50" t="s">
        <v>386</v>
      </c>
      <c r="C4262" s="50" t="s">
        <v>26</v>
      </c>
      <c r="D4262" s="50" t="s">
        <v>27</v>
      </c>
      <c r="E4262" s="50">
        <v>50043151</v>
      </c>
      <c r="F4262" s="50" t="s">
        <v>331</v>
      </c>
      <c r="G4262" s="50">
        <v>1</v>
      </c>
      <c r="H4262" s="50" t="s">
        <v>2</v>
      </c>
      <c r="I4262" s="50" t="s">
        <v>287</v>
      </c>
      <c r="J4262" s="51">
        <v>45968</v>
      </c>
      <c r="K4262" s="50" t="s">
        <v>3</v>
      </c>
      <c r="L4262" s="50" t="s">
        <v>80</v>
      </c>
    </row>
    <row r="4263" spans="2:12">
      <c r="B4263" s="50" t="s">
        <v>483</v>
      </c>
      <c r="C4263" s="50" t="s">
        <v>62</v>
      </c>
      <c r="D4263" s="50" t="s">
        <v>27</v>
      </c>
      <c r="E4263" s="50">
        <v>50010031</v>
      </c>
      <c r="F4263" s="50" t="s">
        <v>89</v>
      </c>
      <c r="G4263" s="50">
        <v>1</v>
      </c>
      <c r="H4263" s="50" t="s">
        <v>2</v>
      </c>
      <c r="I4263" s="50" t="s">
        <v>288</v>
      </c>
      <c r="J4263" s="51">
        <v>45967</v>
      </c>
      <c r="K4263" s="50" t="s">
        <v>1</v>
      </c>
      <c r="L4263" s="50" t="s">
        <v>80</v>
      </c>
    </row>
    <row r="4264" spans="2:12">
      <c r="B4264" s="50" t="s">
        <v>483</v>
      </c>
      <c r="C4264" s="50" t="s">
        <v>62</v>
      </c>
      <c r="D4264" s="50" t="s">
        <v>27</v>
      </c>
      <c r="E4264" s="50">
        <v>50010031</v>
      </c>
      <c r="F4264" s="50" t="s">
        <v>89</v>
      </c>
      <c r="G4264" s="50">
        <v>1</v>
      </c>
      <c r="H4264" s="50" t="s">
        <v>2</v>
      </c>
      <c r="I4264" s="50" t="s">
        <v>288</v>
      </c>
      <c r="J4264" s="51">
        <v>45967</v>
      </c>
      <c r="K4264" s="50" t="s">
        <v>1</v>
      </c>
      <c r="L4264" s="50" t="s">
        <v>80</v>
      </c>
    </row>
    <row r="4265" spans="2:12">
      <c r="B4265" s="50" t="s">
        <v>414</v>
      </c>
      <c r="C4265" s="50" t="s">
        <v>56</v>
      </c>
      <c r="D4265" s="50" t="s">
        <v>27</v>
      </c>
      <c r="E4265" s="50">
        <v>50038991</v>
      </c>
      <c r="F4265" s="50" t="s">
        <v>108</v>
      </c>
      <c r="G4265" s="50">
        <v>1</v>
      </c>
      <c r="H4265" s="50" t="s">
        <v>2</v>
      </c>
      <c r="I4265" s="50" t="s">
        <v>292</v>
      </c>
      <c r="J4265" s="51">
        <v>45967</v>
      </c>
      <c r="K4265" s="50" t="s">
        <v>3</v>
      </c>
      <c r="L4265" s="50" t="s">
        <v>80</v>
      </c>
    </row>
    <row r="4266" spans="2:12">
      <c r="B4266" s="50" t="s">
        <v>414</v>
      </c>
      <c r="C4266" s="50" t="s">
        <v>56</v>
      </c>
      <c r="D4266" s="50" t="s">
        <v>27</v>
      </c>
      <c r="E4266" s="50">
        <v>50038991</v>
      </c>
      <c r="F4266" s="50" t="s">
        <v>108</v>
      </c>
      <c r="G4266" s="50">
        <v>1</v>
      </c>
      <c r="H4266" s="50" t="s">
        <v>2</v>
      </c>
      <c r="I4266" s="50" t="s">
        <v>288</v>
      </c>
      <c r="J4266" s="51">
        <v>45967</v>
      </c>
      <c r="K4266" s="50" t="s">
        <v>1</v>
      </c>
      <c r="L4266" s="50" t="s">
        <v>80</v>
      </c>
    </row>
    <row r="4267" spans="2:12">
      <c r="B4267" s="50" t="s">
        <v>465</v>
      </c>
      <c r="C4267" s="50" t="s">
        <v>26</v>
      </c>
      <c r="D4267" s="50" t="s">
        <v>27</v>
      </c>
      <c r="E4267" s="50">
        <v>50036296</v>
      </c>
      <c r="F4267" s="50" t="s">
        <v>109</v>
      </c>
      <c r="G4267" s="50">
        <v>1</v>
      </c>
      <c r="H4267" s="50" t="s">
        <v>2</v>
      </c>
      <c r="I4267" s="50" t="s">
        <v>292</v>
      </c>
      <c r="J4267" s="51">
        <v>45967</v>
      </c>
      <c r="K4267" s="50" t="s">
        <v>3</v>
      </c>
      <c r="L4267" s="50" t="s">
        <v>80</v>
      </c>
    </row>
    <row r="4268" spans="2:12">
      <c r="B4268" s="50" t="s">
        <v>465</v>
      </c>
      <c r="C4268" s="50" t="s">
        <v>26</v>
      </c>
      <c r="D4268" s="50" t="s">
        <v>27</v>
      </c>
      <c r="E4268" s="50">
        <v>50036296</v>
      </c>
      <c r="F4268" s="50" t="s">
        <v>109</v>
      </c>
      <c r="G4268" s="50">
        <v>1</v>
      </c>
      <c r="H4268" s="50" t="s">
        <v>2</v>
      </c>
      <c r="I4268" s="50" t="s">
        <v>292</v>
      </c>
      <c r="J4268" s="51">
        <v>45967</v>
      </c>
      <c r="K4268" s="50" t="s">
        <v>1</v>
      </c>
      <c r="L4268" s="50" t="s">
        <v>80</v>
      </c>
    </row>
    <row r="4269" spans="2:12">
      <c r="B4269" s="50" t="s">
        <v>418</v>
      </c>
      <c r="C4269" s="50" t="s">
        <v>26</v>
      </c>
      <c r="D4269" s="50" t="s">
        <v>27</v>
      </c>
      <c r="E4269" s="50">
        <v>50039718</v>
      </c>
      <c r="F4269" s="50" t="s">
        <v>149</v>
      </c>
      <c r="G4269" s="50">
        <v>1</v>
      </c>
      <c r="H4269" s="50" t="s">
        <v>2</v>
      </c>
      <c r="I4269" s="50" t="s">
        <v>292</v>
      </c>
      <c r="J4269" s="51">
        <v>45967</v>
      </c>
      <c r="K4269" s="50" t="s">
        <v>3</v>
      </c>
      <c r="L4269" s="50" t="s">
        <v>80</v>
      </c>
    </row>
    <row r="4270" spans="2:12">
      <c r="B4270" s="50" t="s">
        <v>418</v>
      </c>
      <c r="C4270" s="50" t="s">
        <v>26</v>
      </c>
      <c r="D4270" s="50" t="s">
        <v>27</v>
      </c>
      <c r="E4270" s="50">
        <v>50039718</v>
      </c>
      <c r="F4270" s="50" t="s">
        <v>149</v>
      </c>
      <c r="G4270" s="50">
        <v>1</v>
      </c>
      <c r="H4270" s="50" t="s">
        <v>2</v>
      </c>
      <c r="I4270" s="50" t="s">
        <v>287</v>
      </c>
      <c r="J4270" s="51">
        <v>45967</v>
      </c>
      <c r="K4270" s="50" t="s">
        <v>1</v>
      </c>
      <c r="L4270" s="50" t="s">
        <v>80</v>
      </c>
    </row>
    <row r="4271" spans="2:12">
      <c r="B4271" s="50" t="s">
        <v>316</v>
      </c>
      <c r="C4271" s="50" t="s">
        <v>56</v>
      </c>
      <c r="D4271" s="50" t="s">
        <v>27</v>
      </c>
      <c r="E4271" s="50">
        <v>50030486</v>
      </c>
      <c r="F4271" s="50" t="s">
        <v>153</v>
      </c>
      <c r="G4271" s="50">
        <v>1</v>
      </c>
      <c r="H4271" s="50" t="s">
        <v>2</v>
      </c>
      <c r="I4271" s="50" t="s">
        <v>292</v>
      </c>
      <c r="J4271" s="51">
        <v>45967</v>
      </c>
      <c r="K4271" s="50" t="s">
        <v>3</v>
      </c>
      <c r="L4271" s="50" t="s">
        <v>80</v>
      </c>
    </row>
    <row r="4272" spans="2:12">
      <c r="B4272" s="50" t="s">
        <v>316</v>
      </c>
      <c r="C4272" s="50" t="s">
        <v>56</v>
      </c>
      <c r="D4272" s="50" t="s">
        <v>27</v>
      </c>
      <c r="E4272" s="50">
        <v>50030486</v>
      </c>
      <c r="F4272" s="50" t="s">
        <v>153</v>
      </c>
      <c r="G4272" s="50">
        <v>1</v>
      </c>
      <c r="H4272" s="50" t="s">
        <v>2</v>
      </c>
      <c r="I4272" s="50" t="s">
        <v>288</v>
      </c>
      <c r="J4272" s="51">
        <v>45967</v>
      </c>
      <c r="K4272" s="50" t="s">
        <v>1</v>
      </c>
      <c r="L4272" s="50" t="s">
        <v>80</v>
      </c>
    </row>
    <row r="4273" spans="2:12">
      <c r="B4273" s="50" t="s">
        <v>409</v>
      </c>
      <c r="C4273" s="50" t="s">
        <v>51</v>
      </c>
      <c r="D4273" s="50" t="s">
        <v>27</v>
      </c>
      <c r="E4273" s="50">
        <v>50039236</v>
      </c>
      <c r="F4273" s="50" t="s">
        <v>154</v>
      </c>
      <c r="G4273" s="50">
        <v>1</v>
      </c>
      <c r="H4273" s="50" t="s">
        <v>2</v>
      </c>
      <c r="I4273" s="50" t="s">
        <v>292</v>
      </c>
      <c r="J4273" s="51">
        <v>45967</v>
      </c>
      <c r="K4273" s="50" t="s">
        <v>3</v>
      </c>
      <c r="L4273" s="50" t="s">
        <v>80</v>
      </c>
    </row>
    <row r="4274" spans="2:12">
      <c r="B4274" s="50" t="s">
        <v>409</v>
      </c>
      <c r="C4274" s="50" t="s">
        <v>51</v>
      </c>
      <c r="D4274" s="50" t="s">
        <v>27</v>
      </c>
      <c r="E4274" s="50">
        <v>50039236</v>
      </c>
      <c r="F4274" s="50" t="s">
        <v>154</v>
      </c>
      <c r="G4274" s="50">
        <v>1</v>
      </c>
      <c r="H4274" s="50" t="s">
        <v>2</v>
      </c>
      <c r="I4274" s="50" t="s">
        <v>292</v>
      </c>
      <c r="J4274" s="51">
        <v>45967</v>
      </c>
      <c r="K4274" s="50" t="s">
        <v>1</v>
      </c>
      <c r="L4274" s="50" t="s">
        <v>80</v>
      </c>
    </row>
    <row r="4275" spans="2:12">
      <c r="B4275" s="50" t="s">
        <v>396</v>
      </c>
      <c r="C4275" s="50" t="s">
        <v>26</v>
      </c>
      <c r="D4275" s="50" t="s">
        <v>41</v>
      </c>
      <c r="E4275" s="50">
        <v>50039236</v>
      </c>
      <c r="F4275" s="50" t="s">
        <v>154</v>
      </c>
      <c r="G4275" s="50">
        <v>1</v>
      </c>
      <c r="H4275" s="50" t="s">
        <v>2</v>
      </c>
      <c r="I4275" s="50" t="s">
        <v>292</v>
      </c>
      <c r="J4275" s="51">
        <v>45967</v>
      </c>
      <c r="K4275" s="50" t="s">
        <v>3</v>
      </c>
      <c r="L4275" s="50" t="s">
        <v>80</v>
      </c>
    </row>
    <row r="4276" spans="2:12">
      <c r="B4276" s="50" t="s">
        <v>396</v>
      </c>
      <c r="C4276" s="50" t="s">
        <v>26</v>
      </c>
      <c r="D4276" s="50" t="s">
        <v>41</v>
      </c>
      <c r="E4276" s="50">
        <v>50039236</v>
      </c>
      <c r="F4276" s="50" t="s">
        <v>154</v>
      </c>
      <c r="G4276" s="50">
        <v>1</v>
      </c>
      <c r="H4276" s="50" t="s">
        <v>2</v>
      </c>
      <c r="I4276" s="50" t="s">
        <v>287</v>
      </c>
      <c r="J4276" s="51">
        <v>45967</v>
      </c>
      <c r="K4276" s="50" t="s">
        <v>1</v>
      </c>
      <c r="L4276" s="50" t="s">
        <v>80</v>
      </c>
    </row>
    <row r="4277" spans="2:12">
      <c r="B4277" s="50" t="s">
        <v>444</v>
      </c>
      <c r="C4277" s="50" t="s">
        <v>51</v>
      </c>
      <c r="D4277" s="50" t="s">
        <v>27</v>
      </c>
      <c r="E4277" s="50">
        <v>50043471</v>
      </c>
      <c r="F4277" s="50" t="s">
        <v>257</v>
      </c>
      <c r="G4277" s="50">
        <v>1</v>
      </c>
      <c r="H4277" s="50" t="s">
        <v>2</v>
      </c>
      <c r="I4277" s="50" t="s">
        <v>288</v>
      </c>
      <c r="J4277" s="51">
        <v>45967</v>
      </c>
      <c r="K4277" s="50" t="s">
        <v>3</v>
      </c>
      <c r="L4277" s="50" t="s">
        <v>80</v>
      </c>
    </row>
    <row r="4278" spans="2:12">
      <c r="B4278" s="50" t="s">
        <v>444</v>
      </c>
      <c r="C4278" s="50" t="s">
        <v>51</v>
      </c>
      <c r="D4278" s="50" t="s">
        <v>27</v>
      </c>
      <c r="E4278" s="50">
        <v>50043471</v>
      </c>
      <c r="F4278" s="50" t="s">
        <v>257</v>
      </c>
      <c r="G4278" s="50">
        <v>1</v>
      </c>
      <c r="H4278" s="50" t="s">
        <v>2</v>
      </c>
      <c r="I4278" s="50" t="s">
        <v>288</v>
      </c>
      <c r="J4278" s="51">
        <v>45967</v>
      </c>
      <c r="K4278" s="50" t="s">
        <v>1</v>
      </c>
      <c r="L4278" s="50" t="s">
        <v>80</v>
      </c>
    </row>
    <row r="4279" spans="2:12">
      <c r="B4279" s="50" t="s">
        <v>444</v>
      </c>
      <c r="C4279" s="50" t="s">
        <v>51</v>
      </c>
      <c r="D4279" s="50" t="s">
        <v>27</v>
      </c>
      <c r="E4279" s="50">
        <v>50043471</v>
      </c>
      <c r="F4279" s="50" t="s">
        <v>257</v>
      </c>
      <c r="G4279" s="50">
        <v>1</v>
      </c>
      <c r="H4279" s="50" t="s">
        <v>2</v>
      </c>
      <c r="I4279" s="50" t="s">
        <v>288</v>
      </c>
      <c r="J4279" s="51">
        <v>45967</v>
      </c>
      <c r="K4279" s="50" t="s">
        <v>3</v>
      </c>
      <c r="L4279" s="50" t="s">
        <v>80</v>
      </c>
    </row>
    <row r="4280" spans="2:12">
      <c r="B4280" s="50" t="s">
        <v>444</v>
      </c>
      <c r="C4280" s="50" t="s">
        <v>51</v>
      </c>
      <c r="D4280" s="50" t="s">
        <v>27</v>
      </c>
      <c r="E4280" s="50">
        <v>50043471</v>
      </c>
      <c r="F4280" s="50" t="s">
        <v>257</v>
      </c>
      <c r="G4280" s="50">
        <v>1</v>
      </c>
      <c r="H4280" s="50" t="s">
        <v>2</v>
      </c>
      <c r="I4280" s="50" t="s">
        <v>287</v>
      </c>
      <c r="J4280" s="51">
        <v>45967</v>
      </c>
      <c r="K4280" s="50" t="s">
        <v>1</v>
      </c>
      <c r="L4280" s="50" t="s">
        <v>80</v>
      </c>
    </row>
    <row r="4281" spans="2:12">
      <c r="B4281" s="50" t="s">
        <v>483</v>
      </c>
      <c r="C4281" s="50" t="s">
        <v>62</v>
      </c>
      <c r="D4281" s="50" t="s">
        <v>27</v>
      </c>
      <c r="E4281" s="50">
        <v>50003297</v>
      </c>
      <c r="F4281" s="50" t="s">
        <v>158</v>
      </c>
      <c r="G4281" s="50">
        <v>1</v>
      </c>
      <c r="H4281" s="50" t="s">
        <v>2</v>
      </c>
      <c r="I4281" s="50" t="s">
        <v>292</v>
      </c>
      <c r="J4281" s="51">
        <v>45967</v>
      </c>
      <c r="K4281" s="50" t="s">
        <v>3</v>
      </c>
      <c r="L4281" s="50" t="s">
        <v>80</v>
      </c>
    </row>
    <row r="4282" spans="2:12">
      <c r="B4282" s="50" t="s">
        <v>483</v>
      </c>
      <c r="C4282" s="50" t="s">
        <v>62</v>
      </c>
      <c r="D4282" s="50" t="s">
        <v>27</v>
      </c>
      <c r="E4282" s="50">
        <v>50003297</v>
      </c>
      <c r="F4282" s="50" t="s">
        <v>158</v>
      </c>
      <c r="G4282" s="50">
        <v>1</v>
      </c>
      <c r="H4282" s="50" t="s">
        <v>2</v>
      </c>
      <c r="I4282" s="50" t="s">
        <v>288</v>
      </c>
      <c r="J4282" s="51">
        <v>45967</v>
      </c>
      <c r="K4282" s="50" t="s">
        <v>1</v>
      </c>
      <c r="L4282" s="50" t="s">
        <v>80</v>
      </c>
    </row>
    <row r="4283" spans="2:12">
      <c r="B4283" s="50" t="s">
        <v>345</v>
      </c>
      <c r="C4283" s="50" t="s">
        <v>56</v>
      </c>
      <c r="D4283" s="50" t="s">
        <v>27</v>
      </c>
      <c r="E4283" s="50">
        <v>50043320</v>
      </c>
      <c r="F4283" s="50" t="s">
        <v>264</v>
      </c>
      <c r="G4283" s="50">
        <v>1</v>
      </c>
      <c r="H4283" s="50" t="s">
        <v>2</v>
      </c>
      <c r="I4283" s="50" t="s">
        <v>292</v>
      </c>
      <c r="J4283" s="51">
        <v>45967</v>
      </c>
      <c r="K4283" s="50" t="s">
        <v>3</v>
      </c>
      <c r="L4283" s="50" t="s">
        <v>80</v>
      </c>
    </row>
    <row r="4284" spans="2:12">
      <c r="B4284" s="50" t="s">
        <v>345</v>
      </c>
      <c r="C4284" s="50" t="s">
        <v>56</v>
      </c>
      <c r="D4284" s="50" t="s">
        <v>27</v>
      </c>
      <c r="E4284" s="50">
        <v>50043320</v>
      </c>
      <c r="F4284" s="50" t="s">
        <v>264</v>
      </c>
      <c r="G4284" s="50">
        <v>1</v>
      </c>
      <c r="H4284" s="50" t="s">
        <v>2</v>
      </c>
      <c r="I4284" s="50" t="s">
        <v>292</v>
      </c>
      <c r="J4284" s="51">
        <v>45967</v>
      </c>
      <c r="K4284" s="50" t="s">
        <v>1</v>
      </c>
      <c r="L4284" s="50" t="s">
        <v>80</v>
      </c>
    </row>
    <row r="4285" spans="2:12">
      <c r="B4285" s="50" t="s">
        <v>427</v>
      </c>
      <c r="C4285" s="50" t="s">
        <v>26</v>
      </c>
      <c r="D4285" s="50" t="s">
        <v>27</v>
      </c>
      <c r="E4285" s="50">
        <v>50022878</v>
      </c>
      <c r="F4285" s="50" t="s">
        <v>296</v>
      </c>
      <c r="G4285" s="50">
        <v>1</v>
      </c>
      <c r="H4285" s="50" t="s">
        <v>2</v>
      </c>
      <c r="I4285" s="50" t="s">
        <v>287</v>
      </c>
      <c r="J4285" s="51">
        <v>45967</v>
      </c>
      <c r="K4285" s="50" t="s">
        <v>3</v>
      </c>
      <c r="L4285" s="50" t="s">
        <v>80</v>
      </c>
    </row>
    <row r="4286" spans="2:12">
      <c r="B4286" s="50" t="s">
        <v>427</v>
      </c>
      <c r="C4286" s="50" t="s">
        <v>26</v>
      </c>
      <c r="D4286" s="50" t="s">
        <v>27</v>
      </c>
      <c r="E4286" s="50">
        <v>50022878</v>
      </c>
      <c r="F4286" s="50" t="s">
        <v>296</v>
      </c>
      <c r="G4286" s="50">
        <v>1</v>
      </c>
      <c r="H4286" s="50" t="s">
        <v>2</v>
      </c>
      <c r="I4286" s="50" t="s">
        <v>288</v>
      </c>
      <c r="J4286" s="51">
        <v>45967</v>
      </c>
      <c r="K4286" s="50" t="s">
        <v>1</v>
      </c>
      <c r="L4286" s="50" t="s">
        <v>80</v>
      </c>
    </row>
    <row r="4287" spans="2:12">
      <c r="B4287" s="50" t="s">
        <v>443</v>
      </c>
      <c r="C4287" s="50" t="s">
        <v>56</v>
      </c>
      <c r="D4287" s="50" t="s">
        <v>36</v>
      </c>
      <c r="E4287" s="50">
        <v>50038956</v>
      </c>
      <c r="F4287" s="50" t="s">
        <v>177</v>
      </c>
      <c r="G4287" s="50">
        <v>1</v>
      </c>
      <c r="H4287" s="50" t="s">
        <v>2</v>
      </c>
      <c r="I4287" s="50" t="s">
        <v>287</v>
      </c>
      <c r="J4287" s="51">
        <v>45967</v>
      </c>
      <c r="K4287" s="50" t="s">
        <v>3</v>
      </c>
      <c r="L4287" s="50" t="s">
        <v>80</v>
      </c>
    </row>
    <row r="4288" spans="2:12">
      <c r="B4288" s="50" t="s">
        <v>443</v>
      </c>
      <c r="C4288" s="50" t="s">
        <v>56</v>
      </c>
      <c r="D4288" s="50" t="s">
        <v>36</v>
      </c>
      <c r="E4288" s="50">
        <v>50038956</v>
      </c>
      <c r="F4288" s="50" t="s">
        <v>177</v>
      </c>
      <c r="G4288" s="50">
        <v>1</v>
      </c>
      <c r="H4288" s="50" t="s">
        <v>2</v>
      </c>
      <c r="I4288" s="50" t="s">
        <v>287</v>
      </c>
      <c r="J4288" s="51">
        <v>45967</v>
      </c>
      <c r="K4288" s="50" t="s">
        <v>3</v>
      </c>
      <c r="L4288" s="50" t="s">
        <v>80</v>
      </c>
    </row>
    <row r="4289" spans="2:12">
      <c r="B4289" s="50" t="s">
        <v>427</v>
      </c>
      <c r="C4289" s="50" t="s">
        <v>26</v>
      </c>
      <c r="D4289" s="50" t="s">
        <v>27</v>
      </c>
      <c r="E4289" s="50">
        <v>50037892</v>
      </c>
      <c r="F4289" s="50" t="s">
        <v>178</v>
      </c>
      <c r="G4289" s="50">
        <v>1</v>
      </c>
      <c r="H4289" s="50" t="s">
        <v>2</v>
      </c>
      <c r="I4289" s="50" t="s">
        <v>292</v>
      </c>
      <c r="J4289" s="51">
        <v>45967</v>
      </c>
      <c r="K4289" s="50" t="s">
        <v>1</v>
      </c>
      <c r="L4289" s="50" t="s">
        <v>80</v>
      </c>
    </row>
    <row r="4290" spans="2:12">
      <c r="B4290" s="50" t="s">
        <v>427</v>
      </c>
      <c r="C4290" s="50" t="s">
        <v>26</v>
      </c>
      <c r="D4290" s="50" t="s">
        <v>27</v>
      </c>
      <c r="E4290" s="50">
        <v>50037892</v>
      </c>
      <c r="F4290" s="50" t="s">
        <v>178</v>
      </c>
      <c r="G4290" s="50">
        <v>1</v>
      </c>
      <c r="H4290" s="50" t="s">
        <v>2</v>
      </c>
      <c r="I4290" s="50" t="s">
        <v>292</v>
      </c>
      <c r="J4290" s="51">
        <v>45967</v>
      </c>
      <c r="K4290" s="50" t="s">
        <v>3</v>
      </c>
      <c r="L4290" s="50" t="s">
        <v>80</v>
      </c>
    </row>
    <row r="4291" spans="2:12">
      <c r="B4291" s="50" t="s">
        <v>316</v>
      </c>
      <c r="C4291" s="50" t="s">
        <v>51</v>
      </c>
      <c r="D4291" s="50" t="s">
        <v>27</v>
      </c>
      <c r="E4291" s="50">
        <v>50037892</v>
      </c>
      <c r="F4291" s="50" t="s">
        <v>178</v>
      </c>
      <c r="G4291" s="50">
        <v>1</v>
      </c>
      <c r="H4291" s="50" t="s">
        <v>2</v>
      </c>
      <c r="I4291" s="50" t="s">
        <v>292</v>
      </c>
      <c r="J4291" s="51">
        <v>45967</v>
      </c>
      <c r="K4291" s="50" t="s">
        <v>1</v>
      </c>
      <c r="L4291" s="50" t="s">
        <v>80</v>
      </c>
    </row>
    <row r="4292" spans="2:12">
      <c r="B4292" s="50" t="s">
        <v>316</v>
      </c>
      <c r="C4292" s="50" t="s">
        <v>51</v>
      </c>
      <c r="D4292" s="50" t="s">
        <v>27</v>
      </c>
      <c r="E4292" s="50">
        <v>50037892</v>
      </c>
      <c r="F4292" s="50" t="s">
        <v>178</v>
      </c>
      <c r="G4292" s="50">
        <v>1</v>
      </c>
      <c r="H4292" s="50" t="s">
        <v>2</v>
      </c>
      <c r="I4292" s="50" t="s">
        <v>292</v>
      </c>
      <c r="J4292" s="51">
        <v>45967</v>
      </c>
      <c r="K4292" s="50" t="s">
        <v>3</v>
      </c>
      <c r="L4292" s="50" t="s">
        <v>80</v>
      </c>
    </row>
    <row r="4293" spans="2:12">
      <c r="B4293" s="50" t="s">
        <v>418</v>
      </c>
      <c r="C4293" s="50" t="s">
        <v>26</v>
      </c>
      <c r="D4293" s="50" t="s">
        <v>27</v>
      </c>
      <c r="E4293" s="50">
        <v>50037892</v>
      </c>
      <c r="F4293" s="50" t="s">
        <v>178</v>
      </c>
      <c r="G4293" s="50">
        <v>1</v>
      </c>
      <c r="H4293" s="50" t="s">
        <v>2</v>
      </c>
      <c r="I4293" s="50" t="s">
        <v>287</v>
      </c>
      <c r="J4293" s="51">
        <v>45967</v>
      </c>
      <c r="K4293" s="50" t="s">
        <v>1</v>
      </c>
      <c r="L4293" s="50" t="s">
        <v>80</v>
      </c>
    </row>
    <row r="4294" spans="2:12">
      <c r="B4294" s="50" t="s">
        <v>418</v>
      </c>
      <c r="C4294" s="50" t="s">
        <v>26</v>
      </c>
      <c r="D4294" s="50" t="s">
        <v>27</v>
      </c>
      <c r="E4294" s="50">
        <v>50037892</v>
      </c>
      <c r="F4294" s="50" t="s">
        <v>178</v>
      </c>
      <c r="G4294" s="50">
        <v>1</v>
      </c>
      <c r="H4294" s="50" t="s">
        <v>2</v>
      </c>
      <c r="I4294" s="50" t="s">
        <v>287</v>
      </c>
      <c r="J4294" s="51">
        <v>45967</v>
      </c>
      <c r="K4294" s="50" t="s">
        <v>3</v>
      </c>
      <c r="L4294" s="50" t="s">
        <v>80</v>
      </c>
    </row>
    <row r="4295" spans="2:12">
      <c r="B4295" s="50" t="s">
        <v>316</v>
      </c>
      <c r="C4295" s="50" t="s">
        <v>51</v>
      </c>
      <c r="D4295" s="50" t="s">
        <v>27</v>
      </c>
      <c r="E4295" s="50">
        <v>50037892</v>
      </c>
      <c r="F4295" s="50" t="s">
        <v>178</v>
      </c>
      <c r="G4295" s="50">
        <v>1</v>
      </c>
      <c r="H4295" s="50" t="s">
        <v>2</v>
      </c>
      <c r="I4295" s="50" t="s">
        <v>287</v>
      </c>
      <c r="J4295" s="51">
        <v>45967</v>
      </c>
      <c r="K4295" s="50" t="s">
        <v>1</v>
      </c>
      <c r="L4295" s="50" t="s">
        <v>80</v>
      </c>
    </row>
    <row r="4296" spans="2:12">
      <c r="B4296" s="50" t="s">
        <v>316</v>
      </c>
      <c r="C4296" s="50" t="s">
        <v>51</v>
      </c>
      <c r="D4296" s="50" t="s">
        <v>27</v>
      </c>
      <c r="E4296" s="50">
        <v>50037892</v>
      </c>
      <c r="F4296" s="50" t="s">
        <v>178</v>
      </c>
      <c r="G4296" s="50">
        <v>1</v>
      </c>
      <c r="H4296" s="50" t="s">
        <v>2</v>
      </c>
      <c r="I4296" s="50" t="s">
        <v>287</v>
      </c>
      <c r="J4296" s="51">
        <v>45967</v>
      </c>
      <c r="K4296" s="50" t="s">
        <v>3</v>
      </c>
      <c r="L4296" s="50" t="s">
        <v>80</v>
      </c>
    </row>
    <row r="4297" spans="2:12">
      <c r="B4297" s="50" t="s">
        <v>270</v>
      </c>
      <c r="C4297" s="50" t="s">
        <v>51</v>
      </c>
      <c r="D4297" s="50" t="s">
        <v>41</v>
      </c>
      <c r="E4297" s="50">
        <v>50037892</v>
      </c>
      <c r="F4297" s="50" t="s">
        <v>178</v>
      </c>
      <c r="G4297" s="50">
        <v>1</v>
      </c>
      <c r="H4297" s="50" t="s">
        <v>2</v>
      </c>
      <c r="I4297" s="50" t="s">
        <v>288</v>
      </c>
      <c r="J4297" s="51">
        <v>45967</v>
      </c>
      <c r="K4297" s="50" t="s">
        <v>1</v>
      </c>
      <c r="L4297" s="50" t="s">
        <v>80</v>
      </c>
    </row>
    <row r="4298" spans="2:12">
      <c r="B4298" s="50" t="s">
        <v>270</v>
      </c>
      <c r="C4298" s="50" t="s">
        <v>51</v>
      </c>
      <c r="D4298" s="50" t="s">
        <v>41</v>
      </c>
      <c r="E4298" s="50">
        <v>50037892</v>
      </c>
      <c r="F4298" s="50" t="s">
        <v>178</v>
      </c>
      <c r="G4298" s="50">
        <v>1</v>
      </c>
      <c r="H4298" s="50" t="s">
        <v>2</v>
      </c>
      <c r="I4298" s="50" t="s">
        <v>287</v>
      </c>
      <c r="J4298" s="51">
        <v>45967</v>
      </c>
      <c r="K4298" s="50" t="s">
        <v>3</v>
      </c>
      <c r="L4298" s="50" t="s">
        <v>80</v>
      </c>
    </row>
    <row r="4299" spans="2:12">
      <c r="B4299" s="50" t="s">
        <v>316</v>
      </c>
      <c r="C4299" s="50" t="s">
        <v>56</v>
      </c>
      <c r="D4299" s="50" t="s">
        <v>27</v>
      </c>
      <c r="E4299" s="50">
        <v>50037902</v>
      </c>
      <c r="F4299" s="50" t="s">
        <v>179</v>
      </c>
      <c r="G4299" s="50">
        <v>1</v>
      </c>
      <c r="H4299" s="50" t="s">
        <v>2</v>
      </c>
      <c r="I4299" s="50" t="s">
        <v>288</v>
      </c>
      <c r="J4299" s="51">
        <v>45967</v>
      </c>
      <c r="K4299" s="50" t="s">
        <v>1</v>
      </c>
      <c r="L4299" s="50" t="s">
        <v>80</v>
      </c>
    </row>
    <row r="4300" spans="2:12">
      <c r="B4300" s="50" t="s">
        <v>316</v>
      </c>
      <c r="C4300" s="50" t="s">
        <v>56</v>
      </c>
      <c r="D4300" s="50" t="s">
        <v>27</v>
      </c>
      <c r="E4300" s="50">
        <v>50037902</v>
      </c>
      <c r="F4300" s="50" t="s">
        <v>179</v>
      </c>
      <c r="G4300" s="50">
        <v>1</v>
      </c>
      <c r="H4300" s="50" t="s">
        <v>2</v>
      </c>
      <c r="I4300" s="50" t="s">
        <v>288</v>
      </c>
      <c r="J4300" s="51">
        <v>45967</v>
      </c>
      <c r="K4300" s="50" t="s">
        <v>3</v>
      </c>
      <c r="L4300" s="50" t="s">
        <v>80</v>
      </c>
    </row>
    <row r="4301" spans="2:12">
      <c r="B4301" s="50" t="s">
        <v>399</v>
      </c>
      <c r="C4301" s="50" t="s">
        <v>51</v>
      </c>
      <c r="D4301" s="50" t="s">
        <v>27</v>
      </c>
      <c r="E4301" s="50">
        <v>50038841</v>
      </c>
      <c r="F4301" s="50" t="s">
        <v>180</v>
      </c>
      <c r="G4301" s="50">
        <v>1</v>
      </c>
      <c r="H4301" s="50" t="s">
        <v>2</v>
      </c>
      <c r="I4301" s="50" t="s">
        <v>287</v>
      </c>
      <c r="J4301" s="51">
        <v>45967</v>
      </c>
      <c r="K4301" s="50" t="s">
        <v>1</v>
      </c>
      <c r="L4301" s="50" t="s">
        <v>80</v>
      </c>
    </row>
    <row r="4302" spans="2:12">
      <c r="B4302" s="50" t="s">
        <v>399</v>
      </c>
      <c r="C4302" s="50" t="s">
        <v>51</v>
      </c>
      <c r="D4302" s="50" t="s">
        <v>27</v>
      </c>
      <c r="E4302" s="50">
        <v>50038841</v>
      </c>
      <c r="F4302" s="50" t="s">
        <v>180</v>
      </c>
      <c r="G4302" s="50">
        <v>1</v>
      </c>
      <c r="H4302" s="50" t="s">
        <v>2</v>
      </c>
      <c r="I4302" s="50" t="s">
        <v>288</v>
      </c>
      <c r="J4302" s="51">
        <v>45967</v>
      </c>
      <c r="K4302" s="50" t="s">
        <v>3</v>
      </c>
      <c r="L4302" s="50" t="s">
        <v>80</v>
      </c>
    </row>
    <row r="4303" spans="2:12">
      <c r="B4303" s="50" t="s">
        <v>427</v>
      </c>
      <c r="C4303" s="50" t="s">
        <v>26</v>
      </c>
      <c r="D4303" s="50" t="s">
        <v>27</v>
      </c>
      <c r="E4303" s="50">
        <v>50038517</v>
      </c>
      <c r="F4303" s="50" t="s">
        <v>181</v>
      </c>
      <c r="G4303" s="50">
        <v>1</v>
      </c>
      <c r="H4303" s="50" t="s">
        <v>2</v>
      </c>
      <c r="I4303" s="50" t="s">
        <v>287</v>
      </c>
      <c r="J4303" s="51">
        <v>45967</v>
      </c>
      <c r="K4303" s="50" t="s">
        <v>1</v>
      </c>
      <c r="L4303" s="50" t="s">
        <v>80</v>
      </c>
    </row>
    <row r="4304" spans="2:12">
      <c r="B4304" s="50" t="s">
        <v>427</v>
      </c>
      <c r="C4304" s="50" t="s">
        <v>26</v>
      </c>
      <c r="D4304" s="50" t="s">
        <v>27</v>
      </c>
      <c r="E4304" s="50">
        <v>50038517</v>
      </c>
      <c r="F4304" s="50" t="s">
        <v>181</v>
      </c>
      <c r="G4304" s="50">
        <v>1</v>
      </c>
      <c r="H4304" s="50" t="s">
        <v>2</v>
      </c>
      <c r="I4304" s="50" t="s">
        <v>287</v>
      </c>
      <c r="J4304" s="51">
        <v>45967</v>
      </c>
      <c r="K4304" s="50" t="s">
        <v>3</v>
      </c>
      <c r="L4304" s="50" t="s">
        <v>80</v>
      </c>
    </row>
    <row r="4305" spans="2:12">
      <c r="B4305" s="50" t="s">
        <v>316</v>
      </c>
      <c r="C4305" s="50" t="s">
        <v>51</v>
      </c>
      <c r="D4305" s="50" t="s">
        <v>27</v>
      </c>
      <c r="E4305" s="50">
        <v>50038517</v>
      </c>
      <c r="F4305" s="50" t="s">
        <v>181</v>
      </c>
      <c r="G4305" s="50">
        <v>1</v>
      </c>
      <c r="H4305" s="50" t="s">
        <v>2</v>
      </c>
      <c r="I4305" s="50" t="s">
        <v>288</v>
      </c>
      <c r="J4305" s="51">
        <v>45967</v>
      </c>
      <c r="K4305" s="50" t="s">
        <v>1</v>
      </c>
      <c r="L4305" s="50" t="s">
        <v>80</v>
      </c>
    </row>
    <row r="4306" spans="2:12">
      <c r="B4306" s="50" t="s">
        <v>316</v>
      </c>
      <c r="C4306" s="50" t="s">
        <v>51</v>
      </c>
      <c r="D4306" s="50" t="s">
        <v>27</v>
      </c>
      <c r="E4306" s="50">
        <v>50038517</v>
      </c>
      <c r="F4306" s="50" t="s">
        <v>181</v>
      </c>
      <c r="G4306" s="50">
        <v>1</v>
      </c>
      <c r="H4306" s="50" t="s">
        <v>2</v>
      </c>
      <c r="I4306" s="50" t="s">
        <v>288</v>
      </c>
      <c r="J4306" s="51">
        <v>45967</v>
      </c>
      <c r="K4306" s="50" t="s">
        <v>3</v>
      </c>
      <c r="L4306" s="50" t="s">
        <v>80</v>
      </c>
    </row>
    <row r="4307" spans="2:12">
      <c r="B4307" s="50" t="s">
        <v>411</v>
      </c>
      <c r="C4307" s="50" t="s">
        <v>26</v>
      </c>
      <c r="D4307" s="50" t="s">
        <v>27</v>
      </c>
      <c r="E4307" s="50">
        <v>50038518</v>
      </c>
      <c r="F4307" s="50" t="s">
        <v>340</v>
      </c>
      <c r="G4307" s="50">
        <v>1</v>
      </c>
      <c r="H4307" s="50" t="s">
        <v>2</v>
      </c>
      <c r="I4307" s="50" t="s">
        <v>292</v>
      </c>
      <c r="J4307" s="51">
        <v>45967</v>
      </c>
      <c r="K4307" s="50" t="s">
        <v>1</v>
      </c>
      <c r="L4307" s="50" t="s">
        <v>80</v>
      </c>
    </row>
    <row r="4308" spans="2:12">
      <c r="B4308" s="50" t="s">
        <v>411</v>
      </c>
      <c r="C4308" s="50" t="s">
        <v>26</v>
      </c>
      <c r="D4308" s="50" t="s">
        <v>27</v>
      </c>
      <c r="E4308" s="50">
        <v>50038518</v>
      </c>
      <c r="F4308" s="50" t="s">
        <v>340</v>
      </c>
      <c r="G4308" s="50">
        <v>1</v>
      </c>
      <c r="H4308" s="50" t="s">
        <v>2</v>
      </c>
      <c r="I4308" s="50" t="s">
        <v>287</v>
      </c>
      <c r="J4308" s="51">
        <v>45967</v>
      </c>
      <c r="K4308" s="50" t="s">
        <v>1</v>
      </c>
      <c r="L4308" s="50" t="s">
        <v>80</v>
      </c>
    </row>
    <row r="4309" spans="2:12">
      <c r="B4309" s="50" t="s">
        <v>54</v>
      </c>
      <c r="C4309" s="50" t="s">
        <v>51</v>
      </c>
      <c r="D4309" s="50" t="s">
        <v>41</v>
      </c>
      <c r="E4309" s="50">
        <v>50039065</v>
      </c>
      <c r="F4309" s="50" t="s">
        <v>186</v>
      </c>
      <c r="G4309" s="50">
        <v>1</v>
      </c>
      <c r="H4309" s="50" t="s">
        <v>2</v>
      </c>
      <c r="I4309" s="50" t="s">
        <v>288</v>
      </c>
      <c r="J4309" s="51">
        <v>45967</v>
      </c>
      <c r="K4309" s="50" t="s">
        <v>3</v>
      </c>
      <c r="L4309" s="50" t="s">
        <v>80</v>
      </c>
    </row>
    <row r="4310" spans="2:12">
      <c r="B4310" s="50" t="s">
        <v>54</v>
      </c>
      <c r="C4310" s="50" t="s">
        <v>51</v>
      </c>
      <c r="D4310" s="50" t="s">
        <v>41</v>
      </c>
      <c r="E4310" s="50">
        <v>50039065</v>
      </c>
      <c r="F4310" s="50" t="s">
        <v>186</v>
      </c>
      <c r="G4310" s="50">
        <v>1</v>
      </c>
      <c r="H4310" s="50" t="s">
        <v>2</v>
      </c>
      <c r="I4310" s="50" t="s">
        <v>288</v>
      </c>
      <c r="J4310" s="51">
        <v>45967</v>
      </c>
      <c r="K4310" s="50" t="s">
        <v>1</v>
      </c>
      <c r="L4310" s="50" t="s">
        <v>80</v>
      </c>
    </row>
    <row r="4311" spans="2:12">
      <c r="B4311" s="50" t="s">
        <v>277</v>
      </c>
      <c r="C4311" s="50" t="s">
        <v>62</v>
      </c>
      <c r="D4311" s="50" t="s">
        <v>27</v>
      </c>
      <c r="E4311" s="50">
        <v>50026357</v>
      </c>
      <c r="F4311" s="50" t="s">
        <v>192</v>
      </c>
      <c r="G4311" s="50">
        <v>1</v>
      </c>
      <c r="H4311" s="50" t="s">
        <v>2</v>
      </c>
      <c r="I4311" s="50" t="s">
        <v>288</v>
      </c>
      <c r="J4311" s="51">
        <v>45967</v>
      </c>
      <c r="K4311" s="50" t="s">
        <v>3</v>
      </c>
      <c r="L4311" s="50" t="s">
        <v>80</v>
      </c>
    </row>
    <row r="4312" spans="2:12">
      <c r="B4312" s="50" t="s">
        <v>277</v>
      </c>
      <c r="C4312" s="50" t="s">
        <v>62</v>
      </c>
      <c r="D4312" s="50" t="s">
        <v>27</v>
      </c>
      <c r="E4312" s="50">
        <v>50026357</v>
      </c>
      <c r="F4312" s="50" t="s">
        <v>192</v>
      </c>
      <c r="G4312" s="50">
        <v>1</v>
      </c>
      <c r="H4312" s="50" t="s">
        <v>2</v>
      </c>
      <c r="I4312" s="50" t="s">
        <v>288</v>
      </c>
      <c r="J4312" s="51">
        <v>45967</v>
      </c>
      <c r="K4312" s="50" t="s">
        <v>1</v>
      </c>
      <c r="L4312" s="50" t="s">
        <v>80</v>
      </c>
    </row>
    <row r="4313" spans="2:12">
      <c r="B4313" s="50" t="s">
        <v>277</v>
      </c>
      <c r="C4313" s="50" t="s">
        <v>62</v>
      </c>
      <c r="D4313" s="50" t="s">
        <v>27</v>
      </c>
      <c r="E4313" s="50">
        <v>50038662</v>
      </c>
      <c r="F4313" s="50" t="s">
        <v>193</v>
      </c>
      <c r="G4313" s="50">
        <v>1</v>
      </c>
      <c r="H4313" s="50" t="s">
        <v>2</v>
      </c>
      <c r="I4313" s="50" t="s">
        <v>288</v>
      </c>
      <c r="J4313" s="51">
        <v>45967</v>
      </c>
      <c r="K4313" s="50" t="s">
        <v>3</v>
      </c>
      <c r="L4313" s="50" t="s">
        <v>80</v>
      </c>
    </row>
    <row r="4314" spans="2:12">
      <c r="B4314" s="50" t="s">
        <v>277</v>
      </c>
      <c r="C4314" s="50" t="s">
        <v>62</v>
      </c>
      <c r="D4314" s="50" t="s">
        <v>27</v>
      </c>
      <c r="E4314" s="50">
        <v>50038662</v>
      </c>
      <c r="F4314" s="50" t="s">
        <v>193</v>
      </c>
      <c r="G4314" s="50">
        <v>1</v>
      </c>
      <c r="H4314" s="50" t="s">
        <v>2</v>
      </c>
      <c r="I4314" s="50" t="s">
        <v>288</v>
      </c>
      <c r="J4314" s="51">
        <v>45967</v>
      </c>
      <c r="K4314" s="50" t="s">
        <v>3</v>
      </c>
      <c r="L4314" s="50" t="s">
        <v>80</v>
      </c>
    </row>
    <row r="4315" spans="2:12">
      <c r="B4315" s="50" t="s">
        <v>316</v>
      </c>
      <c r="C4315" s="50" t="s">
        <v>51</v>
      </c>
      <c r="D4315" s="50" t="s">
        <v>27</v>
      </c>
      <c r="E4315" s="50">
        <v>50041195</v>
      </c>
      <c r="F4315" s="50" t="s">
        <v>206</v>
      </c>
      <c r="G4315" s="50">
        <v>1</v>
      </c>
      <c r="H4315" s="50" t="s">
        <v>2</v>
      </c>
      <c r="I4315" s="50" t="s">
        <v>292</v>
      </c>
      <c r="J4315" s="51">
        <v>45967</v>
      </c>
      <c r="K4315" s="50" t="s">
        <v>1</v>
      </c>
      <c r="L4315" s="50" t="s">
        <v>80</v>
      </c>
    </row>
    <row r="4316" spans="2:12">
      <c r="B4316" s="50" t="s">
        <v>316</v>
      </c>
      <c r="C4316" s="50" t="s">
        <v>51</v>
      </c>
      <c r="D4316" s="50" t="s">
        <v>27</v>
      </c>
      <c r="E4316" s="50">
        <v>50041195</v>
      </c>
      <c r="F4316" s="50" t="s">
        <v>206</v>
      </c>
      <c r="G4316" s="50">
        <v>1</v>
      </c>
      <c r="H4316" s="50" t="s">
        <v>2</v>
      </c>
      <c r="I4316" s="50" t="s">
        <v>287</v>
      </c>
      <c r="J4316" s="51">
        <v>45967</v>
      </c>
      <c r="K4316" s="50" t="s">
        <v>3</v>
      </c>
      <c r="L4316" s="50" t="s">
        <v>80</v>
      </c>
    </row>
    <row r="4317" spans="2:12">
      <c r="B4317" s="50" t="s">
        <v>345</v>
      </c>
      <c r="C4317" s="50" t="s">
        <v>62</v>
      </c>
      <c r="D4317" s="50" t="s">
        <v>27</v>
      </c>
      <c r="E4317" s="50">
        <v>50043917</v>
      </c>
      <c r="F4317" s="50" t="s">
        <v>262</v>
      </c>
      <c r="G4317" s="50">
        <v>1</v>
      </c>
      <c r="H4317" s="50" t="s">
        <v>2</v>
      </c>
      <c r="I4317" s="50" t="s">
        <v>292</v>
      </c>
      <c r="J4317" s="51">
        <v>45967</v>
      </c>
      <c r="K4317" s="50" t="s">
        <v>1</v>
      </c>
      <c r="L4317" s="50" t="s">
        <v>80</v>
      </c>
    </row>
    <row r="4318" spans="2:12">
      <c r="B4318" s="50" t="s">
        <v>345</v>
      </c>
      <c r="C4318" s="50" t="s">
        <v>62</v>
      </c>
      <c r="D4318" s="50" t="s">
        <v>27</v>
      </c>
      <c r="E4318" s="50">
        <v>50043917</v>
      </c>
      <c r="F4318" s="50" t="s">
        <v>262</v>
      </c>
      <c r="G4318" s="50">
        <v>1</v>
      </c>
      <c r="H4318" s="50" t="s">
        <v>2</v>
      </c>
      <c r="I4318" s="50" t="s">
        <v>288</v>
      </c>
      <c r="J4318" s="51">
        <v>45967</v>
      </c>
      <c r="K4318" s="50" t="s">
        <v>1</v>
      </c>
      <c r="L4318" s="50" t="s">
        <v>80</v>
      </c>
    </row>
    <row r="4319" spans="2:12">
      <c r="B4319" s="50" t="s">
        <v>406</v>
      </c>
      <c r="C4319" s="50" t="s">
        <v>26</v>
      </c>
      <c r="D4319" s="50" t="s">
        <v>39</v>
      </c>
      <c r="E4319" s="50">
        <v>50032775</v>
      </c>
      <c r="F4319" s="50" t="s">
        <v>307</v>
      </c>
      <c r="G4319" s="50">
        <v>1</v>
      </c>
      <c r="H4319" s="50" t="s">
        <v>2</v>
      </c>
      <c r="I4319" s="50" t="s">
        <v>292</v>
      </c>
      <c r="J4319" s="51">
        <v>45967</v>
      </c>
      <c r="K4319" s="50" t="s">
        <v>3</v>
      </c>
      <c r="L4319" s="50" t="s">
        <v>80</v>
      </c>
    </row>
    <row r="4320" spans="2:12">
      <c r="B4320" s="50" t="s">
        <v>406</v>
      </c>
      <c r="C4320" s="50" t="s">
        <v>26</v>
      </c>
      <c r="D4320" s="50" t="s">
        <v>39</v>
      </c>
      <c r="E4320" s="50">
        <v>50032775</v>
      </c>
      <c r="F4320" s="50" t="s">
        <v>307</v>
      </c>
      <c r="G4320" s="50">
        <v>1</v>
      </c>
      <c r="H4320" s="50" t="s">
        <v>2</v>
      </c>
      <c r="I4320" s="50" t="s">
        <v>288</v>
      </c>
      <c r="J4320" s="51">
        <v>45967</v>
      </c>
      <c r="K4320" s="50" t="s">
        <v>1</v>
      </c>
      <c r="L4320" s="50" t="s">
        <v>80</v>
      </c>
    </row>
    <row r="4321" spans="2:12">
      <c r="B4321" s="50" t="s">
        <v>277</v>
      </c>
      <c r="C4321" s="50" t="s">
        <v>62</v>
      </c>
      <c r="D4321" s="50" t="s">
        <v>27</v>
      </c>
      <c r="E4321" s="50">
        <v>50038840</v>
      </c>
      <c r="F4321" s="50" t="s">
        <v>235</v>
      </c>
      <c r="G4321" s="50">
        <v>1</v>
      </c>
      <c r="H4321" s="50" t="s">
        <v>2</v>
      </c>
      <c r="I4321" s="50" t="s">
        <v>288</v>
      </c>
      <c r="J4321" s="51">
        <v>45967</v>
      </c>
      <c r="K4321" s="50" t="s">
        <v>3</v>
      </c>
      <c r="L4321" s="50" t="s">
        <v>80</v>
      </c>
    </row>
    <row r="4322" spans="2:12">
      <c r="B4322" s="50" t="s">
        <v>277</v>
      </c>
      <c r="C4322" s="50" t="s">
        <v>62</v>
      </c>
      <c r="D4322" s="50" t="s">
        <v>27</v>
      </c>
      <c r="E4322" s="50">
        <v>50038840</v>
      </c>
      <c r="F4322" s="50" t="s">
        <v>235</v>
      </c>
      <c r="G4322" s="50">
        <v>1</v>
      </c>
      <c r="H4322" s="50" t="s">
        <v>2</v>
      </c>
      <c r="I4322" s="50" t="s">
        <v>288</v>
      </c>
      <c r="J4322" s="51">
        <v>45967</v>
      </c>
      <c r="K4322" s="50" t="s">
        <v>1</v>
      </c>
      <c r="L4322" s="50" t="s">
        <v>80</v>
      </c>
    </row>
    <row r="4323" spans="2:12">
      <c r="B4323" s="50" t="s">
        <v>409</v>
      </c>
      <c r="C4323" s="50" t="s">
        <v>51</v>
      </c>
      <c r="D4323" s="50" t="s">
        <v>27</v>
      </c>
      <c r="E4323" s="50">
        <v>50038194</v>
      </c>
      <c r="F4323" s="50" t="s">
        <v>238</v>
      </c>
      <c r="G4323" s="50">
        <v>1</v>
      </c>
      <c r="H4323" s="50" t="s">
        <v>2</v>
      </c>
      <c r="I4323" s="50" t="s">
        <v>292</v>
      </c>
      <c r="J4323" s="51">
        <v>45967</v>
      </c>
      <c r="K4323" s="50" t="s">
        <v>3</v>
      </c>
      <c r="L4323" s="50" t="s">
        <v>80</v>
      </c>
    </row>
    <row r="4324" spans="2:12">
      <c r="B4324" s="50" t="s">
        <v>409</v>
      </c>
      <c r="C4324" s="50" t="s">
        <v>51</v>
      </c>
      <c r="D4324" s="50" t="s">
        <v>27</v>
      </c>
      <c r="E4324" s="50">
        <v>50038194</v>
      </c>
      <c r="F4324" s="50" t="s">
        <v>238</v>
      </c>
      <c r="G4324" s="50">
        <v>1</v>
      </c>
      <c r="H4324" s="50" t="s">
        <v>2</v>
      </c>
      <c r="I4324" s="50" t="s">
        <v>292</v>
      </c>
      <c r="J4324" s="51">
        <v>45967</v>
      </c>
      <c r="K4324" s="50" t="s">
        <v>1</v>
      </c>
      <c r="L4324" s="50" t="s">
        <v>80</v>
      </c>
    </row>
    <row r="4325" spans="2:12">
      <c r="B4325" s="50" t="s">
        <v>409</v>
      </c>
      <c r="C4325" s="50" t="s">
        <v>51</v>
      </c>
      <c r="D4325" s="50" t="s">
        <v>27</v>
      </c>
      <c r="E4325" s="50">
        <v>50028220</v>
      </c>
      <c r="F4325" s="50" t="s">
        <v>242</v>
      </c>
      <c r="G4325" s="50">
        <v>1</v>
      </c>
      <c r="H4325" s="50" t="s">
        <v>2</v>
      </c>
      <c r="I4325" s="50" t="s">
        <v>292</v>
      </c>
      <c r="J4325" s="51">
        <v>45967</v>
      </c>
      <c r="K4325" s="50" t="s">
        <v>3</v>
      </c>
      <c r="L4325" s="50" t="s">
        <v>80</v>
      </c>
    </row>
    <row r="4326" spans="2:12">
      <c r="B4326" s="50" t="s">
        <v>409</v>
      </c>
      <c r="C4326" s="50" t="s">
        <v>51</v>
      </c>
      <c r="D4326" s="50" t="s">
        <v>27</v>
      </c>
      <c r="E4326" s="50">
        <v>50028220</v>
      </c>
      <c r="F4326" s="50" t="s">
        <v>242</v>
      </c>
      <c r="G4326" s="50">
        <v>1</v>
      </c>
      <c r="H4326" s="50" t="s">
        <v>2</v>
      </c>
      <c r="I4326" s="50" t="s">
        <v>292</v>
      </c>
      <c r="J4326" s="51">
        <v>45967</v>
      </c>
      <c r="K4326" s="50" t="s">
        <v>1</v>
      </c>
      <c r="L4326" s="50" t="s">
        <v>80</v>
      </c>
    </row>
    <row r="4327" spans="2:12">
      <c r="B4327" s="50" t="s">
        <v>277</v>
      </c>
      <c r="C4327" s="50" t="s">
        <v>62</v>
      </c>
      <c r="D4327" s="50" t="s">
        <v>27</v>
      </c>
      <c r="E4327" s="50">
        <v>50041095</v>
      </c>
      <c r="F4327" s="50" t="s">
        <v>248</v>
      </c>
      <c r="G4327" s="50">
        <v>1</v>
      </c>
      <c r="H4327" s="50" t="s">
        <v>2</v>
      </c>
      <c r="I4327" s="50" t="s">
        <v>292</v>
      </c>
      <c r="J4327" s="51">
        <v>45967</v>
      </c>
      <c r="K4327" s="50" t="s">
        <v>3</v>
      </c>
      <c r="L4327" s="50" t="s">
        <v>80</v>
      </c>
    </row>
    <row r="4328" spans="2:12">
      <c r="B4328" s="50" t="s">
        <v>277</v>
      </c>
      <c r="C4328" s="50" t="s">
        <v>62</v>
      </c>
      <c r="D4328" s="50" t="s">
        <v>27</v>
      </c>
      <c r="E4328" s="50">
        <v>50041095</v>
      </c>
      <c r="F4328" s="50" t="s">
        <v>248</v>
      </c>
      <c r="G4328" s="50">
        <v>1</v>
      </c>
      <c r="H4328" s="50" t="s">
        <v>2</v>
      </c>
      <c r="I4328" s="50" t="s">
        <v>287</v>
      </c>
      <c r="J4328" s="51">
        <v>45967</v>
      </c>
      <c r="K4328" s="50" t="s">
        <v>1</v>
      </c>
      <c r="L4328" s="50" t="s">
        <v>80</v>
      </c>
    </row>
    <row r="4329" spans="2:12">
      <c r="B4329" s="50" t="s">
        <v>481</v>
      </c>
      <c r="C4329" s="50" t="s">
        <v>56</v>
      </c>
      <c r="D4329" s="50" t="s">
        <v>27</v>
      </c>
      <c r="E4329" s="50">
        <v>50036298</v>
      </c>
      <c r="F4329" s="50" t="s">
        <v>102</v>
      </c>
      <c r="G4329" s="50">
        <v>1</v>
      </c>
      <c r="H4329" s="50" t="s">
        <v>2</v>
      </c>
      <c r="I4329" s="50" t="s">
        <v>293</v>
      </c>
      <c r="J4329" s="51">
        <v>45966</v>
      </c>
      <c r="K4329" s="50" t="s">
        <v>3</v>
      </c>
      <c r="L4329" s="50" t="s">
        <v>80</v>
      </c>
    </row>
    <row r="4330" spans="2:12">
      <c r="B4330" s="50" t="s">
        <v>481</v>
      </c>
      <c r="C4330" s="50" t="s">
        <v>56</v>
      </c>
      <c r="D4330" s="50" t="s">
        <v>27</v>
      </c>
      <c r="E4330" s="50">
        <v>50036298</v>
      </c>
      <c r="F4330" s="50" t="s">
        <v>102</v>
      </c>
      <c r="G4330" s="50">
        <v>1</v>
      </c>
      <c r="H4330" s="50" t="s">
        <v>2</v>
      </c>
      <c r="I4330" s="50" t="s">
        <v>293</v>
      </c>
      <c r="J4330" s="51">
        <v>45966</v>
      </c>
      <c r="K4330" s="50" t="s">
        <v>1</v>
      </c>
      <c r="L4330" s="50" t="s">
        <v>80</v>
      </c>
    </row>
    <row r="4331" spans="2:12">
      <c r="B4331" s="50" t="s">
        <v>402</v>
      </c>
      <c r="C4331" s="50" t="s">
        <v>26</v>
      </c>
      <c r="D4331" s="50" t="s">
        <v>36</v>
      </c>
      <c r="E4331" s="50">
        <v>50036255</v>
      </c>
      <c r="F4331" s="50" t="s">
        <v>120</v>
      </c>
      <c r="G4331" s="50">
        <v>1</v>
      </c>
      <c r="H4331" s="50" t="s">
        <v>2</v>
      </c>
      <c r="I4331" s="50" t="s">
        <v>288</v>
      </c>
      <c r="J4331" s="51">
        <v>45966</v>
      </c>
      <c r="K4331" s="50" t="s">
        <v>3</v>
      </c>
      <c r="L4331" s="50" t="s">
        <v>80</v>
      </c>
    </row>
    <row r="4332" spans="2:12">
      <c r="B4332" s="50" t="s">
        <v>402</v>
      </c>
      <c r="C4332" s="50" t="s">
        <v>26</v>
      </c>
      <c r="D4332" s="50" t="s">
        <v>36</v>
      </c>
      <c r="E4332" s="50">
        <v>50036255</v>
      </c>
      <c r="F4332" s="50" t="s">
        <v>120</v>
      </c>
      <c r="G4332" s="50">
        <v>1</v>
      </c>
      <c r="H4332" s="50" t="s">
        <v>2</v>
      </c>
      <c r="I4332" s="50" t="s">
        <v>288</v>
      </c>
      <c r="J4332" s="51">
        <v>45966</v>
      </c>
      <c r="K4332" s="50" t="s">
        <v>1</v>
      </c>
      <c r="L4332" s="50" t="s">
        <v>80</v>
      </c>
    </row>
    <row r="4333" spans="2:12">
      <c r="B4333" s="50" t="s">
        <v>422</v>
      </c>
      <c r="C4333" s="50" t="s">
        <v>26</v>
      </c>
      <c r="D4333" s="50" t="s">
        <v>27</v>
      </c>
      <c r="E4333" s="50">
        <v>50003173</v>
      </c>
      <c r="F4333" s="50" t="s">
        <v>74</v>
      </c>
      <c r="G4333" s="50">
        <v>2</v>
      </c>
      <c r="H4333" s="50" t="s">
        <v>2</v>
      </c>
      <c r="I4333" s="50" t="s">
        <v>288</v>
      </c>
      <c r="J4333" s="51">
        <v>45966</v>
      </c>
      <c r="K4333" s="50" t="s">
        <v>3</v>
      </c>
      <c r="L4333" s="50" t="s">
        <v>80</v>
      </c>
    </row>
    <row r="4334" spans="2:12">
      <c r="B4334" s="50" t="s">
        <v>422</v>
      </c>
      <c r="C4334" s="50" t="s">
        <v>26</v>
      </c>
      <c r="D4334" s="50" t="s">
        <v>27</v>
      </c>
      <c r="E4334" s="50">
        <v>50003173</v>
      </c>
      <c r="F4334" s="50" t="s">
        <v>74</v>
      </c>
      <c r="G4334" s="50">
        <v>1</v>
      </c>
      <c r="H4334" s="50" t="s">
        <v>2</v>
      </c>
      <c r="I4334" s="50" t="s">
        <v>288</v>
      </c>
      <c r="J4334" s="51">
        <v>45966</v>
      </c>
      <c r="K4334" s="50" t="s">
        <v>1</v>
      </c>
      <c r="L4334" s="50" t="s">
        <v>80</v>
      </c>
    </row>
    <row r="4335" spans="2:12">
      <c r="B4335" s="50" t="s">
        <v>411</v>
      </c>
      <c r="C4335" s="50" t="s">
        <v>26</v>
      </c>
      <c r="D4335" s="50" t="s">
        <v>27</v>
      </c>
      <c r="E4335" s="50">
        <v>50003173</v>
      </c>
      <c r="F4335" s="50" t="s">
        <v>74</v>
      </c>
      <c r="G4335" s="50">
        <v>2</v>
      </c>
      <c r="H4335" s="50" t="s">
        <v>2</v>
      </c>
      <c r="I4335" s="50" t="s">
        <v>288</v>
      </c>
      <c r="J4335" s="51">
        <v>45966</v>
      </c>
      <c r="K4335" s="50" t="s">
        <v>1</v>
      </c>
      <c r="L4335" s="50" t="s">
        <v>80</v>
      </c>
    </row>
    <row r="4336" spans="2:12">
      <c r="B4336" s="50" t="s">
        <v>437</v>
      </c>
      <c r="C4336" s="50" t="s">
        <v>51</v>
      </c>
      <c r="D4336" s="50" t="s">
        <v>41</v>
      </c>
      <c r="E4336" s="50">
        <v>50041939</v>
      </c>
      <c r="F4336" s="50" t="s">
        <v>134</v>
      </c>
      <c r="G4336" s="50">
        <v>1</v>
      </c>
      <c r="H4336" s="50" t="s">
        <v>2</v>
      </c>
      <c r="I4336" s="50" t="s">
        <v>287</v>
      </c>
      <c r="J4336" s="51">
        <v>45966</v>
      </c>
      <c r="K4336" s="50" t="s">
        <v>3</v>
      </c>
      <c r="L4336" s="50" t="s">
        <v>80</v>
      </c>
    </row>
    <row r="4337" spans="2:12">
      <c r="B4337" s="50" t="s">
        <v>437</v>
      </c>
      <c r="C4337" s="50" t="s">
        <v>51</v>
      </c>
      <c r="D4337" s="50" t="s">
        <v>41</v>
      </c>
      <c r="E4337" s="50">
        <v>50041939</v>
      </c>
      <c r="F4337" s="50" t="s">
        <v>134</v>
      </c>
      <c r="G4337" s="50">
        <v>1</v>
      </c>
      <c r="H4337" s="50" t="s">
        <v>2</v>
      </c>
      <c r="I4337" s="50" t="s">
        <v>288</v>
      </c>
      <c r="J4337" s="51">
        <v>45966</v>
      </c>
      <c r="K4337" s="50" t="s">
        <v>1</v>
      </c>
      <c r="L4337" s="50" t="s">
        <v>80</v>
      </c>
    </row>
    <row r="4338" spans="2:12">
      <c r="B4338" s="50" t="s">
        <v>465</v>
      </c>
      <c r="C4338" s="50" t="s">
        <v>26</v>
      </c>
      <c r="D4338" s="50" t="s">
        <v>27</v>
      </c>
      <c r="E4338" s="50">
        <v>50039718</v>
      </c>
      <c r="F4338" s="50" t="s">
        <v>149</v>
      </c>
      <c r="G4338" s="50">
        <v>1</v>
      </c>
      <c r="H4338" s="50" t="s">
        <v>2</v>
      </c>
      <c r="I4338" s="50" t="s">
        <v>290</v>
      </c>
      <c r="J4338" s="51">
        <v>45966</v>
      </c>
      <c r="K4338" s="50" t="s">
        <v>3</v>
      </c>
      <c r="L4338" s="50" t="s">
        <v>80</v>
      </c>
    </row>
    <row r="4339" spans="2:12">
      <c r="B4339" s="50" t="s">
        <v>465</v>
      </c>
      <c r="C4339" s="50" t="s">
        <v>26</v>
      </c>
      <c r="D4339" s="50" t="s">
        <v>27</v>
      </c>
      <c r="E4339" s="50">
        <v>50039718</v>
      </c>
      <c r="F4339" s="50" t="s">
        <v>149</v>
      </c>
      <c r="G4339" s="50">
        <v>1</v>
      </c>
      <c r="H4339" s="50" t="s">
        <v>2</v>
      </c>
      <c r="I4339" s="50" t="s">
        <v>288</v>
      </c>
      <c r="J4339" s="51">
        <v>45966</v>
      </c>
      <c r="K4339" s="50" t="s">
        <v>1</v>
      </c>
      <c r="L4339" s="50" t="s">
        <v>80</v>
      </c>
    </row>
    <row r="4340" spans="2:12">
      <c r="B4340" s="50" t="s">
        <v>458</v>
      </c>
      <c r="C4340" s="50" t="s">
        <v>26</v>
      </c>
      <c r="D4340" s="50" t="s">
        <v>27</v>
      </c>
      <c r="E4340" s="50">
        <v>50037905</v>
      </c>
      <c r="F4340" s="50" t="s">
        <v>150</v>
      </c>
      <c r="G4340" s="50">
        <v>1</v>
      </c>
      <c r="H4340" s="50" t="s">
        <v>2</v>
      </c>
      <c r="I4340" s="50" t="s">
        <v>290</v>
      </c>
      <c r="J4340" s="51">
        <v>45966</v>
      </c>
      <c r="K4340" s="50" t="s">
        <v>3</v>
      </c>
      <c r="L4340" s="50" t="s">
        <v>80</v>
      </c>
    </row>
    <row r="4341" spans="2:12">
      <c r="B4341" s="50" t="s">
        <v>458</v>
      </c>
      <c r="C4341" s="50" t="s">
        <v>26</v>
      </c>
      <c r="D4341" s="50" t="s">
        <v>27</v>
      </c>
      <c r="E4341" s="50">
        <v>50037905</v>
      </c>
      <c r="F4341" s="50" t="s">
        <v>150</v>
      </c>
      <c r="G4341" s="50">
        <v>1</v>
      </c>
      <c r="H4341" s="50" t="s">
        <v>2</v>
      </c>
      <c r="I4341" s="50" t="s">
        <v>293</v>
      </c>
      <c r="J4341" s="51">
        <v>45966</v>
      </c>
      <c r="K4341" s="50" t="s">
        <v>1</v>
      </c>
      <c r="L4341" s="50" t="s">
        <v>80</v>
      </c>
    </row>
    <row r="4342" spans="2:12">
      <c r="B4342" s="50" t="s">
        <v>474</v>
      </c>
      <c r="C4342" s="50" t="s">
        <v>51</v>
      </c>
      <c r="D4342" s="50" t="s">
        <v>27</v>
      </c>
      <c r="E4342" s="50">
        <v>50030486</v>
      </c>
      <c r="F4342" s="50" t="s">
        <v>153</v>
      </c>
      <c r="G4342" s="50">
        <v>1</v>
      </c>
      <c r="H4342" s="50" t="s">
        <v>2</v>
      </c>
      <c r="I4342" s="50" t="s">
        <v>293</v>
      </c>
      <c r="J4342" s="51">
        <v>45966</v>
      </c>
      <c r="K4342" s="50" t="s">
        <v>3</v>
      </c>
      <c r="L4342" s="50" t="s">
        <v>80</v>
      </c>
    </row>
    <row r="4343" spans="2:12">
      <c r="B4343" s="50" t="s">
        <v>474</v>
      </c>
      <c r="C4343" s="50" t="s">
        <v>51</v>
      </c>
      <c r="D4343" s="50" t="s">
        <v>27</v>
      </c>
      <c r="E4343" s="50">
        <v>50030486</v>
      </c>
      <c r="F4343" s="50" t="s">
        <v>153</v>
      </c>
      <c r="G4343" s="50">
        <v>1</v>
      </c>
      <c r="H4343" s="50" t="s">
        <v>2</v>
      </c>
      <c r="I4343" s="50" t="s">
        <v>287</v>
      </c>
      <c r="J4343" s="51">
        <v>45966</v>
      </c>
      <c r="K4343" s="50" t="s">
        <v>1</v>
      </c>
      <c r="L4343" s="50" t="s">
        <v>80</v>
      </c>
    </row>
    <row r="4344" spans="2:12">
      <c r="B4344" s="50" t="s">
        <v>316</v>
      </c>
      <c r="C4344" s="50" t="s">
        <v>51</v>
      </c>
      <c r="D4344" s="50" t="s">
        <v>27</v>
      </c>
      <c r="E4344" s="50">
        <v>50030486</v>
      </c>
      <c r="F4344" s="50" t="s">
        <v>153</v>
      </c>
      <c r="G4344" s="50">
        <v>1</v>
      </c>
      <c r="H4344" s="50" t="s">
        <v>2</v>
      </c>
      <c r="I4344" s="50" t="s">
        <v>287</v>
      </c>
      <c r="J4344" s="51">
        <v>45966</v>
      </c>
      <c r="K4344" s="50" t="s">
        <v>3</v>
      </c>
      <c r="L4344" s="50" t="s">
        <v>80</v>
      </c>
    </row>
    <row r="4345" spans="2:12">
      <c r="B4345" s="50" t="s">
        <v>316</v>
      </c>
      <c r="C4345" s="50" t="s">
        <v>51</v>
      </c>
      <c r="D4345" s="50" t="s">
        <v>27</v>
      </c>
      <c r="E4345" s="50">
        <v>50030486</v>
      </c>
      <c r="F4345" s="50" t="s">
        <v>153</v>
      </c>
      <c r="G4345" s="50">
        <v>1</v>
      </c>
      <c r="H4345" s="50" t="s">
        <v>2</v>
      </c>
      <c r="I4345" s="50" t="s">
        <v>288</v>
      </c>
      <c r="J4345" s="51">
        <v>45966</v>
      </c>
      <c r="K4345" s="50" t="s">
        <v>1</v>
      </c>
      <c r="L4345" s="50" t="s">
        <v>80</v>
      </c>
    </row>
    <row r="4346" spans="2:12">
      <c r="B4346" s="50" t="s">
        <v>316</v>
      </c>
      <c r="C4346" s="50" t="s">
        <v>51</v>
      </c>
      <c r="D4346" s="50" t="s">
        <v>27</v>
      </c>
      <c r="E4346" s="50">
        <v>50039236</v>
      </c>
      <c r="F4346" s="50" t="s">
        <v>154</v>
      </c>
      <c r="G4346" s="50">
        <v>1</v>
      </c>
      <c r="H4346" s="50" t="s">
        <v>2</v>
      </c>
      <c r="I4346" s="50" t="s">
        <v>293</v>
      </c>
      <c r="J4346" s="51">
        <v>45966</v>
      </c>
      <c r="K4346" s="50" t="s">
        <v>3</v>
      </c>
      <c r="L4346" s="50" t="s">
        <v>80</v>
      </c>
    </row>
    <row r="4347" spans="2:12">
      <c r="B4347" s="50" t="s">
        <v>316</v>
      </c>
      <c r="C4347" s="50" t="s">
        <v>51</v>
      </c>
      <c r="D4347" s="50" t="s">
        <v>27</v>
      </c>
      <c r="E4347" s="50">
        <v>50039236</v>
      </c>
      <c r="F4347" s="50" t="s">
        <v>154</v>
      </c>
      <c r="G4347" s="50">
        <v>1</v>
      </c>
      <c r="H4347" s="50" t="s">
        <v>2</v>
      </c>
      <c r="I4347" s="50" t="s">
        <v>293</v>
      </c>
      <c r="J4347" s="51">
        <v>45966</v>
      </c>
      <c r="K4347" s="50" t="s">
        <v>1</v>
      </c>
      <c r="L4347" s="50" t="s">
        <v>80</v>
      </c>
    </row>
    <row r="4348" spans="2:12">
      <c r="B4348" s="50" t="s">
        <v>394</v>
      </c>
      <c r="C4348" s="50" t="s">
        <v>51</v>
      </c>
      <c r="D4348" s="50" t="s">
        <v>27</v>
      </c>
      <c r="E4348" s="50">
        <v>50039236</v>
      </c>
      <c r="F4348" s="50" t="s">
        <v>154</v>
      </c>
      <c r="G4348" s="50">
        <v>1</v>
      </c>
      <c r="H4348" s="50" t="s">
        <v>2</v>
      </c>
      <c r="I4348" s="50" t="s">
        <v>293</v>
      </c>
      <c r="J4348" s="51">
        <v>45966</v>
      </c>
      <c r="K4348" s="50" t="s">
        <v>3</v>
      </c>
      <c r="L4348" s="50" t="s">
        <v>80</v>
      </c>
    </row>
    <row r="4349" spans="2:12">
      <c r="B4349" s="50" t="s">
        <v>394</v>
      </c>
      <c r="C4349" s="50" t="s">
        <v>51</v>
      </c>
      <c r="D4349" s="50" t="s">
        <v>27</v>
      </c>
      <c r="E4349" s="50">
        <v>50039236</v>
      </c>
      <c r="F4349" s="50" t="s">
        <v>154</v>
      </c>
      <c r="G4349" s="50">
        <v>1</v>
      </c>
      <c r="H4349" s="50" t="s">
        <v>2</v>
      </c>
      <c r="I4349" s="50" t="s">
        <v>288</v>
      </c>
      <c r="J4349" s="51">
        <v>45966</v>
      </c>
      <c r="K4349" s="50" t="s">
        <v>1</v>
      </c>
      <c r="L4349" s="50" t="s">
        <v>80</v>
      </c>
    </row>
    <row r="4350" spans="2:12">
      <c r="B4350" s="50" t="s">
        <v>447</v>
      </c>
      <c r="C4350" s="50" t="s">
        <v>56</v>
      </c>
      <c r="D4350" s="50" t="s">
        <v>41</v>
      </c>
      <c r="E4350" s="50">
        <v>50043471</v>
      </c>
      <c r="F4350" s="50" t="s">
        <v>257</v>
      </c>
      <c r="G4350" s="50">
        <v>1</v>
      </c>
      <c r="H4350" s="50" t="s">
        <v>2</v>
      </c>
      <c r="I4350" s="50" t="s">
        <v>288</v>
      </c>
      <c r="J4350" s="51">
        <v>45966</v>
      </c>
      <c r="K4350" s="50" t="s">
        <v>3</v>
      </c>
      <c r="L4350" s="50" t="s">
        <v>80</v>
      </c>
    </row>
    <row r="4351" spans="2:12">
      <c r="B4351" s="50" t="s">
        <v>447</v>
      </c>
      <c r="C4351" s="50" t="s">
        <v>56</v>
      </c>
      <c r="D4351" s="50" t="s">
        <v>41</v>
      </c>
      <c r="E4351" s="50">
        <v>50043471</v>
      </c>
      <c r="F4351" s="50" t="s">
        <v>257</v>
      </c>
      <c r="G4351" s="50">
        <v>1</v>
      </c>
      <c r="H4351" s="50" t="s">
        <v>2</v>
      </c>
      <c r="I4351" s="50" t="s">
        <v>288</v>
      </c>
      <c r="J4351" s="51">
        <v>45966</v>
      </c>
      <c r="K4351" s="50" t="s">
        <v>1</v>
      </c>
      <c r="L4351" s="50" t="s">
        <v>80</v>
      </c>
    </row>
    <row r="4352" spans="2:12">
      <c r="B4352" s="50" t="s">
        <v>444</v>
      </c>
      <c r="C4352" s="50" t="s">
        <v>51</v>
      </c>
      <c r="D4352" s="50" t="s">
        <v>27</v>
      </c>
      <c r="E4352" s="50">
        <v>50003297</v>
      </c>
      <c r="F4352" s="50" t="s">
        <v>158</v>
      </c>
      <c r="G4352" s="50">
        <v>1</v>
      </c>
      <c r="H4352" s="50" t="s">
        <v>2</v>
      </c>
      <c r="I4352" s="50" t="s">
        <v>292</v>
      </c>
      <c r="J4352" s="51">
        <v>45966</v>
      </c>
      <c r="K4352" s="50" t="s">
        <v>3</v>
      </c>
      <c r="L4352" s="50" t="s">
        <v>80</v>
      </c>
    </row>
    <row r="4353" spans="2:12">
      <c r="B4353" s="50" t="s">
        <v>444</v>
      </c>
      <c r="C4353" s="50" t="s">
        <v>51</v>
      </c>
      <c r="D4353" s="50" t="s">
        <v>27</v>
      </c>
      <c r="E4353" s="50">
        <v>50003297</v>
      </c>
      <c r="F4353" s="50" t="s">
        <v>158</v>
      </c>
      <c r="G4353" s="50">
        <v>1</v>
      </c>
      <c r="H4353" s="50" t="s">
        <v>2</v>
      </c>
      <c r="I4353" s="50" t="s">
        <v>288</v>
      </c>
      <c r="J4353" s="51">
        <v>45966</v>
      </c>
      <c r="K4353" s="50" t="s">
        <v>1</v>
      </c>
      <c r="L4353" s="50" t="s">
        <v>341</v>
      </c>
    </row>
    <row r="4354" spans="2:12">
      <c r="B4354" s="50" t="s">
        <v>345</v>
      </c>
      <c r="C4354" s="50" t="s">
        <v>56</v>
      </c>
      <c r="D4354" s="50" t="s">
        <v>27</v>
      </c>
      <c r="E4354" s="50">
        <v>50044839</v>
      </c>
      <c r="F4354" s="50" t="s">
        <v>301</v>
      </c>
      <c r="G4354" s="50">
        <v>1</v>
      </c>
      <c r="H4354" s="50" t="s">
        <v>2</v>
      </c>
      <c r="I4354" s="50" t="s">
        <v>287</v>
      </c>
      <c r="J4354" s="51">
        <v>45966</v>
      </c>
      <c r="K4354" s="50" t="s">
        <v>3</v>
      </c>
      <c r="L4354" s="50" t="s">
        <v>80</v>
      </c>
    </row>
    <row r="4355" spans="2:12">
      <c r="B4355" s="50" t="s">
        <v>345</v>
      </c>
      <c r="C4355" s="50" t="s">
        <v>56</v>
      </c>
      <c r="D4355" s="50" t="s">
        <v>27</v>
      </c>
      <c r="E4355" s="50">
        <v>50044839</v>
      </c>
      <c r="F4355" s="50" t="s">
        <v>301</v>
      </c>
      <c r="G4355" s="50">
        <v>1</v>
      </c>
      <c r="H4355" s="50" t="s">
        <v>2</v>
      </c>
      <c r="I4355" s="50" t="s">
        <v>288</v>
      </c>
      <c r="J4355" s="51">
        <v>45966</v>
      </c>
      <c r="K4355" s="50" t="s">
        <v>1</v>
      </c>
      <c r="L4355" s="50" t="s">
        <v>80</v>
      </c>
    </row>
    <row r="4356" spans="2:12">
      <c r="B4356" s="50" t="s">
        <v>402</v>
      </c>
      <c r="C4356" s="50" t="s">
        <v>26</v>
      </c>
      <c r="D4356" s="50" t="s">
        <v>36</v>
      </c>
      <c r="E4356" s="50">
        <v>50038549</v>
      </c>
      <c r="F4356" s="50" t="s">
        <v>173</v>
      </c>
      <c r="G4356" s="50">
        <v>1</v>
      </c>
      <c r="H4356" s="50" t="s">
        <v>2</v>
      </c>
      <c r="I4356" s="50" t="s">
        <v>288</v>
      </c>
      <c r="J4356" s="51">
        <v>45966</v>
      </c>
      <c r="K4356" s="50" t="s">
        <v>3</v>
      </c>
      <c r="L4356" s="50" t="s">
        <v>341</v>
      </c>
    </row>
    <row r="4357" spans="2:12">
      <c r="B4357" s="50" t="s">
        <v>402</v>
      </c>
      <c r="C4357" s="50" t="s">
        <v>26</v>
      </c>
      <c r="D4357" s="50" t="s">
        <v>36</v>
      </c>
      <c r="E4357" s="50">
        <v>50038549</v>
      </c>
      <c r="F4357" s="50" t="s">
        <v>173</v>
      </c>
      <c r="G4357" s="50">
        <v>1</v>
      </c>
      <c r="H4357" s="50" t="s">
        <v>2</v>
      </c>
      <c r="I4357" s="50" t="s">
        <v>288</v>
      </c>
      <c r="J4357" s="51">
        <v>45966</v>
      </c>
      <c r="K4357" s="50" t="s">
        <v>1</v>
      </c>
      <c r="L4357" s="50" t="s">
        <v>80</v>
      </c>
    </row>
    <row r="4358" spans="2:12">
      <c r="B4358" s="50" t="s">
        <v>446</v>
      </c>
      <c r="C4358" s="50" t="s">
        <v>56</v>
      </c>
      <c r="D4358" s="50" t="s">
        <v>27</v>
      </c>
      <c r="E4358" s="50">
        <v>50022878</v>
      </c>
      <c r="F4358" s="50" t="s">
        <v>296</v>
      </c>
      <c r="G4358" s="50">
        <v>1</v>
      </c>
      <c r="H4358" s="50" t="s">
        <v>2</v>
      </c>
      <c r="I4358" s="50" t="s">
        <v>288</v>
      </c>
      <c r="J4358" s="51">
        <v>45966</v>
      </c>
      <c r="K4358" s="50" t="s">
        <v>3</v>
      </c>
      <c r="L4358" s="50" t="s">
        <v>80</v>
      </c>
    </row>
    <row r="4359" spans="2:12">
      <c r="B4359" s="50" t="s">
        <v>446</v>
      </c>
      <c r="C4359" s="50" t="s">
        <v>56</v>
      </c>
      <c r="D4359" s="50" t="s">
        <v>27</v>
      </c>
      <c r="E4359" s="50">
        <v>50022878</v>
      </c>
      <c r="F4359" s="50" t="s">
        <v>296</v>
      </c>
      <c r="G4359" s="50">
        <v>1</v>
      </c>
      <c r="H4359" s="50" t="s">
        <v>2</v>
      </c>
      <c r="I4359" s="50" t="s">
        <v>288</v>
      </c>
      <c r="J4359" s="51">
        <v>45966</v>
      </c>
      <c r="K4359" s="50" t="s">
        <v>1</v>
      </c>
      <c r="L4359" s="50" t="s">
        <v>80</v>
      </c>
    </row>
    <row r="4360" spans="2:12">
      <c r="B4360" s="50" t="s">
        <v>446</v>
      </c>
      <c r="C4360" s="50" t="s">
        <v>56</v>
      </c>
      <c r="D4360" s="50" t="s">
        <v>27</v>
      </c>
      <c r="E4360" s="50">
        <v>50038956</v>
      </c>
      <c r="F4360" s="50" t="s">
        <v>177</v>
      </c>
      <c r="G4360" s="50">
        <v>1</v>
      </c>
      <c r="H4360" s="50" t="s">
        <v>2</v>
      </c>
      <c r="I4360" s="50" t="s">
        <v>290</v>
      </c>
      <c r="J4360" s="51">
        <v>45966</v>
      </c>
      <c r="K4360" s="50" t="s">
        <v>3</v>
      </c>
      <c r="L4360" s="50" t="s">
        <v>80</v>
      </c>
    </row>
    <row r="4361" spans="2:12">
      <c r="B4361" s="50" t="s">
        <v>446</v>
      </c>
      <c r="C4361" s="50" t="s">
        <v>56</v>
      </c>
      <c r="D4361" s="50" t="s">
        <v>27</v>
      </c>
      <c r="E4361" s="50">
        <v>50038956</v>
      </c>
      <c r="F4361" s="50" t="s">
        <v>177</v>
      </c>
      <c r="G4361" s="50">
        <v>1</v>
      </c>
      <c r="H4361" s="50" t="s">
        <v>2</v>
      </c>
      <c r="I4361" s="50" t="s">
        <v>293</v>
      </c>
      <c r="J4361" s="51">
        <v>45966</v>
      </c>
      <c r="K4361" s="50" t="s">
        <v>1</v>
      </c>
      <c r="L4361" s="50" t="s">
        <v>80</v>
      </c>
    </row>
    <row r="4362" spans="2:12">
      <c r="B4362" s="50" t="s">
        <v>434</v>
      </c>
      <c r="C4362" s="50" t="s">
        <v>51</v>
      </c>
      <c r="D4362" s="50" t="s">
        <v>39</v>
      </c>
      <c r="E4362" s="50">
        <v>50037892</v>
      </c>
      <c r="F4362" s="50" t="s">
        <v>178</v>
      </c>
      <c r="G4362" s="50">
        <v>1</v>
      </c>
      <c r="H4362" s="50" t="s">
        <v>2</v>
      </c>
      <c r="I4362" s="50" t="s">
        <v>290</v>
      </c>
      <c r="J4362" s="51">
        <v>45966</v>
      </c>
      <c r="K4362" s="50" t="s">
        <v>3</v>
      </c>
      <c r="L4362" s="50" t="s">
        <v>80</v>
      </c>
    </row>
    <row r="4363" spans="2:12">
      <c r="B4363" s="50" t="s">
        <v>345</v>
      </c>
      <c r="C4363" s="50" t="s">
        <v>62</v>
      </c>
      <c r="D4363" s="50" t="s">
        <v>27</v>
      </c>
      <c r="E4363" s="50">
        <v>50037892</v>
      </c>
      <c r="F4363" s="50" t="s">
        <v>178</v>
      </c>
      <c r="G4363" s="50">
        <v>1</v>
      </c>
      <c r="H4363" s="50" t="s">
        <v>2</v>
      </c>
      <c r="I4363" s="50" t="s">
        <v>293</v>
      </c>
      <c r="J4363" s="51">
        <v>45966</v>
      </c>
      <c r="K4363" s="50" t="s">
        <v>1</v>
      </c>
      <c r="L4363" s="50" t="s">
        <v>80</v>
      </c>
    </row>
    <row r="4364" spans="2:12">
      <c r="B4364" s="50" t="s">
        <v>345</v>
      </c>
      <c r="C4364" s="50" t="s">
        <v>62</v>
      </c>
      <c r="D4364" s="50" t="s">
        <v>27</v>
      </c>
      <c r="E4364" s="50">
        <v>50037892</v>
      </c>
      <c r="F4364" s="50" t="s">
        <v>178</v>
      </c>
      <c r="G4364" s="50">
        <v>1</v>
      </c>
      <c r="H4364" s="50" t="s">
        <v>2</v>
      </c>
      <c r="I4364" s="50" t="s">
        <v>288</v>
      </c>
      <c r="J4364" s="51">
        <v>45966</v>
      </c>
      <c r="K4364" s="50" t="s">
        <v>3</v>
      </c>
      <c r="L4364" s="50" t="s">
        <v>80</v>
      </c>
    </row>
    <row r="4365" spans="2:12">
      <c r="B4365" s="50" t="s">
        <v>427</v>
      </c>
      <c r="C4365" s="50" t="s">
        <v>26</v>
      </c>
      <c r="D4365" s="50" t="s">
        <v>27</v>
      </c>
      <c r="E4365" s="50">
        <v>50037902</v>
      </c>
      <c r="F4365" s="50" t="s">
        <v>179</v>
      </c>
      <c r="G4365" s="50">
        <v>1</v>
      </c>
      <c r="H4365" s="50" t="s">
        <v>2</v>
      </c>
      <c r="I4365" s="50" t="s">
        <v>293</v>
      </c>
      <c r="J4365" s="51">
        <v>45966</v>
      </c>
      <c r="K4365" s="50" t="s">
        <v>1</v>
      </c>
      <c r="L4365" s="50" t="s">
        <v>80</v>
      </c>
    </row>
    <row r="4366" spans="2:12">
      <c r="B4366" s="50" t="s">
        <v>427</v>
      </c>
      <c r="C4366" s="50" t="s">
        <v>26</v>
      </c>
      <c r="D4366" s="50" t="s">
        <v>27</v>
      </c>
      <c r="E4366" s="50">
        <v>50037902</v>
      </c>
      <c r="F4366" s="50" t="s">
        <v>179</v>
      </c>
      <c r="G4366" s="50">
        <v>1</v>
      </c>
      <c r="H4366" s="50" t="s">
        <v>2</v>
      </c>
      <c r="I4366" s="50" t="s">
        <v>287</v>
      </c>
      <c r="J4366" s="51">
        <v>45966</v>
      </c>
      <c r="K4366" s="50" t="s">
        <v>3</v>
      </c>
      <c r="L4366" s="50" t="s">
        <v>80</v>
      </c>
    </row>
    <row r="4367" spans="2:12">
      <c r="B4367" s="50" t="s">
        <v>478</v>
      </c>
      <c r="C4367" s="50" t="s">
        <v>51</v>
      </c>
      <c r="D4367" s="50" t="s">
        <v>27</v>
      </c>
      <c r="E4367" s="50">
        <v>50037902</v>
      </c>
      <c r="F4367" s="50" t="s">
        <v>179</v>
      </c>
      <c r="G4367" s="50">
        <v>1</v>
      </c>
      <c r="H4367" s="50" t="s">
        <v>2</v>
      </c>
      <c r="I4367" s="50" t="s">
        <v>288</v>
      </c>
      <c r="J4367" s="51">
        <v>45966</v>
      </c>
      <c r="K4367" s="50" t="s">
        <v>1</v>
      </c>
      <c r="L4367" s="50" t="s">
        <v>81</v>
      </c>
    </row>
    <row r="4368" spans="2:12">
      <c r="B4368" s="50" t="s">
        <v>478</v>
      </c>
      <c r="C4368" s="50" t="s">
        <v>51</v>
      </c>
      <c r="D4368" s="50" t="s">
        <v>27</v>
      </c>
      <c r="E4368" s="50">
        <v>50037902</v>
      </c>
      <c r="F4368" s="50" t="s">
        <v>179</v>
      </c>
      <c r="G4368" s="50">
        <v>1</v>
      </c>
      <c r="H4368" s="50" t="s">
        <v>2</v>
      </c>
      <c r="I4368" s="50" t="s">
        <v>288</v>
      </c>
      <c r="J4368" s="51">
        <v>45966</v>
      </c>
      <c r="K4368" s="50" t="s">
        <v>3</v>
      </c>
      <c r="L4368" s="50" t="s">
        <v>80</v>
      </c>
    </row>
    <row r="4369" spans="2:12">
      <c r="B4369" s="50" t="s">
        <v>481</v>
      </c>
      <c r="C4369" s="50" t="s">
        <v>56</v>
      </c>
      <c r="D4369" s="50" t="s">
        <v>27</v>
      </c>
      <c r="E4369" s="50">
        <v>50038841</v>
      </c>
      <c r="F4369" s="50" t="s">
        <v>180</v>
      </c>
      <c r="G4369" s="50">
        <v>1</v>
      </c>
      <c r="H4369" s="50" t="s">
        <v>2</v>
      </c>
      <c r="I4369" s="50" t="s">
        <v>293</v>
      </c>
      <c r="J4369" s="51">
        <v>45966</v>
      </c>
      <c r="K4369" s="50" t="s">
        <v>1</v>
      </c>
      <c r="L4369" s="50" t="s">
        <v>80</v>
      </c>
    </row>
    <row r="4370" spans="2:12">
      <c r="B4370" s="50" t="s">
        <v>481</v>
      </c>
      <c r="C4370" s="50" t="s">
        <v>56</v>
      </c>
      <c r="D4370" s="50" t="s">
        <v>27</v>
      </c>
      <c r="E4370" s="50">
        <v>50038841</v>
      </c>
      <c r="F4370" s="50" t="s">
        <v>180</v>
      </c>
      <c r="G4370" s="50">
        <v>1</v>
      </c>
      <c r="H4370" s="50" t="s">
        <v>2</v>
      </c>
      <c r="I4370" s="50" t="s">
        <v>288</v>
      </c>
      <c r="J4370" s="51">
        <v>45966</v>
      </c>
      <c r="K4370" s="50" t="s">
        <v>3</v>
      </c>
      <c r="L4370" s="50" t="s">
        <v>80</v>
      </c>
    </row>
    <row r="4371" spans="2:12">
      <c r="B4371" s="50" t="s">
        <v>399</v>
      </c>
      <c r="C4371" s="50" t="s">
        <v>51</v>
      </c>
      <c r="D4371" s="50" t="s">
        <v>27</v>
      </c>
      <c r="E4371" s="50">
        <v>50038517</v>
      </c>
      <c r="F4371" s="50" t="s">
        <v>181</v>
      </c>
      <c r="G4371" s="50">
        <v>1</v>
      </c>
      <c r="H4371" s="50" t="s">
        <v>2</v>
      </c>
      <c r="I4371" s="50" t="s">
        <v>293</v>
      </c>
      <c r="J4371" s="51">
        <v>45966</v>
      </c>
      <c r="K4371" s="50" t="s">
        <v>1</v>
      </c>
      <c r="L4371" s="50" t="s">
        <v>80</v>
      </c>
    </row>
    <row r="4372" spans="2:12">
      <c r="B4372" s="50" t="s">
        <v>399</v>
      </c>
      <c r="C4372" s="50" t="s">
        <v>51</v>
      </c>
      <c r="D4372" s="50" t="s">
        <v>27</v>
      </c>
      <c r="E4372" s="50">
        <v>50038517</v>
      </c>
      <c r="F4372" s="50" t="s">
        <v>181</v>
      </c>
      <c r="G4372" s="50">
        <v>1</v>
      </c>
      <c r="H4372" s="50" t="s">
        <v>2</v>
      </c>
      <c r="I4372" s="50" t="s">
        <v>293</v>
      </c>
      <c r="J4372" s="51">
        <v>45966</v>
      </c>
      <c r="K4372" s="50" t="s">
        <v>3</v>
      </c>
      <c r="L4372" s="50" t="s">
        <v>80</v>
      </c>
    </row>
    <row r="4373" spans="2:12">
      <c r="B4373" s="50" t="s">
        <v>316</v>
      </c>
      <c r="C4373" s="50" t="s">
        <v>56</v>
      </c>
      <c r="D4373" s="50" t="s">
        <v>27</v>
      </c>
      <c r="E4373" s="50">
        <v>50038518</v>
      </c>
      <c r="F4373" s="50" t="s">
        <v>340</v>
      </c>
      <c r="G4373" s="50">
        <v>1</v>
      </c>
      <c r="H4373" s="50" t="s">
        <v>2</v>
      </c>
      <c r="I4373" s="50" t="s">
        <v>288</v>
      </c>
      <c r="J4373" s="51">
        <v>45966</v>
      </c>
      <c r="K4373" s="50" t="s">
        <v>1</v>
      </c>
      <c r="L4373" s="50" t="s">
        <v>80</v>
      </c>
    </row>
    <row r="4374" spans="2:12">
      <c r="B4374" s="50" t="s">
        <v>316</v>
      </c>
      <c r="C4374" s="50" t="s">
        <v>56</v>
      </c>
      <c r="D4374" s="50" t="s">
        <v>27</v>
      </c>
      <c r="E4374" s="50">
        <v>50038518</v>
      </c>
      <c r="F4374" s="50" t="s">
        <v>340</v>
      </c>
      <c r="G4374" s="50">
        <v>1</v>
      </c>
      <c r="H4374" s="50" t="s">
        <v>2</v>
      </c>
      <c r="I4374" s="50" t="s">
        <v>288</v>
      </c>
      <c r="J4374" s="51">
        <v>45966</v>
      </c>
      <c r="K4374" s="50" t="s">
        <v>1</v>
      </c>
      <c r="L4374" s="50" t="s">
        <v>80</v>
      </c>
    </row>
    <row r="4375" spans="2:12">
      <c r="B4375" s="50" t="s">
        <v>43</v>
      </c>
      <c r="C4375" s="50" t="s">
        <v>26</v>
      </c>
      <c r="D4375" s="50" t="s">
        <v>41</v>
      </c>
      <c r="E4375" s="50">
        <v>50041653</v>
      </c>
      <c r="F4375" s="50" t="s">
        <v>201</v>
      </c>
      <c r="G4375" s="50">
        <v>1</v>
      </c>
      <c r="H4375" s="50" t="s">
        <v>2</v>
      </c>
      <c r="I4375" s="50" t="s">
        <v>287</v>
      </c>
      <c r="J4375" s="51">
        <v>45966</v>
      </c>
      <c r="K4375" s="50" t="s">
        <v>3</v>
      </c>
      <c r="L4375" s="50" t="s">
        <v>80</v>
      </c>
    </row>
    <row r="4376" spans="2:12">
      <c r="B4376" s="50" t="s">
        <v>43</v>
      </c>
      <c r="C4376" s="50" t="s">
        <v>26</v>
      </c>
      <c r="D4376" s="50" t="s">
        <v>41</v>
      </c>
      <c r="E4376" s="50">
        <v>50041653</v>
      </c>
      <c r="F4376" s="50" t="s">
        <v>201</v>
      </c>
      <c r="G4376" s="50">
        <v>1</v>
      </c>
      <c r="H4376" s="50" t="s">
        <v>2</v>
      </c>
      <c r="I4376" s="50" t="s">
        <v>288</v>
      </c>
      <c r="J4376" s="51">
        <v>45966</v>
      </c>
      <c r="K4376" s="50" t="s">
        <v>3</v>
      </c>
      <c r="L4376" s="50" t="s">
        <v>80</v>
      </c>
    </row>
    <row r="4377" spans="2:12">
      <c r="B4377" s="50" t="s">
        <v>411</v>
      </c>
      <c r="C4377" s="50" t="s">
        <v>26</v>
      </c>
      <c r="D4377" s="50" t="s">
        <v>27</v>
      </c>
      <c r="E4377" s="50">
        <v>50041195</v>
      </c>
      <c r="F4377" s="50" t="s">
        <v>206</v>
      </c>
      <c r="G4377" s="50">
        <v>1</v>
      </c>
      <c r="H4377" s="50" t="s">
        <v>2</v>
      </c>
      <c r="I4377" s="50" t="s">
        <v>288</v>
      </c>
      <c r="J4377" s="51">
        <v>45966</v>
      </c>
      <c r="K4377" s="50" t="s">
        <v>1</v>
      </c>
      <c r="L4377" s="50" t="s">
        <v>80</v>
      </c>
    </row>
    <row r="4378" spans="2:12">
      <c r="B4378" s="50" t="s">
        <v>411</v>
      </c>
      <c r="C4378" s="50" t="s">
        <v>26</v>
      </c>
      <c r="D4378" s="50" t="s">
        <v>27</v>
      </c>
      <c r="E4378" s="50">
        <v>50041195</v>
      </c>
      <c r="F4378" s="50" t="s">
        <v>206</v>
      </c>
      <c r="G4378" s="50">
        <v>1</v>
      </c>
      <c r="H4378" s="50" t="s">
        <v>2</v>
      </c>
      <c r="I4378" s="50" t="s">
        <v>288</v>
      </c>
      <c r="J4378" s="51">
        <v>45966</v>
      </c>
      <c r="K4378" s="50" t="s">
        <v>3</v>
      </c>
      <c r="L4378" s="50" t="s">
        <v>80</v>
      </c>
    </row>
    <row r="4379" spans="2:12">
      <c r="B4379" s="50" t="s">
        <v>345</v>
      </c>
      <c r="C4379" s="50" t="s">
        <v>62</v>
      </c>
      <c r="D4379" s="50" t="s">
        <v>27</v>
      </c>
      <c r="E4379" s="50">
        <v>50043917</v>
      </c>
      <c r="F4379" s="50" t="s">
        <v>262</v>
      </c>
      <c r="G4379" s="50">
        <v>1</v>
      </c>
      <c r="H4379" s="50" t="s">
        <v>2</v>
      </c>
      <c r="I4379" s="50" t="s">
        <v>293</v>
      </c>
      <c r="J4379" s="51">
        <v>45966</v>
      </c>
      <c r="K4379" s="50" t="s">
        <v>1</v>
      </c>
      <c r="L4379" s="50" t="s">
        <v>80</v>
      </c>
    </row>
    <row r="4380" spans="2:12">
      <c r="B4380" s="50" t="s">
        <v>345</v>
      </c>
      <c r="C4380" s="50" t="s">
        <v>62</v>
      </c>
      <c r="D4380" s="50" t="s">
        <v>27</v>
      </c>
      <c r="E4380" s="50">
        <v>50043917</v>
      </c>
      <c r="F4380" s="50" t="s">
        <v>262</v>
      </c>
      <c r="G4380" s="50">
        <v>1</v>
      </c>
      <c r="H4380" s="50" t="s">
        <v>2</v>
      </c>
      <c r="I4380" s="50" t="s">
        <v>288</v>
      </c>
      <c r="J4380" s="51">
        <v>45966</v>
      </c>
      <c r="K4380" s="50" t="s">
        <v>1</v>
      </c>
      <c r="L4380" s="50" t="s">
        <v>80</v>
      </c>
    </row>
    <row r="4381" spans="2:12">
      <c r="B4381" s="50" t="s">
        <v>406</v>
      </c>
      <c r="C4381" s="50" t="s">
        <v>26</v>
      </c>
      <c r="D4381" s="50" t="s">
        <v>39</v>
      </c>
      <c r="E4381" s="50">
        <v>50012902</v>
      </c>
      <c r="F4381" s="50" t="s">
        <v>225</v>
      </c>
      <c r="G4381" s="50">
        <v>1</v>
      </c>
      <c r="H4381" s="50" t="s">
        <v>2</v>
      </c>
      <c r="I4381" s="50" t="s">
        <v>287</v>
      </c>
      <c r="J4381" s="51">
        <v>45966</v>
      </c>
      <c r="K4381" s="50" t="s">
        <v>1</v>
      </c>
      <c r="L4381" s="50" t="s">
        <v>80</v>
      </c>
    </row>
    <row r="4382" spans="2:12">
      <c r="B4382" s="50" t="s">
        <v>43</v>
      </c>
      <c r="C4382" s="50" t="s">
        <v>26</v>
      </c>
      <c r="D4382" s="50" t="s">
        <v>41</v>
      </c>
      <c r="E4382" s="50">
        <v>50037924</v>
      </c>
      <c r="F4382" s="50" t="s">
        <v>261</v>
      </c>
      <c r="G4382" s="50">
        <v>1</v>
      </c>
      <c r="H4382" s="50" t="s">
        <v>2</v>
      </c>
      <c r="I4382" s="50" t="s">
        <v>287</v>
      </c>
      <c r="J4382" s="51">
        <v>45966</v>
      </c>
      <c r="K4382" s="50" t="s">
        <v>3</v>
      </c>
      <c r="L4382" s="50" t="s">
        <v>80</v>
      </c>
    </row>
    <row r="4383" spans="2:12">
      <c r="B4383" s="50" t="s">
        <v>43</v>
      </c>
      <c r="C4383" s="50" t="s">
        <v>26</v>
      </c>
      <c r="D4383" s="50" t="s">
        <v>41</v>
      </c>
      <c r="E4383" s="50">
        <v>50037924</v>
      </c>
      <c r="F4383" s="50" t="s">
        <v>261</v>
      </c>
      <c r="G4383" s="50">
        <v>1</v>
      </c>
      <c r="H4383" s="50" t="s">
        <v>2</v>
      </c>
      <c r="I4383" s="50" t="s">
        <v>288</v>
      </c>
      <c r="J4383" s="51">
        <v>45966</v>
      </c>
      <c r="K4383" s="50" t="s">
        <v>3</v>
      </c>
      <c r="L4383" s="50" t="s">
        <v>80</v>
      </c>
    </row>
    <row r="4384" spans="2:12">
      <c r="B4384" s="50" t="s">
        <v>280</v>
      </c>
      <c r="C4384" s="50" t="s">
        <v>62</v>
      </c>
      <c r="D4384" s="50" t="s">
        <v>27</v>
      </c>
      <c r="E4384" s="50">
        <v>50010031</v>
      </c>
      <c r="F4384" s="50" t="s">
        <v>89</v>
      </c>
      <c r="G4384" s="50">
        <v>1</v>
      </c>
      <c r="H4384" s="50" t="s">
        <v>2</v>
      </c>
      <c r="I4384" s="50" t="s">
        <v>287</v>
      </c>
      <c r="J4384" s="51">
        <v>45965</v>
      </c>
      <c r="K4384" s="50" t="s">
        <v>1</v>
      </c>
      <c r="L4384" s="50" t="s">
        <v>80</v>
      </c>
    </row>
    <row r="4385" spans="2:12">
      <c r="B4385" s="50" t="s">
        <v>280</v>
      </c>
      <c r="C4385" s="50" t="s">
        <v>62</v>
      </c>
      <c r="D4385" s="50" t="s">
        <v>27</v>
      </c>
      <c r="E4385" s="50">
        <v>50010031</v>
      </c>
      <c r="F4385" s="50" t="s">
        <v>89</v>
      </c>
      <c r="G4385" s="50">
        <v>1</v>
      </c>
      <c r="H4385" s="50" t="s">
        <v>2</v>
      </c>
      <c r="I4385" s="50" t="s">
        <v>287</v>
      </c>
      <c r="J4385" s="51">
        <v>45965</v>
      </c>
      <c r="K4385" s="50" t="s">
        <v>1</v>
      </c>
      <c r="L4385" s="50" t="s">
        <v>80</v>
      </c>
    </row>
    <row r="4386" spans="2:12">
      <c r="B4386" s="50" t="s">
        <v>446</v>
      </c>
      <c r="C4386" s="50" t="s">
        <v>56</v>
      </c>
      <c r="D4386" s="50" t="s">
        <v>27</v>
      </c>
      <c r="E4386" s="50">
        <v>50038854</v>
      </c>
      <c r="F4386" s="50" t="s">
        <v>101</v>
      </c>
      <c r="G4386" s="50">
        <v>1</v>
      </c>
      <c r="H4386" s="50" t="s">
        <v>2</v>
      </c>
      <c r="I4386" s="50" t="s">
        <v>293</v>
      </c>
      <c r="J4386" s="51">
        <v>45965</v>
      </c>
      <c r="K4386" s="50" t="s">
        <v>3</v>
      </c>
      <c r="L4386" s="50" t="s">
        <v>80</v>
      </c>
    </row>
    <row r="4387" spans="2:12">
      <c r="B4387" s="50" t="s">
        <v>446</v>
      </c>
      <c r="C4387" s="50" t="s">
        <v>56</v>
      </c>
      <c r="D4387" s="50" t="s">
        <v>27</v>
      </c>
      <c r="E4387" s="50">
        <v>50038854</v>
      </c>
      <c r="F4387" s="50" t="s">
        <v>101</v>
      </c>
      <c r="G4387" s="50">
        <v>1</v>
      </c>
      <c r="H4387" s="50" t="s">
        <v>2</v>
      </c>
      <c r="I4387" s="50" t="s">
        <v>293</v>
      </c>
      <c r="J4387" s="51">
        <v>45965</v>
      </c>
      <c r="K4387" s="50" t="s">
        <v>1</v>
      </c>
      <c r="L4387" s="50" t="s">
        <v>80</v>
      </c>
    </row>
    <row r="4388" spans="2:12">
      <c r="B4388" s="50" t="s">
        <v>399</v>
      </c>
      <c r="C4388" s="50" t="s">
        <v>51</v>
      </c>
      <c r="D4388" s="50" t="s">
        <v>27</v>
      </c>
      <c r="E4388" s="50">
        <v>50043471</v>
      </c>
      <c r="F4388" s="50" t="s">
        <v>257</v>
      </c>
      <c r="G4388" s="50">
        <v>1</v>
      </c>
      <c r="H4388" s="50" t="s">
        <v>2</v>
      </c>
      <c r="I4388" s="50" t="s">
        <v>293</v>
      </c>
      <c r="J4388" s="51">
        <v>45965</v>
      </c>
      <c r="K4388" s="50" t="s">
        <v>3</v>
      </c>
      <c r="L4388" s="50" t="s">
        <v>80</v>
      </c>
    </row>
    <row r="4389" spans="2:12">
      <c r="B4389" s="50" t="s">
        <v>399</v>
      </c>
      <c r="C4389" s="50" t="s">
        <v>51</v>
      </c>
      <c r="D4389" s="50" t="s">
        <v>27</v>
      </c>
      <c r="E4389" s="50">
        <v>50043471</v>
      </c>
      <c r="F4389" s="50" t="s">
        <v>257</v>
      </c>
      <c r="G4389" s="50">
        <v>1</v>
      </c>
      <c r="H4389" s="50" t="s">
        <v>2</v>
      </c>
      <c r="I4389" s="50" t="s">
        <v>293</v>
      </c>
      <c r="J4389" s="51">
        <v>45965</v>
      </c>
      <c r="K4389" s="50" t="s">
        <v>1</v>
      </c>
      <c r="L4389" s="50" t="s">
        <v>80</v>
      </c>
    </row>
    <row r="4390" spans="2:12">
      <c r="B4390" s="50" t="s">
        <v>280</v>
      </c>
      <c r="C4390" s="50" t="s">
        <v>62</v>
      </c>
      <c r="D4390" s="50" t="s">
        <v>27</v>
      </c>
      <c r="E4390" s="50">
        <v>50043471</v>
      </c>
      <c r="F4390" s="50" t="s">
        <v>257</v>
      </c>
      <c r="G4390" s="50">
        <v>1</v>
      </c>
      <c r="H4390" s="50" t="s">
        <v>2</v>
      </c>
      <c r="I4390" s="50" t="s">
        <v>287</v>
      </c>
      <c r="J4390" s="51">
        <v>45965</v>
      </c>
      <c r="K4390" s="50" t="s">
        <v>3</v>
      </c>
      <c r="L4390" s="50" t="s">
        <v>80</v>
      </c>
    </row>
    <row r="4391" spans="2:12">
      <c r="B4391" s="50" t="s">
        <v>280</v>
      </c>
      <c r="C4391" s="50" t="s">
        <v>62</v>
      </c>
      <c r="D4391" s="50" t="s">
        <v>27</v>
      </c>
      <c r="E4391" s="50">
        <v>50043471</v>
      </c>
      <c r="F4391" s="50" t="s">
        <v>257</v>
      </c>
      <c r="G4391" s="50">
        <v>1</v>
      </c>
      <c r="H4391" s="50" t="s">
        <v>2</v>
      </c>
      <c r="I4391" s="50" t="s">
        <v>287</v>
      </c>
      <c r="J4391" s="51">
        <v>45965</v>
      </c>
      <c r="K4391" s="50" t="s">
        <v>1</v>
      </c>
      <c r="L4391" s="50" t="s">
        <v>80</v>
      </c>
    </row>
    <row r="4392" spans="2:12">
      <c r="B4392" s="50" t="s">
        <v>277</v>
      </c>
      <c r="C4392" s="50" t="s">
        <v>62</v>
      </c>
      <c r="D4392" s="50" t="s">
        <v>27</v>
      </c>
      <c r="E4392" s="50">
        <v>50029865</v>
      </c>
      <c r="F4392" s="50" t="s">
        <v>162</v>
      </c>
      <c r="G4392" s="50">
        <v>1</v>
      </c>
      <c r="H4392" s="50" t="s">
        <v>2</v>
      </c>
      <c r="I4392" s="50" t="s">
        <v>293</v>
      </c>
      <c r="J4392" s="51">
        <v>45965</v>
      </c>
      <c r="K4392" s="50" t="s">
        <v>3</v>
      </c>
      <c r="L4392" s="50" t="s">
        <v>80</v>
      </c>
    </row>
    <row r="4393" spans="2:12">
      <c r="B4393" s="50" t="s">
        <v>277</v>
      </c>
      <c r="C4393" s="50" t="s">
        <v>62</v>
      </c>
      <c r="D4393" s="50" t="s">
        <v>27</v>
      </c>
      <c r="E4393" s="50">
        <v>50029865</v>
      </c>
      <c r="F4393" s="50" t="s">
        <v>162</v>
      </c>
      <c r="G4393" s="50">
        <v>1</v>
      </c>
      <c r="H4393" s="50" t="s">
        <v>2</v>
      </c>
      <c r="I4393" s="50" t="s">
        <v>288</v>
      </c>
      <c r="J4393" s="51">
        <v>45965</v>
      </c>
      <c r="K4393" s="50" t="s">
        <v>1</v>
      </c>
      <c r="L4393" s="50" t="s">
        <v>80</v>
      </c>
    </row>
    <row r="4394" spans="2:12">
      <c r="B4394" s="50" t="s">
        <v>399</v>
      </c>
      <c r="C4394" s="50" t="s">
        <v>51</v>
      </c>
      <c r="D4394" s="50" t="s">
        <v>27</v>
      </c>
      <c r="E4394" s="50">
        <v>50043320</v>
      </c>
      <c r="F4394" s="50" t="s">
        <v>264</v>
      </c>
      <c r="G4394" s="50">
        <v>1</v>
      </c>
      <c r="H4394" s="50" t="s">
        <v>2</v>
      </c>
      <c r="I4394" s="50" t="s">
        <v>293</v>
      </c>
      <c r="J4394" s="51">
        <v>45965</v>
      </c>
      <c r="K4394" s="50" t="s">
        <v>3</v>
      </c>
      <c r="L4394" s="50" t="s">
        <v>80</v>
      </c>
    </row>
    <row r="4395" spans="2:12">
      <c r="B4395" s="50" t="s">
        <v>399</v>
      </c>
      <c r="C4395" s="50" t="s">
        <v>51</v>
      </c>
      <c r="D4395" s="50" t="s">
        <v>27</v>
      </c>
      <c r="E4395" s="50">
        <v>50043320</v>
      </c>
      <c r="F4395" s="50" t="s">
        <v>264</v>
      </c>
      <c r="G4395" s="50">
        <v>1</v>
      </c>
      <c r="H4395" s="50" t="s">
        <v>2</v>
      </c>
      <c r="I4395" s="50" t="s">
        <v>293</v>
      </c>
      <c r="J4395" s="51">
        <v>45965</v>
      </c>
      <c r="K4395" s="50" t="s">
        <v>1</v>
      </c>
      <c r="L4395" s="50" t="s">
        <v>80</v>
      </c>
    </row>
    <row r="4396" spans="2:12">
      <c r="B4396" s="50" t="s">
        <v>471</v>
      </c>
      <c r="C4396" s="50" t="s">
        <v>26</v>
      </c>
      <c r="D4396" s="50" t="s">
        <v>27</v>
      </c>
      <c r="E4396" s="50">
        <v>50038956</v>
      </c>
      <c r="F4396" s="50" t="s">
        <v>177</v>
      </c>
      <c r="G4396" s="50">
        <v>1</v>
      </c>
      <c r="H4396" s="50" t="s">
        <v>2</v>
      </c>
      <c r="I4396" s="50" t="s">
        <v>290</v>
      </c>
      <c r="J4396" s="51">
        <v>45965</v>
      </c>
      <c r="K4396" s="50" t="s">
        <v>3</v>
      </c>
      <c r="L4396" s="50" t="s">
        <v>80</v>
      </c>
    </row>
    <row r="4397" spans="2:12">
      <c r="B4397" s="50" t="s">
        <v>471</v>
      </c>
      <c r="C4397" s="50" t="s">
        <v>26</v>
      </c>
      <c r="D4397" s="50" t="s">
        <v>27</v>
      </c>
      <c r="E4397" s="50">
        <v>50038956</v>
      </c>
      <c r="F4397" s="50" t="s">
        <v>177</v>
      </c>
      <c r="G4397" s="50">
        <v>1</v>
      </c>
      <c r="H4397" s="50" t="s">
        <v>2</v>
      </c>
      <c r="I4397" s="50" t="s">
        <v>293</v>
      </c>
      <c r="J4397" s="51">
        <v>45965</v>
      </c>
      <c r="K4397" s="50" t="s">
        <v>1</v>
      </c>
      <c r="L4397" s="50" t="s">
        <v>80</v>
      </c>
    </row>
    <row r="4398" spans="2:12">
      <c r="B4398" s="50" t="s">
        <v>386</v>
      </c>
      <c r="C4398" s="50" t="s">
        <v>26</v>
      </c>
      <c r="D4398" s="50" t="s">
        <v>27</v>
      </c>
      <c r="E4398" s="50">
        <v>50038956</v>
      </c>
      <c r="F4398" s="50" t="s">
        <v>177</v>
      </c>
      <c r="G4398" s="50">
        <v>1</v>
      </c>
      <c r="H4398" s="50" t="s">
        <v>2</v>
      </c>
      <c r="I4398" s="50" t="s">
        <v>293</v>
      </c>
      <c r="J4398" s="51">
        <v>45965</v>
      </c>
      <c r="K4398" s="50" t="s">
        <v>3</v>
      </c>
      <c r="L4398" s="50" t="s">
        <v>80</v>
      </c>
    </row>
    <row r="4399" spans="2:12">
      <c r="B4399" s="50" t="s">
        <v>386</v>
      </c>
      <c r="C4399" s="50" t="s">
        <v>26</v>
      </c>
      <c r="D4399" s="50" t="s">
        <v>27</v>
      </c>
      <c r="E4399" s="50">
        <v>50038956</v>
      </c>
      <c r="F4399" s="50" t="s">
        <v>177</v>
      </c>
      <c r="G4399" s="50">
        <v>1</v>
      </c>
      <c r="H4399" s="50" t="s">
        <v>2</v>
      </c>
      <c r="I4399" s="50" t="s">
        <v>293</v>
      </c>
      <c r="J4399" s="51">
        <v>45965</v>
      </c>
      <c r="K4399" s="50" t="s">
        <v>3</v>
      </c>
      <c r="L4399" s="50" t="s">
        <v>80</v>
      </c>
    </row>
    <row r="4400" spans="2:12">
      <c r="B4400" s="50" t="s">
        <v>446</v>
      </c>
      <c r="C4400" s="50" t="s">
        <v>56</v>
      </c>
      <c r="D4400" s="50" t="s">
        <v>27</v>
      </c>
      <c r="E4400" s="50">
        <v>50038517</v>
      </c>
      <c r="F4400" s="50" t="s">
        <v>181</v>
      </c>
      <c r="G4400" s="50">
        <v>1</v>
      </c>
      <c r="H4400" s="50" t="s">
        <v>2</v>
      </c>
      <c r="I4400" s="50" t="s">
        <v>293</v>
      </c>
      <c r="J4400" s="51">
        <v>45965</v>
      </c>
      <c r="K4400" s="50" t="s">
        <v>1</v>
      </c>
      <c r="L4400" s="50" t="s">
        <v>80</v>
      </c>
    </row>
    <row r="4401" spans="2:12">
      <c r="B4401" s="50" t="s">
        <v>446</v>
      </c>
      <c r="C4401" s="50" t="s">
        <v>56</v>
      </c>
      <c r="D4401" s="50" t="s">
        <v>27</v>
      </c>
      <c r="E4401" s="50">
        <v>50038517</v>
      </c>
      <c r="F4401" s="50" t="s">
        <v>181</v>
      </c>
      <c r="G4401" s="50">
        <v>1</v>
      </c>
      <c r="H4401" s="50" t="s">
        <v>2</v>
      </c>
      <c r="I4401" s="50" t="s">
        <v>293</v>
      </c>
      <c r="J4401" s="51">
        <v>45965</v>
      </c>
      <c r="K4401" s="50" t="s">
        <v>1</v>
      </c>
      <c r="L4401" s="50" t="s">
        <v>80</v>
      </c>
    </row>
    <row r="4402" spans="2:12">
      <c r="B4402" s="50" t="s">
        <v>394</v>
      </c>
      <c r="C4402" s="50" t="s">
        <v>51</v>
      </c>
      <c r="D4402" s="50" t="s">
        <v>27</v>
      </c>
      <c r="E4402" s="50">
        <v>50026357</v>
      </c>
      <c r="F4402" s="50" t="s">
        <v>192</v>
      </c>
      <c r="G4402" s="50">
        <v>1</v>
      </c>
      <c r="H4402" s="50" t="s">
        <v>2</v>
      </c>
      <c r="I4402" s="50" t="s">
        <v>293</v>
      </c>
      <c r="J4402" s="51">
        <v>45965</v>
      </c>
      <c r="K4402" s="50" t="s">
        <v>3</v>
      </c>
      <c r="L4402" s="50" t="s">
        <v>80</v>
      </c>
    </row>
    <row r="4403" spans="2:12">
      <c r="B4403" s="50" t="s">
        <v>394</v>
      </c>
      <c r="C4403" s="50" t="s">
        <v>51</v>
      </c>
      <c r="D4403" s="50" t="s">
        <v>27</v>
      </c>
      <c r="E4403" s="50">
        <v>50026357</v>
      </c>
      <c r="F4403" s="50" t="s">
        <v>192</v>
      </c>
      <c r="G4403" s="50">
        <v>1</v>
      </c>
      <c r="H4403" s="50" t="s">
        <v>2</v>
      </c>
      <c r="I4403" s="50" t="s">
        <v>288</v>
      </c>
      <c r="J4403" s="51">
        <v>45965</v>
      </c>
      <c r="K4403" s="50" t="s">
        <v>3</v>
      </c>
      <c r="L4403" s="50" t="s">
        <v>80</v>
      </c>
    </row>
    <row r="4404" spans="2:12">
      <c r="B4404" s="50" t="s">
        <v>277</v>
      </c>
      <c r="C4404" s="50" t="s">
        <v>62</v>
      </c>
      <c r="D4404" s="50" t="s">
        <v>27</v>
      </c>
      <c r="E4404" s="50">
        <v>50041195</v>
      </c>
      <c r="F4404" s="50" t="s">
        <v>206</v>
      </c>
      <c r="G4404" s="50">
        <v>1</v>
      </c>
      <c r="H4404" s="50" t="s">
        <v>2</v>
      </c>
      <c r="I4404" s="50" t="s">
        <v>293</v>
      </c>
      <c r="J4404" s="51">
        <v>45965</v>
      </c>
      <c r="K4404" s="50" t="s">
        <v>1</v>
      </c>
      <c r="L4404" s="50" t="s">
        <v>80</v>
      </c>
    </row>
    <row r="4405" spans="2:12">
      <c r="B4405" s="50" t="s">
        <v>277</v>
      </c>
      <c r="C4405" s="50" t="s">
        <v>62</v>
      </c>
      <c r="D4405" s="50" t="s">
        <v>27</v>
      </c>
      <c r="E4405" s="50">
        <v>50041195</v>
      </c>
      <c r="F4405" s="50" t="s">
        <v>206</v>
      </c>
      <c r="G4405" s="50">
        <v>1</v>
      </c>
      <c r="H4405" s="50" t="s">
        <v>2</v>
      </c>
      <c r="I4405" s="50" t="s">
        <v>288</v>
      </c>
      <c r="J4405" s="51">
        <v>45965</v>
      </c>
      <c r="K4405" s="50" t="s">
        <v>3</v>
      </c>
      <c r="L4405" s="50" t="s">
        <v>80</v>
      </c>
    </row>
    <row r="4406" spans="2:12">
      <c r="B4406" s="50" t="s">
        <v>345</v>
      </c>
      <c r="C4406" s="50" t="s">
        <v>56</v>
      </c>
      <c r="D4406" s="50" t="s">
        <v>27</v>
      </c>
      <c r="E4406" s="50">
        <v>50043917</v>
      </c>
      <c r="F4406" s="50" t="s">
        <v>262</v>
      </c>
      <c r="G4406" s="50">
        <v>1</v>
      </c>
      <c r="H4406" s="50" t="s">
        <v>2</v>
      </c>
      <c r="I4406" s="50" t="s">
        <v>288</v>
      </c>
      <c r="J4406" s="51">
        <v>45965</v>
      </c>
      <c r="K4406" s="50" t="s">
        <v>1</v>
      </c>
      <c r="L4406" s="50" t="s">
        <v>80</v>
      </c>
    </row>
    <row r="4407" spans="2:12">
      <c r="B4407" s="50" t="s">
        <v>345</v>
      </c>
      <c r="C4407" s="50" t="s">
        <v>56</v>
      </c>
      <c r="D4407" s="50" t="s">
        <v>27</v>
      </c>
      <c r="E4407" s="50">
        <v>50043917</v>
      </c>
      <c r="F4407" s="50" t="s">
        <v>262</v>
      </c>
      <c r="G4407" s="50">
        <v>1</v>
      </c>
      <c r="H4407" s="50" t="s">
        <v>2</v>
      </c>
      <c r="I4407" s="50" t="s">
        <v>288</v>
      </c>
      <c r="J4407" s="51">
        <v>45965</v>
      </c>
      <c r="K4407" s="50" t="s">
        <v>1</v>
      </c>
      <c r="L4407" s="50" t="s">
        <v>80</v>
      </c>
    </row>
    <row r="4408" spans="2:12">
      <c r="B4408" s="50" t="s">
        <v>399</v>
      </c>
      <c r="C4408" s="50" t="s">
        <v>51</v>
      </c>
      <c r="D4408" s="50" t="s">
        <v>27</v>
      </c>
      <c r="E4408" s="50">
        <v>50004486</v>
      </c>
      <c r="F4408" s="50" t="s">
        <v>221</v>
      </c>
      <c r="G4408" s="50">
        <v>1</v>
      </c>
      <c r="H4408" s="50" t="s">
        <v>2</v>
      </c>
      <c r="I4408" s="50" t="s">
        <v>293</v>
      </c>
      <c r="J4408" s="51">
        <v>45965</v>
      </c>
      <c r="K4408" s="50" t="s">
        <v>3</v>
      </c>
      <c r="L4408" s="50" t="s">
        <v>80</v>
      </c>
    </row>
    <row r="4409" spans="2:12">
      <c r="B4409" s="50" t="s">
        <v>399</v>
      </c>
      <c r="C4409" s="50" t="s">
        <v>51</v>
      </c>
      <c r="D4409" s="50" t="s">
        <v>27</v>
      </c>
      <c r="E4409" s="50">
        <v>50004486</v>
      </c>
      <c r="F4409" s="50" t="s">
        <v>221</v>
      </c>
      <c r="G4409" s="50">
        <v>1</v>
      </c>
      <c r="H4409" s="50" t="s">
        <v>2</v>
      </c>
      <c r="I4409" s="50" t="s">
        <v>293</v>
      </c>
      <c r="J4409" s="51">
        <v>45965</v>
      </c>
      <c r="K4409" s="50" t="s">
        <v>1</v>
      </c>
      <c r="L4409" s="50" t="s">
        <v>80</v>
      </c>
    </row>
    <row r="4410" spans="2:12">
      <c r="B4410" s="50" t="s">
        <v>427</v>
      </c>
      <c r="C4410" s="50" t="s">
        <v>26</v>
      </c>
      <c r="D4410" s="50" t="s">
        <v>27</v>
      </c>
      <c r="E4410" s="50">
        <v>50042283</v>
      </c>
      <c r="F4410" s="50" t="s">
        <v>247</v>
      </c>
      <c r="G4410" s="50">
        <v>1</v>
      </c>
      <c r="H4410" s="50" t="s">
        <v>2</v>
      </c>
      <c r="I4410" s="50" t="s">
        <v>290</v>
      </c>
      <c r="J4410" s="51">
        <v>45965</v>
      </c>
      <c r="K4410" s="50" t="s">
        <v>3</v>
      </c>
      <c r="L4410" s="50" t="s">
        <v>80</v>
      </c>
    </row>
    <row r="4411" spans="2:12">
      <c r="B4411" s="50" t="s">
        <v>427</v>
      </c>
      <c r="C4411" s="50" t="s">
        <v>26</v>
      </c>
      <c r="D4411" s="50" t="s">
        <v>27</v>
      </c>
      <c r="E4411" s="50">
        <v>50042283</v>
      </c>
      <c r="F4411" s="50" t="s">
        <v>247</v>
      </c>
      <c r="G4411" s="50">
        <v>1</v>
      </c>
      <c r="H4411" s="50" t="s">
        <v>2</v>
      </c>
      <c r="I4411" s="50" t="s">
        <v>288</v>
      </c>
      <c r="J4411" s="51">
        <v>45965</v>
      </c>
      <c r="K4411" s="50" t="s">
        <v>3</v>
      </c>
      <c r="L4411" s="50" t="s">
        <v>80</v>
      </c>
    </row>
    <row r="4412" spans="2:12">
      <c r="B4412" s="50" t="s">
        <v>481</v>
      </c>
      <c r="C4412" s="50" t="s">
        <v>56</v>
      </c>
      <c r="D4412" s="50" t="s">
        <v>27</v>
      </c>
      <c r="E4412" s="50">
        <v>50010031</v>
      </c>
      <c r="F4412" s="50" t="s">
        <v>89</v>
      </c>
      <c r="G4412" s="50">
        <v>1</v>
      </c>
      <c r="H4412" s="50" t="s">
        <v>2</v>
      </c>
      <c r="I4412" s="50" t="s">
        <v>293</v>
      </c>
      <c r="J4412" s="51">
        <v>45964</v>
      </c>
      <c r="K4412" s="50" t="s">
        <v>1</v>
      </c>
      <c r="L4412" s="50" t="s">
        <v>80</v>
      </c>
    </row>
    <row r="4413" spans="2:12">
      <c r="B4413" s="50" t="s">
        <v>481</v>
      </c>
      <c r="C4413" s="50" t="s">
        <v>56</v>
      </c>
      <c r="D4413" s="50" t="s">
        <v>27</v>
      </c>
      <c r="E4413" s="50">
        <v>50010031</v>
      </c>
      <c r="F4413" s="50" t="s">
        <v>89</v>
      </c>
      <c r="G4413" s="50">
        <v>1</v>
      </c>
      <c r="H4413" s="50" t="s">
        <v>2</v>
      </c>
      <c r="I4413" s="50" t="s">
        <v>291</v>
      </c>
      <c r="J4413" s="51">
        <v>45964</v>
      </c>
      <c r="K4413" s="50" t="s">
        <v>1</v>
      </c>
      <c r="L4413" s="50" t="s">
        <v>80</v>
      </c>
    </row>
    <row r="4414" spans="2:12">
      <c r="B4414" s="50" t="s">
        <v>273</v>
      </c>
      <c r="C4414" s="50" t="s">
        <v>274</v>
      </c>
      <c r="D4414" s="50" t="s">
        <v>27</v>
      </c>
      <c r="E4414" s="50">
        <v>50036086</v>
      </c>
      <c r="F4414" s="50" t="s">
        <v>28</v>
      </c>
      <c r="G4414" s="50">
        <v>1</v>
      </c>
      <c r="H4414" s="50" t="s">
        <v>2</v>
      </c>
      <c r="I4414" s="50" t="s">
        <v>287</v>
      </c>
      <c r="J4414" s="51">
        <v>45964</v>
      </c>
      <c r="K4414" s="50" t="s">
        <v>3</v>
      </c>
      <c r="L4414" s="50" t="s">
        <v>80</v>
      </c>
    </row>
    <row r="4415" spans="2:12">
      <c r="B4415" s="50" t="s">
        <v>273</v>
      </c>
      <c r="C4415" s="50" t="s">
        <v>274</v>
      </c>
      <c r="D4415" s="50" t="s">
        <v>27</v>
      </c>
      <c r="E4415" s="50">
        <v>50036086</v>
      </c>
      <c r="F4415" s="50" t="s">
        <v>28</v>
      </c>
      <c r="G4415" s="50">
        <v>1</v>
      </c>
      <c r="H4415" s="50" t="s">
        <v>2</v>
      </c>
      <c r="I4415" s="50" t="s">
        <v>291</v>
      </c>
      <c r="J4415" s="51">
        <v>45964</v>
      </c>
      <c r="K4415" s="50" t="s">
        <v>3</v>
      </c>
      <c r="L4415" s="50" t="s">
        <v>80</v>
      </c>
    </row>
    <row r="4416" spans="2:12">
      <c r="B4416" s="50" t="s">
        <v>55</v>
      </c>
      <c r="C4416" s="50" t="s">
        <v>51</v>
      </c>
      <c r="D4416" s="50" t="s">
        <v>41</v>
      </c>
      <c r="E4416" s="50">
        <v>50003173</v>
      </c>
      <c r="F4416" s="50" t="s">
        <v>74</v>
      </c>
      <c r="G4416" s="50">
        <v>1</v>
      </c>
      <c r="H4416" s="50" t="s">
        <v>2</v>
      </c>
      <c r="I4416" s="50" t="s">
        <v>291</v>
      </c>
      <c r="J4416" s="51">
        <v>45964</v>
      </c>
      <c r="K4416" s="50" t="s">
        <v>1</v>
      </c>
      <c r="L4416" s="50" t="s">
        <v>80</v>
      </c>
    </row>
    <row r="4417" spans="2:12">
      <c r="B4417" s="50" t="s">
        <v>399</v>
      </c>
      <c r="C4417" s="50" t="s">
        <v>51</v>
      </c>
      <c r="D4417" s="50" t="s">
        <v>27</v>
      </c>
      <c r="E4417" s="50">
        <v>50030486</v>
      </c>
      <c r="F4417" s="50" t="s">
        <v>153</v>
      </c>
      <c r="G4417" s="50">
        <v>1</v>
      </c>
      <c r="H4417" s="50" t="s">
        <v>2</v>
      </c>
      <c r="I4417" s="50" t="s">
        <v>293</v>
      </c>
      <c r="J4417" s="51">
        <v>45964</v>
      </c>
      <c r="K4417" s="50" t="s">
        <v>3</v>
      </c>
      <c r="L4417" s="50" t="s">
        <v>80</v>
      </c>
    </row>
    <row r="4418" spans="2:12">
      <c r="B4418" s="50" t="s">
        <v>399</v>
      </c>
      <c r="C4418" s="50" t="s">
        <v>51</v>
      </c>
      <c r="D4418" s="50" t="s">
        <v>27</v>
      </c>
      <c r="E4418" s="50">
        <v>50030486</v>
      </c>
      <c r="F4418" s="50" t="s">
        <v>153</v>
      </c>
      <c r="G4418" s="50">
        <v>1</v>
      </c>
      <c r="H4418" s="50" t="s">
        <v>2</v>
      </c>
      <c r="I4418" s="50" t="s">
        <v>293</v>
      </c>
      <c r="J4418" s="51">
        <v>45964</v>
      </c>
      <c r="K4418" s="50" t="s">
        <v>1</v>
      </c>
      <c r="L4418" s="50" t="s">
        <v>80</v>
      </c>
    </row>
    <row r="4419" spans="2:12">
      <c r="B4419" s="50" t="s">
        <v>386</v>
      </c>
      <c r="C4419" s="50" t="s">
        <v>26</v>
      </c>
      <c r="D4419" s="50" t="s">
        <v>27</v>
      </c>
      <c r="E4419" s="50">
        <v>50030486</v>
      </c>
      <c r="F4419" s="50" t="s">
        <v>153</v>
      </c>
      <c r="G4419" s="50">
        <v>1</v>
      </c>
      <c r="H4419" s="50" t="s">
        <v>2</v>
      </c>
      <c r="I4419" s="50" t="s">
        <v>287</v>
      </c>
      <c r="J4419" s="51">
        <v>45964</v>
      </c>
      <c r="K4419" s="50" t="s">
        <v>3</v>
      </c>
      <c r="L4419" s="50" t="s">
        <v>80</v>
      </c>
    </row>
    <row r="4420" spans="2:12">
      <c r="B4420" s="50" t="s">
        <v>386</v>
      </c>
      <c r="C4420" s="50" t="s">
        <v>26</v>
      </c>
      <c r="D4420" s="50" t="s">
        <v>27</v>
      </c>
      <c r="E4420" s="50">
        <v>50030486</v>
      </c>
      <c r="F4420" s="50" t="s">
        <v>153</v>
      </c>
      <c r="G4420" s="50">
        <v>1</v>
      </c>
      <c r="H4420" s="50" t="s">
        <v>2</v>
      </c>
      <c r="I4420" s="50" t="s">
        <v>291</v>
      </c>
      <c r="J4420" s="51">
        <v>45964</v>
      </c>
      <c r="K4420" s="50" t="s">
        <v>1</v>
      </c>
      <c r="L4420" s="50" t="s">
        <v>80</v>
      </c>
    </row>
    <row r="4421" spans="2:12">
      <c r="B4421" s="50" t="s">
        <v>399</v>
      </c>
      <c r="C4421" s="50" t="s">
        <v>51</v>
      </c>
      <c r="D4421" s="50" t="s">
        <v>27</v>
      </c>
      <c r="E4421" s="50">
        <v>50039236</v>
      </c>
      <c r="F4421" s="50" t="s">
        <v>154</v>
      </c>
      <c r="G4421" s="50">
        <v>1</v>
      </c>
      <c r="H4421" s="50" t="s">
        <v>2</v>
      </c>
      <c r="I4421" s="50" t="s">
        <v>293</v>
      </c>
      <c r="J4421" s="51">
        <v>45964</v>
      </c>
      <c r="K4421" s="50" t="s">
        <v>3</v>
      </c>
      <c r="L4421" s="50" t="s">
        <v>80</v>
      </c>
    </row>
    <row r="4422" spans="2:12">
      <c r="B4422" s="50" t="s">
        <v>399</v>
      </c>
      <c r="C4422" s="50" t="s">
        <v>51</v>
      </c>
      <c r="D4422" s="50" t="s">
        <v>27</v>
      </c>
      <c r="E4422" s="50">
        <v>50039236</v>
      </c>
      <c r="F4422" s="50" t="s">
        <v>154</v>
      </c>
      <c r="G4422" s="50">
        <v>1</v>
      </c>
      <c r="H4422" s="50" t="s">
        <v>2</v>
      </c>
      <c r="I4422" s="50" t="s">
        <v>293</v>
      </c>
      <c r="J4422" s="51">
        <v>45964</v>
      </c>
      <c r="K4422" s="50" t="s">
        <v>1</v>
      </c>
      <c r="L4422" s="50" t="s">
        <v>80</v>
      </c>
    </row>
    <row r="4423" spans="2:12">
      <c r="B4423" s="50" t="s">
        <v>444</v>
      </c>
      <c r="C4423" s="50" t="s">
        <v>51</v>
      </c>
      <c r="D4423" s="50" t="s">
        <v>27</v>
      </c>
      <c r="E4423" s="50">
        <v>50043471</v>
      </c>
      <c r="F4423" s="50" t="s">
        <v>257</v>
      </c>
      <c r="G4423" s="50">
        <v>1</v>
      </c>
      <c r="H4423" s="50" t="s">
        <v>2</v>
      </c>
      <c r="I4423" s="50" t="s">
        <v>290</v>
      </c>
      <c r="J4423" s="51">
        <v>45964</v>
      </c>
      <c r="K4423" s="50" t="s">
        <v>3</v>
      </c>
      <c r="L4423" s="50" t="s">
        <v>80</v>
      </c>
    </row>
    <row r="4424" spans="2:12">
      <c r="B4424" s="50" t="s">
        <v>444</v>
      </c>
      <c r="C4424" s="50" t="s">
        <v>51</v>
      </c>
      <c r="D4424" s="50" t="s">
        <v>27</v>
      </c>
      <c r="E4424" s="50">
        <v>50043471</v>
      </c>
      <c r="F4424" s="50" t="s">
        <v>257</v>
      </c>
      <c r="G4424" s="50">
        <v>1</v>
      </c>
      <c r="H4424" s="50" t="s">
        <v>2</v>
      </c>
      <c r="I4424" s="50" t="s">
        <v>291</v>
      </c>
      <c r="J4424" s="51">
        <v>45964</v>
      </c>
      <c r="K4424" s="50" t="s">
        <v>1</v>
      </c>
      <c r="L4424" s="50" t="s">
        <v>80</v>
      </c>
    </row>
    <row r="4425" spans="2:12">
      <c r="B4425" s="50" t="s">
        <v>316</v>
      </c>
      <c r="C4425" s="50" t="s">
        <v>51</v>
      </c>
      <c r="D4425" s="50" t="s">
        <v>27</v>
      </c>
      <c r="E4425" s="50">
        <v>50003297</v>
      </c>
      <c r="F4425" s="50" t="s">
        <v>158</v>
      </c>
      <c r="G4425" s="50">
        <v>1</v>
      </c>
      <c r="H4425" s="50" t="s">
        <v>2</v>
      </c>
      <c r="I4425" s="50" t="s">
        <v>290</v>
      </c>
      <c r="J4425" s="51">
        <v>45964</v>
      </c>
      <c r="K4425" s="50" t="s">
        <v>3</v>
      </c>
      <c r="L4425" s="50" t="s">
        <v>80</v>
      </c>
    </row>
    <row r="4426" spans="2:12">
      <c r="B4426" s="50" t="s">
        <v>316</v>
      </c>
      <c r="C4426" s="50" t="s">
        <v>51</v>
      </c>
      <c r="D4426" s="50" t="s">
        <v>27</v>
      </c>
      <c r="E4426" s="50">
        <v>50003297</v>
      </c>
      <c r="F4426" s="50" t="s">
        <v>158</v>
      </c>
      <c r="G4426" s="50">
        <v>1</v>
      </c>
      <c r="H4426" s="50" t="s">
        <v>2</v>
      </c>
      <c r="I4426" s="50" t="s">
        <v>291</v>
      </c>
      <c r="J4426" s="51">
        <v>45964</v>
      </c>
      <c r="K4426" s="50" t="s">
        <v>1</v>
      </c>
      <c r="L4426" s="50" t="s">
        <v>80</v>
      </c>
    </row>
    <row r="4427" spans="2:12">
      <c r="B4427" s="50" t="s">
        <v>427</v>
      </c>
      <c r="C4427" s="50" t="s">
        <v>26</v>
      </c>
      <c r="D4427" s="50" t="s">
        <v>27</v>
      </c>
      <c r="E4427" s="50">
        <v>50038956</v>
      </c>
      <c r="F4427" s="50" t="s">
        <v>177</v>
      </c>
      <c r="G4427" s="50">
        <v>1</v>
      </c>
      <c r="H4427" s="50" t="s">
        <v>2</v>
      </c>
      <c r="I4427" s="50" t="s">
        <v>293</v>
      </c>
      <c r="J4427" s="51">
        <v>45964</v>
      </c>
      <c r="K4427" s="50" t="s">
        <v>3</v>
      </c>
      <c r="L4427" s="50" t="s">
        <v>80</v>
      </c>
    </row>
    <row r="4428" spans="2:12">
      <c r="B4428" s="50" t="s">
        <v>427</v>
      </c>
      <c r="C4428" s="50" t="s">
        <v>26</v>
      </c>
      <c r="D4428" s="50" t="s">
        <v>27</v>
      </c>
      <c r="E4428" s="50">
        <v>50038956</v>
      </c>
      <c r="F4428" s="50" t="s">
        <v>177</v>
      </c>
      <c r="G4428" s="50">
        <v>1</v>
      </c>
      <c r="H4428" s="50" t="s">
        <v>2</v>
      </c>
      <c r="I4428" s="50" t="s">
        <v>287</v>
      </c>
      <c r="J4428" s="51">
        <v>45964</v>
      </c>
      <c r="K4428" s="50" t="s">
        <v>1</v>
      </c>
      <c r="L4428" s="50" t="s">
        <v>80</v>
      </c>
    </row>
    <row r="4429" spans="2:12">
      <c r="B4429" s="50" t="s">
        <v>459</v>
      </c>
      <c r="C4429" s="50" t="s">
        <v>51</v>
      </c>
      <c r="D4429" s="50" t="s">
        <v>41</v>
      </c>
      <c r="E4429" s="50">
        <v>50038956</v>
      </c>
      <c r="F4429" s="50" t="s">
        <v>177</v>
      </c>
      <c r="G4429" s="50">
        <v>1</v>
      </c>
      <c r="H4429" s="50" t="s">
        <v>2</v>
      </c>
      <c r="I4429" s="50" t="s">
        <v>291</v>
      </c>
      <c r="J4429" s="51">
        <v>45964</v>
      </c>
      <c r="K4429" s="50" t="s">
        <v>3</v>
      </c>
      <c r="L4429" s="50" t="s">
        <v>80</v>
      </c>
    </row>
    <row r="4430" spans="2:12">
      <c r="B4430" s="50" t="s">
        <v>459</v>
      </c>
      <c r="C4430" s="50" t="s">
        <v>51</v>
      </c>
      <c r="D4430" s="50" t="s">
        <v>41</v>
      </c>
      <c r="E4430" s="50">
        <v>50038956</v>
      </c>
      <c r="F4430" s="50" t="s">
        <v>177</v>
      </c>
      <c r="G4430" s="50">
        <v>1</v>
      </c>
      <c r="H4430" s="50" t="s">
        <v>2</v>
      </c>
      <c r="I4430" s="50" t="s">
        <v>291</v>
      </c>
      <c r="J4430" s="51">
        <v>45964</v>
      </c>
      <c r="K4430" s="50" t="s">
        <v>3</v>
      </c>
      <c r="L4430" s="50" t="s">
        <v>80</v>
      </c>
    </row>
    <row r="4431" spans="2:12">
      <c r="B4431" s="50" t="s">
        <v>467</v>
      </c>
      <c r="C4431" s="50" t="s">
        <v>51</v>
      </c>
      <c r="D4431" s="50" t="s">
        <v>39</v>
      </c>
      <c r="E4431" s="50">
        <v>50037892</v>
      </c>
      <c r="F4431" s="50" t="s">
        <v>178</v>
      </c>
      <c r="G4431" s="50">
        <v>1</v>
      </c>
      <c r="H4431" s="50" t="s">
        <v>2</v>
      </c>
      <c r="I4431" s="50" t="s">
        <v>290</v>
      </c>
      <c r="J4431" s="51">
        <v>45964</v>
      </c>
      <c r="K4431" s="50" t="s">
        <v>1</v>
      </c>
      <c r="L4431" s="50" t="s">
        <v>80</v>
      </c>
    </row>
    <row r="4432" spans="2:12">
      <c r="B4432" s="50" t="s">
        <v>467</v>
      </c>
      <c r="C4432" s="50" t="s">
        <v>51</v>
      </c>
      <c r="D4432" s="50" t="s">
        <v>39</v>
      </c>
      <c r="E4432" s="50">
        <v>50037892</v>
      </c>
      <c r="F4432" s="50" t="s">
        <v>178</v>
      </c>
      <c r="G4432" s="50">
        <v>1</v>
      </c>
      <c r="H4432" s="50" t="s">
        <v>2</v>
      </c>
      <c r="I4432" s="50" t="s">
        <v>290</v>
      </c>
      <c r="J4432" s="51">
        <v>45964</v>
      </c>
      <c r="K4432" s="50" t="s">
        <v>3</v>
      </c>
      <c r="L4432" s="50" t="s">
        <v>80</v>
      </c>
    </row>
    <row r="4433" spans="2:12">
      <c r="B4433" s="50" t="s">
        <v>418</v>
      </c>
      <c r="C4433" s="50" t="s">
        <v>26</v>
      </c>
      <c r="D4433" s="50" t="s">
        <v>27</v>
      </c>
      <c r="E4433" s="50">
        <v>50037892</v>
      </c>
      <c r="F4433" s="50" t="s">
        <v>178</v>
      </c>
      <c r="G4433" s="50">
        <v>1</v>
      </c>
      <c r="H4433" s="50" t="s">
        <v>2</v>
      </c>
      <c r="I4433" s="50" t="s">
        <v>291</v>
      </c>
      <c r="J4433" s="51">
        <v>45964</v>
      </c>
      <c r="K4433" s="50" t="s">
        <v>1</v>
      </c>
      <c r="L4433" s="50" t="s">
        <v>80</v>
      </c>
    </row>
    <row r="4434" spans="2:12">
      <c r="B4434" s="50" t="s">
        <v>418</v>
      </c>
      <c r="C4434" s="50" t="s">
        <v>26</v>
      </c>
      <c r="D4434" s="50" t="s">
        <v>27</v>
      </c>
      <c r="E4434" s="50">
        <v>50037892</v>
      </c>
      <c r="F4434" s="50" t="s">
        <v>178</v>
      </c>
      <c r="G4434" s="50">
        <v>1</v>
      </c>
      <c r="H4434" s="50" t="s">
        <v>2</v>
      </c>
      <c r="I4434" s="50" t="s">
        <v>291</v>
      </c>
      <c r="J4434" s="51">
        <v>45964</v>
      </c>
      <c r="K4434" s="50" t="s">
        <v>3</v>
      </c>
      <c r="L4434" s="50" t="s">
        <v>80</v>
      </c>
    </row>
    <row r="4435" spans="2:12">
      <c r="B4435" s="50" t="s">
        <v>316</v>
      </c>
      <c r="C4435" s="50" t="s">
        <v>51</v>
      </c>
      <c r="D4435" s="50" t="s">
        <v>27</v>
      </c>
      <c r="E4435" s="50">
        <v>50037902</v>
      </c>
      <c r="F4435" s="50" t="s">
        <v>179</v>
      </c>
      <c r="G4435" s="50">
        <v>1</v>
      </c>
      <c r="H4435" s="50" t="s">
        <v>2</v>
      </c>
      <c r="I4435" s="50" t="s">
        <v>290</v>
      </c>
      <c r="J4435" s="51">
        <v>45964</v>
      </c>
      <c r="K4435" s="50" t="s">
        <v>1</v>
      </c>
      <c r="L4435" s="50" t="s">
        <v>80</v>
      </c>
    </row>
    <row r="4436" spans="2:12">
      <c r="B4436" s="50" t="s">
        <v>316</v>
      </c>
      <c r="C4436" s="50" t="s">
        <v>51</v>
      </c>
      <c r="D4436" s="50" t="s">
        <v>27</v>
      </c>
      <c r="E4436" s="50">
        <v>50037902</v>
      </c>
      <c r="F4436" s="50" t="s">
        <v>179</v>
      </c>
      <c r="G4436" s="50">
        <v>1</v>
      </c>
      <c r="H4436" s="50" t="s">
        <v>2</v>
      </c>
      <c r="I4436" s="50" t="s">
        <v>293</v>
      </c>
      <c r="J4436" s="51">
        <v>45964</v>
      </c>
      <c r="K4436" s="50" t="s">
        <v>3</v>
      </c>
      <c r="L4436" s="50" t="s">
        <v>80</v>
      </c>
    </row>
    <row r="4437" spans="2:12">
      <c r="B4437" s="50" t="s">
        <v>454</v>
      </c>
      <c r="C4437" s="50" t="s">
        <v>51</v>
      </c>
      <c r="D4437" s="50" t="s">
        <v>39</v>
      </c>
      <c r="E4437" s="50">
        <v>50037902</v>
      </c>
      <c r="F4437" s="50" t="s">
        <v>179</v>
      </c>
      <c r="G4437" s="50">
        <v>1</v>
      </c>
      <c r="H4437" s="50" t="s">
        <v>2</v>
      </c>
      <c r="I4437" s="50" t="s">
        <v>293</v>
      </c>
      <c r="J4437" s="51">
        <v>45964</v>
      </c>
      <c r="K4437" s="50" t="s">
        <v>1</v>
      </c>
      <c r="L4437" s="50" t="s">
        <v>80</v>
      </c>
    </row>
    <row r="4438" spans="2:12">
      <c r="B4438" s="50" t="s">
        <v>454</v>
      </c>
      <c r="C4438" s="50" t="s">
        <v>51</v>
      </c>
      <c r="D4438" s="50" t="s">
        <v>39</v>
      </c>
      <c r="E4438" s="50">
        <v>50037902</v>
      </c>
      <c r="F4438" s="50" t="s">
        <v>179</v>
      </c>
      <c r="G4438" s="50">
        <v>1</v>
      </c>
      <c r="H4438" s="50" t="s">
        <v>2</v>
      </c>
      <c r="I4438" s="50" t="s">
        <v>293</v>
      </c>
      <c r="J4438" s="51">
        <v>45964</v>
      </c>
      <c r="K4438" s="50" t="s">
        <v>3</v>
      </c>
      <c r="L4438" s="50" t="s">
        <v>80</v>
      </c>
    </row>
    <row r="4439" spans="2:12">
      <c r="B4439" s="50" t="s">
        <v>399</v>
      </c>
      <c r="C4439" s="50" t="s">
        <v>51</v>
      </c>
      <c r="D4439" s="50" t="s">
        <v>27</v>
      </c>
      <c r="E4439" s="50">
        <v>50037902</v>
      </c>
      <c r="F4439" s="50" t="s">
        <v>179</v>
      </c>
      <c r="G4439" s="50">
        <v>1</v>
      </c>
      <c r="H4439" s="50" t="s">
        <v>2</v>
      </c>
      <c r="I4439" s="50" t="s">
        <v>293</v>
      </c>
      <c r="J4439" s="51">
        <v>45964</v>
      </c>
      <c r="K4439" s="50" t="s">
        <v>1</v>
      </c>
      <c r="L4439" s="50" t="s">
        <v>80</v>
      </c>
    </row>
    <row r="4440" spans="2:12">
      <c r="B4440" s="50" t="s">
        <v>399</v>
      </c>
      <c r="C4440" s="50" t="s">
        <v>51</v>
      </c>
      <c r="D4440" s="50" t="s">
        <v>27</v>
      </c>
      <c r="E4440" s="50">
        <v>50037902</v>
      </c>
      <c r="F4440" s="50" t="s">
        <v>179</v>
      </c>
      <c r="G4440" s="50">
        <v>1</v>
      </c>
      <c r="H4440" s="50" t="s">
        <v>2</v>
      </c>
      <c r="I4440" s="50" t="s">
        <v>291</v>
      </c>
      <c r="J4440" s="51">
        <v>45964</v>
      </c>
      <c r="K4440" s="50" t="s">
        <v>3</v>
      </c>
      <c r="L4440" s="50" t="s">
        <v>80</v>
      </c>
    </row>
    <row r="4441" spans="2:12">
      <c r="B4441" s="50" t="s">
        <v>444</v>
      </c>
      <c r="C4441" s="50" t="s">
        <v>51</v>
      </c>
      <c r="D4441" s="50" t="s">
        <v>27</v>
      </c>
      <c r="E4441" s="50">
        <v>50038841</v>
      </c>
      <c r="F4441" s="50" t="s">
        <v>180</v>
      </c>
      <c r="G4441" s="50">
        <v>1</v>
      </c>
      <c r="H4441" s="50" t="s">
        <v>2</v>
      </c>
      <c r="I4441" s="50" t="s">
        <v>290</v>
      </c>
      <c r="J4441" s="51">
        <v>45964</v>
      </c>
      <c r="K4441" s="50" t="s">
        <v>1</v>
      </c>
      <c r="L4441" s="50" t="s">
        <v>80</v>
      </c>
    </row>
    <row r="4442" spans="2:12">
      <c r="B4442" s="50" t="s">
        <v>444</v>
      </c>
      <c r="C4442" s="50" t="s">
        <v>51</v>
      </c>
      <c r="D4442" s="50" t="s">
        <v>27</v>
      </c>
      <c r="E4442" s="50">
        <v>50038841</v>
      </c>
      <c r="F4442" s="50" t="s">
        <v>180</v>
      </c>
      <c r="G4442" s="50">
        <v>1</v>
      </c>
      <c r="H4442" s="50" t="s">
        <v>2</v>
      </c>
      <c r="I4442" s="50" t="s">
        <v>291</v>
      </c>
      <c r="J4442" s="51">
        <v>45964</v>
      </c>
      <c r="K4442" s="50" t="s">
        <v>1</v>
      </c>
      <c r="L4442" s="50" t="s">
        <v>80</v>
      </c>
    </row>
    <row r="4443" spans="2:12">
      <c r="B4443" s="50" t="s">
        <v>399</v>
      </c>
      <c r="C4443" s="50" t="s">
        <v>51</v>
      </c>
      <c r="D4443" s="50" t="s">
        <v>27</v>
      </c>
      <c r="E4443" s="50">
        <v>50039065</v>
      </c>
      <c r="F4443" s="50" t="s">
        <v>186</v>
      </c>
      <c r="G4443" s="50">
        <v>1</v>
      </c>
      <c r="H4443" s="50" t="s">
        <v>2</v>
      </c>
      <c r="I4443" s="50" t="s">
        <v>293</v>
      </c>
      <c r="J4443" s="51">
        <v>45964</v>
      </c>
      <c r="K4443" s="50" t="s">
        <v>3</v>
      </c>
      <c r="L4443" s="50" t="s">
        <v>80</v>
      </c>
    </row>
    <row r="4444" spans="2:12">
      <c r="B4444" s="50" t="s">
        <v>399</v>
      </c>
      <c r="C4444" s="50" t="s">
        <v>51</v>
      </c>
      <c r="D4444" s="50" t="s">
        <v>27</v>
      </c>
      <c r="E4444" s="50">
        <v>50039065</v>
      </c>
      <c r="F4444" s="50" t="s">
        <v>186</v>
      </c>
      <c r="G4444" s="50">
        <v>1</v>
      </c>
      <c r="H4444" s="50" t="s">
        <v>2</v>
      </c>
      <c r="I4444" s="50" t="s">
        <v>291</v>
      </c>
      <c r="J4444" s="51">
        <v>45964</v>
      </c>
      <c r="K4444" s="50" t="s">
        <v>1</v>
      </c>
      <c r="L4444" s="50" t="s">
        <v>80</v>
      </c>
    </row>
    <row r="4445" spans="2:12">
      <c r="B4445" s="50" t="s">
        <v>394</v>
      </c>
      <c r="C4445" s="50" t="s">
        <v>26</v>
      </c>
      <c r="D4445" s="50" t="s">
        <v>41</v>
      </c>
      <c r="E4445" s="50">
        <v>50039065</v>
      </c>
      <c r="F4445" s="50" t="s">
        <v>186</v>
      </c>
      <c r="G4445" s="50">
        <v>1</v>
      </c>
      <c r="H4445" s="50" t="s">
        <v>2</v>
      </c>
      <c r="I4445" s="50" t="s">
        <v>291</v>
      </c>
      <c r="J4445" s="51">
        <v>45964</v>
      </c>
      <c r="K4445" s="50" t="s">
        <v>1</v>
      </c>
      <c r="L4445" s="50" t="s">
        <v>80</v>
      </c>
    </row>
    <row r="4446" spans="2:12">
      <c r="B4446" s="50" t="s">
        <v>427</v>
      </c>
      <c r="C4446" s="50" t="s">
        <v>26</v>
      </c>
      <c r="D4446" s="50" t="s">
        <v>27</v>
      </c>
      <c r="E4446" s="50">
        <v>50038626</v>
      </c>
      <c r="F4446" s="50" t="s">
        <v>190</v>
      </c>
      <c r="G4446" s="50">
        <v>1</v>
      </c>
      <c r="H4446" s="50" t="s">
        <v>2</v>
      </c>
      <c r="I4446" s="50" t="s">
        <v>293</v>
      </c>
      <c r="J4446" s="51">
        <v>45964</v>
      </c>
      <c r="K4446" s="50" t="s">
        <v>3</v>
      </c>
      <c r="L4446" s="50" t="s">
        <v>80</v>
      </c>
    </row>
    <row r="4447" spans="2:12">
      <c r="B4447" s="50" t="s">
        <v>427</v>
      </c>
      <c r="C4447" s="50" t="s">
        <v>26</v>
      </c>
      <c r="D4447" s="50" t="s">
        <v>27</v>
      </c>
      <c r="E4447" s="50">
        <v>50038626</v>
      </c>
      <c r="F4447" s="50" t="s">
        <v>190</v>
      </c>
      <c r="G4447" s="50">
        <v>1</v>
      </c>
      <c r="H4447" s="50" t="s">
        <v>2</v>
      </c>
      <c r="I4447" s="50" t="s">
        <v>291</v>
      </c>
      <c r="J4447" s="51">
        <v>45964</v>
      </c>
      <c r="K4447" s="50" t="s">
        <v>3</v>
      </c>
      <c r="L4447" s="50" t="s">
        <v>80</v>
      </c>
    </row>
    <row r="4448" spans="2:12">
      <c r="B4448" s="50" t="s">
        <v>423</v>
      </c>
      <c r="C4448" s="50" t="s">
        <v>62</v>
      </c>
      <c r="D4448" s="50" t="s">
        <v>27</v>
      </c>
      <c r="E4448" s="50">
        <v>50041195</v>
      </c>
      <c r="F4448" s="50" t="s">
        <v>206</v>
      </c>
      <c r="G4448" s="50">
        <v>1</v>
      </c>
      <c r="H4448" s="50" t="s">
        <v>2</v>
      </c>
      <c r="I4448" s="50" t="s">
        <v>297</v>
      </c>
      <c r="J4448" s="51">
        <v>45964</v>
      </c>
      <c r="K4448" s="50" t="s">
        <v>1</v>
      </c>
      <c r="L4448" s="50" t="s">
        <v>80</v>
      </c>
    </row>
    <row r="4449" spans="2:12">
      <c r="B4449" s="50" t="s">
        <v>345</v>
      </c>
      <c r="C4449" s="50" t="s">
        <v>62</v>
      </c>
      <c r="D4449" s="50" t="s">
        <v>27</v>
      </c>
      <c r="E4449" s="50">
        <v>50041195</v>
      </c>
      <c r="F4449" s="50" t="s">
        <v>206</v>
      </c>
      <c r="G4449" s="50">
        <v>1</v>
      </c>
      <c r="H4449" s="50" t="s">
        <v>2</v>
      </c>
      <c r="I4449" s="50" t="s">
        <v>291</v>
      </c>
      <c r="J4449" s="51">
        <v>45964</v>
      </c>
      <c r="K4449" s="50" t="s">
        <v>3</v>
      </c>
      <c r="L4449" s="50" t="s">
        <v>80</v>
      </c>
    </row>
    <row r="4450" spans="2:12">
      <c r="B4450" s="50" t="s">
        <v>481</v>
      </c>
      <c r="C4450" s="50" t="s">
        <v>56</v>
      </c>
      <c r="D4450" s="50" t="s">
        <v>27</v>
      </c>
      <c r="E4450" s="50">
        <v>50043917</v>
      </c>
      <c r="F4450" s="50" t="s">
        <v>262</v>
      </c>
      <c r="G4450" s="50">
        <v>1</v>
      </c>
      <c r="H4450" s="50" t="s">
        <v>2</v>
      </c>
      <c r="I4450" s="50" t="s">
        <v>290</v>
      </c>
      <c r="J4450" s="51">
        <v>45964</v>
      </c>
      <c r="K4450" s="50" t="s">
        <v>1</v>
      </c>
      <c r="L4450" s="50" t="s">
        <v>80</v>
      </c>
    </row>
    <row r="4451" spans="2:12">
      <c r="B4451" s="50" t="s">
        <v>481</v>
      </c>
      <c r="C4451" s="50" t="s">
        <v>56</v>
      </c>
      <c r="D4451" s="50" t="s">
        <v>27</v>
      </c>
      <c r="E4451" s="50">
        <v>50043917</v>
      </c>
      <c r="F4451" s="50" t="s">
        <v>262</v>
      </c>
      <c r="G4451" s="50">
        <v>1</v>
      </c>
      <c r="H4451" s="50" t="s">
        <v>2</v>
      </c>
      <c r="I4451" s="50" t="s">
        <v>291</v>
      </c>
      <c r="J4451" s="51">
        <v>45964</v>
      </c>
      <c r="K4451" s="50" t="s">
        <v>1</v>
      </c>
      <c r="L4451" s="50" t="s">
        <v>80</v>
      </c>
    </row>
    <row r="4452" spans="2:12">
      <c r="B4452" s="50" t="s">
        <v>406</v>
      </c>
      <c r="C4452" s="50" t="s">
        <v>26</v>
      </c>
      <c r="D4452" s="50" t="s">
        <v>39</v>
      </c>
      <c r="E4452" s="50">
        <v>50012903</v>
      </c>
      <c r="F4452" s="50" t="s">
        <v>308</v>
      </c>
      <c r="G4452" s="50">
        <v>1</v>
      </c>
      <c r="H4452" s="50" t="s">
        <v>2</v>
      </c>
      <c r="I4452" s="50" t="s">
        <v>293</v>
      </c>
      <c r="J4452" s="51">
        <v>45964</v>
      </c>
      <c r="K4452" s="50" t="s">
        <v>3</v>
      </c>
      <c r="L4452" s="50" t="s">
        <v>80</v>
      </c>
    </row>
    <row r="4453" spans="2:12">
      <c r="B4453" s="50" t="s">
        <v>406</v>
      </c>
      <c r="C4453" s="50" t="s">
        <v>26</v>
      </c>
      <c r="D4453" s="50" t="s">
        <v>39</v>
      </c>
      <c r="E4453" s="50">
        <v>50012903</v>
      </c>
      <c r="F4453" s="50" t="s">
        <v>308</v>
      </c>
      <c r="G4453" s="50">
        <v>1</v>
      </c>
      <c r="H4453" s="50" t="s">
        <v>2</v>
      </c>
      <c r="I4453" s="50" t="s">
        <v>291</v>
      </c>
      <c r="J4453" s="51">
        <v>45964</v>
      </c>
      <c r="K4453" s="50" t="s">
        <v>3</v>
      </c>
      <c r="L4453" s="50" t="s">
        <v>80</v>
      </c>
    </row>
    <row r="4454" spans="2:12">
      <c r="B4454" s="50" t="s">
        <v>406</v>
      </c>
      <c r="C4454" s="50" t="s">
        <v>26</v>
      </c>
      <c r="D4454" s="50" t="s">
        <v>39</v>
      </c>
      <c r="E4454" s="50">
        <v>50012902</v>
      </c>
      <c r="F4454" s="50" t="s">
        <v>225</v>
      </c>
      <c r="G4454" s="50">
        <v>1</v>
      </c>
      <c r="H4454" s="50" t="s">
        <v>2</v>
      </c>
      <c r="I4454" s="50" t="s">
        <v>293</v>
      </c>
      <c r="J4454" s="51">
        <v>45964</v>
      </c>
      <c r="K4454" s="50" t="s">
        <v>1</v>
      </c>
      <c r="L4454" s="50" t="s">
        <v>80</v>
      </c>
    </row>
    <row r="4455" spans="2:12">
      <c r="B4455" s="50" t="s">
        <v>406</v>
      </c>
      <c r="C4455" s="50" t="s">
        <v>26</v>
      </c>
      <c r="D4455" s="50" t="s">
        <v>39</v>
      </c>
      <c r="E4455" s="50">
        <v>50012902</v>
      </c>
      <c r="F4455" s="50" t="s">
        <v>225</v>
      </c>
      <c r="G4455" s="50">
        <v>1</v>
      </c>
      <c r="H4455" s="50" t="s">
        <v>2</v>
      </c>
      <c r="I4455" s="50" t="s">
        <v>291</v>
      </c>
      <c r="J4455" s="51">
        <v>45964</v>
      </c>
      <c r="K4455" s="50" t="s">
        <v>1</v>
      </c>
      <c r="L4455" s="50" t="s">
        <v>80</v>
      </c>
    </row>
    <row r="4456" spans="2:12">
      <c r="B4456" s="50" t="s">
        <v>482</v>
      </c>
      <c r="C4456" s="50" t="s">
        <v>51</v>
      </c>
      <c r="D4456" s="50" t="s">
        <v>39</v>
      </c>
      <c r="E4456" s="50">
        <v>50032781</v>
      </c>
      <c r="F4456" s="50" t="s">
        <v>237</v>
      </c>
      <c r="G4456" s="50">
        <v>1</v>
      </c>
      <c r="H4456" s="50" t="s">
        <v>2</v>
      </c>
      <c r="I4456" s="50" t="s">
        <v>290</v>
      </c>
      <c r="J4456" s="51">
        <v>45964</v>
      </c>
      <c r="K4456" s="50" t="s">
        <v>3</v>
      </c>
      <c r="L4456" s="50" t="s">
        <v>80</v>
      </c>
    </row>
    <row r="4457" spans="2:12">
      <c r="B4457" s="50" t="s">
        <v>482</v>
      </c>
      <c r="C4457" s="50" t="s">
        <v>51</v>
      </c>
      <c r="D4457" s="50" t="s">
        <v>39</v>
      </c>
      <c r="E4457" s="50">
        <v>50032781</v>
      </c>
      <c r="F4457" s="50" t="s">
        <v>237</v>
      </c>
      <c r="G4457" s="50">
        <v>1</v>
      </c>
      <c r="H4457" s="50" t="s">
        <v>4</v>
      </c>
      <c r="I4457" s="50" t="s">
        <v>290</v>
      </c>
      <c r="J4457" s="51">
        <v>45964</v>
      </c>
      <c r="K4457" s="50" t="s">
        <v>1</v>
      </c>
      <c r="L4457" s="50" t="s">
        <v>80</v>
      </c>
    </row>
    <row r="4458" spans="2:12">
      <c r="B4458" s="50" t="s">
        <v>399</v>
      </c>
      <c r="C4458" s="50" t="s">
        <v>51</v>
      </c>
      <c r="D4458" s="50" t="s">
        <v>27</v>
      </c>
      <c r="E4458" s="50">
        <v>50032781</v>
      </c>
      <c r="F4458" s="50" t="s">
        <v>237</v>
      </c>
      <c r="G4458" s="50">
        <v>1</v>
      </c>
      <c r="H4458" s="50" t="s">
        <v>2</v>
      </c>
      <c r="I4458" s="50" t="s">
        <v>293</v>
      </c>
      <c r="J4458" s="51">
        <v>45964</v>
      </c>
      <c r="K4458" s="50" t="s">
        <v>3</v>
      </c>
      <c r="L4458" s="50" t="s">
        <v>80</v>
      </c>
    </row>
    <row r="4459" spans="2:12">
      <c r="B4459" s="50" t="s">
        <v>399</v>
      </c>
      <c r="C4459" s="50" t="s">
        <v>51</v>
      </c>
      <c r="D4459" s="50" t="s">
        <v>27</v>
      </c>
      <c r="E4459" s="50">
        <v>50032781</v>
      </c>
      <c r="F4459" s="50" t="s">
        <v>237</v>
      </c>
      <c r="G4459" s="50">
        <v>1</v>
      </c>
      <c r="H4459" s="50" t="s">
        <v>2</v>
      </c>
      <c r="I4459" s="50" t="s">
        <v>293</v>
      </c>
      <c r="J4459" s="51">
        <v>45964</v>
      </c>
      <c r="K4459" s="50" t="s">
        <v>1</v>
      </c>
      <c r="L4459" s="50" t="s">
        <v>80</v>
      </c>
    </row>
    <row r="4460" spans="2:12">
      <c r="B4460" s="50" t="s">
        <v>407</v>
      </c>
      <c r="C4460" s="50" t="s">
        <v>56</v>
      </c>
      <c r="D4460" s="50" t="s">
        <v>39</v>
      </c>
      <c r="E4460" s="50">
        <v>50043150</v>
      </c>
      <c r="F4460" s="50" t="s">
        <v>259</v>
      </c>
      <c r="G4460" s="50">
        <v>1</v>
      </c>
      <c r="H4460" s="50" t="s">
        <v>2</v>
      </c>
      <c r="I4460" s="50" t="s">
        <v>293</v>
      </c>
      <c r="J4460" s="51">
        <v>45964</v>
      </c>
      <c r="K4460" s="50" t="s">
        <v>3</v>
      </c>
      <c r="L4460" s="50" t="s">
        <v>80</v>
      </c>
    </row>
    <row r="4461" spans="2:12">
      <c r="B4461" s="50" t="s">
        <v>407</v>
      </c>
      <c r="C4461" s="50" t="s">
        <v>56</v>
      </c>
      <c r="D4461" s="50" t="s">
        <v>39</v>
      </c>
      <c r="E4461" s="50">
        <v>50043150</v>
      </c>
      <c r="F4461" s="50" t="s">
        <v>259</v>
      </c>
      <c r="G4461" s="50">
        <v>1</v>
      </c>
      <c r="H4461" s="50" t="s">
        <v>2</v>
      </c>
      <c r="I4461" s="50" t="s">
        <v>287</v>
      </c>
      <c r="J4461" s="51">
        <v>45964</v>
      </c>
      <c r="K4461" s="50" t="s">
        <v>1</v>
      </c>
      <c r="L4461" s="50" t="s">
        <v>80</v>
      </c>
    </row>
    <row r="4462" spans="2:12">
      <c r="B4462" s="50" t="s">
        <v>406</v>
      </c>
      <c r="C4462" s="50" t="s">
        <v>26</v>
      </c>
      <c r="D4462" s="50" t="s">
        <v>39</v>
      </c>
      <c r="E4462" s="50">
        <v>50010031</v>
      </c>
      <c r="F4462" s="50" t="s">
        <v>89</v>
      </c>
      <c r="G4462" s="50">
        <v>1</v>
      </c>
      <c r="H4462" s="50" t="s">
        <v>4</v>
      </c>
      <c r="I4462" s="50" t="s">
        <v>287</v>
      </c>
      <c r="J4462" s="51">
        <v>45963</v>
      </c>
      <c r="K4462" s="50" t="s">
        <v>3</v>
      </c>
      <c r="L4462" s="50" t="s">
        <v>80</v>
      </c>
    </row>
    <row r="4463" spans="2:12">
      <c r="B4463" s="50" t="s">
        <v>278</v>
      </c>
      <c r="C4463" s="50" t="s">
        <v>62</v>
      </c>
      <c r="D4463" s="50" t="s">
        <v>27</v>
      </c>
      <c r="E4463" s="50">
        <v>50010031</v>
      </c>
      <c r="F4463" s="50" t="s">
        <v>89</v>
      </c>
      <c r="G4463" s="50">
        <v>1</v>
      </c>
      <c r="H4463" s="50" t="s">
        <v>4</v>
      </c>
      <c r="I4463" s="50" t="s">
        <v>287</v>
      </c>
      <c r="J4463" s="51">
        <v>45963</v>
      </c>
      <c r="K4463" s="50" t="s">
        <v>3</v>
      </c>
      <c r="L4463" s="50" t="s">
        <v>80</v>
      </c>
    </row>
    <row r="4464" spans="2:12">
      <c r="B4464" s="50" t="s">
        <v>278</v>
      </c>
      <c r="C4464" s="50" t="s">
        <v>62</v>
      </c>
      <c r="D4464" s="50" t="s">
        <v>27</v>
      </c>
      <c r="E4464" s="50">
        <v>50010031</v>
      </c>
      <c r="F4464" s="50" t="s">
        <v>89</v>
      </c>
      <c r="G4464" s="50">
        <v>1</v>
      </c>
      <c r="H4464" s="50" t="s">
        <v>4</v>
      </c>
      <c r="I4464" s="50" t="s">
        <v>287</v>
      </c>
      <c r="J4464" s="51">
        <v>45963</v>
      </c>
      <c r="K4464" s="50" t="s">
        <v>1</v>
      </c>
      <c r="L4464" s="50" t="s">
        <v>80</v>
      </c>
    </row>
    <row r="4465" spans="2:12">
      <c r="B4465" s="50" t="s">
        <v>270</v>
      </c>
      <c r="C4465" s="50" t="s">
        <v>51</v>
      </c>
      <c r="D4465" s="50" t="s">
        <v>41</v>
      </c>
      <c r="E4465" s="50">
        <v>50030486</v>
      </c>
      <c r="F4465" s="50" t="s">
        <v>153</v>
      </c>
      <c r="G4465" s="50">
        <v>1</v>
      </c>
      <c r="H4465" s="50" t="s">
        <v>2</v>
      </c>
      <c r="I4465" s="50" t="s">
        <v>287</v>
      </c>
      <c r="J4465" s="51">
        <v>45963</v>
      </c>
      <c r="K4465" s="50" t="s">
        <v>3</v>
      </c>
      <c r="L4465" s="50" t="s">
        <v>80</v>
      </c>
    </row>
    <row r="4466" spans="2:12">
      <c r="B4466" s="50" t="s">
        <v>270</v>
      </c>
      <c r="C4466" s="50" t="s">
        <v>51</v>
      </c>
      <c r="D4466" s="50" t="s">
        <v>41</v>
      </c>
      <c r="E4466" s="50">
        <v>50030486</v>
      </c>
      <c r="F4466" s="50" t="s">
        <v>153</v>
      </c>
      <c r="G4466" s="50">
        <v>1</v>
      </c>
      <c r="H4466" s="50" t="s">
        <v>2</v>
      </c>
      <c r="I4466" s="50" t="s">
        <v>287</v>
      </c>
      <c r="J4466" s="51">
        <v>45963</v>
      </c>
      <c r="K4466" s="50" t="s">
        <v>1</v>
      </c>
      <c r="L4466" s="50" t="s">
        <v>80</v>
      </c>
    </row>
    <row r="4467" spans="2:12">
      <c r="B4467" s="50" t="s">
        <v>427</v>
      </c>
      <c r="C4467" s="50" t="s">
        <v>26</v>
      </c>
      <c r="D4467" s="50" t="s">
        <v>27</v>
      </c>
      <c r="E4467" s="50">
        <v>50043471</v>
      </c>
      <c r="F4467" s="50" t="s">
        <v>257</v>
      </c>
      <c r="G4467" s="50">
        <v>1</v>
      </c>
      <c r="H4467" s="50" t="s">
        <v>2</v>
      </c>
      <c r="I4467" s="50" t="s">
        <v>287</v>
      </c>
      <c r="J4467" s="51">
        <v>45963</v>
      </c>
      <c r="K4467" s="50" t="s">
        <v>3</v>
      </c>
      <c r="L4467" s="50" t="s">
        <v>80</v>
      </c>
    </row>
    <row r="4468" spans="2:12">
      <c r="B4468" s="50" t="s">
        <v>427</v>
      </c>
      <c r="C4468" s="50" t="s">
        <v>26</v>
      </c>
      <c r="D4468" s="50" t="s">
        <v>27</v>
      </c>
      <c r="E4468" s="50">
        <v>50043471</v>
      </c>
      <c r="F4468" s="50" t="s">
        <v>257</v>
      </c>
      <c r="G4468" s="50">
        <v>1</v>
      </c>
      <c r="H4468" s="50" t="s">
        <v>2</v>
      </c>
      <c r="I4468" s="50" t="s">
        <v>287</v>
      </c>
      <c r="J4468" s="51">
        <v>45963</v>
      </c>
      <c r="K4468" s="50" t="s">
        <v>1</v>
      </c>
      <c r="L4468" s="50" t="s">
        <v>80</v>
      </c>
    </row>
    <row r="4469" spans="2:12">
      <c r="B4469" s="50" t="s">
        <v>386</v>
      </c>
      <c r="C4469" s="50" t="s">
        <v>26</v>
      </c>
      <c r="D4469" s="50" t="s">
        <v>27</v>
      </c>
      <c r="E4469" s="50">
        <v>50038549</v>
      </c>
      <c r="F4469" s="50" t="s">
        <v>173</v>
      </c>
      <c r="G4469" s="50">
        <v>1</v>
      </c>
      <c r="H4469" s="50" t="s">
        <v>2</v>
      </c>
      <c r="I4469" s="50" t="s">
        <v>287</v>
      </c>
      <c r="J4469" s="51">
        <v>45963</v>
      </c>
      <c r="K4469" s="50" t="s">
        <v>3</v>
      </c>
      <c r="L4469" s="50" t="s">
        <v>80</v>
      </c>
    </row>
    <row r="4470" spans="2:12">
      <c r="B4470" s="50" t="s">
        <v>386</v>
      </c>
      <c r="C4470" s="50" t="s">
        <v>26</v>
      </c>
      <c r="D4470" s="50" t="s">
        <v>27</v>
      </c>
      <c r="E4470" s="50">
        <v>50038549</v>
      </c>
      <c r="F4470" s="50" t="s">
        <v>173</v>
      </c>
      <c r="G4470" s="50">
        <v>1</v>
      </c>
      <c r="H4470" s="50" t="s">
        <v>2</v>
      </c>
      <c r="I4470" s="50" t="s">
        <v>287</v>
      </c>
      <c r="J4470" s="51">
        <v>45963</v>
      </c>
      <c r="K4470" s="50" t="s">
        <v>3</v>
      </c>
      <c r="L4470" s="50" t="s">
        <v>80</v>
      </c>
    </row>
    <row r="4471" spans="2:12">
      <c r="B4471" s="50" t="s">
        <v>386</v>
      </c>
      <c r="C4471" s="50" t="s">
        <v>26</v>
      </c>
      <c r="D4471" s="50" t="s">
        <v>27</v>
      </c>
      <c r="E4471" s="50">
        <v>50037892</v>
      </c>
      <c r="F4471" s="50" t="s">
        <v>178</v>
      </c>
      <c r="G4471" s="50">
        <v>1</v>
      </c>
      <c r="H4471" s="50" t="s">
        <v>2</v>
      </c>
      <c r="I4471" s="50" t="s">
        <v>287</v>
      </c>
      <c r="J4471" s="51">
        <v>45963</v>
      </c>
      <c r="K4471" s="50" t="s">
        <v>1</v>
      </c>
      <c r="L4471" s="50" t="s">
        <v>80</v>
      </c>
    </row>
    <row r="4472" spans="2:12">
      <c r="B4472" s="50" t="s">
        <v>474</v>
      </c>
      <c r="C4472" s="50" t="s">
        <v>51</v>
      </c>
      <c r="D4472" s="50" t="s">
        <v>27</v>
      </c>
      <c r="E4472" s="50">
        <v>50037892</v>
      </c>
      <c r="F4472" s="50" t="s">
        <v>178</v>
      </c>
      <c r="G4472" s="50">
        <v>1</v>
      </c>
      <c r="H4472" s="50" t="s">
        <v>2</v>
      </c>
      <c r="I4472" s="50" t="s">
        <v>287</v>
      </c>
      <c r="J4472" s="51">
        <v>45963</v>
      </c>
      <c r="K4472" s="50" t="s">
        <v>3</v>
      </c>
      <c r="L4472" s="50" t="s">
        <v>80</v>
      </c>
    </row>
    <row r="4473" spans="2:12">
      <c r="B4473" s="50" t="s">
        <v>481</v>
      </c>
      <c r="C4473" s="50" t="s">
        <v>26</v>
      </c>
      <c r="D4473" s="50" t="s">
        <v>27</v>
      </c>
      <c r="E4473" s="50">
        <v>50037902</v>
      </c>
      <c r="F4473" s="50" t="s">
        <v>179</v>
      </c>
      <c r="G4473" s="50">
        <v>1</v>
      </c>
      <c r="H4473" s="50" t="s">
        <v>2</v>
      </c>
      <c r="I4473" s="50" t="s">
        <v>287</v>
      </c>
      <c r="J4473" s="51">
        <v>45963</v>
      </c>
      <c r="K4473" s="50" t="s">
        <v>3</v>
      </c>
      <c r="L4473" s="50" t="s">
        <v>80</v>
      </c>
    </row>
    <row r="4474" spans="2:12">
      <c r="B4474" s="50" t="s">
        <v>481</v>
      </c>
      <c r="C4474" s="50" t="s">
        <v>26</v>
      </c>
      <c r="D4474" s="50" t="s">
        <v>27</v>
      </c>
      <c r="E4474" s="50">
        <v>50037902</v>
      </c>
      <c r="F4474" s="50" t="s">
        <v>179</v>
      </c>
      <c r="G4474" s="50">
        <v>1</v>
      </c>
      <c r="H4474" s="50" t="s">
        <v>2</v>
      </c>
      <c r="I4474" s="50" t="s">
        <v>287</v>
      </c>
      <c r="J4474" s="51">
        <v>45963</v>
      </c>
      <c r="K4474" s="50" t="s">
        <v>3</v>
      </c>
      <c r="L4474" s="50" t="s">
        <v>80</v>
      </c>
    </row>
    <row r="4475" spans="2:12">
      <c r="B4475" s="50" t="s">
        <v>386</v>
      </c>
      <c r="C4475" s="50" t="s">
        <v>26</v>
      </c>
      <c r="D4475" s="50" t="s">
        <v>27</v>
      </c>
      <c r="E4475" s="50">
        <v>50038841</v>
      </c>
      <c r="F4475" s="50" t="s">
        <v>180</v>
      </c>
      <c r="G4475" s="50">
        <v>1</v>
      </c>
      <c r="H4475" s="50" t="s">
        <v>2</v>
      </c>
      <c r="I4475" s="50" t="s">
        <v>287</v>
      </c>
      <c r="J4475" s="51">
        <v>45963</v>
      </c>
      <c r="K4475" s="50" t="s">
        <v>1</v>
      </c>
      <c r="L4475" s="50" t="s">
        <v>80</v>
      </c>
    </row>
    <row r="4476" spans="2:12">
      <c r="B4476" s="50" t="s">
        <v>345</v>
      </c>
      <c r="C4476" s="50" t="s">
        <v>62</v>
      </c>
      <c r="D4476" s="50" t="s">
        <v>27</v>
      </c>
      <c r="E4476" s="50">
        <v>50026357</v>
      </c>
      <c r="F4476" s="50" t="s">
        <v>192</v>
      </c>
      <c r="G4476" s="50">
        <v>1</v>
      </c>
      <c r="H4476" s="50" t="s">
        <v>4</v>
      </c>
      <c r="I4476" s="50" t="s">
        <v>287</v>
      </c>
      <c r="J4476" s="51">
        <v>45963</v>
      </c>
      <c r="K4476" s="50" t="s">
        <v>3</v>
      </c>
      <c r="L4476" s="50" t="s">
        <v>80</v>
      </c>
    </row>
    <row r="4477" spans="2:12">
      <c r="B4477" s="50" t="s">
        <v>345</v>
      </c>
      <c r="C4477" s="50" t="s">
        <v>62</v>
      </c>
      <c r="D4477" s="50" t="s">
        <v>27</v>
      </c>
      <c r="E4477" s="50">
        <v>50026357</v>
      </c>
      <c r="F4477" s="50" t="s">
        <v>192</v>
      </c>
      <c r="G4477" s="50">
        <v>1</v>
      </c>
      <c r="H4477" s="50" t="s">
        <v>2</v>
      </c>
      <c r="I4477" s="50" t="s">
        <v>287</v>
      </c>
      <c r="J4477" s="51">
        <v>45963</v>
      </c>
      <c r="K4477" s="50" t="s">
        <v>1</v>
      </c>
      <c r="L4477" s="50" t="s">
        <v>80</v>
      </c>
    </row>
    <row r="4478" spans="2:12">
      <c r="B4478" s="50" t="s">
        <v>278</v>
      </c>
      <c r="C4478" s="50" t="s">
        <v>62</v>
      </c>
      <c r="D4478" s="50" t="s">
        <v>27</v>
      </c>
      <c r="E4478" s="50">
        <v>50041124</v>
      </c>
      <c r="F4478" s="50" t="s">
        <v>202</v>
      </c>
      <c r="G4478" s="50">
        <v>1</v>
      </c>
      <c r="H4478" s="50" t="s">
        <v>4</v>
      </c>
      <c r="I4478" s="50" t="s">
        <v>287</v>
      </c>
      <c r="J4478" s="51">
        <v>45963</v>
      </c>
      <c r="K4478" s="50" t="s">
        <v>3</v>
      </c>
      <c r="L4478" s="50" t="s">
        <v>80</v>
      </c>
    </row>
    <row r="4479" spans="2:12">
      <c r="B4479" s="50" t="s">
        <v>278</v>
      </c>
      <c r="C4479" s="50" t="s">
        <v>62</v>
      </c>
      <c r="D4479" s="50" t="s">
        <v>27</v>
      </c>
      <c r="E4479" s="50">
        <v>50041124</v>
      </c>
      <c r="F4479" s="50" t="s">
        <v>202</v>
      </c>
      <c r="G4479" s="50">
        <v>1</v>
      </c>
      <c r="H4479" s="50" t="s">
        <v>4</v>
      </c>
      <c r="I4479" s="50" t="s">
        <v>287</v>
      </c>
      <c r="J4479" s="51">
        <v>45963</v>
      </c>
      <c r="K4479" s="50" t="s">
        <v>1</v>
      </c>
      <c r="L4479" s="50" t="s">
        <v>80</v>
      </c>
    </row>
    <row r="4480" spans="2:12">
      <c r="B4480" s="50" t="s">
        <v>444</v>
      </c>
      <c r="C4480" s="50" t="s">
        <v>56</v>
      </c>
      <c r="D4480" s="50" t="s">
        <v>27</v>
      </c>
      <c r="E4480" s="50">
        <v>50043917</v>
      </c>
      <c r="F4480" s="50" t="s">
        <v>262</v>
      </c>
      <c r="G4480" s="50">
        <v>1</v>
      </c>
      <c r="H4480" s="50" t="s">
        <v>2</v>
      </c>
      <c r="I4480" s="50" t="s">
        <v>287</v>
      </c>
      <c r="J4480" s="51">
        <v>45963</v>
      </c>
      <c r="K4480" s="50" t="s">
        <v>3</v>
      </c>
      <c r="L4480" s="50"/>
    </row>
    <row r="4481" spans="2:12">
      <c r="B4481" s="50" t="s">
        <v>59</v>
      </c>
      <c r="C4481" s="50" t="s">
        <v>56</v>
      </c>
      <c r="D4481" s="50" t="s">
        <v>41</v>
      </c>
      <c r="E4481" s="50">
        <v>50043917</v>
      </c>
      <c r="F4481" s="50" t="s">
        <v>262</v>
      </c>
      <c r="G4481" s="50">
        <v>1</v>
      </c>
      <c r="H4481" s="50" t="s">
        <v>2</v>
      </c>
      <c r="I4481" s="50" t="s">
        <v>287</v>
      </c>
      <c r="J4481" s="51">
        <v>45963</v>
      </c>
      <c r="K4481" s="50" t="s">
        <v>3</v>
      </c>
      <c r="L4481" s="50" t="s">
        <v>80</v>
      </c>
    </row>
    <row r="4482" spans="2:12">
      <c r="B4482" s="50" t="s">
        <v>59</v>
      </c>
      <c r="C4482" s="50" t="s">
        <v>56</v>
      </c>
      <c r="D4482" s="50" t="s">
        <v>41</v>
      </c>
      <c r="E4482" s="50">
        <v>50043917</v>
      </c>
      <c r="F4482" s="50" t="s">
        <v>262</v>
      </c>
      <c r="G4482" s="50">
        <v>1</v>
      </c>
      <c r="H4482" s="50" t="s">
        <v>2</v>
      </c>
      <c r="I4482" s="50" t="s">
        <v>287</v>
      </c>
      <c r="J4482" s="51">
        <v>45963</v>
      </c>
      <c r="K4482" s="50" t="s">
        <v>3</v>
      </c>
      <c r="L4482" s="50" t="s">
        <v>80</v>
      </c>
    </row>
    <row r="4483" spans="2:12">
      <c r="B4483" s="50" t="s">
        <v>406</v>
      </c>
      <c r="C4483" s="50" t="s">
        <v>26</v>
      </c>
      <c r="D4483" s="50" t="s">
        <v>39</v>
      </c>
      <c r="E4483" s="50">
        <v>50012902</v>
      </c>
      <c r="F4483" s="50" t="s">
        <v>225</v>
      </c>
      <c r="G4483" s="50">
        <v>1</v>
      </c>
      <c r="H4483" s="50" t="s">
        <v>2</v>
      </c>
      <c r="I4483" s="50" t="s">
        <v>287</v>
      </c>
      <c r="J4483" s="51">
        <v>45963</v>
      </c>
      <c r="K4483" s="50" t="s">
        <v>1</v>
      </c>
      <c r="L4483" s="50" t="s">
        <v>80</v>
      </c>
    </row>
    <row r="4484" spans="2:12">
      <c r="B4484" s="50" t="s">
        <v>483</v>
      </c>
      <c r="C4484" s="50" t="s">
        <v>62</v>
      </c>
      <c r="D4484" s="50" t="s">
        <v>27</v>
      </c>
      <c r="E4484" s="50">
        <v>50038840</v>
      </c>
      <c r="F4484" s="50" t="s">
        <v>235</v>
      </c>
      <c r="G4484" s="50">
        <v>1</v>
      </c>
      <c r="H4484" s="50" t="s">
        <v>4</v>
      </c>
      <c r="I4484" s="50" t="s">
        <v>287</v>
      </c>
      <c r="J4484" s="51">
        <v>45963</v>
      </c>
      <c r="K4484" s="50" t="s">
        <v>3</v>
      </c>
      <c r="L4484" s="50" t="s">
        <v>80</v>
      </c>
    </row>
    <row r="4485" spans="2:12">
      <c r="B4485" s="50" t="s">
        <v>483</v>
      </c>
      <c r="C4485" s="50" t="s">
        <v>62</v>
      </c>
      <c r="D4485" s="50" t="s">
        <v>27</v>
      </c>
      <c r="E4485" s="50">
        <v>50038840</v>
      </c>
      <c r="F4485" s="50" t="s">
        <v>235</v>
      </c>
      <c r="G4485" s="50">
        <v>1</v>
      </c>
      <c r="H4485" s="50" t="s">
        <v>2</v>
      </c>
      <c r="I4485" s="50" t="s">
        <v>287</v>
      </c>
      <c r="J4485" s="51">
        <v>45963</v>
      </c>
      <c r="K4485" s="50" t="s">
        <v>1</v>
      </c>
      <c r="L4485" s="50" t="s">
        <v>80</v>
      </c>
    </row>
    <row r="4486" spans="2:12">
      <c r="B4486" s="50" t="s">
        <v>483</v>
      </c>
      <c r="C4486" s="50" t="s">
        <v>62</v>
      </c>
      <c r="D4486" s="50" t="s">
        <v>27</v>
      </c>
      <c r="E4486" s="50">
        <v>50038618</v>
      </c>
      <c r="F4486" s="50" t="s">
        <v>241</v>
      </c>
      <c r="G4486" s="50">
        <v>1</v>
      </c>
      <c r="H4486" s="50" t="s">
        <v>4</v>
      </c>
      <c r="I4486" s="50" t="s">
        <v>287</v>
      </c>
      <c r="J4486" s="51">
        <v>45963</v>
      </c>
      <c r="K4486" s="50" t="s">
        <v>3</v>
      </c>
      <c r="L4486" s="50" t="s">
        <v>80</v>
      </c>
    </row>
    <row r="4487" spans="2:12">
      <c r="B4487" s="50" t="s">
        <v>483</v>
      </c>
      <c r="C4487" s="50" t="s">
        <v>62</v>
      </c>
      <c r="D4487" s="50" t="s">
        <v>27</v>
      </c>
      <c r="E4487" s="50">
        <v>50038618</v>
      </c>
      <c r="F4487" s="50" t="s">
        <v>241</v>
      </c>
      <c r="G4487" s="50">
        <v>1</v>
      </c>
      <c r="H4487" s="50" t="s">
        <v>2</v>
      </c>
      <c r="I4487" s="50" t="s">
        <v>287</v>
      </c>
      <c r="J4487" s="51">
        <v>45963</v>
      </c>
      <c r="K4487" s="50" t="s">
        <v>1</v>
      </c>
      <c r="L4487" s="50" t="s">
        <v>80</v>
      </c>
    </row>
    <row r="4488" spans="2:12">
      <c r="B4488" s="50" t="s">
        <v>386</v>
      </c>
      <c r="C4488" s="50" t="s">
        <v>56</v>
      </c>
      <c r="D4488" s="50" t="s">
        <v>41</v>
      </c>
      <c r="E4488" s="50">
        <v>50037933</v>
      </c>
      <c r="F4488" s="50" t="s">
        <v>250</v>
      </c>
      <c r="G4488" s="50">
        <v>1</v>
      </c>
      <c r="H4488" s="50" t="s">
        <v>2</v>
      </c>
      <c r="I4488" s="50" t="s">
        <v>287</v>
      </c>
      <c r="J4488" s="51">
        <v>45963</v>
      </c>
      <c r="K4488" s="50" t="s">
        <v>3</v>
      </c>
      <c r="L4488" s="50" t="s">
        <v>80</v>
      </c>
    </row>
    <row r="4489" spans="2:12">
      <c r="B4489" s="50" t="s">
        <v>386</v>
      </c>
      <c r="C4489" s="50" t="s">
        <v>56</v>
      </c>
      <c r="D4489" s="50" t="s">
        <v>41</v>
      </c>
      <c r="E4489" s="50">
        <v>50037933</v>
      </c>
      <c r="F4489" s="50" t="s">
        <v>250</v>
      </c>
      <c r="G4489" s="50">
        <v>1</v>
      </c>
      <c r="H4489" s="50" t="s">
        <v>2</v>
      </c>
      <c r="I4489" s="50" t="s">
        <v>287</v>
      </c>
      <c r="J4489" s="51">
        <v>45963</v>
      </c>
      <c r="K4489" s="50" t="s">
        <v>3</v>
      </c>
      <c r="L4489" s="50" t="s">
        <v>80</v>
      </c>
    </row>
    <row r="4490" spans="2:12">
      <c r="B4490" s="50" t="s">
        <v>277</v>
      </c>
      <c r="C4490" s="50" t="s">
        <v>62</v>
      </c>
      <c r="D4490" s="50" t="s">
        <v>27</v>
      </c>
      <c r="E4490" s="50">
        <v>50037902</v>
      </c>
      <c r="F4490" s="50" t="s">
        <v>179</v>
      </c>
      <c r="G4490" s="50"/>
      <c r="H4490" s="50" t="s">
        <v>2</v>
      </c>
      <c r="I4490" s="50" t="s">
        <v>290</v>
      </c>
      <c r="J4490" s="51">
        <v>45962</v>
      </c>
      <c r="K4490" s="50" t="s">
        <v>1</v>
      </c>
      <c r="L4490" s="50" t="s">
        <v>80</v>
      </c>
    </row>
    <row r="4491" spans="2:12">
      <c r="B4491" s="50" t="s">
        <v>277</v>
      </c>
      <c r="C4491" s="50" t="s">
        <v>62</v>
      </c>
      <c r="D4491" s="50" t="s">
        <v>27</v>
      </c>
      <c r="E4491" s="50">
        <v>50041195</v>
      </c>
      <c r="F4491" s="50" t="s">
        <v>206</v>
      </c>
      <c r="G4491" s="50">
        <v>1</v>
      </c>
      <c r="H4491" s="50" t="s">
        <v>2</v>
      </c>
      <c r="I4491" s="50" t="s">
        <v>290</v>
      </c>
      <c r="J4491" s="51">
        <v>45962</v>
      </c>
      <c r="K4491" s="50" t="s">
        <v>3</v>
      </c>
      <c r="L4491" s="50" t="s">
        <v>80</v>
      </c>
    </row>
    <row r="4492" spans="2:12">
      <c r="B4492" s="50" t="s">
        <v>483</v>
      </c>
      <c r="C4492" s="50" t="s">
        <v>62</v>
      </c>
      <c r="D4492" s="50" t="s">
        <v>27</v>
      </c>
      <c r="E4492" s="50">
        <v>50010031</v>
      </c>
      <c r="F4492" s="50" t="s">
        <v>89</v>
      </c>
      <c r="G4492" s="50">
        <v>1</v>
      </c>
      <c r="H4492" s="50" t="s">
        <v>2</v>
      </c>
      <c r="I4492" s="50" t="s">
        <v>293</v>
      </c>
      <c r="J4492" s="51">
        <v>45961</v>
      </c>
      <c r="K4492" s="50" t="s">
        <v>1</v>
      </c>
      <c r="L4492" s="50" t="s">
        <v>80</v>
      </c>
    </row>
    <row r="4493" spans="2:12">
      <c r="B4493" s="50" t="s">
        <v>483</v>
      </c>
      <c r="C4493" s="50" t="s">
        <v>62</v>
      </c>
      <c r="D4493" s="50" t="s">
        <v>27</v>
      </c>
      <c r="E4493" s="50">
        <v>50010031</v>
      </c>
      <c r="F4493" s="50" t="s">
        <v>89</v>
      </c>
      <c r="G4493" s="50">
        <v>1</v>
      </c>
      <c r="H4493" s="50" t="s">
        <v>2</v>
      </c>
      <c r="I4493" s="50" t="s">
        <v>288</v>
      </c>
      <c r="J4493" s="51">
        <v>45961</v>
      </c>
      <c r="K4493" s="50" t="s">
        <v>1</v>
      </c>
      <c r="L4493" s="50" t="s">
        <v>80</v>
      </c>
    </row>
    <row r="4494" spans="2:12">
      <c r="B4494" s="50" t="s">
        <v>386</v>
      </c>
      <c r="C4494" s="50" t="s">
        <v>62</v>
      </c>
      <c r="D4494" s="50" t="s">
        <v>27</v>
      </c>
      <c r="E4494" s="50">
        <v>50038854</v>
      </c>
      <c r="F4494" s="50" t="s">
        <v>101</v>
      </c>
      <c r="G4494" s="50">
        <v>1</v>
      </c>
      <c r="H4494" s="50" t="s">
        <v>2</v>
      </c>
      <c r="I4494" s="50" t="s">
        <v>293</v>
      </c>
      <c r="J4494" s="51">
        <v>45961</v>
      </c>
      <c r="K4494" s="50" t="s">
        <v>3</v>
      </c>
      <c r="L4494" s="50" t="s">
        <v>80</v>
      </c>
    </row>
    <row r="4495" spans="2:12">
      <c r="B4495" s="50" t="s">
        <v>386</v>
      </c>
      <c r="C4495" s="50" t="s">
        <v>62</v>
      </c>
      <c r="D4495" s="50" t="s">
        <v>27</v>
      </c>
      <c r="E4495" s="50">
        <v>50038854</v>
      </c>
      <c r="F4495" s="50" t="s">
        <v>101</v>
      </c>
      <c r="G4495" s="50">
        <v>1</v>
      </c>
      <c r="H4495" s="50" t="s">
        <v>2</v>
      </c>
      <c r="I4495" s="50" t="s">
        <v>293</v>
      </c>
      <c r="J4495" s="51">
        <v>45961</v>
      </c>
      <c r="K4495" s="50" t="s">
        <v>1</v>
      </c>
      <c r="L4495" s="50" t="s">
        <v>80</v>
      </c>
    </row>
    <row r="4496" spans="2:12">
      <c r="B4496" s="50" t="s">
        <v>469</v>
      </c>
      <c r="C4496" s="50" t="s">
        <v>26</v>
      </c>
      <c r="D4496" s="50" t="s">
        <v>39</v>
      </c>
      <c r="E4496" s="50">
        <v>50037905</v>
      </c>
      <c r="F4496" s="50" t="s">
        <v>150</v>
      </c>
      <c r="G4496" s="50">
        <v>1</v>
      </c>
      <c r="H4496" s="50" t="s">
        <v>2</v>
      </c>
      <c r="I4496" s="50" t="s">
        <v>293</v>
      </c>
      <c r="J4496" s="51">
        <v>45961</v>
      </c>
      <c r="K4496" s="50" t="s">
        <v>3</v>
      </c>
      <c r="L4496" s="50" t="s">
        <v>80</v>
      </c>
    </row>
    <row r="4497" spans="2:12">
      <c r="B4497" s="50" t="s">
        <v>469</v>
      </c>
      <c r="C4497" s="50" t="s">
        <v>26</v>
      </c>
      <c r="D4497" s="50" t="s">
        <v>39</v>
      </c>
      <c r="E4497" s="50">
        <v>50037905</v>
      </c>
      <c r="F4497" s="50" t="s">
        <v>150</v>
      </c>
      <c r="G4497" s="50">
        <v>1</v>
      </c>
      <c r="H4497" s="50" t="s">
        <v>2</v>
      </c>
      <c r="I4497" s="50" t="s">
        <v>293</v>
      </c>
      <c r="J4497" s="51">
        <v>45961</v>
      </c>
      <c r="K4497" s="50" t="s">
        <v>1</v>
      </c>
      <c r="L4497" s="50" t="s">
        <v>80</v>
      </c>
    </row>
    <row r="4498" spans="2:12">
      <c r="B4498" s="50" t="s">
        <v>481</v>
      </c>
      <c r="C4498" s="50" t="s">
        <v>26</v>
      </c>
      <c r="D4498" s="50" t="s">
        <v>27</v>
      </c>
      <c r="E4498" s="50">
        <v>50037905</v>
      </c>
      <c r="F4498" s="50" t="s">
        <v>150</v>
      </c>
      <c r="G4498" s="50">
        <v>1</v>
      </c>
      <c r="H4498" s="50" t="s">
        <v>2</v>
      </c>
      <c r="I4498" s="50" t="s">
        <v>293</v>
      </c>
      <c r="J4498" s="51">
        <v>45961</v>
      </c>
      <c r="K4498" s="50" t="s">
        <v>3</v>
      </c>
      <c r="L4498" s="50" t="s">
        <v>80</v>
      </c>
    </row>
    <row r="4499" spans="2:12">
      <c r="B4499" s="50" t="s">
        <v>481</v>
      </c>
      <c r="C4499" s="50" t="s">
        <v>26</v>
      </c>
      <c r="D4499" s="50" t="s">
        <v>27</v>
      </c>
      <c r="E4499" s="50">
        <v>50037905</v>
      </c>
      <c r="F4499" s="50" t="s">
        <v>150</v>
      </c>
      <c r="G4499" s="50">
        <v>1</v>
      </c>
      <c r="H4499" s="50" t="s">
        <v>2</v>
      </c>
      <c r="I4499" s="50" t="s">
        <v>287</v>
      </c>
      <c r="J4499" s="51">
        <v>45961</v>
      </c>
      <c r="K4499" s="50" t="s">
        <v>1</v>
      </c>
      <c r="L4499" s="50" t="s">
        <v>80</v>
      </c>
    </row>
    <row r="4500" spans="2:12">
      <c r="B4500" s="50" t="s">
        <v>458</v>
      </c>
      <c r="C4500" s="50" t="s">
        <v>26</v>
      </c>
      <c r="D4500" s="50" t="s">
        <v>27</v>
      </c>
      <c r="E4500" s="50">
        <v>50037905</v>
      </c>
      <c r="F4500" s="50" t="s">
        <v>150</v>
      </c>
      <c r="G4500" s="50">
        <v>1</v>
      </c>
      <c r="H4500" s="50" t="s">
        <v>2</v>
      </c>
      <c r="I4500" s="50" t="s">
        <v>288</v>
      </c>
      <c r="J4500" s="51">
        <v>45961</v>
      </c>
      <c r="K4500" s="50" t="s">
        <v>1</v>
      </c>
      <c r="L4500" s="50" t="s">
        <v>80</v>
      </c>
    </row>
    <row r="4501" spans="2:12">
      <c r="B4501" s="50" t="s">
        <v>270</v>
      </c>
      <c r="C4501" s="50" t="s">
        <v>51</v>
      </c>
      <c r="D4501" s="50" t="s">
        <v>41</v>
      </c>
      <c r="E4501" s="50">
        <v>50030486</v>
      </c>
      <c r="F4501" s="50" t="s">
        <v>153</v>
      </c>
      <c r="G4501" s="50">
        <v>1</v>
      </c>
      <c r="H4501" s="50" t="s">
        <v>2</v>
      </c>
      <c r="I4501" s="50" t="s">
        <v>293</v>
      </c>
      <c r="J4501" s="51">
        <v>45961</v>
      </c>
      <c r="K4501" s="50" t="s">
        <v>3</v>
      </c>
      <c r="L4501" s="50" t="s">
        <v>80</v>
      </c>
    </row>
    <row r="4502" spans="2:12">
      <c r="B4502" s="50" t="s">
        <v>270</v>
      </c>
      <c r="C4502" s="50" t="s">
        <v>51</v>
      </c>
      <c r="D4502" s="50" t="s">
        <v>41</v>
      </c>
      <c r="E4502" s="50">
        <v>50030486</v>
      </c>
      <c r="F4502" s="50" t="s">
        <v>153</v>
      </c>
      <c r="G4502" s="50">
        <v>1</v>
      </c>
      <c r="H4502" s="50" t="s">
        <v>2</v>
      </c>
      <c r="I4502" s="50" t="s">
        <v>288</v>
      </c>
      <c r="J4502" s="51">
        <v>45961</v>
      </c>
      <c r="K4502" s="50" t="s">
        <v>1</v>
      </c>
      <c r="L4502" s="50" t="s">
        <v>80</v>
      </c>
    </row>
    <row r="4503" spans="2:12">
      <c r="B4503" s="50" t="s">
        <v>394</v>
      </c>
      <c r="C4503" s="50" t="s">
        <v>51</v>
      </c>
      <c r="D4503" s="50" t="s">
        <v>27</v>
      </c>
      <c r="E4503" s="50">
        <v>50030486</v>
      </c>
      <c r="F4503" s="50" t="s">
        <v>153</v>
      </c>
      <c r="G4503" s="50">
        <v>1</v>
      </c>
      <c r="H4503" s="50" t="s">
        <v>2</v>
      </c>
      <c r="I4503" s="50" t="s">
        <v>288</v>
      </c>
      <c r="J4503" s="51">
        <v>45961</v>
      </c>
      <c r="K4503" s="50" t="s">
        <v>1</v>
      </c>
      <c r="L4503" s="50" t="s">
        <v>80</v>
      </c>
    </row>
    <row r="4504" spans="2:12">
      <c r="B4504" s="50" t="s">
        <v>481</v>
      </c>
      <c r="C4504" s="50" t="s">
        <v>56</v>
      </c>
      <c r="D4504" s="50" t="s">
        <v>27</v>
      </c>
      <c r="E4504" s="50">
        <v>50043471</v>
      </c>
      <c r="F4504" s="50" t="s">
        <v>257</v>
      </c>
      <c r="G4504" s="50">
        <v>1</v>
      </c>
      <c r="H4504" s="50" t="s">
        <v>2</v>
      </c>
      <c r="I4504" s="50" t="s">
        <v>293</v>
      </c>
      <c r="J4504" s="51">
        <v>45961</v>
      </c>
      <c r="K4504" s="50" t="s">
        <v>3</v>
      </c>
      <c r="L4504" s="50" t="s">
        <v>80</v>
      </c>
    </row>
    <row r="4505" spans="2:12">
      <c r="B4505" s="50" t="s">
        <v>481</v>
      </c>
      <c r="C4505" s="50" t="s">
        <v>56</v>
      </c>
      <c r="D4505" s="50" t="s">
        <v>27</v>
      </c>
      <c r="E4505" s="50">
        <v>50043471</v>
      </c>
      <c r="F4505" s="50" t="s">
        <v>257</v>
      </c>
      <c r="G4505" s="50">
        <v>1</v>
      </c>
      <c r="H4505" s="50" t="s">
        <v>2</v>
      </c>
      <c r="I4505" s="50" t="s">
        <v>287</v>
      </c>
      <c r="J4505" s="51">
        <v>45961</v>
      </c>
      <c r="K4505" s="50" t="s">
        <v>1</v>
      </c>
      <c r="L4505" s="50" t="s">
        <v>80</v>
      </c>
    </row>
    <row r="4506" spans="2:12">
      <c r="B4506" s="50" t="s">
        <v>483</v>
      </c>
      <c r="C4506" s="50" t="s">
        <v>62</v>
      </c>
      <c r="D4506" s="50" t="s">
        <v>27</v>
      </c>
      <c r="E4506" s="50">
        <v>50043471</v>
      </c>
      <c r="F4506" s="50" t="s">
        <v>257</v>
      </c>
      <c r="G4506" s="50">
        <v>1</v>
      </c>
      <c r="H4506" s="50" t="s">
        <v>2</v>
      </c>
      <c r="I4506" s="50" t="s">
        <v>288</v>
      </c>
      <c r="J4506" s="51">
        <v>45961</v>
      </c>
      <c r="K4506" s="50" t="s">
        <v>1</v>
      </c>
      <c r="L4506" s="50" t="s">
        <v>80</v>
      </c>
    </row>
    <row r="4507" spans="2:12">
      <c r="B4507" s="50" t="s">
        <v>444</v>
      </c>
      <c r="C4507" s="50" t="s">
        <v>51</v>
      </c>
      <c r="D4507" s="50" t="s">
        <v>27</v>
      </c>
      <c r="E4507" s="50">
        <v>50003297</v>
      </c>
      <c r="F4507" s="50" t="s">
        <v>158</v>
      </c>
      <c r="G4507" s="50">
        <v>1</v>
      </c>
      <c r="H4507" s="50" t="s">
        <v>2</v>
      </c>
      <c r="I4507" s="50" t="s">
        <v>287</v>
      </c>
      <c r="J4507" s="51">
        <v>45961</v>
      </c>
      <c r="K4507" s="50" t="s">
        <v>3</v>
      </c>
      <c r="L4507" s="50" t="s">
        <v>80</v>
      </c>
    </row>
    <row r="4508" spans="2:12">
      <c r="B4508" s="50" t="s">
        <v>444</v>
      </c>
      <c r="C4508" s="50" t="s">
        <v>51</v>
      </c>
      <c r="D4508" s="50" t="s">
        <v>27</v>
      </c>
      <c r="E4508" s="50">
        <v>50003297</v>
      </c>
      <c r="F4508" s="50" t="s">
        <v>158</v>
      </c>
      <c r="G4508" s="50">
        <v>1</v>
      </c>
      <c r="H4508" s="50" t="s">
        <v>2</v>
      </c>
      <c r="I4508" s="50" t="s">
        <v>288</v>
      </c>
      <c r="J4508" s="51">
        <v>45961</v>
      </c>
      <c r="K4508" s="50" t="s">
        <v>1</v>
      </c>
      <c r="L4508" s="50" t="s">
        <v>80</v>
      </c>
    </row>
    <row r="4509" spans="2:12">
      <c r="B4509" s="50" t="s">
        <v>428</v>
      </c>
      <c r="C4509" s="50" t="s">
        <v>26</v>
      </c>
      <c r="D4509" s="50" t="s">
        <v>27</v>
      </c>
      <c r="E4509" s="50">
        <v>50038549</v>
      </c>
      <c r="F4509" s="50" t="s">
        <v>173</v>
      </c>
      <c r="G4509" s="50">
        <v>1</v>
      </c>
      <c r="H4509" s="50" t="s">
        <v>2</v>
      </c>
      <c r="I4509" s="50" t="s">
        <v>293</v>
      </c>
      <c r="J4509" s="51">
        <v>45961</v>
      </c>
      <c r="K4509" s="50" t="s">
        <v>3</v>
      </c>
      <c r="L4509" s="50" t="s">
        <v>80</v>
      </c>
    </row>
    <row r="4510" spans="2:12">
      <c r="B4510" s="50" t="s">
        <v>428</v>
      </c>
      <c r="C4510" s="50" t="s">
        <v>26</v>
      </c>
      <c r="D4510" s="50" t="s">
        <v>27</v>
      </c>
      <c r="E4510" s="50">
        <v>50038549</v>
      </c>
      <c r="F4510" s="50" t="s">
        <v>173</v>
      </c>
      <c r="G4510" s="50">
        <v>1</v>
      </c>
      <c r="H4510" s="50" t="s">
        <v>2</v>
      </c>
      <c r="I4510" s="50" t="s">
        <v>292</v>
      </c>
      <c r="J4510" s="51">
        <v>45961</v>
      </c>
      <c r="K4510" s="50" t="s">
        <v>1</v>
      </c>
      <c r="L4510" s="50" t="s">
        <v>80</v>
      </c>
    </row>
    <row r="4511" spans="2:12">
      <c r="B4511" s="50" t="s">
        <v>399</v>
      </c>
      <c r="C4511" s="50" t="s">
        <v>51</v>
      </c>
      <c r="D4511" s="50" t="s">
        <v>27</v>
      </c>
      <c r="E4511" s="50">
        <v>50037902</v>
      </c>
      <c r="F4511" s="50" t="s">
        <v>179</v>
      </c>
      <c r="G4511" s="50">
        <v>1</v>
      </c>
      <c r="H4511" s="50" t="s">
        <v>2</v>
      </c>
      <c r="I4511" s="50" t="s">
        <v>293</v>
      </c>
      <c r="J4511" s="51">
        <v>45961</v>
      </c>
      <c r="K4511" s="50" t="s">
        <v>3</v>
      </c>
      <c r="L4511" s="50" t="s">
        <v>80</v>
      </c>
    </row>
    <row r="4512" spans="2:12">
      <c r="B4512" s="50" t="s">
        <v>444</v>
      </c>
      <c r="C4512" s="50" t="s">
        <v>51</v>
      </c>
      <c r="D4512" s="50" t="s">
        <v>27</v>
      </c>
      <c r="E4512" s="50">
        <v>50037902</v>
      </c>
      <c r="F4512" s="50" t="s">
        <v>179</v>
      </c>
      <c r="G4512" s="50">
        <v>1</v>
      </c>
      <c r="H4512" s="50" t="s">
        <v>2</v>
      </c>
      <c r="I4512" s="50" t="s">
        <v>287</v>
      </c>
      <c r="J4512" s="51">
        <v>45961</v>
      </c>
      <c r="K4512" s="50" t="s">
        <v>1</v>
      </c>
      <c r="L4512" s="50" t="s">
        <v>80</v>
      </c>
    </row>
    <row r="4513" spans="2:12">
      <c r="B4513" s="50" t="s">
        <v>444</v>
      </c>
      <c r="C4513" s="50" t="s">
        <v>51</v>
      </c>
      <c r="D4513" s="50" t="s">
        <v>27</v>
      </c>
      <c r="E4513" s="50">
        <v>50037902</v>
      </c>
      <c r="F4513" s="50" t="s">
        <v>179</v>
      </c>
      <c r="G4513" s="50">
        <v>1</v>
      </c>
      <c r="H4513" s="50" t="s">
        <v>2</v>
      </c>
      <c r="I4513" s="50" t="s">
        <v>288</v>
      </c>
      <c r="J4513" s="51">
        <v>45961</v>
      </c>
      <c r="K4513" s="50" t="s">
        <v>3</v>
      </c>
      <c r="L4513" s="50" t="s">
        <v>80</v>
      </c>
    </row>
    <row r="4514" spans="2:12">
      <c r="B4514" s="50" t="s">
        <v>394</v>
      </c>
      <c r="C4514" s="50" t="s">
        <v>26</v>
      </c>
      <c r="D4514" s="50" t="s">
        <v>41</v>
      </c>
      <c r="E4514" s="50">
        <v>50037902</v>
      </c>
      <c r="F4514" s="50" t="s">
        <v>179</v>
      </c>
      <c r="G4514" s="50">
        <v>1</v>
      </c>
      <c r="H4514" s="50" t="s">
        <v>2</v>
      </c>
      <c r="I4514" s="50" t="s">
        <v>287</v>
      </c>
      <c r="J4514" s="51">
        <v>45961</v>
      </c>
      <c r="K4514" s="50" t="s">
        <v>3</v>
      </c>
      <c r="L4514" s="50" t="s">
        <v>80</v>
      </c>
    </row>
    <row r="4515" spans="2:12">
      <c r="B4515" s="50" t="s">
        <v>394</v>
      </c>
      <c r="C4515" s="50" t="s">
        <v>26</v>
      </c>
      <c r="D4515" s="50" t="s">
        <v>41</v>
      </c>
      <c r="E4515" s="50">
        <v>50037902</v>
      </c>
      <c r="F4515" s="50" t="s">
        <v>179</v>
      </c>
      <c r="G4515" s="50">
        <v>1</v>
      </c>
      <c r="H4515" s="50" t="s">
        <v>2</v>
      </c>
      <c r="I4515" s="50" t="s">
        <v>287</v>
      </c>
      <c r="J4515" s="51">
        <v>45961</v>
      </c>
      <c r="K4515" s="50" t="s">
        <v>1</v>
      </c>
      <c r="L4515" s="50" t="s">
        <v>80</v>
      </c>
    </row>
    <row r="4516" spans="2:12">
      <c r="B4516" s="50" t="s">
        <v>481</v>
      </c>
      <c r="C4516" s="50" t="s">
        <v>56</v>
      </c>
      <c r="D4516" s="50" t="s">
        <v>27</v>
      </c>
      <c r="E4516" s="50">
        <v>50038841</v>
      </c>
      <c r="F4516" s="50" t="s">
        <v>180</v>
      </c>
      <c r="G4516" s="50">
        <v>1</v>
      </c>
      <c r="H4516" s="50" t="s">
        <v>2</v>
      </c>
      <c r="I4516" s="50" t="s">
        <v>293</v>
      </c>
      <c r="J4516" s="51">
        <v>45961</v>
      </c>
      <c r="K4516" s="50" t="s">
        <v>3</v>
      </c>
      <c r="L4516" s="50" t="s">
        <v>80</v>
      </c>
    </row>
    <row r="4517" spans="2:12">
      <c r="B4517" s="50" t="s">
        <v>417</v>
      </c>
      <c r="C4517" s="50" t="s">
        <v>51</v>
      </c>
      <c r="D4517" s="50" t="s">
        <v>41</v>
      </c>
      <c r="E4517" s="50">
        <v>50038841</v>
      </c>
      <c r="F4517" s="50" t="s">
        <v>180</v>
      </c>
      <c r="G4517" s="50">
        <v>1</v>
      </c>
      <c r="H4517" s="50" t="s">
        <v>2</v>
      </c>
      <c r="I4517" s="50" t="s">
        <v>293</v>
      </c>
      <c r="J4517" s="51">
        <v>45961</v>
      </c>
      <c r="K4517" s="50" t="s">
        <v>1</v>
      </c>
      <c r="L4517" s="50" t="s">
        <v>80</v>
      </c>
    </row>
    <row r="4518" spans="2:12">
      <c r="B4518" s="50" t="s">
        <v>417</v>
      </c>
      <c r="C4518" s="50" t="s">
        <v>51</v>
      </c>
      <c r="D4518" s="50" t="s">
        <v>41</v>
      </c>
      <c r="E4518" s="50">
        <v>50038841</v>
      </c>
      <c r="F4518" s="50" t="s">
        <v>180</v>
      </c>
      <c r="G4518" s="50">
        <v>1</v>
      </c>
      <c r="H4518" s="50" t="s">
        <v>2</v>
      </c>
      <c r="I4518" s="50" t="s">
        <v>287</v>
      </c>
      <c r="J4518" s="51">
        <v>45961</v>
      </c>
      <c r="K4518" s="50" t="s">
        <v>1</v>
      </c>
      <c r="L4518" s="50" t="s">
        <v>80</v>
      </c>
    </row>
    <row r="4519" spans="2:12">
      <c r="B4519" s="50" t="s">
        <v>443</v>
      </c>
      <c r="C4519" s="50" t="s">
        <v>56</v>
      </c>
      <c r="D4519" s="50" t="s">
        <v>36</v>
      </c>
      <c r="E4519" s="50">
        <v>50038517</v>
      </c>
      <c r="F4519" s="50" t="s">
        <v>181</v>
      </c>
      <c r="G4519" s="50">
        <v>1</v>
      </c>
      <c r="H4519" s="50" t="s">
        <v>2</v>
      </c>
      <c r="I4519" s="50" t="s">
        <v>293</v>
      </c>
      <c r="J4519" s="51">
        <v>45961</v>
      </c>
      <c r="K4519" s="50" t="s">
        <v>3</v>
      </c>
      <c r="L4519" s="50" t="s">
        <v>80</v>
      </c>
    </row>
    <row r="4520" spans="2:12">
      <c r="B4520" s="50" t="s">
        <v>345</v>
      </c>
      <c r="C4520" s="50" t="s">
        <v>62</v>
      </c>
      <c r="D4520" s="50" t="s">
        <v>27</v>
      </c>
      <c r="E4520" s="50">
        <v>50038517</v>
      </c>
      <c r="F4520" s="50" t="s">
        <v>181</v>
      </c>
      <c r="G4520" s="50">
        <v>1</v>
      </c>
      <c r="H4520" s="50" t="s">
        <v>2</v>
      </c>
      <c r="I4520" s="50" t="s">
        <v>293</v>
      </c>
      <c r="J4520" s="51">
        <v>45961</v>
      </c>
      <c r="K4520" s="50" t="s">
        <v>1</v>
      </c>
      <c r="L4520" s="50" t="s">
        <v>80</v>
      </c>
    </row>
    <row r="4521" spans="2:12">
      <c r="B4521" s="50" t="s">
        <v>345</v>
      </c>
      <c r="C4521" s="50" t="s">
        <v>62</v>
      </c>
      <c r="D4521" s="50" t="s">
        <v>27</v>
      </c>
      <c r="E4521" s="50">
        <v>50038517</v>
      </c>
      <c r="F4521" s="50" t="s">
        <v>181</v>
      </c>
      <c r="G4521" s="50">
        <v>1</v>
      </c>
      <c r="H4521" s="50" t="s">
        <v>2</v>
      </c>
      <c r="I4521" s="50" t="s">
        <v>287</v>
      </c>
      <c r="J4521" s="51">
        <v>45961</v>
      </c>
      <c r="K4521" s="50" t="s">
        <v>3</v>
      </c>
      <c r="L4521" s="50" t="s">
        <v>80</v>
      </c>
    </row>
    <row r="4522" spans="2:12">
      <c r="B4522" s="50" t="s">
        <v>443</v>
      </c>
      <c r="C4522" s="50" t="s">
        <v>56</v>
      </c>
      <c r="D4522" s="50" t="s">
        <v>36</v>
      </c>
      <c r="E4522" s="50">
        <v>50038517</v>
      </c>
      <c r="F4522" s="50" t="s">
        <v>181</v>
      </c>
      <c r="G4522" s="50">
        <v>1</v>
      </c>
      <c r="H4522" s="50" t="s">
        <v>2</v>
      </c>
      <c r="I4522" s="50" t="s">
        <v>288</v>
      </c>
      <c r="J4522" s="51">
        <v>45961</v>
      </c>
      <c r="K4522" s="50" t="s">
        <v>3</v>
      </c>
      <c r="L4522" s="50" t="s">
        <v>80</v>
      </c>
    </row>
    <row r="4523" spans="2:12">
      <c r="B4523" s="50" t="s">
        <v>394</v>
      </c>
      <c r="C4523" s="50" t="s">
        <v>26</v>
      </c>
      <c r="D4523" s="50" t="s">
        <v>41</v>
      </c>
      <c r="E4523" s="50">
        <v>50039065</v>
      </c>
      <c r="F4523" s="50" t="s">
        <v>186</v>
      </c>
      <c r="G4523" s="50">
        <v>1</v>
      </c>
      <c r="H4523" s="50" t="s">
        <v>2</v>
      </c>
      <c r="I4523" s="50" t="s">
        <v>288</v>
      </c>
      <c r="J4523" s="51">
        <v>45961</v>
      </c>
      <c r="K4523" s="50" t="s">
        <v>1</v>
      </c>
      <c r="L4523" s="50" t="s">
        <v>80</v>
      </c>
    </row>
    <row r="4524" spans="2:12">
      <c r="B4524" s="50" t="s">
        <v>394</v>
      </c>
      <c r="C4524" s="50" t="s">
        <v>26</v>
      </c>
      <c r="D4524" s="50" t="s">
        <v>41</v>
      </c>
      <c r="E4524" s="50">
        <v>50039065</v>
      </c>
      <c r="F4524" s="50" t="s">
        <v>186</v>
      </c>
      <c r="G4524" s="50">
        <v>1</v>
      </c>
      <c r="H4524" s="50" t="s">
        <v>2</v>
      </c>
      <c r="I4524" s="50" t="s">
        <v>287</v>
      </c>
      <c r="J4524" s="51">
        <v>45961</v>
      </c>
      <c r="K4524" s="50" t="s">
        <v>3</v>
      </c>
      <c r="L4524" s="50" t="s">
        <v>80</v>
      </c>
    </row>
    <row r="4525" spans="2:12">
      <c r="B4525" s="50" t="s">
        <v>394</v>
      </c>
      <c r="C4525" s="50" t="s">
        <v>26</v>
      </c>
      <c r="D4525" s="50" t="s">
        <v>41</v>
      </c>
      <c r="E4525" s="50">
        <v>50039065</v>
      </c>
      <c r="F4525" s="50" t="s">
        <v>186</v>
      </c>
      <c r="G4525" s="50">
        <v>1</v>
      </c>
      <c r="H4525" s="50" t="s">
        <v>2</v>
      </c>
      <c r="I4525" s="50" t="s">
        <v>287</v>
      </c>
      <c r="J4525" s="51">
        <v>45961</v>
      </c>
      <c r="K4525" s="50" t="s">
        <v>1</v>
      </c>
      <c r="L4525" s="50" t="s">
        <v>80</v>
      </c>
    </row>
    <row r="4526" spans="2:12">
      <c r="B4526" s="50" t="s">
        <v>423</v>
      </c>
      <c r="C4526" s="50" t="s">
        <v>62</v>
      </c>
      <c r="D4526" s="50" t="s">
        <v>27</v>
      </c>
      <c r="E4526" s="50">
        <v>50041195</v>
      </c>
      <c r="F4526" s="50" t="s">
        <v>206</v>
      </c>
      <c r="G4526" s="50">
        <v>1</v>
      </c>
      <c r="H4526" s="50" t="s">
        <v>2</v>
      </c>
      <c r="I4526" s="50" t="s">
        <v>293</v>
      </c>
      <c r="J4526" s="51">
        <v>45961</v>
      </c>
      <c r="K4526" s="50" t="s">
        <v>3</v>
      </c>
      <c r="L4526" s="50" t="s">
        <v>80</v>
      </c>
    </row>
    <row r="4527" spans="2:12">
      <c r="B4527" s="50" t="s">
        <v>483</v>
      </c>
      <c r="C4527" s="50" t="s">
        <v>62</v>
      </c>
      <c r="D4527" s="50" t="s">
        <v>27</v>
      </c>
      <c r="E4527" s="50">
        <v>50043917</v>
      </c>
      <c r="F4527" s="50" t="s">
        <v>262</v>
      </c>
      <c r="G4527" s="50">
        <v>1</v>
      </c>
      <c r="H4527" s="50" t="s">
        <v>2</v>
      </c>
      <c r="I4527" s="50" t="s">
        <v>293</v>
      </c>
      <c r="J4527" s="51">
        <v>45961</v>
      </c>
      <c r="K4527" s="50" t="s">
        <v>1</v>
      </c>
      <c r="L4527" s="50" t="s">
        <v>80</v>
      </c>
    </row>
    <row r="4528" spans="2:12">
      <c r="B4528" s="50" t="s">
        <v>483</v>
      </c>
      <c r="C4528" s="50" t="s">
        <v>62</v>
      </c>
      <c r="D4528" s="50" t="s">
        <v>27</v>
      </c>
      <c r="E4528" s="50">
        <v>50043917</v>
      </c>
      <c r="F4528" s="50" t="s">
        <v>262</v>
      </c>
      <c r="G4528" s="50">
        <v>1</v>
      </c>
      <c r="H4528" s="50" t="s">
        <v>2</v>
      </c>
      <c r="I4528" s="50" t="s">
        <v>287</v>
      </c>
      <c r="J4528" s="51">
        <v>45961</v>
      </c>
      <c r="K4528" s="50" t="s">
        <v>1</v>
      </c>
      <c r="L4528" s="50" t="s">
        <v>80</v>
      </c>
    </row>
    <row r="4529" spans="2:12">
      <c r="B4529" s="50" t="s">
        <v>394</v>
      </c>
      <c r="C4529" s="50" t="s">
        <v>26</v>
      </c>
      <c r="D4529" s="50" t="s">
        <v>41</v>
      </c>
      <c r="E4529" s="50">
        <v>50012902</v>
      </c>
      <c r="F4529" s="50" t="s">
        <v>225</v>
      </c>
      <c r="G4529" s="50">
        <v>1</v>
      </c>
      <c r="H4529" s="50" t="s">
        <v>2</v>
      </c>
      <c r="I4529" s="50" t="s">
        <v>287</v>
      </c>
      <c r="J4529" s="51">
        <v>45961</v>
      </c>
      <c r="K4529" s="50" t="s">
        <v>3</v>
      </c>
      <c r="L4529" s="50" t="s">
        <v>80</v>
      </c>
    </row>
    <row r="4530" spans="2:12">
      <c r="B4530" s="50" t="s">
        <v>394</v>
      </c>
      <c r="C4530" s="50" t="s">
        <v>26</v>
      </c>
      <c r="D4530" s="50" t="s">
        <v>41</v>
      </c>
      <c r="E4530" s="50">
        <v>50012902</v>
      </c>
      <c r="F4530" s="50" t="s">
        <v>225</v>
      </c>
      <c r="G4530" s="50">
        <v>1</v>
      </c>
      <c r="H4530" s="50" t="s">
        <v>2</v>
      </c>
      <c r="I4530" s="50" t="s">
        <v>287</v>
      </c>
      <c r="J4530" s="51">
        <v>45961</v>
      </c>
      <c r="K4530" s="50" t="s">
        <v>1</v>
      </c>
      <c r="L4530" s="50" t="s">
        <v>80</v>
      </c>
    </row>
    <row r="4531" spans="2:12">
      <c r="B4531" s="50" t="s">
        <v>387</v>
      </c>
      <c r="C4531" s="50" t="s">
        <v>56</v>
      </c>
      <c r="D4531" s="50" t="s">
        <v>27</v>
      </c>
      <c r="E4531" s="50">
        <v>50040691</v>
      </c>
      <c r="F4531" s="50" t="s">
        <v>252</v>
      </c>
      <c r="G4531" s="50">
        <v>1</v>
      </c>
      <c r="H4531" s="50" t="s">
        <v>2</v>
      </c>
      <c r="I4531" s="50" t="s">
        <v>288</v>
      </c>
      <c r="J4531" s="51">
        <v>45961</v>
      </c>
      <c r="K4531" s="50" t="s">
        <v>3</v>
      </c>
      <c r="L4531" s="50" t="s">
        <v>80</v>
      </c>
    </row>
    <row r="4532" spans="2:12">
      <c r="B4532" s="50" t="s">
        <v>394</v>
      </c>
      <c r="C4532" s="50" t="s">
        <v>51</v>
      </c>
      <c r="D4532" s="50" t="s">
        <v>27</v>
      </c>
      <c r="E4532" s="50">
        <v>50010031</v>
      </c>
      <c r="F4532" s="50" t="s">
        <v>89</v>
      </c>
      <c r="G4532" s="50">
        <v>1</v>
      </c>
      <c r="H4532" s="50" t="s">
        <v>2</v>
      </c>
      <c r="I4532" s="50" t="s">
        <v>292</v>
      </c>
      <c r="J4532" s="51">
        <v>45960</v>
      </c>
      <c r="K4532" s="50" t="s">
        <v>1</v>
      </c>
      <c r="L4532" s="50" t="s">
        <v>80</v>
      </c>
    </row>
    <row r="4533" spans="2:12">
      <c r="B4533" s="50" t="s">
        <v>394</v>
      </c>
      <c r="C4533" s="50" t="s">
        <v>51</v>
      </c>
      <c r="D4533" s="50" t="s">
        <v>27</v>
      </c>
      <c r="E4533" s="50">
        <v>50010031</v>
      </c>
      <c r="F4533" s="50" t="s">
        <v>89</v>
      </c>
      <c r="G4533" s="50">
        <v>1</v>
      </c>
      <c r="H4533" s="50" t="s">
        <v>2</v>
      </c>
      <c r="I4533" s="50" t="s">
        <v>292</v>
      </c>
      <c r="J4533" s="51">
        <v>45960</v>
      </c>
      <c r="K4533" s="50" t="s">
        <v>1</v>
      </c>
      <c r="L4533" s="50" t="s">
        <v>80</v>
      </c>
    </row>
    <row r="4534" spans="2:12">
      <c r="B4534" s="50" t="s">
        <v>418</v>
      </c>
      <c r="C4534" s="50" t="s">
        <v>26</v>
      </c>
      <c r="D4534" s="50" t="s">
        <v>27</v>
      </c>
      <c r="E4534" s="50">
        <v>50039718</v>
      </c>
      <c r="F4534" s="50" t="s">
        <v>149</v>
      </c>
      <c r="G4534" s="50">
        <v>1</v>
      </c>
      <c r="H4534" s="50" t="s">
        <v>2</v>
      </c>
      <c r="I4534" s="50" t="s">
        <v>292</v>
      </c>
      <c r="J4534" s="51">
        <v>45960</v>
      </c>
      <c r="K4534" s="50" t="s">
        <v>3</v>
      </c>
      <c r="L4534" s="50" t="s">
        <v>80</v>
      </c>
    </row>
    <row r="4535" spans="2:12">
      <c r="B4535" s="50" t="s">
        <v>418</v>
      </c>
      <c r="C4535" s="50" t="s">
        <v>26</v>
      </c>
      <c r="D4535" s="50" t="s">
        <v>27</v>
      </c>
      <c r="E4535" s="50">
        <v>50039718</v>
      </c>
      <c r="F4535" s="57" t="s">
        <v>149</v>
      </c>
      <c r="G4535" s="50">
        <v>1</v>
      </c>
      <c r="H4535" s="50" t="s">
        <v>2</v>
      </c>
      <c r="I4535" s="50" t="s">
        <v>292</v>
      </c>
      <c r="J4535" s="51">
        <v>45960</v>
      </c>
      <c r="K4535" s="50" t="s">
        <v>3</v>
      </c>
      <c r="L4535" s="50" t="s">
        <v>80</v>
      </c>
    </row>
    <row r="4536" spans="2:12">
      <c r="B4536" s="50" t="s">
        <v>458</v>
      </c>
      <c r="C4536" s="50" t="s">
        <v>26</v>
      </c>
      <c r="D4536" s="50" t="s">
        <v>27</v>
      </c>
      <c r="E4536" s="50">
        <v>50037905</v>
      </c>
      <c r="F4536" s="50" t="s">
        <v>150</v>
      </c>
      <c r="G4536" s="50">
        <v>1</v>
      </c>
      <c r="H4536" s="50" t="s">
        <v>2</v>
      </c>
      <c r="I4536" s="50" t="s">
        <v>292</v>
      </c>
      <c r="J4536" s="51">
        <v>45960</v>
      </c>
      <c r="K4536" s="50" t="s">
        <v>1</v>
      </c>
      <c r="L4536" s="50" t="s">
        <v>80</v>
      </c>
    </row>
    <row r="4537" spans="2:12">
      <c r="B4537" s="50" t="s">
        <v>458</v>
      </c>
      <c r="C4537" s="50" t="s">
        <v>26</v>
      </c>
      <c r="D4537" s="50" t="s">
        <v>27</v>
      </c>
      <c r="E4537" s="50">
        <v>50037905</v>
      </c>
      <c r="F4537" s="50" t="s">
        <v>150</v>
      </c>
      <c r="G4537" s="50">
        <v>1</v>
      </c>
      <c r="H4537" s="50" t="s">
        <v>2</v>
      </c>
      <c r="I4537" s="50" t="s">
        <v>292</v>
      </c>
      <c r="J4537" s="51">
        <v>45960</v>
      </c>
      <c r="K4537" s="50" t="s">
        <v>3</v>
      </c>
      <c r="L4537" s="50" t="s">
        <v>80</v>
      </c>
    </row>
    <row r="4538" spans="2:12">
      <c r="B4538" s="50" t="s">
        <v>394</v>
      </c>
      <c r="C4538" s="50" t="s">
        <v>51</v>
      </c>
      <c r="D4538" s="50" t="s">
        <v>27</v>
      </c>
      <c r="E4538" s="50">
        <v>50030486</v>
      </c>
      <c r="F4538" s="57" t="s">
        <v>153</v>
      </c>
      <c r="G4538" s="50">
        <v>1</v>
      </c>
      <c r="H4538" s="50" t="s">
        <v>2</v>
      </c>
      <c r="I4538" s="50" t="s">
        <v>292</v>
      </c>
      <c r="J4538" s="51">
        <v>45960</v>
      </c>
      <c r="K4538" s="50" t="s">
        <v>1</v>
      </c>
      <c r="L4538" s="50" t="s">
        <v>80</v>
      </c>
    </row>
    <row r="4539" spans="2:12">
      <c r="B4539" s="50" t="s">
        <v>394</v>
      </c>
      <c r="C4539" s="50" t="s">
        <v>51</v>
      </c>
      <c r="D4539" s="50" t="s">
        <v>27</v>
      </c>
      <c r="E4539" s="50">
        <v>50039236</v>
      </c>
      <c r="F4539" s="50" t="s">
        <v>154</v>
      </c>
      <c r="G4539" s="50">
        <v>1</v>
      </c>
      <c r="H4539" s="50" t="s">
        <v>2</v>
      </c>
      <c r="I4539" s="50" t="s">
        <v>292</v>
      </c>
      <c r="J4539" s="51">
        <v>45960</v>
      </c>
      <c r="K4539" s="50" t="s">
        <v>3</v>
      </c>
      <c r="L4539" s="50" t="s">
        <v>80</v>
      </c>
    </row>
    <row r="4540" spans="2:12">
      <c r="B4540" s="50" t="s">
        <v>394</v>
      </c>
      <c r="C4540" s="50" t="s">
        <v>51</v>
      </c>
      <c r="D4540" s="50" t="s">
        <v>27</v>
      </c>
      <c r="E4540" s="50">
        <v>50039236</v>
      </c>
      <c r="F4540" s="50" t="s">
        <v>154</v>
      </c>
      <c r="G4540" s="50">
        <v>1</v>
      </c>
      <c r="H4540" s="50" t="s">
        <v>2</v>
      </c>
      <c r="I4540" s="50" t="s">
        <v>292</v>
      </c>
      <c r="J4540" s="51">
        <v>45960</v>
      </c>
      <c r="K4540" s="50" t="s">
        <v>1</v>
      </c>
      <c r="L4540" s="50" t="s">
        <v>80</v>
      </c>
    </row>
    <row r="4541" spans="2:12">
      <c r="B4541" s="50" t="s">
        <v>386</v>
      </c>
      <c r="C4541" s="50" t="s">
        <v>62</v>
      </c>
      <c r="D4541" s="50" t="s">
        <v>27</v>
      </c>
      <c r="E4541" s="50">
        <v>50039236</v>
      </c>
      <c r="F4541" s="50" t="s">
        <v>154</v>
      </c>
      <c r="G4541" s="50">
        <v>1</v>
      </c>
      <c r="H4541" s="50" t="s">
        <v>2</v>
      </c>
      <c r="I4541" s="50" t="s">
        <v>288</v>
      </c>
      <c r="J4541" s="51">
        <v>45960</v>
      </c>
      <c r="K4541" s="50" t="s">
        <v>3</v>
      </c>
      <c r="L4541" s="50" t="s">
        <v>80</v>
      </c>
    </row>
    <row r="4542" spans="2:12">
      <c r="B4542" s="50" t="s">
        <v>386</v>
      </c>
      <c r="C4542" s="50" t="s">
        <v>62</v>
      </c>
      <c r="D4542" s="50" t="s">
        <v>27</v>
      </c>
      <c r="E4542" s="50">
        <v>50039236</v>
      </c>
      <c r="F4542" s="50" t="s">
        <v>154</v>
      </c>
      <c r="G4542" s="50">
        <v>1</v>
      </c>
      <c r="H4542" s="50" t="s">
        <v>2</v>
      </c>
      <c r="I4542" s="50" t="s">
        <v>287</v>
      </c>
      <c r="J4542" s="51">
        <v>45960</v>
      </c>
      <c r="K4542" s="50" t="s">
        <v>3</v>
      </c>
      <c r="L4542" s="50" t="s">
        <v>80</v>
      </c>
    </row>
    <row r="4543" spans="2:12">
      <c r="B4543" s="50" t="s">
        <v>483</v>
      </c>
      <c r="C4543" s="50" t="s">
        <v>62</v>
      </c>
      <c r="D4543" s="50" t="s">
        <v>27</v>
      </c>
      <c r="E4543" s="50">
        <v>50043471</v>
      </c>
      <c r="F4543" s="57" t="s">
        <v>257</v>
      </c>
      <c r="G4543" s="50">
        <v>1</v>
      </c>
      <c r="H4543" s="50" t="s">
        <v>2</v>
      </c>
      <c r="I4543" s="50" t="s">
        <v>292</v>
      </c>
      <c r="J4543" s="51">
        <v>45960</v>
      </c>
      <c r="K4543" s="50" t="s">
        <v>1</v>
      </c>
      <c r="L4543" s="50" t="s">
        <v>80</v>
      </c>
    </row>
    <row r="4544" spans="2:12">
      <c r="B4544" s="50" t="s">
        <v>278</v>
      </c>
      <c r="C4544" s="50" t="s">
        <v>62</v>
      </c>
      <c r="D4544" s="50" t="s">
        <v>27</v>
      </c>
      <c r="E4544" s="50">
        <v>50043471</v>
      </c>
      <c r="F4544" s="50" t="s">
        <v>257</v>
      </c>
      <c r="G4544" s="50">
        <v>1</v>
      </c>
      <c r="H4544" s="50" t="s">
        <v>2</v>
      </c>
      <c r="I4544" s="50" t="s">
        <v>288</v>
      </c>
      <c r="J4544" s="51">
        <v>45960</v>
      </c>
      <c r="K4544" s="50" t="s">
        <v>3</v>
      </c>
      <c r="L4544" s="50" t="s">
        <v>80</v>
      </c>
    </row>
    <row r="4545" spans="2:12">
      <c r="B4545" s="50" t="s">
        <v>278</v>
      </c>
      <c r="C4545" s="50" t="s">
        <v>62</v>
      </c>
      <c r="D4545" s="50" t="s">
        <v>27</v>
      </c>
      <c r="E4545" s="50">
        <v>50043471</v>
      </c>
      <c r="F4545" s="50" t="s">
        <v>257</v>
      </c>
      <c r="G4545" s="50">
        <v>1</v>
      </c>
      <c r="H4545" s="50" t="s">
        <v>4</v>
      </c>
      <c r="I4545" s="50" t="s">
        <v>288</v>
      </c>
      <c r="J4545" s="51">
        <v>45960</v>
      </c>
      <c r="K4545" s="50" t="s">
        <v>1</v>
      </c>
      <c r="L4545" s="50" t="s">
        <v>80</v>
      </c>
    </row>
    <row r="4546" spans="2:12">
      <c r="B4546" s="50" t="s">
        <v>345</v>
      </c>
      <c r="C4546" s="50" t="s">
        <v>56</v>
      </c>
      <c r="D4546" s="50" t="s">
        <v>27</v>
      </c>
      <c r="E4546" s="50">
        <v>50044839</v>
      </c>
      <c r="F4546" s="50" t="s">
        <v>301</v>
      </c>
      <c r="G4546" s="50">
        <v>1</v>
      </c>
      <c r="H4546" s="50" t="s">
        <v>2</v>
      </c>
      <c r="I4546" s="50" t="s">
        <v>292</v>
      </c>
      <c r="J4546" s="51">
        <v>45960</v>
      </c>
      <c r="K4546" s="50" t="s">
        <v>1</v>
      </c>
      <c r="L4546" s="50" t="s">
        <v>80</v>
      </c>
    </row>
    <row r="4547" spans="2:12">
      <c r="B4547" s="50" t="s">
        <v>394</v>
      </c>
      <c r="C4547" s="50" t="s">
        <v>51</v>
      </c>
      <c r="D4547" s="50" t="s">
        <v>27</v>
      </c>
      <c r="E4547" s="50">
        <v>50022878</v>
      </c>
      <c r="F4547" s="50" t="s">
        <v>296</v>
      </c>
      <c r="G4547" s="50">
        <v>1</v>
      </c>
      <c r="H4547" s="50" t="s">
        <v>2</v>
      </c>
      <c r="I4547" s="50" t="s">
        <v>288</v>
      </c>
      <c r="J4547" s="51">
        <v>45960</v>
      </c>
      <c r="K4547" s="50" t="s">
        <v>3</v>
      </c>
      <c r="L4547" s="50" t="s">
        <v>80</v>
      </c>
    </row>
    <row r="4548" spans="2:12">
      <c r="B4548" s="50" t="s">
        <v>394</v>
      </c>
      <c r="C4548" s="50" t="s">
        <v>51</v>
      </c>
      <c r="D4548" s="50" t="s">
        <v>27</v>
      </c>
      <c r="E4548" s="50">
        <v>50022878</v>
      </c>
      <c r="F4548" s="50" t="s">
        <v>296</v>
      </c>
      <c r="G4548" s="50">
        <v>1</v>
      </c>
      <c r="H4548" s="50" t="s">
        <v>2</v>
      </c>
      <c r="I4548" s="50" t="s">
        <v>287</v>
      </c>
      <c r="J4548" s="51">
        <v>45960</v>
      </c>
      <c r="K4548" s="50" t="s">
        <v>1</v>
      </c>
      <c r="L4548" s="50" t="s">
        <v>80</v>
      </c>
    </row>
    <row r="4549" spans="2:12">
      <c r="B4549" s="50" t="s">
        <v>439</v>
      </c>
      <c r="C4549" s="50" t="s">
        <v>62</v>
      </c>
      <c r="D4549" s="50" t="s">
        <v>27</v>
      </c>
      <c r="E4549" s="50">
        <v>50038956</v>
      </c>
      <c r="F4549" s="50" t="s">
        <v>177</v>
      </c>
      <c r="G4549" s="50">
        <v>1</v>
      </c>
      <c r="H4549" s="50" t="s">
        <v>2</v>
      </c>
      <c r="I4549" s="50" t="s">
        <v>292</v>
      </c>
      <c r="J4549" s="51">
        <v>45960</v>
      </c>
      <c r="K4549" s="50" t="s">
        <v>3</v>
      </c>
      <c r="L4549" s="50" t="s">
        <v>80</v>
      </c>
    </row>
    <row r="4550" spans="2:12">
      <c r="B4550" s="50" t="s">
        <v>439</v>
      </c>
      <c r="C4550" s="50" t="s">
        <v>62</v>
      </c>
      <c r="D4550" s="50" t="s">
        <v>27</v>
      </c>
      <c r="E4550" s="50">
        <v>50038956</v>
      </c>
      <c r="F4550" s="57" t="s">
        <v>177</v>
      </c>
      <c r="G4550" s="50">
        <v>1</v>
      </c>
      <c r="H4550" s="50" t="s">
        <v>2</v>
      </c>
      <c r="I4550" s="50" t="s">
        <v>292</v>
      </c>
      <c r="J4550" s="51">
        <v>45960</v>
      </c>
      <c r="K4550" s="50" t="s">
        <v>3</v>
      </c>
      <c r="L4550" s="50" t="s">
        <v>80</v>
      </c>
    </row>
    <row r="4551" spans="2:12">
      <c r="B4551" s="50" t="s">
        <v>399</v>
      </c>
      <c r="C4551" s="50" t="s">
        <v>51</v>
      </c>
      <c r="D4551" s="50" t="s">
        <v>27</v>
      </c>
      <c r="E4551" s="50">
        <v>50037902</v>
      </c>
      <c r="F4551" s="50" t="s">
        <v>179</v>
      </c>
      <c r="G4551" s="50">
        <v>1</v>
      </c>
      <c r="H4551" s="50" t="s">
        <v>2</v>
      </c>
      <c r="I4551" s="50" t="s">
        <v>288</v>
      </c>
      <c r="J4551" s="51">
        <v>45960</v>
      </c>
      <c r="K4551" s="50" t="s">
        <v>1</v>
      </c>
      <c r="L4551" s="50" t="s">
        <v>80</v>
      </c>
    </row>
    <row r="4552" spans="2:12">
      <c r="B4552" s="50" t="s">
        <v>483</v>
      </c>
      <c r="C4552" s="50" t="s">
        <v>62</v>
      </c>
      <c r="D4552" s="50" t="s">
        <v>27</v>
      </c>
      <c r="E4552" s="50">
        <v>50038841</v>
      </c>
      <c r="F4552" s="50" t="s">
        <v>180</v>
      </c>
      <c r="G4552" s="50">
        <v>1</v>
      </c>
      <c r="H4552" s="50" t="s">
        <v>2</v>
      </c>
      <c r="I4552" s="50" t="s">
        <v>288</v>
      </c>
      <c r="J4552" s="51">
        <v>45960</v>
      </c>
      <c r="K4552" s="50" t="s">
        <v>3</v>
      </c>
      <c r="L4552" s="50" t="s">
        <v>80</v>
      </c>
    </row>
    <row r="4553" spans="2:12">
      <c r="B4553" s="50" t="s">
        <v>394</v>
      </c>
      <c r="C4553" s="50" t="s">
        <v>26</v>
      </c>
      <c r="D4553" s="50" t="s">
        <v>41</v>
      </c>
      <c r="E4553" s="50">
        <v>50038841</v>
      </c>
      <c r="F4553" s="50" t="s">
        <v>180</v>
      </c>
      <c r="G4553" s="50">
        <v>1</v>
      </c>
      <c r="H4553" s="50" t="s">
        <v>2</v>
      </c>
      <c r="I4553" s="50" t="s">
        <v>287</v>
      </c>
      <c r="J4553" s="51">
        <v>45960</v>
      </c>
      <c r="K4553" s="50" t="s">
        <v>3</v>
      </c>
      <c r="L4553" s="50" t="s">
        <v>80</v>
      </c>
    </row>
    <row r="4554" spans="2:12">
      <c r="B4554" s="50" t="s">
        <v>394</v>
      </c>
      <c r="C4554" s="50" t="s">
        <v>26</v>
      </c>
      <c r="D4554" s="50" t="s">
        <v>41</v>
      </c>
      <c r="E4554" s="50">
        <v>50038841</v>
      </c>
      <c r="F4554" s="50" t="s">
        <v>180</v>
      </c>
      <c r="G4554" s="50">
        <v>1</v>
      </c>
      <c r="H4554" s="50" t="s">
        <v>2</v>
      </c>
      <c r="I4554" s="50" t="s">
        <v>287</v>
      </c>
      <c r="J4554" s="51">
        <v>45960</v>
      </c>
      <c r="K4554" s="50" t="s">
        <v>1</v>
      </c>
      <c r="L4554" s="50" t="s">
        <v>80</v>
      </c>
    </row>
    <row r="4555" spans="2:12">
      <c r="B4555" s="50" t="s">
        <v>443</v>
      </c>
      <c r="C4555" s="50" t="s">
        <v>56</v>
      </c>
      <c r="D4555" s="50" t="s">
        <v>36</v>
      </c>
      <c r="E4555" s="50">
        <v>50038517</v>
      </c>
      <c r="F4555" s="50" t="s">
        <v>181</v>
      </c>
      <c r="G4555" s="50">
        <v>1</v>
      </c>
      <c r="H4555" s="50" t="s">
        <v>2</v>
      </c>
      <c r="I4555" s="50" t="s">
        <v>292</v>
      </c>
      <c r="J4555" s="51">
        <v>45960</v>
      </c>
      <c r="K4555" s="50" t="s">
        <v>3</v>
      </c>
      <c r="L4555" s="50" t="s">
        <v>80</v>
      </c>
    </row>
    <row r="4556" spans="2:12">
      <c r="B4556" s="50" t="s">
        <v>386</v>
      </c>
      <c r="C4556" s="50" t="s">
        <v>62</v>
      </c>
      <c r="D4556" s="50" t="s">
        <v>27</v>
      </c>
      <c r="E4556" s="50">
        <v>50038517</v>
      </c>
      <c r="F4556" s="50" t="s">
        <v>181</v>
      </c>
      <c r="G4556" s="50">
        <v>1</v>
      </c>
      <c r="H4556" s="50" t="s">
        <v>2</v>
      </c>
      <c r="I4556" s="50" t="s">
        <v>288</v>
      </c>
      <c r="J4556" s="51">
        <v>45960</v>
      </c>
      <c r="K4556" s="50" t="s">
        <v>3</v>
      </c>
      <c r="L4556" s="50" t="s">
        <v>80</v>
      </c>
    </row>
    <row r="4557" spans="2:12">
      <c r="B4557" s="50" t="s">
        <v>386</v>
      </c>
      <c r="C4557" s="50" t="s">
        <v>62</v>
      </c>
      <c r="D4557" s="50" t="s">
        <v>27</v>
      </c>
      <c r="E4557" s="50">
        <v>50038517</v>
      </c>
      <c r="F4557" s="50" t="s">
        <v>181</v>
      </c>
      <c r="G4557" s="50">
        <v>1</v>
      </c>
      <c r="H4557" s="50" t="s">
        <v>2</v>
      </c>
      <c r="I4557" s="50" t="s">
        <v>287</v>
      </c>
      <c r="J4557" s="51">
        <v>45960</v>
      </c>
      <c r="K4557" s="50" t="s">
        <v>1</v>
      </c>
      <c r="L4557" s="50" t="s">
        <v>80</v>
      </c>
    </row>
    <row r="4558" spans="2:12">
      <c r="B4558" s="50" t="s">
        <v>439</v>
      </c>
      <c r="C4558" s="50" t="s">
        <v>62</v>
      </c>
      <c r="D4558" s="50" t="s">
        <v>27</v>
      </c>
      <c r="E4558" s="50">
        <v>50026357</v>
      </c>
      <c r="F4558" s="50" t="s">
        <v>192</v>
      </c>
      <c r="G4558" s="50">
        <v>1</v>
      </c>
      <c r="H4558" s="50" t="s">
        <v>2</v>
      </c>
      <c r="I4558" s="50" t="s">
        <v>292</v>
      </c>
      <c r="J4558" s="51">
        <v>45960</v>
      </c>
      <c r="K4558" s="50" t="s">
        <v>3</v>
      </c>
      <c r="L4558" s="50" t="s">
        <v>80</v>
      </c>
    </row>
    <row r="4559" spans="2:12">
      <c r="B4559" s="50" t="s">
        <v>439</v>
      </c>
      <c r="C4559" s="50" t="s">
        <v>62</v>
      </c>
      <c r="D4559" s="50" t="s">
        <v>27</v>
      </c>
      <c r="E4559" s="50">
        <v>50026357</v>
      </c>
      <c r="F4559" s="50" t="s">
        <v>192</v>
      </c>
      <c r="G4559" s="50">
        <v>1</v>
      </c>
      <c r="H4559" s="50" t="s">
        <v>2</v>
      </c>
      <c r="I4559" s="50" t="s">
        <v>292</v>
      </c>
      <c r="J4559" s="51">
        <v>45960</v>
      </c>
      <c r="K4559" s="50" t="s">
        <v>3</v>
      </c>
      <c r="L4559" s="50" t="s">
        <v>80</v>
      </c>
    </row>
    <row r="4560" spans="2:12">
      <c r="B4560" s="50" t="e">
        <v>#N/A</v>
      </c>
      <c r="C4560" s="50" t="s">
        <v>62</v>
      </c>
      <c r="D4560" s="50" t="s">
        <v>27</v>
      </c>
      <c r="E4560" s="50">
        <v>50041195</v>
      </c>
      <c r="F4560" s="50" t="s">
        <v>206</v>
      </c>
      <c r="G4560" s="50">
        <v>1</v>
      </c>
      <c r="H4560" s="50" t="s">
        <v>2</v>
      </c>
      <c r="I4560" s="50" t="s">
        <v>288</v>
      </c>
      <c r="J4560" s="51">
        <v>45960</v>
      </c>
      <c r="K4560" s="50" t="s">
        <v>1</v>
      </c>
      <c r="L4560" s="50" t="s">
        <v>80</v>
      </c>
    </row>
    <row r="4561" spans="2:12">
      <c r="B4561" s="50" t="s">
        <v>481</v>
      </c>
      <c r="C4561" s="50" t="s">
        <v>56</v>
      </c>
      <c r="D4561" s="50" t="s">
        <v>27</v>
      </c>
      <c r="E4561" s="50">
        <v>50043917</v>
      </c>
      <c r="F4561" s="50" t="s">
        <v>262</v>
      </c>
      <c r="G4561" s="50">
        <v>1</v>
      </c>
      <c r="H4561" s="50" t="s">
        <v>2</v>
      </c>
      <c r="I4561" s="50" t="s">
        <v>287</v>
      </c>
      <c r="J4561" s="51">
        <v>45960</v>
      </c>
      <c r="K4561" s="50" t="s">
        <v>1</v>
      </c>
      <c r="L4561" s="50" t="s">
        <v>80</v>
      </c>
    </row>
    <row r="4562" spans="2:12">
      <c r="B4562" s="50" t="s">
        <v>280</v>
      </c>
      <c r="C4562" s="50" t="s">
        <v>62</v>
      </c>
      <c r="D4562" s="50" t="s">
        <v>27</v>
      </c>
      <c r="E4562" s="50">
        <v>50020622</v>
      </c>
      <c r="F4562" s="50" t="s">
        <v>217</v>
      </c>
      <c r="G4562" s="50">
        <v>1</v>
      </c>
      <c r="H4562" s="50" t="s">
        <v>2</v>
      </c>
      <c r="I4562" s="50" t="s">
        <v>287</v>
      </c>
      <c r="J4562" s="51">
        <v>45960</v>
      </c>
      <c r="K4562" s="50" t="s">
        <v>3</v>
      </c>
      <c r="L4562" s="50" t="s">
        <v>80</v>
      </c>
    </row>
    <row r="4563" spans="2:12">
      <c r="B4563" s="50" t="s">
        <v>280</v>
      </c>
      <c r="C4563" s="50" t="s">
        <v>62</v>
      </c>
      <c r="D4563" s="50" t="s">
        <v>27</v>
      </c>
      <c r="E4563" s="50">
        <v>50020622</v>
      </c>
      <c r="F4563" s="50" t="s">
        <v>217</v>
      </c>
      <c r="G4563" s="50">
        <v>1</v>
      </c>
      <c r="H4563" s="50" t="s">
        <v>2</v>
      </c>
      <c r="I4563" s="50" t="s">
        <v>287</v>
      </c>
      <c r="J4563" s="51">
        <v>45960</v>
      </c>
      <c r="K4563" s="50" t="s">
        <v>1</v>
      </c>
      <c r="L4563" s="50" t="s">
        <v>80</v>
      </c>
    </row>
    <row r="4564" spans="2:12">
      <c r="B4564" s="50" t="s">
        <v>25</v>
      </c>
      <c r="C4564" s="50" t="s">
        <v>26</v>
      </c>
      <c r="D4564" s="50" t="s">
        <v>27</v>
      </c>
      <c r="E4564" s="50">
        <v>50043150</v>
      </c>
      <c r="F4564" s="50" t="s">
        <v>259</v>
      </c>
      <c r="G4564" s="50">
        <v>1</v>
      </c>
      <c r="H4564" s="50" t="s">
        <v>2</v>
      </c>
      <c r="I4564" s="50" t="s">
        <v>292</v>
      </c>
      <c r="J4564" s="51">
        <v>45960</v>
      </c>
      <c r="K4564" s="50" t="s">
        <v>3</v>
      </c>
      <c r="L4564" s="50" t="s">
        <v>80</v>
      </c>
    </row>
    <row r="4565" spans="2:12">
      <c r="B4565" s="50" t="s">
        <v>25</v>
      </c>
      <c r="C4565" s="50" t="s">
        <v>26</v>
      </c>
      <c r="D4565" s="50" t="s">
        <v>27</v>
      </c>
      <c r="E4565" s="50">
        <v>50043150</v>
      </c>
      <c r="F4565" s="57" t="s">
        <v>259</v>
      </c>
      <c r="G4565" s="50">
        <v>1</v>
      </c>
      <c r="H4565" s="50" t="s">
        <v>2</v>
      </c>
      <c r="I4565" s="50" t="s">
        <v>292</v>
      </c>
      <c r="J4565" s="51">
        <v>45960</v>
      </c>
      <c r="K4565" s="50" t="s">
        <v>3</v>
      </c>
      <c r="L4565" s="50" t="s">
        <v>80</v>
      </c>
    </row>
    <row r="4566" spans="2:12">
      <c r="B4566" s="50" t="s">
        <v>387</v>
      </c>
      <c r="C4566" s="50" t="s">
        <v>56</v>
      </c>
      <c r="D4566" s="50" t="s">
        <v>27</v>
      </c>
      <c r="E4566" s="50">
        <v>50040691</v>
      </c>
      <c r="F4566" s="57" t="s">
        <v>252</v>
      </c>
      <c r="G4566" s="50">
        <v>1</v>
      </c>
      <c r="H4566" s="50" t="s">
        <v>2</v>
      </c>
      <c r="I4566" s="50" t="s">
        <v>287</v>
      </c>
      <c r="J4566" s="51">
        <v>45960</v>
      </c>
      <c r="K4566" s="50" t="s">
        <v>1</v>
      </c>
      <c r="L4566" s="50" t="s">
        <v>80</v>
      </c>
    </row>
    <row r="4567" spans="2:12">
      <c r="B4567" s="50" t="s">
        <v>406</v>
      </c>
      <c r="C4567" s="50" t="s">
        <v>26</v>
      </c>
      <c r="D4567" s="50" t="s">
        <v>39</v>
      </c>
      <c r="E4567" s="50">
        <v>50043151</v>
      </c>
      <c r="F4567" s="50" t="s">
        <v>331</v>
      </c>
      <c r="G4567" s="50">
        <v>1</v>
      </c>
      <c r="H4567" s="50" t="s">
        <v>2</v>
      </c>
      <c r="I4567" s="50" t="s">
        <v>287</v>
      </c>
      <c r="J4567" s="51">
        <v>45960</v>
      </c>
      <c r="K4567" s="50" t="s">
        <v>3</v>
      </c>
      <c r="L4567" s="50" t="s">
        <v>80</v>
      </c>
    </row>
    <row r="4568" spans="2:12">
      <c r="B4568" s="50" t="s">
        <v>406</v>
      </c>
      <c r="C4568" s="50" t="s">
        <v>26</v>
      </c>
      <c r="D4568" s="50" t="s">
        <v>39</v>
      </c>
      <c r="E4568" s="50">
        <v>50043151</v>
      </c>
      <c r="F4568" s="50" t="s">
        <v>331</v>
      </c>
      <c r="G4568" s="50">
        <v>1</v>
      </c>
      <c r="H4568" s="50" t="s">
        <v>2</v>
      </c>
      <c r="I4568" s="50" t="s">
        <v>288</v>
      </c>
      <c r="J4568" s="51">
        <v>45960</v>
      </c>
      <c r="K4568" s="50" t="s">
        <v>3</v>
      </c>
      <c r="L4568" s="50" t="s">
        <v>80</v>
      </c>
    </row>
    <row r="4569" spans="2:12">
      <c r="B4569" s="50" t="s">
        <v>409</v>
      </c>
      <c r="C4569" s="50" t="s">
        <v>51</v>
      </c>
      <c r="D4569" s="50" t="s">
        <v>27</v>
      </c>
      <c r="E4569" s="50">
        <v>50010031</v>
      </c>
      <c r="F4569" s="50" t="s">
        <v>89</v>
      </c>
      <c r="G4569" s="50">
        <v>1</v>
      </c>
      <c r="H4569" s="50" t="s">
        <v>2</v>
      </c>
      <c r="I4569" s="50" t="s">
        <v>293</v>
      </c>
      <c r="J4569" s="51">
        <v>45959</v>
      </c>
      <c r="K4569" s="50" t="s">
        <v>3</v>
      </c>
      <c r="L4569" s="50" t="s">
        <v>80</v>
      </c>
    </row>
    <row r="4570" spans="2:12">
      <c r="B4570" s="50" t="s">
        <v>409</v>
      </c>
      <c r="C4570" s="50" t="s">
        <v>51</v>
      </c>
      <c r="D4570" s="50" t="s">
        <v>27</v>
      </c>
      <c r="E4570" s="50">
        <v>50010031</v>
      </c>
      <c r="F4570" s="50" t="s">
        <v>89</v>
      </c>
      <c r="G4570" s="50">
        <v>1</v>
      </c>
      <c r="H4570" s="50" t="s">
        <v>2</v>
      </c>
      <c r="I4570" s="50" t="s">
        <v>288</v>
      </c>
      <c r="J4570" s="51">
        <v>45959</v>
      </c>
      <c r="K4570" s="50" t="s">
        <v>1</v>
      </c>
      <c r="L4570" s="50" t="s">
        <v>80</v>
      </c>
    </row>
    <row r="4571" spans="2:12">
      <c r="B4571" s="50" t="s">
        <v>278</v>
      </c>
      <c r="C4571" s="50" t="s">
        <v>62</v>
      </c>
      <c r="D4571" s="50" t="s">
        <v>27</v>
      </c>
      <c r="E4571" s="50">
        <v>50038854</v>
      </c>
      <c r="F4571" s="50" t="s">
        <v>101</v>
      </c>
      <c r="G4571" s="50">
        <v>1</v>
      </c>
      <c r="H4571" s="50" t="s">
        <v>2</v>
      </c>
      <c r="I4571" s="50" t="s">
        <v>293</v>
      </c>
      <c r="J4571" s="51">
        <v>45959</v>
      </c>
      <c r="K4571" s="50" t="s">
        <v>1</v>
      </c>
      <c r="L4571" s="50" t="s">
        <v>80</v>
      </c>
    </row>
    <row r="4572" spans="2:12">
      <c r="B4572" s="50" t="s">
        <v>437</v>
      </c>
      <c r="C4572" s="50" t="s">
        <v>51</v>
      </c>
      <c r="D4572" s="50" t="s">
        <v>41</v>
      </c>
      <c r="E4572" s="50">
        <v>50041939</v>
      </c>
      <c r="F4572" s="50" t="s">
        <v>134</v>
      </c>
      <c r="G4572" s="50">
        <v>1</v>
      </c>
      <c r="H4572" s="50" t="s">
        <v>2</v>
      </c>
      <c r="I4572" s="50" t="s">
        <v>288</v>
      </c>
      <c r="J4572" s="51">
        <v>45959</v>
      </c>
      <c r="K4572" s="50" t="s">
        <v>3</v>
      </c>
      <c r="L4572" s="50" t="s">
        <v>80</v>
      </c>
    </row>
    <row r="4573" spans="2:12">
      <c r="B4573" s="50" t="s">
        <v>437</v>
      </c>
      <c r="C4573" s="50" t="s">
        <v>51</v>
      </c>
      <c r="D4573" s="50" t="s">
        <v>41</v>
      </c>
      <c r="E4573" s="50">
        <v>50041939</v>
      </c>
      <c r="F4573" s="50" t="s">
        <v>134</v>
      </c>
      <c r="G4573" s="50">
        <v>1</v>
      </c>
      <c r="H4573" s="50" t="s">
        <v>2</v>
      </c>
      <c r="I4573" s="50" t="s">
        <v>288</v>
      </c>
      <c r="J4573" s="51">
        <v>45959</v>
      </c>
      <c r="K4573" s="50" t="s">
        <v>3</v>
      </c>
      <c r="L4573" s="50" t="s">
        <v>80</v>
      </c>
    </row>
    <row r="4574" spans="2:12">
      <c r="B4574" s="50" t="s">
        <v>458</v>
      </c>
      <c r="C4574" s="50" t="s">
        <v>26</v>
      </c>
      <c r="D4574" s="50" t="s">
        <v>27</v>
      </c>
      <c r="E4574" s="50">
        <v>50037905</v>
      </c>
      <c r="F4574" s="50" t="s">
        <v>150</v>
      </c>
      <c r="G4574" s="50">
        <v>1</v>
      </c>
      <c r="H4574" s="50" t="s">
        <v>2</v>
      </c>
      <c r="I4574" s="50" t="s">
        <v>293</v>
      </c>
      <c r="J4574" s="51">
        <v>45959</v>
      </c>
      <c r="K4574" s="50" t="s">
        <v>1</v>
      </c>
      <c r="L4574" s="50" t="s">
        <v>80</v>
      </c>
    </row>
    <row r="4575" spans="2:12">
      <c r="B4575" s="50" t="s">
        <v>420</v>
      </c>
      <c r="C4575" s="50" t="s">
        <v>26</v>
      </c>
      <c r="D4575" s="50" t="s">
        <v>41</v>
      </c>
      <c r="E4575" s="50">
        <v>50037905</v>
      </c>
      <c r="F4575" s="50" t="s">
        <v>150</v>
      </c>
      <c r="G4575" s="50">
        <v>1</v>
      </c>
      <c r="H4575" s="50" t="s">
        <v>2</v>
      </c>
      <c r="I4575" s="50" t="s">
        <v>287</v>
      </c>
      <c r="J4575" s="51">
        <v>45959</v>
      </c>
      <c r="K4575" s="50" t="s">
        <v>3</v>
      </c>
      <c r="L4575" s="50" t="s">
        <v>80</v>
      </c>
    </row>
    <row r="4576" spans="2:12">
      <c r="B4576" s="50" t="s">
        <v>420</v>
      </c>
      <c r="C4576" s="50" t="s">
        <v>26</v>
      </c>
      <c r="D4576" s="50" t="s">
        <v>41</v>
      </c>
      <c r="E4576" s="50">
        <v>50037905</v>
      </c>
      <c r="F4576" s="50" t="s">
        <v>150</v>
      </c>
      <c r="G4576" s="50">
        <v>1</v>
      </c>
      <c r="H4576" s="50" t="s">
        <v>2</v>
      </c>
      <c r="I4576" s="50" t="s">
        <v>287</v>
      </c>
      <c r="J4576" s="51">
        <v>45959</v>
      </c>
      <c r="K4576" s="50" t="s">
        <v>1</v>
      </c>
      <c r="L4576" s="50" t="s">
        <v>80</v>
      </c>
    </row>
    <row r="4577" spans="2:12">
      <c r="B4577" s="50" t="s">
        <v>444</v>
      </c>
      <c r="C4577" s="50" t="s">
        <v>51</v>
      </c>
      <c r="D4577" s="50" t="s">
        <v>27</v>
      </c>
      <c r="E4577" s="50">
        <v>50039236</v>
      </c>
      <c r="F4577" s="50" t="s">
        <v>154</v>
      </c>
      <c r="G4577" s="50">
        <v>1</v>
      </c>
      <c r="H4577" s="50" t="s">
        <v>2</v>
      </c>
      <c r="I4577" s="50" t="s">
        <v>290</v>
      </c>
      <c r="J4577" s="51">
        <v>45959</v>
      </c>
      <c r="K4577" s="50" t="s">
        <v>3</v>
      </c>
      <c r="L4577" s="50" t="s">
        <v>80</v>
      </c>
    </row>
    <row r="4578" spans="2:12">
      <c r="B4578" s="50" t="s">
        <v>444</v>
      </c>
      <c r="C4578" s="50" t="s">
        <v>51</v>
      </c>
      <c r="D4578" s="50" t="s">
        <v>27</v>
      </c>
      <c r="E4578" s="50">
        <v>50039236</v>
      </c>
      <c r="F4578" s="50" t="s">
        <v>154</v>
      </c>
      <c r="G4578" s="50">
        <v>1</v>
      </c>
      <c r="H4578" s="50" t="s">
        <v>2</v>
      </c>
      <c r="I4578" s="50" t="s">
        <v>290</v>
      </c>
      <c r="J4578" s="51">
        <v>45959</v>
      </c>
      <c r="K4578" s="50" t="s">
        <v>1</v>
      </c>
      <c r="L4578" s="50" t="s">
        <v>80</v>
      </c>
    </row>
    <row r="4579" spans="2:12">
      <c r="B4579" s="50" t="s">
        <v>394</v>
      </c>
      <c r="C4579" s="50" t="s">
        <v>51</v>
      </c>
      <c r="D4579" s="50" t="s">
        <v>27</v>
      </c>
      <c r="E4579" s="50">
        <v>50003297</v>
      </c>
      <c r="F4579" s="50" t="s">
        <v>158</v>
      </c>
      <c r="G4579" s="50">
        <v>1</v>
      </c>
      <c r="H4579" s="50" t="s">
        <v>2</v>
      </c>
      <c r="I4579" s="50" t="s">
        <v>290</v>
      </c>
      <c r="J4579" s="51">
        <v>45959</v>
      </c>
      <c r="K4579" s="50" t="s">
        <v>3</v>
      </c>
      <c r="L4579" s="50" t="s">
        <v>80</v>
      </c>
    </row>
    <row r="4580" spans="2:12">
      <c r="B4580" s="50" t="s">
        <v>394</v>
      </c>
      <c r="C4580" s="50" t="s">
        <v>51</v>
      </c>
      <c r="D4580" s="50" t="s">
        <v>27</v>
      </c>
      <c r="E4580" s="50">
        <v>50003297</v>
      </c>
      <c r="F4580" s="50" t="s">
        <v>158</v>
      </c>
      <c r="G4580" s="50">
        <v>1</v>
      </c>
      <c r="H4580" s="50" t="s">
        <v>2</v>
      </c>
      <c r="I4580" s="50" t="s">
        <v>293</v>
      </c>
      <c r="J4580" s="51">
        <v>45959</v>
      </c>
      <c r="K4580" s="50" t="s">
        <v>1</v>
      </c>
      <c r="L4580" s="50" t="s">
        <v>80</v>
      </c>
    </row>
    <row r="4581" spans="2:12">
      <c r="B4581" s="50" t="s">
        <v>394</v>
      </c>
      <c r="C4581" s="50" t="s">
        <v>51</v>
      </c>
      <c r="D4581" s="50" t="s">
        <v>27</v>
      </c>
      <c r="E4581" s="50">
        <v>50003297</v>
      </c>
      <c r="F4581" s="50" t="s">
        <v>158</v>
      </c>
      <c r="G4581" s="50">
        <v>1</v>
      </c>
      <c r="H4581" s="50" t="s">
        <v>2</v>
      </c>
      <c r="I4581" s="50" t="s">
        <v>293</v>
      </c>
      <c r="J4581" s="51">
        <v>45959</v>
      </c>
      <c r="K4581" s="50" t="s">
        <v>3</v>
      </c>
      <c r="L4581" s="50" t="s">
        <v>80</v>
      </c>
    </row>
    <row r="4582" spans="2:12">
      <c r="B4582" s="50" t="s">
        <v>394</v>
      </c>
      <c r="C4582" s="50" t="s">
        <v>51</v>
      </c>
      <c r="D4582" s="50" t="s">
        <v>27</v>
      </c>
      <c r="E4582" s="50">
        <v>50003297</v>
      </c>
      <c r="F4582" s="50" t="s">
        <v>158</v>
      </c>
      <c r="G4582" s="50">
        <v>1</v>
      </c>
      <c r="H4582" s="50" t="s">
        <v>2</v>
      </c>
      <c r="I4582" s="50" t="s">
        <v>292</v>
      </c>
      <c r="J4582" s="51">
        <v>45959</v>
      </c>
      <c r="K4582" s="50" t="s">
        <v>1</v>
      </c>
      <c r="L4582" s="50" t="s">
        <v>80</v>
      </c>
    </row>
    <row r="4583" spans="2:12">
      <c r="B4583" s="50" t="s">
        <v>458</v>
      </c>
      <c r="C4583" s="50" t="s">
        <v>26</v>
      </c>
      <c r="D4583" s="50" t="s">
        <v>27</v>
      </c>
      <c r="E4583" s="50">
        <v>50038956</v>
      </c>
      <c r="F4583" s="50" t="s">
        <v>177</v>
      </c>
      <c r="G4583" s="50">
        <v>1</v>
      </c>
      <c r="H4583" s="50" t="s">
        <v>2</v>
      </c>
      <c r="I4583" s="50" t="s">
        <v>290</v>
      </c>
      <c r="J4583" s="51">
        <v>45959</v>
      </c>
      <c r="K4583" s="50" t="s">
        <v>3</v>
      </c>
      <c r="L4583" s="50" t="s">
        <v>80</v>
      </c>
    </row>
    <row r="4584" spans="2:12">
      <c r="B4584" s="50" t="s">
        <v>458</v>
      </c>
      <c r="C4584" s="50" t="s">
        <v>26</v>
      </c>
      <c r="D4584" s="50" t="s">
        <v>27</v>
      </c>
      <c r="E4584" s="50">
        <v>50038956</v>
      </c>
      <c r="F4584" s="50" t="s">
        <v>177</v>
      </c>
      <c r="G4584" s="50">
        <v>1</v>
      </c>
      <c r="H4584" s="50" t="s">
        <v>2</v>
      </c>
      <c r="I4584" s="50" t="s">
        <v>290</v>
      </c>
      <c r="J4584" s="51">
        <v>45959</v>
      </c>
      <c r="K4584" s="50" t="s">
        <v>1</v>
      </c>
      <c r="L4584" s="50" t="s">
        <v>80</v>
      </c>
    </row>
    <row r="4585" spans="2:12">
      <c r="B4585" s="50" t="s">
        <v>444</v>
      </c>
      <c r="C4585" s="50" t="s">
        <v>51</v>
      </c>
      <c r="D4585" s="50" t="s">
        <v>27</v>
      </c>
      <c r="E4585" s="50">
        <v>50038956</v>
      </c>
      <c r="F4585" s="50" t="s">
        <v>177</v>
      </c>
      <c r="G4585" s="50">
        <v>1</v>
      </c>
      <c r="H4585" s="50" t="s">
        <v>2</v>
      </c>
      <c r="I4585" s="50" t="s">
        <v>290</v>
      </c>
      <c r="J4585" s="51">
        <v>45959</v>
      </c>
      <c r="K4585" s="50" t="s">
        <v>3</v>
      </c>
      <c r="L4585" s="50" t="s">
        <v>80</v>
      </c>
    </row>
    <row r="4586" spans="2:12">
      <c r="B4586" s="50" t="s">
        <v>444</v>
      </c>
      <c r="C4586" s="50" t="s">
        <v>51</v>
      </c>
      <c r="D4586" s="50" t="s">
        <v>27</v>
      </c>
      <c r="E4586" s="50">
        <v>50038956</v>
      </c>
      <c r="F4586" s="50" t="s">
        <v>177</v>
      </c>
      <c r="G4586" s="50">
        <v>1</v>
      </c>
      <c r="H4586" s="50" t="s">
        <v>2</v>
      </c>
      <c r="I4586" s="50" t="s">
        <v>290</v>
      </c>
      <c r="J4586" s="51">
        <v>45959</v>
      </c>
      <c r="K4586" s="50" t="s">
        <v>1</v>
      </c>
      <c r="L4586" s="50" t="s">
        <v>80</v>
      </c>
    </row>
    <row r="4587" spans="2:12">
      <c r="B4587" s="50" t="s">
        <v>399</v>
      </c>
      <c r="C4587" s="50" t="s">
        <v>51</v>
      </c>
      <c r="D4587" s="50" t="s">
        <v>27</v>
      </c>
      <c r="E4587" s="50">
        <v>50038956</v>
      </c>
      <c r="F4587" s="50" t="s">
        <v>177</v>
      </c>
      <c r="G4587" s="50">
        <v>1</v>
      </c>
      <c r="H4587" s="50" t="s">
        <v>2</v>
      </c>
      <c r="I4587" s="50" t="s">
        <v>293</v>
      </c>
      <c r="J4587" s="51">
        <v>45959</v>
      </c>
      <c r="K4587" s="50" t="s">
        <v>3</v>
      </c>
      <c r="L4587" s="50" t="s">
        <v>80</v>
      </c>
    </row>
    <row r="4588" spans="2:12">
      <c r="B4588" s="50" t="s">
        <v>399</v>
      </c>
      <c r="C4588" s="50" t="s">
        <v>51</v>
      </c>
      <c r="D4588" s="50" t="s">
        <v>27</v>
      </c>
      <c r="E4588" s="72">
        <v>50038956</v>
      </c>
      <c r="F4588" s="72" t="s">
        <v>177</v>
      </c>
      <c r="G4588" s="50">
        <v>1</v>
      </c>
      <c r="H4588" s="50" t="s">
        <v>2</v>
      </c>
      <c r="I4588" s="50" t="s">
        <v>293</v>
      </c>
      <c r="J4588" s="51">
        <v>45959</v>
      </c>
      <c r="K4588" s="50" t="s">
        <v>3</v>
      </c>
      <c r="L4588" s="50" t="s">
        <v>80</v>
      </c>
    </row>
    <row r="4589" spans="2:12">
      <c r="B4589" s="50" t="s">
        <v>463</v>
      </c>
      <c r="C4589" s="50" t="s">
        <v>56</v>
      </c>
      <c r="D4589" s="50" t="s">
        <v>27</v>
      </c>
      <c r="E4589" s="50">
        <v>50037902</v>
      </c>
      <c r="F4589" s="50" t="s">
        <v>179</v>
      </c>
      <c r="G4589" s="50">
        <v>1</v>
      </c>
      <c r="H4589" s="50" t="s">
        <v>2</v>
      </c>
      <c r="I4589" s="50" t="s">
        <v>290</v>
      </c>
      <c r="J4589" s="51">
        <v>45959</v>
      </c>
      <c r="K4589" s="50" t="s">
        <v>1</v>
      </c>
      <c r="L4589" s="50" t="s">
        <v>80</v>
      </c>
    </row>
    <row r="4590" spans="2:12">
      <c r="B4590" s="50" t="s">
        <v>463</v>
      </c>
      <c r="C4590" s="50" t="s">
        <v>56</v>
      </c>
      <c r="D4590" s="50" t="s">
        <v>27</v>
      </c>
      <c r="E4590" s="50">
        <v>50037902</v>
      </c>
      <c r="F4590" s="50" t="s">
        <v>179</v>
      </c>
      <c r="G4590" s="50">
        <v>1</v>
      </c>
      <c r="H4590" s="50" t="s">
        <v>2</v>
      </c>
      <c r="I4590" s="50" t="s">
        <v>287</v>
      </c>
      <c r="J4590" s="51">
        <v>45959</v>
      </c>
      <c r="K4590" s="50" t="s">
        <v>3</v>
      </c>
      <c r="L4590" s="50" t="s">
        <v>80</v>
      </c>
    </row>
    <row r="4591" spans="2:12">
      <c r="B4591" s="50" t="s">
        <v>399</v>
      </c>
      <c r="C4591" s="50" t="s">
        <v>51</v>
      </c>
      <c r="D4591" s="50" t="s">
        <v>27</v>
      </c>
      <c r="E4591" s="50">
        <v>50037902</v>
      </c>
      <c r="F4591" s="50" t="s">
        <v>179</v>
      </c>
      <c r="G4591" s="50">
        <v>1</v>
      </c>
      <c r="H4591" s="50" t="s">
        <v>2</v>
      </c>
      <c r="I4591" s="50" t="s">
        <v>287</v>
      </c>
      <c r="J4591" s="51">
        <v>45959</v>
      </c>
      <c r="K4591" s="50" t="s">
        <v>3</v>
      </c>
      <c r="L4591" s="50" t="s">
        <v>80</v>
      </c>
    </row>
    <row r="4592" spans="2:12">
      <c r="B4592" s="50" t="s">
        <v>474</v>
      </c>
      <c r="C4592" s="50" t="s">
        <v>51</v>
      </c>
      <c r="D4592" s="50" t="s">
        <v>27</v>
      </c>
      <c r="E4592" s="50">
        <v>50038841</v>
      </c>
      <c r="F4592" s="50" t="s">
        <v>180</v>
      </c>
      <c r="G4592" s="50">
        <v>1</v>
      </c>
      <c r="H4592" s="50" t="s">
        <v>2</v>
      </c>
      <c r="I4592" s="50" t="s">
        <v>287</v>
      </c>
      <c r="J4592" s="51">
        <v>45959</v>
      </c>
      <c r="K4592" s="50" t="s">
        <v>1</v>
      </c>
      <c r="L4592" s="50" t="s">
        <v>80</v>
      </c>
    </row>
    <row r="4593" spans="2:12">
      <c r="B4593" s="50" t="e">
        <v>#N/A</v>
      </c>
      <c r="C4593" s="50" t="s">
        <v>51</v>
      </c>
      <c r="D4593" s="50" t="s">
        <v>41</v>
      </c>
      <c r="E4593" s="50">
        <v>50038517</v>
      </c>
      <c r="F4593" s="50" t="s">
        <v>181</v>
      </c>
      <c r="G4593" s="50">
        <v>1</v>
      </c>
      <c r="H4593" s="50" t="s">
        <v>2</v>
      </c>
      <c r="I4593" s="50" t="s">
        <v>287</v>
      </c>
      <c r="J4593" s="51">
        <v>45959</v>
      </c>
      <c r="K4593" s="50" t="s">
        <v>1</v>
      </c>
      <c r="L4593" s="50" t="s">
        <v>80</v>
      </c>
    </row>
    <row r="4594" spans="2:12">
      <c r="B4594" s="50" t="s">
        <v>458</v>
      </c>
      <c r="C4594" s="50" t="s">
        <v>26</v>
      </c>
      <c r="D4594" s="50" t="s">
        <v>27</v>
      </c>
      <c r="E4594" s="50">
        <v>50039065</v>
      </c>
      <c r="F4594" s="50" t="s">
        <v>186</v>
      </c>
      <c r="G4594" s="50"/>
      <c r="H4594" s="50" t="s">
        <v>2</v>
      </c>
      <c r="I4594" s="50" t="s">
        <v>290</v>
      </c>
      <c r="J4594" s="51">
        <v>45959</v>
      </c>
      <c r="K4594" s="50" t="s">
        <v>3</v>
      </c>
      <c r="L4594" s="50" t="s">
        <v>80</v>
      </c>
    </row>
    <row r="4595" spans="2:12">
      <c r="B4595" s="50" t="s">
        <v>458</v>
      </c>
      <c r="C4595" s="50" t="s">
        <v>26</v>
      </c>
      <c r="D4595" s="50" t="s">
        <v>27</v>
      </c>
      <c r="E4595" s="50">
        <v>50039065</v>
      </c>
      <c r="F4595" s="50" t="s">
        <v>186</v>
      </c>
      <c r="G4595" s="50"/>
      <c r="H4595" s="50" t="s">
        <v>2</v>
      </c>
      <c r="I4595" s="50" t="s">
        <v>290</v>
      </c>
      <c r="J4595" s="51">
        <v>45959</v>
      </c>
      <c r="K4595" s="50" t="s">
        <v>1</v>
      </c>
      <c r="L4595" s="50" t="s">
        <v>80</v>
      </c>
    </row>
    <row r="4596" spans="2:12">
      <c r="B4596" s="50" t="s">
        <v>407</v>
      </c>
      <c r="C4596" s="50" t="s">
        <v>26</v>
      </c>
      <c r="D4596" s="50" t="s">
        <v>27</v>
      </c>
      <c r="E4596" s="50">
        <v>50039065</v>
      </c>
      <c r="F4596" s="50" t="s">
        <v>186</v>
      </c>
      <c r="G4596" s="50">
        <v>1</v>
      </c>
      <c r="H4596" s="50" t="s">
        <v>2</v>
      </c>
      <c r="I4596" s="50" t="s">
        <v>290</v>
      </c>
      <c r="J4596" s="51">
        <v>45959</v>
      </c>
      <c r="K4596" s="50" t="s">
        <v>3</v>
      </c>
      <c r="L4596" s="50" t="s">
        <v>80</v>
      </c>
    </row>
    <row r="4597" spans="2:12">
      <c r="B4597" s="50" t="s">
        <v>407</v>
      </c>
      <c r="C4597" s="50" t="s">
        <v>26</v>
      </c>
      <c r="D4597" s="50" t="s">
        <v>27</v>
      </c>
      <c r="E4597" s="50">
        <v>50039065</v>
      </c>
      <c r="F4597" s="50" t="s">
        <v>186</v>
      </c>
      <c r="G4597" s="50">
        <v>1</v>
      </c>
      <c r="H4597" s="50" t="s">
        <v>2</v>
      </c>
      <c r="I4597" s="50" t="s">
        <v>290</v>
      </c>
      <c r="J4597" s="51">
        <v>45959</v>
      </c>
      <c r="K4597" s="50" t="s">
        <v>3</v>
      </c>
      <c r="L4597" s="50" t="s">
        <v>80</v>
      </c>
    </row>
    <row r="4598" spans="2:12">
      <c r="B4598" s="50" t="e">
        <v>#N/A</v>
      </c>
      <c r="C4598" s="50" t="s">
        <v>62</v>
      </c>
      <c r="D4598" s="50" t="s">
        <v>27</v>
      </c>
      <c r="E4598" s="50">
        <v>50041195</v>
      </c>
      <c r="F4598" s="50" t="s">
        <v>206</v>
      </c>
      <c r="G4598" s="50">
        <v>1</v>
      </c>
      <c r="H4598" s="50" t="s">
        <v>2</v>
      </c>
      <c r="I4598" s="50" t="s">
        <v>288</v>
      </c>
      <c r="J4598" s="51">
        <v>45959</v>
      </c>
      <c r="K4598" s="50" t="s">
        <v>3</v>
      </c>
      <c r="L4598" s="50" t="s">
        <v>80</v>
      </c>
    </row>
    <row r="4599" spans="2:12">
      <c r="B4599" s="50" t="e">
        <v>#N/A</v>
      </c>
      <c r="C4599" s="50" t="s">
        <v>62</v>
      </c>
      <c r="D4599" s="50" t="s">
        <v>27</v>
      </c>
      <c r="E4599" s="50">
        <v>50041195</v>
      </c>
      <c r="F4599" s="50" t="s">
        <v>206</v>
      </c>
      <c r="G4599" s="50">
        <v>1</v>
      </c>
      <c r="H4599" s="50" t="s">
        <v>2</v>
      </c>
      <c r="I4599" s="50" t="s">
        <v>288</v>
      </c>
      <c r="J4599" s="51">
        <v>45959</v>
      </c>
      <c r="K4599" s="50" t="s">
        <v>1</v>
      </c>
      <c r="L4599" s="50" t="s">
        <v>80</v>
      </c>
    </row>
    <row r="4600" spans="2:12">
      <c r="B4600" s="50" t="s">
        <v>466</v>
      </c>
      <c r="C4600" s="50" t="s">
        <v>62</v>
      </c>
      <c r="D4600" s="50" t="s">
        <v>27</v>
      </c>
      <c r="E4600" s="50">
        <v>50043917</v>
      </c>
      <c r="F4600" s="50" t="s">
        <v>262</v>
      </c>
      <c r="G4600" s="50">
        <v>1</v>
      </c>
      <c r="H4600" s="50" t="s">
        <v>2</v>
      </c>
      <c r="I4600" s="50" t="s">
        <v>293</v>
      </c>
      <c r="J4600" s="51">
        <v>45959</v>
      </c>
      <c r="K4600" s="50" t="s">
        <v>3</v>
      </c>
      <c r="L4600" s="50" t="s">
        <v>80</v>
      </c>
    </row>
    <row r="4601" spans="2:12">
      <c r="B4601" s="50" t="s">
        <v>463</v>
      </c>
      <c r="C4601" s="50" t="s">
        <v>56</v>
      </c>
      <c r="D4601" s="50" t="s">
        <v>27</v>
      </c>
      <c r="E4601" s="50">
        <v>50043917</v>
      </c>
      <c r="F4601" s="50" t="s">
        <v>262</v>
      </c>
      <c r="G4601" s="50">
        <v>1</v>
      </c>
      <c r="H4601" s="50" t="s">
        <v>2</v>
      </c>
      <c r="I4601" s="50" t="s">
        <v>287</v>
      </c>
      <c r="J4601" s="51">
        <v>45959</v>
      </c>
      <c r="K4601" s="50" t="s">
        <v>1</v>
      </c>
      <c r="L4601" s="50" t="s">
        <v>80</v>
      </c>
    </row>
    <row r="4602" spans="2:12">
      <c r="B4602" s="50" t="s">
        <v>463</v>
      </c>
      <c r="C4602" s="50" t="s">
        <v>56</v>
      </c>
      <c r="D4602" s="50" t="s">
        <v>27</v>
      </c>
      <c r="E4602" s="50">
        <v>50043917</v>
      </c>
      <c r="F4602" s="50" t="s">
        <v>262</v>
      </c>
      <c r="G4602" s="50">
        <v>1</v>
      </c>
      <c r="H4602" s="50" t="s">
        <v>2</v>
      </c>
      <c r="I4602" s="50" t="s">
        <v>288</v>
      </c>
      <c r="J4602" s="51">
        <v>45959</v>
      </c>
      <c r="K4602" s="50" t="s">
        <v>1</v>
      </c>
      <c r="L4602" s="50" t="s">
        <v>80</v>
      </c>
    </row>
    <row r="4603" spans="2:12">
      <c r="B4603" s="50" t="s">
        <v>463</v>
      </c>
      <c r="C4603" s="50" t="s">
        <v>56</v>
      </c>
      <c r="D4603" s="50" t="s">
        <v>27</v>
      </c>
      <c r="E4603" s="50">
        <v>50020622</v>
      </c>
      <c r="F4603" s="50" t="s">
        <v>217</v>
      </c>
      <c r="G4603" s="50">
        <v>1</v>
      </c>
      <c r="H4603" s="50" t="s">
        <v>2</v>
      </c>
      <c r="I4603" s="50" t="s">
        <v>290</v>
      </c>
      <c r="J4603" s="51">
        <v>45959</v>
      </c>
      <c r="K4603" s="50" t="s">
        <v>3</v>
      </c>
      <c r="L4603" s="50" t="s">
        <v>80</v>
      </c>
    </row>
    <row r="4604" spans="2:12">
      <c r="B4604" s="50" t="s">
        <v>463</v>
      </c>
      <c r="C4604" s="50" t="s">
        <v>56</v>
      </c>
      <c r="D4604" s="50" t="s">
        <v>27</v>
      </c>
      <c r="E4604" s="50">
        <v>50020622</v>
      </c>
      <c r="F4604" s="50" t="s">
        <v>217</v>
      </c>
      <c r="G4604" s="50">
        <v>1</v>
      </c>
      <c r="H4604" s="50" t="s">
        <v>2</v>
      </c>
      <c r="I4604" s="50" t="s">
        <v>293</v>
      </c>
      <c r="J4604" s="51">
        <v>45959</v>
      </c>
      <c r="K4604" s="50" t="s">
        <v>1</v>
      </c>
      <c r="L4604" s="50" t="s">
        <v>80</v>
      </c>
    </row>
    <row r="4605" spans="2:12">
      <c r="B4605" s="50" t="s">
        <v>465</v>
      </c>
      <c r="C4605" s="50" t="s">
        <v>26</v>
      </c>
      <c r="D4605" s="50" t="s">
        <v>27</v>
      </c>
      <c r="E4605" s="50">
        <v>50037933</v>
      </c>
      <c r="F4605" s="50" t="s">
        <v>250</v>
      </c>
      <c r="G4605" s="50">
        <v>1</v>
      </c>
      <c r="H4605" s="50" t="s">
        <v>2</v>
      </c>
      <c r="I4605" s="50" t="s">
        <v>293</v>
      </c>
      <c r="J4605" s="51">
        <v>45959</v>
      </c>
      <c r="K4605" s="50" t="s">
        <v>3</v>
      </c>
      <c r="L4605" s="50" t="s">
        <v>80</v>
      </c>
    </row>
    <row r="4606" spans="2:12">
      <c r="B4606" s="50" t="s">
        <v>465</v>
      </c>
      <c r="C4606" s="50" t="s">
        <v>26</v>
      </c>
      <c r="D4606" s="50" t="s">
        <v>27</v>
      </c>
      <c r="E4606" s="50">
        <v>50037933</v>
      </c>
      <c r="F4606" s="50" t="s">
        <v>250</v>
      </c>
      <c r="G4606" s="50">
        <v>1</v>
      </c>
      <c r="H4606" s="50" t="s">
        <v>2</v>
      </c>
      <c r="I4606" s="50" t="s">
        <v>292</v>
      </c>
      <c r="J4606" s="51">
        <v>45959</v>
      </c>
      <c r="K4606" s="50" t="s">
        <v>3</v>
      </c>
      <c r="L4606" s="50" t="s">
        <v>80</v>
      </c>
    </row>
    <row r="4607" spans="2:12">
      <c r="B4607" s="50" t="s">
        <v>394</v>
      </c>
      <c r="C4607" s="50" t="s">
        <v>51</v>
      </c>
      <c r="D4607" s="50" t="s">
        <v>27</v>
      </c>
      <c r="E4607" s="50">
        <v>50010031</v>
      </c>
      <c r="F4607" s="50" t="s">
        <v>89</v>
      </c>
      <c r="G4607" s="50">
        <v>1</v>
      </c>
      <c r="H4607" s="50" t="s">
        <v>2</v>
      </c>
      <c r="I4607" s="50" t="s">
        <v>288</v>
      </c>
      <c r="J4607" s="51">
        <v>45958</v>
      </c>
      <c r="K4607" s="50" t="s">
        <v>3</v>
      </c>
      <c r="L4607" s="50" t="s">
        <v>80</v>
      </c>
    </row>
    <row r="4608" spans="2:12">
      <c r="B4608" s="50" t="s">
        <v>418</v>
      </c>
      <c r="C4608" s="50" t="s">
        <v>26</v>
      </c>
      <c r="D4608" s="50" t="s">
        <v>27</v>
      </c>
      <c r="E4608" s="50">
        <v>50038854</v>
      </c>
      <c r="F4608" s="50" t="s">
        <v>101</v>
      </c>
      <c r="G4608" s="50">
        <v>1</v>
      </c>
      <c r="H4608" s="50" t="s">
        <v>2</v>
      </c>
      <c r="I4608" s="50" t="s">
        <v>287</v>
      </c>
      <c r="J4608" s="51">
        <v>45958</v>
      </c>
      <c r="K4608" s="50" t="s">
        <v>1</v>
      </c>
      <c r="L4608" s="50" t="s">
        <v>80</v>
      </c>
    </row>
    <row r="4609" spans="2:12">
      <c r="B4609" s="50" t="s">
        <v>345</v>
      </c>
      <c r="C4609" s="50" t="s">
        <v>62</v>
      </c>
      <c r="D4609" s="50" t="s">
        <v>27</v>
      </c>
      <c r="E4609" s="50">
        <v>50036086</v>
      </c>
      <c r="F4609" s="50" t="s">
        <v>28</v>
      </c>
      <c r="G4609" s="50">
        <v>1</v>
      </c>
      <c r="H4609" s="50" t="s">
        <v>2</v>
      </c>
      <c r="I4609" s="50" t="s">
        <v>293</v>
      </c>
      <c r="J4609" s="51">
        <v>45958</v>
      </c>
      <c r="K4609" s="50" t="s">
        <v>3</v>
      </c>
      <c r="L4609" s="50" t="s">
        <v>80</v>
      </c>
    </row>
    <row r="4610" spans="2:12">
      <c r="B4610" s="50" t="s">
        <v>345</v>
      </c>
      <c r="C4610" s="50" t="s">
        <v>62</v>
      </c>
      <c r="D4610" s="50" t="s">
        <v>27</v>
      </c>
      <c r="E4610" s="50">
        <v>50036086</v>
      </c>
      <c r="F4610" s="50" t="s">
        <v>28</v>
      </c>
      <c r="G4610" s="50">
        <v>1</v>
      </c>
      <c r="H4610" s="50" t="s">
        <v>2</v>
      </c>
      <c r="I4610" s="50" t="s">
        <v>288</v>
      </c>
      <c r="J4610" s="51">
        <v>45958</v>
      </c>
      <c r="K4610" s="50" t="s">
        <v>1</v>
      </c>
      <c r="L4610" s="50" t="s">
        <v>80</v>
      </c>
    </row>
    <row r="4611" spans="2:12">
      <c r="B4611" s="50" t="s">
        <v>399</v>
      </c>
      <c r="C4611" s="50" t="s">
        <v>51</v>
      </c>
      <c r="D4611" s="50" t="s">
        <v>27</v>
      </c>
      <c r="E4611" s="50">
        <v>50003173</v>
      </c>
      <c r="F4611" s="50" t="s">
        <v>74</v>
      </c>
      <c r="G4611" s="50">
        <v>1</v>
      </c>
      <c r="H4611" s="50" t="s">
        <v>2</v>
      </c>
      <c r="I4611" s="50" t="s">
        <v>293</v>
      </c>
      <c r="J4611" s="51">
        <v>45958</v>
      </c>
      <c r="K4611" s="50" t="s">
        <v>3</v>
      </c>
      <c r="L4611" s="50" t="s">
        <v>80</v>
      </c>
    </row>
    <row r="4612" spans="2:12">
      <c r="B4612" s="50" t="s">
        <v>399</v>
      </c>
      <c r="C4612" s="50" t="s">
        <v>51</v>
      </c>
      <c r="D4612" s="50" t="s">
        <v>27</v>
      </c>
      <c r="E4612" s="58">
        <v>50003173</v>
      </c>
      <c r="F4612" s="58" t="s">
        <v>74</v>
      </c>
      <c r="G4612" s="50">
        <v>1</v>
      </c>
      <c r="H4612" s="50" t="s">
        <v>2</v>
      </c>
      <c r="I4612" s="50" t="s">
        <v>293</v>
      </c>
      <c r="J4612" s="51">
        <v>45958</v>
      </c>
      <c r="K4612" s="50" t="s">
        <v>1</v>
      </c>
      <c r="L4612" s="50" t="s">
        <v>80</v>
      </c>
    </row>
    <row r="4613" spans="2:12">
      <c r="B4613" s="50" t="s">
        <v>418</v>
      </c>
      <c r="C4613" s="50" t="s">
        <v>26</v>
      </c>
      <c r="D4613" s="50" t="s">
        <v>27</v>
      </c>
      <c r="E4613" s="50">
        <v>50039718</v>
      </c>
      <c r="F4613" s="50" t="s">
        <v>149</v>
      </c>
      <c r="G4613" s="50">
        <v>1</v>
      </c>
      <c r="H4613" s="50" t="s">
        <v>2</v>
      </c>
      <c r="I4613" s="50" t="s">
        <v>293</v>
      </c>
      <c r="J4613" s="51">
        <v>45958</v>
      </c>
      <c r="K4613" s="50" t="s">
        <v>3</v>
      </c>
      <c r="L4613" s="50" t="s">
        <v>80</v>
      </c>
    </row>
    <row r="4614" spans="2:12">
      <c r="B4614" s="50" t="s">
        <v>418</v>
      </c>
      <c r="C4614" s="50" t="s">
        <v>26</v>
      </c>
      <c r="D4614" s="50" t="s">
        <v>27</v>
      </c>
      <c r="E4614" s="50">
        <v>50039718</v>
      </c>
      <c r="F4614" s="50" t="s">
        <v>149</v>
      </c>
      <c r="G4614" s="50">
        <v>1</v>
      </c>
      <c r="H4614" s="50" t="s">
        <v>2</v>
      </c>
      <c r="I4614" s="50" t="s">
        <v>287</v>
      </c>
      <c r="J4614" s="51">
        <v>45958</v>
      </c>
      <c r="K4614" s="50" t="s">
        <v>1</v>
      </c>
      <c r="L4614" s="50" t="s">
        <v>80</v>
      </c>
    </row>
    <row r="4615" spans="2:12">
      <c r="B4615" s="50" t="s">
        <v>458</v>
      </c>
      <c r="C4615" s="50" t="s">
        <v>26</v>
      </c>
      <c r="D4615" s="50" t="s">
        <v>27</v>
      </c>
      <c r="E4615" s="50">
        <v>50037905</v>
      </c>
      <c r="F4615" s="50" t="s">
        <v>150</v>
      </c>
      <c r="G4615" s="50">
        <v>1</v>
      </c>
      <c r="H4615" s="50" t="s">
        <v>2</v>
      </c>
      <c r="I4615" s="50" t="s">
        <v>290</v>
      </c>
      <c r="J4615" s="51">
        <v>45958</v>
      </c>
      <c r="K4615" s="50" t="s">
        <v>3</v>
      </c>
      <c r="L4615" s="50" t="s">
        <v>80</v>
      </c>
    </row>
    <row r="4616" spans="2:12">
      <c r="B4616" s="50" t="s">
        <v>458</v>
      </c>
      <c r="C4616" s="50" t="s">
        <v>26</v>
      </c>
      <c r="D4616" s="50" t="s">
        <v>27</v>
      </c>
      <c r="E4616" s="50">
        <v>50037905</v>
      </c>
      <c r="F4616" s="50" t="s">
        <v>150</v>
      </c>
      <c r="G4616" s="50">
        <v>1</v>
      </c>
      <c r="H4616" s="50" t="s">
        <v>2</v>
      </c>
      <c r="I4616" s="50" t="s">
        <v>290</v>
      </c>
      <c r="J4616" s="51">
        <v>45958</v>
      </c>
      <c r="K4616" s="50" t="s">
        <v>1</v>
      </c>
      <c r="L4616" s="50" t="s">
        <v>80</v>
      </c>
    </row>
    <row r="4617" spans="2:12">
      <c r="B4617" s="50" t="s">
        <v>316</v>
      </c>
      <c r="C4617" s="50" t="s">
        <v>51</v>
      </c>
      <c r="D4617" s="50" t="s">
        <v>27</v>
      </c>
      <c r="E4617" s="50">
        <v>50039236</v>
      </c>
      <c r="F4617" s="50" t="s">
        <v>154</v>
      </c>
      <c r="G4617" s="50">
        <v>1</v>
      </c>
      <c r="H4617" s="50" t="s">
        <v>2</v>
      </c>
      <c r="I4617" s="50" t="s">
        <v>293</v>
      </c>
      <c r="J4617" s="51">
        <v>45958</v>
      </c>
      <c r="K4617" s="50" t="s">
        <v>3</v>
      </c>
      <c r="L4617" s="50" t="s">
        <v>80</v>
      </c>
    </row>
    <row r="4618" spans="2:12">
      <c r="B4618" s="50" t="s">
        <v>316</v>
      </c>
      <c r="C4618" s="50" t="s">
        <v>51</v>
      </c>
      <c r="D4618" s="50" t="s">
        <v>27</v>
      </c>
      <c r="E4618" s="50">
        <v>50039236</v>
      </c>
      <c r="F4618" s="50" t="s">
        <v>154</v>
      </c>
      <c r="G4618" s="50">
        <v>1</v>
      </c>
      <c r="H4618" s="50" t="s">
        <v>2</v>
      </c>
      <c r="I4618" s="50" t="s">
        <v>293</v>
      </c>
      <c r="J4618" s="51">
        <v>45958</v>
      </c>
      <c r="K4618" s="50" t="s">
        <v>1</v>
      </c>
      <c r="L4618" s="50" t="s">
        <v>80</v>
      </c>
    </row>
    <row r="4619" spans="2:12">
      <c r="B4619" s="50" t="s">
        <v>418</v>
      </c>
      <c r="C4619" s="50" t="s">
        <v>26</v>
      </c>
      <c r="D4619" s="50" t="s">
        <v>27</v>
      </c>
      <c r="E4619" s="50">
        <v>50043471</v>
      </c>
      <c r="F4619" s="50" t="s">
        <v>257</v>
      </c>
      <c r="G4619" s="50">
        <v>1</v>
      </c>
      <c r="H4619" s="50" t="s">
        <v>2</v>
      </c>
      <c r="I4619" s="50" t="s">
        <v>293</v>
      </c>
      <c r="J4619" s="51">
        <v>45958</v>
      </c>
      <c r="K4619" s="50" t="s">
        <v>3</v>
      </c>
      <c r="L4619" s="50" t="s">
        <v>80</v>
      </c>
    </row>
    <row r="4620" spans="2:12">
      <c r="B4620" s="50" t="s">
        <v>418</v>
      </c>
      <c r="C4620" s="50" t="s">
        <v>26</v>
      </c>
      <c r="D4620" s="50" t="s">
        <v>27</v>
      </c>
      <c r="E4620" s="50">
        <v>50043471</v>
      </c>
      <c r="F4620" s="50" t="s">
        <v>257</v>
      </c>
      <c r="G4620" s="50">
        <v>1</v>
      </c>
      <c r="H4620" s="50" t="s">
        <v>2</v>
      </c>
      <c r="I4620" s="50" t="s">
        <v>288</v>
      </c>
      <c r="J4620" s="51">
        <v>45958</v>
      </c>
      <c r="K4620" s="50" t="s">
        <v>1</v>
      </c>
      <c r="L4620" s="50" t="s">
        <v>80</v>
      </c>
    </row>
    <row r="4621" spans="2:12">
      <c r="B4621" s="50" t="s">
        <v>469</v>
      </c>
      <c r="C4621" s="50" t="s">
        <v>26</v>
      </c>
      <c r="D4621" s="50" t="s">
        <v>39</v>
      </c>
      <c r="E4621" s="50">
        <v>50003297</v>
      </c>
      <c r="F4621" s="50" t="s">
        <v>158</v>
      </c>
      <c r="G4621" s="50">
        <v>1</v>
      </c>
      <c r="H4621" s="50" t="s">
        <v>2</v>
      </c>
      <c r="I4621" s="50" t="s">
        <v>290</v>
      </c>
      <c r="J4621" s="51">
        <v>45958</v>
      </c>
      <c r="K4621" s="50" t="s">
        <v>3</v>
      </c>
      <c r="L4621" s="50" t="s">
        <v>80</v>
      </c>
    </row>
    <row r="4622" spans="2:12">
      <c r="B4622" s="50" t="s">
        <v>469</v>
      </c>
      <c r="C4622" s="50" t="s">
        <v>26</v>
      </c>
      <c r="D4622" s="50" t="s">
        <v>39</v>
      </c>
      <c r="E4622" s="50">
        <v>50003297</v>
      </c>
      <c r="F4622" s="50" t="s">
        <v>158</v>
      </c>
      <c r="G4622" s="50">
        <v>1</v>
      </c>
      <c r="H4622" s="50" t="s">
        <v>2</v>
      </c>
      <c r="I4622" s="50" t="s">
        <v>293</v>
      </c>
      <c r="J4622" s="51">
        <v>45958</v>
      </c>
      <c r="K4622" s="50" t="s">
        <v>1</v>
      </c>
      <c r="L4622" s="50" t="s">
        <v>80</v>
      </c>
    </row>
    <row r="4623" spans="2:12">
      <c r="B4623" s="50" t="s">
        <v>316</v>
      </c>
      <c r="C4623" s="50" t="s">
        <v>51</v>
      </c>
      <c r="D4623" s="50" t="s">
        <v>27</v>
      </c>
      <c r="E4623" s="50">
        <v>50029865</v>
      </c>
      <c r="F4623" s="50" t="s">
        <v>162</v>
      </c>
      <c r="G4623" s="50">
        <v>1</v>
      </c>
      <c r="H4623" s="50" t="s">
        <v>2</v>
      </c>
      <c r="I4623" s="50" t="s">
        <v>293</v>
      </c>
      <c r="J4623" s="51">
        <v>45958</v>
      </c>
      <c r="K4623" s="50" t="s">
        <v>3</v>
      </c>
      <c r="L4623" s="50" t="s">
        <v>80</v>
      </c>
    </row>
    <row r="4624" spans="2:12">
      <c r="B4624" s="50" t="s">
        <v>316</v>
      </c>
      <c r="C4624" s="50" t="s">
        <v>51</v>
      </c>
      <c r="D4624" s="50" t="s">
        <v>27</v>
      </c>
      <c r="E4624" s="50">
        <v>50029865</v>
      </c>
      <c r="F4624" s="50" t="s">
        <v>162</v>
      </c>
      <c r="G4624" s="50">
        <v>1</v>
      </c>
      <c r="H4624" s="50" t="s">
        <v>2</v>
      </c>
      <c r="I4624" s="50" t="s">
        <v>293</v>
      </c>
      <c r="J4624" s="51">
        <v>45958</v>
      </c>
      <c r="K4624" s="50" t="s">
        <v>1</v>
      </c>
      <c r="L4624" s="50" t="s">
        <v>80</v>
      </c>
    </row>
    <row r="4625" spans="2:12">
      <c r="B4625" s="50" t="s">
        <v>316</v>
      </c>
      <c r="C4625" s="50" t="s">
        <v>51</v>
      </c>
      <c r="D4625" s="50" t="s">
        <v>27</v>
      </c>
      <c r="E4625" s="50">
        <v>50043320</v>
      </c>
      <c r="F4625" s="50" t="s">
        <v>264</v>
      </c>
      <c r="G4625" s="50">
        <v>1</v>
      </c>
      <c r="H4625" s="50" t="s">
        <v>2</v>
      </c>
      <c r="I4625" s="50" t="s">
        <v>293</v>
      </c>
      <c r="J4625" s="51">
        <v>45958</v>
      </c>
      <c r="K4625" s="50" t="s">
        <v>3</v>
      </c>
      <c r="L4625" s="50" t="s">
        <v>80</v>
      </c>
    </row>
    <row r="4626" spans="2:12">
      <c r="B4626" s="50" t="s">
        <v>316</v>
      </c>
      <c r="C4626" s="50" t="s">
        <v>51</v>
      </c>
      <c r="D4626" s="50" t="s">
        <v>27</v>
      </c>
      <c r="E4626" s="50">
        <v>50043320</v>
      </c>
      <c r="F4626" s="50" t="s">
        <v>264</v>
      </c>
      <c r="G4626" s="50">
        <v>1</v>
      </c>
      <c r="H4626" s="50" t="s">
        <v>2</v>
      </c>
      <c r="I4626" s="50" t="s">
        <v>293</v>
      </c>
      <c r="J4626" s="51">
        <v>45958</v>
      </c>
      <c r="K4626" s="50" t="s">
        <v>1</v>
      </c>
      <c r="L4626" s="50" t="s">
        <v>80</v>
      </c>
    </row>
    <row r="4627" spans="2:12">
      <c r="B4627" s="50" t="s">
        <v>399</v>
      </c>
      <c r="C4627" s="50" t="s">
        <v>51</v>
      </c>
      <c r="D4627" s="50" t="s">
        <v>27</v>
      </c>
      <c r="E4627" s="50">
        <v>50022878</v>
      </c>
      <c r="F4627" s="50" t="s">
        <v>296</v>
      </c>
      <c r="G4627" s="50">
        <v>1</v>
      </c>
      <c r="H4627" s="50" t="s">
        <v>2</v>
      </c>
      <c r="I4627" s="50" t="s">
        <v>293</v>
      </c>
      <c r="J4627" s="51">
        <v>45958</v>
      </c>
      <c r="K4627" s="50" t="s">
        <v>3</v>
      </c>
      <c r="L4627" s="50" t="s">
        <v>80</v>
      </c>
    </row>
    <row r="4628" spans="2:12">
      <c r="B4628" s="50" t="s">
        <v>399</v>
      </c>
      <c r="C4628" s="50" t="s">
        <v>51</v>
      </c>
      <c r="D4628" s="50" t="s">
        <v>27</v>
      </c>
      <c r="E4628" s="50">
        <v>50022878</v>
      </c>
      <c r="F4628" s="50" t="s">
        <v>296</v>
      </c>
      <c r="G4628" s="50">
        <v>1</v>
      </c>
      <c r="H4628" s="50" t="s">
        <v>2</v>
      </c>
      <c r="I4628" s="50" t="s">
        <v>287</v>
      </c>
      <c r="J4628" s="51">
        <v>45958</v>
      </c>
      <c r="K4628" s="50" t="s">
        <v>3</v>
      </c>
      <c r="L4628" s="50" t="s">
        <v>80</v>
      </c>
    </row>
    <row r="4629" spans="2:12">
      <c r="B4629" s="50" t="s">
        <v>316</v>
      </c>
      <c r="C4629" s="50" t="s">
        <v>51</v>
      </c>
      <c r="D4629" s="50" t="s">
        <v>27</v>
      </c>
      <c r="E4629" s="50">
        <v>50037892</v>
      </c>
      <c r="F4629" s="50" t="s">
        <v>178</v>
      </c>
      <c r="G4629" s="50">
        <v>1</v>
      </c>
      <c r="H4629" s="50" t="s">
        <v>2</v>
      </c>
      <c r="I4629" s="50" t="s">
        <v>293</v>
      </c>
      <c r="J4629" s="51">
        <v>45958</v>
      </c>
      <c r="K4629" s="50" t="s">
        <v>3</v>
      </c>
      <c r="L4629" s="50" t="s">
        <v>80</v>
      </c>
    </row>
    <row r="4630" spans="2:12">
      <c r="B4630" s="50" t="s">
        <v>316</v>
      </c>
      <c r="C4630" s="50" t="s">
        <v>51</v>
      </c>
      <c r="D4630" s="50" t="s">
        <v>27</v>
      </c>
      <c r="E4630" s="50">
        <v>50037892</v>
      </c>
      <c r="F4630" s="50" t="s">
        <v>178</v>
      </c>
      <c r="G4630" s="50">
        <v>1</v>
      </c>
      <c r="H4630" s="50" t="s">
        <v>2</v>
      </c>
      <c r="I4630" s="50" t="s">
        <v>293</v>
      </c>
      <c r="J4630" s="51">
        <v>45958</v>
      </c>
      <c r="K4630" s="50" t="s">
        <v>3</v>
      </c>
      <c r="L4630" s="50" t="s">
        <v>80</v>
      </c>
    </row>
    <row r="4631" spans="2:12">
      <c r="B4631" s="50" t="s">
        <v>418</v>
      </c>
      <c r="C4631" s="50" t="s">
        <v>26</v>
      </c>
      <c r="D4631" s="50" t="s">
        <v>27</v>
      </c>
      <c r="E4631" s="50">
        <v>50037892</v>
      </c>
      <c r="F4631" s="50" t="s">
        <v>178</v>
      </c>
      <c r="G4631" s="50">
        <v>1</v>
      </c>
      <c r="H4631" s="50" t="s">
        <v>2</v>
      </c>
      <c r="I4631" s="50" t="s">
        <v>288</v>
      </c>
      <c r="J4631" s="51">
        <v>45958</v>
      </c>
      <c r="K4631" s="50" t="s">
        <v>3</v>
      </c>
      <c r="L4631" s="50" t="s">
        <v>80</v>
      </c>
    </row>
    <row r="4632" spans="2:12">
      <c r="B4632" s="50" t="s">
        <v>399</v>
      </c>
      <c r="C4632" s="50" t="s">
        <v>51</v>
      </c>
      <c r="D4632" s="50" t="s">
        <v>27</v>
      </c>
      <c r="E4632" s="50">
        <v>50037902</v>
      </c>
      <c r="F4632" s="50" t="s">
        <v>179</v>
      </c>
      <c r="G4632" s="50">
        <v>1</v>
      </c>
      <c r="H4632" s="50" t="s">
        <v>2</v>
      </c>
      <c r="I4632" s="50" t="s">
        <v>288</v>
      </c>
      <c r="J4632" s="51">
        <v>45958</v>
      </c>
      <c r="K4632" s="50" t="s">
        <v>1</v>
      </c>
      <c r="L4632" s="50" t="s">
        <v>80</v>
      </c>
    </row>
    <row r="4633" spans="2:12">
      <c r="B4633" s="50" t="s">
        <v>413</v>
      </c>
      <c r="C4633" s="50" t="s">
        <v>51</v>
      </c>
      <c r="D4633" s="50" t="s">
        <v>39</v>
      </c>
      <c r="E4633" s="50">
        <v>50038517</v>
      </c>
      <c r="F4633" s="50" t="s">
        <v>181</v>
      </c>
      <c r="G4633" s="50">
        <v>1</v>
      </c>
      <c r="H4633" s="50" t="s">
        <v>2</v>
      </c>
      <c r="I4633" s="50" t="s">
        <v>293</v>
      </c>
      <c r="J4633" s="51">
        <v>45958</v>
      </c>
      <c r="K4633" s="50" t="s">
        <v>1</v>
      </c>
      <c r="L4633" s="50" t="s">
        <v>80</v>
      </c>
    </row>
    <row r="4634" spans="2:12">
      <c r="B4634" s="50" t="s">
        <v>394</v>
      </c>
      <c r="C4634" s="50" t="s">
        <v>51</v>
      </c>
      <c r="D4634" s="50" t="s">
        <v>27</v>
      </c>
      <c r="E4634" s="50">
        <v>50039065</v>
      </c>
      <c r="F4634" s="50" t="s">
        <v>186</v>
      </c>
      <c r="G4634" s="50">
        <v>1</v>
      </c>
      <c r="H4634" s="50" t="s">
        <v>2</v>
      </c>
      <c r="I4634" s="50" t="s">
        <v>293</v>
      </c>
      <c r="J4634" s="51">
        <v>45958</v>
      </c>
      <c r="K4634" s="50" t="s">
        <v>3</v>
      </c>
      <c r="L4634" s="50" t="s">
        <v>80</v>
      </c>
    </row>
    <row r="4635" spans="2:12">
      <c r="B4635" s="50" t="s">
        <v>394</v>
      </c>
      <c r="C4635" s="50" t="s">
        <v>51</v>
      </c>
      <c r="D4635" s="50" t="s">
        <v>27</v>
      </c>
      <c r="E4635" s="50">
        <v>50039065</v>
      </c>
      <c r="F4635" s="50" t="s">
        <v>186</v>
      </c>
      <c r="G4635" s="50">
        <v>1</v>
      </c>
      <c r="H4635" s="50" t="s">
        <v>2</v>
      </c>
      <c r="I4635" s="50" t="s">
        <v>292</v>
      </c>
      <c r="J4635" s="51">
        <v>45958</v>
      </c>
      <c r="K4635" s="50" t="s">
        <v>1</v>
      </c>
      <c r="L4635" s="50" t="s">
        <v>80</v>
      </c>
    </row>
    <row r="4636" spans="2:12">
      <c r="B4636" s="50" t="s">
        <v>439</v>
      </c>
      <c r="C4636" s="50" t="s">
        <v>62</v>
      </c>
      <c r="D4636" s="50" t="s">
        <v>27</v>
      </c>
      <c r="E4636" s="50">
        <v>50026357</v>
      </c>
      <c r="F4636" s="50" t="s">
        <v>192</v>
      </c>
      <c r="G4636" s="50">
        <v>1</v>
      </c>
      <c r="H4636" s="50" t="s">
        <v>2</v>
      </c>
      <c r="I4636" s="50" t="s">
        <v>290</v>
      </c>
      <c r="J4636" s="51">
        <v>45958</v>
      </c>
      <c r="K4636" s="50" t="s">
        <v>3</v>
      </c>
      <c r="L4636" s="50" t="s">
        <v>80</v>
      </c>
    </row>
    <row r="4637" spans="2:12">
      <c r="B4637" s="50" t="s">
        <v>439</v>
      </c>
      <c r="C4637" s="50" t="s">
        <v>62</v>
      </c>
      <c r="D4637" s="50" t="s">
        <v>27</v>
      </c>
      <c r="E4637" s="50">
        <v>50026357</v>
      </c>
      <c r="F4637" s="50" t="s">
        <v>192</v>
      </c>
      <c r="G4637" s="50">
        <v>1</v>
      </c>
      <c r="H4637" s="50" t="s">
        <v>2</v>
      </c>
      <c r="I4637" s="50" t="s">
        <v>290</v>
      </c>
      <c r="J4637" s="51">
        <v>45958</v>
      </c>
      <c r="K4637" s="50" t="s">
        <v>1</v>
      </c>
      <c r="L4637" s="50" t="s">
        <v>80</v>
      </c>
    </row>
    <row r="4638" spans="2:12">
      <c r="B4638" s="50" t="s">
        <v>439</v>
      </c>
      <c r="C4638" s="50" t="s">
        <v>62</v>
      </c>
      <c r="D4638" s="50" t="s">
        <v>27</v>
      </c>
      <c r="E4638" s="50">
        <v>50026357</v>
      </c>
      <c r="F4638" s="50" t="s">
        <v>192</v>
      </c>
      <c r="G4638" s="50">
        <v>1</v>
      </c>
      <c r="H4638" s="50" t="s">
        <v>2</v>
      </c>
      <c r="I4638" s="50" t="s">
        <v>293</v>
      </c>
      <c r="J4638" s="51">
        <v>45958</v>
      </c>
      <c r="K4638" s="50" t="s">
        <v>3</v>
      </c>
      <c r="L4638" s="50" t="s">
        <v>80</v>
      </c>
    </row>
    <row r="4639" spans="2:12">
      <c r="B4639" s="50" t="s">
        <v>439</v>
      </c>
      <c r="C4639" s="50" t="s">
        <v>62</v>
      </c>
      <c r="D4639" s="50" t="s">
        <v>27</v>
      </c>
      <c r="E4639" s="50">
        <v>50026357</v>
      </c>
      <c r="F4639" s="50" t="s">
        <v>192</v>
      </c>
      <c r="G4639" s="50">
        <v>1</v>
      </c>
      <c r="H4639" s="50" t="s">
        <v>2</v>
      </c>
      <c r="I4639" s="50" t="s">
        <v>287</v>
      </c>
      <c r="J4639" s="51">
        <v>45958</v>
      </c>
      <c r="K4639" s="50" t="s">
        <v>1</v>
      </c>
      <c r="L4639" s="50" t="s">
        <v>80</v>
      </c>
    </row>
    <row r="4640" spans="2:12">
      <c r="B4640" s="50" t="s">
        <v>411</v>
      </c>
      <c r="C4640" s="50" t="s">
        <v>26</v>
      </c>
      <c r="D4640" s="50" t="s">
        <v>27</v>
      </c>
      <c r="E4640" s="50">
        <v>50041131</v>
      </c>
      <c r="F4640" s="50" t="s">
        <v>194</v>
      </c>
      <c r="G4640" s="50">
        <v>1</v>
      </c>
      <c r="H4640" s="50" t="s">
        <v>2</v>
      </c>
      <c r="I4640" s="50" t="s">
        <v>288</v>
      </c>
      <c r="J4640" s="51">
        <v>45958</v>
      </c>
      <c r="K4640" s="50" t="s">
        <v>3</v>
      </c>
      <c r="L4640" s="50" t="s">
        <v>80</v>
      </c>
    </row>
    <row r="4641" spans="2:12">
      <c r="B4641" s="50" t="s">
        <v>411</v>
      </c>
      <c r="C4641" s="50" t="s">
        <v>26</v>
      </c>
      <c r="D4641" s="61" t="s">
        <v>27</v>
      </c>
      <c r="E4641" s="50">
        <v>50041131</v>
      </c>
      <c r="F4641" s="50" t="s">
        <v>194</v>
      </c>
      <c r="G4641" s="50">
        <v>1</v>
      </c>
      <c r="H4641" s="50" t="s">
        <v>2</v>
      </c>
      <c r="I4641" s="50" t="s">
        <v>288</v>
      </c>
      <c r="J4641" s="51">
        <v>45958</v>
      </c>
      <c r="K4641" s="50" t="s">
        <v>3</v>
      </c>
      <c r="L4641" s="50" t="s">
        <v>80</v>
      </c>
    </row>
    <row r="4642" spans="2:12">
      <c r="B4642" s="50" t="s">
        <v>386</v>
      </c>
      <c r="C4642" s="50" t="s">
        <v>62</v>
      </c>
      <c r="D4642" s="50" t="s">
        <v>27</v>
      </c>
      <c r="E4642" s="50">
        <v>50041195</v>
      </c>
      <c r="F4642" s="50" t="s">
        <v>206</v>
      </c>
      <c r="G4642" s="50">
        <v>1</v>
      </c>
      <c r="H4642" s="50" t="s">
        <v>2</v>
      </c>
      <c r="I4642" s="50" t="s">
        <v>287</v>
      </c>
      <c r="J4642" s="51">
        <v>45958</v>
      </c>
      <c r="K4642" s="50" t="s">
        <v>1</v>
      </c>
      <c r="L4642" s="50" t="s">
        <v>80</v>
      </c>
    </row>
    <row r="4643" spans="2:12">
      <c r="B4643" s="50" t="s">
        <v>483</v>
      </c>
      <c r="C4643" s="50" t="s">
        <v>62</v>
      </c>
      <c r="D4643" s="50" t="s">
        <v>27</v>
      </c>
      <c r="E4643" s="50">
        <v>50043917</v>
      </c>
      <c r="F4643" s="50" t="s">
        <v>262</v>
      </c>
      <c r="G4643" s="50">
        <v>1</v>
      </c>
      <c r="H4643" s="50" t="s">
        <v>2</v>
      </c>
      <c r="I4643" s="50" t="s">
        <v>288</v>
      </c>
      <c r="J4643" s="51">
        <v>45958</v>
      </c>
      <c r="K4643" s="50" t="s">
        <v>1</v>
      </c>
      <c r="L4643" s="50" t="s">
        <v>80</v>
      </c>
    </row>
    <row r="4644" spans="2:12">
      <c r="B4644" s="50" t="s">
        <v>483</v>
      </c>
      <c r="C4644" s="50" t="s">
        <v>62</v>
      </c>
      <c r="D4644" s="50" t="s">
        <v>27</v>
      </c>
      <c r="E4644" s="50">
        <v>50020622</v>
      </c>
      <c r="F4644" s="50" t="s">
        <v>217</v>
      </c>
      <c r="G4644" s="50">
        <v>1</v>
      </c>
      <c r="H4644" s="50" t="s">
        <v>2</v>
      </c>
      <c r="I4644" s="50" t="s">
        <v>293</v>
      </c>
      <c r="J4644" s="51">
        <v>45958</v>
      </c>
      <c r="K4644" s="50" t="s">
        <v>3</v>
      </c>
      <c r="L4644" s="50" t="s">
        <v>80</v>
      </c>
    </row>
    <row r="4645" spans="2:12">
      <c r="B4645" s="50" t="s">
        <v>483</v>
      </c>
      <c r="C4645" s="50" t="s">
        <v>62</v>
      </c>
      <c r="D4645" s="50" t="s">
        <v>27</v>
      </c>
      <c r="E4645" s="50">
        <v>50020622</v>
      </c>
      <c r="F4645" s="50" t="s">
        <v>217</v>
      </c>
      <c r="G4645" s="50">
        <v>1</v>
      </c>
      <c r="H4645" s="50" t="s">
        <v>2</v>
      </c>
      <c r="I4645" s="50" t="s">
        <v>288</v>
      </c>
      <c r="J4645" s="51">
        <v>45958</v>
      </c>
      <c r="K4645" s="50" t="s">
        <v>3</v>
      </c>
      <c r="L4645" s="50" t="s">
        <v>80</v>
      </c>
    </row>
    <row r="4646" spans="2:12">
      <c r="B4646" s="50" t="s">
        <v>394</v>
      </c>
      <c r="C4646" s="50" t="s">
        <v>26</v>
      </c>
      <c r="D4646" s="50" t="s">
        <v>41</v>
      </c>
      <c r="E4646" s="50">
        <v>50010031</v>
      </c>
      <c r="F4646" s="50" t="s">
        <v>89</v>
      </c>
      <c r="G4646" s="50">
        <v>1</v>
      </c>
      <c r="H4646" s="50" t="s">
        <v>2</v>
      </c>
      <c r="I4646" s="50" t="s">
        <v>293</v>
      </c>
      <c r="J4646" s="51">
        <v>45957</v>
      </c>
      <c r="K4646" s="59" t="s">
        <v>3</v>
      </c>
      <c r="L4646" s="50" t="s">
        <v>80</v>
      </c>
    </row>
    <row r="4647" spans="2:12">
      <c r="B4647" s="50" t="s">
        <v>394</v>
      </c>
      <c r="C4647" s="50" t="s">
        <v>26</v>
      </c>
      <c r="D4647" s="50" t="s">
        <v>41</v>
      </c>
      <c r="E4647" s="50">
        <v>50010031</v>
      </c>
      <c r="F4647" s="50" t="s">
        <v>89</v>
      </c>
      <c r="G4647" s="50">
        <v>1</v>
      </c>
      <c r="H4647" s="50" t="s">
        <v>2</v>
      </c>
      <c r="I4647" s="50" t="s">
        <v>287</v>
      </c>
      <c r="J4647" s="51">
        <v>45957</v>
      </c>
      <c r="K4647" s="59" t="s">
        <v>1</v>
      </c>
      <c r="L4647" s="50" t="s">
        <v>80</v>
      </c>
    </row>
    <row r="4648" spans="2:12">
      <c r="B4648" s="50" t="s">
        <v>402</v>
      </c>
      <c r="C4648" s="58" t="s">
        <v>26</v>
      </c>
      <c r="D4648" s="58" t="s">
        <v>36</v>
      </c>
      <c r="E4648" s="50">
        <v>50036296</v>
      </c>
      <c r="F4648" s="50" t="s">
        <v>109</v>
      </c>
      <c r="G4648" s="58">
        <v>1</v>
      </c>
      <c r="H4648" s="59" t="s">
        <v>2</v>
      </c>
      <c r="I4648" s="59" t="s">
        <v>310</v>
      </c>
      <c r="J4648" s="60">
        <v>45957</v>
      </c>
      <c r="K4648" s="59" t="s">
        <v>3</v>
      </c>
      <c r="L4648" s="50" t="s">
        <v>80</v>
      </c>
    </row>
    <row r="4649" spans="2:12">
      <c r="B4649" s="50" t="s">
        <v>402</v>
      </c>
      <c r="C4649" s="58" t="s">
        <v>26</v>
      </c>
      <c r="D4649" s="58" t="s">
        <v>36</v>
      </c>
      <c r="E4649" s="50">
        <v>50036296</v>
      </c>
      <c r="F4649" s="50" t="s">
        <v>109</v>
      </c>
      <c r="G4649" s="58">
        <v>1</v>
      </c>
      <c r="H4649" s="59" t="s">
        <v>2</v>
      </c>
      <c r="I4649" s="59" t="s">
        <v>310</v>
      </c>
      <c r="J4649" s="60">
        <v>45957</v>
      </c>
      <c r="K4649" s="59" t="s">
        <v>1</v>
      </c>
      <c r="L4649" s="50" t="s">
        <v>80</v>
      </c>
    </row>
    <row r="4650" spans="2:12">
      <c r="B4650" s="50" t="s">
        <v>402</v>
      </c>
      <c r="C4650" s="58" t="s">
        <v>26</v>
      </c>
      <c r="D4650" s="58" t="s">
        <v>36</v>
      </c>
      <c r="E4650" s="50">
        <v>50036086</v>
      </c>
      <c r="F4650" s="50" t="s">
        <v>28</v>
      </c>
      <c r="G4650" s="58">
        <v>1</v>
      </c>
      <c r="H4650" s="59" t="s">
        <v>2</v>
      </c>
      <c r="I4650" s="59" t="s">
        <v>310</v>
      </c>
      <c r="J4650" s="60">
        <v>45957</v>
      </c>
      <c r="K4650" s="50" t="s">
        <v>3</v>
      </c>
      <c r="L4650" s="50" t="s">
        <v>80</v>
      </c>
    </row>
    <row r="4651" spans="2:12">
      <c r="B4651" s="50" t="s">
        <v>402</v>
      </c>
      <c r="C4651" s="58" t="s">
        <v>26</v>
      </c>
      <c r="D4651" s="50" t="s">
        <v>36</v>
      </c>
      <c r="E4651" s="50">
        <v>50036806</v>
      </c>
      <c r="F4651" s="50" t="s">
        <v>28</v>
      </c>
      <c r="G4651" s="58">
        <v>1</v>
      </c>
      <c r="H4651" s="59" t="s">
        <v>2</v>
      </c>
      <c r="I4651" s="59" t="s">
        <v>310</v>
      </c>
      <c r="J4651" s="60">
        <v>45957</v>
      </c>
      <c r="K4651" s="50" t="s">
        <v>3</v>
      </c>
      <c r="L4651" s="50" t="s">
        <v>80</v>
      </c>
    </row>
    <row r="4652" spans="2:12">
      <c r="B4652" s="50" t="s">
        <v>465</v>
      </c>
      <c r="C4652" s="50" t="s">
        <v>26</v>
      </c>
      <c r="D4652" s="50" t="s">
        <v>27</v>
      </c>
      <c r="E4652" s="50">
        <v>50037941</v>
      </c>
      <c r="F4652" s="50" t="s">
        <v>148</v>
      </c>
      <c r="G4652" s="50">
        <v>1</v>
      </c>
      <c r="H4652" s="50" t="s">
        <v>2</v>
      </c>
      <c r="I4652" s="50" t="s">
        <v>291</v>
      </c>
      <c r="J4652" s="51">
        <v>45957</v>
      </c>
      <c r="K4652" s="50" t="s">
        <v>1</v>
      </c>
      <c r="L4652" s="50" t="s">
        <v>80</v>
      </c>
    </row>
    <row r="4653" spans="2:12">
      <c r="B4653" s="50" t="s">
        <v>465</v>
      </c>
      <c r="C4653" s="50" t="s">
        <v>26</v>
      </c>
      <c r="D4653" s="50" t="s">
        <v>27</v>
      </c>
      <c r="E4653" s="50">
        <v>50037941</v>
      </c>
      <c r="F4653" s="50" t="s">
        <v>148</v>
      </c>
      <c r="G4653" s="50">
        <v>1</v>
      </c>
      <c r="H4653" s="50" t="s">
        <v>2</v>
      </c>
      <c r="I4653" s="50" t="s">
        <v>291</v>
      </c>
      <c r="J4653" s="51">
        <v>45957</v>
      </c>
      <c r="K4653" s="50" t="s">
        <v>1</v>
      </c>
      <c r="L4653" s="50" t="s">
        <v>80</v>
      </c>
    </row>
    <row r="4654" spans="2:12">
      <c r="B4654" s="50" t="s">
        <v>411</v>
      </c>
      <c r="C4654" s="50" t="s">
        <v>26</v>
      </c>
      <c r="D4654" s="50" t="s">
        <v>27</v>
      </c>
      <c r="E4654" s="50">
        <v>50043471</v>
      </c>
      <c r="F4654" s="50" t="s">
        <v>257</v>
      </c>
      <c r="G4654" s="50">
        <v>1</v>
      </c>
      <c r="H4654" s="50" t="s">
        <v>2</v>
      </c>
      <c r="I4654" s="50" t="s">
        <v>287</v>
      </c>
      <c r="J4654" s="51">
        <v>45957</v>
      </c>
      <c r="K4654" s="50" t="s">
        <v>3</v>
      </c>
      <c r="L4654" s="50" t="s">
        <v>80</v>
      </c>
    </row>
    <row r="4655" spans="2:12">
      <c r="B4655" s="50" t="s">
        <v>411</v>
      </c>
      <c r="C4655" s="50" t="s">
        <v>26</v>
      </c>
      <c r="D4655" s="50" t="s">
        <v>27</v>
      </c>
      <c r="E4655" s="50">
        <v>50043471</v>
      </c>
      <c r="F4655" s="50" t="s">
        <v>257</v>
      </c>
      <c r="G4655" s="50">
        <v>1</v>
      </c>
      <c r="H4655" s="50" t="s">
        <v>2</v>
      </c>
      <c r="I4655" s="50" t="s">
        <v>291</v>
      </c>
      <c r="J4655" s="51">
        <v>45957</v>
      </c>
      <c r="K4655" s="50" t="s">
        <v>1</v>
      </c>
      <c r="L4655" s="50" t="s">
        <v>80</v>
      </c>
    </row>
    <row r="4656" spans="2:12">
      <c r="B4656" s="50" t="s">
        <v>418</v>
      </c>
      <c r="C4656" s="50" t="s">
        <v>26</v>
      </c>
      <c r="D4656" s="50" t="s">
        <v>27</v>
      </c>
      <c r="E4656" s="50">
        <v>50022878</v>
      </c>
      <c r="F4656" s="50" t="s">
        <v>296</v>
      </c>
      <c r="G4656" s="50">
        <v>1</v>
      </c>
      <c r="H4656" s="50" t="s">
        <v>2</v>
      </c>
      <c r="I4656" s="50" t="s">
        <v>293</v>
      </c>
      <c r="J4656" s="51">
        <v>45957</v>
      </c>
      <c r="K4656" s="50" t="s">
        <v>3</v>
      </c>
      <c r="L4656" s="50" t="s">
        <v>80</v>
      </c>
    </row>
    <row r="4657" spans="2:12">
      <c r="B4657" s="50" t="s">
        <v>418</v>
      </c>
      <c r="C4657" s="50" t="s">
        <v>26</v>
      </c>
      <c r="D4657" s="50" t="s">
        <v>27</v>
      </c>
      <c r="E4657" s="50">
        <v>50022878</v>
      </c>
      <c r="F4657" s="50" t="s">
        <v>296</v>
      </c>
      <c r="G4657" s="50">
        <v>1</v>
      </c>
      <c r="H4657" s="50" t="s">
        <v>2</v>
      </c>
      <c r="I4657" s="50" t="s">
        <v>291</v>
      </c>
      <c r="J4657" s="51">
        <v>45957</v>
      </c>
      <c r="K4657" s="50" t="s">
        <v>1</v>
      </c>
      <c r="L4657" s="50" t="s">
        <v>80</v>
      </c>
    </row>
    <row r="4658" spans="2:12">
      <c r="B4658" s="50" t="s">
        <v>394</v>
      </c>
      <c r="C4658" s="50" t="s">
        <v>51</v>
      </c>
      <c r="D4658" s="50" t="s">
        <v>27</v>
      </c>
      <c r="E4658" s="50">
        <v>50038956</v>
      </c>
      <c r="F4658" s="50" t="s">
        <v>177</v>
      </c>
      <c r="G4658" s="50">
        <v>1</v>
      </c>
      <c r="H4658" s="50" t="s">
        <v>2</v>
      </c>
      <c r="I4658" s="50" t="s">
        <v>287</v>
      </c>
      <c r="J4658" s="51">
        <v>45957</v>
      </c>
      <c r="K4658" s="50" t="s">
        <v>3</v>
      </c>
      <c r="L4658" s="50" t="s">
        <v>80</v>
      </c>
    </row>
    <row r="4659" spans="2:12">
      <c r="B4659" s="50" t="s">
        <v>394</v>
      </c>
      <c r="C4659" s="50" t="s">
        <v>51</v>
      </c>
      <c r="D4659" s="50" t="s">
        <v>27</v>
      </c>
      <c r="E4659" s="50">
        <v>50038956</v>
      </c>
      <c r="F4659" s="50" t="s">
        <v>177</v>
      </c>
      <c r="G4659" s="50">
        <v>1</v>
      </c>
      <c r="H4659" s="50" t="s">
        <v>2</v>
      </c>
      <c r="I4659" s="50" t="s">
        <v>287</v>
      </c>
      <c r="J4659" s="51">
        <v>45957</v>
      </c>
      <c r="K4659" s="50" t="s">
        <v>1</v>
      </c>
      <c r="L4659" s="50" t="s">
        <v>80</v>
      </c>
    </row>
    <row r="4660" spans="2:12">
      <c r="B4660" s="50" t="s">
        <v>399</v>
      </c>
      <c r="C4660" s="50" t="s">
        <v>51</v>
      </c>
      <c r="D4660" s="50" t="s">
        <v>27</v>
      </c>
      <c r="E4660" s="50">
        <v>50037892</v>
      </c>
      <c r="F4660" s="50" t="s">
        <v>178</v>
      </c>
      <c r="G4660" s="50">
        <v>1</v>
      </c>
      <c r="H4660" s="50" t="s">
        <v>2</v>
      </c>
      <c r="I4660" s="50" t="s">
        <v>293</v>
      </c>
      <c r="J4660" s="51">
        <v>45957</v>
      </c>
      <c r="K4660" s="50" t="s">
        <v>3</v>
      </c>
      <c r="L4660" s="50" t="s">
        <v>80</v>
      </c>
    </row>
    <row r="4661" spans="2:12">
      <c r="B4661" s="50" t="s">
        <v>415</v>
      </c>
      <c r="C4661" s="50" t="s">
        <v>51</v>
      </c>
      <c r="D4661" s="50" t="s">
        <v>27</v>
      </c>
      <c r="E4661" s="50">
        <v>50037902</v>
      </c>
      <c r="F4661" s="50" t="s">
        <v>179</v>
      </c>
      <c r="G4661" s="50">
        <v>1</v>
      </c>
      <c r="H4661" s="50" t="s">
        <v>2</v>
      </c>
      <c r="I4661" s="50" t="s">
        <v>293</v>
      </c>
      <c r="J4661" s="51">
        <v>45957</v>
      </c>
      <c r="K4661" s="50" t="s">
        <v>1</v>
      </c>
      <c r="L4661" s="50" t="s">
        <v>80</v>
      </c>
    </row>
    <row r="4662" spans="2:12">
      <c r="B4662" s="50" t="s">
        <v>415</v>
      </c>
      <c r="C4662" s="50" t="s">
        <v>51</v>
      </c>
      <c r="D4662" s="50" t="s">
        <v>27</v>
      </c>
      <c r="E4662" s="50">
        <v>50037902</v>
      </c>
      <c r="F4662" s="50" t="s">
        <v>179</v>
      </c>
      <c r="G4662" s="50">
        <v>1</v>
      </c>
      <c r="H4662" s="50" t="s">
        <v>2</v>
      </c>
      <c r="I4662" s="50" t="s">
        <v>287</v>
      </c>
      <c r="J4662" s="51">
        <v>45957</v>
      </c>
      <c r="K4662" s="50" t="s">
        <v>3</v>
      </c>
      <c r="L4662" s="50" t="s">
        <v>80</v>
      </c>
    </row>
    <row r="4663" spans="2:12">
      <c r="B4663" s="50" t="s">
        <v>316</v>
      </c>
      <c r="C4663" s="50" t="s">
        <v>51</v>
      </c>
      <c r="D4663" s="50" t="s">
        <v>27</v>
      </c>
      <c r="E4663" s="50">
        <v>50038841</v>
      </c>
      <c r="F4663" s="50" t="s">
        <v>180</v>
      </c>
      <c r="G4663" s="50">
        <v>1</v>
      </c>
      <c r="H4663" s="50" t="s">
        <v>2</v>
      </c>
      <c r="I4663" s="50" t="s">
        <v>291</v>
      </c>
      <c r="J4663" s="51">
        <v>45957</v>
      </c>
      <c r="K4663" s="50" t="s">
        <v>1</v>
      </c>
      <c r="L4663" s="56"/>
    </row>
    <row r="4664" spans="2:12">
      <c r="B4664" s="50" t="s">
        <v>316</v>
      </c>
      <c r="C4664" s="50" t="s">
        <v>51</v>
      </c>
      <c r="D4664" s="50" t="s">
        <v>27</v>
      </c>
      <c r="E4664" s="50">
        <v>50038841</v>
      </c>
      <c r="F4664" s="50" t="s">
        <v>180</v>
      </c>
      <c r="G4664" s="50">
        <v>1</v>
      </c>
      <c r="H4664" s="50" t="s">
        <v>2</v>
      </c>
      <c r="I4664" s="50" t="s">
        <v>291</v>
      </c>
      <c r="J4664" s="51">
        <v>45957</v>
      </c>
      <c r="K4664" s="50" t="s">
        <v>3</v>
      </c>
      <c r="L4664" s="56"/>
    </row>
    <row r="4665" spans="2:12">
      <c r="B4665" s="50" t="s">
        <v>270</v>
      </c>
      <c r="C4665" s="50" t="s">
        <v>51</v>
      </c>
      <c r="D4665" s="50" t="s">
        <v>41</v>
      </c>
      <c r="E4665" s="50">
        <v>50038841</v>
      </c>
      <c r="F4665" s="50" t="s">
        <v>180</v>
      </c>
      <c r="G4665" s="50">
        <v>1</v>
      </c>
      <c r="H4665" s="50" t="s">
        <v>2</v>
      </c>
      <c r="I4665" s="50" t="s">
        <v>291</v>
      </c>
      <c r="J4665" s="51">
        <v>45957</v>
      </c>
      <c r="K4665" s="50" t="s">
        <v>3</v>
      </c>
      <c r="L4665" s="50" t="s">
        <v>80</v>
      </c>
    </row>
    <row r="4666" spans="2:12">
      <c r="B4666" s="50" t="s">
        <v>270</v>
      </c>
      <c r="C4666" s="50" t="s">
        <v>51</v>
      </c>
      <c r="D4666" s="50" t="s">
        <v>41</v>
      </c>
      <c r="E4666" s="50">
        <v>50038841</v>
      </c>
      <c r="F4666" s="50" t="s">
        <v>180</v>
      </c>
      <c r="G4666" s="50">
        <v>1</v>
      </c>
      <c r="H4666" s="50" t="s">
        <v>2</v>
      </c>
      <c r="I4666" s="50" t="s">
        <v>291</v>
      </c>
      <c r="J4666" s="51">
        <v>45957</v>
      </c>
      <c r="K4666" s="50" t="s">
        <v>1</v>
      </c>
      <c r="L4666" s="50" t="s">
        <v>80</v>
      </c>
    </row>
    <row r="4667" spans="2:12">
      <c r="B4667" s="50" t="s">
        <v>418</v>
      </c>
      <c r="C4667" s="50" t="s">
        <v>26</v>
      </c>
      <c r="D4667" s="50" t="s">
        <v>27</v>
      </c>
      <c r="E4667" s="50">
        <v>50038517</v>
      </c>
      <c r="F4667" s="50" t="s">
        <v>181</v>
      </c>
      <c r="G4667" s="50">
        <v>1</v>
      </c>
      <c r="H4667" s="50" t="s">
        <v>2</v>
      </c>
      <c r="I4667" s="50" t="s">
        <v>293</v>
      </c>
      <c r="J4667" s="51">
        <v>45957</v>
      </c>
      <c r="K4667" s="50" t="s">
        <v>3</v>
      </c>
      <c r="L4667" s="50" t="s">
        <v>80</v>
      </c>
    </row>
    <row r="4668" spans="2:12">
      <c r="B4668" s="50" t="s">
        <v>446</v>
      </c>
      <c r="C4668" s="50" t="s">
        <v>56</v>
      </c>
      <c r="D4668" s="50" t="s">
        <v>27</v>
      </c>
      <c r="E4668" s="50">
        <v>50038517</v>
      </c>
      <c r="F4668" s="50" t="s">
        <v>181</v>
      </c>
      <c r="G4668" s="50">
        <v>1</v>
      </c>
      <c r="H4668" s="50" t="s">
        <v>2</v>
      </c>
      <c r="I4668" s="50" t="s">
        <v>291</v>
      </c>
      <c r="J4668" s="51">
        <v>45957</v>
      </c>
      <c r="K4668" s="59" t="s">
        <v>3</v>
      </c>
      <c r="L4668" s="56"/>
    </row>
    <row r="4669" spans="2:12">
      <c r="B4669" s="50" t="s">
        <v>446</v>
      </c>
      <c r="C4669" s="50" t="s">
        <v>56</v>
      </c>
      <c r="D4669" s="50" t="s">
        <v>27</v>
      </c>
      <c r="E4669" s="50">
        <v>50038517</v>
      </c>
      <c r="F4669" s="50" t="s">
        <v>181</v>
      </c>
      <c r="G4669" s="50">
        <v>1</v>
      </c>
      <c r="H4669" s="50" t="s">
        <v>2</v>
      </c>
      <c r="I4669" s="50" t="s">
        <v>291</v>
      </c>
      <c r="J4669" s="51">
        <v>45957</v>
      </c>
      <c r="K4669" s="59" t="s">
        <v>1</v>
      </c>
      <c r="L4669" s="50" t="s">
        <v>80</v>
      </c>
    </row>
    <row r="4670" spans="2:12">
      <c r="B4670" s="50" t="s">
        <v>402</v>
      </c>
      <c r="C4670" s="58" t="s">
        <v>26</v>
      </c>
      <c r="D4670" s="58" t="s">
        <v>36</v>
      </c>
      <c r="E4670" s="50">
        <v>50038517</v>
      </c>
      <c r="F4670" s="50" t="s">
        <v>181</v>
      </c>
      <c r="G4670" s="58">
        <v>1</v>
      </c>
      <c r="H4670" s="59" t="s">
        <v>2</v>
      </c>
      <c r="I4670" s="59" t="s">
        <v>310</v>
      </c>
      <c r="J4670" s="60">
        <v>45957</v>
      </c>
      <c r="K4670" s="50" t="s">
        <v>3</v>
      </c>
      <c r="L4670" s="50" t="s">
        <v>80</v>
      </c>
    </row>
    <row r="4671" spans="2:12">
      <c r="B4671" s="50" t="s">
        <v>402</v>
      </c>
      <c r="C4671" s="58" t="s">
        <v>26</v>
      </c>
      <c r="D4671" s="50" t="s">
        <v>36</v>
      </c>
      <c r="E4671" s="50">
        <v>50038517</v>
      </c>
      <c r="F4671" s="50" t="s">
        <v>181</v>
      </c>
      <c r="G4671" s="58">
        <v>1</v>
      </c>
      <c r="H4671" s="59" t="s">
        <v>2</v>
      </c>
      <c r="I4671" s="59" t="s">
        <v>310</v>
      </c>
      <c r="J4671" s="60">
        <v>45957</v>
      </c>
      <c r="K4671" s="59" t="s">
        <v>3</v>
      </c>
      <c r="L4671" s="50" t="s">
        <v>80</v>
      </c>
    </row>
    <row r="4672" spans="2:12">
      <c r="B4672" s="50" t="s">
        <v>481</v>
      </c>
      <c r="C4672" s="50" t="s">
        <v>56</v>
      </c>
      <c r="D4672" s="50" t="s">
        <v>27</v>
      </c>
      <c r="E4672" s="50">
        <v>50041195</v>
      </c>
      <c r="F4672" s="50" t="s">
        <v>206</v>
      </c>
      <c r="G4672" s="50">
        <v>1</v>
      </c>
      <c r="H4672" s="50" t="s">
        <v>2</v>
      </c>
      <c r="I4672" s="50" t="s">
        <v>291</v>
      </c>
      <c r="J4672" s="51">
        <v>45957</v>
      </c>
      <c r="K4672" s="59" t="s">
        <v>1</v>
      </c>
      <c r="L4672" s="50" t="s">
        <v>80</v>
      </c>
    </row>
    <row r="4673" spans="2:12">
      <c r="B4673" s="50" t="s">
        <v>402</v>
      </c>
      <c r="C4673" s="58" t="s">
        <v>26</v>
      </c>
      <c r="D4673" s="58" t="s">
        <v>36</v>
      </c>
      <c r="E4673" s="50">
        <v>50041195</v>
      </c>
      <c r="F4673" s="50" t="s">
        <v>206</v>
      </c>
      <c r="G4673" s="58">
        <v>1</v>
      </c>
      <c r="H4673" s="59" t="s">
        <v>2</v>
      </c>
      <c r="I4673" s="59" t="s">
        <v>313</v>
      </c>
      <c r="J4673" s="60">
        <v>45957</v>
      </c>
      <c r="K4673" s="50" t="s">
        <v>1</v>
      </c>
      <c r="L4673" s="50" t="s">
        <v>80</v>
      </c>
    </row>
    <row r="4674" spans="2:12">
      <c r="B4674" s="50" t="s">
        <v>402</v>
      </c>
      <c r="C4674" s="58" t="s">
        <v>26</v>
      </c>
      <c r="D4674" s="58" t="s">
        <v>36</v>
      </c>
      <c r="E4674" s="50">
        <v>50041195</v>
      </c>
      <c r="F4674" s="50" t="s">
        <v>206</v>
      </c>
      <c r="G4674" s="58">
        <v>1</v>
      </c>
      <c r="H4674" s="59" t="s">
        <v>2</v>
      </c>
      <c r="I4674" s="59" t="s">
        <v>313</v>
      </c>
      <c r="J4674" s="60">
        <v>45957</v>
      </c>
      <c r="K4674" s="50" t="s">
        <v>3</v>
      </c>
      <c r="L4674" s="50" t="s">
        <v>80</v>
      </c>
    </row>
    <row r="4675" spans="2:12">
      <c r="B4675" s="50" t="s">
        <v>316</v>
      </c>
      <c r="C4675" s="50" t="s">
        <v>51</v>
      </c>
      <c r="D4675" s="50" t="s">
        <v>27</v>
      </c>
      <c r="E4675" s="50">
        <v>50043917</v>
      </c>
      <c r="F4675" s="50" t="s">
        <v>262</v>
      </c>
      <c r="G4675" s="50">
        <v>1</v>
      </c>
      <c r="H4675" s="50" t="s">
        <v>2</v>
      </c>
      <c r="I4675" s="50" t="s">
        <v>293</v>
      </c>
      <c r="J4675" s="51">
        <v>45957</v>
      </c>
      <c r="K4675" s="50" t="s">
        <v>1</v>
      </c>
      <c r="L4675" s="50" t="s">
        <v>80</v>
      </c>
    </row>
    <row r="4676" spans="2:12">
      <c r="B4676" s="50" t="s">
        <v>316</v>
      </c>
      <c r="C4676" s="50" t="s">
        <v>51</v>
      </c>
      <c r="D4676" s="50" t="s">
        <v>27</v>
      </c>
      <c r="E4676" s="50">
        <v>50043917</v>
      </c>
      <c r="F4676" s="50" t="s">
        <v>262</v>
      </c>
      <c r="G4676" s="50">
        <v>1</v>
      </c>
      <c r="H4676" s="50" t="s">
        <v>2</v>
      </c>
      <c r="I4676" s="50" t="s">
        <v>291</v>
      </c>
      <c r="J4676" s="51">
        <v>45957</v>
      </c>
      <c r="K4676" s="50" t="s">
        <v>3</v>
      </c>
      <c r="L4676" s="50" t="s">
        <v>80</v>
      </c>
    </row>
    <row r="4677" spans="2:12">
      <c r="B4677" s="50" t="s">
        <v>446</v>
      </c>
      <c r="C4677" s="50" t="s">
        <v>56</v>
      </c>
      <c r="D4677" s="50" t="s">
        <v>27</v>
      </c>
      <c r="E4677" s="50">
        <v>50043917</v>
      </c>
      <c r="F4677" s="50" t="s">
        <v>262</v>
      </c>
      <c r="G4677" s="50">
        <v>1</v>
      </c>
      <c r="H4677" s="50" t="s">
        <v>2</v>
      </c>
      <c r="I4677" s="50" t="s">
        <v>291</v>
      </c>
      <c r="J4677" s="51">
        <v>45957</v>
      </c>
      <c r="K4677" s="50" t="s">
        <v>1</v>
      </c>
      <c r="L4677" s="50" t="s">
        <v>80</v>
      </c>
    </row>
    <row r="4678" spans="2:12">
      <c r="B4678" s="50" t="s">
        <v>446</v>
      </c>
      <c r="C4678" s="50" t="s">
        <v>56</v>
      </c>
      <c r="D4678" s="58" t="s">
        <v>27</v>
      </c>
      <c r="E4678" s="50">
        <v>50043917</v>
      </c>
      <c r="F4678" s="50" t="s">
        <v>262</v>
      </c>
      <c r="G4678" s="50">
        <v>1</v>
      </c>
      <c r="H4678" s="50" t="s">
        <v>2</v>
      </c>
      <c r="I4678" s="50" t="s">
        <v>291</v>
      </c>
      <c r="J4678" s="51">
        <v>45957</v>
      </c>
      <c r="K4678" s="50" t="s">
        <v>1</v>
      </c>
      <c r="L4678" s="50" t="s">
        <v>80</v>
      </c>
    </row>
    <row r="4679" spans="2:12">
      <c r="B4679" s="50" t="s">
        <v>446</v>
      </c>
      <c r="C4679" s="50" t="s">
        <v>56</v>
      </c>
      <c r="D4679" s="50" t="s">
        <v>27</v>
      </c>
      <c r="E4679" s="50">
        <v>50020622</v>
      </c>
      <c r="F4679" s="50" t="s">
        <v>217</v>
      </c>
      <c r="G4679" s="50">
        <v>1</v>
      </c>
      <c r="H4679" s="50" t="s">
        <v>2</v>
      </c>
      <c r="I4679" s="50" t="s">
        <v>291</v>
      </c>
      <c r="J4679" s="51">
        <v>45957</v>
      </c>
      <c r="K4679" s="50" t="s">
        <v>3</v>
      </c>
      <c r="L4679" s="50" t="s">
        <v>80</v>
      </c>
    </row>
    <row r="4680" spans="2:12">
      <c r="B4680" s="50" t="s">
        <v>446</v>
      </c>
      <c r="C4680" s="50" t="s">
        <v>56</v>
      </c>
      <c r="D4680" s="50" t="s">
        <v>27</v>
      </c>
      <c r="E4680" s="50">
        <v>50020622</v>
      </c>
      <c r="F4680" s="50" t="s">
        <v>217</v>
      </c>
      <c r="G4680" s="50">
        <v>1</v>
      </c>
      <c r="H4680" s="50" t="s">
        <v>2</v>
      </c>
      <c r="I4680" s="50" t="s">
        <v>291</v>
      </c>
      <c r="J4680" s="51">
        <v>45957</v>
      </c>
      <c r="K4680" s="50" t="s">
        <v>1</v>
      </c>
      <c r="L4680" s="50" t="s">
        <v>80</v>
      </c>
    </row>
    <row r="4681" spans="2:12">
      <c r="B4681" s="50" t="s">
        <v>411</v>
      </c>
      <c r="C4681" s="50" t="s">
        <v>26</v>
      </c>
      <c r="D4681" s="50" t="s">
        <v>27</v>
      </c>
      <c r="E4681" s="50">
        <v>50032781</v>
      </c>
      <c r="F4681" s="50" t="s">
        <v>237</v>
      </c>
      <c r="G4681" s="50">
        <v>1</v>
      </c>
      <c r="H4681" s="50" t="s">
        <v>2</v>
      </c>
      <c r="I4681" s="50" t="s">
        <v>287</v>
      </c>
      <c r="J4681" s="51">
        <v>45957</v>
      </c>
      <c r="K4681" s="50" t="s">
        <v>3</v>
      </c>
      <c r="L4681" s="50" t="s">
        <v>80</v>
      </c>
    </row>
    <row r="4682" spans="2:12">
      <c r="B4682" s="50" t="s">
        <v>411</v>
      </c>
      <c r="C4682" s="50" t="s">
        <v>26</v>
      </c>
      <c r="D4682" s="50" t="s">
        <v>27</v>
      </c>
      <c r="E4682" s="50">
        <v>50032781</v>
      </c>
      <c r="F4682" s="50" t="s">
        <v>237</v>
      </c>
      <c r="G4682" s="50">
        <v>1</v>
      </c>
      <c r="H4682" s="50" t="s">
        <v>2</v>
      </c>
      <c r="I4682" s="50" t="s">
        <v>291</v>
      </c>
      <c r="J4682" s="51">
        <v>45957</v>
      </c>
      <c r="K4682" s="50" t="s">
        <v>1</v>
      </c>
      <c r="L4682" s="50" t="s">
        <v>80</v>
      </c>
    </row>
    <row r="4683" spans="2:12">
      <c r="B4683" s="50" t="s">
        <v>316</v>
      </c>
      <c r="C4683" s="50" t="s">
        <v>51</v>
      </c>
      <c r="D4683" s="50" t="s">
        <v>27</v>
      </c>
      <c r="E4683" s="50">
        <v>50038194</v>
      </c>
      <c r="F4683" s="50" t="s">
        <v>238</v>
      </c>
      <c r="G4683" s="50">
        <v>1</v>
      </c>
      <c r="H4683" s="50" t="s">
        <v>2</v>
      </c>
      <c r="I4683" s="50" t="s">
        <v>291</v>
      </c>
      <c r="J4683" s="51">
        <v>45957</v>
      </c>
      <c r="K4683" s="59" t="s">
        <v>3</v>
      </c>
      <c r="L4683" s="50" t="s">
        <v>80</v>
      </c>
    </row>
    <row r="4684" spans="2:12">
      <c r="B4684" s="50" t="s">
        <v>316</v>
      </c>
      <c r="C4684" s="50" t="s">
        <v>51</v>
      </c>
      <c r="D4684" s="50" t="s">
        <v>27</v>
      </c>
      <c r="E4684" s="50">
        <v>50038194</v>
      </c>
      <c r="F4684" s="50" t="s">
        <v>238</v>
      </c>
      <c r="G4684" s="50">
        <v>1</v>
      </c>
      <c r="H4684" s="50" t="s">
        <v>2</v>
      </c>
      <c r="I4684" s="50" t="s">
        <v>291</v>
      </c>
      <c r="J4684" s="51">
        <v>45957</v>
      </c>
      <c r="K4684" s="59" t="s">
        <v>1</v>
      </c>
      <c r="L4684" s="50" t="s">
        <v>80</v>
      </c>
    </row>
    <row r="4685" spans="2:12">
      <c r="B4685" s="50" t="s">
        <v>396</v>
      </c>
      <c r="C4685" s="50" t="s">
        <v>26</v>
      </c>
      <c r="D4685" s="58" t="s">
        <v>41</v>
      </c>
      <c r="E4685" s="50">
        <v>50039718</v>
      </c>
      <c r="F4685" s="50" t="s">
        <v>149</v>
      </c>
      <c r="G4685" s="58">
        <v>1</v>
      </c>
      <c r="H4685" s="59" t="s">
        <v>2</v>
      </c>
      <c r="I4685" s="59" t="s">
        <v>337</v>
      </c>
      <c r="J4685" s="60">
        <v>45956</v>
      </c>
      <c r="K4685" s="59" t="s">
        <v>3</v>
      </c>
      <c r="L4685" s="50" t="s">
        <v>80</v>
      </c>
    </row>
    <row r="4686" spans="2:12">
      <c r="B4686" s="50" t="s">
        <v>396</v>
      </c>
      <c r="C4686" s="50" t="s">
        <v>26</v>
      </c>
      <c r="D4686" s="58" t="s">
        <v>41</v>
      </c>
      <c r="E4686" s="50">
        <v>50039718</v>
      </c>
      <c r="F4686" s="50" t="s">
        <v>149</v>
      </c>
      <c r="G4686" s="58">
        <v>1</v>
      </c>
      <c r="H4686" s="59" t="s">
        <v>2</v>
      </c>
      <c r="I4686" s="59" t="s">
        <v>337</v>
      </c>
      <c r="J4686" s="60">
        <v>45956</v>
      </c>
      <c r="K4686" s="59" t="s">
        <v>1</v>
      </c>
      <c r="L4686" s="50" t="s">
        <v>80</v>
      </c>
    </row>
    <row r="4687" spans="2:12">
      <c r="B4687" s="50" t="s">
        <v>411</v>
      </c>
      <c r="C4687" s="58" t="s">
        <v>26</v>
      </c>
      <c r="D4687" s="50" t="s">
        <v>27</v>
      </c>
      <c r="E4687" s="50">
        <v>50029865</v>
      </c>
      <c r="F4687" s="50" t="s">
        <v>162</v>
      </c>
      <c r="G4687" s="58">
        <v>1</v>
      </c>
      <c r="H4687" s="59" t="s">
        <v>2</v>
      </c>
      <c r="I4687" s="59" t="s">
        <v>310</v>
      </c>
      <c r="J4687" s="60">
        <v>45956</v>
      </c>
      <c r="K4687" s="59" t="s">
        <v>3</v>
      </c>
      <c r="L4687" s="50" t="s">
        <v>80</v>
      </c>
    </row>
    <row r="4688" spans="2:12">
      <c r="B4688" s="50" t="s">
        <v>411</v>
      </c>
      <c r="C4688" s="58" t="s">
        <v>26</v>
      </c>
      <c r="D4688" s="50" t="s">
        <v>27</v>
      </c>
      <c r="E4688" s="50">
        <v>50029865</v>
      </c>
      <c r="F4688" s="50" t="s">
        <v>162</v>
      </c>
      <c r="G4688" s="58">
        <v>1</v>
      </c>
      <c r="H4688" s="59" t="s">
        <v>2</v>
      </c>
      <c r="I4688" s="59" t="s">
        <v>310</v>
      </c>
      <c r="J4688" s="60">
        <v>45956</v>
      </c>
      <c r="K4688" s="59" t="s">
        <v>1</v>
      </c>
      <c r="L4688" s="50" t="s">
        <v>80</v>
      </c>
    </row>
    <row r="4689" spans="2:12">
      <c r="B4689" s="50" t="s">
        <v>412</v>
      </c>
      <c r="C4689" s="58" t="s">
        <v>51</v>
      </c>
      <c r="D4689" s="58" t="s">
        <v>41</v>
      </c>
      <c r="E4689" s="50">
        <v>50038956</v>
      </c>
      <c r="F4689" s="50" t="s">
        <v>177</v>
      </c>
      <c r="G4689" s="58">
        <v>1</v>
      </c>
      <c r="H4689" s="59" t="s">
        <v>2</v>
      </c>
      <c r="I4689" s="59" t="s">
        <v>337</v>
      </c>
      <c r="J4689" s="60">
        <v>45956</v>
      </c>
      <c r="K4689" s="59" t="s">
        <v>3</v>
      </c>
      <c r="L4689" s="50" t="s">
        <v>80</v>
      </c>
    </row>
    <row r="4690" spans="2:12">
      <c r="B4690" s="50" t="s">
        <v>412</v>
      </c>
      <c r="C4690" s="58" t="s">
        <v>51</v>
      </c>
      <c r="D4690" s="58" t="s">
        <v>41</v>
      </c>
      <c r="E4690" s="50">
        <v>50038956</v>
      </c>
      <c r="F4690" s="50" t="s">
        <v>177</v>
      </c>
      <c r="G4690" s="58">
        <v>1</v>
      </c>
      <c r="H4690" s="59" t="s">
        <v>2</v>
      </c>
      <c r="I4690" s="59" t="s">
        <v>337</v>
      </c>
      <c r="J4690" s="60">
        <v>45956</v>
      </c>
      <c r="K4690" s="59" t="s">
        <v>1</v>
      </c>
      <c r="L4690" s="50" t="s">
        <v>80</v>
      </c>
    </row>
    <row r="4691" spans="2:12">
      <c r="B4691" s="50" t="s">
        <v>394</v>
      </c>
      <c r="C4691" s="58" t="s">
        <v>26</v>
      </c>
      <c r="D4691" s="58" t="s">
        <v>41</v>
      </c>
      <c r="E4691" s="50">
        <v>50037892</v>
      </c>
      <c r="F4691" s="50" t="s">
        <v>178</v>
      </c>
      <c r="G4691" s="58">
        <v>1</v>
      </c>
      <c r="H4691" s="59" t="s">
        <v>2</v>
      </c>
      <c r="I4691" s="59" t="s">
        <v>337</v>
      </c>
      <c r="J4691" s="60">
        <v>45956</v>
      </c>
      <c r="K4691" s="59" t="s">
        <v>3</v>
      </c>
      <c r="L4691" s="50" t="s">
        <v>80</v>
      </c>
    </row>
    <row r="4692" spans="2:12">
      <c r="B4692" s="50" t="s">
        <v>394</v>
      </c>
      <c r="C4692" s="58" t="s">
        <v>26</v>
      </c>
      <c r="D4692" s="58" t="s">
        <v>41</v>
      </c>
      <c r="E4692" s="50">
        <v>50037892</v>
      </c>
      <c r="F4692" s="50" t="s">
        <v>178</v>
      </c>
      <c r="G4692" s="58">
        <v>1</v>
      </c>
      <c r="H4692" s="59" t="s">
        <v>2</v>
      </c>
      <c r="I4692" s="59" t="s">
        <v>337</v>
      </c>
      <c r="J4692" s="60">
        <v>45956</v>
      </c>
      <c r="K4692" s="59" t="s">
        <v>1</v>
      </c>
      <c r="L4692" s="50" t="s">
        <v>80</v>
      </c>
    </row>
    <row r="4693" spans="2:12">
      <c r="B4693" s="50" t="s">
        <v>25</v>
      </c>
      <c r="C4693" s="50" t="s">
        <v>26</v>
      </c>
      <c r="D4693" s="50" t="s">
        <v>27</v>
      </c>
      <c r="E4693" s="50">
        <v>50037902</v>
      </c>
      <c r="F4693" s="50" t="s">
        <v>179</v>
      </c>
      <c r="G4693" s="58">
        <v>1</v>
      </c>
      <c r="H4693" s="59" t="s">
        <v>2</v>
      </c>
      <c r="I4693" s="59" t="s">
        <v>310</v>
      </c>
      <c r="J4693" s="60">
        <v>45956</v>
      </c>
      <c r="K4693" s="59" t="s">
        <v>3</v>
      </c>
      <c r="L4693" s="50" t="s">
        <v>80</v>
      </c>
    </row>
    <row r="4694" spans="2:12">
      <c r="B4694" s="50" t="s">
        <v>25</v>
      </c>
      <c r="C4694" s="50" t="s">
        <v>26</v>
      </c>
      <c r="D4694" s="50" t="s">
        <v>27</v>
      </c>
      <c r="E4694" s="50">
        <v>50037902</v>
      </c>
      <c r="F4694" s="50" t="s">
        <v>179</v>
      </c>
      <c r="G4694" s="58">
        <v>1</v>
      </c>
      <c r="H4694" s="59" t="s">
        <v>2</v>
      </c>
      <c r="I4694" s="59" t="s">
        <v>310</v>
      </c>
      <c r="J4694" s="60">
        <v>45956</v>
      </c>
      <c r="K4694" s="59" t="s">
        <v>1</v>
      </c>
      <c r="L4694" s="50" t="s">
        <v>80</v>
      </c>
    </row>
    <row r="4695" spans="2:12">
      <c r="B4695" s="50" t="s">
        <v>411</v>
      </c>
      <c r="C4695" s="58" t="s">
        <v>26</v>
      </c>
      <c r="D4695" s="50" t="s">
        <v>27</v>
      </c>
      <c r="E4695" s="50">
        <v>50041195</v>
      </c>
      <c r="F4695" s="50" t="s">
        <v>206</v>
      </c>
      <c r="G4695" s="58">
        <v>1</v>
      </c>
      <c r="H4695" s="59" t="s">
        <v>2</v>
      </c>
      <c r="I4695" s="59" t="s">
        <v>310</v>
      </c>
      <c r="J4695" s="60">
        <v>45956</v>
      </c>
      <c r="K4695" s="59" t="s">
        <v>3</v>
      </c>
      <c r="L4695" s="50" t="s">
        <v>80</v>
      </c>
    </row>
    <row r="4696" spans="2:12">
      <c r="B4696" s="50" t="s">
        <v>411</v>
      </c>
      <c r="C4696" s="58" t="s">
        <v>26</v>
      </c>
      <c r="D4696" s="50" t="s">
        <v>27</v>
      </c>
      <c r="E4696" s="50">
        <v>50041195</v>
      </c>
      <c r="F4696" s="50" t="s">
        <v>206</v>
      </c>
      <c r="G4696" s="58">
        <v>1</v>
      </c>
      <c r="H4696" s="59" t="s">
        <v>2</v>
      </c>
      <c r="I4696" s="59" t="s">
        <v>310</v>
      </c>
      <c r="J4696" s="60">
        <v>45956</v>
      </c>
      <c r="K4696" s="59" t="s">
        <v>1</v>
      </c>
      <c r="L4696" s="50" t="s">
        <v>80</v>
      </c>
    </row>
    <row r="4697" spans="2:12">
      <c r="B4697" s="50" t="s">
        <v>396</v>
      </c>
      <c r="C4697" s="50" t="s">
        <v>26</v>
      </c>
      <c r="D4697" s="58" t="s">
        <v>41</v>
      </c>
      <c r="E4697" s="50">
        <v>50043917</v>
      </c>
      <c r="F4697" s="50" t="str">
        <f>IFERROR(VLOOKUP(E4697,'BD MOVIMENTAÇÃO'!A:G,3,FALSE),"Não encontrado")</f>
        <v>PARAFUSADEIRA FURADEIRA BOSCH</v>
      </c>
      <c r="G4697" s="58">
        <v>1</v>
      </c>
      <c r="H4697" s="59" t="s">
        <v>2</v>
      </c>
      <c r="I4697" s="59" t="s">
        <v>337</v>
      </c>
      <c r="J4697" s="60">
        <v>45956</v>
      </c>
      <c r="K4697" s="59" t="s">
        <v>3</v>
      </c>
      <c r="L4697" s="50" t="s">
        <v>80</v>
      </c>
    </row>
    <row r="4698" spans="2:12">
      <c r="B4698" s="50" t="s">
        <v>396</v>
      </c>
      <c r="C4698" s="50" t="s">
        <v>26</v>
      </c>
      <c r="D4698" s="58" t="s">
        <v>41</v>
      </c>
      <c r="E4698" s="50">
        <v>50043917</v>
      </c>
      <c r="F4698" s="50" t="str">
        <f>IFERROR(VLOOKUP(E4698,'BD MOVIMENTAÇÃO'!A:G,3,FALSE),"Não encontrado")</f>
        <v>PARAFUSADEIRA FURADEIRA BOSCH</v>
      </c>
      <c r="G4698" s="58">
        <v>1</v>
      </c>
      <c r="H4698" s="59" t="s">
        <v>2</v>
      </c>
      <c r="I4698" s="59" t="s">
        <v>337</v>
      </c>
      <c r="J4698" s="60">
        <v>45956</v>
      </c>
      <c r="K4698" s="59" t="s">
        <v>1</v>
      </c>
      <c r="L4698" s="50" t="s">
        <v>80</v>
      </c>
    </row>
    <row r="4699" spans="2:12">
      <c r="B4699" s="50" t="s">
        <v>411</v>
      </c>
      <c r="C4699" s="58" t="s">
        <v>26</v>
      </c>
      <c r="D4699" s="50" t="s">
        <v>27</v>
      </c>
      <c r="E4699" s="50">
        <v>50032781</v>
      </c>
      <c r="F4699" s="50" t="s">
        <v>237</v>
      </c>
      <c r="G4699" s="58">
        <v>1</v>
      </c>
      <c r="H4699" s="59" t="s">
        <v>2</v>
      </c>
      <c r="I4699" s="59" t="s">
        <v>310</v>
      </c>
      <c r="J4699" s="60">
        <v>45956</v>
      </c>
      <c r="K4699" s="50" t="s">
        <v>3</v>
      </c>
      <c r="L4699" s="50" t="s">
        <v>80</v>
      </c>
    </row>
    <row r="4700" spans="2:12">
      <c r="B4700" s="50" t="s">
        <v>411</v>
      </c>
      <c r="C4700" s="58" t="s">
        <v>26</v>
      </c>
      <c r="D4700" s="50" t="s">
        <v>27</v>
      </c>
      <c r="E4700" s="50">
        <v>50032781</v>
      </c>
      <c r="F4700" s="50" t="s">
        <v>237</v>
      </c>
      <c r="G4700" s="58">
        <v>1</v>
      </c>
      <c r="H4700" s="59" t="s">
        <v>2</v>
      </c>
      <c r="I4700" s="59" t="s">
        <v>310</v>
      </c>
      <c r="J4700" s="60">
        <v>45956</v>
      </c>
      <c r="K4700" s="50" t="s">
        <v>3</v>
      </c>
      <c r="L4700" s="50" t="s">
        <v>80</v>
      </c>
    </row>
    <row r="4701" spans="2:12">
      <c r="B4701" s="50" t="s">
        <v>412</v>
      </c>
      <c r="C4701" s="50" t="s">
        <v>51</v>
      </c>
      <c r="D4701" s="50" t="s">
        <v>41</v>
      </c>
      <c r="E4701" s="50">
        <v>50010031</v>
      </c>
      <c r="F4701" s="50" t="s">
        <v>89</v>
      </c>
      <c r="G4701" s="50">
        <v>1</v>
      </c>
      <c r="H4701" s="50" t="s">
        <v>2</v>
      </c>
      <c r="I4701" s="50" t="s">
        <v>287</v>
      </c>
      <c r="J4701" s="51">
        <v>45955</v>
      </c>
      <c r="K4701" s="50" t="s">
        <v>1</v>
      </c>
      <c r="L4701" s="50" t="s">
        <v>80</v>
      </c>
    </row>
    <row r="4702" spans="2:12">
      <c r="B4702" s="50" t="s">
        <v>412</v>
      </c>
      <c r="C4702" s="50" t="s">
        <v>51</v>
      </c>
      <c r="D4702" s="50" t="s">
        <v>41</v>
      </c>
      <c r="E4702" s="50">
        <v>50010031</v>
      </c>
      <c r="F4702" s="50" t="s">
        <v>89</v>
      </c>
      <c r="G4702" s="50">
        <v>1</v>
      </c>
      <c r="H4702" s="50" t="s">
        <v>2</v>
      </c>
      <c r="I4702" s="50" t="s">
        <v>287</v>
      </c>
      <c r="J4702" s="51">
        <v>45955</v>
      </c>
      <c r="K4702" s="50" t="s">
        <v>3</v>
      </c>
      <c r="L4702" s="50" t="s">
        <v>80</v>
      </c>
    </row>
    <row r="4703" spans="2:12">
      <c r="B4703" s="50" t="s">
        <v>472</v>
      </c>
      <c r="C4703" s="50" t="s">
        <v>51</v>
      </c>
      <c r="D4703" s="50" t="s">
        <v>41</v>
      </c>
      <c r="E4703" s="50">
        <v>50010031</v>
      </c>
      <c r="F4703" s="50" t="s">
        <v>89</v>
      </c>
      <c r="G4703" s="50">
        <v>1</v>
      </c>
      <c r="H4703" s="50" t="s">
        <v>2</v>
      </c>
      <c r="I4703" s="50" t="s">
        <v>287</v>
      </c>
      <c r="J4703" s="51">
        <v>45955</v>
      </c>
      <c r="K4703" s="50" t="s">
        <v>1</v>
      </c>
      <c r="L4703" s="50" t="s">
        <v>80</v>
      </c>
    </row>
    <row r="4704" spans="2:12">
      <c r="B4704" s="50" t="s">
        <v>472</v>
      </c>
      <c r="C4704" s="50" t="s">
        <v>51</v>
      </c>
      <c r="D4704" s="50" t="s">
        <v>41</v>
      </c>
      <c r="E4704" s="50">
        <v>50010031</v>
      </c>
      <c r="F4704" s="50" t="s">
        <v>89</v>
      </c>
      <c r="G4704" s="50">
        <v>1</v>
      </c>
      <c r="H4704" s="50" t="s">
        <v>2</v>
      </c>
      <c r="I4704" s="50" t="s">
        <v>287</v>
      </c>
      <c r="J4704" s="51">
        <v>45955</v>
      </c>
      <c r="K4704" s="50" t="s">
        <v>1</v>
      </c>
      <c r="L4704" s="50" t="s">
        <v>80</v>
      </c>
    </row>
    <row r="4705" spans="2:12">
      <c r="B4705" s="50" t="s">
        <v>386</v>
      </c>
      <c r="C4705" s="50" t="s">
        <v>62</v>
      </c>
      <c r="D4705" s="50" t="s">
        <v>27</v>
      </c>
      <c r="E4705" s="50">
        <v>50029865</v>
      </c>
      <c r="F4705" s="50" t="s">
        <v>162</v>
      </c>
      <c r="G4705" s="50">
        <v>1</v>
      </c>
      <c r="H4705" s="50" t="s">
        <v>2</v>
      </c>
      <c r="I4705" s="50" t="s">
        <v>287</v>
      </c>
      <c r="J4705" s="51">
        <v>45955</v>
      </c>
      <c r="K4705" s="50" t="s">
        <v>3</v>
      </c>
      <c r="L4705" s="50" t="s">
        <v>80</v>
      </c>
    </row>
    <row r="4706" spans="2:12">
      <c r="B4706" s="50" t="s">
        <v>386</v>
      </c>
      <c r="C4706" s="50" t="s">
        <v>62</v>
      </c>
      <c r="D4706" s="50" t="s">
        <v>27</v>
      </c>
      <c r="E4706" s="50">
        <v>50029865</v>
      </c>
      <c r="F4706" s="50" t="s">
        <v>162</v>
      </c>
      <c r="G4706" s="50">
        <v>1</v>
      </c>
      <c r="H4706" s="50" t="s">
        <v>2</v>
      </c>
      <c r="I4706" s="50" t="s">
        <v>287</v>
      </c>
      <c r="J4706" s="51">
        <v>45955</v>
      </c>
      <c r="K4706" s="50" t="s">
        <v>3</v>
      </c>
      <c r="L4706" s="50" t="s">
        <v>80</v>
      </c>
    </row>
    <row r="4707" spans="2:12">
      <c r="B4707" s="50" t="s">
        <v>445</v>
      </c>
      <c r="C4707" s="50" t="s">
        <v>51</v>
      </c>
      <c r="D4707" s="50" t="s">
        <v>41</v>
      </c>
      <c r="E4707" s="50">
        <v>50037902</v>
      </c>
      <c r="F4707" s="50" t="s">
        <v>179</v>
      </c>
      <c r="G4707" s="50">
        <v>1</v>
      </c>
      <c r="H4707" s="50" t="s">
        <v>2</v>
      </c>
      <c r="I4707" s="50" t="s">
        <v>287</v>
      </c>
      <c r="J4707" s="51">
        <v>45955</v>
      </c>
      <c r="K4707" s="50" t="s">
        <v>3</v>
      </c>
      <c r="L4707" s="50" t="s">
        <v>80</v>
      </c>
    </row>
    <row r="4708" spans="2:12">
      <c r="B4708" s="50" t="s">
        <v>445</v>
      </c>
      <c r="C4708" s="50" t="s">
        <v>51</v>
      </c>
      <c r="D4708" s="50" t="s">
        <v>41</v>
      </c>
      <c r="E4708" s="50">
        <v>50037902</v>
      </c>
      <c r="F4708" s="50" t="s">
        <v>179</v>
      </c>
      <c r="G4708" s="50">
        <v>1</v>
      </c>
      <c r="H4708" s="50" t="s">
        <v>2</v>
      </c>
      <c r="I4708" s="50" t="s">
        <v>287</v>
      </c>
      <c r="J4708" s="51">
        <v>45955</v>
      </c>
      <c r="K4708" s="59" t="s">
        <v>3</v>
      </c>
      <c r="L4708" s="50" t="s">
        <v>80</v>
      </c>
    </row>
    <row r="4709" spans="2:12">
      <c r="B4709" s="50" t="s">
        <v>277</v>
      </c>
      <c r="C4709" s="50" t="s">
        <v>62</v>
      </c>
      <c r="D4709" s="50" t="s">
        <v>27</v>
      </c>
      <c r="E4709" s="50">
        <v>50038517</v>
      </c>
      <c r="F4709" s="50" t="s">
        <v>181</v>
      </c>
      <c r="G4709" s="50">
        <v>1</v>
      </c>
      <c r="H4709" s="50" t="s">
        <v>2</v>
      </c>
      <c r="I4709" s="50" t="s">
        <v>287</v>
      </c>
      <c r="J4709" s="51">
        <v>45955</v>
      </c>
      <c r="K4709" s="59" t="s">
        <v>1</v>
      </c>
      <c r="L4709" s="50" t="s">
        <v>80</v>
      </c>
    </row>
    <row r="4710" spans="2:12">
      <c r="B4710" s="50" t="s">
        <v>392</v>
      </c>
      <c r="C4710" s="58" t="s">
        <v>51</v>
      </c>
      <c r="D4710" s="58" t="s">
        <v>39</v>
      </c>
      <c r="E4710" s="50">
        <v>50038517</v>
      </c>
      <c r="F4710" s="50" t="s">
        <v>181</v>
      </c>
      <c r="G4710" s="58">
        <v>1</v>
      </c>
      <c r="H4710" s="59" t="s">
        <v>2</v>
      </c>
      <c r="I4710" s="59" t="s">
        <v>335</v>
      </c>
      <c r="J4710" s="60">
        <v>45955</v>
      </c>
      <c r="K4710" s="50" t="s">
        <v>1</v>
      </c>
      <c r="L4710" s="50" t="s">
        <v>80</v>
      </c>
    </row>
    <row r="4711" spans="2:12">
      <c r="B4711" s="50" t="s">
        <v>392</v>
      </c>
      <c r="C4711" s="58" t="s">
        <v>51</v>
      </c>
      <c r="D4711" s="58" t="s">
        <v>39</v>
      </c>
      <c r="E4711" s="50">
        <v>50038517</v>
      </c>
      <c r="F4711" s="50" t="s">
        <v>181</v>
      </c>
      <c r="G4711" s="58">
        <v>1</v>
      </c>
      <c r="H4711" s="59" t="s">
        <v>2</v>
      </c>
      <c r="I4711" s="59" t="s">
        <v>335</v>
      </c>
      <c r="J4711" s="60">
        <v>45955</v>
      </c>
      <c r="K4711" s="50" t="s">
        <v>3</v>
      </c>
      <c r="L4711" s="50" t="s">
        <v>80</v>
      </c>
    </row>
    <row r="4712" spans="2:12">
      <c r="B4712" s="50" t="s">
        <v>437</v>
      </c>
      <c r="C4712" s="50" t="s">
        <v>51</v>
      </c>
      <c r="D4712" s="50" t="s">
        <v>41</v>
      </c>
      <c r="E4712" s="50">
        <v>50041195</v>
      </c>
      <c r="F4712" s="50" t="s">
        <v>206</v>
      </c>
      <c r="G4712" s="50">
        <v>1</v>
      </c>
      <c r="H4712" s="50" t="s">
        <v>2</v>
      </c>
      <c r="I4712" s="50" t="s">
        <v>287</v>
      </c>
      <c r="J4712" s="51">
        <v>45955</v>
      </c>
      <c r="K4712" s="50" t="s">
        <v>1</v>
      </c>
      <c r="L4712" s="50" t="s">
        <v>80</v>
      </c>
    </row>
    <row r="4713" spans="2:12">
      <c r="B4713" s="50" t="s">
        <v>437</v>
      </c>
      <c r="C4713" s="50" t="s">
        <v>51</v>
      </c>
      <c r="D4713" s="50" t="s">
        <v>41</v>
      </c>
      <c r="E4713" s="50">
        <v>50041195</v>
      </c>
      <c r="F4713" s="50" t="s">
        <v>206</v>
      </c>
      <c r="G4713" s="50">
        <v>1</v>
      </c>
      <c r="H4713" s="50" t="s">
        <v>2</v>
      </c>
      <c r="I4713" s="50" t="s">
        <v>287</v>
      </c>
      <c r="J4713" s="51">
        <v>45955</v>
      </c>
      <c r="K4713" s="50" t="s">
        <v>3</v>
      </c>
      <c r="L4713" s="50" t="s">
        <v>80</v>
      </c>
    </row>
    <row r="4714" spans="2:12">
      <c r="B4714" s="50" t="s">
        <v>386</v>
      </c>
      <c r="C4714" s="50" t="s">
        <v>62</v>
      </c>
      <c r="D4714" s="50" t="s">
        <v>27</v>
      </c>
      <c r="E4714" s="50">
        <v>50041195</v>
      </c>
      <c r="F4714" s="50" t="s">
        <v>206</v>
      </c>
      <c r="G4714" s="50">
        <v>1</v>
      </c>
      <c r="H4714" s="50" t="s">
        <v>2</v>
      </c>
      <c r="I4714" s="50" t="s">
        <v>287</v>
      </c>
      <c r="J4714" s="51">
        <v>45955</v>
      </c>
      <c r="K4714" s="50" t="s">
        <v>1</v>
      </c>
      <c r="L4714" s="50" t="s">
        <v>80</v>
      </c>
    </row>
    <row r="4715" spans="2:12">
      <c r="B4715" s="50" t="s">
        <v>386</v>
      </c>
      <c r="C4715" s="50" t="s">
        <v>62</v>
      </c>
      <c r="D4715" s="50" t="s">
        <v>27</v>
      </c>
      <c r="E4715" s="50">
        <v>50041195</v>
      </c>
      <c r="F4715" s="50" t="s">
        <v>206</v>
      </c>
      <c r="G4715" s="50">
        <v>1</v>
      </c>
      <c r="H4715" s="50" t="s">
        <v>2</v>
      </c>
      <c r="I4715" s="50" t="s">
        <v>287</v>
      </c>
      <c r="J4715" s="51">
        <v>45955</v>
      </c>
      <c r="K4715" s="50" t="s">
        <v>3</v>
      </c>
      <c r="L4715" s="50" t="s">
        <v>80</v>
      </c>
    </row>
    <row r="4716" spans="2:12">
      <c r="B4716" s="50" t="s">
        <v>445</v>
      </c>
      <c r="C4716" s="50" t="s">
        <v>51</v>
      </c>
      <c r="D4716" s="50" t="s">
        <v>41</v>
      </c>
      <c r="E4716" s="50">
        <v>50043917</v>
      </c>
      <c r="F4716" s="50" t="s">
        <v>262</v>
      </c>
      <c r="G4716" s="50">
        <v>1</v>
      </c>
      <c r="H4716" s="50" t="s">
        <v>2</v>
      </c>
      <c r="I4716" s="50" t="s">
        <v>287</v>
      </c>
      <c r="J4716" s="51">
        <v>45955</v>
      </c>
      <c r="K4716" s="59" t="s">
        <v>3</v>
      </c>
      <c r="L4716" s="50" t="s">
        <v>80</v>
      </c>
    </row>
    <row r="4717" spans="2:12">
      <c r="B4717" s="50" t="s">
        <v>445</v>
      </c>
      <c r="C4717" s="50" t="s">
        <v>51</v>
      </c>
      <c r="D4717" s="50" t="s">
        <v>41</v>
      </c>
      <c r="E4717" s="50">
        <v>50043917</v>
      </c>
      <c r="F4717" s="50" t="s">
        <v>262</v>
      </c>
      <c r="G4717" s="50">
        <v>1</v>
      </c>
      <c r="H4717" s="50" t="s">
        <v>2</v>
      </c>
      <c r="I4717" s="50" t="s">
        <v>287</v>
      </c>
      <c r="J4717" s="51">
        <v>45955</v>
      </c>
      <c r="K4717" s="59" t="s">
        <v>1</v>
      </c>
      <c r="L4717" s="50" t="s">
        <v>80</v>
      </c>
    </row>
    <row r="4718" spans="2:12">
      <c r="B4718" s="50" t="s">
        <v>400</v>
      </c>
      <c r="C4718" s="58" t="s">
        <v>51</v>
      </c>
      <c r="D4718" s="58" t="s">
        <v>39</v>
      </c>
      <c r="E4718" s="50">
        <v>50004486</v>
      </c>
      <c r="F4718" s="50" t="s">
        <v>336</v>
      </c>
      <c r="G4718" s="58">
        <v>1</v>
      </c>
      <c r="H4718" s="59" t="s">
        <v>2</v>
      </c>
      <c r="I4718" s="59" t="s">
        <v>310</v>
      </c>
      <c r="J4718" s="60">
        <v>45955</v>
      </c>
      <c r="K4718" s="50" t="s">
        <v>3</v>
      </c>
      <c r="L4718" s="50" t="s">
        <v>80</v>
      </c>
    </row>
    <row r="4719" spans="2:12">
      <c r="B4719" s="50" t="s">
        <v>400</v>
      </c>
      <c r="C4719" s="58" t="s">
        <v>51</v>
      </c>
      <c r="D4719" s="58" t="s">
        <v>39</v>
      </c>
      <c r="E4719" s="50">
        <v>50004486</v>
      </c>
      <c r="F4719" s="50" t="s">
        <v>336</v>
      </c>
      <c r="G4719" s="58">
        <v>1</v>
      </c>
      <c r="H4719" s="59" t="s">
        <v>2</v>
      </c>
      <c r="I4719" s="59" t="s">
        <v>310</v>
      </c>
      <c r="J4719" s="60">
        <v>45955</v>
      </c>
      <c r="K4719" s="50" t="s">
        <v>1</v>
      </c>
      <c r="L4719" s="50" t="s">
        <v>80</v>
      </c>
    </row>
    <row r="4720" spans="2:12">
      <c r="B4720" s="50" t="s">
        <v>430</v>
      </c>
      <c r="C4720" s="50" t="s">
        <v>61</v>
      </c>
      <c r="D4720" s="50" t="s">
        <v>39</v>
      </c>
      <c r="E4720" s="50">
        <v>50012576</v>
      </c>
      <c r="F4720" s="50" t="s">
        <v>304</v>
      </c>
      <c r="G4720" s="50">
        <v>1</v>
      </c>
      <c r="H4720" s="50" t="s">
        <v>2</v>
      </c>
      <c r="I4720" s="50" t="s">
        <v>289</v>
      </c>
      <c r="J4720" s="51">
        <v>45954</v>
      </c>
      <c r="K4720" s="50" t="s">
        <v>3</v>
      </c>
      <c r="L4720" s="50" t="s">
        <v>80</v>
      </c>
    </row>
    <row r="4721" spans="2:12">
      <c r="B4721" s="50" t="s">
        <v>430</v>
      </c>
      <c r="C4721" s="50" t="s">
        <v>61</v>
      </c>
      <c r="D4721" s="50" t="s">
        <v>39</v>
      </c>
      <c r="E4721" s="50">
        <v>50012576</v>
      </c>
      <c r="F4721" s="50" t="s">
        <v>304</v>
      </c>
      <c r="G4721" s="50">
        <v>1</v>
      </c>
      <c r="H4721" s="50" t="s">
        <v>2</v>
      </c>
      <c r="I4721" s="50" t="s">
        <v>289</v>
      </c>
      <c r="J4721" s="51">
        <v>45954</v>
      </c>
      <c r="K4721" s="50" t="s">
        <v>1</v>
      </c>
      <c r="L4721" s="50" t="s">
        <v>80</v>
      </c>
    </row>
    <row r="4722" spans="2:12">
      <c r="B4722" s="50" t="s">
        <v>280</v>
      </c>
      <c r="C4722" s="50" t="s">
        <v>62</v>
      </c>
      <c r="D4722" s="50" t="s">
        <v>27</v>
      </c>
      <c r="E4722" s="50">
        <v>50043520</v>
      </c>
      <c r="F4722" s="50" t="s">
        <v>266</v>
      </c>
      <c r="G4722" s="50">
        <v>1</v>
      </c>
      <c r="H4722" s="50" t="s">
        <v>2</v>
      </c>
      <c r="I4722" s="50" t="s">
        <v>293</v>
      </c>
      <c r="J4722" s="51">
        <v>45954</v>
      </c>
      <c r="K4722" s="50" t="s">
        <v>3</v>
      </c>
      <c r="L4722" s="50" t="s">
        <v>80</v>
      </c>
    </row>
    <row r="4723" spans="2:12">
      <c r="B4723" s="50" t="s">
        <v>280</v>
      </c>
      <c r="C4723" s="50" t="s">
        <v>62</v>
      </c>
      <c r="D4723" s="50" t="s">
        <v>27</v>
      </c>
      <c r="E4723" s="50">
        <v>50043520</v>
      </c>
      <c r="F4723" s="50" t="s">
        <v>266</v>
      </c>
      <c r="G4723" s="50">
        <v>1</v>
      </c>
      <c r="H4723" s="50" t="s">
        <v>2</v>
      </c>
      <c r="I4723" s="50" t="s">
        <v>293</v>
      </c>
      <c r="J4723" s="51">
        <v>45954</v>
      </c>
      <c r="K4723" s="50" t="s">
        <v>1</v>
      </c>
      <c r="L4723" s="50" t="s">
        <v>80</v>
      </c>
    </row>
    <row r="4724" spans="2:12">
      <c r="B4724" s="50" t="s">
        <v>386</v>
      </c>
      <c r="C4724" s="50" t="s">
        <v>62</v>
      </c>
      <c r="D4724" s="50" t="s">
        <v>27</v>
      </c>
      <c r="E4724" s="50">
        <v>50030486</v>
      </c>
      <c r="F4724" s="50" t="s">
        <v>153</v>
      </c>
      <c r="G4724" s="50">
        <v>1</v>
      </c>
      <c r="H4724" s="50" t="s">
        <v>2</v>
      </c>
      <c r="I4724" s="50" t="s">
        <v>287</v>
      </c>
      <c r="J4724" s="51">
        <v>45954</v>
      </c>
      <c r="K4724" s="50" t="s">
        <v>1</v>
      </c>
      <c r="L4724" s="50" t="s">
        <v>80</v>
      </c>
    </row>
    <row r="4725" spans="2:12">
      <c r="B4725" s="50" t="s">
        <v>439</v>
      </c>
      <c r="C4725" s="50" t="s">
        <v>62</v>
      </c>
      <c r="D4725" s="50" t="s">
        <v>27</v>
      </c>
      <c r="E4725" s="50">
        <v>50003297</v>
      </c>
      <c r="F4725" s="50" t="s">
        <v>158</v>
      </c>
      <c r="G4725" s="50">
        <v>1</v>
      </c>
      <c r="H4725" s="50" t="s">
        <v>2</v>
      </c>
      <c r="I4725" s="50" t="s">
        <v>287</v>
      </c>
      <c r="J4725" s="51">
        <v>45954</v>
      </c>
      <c r="K4725" s="50" t="s">
        <v>3</v>
      </c>
      <c r="L4725" s="50" t="s">
        <v>80</v>
      </c>
    </row>
    <row r="4726" spans="2:12">
      <c r="B4726" s="50" t="s">
        <v>439</v>
      </c>
      <c r="C4726" s="50" t="s">
        <v>62</v>
      </c>
      <c r="D4726" s="50" t="s">
        <v>27</v>
      </c>
      <c r="E4726" s="50">
        <v>50003297</v>
      </c>
      <c r="F4726" s="50" t="s">
        <v>158</v>
      </c>
      <c r="G4726" s="50">
        <v>1</v>
      </c>
      <c r="H4726" s="50" t="s">
        <v>2</v>
      </c>
      <c r="I4726" s="50" t="s">
        <v>288</v>
      </c>
      <c r="J4726" s="51">
        <v>45954</v>
      </c>
      <c r="K4726" s="50" t="s">
        <v>1</v>
      </c>
      <c r="L4726" s="50" t="s">
        <v>80</v>
      </c>
    </row>
    <row r="4727" spans="2:12">
      <c r="B4727" s="50" t="s">
        <v>413</v>
      </c>
      <c r="C4727" s="50" t="s">
        <v>51</v>
      </c>
      <c r="D4727" s="50" t="s">
        <v>39</v>
      </c>
      <c r="E4727" s="50">
        <v>50038956</v>
      </c>
      <c r="F4727" s="50" t="s">
        <v>177</v>
      </c>
      <c r="G4727" s="50">
        <v>1</v>
      </c>
      <c r="H4727" s="50" t="s">
        <v>2</v>
      </c>
      <c r="I4727" s="50" t="s">
        <v>289</v>
      </c>
      <c r="J4727" s="51">
        <v>45954</v>
      </c>
      <c r="K4727" s="50" t="s">
        <v>3</v>
      </c>
      <c r="L4727" s="50" t="s">
        <v>80</v>
      </c>
    </row>
    <row r="4728" spans="2:12">
      <c r="B4728" s="50" t="s">
        <v>413</v>
      </c>
      <c r="C4728" s="50" t="s">
        <v>51</v>
      </c>
      <c r="D4728" s="50" t="s">
        <v>39</v>
      </c>
      <c r="E4728" s="50">
        <v>50038956</v>
      </c>
      <c r="F4728" s="50" t="s">
        <v>177</v>
      </c>
      <c r="G4728" s="50">
        <v>1</v>
      </c>
      <c r="H4728" s="50" t="s">
        <v>2</v>
      </c>
      <c r="I4728" s="50" t="s">
        <v>289</v>
      </c>
      <c r="J4728" s="51">
        <v>45954</v>
      </c>
      <c r="K4728" s="50" t="s">
        <v>3</v>
      </c>
      <c r="L4728" s="50" t="s">
        <v>80</v>
      </c>
    </row>
    <row r="4729" spans="2:12">
      <c r="B4729" s="50" t="s">
        <v>472</v>
      </c>
      <c r="C4729" s="50" t="s">
        <v>51</v>
      </c>
      <c r="D4729" s="50" t="s">
        <v>41</v>
      </c>
      <c r="E4729" s="50">
        <v>50037892</v>
      </c>
      <c r="F4729" s="50" t="s">
        <v>178</v>
      </c>
      <c r="G4729" s="50">
        <v>1</v>
      </c>
      <c r="H4729" s="50" t="s">
        <v>2</v>
      </c>
      <c r="I4729" s="50" t="s">
        <v>288</v>
      </c>
      <c r="J4729" s="51">
        <v>45954</v>
      </c>
      <c r="K4729" s="50" t="s">
        <v>1</v>
      </c>
      <c r="L4729" s="50" t="s">
        <v>80</v>
      </c>
    </row>
    <row r="4730" spans="2:12">
      <c r="B4730" s="50" t="s">
        <v>478</v>
      </c>
      <c r="C4730" s="50" t="s">
        <v>51</v>
      </c>
      <c r="D4730" s="50" t="s">
        <v>27</v>
      </c>
      <c r="E4730" s="50">
        <v>50038841</v>
      </c>
      <c r="F4730" s="50" t="s">
        <v>180</v>
      </c>
      <c r="G4730" s="50">
        <v>1</v>
      </c>
      <c r="H4730" s="50" t="s">
        <v>2</v>
      </c>
      <c r="I4730" s="50" t="s">
        <v>288</v>
      </c>
      <c r="J4730" s="51">
        <v>45954</v>
      </c>
      <c r="K4730" s="50" t="s">
        <v>3</v>
      </c>
      <c r="L4730" s="50" t="s">
        <v>80</v>
      </c>
    </row>
    <row r="4731" spans="2:12">
      <c r="B4731" s="50" t="s">
        <v>399</v>
      </c>
      <c r="C4731" s="50" t="s">
        <v>51</v>
      </c>
      <c r="D4731" s="50" t="s">
        <v>27</v>
      </c>
      <c r="E4731" s="50">
        <v>50041195</v>
      </c>
      <c r="F4731" s="50" t="s">
        <v>206</v>
      </c>
      <c r="G4731" s="50">
        <v>1</v>
      </c>
      <c r="H4731" s="50" t="s">
        <v>2</v>
      </c>
      <c r="I4731" s="50" t="s">
        <v>293</v>
      </c>
      <c r="J4731" s="51">
        <v>45954</v>
      </c>
      <c r="K4731" s="50" t="s">
        <v>1</v>
      </c>
      <c r="L4731" s="50" t="s">
        <v>80</v>
      </c>
    </row>
    <row r="4732" spans="2:12">
      <c r="B4732" s="50" t="s">
        <v>399</v>
      </c>
      <c r="C4732" s="50" t="s">
        <v>51</v>
      </c>
      <c r="D4732" s="50" t="s">
        <v>27</v>
      </c>
      <c r="E4732" s="50">
        <v>50041195</v>
      </c>
      <c r="F4732" s="50" t="s">
        <v>206</v>
      </c>
      <c r="G4732" s="50">
        <v>1</v>
      </c>
      <c r="H4732" s="50" t="s">
        <v>2</v>
      </c>
      <c r="I4732" s="50" t="s">
        <v>287</v>
      </c>
      <c r="J4732" s="51">
        <v>45954</v>
      </c>
      <c r="K4732" s="50" t="s">
        <v>1</v>
      </c>
      <c r="L4732" s="50" t="s">
        <v>80</v>
      </c>
    </row>
    <row r="4733" spans="2:12">
      <c r="B4733" s="50" t="s">
        <v>469</v>
      </c>
      <c r="C4733" s="50" t="s">
        <v>26</v>
      </c>
      <c r="D4733" s="50" t="s">
        <v>39</v>
      </c>
      <c r="E4733" s="50">
        <v>50043151</v>
      </c>
      <c r="F4733" s="50" t="s">
        <v>331</v>
      </c>
      <c r="G4733" s="50">
        <v>1</v>
      </c>
      <c r="H4733" s="50" t="s">
        <v>2</v>
      </c>
      <c r="I4733" s="50" t="s">
        <v>289</v>
      </c>
      <c r="J4733" s="51">
        <v>45954</v>
      </c>
      <c r="K4733" s="50" t="s">
        <v>3</v>
      </c>
      <c r="L4733" s="50" t="s">
        <v>80</v>
      </c>
    </row>
    <row r="4734" spans="2:12">
      <c r="B4734" s="50" t="s">
        <v>469</v>
      </c>
      <c r="C4734" s="50" t="s">
        <v>26</v>
      </c>
      <c r="D4734" s="50" t="s">
        <v>39</v>
      </c>
      <c r="E4734" s="50">
        <v>50043151</v>
      </c>
      <c r="F4734" s="50" t="s">
        <v>331</v>
      </c>
      <c r="G4734" s="50">
        <v>1</v>
      </c>
      <c r="H4734" s="50" t="s">
        <v>2</v>
      </c>
      <c r="I4734" s="50" t="s">
        <v>289</v>
      </c>
      <c r="J4734" s="51">
        <v>45954</v>
      </c>
      <c r="K4734" s="50" t="s">
        <v>1</v>
      </c>
      <c r="L4734" s="50" t="s">
        <v>80</v>
      </c>
    </row>
    <row r="4735" spans="2:12">
      <c r="B4735" s="50" t="s">
        <v>481</v>
      </c>
      <c r="C4735" s="50" t="s">
        <v>26</v>
      </c>
      <c r="D4735" s="50" t="s">
        <v>27</v>
      </c>
      <c r="E4735" s="50">
        <v>50043151</v>
      </c>
      <c r="F4735" s="50" t="s">
        <v>331</v>
      </c>
      <c r="G4735" s="50">
        <v>1</v>
      </c>
      <c r="H4735" s="50" t="s">
        <v>2</v>
      </c>
      <c r="I4735" s="50" t="s">
        <v>289</v>
      </c>
      <c r="J4735" s="51">
        <v>45954</v>
      </c>
      <c r="K4735" s="50" t="s">
        <v>3</v>
      </c>
      <c r="L4735" s="50" t="s">
        <v>80</v>
      </c>
    </row>
    <row r="4736" spans="2:12">
      <c r="B4736" s="50" t="s">
        <v>481</v>
      </c>
      <c r="C4736" s="50" t="s">
        <v>26</v>
      </c>
      <c r="D4736" s="50" t="s">
        <v>27</v>
      </c>
      <c r="E4736" s="50">
        <v>50043151</v>
      </c>
      <c r="F4736" s="50" t="s">
        <v>331</v>
      </c>
      <c r="G4736" s="50">
        <v>1</v>
      </c>
      <c r="H4736" s="50" t="s">
        <v>2</v>
      </c>
      <c r="I4736" s="50" t="s">
        <v>293</v>
      </c>
      <c r="J4736" s="51">
        <v>45954</v>
      </c>
      <c r="K4736" s="50" t="s">
        <v>3</v>
      </c>
      <c r="L4736" s="50" t="s">
        <v>80</v>
      </c>
    </row>
    <row r="4737" spans="2:12">
      <c r="B4737" s="50" t="s">
        <v>483</v>
      </c>
      <c r="C4737" s="50" t="s">
        <v>62</v>
      </c>
      <c r="D4737" s="50" t="s">
        <v>27</v>
      </c>
      <c r="E4737" s="50">
        <v>50010031</v>
      </c>
      <c r="F4737" s="50" t="s">
        <v>89</v>
      </c>
      <c r="G4737" s="50">
        <v>1</v>
      </c>
      <c r="H4737" s="50" t="s">
        <v>2</v>
      </c>
      <c r="I4737" s="50" t="s">
        <v>292</v>
      </c>
      <c r="J4737" s="51">
        <v>45953</v>
      </c>
      <c r="K4737" s="50" t="s">
        <v>3</v>
      </c>
      <c r="L4737" s="50" t="s">
        <v>80</v>
      </c>
    </row>
    <row r="4738" spans="2:12">
      <c r="B4738" s="50" t="s">
        <v>483</v>
      </c>
      <c r="C4738" s="50" t="s">
        <v>62</v>
      </c>
      <c r="D4738" s="50" t="s">
        <v>27</v>
      </c>
      <c r="E4738" s="50">
        <v>50010031</v>
      </c>
      <c r="F4738" s="50" t="s">
        <v>89</v>
      </c>
      <c r="G4738" s="50">
        <v>1</v>
      </c>
      <c r="H4738" s="50" t="s">
        <v>2</v>
      </c>
      <c r="I4738" s="50" t="s">
        <v>291</v>
      </c>
      <c r="J4738" s="51">
        <v>45953</v>
      </c>
      <c r="K4738" s="50" t="s">
        <v>1</v>
      </c>
      <c r="L4738" s="50" t="s">
        <v>80</v>
      </c>
    </row>
    <row r="4739" spans="2:12">
      <c r="B4739" s="50" t="s">
        <v>439</v>
      </c>
      <c r="C4739" s="50" t="s">
        <v>62</v>
      </c>
      <c r="D4739" s="50" t="s">
        <v>27</v>
      </c>
      <c r="E4739" s="50">
        <v>50003173</v>
      </c>
      <c r="F4739" s="50" t="s">
        <v>74</v>
      </c>
      <c r="G4739" s="50">
        <v>1</v>
      </c>
      <c r="H4739" s="50" t="s">
        <v>2</v>
      </c>
      <c r="I4739" s="50" t="s">
        <v>292</v>
      </c>
      <c r="J4739" s="51">
        <v>45953</v>
      </c>
      <c r="K4739" s="50" t="s">
        <v>3</v>
      </c>
      <c r="L4739" s="50" t="s">
        <v>80</v>
      </c>
    </row>
    <row r="4740" spans="2:12">
      <c r="B4740" s="50" t="s">
        <v>439</v>
      </c>
      <c r="C4740" s="50" t="s">
        <v>62</v>
      </c>
      <c r="D4740" s="50" t="s">
        <v>27</v>
      </c>
      <c r="E4740" s="50">
        <v>50003173</v>
      </c>
      <c r="F4740" s="50" t="s">
        <v>74</v>
      </c>
      <c r="G4740" s="50">
        <v>1</v>
      </c>
      <c r="H4740" s="50" t="s">
        <v>2</v>
      </c>
      <c r="I4740" s="50" t="s">
        <v>288</v>
      </c>
      <c r="J4740" s="51">
        <v>45953</v>
      </c>
      <c r="K4740" s="50" t="s">
        <v>3</v>
      </c>
      <c r="L4740" s="50" t="s">
        <v>80</v>
      </c>
    </row>
    <row r="4741" spans="2:12">
      <c r="B4741" s="50" t="s">
        <v>483</v>
      </c>
      <c r="C4741" s="50" t="s">
        <v>62</v>
      </c>
      <c r="D4741" s="50" t="s">
        <v>27</v>
      </c>
      <c r="E4741" s="50">
        <v>50030486</v>
      </c>
      <c r="F4741" s="50" t="s">
        <v>153</v>
      </c>
      <c r="G4741" s="50">
        <v>1</v>
      </c>
      <c r="H4741" s="50" t="s">
        <v>2</v>
      </c>
      <c r="I4741" s="50" t="s">
        <v>292</v>
      </c>
      <c r="J4741" s="51">
        <v>45953</v>
      </c>
      <c r="K4741" s="50" t="s">
        <v>1</v>
      </c>
      <c r="L4741" s="50" t="s">
        <v>80</v>
      </c>
    </row>
    <row r="4742" spans="2:12">
      <c r="B4742" s="50" t="s">
        <v>399</v>
      </c>
      <c r="C4742" s="50" t="s">
        <v>51</v>
      </c>
      <c r="D4742" s="50" t="s">
        <v>27</v>
      </c>
      <c r="E4742" s="50">
        <v>50043471</v>
      </c>
      <c r="F4742" s="50" t="s">
        <v>257</v>
      </c>
      <c r="G4742" s="50">
        <v>1</v>
      </c>
      <c r="H4742" s="50" t="s">
        <v>2</v>
      </c>
      <c r="I4742" s="50" t="s">
        <v>289</v>
      </c>
      <c r="J4742" s="51">
        <v>45953</v>
      </c>
      <c r="K4742" s="50" t="s">
        <v>3</v>
      </c>
      <c r="L4742" s="50" t="s">
        <v>80</v>
      </c>
    </row>
    <row r="4743" spans="2:12">
      <c r="B4743" s="50" t="s">
        <v>399</v>
      </c>
      <c r="C4743" s="50" t="s">
        <v>51</v>
      </c>
      <c r="D4743" s="50" t="s">
        <v>27</v>
      </c>
      <c r="E4743" s="50">
        <v>50043471</v>
      </c>
      <c r="F4743" s="50" t="s">
        <v>257</v>
      </c>
      <c r="G4743" s="50">
        <v>1</v>
      </c>
      <c r="H4743" s="50" t="s">
        <v>2</v>
      </c>
      <c r="I4743" s="50" t="s">
        <v>291</v>
      </c>
      <c r="J4743" s="51">
        <v>45953</v>
      </c>
      <c r="K4743" s="50" t="s">
        <v>1</v>
      </c>
      <c r="L4743" s="50" t="s">
        <v>80</v>
      </c>
    </row>
    <row r="4744" spans="2:12">
      <c r="B4744" s="50" t="s">
        <v>399</v>
      </c>
      <c r="C4744" s="50" t="s">
        <v>51</v>
      </c>
      <c r="D4744" s="50" t="s">
        <v>27</v>
      </c>
      <c r="E4744" s="50">
        <v>50003297</v>
      </c>
      <c r="F4744" s="50" t="s">
        <v>158</v>
      </c>
      <c r="G4744" s="50">
        <v>1</v>
      </c>
      <c r="H4744" s="50" t="s">
        <v>2</v>
      </c>
      <c r="I4744" s="50" t="s">
        <v>289</v>
      </c>
      <c r="J4744" s="51">
        <v>45953</v>
      </c>
      <c r="K4744" s="50" t="s">
        <v>3</v>
      </c>
      <c r="L4744" s="50" t="s">
        <v>80</v>
      </c>
    </row>
    <row r="4745" spans="2:12">
      <c r="B4745" s="50" t="s">
        <v>399</v>
      </c>
      <c r="C4745" s="50" t="s">
        <v>51</v>
      </c>
      <c r="D4745" s="50" t="s">
        <v>27</v>
      </c>
      <c r="E4745" s="50">
        <v>50003297</v>
      </c>
      <c r="F4745" s="50" t="s">
        <v>158</v>
      </c>
      <c r="G4745" s="50">
        <v>1</v>
      </c>
      <c r="H4745" s="50" t="s">
        <v>2</v>
      </c>
      <c r="I4745" s="50" t="s">
        <v>289</v>
      </c>
      <c r="J4745" s="51">
        <v>45953</v>
      </c>
      <c r="K4745" s="50" t="s">
        <v>1</v>
      </c>
      <c r="L4745" s="50" t="s">
        <v>80</v>
      </c>
    </row>
    <row r="4746" spans="2:12">
      <c r="B4746" s="50" t="s">
        <v>427</v>
      </c>
      <c r="C4746" s="50" t="s">
        <v>26</v>
      </c>
      <c r="D4746" s="50" t="s">
        <v>27</v>
      </c>
      <c r="E4746" s="50">
        <v>50038549</v>
      </c>
      <c r="F4746" s="50" t="s">
        <v>173</v>
      </c>
      <c r="G4746" s="50">
        <v>1</v>
      </c>
      <c r="H4746" s="50" t="s">
        <v>2</v>
      </c>
      <c r="I4746" s="50" t="s">
        <v>292</v>
      </c>
      <c r="J4746" s="51">
        <v>45953</v>
      </c>
      <c r="K4746" s="50" t="s">
        <v>3</v>
      </c>
      <c r="L4746" s="50" t="s">
        <v>80</v>
      </c>
    </row>
    <row r="4747" spans="2:12">
      <c r="B4747" s="50" t="s">
        <v>427</v>
      </c>
      <c r="C4747" s="50" t="s">
        <v>26</v>
      </c>
      <c r="D4747" s="50" t="s">
        <v>27</v>
      </c>
      <c r="E4747" s="50">
        <v>50038549</v>
      </c>
      <c r="F4747" s="50" t="s">
        <v>173</v>
      </c>
      <c r="G4747" s="50">
        <v>1</v>
      </c>
      <c r="H4747" s="50" t="s">
        <v>2</v>
      </c>
      <c r="I4747" s="50" t="s">
        <v>288</v>
      </c>
      <c r="J4747" s="51">
        <v>45953</v>
      </c>
      <c r="K4747" s="50" t="s">
        <v>1</v>
      </c>
      <c r="L4747" s="50" t="s">
        <v>80</v>
      </c>
    </row>
    <row r="4748" spans="2:12">
      <c r="B4748" s="50" t="s">
        <v>407</v>
      </c>
      <c r="C4748" s="50" t="s">
        <v>26</v>
      </c>
      <c r="D4748" s="50" t="s">
        <v>27</v>
      </c>
      <c r="E4748" s="50">
        <v>50022878</v>
      </c>
      <c r="F4748" s="50" t="s">
        <v>296</v>
      </c>
      <c r="G4748" s="50">
        <v>1</v>
      </c>
      <c r="H4748" s="50" t="s">
        <v>2</v>
      </c>
      <c r="I4748" s="50" t="s">
        <v>292</v>
      </c>
      <c r="J4748" s="51">
        <v>45953</v>
      </c>
      <c r="K4748" s="50" t="s">
        <v>3</v>
      </c>
      <c r="L4748" s="50" t="s">
        <v>80</v>
      </c>
    </row>
    <row r="4749" spans="2:12">
      <c r="B4749" s="50" t="s">
        <v>444</v>
      </c>
      <c r="C4749" s="50" t="s">
        <v>51</v>
      </c>
      <c r="D4749" s="50" t="s">
        <v>27</v>
      </c>
      <c r="E4749" s="50">
        <v>50037892</v>
      </c>
      <c r="F4749" s="50" t="s">
        <v>178</v>
      </c>
      <c r="G4749" s="50">
        <v>1</v>
      </c>
      <c r="H4749" s="50" t="s">
        <v>2</v>
      </c>
      <c r="I4749" s="50" t="s">
        <v>292</v>
      </c>
      <c r="J4749" s="51">
        <v>45953</v>
      </c>
      <c r="K4749" s="50" t="s">
        <v>1</v>
      </c>
      <c r="L4749" s="50" t="s">
        <v>80</v>
      </c>
    </row>
    <row r="4750" spans="2:12">
      <c r="B4750" s="50" t="s">
        <v>444</v>
      </c>
      <c r="C4750" s="50" t="s">
        <v>51</v>
      </c>
      <c r="D4750" s="50" t="s">
        <v>27</v>
      </c>
      <c r="E4750" s="50">
        <v>50037892</v>
      </c>
      <c r="F4750" s="50" t="s">
        <v>178</v>
      </c>
      <c r="G4750" s="50">
        <v>1</v>
      </c>
      <c r="H4750" s="50" t="s">
        <v>2</v>
      </c>
      <c r="I4750" s="50" t="s">
        <v>291</v>
      </c>
      <c r="J4750" s="51">
        <v>45953</v>
      </c>
      <c r="K4750" s="50" t="s">
        <v>3</v>
      </c>
      <c r="L4750" s="50" t="s">
        <v>80</v>
      </c>
    </row>
    <row r="4751" spans="2:12">
      <c r="B4751" s="50" t="s">
        <v>394</v>
      </c>
      <c r="C4751" s="50" t="s">
        <v>26</v>
      </c>
      <c r="D4751" s="50" t="s">
        <v>41</v>
      </c>
      <c r="E4751" s="50">
        <v>50037902</v>
      </c>
      <c r="F4751" s="50" t="s">
        <v>179</v>
      </c>
      <c r="G4751" s="50">
        <v>1</v>
      </c>
      <c r="H4751" s="50" t="s">
        <v>2</v>
      </c>
      <c r="I4751" s="50" t="s">
        <v>291</v>
      </c>
      <c r="J4751" s="51">
        <v>45953</v>
      </c>
      <c r="K4751" s="50" t="s">
        <v>1</v>
      </c>
      <c r="L4751" s="50" t="s">
        <v>80</v>
      </c>
    </row>
    <row r="4752" spans="2:12">
      <c r="B4752" s="50" t="s">
        <v>394</v>
      </c>
      <c r="C4752" s="50" t="s">
        <v>26</v>
      </c>
      <c r="D4752" s="50" t="s">
        <v>41</v>
      </c>
      <c r="E4752" s="50">
        <v>50037902</v>
      </c>
      <c r="F4752" s="50" t="s">
        <v>179</v>
      </c>
      <c r="G4752" s="50">
        <v>1</v>
      </c>
      <c r="H4752" s="50" t="s">
        <v>2</v>
      </c>
      <c r="I4752" s="50" t="s">
        <v>291</v>
      </c>
      <c r="J4752" s="51">
        <v>45953</v>
      </c>
      <c r="K4752" s="50" t="s">
        <v>3</v>
      </c>
      <c r="L4752" s="50" t="s">
        <v>80</v>
      </c>
    </row>
    <row r="4753" spans="2:12">
      <c r="B4753" s="50" t="s">
        <v>443</v>
      </c>
      <c r="C4753" s="50" t="s">
        <v>56</v>
      </c>
      <c r="D4753" s="50" t="s">
        <v>36</v>
      </c>
      <c r="E4753" s="50">
        <v>50038841</v>
      </c>
      <c r="F4753" s="50" t="s">
        <v>180</v>
      </c>
      <c r="G4753" s="50">
        <v>1</v>
      </c>
      <c r="H4753" s="50" t="s">
        <v>2</v>
      </c>
      <c r="I4753" s="50" t="s">
        <v>292</v>
      </c>
      <c r="J4753" s="51">
        <v>45953</v>
      </c>
      <c r="K4753" s="50" t="s">
        <v>1</v>
      </c>
      <c r="L4753" s="50" t="s">
        <v>80</v>
      </c>
    </row>
    <row r="4754" spans="2:12">
      <c r="B4754" s="50" t="s">
        <v>443</v>
      </c>
      <c r="C4754" s="50" t="s">
        <v>56</v>
      </c>
      <c r="D4754" s="50" t="s">
        <v>36</v>
      </c>
      <c r="E4754" s="50">
        <v>50038841</v>
      </c>
      <c r="F4754" s="50" t="s">
        <v>180</v>
      </c>
      <c r="G4754" s="50">
        <v>1</v>
      </c>
      <c r="H4754" s="50" t="s">
        <v>2</v>
      </c>
      <c r="I4754" s="50" t="s">
        <v>288</v>
      </c>
      <c r="J4754" s="51">
        <v>45953</v>
      </c>
      <c r="K4754" s="50" t="s">
        <v>1</v>
      </c>
      <c r="L4754" s="50" t="s">
        <v>80</v>
      </c>
    </row>
    <row r="4755" spans="2:12">
      <c r="B4755" s="50" t="s">
        <v>418</v>
      </c>
      <c r="C4755" s="50" t="s">
        <v>26</v>
      </c>
      <c r="D4755" s="50" t="s">
        <v>27</v>
      </c>
      <c r="E4755" s="50">
        <v>50039065</v>
      </c>
      <c r="F4755" s="50" t="s">
        <v>186</v>
      </c>
      <c r="G4755" s="50">
        <v>1</v>
      </c>
      <c r="H4755" s="50" t="s">
        <v>2</v>
      </c>
      <c r="I4755" s="50" t="s">
        <v>287</v>
      </c>
      <c r="J4755" s="51">
        <v>45953</v>
      </c>
      <c r="K4755" s="50" t="s">
        <v>3</v>
      </c>
      <c r="L4755" s="50" t="s">
        <v>80</v>
      </c>
    </row>
    <row r="4756" spans="2:12">
      <c r="B4756" s="50" t="s">
        <v>418</v>
      </c>
      <c r="C4756" s="50" t="s">
        <v>26</v>
      </c>
      <c r="D4756" s="50" t="s">
        <v>27</v>
      </c>
      <c r="E4756" s="50">
        <v>50039065</v>
      </c>
      <c r="F4756" s="50" t="s">
        <v>186</v>
      </c>
      <c r="G4756" s="50">
        <v>1</v>
      </c>
      <c r="H4756" s="50" t="s">
        <v>2</v>
      </c>
      <c r="I4756" s="50" t="s">
        <v>287</v>
      </c>
      <c r="J4756" s="51">
        <v>45953</v>
      </c>
      <c r="K4756" s="50" t="s">
        <v>1</v>
      </c>
      <c r="L4756" s="50" t="s">
        <v>80</v>
      </c>
    </row>
    <row r="4757" spans="2:12">
      <c r="B4757" s="50" t="s">
        <v>394</v>
      </c>
      <c r="C4757" s="50" t="s">
        <v>26</v>
      </c>
      <c r="D4757" s="50" t="s">
        <v>41</v>
      </c>
      <c r="E4757" s="50">
        <v>50039065</v>
      </c>
      <c r="F4757" s="50" t="s">
        <v>186</v>
      </c>
      <c r="G4757" s="50">
        <v>1</v>
      </c>
      <c r="H4757" s="50" t="s">
        <v>2</v>
      </c>
      <c r="I4757" s="50" t="s">
        <v>291</v>
      </c>
      <c r="J4757" s="51">
        <v>45953</v>
      </c>
      <c r="K4757" s="50" t="s">
        <v>3</v>
      </c>
      <c r="L4757" s="50" t="s">
        <v>80</v>
      </c>
    </row>
    <row r="4758" spans="2:12">
      <c r="B4758" s="50" t="s">
        <v>394</v>
      </c>
      <c r="C4758" s="50" t="s">
        <v>26</v>
      </c>
      <c r="D4758" s="50" t="s">
        <v>41</v>
      </c>
      <c r="E4758" s="50">
        <v>50039065</v>
      </c>
      <c r="F4758" s="50" t="s">
        <v>186</v>
      </c>
      <c r="G4758" s="50">
        <v>1</v>
      </c>
      <c r="H4758" s="50" t="s">
        <v>2</v>
      </c>
      <c r="I4758" s="50" t="s">
        <v>291</v>
      </c>
      <c r="J4758" s="51">
        <v>45953</v>
      </c>
      <c r="K4758" s="50" t="s">
        <v>1</v>
      </c>
      <c r="L4758" s="50" t="s">
        <v>80</v>
      </c>
    </row>
    <row r="4759" spans="2:12">
      <c r="B4759" s="50" t="s">
        <v>394</v>
      </c>
      <c r="C4759" s="50" t="s">
        <v>51</v>
      </c>
      <c r="D4759" s="50" t="s">
        <v>27</v>
      </c>
      <c r="E4759" s="50">
        <v>50026357</v>
      </c>
      <c r="F4759" s="50" t="s">
        <v>192</v>
      </c>
      <c r="G4759" s="50">
        <v>1</v>
      </c>
      <c r="H4759" s="50" t="s">
        <v>2</v>
      </c>
      <c r="I4759" s="50" t="s">
        <v>292</v>
      </c>
      <c r="J4759" s="51">
        <v>45953</v>
      </c>
      <c r="K4759" s="50" t="s">
        <v>3</v>
      </c>
      <c r="L4759" s="50" t="s">
        <v>80</v>
      </c>
    </row>
    <row r="4760" spans="2:12">
      <c r="B4760" s="50" t="s">
        <v>394</v>
      </c>
      <c r="C4760" s="50" t="s">
        <v>51</v>
      </c>
      <c r="D4760" s="50" t="s">
        <v>27</v>
      </c>
      <c r="E4760" s="50">
        <v>50026357</v>
      </c>
      <c r="F4760" s="50" t="s">
        <v>192</v>
      </c>
      <c r="G4760" s="50">
        <v>1</v>
      </c>
      <c r="H4760" s="50" t="s">
        <v>2</v>
      </c>
      <c r="I4760" s="50" t="s">
        <v>292</v>
      </c>
      <c r="J4760" s="51">
        <v>45953</v>
      </c>
      <c r="K4760" s="50" t="s">
        <v>3</v>
      </c>
      <c r="L4760" s="50" t="s">
        <v>80</v>
      </c>
    </row>
    <row r="4761" spans="2:12">
      <c r="B4761" s="50" t="s">
        <v>478</v>
      </c>
      <c r="C4761" s="50" t="s">
        <v>51</v>
      </c>
      <c r="D4761" s="50" t="s">
        <v>27</v>
      </c>
      <c r="E4761" s="50">
        <v>50041195</v>
      </c>
      <c r="F4761" s="50" t="s">
        <v>206</v>
      </c>
      <c r="G4761" s="50">
        <v>1</v>
      </c>
      <c r="H4761" s="50" t="s">
        <v>2</v>
      </c>
      <c r="I4761" s="50" t="s">
        <v>289</v>
      </c>
      <c r="J4761" s="51">
        <v>45953</v>
      </c>
      <c r="K4761" s="50" t="s">
        <v>3</v>
      </c>
      <c r="L4761" s="50" t="s">
        <v>80</v>
      </c>
    </row>
    <row r="4762" spans="2:12">
      <c r="B4762" s="50" t="s">
        <v>478</v>
      </c>
      <c r="C4762" s="50" t="s">
        <v>51</v>
      </c>
      <c r="D4762" s="50" t="s">
        <v>27</v>
      </c>
      <c r="E4762" s="50">
        <v>50041195</v>
      </c>
      <c r="F4762" s="50" t="s">
        <v>206</v>
      </c>
      <c r="G4762" s="50">
        <v>1</v>
      </c>
      <c r="H4762" s="50" t="s">
        <v>2</v>
      </c>
      <c r="I4762" s="50" t="s">
        <v>292</v>
      </c>
      <c r="J4762" s="51">
        <v>45953</v>
      </c>
      <c r="K4762" s="50" t="s">
        <v>1</v>
      </c>
      <c r="L4762" s="50" t="s">
        <v>80</v>
      </c>
    </row>
    <row r="4763" spans="2:12">
      <c r="B4763" s="50" t="s">
        <v>345</v>
      </c>
      <c r="C4763" s="50" t="s">
        <v>62</v>
      </c>
      <c r="D4763" s="50" t="s">
        <v>27</v>
      </c>
      <c r="E4763" s="50">
        <v>50041195</v>
      </c>
      <c r="F4763" s="50" t="s">
        <v>206</v>
      </c>
      <c r="G4763" s="50">
        <v>1</v>
      </c>
      <c r="H4763" s="50" t="s">
        <v>2</v>
      </c>
      <c r="I4763" s="50" t="s">
        <v>288</v>
      </c>
      <c r="J4763" s="51">
        <v>45953</v>
      </c>
      <c r="K4763" s="50" t="s">
        <v>3</v>
      </c>
      <c r="L4763" s="50" t="s">
        <v>80</v>
      </c>
    </row>
    <row r="4764" spans="2:12">
      <c r="B4764" s="50" t="s">
        <v>399</v>
      </c>
      <c r="C4764" s="50" t="s">
        <v>51</v>
      </c>
      <c r="D4764" s="50" t="s">
        <v>27</v>
      </c>
      <c r="E4764" s="50">
        <v>50043917</v>
      </c>
      <c r="F4764" s="50" t="s">
        <v>262</v>
      </c>
      <c r="G4764" s="50">
        <v>1</v>
      </c>
      <c r="H4764" s="50" t="s">
        <v>2</v>
      </c>
      <c r="I4764" s="50" t="s">
        <v>289</v>
      </c>
      <c r="J4764" s="51">
        <v>45953</v>
      </c>
      <c r="K4764" s="50" t="s">
        <v>1</v>
      </c>
      <c r="L4764" s="50" t="s">
        <v>80</v>
      </c>
    </row>
    <row r="4765" spans="2:12">
      <c r="B4765" s="50" t="s">
        <v>399</v>
      </c>
      <c r="C4765" s="50" t="s">
        <v>51</v>
      </c>
      <c r="D4765" s="50" t="s">
        <v>27</v>
      </c>
      <c r="E4765" s="50">
        <v>50043917</v>
      </c>
      <c r="F4765" s="50" t="s">
        <v>262</v>
      </c>
      <c r="G4765" s="50">
        <v>1</v>
      </c>
      <c r="H4765" s="50" t="s">
        <v>2</v>
      </c>
      <c r="I4765" s="50" t="s">
        <v>291</v>
      </c>
      <c r="J4765" s="51">
        <v>45953</v>
      </c>
      <c r="K4765" s="50" t="s">
        <v>3</v>
      </c>
      <c r="L4765" s="50" t="s">
        <v>80</v>
      </c>
    </row>
    <row r="4766" spans="2:12">
      <c r="B4766" s="50" t="s">
        <v>446</v>
      </c>
      <c r="C4766" s="50" t="s">
        <v>56</v>
      </c>
      <c r="D4766" s="50" t="s">
        <v>27</v>
      </c>
      <c r="E4766" s="50">
        <v>50043917</v>
      </c>
      <c r="F4766" s="50" t="s">
        <v>262</v>
      </c>
      <c r="G4766" s="50">
        <v>1</v>
      </c>
      <c r="H4766" s="50" t="s">
        <v>2</v>
      </c>
      <c r="I4766" s="50" t="s">
        <v>291</v>
      </c>
      <c r="J4766" s="51">
        <v>45953</v>
      </c>
      <c r="K4766" s="50" t="s">
        <v>1</v>
      </c>
      <c r="L4766" s="50" t="s">
        <v>80</v>
      </c>
    </row>
    <row r="4767" spans="2:12">
      <c r="B4767" s="50" t="s">
        <v>446</v>
      </c>
      <c r="C4767" s="50" t="s">
        <v>56</v>
      </c>
      <c r="D4767" s="50" t="s">
        <v>27</v>
      </c>
      <c r="E4767" s="50">
        <v>50043917</v>
      </c>
      <c r="F4767" s="50" t="s">
        <v>262</v>
      </c>
      <c r="G4767" s="50">
        <v>1</v>
      </c>
      <c r="H4767" s="50" t="s">
        <v>2</v>
      </c>
      <c r="I4767" s="50" t="s">
        <v>288</v>
      </c>
      <c r="J4767" s="51">
        <v>45953</v>
      </c>
      <c r="K4767" s="50" t="s">
        <v>1</v>
      </c>
      <c r="L4767" s="50" t="s">
        <v>80</v>
      </c>
    </row>
    <row r="4768" spans="2:12">
      <c r="B4768" s="50" t="s">
        <v>407</v>
      </c>
      <c r="C4768" s="50" t="s">
        <v>26</v>
      </c>
      <c r="D4768" s="50" t="s">
        <v>27</v>
      </c>
      <c r="E4768" s="50">
        <v>50012902</v>
      </c>
      <c r="F4768" s="50" t="s">
        <v>225</v>
      </c>
      <c r="G4768" s="50">
        <v>1</v>
      </c>
      <c r="H4768" s="50" t="s">
        <v>2</v>
      </c>
      <c r="I4768" s="50" t="s">
        <v>291</v>
      </c>
      <c r="J4768" s="51">
        <v>45953</v>
      </c>
      <c r="K4768" s="50" t="s">
        <v>3</v>
      </c>
      <c r="L4768" s="50" t="s">
        <v>80</v>
      </c>
    </row>
    <row r="4769" spans="2:12">
      <c r="B4769" s="50" t="s">
        <v>407</v>
      </c>
      <c r="C4769" s="50" t="s">
        <v>26</v>
      </c>
      <c r="D4769" s="50" t="s">
        <v>27</v>
      </c>
      <c r="E4769" s="50">
        <v>50012902</v>
      </c>
      <c r="F4769" s="50" t="s">
        <v>225</v>
      </c>
      <c r="G4769" s="50">
        <v>1</v>
      </c>
      <c r="H4769" s="50" t="s">
        <v>2</v>
      </c>
      <c r="I4769" s="50" t="s">
        <v>291</v>
      </c>
      <c r="J4769" s="51">
        <v>45953</v>
      </c>
      <c r="K4769" s="50" t="s">
        <v>1</v>
      </c>
      <c r="L4769" s="50" t="s">
        <v>80</v>
      </c>
    </row>
    <row r="4770" spans="2:12">
      <c r="B4770" s="50" t="s">
        <v>407</v>
      </c>
      <c r="C4770" s="50" t="s">
        <v>26</v>
      </c>
      <c r="D4770" s="50" t="s">
        <v>27</v>
      </c>
      <c r="E4770" s="50">
        <v>50032775</v>
      </c>
      <c r="F4770" s="50" t="s">
        <v>307</v>
      </c>
      <c r="G4770" s="50">
        <v>1</v>
      </c>
      <c r="H4770" s="50" t="s">
        <v>2</v>
      </c>
      <c r="I4770" s="50" t="s">
        <v>291</v>
      </c>
      <c r="J4770" s="51">
        <v>45953</v>
      </c>
      <c r="K4770" s="50" t="s">
        <v>3</v>
      </c>
      <c r="L4770" s="50" t="s">
        <v>80</v>
      </c>
    </row>
    <row r="4771" spans="2:12">
      <c r="B4771" s="50" t="s">
        <v>407</v>
      </c>
      <c r="C4771" s="50" t="s">
        <v>26</v>
      </c>
      <c r="D4771" s="50" t="s">
        <v>27</v>
      </c>
      <c r="E4771" s="50">
        <v>50032775</v>
      </c>
      <c r="F4771" s="50" t="s">
        <v>307</v>
      </c>
      <c r="G4771" s="50">
        <v>1</v>
      </c>
      <c r="H4771" s="50" t="s">
        <v>2</v>
      </c>
      <c r="I4771" s="50" t="s">
        <v>291</v>
      </c>
      <c r="J4771" s="51">
        <v>45953</v>
      </c>
      <c r="K4771" s="50" t="s">
        <v>3</v>
      </c>
      <c r="L4771" s="50" t="s">
        <v>80</v>
      </c>
    </row>
    <row r="4772" spans="2:12">
      <c r="B4772" s="50" t="s">
        <v>399</v>
      </c>
      <c r="C4772" s="50" t="s">
        <v>51</v>
      </c>
      <c r="D4772" s="50" t="s">
        <v>27</v>
      </c>
      <c r="E4772" s="50">
        <v>50010031</v>
      </c>
      <c r="F4772" s="50" t="s">
        <v>89</v>
      </c>
      <c r="G4772" s="50">
        <v>1</v>
      </c>
      <c r="H4772" s="50" t="s">
        <v>2</v>
      </c>
      <c r="I4772" s="50" t="s">
        <v>289</v>
      </c>
      <c r="J4772" s="51">
        <v>45952</v>
      </c>
      <c r="K4772" s="50" t="s">
        <v>3</v>
      </c>
      <c r="L4772" s="50" t="s">
        <v>80</v>
      </c>
    </row>
    <row r="4773" spans="2:12">
      <c r="B4773" s="50" t="s">
        <v>399</v>
      </c>
      <c r="C4773" s="50" t="s">
        <v>51</v>
      </c>
      <c r="D4773" s="50" t="s">
        <v>27</v>
      </c>
      <c r="E4773" s="50">
        <v>50010031</v>
      </c>
      <c r="F4773" s="50" t="s">
        <v>89</v>
      </c>
      <c r="G4773" s="50">
        <v>1</v>
      </c>
      <c r="H4773" s="50" t="s">
        <v>2</v>
      </c>
      <c r="I4773" s="50" t="s">
        <v>287</v>
      </c>
      <c r="J4773" s="51">
        <v>45952</v>
      </c>
      <c r="K4773" s="50" t="s">
        <v>1</v>
      </c>
      <c r="L4773" s="50" t="s">
        <v>80</v>
      </c>
    </row>
    <row r="4774" spans="2:12">
      <c r="B4774" s="50" t="s">
        <v>420</v>
      </c>
      <c r="C4774" s="50" t="s">
        <v>26</v>
      </c>
      <c r="D4774" s="50" t="s">
        <v>41</v>
      </c>
      <c r="E4774" s="50">
        <v>50030486</v>
      </c>
      <c r="F4774" s="50" t="s">
        <v>153</v>
      </c>
      <c r="G4774" s="50">
        <v>1</v>
      </c>
      <c r="H4774" s="50" t="s">
        <v>2</v>
      </c>
      <c r="I4774" s="50" t="s">
        <v>287</v>
      </c>
      <c r="J4774" s="51">
        <v>45952</v>
      </c>
      <c r="K4774" s="50" t="s">
        <v>3</v>
      </c>
      <c r="L4774" s="50" t="s">
        <v>80</v>
      </c>
    </row>
    <row r="4775" spans="2:12">
      <c r="B4775" s="50" t="s">
        <v>420</v>
      </c>
      <c r="C4775" s="50" t="s">
        <v>26</v>
      </c>
      <c r="D4775" s="50" t="s">
        <v>41</v>
      </c>
      <c r="E4775" s="50">
        <v>50030486</v>
      </c>
      <c r="F4775" s="50" t="s">
        <v>153</v>
      </c>
      <c r="G4775" s="50">
        <v>1</v>
      </c>
      <c r="H4775" s="50" t="s">
        <v>2</v>
      </c>
      <c r="I4775" s="50" t="s">
        <v>287</v>
      </c>
      <c r="J4775" s="51">
        <v>45952</v>
      </c>
      <c r="K4775" s="50" t="s">
        <v>1</v>
      </c>
      <c r="L4775" s="50" t="s">
        <v>80</v>
      </c>
    </row>
    <row r="4776" spans="2:12">
      <c r="B4776" s="50" t="s">
        <v>399</v>
      </c>
      <c r="C4776" s="50" t="s">
        <v>51</v>
      </c>
      <c r="D4776" s="50" t="s">
        <v>27</v>
      </c>
      <c r="E4776" s="50">
        <v>50003297</v>
      </c>
      <c r="F4776" s="50" t="s">
        <v>158</v>
      </c>
      <c r="G4776" s="50">
        <v>1</v>
      </c>
      <c r="H4776" s="50" t="s">
        <v>2</v>
      </c>
      <c r="I4776" s="50" t="s">
        <v>293</v>
      </c>
      <c r="J4776" s="51">
        <v>45952</v>
      </c>
      <c r="K4776" s="50" t="s">
        <v>3</v>
      </c>
      <c r="L4776" s="50" t="s">
        <v>80</v>
      </c>
    </row>
    <row r="4777" spans="2:12">
      <c r="B4777" s="50" t="s">
        <v>399</v>
      </c>
      <c r="C4777" s="50" t="s">
        <v>51</v>
      </c>
      <c r="D4777" s="50" t="s">
        <v>27</v>
      </c>
      <c r="E4777" s="50">
        <v>50003297</v>
      </c>
      <c r="F4777" s="50" t="s">
        <v>158</v>
      </c>
      <c r="G4777" s="50">
        <v>1</v>
      </c>
      <c r="H4777" s="50" t="s">
        <v>2</v>
      </c>
      <c r="I4777" s="50" t="s">
        <v>287</v>
      </c>
      <c r="J4777" s="51">
        <v>45952</v>
      </c>
      <c r="K4777" s="50" t="s">
        <v>1</v>
      </c>
      <c r="L4777" s="50" t="s">
        <v>80</v>
      </c>
    </row>
    <row r="4778" spans="2:12">
      <c r="B4778" s="50" t="s">
        <v>399</v>
      </c>
      <c r="C4778" s="50" t="s">
        <v>51</v>
      </c>
      <c r="D4778" s="50" t="s">
        <v>27</v>
      </c>
      <c r="E4778" s="50">
        <v>50043320</v>
      </c>
      <c r="F4778" s="50" t="s">
        <v>264</v>
      </c>
      <c r="G4778" s="50">
        <v>1</v>
      </c>
      <c r="H4778" s="50" t="s">
        <v>2</v>
      </c>
      <c r="I4778" s="50" t="s">
        <v>293</v>
      </c>
      <c r="J4778" s="51">
        <v>45952</v>
      </c>
      <c r="K4778" s="50" t="s">
        <v>3</v>
      </c>
      <c r="L4778" s="50" t="s">
        <v>80</v>
      </c>
    </row>
    <row r="4779" spans="2:12">
      <c r="B4779" s="50" t="s">
        <v>399</v>
      </c>
      <c r="C4779" s="50" t="s">
        <v>51</v>
      </c>
      <c r="D4779" s="50" t="s">
        <v>27</v>
      </c>
      <c r="E4779" s="50">
        <v>50043320</v>
      </c>
      <c r="F4779" s="50" t="s">
        <v>264</v>
      </c>
      <c r="G4779" s="50">
        <v>1</v>
      </c>
      <c r="H4779" s="50" t="s">
        <v>2</v>
      </c>
      <c r="I4779" s="50" t="s">
        <v>287</v>
      </c>
      <c r="J4779" s="51">
        <v>45952</v>
      </c>
      <c r="K4779" s="50" t="s">
        <v>1</v>
      </c>
      <c r="L4779" s="50" t="s">
        <v>80</v>
      </c>
    </row>
    <row r="4780" spans="2:12">
      <c r="B4780" s="50" t="s">
        <v>439</v>
      </c>
      <c r="C4780" s="50" t="s">
        <v>62</v>
      </c>
      <c r="D4780" s="50" t="s">
        <v>27</v>
      </c>
      <c r="E4780" s="50">
        <v>50038549</v>
      </c>
      <c r="F4780" s="50" t="s">
        <v>173</v>
      </c>
      <c r="G4780" s="50">
        <v>1</v>
      </c>
      <c r="H4780" s="50" t="s">
        <v>2</v>
      </c>
      <c r="I4780" s="50" t="s">
        <v>293</v>
      </c>
      <c r="J4780" s="51">
        <v>45952</v>
      </c>
      <c r="K4780" s="50" t="s">
        <v>3</v>
      </c>
      <c r="L4780" s="50" t="s">
        <v>80</v>
      </c>
    </row>
    <row r="4781" spans="2:12">
      <c r="B4781" s="50" t="s">
        <v>439</v>
      </c>
      <c r="C4781" s="50" t="s">
        <v>62</v>
      </c>
      <c r="D4781" s="50" t="s">
        <v>27</v>
      </c>
      <c r="E4781" s="50">
        <v>50038549</v>
      </c>
      <c r="F4781" s="50" t="s">
        <v>173</v>
      </c>
      <c r="G4781" s="50">
        <v>1</v>
      </c>
      <c r="H4781" s="50" t="s">
        <v>2</v>
      </c>
      <c r="I4781" s="50" t="s">
        <v>293</v>
      </c>
      <c r="J4781" s="51">
        <v>45952</v>
      </c>
      <c r="K4781" s="50" t="s">
        <v>3</v>
      </c>
      <c r="L4781" s="50" t="s">
        <v>80</v>
      </c>
    </row>
    <row r="4782" spans="2:12">
      <c r="B4782" s="50" t="s">
        <v>407</v>
      </c>
      <c r="C4782" s="50" t="s">
        <v>26</v>
      </c>
      <c r="D4782" s="50" t="s">
        <v>27</v>
      </c>
      <c r="E4782" s="50">
        <v>50022878</v>
      </c>
      <c r="F4782" s="50" t="s">
        <v>296</v>
      </c>
      <c r="G4782" s="50">
        <v>1</v>
      </c>
      <c r="H4782" s="50" t="s">
        <v>2</v>
      </c>
      <c r="I4782" s="50" t="s">
        <v>293</v>
      </c>
      <c r="J4782" s="51">
        <v>45952</v>
      </c>
      <c r="K4782" s="50" t="s">
        <v>1</v>
      </c>
      <c r="L4782" s="50" t="s">
        <v>80</v>
      </c>
    </row>
    <row r="4783" spans="2:12">
      <c r="B4783" s="50" t="s">
        <v>386</v>
      </c>
      <c r="C4783" s="50" t="s">
        <v>62</v>
      </c>
      <c r="D4783" s="50" t="s">
        <v>27</v>
      </c>
      <c r="E4783" s="50">
        <v>50038956</v>
      </c>
      <c r="F4783" s="50" t="s">
        <v>177</v>
      </c>
      <c r="G4783" s="50">
        <v>1</v>
      </c>
      <c r="H4783" s="50" t="s">
        <v>2</v>
      </c>
      <c r="I4783" s="50" t="s">
        <v>293</v>
      </c>
      <c r="J4783" s="51">
        <v>45952</v>
      </c>
      <c r="K4783" s="50" t="s">
        <v>3</v>
      </c>
      <c r="L4783" s="50" t="s">
        <v>80</v>
      </c>
    </row>
    <row r="4784" spans="2:12">
      <c r="B4784" s="50" t="s">
        <v>386</v>
      </c>
      <c r="C4784" s="50" t="s">
        <v>62</v>
      </c>
      <c r="D4784" s="50" t="s">
        <v>27</v>
      </c>
      <c r="E4784" s="50">
        <v>50038956</v>
      </c>
      <c r="F4784" s="50" t="s">
        <v>177</v>
      </c>
      <c r="G4784" s="50">
        <v>1</v>
      </c>
      <c r="H4784" s="50" t="s">
        <v>2</v>
      </c>
      <c r="I4784" s="50" t="s">
        <v>287</v>
      </c>
      <c r="J4784" s="51">
        <v>45952</v>
      </c>
      <c r="K4784" s="50" t="s">
        <v>3</v>
      </c>
      <c r="L4784" s="50" t="s">
        <v>80</v>
      </c>
    </row>
    <row r="4785" spans="2:12">
      <c r="B4785" s="50" t="s">
        <v>474</v>
      </c>
      <c r="C4785" s="50" t="s">
        <v>51</v>
      </c>
      <c r="D4785" s="50" t="s">
        <v>27</v>
      </c>
      <c r="E4785" s="50">
        <v>50037892</v>
      </c>
      <c r="F4785" s="50" t="s">
        <v>178</v>
      </c>
      <c r="G4785" s="50">
        <v>1</v>
      </c>
      <c r="H4785" s="50" t="s">
        <v>2</v>
      </c>
      <c r="I4785" s="50" t="s">
        <v>289</v>
      </c>
      <c r="J4785" s="51">
        <v>45952</v>
      </c>
      <c r="K4785" s="50" t="s">
        <v>1</v>
      </c>
      <c r="L4785" s="50" t="s">
        <v>80</v>
      </c>
    </row>
    <row r="4786" spans="2:12">
      <c r="B4786" s="50" t="s">
        <v>474</v>
      </c>
      <c r="C4786" s="50" t="s">
        <v>51</v>
      </c>
      <c r="D4786" s="50" t="s">
        <v>27</v>
      </c>
      <c r="E4786" s="50">
        <v>50037892</v>
      </c>
      <c r="F4786" s="50" t="s">
        <v>178</v>
      </c>
      <c r="G4786" s="50">
        <v>1</v>
      </c>
      <c r="H4786" s="50" t="s">
        <v>2</v>
      </c>
      <c r="I4786" s="50" t="s">
        <v>287</v>
      </c>
      <c r="J4786" s="51">
        <v>45952</v>
      </c>
      <c r="K4786" s="50" t="s">
        <v>3</v>
      </c>
      <c r="L4786" s="50" t="s">
        <v>80</v>
      </c>
    </row>
    <row r="4787" spans="2:12">
      <c r="B4787" s="50" t="e">
        <v>#N/A</v>
      </c>
      <c r="C4787" s="50" t="s">
        <v>51</v>
      </c>
      <c r="D4787" s="50" t="s">
        <v>41</v>
      </c>
      <c r="E4787" s="50">
        <v>50037902</v>
      </c>
      <c r="F4787" s="50" t="s">
        <v>179</v>
      </c>
      <c r="G4787" s="50">
        <v>1</v>
      </c>
      <c r="H4787" s="50" t="s">
        <v>2</v>
      </c>
      <c r="I4787" s="50" t="s">
        <v>289</v>
      </c>
      <c r="J4787" s="51">
        <v>45952</v>
      </c>
      <c r="K4787" s="50" t="s">
        <v>1</v>
      </c>
      <c r="L4787" s="50" t="s">
        <v>80</v>
      </c>
    </row>
    <row r="4788" spans="2:12">
      <c r="B4788" s="50" t="e">
        <v>#N/A</v>
      </c>
      <c r="C4788" s="50" t="s">
        <v>51</v>
      </c>
      <c r="D4788" s="50" t="s">
        <v>41</v>
      </c>
      <c r="E4788" s="50">
        <v>50037902</v>
      </c>
      <c r="F4788" s="50" t="s">
        <v>179</v>
      </c>
      <c r="G4788" s="50">
        <v>1</v>
      </c>
      <c r="H4788" s="50" t="s">
        <v>2</v>
      </c>
      <c r="I4788" s="50" t="s">
        <v>287</v>
      </c>
      <c r="J4788" s="51">
        <v>45952</v>
      </c>
      <c r="K4788" s="50" t="s">
        <v>3</v>
      </c>
      <c r="L4788" s="50" t="s">
        <v>80</v>
      </c>
    </row>
    <row r="4789" spans="2:12">
      <c r="B4789" s="50" t="s">
        <v>427</v>
      </c>
      <c r="C4789" s="50" t="s">
        <v>26</v>
      </c>
      <c r="D4789" s="50" t="s">
        <v>27</v>
      </c>
      <c r="E4789" s="50">
        <v>50038841</v>
      </c>
      <c r="F4789" s="50" t="s">
        <v>180</v>
      </c>
      <c r="G4789" s="50">
        <v>1</v>
      </c>
      <c r="H4789" s="50" t="s">
        <v>2</v>
      </c>
      <c r="I4789" s="50" t="s">
        <v>293</v>
      </c>
      <c r="J4789" s="51">
        <v>45952</v>
      </c>
      <c r="K4789" s="50" t="s">
        <v>1</v>
      </c>
      <c r="L4789" s="50" t="s">
        <v>80</v>
      </c>
    </row>
    <row r="4790" spans="2:12">
      <c r="B4790" s="50" t="s">
        <v>427</v>
      </c>
      <c r="C4790" s="50" t="s">
        <v>26</v>
      </c>
      <c r="D4790" s="50" t="s">
        <v>27</v>
      </c>
      <c r="E4790" s="50">
        <v>50038841</v>
      </c>
      <c r="F4790" s="50" t="s">
        <v>180</v>
      </c>
      <c r="G4790" s="50">
        <v>1</v>
      </c>
      <c r="H4790" s="50" t="s">
        <v>2</v>
      </c>
      <c r="I4790" s="50" t="s">
        <v>287</v>
      </c>
      <c r="J4790" s="51">
        <v>45952</v>
      </c>
      <c r="K4790" s="50" t="s">
        <v>3</v>
      </c>
      <c r="L4790" s="50" t="s">
        <v>80</v>
      </c>
    </row>
    <row r="4791" spans="2:12">
      <c r="B4791" s="50" t="s">
        <v>386</v>
      </c>
      <c r="C4791" s="50" t="s">
        <v>26</v>
      </c>
      <c r="D4791" s="50" t="s">
        <v>27</v>
      </c>
      <c r="E4791" s="50">
        <v>50038517</v>
      </c>
      <c r="F4791" s="50" t="s">
        <v>181</v>
      </c>
      <c r="G4791" s="50">
        <v>1</v>
      </c>
      <c r="H4791" s="50" t="s">
        <v>2</v>
      </c>
      <c r="I4791" s="50" t="s">
        <v>293</v>
      </c>
      <c r="J4791" s="51">
        <v>45952</v>
      </c>
      <c r="K4791" s="50" t="s">
        <v>3</v>
      </c>
      <c r="L4791" s="50" t="s">
        <v>80</v>
      </c>
    </row>
    <row r="4792" spans="2:12">
      <c r="B4792" s="50" t="s">
        <v>386</v>
      </c>
      <c r="C4792" s="50" t="s">
        <v>26</v>
      </c>
      <c r="D4792" s="50" t="s">
        <v>27</v>
      </c>
      <c r="E4792" s="50">
        <v>50038517</v>
      </c>
      <c r="F4792" s="50" t="s">
        <v>181</v>
      </c>
      <c r="G4792" s="50">
        <v>1</v>
      </c>
      <c r="H4792" s="50" t="s">
        <v>2</v>
      </c>
      <c r="I4792" s="50" t="s">
        <v>287</v>
      </c>
      <c r="J4792" s="51">
        <v>45952</v>
      </c>
      <c r="K4792" s="50" t="s">
        <v>1</v>
      </c>
      <c r="L4792" s="50" t="s">
        <v>80</v>
      </c>
    </row>
    <row r="4793" spans="2:12">
      <c r="B4793" s="50" t="s">
        <v>439</v>
      </c>
      <c r="C4793" s="50" t="s">
        <v>62</v>
      </c>
      <c r="D4793" s="50" t="s">
        <v>27</v>
      </c>
      <c r="E4793" s="50">
        <v>50026357</v>
      </c>
      <c r="F4793" s="50" t="s">
        <v>192</v>
      </c>
      <c r="G4793" s="50">
        <v>1</v>
      </c>
      <c r="H4793" s="50" t="s">
        <v>2</v>
      </c>
      <c r="I4793" s="50" t="s">
        <v>293</v>
      </c>
      <c r="J4793" s="51">
        <v>45952</v>
      </c>
      <c r="K4793" s="50" t="s">
        <v>3</v>
      </c>
      <c r="L4793" s="50" t="s">
        <v>80</v>
      </c>
    </row>
    <row r="4794" spans="2:12">
      <c r="B4794" s="50" t="s">
        <v>439</v>
      </c>
      <c r="C4794" s="50" t="s">
        <v>62</v>
      </c>
      <c r="D4794" s="50" t="s">
        <v>27</v>
      </c>
      <c r="E4794" s="50">
        <v>50026357</v>
      </c>
      <c r="F4794" s="50" t="s">
        <v>192</v>
      </c>
      <c r="G4794" s="50">
        <v>1</v>
      </c>
      <c r="H4794" s="50" t="s">
        <v>2</v>
      </c>
      <c r="I4794" s="50" t="s">
        <v>293</v>
      </c>
      <c r="J4794" s="51">
        <v>45952</v>
      </c>
      <c r="K4794" s="50" t="s">
        <v>1</v>
      </c>
      <c r="L4794" s="50" t="s">
        <v>80</v>
      </c>
    </row>
    <row r="4795" spans="2:12">
      <c r="B4795" s="50" t="s">
        <v>387</v>
      </c>
      <c r="C4795" s="50" t="s">
        <v>56</v>
      </c>
      <c r="D4795" s="50" t="s">
        <v>27</v>
      </c>
      <c r="E4795" s="50">
        <v>50026357</v>
      </c>
      <c r="F4795" s="50" t="s">
        <v>192</v>
      </c>
      <c r="G4795" s="50">
        <v>1</v>
      </c>
      <c r="H4795" s="50" t="s">
        <v>2</v>
      </c>
      <c r="I4795" s="50" t="s">
        <v>293</v>
      </c>
      <c r="J4795" s="51">
        <v>45952</v>
      </c>
      <c r="K4795" s="50" t="s">
        <v>3</v>
      </c>
      <c r="L4795" s="50" t="s">
        <v>80</v>
      </c>
    </row>
    <row r="4796" spans="2:12">
      <c r="B4796" s="50" t="s">
        <v>387</v>
      </c>
      <c r="C4796" s="50" t="s">
        <v>56</v>
      </c>
      <c r="D4796" s="50" t="s">
        <v>27</v>
      </c>
      <c r="E4796" s="50">
        <v>50026357</v>
      </c>
      <c r="F4796" s="50" t="s">
        <v>192</v>
      </c>
      <c r="G4796" s="50">
        <v>1</v>
      </c>
      <c r="H4796" s="50" t="s">
        <v>2</v>
      </c>
      <c r="I4796" s="50" t="s">
        <v>293</v>
      </c>
      <c r="J4796" s="51">
        <v>45952</v>
      </c>
      <c r="K4796" s="50" t="s">
        <v>1</v>
      </c>
      <c r="L4796" s="50" t="s">
        <v>80</v>
      </c>
    </row>
    <row r="4797" spans="2:12">
      <c r="B4797" s="50" t="s">
        <v>345</v>
      </c>
      <c r="C4797" s="50" t="s">
        <v>62</v>
      </c>
      <c r="D4797" s="50" t="s">
        <v>27</v>
      </c>
      <c r="E4797" s="50">
        <v>50041195</v>
      </c>
      <c r="F4797" s="50" t="s">
        <v>206</v>
      </c>
      <c r="G4797" s="50">
        <v>1</v>
      </c>
      <c r="H4797" s="50" t="s">
        <v>2</v>
      </c>
      <c r="I4797" s="50" t="s">
        <v>287</v>
      </c>
      <c r="J4797" s="51">
        <v>45952</v>
      </c>
      <c r="K4797" s="50" t="s">
        <v>3</v>
      </c>
      <c r="L4797" s="50" t="s">
        <v>80</v>
      </c>
    </row>
    <row r="4798" spans="2:12">
      <c r="B4798" s="50" t="s">
        <v>399</v>
      </c>
      <c r="C4798" s="50" t="s">
        <v>51</v>
      </c>
      <c r="D4798" s="50" t="s">
        <v>27</v>
      </c>
      <c r="E4798" s="50">
        <v>50043917</v>
      </c>
      <c r="F4798" s="50" t="s">
        <v>262</v>
      </c>
      <c r="G4798" s="50">
        <v>1</v>
      </c>
      <c r="H4798" s="50" t="s">
        <v>2</v>
      </c>
      <c r="I4798" s="50" t="s">
        <v>293</v>
      </c>
      <c r="J4798" s="51">
        <v>45952</v>
      </c>
      <c r="K4798" s="59" t="s">
        <v>3</v>
      </c>
      <c r="L4798" s="50" t="s">
        <v>80</v>
      </c>
    </row>
    <row r="4799" spans="2:12">
      <c r="B4799" s="50" t="s">
        <v>399</v>
      </c>
      <c r="C4799" s="50" t="s">
        <v>51</v>
      </c>
      <c r="D4799" s="50" t="s">
        <v>27</v>
      </c>
      <c r="E4799" s="50">
        <v>50043917</v>
      </c>
      <c r="F4799" s="50" t="s">
        <v>262</v>
      </c>
      <c r="G4799" s="50">
        <v>1</v>
      </c>
      <c r="H4799" s="50" t="s">
        <v>2</v>
      </c>
      <c r="I4799" s="50" t="s">
        <v>287</v>
      </c>
      <c r="J4799" s="51">
        <v>45952</v>
      </c>
      <c r="K4799" s="59" t="s">
        <v>1</v>
      </c>
      <c r="L4799" s="50" t="s">
        <v>80</v>
      </c>
    </row>
    <row r="4800" spans="2:12">
      <c r="B4800" s="50" t="s">
        <v>401</v>
      </c>
      <c r="C4800" s="58" t="s">
        <v>26</v>
      </c>
      <c r="D4800" s="58" t="s">
        <v>36</v>
      </c>
      <c r="E4800" s="50">
        <v>50043917</v>
      </c>
      <c r="F4800" s="50" t="str">
        <f>IFERROR(VLOOKUP(E4800,'BD MOVIMENTAÇÃO'!A:G,3,FALSE),"Não encontrado")</f>
        <v>PARAFUSADEIRA FURADEIRA BOSCH</v>
      </c>
      <c r="G4800" s="58">
        <v>1</v>
      </c>
      <c r="H4800" s="59" t="s">
        <v>2</v>
      </c>
      <c r="I4800" s="59" t="s">
        <v>310</v>
      </c>
      <c r="J4800" s="60">
        <v>45952</v>
      </c>
      <c r="K4800" s="50" t="s">
        <v>1</v>
      </c>
      <c r="L4800" s="50" t="s">
        <v>80</v>
      </c>
    </row>
    <row r="4801" spans="2:12">
      <c r="B4801" s="50" t="s">
        <v>401</v>
      </c>
      <c r="C4801" s="58" t="s">
        <v>26</v>
      </c>
      <c r="D4801" s="58" t="s">
        <v>36</v>
      </c>
      <c r="E4801" s="50">
        <v>50043917</v>
      </c>
      <c r="F4801" s="50" t="str">
        <f>IFERROR(VLOOKUP(E4801,'BD MOVIMENTAÇÃO'!A:G,3,FALSE),"Não encontrado")</f>
        <v>PARAFUSADEIRA FURADEIRA BOSCH</v>
      </c>
      <c r="G4801" s="58">
        <v>1</v>
      </c>
      <c r="H4801" s="59" t="s">
        <v>2</v>
      </c>
      <c r="I4801" s="59" t="s">
        <v>310</v>
      </c>
      <c r="J4801" s="60">
        <v>45952</v>
      </c>
      <c r="K4801" s="50" t="s">
        <v>1</v>
      </c>
      <c r="L4801" s="50" t="s">
        <v>80</v>
      </c>
    </row>
    <row r="4802" spans="2:12">
      <c r="B4802" s="50" t="s">
        <v>25</v>
      </c>
      <c r="C4802" s="50" t="s">
        <v>26</v>
      </c>
      <c r="D4802" s="50" t="s">
        <v>27</v>
      </c>
      <c r="E4802" s="50">
        <v>50044453</v>
      </c>
      <c r="F4802" s="50" t="s">
        <v>320</v>
      </c>
      <c r="G4802" s="50">
        <v>1</v>
      </c>
      <c r="H4802" s="50" t="s">
        <v>2</v>
      </c>
      <c r="I4802" s="50" t="s">
        <v>293</v>
      </c>
      <c r="J4802" s="51">
        <v>45952</v>
      </c>
      <c r="K4802" s="50" t="s">
        <v>3</v>
      </c>
      <c r="L4802" s="50" t="s">
        <v>80</v>
      </c>
    </row>
    <row r="4803" spans="2:12">
      <c r="B4803" s="50" t="s">
        <v>25</v>
      </c>
      <c r="C4803" s="50" t="s">
        <v>26</v>
      </c>
      <c r="D4803" s="50" t="s">
        <v>27</v>
      </c>
      <c r="E4803" s="50">
        <v>50044453</v>
      </c>
      <c r="F4803" s="50" t="s">
        <v>320</v>
      </c>
      <c r="G4803" s="50">
        <v>1</v>
      </c>
      <c r="H4803" s="50" t="s">
        <v>2</v>
      </c>
      <c r="I4803" s="50" t="s">
        <v>293</v>
      </c>
      <c r="J4803" s="51">
        <v>45952</v>
      </c>
      <c r="K4803" s="50" t="s">
        <v>1</v>
      </c>
      <c r="L4803" s="50" t="s">
        <v>80</v>
      </c>
    </row>
    <row r="4804" spans="2:12">
      <c r="B4804" s="50" t="s">
        <v>316</v>
      </c>
      <c r="C4804" s="50" t="s">
        <v>51</v>
      </c>
      <c r="D4804" s="50" t="s">
        <v>27</v>
      </c>
      <c r="E4804" s="50">
        <v>50032781</v>
      </c>
      <c r="F4804" s="50" t="s">
        <v>237</v>
      </c>
      <c r="G4804" s="50">
        <v>1</v>
      </c>
      <c r="H4804" s="50" t="s">
        <v>2</v>
      </c>
      <c r="I4804" s="50" t="s">
        <v>293</v>
      </c>
      <c r="J4804" s="51">
        <v>45952</v>
      </c>
      <c r="K4804" s="50" t="s">
        <v>3</v>
      </c>
      <c r="L4804" s="50" t="s">
        <v>80</v>
      </c>
    </row>
    <row r="4805" spans="2:12">
      <c r="B4805" s="50" t="s">
        <v>316</v>
      </c>
      <c r="C4805" s="50" t="s">
        <v>51</v>
      </c>
      <c r="D4805" s="50" t="s">
        <v>27</v>
      </c>
      <c r="E4805" s="50">
        <v>50032781</v>
      </c>
      <c r="F4805" s="50" t="s">
        <v>237</v>
      </c>
      <c r="G4805" s="50">
        <v>1</v>
      </c>
      <c r="H4805" s="50" t="s">
        <v>2</v>
      </c>
      <c r="I4805" s="50" t="s">
        <v>293</v>
      </c>
      <c r="J4805" s="51">
        <v>45952</v>
      </c>
      <c r="K4805" s="50" t="s">
        <v>1</v>
      </c>
      <c r="L4805" s="50" t="s">
        <v>80</v>
      </c>
    </row>
    <row r="4806" spans="2:12">
      <c r="B4806" s="50" t="s">
        <v>316</v>
      </c>
      <c r="C4806" s="50" t="s">
        <v>51</v>
      </c>
      <c r="D4806" s="50" t="s">
        <v>27</v>
      </c>
      <c r="E4806" s="50">
        <v>50038618</v>
      </c>
      <c r="F4806" s="50" t="s">
        <v>241</v>
      </c>
      <c r="G4806" s="50">
        <v>1</v>
      </c>
      <c r="H4806" s="50" t="s">
        <v>2</v>
      </c>
      <c r="I4806" s="50" t="s">
        <v>293</v>
      </c>
      <c r="J4806" s="51">
        <v>45952</v>
      </c>
      <c r="K4806" s="50" t="s">
        <v>3</v>
      </c>
      <c r="L4806" s="50" t="s">
        <v>80</v>
      </c>
    </row>
    <row r="4807" spans="2:12">
      <c r="B4807" s="50" t="s">
        <v>316</v>
      </c>
      <c r="C4807" s="50" t="s">
        <v>51</v>
      </c>
      <c r="D4807" s="50" t="s">
        <v>27</v>
      </c>
      <c r="E4807" s="50">
        <v>50038618</v>
      </c>
      <c r="F4807" s="50" t="s">
        <v>241</v>
      </c>
      <c r="G4807" s="50">
        <v>1</v>
      </c>
      <c r="H4807" s="50" t="s">
        <v>2</v>
      </c>
      <c r="I4807" s="50" t="s">
        <v>293</v>
      </c>
      <c r="J4807" s="51">
        <v>45952</v>
      </c>
      <c r="K4807" s="50" t="s">
        <v>1</v>
      </c>
      <c r="L4807" s="50" t="s">
        <v>80</v>
      </c>
    </row>
    <row r="4808" spans="2:12">
      <c r="B4808" s="50" t="s">
        <v>316</v>
      </c>
      <c r="C4808" s="50" t="s">
        <v>51</v>
      </c>
      <c r="D4808" s="50" t="s">
        <v>27</v>
      </c>
      <c r="E4808" s="50">
        <v>50028220</v>
      </c>
      <c r="F4808" s="50" t="s">
        <v>242</v>
      </c>
      <c r="G4808" s="50">
        <v>1</v>
      </c>
      <c r="H4808" s="50" t="s">
        <v>2</v>
      </c>
      <c r="I4808" s="50" t="s">
        <v>293</v>
      </c>
      <c r="J4808" s="51">
        <v>45952</v>
      </c>
      <c r="K4808" s="50" t="s">
        <v>3</v>
      </c>
      <c r="L4808" s="50" t="s">
        <v>80</v>
      </c>
    </row>
    <row r="4809" spans="2:12">
      <c r="B4809" s="50" t="s">
        <v>316</v>
      </c>
      <c r="C4809" s="50" t="s">
        <v>51</v>
      </c>
      <c r="D4809" s="50" t="s">
        <v>27</v>
      </c>
      <c r="E4809" s="50">
        <v>50028220</v>
      </c>
      <c r="F4809" s="50" t="s">
        <v>242</v>
      </c>
      <c r="G4809" s="50">
        <v>1</v>
      </c>
      <c r="H4809" s="50" t="s">
        <v>2</v>
      </c>
      <c r="I4809" s="50" t="s">
        <v>293</v>
      </c>
      <c r="J4809" s="51">
        <v>45952</v>
      </c>
      <c r="K4809" s="50" t="s">
        <v>3</v>
      </c>
      <c r="L4809" s="50" t="s">
        <v>80</v>
      </c>
    </row>
    <row r="4810" spans="2:12">
      <c r="B4810" s="50" t="s">
        <v>399</v>
      </c>
      <c r="C4810" s="50" t="s">
        <v>51</v>
      </c>
      <c r="D4810" s="50" t="s">
        <v>27</v>
      </c>
      <c r="E4810" s="50">
        <v>50010031</v>
      </c>
      <c r="F4810" s="50" t="s">
        <v>89</v>
      </c>
      <c r="G4810" s="50">
        <v>1</v>
      </c>
      <c r="H4810" s="50" t="s">
        <v>2</v>
      </c>
      <c r="I4810" s="50" t="s">
        <v>293</v>
      </c>
      <c r="J4810" s="51">
        <v>45951</v>
      </c>
      <c r="K4810" s="50" t="s">
        <v>1</v>
      </c>
      <c r="L4810" s="50" t="s">
        <v>80</v>
      </c>
    </row>
    <row r="4811" spans="2:12">
      <c r="B4811" s="50" t="s">
        <v>399</v>
      </c>
      <c r="C4811" s="50" t="s">
        <v>51</v>
      </c>
      <c r="D4811" s="50" t="s">
        <v>27</v>
      </c>
      <c r="E4811" s="50">
        <v>50010031</v>
      </c>
      <c r="F4811" s="50" t="s">
        <v>89</v>
      </c>
      <c r="G4811" s="50">
        <v>1</v>
      </c>
      <c r="H4811" s="50" t="s">
        <v>2</v>
      </c>
      <c r="I4811" s="50" t="s">
        <v>293</v>
      </c>
      <c r="J4811" s="51">
        <v>45951</v>
      </c>
      <c r="K4811" s="50" t="s">
        <v>1</v>
      </c>
      <c r="L4811" s="50" t="s">
        <v>80</v>
      </c>
    </row>
    <row r="4812" spans="2:12">
      <c r="B4812" s="50" t="s">
        <v>402</v>
      </c>
      <c r="C4812" s="50" t="s">
        <v>26</v>
      </c>
      <c r="D4812" s="50" t="s">
        <v>36</v>
      </c>
      <c r="E4812" s="50">
        <v>50036255</v>
      </c>
      <c r="F4812" s="50" t="s">
        <v>120</v>
      </c>
      <c r="G4812" s="50">
        <v>1</v>
      </c>
      <c r="H4812" s="50" t="s">
        <v>2</v>
      </c>
      <c r="I4812" s="50" t="s">
        <v>288</v>
      </c>
      <c r="J4812" s="51">
        <v>45951</v>
      </c>
      <c r="K4812" s="50" t="s">
        <v>3</v>
      </c>
      <c r="L4812" s="50" t="s">
        <v>80</v>
      </c>
    </row>
    <row r="4813" spans="2:12">
      <c r="B4813" s="50" t="s">
        <v>402</v>
      </c>
      <c r="C4813" s="50" t="s">
        <v>26</v>
      </c>
      <c r="D4813" s="50" t="s">
        <v>36</v>
      </c>
      <c r="E4813" s="50">
        <v>50036255</v>
      </c>
      <c r="F4813" s="50" t="s">
        <v>120</v>
      </c>
      <c r="G4813" s="50">
        <v>1</v>
      </c>
      <c r="H4813" s="50" t="s">
        <v>2</v>
      </c>
      <c r="I4813" s="50" t="s">
        <v>288</v>
      </c>
      <c r="J4813" s="51">
        <v>45951</v>
      </c>
      <c r="K4813" s="50" t="s">
        <v>1</v>
      </c>
      <c r="L4813" s="50" t="s">
        <v>80</v>
      </c>
    </row>
    <row r="4814" spans="2:12">
      <c r="B4814" s="50" t="s">
        <v>444</v>
      </c>
      <c r="C4814" s="50" t="s">
        <v>51</v>
      </c>
      <c r="D4814" s="50" t="s">
        <v>27</v>
      </c>
      <c r="E4814" s="50">
        <v>50030486</v>
      </c>
      <c r="F4814" s="50" t="s">
        <v>153</v>
      </c>
      <c r="G4814" s="50">
        <v>1</v>
      </c>
      <c r="H4814" s="50" t="s">
        <v>2</v>
      </c>
      <c r="I4814" s="50" t="s">
        <v>293</v>
      </c>
      <c r="J4814" s="51">
        <v>45951</v>
      </c>
      <c r="K4814" s="50" t="s">
        <v>3</v>
      </c>
      <c r="L4814" s="50" t="s">
        <v>80</v>
      </c>
    </row>
    <row r="4815" spans="2:12">
      <c r="B4815" s="50" t="s">
        <v>444</v>
      </c>
      <c r="C4815" s="50" t="s">
        <v>51</v>
      </c>
      <c r="D4815" s="50" t="s">
        <v>27</v>
      </c>
      <c r="E4815" s="50">
        <v>50030486</v>
      </c>
      <c r="F4815" s="50" t="s">
        <v>153</v>
      </c>
      <c r="G4815" s="50">
        <v>1</v>
      </c>
      <c r="H4815" s="50" t="s">
        <v>2</v>
      </c>
      <c r="I4815" s="50" t="s">
        <v>292</v>
      </c>
      <c r="J4815" s="51">
        <v>45951</v>
      </c>
      <c r="K4815" s="50" t="s">
        <v>1</v>
      </c>
      <c r="L4815" s="50" t="s">
        <v>80</v>
      </c>
    </row>
    <row r="4816" spans="2:12">
      <c r="B4816" s="50" t="s">
        <v>270</v>
      </c>
      <c r="C4816" s="50" t="s">
        <v>51</v>
      </c>
      <c r="D4816" s="50" t="s">
        <v>41</v>
      </c>
      <c r="E4816" s="50">
        <v>50039236</v>
      </c>
      <c r="F4816" s="50" t="s">
        <v>154</v>
      </c>
      <c r="G4816" s="50">
        <v>1</v>
      </c>
      <c r="H4816" s="50" t="s">
        <v>2</v>
      </c>
      <c r="I4816" s="50" t="s">
        <v>288</v>
      </c>
      <c r="J4816" s="51">
        <v>45951</v>
      </c>
      <c r="K4816" s="50" t="s">
        <v>3</v>
      </c>
      <c r="L4816" s="50" t="s">
        <v>80</v>
      </c>
    </row>
    <row r="4817" spans="2:12">
      <c r="B4817" s="50" t="s">
        <v>270</v>
      </c>
      <c r="C4817" s="50" t="s">
        <v>51</v>
      </c>
      <c r="D4817" s="50" t="s">
        <v>41</v>
      </c>
      <c r="E4817" s="50">
        <v>50039236</v>
      </c>
      <c r="F4817" s="50" t="s">
        <v>154</v>
      </c>
      <c r="G4817" s="50">
        <v>1</v>
      </c>
      <c r="H4817" s="50" t="s">
        <v>2</v>
      </c>
      <c r="I4817" s="50" t="s">
        <v>288</v>
      </c>
      <c r="J4817" s="51">
        <v>45951</v>
      </c>
      <c r="K4817" s="50" t="s">
        <v>1</v>
      </c>
      <c r="L4817" s="50" t="s">
        <v>80</v>
      </c>
    </row>
    <row r="4818" spans="2:12">
      <c r="B4818" s="50" t="s">
        <v>438</v>
      </c>
      <c r="C4818" s="50" t="s">
        <v>51</v>
      </c>
      <c r="D4818" s="50" t="s">
        <v>36</v>
      </c>
      <c r="E4818" s="50">
        <v>50043471</v>
      </c>
      <c r="F4818" s="50" t="s">
        <v>257</v>
      </c>
      <c r="G4818" s="50">
        <v>1</v>
      </c>
      <c r="H4818" s="50" t="s">
        <v>2</v>
      </c>
      <c r="I4818" s="50" t="s">
        <v>293</v>
      </c>
      <c r="J4818" s="51">
        <v>45951</v>
      </c>
      <c r="K4818" s="50" t="s">
        <v>3</v>
      </c>
      <c r="L4818" s="50" t="s">
        <v>80</v>
      </c>
    </row>
    <row r="4819" spans="2:12">
      <c r="B4819" s="50" t="s">
        <v>438</v>
      </c>
      <c r="C4819" s="50" t="s">
        <v>51</v>
      </c>
      <c r="D4819" s="50" t="s">
        <v>36</v>
      </c>
      <c r="E4819" s="50">
        <v>50043471</v>
      </c>
      <c r="F4819" s="50" t="s">
        <v>257</v>
      </c>
      <c r="G4819" s="50">
        <v>1</v>
      </c>
      <c r="H4819" s="50" t="s">
        <v>2</v>
      </c>
      <c r="I4819" s="50" t="s">
        <v>293</v>
      </c>
      <c r="J4819" s="51">
        <v>45951</v>
      </c>
      <c r="K4819" s="50" t="s">
        <v>1</v>
      </c>
      <c r="L4819" s="50" t="s">
        <v>80</v>
      </c>
    </row>
    <row r="4820" spans="2:12">
      <c r="B4820" s="50" t="s">
        <v>402</v>
      </c>
      <c r="C4820" s="50" t="s">
        <v>26</v>
      </c>
      <c r="D4820" s="50" t="s">
        <v>36</v>
      </c>
      <c r="E4820" s="50">
        <v>50038549</v>
      </c>
      <c r="F4820" s="50" t="s">
        <v>173</v>
      </c>
      <c r="G4820" s="50">
        <v>1</v>
      </c>
      <c r="H4820" s="50" t="s">
        <v>2</v>
      </c>
      <c r="I4820" s="50" t="s">
        <v>288</v>
      </c>
      <c r="J4820" s="51">
        <v>45951</v>
      </c>
      <c r="K4820" s="50" t="s">
        <v>3</v>
      </c>
      <c r="L4820" s="50" t="s">
        <v>80</v>
      </c>
    </row>
    <row r="4821" spans="2:12">
      <c r="B4821" s="50" t="s">
        <v>402</v>
      </c>
      <c r="C4821" s="50" t="s">
        <v>26</v>
      </c>
      <c r="D4821" s="50" t="s">
        <v>36</v>
      </c>
      <c r="E4821" s="50">
        <v>50038549</v>
      </c>
      <c r="F4821" s="50" t="s">
        <v>173</v>
      </c>
      <c r="G4821" s="50">
        <v>1</v>
      </c>
      <c r="H4821" s="50" t="s">
        <v>2</v>
      </c>
      <c r="I4821" s="50" t="s">
        <v>288</v>
      </c>
      <c r="J4821" s="51">
        <v>45951</v>
      </c>
      <c r="K4821" s="50" t="s">
        <v>3</v>
      </c>
      <c r="L4821" s="50" t="s">
        <v>80</v>
      </c>
    </row>
    <row r="4822" spans="2:12">
      <c r="B4822" s="50" t="s">
        <v>270</v>
      </c>
      <c r="C4822" s="50" t="s">
        <v>51</v>
      </c>
      <c r="D4822" s="50" t="s">
        <v>41</v>
      </c>
      <c r="E4822" s="50">
        <v>50037892</v>
      </c>
      <c r="F4822" s="50" t="s">
        <v>178</v>
      </c>
      <c r="G4822" s="50">
        <v>1</v>
      </c>
      <c r="H4822" s="50" t="s">
        <v>2</v>
      </c>
      <c r="I4822" s="50" t="s">
        <v>288</v>
      </c>
      <c r="J4822" s="51">
        <v>45951</v>
      </c>
      <c r="K4822" s="50" t="s">
        <v>1</v>
      </c>
      <c r="L4822" s="50" t="s">
        <v>80</v>
      </c>
    </row>
    <row r="4823" spans="2:12">
      <c r="B4823" s="50" t="s">
        <v>270</v>
      </c>
      <c r="C4823" s="50" t="s">
        <v>51</v>
      </c>
      <c r="D4823" s="50" t="s">
        <v>41</v>
      </c>
      <c r="E4823" s="50">
        <v>50037892</v>
      </c>
      <c r="F4823" s="50" t="s">
        <v>178</v>
      </c>
      <c r="G4823" s="50">
        <v>1</v>
      </c>
      <c r="H4823" s="50" t="s">
        <v>2</v>
      </c>
      <c r="I4823" s="50" t="s">
        <v>288</v>
      </c>
      <c r="J4823" s="51">
        <v>45951</v>
      </c>
      <c r="K4823" s="50" t="s">
        <v>3</v>
      </c>
      <c r="L4823" s="50" t="s">
        <v>80</v>
      </c>
    </row>
    <row r="4824" spans="2:12">
      <c r="B4824" s="50" t="s">
        <v>444</v>
      </c>
      <c r="C4824" s="50" t="s">
        <v>51</v>
      </c>
      <c r="D4824" s="50" t="s">
        <v>27</v>
      </c>
      <c r="E4824" s="50">
        <v>50038517</v>
      </c>
      <c r="F4824" s="50" t="s">
        <v>181</v>
      </c>
      <c r="G4824" s="50">
        <v>1</v>
      </c>
      <c r="H4824" s="50" t="s">
        <v>2</v>
      </c>
      <c r="I4824" s="50" t="s">
        <v>293</v>
      </c>
      <c r="J4824" s="51">
        <v>45951</v>
      </c>
      <c r="K4824" s="50" t="s">
        <v>1</v>
      </c>
      <c r="L4824" s="50" t="s">
        <v>80</v>
      </c>
    </row>
    <row r="4825" spans="2:12">
      <c r="B4825" s="50" t="s">
        <v>444</v>
      </c>
      <c r="C4825" s="50" t="s">
        <v>51</v>
      </c>
      <c r="D4825" s="50" t="s">
        <v>27</v>
      </c>
      <c r="E4825" s="50">
        <v>50038517</v>
      </c>
      <c r="F4825" s="50" t="s">
        <v>181</v>
      </c>
      <c r="G4825" s="50">
        <v>1</v>
      </c>
      <c r="H4825" s="50" t="s">
        <v>2</v>
      </c>
      <c r="I4825" s="50" t="s">
        <v>293</v>
      </c>
      <c r="J4825" s="51">
        <v>45951</v>
      </c>
      <c r="K4825" s="50" t="s">
        <v>3</v>
      </c>
      <c r="L4825" s="50" t="s">
        <v>80</v>
      </c>
    </row>
    <row r="4826" spans="2:12">
      <c r="B4826" s="50" t="s">
        <v>25</v>
      </c>
      <c r="C4826" s="50" t="s">
        <v>26</v>
      </c>
      <c r="D4826" s="50" t="s">
        <v>27</v>
      </c>
      <c r="E4826" s="50">
        <v>50038517</v>
      </c>
      <c r="F4826" s="50" t="s">
        <v>181</v>
      </c>
      <c r="G4826" s="50">
        <v>1</v>
      </c>
      <c r="H4826" s="50" t="s">
        <v>2</v>
      </c>
      <c r="I4826" s="50" t="s">
        <v>290</v>
      </c>
      <c r="J4826" s="51">
        <v>45951</v>
      </c>
      <c r="K4826" s="50" t="s">
        <v>3</v>
      </c>
      <c r="L4826" s="50" t="s">
        <v>80</v>
      </c>
    </row>
    <row r="4827" spans="2:12">
      <c r="B4827" s="50" t="s">
        <v>25</v>
      </c>
      <c r="C4827" s="50" t="s">
        <v>26</v>
      </c>
      <c r="D4827" s="50" t="s">
        <v>27</v>
      </c>
      <c r="E4827" s="50">
        <v>50038517</v>
      </c>
      <c r="F4827" s="50" t="s">
        <v>181</v>
      </c>
      <c r="G4827" s="50">
        <v>1</v>
      </c>
      <c r="H4827" s="50" t="s">
        <v>2</v>
      </c>
      <c r="I4827" s="50" t="s">
        <v>290</v>
      </c>
      <c r="J4827" s="51">
        <v>45951</v>
      </c>
      <c r="K4827" s="50" t="s">
        <v>1</v>
      </c>
      <c r="L4827" s="50" t="s">
        <v>80</v>
      </c>
    </row>
    <row r="4828" spans="2:12">
      <c r="B4828" s="50" t="s">
        <v>478</v>
      </c>
      <c r="C4828" s="50" t="s">
        <v>51</v>
      </c>
      <c r="D4828" s="50" t="s">
        <v>27</v>
      </c>
      <c r="E4828" s="50">
        <v>50038517</v>
      </c>
      <c r="F4828" s="50" t="s">
        <v>181</v>
      </c>
      <c r="G4828" s="50">
        <v>1</v>
      </c>
      <c r="H4828" s="50" t="s">
        <v>2</v>
      </c>
      <c r="I4828" s="50" t="s">
        <v>288</v>
      </c>
      <c r="J4828" s="51">
        <v>45951</v>
      </c>
      <c r="K4828" s="50" t="s">
        <v>3</v>
      </c>
      <c r="L4828" s="50" t="s">
        <v>80</v>
      </c>
    </row>
    <row r="4829" spans="2:12">
      <c r="B4829" s="50" t="s">
        <v>427</v>
      </c>
      <c r="C4829" s="50" t="s">
        <v>26</v>
      </c>
      <c r="D4829" s="50" t="s">
        <v>27</v>
      </c>
      <c r="E4829" s="50">
        <v>50038517</v>
      </c>
      <c r="F4829" s="50" t="s">
        <v>181</v>
      </c>
      <c r="G4829" s="50">
        <v>1</v>
      </c>
      <c r="H4829" s="50" t="s">
        <v>2</v>
      </c>
      <c r="I4829" s="50" t="s">
        <v>288</v>
      </c>
      <c r="J4829" s="51">
        <v>45951</v>
      </c>
      <c r="K4829" s="50" t="s">
        <v>1</v>
      </c>
      <c r="L4829" s="50" t="s">
        <v>80</v>
      </c>
    </row>
    <row r="4830" spans="2:12">
      <c r="B4830" s="50" t="s">
        <v>427</v>
      </c>
      <c r="C4830" s="50" t="s">
        <v>26</v>
      </c>
      <c r="D4830" s="50" t="s">
        <v>27</v>
      </c>
      <c r="E4830" s="50">
        <v>50038517</v>
      </c>
      <c r="F4830" s="50" t="s">
        <v>181</v>
      </c>
      <c r="G4830" s="50">
        <v>1</v>
      </c>
      <c r="H4830" s="50" t="s">
        <v>2</v>
      </c>
      <c r="I4830" s="50" t="s">
        <v>288</v>
      </c>
      <c r="J4830" s="51">
        <v>45951</v>
      </c>
      <c r="K4830" s="50" t="s">
        <v>1</v>
      </c>
      <c r="L4830" s="50" t="s">
        <v>80</v>
      </c>
    </row>
    <row r="4831" spans="2:12">
      <c r="B4831" s="50" t="s">
        <v>270</v>
      </c>
      <c r="C4831" s="50" t="s">
        <v>51</v>
      </c>
      <c r="D4831" s="50" t="s">
        <v>41</v>
      </c>
      <c r="E4831" s="50">
        <v>50039065</v>
      </c>
      <c r="F4831" s="50" t="s">
        <v>186</v>
      </c>
      <c r="G4831" s="50">
        <v>1</v>
      </c>
      <c r="H4831" s="50" t="s">
        <v>2</v>
      </c>
      <c r="I4831" s="50" t="s">
        <v>293</v>
      </c>
      <c r="J4831" s="51">
        <v>45951</v>
      </c>
      <c r="K4831" s="50" t="s">
        <v>3</v>
      </c>
      <c r="L4831" s="50" t="s">
        <v>80</v>
      </c>
    </row>
    <row r="4832" spans="2:12">
      <c r="B4832" s="50" t="s">
        <v>270</v>
      </c>
      <c r="C4832" s="50" t="s">
        <v>51</v>
      </c>
      <c r="D4832" s="50" t="s">
        <v>41</v>
      </c>
      <c r="E4832" s="50">
        <v>50039065</v>
      </c>
      <c r="F4832" s="50" t="s">
        <v>186</v>
      </c>
      <c r="G4832" s="50">
        <v>1</v>
      </c>
      <c r="H4832" s="50" t="s">
        <v>2</v>
      </c>
      <c r="I4832" s="50" t="s">
        <v>288</v>
      </c>
      <c r="J4832" s="51">
        <v>45951</v>
      </c>
      <c r="K4832" s="50" t="s">
        <v>1</v>
      </c>
      <c r="L4832" s="50" t="s">
        <v>80</v>
      </c>
    </row>
    <row r="4833" spans="2:12">
      <c r="B4833" s="50" t="s">
        <v>444</v>
      </c>
      <c r="C4833" s="50" t="s">
        <v>51</v>
      </c>
      <c r="D4833" s="50" t="s">
        <v>27</v>
      </c>
      <c r="E4833" s="50">
        <v>50026357</v>
      </c>
      <c r="F4833" s="50" t="s">
        <v>192</v>
      </c>
      <c r="G4833" s="50">
        <v>1</v>
      </c>
      <c r="H4833" s="50" t="s">
        <v>2</v>
      </c>
      <c r="I4833" s="50" t="s">
        <v>293</v>
      </c>
      <c r="J4833" s="51">
        <v>45951</v>
      </c>
      <c r="K4833" s="50" t="s">
        <v>3</v>
      </c>
      <c r="L4833" s="50" t="s">
        <v>80</v>
      </c>
    </row>
    <row r="4834" spans="2:12">
      <c r="B4834" s="50" t="s">
        <v>444</v>
      </c>
      <c r="C4834" s="50" t="s">
        <v>51</v>
      </c>
      <c r="D4834" s="50" t="s">
        <v>27</v>
      </c>
      <c r="E4834" s="50">
        <v>50026357</v>
      </c>
      <c r="F4834" s="50" t="s">
        <v>192</v>
      </c>
      <c r="G4834" s="50">
        <v>1</v>
      </c>
      <c r="H4834" s="50" t="s">
        <v>2</v>
      </c>
      <c r="I4834" s="50" t="s">
        <v>292</v>
      </c>
      <c r="J4834" s="51">
        <v>45951</v>
      </c>
      <c r="K4834" s="50" t="s">
        <v>1</v>
      </c>
      <c r="L4834" s="50" t="s">
        <v>80</v>
      </c>
    </row>
    <row r="4835" spans="2:12">
      <c r="B4835" s="50" t="s">
        <v>482</v>
      </c>
      <c r="C4835" s="50" t="s">
        <v>51</v>
      </c>
      <c r="D4835" s="50" t="s">
        <v>39</v>
      </c>
      <c r="E4835" s="50">
        <v>50041195</v>
      </c>
      <c r="F4835" s="50" t="s">
        <v>206</v>
      </c>
      <c r="G4835" s="50">
        <v>1</v>
      </c>
      <c r="H4835" s="50" t="s">
        <v>2</v>
      </c>
      <c r="I4835" s="50" t="s">
        <v>293</v>
      </c>
      <c r="J4835" s="51">
        <v>45951</v>
      </c>
      <c r="K4835" s="50" t="s">
        <v>3</v>
      </c>
      <c r="L4835" s="50" t="s">
        <v>80</v>
      </c>
    </row>
    <row r="4836" spans="2:12">
      <c r="B4836" s="50" t="s">
        <v>316</v>
      </c>
      <c r="C4836" s="50" t="s">
        <v>51</v>
      </c>
      <c r="D4836" s="50" t="s">
        <v>27</v>
      </c>
      <c r="E4836" s="50">
        <v>50041195</v>
      </c>
      <c r="F4836" s="50" t="s">
        <v>206</v>
      </c>
      <c r="G4836" s="50">
        <v>1</v>
      </c>
      <c r="H4836" s="50" t="s">
        <v>2</v>
      </c>
      <c r="I4836" s="50" t="s">
        <v>288</v>
      </c>
      <c r="J4836" s="51">
        <v>45951</v>
      </c>
      <c r="K4836" s="50" t="s">
        <v>1</v>
      </c>
      <c r="L4836" s="50" t="s">
        <v>80</v>
      </c>
    </row>
    <row r="4837" spans="2:12">
      <c r="B4837" s="50" t="s">
        <v>316</v>
      </c>
      <c r="C4837" s="50" t="s">
        <v>51</v>
      </c>
      <c r="D4837" s="50" t="s">
        <v>27</v>
      </c>
      <c r="E4837" s="50">
        <v>50041195</v>
      </c>
      <c r="F4837" s="50" t="s">
        <v>206</v>
      </c>
      <c r="G4837" s="50">
        <v>1</v>
      </c>
      <c r="H4837" s="50" t="s">
        <v>2</v>
      </c>
      <c r="I4837" s="50" t="s">
        <v>288</v>
      </c>
      <c r="J4837" s="51">
        <v>45951</v>
      </c>
      <c r="K4837" s="50" t="s">
        <v>3</v>
      </c>
      <c r="L4837" s="50" t="s">
        <v>80</v>
      </c>
    </row>
    <row r="4838" spans="2:12">
      <c r="B4838" s="50" t="s">
        <v>481</v>
      </c>
      <c r="C4838" s="50" t="s">
        <v>56</v>
      </c>
      <c r="D4838" s="50" t="s">
        <v>27</v>
      </c>
      <c r="E4838" s="50">
        <v>50043917</v>
      </c>
      <c r="F4838" s="50" t="s">
        <v>262</v>
      </c>
      <c r="G4838" s="50">
        <v>1</v>
      </c>
      <c r="H4838" s="50" t="s">
        <v>2</v>
      </c>
      <c r="I4838" s="50" t="s">
        <v>293</v>
      </c>
      <c r="J4838" s="51">
        <v>45951</v>
      </c>
      <c r="K4838" s="50" t="s">
        <v>1</v>
      </c>
      <c r="L4838" s="50" t="s">
        <v>80</v>
      </c>
    </row>
    <row r="4839" spans="2:12">
      <c r="B4839" s="50" t="s">
        <v>481</v>
      </c>
      <c r="C4839" s="50" t="s">
        <v>56</v>
      </c>
      <c r="D4839" s="50" t="s">
        <v>27</v>
      </c>
      <c r="E4839" s="50">
        <v>50043917</v>
      </c>
      <c r="F4839" s="50" t="s">
        <v>262</v>
      </c>
      <c r="G4839" s="50">
        <v>1</v>
      </c>
      <c r="H4839" s="50" t="s">
        <v>2</v>
      </c>
      <c r="I4839" s="50" t="s">
        <v>293</v>
      </c>
      <c r="J4839" s="51">
        <v>45951</v>
      </c>
      <c r="K4839" s="50" t="s">
        <v>1</v>
      </c>
      <c r="L4839" s="50" t="s">
        <v>80</v>
      </c>
    </row>
    <row r="4840" spans="2:12">
      <c r="B4840" s="50" t="s">
        <v>418</v>
      </c>
      <c r="C4840" s="50" t="s">
        <v>26</v>
      </c>
      <c r="D4840" s="50" t="s">
        <v>27</v>
      </c>
      <c r="E4840" s="50">
        <v>50004486</v>
      </c>
      <c r="F4840" s="50" t="s">
        <v>221</v>
      </c>
      <c r="G4840" s="50">
        <v>1</v>
      </c>
      <c r="H4840" s="50" t="s">
        <v>2</v>
      </c>
      <c r="I4840" s="50" t="s">
        <v>288</v>
      </c>
      <c r="J4840" s="51">
        <v>45951</v>
      </c>
      <c r="K4840" s="50" t="s">
        <v>3</v>
      </c>
      <c r="L4840" s="50" t="s">
        <v>80</v>
      </c>
    </row>
    <row r="4841" spans="2:12">
      <c r="B4841" s="50" t="s">
        <v>418</v>
      </c>
      <c r="C4841" s="50" t="s">
        <v>26</v>
      </c>
      <c r="D4841" s="50" t="s">
        <v>27</v>
      </c>
      <c r="E4841" s="50">
        <v>50004486</v>
      </c>
      <c r="F4841" s="50" t="s">
        <v>221</v>
      </c>
      <c r="G4841" s="50">
        <v>1</v>
      </c>
      <c r="H4841" s="50" t="s">
        <v>2</v>
      </c>
      <c r="I4841" s="50" t="s">
        <v>287</v>
      </c>
      <c r="J4841" s="51">
        <v>45951</v>
      </c>
      <c r="K4841" s="50" t="s">
        <v>1</v>
      </c>
      <c r="L4841" s="50" t="s">
        <v>80</v>
      </c>
    </row>
    <row r="4842" spans="2:12">
      <c r="B4842" s="50" t="s">
        <v>316</v>
      </c>
      <c r="C4842" s="50" t="s">
        <v>51</v>
      </c>
      <c r="D4842" s="50" t="s">
        <v>27</v>
      </c>
      <c r="E4842" s="50">
        <v>50032781</v>
      </c>
      <c r="F4842" s="50" t="s">
        <v>237</v>
      </c>
      <c r="G4842" s="50">
        <v>1</v>
      </c>
      <c r="H4842" s="50" t="s">
        <v>2</v>
      </c>
      <c r="I4842" s="50" t="s">
        <v>289</v>
      </c>
      <c r="J4842" s="51">
        <v>45951</v>
      </c>
      <c r="K4842" s="50" t="s">
        <v>3</v>
      </c>
      <c r="L4842" s="50" t="s">
        <v>80</v>
      </c>
    </row>
    <row r="4843" spans="2:12">
      <c r="B4843" s="50" t="s">
        <v>399</v>
      </c>
      <c r="C4843" s="50" t="s">
        <v>51</v>
      </c>
      <c r="D4843" s="50" t="s">
        <v>27</v>
      </c>
      <c r="E4843" s="50">
        <v>50010031</v>
      </c>
      <c r="F4843" s="50" t="s">
        <v>89</v>
      </c>
      <c r="G4843" s="50">
        <v>1</v>
      </c>
      <c r="H4843" s="50" t="s">
        <v>2</v>
      </c>
      <c r="I4843" s="50" t="s">
        <v>287</v>
      </c>
      <c r="J4843" s="51">
        <v>45950</v>
      </c>
      <c r="K4843" s="50" t="s">
        <v>3</v>
      </c>
      <c r="L4843" s="50" t="s">
        <v>80</v>
      </c>
    </row>
    <row r="4844" spans="2:12">
      <c r="B4844" s="50" t="s">
        <v>399</v>
      </c>
      <c r="C4844" s="50" t="s">
        <v>51</v>
      </c>
      <c r="D4844" s="50" t="s">
        <v>27</v>
      </c>
      <c r="E4844" s="50">
        <v>50010031</v>
      </c>
      <c r="F4844" s="50" t="s">
        <v>89</v>
      </c>
      <c r="G4844" s="50">
        <v>1</v>
      </c>
      <c r="H4844" s="50" t="s">
        <v>2</v>
      </c>
      <c r="I4844" s="50" t="s">
        <v>291</v>
      </c>
      <c r="J4844" s="51">
        <v>45950</v>
      </c>
      <c r="K4844" s="50" t="s">
        <v>1</v>
      </c>
      <c r="L4844" s="50" t="s">
        <v>80</v>
      </c>
    </row>
    <row r="4845" spans="2:12">
      <c r="B4845" s="50" t="s">
        <v>437</v>
      </c>
      <c r="C4845" s="50" t="s">
        <v>51</v>
      </c>
      <c r="D4845" s="50" t="s">
        <v>41</v>
      </c>
      <c r="E4845" s="50">
        <v>50043471</v>
      </c>
      <c r="F4845" s="50" t="s">
        <v>257</v>
      </c>
      <c r="G4845" s="50">
        <v>1</v>
      </c>
      <c r="H4845" s="50" t="s">
        <v>2</v>
      </c>
      <c r="I4845" s="50" t="s">
        <v>287</v>
      </c>
      <c r="J4845" s="51">
        <v>45950</v>
      </c>
      <c r="K4845" s="50" t="s">
        <v>3</v>
      </c>
      <c r="L4845" s="50" t="s">
        <v>80</v>
      </c>
    </row>
    <row r="4846" spans="2:12">
      <c r="B4846" s="50" t="s">
        <v>437</v>
      </c>
      <c r="C4846" s="50" t="s">
        <v>51</v>
      </c>
      <c r="D4846" s="50" t="s">
        <v>41</v>
      </c>
      <c r="E4846" s="50">
        <v>50043471</v>
      </c>
      <c r="F4846" s="50" t="s">
        <v>257</v>
      </c>
      <c r="G4846" s="50">
        <v>1</v>
      </c>
      <c r="H4846" s="50" t="s">
        <v>2</v>
      </c>
      <c r="I4846" s="50" t="s">
        <v>291</v>
      </c>
      <c r="J4846" s="51">
        <v>45950</v>
      </c>
      <c r="K4846" s="50" t="s">
        <v>3</v>
      </c>
      <c r="L4846" s="50" t="s">
        <v>80</v>
      </c>
    </row>
    <row r="4847" spans="2:12">
      <c r="B4847" s="50" t="s">
        <v>434</v>
      </c>
      <c r="C4847" s="50" t="s">
        <v>51</v>
      </c>
      <c r="D4847" s="50" t="s">
        <v>39</v>
      </c>
      <c r="E4847" s="50">
        <v>50037892</v>
      </c>
      <c r="F4847" s="50" t="s">
        <v>178</v>
      </c>
      <c r="G4847" s="50">
        <v>1</v>
      </c>
      <c r="H4847" s="50" t="s">
        <v>2</v>
      </c>
      <c r="I4847" s="50" t="s">
        <v>289</v>
      </c>
      <c r="J4847" s="51">
        <v>45950</v>
      </c>
      <c r="K4847" s="50" t="s">
        <v>1</v>
      </c>
      <c r="L4847" s="50" t="s">
        <v>80</v>
      </c>
    </row>
    <row r="4848" spans="2:12">
      <c r="B4848" s="50" t="s">
        <v>434</v>
      </c>
      <c r="C4848" s="50" t="s">
        <v>51</v>
      </c>
      <c r="D4848" s="50" t="s">
        <v>39</v>
      </c>
      <c r="E4848" s="50">
        <v>50037892</v>
      </c>
      <c r="F4848" s="50" t="s">
        <v>178</v>
      </c>
      <c r="G4848" s="50">
        <v>1</v>
      </c>
      <c r="H4848" s="50" t="s">
        <v>2</v>
      </c>
      <c r="I4848" s="50" t="s">
        <v>289</v>
      </c>
      <c r="J4848" s="51">
        <v>45950</v>
      </c>
      <c r="K4848" s="50" t="s">
        <v>3</v>
      </c>
      <c r="L4848" s="50" t="s">
        <v>80</v>
      </c>
    </row>
    <row r="4849" spans="2:12">
      <c r="B4849" s="50" t="s">
        <v>399</v>
      </c>
      <c r="C4849" s="50" t="s">
        <v>51</v>
      </c>
      <c r="D4849" s="50" t="s">
        <v>27</v>
      </c>
      <c r="E4849" s="50">
        <v>50037892</v>
      </c>
      <c r="F4849" s="50" t="s">
        <v>178</v>
      </c>
      <c r="G4849" s="50">
        <v>1</v>
      </c>
      <c r="H4849" s="50" t="s">
        <v>2</v>
      </c>
      <c r="I4849" s="50" t="s">
        <v>289</v>
      </c>
      <c r="J4849" s="51">
        <v>45950</v>
      </c>
      <c r="K4849" s="50" t="s">
        <v>1</v>
      </c>
      <c r="L4849" s="50" t="s">
        <v>80</v>
      </c>
    </row>
    <row r="4850" spans="2:12">
      <c r="B4850" s="50" t="s">
        <v>399</v>
      </c>
      <c r="C4850" s="50" t="s">
        <v>51</v>
      </c>
      <c r="D4850" s="50" t="s">
        <v>27</v>
      </c>
      <c r="E4850" s="50">
        <v>50037892</v>
      </c>
      <c r="F4850" s="50" t="s">
        <v>178</v>
      </c>
      <c r="G4850" s="50">
        <v>1</v>
      </c>
      <c r="H4850" s="50" t="s">
        <v>2</v>
      </c>
      <c r="I4850" s="50" t="s">
        <v>293</v>
      </c>
      <c r="J4850" s="51">
        <v>45950</v>
      </c>
      <c r="K4850" s="50" t="s">
        <v>3</v>
      </c>
      <c r="L4850" s="50" t="s">
        <v>80</v>
      </c>
    </row>
    <row r="4851" spans="2:12">
      <c r="B4851" s="50" t="s">
        <v>399</v>
      </c>
      <c r="C4851" s="50" t="s">
        <v>51</v>
      </c>
      <c r="D4851" s="50" t="s">
        <v>27</v>
      </c>
      <c r="E4851" s="50">
        <v>50037892</v>
      </c>
      <c r="F4851" s="50" t="s">
        <v>178</v>
      </c>
      <c r="G4851" s="50">
        <v>1</v>
      </c>
      <c r="H4851" s="50" t="s">
        <v>2</v>
      </c>
      <c r="I4851" s="50" t="s">
        <v>287</v>
      </c>
      <c r="J4851" s="51">
        <v>45950</v>
      </c>
      <c r="K4851" s="50" t="s">
        <v>1</v>
      </c>
      <c r="L4851" s="50" t="s">
        <v>80</v>
      </c>
    </row>
    <row r="4852" spans="2:12">
      <c r="B4852" s="50" t="s">
        <v>399</v>
      </c>
      <c r="C4852" s="50" t="s">
        <v>51</v>
      </c>
      <c r="D4852" s="50" t="s">
        <v>27</v>
      </c>
      <c r="E4852" s="50">
        <v>50037892</v>
      </c>
      <c r="F4852" s="50" t="s">
        <v>178</v>
      </c>
      <c r="G4852" s="50">
        <v>1</v>
      </c>
      <c r="H4852" s="50" t="s">
        <v>2</v>
      </c>
      <c r="I4852" s="50" t="s">
        <v>291</v>
      </c>
      <c r="J4852" s="51">
        <v>45950</v>
      </c>
      <c r="K4852" s="50" t="s">
        <v>3</v>
      </c>
      <c r="L4852" s="50" t="s">
        <v>80</v>
      </c>
    </row>
    <row r="4853" spans="2:12">
      <c r="B4853" s="50" t="s">
        <v>316</v>
      </c>
      <c r="C4853" s="50" t="s">
        <v>56</v>
      </c>
      <c r="D4853" s="50" t="s">
        <v>27</v>
      </c>
      <c r="E4853" s="50">
        <v>50038841</v>
      </c>
      <c r="F4853" s="50" t="s">
        <v>180</v>
      </c>
      <c r="G4853" s="50">
        <v>1</v>
      </c>
      <c r="H4853" s="50" t="s">
        <v>2</v>
      </c>
      <c r="I4853" s="50" t="s">
        <v>293</v>
      </c>
      <c r="J4853" s="51">
        <v>45950</v>
      </c>
      <c r="K4853" s="50" t="s">
        <v>3</v>
      </c>
      <c r="L4853" s="50" t="s">
        <v>80</v>
      </c>
    </row>
    <row r="4854" spans="2:12">
      <c r="B4854" s="50" t="s">
        <v>316</v>
      </c>
      <c r="C4854" s="50" t="s">
        <v>56</v>
      </c>
      <c r="D4854" s="50" t="s">
        <v>27</v>
      </c>
      <c r="E4854" s="50">
        <v>50038841</v>
      </c>
      <c r="F4854" s="50" t="s">
        <v>180</v>
      </c>
      <c r="G4854" s="50">
        <v>1</v>
      </c>
      <c r="H4854" s="50" t="s">
        <v>2</v>
      </c>
      <c r="I4854" s="50" t="s">
        <v>293</v>
      </c>
      <c r="J4854" s="51">
        <v>45950</v>
      </c>
      <c r="K4854" s="50" t="s">
        <v>1</v>
      </c>
      <c r="L4854" s="50" t="s">
        <v>80</v>
      </c>
    </row>
    <row r="4855" spans="2:12">
      <c r="B4855" s="50" t="s">
        <v>446</v>
      </c>
      <c r="C4855" s="50" t="s">
        <v>56</v>
      </c>
      <c r="D4855" s="50" t="s">
        <v>27</v>
      </c>
      <c r="E4855" s="50">
        <v>50038841</v>
      </c>
      <c r="F4855" s="50" t="s">
        <v>180</v>
      </c>
      <c r="G4855" s="50">
        <v>1</v>
      </c>
      <c r="H4855" s="50" t="s">
        <v>2</v>
      </c>
      <c r="I4855" s="50" t="s">
        <v>291</v>
      </c>
      <c r="J4855" s="51">
        <v>45950</v>
      </c>
      <c r="K4855" s="50" t="s">
        <v>1</v>
      </c>
      <c r="L4855" s="50" t="s">
        <v>80</v>
      </c>
    </row>
    <row r="4856" spans="2:12">
      <c r="B4856" s="50" t="s">
        <v>316</v>
      </c>
      <c r="C4856" s="50" t="s">
        <v>51</v>
      </c>
      <c r="D4856" s="50" t="s">
        <v>27</v>
      </c>
      <c r="E4856" s="50">
        <v>50038517</v>
      </c>
      <c r="F4856" s="50" t="s">
        <v>181</v>
      </c>
      <c r="G4856" s="50">
        <v>1</v>
      </c>
      <c r="H4856" s="50" t="s">
        <v>2</v>
      </c>
      <c r="I4856" s="50" t="s">
        <v>293</v>
      </c>
      <c r="J4856" s="51">
        <v>45950</v>
      </c>
      <c r="K4856" s="50" t="s">
        <v>3</v>
      </c>
      <c r="L4856" s="50" t="s">
        <v>80</v>
      </c>
    </row>
    <row r="4857" spans="2:12">
      <c r="B4857" s="50" t="s">
        <v>415</v>
      </c>
      <c r="C4857" s="50" t="s">
        <v>51</v>
      </c>
      <c r="D4857" s="50" t="s">
        <v>27</v>
      </c>
      <c r="E4857" s="50">
        <v>50038517</v>
      </c>
      <c r="F4857" s="50" t="s">
        <v>181</v>
      </c>
      <c r="G4857" s="50">
        <v>1</v>
      </c>
      <c r="H4857" s="50" t="s">
        <v>2</v>
      </c>
      <c r="I4857" s="50" t="s">
        <v>293</v>
      </c>
      <c r="J4857" s="51">
        <v>45950</v>
      </c>
      <c r="K4857" s="50" t="s">
        <v>1</v>
      </c>
      <c r="L4857" s="50" t="s">
        <v>80</v>
      </c>
    </row>
    <row r="4858" spans="2:12">
      <c r="B4858" s="50" t="s">
        <v>415</v>
      </c>
      <c r="C4858" s="50" t="s">
        <v>51</v>
      </c>
      <c r="D4858" s="50" t="s">
        <v>27</v>
      </c>
      <c r="E4858" s="50">
        <v>50038517</v>
      </c>
      <c r="F4858" s="50" t="s">
        <v>181</v>
      </c>
      <c r="G4858" s="50">
        <v>1</v>
      </c>
      <c r="H4858" s="50" t="s">
        <v>2</v>
      </c>
      <c r="I4858" s="50" t="s">
        <v>291</v>
      </c>
      <c r="J4858" s="51">
        <v>45950</v>
      </c>
      <c r="K4858" s="50" t="s">
        <v>1</v>
      </c>
      <c r="L4858" s="50" t="s">
        <v>80</v>
      </c>
    </row>
    <row r="4859" spans="2:12">
      <c r="B4859" s="50" t="s">
        <v>407</v>
      </c>
      <c r="C4859" s="50" t="s">
        <v>26</v>
      </c>
      <c r="D4859" s="50" t="s">
        <v>27</v>
      </c>
      <c r="E4859" s="50">
        <v>50001995</v>
      </c>
      <c r="F4859" s="50" t="s">
        <v>185</v>
      </c>
      <c r="G4859" s="50">
        <v>1</v>
      </c>
      <c r="H4859" s="50" t="s">
        <v>2</v>
      </c>
      <c r="I4859" s="50" t="s">
        <v>293</v>
      </c>
      <c r="J4859" s="51">
        <v>45950</v>
      </c>
      <c r="K4859" s="59" t="s">
        <v>3</v>
      </c>
      <c r="L4859" s="50" t="s">
        <v>80</v>
      </c>
    </row>
    <row r="4860" spans="2:12">
      <c r="B4860" s="50" t="s">
        <v>407</v>
      </c>
      <c r="C4860" s="50" t="s">
        <v>26</v>
      </c>
      <c r="D4860" s="50" t="s">
        <v>27</v>
      </c>
      <c r="E4860" s="50">
        <v>50001995</v>
      </c>
      <c r="F4860" s="50" t="s">
        <v>185</v>
      </c>
      <c r="G4860" s="50">
        <v>1</v>
      </c>
      <c r="H4860" s="50" t="s">
        <v>2</v>
      </c>
      <c r="I4860" s="50" t="s">
        <v>293</v>
      </c>
      <c r="J4860" s="51">
        <v>45950</v>
      </c>
      <c r="K4860" s="59" t="s">
        <v>1</v>
      </c>
      <c r="L4860" s="50" t="s">
        <v>80</v>
      </c>
    </row>
    <row r="4861" spans="2:12">
      <c r="B4861" s="50" t="s">
        <v>402</v>
      </c>
      <c r="C4861" s="58" t="s">
        <v>26</v>
      </c>
      <c r="D4861" s="58" t="s">
        <v>36</v>
      </c>
      <c r="E4861" s="50">
        <v>50001995</v>
      </c>
      <c r="F4861" s="50" t="s">
        <v>185</v>
      </c>
      <c r="G4861" s="58">
        <v>1</v>
      </c>
      <c r="H4861" s="59" t="s">
        <v>2</v>
      </c>
      <c r="I4861" s="59" t="s">
        <v>313</v>
      </c>
      <c r="J4861" s="60">
        <v>45950</v>
      </c>
      <c r="K4861" s="50" t="s">
        <v>3</v>
      </c>
      <c r="L4861" s="50" t="s">
        <v>80</v>
      </c>
    </row>
    <row r="4862" spans="2:12">
      <c r="B4862" s="50" t="s">
        <v>402</v>
      </c>
      <c r="C4862" s="58" t="s">
        <v>26</v>
      </c>
      <c r="D4862" s="58" t="s">
        <v>36</v>
      </c>
      <c r="E4862" s="50">
        <v>50001995</v>
      </c>
      <c r="F4862" s="50" t="s">
        <v>185</v>
      </c>
      <c r="G4862" s="58">
        <v>1</v>
      </c>
      <c r="H4862" s="59" t="s">
        <v>2</v>
      </c>
      <c r="I4862" s="59" t="s">
        <v>313</v>
      </c>
      <c r="J4862" s="60">
        <v>45950</v>
      </c>
      <c r="K4862" s="50" t="s">
        <v>1</v>
      </c>
      <c r="L4862" s="50" t="s">
        <v>80</v>
      </c>
    </row>
    <row r="4863" spans="2:12">
      <c r="B4863" s="50" t="s">
        <v>463</v>
      </c>
      <c r="C4863" s="50" t="s">
        <v>56</v>
      </c>
      <c r="D4863" s="50" t="s">
        <v>27</v>
      </c>
      <c r="E4863" s="50">
        <v>50026357</v>
      </c>
      <c r="F4863" s="50" t="s">
        <v>192</v>
      </c>
      <c r="G4863" s="50">
        <v>1</v>
      </c>
      <c r="H4863" s="50" t="s">
        <v>2</v>
      </c>
      <c r="I4863" s="50" t="s">
        <v>293</v>
      </c>
      <c r="J4863" s="51">
        <v>45950</v>
      </c>
      <c r="K4863" s="50" t="s">
        <v>3</v>
      </c>
      <c r="L4863" s="50" t="s">
        <v>80</v>
      </c>
    </row>
    <row r="4864" spans="2:12">
      <c r="B4864" s="50" t="s">
        <v>463</v>
      </c>
      <c r="C4864" s="50" t="s">
        <v>56</v>
      </c>
      <c r="D4864" s="50" t="s">
        <v>27</v>
      </c>
      <c r="E4864" s="50">
        <v>50026357</v>
      </c>
      <c r="F4864" s="50" t="s">
        <v>192</v>
      </c>
      <c r="G4864" s="50">
        <v>1</v>
      </c>
      <c r="H4864" s="50" t="s">
        <v>2</v>
      </c>
      <c r="I4864" s="50" t="s">
        <v>291</v>
      </c>
      <c r="J4864" s="51">
        <v>45950</v>
      </c>
      <c r="K4864" s="50" t="s">
        <v>3</v>
      </c>
      <c r="L4864" s="50" t="s">
        <v>80</v>
      </c>
    </row>
    <row r="4865" spans="2:12">
      <c r="B4865" s="50" t="s">
        <v>345</v>
      </c>
      <c r="C4865" s="50" t="s">
        <v>62</v>
      </c>
      <c r="D4865" s="50" t="s">
        <v>27</v>
      </c>
      <c r="E4865" s="50">
        <v>50041195</v>
      </c>
      <c r="F4865" s="50" t="s">
        <v>206</v>
      </c>
      <c r="G4865" s="50">
        <v>1</v>
      </c>
      <c r="H4865" s="50" t="s">
        <v>2</v>
      </c>
      <c r="I4865" s="50" t="s">
        <v>293</v>
      </c>
      <c r="J4865" s="51">
        <v>45950</v>
      </c>
      <c r="K4865" s="59" t="s">
        <v>3</v>
      </c>
      <c r="L4865" s="50" t="s">
        <v>80</v>
      </c>
    </row>
    <row r="4866" spans="2:12">
      <c r="B4866" s="50" t="s">
        <v>345</v>
      </c>
      <c r="C4866" s="50" t="s">
        <v>62</v>
      </c>
      <c r="D4866" s="50" t="s">
        <v>27</v>
      </c>
      <c r="E4866" s="50">
        <v>50041195</v>
      </c>
      <c r="F4866" s="50" t="s">
        <v>206</v>
      </c>
      <c r="G4866" s="50">
        <v>1</v>
      </c>
      <c r="H4866" s="50" t="s">
        <v>2</v>
      </c>
      <c r="I4866" s="50" t="s">
        <v>291</v>
      </c>
      <c r="J4866" s="51">
        <v>45950</v>
      </c>
      <c r="K4866" s="59" t="s">
        <v>1</v>
      </c>
      <c r="L4866" s="50" t="s">
        <v>80</v>
      </c>
    </row>
    <row r="4867" spans="2:12">
      <c r="B4867" s="50" t="s">
        <v>402</v>
      </c>
      <c r="C4867" s="58" t="s">
        <v>26</v>
      </c>
      <c r="D4867" s="58" t="s">
        <v>36</v>
      </c>
      <c r="E4867" s="50">
        <v>50041195</v>
      </c>
      <c r="F4867" s="50" t="s">
        <v>206</v>
      </c>
      <c r="G4867" s="58">
        <v>1</v>
      </c>
      <c r="H4867" s="59" t="s">
        <v>2</v>
      </c>
      <c r="I4867" s="59" t="s">
        <v>313</v>
      </c>
      <c r="J4867" s="60">
        <v>45950</v>
      </c>
      <c r="K4867" s="50" t="s">
        <v>1</v>
      </c>
      <c r="L4867" s="50" t="s">
        <v>80</v>
      </c>
    </row>
    <row r="4868" spans="2:12">
      <c r="B4868" s="50" t="s">
        <v>402</v>
      </c>
      <c r="C4868" s="58" t="s">
        <v>26</v>
      </c>
      <c r="D4868" s="58" t="s">
        <v>36</v>
      </c>
      <c r="E4868" s="50">
        <v>50041195</v>
      </c>
      <c r="F4868" s="50" t="s">
        <v>206</v>
      </c>
      <c r="G4868" s="58">
        <v>1</v>
      </c>
      <c r="H4868" s="59" t="s">
        <v>2</v>
      </c>
      <c r="I4868" s="59" t="s">
        <v>313</v>
      </c>
      <c r="J4868" s="60">
        <v>45950</v>
      </c>
      <c r="K4868" s="50" t="s">
        <v>3</v>
      </c>
      <c r="L4868" s="50" t="s">
        <v>80</v>
      </c>
    </row>
    <row r="4869" spans="2:12">
      <c r="B4869" s="50" t="s">
        <v>463</v>
      </c>
      <c r="C4869" s="50" t="s">
        <v>56</v>
      </c>
      <c r="D4869" s="50" t="s">
        <v>27</v>
      </c>
      <c r="E4869" s="50">
        <v>50043917</v>
      </c>
      <c r="F4869" s="50" t="s">
        <v>262</v>
      </c>
      <c r="G4869" s="50">
        <v>1</v>
      </c>
      <c r="H4869" s="50" t="s">
        <v>2</v>
      </c>
      <c r="I4869" s="50" t="s">
        <v>293</v>
      </c>
      <c r="J4869" s="51">
        <v>45950</v>
      </c>
      <c r="K4869" s="50" t="s">
        <v>3</v>
      </c>
      <c r="L4869" s="50" t="s">
        <v>80</v>
      </c>
    </row>
    <row r="4870" spans="2:12">
      <c r="B4870" s="50" t="s">
        <v>463</v>
      </c>
      <c r="C4870" s="50" t="s">
        <v>56</v>
      </c>
      <c r="D4870" s="50" t="s">
        <v>27</v>
      </c>
      <c r="E4870" s="50">
        <v>50043917</v>
      </c>
      <c r="F4870" s="50" t="s">
        <v>262</v>
      </c>
      <c r="G4870" s="50">
        <v>1</v>
      </c>
      <c r="H4870" s="50" t="s">
        <v>2</v>
      </c>
      <c r="I4870" s="50" t="s">
        <v>291</v>
      </c>
      <c r="J4870" s="51">
        <v>45950</v>
      </c>
      <c r="K4870" s="50" t="s">
        <v>3</v>
      </c>
      <c r="L4870" s="50" t="s">
        <v>80</v>
      </c>
    </row>
    <row r="4871" spans="2:12">
      <c r="B4871" s="50" t="s">
        <v>316</v>
      </c>
      <c r="C4871" s="50" t="s">
        <v>51</v>
      </c>
      <c r="D4871" s="50" t="s">
        <v>27</v>
      </c>
      <c r="E4871" s="50">
        <v>50032781</v>
      </c>
      <c r="F4871" s="50" t="s">
        <v>237</v>
      </c>
      <c r="G4871" s="50">
        <v>1</v>
      </c>
      <c r="H4871" s="50" t="s">
        <v>2</v>
      </c>
      <c r="I4871" s="50" t="s">
        <v>293</v>
      </c>
      <c r="J4871" s="51">
        <v>45950</v>
      </c>
      <c r="K4871" s="50" t="s">
        <v>1</v>
      </c>
      <c r="L4871" s="50" t="s">
        <v>80</v>
      </c>
    </row>
    <row r="4872" spans="2:12">
      <c r="B4872" s="50" t="s">
        <v>316</v>
      </c>
      <c r="C4872" s="50" t="s">
        <v>51</v>
      </c>
      <c r="D4872" s="50" t="s">
        <v>27</v>
      </c>
      <c r="E4872" s="50">
        <v>50038618</v>
      </c>
      <c r="F4872" s="50" t="s">
        <v>241</v>
      </c>
      <c r="G4872" s="50">
        <v>1</v>
      </c>
      <c r="H4872" s="50" t="s">
        <v>2</v>
      </c>
      <c r="I4872" s="50" t="s">
        <v>293</v>
      </c>
      <c r="J4872" s="51">
        <v>45950</v>
      </c>
      <c r="K4872" s="59" t="s">
        <v>3</v>
      </c>
      <c r="L4872" s="50" t="s">
        <v>80</v>
      </c>
    </row>
    <row r="4873" spans="2:12">
      <c r="B4873" s="50" t="s">
        <v>316</v>
      </c>
      <c r="C4873" s="50" t="s">
        <v>51</v>
      </c>
      <c r="D4873" s="50" t="s">
        <v>27</v>
      </c>
      <c r="E4873" s="50">
        <v>50038618</v>
      </c>
      <c r="F4873" s="50" t="s">
        <v>241</v>
      </c>
      <c r="G4873" s="50">
        <v>1</v>
      </c>
      <c r="H4873" s="50" t="s">
        <v>2</v>
      </c>
      <c r="I4873" s="50" t="s">
        <v>293</v>
      </c>
      <c r="J4873" s="51">
        <v>45950</v>
      </c>
      <c r="K4873" s="59" t="s">
        <v>1</v>
      </c>
      <c r="L4873" s="50" t="s">
        <v>80</v>
      </c>
    </row>
    <row r="4874" spans="2:12">
      <c r="B4874" s="50" t="e">
        <v>#N/A</v>
      </c>
      <c r="C4874" s="58" t="s">
        <v>26</v>
      </c>
      <c r="D4874" s="58" t="s">
        <v>27</v>
      </c>
      <c r="E4874" s="50">
        <v>50037892</v>
      </c>
      <c r="F4874" s="50" t="s">
        <v>178</v>
      </c>
      <c r="G4874" s="58">
        <v>1</v>
      </c>
      <c r="H4874" s="59" t="s">
        <v>2</v>
      </c>
      <c r="I4874" s="59" t="s">
        <v>310</v>
      </c>
      <c r="J4874" s="60">
        <v>45949</v>
      </c>
      <c r="K4874" s="59" t="s">
        <v>3</v>
      </c>
      <c r="L4874" s="50" t="s">
        <v>80</v>
      </c>
    </row>
    <row r="4875" spans="2:12">
      <c r="B4875" s="50" t="e">
        <v>#N/A</v>
      </c>
      <c r="C4875" s="58" t="s">
        <v>26</v>
      </c>
      <c r="D4875" s="58" t="s">
        <v>27</v>
      </c>
      <c r="E4875" s="50">
        <v>50037892</v>
      </c>
      <c r="F4875" s="50" t="s">
        <v>178</v>
      </c>
      <c r="G4875" s="58">
        <v>1</v>
      </c>
      <c r="H4875" s="59" t="s">
        <v>2</v>
      </c>
      <c r="I4875" s="59" t="s">
        <v>310</v>
      </c>
      <c r="J4875" s="60">
        <v>45949</v>
      </c>
      <c r="K4875" s="59" t="s">
        <v>1</v>
      </c>
      <c r="L4875" s="50" t="s">
        <v>80</v>
      </c>
    </row>
    <row r="4876" spans="2:12">
      <c r="B4876" s="50" t="s">
        <v>401</v>
      </c>
      <c r="C4876" s="58" t="s">
        <v>26</v>
      </c>
      <c r="D4876" s="58" t="s">
        <v>36</v>
      </c>
      <c r="E4876" s="50">
        <v>50043917</v>
      </c>
      <c r="F4876" s="50" t="str">
        <f>IFERROR(VLOOKUP(E4876,'BD MOVIMENTAÇÃO'!A:G,3,FALSE),"Não encontrado")</f>
        <v>PARAFUSADEIRA FURADEIRA BOSCH</v>
      </c>
      <c r="G4876" s="58">
        <v>1</v>
      </c>
      <c r="H4876" s="59" t="s">
        <v>2</v>
      </c>
      <c r="I4876" s="59" t="s">
        <v>313</v>
      </c>
      <c r="J4876" s="60">
        <v>45949</v>
      </c>
      <c r="K4876" s="50" t="s">
        <v>1</v>
      </c>
      <c r="L4876" s="50" t="s">
        <v>80</v>
      </c>
    </row>
    <row r="4877" spans="2:12">
      <c r="B4877" s="50" t="s">
        <v>401</v>
      </c>
      <c r="C4877" s="58" t="s">
        <v>26</v>
      </c>
      <c r="D4877" s="58" t="s">
        <v>36</v>
      </c>
      <c r="E4877" s="50">
        <v>50043917</v>
      </c>
      <c r="F4877" s="50" t="str">
        <f>IFERROR(VLOOKUP(E4877,'BD MOVIMENTAÇÃO'!A:G,3,FALSE),"Não encontrado")</f>
        <v>PARAFUSADEIRA FURADEIRA BOSCH</v>
      </c>
      <c r="G4877" s="58">
        <v>1</v>
      </c>
      <c r="H4877" s="59" t="s">
        <v>2</v>
      </c>
      <c r="I4877" s="59" t="s">
        <v>313</v>
      </c>
      <c r="J4877" s="60">
        <v>45949</v>
      </c>
      <c r="K4877" s="50" t="s">
        <v>1</v>
      </c>
      <c r="L4877" s="50" t="s">
        <v>80</v>
      </c>
    </row>
    <row r="4878" spans="2:12">
      <c r="B4878" s="50" t="s">
        <v>387</v>
      </c>
      <c r="C4878" s="50" t="s">
        <v>56</v>
      </c>
      <c r="D4878" s="50" t="s">
        <v>27</v>
      </c>
      <c r="E4878" s="50">
        <v>50039236</v>
      </c>
      <c r="F4878" s="50" t="s">
        <v>154</v>
      </c>
      <c r="G4878" s="50">
        <v>1</v>
      </c>
      <c r="H4878" s="50" t="s">
        <v>2</v>
      </c>
      <c r="I4878" s="50" t="s">
        <v>290</v>
      </c>
      <c r="J4878" s="51">
        <v>45948</v>
      </c>
      <c r="K4878" s="50" t="s">
        <v>3</v>
      </c>
      <c r="L4878" s="50" t="s">
        <v>80</v>
      </c>
    </row>
    <row r="4879" spans="2:12">
      <c r="B4879" s="50" t="s">
        <v>387</v>
      </c>
      <c r="C4879" s="50" t="s">
        <v>56</v>
      </c>
      <c r="D4879" s="50" t="s">
        <v>27</v>
      </c>
      <c r="E4879" s="50">
        <v>50039236</v>
      </c>
      <c r="F4879" s="50" t="s">
        <v>154</v>
      </c>
      <c r="G4879" s="50">
        <v>1</v>
      </c>
      <c r="H4879" s="50" t="s">
        <v>2</v>
      </c>
      <c r="I4879" s="50" t="s">
        <v>290</v>
      </c>
      <c r="J4879" s="51">
        <v>45948</v>
      </c>
      <c r="K4879" s="50" t="s">
        <v>1</v>
      </c>
      <c r="L4879" s="50" t="s">
        <v>80</v>
      </c>
    </row>
    <row r="4880" spans="2:12">
      <c r="B4880" s="50" t="s">
        <v>387</v>
      </c>
      <c r="C4880" s="50" t="s">
        <v>56</v>
      </c>
      <c r="D4880" s="50" t="s">
        <v>27</v>
      </c>
      <c r="E4880" s="50">
        <v>50043320</v>
      </c>
      <c r="F4880" s="50" t="s">
        <v>264</v>
      </c>
      <c r="G4880" s="50">
        <v>1</v>
      </c>
      <c r="H4880" s="50" t="s">
        <v>2</v>
      </c>
      <c r="I4880" s="50" t="s">
        <v>290</v>
      </c>
      <c r="J4880" s="51">
        <v>45948</v>
      </c>
      <c r="K4880" s="59" t="s">
        <v>3</v>
      </c>
      <c r="L4880" s="50" t="s">
        <v>80</v>
      </c>
    </row>
    <row r="4881" spans="2:12">
      <c r="B4881" s="50" t="s">
        <v>387</v>
      </c>
      <c r="C4881" s="50" t="s">
        <v>56</v>
      </c>
      <c r="D4881" s="50" t="s">
        <v>27</v>
      </c>
      <c r="E4881" s="50">
        <v>50043320</v>
      </c>
      <c r="F4881" s="50" t="s">
        <v>264</v>
      </c>
      <c r="G4881" s="50">
        <v>1</v>
      </c>
      <c r="H4881" s="50" t="s">
        <v>2</v>
      </c>
      <c r="I4881" s="50" t="s">
        <v>290</v>
      </c>
      <c r="J4881" s="51">
        <v>45948</v>
      </c>
      <c r="K4881" s="59" t="s">
        <v>1</v>
      </c>
      <c r="L4881" s="50" t="s">
        <v>80</v>
      </c>
    </row>
    <row r="4882" spans="2:12">
      <c r="B4882" s="50" t="s">
        <v>432</v>
      </c>
      <c r="C4882" s="50" t="s">
        <v>26</v>
      </c>
      <c r="D4882" s="58" t="s">
        <v>36</v>
      </c>
      <c r="E4882" s="50">
        <v>50038841</v>
      </c>
      <c r="F4882" s="50" t="s">
        <v>180</v>
      </c>
      <c r="G4882" s="58">
        <v>1</v>
      </c>
      <c r="H4882" s="59" t="s">
        <v>2</v>
      </c>
      <c r="I4882" s="59" t="s">
        <v>310</v>
      </c>
      <c r="J4882" s="60">
        <v>45948</v>
      </c>
      <c r="K4882" s="59" t="s">
        <v>3</v>
      </c>
      <c r="L4882" s="50" t="s">
        <v>80</v>
      </c>
    </row>
    <row r="4883" spans="2:12">
      <c r="B4883" s="50" t="s">
        <v>432</v>
      </c>
      <c r="C4883" s="50" t="s">
        <v>26</v>
      </c>
      <c r="D4883" s="58" t="s">
        <v>36</v>
      </c>
      <c r="E4883" s="50">
        <v>50038841</v>
      </c>
      <c r="F4883" s="50" t="s">
        <v>180</v>
      </c>
      <c r="G4883" s="58">
        <v>1</v>
      </c>
      <c r="H4883" s="59" t="s">
        <v>2</v>
      </c>
      <c r="I4883" s="59" t="s">
        <v>310</v>
      </c>
      <c r="J4883" s="60">
        <v>45948</v>
      </c>
      <c r="K4883" s="59" t="s">
        <v>1</v>
      </c>
      <c r="L4883" s="50" t="s">
        <v>80</v>
      </c>
    </row>
    <row r="4884" spans="2:12">
      <c r="B4884" s="50" t="s">
        <v>467</v>
      </c>
      <c r="C4884" s="58" t="s">
        <v>51</v>
      </c>
      <c r="D4884" s="58" t="s">
        <v>39</v>
      </c>
      <c r="E4884" s="50">
        <v>50001995</v>
      </c>
      <c r="F4884" s="50" t="s">
        <v>185</v>
      </c>
      <c r="G4884" s="58">
        <v>1</v>
      </c>
      <c r="H4884" s="59" t="s">
        <v>2</v>
      </c>
      <c r="I4884" s="59" t="s">
        <v>316</v>
      </c>
      <c r="J4884" s="60">
        <v>45948</v>
      </c>
      <c r="K4884" s="50" t="s">
        <v>3</v>
      </c>
      <c r="L4884" s="50" t="s">
        <v>80</v>
      </c>
    </row>
    <row r="4885" spans="2:12">
      <c r="B4885" s="50" t="s">
        <v>467</v>
      </c>
      <c r="C4885" s="58" t="s">
        <v>51</v>
      </c>
      <c r="D4885" s="58" t="s">
        <v>39</v>
      </c>
      <c r="E4885" s="50">
        <v>50001995</v>
      </c>
      <c r="F4885" s="50" t="s">
        <v>185</v>
      </c>
      <c r="G4885" s="58">
        <v>1</v>
      </c>
      <c r="H4885" s="59" t="s">
        <v>2</v>
      </c>
      <c r="I4885" s="59" t="s">
        <v>316</v>
      </c>
      <c r="J4885" s="60">
        <v>45948</v>
      </c>
      <c r="K4885" s="59" t="s">
        <v>1</v>
      </c>
      <c r="L4885" s="50" t="s">
        <v>80</v>
      </c>
    </row>
    <row r="4886" spans="2:12">
      <c r="B4886" s="50" t="s">
        <v>387</v>
      </c>
      <c r="C4886" s="58" t="s">
        <v>56</v>
      </c>
      <c r="D4886" s="50" t="s">
        <v>27</v>
      </c>
      <c r="E4886" s="50">
        <v>50041195</v>
      </c>
      <c r="F4886" s="50" t="s">
        <v>206</v>
      </c>
      <c r="G4886" s="58">
        <v>1</v>
      </c>
      <c r="H4886" s="59" t="s">
        <v>2</v>
      </c>
      <c r="I4886" s="59" t="s">
        <v>310</v>
      </c>
      <c r="J4886" s="60">
        <v>45948</v>
      </c>
      <c r="K4886" s="50" t="s">
        <v>1</v>
      </c>
      <c r="L4886" s="50" t="s">
        <v>80</v>
      </c>
    </row>
    <row r="4887" spans="2:12">
      <c r="B4887" s="50" t="s">
        <v>387</v>
      </c>
      <c r="C4887" s="58" t="s">
        <v>56</v>
      </c>
      <c r="D4887" s="50" t="s">
        <v>27</v>
      </c>
      <c r="E4887" s="50">
        <v>50041195</v>
      </c>
      <c r="F4887" s="50" t="s">
        <v>206</v>
      </c>
      <c r="G4887" s="58">
        <v>1</v>
      </c>
      <c r="H4887" s="59" t="s">
        <v>2</v>
      </c>
      <c r="I4887" s="59" t="s">
        <v>310</v>
      </c>
      <c r="J4887" s="60">
        <v>45948</v>
      </c>
      <c r="K4887" s="50" t="s">
        <v>3</v>
      </c>
      <c r="L4887" s="50" t="s">
        <v>80</v>
      </c>
    </row>
    <row r="4888" spans="2:12">
      <c r="B4888" s="50" t="s">
        <v>445</v>
      </c>
      <c r="C4888" s="50" t="s">
        <v>51</v>
      </c>
      <c r="D4888" s="50" t="s">
        <v>41</v>
      </c>
      <c r="E4888" s="50">
        <v>50043917</v>
      </c>
      <c r="F4888" s="50" t="s">
        <v>262</v>
      </c>
      <c r="G4888" s="50">
        <v>1</v>
      </c>
      <c r="H4888" s="50" t="s">
        <v>2</v>
      </c>
      <c r="I4888" s="50" t="s">
        <v>290</v>
      </c>
      <c r="J4888" s="51">
        <v>45948</v>
      </c>
      <c r="K4888" s="50" t="s">
        <v>1</v>
      </c>
      <c r="L4888" s="50" t="s">
        <v>80</v>
      </c>
    </row>
    <row r="4889" spans="2:12">
      <c r="B4889" s="50" t="s">
        <v>445</v>
      </c>
      <c r="C4889" s="50" t="s">
        <v>51</v>
      </c>
      <c r="D4889" s="50" t="s">
        <v>41</v>
      </c>
      <c r="E4889" s="50">
        <v>50043917</v>
      </c>
      <c r="F4889" s="50" t="s">
        <v>262</v>
      </c>
      <c r="G4889" s="50">
        <v>1</v>
      </c>
      <c r="H4889" s="50" t="s">
        <v>2</v>
      </c>
      <c r="I4889" s="50" t="s">
        <v>290</v>
      </c>
      <c r="J4889" s="51">
        <v>45948</v>
      </c>
      <c r="K4889" s="50" t="s">
        <v>1</v>
      </c>
      <c r="L4889" s="50" t="s">
        <v>80</v>
      </c>
    </row>
    <row r="4890" spans="2:12">
      <c r="B4890" s="50" t="s">
        <v>455</v>
      </c>
      <c r="C4890" s="50" t="s">
        <v>56</v>
      </c>
      <c r="D4890" s="50" t="s">
        <v>41</v>
      </c>
      <c r="E4890" s="50">
        <v>50036296</v>
      </c>
      <c r="F4890" s="50" t="s">
        <v>109</v>
      </c>
      <c r="G4890" s="50">
        <v>1</v>
      </c>
      <c r="H4890" s="50" t="s">
        <v>2</v>
      </c>
      <c r="I4890" s="50" t="s">
        <v>293</v>
      </c>
      <c r="J4890" s="51">
        <v>45947</v>
      </c>
      <c r="K4890" s="50" t="s">
        <v>3</v>
      </c>
      <c r="L4890" s="50" t="s">
        <v>80</v>
      </c>
    </row>
    <row r="4891" spans="2:12">
      <c r="B4891" s="50" t="s">
        <v>455</v>
      </c>
      <c r="C4891" s="50" t="s">
        <v>56</v>
      </c>
      <c r="D4891" s="50" t="s">
        <v>41</v>
      </c>
      <c r="E4891" s="50">
        <v>50036296</v>
      </c>
      <c r="F4891" s="50" t="s">
        <v>109</v>
      </c>
      <c r="G4891" s="50">
        <v>1</v>
      </c>
      <c r="H4891" s="50" t="s">
        <v>2</v>
      </c>
      <c r="I4891" s="50" t="s">
        <v>288</v>
      </c>
      <c r="J4891" s="51">
        <v>45947</v>
      </c>
      <c r="K4891" s="50" t="s">
        <v>1</v>
      </c>
      <c r="L4891" s="50" t="s">
        <v>80</v>
      </c>
    </row>
    <row r="4892" spans="2:12">
      <c r="B4892" s="50" t="s">
        <v>481</v>
      </c>
      <c r="C4892" s="50" t="s">
        <v>26</v>
      </c>
      <c r="D4892" s="50" t="s">
        <v>27</v>
      </c>
      <c r="E4892" s="50">
        <v>50012576</v>
      </c>
      <c r="F4892" s="50" t="s">
        <v>304</v>
      </c>
      <c r="G4892" s="50">
        <v>1</v>
      </c>
      <c r="H4892" s="50" t="s">
        <v>2</v>
      </c>
      <c r="I4892" s="50" t="s">
        <v>293</v>
      </c>
      <c r="J4892" s="51">
        <v>45947</v>
      </c>
      <c r="K4892" s="50" t="s">
        <v>3</v>
      </c>
      <c r="L4892" s="50" t="s">
        <v>80</v>
      </c>
    </row>
    <row r="4893" spans="2:12">
      <c r="B4893" s="50" t="s">
        <v>481</v>
      </c>
      <c r="C4893" s="50" t="s">
        <v>26</v>
      </c>
      <c r="D4893" s="50" t="s">
        <v>27</v>
      </c>
      <c r="E4893" s="50">
        <v>50012576</v>
      </c>
      <c r="F4893" s="50" t="s">
        <v>304</v>
      </c>
      <c r="G4893" s="50">
        <v>1</v>
      </c>
      <c r="H4893" s="50" t="s">
        <v>2</v>
      </c>
      <c r="I4893" s="50" t="s">
        <v>293</v>
      </c>
      <c r="J4893" s="51">
        <v>45947</v>
      </c>
      <c r="K4893" s="50" t="s">
        <v>1</v>
      </c>
      <c r="L4893" s="50" t="s">
        <v>80</v>
      </c>
    </row>
    <row r="4894" spans="2:12">
      <c r="B4894" s="50" t="s">
        <v>430</v>
      </c>
      <c r="C4894" s="50" t="s">
        <v>61</v>
      </c>
      <c r="D4894" s="50" t="s">
        <v>39</v>
      </c>
      <c r="E4894" s="50">
        <v>50039236</v>
      </c>
      <c r="F4894" s="50" t="s">
        <v>154</v>
      </c>
      <c r="G4894" s="50">
        <v>1</v>
      </c>
      <c r="H4894" s="50" t="s">
        <v>2</v>
      </c>
      <c r="I4894" s="50" t="s">
        <v>289</v>
      </c>
      <c r="J4894" s="51">
        <v>45947</v>
      </c>
      <c r="K4894" s="50" t="s">
        <v>3</v>
      </c>
      <c r="L4894" s="50" t="s">
        <v>80</v>
      </c>
    </row>
    <row r="4895" spans="2:12">
      <c r="B4895" s="50" t="s">
        <v>430</v>
      </c>
      <c r="C4895" s="50" t="s">
        <v>61</v>
      </c>
      <c r="D4895" s="50" t="s">
        <v>39</v>
      </c>
      <c r="E4895" s="50">
        <v>50039236</v>
      </c>
      <c r="F4895" s="50" t="s">
        <v>154</v>
      </c>
      <c r="G4895" s="50">
        <v>1</v>
      </c>
      <c r="H4895" s="50" t="s">
        <v>2</v>
      </c>
      <c r="I4895" s="50" t="s">
        <v>292</v>
      </c>
      <c r="J4895" s="51">
        <v>45947</v>
      </c>
      <c r="K4895" s="50" t="s">
        <v>1</v>
      </c>
      <c r="L4895" s="50" t="s">
        <v>80</v>
      </c>
    </row>
    <row r="4896" spans="2:12">
      <c r="B4896" s="50" t="s">
        <v>316</v>
      </c>
      <c r="C4896" s="50" t="s">
        <v>51</v>
      </c>
      <c r="D4896" s="50" t="s">
        <v>27</v>
      </c>
      <c r="E4896" s="50">
        <v>50043471</v>
      </c>
      <c r="F4896" s="50" t="s">
        <v>257</v>
      </c>
      <c r="G4896" s="50">
        <v>1</v>
      </c>
      <c r="H4896" s="50" t="s">
        <v>2</v>
      </c>
      <c r="I4896" s="50" t="s">
        <v>293</v>
      </c>
      <c r="J4896" s="51">
        <v>45947</v>
      </c>
      <c r="K4896" s="50" t="s">
        <v>3</v>
      </c>
      <c r="L4896" s="50" t="s">
        <v>80</v>
      </c>
    </row>
    <row r="4897" spans="2:12">
      <c r="B4897" s="50" t="s">
        <v>474</v>
      </c>
      <c r="C4897" s="50" t="s">
        <v>51</v>
      </c>
      <c r="D4897" s="50" t="s">
        <v>27</v>
      </c>
      <c r="E4897" s="50">
        <v>50043471</v>
      </c>
      <c r="F4897" s="50" t="s">
        <v>257</v>
      </c>
      <c r="G4897" s="50">
        <v>1</v>
      </c>
      <c r="H4897" s="50" t="s">
        <v>2</v>
      </c>
      <c r="I4897" s="50" t="s">
        <v>291</v>
      </c>
      <c r="J4897" s="51">
        <v>45947</v>
      </c>
      <c r="K4897" s="50" t="s">
        <v>1</v>
      </c>
      <c r="L4897" s="50" t="s">
        <v>80</v>
      </c>
    </row>
    <row r="4898" spans="2:12">
      <c r="B4898" s="50" t="s">
        <v>444</v>
      </c>
      <c r="C4898" s="50" t="s">
        <v>51</v>
      </c>
      <c r="D4898" s="50" t="s">
        <v>27</v>
      </c>
      <c r="E4898" s="50">
        <v>50003297</v>
      </c>
      <c r="F4898" s="50" t="s">
        <v>158</v>
      </c>
      <c r="G4898" s="50">
        <v>1</v>
      </c>
      <c r="H4898" s="50" t="s">
        <v>2</v>
      </c>
      <c r="I4898" s="50" t="s">
        <v>289</v>
      </c>
      <c r="J4898" s="51">
        <v>45947</v>
      </c>
      <c r="K4898" s="50" t="s">
        <v>3</v>
      </c>
      <c r="L4898" s="50" t="s">
        <v>80</v>
      </c>
    </row>
    <row r="4899" spans="2:12">
      <c r="B4899" s="50" t="s">
        <v>444</v>
      </c>
      <c r="C4899" s="50" t="s">
        <v>51</v>
      </c>
      <c r="D4899" s="50" t="s">
        <v>27</v>
      </c>
      <c r="E4899" s="50">
        <v>50003297</v>
      </c>
      <c r="F4899" s="50" t="s">
        <v>158</v>
      </c>
      <c r="G4899" s="50">
        <v>1</v>
      </c>
      <c r="H4899" s="50" t="s">
        <v>2</v>
      </c>
      <c r="I4899" s="50" t="s">
        <v>293</v>
      </c>
      <c r="J4899" s="51">
        <v>45947</v>
      </c>
      <c r="K4899" s="50" t="s">
        <v>1</v>
      </c>
      <c r="L4899" s="50" t="s">
        <v>80</v>
      </c>
    </row>
    <row r="4900" spans="2:12">
      <c r="B4900" s="50" t="s">
        <v>430</v>
      </c>
      <c r="C4900" s="50" t="s">
        <v>61</v>
      </c>
      <c r="D4900" s="50" t="s">
        <v>39</v>
      </c>
      <c r="E4900" s="50">
        <v>50038956</v>
      </c>
      <c r="F4900" s="50" t="s">
        <v>177</v>
      </c>
      <c r="G4900" s="50">
        <v>1</v>
      </c>
      <c r="H4900" s="50" t="s">
        <v>2</v>
      </c>
      <c r="I4900" s="50" t="s">
        <v>289</v>
      </c>
      <c r="J4900" s="51">
        <v>45947</v>
      </c>
      <c r="K4900" s="50" t="s">
        <v>3</v>
      </c>
      <c r="L4900" s="50" t="s">
        <v>80</v>
      </c>
    </row>
    <row r="4901" spans="2:12">
      <c r="B4901" s="50" t="s">
        <v>430</v>
      </c>
      <c r="C4901" s="50" t="s">
        <v>61</v>
      </c>
      <c r="D4901" s="50" t="s">
        <v>39</v>
      </c>
      <c r="E4901" s="50">
        <v>50038956</v>
      </c>
      <c r="F4901" s="50" t="s">
        <v>177</v>
      </c>
      <c r="G4901" s="50">
        <v>1</v>
      </c>
      <c r="H4901" s="50" t="s">
        <v>2</v>
      </c>
      <c r="I4901" s="50" t="s">
        <v>293</v>
      </c>
      <c r="J4901" s="51">
        <v>45947</v>
      </c>
      <c r="K4901" s="50" t="s">
        <v>3</v>
      </c>
      <c r="L4901" s="50" t="s">
        <v>80</v>
      </c>
    </row>
    <row r="4902" spans="2:12">
      <c r="B4902" s="50" t="s">
        <v>345</v>
      </c>
      <c r="C4902" s="50" t="s">
        <v>62</v>
      </c>
      <c r="D4902" s="50" t="s">
        <v>27</v>
      </c>
      <c r="E4902" s="50">
        <v>50037892</v>
      </c>
      <c r="F4902" s="50" t="s">
        <v>178</v>
      </c>
      <c r="G4902" s="50">
        <v>1</v>
      </c>
      <c r="H4902" s="50" t="s">
        <v>2</v>
      </c>
      <c r="I4902" s="50" t="s">
        <v>291</v>
      </c>
      <c r="J4902" s="51">
        <v>45947</v>
      </c>
      <c r="K4902" s="59" t="s">
        <v>3</v>
      </c>
      <c r="L4902" s="50" t="s">
        <v>80</v>
      </c>
    </row>
    <row r="4903" spans="2:12">
      <c r="B4903" s="50" t="s">
        <v>427</v>
      </c>
      <c r="C4903" s="50" t="s">
        <v>26</v>
      </c>
      <c r="D4903" s="50" t="s">
        <v>27</v>
      </c>
      <c r="E4903" s="50">
        <v>50037902</v>
      </c>
      <c r="F4903" s="50" t="s">
        <v>179</v>
      </c>
      <c r="G4903" s="50">
        <v>1</v>
      </c>
      <c r="H4903" s="50" t="s">
        <v>2</v>
      </c>
      <c r="I4903" s="50" t="s">
        <v>291</v>
      </c>
      <c r="J4903" s="51">
        <v>45947</v>
      </c>
      <c r="K4903" s="59" t="s">
        <v>1</v>
      </c>
      <c r="L4903" s="50" t="s">
        <v>80</v>
      </c>
    </row>
    <row r="4904" spans="2:12">
      <c r="B4904" s="50" t="s">
        <v>473</v>
      </c>
      <c r="C4904" s="50" t="s">
        <v>26</v>
      </c>
      <c r="D4904" s="58" t="s">
        <v>36</v>
      </c>
      <c r="E4904" s="50">
        <v>50037902</v>
      </c>
      <c r="F4904" s="50" t="s">
        <v>179</v>
      </c>
      <c r="G4904" s="58">
        <v>1</v>
      </c>
      <c r="H4904" s="59" t="s">
        <v>2</v>
      </c>
      <c r="I4904" s="59" t="s">
        <v>313</v>
      </c>
      <c r="J4904" s="60">
        <v>45947</v>
      </c>
      <c r="K4904" s="50" t="s">
        <v>1</v>
      </c>
      <c r="L4904" s="50" t="s">
        <v>80</v>
      </c>
    </row>
    <row r="4905" spans="2:12">
      <c r="B4905" s="50" t="s">
        <v>473</v>
      </c>
      <c r="C4905" s="50" t="s">
        <v>26</v>
      </c>
      <c r="D4905" s="58" t="s">
        <v>36</v>
      </c>
      <c r="E4905" s="50">
        <v>50037902</v>
      </c>
      <c r="F4905" s="50" t="s">
        <v>179</v>
      </c>
      <c r="G4905" s="58">
        <v>1</v>
      </c>
      <c r="H4905" s="59" t="s">
        <v>2</v>
      </c>
      <c r="I4905" s="59" t="s">
        <v>313</v>
      </c>
      <c r="J4905" s="60">
        <v>45947</v>
      </c>
      <c r="K4905" s="50" t="s">
        <v>3</v>
      </c>
      <c r="L4905" s="50" t="s">
        <v>80</v>
      </c>
    </row>
    <row r="4906" spans="2:12">
      <c r="B4906" s="50" t="s">
        <v>316</v>
      </c>
      <c r="C4906" s="50" t="s">
        <v>51</v>
      </c>
      <c r="D4906" s="50" t="s">
        <v>27</v>
      </c>
      <c r="E4906" s="50">
        <v>50038841</v>
      </c>
      <c r="F4906" s="50" t="s">
        <v>180</v>
      </c>
      <c r="G4906" s="50">
        <v>1</v>
      </c>
      <c r="H4906" s="50" t="s">
        <v>2</v>
      </c>
      <c r="I4906" s="50" t="s">
        <v>293</v>
      </c>
      <c r="J4906" s="51">
        <v>45947</v>
      </c>
      <c r="K4906" s="50" t="s">
        <v>1</v>
      </c>
      <c r="L4906" s="50" t="s">
        <v>80</v>
      </c>
    </row>
    <row r="4907" spans="2:12">
      <c r="B4907" s="50" t="s">
        <v>316</v>
      </c>
      <c r="C4907" s="50" t="s">
        <v>51</v>
      </c>
      <c r="D4907" s="50" t="s">
        <v>27</v>
      </c>
      <c r="E4907" s="50">
        <v>50038841</v>
      </c>
      <c r="F4907" s="50" t="s">
        <v>180</v>
      </c>
      <c r="G4907" s="50">
        <v>1</v>
      </c>
      <c r="H4907" s="50" t="s">
        <v>2</v>
      </c>
      <c r="I4907" s="50" t="s">
        <v>291</v>
      </c>
      <c r="J4907" s="51">
        <v>45947</v>
      </c>
      <c r="K4907" s="50" t="s">
        <v>3</v>
      </c>
      <c r="L4907" s="50" t="s">
        <v>80</v>
      </c>
    </row>
    <row r="4908" spans="2:12">
      <c r="B4908" s="50" t="s">
        <v>399</v>
      </c>
      <c r="C4908" s="50" t="s">
        <v>51</v>
      </c>
      <c r="D4908" s="50" t="s">
        <v>27</v>
      </c>
      <c r="E4908" s="50">
        <v>50038517</v>
      </c>
      <c r="F4908" s="50" t="s">
        <v>181</v>
      </c>
      <c r="G4908" s="50">
        <v>1</v>
      </c>
      <c r="H4908" s="50" t="s">
        <v>2</v>
      </c>
      <c r="I4908" s="50" t="s">
        <v>293</v>
      </c>
      <c r="J4908" s="51">
        <v>45947</v>
      </c>
      <c r="K4908" s="50" t="s">
        <v>1</v>
      </c>
      <c r="L4908" s="50" t="s">
        <v>80</v>
      </c>
    </row>
    <row r="4909" spans="2:12">
      <c r="B4909" s="50" t="s">
        <v>399</v>
      </c>
      <c r="C4909" s="50" t="s">
        <v>51</v>
      </c>
      <c r="D4909" s="50" t="s">
        <v>27</v>
      </c>
      <c r="E4909" s="50">
        <v>50038517</v>
      </c>
      <c r="F4909" s="50" t="s">
        <v>181</v>
      </c>
      <c r="G4909" s="50">
        <v>1</v>
      </c>
      <c r="H4909" s="50" t="s">
        <v>2</v>
      </c>
      <c r="I4909" s="50" t="s">
        <v>291</v>
      </c>
      <c r="J4909" s="51">
        <v>45947</v>
      </c>
      <c r="K4909" s="50" t="s">
        <v>1</v>
      </c>
      <c r="L4909" s="50" t="s">
        <v>80</v>
      </c>
    </row>
    <row r="4910" spans="2:12">
      <c r="B4910" s="50" t="s">
        <v>399</v>
      </c>
      <c r="C4910" s="50" t="s">
        <v>51</v>
      </c>
      <c r="D4910" s="50" t="s">
        <v>27</v>
      </c>
      <c r="E4910" s="50">
        <v>50039065</v>
      </c>
      <c r="F4910" s="50" t="s">
        <v>186</v>
      </c>
      <c r="G4910" s="50">
        <v>1</v>
      </c>
      <c r="H4910" s="50" t="s">
        <v>2</v>
      </c>
      <c r="I4910" s="50" t="s">
        <v>293</v>
      </c>
      <c r="J4910" s="51">
        <v>45947</v>
      </c>
      <c r="K4910" s="50" t="s">
        <v>3</v>
      </c>
      <c r="L4910" s="50" t="s">
        <v>80</v>
      </c>
    </row>
    <row r="4911" spans="2:12">
      <c r="B4911" s="50" t="s">
        <v>399</v>
      </c>
      <c r="C4911" s="50" t="s">
        <v>51</v>
      </c>
      <c r="D4911" s="50" t="s">
        <v>27</v>
      </c>
      <c r="E4911" s="50">
        <v>50039065</v>
      </c>
      <c r="F4911" s="50" t="s">
        <v>186</v>
      </c>
      <c r="G4911" s="50">
        <v>1</v>
      </c>
      <c r="H4911" s="50" t="s">
        <v>2</v>
      </c>
      <c r="I4911" s="50" t="s">
        <v>291</v>
      </c>
      <c r="J4911" s="51">
        <v>45947</v>
      </c>
      <c r="K4911" s="50" t="s">
        <v>1</v>
      </c>
      <c r="L4911" s="50" t="s">
        <v>80</v>
      </c>
    </row>
    <row r="4912" spans="2:12">
      <c r="B4912" s="50" t="s">
        <v>439</v>
      </c>
      <c r="C4912" s="50" t="s">
        <v>62</v>
      </c>
      <c r="D4912" s="50" t="s">
        <v>27</v>
      </c>
      <c r="E4912" s="50">
        <v>50026357</v>
      </c>
      <c r="F4912" s="50" t="s">
        <v>192</v>
      </c>
      <c r="G4912" s="50">
        <v>1</v>
      </c>
      <c r="H4912" s="50" t="s">
        <v>2</v>
      </c>
      <c r="I4912" s="50" t="s">
        <v>293</v>
      </c>
      <c r="J4912" s="51">
        <v>45947</v>
      </c>
      <c r="K4912" s="50" t="s">
        <v>3</v>
      </c>
      <c r="L4912" s="50" t="s">
        <v>80</v>
      </c>
    </row>
    <row r="4913" spans="2:12">
      <c r="B4913" s="50" t="s">
        <v>439</v>
      </c>
      <c r="C4913" s="50" t="s">
        <v>62</v>
      </c>
      <c r="D4913" s="50" t="s">
        <v>27</v>
      </c>
      <c r="E4913" s="50">
        <v>50026357</v>
      </c>
      <c r="F4913" s="50" t="s">
        <v>192</v>
      </c>
      <c r="G4913" s="50">
        <v>1</v>
      </c>
      <c r="H4913" s="50" t="s">
        <v>2</v>
      </c>
      <c r="I4913" s="50" t="s">
        <v>292</v>
      </c>
      <c r="J4913" s="51">
        <v>45947</v>
      </c>
      <c r="K4913" s="50" t="s">
        <v>1</v>
      </c>
      <c r="L4913" s="50" t="s">
        <v>80</v>
      </c>
    </row>
    <row r="4914" spans="2:12">
      <c r="B4914" s="50" t="s">
        <v>445</v>
      </c>
      <c r="C4914" s="50" t="s">
        <v>51</v>
      </c>
      <c r="D4914" s="50" t="s">
        <v>41</v>
      </c>
      <c r="E4914" s="50">
        <v>50043917</v>
      </c>
      <c r="F4914" s="50" t="s">
        <v>262</v>
      </c>
      <c r="G4914" s="50">
        <v>1</v>
      </c>
      <c r="H4914" s="50" t="s">
        <v>2</v>
      </c>
      <c r="I4914" s="50" t="s">
        <v>289</v>
      </c>
      <c r="J4914" s="51">
        <v>45947</v>
      </c>
      <c r="K4914" s="50" t="s">
        <v>3</v>
      </c>
      <c r="L4914" s="50" t="s">
        <v>80</v>
      </c>
    </row>
    <row r="4915" spans="2:12">
      <c r="B4915" s="50" t="s">
        <v>445</v>
      </c>
      <c r="C4915" s="50" t="s">
        <v>51</v>
      </c>
      <c r="D4915" s="50" t="s">
        <v>41</v>
      </c>
      <c r="E4915" s="50">
        <v>50043917</v>
      </c>
      <c r="F4915" s="50" t="s">
        <v>262</v>
      </c>
      <c r="G4915" s="50">
        <v>1</v>
      </c>
      <c r="H4915" s="50" t="s">
        <v>2</v>
      </c>
      <c r="I4915" s="50" t="s">
        <v>293</v>
      </c>
      <c r="J4915" s="51">
        <v>45947</v>
      </c>
      <c r="K4915" s="50" t="s">
        <v>1</v>
      </c>
      <c r="L4915" s="50" t="s">
        <v>80</v>
      </c>
    </row>
    <row r="4916" spans="2:12">
      <c r="B4916" s="50" t="s">
        <v>445</v>
      </c>
      <c r="C4916" s="50" t="s">
        <v>51</v>
      </c>
      <c r="D4916" s="50" t="s">
        <v>41</v>
      </c>
      <c r="E4916" s="50">
        <v>50043917</v>
      </c>
      <c r="F4916" s="50" t="s">
        <v>262</v>
      </c>
      <c r="G4916" s="50">
        <v>1</v>
      </c>
      <c r="H4916" s="50" t="s">
        <v>2</v>
      </c>
      <c r="I4916" s="50" t="s">
        <v>288</v>
      </c>
      <c r="J4916" s="51">
        <v>45947</v>
      </c>
      <c r="K4916" s="50" t="s">
        <v>1</v>
      </c>
      <c r="L4916" s="50" t="s">
        <v>80</v>
      </c>
    </row>
    <row r="4917" spans="2:12">
      <c r="B4917" s="50" t="e">
        <v>#N/A</v>
      </c>
      <c r="C4917" s="50" t="s">
        <v>56</v>
      </c>
      <c r="D4917" s="50" t="s">
        <v>27</v>
      </c>
      <c r="E4917" s="50">
        <v>50020622</v>
      </c>
      <c r="F4917" s="50" t="s">
        <v>217</v>
      </c>
      <c r="G4917" s="50">
        <v>1</v>
      </c>
      <c r="H4917" s="50" t="s">
        <v>2</v>
      </c>
      <c r="I4917" s="50" t="s">
        <v>293</v>
      </c>
      <c r="J4917" s="51">
        <v>45947</v>
      </c>
      <c r="K4917" s="50" t="s">
        <v>3</v>
      </c>
      <c r="L4917" s="50" t="s">
        <v>80</v>
      </c>
    </row>
    <row r="4918" spans="2:12">
      <c r="B4918" s="50" t="e">
        <v>#N/A</v>
      </c>
      <c r="C4918" s="50" t="s">
        <v>56</v>
      </c>
      <c r="D4918" s="50" t="s">
        <v>27</v>
      </c>
      <c r="E4918" s="50">
        <v>50020622</v>
      </c>
      <c r="F4918" s="50" t="s">
        <v>217</v>
      </c>
      <c r="G4918" s="50">
        <v>1</v>
      </c>
      <c r="H4918" s="50" t="s">
        <v>2</v>
      </c>
      <c r="I4918" s="50" t="s">
        <v>293</v>
      </c>
      <c r="J4918" s="51">
        <v>45947</v>
      </c>
      <c r="K4918" s="50" t="s">
        <v>1</v>
      </c>
      <c r="L4918" s="50" t="s">
        <v>80</v>
      </c>
    </row>
    <row r="4919" spans="2:12">
      <c r="B4919" s="50" t="s">
        <v>434</v>
      </c>
      <c r="C4919" s="50" t="s">
        <v>51</v>
      </c>
      <c r="D4919" s="50" t="s">
        <v>39</v>
      </c>
      <c r="E4919" s="50">
        <v>50032781</v>
      </c>
      <c r="F4919" s="50" t="s">
        <v>237</v>
      </c>
      <c r="G4919" s="50">
        <v>1</v>
      </c>
      <c r="H4919" s="50" t="s">
        <v>2</v>
      </c>
      <c r="I4919" s="50" t="s">
        <v>293</v>
      </c>
      <c r="J4919" s="51">
        <v>45947</v>
      </c>
      <c r="K4919" s="50" t="s">
        <v>3</v>
      </c>
      <c r="L4919" s="50" t="s">
        <v>80</v>
      </c>
    </row>
    <row r="4920" spans="2:12">
      <c r="B4920" s="50" t="s">
        <v>434</v>
      </c>
      <c r="C4920" s="50" t="s">
        <v>51</v>
      </c>
      <c r="D4920" s="50" t="s">
        <v>39</v>
      </c>
      <c r="E4920" s="50">
        <v>50032781</v>
      </c>
      <c r="F4920" s="50" t="s">
        <v>237</v>
      </c>
      <c r="G4920" s="50">
        <v>1</v>
      </c>
      <c r="H4920" s="50" t="s">
        <v>2</v>
      </c>
      <c r="I4920" s="50" t="s">
        <v>293</v>
      </c>
      <c r="J4920" s="51">
        <v>45947</v>
      </c>
      <c r="K4920" s="50" t="s">
        <v>1</v>
      </c>
      <c r="L4920" s="50" t="s">
        <v>80</v>
      </c>
    </row>
    <row r="4921" spans="2:12">
      <c r="B4921" s="50" t="s">
        <v>345</v>
      </c>
      <c r="C4921" s="50" t="s">
        <v>62</v>
      </c>
      <c r="D4921" s="50" t="s">
        <v>27</v>
      </c>
      <c r="E4921" s="50">
        <v>50028220</v>
      </c>
      <c r="F4921" s="50" t="s">
        <v>242</v>
      </c>
      <c r="G4921" s="50">
        <v>1</v>
      </c>
      <c r="H4921" s="50" t="s">
        <v>2</v>
      </c>
      <c r="I4921" s="50" t="s">
        <v>293</v>
      </c>
      <c r="J4921" s="51">
        <v>45947</v>
      </c>
      <c r="K4921" s="50" t="s">
        <v>3</v>
      </c>
      <c r="L4921" s="50" t="s">
        <v>80</v>
      </c>
    </row>
    <row r="4922" spans="2:12">
      <c r="B4922" s="50" t="s">
        <v>345</v>
      </c>
      <c r="C4922" s="50" t="s">
        <v>62</v>
      </c>
      <c r="D4922" s="50" t="s">
        <v>27</v>
      </c>
      <c r="E4922" s="50">
        <v>50028220</v>
      </c>
      <c r="F4922" s="50" t="s">
        <v>242</v>
      </c>
      <c r="G4922" s="50">
        <v>1</v>
      </c>
      <c r="H4922" s="50" t="s">
        <v>2</v>
      </c>
      <c r="I4922" s="50" t="s">
        <v>292</v>
      </c>
      <c r="J4922" s="51">
        <v>45947</v>
      </c>
      <c r="K4922" s="50" t="s">
        <v>3</v>
      </c>
      <c r="L4922" s="50" t="s">
        <v>80</v>
      </c>
    </row>
    <row r="4923" spans="2:12">
      <c r="B4923" s="50" t="s">
        <v>478</v>
      </c>
      <c r="C4923" s="50" t="s">
        <v>51</v>
      </c>
      <c r="D4923" s="50" t="s">
        <v>27</v>
      </c>
      <c r="E4923" s="50">
        <v>50010031</v>
      </c>
      <c r="F4923" s="50" t="s">
        <v>89</v>
      </c>
      <c r="G4923" s="50">
        <v>1</v>
      </c>
      <c r="H4923" s="50" t="s">
        <v>2</v>
      </c>
      <c r="I4923" s="50" t="s">
        <v>291</v>
      </c>
      <c r="J4923" s="51">
        <v>45946</v>
      </c>
      <c r="K4923" s="50" t="s">
        <v>1</v>
      </c>
      <c r="L4923" s="50" t="s">
        <v>80</v>
      </c>
    </row>
    <row r="4924" spans="2:12">
      <c r="B4924" s="50" t="s">
        <v>444</v>
      </c>
      <c r="C4924" s="50" t="s">
        <v>51</v>
      </c>
      <c r="D4924" s="50" t="s">
        <v>27</v>
      </c>
      <c r="E4924" s="50">
        <v>50043471</v>
      </c>
      <c r="F4924" s="50" t="s">
        <v>257</v>
      </c>
      <c r="G4924" s="50">
        <v>1</v>
      </c>
      <c r="H4924" s="50" t="s">
        <v>2</v>
      </c>
      <c r="I4924" s="50" t="s">
        <v>292</v>
      </c>
      <c r="J4924" s="51">
        <v>45946</v>
      </c>
      <c r="K4924" s="50" t="s">
        <v>3</v>
      </c>
      <c r="L4924" s="50" t="s">
        <v>80</v>
      </c>
    </row>
    <row r="4925" spans="2:12">
      <c r="B4925" s="50" t="s">
        <v>444</v>
      </c>
      <c r="C4925" s="50" t="s">
        <v>51</v>
      </c>
      <c r="D4925" s="50" t="s">
        <v>27</v>
      </c>
      <c r="E4925" s="50">
        <v>50043471</v>
      </c>
      <c r="F4925" s="50" t="s">
        <v>257</v>
      </c>
      <c r="G4925" s="50">
        <v>1</v>
      </c>
      <c r="H4925" s="50" t="s">
        <v>2</v>
      </c>
      <c r="I4925" s="50" t="s">
        <v>291</v>
      </c>
      <c r="J4925" s="51">
        <v>45946</v>
      </c>
      <c r="K4925" s="50" t="s">
        <v>1</v>
      </c>
      <c r="L4925" s="50" t="s">
        <v>80</v>
      </c>
    </row>
    <row r="4926" spans="2:12">
      <c r="B4926" s="50" t="s">
        <v>387</v>
      </c>
      <c r="C4926" s="50" t="s">
        <v>56</v>
      </c>
      <c r="D4926" s="50" t="s">
        <v>27</v>
      </c>
      <c r="E4926" s="50">
        <v>50043320</v>
      </c>
      <c r="F4926" s="50" t="s">
        <v>264</v>
      </c>
      <c r="G4926" s="50">
        <v>1</v>
      </c>
      <c r="H4926" s="50" t="s">
        <v>2</v>
      </c>
      <c r="I4926" s="50" t="s">
        <v>292</v>
      </c>
      <c r="J4926" s="51">
        <v>45946</v>
      </c>
      <c r="K4926" s="50" t="s">
        <v>3</v>
      </c>
      <c r="L4926" s="50" t="s">
        <v>80</v>
      </c>
    </row>
    <row r="4927" spans="2:12">
      <c r="B4927" s="50" t="s">
        <v>387</v>
      </c>
      <c r="C4927" s="50" t="s">
        <v>56</v>
      </c>
      <c r="D4927" s="50" t="s">
        <v>27</v>
      </c>
      <c r="E4927" s="50">
        <v>50043320</v>
      </c>
      <c r="F4927" s="50" t="s">
        <v>264</v>
      </c>
      <c r="G4927" s="50">
        <v>1</v>
      </c>
      <c r="H4927" s="50" t="s">
        <v>2</v>
      </c>
      <c r="I4927" s="50" t="s">
        <v>291</v>
      </c>
      <c r="J4927" s="51">
        <v>45946</v>
      </c>
      <c r="K4927" s="50" t="s">
        <v>1</v>
      </c>
      <c r="L4927" s="50" t="s">
        <v>80</v>
      </c>
    </row>
    <row r="4928" spans="2:12">
      <c r="B4928" s="50" t="s">
        <v>345</v>
      </c>
      <c r="C4928" s="50" t="s">
        <v>56</v>
      </c>
      <c r="D4928" s="50" t="s">
        <v>27</v>
      </c>
      <c r="E4928" s="50">
        <v>50038549</v>
      </c>
      <c r="F4928" s="50" t="s">
        <v>173</v>
      </c>
      <c r="G4928" s="50">
        <v>1</v>
      </c>
      <c r="H4928" s="50" t="s">
        <v>2</v>
      </c>
      <c r="I4928" s="50" t="s">
        <v>287</v>
      </c>
      <c r="J4928" s="51">
        <v>45946</v>
      </c>
      <c r="K4928" s="50" t="s">
        <v>1</v>
      </c>
      <c r="L4928" s="50" t="s">
        <v>80</v>
      </c>
    </row>
    <row r="4929" spans="2:12">
      <c r="B4929" s="50" t="s">
        <v>418</v>
      </c>
      <c r="C4929" s="50" t="s">
        <v>26</v>
      </c>
      <c r="D4929" s="50" t="s">
        <v>27</v>
      </c>
      <c r="E4929" s="50">
        <v>50022878</v>
      </c>
      <c r="F4929" s="50" t="s">
        <v>296</v>
      </c>
      <c r="G4929" s="50">
        <v>1</v>
      </c>
      <c r="H4929" s="50" t="s">
        <v>2</v>
      </c>
      <c r="I4929" s="50" t="s">
        <v>292</v>
      </c>
      <c r="J4929" s="51">
        <v>45946</v>
      </c>
      <c r="K4929" s="50" t="s">
        <v>3</v>
      </c>
      <c r="L4929" s="50" t="s">
        <v>80</v>
      </c>
    </row>
    <row r="4930" spans="2:12">
      <c r="B4930" s="50" t="s">
        <v>418</v>
      </c>
      <c r="C4930" s="50" t="s">
        <v>26</v>
      </c>
      <c r="D4930" s="50" t="s">
        <v>27</v>
      </c>
      <c r="E4930" s="50">
        <v>50022878</v>
      </c>
      <c r="F4930" s="50" t="s">
        <v>296</v>
      </c>
      <c r="G4930" s="50">
        <v>1</v>
      </c>
      <c r="H4930" s="50" t="s">
        <v>2</v>
      </c>
      <c r="I4930" s="50" t="s">
        <v>291</v>
      </c>
      <c r="J4930" s="51">
        <v>45946</v>
      </c>
      <c r="K4930" s="50" t="s">
        <v>1</v>
      </c>
      <c r="L4930" s="50" t="s">
        <v>80</v>
      </c>
    </row>
    <row r="4931" spans="2:12">
      <c r="B4931" s="50" t="s">
        <v>437</v>
      </c>
      <c r="C4931" s="50" t="s">
        <v>51</v>
      </c>
      <c r="D4931" s="50" t="s">
        <v>41</v>
      </c>
      <c r="E4931" s="50">
        <v>50038956</v>
      </c>
      <c r="F4931" s="50" t="s">
        <v>177</v>
      </c>
      <c r="G4931" s="50">
        <v>1</v>
      </c>
      <c r="H4931" s="50" t="s">
        <v>2</v>
      </c>
      <c r="I4931" s="50" t="s">
        <v>292</v>
      </c>
      <c r="J4931" s="51">
        <v>45946</v>
      </c>
      <c r="K4931" s="50" t="s">
        <v>3</v>
      </c>
      <c r="L4931" s="50" t="s">
        <v>80</v>
      </c>
    </row>
    <row r="4932" spans="2:12">
      <c r="B4932" s="50" t="s">
        <v>437</v>
      </c>
      <c r="C4932" s="50" t="s">
        <v>51</v>
      </c>
      <c r="D4932" s="50" t="s">
        <v>41</v>
      </c>
      <c r="E4932" s="50">
        <v>50038956</v>
      </c>
      <c r="F4932" s="50" t="s">
        <v>177</v>
      </c>
      <c r="G4932" s="50">
        <v>1</v>
      </c>
      <c r="H4932" s="50" t="s">
        <v>2</v>
      </c>
      <c r="I4932" s="50" t="s">
        <v>291</v>
      </c>
      <c r="J4932" s="51">
        <v>45946</v>
      </c>
      <c r="K4932" s="50" t="s">
        <v>3</v>
      </c>
      <c r="L4932" s="50" t="s">
        <v>80</v>
      </c>
    </row>
    <row r="4933" spans="2:12">
      <c r="B4933" s="50" t="s">
        <v>387</v>
      </c>
      <c r="C4933" s="50" t="s">
        <v>56</v>
      </c>
      <c r="D4933" s="50" t="s">
        <v>27</v>
      </c>
      <c r="E4933" s="50">
        <v>50037892</v>
      </c>
      <c r="F4933" s="50" t="s">
        <v>178</v>
      </c>
      <c r="G4933" s="50">
        <v>1</v>
      </c>
      <c r="H4933" s="50" t="s">
        <v>2</v>
      </c>
      <c r="I4933" s="50" t="s">
        <v>291</v>
      </c>
      <c r="J4933" s="51">
        <v>45946</v>
      </c>
      <c r="K4933" s="50" t="s">
        <v>1</v>
      </c>
      <c r="L4933" s="50" t="s">
        <v>80</v>
      </c>
    </row>
    <row r="4934" spans="2:12">
      <c r="B4934" s="50" t="s">
        <v>445</v>
      </c>
      <c r="C4934" s="50" t="s">
        <v>51</v>
      </c>
      <c r="D4934" s="50" t="s">
        <v>41</v>
      </c>
      <c r="E4934" s="50">
        <v>50037902</v>
      </c>
      <c r="F4934" s="50" t="s">
        <v>179</v>
      </c>
      <c r="G4934" s="50">
        <v>1</v>
      </c>
      <c r="H4934" s="50" t="s">
        <v>2</v>
      </c>
      <c r="I4934" s="50" t="s">
        <v>287</v>
      </c>
      <c r="J4934" s="51">
        <v>45946</v>
      </c>
      <c r="K4934" s="50" t="s">
        <v>3</v>
      </c>
      <c r="L4934" s="50" t="s">
        <v>80</v>
      </c>
    </row>
    <row r="4935" spans="2:12">
      <c r="B4935" s="50" t="s">
        <v>407</v>
      </c>
      <c r="C4935" s="50" t="s">
        <v>26</v>
      </c>
      <c r="D4935" s="50" t="s">
        <v>27</v>
      </c>
      <c r="E4935" s="50">
        <v>50038841</v>
      </c>
      <c r="F4935" s="50" t="s">
        <v>180</v>
      </c>
      <c r="G4935" s="50">
        <v>1</v>
      </c>
      <c r="H4935" s="50" t="s">
        <v>2</v>
      </c>
      <c r="I4935" s="50" t="s">
        <v>289</v>
      </c>
      <c r="J4935" s="51">
        <v>45946</v>
      </c>
      <c r="K4935" s="50" t="s">
        <v>1</v>
      </c>
      <c r="L4935" s="50" t="s">
        <v>80</v>
      </c>
    </row>
    <row r="4936" spans="2:12">
      <c r="B4936" s="50" t="s">
        <v>407</v>
      </c>
      <c r="C4936" s="50" t="s">
        <v>26</v>
      </c>
      <c r="D4936" s="50" t="s">
        <v>27</v>
      </c>
      <c r="E4936" s="50">
        <v>50038841</v>
      </c>
      <c r="F4936" s="50" t="s">
        <v>180</v>
      </c>
      <c r="G4936" s="50">
        <v>1</v>
      </c>
      <c r="H4936" s="50" t="s">
        <v>2</v>
      </c>
      <c r="I4936" s="50" t="s">
        <v>292</v>
      </c>
      <c r="J4936" s="51">
        <v>45946</v>
      </c>
      <c r="K4936" s="50" t="s">
        <v>3</v>
      </c>
      <c r="L4936" s="50" t="s">
        <v>80</v>
      </c>
    </row>
    <row r="4937" spans="2:12">
      <c r="B4937" s="50" t="s">
        <v>444</v>
      </c>
      <c r="C4937" s="50" t="s">
        <v>51</v>
      </c>
      <c r="D4937" s="50" t="s">
        <v>27</v>
      </c>
      <c r="E4937" s="50">
        <v>50038841</v>
      </c>
      <c r="F4937" s="50" t="s">
        <v>180</v>
      </c>
      <c r="G4937" s="50">
        <v>1</v>
      </c>
      <c r="H4937" s="50" t="s">
        <v>2</v>
      </c>
      <c r="I4937" s="50" t="s">
        <v>287</v>
      </c>
      <c r="J4937" s="51">
        <v>45946</v>
      </c>
      <c r="K4937" s="50" t="s">
        <v>3</v>
      </c>
      <c r="L4937" s="50" t="s">
        <v>80</v>
      </c>
    </row>
    <row r="4938" spans="2:12">
      <c r="B4938" s="50" t="s">
        <v>444</v>
      </c>
      <c r="C4938" s="50" t="s">
        <v>51</v>
      </c>
      <c r="D4938" s="50" t="s">
        <v>27</v>
      </c>
      <c r="E4938" s="50">
        <v>50038841</v>
      </c>
      <c r="F4938" s="50" t="s">
        <v>180</v>
      </c>
      <c r="G4938" s="50">
        <v>1</v>
      </c>
      <c r="H4938" s="50" t="s">
        <v>2</v>
      </c>
      <c r="I4938" s="50" t="s">
        <v>291</v>
      </c>
      <c r="J4938" s="51">
        <v>45946</v>
      </c>
      <c r="K4938" s="50" t="s">
        <v>3</v>
      </c>
      <c r="L4938" s="50" t="s">
        <v>80</v>
      </c>
    </row>
    <row r="4939" spans="2:12">
      <c r="B4939" s="50" t="s">
        <v>345</v>
      </c>
      <c r="C4939" s="50" t="s">
        <v>62</v>
      </c>
      <c r="D4939" s="50" t="s">
        <v>27</v>
      </c>
      <c r="E4939" s="50">
        <v>50038517</v>
      </c>
      <c r="F4939" s="50" t="s">
        <v>181</v>
      </c>
      <c r="G4939" s="50">
        <v>1</v>
      </c>
      <c r="H4939" s="50" t="s">
        <v>2</v>
      </c>
      <c r="I4939" s="50" t="s">
        <v>291</v>
      </c>
      <c r="J4939" s="51">
        <v>45946</v>
      </c>
      <c r="K4939" s="50" t="s">
        <v>1</v>
      </c>
      <c r="L4939" s="50" t="s">
        <v>80</v>
      </c>
    </row>
    <row r="4940" spans="2:12">
      <c r="B4940" s="50" t="s">
        <v>345</v>
      </c>
      <c r="C4940" s="50" t="s">
        <v>62</v>
      </c>
      <c r="D4940" s="50" t="s">
        <v>27</v>
      </c>
      <c r="E4940" s="50">
        <v>50037903</v>
      </c>
      <c r="F4940" s="50" t="s">
        <v>183</v>
      </c>
      <c r="G4940" s="50">
        <v>1</v>
      </c>
      <c r="H4940" s="50" t="s">
        <v>2</v>
      </c>
      <c r="I4940" s="50" t="s">
        <v>291</v>
      </c>
      <c r="J4940" s="51">
        <v>45946</v>
      </c>
      <c r="K4940" s="50" t="s">
        <v>1</v>
      </c>
      <c r="L4940" s="50" t="s">
        <v>80</v>
      </c>
    </row>
    <row r="4941" spans="2:12">
      <c r="B4941" s="50" t="s">
        <v>445</v>
      </c>
      <c r="C4941" s="50" t="s">
        <v>51</v>
      </c>
      <c r="D4941" s="50" t="s">
        <v>41</v>
      </c>
      <c r="E4941" s="50">
        <v>50039065</v>
      </c>
      <c r="F4941" s="50" t="s">
        <v>186</v>
      </c>
      <c r="G4941" s="50">
        <v>1</v>
      </c>
      <c r="H4941" s="50" t="s">
        <v>2</v>
      </c>
      <c r="I4941" s="50" t="s">
        <v>292</v>
      </c>
      <c r="J4941" s="51">
        <v>45946</v>
      </c>
      <c r="K4941" s="50" t="s">
        <v>3</v>
      </c>
      <c r="L4941" s="50" t="s">
        <v>80</v>
      </c>
    </row>
    <row r="4942" spans="2:12">
      <c r="B4942" s="50" t="s">
        <v>445</v>
      </c>
      <c r="C4942" s="50" t="s">
        <v>51</v>
      </c>
      <c r="D4942" s="50" t="s">
        <v>41</v>
      </c>
      <c r="E4942" s="50">
        <v>50039065</v>
      </c>
      <c r="F4942" s="50" t="s">
        <v>186</v>
      </c>
      <c r="G4942" s="50">
        <v>1</v>
      </c>
      <c r="H4942" s="50" t="s">
        <v>2</v>
      </c>
      <c r="I4942" s="50" t="s">
        <v>287</v>
      </c>
      <c r="J4942" s="51">
        <v>45946</v>
      </c>
      <c r="K4942" s="50" t="s">
        <v>3</v>
      </c>
      <c r="L4942" s="50" t="s">
        <v>80</v>
      </c>
    </row>
    <row r="4943" spans="2:12">
      <c r="B4943" s="50" t="s">
        <v>444</v>
      </c>
      <c r="C4943" s="50" t="s">
        <v>51</v>
      </c>
      <c r="D4943" s="50" t="s">
        <v>27</v>
      </c>
      <c r="E4943" s="50">
        <v>50041195</v>
      </c>
      <c r="F4943" s="50" t="s">
        <v>206</v>
      </c>
      <c r="G4943" s="50">
        <v>1</v>
      </c>
      <c r="H4943" s="50" t="s">
        <v>2</v>
      </c>
      <c r="I4943" s="50" t="s">
        <v>289</v>
      </c>
      <c r="J4943" s="51">
        <v>45946</v>
      </c>
      <c r="K4943" s="50" t="s">
        <v>1</v>
      </c>
      <c r="L4943" s="50" t="s">
        <v>80</v>
      </c>
    </row>
    <row r="4944" spans="2:12">
      <c r="B4944" s="50" t="s">
        <v>444</v>
      </c>
      <c r="C4944" s="50" t="s">
        <v>51</v>
      </c>
      <c r="D4944" s="50" t="s">
        <v>27</v>
      </c>
      <c r="E4944" s="50">
        <v>50041195</v>
      </c>
      <c r="F4944" s="50" t="s">
        <v>206</v>
      </c>
      <c r="G4944" s="50">
        <v>1</v>
      </c>
      <c r="H4944" s="50" t="s">
        <v>2</v>
      </c>
      <c r="I4944" s="50" t="s">
        <v>292</v>
      </c>
      <c r="J4944" s="51">
        <v>45946</v>
      </c>
      <c r="K4944" s="50" t="s">
        <v>3</v>
      </c>
      <c r="L4944" s="50" t="s">
        <v>80</v>
      </c>
    </row>
    <row r="4945" spans="2:12">
      <c r="B4945" s="50" t="s">
        <v>387</v>
      </c>
      <c r="C4945" s="50" t="s">
        <v>56</v>
      </c>
      <c r="D4945" s="50" t="s">
        <v>27</v>
      </c>
      <c r="E4945" s="50">
        <v>50041195</v>
      </c>
      <c r="F4945" s="50" t="s">
        <v>206</v>
      </c>
      <c r="G4945" s="50">
        <v>1</v>
      </c>
      <c r="H4945" s="50" t="s">
        <v>2</v>
      </c>
      <c r="I4945" s="50" t="s">
        <v>292</v>
      </c>
      <c r="J4945" s="51">
        <v>45946</v>
      </c>
      <c r="K4945" s="50" t="s">
        <v>1</v>
      </c>
      <c r="L4945" s="50" t="s">
        <v>80</v>
      </c>
    </row>
    <row r="4946" spans="2:12">
      <c r="B4946" s="50" t="s">
        <v>387</v>
      </c>
      <c r="C4946" s="50" t="s">
        <v>56</v>
      </c>
      <c r="D4946" s="50" t="s">
        <v>27</v>
      </c>
      <c r="E4946" s="50">
        <v>50041195</v>
      </c>
      <c r="F4946" s="50" t="s">
        <v>206</v>
      </c>
      <c r="G4946" s="50">
        <v>1</v>
      </c>
      <c r="H4946" s="50" t="s">
        <v>2</v>
      </c>
      <c r="I4946" s="50" t="s">
        <v>291</v>
      </c>
      <c r="J4946" s="51">
        <v>45946</v>
      </c>
      <c r="K4946" s="50" t="s">
        <v>3</v>
      </c>
      <c r="L4946" s="50" t="s">
        <v>80</v>
      </c>
    </row>
    <row r="4947" spans="2:12">
      <c r="B4947" s="50" t="s">
        <v>444</v>
      </c>
      <c r="C4947" s="50" t="s">
        <v>51</v>
      </c>
      <c r="D4947" s="50" t="s">
        <v>27</v>
      </c>
      <c r="E4947" s="50">
        <v>50043917</v>
      </c>
      <c r="F4947" s="50" t="s">
        <v>262</v>
      </c>
      <c r="G4947" s="50">
        <v>1</v>
      </c>
      <c r="H4947" s="50" t="s">
        <v>2</v>
      </c>
      <c r="I4947" s="50" t="s">
        <v>292</v>
      </c>
      <c r="J4947" s="51">
        <v>45946</v>
      </c>
      <c r="K4947" s="50" t="s">
        <v>1</v>
      </c>
      <c r="L4947" s="50" t="s">
        <v>80</v>
      </c>
    </row>
    <row r="4948" spans="2:12">
      <c r="B4948" s="50" t="s">
        <v>444</v>
      </c>
      <c r="C4948" s="50" t="s">
        <v>51</v>
      </c>
      <c r="D4948" s="50" t="s">
        <v>27</v>
      </c>
      <c r="E4948" s="50">
        <v>50043917</v>
      </c>
      <c r="F4948" s="50" t="s">
        <v>262</v>
      </c>
      <c r="G4948" s="50">
        <v>1</v>
      </c>
      <c r="H4948" s="50" t="s">
        <v>2</v>
      </c>
      <c r="I4948" s="50" t="s">
        <v>287</v>
      </c>
      <c r="J4948" s="51">
        <v>45946</v>
      </c>
      <c r="K4948" s="50" t="s">
        <v>1</v>
      </c>
      <c r="L4948" s="50" t="s">
        <v>80</v>
      </c>
    </row>
    <row r="4949" spans="2:12">
      <c r="B4949" s="50" t="s">
        <v>409</v>
      </c>
      <c r="C4949" s="50" t="s">
        <v>51</v>
      </c>
      <c r="D4949" s="50" t="s">
        <v>27</v>
      </c>
      <c r="E4949" s="50">
        <v>50012902</v>
      </c>
      <c r="F4949" s="50" t="s">
        <v>225</v>
      </c>
      <c r="G4949" s="50">
        <v>1</v>
      </c>
      <c r="H4949" s="50" t="s">
        <v>2</v>
      </c>
      <c r="I4949" s="50" t="s">
        <v>291</v>
      </c>
      <c r="J4949" s="51">
        <v>45946</v>
      </c>
      <c r="K4949" s="50" t="s">
        <v>3</v>
      </c>
      <c r="L4949" s="50" t="s">
        <v>80</v>
      </c>
    </row>
    <row r="4950" spans="2:12">
      <c r="B4950" s="50" t="s">
        <v>409</v>
      </c>
      <c r="C4950" s="50" t="s">
        <v>51</v>
      </c>
      <c r="D4950" s="50" t="s">
        <v>27</v>
      </c>
      <c r="E4950" s="50">
        <v>50012902</v>
      </c>
      <c r="F4950" s="50" t="s">
        <v>225</v>
      </c>
      <c r="G4950" s="50">
        <v>1</v>
      </c>
      <c r="H4950" s="50" t="s">
        <v>2</v>
      </c>
      <c r="I4950" s="50" t="s">
        <v>291</v>
      </c>
      <c r="J4950" s="51">
        <v>45946</v>
      </c>
      <c r="K4950" s="50" t="s">
        <v>1</v>
      </c>
      <c r="L4950" s="50" t="s">
        <v>80</v>
      </c>
    </row>
    <row r="4951" spans="2:12">
      <c r="B4951" s="50" t="s">
        <v>397</v>
      </c>
      <c r="C4951" s="50" t="s">
        <v>26</v>
      </c>
      <c r="D4951" s="50" t="s">
        <v>41</v>
      </c>
      <c r="E4951" s="50">
        <v>50044453</v>
      </c>
      <c r="F4951" s="50" t="s">
        <v>320</v>
      </c>
      <c r="G4951" s="50">
        <v>1</v>
      </c>
      <c r="H4951" s="50" t="s">
        <v>2</v>
      </c>
      <c r="I4951" s="50" t="s">
        <v>291</v>
      </c>
      <c r="J4951" s="51">
        <v>45946</v>
      </c>
      <c r="K4951" s="50" t="s">
        <v>3</v>
      </c>
      <c r="L4951" s="50" t="s">
        <v>80</v>
      </c>
    </row>
    <row r="4952" spans="2:12">
      <c r="B4952" s="50" t="s">
        <v>397</v>
      </c>
      <c r="C4952" s="50" t="s">
        <v>26</v>
      </c>
      <c r="D4952" s="50" t="s">
        <v>41</v>
      </c>
      <c r="E4952" s="50">
        <v>50044453</v>
      </c>
      <c r="F4952" s="50" t="s">
        <v>320</v>
      </c>
      <c r="G4952" s="50">
        <v>1</v>
      </c>
      <c r="H4952" s="50" t="s">
        <v>2</v>
      </c>
      <c r="I4952" s="50" t="s">
        <v>291</v>
      </c>
      <c r="J4952" s="51">
        <v>45946</v>
      </c>
      <c r="K4952" s="50" t="s">
        <v>1</v>
      </c>
      <c r="L4952" s="50" t="s">
        <v>80</v>
      </c>
    </row>
    <row r="4953" spans="2:12">
      <c r="B4953" s="50" t="s">
        <v>387</v>
      </c>
      <c r="C4953" s="50" t="s">
        <v>56</v>
      </c>
      <c r="D4953" s="50" t="s">
        <v>27</v>
      </c>
      <c r="E4953" s="50">
        <v>50032781</v>
      </c>
      <c r="F4953" s="50" t="s">
        <v>237</v>
      </c>
      <c r="G4953" s="50">
        <v>1</v>
      </c>
      <c r="H4953" s="50" t="s">
        <v>2</v>
      </c>
      <c r="I4953" s="50" t="s">
        <v>292</v>
      </c>
      <c r="J4953" s="51">
        <v>45946</v>
      </c>
      <c r="K4953" s="50" t="s">
        <v>3</v>
      </c>
      <c r="L4953" s="50" t="s">
        <v>80</v>
      </c>
    </row>
    <row r="4954" spans="2:12">
      <c r="B4954" s="50" t="s">
        <v>387</v>
      </c>
      <c r="C4954" s="50" t="s">
        <v>56</v>
      </c>
      <c r="D4954" s="50" t="s">
        <v>27</v>
      </c>
      <c r="E4954" s="50">
        <v>50032781</v>
      </c>
      <c r="F4954" s="50" t="s">
        <v>237</v>
      </c>
      <c r="G4954" s="50">
        <v>1</v>
      </c>
      <c r="H4954" s="50" t="s">
        <v>2</v>
      </c>
      <c r="I4954" s="50" t="s">
        <v>287</v>
      </c>
      <c r="J4954" s="51">
        <v>45946</v>
      </c>
      <c r="K4954" s="50" t="s">
        <v>1</v>
      </c>
      <c r="L4954" s="50" t="s">
        <v>80</v>
      </c>
    </row>
    <row r="4955" spans="2:12">
      <c r="B4955" s="50" t="s">
        <v>387</v>
      </c>
      <c r="C4955" s="50" t="s">
        <v>56</v>
      </c>
      <c r="D4955" s="50" t="s">
        <v>27</v>
      </c>
      <c r="E4955" s="50">
        <v>50028220</v>
      </c>
      <c r="F4955" s="50" t="s">
        <v>242</v>
      </c>
      <c r="G4955" s="50">
        <v>1</v>
      </c>
      <c r="H4955" s="50" t="s">
        <v>2</v>
      </c>
      <c r="I4955" s="50" t="s">
        <v>292</v>
      </c>
      <c r="J4955" s="51">
        <v>45946</v>
      </c>
      <c r="K4955" s="50" t="s">
        <v>3</v>
      </c>
      <c r="L4955" s="50" t="s">
        <v>80</v>
      </c>
    </row>
    <row r="4956" spans="2:12">
      <c r="B4956" s="50" t="s">
        <v>387</v>
      </c>
      <c r="C4956" s="50" t="s">
        <v>56</v>
      </c>
      <c r="D4956" s="50" t="s">
        <v>27</v>
      </c>
      <c r="E4956" s="50">
        <v>50028220</v>
      </c>
      <c r="F4956" s="50" t="s">
        <v>242</v>
      </c>
      <c r="G4956" s="50">
        <v>1</v>
      </c>
      <c r="H4956" s="50" t="s">
        <v>2</v>
      </c>
      <c r="I4956" s="50" t="s">
        <v>287</v>
      </c>
      <c r="J4956" s="51">
        <v>45946</v>
      </c>
      <c r="K4956" s="50" t="s">
        <v>3</v>
      </c>
      <c r="L4956" s="50" t="s">
        <v>80</v>
      </c>
    </row>
    <row r="4957" spans="2:12">
      <c r="B4957" s="50" t="s">
        <v>399</v>
      </c>
      <c r="C4957" s="50" t="s">
        <v>51</v>
      </c>
      <c r="D4957" s="50" t="s">
        <v>27</v>
      </c>
      <c r="E4957" s="50">
        <v>50010031</v>
      </c>
      <c r="F4957" s="50" t="s">
        <v>89</v>
      </c>
      <c r="G4957" s="50">
        <v>1</v>
      </c>
      <c r="H4957" s="50" t="s">
        <v>2</v>
      </c>
      <c r="I4957" s="50" t="s">
        <v>292</v>
      </c>
      <c r="J4957" s="51">
        <v>45945</v>
      </c>
      <c r="K4957" s="50" t="s">
        <v>1</v>
      </c>
      <c r="L4957" s="50" t="s">
        <v>80</v>
      </c>
    </row>
    <row r="4958" spans="2:12">
      <c r="B4958" s="50" t="s">
        <v>399</v>
      </c>
      <c r="C4958" s="50" t="s">
        <v>51</v>
      </c>
      <c r="D4958" s="50" t="s">
        <v>27</v>
      </c>
      <c r="E4958" s="50">
        <v>50010031</v>
      </c>
      <c r="F4958" s="50" t="s">
        <v>89</v>
      </c>
      <c r="G4958" s="50">
        <v>1</v>
      </c>
      <c r="H4958" s="50" t="s">
        <v>2</v>
      </c>
      <c r="I4958" s="50" t="s">
        <v>293</v>
      </c>
      <c r="J4958" s="51">
        <v>45945</v>
      </c>
      <c r="K4958" s="50" t="s">
        <v>1</v>
      </c>
      <c r="L4958" s="50" t="s">
        <v>80</v>
      </c>
    </row>
    <row r="4959" spans="2:12">
      <c r="B4959" s="50" t="s">
        <v>394</v>
      </c>
      <c r="C4959" s="50" t="s">
        <v>26</v>
      </c>
      <c r="D4959" s="50" t="s">
        <v>41</v>
      </c>
      <c r="E4959" s="50">
        <v>50036086</v>
      </c>
      <c r="F4959" s="50" t="s">
        <v>28</v>
      </c>
      <c r="G4959" s="50">
        <v>1</v>
      </c>
      <c r="H4959" s="50" t="s">
        <v>2</v>
      </c>
      <c r="I4959" s="50" t="s">
        <v>287</v>
      </c>
      <c r="J4959" s="51">
        <v>45945</v>
      </c>
      <c r="K4959" s="50" t="s">
        <v>3</v>
      </c>
      <c r="L4959" s="50" t="s">
        <v>80</v>
      </c>
    </row>
    <row r="4960" spans="2:12">
      <c r="B4960" s="50" t="s">
        <v>394</v>
      </c>
      <c r="C4960" s="50" t="s">
        <v>26</v>
      </c>
      <c r="D4960" s="50" t="s">
        <v>41</v>
      </c>
      <c r="E4960" s="50">
        <v>50036086</v>
      </c>
      <c r="F4960" s="50" t="s">
        <v>28</v>
      </c>
      <c r="G4960" s="50">
        <v>1</v>
      </c>
      <c r="H4960" s="50" t="s">
        <v>2</v>
      </c>
      <c r="I4960" s="50" t="s">
        <v>291</v>
      </c>
      <c r="J4960" s="51">
        <v>45945</v>
      </c>
      <c r="K4960" s="50" t="s">
        <v>1</v>
      </c>
      <c r="L4960" s="50" t="s">
        <v>80</v>
      </c>
    </row>
    <row r="4961" spans="2:12">
      <c r="B4961" s="50" t="e">
        <v>#N/A</v>
      </c>
      <c r="C4961" s="50" t="s">
        <v>26</v>
      </c>
      <c r="D4961" s="50" t="s">
        <v>27</v>
      </c>
      <c r="E4961" s="50">
        <v>50037905</v>
      </c>
      <c r="F4961" s="50" t="s">
        <v>150</v>
      </c>
      <c r="G4961" s="50">
        <v>1</v>
      </c>
      <c r="H4961" s="50" t="s">
        <v>2</v>
      </c>
      <c r="I4961" s="50" t="s">
        <v>291</v>
      </c>
      <c r="J4961" s="51">
        <v>45945</v>
      </c>
      <c r="K4961" s="50" t="s">
        <v>3</v>
      </c>
      <c r="L4961" s="50" t="s">
        <v>80</v>
      </c>
    </row>
    <row r="4962" spans="2:12">
      <c r="B4962" s="50" t="e">
        <v>#N/A</v>
      </c>
      <c r="C4962" s="50" t="s">
        <v>26</v>
      </c>
      <c r="D4962" s="50" t="s">
        <v>27</v>
      </c>
      <c r="E4962" s="50">
        <v>50037905</v>
      </c>
      <c r="F4962" s="50" t="s">
        <v>150</v>
      </c>
      <c r="G4962" s="50">
        <v>1</v>
      </c>
      <c r="H4962" s="50" t="s">
        <v>2</v>
      </c>
      <c r="I4962" s="50" t="s">
        <v>291</v>
      </c>
      <c r="J4962" s="51">
        <v>45945</v>
      </c>
      <c r="K4962" s="50" t="s">
        <v>1</v>
      </c>
      <c r="L4962" s="50" t="s">
        <v>80</v>
      </c>
    </row>
    <row r="4963" spans="2:12">
      <c r="B4963" s="50" t="s">
        <v>483</v>
      </c>
      <c r="C4963" s="50" t="s">
        <v>62</v>
      </c>
      <c r="D4963" s="50" t="s">
        <v>27</v>
      </c>
      <c r="E4963" s="50">
        <v>50039236</v>
      </c>
      <c r="F4963" s="50" t="s">
        <v>154</v>
      </c>
      <c r="G4963" s="50">
        <v>1</v>
      </c>
      <c r="H4963" s="50" t="s">
        <v>2</v>
      </c>
      <c r="I4963" s="50" t="s">
        <v>292</v>
      </c>
      <c r="J4963" s="51">
        <v>45945</v>
      </c>
      <c r="K4963" s="50" t="s">
        <v>3</v>
      </c>
      <c r="L4963" s="50" t="s">
        <v>80</v>
      </c>
    </row>
    <row r="4964" spans="2:12">
      <c r="B4964" s="50" t="s">
        <v>483</v>
      </c>
      <c r="C4964" s="50" t="s">
        <v>62</v>
      </c>
      <c r="D4964" s="50" t="s">
        <v>27</v>
      </c>
      <c r="E4964" s="50">
        <v>50039236</v>
      </c>
      <c r="F4964" s="50" t="s">
        <v>154</v>
      </c>
      <c r="G4964" s="50">
        <v>1</v>
      </c>
      <c r="H4964" s="50" t="s">
        <v>2</v>
      </c>
      <c r="I4964" s="50" t="s">
        <v>287</v>
      </c>
      <c r="J4964" s="51">
        <v>45945</v>
      </c>
      <c r="K4964" s="50" t="s">
        <v>1</v>
      </c>
      <c r="L4964" s="50" t="s">
        <v>80</v>
      </c>
    </row>
    <row r="4965" spans="2:12">
      <c r="B4965" s="50" t="s">
        <v>450</v>
      </c>
      <c r="C4965" s="50" t="s">
        <v>61</v>
      </c>
      <c r="D4965" s="50" t="s">
        <v>39</v>
      </c>
      <c r="E4965" s="50">
        <v>50043471</v>
      </c>
      <c r="F4965" s="50" t="s">
        <v>257</v>
      </c>
      <c r="G4965" s="50">
        <v>1</v>
      </c>
      <c r="H4965" s="50" t="s">
        <v>2</v>
      </c>
      <c r="I4965" s="50" t="s">
        <v>291</v>
      </c>
      <c r="J4965" s="51">
        <v>45945</v>
      </c>
      <c r="K4965" s="59" t="s">
        <v>3</v>
      </c>
      <c r="L4965" s="50" t="s">
        <v>80</v>
      </c>
    </row>
    <row r="4966" spans="2:12">
      <c r="B4966" s="50" t="s">
        <v>450</v>
      </c>
      <c r="C4966" s="50" t="s">
        <v>61</v>
      </c>
      <c r="D4966" s="50" t="s">
        <v>39</v>
      </c>
      <c r="E4966" s="50">
        <v>50043471</v>
      </c>
      <c r="F4966" s="50" t="s">
        <v>257</v>
      </c>
      <c r="G4966" s="50">
        <v>1</v>
      </c>
      <c r="H4966" s="50" t="s">
        <v>2</v>
      </c>
      <c r="I4966" s="50" t="s">
        <v>291</v>
      </c>
      <c r="J4966" s="51">
        <v>45945</v>
      </c>
      <c r="K4966" s="59" t="s">
        <v>1</v>
      </c>
      <c r="L4966" s="50" t="s">
        <v>80</v>
      </c>
    </row>
    <row r="4967" spans="2:12">
      <c r="B4967" s="50" t="s">
        <v>57</v>
      </c>
      <c r="C4967" s="58" t="s">
        <v>56</v>
      </c>
      <c r="D4967" s="58" t="s">
        <v>36</v>
      </c>
      <c r="E4967" s="50">
        <v>50043471</v>
      </c>
      <c r="F4967" s="50" t="s">
        <v>257</v>
      </c>
      <c r="G4967" s="58">
        <v>1</v>
      </c>
      <c r="H4967" s="59" t="s">
        <v>2</v>
      </c>
      <c r="I4967" s="59" t="s">
        <v>310</v>
      </c>
      <c r="J4967" s="60">
        <v>45945</v>
      </c>
      <c r="K4967" s="50" t="s">
        <v>3</v>
      </c>
      <c r="L4967" s="50" t="s">
        <v>80</v>
      </c>
    </row>
    <row r="4968" spans="2:12">
      <c r="B4968" s="50" t="s">
        <v>57</v>
      </c>
      <c r="C4968" s="58" t="s">
        <v>56</v>
      </c>
      <c r="D4968" s="58" t="s">
        <v>36</v>
      </c>
      <c r="E4968" s="50">
        <v>50043471</v>
      </c>
      <c r="F4968" s="50" t="s">
        <v>257</v>
      </c>
      <c r="G4968" s="58">
        <v>1</v>
      </c>
      <c r="H4968" s="59" t="s">
        <v>2</v>
      </c>
      <c r="I4968" s="59" t="s">
        <v>310</v>
      </c>
      <c r="J4968" s="60">
        <v>45945</v>
      </c>
      <c r="K4968" s="50" t="s">
        <v>3</v>
      </c>
      <c r="L4968" s="50" t="s">
        <v>80</v>
      </c>
    </row>
    <row r="4969" spans="2:12">
      <c r="B4969" s="50" t="s">
        <v>345</v>
      </c>
      <c r="C4969" s="50" t="s">
        <v>56</v>
      </c>
      <c r="D4969" s="50" t="s">
        <v>27</v>
      </c>
      <c r="E4969" s="50">
        <v>50038549</v>
      </c>
      <c r="F4969" s="50" t="s">
        <v>173</v>
      </c>
      <c r="G4969" s="50">
        <v>1</v>
      </c>
      <c r="H4969" s="50" t="s">
        <v>2</v>
      </c>
      <c r="I4969" s="50" t="s">
        <v>293</v>
      </c>
      <c r="J4969" s="51">
        <v>45945</v>
      </c>
      <c r="K4969" s="50" t="s">
        <v>3</v>
      </c>
      <c r="L4969" s="50" t="s">
        <v>80</v>
      </c>
    </row>
    <row r="4970" spans="2:12">
      <c r="B4970" s="50" t="s">
        <v>411</v>
      </c>
      <c r="C4970" s="50" t="s">
        <v>26</v>
      </c>
      <c r="D4970" s="50" t="s">
        <v>27</v>
      </c>
      <c r="E4970" s="50">
        <v>50037909</v>
      </c>
      <c r="F4970" s="50" t="s">
        <v>175</v>
      </c>
      <c r="G4970" s="50">
        <v>1</v>
      </c>
      <c r="H4970" s="50" t="s">
        <v>2</v>
      </c>
      <c r="I4970" s="50" t="s">
        <v>291</v>
      </c>
      <c r="J4970" s="51">
        <v>45945</v>
      </c>
      <c r="K4970" s="50" t="s">
        <v>1</v>
      </c>
      <c r="L4970" s="50" t="s">
        <v>81</v>
      </c>
    </row>
    <row r="4971" spans="2:12">
      <c r="B4971" s="50" t="s">
        <v>411</v>
      </c>
      <c r="C4971" s="50" t="s">
        <v>26</v>
      </c>
      <c r="D4971" s="50" t="s">
        <v>27</v>
      </c>
      <c r="E4971" s="50">
        <v>50037909</v>
      </c>
      <c r="F4971" s="50" t="s">
        <v>175</v>
      </c>
      <c r="G4971" s="50">
        <v>1</v>
      </c>
      <c r="H4971" s="50" t="s">
        <v>2</v>
      </c>
      <c r="I4971" s="50" t="s">
        <v>291</v>
      </c>
      <c r="J4971" s="51">
        <v>45945</v>
      </c>
      <c r="K4971" s="50" t="s">
        <v>1</v>
      </c>
      <c r="L4971" s="50" t="s">
        <v>80</v>
      </c>
    </row>
    <row r="4972" spans="2:12">
      <c r="B4972" s="50" t="s">
        <v>25</v>
      </c>
      <c r="C4972" s="50" t="s">
        <v>26</v>
      </c>
      <c r="D4972" s="50" t="s">
        <v>27</v>
      </c>
      <c r="E4972" s="50">
        <v>50022878</v>
      </c>
      <c r="F4972" s="50" t="s">
        <v>296</v>
      </c>
      <c r="G4972" s="50">
        <v>1</v>
      </c>
      <c r="H4972" s="50" t="s">
        <v>2</v>
      </c>
      <c r="I4972" s="50" t="s">
        <v>287</v>
      </c>
      <c r="J4972" s="51">
        <v>45945</v>
      </c>
      <c r="K4972" s="50" t="s">
        <v>3</v>
      </c>
      <c r="L4972" s="50" t="s">
        <v>80</v>
      </c>
    </row>
    <row r="4973" spans="2:12">
      <c r="B4973" s="50" t="s">
        <v>25</v>
      </c>
      <c r="C4973" s="50" t="s">
        <v>26</v>
      </c>
      <c r="D4973" s="50" t="s">
        <v>27</v>
      </c>
      <c r="E4973" s="50">
        <v>50022878</v>
      </c>
      <c r="F4973" s="50" t="s">
        <v>296</v>
      </c>
      <c r="G4973" s="50">
        <v>1</v>
      </c>
      <c r="H4973" s="50" t="s">
        <v>2</v>
      </c>
      <c r="I4973" s="50" t="s">
        <v>287</v>
      </c>
      <c r="J4973" s="51">
        <v>45945</v>
      </c>
      <c r="K4973" s="50" t="s">
        <v>1</v>
      </c>
      <c r="L4973" s="50" t="s">
        <v>80</v>
      </c>
    </row>
    <row r="4974" spans="2:12">
      <c r="B4974" s="50" t="s">
        <v>483</v>
      </c>
      <c r="C4974" s="50" t="s">
        <v>62</v>
      </c>
      <c r="D4974" s="50" t="s">
        <v>27</v>
      </c>
      <c r="E4974" s="50">
        <v>50038956</v>
      </c>
      <c r="F4974" s="50" t="s">
        <v>177</v>
      </c>
      <c r="G4974" s="50">
        <v>1</v>
      </c>
      <c r="H4974" s="50" t="s">
        <v>2</v>
      </c>
      <c r="I4974" s="50" t="s">
        <v>292</v>
      </c>
      <c r="J4974" s="51">
        <v>45945</v>
      </c>
      <c r="K4974" s="50" t="s">
        <v>3</v>
      </c>
      <c r="L4974" s="50" t="s">
        <v>80</v>
      </c>
    </row>
    <row r="4975" spans="2:12">
      <c r="B4975" s="50" t="s">
        <v>483</v>
      </c>
      <c r="C4975" s="50" t="s">
        <v>62</v>
      </c>
      <c r="D4975" s="50" t="s">
        <v>27</v>
      </c>
      <c r="E4975" s="50">
        <v>50038956</v>
      </c>
      <c r="F4975" s="50" t="s">
        <v>177</v>
      </c>
      <c r="G4975" s="50">
        <v>1</v>
      </c>
      <c r="H4975" s="50" t="s">
        <v>2</v>
      </c>
      <c r="I4975" s="50" t="s">
        <v>287</v>
      </c>
      <c r="J4975" s="51">
        <v>45945</v>
      </c>
      <c r="K4975" s="50" t="s">
        <v>3</v>
      </c>
      <c r="L4975" s="50" t="s">
        <v>80</v>
      </c>
    </row>
    <row r="4976" spans="2:12">
      <c r="B4976" s="50" t="s">
        <v>410</v>
      </c>
      <c r="C4976" s="50" t="s">
        <v>51</v>
      </c>
      <c r="D4976" s="50" t="s">
        <v>27</v>
      </c>
      <c r="E4976" s="50">
        <v>50037892</v>
      </c>
      <c r="F4976" s="50" t="s">
        <v>178</v>
      </c>
      <c r="G4976" s="50">
        <v>1</v>
      </c>
      <c r="H4976" s="50" t="s">
        <v>2</v>
      </c>
      <c r="I4976" s="50" t="s">
        <v>291</v>
      </c>
      <c r="J4976" s="51">
        <v>45945</v>
      </c>
      <c r="K4976" s="50" t="s">
        <v>3</v>
      </c>
      <c r="L4976" s="50" t="s">
        <v>80</v>
      </c>
    </row>
    <row r="4977" spans="2:12">
      <c r="B4977" s="50" t="s">
        <v>446</v>
      </c>
      <c r="C4977" s="50" t="s">
        <v>56</v>
      </c>
      <c r="D4977" s="50" t="s">
        <v>27</v>
      </c>
      <c r="E4977" s="50">
        <v>50037892</v>
      </c>
      <c r="F4977" s="50" t="s">
        <v>178</v>
      </c>
      <c r="G4977" s="50">
        <v>1</v>
      </c>
      <c r="H4977" s="50" t="s">
        <v>2</v>
      </c>
      <c r="I4977" s="50" t="s">
        <v>291</v>
      </c>
      <c r="J4977" s="51">
        <v>45945</v>
      </c>
      <c r="K4977" s="50" t="s">
        <v>3</v>
      </c>
      <c r="L4977" s="50" t="s">
        <v>80</v>
      </c>
    </row>
    <row r="4978" spans="2:12">
      <c r="B4978" s="50" t="s">
        <v>410</v>
      </c>
      <c r="C4978" s="50" t="s">
        <v>51</v>
      </c>
      <c r="D4978" s="50" t="s">
        <v>27</v>
      </c>
      <c r="E4978" s="50">
        <v>50037892</v>
      </c>
      <c r="F4978" s="50" t="s">
        <v>178</v>
      </c>
      <c r="G4978" s="50">
        <v>1</v>
      </c>
      <c r="H4978" s="50" t="s">
        <v>2</v>
      </c>
      <c r="I4978" s="50" t="s">
        <v>291</v>
      </c>
      <c r="J4978" s="51">
        <v>45945</v>
      </c>
      <c r="K4978" s="50" t="s">
        <v>1</v>
      </c>
      <c r="L4978" s="50" t="s">
        <v>80</v>
      </c>
    </row>
    <row r="4979" spans="2:12">
      <c r="B4979" s="50" t="s">
        <v>316</v>
      </c>
      <c r="C4979" s="50" t="s">
        <v>51</v>
      </c>
      <c r="D4979" s="50" t="s">
        <v>27</v>
      </c>
      <c r="E4979" s="50">
        <v>50037902</v>
      </c>
      <c r="F4979" s="50" t="s">
        <v>179</v>
      </c>
      <c r="G4979" s="50">
        <v>1</v>
      </c>
      <c r="H4979" s="50" t="s">
        <v>2</v>
      </c>
      <c r="I4979" s="50" t="s">
        <v>291</v>
      </c>
      <c r="J4979" s="51">
        <v>45945</v>
      </c>
      <c r="K4979" s="50" t="s">
        <v>3</v>
      </c>
      <c r="L4979" s="50" t="s">
        <v>80</v>
      </c>
    </row>
    <row r="4980" spans="2:12">
      <c r="B4980" s="50" t="s">
        <v>471</v>
      </c>
      <c r="C4980" s="50" t="s">
        <v>26</v>
      </c>
      <c r="D4980" s="50" t="s">
        <v>27</v>
      </c>
      <c r="E4980" s="50">
        <v>50038841</v>
      </c>
      <c r="F4980" s="50" t="s">
        <v>180</v>
      </c>
      <c r="G4980" s="50">
        <v>1</v>
      </c>
      <c r="H4980" s="50" t="s">
        <v>2</v>
      </c>
      <c r="I4980" s="50" t="s">
        <v>289</v>
      </c>
      <c r="J4980" s="51">
        <v>45945</v>
      </c>
      <c r="K4980" s="50" t="s">
        <v>1</v>
      </c>
      <c r="L4980" s="50" t="s">
        <v>80</v>
      </c>
    </row>
    <row r="4981" spans="2:12">
      <c r="B4981" s="50" t="s">
        <v>471</v>
      </c>
      <c r="C4981" s="50" t="s">
        <v>26</v>
      </c>
      <c r="D4981" s="50" t="s">
        <v>27</v>
      </c>
      <c r="E4981" s="50">
        <v>50038841</v>
      </c>
      <c r="F4981" s="50" t="s">
        <v>180</v>
      </c>
      <c r="G4981" s="50">
        <v>1</v>
      </c>
      <c r="H4981" s="50" t="s">
        <v>2</v>
      </c>
      <c r="I4981" s="50" t="s">
        <v>293</v>
      </c>
      <c r="J4981" s="51">
        <v>45945</v>
      </c>
      <c r="K4981" s="50" t="s">
        <v>3</v>
      </c>
      <c r="L4981" s="50" t="s">
        <v>80</v>
      </c>
    </row>
    <row r="4982" spans="2:12">
      <c r="B4982" s="50" t="s">
        <v>450</v>
      </c>
      <c r="C4982" s="50" t="s">
        <v>61</v>
      </c>
      <c r="D4982" s="50" t="s">
        <v>39</v>
      </c>
      <c r="E4982" s="50">
        <v>50038841</v>
      </c>
      <c r="F4982" s="50" t="s">
        <v>180</v>
      </c>
      <c r="G4982" s="50">
        <v>1</v>
      </c>
      <c r="H4982" s="50" t="s">
        <v>2</v>
      </c>
      <c r="I4982" s="50" t="s">
        <v>291</v>
      </c>
      <c r="J4982" s="51">
        <v>45945</v>
      </c>
      <c r="K4982" s="50" t="s">
        <v>1</v>
      </c>
      <c r="L4982" s="50" t="s">
        <v>80</v>
      </c>
    </row>
    <row r="4983" spans="2:12">
      <c r="B4983" s="50" t="s">
        <v>450</v>
      </c>
      <c r="C4983" s="50" t="s">
        <v>61</v>
      </c>
      <c r="D4983" s="50" t="s">
        <v>39</v>
      </c>
      <c r="E4983" s="50">
        <v>50038841</v>
      </c>
      <c r="F4983" s="50" t="s">
        <v>180</v>
      </c>
      <c r="G4983" s="50">
        <v>1</v>
      </c>
      <c r="H4983" s="50" t="s">
        <v>2</v>
      </c>
      <c r="I4983" s="50" t="s">
        <v>291</v>
      </c>
      <c r="J4983" s="51">
        <v>45945</v>
      </c>
      <c r="K4983" s="50" t="s">
        <v>3</v>
      </c>
      <c r="L4983" s="50" t="s">
        <v>80</v>
      </c>
    </row>
    <row r="4984" spans="2:12">
      <c r="B4984" s="50" t="s">
        <v>316</v>
      </c>
      <c r="C4984" s="50" t="s">
        <v>56</v>
      </c>
      <c r="D4984" s="50" t="s">
        <v>27</v>
      </c>
      <c r="E4984" s="50">
        <v>50038517</v>
      </c>
      <c r="F4984" s="50" t="s">
        <v>181</v>
      </c>
      <c r="G4984" s="50">
        <v>1</v>
      </c>
      <c r="H4984" s="50" t="s">
        <v>2</v>
      </c>
      <c r="I4984" s="50" t="s">
        <v>293</v>
      </c>
      <c r="J4984" s="51">
        <v>45945</v>
      </c>
      <c r="K4984" s="59" t="s">
        <v>1</v>
      </c>
      <c r="L4984" s="50" t="s">
        <v>80</v>
      </c>
    </row>
    <row r="4985" spans="2:12">
      <c r="B4985" s="50" t="s">
        <v>316</v>
      </c>
      <c r="C4985" s="50" t="s">
        <v>56</v>
      </c>
      <c r="D4985" s="50" t="s">
        <v>27</v>
      </c>
      <c r="E4985" s="50">
        <v>50038517</v>
      </c>
      <c r="F4985" s="50" t="s">
        <v>181</v>
      </c>
      <c r="G4985" s="50">
        <v>1</v>
      </c>
      <c r="H4985" s="50" t="s">
        <v>2</v>
      </c>
      <c r="I4985" s="50" t="s">
        <v>291</v>
      </c>
      <c r="J4985" s="51">
        <v>45945</v>
      </c>
      <c r="K4985" s="50" t="s">
        <v>1</v>
      </c>
      <c r="L4985" s="50" t="s">
        <v>80</v>
      </c>
    </row>
    <row r="4986" spans="2:12">
      <c r="B4986" s="50" t="s">
        <v>432</v>
      </c>
      <c r="C4986" s="58" t="s">
        <v>26</v>
      </c>
      <c r="D4986" s="58" t="s">
        <v>36</v>
      </c>
      <c r="E4986" s="50">
        <v>50001995</v>
      </c>
      <c r="F4986" s="50" t="s">
        <v>185</v>
      </c>
      <c r="G4986" s="58">
        <v>1</v>
      </c>
      <c r="H4986" s="59" t="s">
        <v>2</v>
      </c>
      <c r="I4986" s="59" t="s">
        <v>313</v>
      </c>
      <c r="J4986" s="60">
        <v>45945</v>
      </c>
      <c r="K4986" s="50" t="s">
        <v>1</v>
      </c>
      <c r="L4986" s="50" t="s">
        <v>80</v>
      </c>
    </row>
    <row r="4987" spans="2:12">
      <c r="B4987" s="50" t="s">
        <v>399</v>
      </c>
      <c r="C4987" s="50" t="s">
        <v>51</v>
      </c>
      <c r="D4987" s="50" t="s">
        <v>27</v>
      </c>
      <c r="E4987" s="50">
        <v>50039065</v>
      </c>
      <c r="F4987" s="50" t="s">
        <v>186</v>
      </c>
      <c r="G4987" s="50">
        <v>1</v>
      </c>
      <c r="H4987" s="50" t="s">
        <v>2</v>
      </c>
      <c r="I4987" s="50" t="s">
        <v>292</v>
      </c>
      <c r="J4987" s="51">
        <v>45945</v>
      </c>
      <c r="K4987" s="59" t="s">
        <v>3</v>
      </c>
      <c r="L4987" s="50" t="s">
        <v>80</v>
      </c>
    </row>
    <row r="4988" spans="2:12">
      <c r="B4988" s="50" t="s">
        <v>399</v>
      </c>
      <c r="C4988" s="50" t="s">
        <v>51</v>
      </c>
      <c r="D4988" s="50" t="s">
        <v>27</v>
      </c>
      <c r="E4988" s="50">
        <v>50039065</v>
      </c>
      <c r="F4988" s="50" t="s">
        <v>186</v>
      </c>
      <c r="G4988" s="50">
        <v>1</v>
      </c>
      <c r="H4988" s="50" t="s">
        <v>2</v>
      </c>
      <c r="I4988" s="50" t="s">
        <v>293</v>
      </c>
      <c r="J4988" s="51">
        <v>45945</v>
      </c>
      <c r="K4988" s="50" t="s">
        <v>1</v>
      </c>
      <c r="L4988" s="50" t="s">
        <v>80</v>
      </c>
    </row>
    <row r="4989" spans="2:12">
      <c r="B4989" s="50" t="s">
        <v>25</v>
      </c>
      <c r="C4989" s="50" t="s">
        <v>26</v>
      </c>
      <c r="D4989" s="50" t="s">
        <v>27</v>
      </c>
      <c r="E4989" s="50">
        <v>50036297</v>
      </c>
      <c r="F4989" s="50" t="s">
        <v>189</v>
      </c>
      <c r="G4989" s="50">
        <v>1</v>
      </c>
      <c r="H4989" s="50" t="s">
        <v>2</v>
      </c>
      <c r="I4989" s="50" t="s">
        <v>287</v>
      </c>
      <c r="J4989" s="51">
        <v>45945</v>
      </c>
      <c r="K4989" s="50" t="s">
        <v>3</v>
      </c>
      <c r="L4989" s="50" t="s">
        <v>80</v>
      </c>
    </row>
    <row r="4990" spans="2:12">
      <c r="B4990" s="50" t="s">
        <v>25</v>
      </c>
      <c r="C4990" s="50" t="s">
        <v>26</v>
      </c>
      <c r="D4990" s="50" t="s">
        <v>27</v>
      </c>
      <c r="E4990" s="50">
        <v>50036297</v>
      </c>
      <c r="F4990" s="50" t="s">
        <v>189</v>
      </c>
      <c r="G4990" s="50">
        <v>1</v>
      </c>
      <c r="H4990" s="50" t="s">
        <v>2</v>
      </c>
      <c r="I4990" s="50" t="s">
        <v>291</v>
      </c>
      <c r="J4990" s="51">
        <v>45945</v>
      </c>
      <c r="K4990" s="50" t="s">
        <v>1</v>
      </c>
      <c r="L4990" s="50" t="s">
        <v>80</v>
      </c>
    </row>
    <row r="4991" spans="2:12">
      <c r="B4991" s="50" t="s">
        <v>439</v>
      </c>
      <c r="C4991" s="50" t="s">
        <v>62</v>
      </c>
      <c r="D4991" s="50" t="s">
        <v>27</v>
      </c>
      <c r="E4991" s="50">
        <v>50026357</v>
      </c>
      <c r="F4991" s="50" t="s">
        <v>192</v>
      </c>
      <c r="G4991" s="50">
        <v>1</v>
      </c>
      <c r="H4991" s="50" t="s">
        <v>2</v>
      </c>
      <c r="I4991" s="50" t="s">
        <v>297</v>
      </c>
      <c r="J4991" s="51">
        <v>45945</v>
      </c>
      <c r="K4991" s="50" t="s">
        <v>3</v>
      </c>
      <c r="L4991" s="50" t="s">
        <v>80</v>
      </c>
    </row>
    <row r="4992" spans="2:12">
      <c r="B4992" s="50" t="s">
        <v>439</v>
      </c>
      <c r="C4992" s="50" t="s">
        <v>62</v>
      </c>
      <c r="D4992" s="50" t="s">
        <v>27</v>
      </c>
      <c r="E4992" s="50">
        <v>50026357</v>
      </c>
      <c r="F4992" s="50" t="s">
        <v>192</v>
      </c>
      <c r="G4992" s="50">
        <v>1</v>
      </c>
      <c r="H4992" s="50" t="s">
        <v>2</v>
      </c>
      <c r="I4992" s="50" t="s">
        <v>291</v>
      </c>
      <c r="J4992" s="51">
        <v>45945</v>
      </c>
      <c r="K4992" s="50" t="s">
        <v>3</v>
      </c>
      <c r="L4992" s="50" t="s">
        <v>80</v>
      </c>
    </row>
    <row r="4993" spans="2:12">
      <c r="B4993" s="50" t="s">
        <v>481</v>
      </c>
      <c r="C4993" s="50" t="s">
        <v>56</v>
      </c>
      <c r="D4993" s="50" t="s">
        <v>27</v>
      </c>
      <c r="E4993" s="50">
        <v>50041195</v>
      </c>
      <c r="F4993" s="50" t="s">
        <v>206</v>
      </c>
      <c r="G4993" s="50">
        <v>1</v>
      </c>
      <c r="H4993" s="50" t="s">
        <v>2</v>
      </c>
      <c r="I4993" s="50" t="s">
        <v>293</v>
      </c>
      <c r="J4993" s="51">
        <v>45945</v>
      </c>
      <c r="K4993" s="50" t="s">
        <v>3</v>
      </c>
      <c r="L4993" s="50" t="s">
        <v>80</v>
      </c>
    </row>
    <row r="4994" spans="2:12">
      <c r="B4994" s="50" t="s">
        <v>446</v>
      </c>
      <c r="C4994" s="50" t="s">
        <v>56</v>
      </c>
      <c r="D4994" s="50" t="s">
        <v>27</v>
      </c>
      <c r="E4994" s="50">
        <v>50041195</v>
      </c>
      <c r="F4994" s="50" t="s">
        <v>206</v>
      </c>
      <c r="G4994" s="50">
        <v>1</v>
      </c>
      <c r="H4994" s="50" t="s">
        <v>2</v>
      </c>
      <c r="I4994" s="50" t="s">
        <v>291</v>
      </c>
      <c r="J4994" s="51">
        <v>45945</v>
      </c>
      <c r="K4994" s="50" t="s">
        <v>1</v>
      </c>
      <c r="L4994" s="50" t="s">
        <v>80</v>
      </c>
    </row>
    <row r="4995" spans="2:12">
      <c r="B4995" s="50" t="s">
        <v>450</v>
      </c>
      <c r="C4995" s="50" t="s">
        <v>61</v>
      </c>
      <c r="D4995" s="50" t="s">
        <v>39</v>
      </c>
      <c r="E4995" s="50">
        <v>50032775</v>
      </c>
      <c r="F4995" s="50" t="s">
        <v>307</v>
      </c>
      <c r="G4995" s="50">
        <v>1</v>
      </c>
      <c r="H4995" s="50" t="s">
        <v>2</v>
      </c>
      <c r="I4995" s="50" t="s">
        <v>291</v>
      </c>
      <c r="J4995" s="51">
        <v>45945</v>
      </c>
      <c r="K4995" s="50" t="s">
        <v>3</v>
      </c>
      <c r="L4995" s="50" t="s">
        <v>80</v>
      </c>
    </row>
    <row r="4996" spans="2:12">
      <c r="B4996" s="50" t="s">
        <v>450</v>
      </c>
      <c r="C4996" s="50" t="s">
        <v>61</v>
      </c>
      <c r="D4996" s="50" t="s">
        <v>39</v>
      </c>
      <c r="E4996" s="50">
        <v>50032775</v>
      </c>
      <c r="F4996" s="50" t="s">
        <v>307</v>
      </c>
      <c r="G4996" s="50">
        <v>1</v>
      </c>
      <c r="H4996" s="50" t="s">
        <v>2</v>
      </c>
      <c r="I4996" s="50" t="s">
        <v>291</v>
      </c>
      <c r="J4996" s="51">
        <v>45945</v>
      </c>
      <c r="K4996" s="50" t="s">
        <v>1</v>
      </c>
      <c r="L4996" s="50" t="s">
        <v>80</v>
      </c>
    </row>
    <row r="4997" spans="2:12">
      <c r="B4997" s="50" t="s">
        <v>450</v>
      </c>
      <c r="C4997" s="50" t="s">
        <v>61</v>
      </c>
      <c r="D4997" s="50" t="s">
        <v>39</v>
      </c>
      <c r="E4997" s="50">
        <v>50044453</v>
      </c>
      <c r="F4997" s="50" t="s">
        <v>320</v>
      </c>
      <c r="G4997" s="50">
        <v>1</v>
      </c>
      <c r="H4997" s="50" t="s">
        <v>2</v>
      </c>
      <c r="I4997" s="50" t="s">
        <v>291</v>
      </c>
      <c r="J4997" s="51">
        <v>45945</v>
      </c>
      <c r="K4997" s="50" t="s">
        <v>3</v>
      </c>
      <c r="L4997" s="50" t="s">
        <v>80</v>
      </c>
    </row>
    <row r="4998" spans="2:12">
      <c r="B4998" s="50" t="s">
        <v>450</v>
      </c>
      <c r="C4998" s="50" t="s">
        <v>61</v>
      </c>
      <c r="D4998" s="50" t="s">
        <v>39</v>
      </c>
      <c r="E4998" s="50">
        <v>50044453</v>
      </c>
      <c r="F4998" s="50" t="s">
        <v>320</v>
      </c>
      <c r="G4998" s="50">
        <v>1</v>
      </c>
      <c r="H4998" s="50" t="s">
        <v>2</v>
      </c>
      <c r="I4998" s="50" t="s">
        <v>291</v>
      </c>
      <c r="J4998" s="51">
        <v>45945</v>
      </c>
      <c r="K4998" s="50" t="s">
        <v>1</v>
      </c>
      <c r="L4998" s="50" t="s">
        <v>80</v>
      </c>
    </row>
    <row r="4999" spans="2:12">
      <c r="B4999" s="50" t="s">
        <v>397</v>
      </c>
      <c r="C4999" s="50" t="s">
        <v>26</v>
      </c>
      <c r="D4999" s="50" t="s">
        <v>41</v>
      </c>
      <c r="E4999" s="50">
        <v>50037952</v>
      </c>
      <c r="F4999" s="50" t="s">
        <v>245</v>
      </c>
      <c r="G4999" s="50">
        <v>1</v>
      </c>
      <c r="H4999" s="50" t="s">
        <v>2</v>
      </c>
      <c r="I4999" s="50" t="s">
        <v>287</v>
      </c>
      <c r="J4999" s="51">
        <v>45945</v>
      </c>
      <c r="K4999" s="50" t="s">
        <v>3</v>
      </c>
      <c r="L4999" s="50" t="s">
        <v>80</v>
      </c>
    </row>
    <row r="5000" spans="2:12">
      <c r="B5000" s="50" t="s">
        <v>397</v>
      </c>
      <c r="C5000" s="50" t="s">
        <v>26</v>
      </c>
      <c r="D5000" s="50" t="s">
        <v>41</v>
      </c>
      <c r="E5000" s="50">
        <v>50037952</v>
      </c>
      <c r="F5000" s="50" t="s">
        <v>245</v>
      </c>
      <c r="G5000" s="50">
        <v>1</v>
      </c>
      <c r="H5000" s="50" t="s">
        <v>2</v>
      </c>
      <c r="I5000" s="50" t="s">
        <v>287</v>
      </c>
      <c r="J5000" s="51">
        <v>45945</v>
      </c>
      <c r="K5000" s="50" t="s">
        <v>3</v>
      </c>
      <c r="L5000" s="50" t="s">
        <v>80</v>
      </c>
    </row>
    <row r="5001" spans="2:12">
      <c r="B5001" s="50" t="s">
        <v>478</v>
      </c>
      <c r="C5001" s="50" t="s">
        <v>51</v>
      </c>
      <c r="D5001" s="50" t="s">
        <v>27</v>
      </c>
      <c r="E5001" s="50">
        <v>50010031</v>
      </c>
      <c r="F5001" s="50" t="s">
        <v>89</v>
      </c>
      <c r="G5001" s="50">
        <v>1</v>
      </c>
      <c r="H5001" s="50" t="s">
        <v>2</v>
      </c>
      <c r="I5001" s="50" t="s">
        <v>292</v>
      </c>
      <c r="J5001" s="51">
        <v>45944</v>
      </c>
      <c r="K5001" s="50" t="s">
        <v>1</v>
      </c>
      <c r="L5001" s="50" t="s">
        <v>80</v>
      </c>
    </row>
    <row r="5002" spans="2:12">
      <c r="B5002" s="50" t="s">
        <v>478</v>
      </c>
      <c r="C5002" s="50" t="s">
        <v>51</v>
      </c>
      <c r="D5002" s="50" t="s">
        <v>27</v>
      </c>
      <c r="E5002" s="50">
        <v>50010031</v>
      </c>
      <c r="F5002" s="50" t="s">
        <v>89</v>
      </c>
      <c r="G5002" s="50">
        <v>1</v>
      </c>
      <c r="H5002" s="50" t="s">
        <v>2</v>
      </c>
      <c r="I5002" s="50" t="s">
        <v>293</v>
      </c>
      <c r="J5002" s="51">
        <v>45944</v>
      </c>
      <c r="K5002" s="50" t="s">
        <v>3</v>
      </c>
      <c r="L5002" s="50" t="s">
        <v>80</v>
      </c>
    </row>
    <row r="5003" spans="2:12">
      <c r="B5003" s="50" t="s">
        <v>474</v>
      </c>
      <c r="C5003" s="50" t="s">
        <v>51</v>
      </c>
      <c r="D5003" s="50" t="s">
        <v>27</v>
      </c>
      <c r="E5003" s="50">
        <v>50010031</v>
      </c>
      <c r="F5003" s="50" t="s">
        <v>89</v>
      </c>
      <c r="G5003" s="50">
        <v>1</v>
      </c>
      <c r="H5003" s="50" t="s">
        <v>2</v>
      </c>
      <c r="I5003" s="50" t="s">
        <v>292</v>
      </c>
      <c r="J5003" s="51">
        <v>45944</v>
      </c>
      <c r="K5003" s="50" t="s">
        <v>1</v>
      </c>
      <c r="L5003" s="50" t="s">
        <v>80</v>
      </c>
    </row>
    <row r="5004" spans="2:12">
      <c r="B5004" s="50" t="s">
        <v>474</v>
      </c>
      <c r="C5004" s="50" t="s">
        <v>51</v>
      </c>
      <c r="D5004" s="50" t="s">
        <v>27</v>
      </c>
      <c r="E5004" s="50">
        <v>50010031</v>
      </c>
      <c r="F5004" s="50" t="s">
        <v>89</v>
      </c>
      <c r="G5004" s="50">
        <v>1</v>
      </c>
      <c r="H5004" s="50" t="s">
        <v>2</v>
      </c>
      <c r="I5004" s="50" t="s">
        <v>290</v>
      </c>
      <c r="J5004" s="51">
        <v>45944</v>
      </c>
      <c r="K5004" s="50" t="s">
        <v>3</v>
      </c>
      <c r="L5004" s="50" t="s">
        <v>80</v>
      </c>
    </row>
    <row r="5005" spans="2:12">
      <c r="B5005" s="50" t="s">
        <v>474</v>
      </c>
      <c r="C5005" s="50" t="s">
        <v>51</v>
      </c>
      <c r="D5005" s="50" t="s">
        <v>27</v>
      </c>
      <c r="E5005" s="50">
        <v>50010031</v>
      </c>
      <c r="F5005" s="50" t="s">
        <v>89</v>
      </c>
      <c r="G5005" s="50">
        <v>1</v>
      </c>
      <c r="H5005" s="50" t="s">
        <v>2</v>
      </c>
      <c r="I5005" s="50" t="s">
        <v>290</v>
      </c>
      <c r="J5005" s="51">
        <v>45944</v>
      </c>
      <c r="K5005" s="50" t="s">
        <v>1</v>
      </c>
      <c r="L5005" s="50" t="s">
        <v>80</v>
      </c>
    </row>
    <row r="5006" spans="2:12">
      <c r="B5006" s="50" t="s">
        <v>474</v>
      </c>
      <c r="C5006" s="50" t="s">
        <v>51</v>
      </c>
      <c r="D5006" s="50" t="s">
        <v>27</v>
      </c>
      <c r="E5006" s="50">
        <v>50010031</v>
      </c>
      <c r="F5006" s="50" t="s">
        <v>89</v>
      </c>
      <c r="G5006" s="50">
        <v>1</v>
      </c>
      <c r="H5006" s="50" t="s">
        <v>2</v>
      </c>
      <c r="I5006" s="50" t="s">
        <v>288</v>
      </c>
      <c r="J5006" s="51">
        <v>45944</v>
      </c>
      <c r="K5006" s="50" t="s">
        <v>1</v>
      </c>
      <c r="L5006" s="50" t="s">
        <v>80</v>
      </c>
    </row>
    <row r="5007" spans="2:12">
      <c r="B5007" s="50" t="s">
        <v>25</v>
      </c>
      <c r="C5007" s="50" t="s">
        <v>26</v>
      </c>
      <c r="D5007" s="50" t="s">
        <v>27</v>
      </c>
      <c r="E5007" s="50">
        <v>50036086</v>
      </c>
      <c r="F5007" s="50" t="s">
        <v>28</v>
      </c>
      <c r="G5007" s="50">
        <v>1</v>
      </c>
      <c r="H5007" s="50" t="s">
        <v>2</v>
      </c>
      <c r="I5007" s="50" t="s">
        <v>293</v>
      </c>
      <c r="J5007" s="51">
        <v>45944</v>
      </c>
      <c r="K5007" s="50" t="s">
        <v>3</v>
      </c>
      <c r="L5007" s="50" t="s">
        <v>80</v>
      </c>
    </row>
    <row r="5008" spans="2:12">
      <c r="B5008" s="50" t="s">
        <v>25</v>
      </c>
      <c r="C5008" s="50" t="s">
        <v>26</v>
      </c>
      <c r="D5008" s="50" t="s">
        <v>27</v>
      </c>
      <c r="E5008" s="50">
        <v>50036086</v>
      </c>
      <c r="F5008" s="50" t="s">
        <v>28</v>
      </c>
      <c r="G5008" s="50">
        <v>1</v>
      </c>
      <c r="H5008" s="50" t="s">
        <v>2</v>
      </c>
      <c r="I5008" s="50" t="s">
        <v>292</v>
      </c>
      <c r="J5008" s="51">
        <v>45944</v>
      </c>
      <c r="K5008" s="50" t="s">
        <v>1</v>
      </c>
      <c r="L5008" s="50" t="s">
        <v>80</v>
      </c>
    </row>
    <row r="5009" spans="2:12">
      <c r="B5009" s="50" t="s">
        <v>427</v>
      </c>
      <c r="C5009" s="50" t="s">
        <v>26</v>
      </c>
      <c r="D5009" s="50" t="s">
        <v>27</v>
      </c>
      <c r="E5009" s="50">
        <v>50043471</v>
      </c>
      <c r="F5009" s="50" t="s">
        <v>257</v>
      </c>
      <c r="G5009" s="50">
        <v>1</v>
      </c>
      <c r="H5009" s="50" t="s">
        <v>2</v>
      </c>
      <c r="I5009" s="50" t="s">
        <v>288</v>
      </c>
      <c r="J5009" s="51">
        <v>45944</v>
      </c>
      <c r="K5009" s="50" t="s">
        <v>1</v>
      </c>
      <c r="L5009" s="50" t="s">
        <v>80</v>
      </c>
    </row>
    <row r="5010" spans="2:12">
      <c r="B5010" s="50" t="s">
        <v>389</v>
      </c>
      <c r="C5010" s="50" t="s">
        <v>56</v>
      </c>
      <c r="D5010" s="50" t="s">
        <v>27</v>
      </c>
      <c r="E5010" s="50">
        <v>50029865</v>
      </c>
      <c r="F5010" s="50" t="s">
        <v>162</v>
      </c>
      <c r="G5010" s="50">
        <v>1</v>
      </c>
      <c r="H5010" s="50" t="s">
        <v>2</v>
      </c>
      <c r="I5010" s="50" t="s">
        <v>293</v>
      </c>
      <c r="J5010" s="51">
        <v>45944</v>
      </c>
      <c r="K5010" s="50" t="s">
        <v>3</v>
      </c>
      <c r="L5010" s="50" t="s">
        <v>80</v>
      </c>
    </row>
    <row r="5011" spans="2:12">
      <c r="B5011" s="50" t="s">
        <v>389</v>
      </c>
      <c r="C5011" s="50" t="s">
        <v>56</v>
      </c>
      <c r="D5011" s="50" t="s">
        <v>27</v>
      </c>
      <c r="E5011" s="50">
        <v>50029865</v>
      </c>
      <c r="F5011" s="50" t="s">
        <v>162</v>
      </c>
      <c r="G5011" s="50">
        <v>1</v>
      </c>
      <c r="H5011" s="50" t="s">
        <v>2</v>
      </c>
      <c r="I5011" s="50" t="s">
        <v>288</v>
      </c>
      <c r="J5011" s="51">
        <v>45944</v>
      </c>
      <c r="K5011" s="50" t="s">
        <v>1</v>
      </c>
      <c r="L5011" s="50" t="s">
        <v>80</v>
      </c>
    </row>
    <row r="5012" spans="2:12">
      <c r="B5012" s="50" t="s">
        <v>481</v>
      </c>
      <c r="C5012" s="50" t="s">
        <v>26</v>
      </c>
      <c r="D5012" s="50" t="s">
        <v>27</v>
      </c>
      <c r="E5012" s="50">
        <v>50038549</v>
      </c>
      <c r="F5012" s="50" t="s">
        <v>173</v>
      </c>
      <c r="G5012" s="50">
        <v>1</v>
      </c>
      <c r="H5012" s="50" t="s">
        <v>2</v>
      </c>
      <c r="I5012" s="50" t="s">
        <v>293</v>
      </c>
      <c r="J5012" s="51">
        <v>45944</v>
      </c>
      <c r="K5012" s="50" t="s">
        <v>3</v>
      </c>
      <c r="L5012" s="50" t="s">
        <v>80</v>
      </c>
    </row>
    <row r="5013" spans="2:12">
      <c r="B5013" s="50" t="s">
        <v>481</v>
      </c>
      <c r="C5013" s="50" t="s">
        <v>26</v>
      </c>
      <c r="D5013" s="50" t="s">
        <v>27</v>
      </c>
      <c r="E5013" s="50">
        <v>50038549</v>
      </c>
      <c r="F5013" s="50" t="s">
        <v>173</v>
      </c>
      <c r="G5013" s="50">
        <v>1</v>
      </c>
      <c r="H5013" s="50" t="s">
        <v>2</v>
      </c>
      <c r="I5013" s="50" t="s">
        <v>287</v>
      </c>
      <c r="J5013" s="51">
        <v>45944</v>
      </c>
      <c r="K5013" s="50" t="s">
        <v>1</v>
      </c>
      <c r="L5013" s="50" t="s">
        <v>80</v>
      </c>
    </row>
    <row r="5014" spans="2:12">
      <c r="B5014" s="50" t="s">
        <v>389</v>
      </c>
      <c r="C5014" s="50" t="s">
        <v>56</v>
      </c>
      <c r="D5014" s="50" t="s">
        <v>27</v>
      </c>
      <c r="E5014" s="50">
        <v>50038956</v>
      </c>
      <c r="F5014" s="50" t="s">
        <v>177</v>
      </c>
      <c r="G5014" s="50">
        <v>1</v>
      </c>
      <c r="H5014" s="50" t="s">
        <v>2</v>
      </c>
      <c r="I5014" s="50" t="s">
        <v>293</v>
      </c>
      <c r="J5014" s="51">
        <v>45944</v>
      </c>
      <c r="K5014" s="50" t="s">
        <v>3</v>
      </c>
      <c r="L5014" s="50" t="s">
        <v>80</v>
      </c>
    </row>
    <row r="5015" spans="2:12">
      <c r="B5015" s="50" t="s">
        <v>389</v>
      </c>
      <c r="C5015" s="50" t="s">
        <v>56</v>
      </c>
      <c r="D5015" s="50" t="s">
        <v>27</v>
      </c>
      <c r="E5015" s="50">
        <v>50038956</v>
      </c>
      <c r="F5015" s="50" t="s">
        <v>177</v>
      </c>
      <c r="G5015" s="50">
        <v>1</v>
      </c>
      <c r="H5015" s="50" t="s">
        <v>2</v>
      </c>
      <c r="I5015" s="50" t="s">
        <v>288</v>
      </c>
      <c r="J5015" s="51">
        <v>45944</v>
      </c>
      <c r="K5015" s="50" t="s">
        <v>3</v>
      </c>
      <c r="L5015" s="50" t="s">
        <v>80</v>
      </c>
    </row>
    <row r="5016" spans="2:12">
      <c r="B5016" s="50" t="s">
        <v>25</v>
      </c>
      <c r="C5016" s="50" t="s">
        <v>26</v>
      </c>
      <c r="D5016" s="50" t="s">
        <v>27</v>
      </c>
      <c r="E5016" s="50">
        <v>50037902</v>
      </c>
      <c r="F5016" s="50" t="s">
        <v>179</v>
      </c>
      <c r="G5016" s="50">
        <v>1</v>
      </c>
      <c r="H5016" s="50" t="s">
        <v>2</v>
      </c>
      <c r="I5016" s="50" t="s">
        <v>293</v>
      </c>
      <c r="J5016" s="51">
        <v>45944</v>
      </c>
      <c r="K5016" s="50" t="s">
        <v>1</v>
      </c>
      <c r="L5016" s="50" t="s">
        <v>80</v>
      </c>
    </row>
    <row r="5017" spans="2:12">
      <c r="B5017" s="50" t="s">
        <v>25</v>
      </c>
      <c r="C5017" s="50" t="s">
        <v>26</v>
      </c>
      <c r="D5017" s="50" t="s">
        <v>27</v>
      </c>
      <c r="E5017" s="50">
        <v>50037902</v>
      </c>
      <c r="F5017" s="50" t="s">
        <v>179</v>
      </c>
      <c r="G5017" s="50">
        <v>1</v>
      </c>
      <c r="H5017" s="50" t="s">
        <v>2</v>
      </c>
      <c r="I5017" s="50" t="s">
        <v>290</v>
      </c>
      <c r="J5017" s="51">
        <v>45944</v>
      </c>
      <c r="K5017" s="50" t="s">
        <v>3</v>
      </c>
      <c r="L5017" s="50" t="s">
        <v>80</v>
      </c>
    </row>
    <row r="5018" spans="2:12">
      <c r="B5018" s="50" t="s">
        <v>394</v>
      </c>
      <c r="C5018" s="50" t="s">
        <v>51</v>
      </c>
      <c r="D5018" s="50" t="s">
        <v>27</v>
      </c>
      <c r="E5018" s="50">
        <v>50037902</v>
      </c>
      <c r="F5018" s="50" t="s">
        <v>179</v>
      </c>
      <c r="G5018" s="50">
        <v>1</v>
      </c>
      <c r="H5018" s="50" t="s">
        <v>2</v>
      </c>
      <c r="I5018" s="50" t="s">
        <v>288</v>
      </c>
      <c r="J5018" s="51">
        <v>45944</v>
      </c>
      <c r="K5018" s="50" t="s">
        <v>1</v>
      </c>
      <c r="L5018" s="50" t="s">
        <v>80</v>
      </c>
    </row>
    <row r="5019" spans="2:12">
      <c r="B5019" s="50" t="s">
        <v>394</v>
      </c>
      <c r="C5019" s="50" t="s">
        <v>51</v>
      </c>
      <c r="D5019" s="50" t="s">
        <v>27</v>
      </c>
      <c r="E5019" s="50">
        <v>50037902</v>
      </c>
      <c r="F5019" s="50" t="s">
        <v>179</v>
      </c>
      <c r="G5019" s="50">
        <v>1</v>
      </c>
      <c r="H5019" s="50" t="s">
        <v>2</v>
      </c>
      <c r="I5019" s="50" t="s">
        <v>288</v>
      </c>
      <c r="J5019" s="51">
        <v>45944</v>
      </c>
      <c r="K5019" s="50" t="s">
        <v>3</v>
      </c>
      <c r="L5019" s="50" t="s">
        <v>80</v>
      </c>
    </row>
    <row r="5020" spans="2:12">
      <c r="B5020" s="50" t="s">
        <v>270</v>
      </c>
      <c r="C5020" s="50" t="s">
        <v>51</v>
      </c>
      <c r="D5020" s="50" t="s">
        <v>41</v>
      </c>
      <c r="E5020" s="50">
        <v>50037902</v>
      </c>
      <c r="F5020" s="50" t="s">
        <v>179</v>
      </c>
      <c r="G5020" s="50">
        <v>1</v>
      </c>
      <c r="H5020" s="50" t="s">
        <v>2</v>
      </c>
      <c r="I5020" s="50" t="s">
        <v>288</v>
      </c>
      <c r="J5020" s="51">
        <v>45944</v>
      </c>
      <c r="K5020" s="50" t="s">
        <v>3</v>
      </c>
      <c r="L5020" s="50" t="s">
        <v>80</v>
      </c>
    </row>
    <row r="5021" spans="2:12">
      <c r="B5021" s="50" t="s">
        <v>270</v>
      </c>
      <c r="C5021" s="50" t="s">
        <v>51</v>
      </c>
      <c r="D5021" s="50" t="s">
        <v>41</v>
      </c>
      <c r="E5021" s="50">
        <v>50037902</v>
      </c>
      <c r="F5021" s="50" t="s">
        <v>179</v>
      </c>
      <c r="G5021" s="50">
        <v>1</v>
      </c>
      <c r="H5021" s="50" t="s">
        <v>2</v>
      </c>
      <c r="I5021" s="50" t="s">
        <v>288</v>
      </c>
      <c r="J5021" s="51">
        <v>45944</v>
      </c>
      <c r="K5021" s="59" t="s">
        <v>3</v>
      </c>
      <c r="L5021" s="50" t="s">
        <v>80</v>
      </c>
    </row>
    <row r="5022" spans="2:12">
      <c r="B5022" s="50" t="s">
        <v>316</v>
      </c>
      <c r="C5022" s="50" t="s">
        <v>51</v>
      </c>
      <c r="D5022" s="50" t="s">
        <v>27</v>
      </c>
      <c r="E5022" s="50">
        <v>50038841</v>
      </c>
      <c r="F5022" s="50" t="s">
        <v>180</v>
      </c>
      <c r="G5022" s="50">
        <v>1</v>
      </c>
      <c r="H5022" s="50" t="s">
        <v>2</v>
      </c>
      <c r="I5022" s="50" t="s">
        <v>287</v>
      </c>
      <c r="J5022" s="51">
        <v>45944</v>
      </c>
      <c r="K5022" s="50" t="s">
        <v>3</v>
      </c>
      <c r="L5022" s="50" t="s">
        <v>80</v>
      </c>
    </row>
    <row r="5023" spans="2:12">
      <c r="B5023" s="50" t="s">
        <v>432</v>
      </c>
      <c r="C5023" s="58" t="s">
        <v>26</v>
      </c>
      <c r="D5023" s="58" t="s">
        <v>36</v>
      </c>
      <c r="E5023" s="50">
        <v>50001995</v>
      </c>
      <c r="F5023" s="50" t="s">
        <v>185</v>
      </c>
      <c r="G5023" s="58">
        <v>1</v>
      </c>
      <c r="H5023" s="59" t="s">
        <v>2</v>
      </c>
      <c r="I5023" s="59" t="s">
        <v>313</v>
      </c>
      <c r="J5023" s="60">
        <v>45944</v>
      </c>
      <c r="K5023" s="50" t="s">
        <v>1</v>
      </c>
      <c r="L5023" s="50" t="s">
        <v>80</v>
      </c>
    </row>
    <row r="5024" spans="2:12">
      <c r="B5024" s="50" t="s">
        <v>474</v>
      </c>
      <c r="C5024" s="50" t="s">
        <v>51</v>
      </c>
      <c r="D5024" s="50" t="s">
        <v>27</v>
      </c>
      <c r="E5024" s="50">
        <v>50039065</v>
      </c>
      <c r="F5024" s="50" t="s">
        <v>186</v>
      </c>
      <c r="G5024" s="50">
        <v>1</v>
      </c>
      <c r="H5024" s="50" t="s">
        <v>2</v>
      </c>
      <c r="I5024" s="50" t="s">
        <v>292</v>
      </c>
      <c r="J5024" s="51">
        <v>45944</v>
      </c>
      <c r="K5024" s="50" t="s">
        <v>3</v>
      </c>
      <c r="L5024" s="50" t="s">
        <v>80</v>
      </c>
    </row>
    <row r="5025" spans="2:12">
      <c r="B5025" s="50" t="s">
        <v>474</v>
      </c>
      <c r="C5025" s="50" t="s">
        <v>51</v>
      </c>
      <c r="D5025" s="50" t="s">
        <v>27</v>
      </c>
      <c r="E5025" s="50">
        <v>50039065</v>
      </c>
      <c r="F5025" s="50" t="s">
        <v>186</v>
      </c>
      <c r="G5025" s="50">
        <v>1</v>
      </c>
      <c r="H5025" s="50" t="s">
        <v>2</v>
      </c>
      <c r="I5025" s="50" t="s">
        <v>290</v>
      </c>
      <c r="J5025" s="51">
        <v>45944</v>
      </c>
      <c r="K5025" s="50" t="s">
        <v>1</v>
      </c>
      <c r="L5025" s="50" t="s">
        <v>80</v>
      </c>
    </row>
    <row r="5026" spans="2:12">
      <c r="B5026" s="50" t="s">
        <v>474</v>
      </c>
      <c r="C5026" s="50" t="s">
        <v>51</v>
      </c>
      <c r="D5026" s="50" t="s">
        <v>27</v>
      </c>
      <c r="E5026" s="50">
        <v>50039065</v>
      </c>
      <c r="F5026" s="50" t="s">
        <v>186</v>
      </c>
      <c r="G5026" s="50">
        <v>1</v>
      </c>
      <c r="H5026" s="50" t="s">
        <v>2</v>
      </c>
      <c r="I5026" s="50" t="s">
        <v>288</v>
      </c>
      <c r="J5026" s="51">
        <v>45944</v>
      </c>
      <c r="K5026" s="59" t="s">
        <v>3</v>
      </c>
      <c r="L5026" s="50" t="s">
        <v>80</v>
      </c>
    </row>
    <row r="5027" spans="2:12">
      <c r="B5027" s="50" t="s">
        <v>474</v>
      </c>
      <c r="C5027" s="50" t="s">
        <v>51</v>
      </c>
      <c r="D5027" s="50" t="s">
        <v>27</v>
      </c>
      <c r="E5027" s="50">
        <v>50039065</v>
      </c>
      <c r="F5027" s="50" t="s">
        <v>186</v>
      </c>
      <c r="G5027" s="50">
        <v>1</v>
      </c>
      <c r="H5027" s="50" t="s">
        <v>2</v>
      </c>
      <c r="I5027" s="50" t="s">
        <v>288</v>
      </c>
      <c r="J5027" s="51">
        <v>45944</v>
      </c>
      <c r="K5027" s="50" t="s">
        <v>1</v>
      </c>
      <c r="L5027" s="50" t="s">
        <v>80</v>
      </c>
    </row>
    <row r="5028" spans="2:12">
      <c r="B5028" s="50" t="s">
        <v>439</v>
      </c>
      <c r="C5028" s="50" t="s">
        <v>62</v>
      </c>
      <c r="D5028" s="50" t="s">
        <v>27</v>
      </c>
      <c r="E5028" s="50">
        <v>50026357</v>
      </c>
      <c r="F5028" s="50" t="s">
        <v>192</v>
      </c>
      <c r="G5028" s="50">
        <v>1</v>
      </c>
      <c r="H5028" s="50" t="s">
        <v>2</v>
      </c>
      <c r="I5028" s="50" t="s">
        <v>293</v>
      </c>
      <c r="J5028" s="51">
        <v>45944</v>
      </c>
      <c r="K5028" s="50" t="s">
        <v>3</v>
      </c>
      <c r="L5028" s="50" t="s">
        <v>80</v>
      </c>
    </row>
    <row r="5029" spans="2:12">
      <c r="B5029" s="50" t="s">
        <v>439</v>
      </c>
      <c r="C5029" s="50" t="s">
        <v>62</v>
      </c>
      <c r="D5029" s="50" t="s">
        <v>27</v>
      </c>
      <c r="E5029" s="50">
        <v>50026357</v>
      </c>
      <c r="F5029" s="50" t="s">
        <v>192</v>
      </c>
      <c r="G5029" s="50">
        <v>1</v>
      </c>
      <c r="H5029" s="50" t="s">
        <v>2</v>
      </c>
      <c r="I5029" s="50" t="s">
        <v>292</v>
      </c>
      <c r="J5029" s="51">
        <v>45944</v>
      </c>
      <c r="K5029" s="50" t="s">
        <v>1</v>
      </c>
      <c r="L5029" s="50" t="s">
        <v>80</v>
      </c>
    </row>
    <row r="5030" spans="2:12">
      <c r="B5030" s="50" t="s">
        <v>270</v>
      </c>
      <c r="C5030" s="50" t="s">
        <v>51</v>
      </c>
      <c r="D5030" s="50" t="s">
        <v>41</v>
      </c>
      <c r="E5030" s="50">
        <v>50026357</v>
      </c>
      <c r="F5030" s="50" t="s">
        <v>192</v>
      </c>
      <c r="G5030" s="50">
        <v>1</v>
      </c>
      <c r="H5030" s="50" t="s">
        <v>2</v>
      </c>
      <c r="I5030" s="50" t="s">
        <v>290</v>
      </c>
      <c r="J5030" s="51">
        <v>45944</v>
      </c>
      <c r="K5030" s="50" t="s">
        <v>3</v>
      </c>
      <c r="L5030" s="50" t="s">
        <v>80</v>
      </c>
    </row>
    <row r="5031" spans="2:12">
      <c r="B5031" s="50" t="s">
        <v>270</v>
      </c>
      <c r="C5031" s="50" t="s">
        <v>51</v>
      </c>
      <c r="D5031" s="50" t="s">
        <v>41</v>
      </c>
      <c r="E5031" s="50">
        <v>50026357</v>
      </c>
      <c r="F5031" s="50" t="s">
        <v>192</v>
      </c>
      <c r="G5031" s="50">
        <v>1</v>
      </c>
      <c r="H5031" s="50" t="s">
        <v>2</v>
      </c>
      <c r="I5031" s="50" t="s">
        <v>287</v>
      </c>
      <c r="J5031" s="51">
        <v>45944</v>
      </c>
      <c r="K5031" s="50" t="s">
        <v>3</v>
      </c>
      <c r="L5031" s="50" t="s">
        <v>80</v>
      </c>
    </row>
    <row r="5032" spans="2:12">
      <c r="B5032" s="50" t="s">
        <v>394</v>
      </c>
      <c r="C5032" s="50" t="s">
        <v>51</v>
      </c>
      <c r="D5032" s="50" t="s">
        <v>27</v>
      </c>
      <c r="E5032" s="50">
        <v>50041195</v>
      </c>
      <c r="F5032" s="50" t="s">
        <v>206</v>
      </c>
      <c r="G5032" s="50">
        <v>1</v>
      </c>
      <c r="H5032" s="50" t="s">
        <v>2</v>
      </c>
      <c r="I5032" s="50" t="s">
        <v>289</v>
      </c>
      <c r="J5032" s="51">
        <v>45944</v>
      </c>
      <c r="K5032" s="50" t="s">
        <v>1</v>
      </c>
      <c r="L5032" s="50" t="s">
        <v>80</v>
      </c>
    </row>
    <row r="5033" spans="2:12">
      <c r="B5033" s="50" t="s">
        <v>394</v>
      </c>
      <c r="C5033" s="50" t="s">
        <v>51</v>
      </c>
      <c r="D5033" s="50" t="s">
        <v>27</v>
      </c>
      <c r="E5033" s="50">
        <v>50041195</v>
      </c>
      <c r="F5033" s="50" t="s">
        <v>206</v>
      </c>
      <c r="G5033" s="50">
        <v>1</v>
      </c>
      <c r="H5033" s="50" t="s">
        <v>2</v>
      </c>
      <c r="I5033" s="50" t="s">
        <v>289</v>
      </c>
      <c r="J5033" s="51">
        <v>45944</v>
      </c>
      <c r="K5033" s="50" t="s">
        <v>3</v>
      </c>
      <c r="L5033" s="50" t="s">
        <v>80</v>
      </c>
    </row>
    <row r="5034" spans="2:12">
      <c r="B5034" s="50" t="s">
        <v>389</v>
      </c>
      <c r="C5034" s="50" t="s">
        <v>56</v>
      </c>
      <c r="D5034" s="50" t="s">
        <v>27</v>
      </c>
      <c r="E5034" s="50">
        <v>50041195</v>
      </c>
      <c r="F5034" s="50" t="s">
        <v>206</v>
      </c>
      <c r="G5034" s="50">
        <v>1</v>
      </c>
      <c r="H5034" s="50" t="s">
        <v>2</v>
      </c>
      <c r="I5034" s="50" t="s">
        <v>293</v>
      </c>
      <c r="J5034" s="51">
        <v>45944</v>
      </c>
      <c r="K5034" s="50" t="s">
        <v>1</v>
      </c>
      <c r="L5034" s="50" t="s">
        <v>80</v>
      </c>
    </row>
    <row r="5035" spans="2:12">
      <c r="B5035" s="50" t="s">
        <v>389</v>
      </c>
      <c r="C5035" s="50" t="s">
        <v>56</v>
      </c>
      <c r="D5035" s="50" t="s">
        <v>27</v>
      </c>
      <c r="E5035" s="50">
        <v>50041195</v>
      </c>
      <c r="F5035" s="50" t="s">
        <v>206</v>
      </c>
      <c r="G5035" s="50">
        <v>1</v>
      </c>
      <c r="H5035" s="50" t="s">
        <v>2</v>
      </c>
      <c r="I5035" s="50" t="s">
        <v>288</v>
      </c>
      <c r="J5035" s="51">
        <v>45944</v>
      </c>
      <c r="K5035" s="50" t="s">
        <v>3</v>
      </c>
      <c r="L5035" s="50" t="s">
        <v>80</v>
      </c>
    </row>
    <row r="5036" spans="2:12">
      <c r="B5036" s="50" t="s">
        <v>438</v>
      </c>
      <c r="C5036" s="50" t="s">
        <v>51</v>
      </c>
      <c r="D5036" s="50" t="s">
        <v>36</v>
      </c>
      <c r="E5036" s="50">
        <v>50043917</v>
      </c>
      <c r="F5036" s="50" t="s">
        <v>262</v>
      </c>
      <c r="G5036" s="50">
        <v>1</v>
      </c>
      <c r="H5036" s="50" t="s">
        <v>2</v>
      </c>
      <c r="I5036" s="50" t="s">
        <v>290</v>
      </c>
      <c r="J5036" s="51">
        <v>45944</v>
      </c>
      <c r="K5036" s="50" t="s">
        <v>1</v>
      </c>
      <c r="L5036" s="50" t="s">
        <v>80</v>
      </c>
    </row>
    <row r="5037" spans="2:12">
      <c r="B5037" s="50" t="s">
        <v>438</v>
      </c>
      <c r="C5037" s="50" t="s">
        <v>51</v>
      </c>
      <c r="D5037" s="50" t="s">
        <v>36</v>
      </c>
      <c r="E5037" s="50">
        <v>50043917</v>
      </c>
      <c r="F5037" s="50" t="s">
        <v>262</v>
      </c>
      <c r="G5037" s="50">
        <v>1</v>
      </c>
      <c r="H5037" s="50" t="s">
        <v>2</v>
      </c>
      <c r="I5037" s="50" t="s">
        <v>288</v>
      </c>
      <c r="J5037" s="51">
        <v>45944</v>
      </c>
      <c r="K5037" s="50" t="s">
        <v>3</v>
      </c>
      <c r="L5037" s="50" t="s">
        <v>80</v>
      </c>
    </row>
    <row r="5038" spans="2:12">
      <c r="B5038" s="50" t="s">
        <v>446</v>
      </c>
      <c r="C5038" s="50" t="s">
        <v>56</v>
      </c>
      <c r="D5038" s="50" t="s">
        <v>27</v>
      </c>
      <c r="E5038" s="50">
        <v>50043917</v>
      </c>
      <c r="F5038" s="50" t="s">
        <v>262</v>
      </c>
      <c r="G5038" s="50">
        <v>1</v>
      </c>
      <c r="H5038" s="50" t="s">
        <v>2</v>
      </c>
      <c r="I5038" s="50" t="s">
        <v>288</v>
      </c>
      <c r="J5038" s="51">
        <v>45944</v>
      </c>
      <c r="K5038" s="50" t="s">
        <v>1</v>
      </c>
      <c r="L5038" s="50" t="s">
        <v>80</v>
      </c>
    </row>
    <row r="5039" spans="2:12">
      <c r="B5039" s="50" t="s">
        <v>446</v>
      </c>
      <c r="C5039" s="50" t="s">
        <v>56</v>
      </c>
      <c r="D5039" s="50" t="s">
        <v>27</v>
      </c>
      <c r="E5039" s="50">
        <v>50043917</v>
      </c>
      <c r="F5039" s="50" t="s">
        <v>262</v>
      </c>
      <c r="G5039" s="50">
        <v>1</v>
      </c>
      <c r="H5039" s="50" t="s">
        <v>2</v>
      </c>
      <c r="I5039" s="50" t="s">
        <v>288</v>
      </c>
      <c r="J5039" s="51">
        <v>45944</v>
      </c>
      <c r="K5039" s="50" t="s">
        <v>1</v>
      </c>
      <c r="L5039" s="50" t="s">
        <v>80</v>
      </c>
    </row>
    <row r="5040" spans="2:12">
      <c r="B5040" s="50" t="s">
        <v>270</v>
      </c>
      <c r="C5040" s="50" t="s">
        <v>51</v>
      </c>
      <c r="D5040" s="50" t="s">
        <v>41</v>
      </c>
      <c r="E5040" s="50">
        <v>50012903</v>
      </c>
      <c r="F5040" s="50" t="s">
        <v>308</v>
      </c>
      <c r="G5040" s="50">
        <v>1</v>
      </c>
      <c r="H5040" s="50" t="s">
        <v>2</v>
      </c>
      <c r="I5040" s="50" t="s">
        <v>288</v>
      </c>
      <c r="J5040" s="51">
        <v>45944</v>
      </c>
      <c r="K5040" s="50" t="s">
        <v>3</v>
      </c>
      <c r="L5040" s="50" t="s">
        <v>80</v>
      </c>
    </row>
    <row r="5041" spans="2:12">
      <c r="B5041" s="50" t="s">
        <v>270</v>
      </c>
      <c r="C5041" s="50" t="s">
        <v>51</v>
      </c>
      <c r="D5041" s="50" t="s">
        <v>41</v>
      </c>
      <c r="E5041" s="50">
        <v>50012903</v>
      </c>
      <c r="F5041" s="50" t="s">
        <v>308</v>
      </c>
      <c r="G5041" s="50">
        <v>1</v>
      </c>
      <c r="H5041" s="50" t="s">
        <v>2</v>
      </c>
      <c r="I5041" s="50" t="s">
        <v>288</v>
      </c>
      <c r="J5041" s="51">
        <v>45944</v>
      </c>
      <c r="K5041" s="50" t="s">
        <v>1</v>
      </c>
      <c r="L5041" s="50" t="s">
        <v>80</v>
      </c>
    </row>
    <row r="5042" spans="2:12">
      <c r="B5042" s="50" t="s">
        <v>394</v>
      </c>
      <c r="C5042" s="50" t="s">
        <v>56</v>
      </c>
      <c r="D5042" s="50" t="s">
        <v>41</v>
      </c>
      <c r="E5042" s="50">
        <v>50037933</v>
      </c>
      <c r="F5042" s="50" t="s">
        <v>250</v>
      </c>
      <c r="G5042" s="50">
        <v>1</v>
      </c>
      <c r="H5042" s="50" t="s">
        <v>2</v>
      </c>
      <c r="I5042" s="50" t="s">
        <v>288</v>
      </c>
      <c r="J5042" s="51">
        <v>45944</v>
      </c>
      <c r="K5042" s="50" t="s">
        <v>3</v>
      </c>
      <c r="L5042" s="50" t="s">
        <v>80</v>
      </c>
    </row>
    <row r="5043" spans="2:12">
      <c r="B5043" s="50" t="s">
        <v>394</v>
      </c>
      <c r="C5043" s="50" t="s">
        <v>56</v>
      </c>
      <c r="D5043" s="50" t="s">
        <v>41</v>
      </c>
      <c r="E5043" s="50">
        <v>50037933</v>
      </c>
      <c r="F5043" s="50" t="s">
        <v>250</v>
      </c>
      <c r="G5043" s="50">
        <v>1</v>
      </c>
      <c r="H5043" s="50" t="s">
        <v>2</v>
      </c>
      <c r="I5043" s="50" t="s">
        <v>288</v>
      </c>
      <c r="J5043" s="51">
        <v>45944</v>
      </c>
      <c r="K5043" s="50" t="s">
        <v>3</v>
      </c>
      <c r="L5043" s="50" t="s">
        <v>80</v>
      </c>
    </row>
    <row r="5044" spans="2:12">
      <c r="B5044" s="50" t="s">
        <v>478</v>
      </c>
      <c r="C5044" s="50" t="s">
        <v>51</v>
      </c>
      <c r="D5044" s="50" t="s">
        <v>27</v>
      </c>
      <c r="E5044" s="50">
        <v>50010031</v>
      </c>
      <c r="F5044" s="50" t="s">
        <v>89</v>
      </c>
      <c r="G5044" s="50">
        <v>1</v>
      </c>
      <c r="H5044" s="50" t="s">
        <v>2</v>
      </c>
      <c r="I5044" s="50" t="s">
        <v>287</v>
      </c>
      <c r="J5044" s="51">
        <v>45943</v>
      </c>
      <c r="K5044" s="50" t="s">
        <v>1</v>
      </c>
      <c r="L5044" s="50" t="s">
        <v>80</v>
      </c>
    </row>
    <row r="5045" spans="2:12">
      <c r="B5045" s="50" t="s">
        <v>478</v>
      </c>
      <c r="C5045" s="50" t="s">
        <v>51</v>
      </c>
      <c r="D5045" s="50" t="s">
        <v>27</v>
      </c>
      <c r="E5045" s="50">
        <v>50010031</v>
      </c>
      <c r="F5045" s="50" t="s">
        <v>89</v>
      </c>
      <c r="G5045" s="50">
        <v>1</v>
      </c>
      <c r="H5045" s="50" t="s">
        <v>2</v>
      </c>
      <c r="I5045" s="50" t="s">
        <v>291</v>
      </c>
      <c r="J5045" s="51">
        <v>45943</v>
      </c>
      <c r="K5045" s="50" t="s">
        <v>3</v>
      </c>
      <c r="L5045" s="50" t="s">
        <v>80</v>
      </c>
    </row>
    <row r="5046" spans="2:12">
      <c r="B5046" s="50" t="s">
        <v>478</v>
      </c>
      <c r="C5046" s="50" t="s">
        <v>51</v>
      </c>
      <c r="D5046" s="50" t="s">
        <v>27</v>
      </c>
      <c r="E5046" s="50">
        <v>50010031</v>
      </c>
      <c r="F5046" s="50" t="s">
        <v>89</v>
      </c>
      <c r="G5046" s="50">
        <v>1</v>
      </c>
      <c r="H5046" s="50" t="s">
        <v>2</v>
      </c>
      <c r="I5046" s="50" t="s">
        <v>291</v>
      </c>
      <c r="J5046" s="51">
        <v>45943</v>
      </c>
      <c r="K5046" s="50" t="s">
        <v>3</v>
      </c>
      <c r="L5046" s="50" t="s">
        <v>80</v>
      </c>
    </row>
    <row r="5047" spans="2:12">
      <c r="B5047" s="50" t="s">
        <v>478</v>
      </c>
      <c r="C5047" s="50" t="s">
        <v>51</v>
      </c>
      <c r="D5047" s="50" t="s">
        <v>27</v>
      </c>
      <c r="E5047" s="50">
        <v>50010031</v>
      </c>
      <c r="F5047" s="50" t="s">
        <v>89</v>
      </c>
      <c r="G5047" s="50">
        <v>1</v>
      </c>
      <c r="H5047" s="50" t="s">
        <v>2</v>
      </c>
      <c r="I5047" s="50" t="s">
        <v>291</v>
      </c>
      <c r="J5047" s="51">
        <v>45943</v>
      </c>
      <c r="K5047" s="50" t="s">
        <v>1</v>
      </c>
      <c r="L5047" s="50" t="s">
        <v>80</v>
      </c>
    </row>
    <row r="5048" spans="2:12">
      <c r="B5048" s="50" t="s">
        <v>25</v>
      </c>
      <c r="C5048" s="50" t="s">
        <v>26</v>
      </c>
      <c r="D5048" s="50" t="s">
        <v>27</v>
      </c>
      <c r="E5048" s="50">
        <v>50036255</v>
      </c>
      <c r="F5048" s="50" t="s">
        <v>120</v>
      </c>
      <c r="G5048" s="50">
        <v>1</v>
      </c>
      <c r="H5048" s="50" t="s">
        <v>2</v>
      </c>
      <c r="I5048" s="50" t="s">
        <v>293</v>
      </c>
      <c r="J5048" s="51">
        <v>45943</v>
      </c>
      <c r="K5048" s="50" t="s">
        <v>3</v>
      </c>
      <c r="L5048" s="50" t="s">
        <v>80</v>
      </c>
    </row>
    <row r="5049" spans="2:12">
      <c r="B5049" s="50" t="s">
        <v>25</v>
      </c>
      <c r="C5049" s="50" t="s">
        <v>26</v>
      </c>
      <c r="D5049" s="50" t="s">
        <v>27</v>
      </c>
      <c r="E5049" s="50">
        <v>50036255</v>
      </c>
      <c r="F5049" s="50" t="s">
        <v>120</v>
      </c>
      <c r="G5049" s="50">
        <v>1</v>
      </c>
      <c r="H5049" s="50" t="s">
        <v>2</v>
      </c>
      <c r="I5049" s="50" t="s">
        <v>291</v>
      </c>
      <c r="J5049" s="51">
        <v>45943</v>
      </c>
      <c r="K5049" s="50" t="s">
        <v>1</v>
      </c>
      <c r="L5049" s="50" t="s">
        <v>80</v>
      </c>
    </row>
    <row r="5050" spans="2:12">
      <c r="B5050" s="50" t="s">
        <v>402</v>
      </c>
      <c r="C5050" s="50" t="s">
        <v>26</v>
      </c>
      <c r="D5050" s="50" t="s">
        <v>36</v>
      </c>
      <c r="E5050" s="50">
        <v>50036255</v>
      </c>
      <c r="F5050" s="50" t="s">
        <v>120</v>
      </c>
      <c r="G5050" s="50">
        <v>1</v>
      </c>
      <c r="H5050" s="50" t="s">
        <v>2</v>
      </c>
      <c r="I5050" s="50" t="s">
        <v>287</v>
      </c>
      <c r="J5050" s="51">
        <v>45943</v>
      </c>
      <c r="K5050" s="50" t="s">
        <v>3</v>
      </c>
      <c r="L5050" s="50" t="s">
        <v>80</v>
      </c>
    </row>
    <row r="5051" spans="2:12">
      <c r="B5051" s="50" t="s">
        <v>402</v>
      </c>
      <c r="C5051" s="50" t="s">
        <v>26</v>
      </c>
      <c r="D5051" s="50" t="s">
        <v>36</v>
      </c>
      <c r="E5051" s="50">
        <v>50036255</v>
      </c>
      <c r="F5051" s="50" t="s">
        <v>120</v>
      </c>
      <c r="G5051" s="50">
        <v>1</v>
      </c>
      <c r="H5051" s="50" t="s">
        <v>2</v>
      </c>
      <c r="I5051" s="50" t="s">
        <v>287</v>
      </c>
      <c r="J5051" s="51">
        <v>45943</v>
      </c>
      <c r="K5051" s="50" t="s">
        <v>1</v>
      </c>
      <c r="L5051" s="50" t="s">
        <v>80</v>
      </c>
    </row>
    <row r="5052" spans="2:12">
      <c r="B5052" s="50" t="s">
        <v>386</v>
      </c>
      <c r="C5052" s="50" t="s">
        <v>26</v>
      </c>
      <c r="D5052" s="50" t="s">
        <v>27</v>
      </c>
      <c r="E5052" s="50">
        <v>50003173</v>
      </c>
      <c r="F5052" s="50" t="s">
        <v>74</v>
      </c>
      <c r="G5052" s="50">
        <v>1</v>
      </c>
      <c r="H5052" s="50" t="s">
        <v>2</v>
      </c>
      <c r="I5052" s="50" t="s">
        <v>293</v>
      </c>
      <c r="J5052" s="51">
        <v>45943</v>
      </c>
      <c r="K5052" s="50" t="s">
        <v>3</v>
      </c>
      <c r="L5052" s="50" t="s">
        <v>80</v>
      </c>
    </row>
    <row r="5053" spans="2:12">
      <c r="B5053" s="50" t="s">
        <v>386</v>
      </c>
      <c r="C5053" s="50" t="s">
        <v>26</v>
      </c>
      <c r="D5053" s="50" t="s">
        <v>27</v>
      </c>
      <c r="E5053" s="50">
        <v>50003173</v>
      </c>
      <c r="F5053" s="50" t="s">
        <v>74</v>
      </c>
      <c r="G5053" s="50">
        <v>1</v>
      </c>
      <c r="H5053" s="50" t="s">
        <v>2</v>
      </c>
      <c r="I5053" s="50" t="s">
        <v>291</v>
      </c>
      <c r="J5053" s="51">
        <v>45943</v>
      </c>
      <c r="K5053" s="50" t="s">
        <v>3</v>
      </c>
      <c r="L5053" s="50" t="s">
        <v>80</v>
      </c>
    </row>
    <row r="5054" spans="2:12">
      <c r="B5054" s="50" t="s">
        <v>478</v>
      </c>
      <c r="C5054" s="50" t="s">
        <v>51</v>
      </c>
      <c r="D5054" s="50" t="s">
        <v>27</v>
      </c>
      <c r="E5054" s="50">
        <v>50043471</v>
      </c>
      <c r="F5054" s="50" t="s">
        <v>257</v>
      </c>
      <c r="G5054" s="50">
        <v>1</v>
      </c>
      <c r="H5054" s="50" t="s">
        <v>2</v>
      </c>
      <c r="I5054" s="50" t="s">
        <v>291</v>
      </c>
      <c r="J5054" s="51">
        <v>45943</v>
      </c>
      <c r="K5054" s="50" t="s">
        <v>1</v>
      </c>
      <c r="L5054" s="50" t="s">
        <v>80</v>
      </c>
    </row>
    <row r="5055" spans="2:12">
      <c r="B5055" s="50" t="s">
        <v>402</v>
      </c>
      <c r="C5055" s="50" t="s">
        <v>26</v>
      </c>
      <c r="D5055" s="50" t="s">
        <v>36</v>
      </c>
      <c r="E5055" s="50">
        <v>50038549</v>
      </c>
      <c r="F5055" s="50" t="s">
        <v>173</v>
      </c>
      <c r="G5055" s="50">
        <v>1</v>
      </c>
      <c r="H5055" s="50" t="s">
        <v>2</v>
      </c>
      <c r="I5055" s="50" t="s">
        <v>287</v>
      </c>
      <c r="J5055" s="51">
        <v>45943</v>
      </c>
      <c r="K5055" s="50" t="s">
        <v>3</v>
      </c>
      <c r="L5055" s="50" t="s">
        <v>80</v>
      </c>
    </row>
    <row r="5056" spans="2:12">
      <c r="B5056" s="50" t="s">
        <v>402</v>
      </c>
      <c r="C5056" s="50" t="s">
        <v>26</v>
      </c>
      <c r="D5056" s="50" t="s">
        <v>36</v>
      </c>
      <c r="E5056" s="50">
        <v>50038549</v>
      </c>
      <c r="F5056" s="50" t="s">
        <v>173</v>
      </c>
      <c r="G5056" s="50">
        <v>1</v>
      </c>
      <c r="H5056" s="50" t="s">
        <v>2</v>
      </c>
      <c r="I5056" s="50" t="s">
        <v>287</v>
      </c>
      <c r="J5056" s="51">
        <v>45943</v>
      </c>
      <c r="K5056" s="50" t="s">
        <v>1</v>
      </c>
      <c r="L5056" s="50" t="s">
        <v>80</v>
      </c>
    </row>
    <row r="5057" spans="2:12">
      <c r="B5057" s="50" t="s">
        <v>386</v>
      </c>
      <c r="C5057" s="50" t="s">
        <v>26</v>
      </c>
      <c r="D5057" s="50" t="s">
        <v>27</v>
      </c>
      <c r="E5057" s="50">
        <v>50022878</v>
      </c>
      <c r="F5057" s="50" t="s">
        <v>296</v>
      </c>
      <c r="G5057" s="50">
        <v>1</v>
      </c>
      <c r="H5057" s="50" t="s">
        <v>2</v>
      </c>
      <c r="I5057" s="50" t="s">
        <v>293</v>
      </c>
      <c r="J5057" s="51">
        <v>45943</v>
      </c>
      <c r="K5057" s="50" t="s">
        <v>3</v>
      </c>
      <c r="L5057" s="50" t="s">
        <v>80</v>
      </c>
    </row>
    <row r="5058" spans="2:12">
      <c r="B5058" s="50" t="s">
        <v>386</v>
      </c>
      <c r="C5058" s="50" t="s">
        <v>26</v>
      </c>
      <c r="D5058" s="50" t="s">
        <v>27</v>
      </c>
      <c r="E5058" s="50">
        <v>50022878</v>
      </c>
      <c r="F5058" s="50" t="s">
        <v>296</v>
      </c>
      <c r="G5058" s="50">
        <v>1</v>
      </c>
      <c r="H5058" s="50" t="s">
        <v>2</v>
      </c>
      <c r="I5058" s="50" t="s">
        <v>293</v>
      </c>
      <c r="J5058" s="51">
        <v>45943</v>
      </c>
      <c r="K5058" s="50" t="s">
        <v>1</v>
      </c>
      <c r="L5058" s="50" t="s">
        <v>80</v>
      </c>
    </row>
    <row r="5059" spans="2:12">
      <c r="B5059" s="50" t="s">
        <v>483</v>
      </c>
      <c r="C5059" s="50" t="s">
        <v>62</v>
      </c>
      <c r="D5059" s="50" t="s">
        <v>27</v>
      </c>
      <c r="E5059" s="50">
        <v>50038956</v>
      </c>
      <c r="F5059" s="50" t="s">
        <v>177</v>
      </c>
      <c r="G5059" s="50">
        <v>1</v>
      </c>
      <c r="H5059" s="50" t="s">
        <v>2</v>
      </c>
      <c r="I5059" s="50" t="s">
        <v>291</v>
      </c>
      <c r="J5059" s="51">
        <v>45943</v>
      </c>
      <c r="K5059" s="50" t="s">
        <v>3</v>
      </c>
      <c r="L5059" s="50" t="s">
        <v>80</v>
      </c>
    </row>
    <row r="5060" spans="2:12">
      <c r="B5060" s="50" t="s">
        <v>483</v>
      </c>
      <c r="C5060" s="50" t="s">
        <v>62</v>
      </c>
      <c r="D5060" s="50" t="s">
        <v>27</v>
      </c>
      <c r="E5060" s="50">
        <v>50038956</v>
      </c>
      <c r="F5060" s="50" t="s">
        <v>177</v>
      </c>
      <c r="G5060" s="50">
        <v>1</v>
      </c>
      <c r="H5060" s="50" t="s">
        <v>2</v>
      </c>
      <c r="I5060" s="50" t="s">
        <v>291</v>
      </c>
      <c r="J5060" s="51">
        <v>45943</v>
      </c>
      <c r="K5060" s="50" t="s">
        <v>3</v>
      </c>
      <c r="L5060" s="50" t="s">
        <v>80</v>
      </c>
    </row>
    <row r="5061" spans="2:12">
      <c r="B5061" s="50" t="s">
        <v>409</v>
      </c>
      <c r="C5061" s="50" t="s">
        <v>51</v>
      </c>
      <c r="D5061" s="50" t="s">
        <v>27</v>
      </c>
      <c r="E5061" s="50">
        <v>50037892</v>
      </c>
      <c r="F5061" s="50" t="s">
        <v>178</v>
      </c>
      <c r="G5061" s="50">
        <v>1</v>
      </c>
      <c r="H5061" s="50" t="s">
        <v>2</v>
      </c>
      <c r="I5061" s="50" t="s">
        <v>287</v>
      </c>
      <c r="J5061" s="51">
        <v>45943</v>
      </c>
      <c r="K5061" s="50" t="s">
        <v>1</v>
      </c>
      <c r="L5061" s="50" t="s">
        <v>80</v>
      </c>
    </row>
    <row r="5062" spans="2:12">
      <c r="B5062" s="50" t="s">
        <v>316</v>
      </c>
      <c r="C5062" s="50" t="s">
        <v>51</v>
      </c>
      <c r="D5062" s="50" t="s">
        <v>27</v>
      </c>
      <c r="E5062" s="50">
        <v>50038841</v>
      </c>
      <c r="F5062" s="50" t="s">
        <v>180</v>
      </c>
      <c r="G5062" s="50">
        <v>1</v>
      </c>
      <c r="H5062" s="50" t="s">
        <v>2</v>
      </c>
      <c r="I5062" s="50" t="s">
        <v>291</v>
      </c>
      <c r="J5062" s="51">
        <v>45943</v>
      </c>
      <c r="K5062" s="50" t="s">
        <v>3</v>
      </c>
      <c r="L5062" s="50" t="s">
        <v>80</v>
      </c>
    </row>
    <row r="5063" spans="2:12">
      <c r="B5063" s="50" t="s">
        <v>483</v>
      </c>
      <c r="C5063" s="50" t="s">
        <v>62</v>
      </c>
      <c r="D5063" s="50" t="s">
        <v>27</v>
      </c>
      <c r="E5063" s="50">
        <v>50038517</v>
      </c>
      <c r="F5063" s="50" t="s">
        <v>181</v>
      </c>
      <c r="G5063" s="50">
        <v>1</v>
      </c>
      <c r="H5063" s="50" t="s">
        <v>2</v>
      </c>
      <c r="I5063" s="50" t="s">
        <v>293</v>
      </c>
      <c r="J5063" s="51">
        <v>45943</v>
      </c>
      <c r="K5063" s="50" t="s">
        <v>1</v>
      </c>
      <c r="L5063" s="50" t="s">
        <v>80</v>
      </c>
    </row>
    <row r="5064" spans="2:12">
      <c r="B5064" s="50" t="s">
        <v>483</v>
      </c>
      <c r="C5064" s="50" t="s">
        <v>62</v>
      </c>
      <c r="D5064" s="50" t="s">
        <v>27</v>
      </c>
      <c r="E5064" s="50">
        <v>50038517</v>
      </c>
      <c r="F5064" s="50" t="s">
        <v>181</v>
      </c>
      <c r="G5064" s="50">
        <v>1</v>
      </c>
      <c r="H5064" s="50" t="s">
        <v>2</v>
      </c>
      <c r="I5064" s="50" t="s">
        <v>293</v>
      </c>
      <c r="J5064" s="51">
        <v>45943</v>
      </c>
      <c r="K5064" s="50" t="s">
        <v>3</v>
      </c>
      <c r="L5064" s="50" t="s">
        <v>80</v>
      </c>
    </row>
    <row r="5065" spans="2:12">
      <c r="B5065" s="50" t="s">
        <v>397</v>
      </c>
      <c r="C5065" s="50" t="s">
        <v>26</v>
      </c>
      <c r="D5065" s="50" t="s">
        <v>41</v>
      </c>
      <c r="E5065" s="50">
        <v>50038517</v>
      </c>
      <c r="F5065" s="50" t="s">
        <v>181</v>
      </c>
      <c r="G5065" s="50">
        <v>1</v>
      </c>
      <c r="H5065" s="50" t="s">
        <v>2</v>
      </c>
      <c r="I5065" s="50" t="s">
        <v>293</v>
      </c>
      <c r="J5065" s="51">
        <v>45943</v>
      </c>
      <c r="K5065" s="50" t="s">
        <v>1</v>
      </c>
      <c r="L5065" s="50" t="s">
        <v>80</v>
      </c>
    </row>
    <row r="5066" spans="2:12">
      <c r="B5066" s="50" t="s">
        <v>397</v>
      </c>
      <c r="C5066" s="50" t="s">
        <v>26</v>
      </c>
      <c r="D5066" s="50" t="s">
        <v>41</v>
      </c>
      <c r="E5066" s="50">
        <v>50038517</v>
      </c>
      <c r="F5066" s="50" t="s">
        <v>181</v>
      </c>
      <c r="G5066" s="50">
        <v>1</v>
      </c>
      <c r="H5066" s="50" t="s">
        <v>2</v>
      </c>
      <c r="I5066" s="50" t="s">
        <v>293</v>
      </c>
      <c r="J5066" s="51">
        <v>45943</v>
      </c>
      <c r="K5066" s="50" t="s">
        <v>3</v>
      </c>
      <c r="L5066" s="50" t="s">
        <v>80</v>
      </c>
    </row>
    <row r="5067" spans="2:12">
      <c r="B5067" s="50" t="s">
        <v>418</v>
      </c>
      <c r="C5067" s="50" t="s">
        <v>26</v>
      </c>
      <c r="D5067" s="50" t="s">
        <v>27</v>
      </c>
      <c r="E5067" s="50">
        <v>50038517</v>
      </c>
      <c r="F5067" s="50" t="s">
        <v>181</v>
      </c>
      <c r="G5067" s="50">
        <v>1</v>
      </c>
      <c r="H5067" s="50" t="s">
        <v>2</v>
      </c>
      <c r="I5067" s="50" t="s">
        <v>287</v>
      </c>
      <c r="J5067" s="51">
        <v>45943</v>
      </c>
      <c r="K5067" s="50" t="s">
        <v>1</v>
      </c>
      <c r="L5067" s="50" t="s">
        <v>80</v>
      </c>
    </row>
    <row r="5068" spans="2:12">
      <c r="B5068" s="50" t="s">
        <v>418</v>
      </c>
      <c r="C5068" s="50" t="s">
        <v>26</v>
      </c>
      <c r="D5068" s="50" t="s">
        <v>27</v>
      </c>
      <c r="E5068" s="50">
        <v>50038517</v>
      </c>
      <c r="F5068" s="50" t="s">
        <v>181</v>
      </c>
      <c r="G5068" s="50">
        <v>1</v>
      </c>
      <c r="H5068" s="50" t="s">
        <v>2</v>
      </c>
      <c r="I5068" s="50" t="s">
        <v>287</v>
      </c>
      <c r="J5068" s="51">
        <v>45943</v>
      </c>
      <c r="K5068" s="50" t="s">
        <v>3</v>
      </c>
      <c r="L5068" s="50" t="s">
        <v>80</v>
      </c>
    </row>
    <row r="5069" spans="2:12">
      <c r="B5069" s="50" t="s">
        <v>437</v>
      </c>
      <c r="C5069" s="50" t="s">
        <v>51</v>
      </c>
      <c r="D5069" s="50" t="s">
        <v>41</v>
      </c>
      <c r="E5069" s="50">
        <v>50038517</v>
      </c>
      <c r="F5069" s="50" t="s">
        <v>181</v>
      </c>
      <c r="G5069" s="50">
        <v>1</v>
      </c>
      <c r="H5069" s="50" t="s">
        <v>2</v>
      </c>
      <c r="I5069" s="50" t="s">
        <v>291</v>
      </c>
      <c r="J5069" s="51">
        <v>45943</v>
      </c>
      <c r="K5069" s="50" t="s">
        <v>1</v>
      </c>
      <c r="L5069" s="50" t="s">
        <v>80</v>
      </c>
    </row>
    <row r="5070" spans="2:12">
      <c r="B5070" s="50" t="s">
        <v>437</v>
      </c>
      <c r="C5070" s="50" t="s">
        <v>51</v>
      </c>
      <c r="D5070" s="50" t="s">
        <v>41</v>
      </c>
      <c r="E5070" s="50">
        <v>50038517</v>
      </c>
      <c r="F5070" s="50" t="s">
        <v>181</v>
      </c>
      <c r="G5070" s="50">
        <v>1</v>
      </c>
      <c r="H5070" s="50" t="s">
        <v>2</v>
      </c>
      <c r="I5070" s="50" t="s">
        <v>287</v>
      </c>
      <c r="J5070" s="51">
        <v>45943</v>
      </c>
      <c r="K5070" s="50" t="s">
        <v>1</v>
      </c>
      <c r="L5070" s="50" t="s">
        <v>80</v>
      </c>
    </row>
    <row r="5071" spans="2:12">
      <c r="B5071" s="50" t="s">
        <v>474</v>
      </c>
      <c r="C5071" s="50" t="s">
        <v>51</v>
      </c>
      <c r="D5071" s="50" t="s">
        <v>27</v>
      </c>
      <c r="E5071" s="50">
        <v>50039065</v>
      </c>
      <c r="F5071" s="50" t="s">
        <v>186</v>
      </c>
      <c r="G5071" s="50">
        <v>1</v>
      </c>
      <c r="H5071" s="50" t="s">
        <v>2</v>
      </c>
      <c r="I5071" s="50" t="s">
        <v>293</v>
      </c>
      <c r="J5071" s="51">
        <v>45943</v>
      </c>
      <c r="K5071" s="50" t="s">
        <v>334</v>
      </c>
      <c r="L5071" s="50" t="s">
        <v>80</v>
      </c>
    </row>
    <row r="5072" spans="2:12">
      <c r="B5072" s="50" t="s">
        <v>474</v>
      </c>
      <c r="C5072" s="50" t="s">
        <v>51</v>
      </c>
      <c r="D5072" s="50" t="s">
        <v>27</v>
      </c>
      <c r="E5072" s="50">
        <v>50039065</v>
      </c>
      <c r="F5072" s="50" t="s">
        <v>186</v>
      </c>
      <c r="G5072" s="50">
        <v>1</v>
      </c>
      <c r="H5072" s="50" t="s">
        <v>2</v>
      </c>
      <c r="I5072" s="50" t="s">
        <v>293</v>
      </c>
      <c r="J5072" s="51">
        <v>45943</v>
      </c>
      <c r="K5072" s="50" t="s">
        <v>1</v>
      </c>
      <c r="L5072" s="50" t="s">
        <v>80</v>
      </c>
    </row>
    <row r="5073" spans="2:12">
      <c r="B5073" s="50" t="s">
        <v>418</v>
      </c>
      <c r="C5073" s="50" t="s">
        <v>26</v>
      </c>
      <c r="D5073" s="50" t="s">
        <v>27</v>
      </c>
      <c r="E5073" s="50">
        <v>50039065</v>
      </c>
      <c r="F5073" s="50" t="s">
        <v>186</v>
      </c>
      <c r="G5073" s="50">
        <v>1</v>
      </c>
      <c r="H5073" s="50" t="s">
        <v>2</v>
      </c>
      <c r="I5073" s="50" t="s">
        <v>287</v>
      </c>
      <c r="J5073" s="51">
        <v>45943</v>
      </c>
      <c r="K5073" s="50" t="s">
        <v>3</v>
      </c>
      <c r="L5073" s="50" t="s">
        <v>80</v>
      </c>
    </row>
    <row r="5074" spans="2:12">
      <c r="B5074" s="50" t="s">
        <v>418</v>
      </c>
      <c r="C5074" s="50" t="s">
        <v>26</v>
      </c>
      <c r="D5074" s="50" t="s">
        <v>27</v>
      </c>
      <c r="E5074" s="50">
        <v>50039065</v>
      </c>
      <c r="F5074" s="50" t="s">
        <v>186</v>
      </c>
      <c r="G5074" s="50">
        <v>1</v>
      </c>
      <c r="H5074" s="50" t="s">
        <v>2</v>
      </c>
      <c r="I5074" s="50" t="s">
        <v>287</v>
      </c>
      <c r="J5074" s="51">
        <v>45943</v>
      </c>
      <c r="K5074" s="50" t="s">
        <v>1</v>
      </c>
      <c r="L5074" s="50" t="s">
        <v>80</v>
      </c>
    </row>
    <row r="5075" spans="2:12">
      <c r="B5075" s="50" t="s">
        <v>280</v>
      </c>
      <c r="C5075" s="50" t="s">
        <v>62</v>
      </c>
      <c r="D5075" s="50" t="s">
        <v>27</v>
      </c>
      <c r="E5075" s="50">
        <v>50026357</v>
      </c>
      <c r="F5075" s="50" t="s">
        <v>192</v>
      </c>
      <c r="G5075" s="50">
        <v>1</v>
      </c>
      <c r="H5075" s="50" t="s">
        <v>2</v>
      </c>
      <c r="I5075" s="50" t="s">
        <v>293</v>
      </c>
      <c r="J5075" s="51">
        <v>45943</v>
      </c>
      <c r="K5075" s="50" t="s">
        <v>3</v>
      </c>
      <c r="L5075" s="50" t="s">
        <v>80</v>
      </c>
    </row>
    <row r="5076" spans="2:12">
      <c r="B5076" s="50" t="s">
        <v>280</v>
      </c>
      <c r="C5076" s="50" t="s">
        <v>62</v>
      </c>
      <c r="D5076" s="50" t="s">
        <v>27</v>
      </c>
      <c r="E5076" s="50">
        <v>50026357</v>
      </c>
      <c r="F5076" s="50" t="s">
        <v>192</v>
      </c>
      <c r="G5076" s="50">
        <v>1</v>
      </c>
      <c r="H5076" s="50" t="s">
        <v>2</v>
      </c>
      <c r="I5076" s="50" t="s">
        <v>293</v>
      </c>
      <c r="J5076" s="51">
        <v>45943</v>
      </c>
      <c r="K5076" s="50" t="s">
        <v>1</v>
      </c>
      <c r="L5076" s="50" t="s">
        <v>80</v>
      </c>
    </row>
    <row r="5077" spans="2:12">
      <c r="B5077" s="50" t="s">
        <v>444</v>
      </c>
      <c r="C5077" s="50" t="s">
        <v>51</v>
      </c>
      <c r="D5077" s="50" t="s">
        <v>27</v>
      </c>
      <c r="E5077" s="50">
        <v>50001740</v>
      </c>
      <c r="F5077" s="50" t="s">
        <v>294</v>
      </c>
      <c r="G5077" s="50">
        <v>1</v>
      </c>
      <c r="H5077" s="50" t="s">
        <v>2</v>
      </c>
      <c r="I5077" s="50" t="s">
        <v>291</v>
      </c>
      <c r="J5077" s="51">
        <v>45943</v>
      </c>
      <c r="K5077" s="50" t="s">
        <v>3</v>
      </c>
      <c r="L5077" s="50" t="s">
        <v>80</v>
      </c>
    </row>
    <row r="5078" spans="2:12">
      <c r="B5078" s="50" t="s">
        <v>444</v>
      </c>
      <c r="C5078" s="50" t="s">
        <v>51</v>
      </c>
      <c r="D5078" s="50" t="s">
        <v>27</v>
      </c>
      <c r="E5078" s="50">
        <v>50001740</v>
      </c>
      <c r="F5078" s="50" t="s">
        <v>294</v>
      </c>
      <c r="G5078" s="50">
        <v>1</v>
      </c>
      <c r="H5078" s="50" t="s">
        <v>2</v>
      </c>
      <c r="I5078" s="50" t="s">
        <v>291</v>
      </c>
      <c r="J5078" s="51">
        <v>45943</v>
      </c>
      <c r="K5078" s="50" t="s">
        <v>3</v>
      </c>
      <c r="L5078" s="50" t="s">
        <v>80</v>
      </c>
    </row>
    <row r="5079" spans="2:12">
      <c r="B5079" s="50" t="s">
        <v>483</v>
      </c>
      <c r="C5079" s="50" t="s">
        <v>62</v>
      </c>
      <c r="D5079" s="50" t="s">
        <v>27</v>
      </c>
      <c r="E5079" s="50">
        <v>50041195</v>
      </c>
      <c r="F5079" s="50" t="s">
        <v>206</v>
      </c>
      <c r="G5079" s="50">
        <v>1</v>
      </c>
      <c r="H5079" s="50" t="s">
        <v>2</v>
      </c>
      <c r="I5079" s="50" t="s">
        <v>293</v>
      </c>
      <c r="J5079" s="51">
        <v>45943</v>
      </c>
      <c r="K5079" s="50" t="s">
        <v>1</v>
      </c>
      <c r="L5079" s="50" t="s">
        <v>80</v>
      </c>
    </row>
    <row r="5080" spans="2:12">
      <c r="B5080" s="50" t="s">
        <v>483</v>
      </c>
      <c r="C5080" s="50" t="s">
        <v>62</v>
      </c>
      <c r="D5080" s="50" t="s">
        <v>27</v>
      </c>
      <c r="E5080" s="50">
        <v>50041195</v>
      </c>
      <c r="F5080" s="50" t="s">
        <v>206</v>
      </c>
      <c r="G5080" s="50">
        <v>1</v>
      </c>
      <c r="H5080" s="50" t="s">
        <v>2</v>
      </c>
      <c r="I5080" s="50" t="s">
        <v>293</v>
      </c>
      <c r="J5080" s="51">
        <v>45943</v>
      </c>
      <c r="K5080" s="50" t="s">
        <v>3</v>
      </c>
      <c r="L5080" s="50" t="s">
        <v>80</v>
      </c>
    </row>
    <row r="5081" spans="2:12">
      <c r="B5081" s="50" t="s">
        <v>481</v>
      </c>
      <c r="C5081" s="50" t="s">
        <v>26</v>
      </c>
      <c r="D5081" s="50" t="s">
        <v>27</v>
      </c>
      <c r="E5081" s="50">
        <v>50041195</v>
      </c>
      <c r="F5081" s="50" t="s">
        <v>206</v>
      </c>
      <c r="G5081" s="50">
        <v>1</v>
      </c>
      <c r="H5081" s="50" t="s">
        <v>2</v>
      </c>
      <c r="I5081" s="50" t="s">
        <v>291</v>
      </c>
      <c r="J5081" s="51">
        <v>45943</v>
      </c>
      <c r="K5081" s="50" t="s">
        <v>1</v>
      </c>
      <c r="L5081" s="50" t="s">
        <v>80</v>
      </c>
    </row>
    <row r="5082" spans="2:12">
      <c r="B5082" s="50" t="s">
        <v>481</v>
      </c>
      <c r="C5082" s="50" t="s">
        <v>26</v>
      </c>
      <c r="D5082" s="50" t="s">
        <v>27</v>
      </c>
      <c r="E5082" s="50">
        <v>50041195</v>
      </c>
      <c r="F5082" s="50" t="s">
        <v>206</v>
      </c>
      <c r="G5082" s="50">
        <v>1</v>
      </c>
      <c r="H5082" s="50" t="s">
        <v>2</v>
      </c>
      <c r="I5082" s="50" t="s">
        <v>291</v>
      </c>
      <c r="J5082" s="51">
        <v>45943</v>
      </c>
      <c r="K5082" s="50" t="s">
        <v>3</v>
      </c>
      <c r="L5082" s="50" t="s">
        <v>80</v>
      </c>
    </row>
    <row r="5083" spans="2:12">
      <c r="B5083" s="50" t="s">
        <v>456</v>
      </c>
      <c r="C5083" s="50" t="s">
        <v>56</v>
      </c>
      <c r="D5083" s="50" t="s">
        <v>39</v>
      </c>
      <c r="E5083" s="50">
        <v>50043917</v>
      </c>
      <c r="F5083" s="50" t="s">
        <v>262</v>
      </c>
      <c r="G5083" s="50">
        <v>1</v>
      </c>
      <c r="H5083" s="50" t="s">
        <v>2</v>
      </c>
      <c r="I5083" s="50" t="s">
        <v>293</v>
      </c>
      <c r="J5083" s="51">
        <v>45943</v>
      </c>
      <c r="K5083" s="50" t="s">
        <v>1</v>
      </c>
      <c r="L5083" s="50" t="s">
        <v>80</v>
      </c>
    </row>
    <row r="5084" spans="2:12">
      <c r="B5084" s="50" t="s">
        <v>456</v>
      </c>
      <c r="C5084" s="50" t="s">
        <v>56</v>
      </c>
      <c r="D5084" s="50" t="s">
        <v>39</v>
      </c>
      <c r="E5084" s="50">
        <v>50043917</v>
      </c>
      <c r="F5084" s="50" t="s">
        <v>262</v>
      </c>
      <c r="G5084" s="50">
        <v>1</v>
      </c>
      <c r="H5084" s="50" t="s">
        <v>2</v>
      </c>
      <c r="I5084" s="50" t="s">
        <v>293</v>
      </c>
      <c r="J5084" s="51">
        <v>45943</v>
      </c>
      <c r="K5084" s="50" t="s">
        <v>3</v>
      </c>
      <c r="L5084" s="50" t="s">
        <v>80</v>
      </c>
    </row>
    <row r="5085" spans="2:12">
      <c r="B5085" s="50" t="s">
        <v>386</v>
      </c>
      <c r="C5085" s="50" t="s">
        <v>62</v>
      </c>
      <c r="D5085" s="50" t="s">
        <v>27</v>
      </c>
      <c r="E5085" s="50">
        <v>50043917</v>
      </c>
      <c r="F5085" s="50" t="s">
        <v>262</v>
      </c>
      <c r="G5085" s="50">
        <v>1</v>
      </c>
      <c r="H5085" s="50" t="s">
        <v>2</v>
      </c>
      <c r="I5085" s="50" t="s">
        <v>293</v>
      </c>
      <c r="J5085" s="51">
        <v>45943</v>
      </c>
      <c r="K5085" s="50" t="s">
        <v>1</v>
      </c>
      <c r="L5085" s="50" t="s">
        <v>80</v>
      </c>
    </row>
    <row r="5086" spans="2:12">
      <c r="B5086" s="50" t="s">
        <v>386</v>
      </c>
      <c r="C5086" s="50" t="s">
        <v>62</v>
      </c>
      <c r="D5086" s="50" t="s">
        <v>27</v>
      </c>
      <c r="E5086" s="50">
        <v>50043917</v>
      </c>
      <c r="F5086" s="50" t="s">
        <v>262</v>
      </c>
      <c r="G5086" s="50">
        <v>1</v>
      </c>
      <c r="H5086" s="50" t="s">
        <v>2</v>
      </c>
      <c r="I5086" s="50" t="s">
        <v>293</v>
      </c>
      <c r="J5086" s="51">
        <v>45943</v>
      </c>
      <c r="K5086" s="50" t="s">
        <v>3</v>
      </c>
      <c r="L5086" s="50" t="s">
        <v>80</v>
      </c>
    </row>
    <row r="5087" spans="2:12">
      <c r="B5087" s="50" t="s">
        <v>386</v>
      </c>
      <c r="C5087" s="50" t="s">
        <v>56</v>
      </c>
      <c r="D5087" s="50" t="s">
        <v>41</v>
      </c>
      <c r="E5087" s="50">
        <v>50043917</v>
      </c>
      <c r="F5087" s="50" t="s">
        <v>262</v>
      </c>
      <c r="G5087" s="50">
        <v>1</v>
      </c>
      <c r="H5087" s="50" t="s">
        <v>2</v>
      </c>
      <c r="I5087" s="50" t="s">
        <v>287</v>
      </c>
      <c r="J5087" s="51">
        <v>45943</v>
      </c>
      <c r="K5087" s="50" t="s">
        <v>1</v>
      </c>
      <c r="L5087" s="50" t="s">
        <v>80</v>
      </c>
    </row>
    <row r="5088" spans="2:12">
      <c r="B5088" s="50" t="s">
        <v>386</v>
      </c>
      <c r="C5088" s="50" t="s">
        <v>56</v>
      </c>
      <c r="D5088" s="50" t="s">
        <v>41</v>
      </c>
      <c r="E5088" s="50">
        <v>50043917</v>
      </c>
      <c r="F5088" s="50" t="s">
        <v>262</v>
      </c>
      <c r="G5088" s="50">
        <v>1</v>
      </c>
      <c r="H5088" s="50" t="s">
        <v>2</v>
      </c>
      <c r="I5088" s="50" t="s">
        <v>291</v>
      </c>
      <c r="J5088" s="51">
        <v>45943</v>
      </c>
      <c r="K5088" s="50" t="s">
        <v>1</v>
      </c>
      <c r="L5088" s="50" t="s">
        <v>80</v>
      </c>
    </row>
    <row r="5089" spans="2:12">
      <c r="B5089" s="50" t="s">
        <v>483</v>
      </c>
      <c r="C5089" s="50" t="s">
        <v>62</v>
      </c>
      <c r="D5089" s="50" t="s">
        <v>27</v>
      </c>
      <c r="E5089" s="50">
        <v>50020622</v>
      </c>
      <c r="F5089" s="50" t="s">
        <v>217</v>
      </c>
      <c r="G5089" s="50">
        <v>1</v>
      </c>
      <c r="H5089" s="50" t="s">
        <v>2</v>
      </c>
      <c r="I5089" s="50" t="s">
        <v>293</v>
      </c>
      <c r="J5089" s="51">
        <v>45943</v>
      </c>
      <c r="K5089" s="50" t="s">
        <v>3</v>
      </c>
      <c r="L5089" s="50" t="s">
        <v>80</v>
      </c>
    </row>
    <row r="5090" spans="2:12">
      <c r="B5090" s="50" t="s">
        <v>483</v>
      </c>
      <c r="C5090" s="50" t="s">
        <v>62</v>
      </c>
      <c r="D5090" s="50" t="s">
        <v>27</v>
      </c>
      <c r="E5090" s="50">
        <v>50020622</v>
      </c>
      <c r="F5090" s="50" t="s">
        <v>217</v>
      </c>
      <c r="G5090" s="50">
        <v>1</v>
      </c>
      <c r="H5090" s="50" t="s">
        <v>2</v>
      </c>
      <c r="I5090" s="50" t="s">
        <v>293</v>
      </c>
      <c r="J5090" s="51">
        <v>45943</v>
      </c>
      <c r="K5090" s="50" t="s">
        <v>1</v>
      </c>
      <c r="L5090" s="50" t="s">
        <v>80</v>
      </c>
    </row>
    <row r="5091" spans="2:12">
      <c r="B5091" s="50" t="s">
        <v>409</v>
      </c>
      <c r="C5091" s="50" t="s">
        <v>51</v>
      </c>
      <c r="D5091" s="50" t="s">
        <v>27</v>
      </c>
      <c r="E5091" s="50">
        <v>50032775</v>
      </c>
      <c r="F5091" s="50" t="s">
        <v>307</v>
      </c>
      <c r="G5091" s="50">
        <v>1</v>
      </c>
      <c r="H5091" s="50" t="s">
        <v>2</v>
      </c>
      <c r="I5091" s="50" t="s">
        <v>293</v>
      </c>
      <c r="J5091" s="51">
        <v>45943</v>
      </c>
      <c r="K5091" s="50" t="s">
        <v>3</v>
      </c>
      <c r="L5091" s="50" t="s">
        <v>80</v>
      </c>
    </row>
    <row r="5092" spans="2:12">
      <c r="B5092" s="50" t="s">
        <v>409</v>
      </c>
      <c r="C5092" s="50" t="s">
        <v>51</v>
      </c>
      <c r="D5092" s="50" t="s">
        <v>27</v>
      </c>
      <c r="E5092" s="50">
        <v>50032775</v>
      </c>
      <c r="F5092" s="50" t="s">
        <v>307</v>
      </c>
      <c r="G5092" s="50">
        <v>1</v>
      </c>
      <c r="H5092" s="50" t="s">
        <v>2</v>
      </c>
      <c r="I5092" s="50" t="s">
        <v>291</v>
      </c>
      <c r="J5092" s="51">
        <v>45943</v>
      </c>
      <c r="K5092" s="50" t="s">
        <v>1</v>
      </c>
      <c r="L5092" s="50" t="s">
        <v>80</v>
      </c>
    </row>
    <row r="5093" spans="2:12">
      <c r="B5093" s="50" t="s">
        <v>427</v>
      </c>
      <c r="C5093" s="50" t="s">
        <v>26</v>
      </c>
      <c r="D5093" s="50" t="s">
        <v>27</v>
      </c>
      <c r="E5093" s="50">
        <v>50044453</v>
      </c>
      <c r="F5093" s="50" t="s">
        <v>320</v>
      </c>
      <c r="G5093" s="50">
        <v>1</v>
      </c>
      <c r="H5093" s="50" t="s">
        <v>2</v>
      </c>
      <c r="I5093" s="50" t="s">
        <v>293</v>
      </c>
      <c r="J5093" s="51">
        <v>45943</v>
      </c>
      <c r="K5093" s="50" t="s">
        <v>3</v>
      </c>
      <c r="L5093" s="50" t="s">
        <v>80</v>
      </c>
    </row>
    <row r="5094" spans="2:12">
      <c r="B5094" s="50" t="s">
        <v>427</v>
      </c>
      <c r="C5094" s="50" t="s">
        <v>26</v>
      </c>
      <c r="D5094" s="50" t="s">
        <v>27</v>
      </c>
      <c r="E5094" s="50">
        <v>50044453</v>
      </c>
      <c r="F5094" s="50" t="s">
        <v>320</v>
      </c>
      <c r="G5094" s="50">
        <v>1</v>
      </c>
      <c r="H5094" s="50" t="s">
        <v>2</v>
      </c>
      <c r="I5094" s="50" t="s">
        <v>293</v>
      </c>
      <c r="J5094" s="51">
        <v>45943</v>
      </c>
      <c r="K5094" s="50" t="s">
        <v>1</v>
      </c>
      <c r="L5094" s="50" t="s">
        <v>80</v>
      </c>
    </row>
    <row r="5095" spans="2:12">
      <c r="B5095" s="50" t="s">
        <v>43</v>
      </c>
      <c r="C5095" s="50" t="s">
        <v>26</v>
      </c>
      <c r="D5095" s="50" t="s">
        <v>41</v>
      </c>
      <c r="E5095" s="50">
        <v>50044453</v>
      </c>
      <c r="F5095" s="50" t="s">
        <v>320</v>
      </c>
      <c r="G5095" s="50">
        <v>1</v>
      </c>
      <c r="H5095" s="50" t="s">
        <v>2</v>
      </c>
      <c r="I5095" s="50" t="s">
        <v>293</v>
      </c>
      <c r="J5095" s="51">
        <v>45943</v>
      </c>
      <c r="K5095" s="50" t="s">
        <v>3</v>
      </c>
      <c r="L5095" s="50" t="s">
        <v>80</v>
      </c>
    </row>
    <row r="5096" spans="2:12">
      <c r="B5096" s="50" t="s">
        <v>43</v>
      </c>
      <c r="C5096" s="50" t="s">
        <v>26</v>
      </c>
      <c r="D5096" s="50" t="s">
        <v>41</v>
      </c>
      <c r="E5096" s="50">
        <v>50044453</v>
      </c>
      <c r="F5096" s="50" t="s">
        <v>320</v>
      </c>
      <c r="G5096" s="50">
        <v>1</v>
      </c>
      <c r="H5096" s="50" t="s">
        <v>2</v>
      </c>
      <c r="I5096" s="50" t="s">
        <v>293</v>
      </c>
      <c r="J5096" s="51">
        <v>45943</v>
      </c>
      <c r="K5096" s="50" t="s">
        <v>1</v>
      </c>
      <c r="L5096" s="50" t="s">
        <v>80</v>
      </c>
    </row>
    <row r="5097" spans="2:12">
      <c r="B5097" s="50" t="s">
        <v>386</v>
      </c>
      <c r="C5097" s="50" t="s">
        <v>62</v>
      </c>
      <c r="D5097" s="50" t="s">
        <v>27</v>
      </c>
      <c r="E5097" s="50">
        <v>50038840</v>
      </c>
      <c r="F5097" s="50" t="s">
        <v>235</v>
      </c>
      <c r="G5097" s="50">
        <v>1</v>
      </c>
      <c r="H5097" s="50" t="s">
        <v>2</v>
      </c>
      <c r="I5097" s="50" t="s">
        <v>293</v>
      </c>
      <c r="J5097" s="51">
        <v>45943</v>
      </c>
      <c r="K5097" s="50" t="s">
        <v>3</v>
      </c>
      <c r="L5097" s="50" t="s">
        <v>80</v>
      </c>
    </row>
    <row r="5098" spans="2:12">
      <c r="B5098" s="50" t="s">
        <v>386</v>
      </c>
      <c r="C5098" s="50" t="s">
        <v>62</v>
      </c>
      <c r="D5098" s="50" t="s">
        <v>27</v>
      </c>
      <c r="E5098" s="50">
        <v>50038840</v>
      </c>
      <c r="F5098" s="50" t="s">
        <v>235</v>
      </c>
      <c r="G5098" s="50">
        <v>1</v>
      </c>
      <c r="H5098" s="50" t="s">
        <v>2</v>
      </c>
      <c r="I5098" s="50" t="s">
        <v>293</v>
      </c>
      <c r="J5098" s="51">
        <v>45943</v>
      </c>
      <c r="K5098" s="50" t="s">
        <v>1</v>
      </c>
      <c r="L5098" s="50" t="s">
        <v>80</v>
      </c>
    </row>
    <row r="5099" spans="2:12">
      <c r="B5099" s="50" t="s">
        <v>25</v>
      </c>
      <c r="C5099" s="50" t="s">
        <v>26</v>
      </c>
      <c r="D5099" s="50" t="s">
        <v>27</v>
      </c>
      <c r="E5099" s="50">
        <v>50037933</v>
      </c>
      <c r="F5099" s="50" t="s">
        <v>250</v>
      </c>
      <c r="G5099" s="50">
        <v>1</v>
      </c>
      <c r="H5099" s="50" t="s">
        <v>2</v>
      </c>
      <c r="I5099" s="50" t="s">
        <v>293</v>
      </c>
      <c r="J5099" s="51">
        <v>45943</v>
      </c>
      <c r="K5099" s="50" t="s">
        <v>3</v>
      </c>
      <c r="L5099" s="50" t="s">
        <v>80</v>
      </c>
    </row>
    <row r="5100" spans="2:12">
      <c r="B5100" s="50" t="s">
        <v>25</v>
      </c>
      <c r="C5100" s="50" t="s">
        <v>26</v>
      </c>
      <c r="D5100" s="50" t="s">
        <v>27</v>
      </c>
      <c r="E5100" s="50">
        <v>50037933</v>
      </c>
      <c r="F5100" s="50" t="s">
        <v>250</v>
      </c>
      <c r="G5100" s="50">
        <v>1</v>
      </c>
      <c r="H5100" s="50" t="s">
        <v>2</v>
      </c>
      <c r="I5100" s="50" t="s">
        <v>293</v>
      </c>
      <c r="J5100" s="51">
        <v>45943</v>
      </c>
      <c r="K5100" s="50" t="s">
        <v>3</v>
      </c>
      <c r="L5100" s="50" t="s">
        <v>80</v>
      </c>
    </row>
    <row r="5101" spans="2:12">
      <c r="B5101" s="50" t="s">
        <v>481</v>
      </c>
      <c r="C5101" s="50" t="s">
        <v>26</v>
      </c>
      <c r="D5101" s="50" t="s">
        <v>27</v>
      </c>
      <c r="E5101" s="50">
        <v>50010031</v>
      </c>
      <c r="F5101" s="50" t="s">
        <v>89</v>
      </c>
      <c r="G5101" s="50">
        <v>1</v>
      </c>
      <c r="H5101" s="50" t="s">
        <v>2</v>
      </c>
      <c r="I5101" s="50" t="s">
        <v>290</v>
      </c>
      <c r="J5101" s="51">
        <v>45942</v>
      </c>
      <c r="K5101" s="50" t="s">
        <v>3</v>
      </c>
      <c r="L5101" s="50" t="s">
        <v>80</v>
      </c>
    </row>
    <row r="5102" spans="2:12">
      <c r="B5102" s="50" t="s">
        <v>481</v>
      </c>
      <c r="C5102" s="50" t="s">
        <v>26</v>
      </c>
      <c r="D5102" s="50" t="s">
        <v>27</v>
      </c>
      <c r="E5102" s="50">
        <v>50010031</v>
      </c>
      <c r="F5102" s="50" t="s">
        <v>89</v>
      </c>
      <c r="G5102" s="50">
        <v>1</v>
      </c>
      <c r="H5102" s="50" t="s">
        <v>2</v>
      </c>
      <c r="I5102" s="50" t="s">
        <v>290</v>
      </c>
      <c r="J5102" s="51">
        <v>45942</v>
      </c>
      <c r="K5102" s="50" t="s">
        <v>1</v>
      </c>
      <c r="L5102" s="50" t="s">
        <v>80</v>
      </c>
    </row>
    <row r="5103" spans="2:12">
      <c r="B5103" s="50" t="s">
        <v>277</v>
      </c>
      <c r="C5103" s="50" t="s">
        <v>62</v>
      </c>
      <c r="D5103" s="50" t="s">
        <v>27</v>
      </c>
      <c r="E5103" s="50">
        <v>50038854</v>
      </c>
      <c r="F5103" s="50" t="s">
        <v>101</v>
      </c>
      <c r="G5103" s="50">
        <v>1</v>
      </c>
      <c r="H5103" s="50" t="s">
        <v>2</v>
      </c>
      <c r="I5103" s="50" t="s">
        <v>290</v>
      </c>
      <c r="J5103" s="51">
        <v>45942</v>
      </c>
      <c r="K5103" s="50" t="s">
        <v>3</v>
      </c>
      <c r="L5103" s="50" t="s">
        <v>80</v>
      </c>
    </row>
    <row r="5104" spans="2:12">
      <c r="B5104" s="50" t="s">
        <v>277</v>
      </c>
      <c r="C5104" s="50" t="s">
        <v>62</v>
      </c>
      <c r="D5104" s="50" t="s">
        <v>27</v>
      </c>
      <c r="E5104" s="50">
        <v>50038854</v>
      </c>
      <c r="F5104" s="50" t="s">
        <v>101</v>
      </c>
      <c r="G5104" s="50">
        <v>1</v>
      </c>
      <c r="H5104" s="50" t="s">
        <v>2</v>
      </c>
      <c r="I5104" s="50" t="s">
        <v>290</v>
      </c>
      <c r="J5104" s="51">
        <v>45942</v>
      </c>
      <c r="K5104" s="50" t="s">
        <v>1</v>
      </c>
      <c r="L5104" s="50" t="s">
        <v>80</v>
      </c>
    </row>
    <row r="5105" spans="2:12">
      <c r="B5105" s="50" t="s">
        <v>390</v>
      </c>
      <c r="C5105" s="50" t="s">
        <v>56</v>
      </c>
      <c r="D5105" s="50" t="s">
        <v>27</v>
      </c>
      <c r="E5105" s="50">
        <v>50036298</v>
      </c>
      <c r="F5105" s="50" t="s">
        <v>102</v>
      </c>
      <c r="G5105" s="50">
        <v>1</v>
      </c>
      <c r="H5105" s="50" t="s">
        <v>2</v>
      </c>
      <c r="I5105" s="50" t="s">
        <v>289</v>
      </c>
      <c r="J5105" s="51">
        <v>45942</v>
      </c>
      <c r="K5105" s="50" t="s">
        <v>3</v>
      </c>
      <c r="L5105" s="50" t="s">
        <v>80</v>
      </c>
    </row>
    <row r="5106" spans="2:12">
      <c r="B5106" s="50" t="s">
        <v>390</v>
      </c>
      <c r="C5106" s="50" t="s">
        <v>56</v>
      </c>
      <c r="D5106" s="50" t="s">
        <v>27</v>
      </c>
      <c r="E5106" s="50">
        <v>50036298</v>
      </c>
      <c r="F5106" s="50" t="s">
        <v>102</v>
      </c>
      <c r="G5106" s="50">
        <v>1</v>
      </c>
      <c r="H5106" s="50" t="s">
        <v>2</v>
      </c>
      <c r="I5106" s="50" t="s">
        <v>290</v>
      </c>
      <c r="J5106" s="51">
        <v>45942</v>
      </c>
      <c r="K5106" s="50" t="s">
        <v>1</v>
      </c>
      <c r="L5106" s="50" t="s">
        <v>80</v>
      </c>
    </row>
    <row r="5107" spans="2:12">
      <c r="B5107" s="50" t="e">
        <v>#N/A</v>
      </c>
      <c r="C5107" s="50" t="s">
        <v>26</v>
      </c>
      <c r="D5107" s="50" t="s">
        <v>39</v>
      </c>
      <c r="E5107" s="50">
        <v>50039718</v>
      </c>
      <c r="F5107" s="50" t="s">
        <v>149</v>
      </c>
      <c r="G5107" s="50">
        <v>1</v>
      </c>
      <c r="H5107" s="50" t="s">
        <v>2</v>
      </c>
      <c r="I5107" s="50" t="s">
        <v>289</v>
      </c>
      <c r="J5107" s="51">
        <v>45942</v>
      </c>
      <c r="K5107" s="50" t="s">
        <v>3</v>
      </c>
      <c r="L5107" s="50" t="s">
        <v>80</v>
      </c>
    </row>
    <row r="5108" spans="2:12">
      <c r="B5108" s="50" t="e">
        <v>#N/A</v>
      </c>
      <c r="C5108" s="50" t="s">
        <v>26</v>
      </c>
      <c r="D5108" s="50" t="s">
        <v>39</v>
      </c>
      <c r="E5108" s="50">
        <v>50039718</v>
      </c>
      <c r="F5108" s="50" t="s">
        <v>149</v>
      </c>
      <c r="G5108" s="50">
        <v>1</v>
      </c>
      <c r="H5108" s="50" t="s">
        <v>2</v>
      </c>
      <c r="I5108" s="50" t="s">
        <v>290</v>
      </c>
      <c r="J5108" s="51">
        <v>45942</v>
      </c>
      <c r="K5108" s="50" t="s">
        <v>1</v>
      </c>
      <c r="L5108" s="50" t="s">
        <v>80</v>
      </c>
    </row>
    <row r="5109" spans="2:12">
      <c r="B5109" s="50" t="s">
        <v>402</v>
      </c>
      <c r="C5109" s="50" t="s">
        <v>56</v>
      </c>
      <c r="D5109" s="50" t="s">
        <v>39</v>
      </c>
      <c r="E5109" s="50">
        <v>50043320</v>
      </c>
      <c r="F5109" s="50" t="s">
        <v>264</v>
      </c>
      <c r="G5109" s="50">
        <v>1</v>
      </c>
      <c r="H5109" s="50" t="s">
        <v>2</v>
      </c>
      <c r="I5109" s="50" t="s">
        <v>290</v>
      </c>
      <c r="J5109" s="51">
        <v>45942</v>
      </c>
      <c r="K5109" s="50" t="s">
        <v>3</v>
      </c>
      <c r="L5109" s="50" t="s">
        <v>80</v>
      </c>
    </row>
    <row r="5110" spans="2:12">
      <c r="B5110" s="50" t="s">
        <v>402</v>
      </c>
      <c r="C5110" s="50" t="s">
        <v>56</v>
      </c>
      <c r="D5110" s="50" t="s">
        <v>39</v>
      </c>
      <c r="E5110" s="50">
        <v>50043320</v>
      </c>
      <c r="F5110" s="50" t="s">
        <v>264</v>
      </c>
      <c r="G5110" s="50">
        <v>1</v>
      </c>
      <c r="H5110" s="50" t="s">
        <v>2</v>
      </c>
      <c r="I5110" s="50" t="s">
        <v>290</v>
      </c>
      <c r="J5110" s="51">
        <v>45942</v>
      </c>
      <c r="K5110" s="50" t="s">
        <v>1</v>
      </c>
      <c r="L5110" s="50" t="s">
        <v>80</v>
      </c>
    </row>
    <row r="5111" spans="2:12">
      <c r="B5111" s="50" t="s">
        <v>465</v>
      </c>
      <c r="C5111" s="50" t="s">
        <v>26</v>
      </c>
      <c r="D5111" s="50" t="s">
        <v>27</v>
      </c>
      <c r="E5111" s="50">
        <v>50022878</v>
      </c>
      <c r="F5111" s="50" t="s">
        <v>296</v>
      </c>
      <c r="G5111" s="50">
        <v>1</v>
      </c>
      <c r="H5111" s="50" t="s">
        <v>2</v>
      </c>
      <c r="I5111" s="50" t="s">
        <v>289</v>
      </c>
      <c r="J5111" s="51">
        <v>45942</v>
      </c>
      <c r="K5111" s="50" t="s">
        <v>3</v>
      </c>
      <c r="L5111" s="50" t="s">
        <v>80</v>
      </c>
    </row>
    <row r="5112" spans="2:12">
      <c r="B5112" s="50" t="s">
        <v>465</v>
      </c>
      <c r="C5112" s="50" t="s">
        <v>26</v>
      </c>
      <c r="D5112" s="50" t="s">
        <v>27</v>
      </c>
      <c r="E5112" s="50">
        <v>50022878</v>
      </c>
      <c r="F5112" s="50" t="s">
        <v>296</v>
      </c>
      <c r="G5112" s="50">
        <v>1</v>
      </c>
      <c r="H5112" s="50" t="s">
        <v>2</v>
      </c>
      <c r="I5112" s="50" t="s">
        <v>290</v>
      </c>
      <c r="J5112" s="51">
        <v>45942</v>
      </c>
      <c r="K5112" s="50" t="s">
        <v>1</v>
      </c>
      <c r="L5112" s="50" t="s">
        <v>80</v>
      </c>
    </row>
    <row r="5113" spans="2:12">
      <c r="B5113" s="50" t="s">
        <v>442</v>
      </c>
      <c r="C5113" s="50" t="s">
        <v>61</v>
      </c>
      <c r="D5113" s="50" t="s">
        <v>41</v>
      </c>
      <c r="E5113" s="50">
        <v>50022878</v>
      </c>
      <c r="F5113" s="50" t="s">
        <v>296</v>
      </c>
      <c r="G5113" s="50">
        <v>1</v>
      </c>
      <c r="H5113" s="50" t="s">
        <v>2</v>
      </c>
      <c r="I5113" s="50" t="s">
        <v>290</v>
      </c>
      <c r="J5113" s="51">
        <v>45942</v>
      </c>
      <c r="K5113" s="50" t="s">
        <v>3</v>
      </c>
      <c r="L5113" s="50" t="s">
        <v>80</v>
      </c>
    </row>
    <row r="5114" spans="2:12">
      <c r="B5114" s="50" t="s">
        <v>442</v>
      </c>
      <c r="C5114" s="50" t="s">
        <v>61</v>
      </c>
      <c r="D5114" s="50" t="s">
        <v>41</v>
      </c>
      <c r="E5114" s="50">
        <v>50022878</v>
      </c>
      <c r="F5114" s="50" t="s">
        <v>296</v>
      </c>
      <c r="G5114" s="50"/>
      <c r="H5114" s="50" t="s">
        <v>2</v>
      </c>
      <c r="I5114" s="50" t="s">
        <v>290</v>
      </c>
      <c r="J5114" s="51">
        <v>45942</v>
      </c>
      <c r="K5114" s="50" t="s">
        <v>1</v>
      </c>
      <c r="L5114" s="50" t="s">
        <v>80</v>
      </c>
    </row>
    <row r="5115" spans="2:12">
      <c r="B5115" s="50" t="s">
        <v>483</v>
      </c>
      <c r="C5115" s="50" t="s">
        <v>62</v>
      </c>
      <c r="D5115" s="50" t="s">
        <v>27</v>
      </c>
      <c r="E5115" s="50">
        <v>50038956</v>
      </c>
      <c r="F5115" s="50" t="s">
        <v>177</v>
      </c>
      <c r="G5115" s="50">
        <v>1</v>
      </c>
      <c r="H5115" s="50" t="s">
        <v>2</v>
      </c>
      <c r="I5115" s="50" t="s">
        <v>290</v>
      </c>
      <c r="J5115" s="51">
        <v>45942</v>
      </c>
      <c r="K5115" s="50" t="s">
        <v>3</v>
      </c>
      <c r="L5115" s="50" t="s">
        <v>80</v>
      </c>
    </row>
    <row r="5116" spans="2:12">
      <c r="B5116" s="50" t="s">
        <v>483</v>
      </c>
      <c r="C5116" s="50" t="s">
        <v>62</v>
      </c>
      <c r="D5116" s="50" t="s">
        <v>27</v>
      </c>
      <c r="E5116" s="50">
        <v>50038956</v>
      </c>
      <c r="F5116" s="50" t="s">
        <v>177</v>
      </c>
      <c r="G5116" s="50">
        <v>1</v>
      </c>
      <c r="H5116" s="50" t="s">
        <v>2</v>
      </c>
      <c r="I5116" s="50" t="s">
        <v>290</v>
      </c>
      <c r="J5116" s="51">
        <v>45942</v>
      </c>
      <c r="K5116" s="50" t="s">
        <v>3</v>
      </c>
      <c r="L5116" s="50" t="s">
        <v>80</v>
      </c>
    </row>
    <row r="5117" spans="2:12">
      <c r="B5117" s="50" t="s">
        <v>396</v>
      </c>
      <c r="C5117" s="50" t="s">
        <v>26</v>
      </c>
      <c r="D5117" s="50" t="s">
        <v>41</v>
      </c>
      <c r="E5117" s="50">
        <v>50037892</v>
      </c>
      <c r="F5117" s="50" t="s">
        <v>178</v>
      </c>
      <c r="G5117" s="50">
        <v>1</v>
      </c>
      <c r="H5117" s="50" t="s">
        <v>2</v>
      </c>
      <c r="I5117" s="50" t="s">
        <v>289</v>
      </c>
      <c r="J5117" s="51">
        <v>45942</v>
      </c>
      <c r="K5117" s="50" t="s">
        <v>1</v>
      </c>
      <c r="L5117" s="50" t="s">
        <v>80</v>
      </c>
    </row>
    <row r="5118" spans="2:12">
      <c r="B5118" s="50" t="s">
        <v>396</v>
      </c>
      <c r="C5118" s="50" t="s">
        <v>26</v>
      </c>
      <c r="D5118" s="50" t="s">
        <v>41</v>
      </c>
      <c r="E5118" s="50">
        <v>50037892</v>
      </c>
      <c r="F5118" s="50" t="s">
        <v>178</v>
      </c>
      <c r="G5118" s="50">
        <v>1</v>
      </c>
      <c r="H5118" s="50" t="s">
        <v>2</v>
      </c>
      <c r="I5118" s="50" t="s">
        <v>290</v>
      </c>
      <c r="J5118" s="51">
        <v>45942</v>
      </c>
      <c r="K5118" s="50" t="s">
        <v>3</v>
      </c>
      <c r="L5118" s="50" t="s">
        <v>80</v>
      </c>
    </row>
    <row r="5119" spans="2:12">
      <c r="B5119" s="50" t="s">
        <v>417</v>
      </c>
      <c r="C5119" s="50" t="s">
        <v>51</v>
      </c>
      <c r="D5119" s="50" t="s">
        <v>41</v>
      </c>
      <c r="E5119" s="50">
        <v>50038841</v>
      </c>
      <c r="F5119" s="50" t="s">
        <v>180</v>
      </c>
      <c r="G5119" s="50">
        <v>1</v>
      </c>
      <c r="H5119" s="50" t="s">
        <v>2</v>
      </c>
      <c r="I5119" s="50" t="s">
        <v>290</v>
      </c>
      <c r="J5119" s="51">
        <v>45942</v>
      </c>
      <c r="K5119" s="50" t="s">
        <v>1</v>
      </c>
      <c r="L5119" s="50" t="s">
        <v>80</v>
      </c>
    </row>
    <row r="5120" spans="2:12">
      <c r="B5120" s="50" t="s">
        <v>417</v>
      </c>
      <c r="C5120" s="50" t="s">
        <v>51</v>
      </c>
      <c r="D5120" s="50" t="s">
        <v>41</v>
      </c>
      <c r="E5120" s="50">
        <v>50038841</v>
      </c>
      <c r="F5120" s="50" t="s">
        <v>180</v>
      </c>
      <c r="G5120" s="50">
        <v>1</v>
      </c>
      <c r="H5120" s="50" t="s">
        <v>2</v>
      </c>
      <c r="I5120" s="50" t="s">
        <v>290</v>
      </c>
      <c r="J5120" s="51">
        <v>45942</v>
      </c>
      <c r="K5120" s="50" t="s">
        <v>3</v>
      </c>
      <c r="L5120" s="50" t="s">
        <v>80</v>
      </c>
    </row>
    <row r="5121" spans="2:12">
      <c r="B5121" s="50" t="s">
        <v>402</v>
      </c>
      <c r="C5121" s="50" t="s">
        <v>56</v>
      </c>
      <c r="D5121" s="50" t="s">
        <v>39</v>
      </c>
      <c r="E5121" s="50">
        <v>50038517</v>
      </c>
      <c r="F5121" s="50" t="s">
        <v>181</v>
      </c>
      <c r="G5121" s="50">
        <v>1</v>
      </c>
      <c r="H5121" s="50" t="s">
        <v>2</v>
      </c>
      <c r="I5121" s="50" t="s">
        <v>290</v>
      </c>
      <c r="J5121" s="51">
        <v>45942</v>
      </c>
      <c r="K5121" s="50" t="s">
        <v>1</v>
      </c>
      <c r="L5121" s="50" t="s">
        <v>80</v>
      </c>
    </row>
    <row r="5122" spans="2:12">
      <c r="B5122" s="50" t="s">
        <v>402</v>
      </c>
      <c r="C5122" s="50" t="s">
        <v>56</v>
      </c>
      <c r="D5122" s="50" t="s">
        <v>39</v>
      </c>
      <c r="E5122" s="50">
        <v>50038517</v>
      </c>
      <c r="F5122" s="50" t="s">
        <v>181</v>
      </c>
      <c r="G5122" s="50">
        <v>1</v>
      </c>
      <c r="H5122" s="50" t="s">
        <v>2</v>
      </c>
      <c r="I5122" s="50" t="s">
        <v>290</v>
      </c>
      <c r="J5122" s="51">
        <v>45942</v>
      </c>
      <c r="K5122" s="50" t="s">
        <v>1</v>
      </c>
      <c r="L5122" s="50" t="s">
        <v>80</v>
      </c>
    </row>
    <row r="5123" spans="2:12">
      <c r="B5123" s="50" t="s">
        <v>427</v>
      </c>
      <c r="C5123" s="50" t="s">
        <v>26</v>
      </c>
      <c r="D5123" s="50" t="s">
        <v>27</v>
      </c>
      <c r="E5123" s="50">
        <v>50001995</v>
      </c>
      <c r="F5123" s="50" t="s">
        <v>185</v>
      </c>
      <c r="G5123" s="50">
        <v>1</v>
      </c>
      <c r="H5123" s="50" t="s">
        <v>2</v>
      </c>
      <c r="I5123" s="50" t="s">
        <v>290</v>
      </c>
      <c r="J5123" s="51">
        <v>45942</v>
      </c>
      <c r="K5123" s="50" t="s">
        <v>3</v>
      </c>
      <c r="L5123" s="50" t="s">
        <v>80</v>
      </c>
    </row>
    <row r="5124" spans="2:12">
      <c r="B5124" s="50" t="s">
        <v>427</v>
      </c>
      <c r="C5124" s="50" t="s">
        <v>26</v>
      </c>
      <c r="D5124" s="50" t="s">
        <v>27</v>
      </c>
      <c r="E5124" s="50">
        <v>50001995</v>
      </c>
      <c r="F5124" s="50" t="s">
        <v>185</v>
      </c>
      <c r="G5124" s="50">
        <v>1</v>
      </c>
      <c r="H5124" s="50" t="s">
        <v>2</v>
      </c>
      <c r="I5124" s="50" t="s">
        <v>290</v>
      </c>
      <c r="J5124" s="51">
        <v>45942</v>
      </c>
      <c r="K5124" s="50" t="s">
        <v>1</v>
      </c>
      <c r="L5124" s="50" t="s">
        <v>80</v>
      </c>
    </row>
    <row r="5125" spans="2:12">
      <c r="B5125" s="50" t="s">
        <v>280</v>
      </c>
      <c r="C5125" s="50" t="s">
        <v>62</v>
      </c>
      <c r="D5125" s="50" t="s">
        <v>27</v>
      </c>
      <c r="E5125" s="50">
        <v>50026357</v>
      </c>
      <c r="F5125" s="50" t="s">
        <v>192</v>
      </c>
      <c r="G5125" s="50">
        <v>1</v>
      </c>
      <c r="H5125" s="50" t="s">
        <v>2</v>
      </c>
      <c r="I5125" s="50" t="s">
        <v>289</v>
      </c>
      <c r="J5125" s="51">
        <v>45942</v>
      </c>
      <c r="K5125" s="50" t="s">
        <v>3</v>
      </c>
      <c r="L5125" s="50" t="s">
        <v>80</v>
      </c>
    </row>
    <row r="5126" spans="2:12">
      <c r="B5126" s="50" t="s">
        <v>280</v>
      </c>
      <c r="C5126" s="50" t="s">
        <v>62</v>
      </c>
      <c r="D5126" s="50" t="s">
        <v>27</v>
      </c>
      <c r="E5126" s="50">
        <v>50026357</v>
      </c>
      <c r="F5126" s="50" t="s">
        <v>192</v>
      </c>
      <c r="G5126" s="50">
        <v>1</v>
      </c>
      <c r="H5126" s="50" t="s">
        <v>2</v>
      </c>
      <c r="I5126" s="50" t="s">
        <v>290</v>
      </c>
      <c r="J5126" s="51">
        <v>45942</v>
      </c>
      <c r="K5126" s="50" t="s">
        <v>1</v>
      </c>
      <c r="L5126" s="50" t="s">
        <v>80</v>
      </c>
    </row>
    <row r="5127" spans="2:12">
      <c r="B5127" s="50" t="s">
        <v>345</v>
      </c>
      <c r="C5127" s="50" t="s">
        <v>62</v>
      </c>
      <c r="D5127" s="50" t="s">
        <v>27</v>
      </c>
      <c r="E5127" s="50">
        <v>50041124</v>
      </c>
      <c r="F5127" s="50" t="s">
        <v>202</v>
      </c>
      <c r="G5127" s="50">
        <v>1</v>
      </c>
      <c r="H5127" s="50" t="s">
        <v>2</v>
      </c>
      <c r="I5127" s="50" t="s">
        <v>289</v>
      </c>
      <c r="J5127" s="51">
        <v>45942</v>
      </c>
      <c r="K5127" s="50" t="s">
        <v>3</v>
      </c>
      <c r="L5127" s="50" t="s">
        <v>80</v>
      </c>
    </row>
    <row r="5128" spans="2:12">
      <c r="B5128" s="50" t="s">
        <v>278</v>
      </c>
      <c r="C5128" s="50" t="s">
        <v>62</v>
      </c>
      <c r="D5128" s="50" t="s">
        <v>27</v>
      </c>
      <c r="E5128" s="50">
        <v>50041124</v>
      </c>
      <c r="F5128" s="50" t="s">
        <v>202</v>
      </c>
      <c r="G5128" s="50">
        <v>1</v>
      </c>
      <c r="H5128" s="50" t="s">
        <v>2</v>
      </c>
      <c r="I5128" s="50" t="s">
        <v>290</v>
      </c>
      <c r="J5128" s="51">
        <v>45942</v>
      </c>
      <c r="K5128" s="50" t="s">
        <v>1</v>
      </c>
      <c r="L5128" s="50" t="s">
        <v>80</v>
      </c>
    </row>
    <row r="5129" spans="2:12">
      <c r="B5129" s="50" t="s">
        <v>446</v>
      </c>
      <c r="C5129" s="50" t="s">
        <v>56</v>
      </c>
      <c r="D5129" s="50" t="s">
        <v>27</v>
      </c>
      <c r="E5129" s="50">
        <v>50020622</v>
      </c>
      <c r="F5129" s="50" t="s">
        <v>217</v>
      </c>
      <c r="G5129" s="50">
        <v>1</v>
      </c>
      <c r="H5129" s="50" t="s">
        <v>2</v>
      </c>
      <c r="I5129" s="50" t="s">
        <v>290</v>
      </c>
      <c r="J5129" s="51">
        <v>45942</v>
      </c>
      <c r="K5129" s="50" t="s">
        <v>3</v>
      </c>
      <c r="L5129" s="50" t="s">
        <v>80</v>
      </c>
    </row>
    <row r="5130" spans="2:12">
      <c r="B5130" s="50" t="s">
        <v>446</v>
      </c>
      <c r="C5130" s="50" t="s">
        <v>56</v>
      </c>
      <c r="D5130" s="50" t="s">
        <v>27</v>
      </c>
      <c r="E5130" s="50">
        <v>50020622</v>
      </c>
      <c r="F5130" s="50" t="s">
        <v>217</v>
      </c>
      <c r="G5130" s="50">
        <v>1</v>
      </c>
      <c r="H5130" s="50" t="s">
        <v>2</v>
      </c>
      <c r="I5130" s="50" t="s">
        <v>290</v>
      </c>
      <c r="J5130" s="51">
        <v>45942</v>
      </c>
      <c r="K5130" s="50" t="s">
        <v>1</v>
      </c>
      <c r="L5130" s="50" t="s">
        <v>80</v>
      </c>
    </row>
    <row r="5131" spans="2:12">
      <c r="B5131" s="50" t="s">
        <v>43</v>
      </c>
      <c r="C5131" s="50" t="s">
        <v>26</v>
      </c>
      <c r="D5131" s="50" t="s">
        <v>41</v>
      </c>
      <c r="E5131" s="50">
        <v>50004486</v>
      </c>
      <c r="F5131" s="50" t="s">
        <v>221</v>
      </c>
      <c r="G5131" s="50">
        <v>1</v>
      </c>
      <c r="H5131" s="50" t="s">
        <v>2</v>
      </c>
      <c r="I5131" s="50" t="s">
        <v>290</v>
      </c>
      <c r="J5131" s="51">
        <v>45942</v>
      </c>
      <c r="K5131" s="50" t="s">
        <v>3</v>
      </c>
      <c r="L5131" s="50" t="s">
        <v>80</v>
      </c>
    </row>
    <row r="5132" spans="2:12">
      <c r="B5132" s="50" t="s">
        <v>43</v>
      </c>
      <c r="C5132" s="50" t="s">
        <v>26</v>
      </c>
      <c r="D5132" s="50" t="s">
        <v>41</v>
      </c>
      <c r="E5132" s="50">
        <v>50004486</v>
      </c>
      <c r="F5132" s="50" t="s">
        <v>221</v>
      </c>
      <c r="G5132" s="50">
        <v>1</v>
      </c>
      <c r="H5132" s="50" t="s">
        <v>2</v>
      </c>
      <c r="I5132" s="50" t="s">
        <v>290</v>
      </c>
      <c r="J5132" s="51">
        <v>45942</v>
      </c>
      <c r="K5132" s="50" t="s">
        <v>1</v>
      </c>
      <c r="L5132" s="50" t="s">
        <v>80</v>
      </c>
    </row>
    <row r="5133" spans="2:12">
      <c r="B5133" s="50" t="s">
        <v>345</v>
      </c>
      <c r="C5133" s="50" t="s">
        <v>62</v>
      </c>
      <c r="D5133" s="50" t="s">
        <v>27</v>
      </c>
      <c r="E5133" s="50">
        <v>50038840</v>
      </c>
      <c r="F5133" s="50" t="s">
        <v>235</v>
      </c>
      <c r="G5133" s="50">
        <v>1</v>
      </c>
      <c r="H5133" s="50" t="s">
        <v>2</v>
      </c>
      <c r="I5133" s="50" t="s">
        <v>289</v>
      </c>
      <c r="J5133" s="51">
        <v>45942</v>
      </c>
      <c r="K5133" s="50" t="s">
        <v>3</v>
      </c>
      <c r="L5133" s="50" t="s">
        <v>80</v>
      </c>
    </row>
    <row r="5134" spans="2:12">
      <c r="B5134" s="50" t="s">
        <v>345</v>
      </c>
      <c r="C5134" s="50" t="s">
        <v>62</v>
      </c>
      <c r="D5134" s="50" t="s">
        <v>27</v>
      </c>
      <c r="E5134" s="50">
        <v>50038840</v>
      </c>
      <c r="F5134" s="50" t="s">
        <v>235</v>
      </c>
      <c r="G5134" s="50">
        <v>1</v>
      </c>
      <c r="H5134" s="50" t="s">
        <v>2</v>
      </c>
      <c r="I5134" s="50" t="s">
        <v>290</v>
      </c>
      <c r="J5134" s="51">
        <v>45942</v>
      </c>
      <c r="K5134" s="50" t="s">
        <v>1</v>
      </c>
      <c r="L5134" s="50" t="s">
        <v>80</v>
      </c>
    </row>
    <row r="5135" spans="2:12">
      <c r="B5135" s="50" t="e">
        <v>#N/A</v>
      </c>
      <c r="C5135" s="50" t="s">
        <v>26</v>
      </c>
      <c r="D5135" s="50" t="s">
        <v>27</v>
      </c>
      <c r="E5135" s="50">
        <v>50037905</v>
      </c>
      <c r="F5135" s="50" t="s">
        <v>150</v>
      </c>
      <c r="G5135" s="50">
        <v>1</v>
      </c>
      <c r="H5135" s="50" t="s">
        <v>2</v>
      </c>
      <c r="I5135" s="50" t="s">
        <v>287</v>
      </c>
      <c r="J5135" s="51">
        <v>45941</v>
      </c>
      <c r="K5135" s="50" t="s">
        <v>3</v>
      </c>
      <c r="L5135" s="50" t="s">
        <v>80</v>
      </c>
    </row>
    <row r="5136" spans="2:12">
      <c r="B5136" s="50" t="e">
        <v>#N/A</v>
      </c>
      <c r="C5136" s="50" t="s">
        <v>26</v>
      </c>
      <c r="D5136" s="50" t="s">
        <v>27</v>
      </c>
      <c r="E5136" s="50">
        <v>50037905</v>
      </c>
      <c r="F5136" s="50" t="s">
        <v>150</v>
      </c>
      <c r="G5136" s="50">
        <v>1</v>
      </c>
      <c r="H5136" s="50" t="s">
        <v>2</v>
      </c>
      <c r="I5136" s="50" t="s">
        <v>287</v>
      </c>
      <c r="J5136" s="51">
        <v>45941</v>
      </c>
      <c r="K5136" s="50" t="s">
        <v>1</v>
      </c>
      <c r="L5136" s="50" t="s">
        <v>80</v>
      </c>
    </row>
    <row r="5137" spans="2:12">
      <c r="B5137" s="50" t="s">
        <v>396</v>
      </c>
      <c r="C5137" s="50" t="s">
        <v>26</v>
      </c>
      <c r="D5137" s="50" t="s">
        <v>41</v>
      </c>
      <c r="E5137" s="50">
        <v>50043471</v>
      </c>
      <c r="F5137" s="50" t="s">
        <v>257</v>
      </c>
      <c r="G5137" s="50">
        <v>1</v>
      </c>
      <c r="H5137" s="50" t="s">
        <v>2</v>
      </c>
      <c r="I5137" s="50" t="s">
        <v>287</v>
      </c>
      <c r="J5137" s="51">
        <v>45941</v>
      </c>
      <c r="K5137" s="50" t="s">
        <v>3</v>
      </c>
      <c r="L5137" s="50" t="s">
        <v>80</v>
      </c>
    </row>
    <row r="5138" spans="2:12">
      <c r="B5138" s="50" t="e">
        <v>#N/A</v>
      </c>
      <c r="C5138" s="50" t="s">
        <v>26</v>
      </c>
      <c r="D5138" s="50" t="s">
        <v>27</v>
      </c>
      <c r="E5138" s="50">
        <v>50038841</v>
      </c>
      <c r="F5138" s="50" t="s">
        <v>180</v>
      </c>
      <c r="G5138" s="50">
        <v>1</v>
      </c>
      <c r="H5138" s="50" t="s">
        <v>2</v>
      </c>
      <c r="I5138" s="50" t="s">
        <v>287</v>
      </c>
      <c r="J5138" s="51">
        <v>45941</v>
      </c>
      <c r="K5138" s="50" t="s">
        <v>1</v>
      </c>
      <c r="L5138" s="50" t="s">
        <v>80</v>
      </c>
    </row>
    <row r="5139" spans="2:12">
      <c r="B5139" s="50" t="e">
        <v>#N/A</v>
      </c>
      <c r="C5139" s="50" t="s">
        <v>26</v>
      </c>
      <c r="D5139" s="50" t="s">
        <v>27</v>
      </c>
      <c r="E5139" s="50">
        <v>50038841</v>
      </c>
      <c r="F5139" s="50" t="s">
        <v>180</v>
      </c>
      <c r="G5139" s="50">
        <v>1</v>
      </c>
      <c r="H5139" s="50" t="s">
        <v>2</v>
      </c>
      <c r="I5139" s="50" t="s">
        <v>287</v>
      </c>
      <c r="J5139" s="51">
        <v>45941</v>
      </c>
      <c r="K5139" s="50" t="s">
        <v>1</v>
      </c>
      <c r="L5139" s="50" t="s">
        <v>80</v>
      </c>
    </row>
    <row r="5140" spans="2:12">
      <c r="B5140" s="50" t="s">
        <v>446</v>
      </c>
      <c r="C5140" s="50" t="s">
        <v>56</v>
      </c>
      <c r="D5140" s="50" t="s">
        <v>27</v>
      </c>
      <c r="E5140" s="50">
        <v>50036298</v>
      </c>
      <c r="F5140" s="50" t="s">
        <v>102</v>
      </c>
      <c r="G5140" s="50">
        <v>1</v>
      </c>
      <c r="H5140" s="50" t="s">
        <v>2</v>
      </c>
      <c r="I5140" s="50" t="s">
        <v>292</v>
      </c>
      <c r="J5140" s="51">
        <v>45940</v>
      </c>
      <c r="K5140" s="50" t="s">
        <v>3</v>
      </c>
      <c r="L5140" s="50" t="s">
        <v>80</v>
      </c>
    </row>
    <row r="5141" spans="2:12">
      <c r="B5141" s="50" t="s">
        <v>446</v>
      </c>
      <c r="C5141" s="50" t="s">
        <v>56</v>
      </c>
      <c r="D5141" s="50" t="s">
        <v>27</v>
      </c>
      <c r="E5141" s="50">
        <v>50036298</v>
      </c>
      <c r="F5141" s="50" t="s">
        <v>102</v>
      </c>
      <c r="G5141" s="50">
        <v>1</v>
      </c>
      <c r="H5141" s="50" t="s">
        <v>2</v>
      </c>
      <c r="I5141" s="50" t="s">
        <v>288</v>
      </c>
      <c r="J5141" s="51">
        <v>45940</v>
      </c>
      <c r="K5141" s="50" t="s">
        <v>1</v>
      </c>
      <c r="L5141" s="50" t="s">
        <v>80</v>
      </c>
    </row>
    <row r="5142" spans="2:12">
      <c r="B5142" s="50" t="s">
        <v>483</v>
      </c>
      <c r="C5142" s="50" t="s">
        <v>62</v>
      </c>
      <c r="D5142" s="50" t="s">
        <v>27</v>
      </c>
      <c r="E5142" s="50">
        <v>50036086</v>
      </c>
      <c r="F5142" s="50" t="s">
        <v>28</v>
      </c>
      <c r="G5142" s="50">
        <v>1</v>
      </c>
      <c r="H5142" s="50" t="s">
        <v>2</v>
      </c>
      <c r="I5142" s="50" t="s">
        <v>293</v>
      </c>
      <c r="J5142" s="51">
        <v>45940</v>
      </c>
      <c r="K5142" s="50" t="s">
        <v>3</v>
      </c>
      <c r="L5142" s="50" t="s">
        <v>80</v>
      </c>
    </row>
    <row r="5143" spans="2:12">
      <c r="B5143" s="50" t="s">
        <v>483</v>
      </c>
      <c r="C5143" s="50" t="s">
        <v>62</v>
      </c>
      <c r="D5143" s="50" t="s">
        <v>27</v>
      </c>
      <c r="E5143" s="50">
        <v>50036086</v>
      </c>
      <c r="F5143" s="50" t="s">
        <v>28</v>
      </c>
      <c r="G5143" s="50">
        <v>1</v>
      </c>
      <c r="H5143" s="50" t="s">
        <v>2</v>
      </c>
      <c r="I5143" s="50" t="s">
        <v>292</v>
      </c>
      <c r="J5143" s="51">
        <v>45940</v>
      </c>
      <c r="K5143" s="50" t="s">
        <v>1</v>
      </c>
      <c r="L5143" s="50" t="s">
        <v>80</v>
      </c>
    </row>
    <row r="5144" spans="2:12">
      <c r="B5144" s="50" t="s">
        <v>316</v>
      </c>
      <c r="C5144" s="50" t="s">
        <v>56</v>
      </c>
      <c r="D5144" s="50" t="s">
        <v>27</v>
      </c>
      <c r="E5144" s="50">
        <v>50039236</v>
      </c>
      <c r="F5144" s="50" t="s">
        <v>154</v>
      </c>
      <c r="G5144" s="50">
        <v>1</v>
      </c>
      <c r="H5144" s="50" t="s">
        <v>2</v>
      </c>
      <c r="I5144" s="50" t="s">
        <v>288</v>
      </c>
      <c r="J5144" s="51">
        <v>45940</v>
      </c>
      <c r="K5144" s="50" t="s">
        <v>3</v>
      </c>
      <c r="L5144" s="50" t="s">
        <v>80</v>
      </c>
    </row>
    <row r="5145" spans="2:12">
      <c r="B5145" s="50" t="s">
        <v>474</v>
      </c>
      <c r="C5145" s="50" t="s">
        <v>51</v>
      </c>
      <c r="D5145" s="50" t="s">
        <v>27</v>
      </c>
      <c r="E5145" s="50">
        <v>50043471</v>
      </c>
      <c r="F5145" s="50" t="s">
        <v>257</v>
      </c>
      <c r="G5145" s="50">
        <v>1</v>
      </c>
      <c r="H5145" s="50" t="s">
        <v>2</v>
      </c>
      <c r="I5145" s="50" t="s">
        <v>292</v>
      </c>
      <c r="J5145" s="51">
        <v>45940</v>
      </c>
      <c r="K5145" s="50" t="s">
        <v>1</v>
      </c>
      <c r="L5145" s="50" t="s">
        <v>80</v>
      </c>
    </row>
    <row r="5146" spans="2:12">
      <c r="B5146" s="50" t="s">
        <v>458</v>
      </c>
      <c r="C5146" s="50" t="s">
        <v>26</v>
      </c>
      <c r="D5146" s="50" t="s">
        <v>27</v>
      </c>
      <c r="E5146" s="50">
        <v>50003297</v>
      </c>
      <c r="F5146" s="50" t="s">
        <v>158</v>
      </c>
      <c r="G5146" s="50">
        <v>1</v>
      </c>
      <c r="H5146" s="50" t="s">
        <v>2</v>
      </c>
      <c r="I5146" s="50" t="s">
        <v>291</v>
      </c>
      <c r="J5146" s="51">
        <v>45940</v>
      </c>
      <c r="K5146" s="50" t="s">
        <v>1</v>
      </c>
      <c r="L5146" s="50" t="s">
        <v>80</v>
      </c>
    </row>
    <row r="5147" spans="2:12">
      <c r="B5147" s="50" t="s">
        <v>25</v>
      </c>
      <c r="C5147" s="50" t="s">
        <v>26</v>
      </c>
      <c r="D5147" s="50" t="s">
        <v>27</v>
      </c>
      <c r="E5147" s="50">
        <v>50029865</v>
      </c>
      <c r="F5147" s="50" t="s">
        <v>162</v>
      </c>
      <c r="G5147" s="50">
        <v>1</v>
      </c>
      <c r="H5147" s="50" t="s">
        <v>2</v>
      </c>
      <c r="I5147" s="50" t="s">
        <v>293</v>
      </c>
      <c r="J5147" s="51">
        <v>45940</v>
      </c>
      <c r="K5147" s="50" t="s">
        <v>3</v>
      </c>
      <c r="L5147" s="50" t="s">
        <v>80</v>
      </c>
    </row>
    <row r="5148" spans="2:12">
      <c r="B5148" s="50" t="s">
        <v>25</v>
      </c>
      <c r="C5148" s="50" t="s">
        <v>26</v>
      </c>
      <c r="D5148" s="50" t="s">
        <v>27</v>
      </c>
      <c r="E5148" s="50">
        <v>50029865</v>
      </c>
      <c r="F5148" s="50" t="s">
        <v>162</v>
      </c>
      <c r="G5148" s="50">
        <v>1</v>
      </c>
      <c r="H5148" s="50" t="s">
        <v>2</v>
      </c>
      <c r="I5148" s="50" t="s">
        <v>291</v>
      </c>
      <c r="J5148" s="51">
        <v>45940</v>
      </c>
      <c r="K5148" s="50" t="s">
        <v>1</v>
      </c>
      <c r="L5148" s="50" t="s">
        <v>80</v>
      </c>
    </row>
    <row r="5149" spans="2:12">
      <c r="B5149" s="50" t="s">
        <v>386</v>
      </c>
      <c r="C5149" s="50" t="s">
        <v>26</v>
      </c>
      <c r="D5149" s="50" t="s">
        <v>27</v>
      </c>
      <c r="E5149" s="50">
        <v>50038956</v>
      </c>
      <c r="F5149" s="50" t="s">
        <v>177</v>
      </c>
      <c r="G5149" s="50">
        <v>1</v>
      </c>
      <c r="H5149" s="50" t="s">
        <v>2</v>
      </c>
      <c r="I5149" s="50" t="s">
        <v>292</v>
      </c>
      <c r="J5149" s="51">
        <v>45940</v>
      </c>
      <c r="K5149" s="50" t="s">
        <v>3</v>
      </c>
      <c r="L5149" s="50" t="s">
        <v>80</v>
      </c>
    </row>
    <row r="5150" spans="2:12">
      <c r="B5150" s="50" t="s">
        <v>386</v>
      </c>
      <c r="C5150" s="50" t="s">
        <v>26</v>
      </c>
      <c r="D5150" s="50" t="s">
        <v>27</v>
      </c>
      <c r="E5150" s="50">
        <v>50038956</v>
      </c>
      <c r="F5150" s="50" t="s">
        <v>177</v>
      </c>
      <c r="G5150" s="50">
        <v>1</v>
      </c>
      <c r="H5150" s="50" t="s">
        <v>2</v>
      </c>
      <c r="I5150" s="50" t="s">
        <v>292</v>
      </c>
      <c r="J5150" s="51">
        <v>45940</v>
      </c>
      <c r="K5150" s="50" t="s">
        <v>1</v>
      </c>
      <c r="L5150" s="50" t="s">
        <v>80</v>
      </c>
    </row>
    <row r="5151" spans="2:12">
      <c r="B5151" s="50" t="s">
        <v>316</v>
      </c>
      <c r="C5151" s="50" t="s">
        <v>51</v>
      </c>
      <c r="D5151" s="50" t="s">
        <v>27</v>
      </c>
      <c r="E5151" s="50">
        <v>50038956</v>
      </c>
      <c r="F5151" s="50" t="s">
        <v>177</v>
      </c>
      <c r="G5151" s="50">
        <v>1</v>
      </c>
      <c r="H5151" s="50" t="s">
        <v>2</v>
      </c>
      <c r="I5151" s="50" t="s">
        <v>288</v>
      </c>
      <c r="J5151" s="51">
        <v>45940</v>
      </c>
      <c r="K5151" s="50" t="s">
        <v>3</v>
      </c>
      <c r="L5151" s="50" t="s">
        <v>80</v>
      </c>
    </row>
    <row r="5152" spans="2:12">
      <c r="B5152" s="50" t="s">
        <v>316</v>
      </c>
      <c r="C5152" s="50" t="s">
        <v>51</v>
      </c>
      <c r="D5152" s="50" t="s">
        <v>27</v>
      </c>
      <c r="E5152" s="50">
        <v>50038956</v>
      </c>
      <c r="F5152" s="50" t="s">
        <v>177</v>
      </c>
      <c r="G5152" s="50">
        <v>1</v>
      </c>
      <c r="H5152" s="50" t="s">
        <v>2</v>
      </c>
      <c r="I5152" s="50" t="s">
        <v>288</v>
      </c>
      <c r="J5152" s="51">
        <v>45940</v>
      </c>
      <c r="K5152" s="50" t="s">
        <v>3</v>
      </c>
      <c r="L5152" s="50" t="s">
        <v>80</v>
      </c>
    </row>
    <row r="5153" spans="2:12">
      <c r="B5153" s="50" t="s">
        <v>471</v>
      </c>
      <c r="C5153" s="50" t="s">
        <v>26</v>
      </c>
      <c r="D5153" s="50" t="s">
        <v>27</v>
      </c>
      <c r="E5153" s="50">
        <v>50037892</v>
      </c>
      <c r="F5153" s="50" t="s">
        <v>178</v>
      </c>
      <c r="G5153" s="50">
        <v>1</v>
      </c>
      <c r="H5153" s="50" t="s">
        <v>4</v>
      </c>
      <c r="I5153" s="50" t="s">
        <v>290</v>
      </c>
      <c r="J5153" s="51">
        <v>45940</v>
      </c>
      <c r="K5153" s="59" t="s">
        <v>3</v>
      </c>
      <c r="L5153" s="50" t="s">
        <v>80</v>
      </c>
    </row>
    <row r="5154" spans="2:12">
      <c r="B5154" s="50" t="s">
        <v>471</v>
      </c>
      <c r="C5154" s="50" t="s">
        <v>26</v>
      </c>
      <c r="D5154" s="50" t="s">
        <v>27</v>
      </c>
      <c r="E5154" s="50">
        <v>50037892</v>
      </c>
      <c r="F5154" s="50" t="s">
        <v>178</v>
      </c>
      <c r="G5154" s="50">
        <v>1</v>
      </c>
      <c r="H5154" s="50" t="s">
        <v>4</v>
      </c>
      <c r="I5154" s="50" t="s">
        <v>290</v>
      </c>
      <c r="J5154" s="51">
        <v>45940</v>
      </c>
      <c r="K5154" s="59" t="s">
        <v>1</v>
      </c>
      <c r="L5154" s="50" t="s">
        <v>80</v>
      </c>
    </row>
    <row r="5155" spans="2:12">
      <c r="B5155" s="50" t="s">
        <v>439</v>
      </c>
      <c r="C5155" s="50" t="s">
        <v>26</v>
      </c>
      <c r="D5155" s="58" t="s">
        <v>41</v>
      </c>
      <c r="E5155" s="50">
        <v>50037892</v>
      </c>
      <c r="F5155" s="50" t="s">
        <v>178</v>
      </c>
      <c r="G5155" s="58">
        <v>1</v>
      </c>
      <c r="H5155" s="59" t="s">
        <v>2</v>
      </c>
      <c r="I5155" s="59" t="s">
        <v>310</v>
      </c>
      <c r="J5155" s="60">
        <v>45940</v>
      </c>
      <c r="K5155" s="50" t="s">
        <v>1</v>
      </c>
      <c r="L5155" s="50" t="s">
        <v>80</v>
      </c>
    </row>
    <row r="5156" spans="2:12">
      <c r="B5156" s="50" t="s">
        <v>439</v>
      </c>
      <c r="C5156" s="50" t="s">
        <v>26</v>
      </c>
      <c r="D5156" s="58" t="s">
        <v>41</v>
      </c>
      <c r="E5156" s="50">
        <v>50037892</v>
      </c>
      <c r="F5156" s="50" t="s">
        <v>178</v>
      </c>
      <c r="G5156" s="58">
        <v>1</v>
      </c>
      <c r="H5156" s="59" t="s">
        <v>2</v>
      </c>
      <c r="I5156" s="59" t="s">
        <v>310</v>
      </c>
      <c r="J5156" s="60">
        <v>45940</v>
      </c>
      <c r="K5156" s="50" t="s">
        <v>3</v>
      </c>
      <c r="L5156" s="50" t="s">
        <v>80</v>
      </c>
    </row>
    <row r="5157" spans="2:12">
      <c r="B5157" s="50" t="s">
        <v>446</v>
      </c>
      <c r="C5157" s="50" t="s">
        <v>56</v>
      </c>
      <c r="D5157" s="50" t="s">
        <v>27</v>
      </c>
      <c r="E5157" s="50">
        <v>50038841</v>
      </c>
      <c r="F5157" s="50" t="s">
        <v>180</v>
      </c>
      <c r="G5157" s="50">
        <v>1</v>
      </c>
      <c r="H5157" s="50" t="s">
        <v>2</v>
      </c>
      <c r="I5157" s="50" t="s">
        <v>288</v>
      </c>
      <c r="J5157" s="51">
        <v>45940</v>
      </c>
      <c r="K5157" s="50" t="s">
        <v>1</v>
      </c>
      <c r="L5157" s="50" t="s">
        <v>80</v>
      </c>
    </row>
    <row r="5158" spans="2:12">
      <c r="B5158" s="50" t="s">
        <v>446</v>
      </c>
      <c r="C5158" s="50" t="s">
        <v>56</v>
      </c>
      <c r="D5158" s="50" t="s">
        <v>27</v>
      </c>
      <c r="E5158" s="50">
        <v>50038841</v>
      </c>
      <c r="F5158" s="50" t="s">
        <v>180</v>
      </c>
      <c r="G5158" s="50">
        <v>1</v>
      </c>
      <c r="H5158" s="50" t="s">
        <v>2</v>
      </c>
      <c r="I5158" s="50" t="s">
        <v>291</v>
      </c>
      <c r="J5158" s="51">
        <v>45940</v>
      </c>
      <c r="K5158" s="50" t="s">
        <v>3</v>
      </c>
      <c r="L5158" s="50" t="s">
        <v>80</v>
      </c>
    </row>
    <row r="5159" spans="2:12">
      <c r="B5159" s="50" t="s">
        <v>483</v>
      </c>
      <c r="C5159" s="50" t="s">
        <v>62</v>
      </c>
      <c r="D5159" s="50" t="s">
        <v>27</v>
      </c>
      <c r="E5159" s="50">
        <v>50038517</v>
      </c>
      <c r="F5159" s="50" t="s">
        <v>181</v>
      </c>
      <c r="G5159" s="50">
        <v>1</v>
      </c>
      <c r="H5159" s="50" t="s">
        <v>2</v>
      </c>
      <c r="I5159" s="50" t="s">
        <v>293</v>
      </c>
      <c r="J5159" s="51">
        <v>45940</v>
      </c>
      <c r="K5159" s="50" t="s">
        <v>1</v>
      </c>
      <c r="L5159" s="50" t="s">
        <v>80</v>
      </c>
    </row>
    <row r="5160" spans="2:12">
      <c r="B5160" s="50" t="s">
        <v>483</v>
      </c>
      <c r="C5160" s="50" t="s">
        <v>62</v>
      </c>
      <c r="D5160" s="50" t="s">
        <v>27</v>
      </c>
      <c r="E5160" s="50">
        <v>50038517</v>
      </c>
      <c r="F5160" s="50" t="s">
        <v>181</v>
      </c>
      <c r="G5160" s="50">
        <v>1</v>
      </c>
      <c r="H5160" s="50" t="s">
        <v>2</v>
      </c>
      <c r="I5160" s="50" t="s">
        <v>291</v>
      </c>
      <c r="J5160" s="51">
        <v>45940</v>
      </c>
      <c r="K5160" s="50" t="s">
        <v>3</v>
      </c>
      <c r="L5160" s="50" t="s">
        <v>80</v>
      </c>
    </row>
    <row r="5161" spans="2:12">
      <c r="B5161" s="50" t="s">
        <v>427</v>
      </c>
      <c r="C5161" s="50" t="s">
        <v>26</v>
      </c>
      <c r="D5161" s="50" t="s">
        <v>27</v>
      </c>
      <c r="E5161" s="50">
        <v>50042003</v>
      </c>
      <c r="F5161" s="50" t="s">
        <v>300</v>
      </c>
      <c r="G5161" s="50">
        <v>1</v>
      </c>
      <c r="H5161" s="50" t="s">
        <v>2</v>
      </c>
      <c r="I5161" s="50" t="s">
        <v>292</v>
      </c>
      <c r="J5161" s="51">
        <v>45940</v>
      </c>
      <c r="K5161" s="59" t="s">
        <v>1</v>
      </c>
      <c r="L5161" s="50" t="s">
        <v>80</v>
      </c>
    </row>
    <row r="5162" spans="2:12">
      <c r="B5162" s="50" t="s">
        <v>427</v>
      </c>
      <c r="C5162" s="50" t="s">
        <v>26</v>
      </c>
      <c r="D5162" s="50" t="s">
        <v>27</v>
      </c>
      <c r="E5162" s="50">
        <v>50042003</v>
      </c>
      <c r="F5162" s="50" t="s">
        <v>300</v>
      </c>
      <c r="G5162" s="50">
        <v>1</v>
      </c>
      <c r="H5162" s="50" t="s">
        <v>2</v>
      </c>
      <c r="I5162" s="50" t="s">
        <v>291</v>
      </c>
      <c r="J5162" s="51">
        <v>45940</v>
      </c>
      <c r="K5162" s="50" t="s">
        <v>1</v>
      </c>
      <c r="L5162" s="50" t="s">
        <v>80</v>
      </c>
    </row>
    <row r="5163" spans="2:12">
      <c r="B5163" s="50" t="s">
        <v>465</v>
      </c>
      <c r="C5163" s="50" t="s">
        <v>26</v>
      </c>
      <c r="D5163" s="50" t="s">
        <v>27</v>
      </c>
      <c r="E5163" s="50">
        <v>50039065</v>
      </c>
      <c r="F5163" s="50" t="s">
        <v>186</v>
      </c>
      <c r="G5163" s="50">
        <v>1</v>
      </c>
      <c r="H5163" s="50" t="s">
        <v>2</v>
      </c>
      <c r="I5163" s="50" t="s">
        <v>291</v>
      </c>
      <c r="J5163" s="51">
        <v>45940</v>
      </c>
      <c r="K5163" s="50" t="s">
        <v>3</v>
      </c>
      <c r="L5163" s="50" t="s">
        <v>80</v>
      </c>
    </row>
    <row r="5164" spans="2:12">
      <c r="B5164" s="50" t="s">
        <v>465</v>
      </c>
      <c r="C5164" s="50" t="s">
        <v>26</v>
      </c>
      <c r="D5164" s="50" t="s">
        <v>27</v>
      </c>
      <c r="E5164" s="50">
        <v>50039065</v>
      </c>
      <c r="F5164" s="50" t="s">
        <v>186</v>
      </c>
      <c r="G5164" s="50">
        <v>1</v>
      </c>
      <c r="H5164" s="50" t="s">
        <v>2</v>
      </c>
      <c r="I5164" s="50" t="s">
        <v>291</v>
      </c>
      <c r="J5164" s="51">
        <v>45940</v>
      </c>
      <c r="K5164" s="50" t="s">
        <v>3</v>
      </c>
      <c r="L5164" s="50" t="s">
        <v>80</v>
      </c>
    </row>
    <row r="5165" spans="2:12">
      <c r="B5165" s="50" t="s">
        <v>25</v>
      </c>
      <c r="C5165" s="50" t="s">
        <v>26</v>
      </c>
      <c r="D5165" s="50" t="s">
        <v>27</v>
      </c>
      <c r="E5165" s="50">
        <v>50041195</v>
      </c>
      <c r="F5165" s="50" t="s">
        <v>206</v>
      </c>
      <c r="G5165" s="50">
        <v>1</v>
      </c>
      <c r="H5165" s="50" t="s">
        <v>2</v>
      </c>
      <c r="I5165" s="50" t="s">
        <v>293</v>
      </c>
      <c r="J5165" s="51">
        <v>45940</v>
      </c>
      <c r="K5165" s="50" t="s">
        <v>1</v>
      </c>
      <c r="L5165" s="50" t="s">
        <v>80</v>
      </c>
    </row>
    <row r="5166" spans="2:12">
      <c r="B5166" s="50" t="s">
        <v>25</v>
      </c>
      <c r="C5166" s="50" t="s">
        <v>26</v>
      </c>
      <c r="D5166" s="50" t="s">
        <v>27</v>
      </c>
      <c r="E5166" s="50">
        <v>50041195</v>
      </c>
      <c r="F5166" s="50" t="s">
        <v>206</v>
      </c>
      <c r="G5166" s="50">
        <v>1</v>
      </c>
      <c r="H5166" s="50" t="s">
        <v>2</v>
      </c>
      <c r="I5166" s="50" t="s">
        <v>291</v>
      </c>
      <c r="J5166" s="51">
        <v>45940</v>
      </c>
      <c r="K5166" s="50" t="s">
        <v>3</v>
      </c>
      <c r="L5166" s="50" t="s">
        <v>80</v>
      </c>
    </row>
    <row r="5167" spans="2:12">
      <c r="B5167" s="50" t="s">
        <v>446</v>
      </c>
      <c r="C5167" s="50" t="s">
        <v>56</v>
      </c>
      <c r="D5167" s="50" t="s">
        <v>27</v>
      </c>
      <c r="E5167" s="50">
        <v>50043917</v>
      </c>
      <c r="F5167" s="50" t="s">
        <v>262</v>
      </c>
      <c r="G5167" s="50">
        <v>1</v>
      </c>
      <c r="H5167" s="50" t="s">
        <v>2</v>
      </c>
      <c r="I5167" s="50" t="s">
        <v>288</v>
      </c>
      <c r="J5167" s="51">
        <v>45940</v>
      </c>
      <c r="K5167" s="50" t="s">
        <v>1</v>
      </c>
      <c r="L5167" s="50" t="s">
        <v>80</v>
      </c>
    </row>
    <row r="5168" spans="2:12">
      <c r="B5168" s="50" t="s">
        <v>446</v>
      </c>
      <c r="C5168" s="50" t="s">
        <v>56</v>
      </c>
      <c r="D5168" s="50" t="s">
        <v>27</v>
      </c>
      <c r="E5168" s="50">
        <v>50043917</v>
      </c>
      <c r="F5168" s="50" t="s">
        <v>262</v>
      </c>
      <c r="G5168" s="50">
        <v>1</v>
      </c>
      <c r="H5168" s="50" t="s">
        <v>2</v>
      </c>
      <c r="I5168" s="50" t="s">
        <v>291</v>
      </c>
      <c r="J5168" s="51">
        <v>45940</v>
      </c>
      <c r="K5168" s="50" t="s">
        <v>3</v>
      </c>
      <c r="L5168" s="50" t="s">
        <v>80</v>
      </c>
    </row>
    <row r="5169" spans="2:12">
      <c r="B5169" s="50" t="s">
        <v>478</v>
      </c>
      <c r="C5169" s="50" t="s">
        <v>51</v>
      </c>
      <c r="D5169" s="50" t="s">
        <v>27</v>
      </c>
      <c r="E5169" s="50">
        <v>50043917</v>
      </c>
      <c r="F5169" s="50" t="s">
        <v>262</v>
      </c>
      <c r="G5169" s="50">
        <v>1</v>
      </c>
      <c r="H5169" s="50" t="s">
        <v>2</v>
      </c>
      <c r="I5169" s="50" t="s">
        <v>291</v>
      </c>
      <c r="J5169" s="51">
        <v>45940</v>
      </c>
      <c r="K5169" s="59" t="s">
        <v>3</v>
      </c>
      <c r="L5169" s="50" t="s">
        <v>80</v>
      </c>
    </row>
    <row r="5170" spans="2:12">
      <c r="B5170" s="50" t="s">
        <v>478</v>
      </c>
      <c r="C5170" s="50" t="s">
        <v>51</v>
      </c>
      <c r="D5170" s="50" t="s">
        <v>27</v>
      </c>
      <c r="E5170" s="50">
        <v>50043917</v>
      </c>
      <c r="F5170" s="50" t="s">
        <v>262</v>
      </c>
      <c r="G5170" s="50">
        <v>1</v>
      </c>
      <c r="H5170" s="50" t="s">
        <v>2</v>
      </c>
      <c r="I5170" s="50" t="s">
        <v>291</v>
      </c>
      <c r="J5170" s="51">
        <v>45940</v>
      </c>
      <c r="K5170" s="59" t="s">
        <v>1</v>
      </c>
      <c r="L5170" s="50" t="s">
        <v>80</v>
      </c>
    </row>
    <row r="5171" spans="2:12">
      <c r="B5171" s="50" t="s">
        <v>439</v>
      </c>
      <c r="C5171" s="50" t="s">
        <v>26</v>
      </c>
      <c r="D5171" s="58" t="s">
        <v>41</v>
      </c>
      <c r="E5171" s="50">
        <v>50043917</v>
      </c>
      <c r="F5171" s="50" t="str">
        <f>IFERROR(VLOOKUP(E5171,'BD MOVIMENTAÇÃO'!A:G,3,FALSE),"Não encontrado")</f>
        <v>PARAFUSADEIRA FURADEIRA BOSCH</v>
      </c>
      <c r="G5171" s="58">
        <v>1</v>
      </c>
      <c r="H5171" s="59" t="s">
        <v>2</v>
      </c>
      <c r="I5171" s="59" t="s">
        <v>310</v>
      </c>
      <c r="J5171" s="60">
        <v>45940</v>
      </c>
      <c r="K5171" s="50" t="s">
        <v>1</v>
      </c>
      <c r="L5171" s="50" t="s">
        <v>80</v>
      </c>
    </row>
    <row r="5172" spans="2:12">
      <c r="B5172" s="50" t="s">
        <v>439</v>
      </c>
      <c r="C5172" s="50" t="s">
        <v>26</v>
      </c>
      <c r="D5172" s="58" t="s">
        <v>41</v>
      </c>
      <c r="E5172" s="50">
        <v>50043917</v>
      </c>
      <c r="F5172" s="50" t="str">
        <f>IFERROR(VLOOKUP(E5172,'BD MOVIMENTAÇÃO'!A:G,3,FALSE),"Não encontrado")</f>
        <v>PARAFUSADEIRA FURADEIRA BOSCH</v>
      </c>
      <c r="G5172" s="58">
        <v>1</v>
      </c>
      <c r="H5172" s="59" t="s">
        <v>2</v>
      </c>
      <c r="I5172" s="59" t="s">
        <v>310</v>
      </c>
      <c r="J5172" s="60">
        <v>45940</v>
      </c>
      <c r="K5172" s="50" t="s">
        <v>1</v>
      </c>
      <c r="L5172" s="50" t="s">
        <v>80</v>
      </c>
    </row>
    <row r="5173" spans="2:12">
      <c r="B5173" s="50" t="s">
        <v>409</v>
      </c>
      <c r="C5173" s="50" t="s">
        <v>51</v>
      </c>
      <c r="D5173" s="50" t="s">
        <v>27</v>
      </c>
      <c r="E5173" s="50">
        <v>50032775</v>
      </c>
      <c r="F5173" s="50" t="s">
        <v>307</v>
      </c>
      <c r="G5173" s="50">
        <v>1</v>
      </c>
      <c r="H5173" s="50" t="s">
        <v>2</v>
      </c>
      <c r="I5173" s="50" t="s">
        <v>287</v>
      </c>
      <c r="J5173" s="51">
        <v>45940</v>
      </c>
      <c r="K5173" s="50" t="s">
        <v>3</v>
      </c>
      <c r="L5173" s="50" t="s">
        <v>80</v>
      </c>
    </row>
    <row r="5174" spans="2:12">
      <c r="B5174" s="50" t="s">
        <v>409</v>
      </c>
      <c r="C5174" s="50" t="s">
        <v>51</v>
      </c>
      <c r="D5174" s="50" t="s">
        <v>27</v>
      </c>
      <c r="E5174" s="50">
        <v>50032775</v>
      </c>
      <c r="F5174" s="50" t="s">
        <v>307</v>
      </c>
      <c r="G5174" s="50">
        <v>1</v>
      </c>
      <c r="H5174" s="50" t="s">
        <v>2</v>
      </c>
      <c r="I5174" s="50" t="s">
        <v>291</v>
      </c>
      <c r="J5174" s="51">
        <v>45940</v>
      </c>
      <c r="K5174" s="50" t="s">
        <v>3</v>
      </c>
      <c r="L5174" s="50" t="s">
        <v>80</v>
      </c>
    </row>
    <row r="5175" spans="2:12">
      <c r="B5175" s="50" t="s">
        <v>394</v>
      </c>
      <c r="C5175" s="50" t="s">
        <v>51</v>
      </c>
      <c r="D5175" s="50" t="s">
        <v>27</v>
      </c>
      <c r="E5175" s="50">
        <v>50010031</v>
      </c>
      <c r="F5175" s="50" t="s">
        <v>89</v>
      </c>
      <c r="G5175" s="50">
        <v>1</v>
      </c>
      <c r="H5175" s="50" t="s">
        <v>2</v>
      </c>
      <c r="I5175" s="50" t="s">
        <v>291</v>
      </c>
      <c r="J5175" s="51">
        <v>45939</v>
      </c>
      <c r="K5175" s="50" t="s">
        <v>1</v>
      </c>
      <c r="L5175" s="50" t="s">
        <v>80</v>
      </c>
    </row>
    <row r="5176" spans="2:12">
      <c r="B5176" s="50" t="s">
        <v>394</v>
      </c>
      <c r="C5176" s="50" t="s">
        <v>51</v>
      </c>
      <c r="D5176" s="50" t="s">
        <v>27</v>
      </c>
      <c r="E5176" s="50">
        <v>50010031</v>
      </c>
      <c r="F5176" s="50" t="s">
        <v>89</v>
      </c>
      <c r="G5176" s="50">
        <v>1</v>
      </c>
      <c r="H5176" s="50" t="s">
        <v>2</v>
      </c>
      <c r="I5176" s="50" t="s">
        <v>291</v>
      </c>
      <c r="J5176" s="51">
        <v>45939</v>
      </c>
      <c r="K5176" s="50" t="s">
        <v>3</v>
      </c>
      <c r="L5176" s="50" t="s">
        <v>80</v>
      </c>
    </row>
    <row r="5177" spans="2:12">
      <c r="B5177" s="50" t="e">
        <v>#N/A</v>
      </c>
      <c r="C5177" s="50" t="s">
        <v>26</v>
      </c>
      <c r="D5177" s="50" t="s">
        <v>27</v>
      </c>
      <c r="E5177" s="50">
        <v>50010031</v>
      </c>
      <c r="F5177" s="50" t="s">
        <v>89</v>
      </c>
      <c r="G5177" s="50">
        <v>1</v>
      </c>
      <c r="H5177" s="50" t="s">
        <v>2</v>
      </c>
      <c r="I5177" s="50" t="s">
        <v>287</v>
      </c>
      <c r="J5177" s="51">
        <v>45939</v>
      </c>
      <c r="K5177" s="50" t="s">
        <v>3</v>
      </c>
      <c r="L5177" s="50" t="s">
        <v>80</v>
      </c>
    </row>
    <row r="5178" spans="2:12">
      <c r="B5178" s="50" t="e">
        <v>#N/A</v>
      </c>
      <c r="C5178" s="50" t="s">
        <v>26</v>
      </c>
      <c r="D5178" s="50" t="s">
        <v>27</v>
      </c>
      <c r="E5178" s="50">
        <v>50010031</v>
      </c>
      <c r="F5178" s="50" t="s">
        <v>89</v>
      </c>
      <c r="G5178" s="50">
        <v>1</v>
      </c>
      <c r="H5178" s="50" t="s">
        <v>2</v>
      </c>
      <c r="I5178" s="50" t="s">
        <v>287</v>
      </c>
      <c r="J5178" s="51">
        <v>45939</v>
      </c>
      <c r="K5178" s="50" t="s">
        <v>1</v>
      </c>
      <c r="L5178" s="50" t="s">
        <v>80</v>
      </c>
    </row>
    <row r="5179" spans="2:12">
      <c r="B5179" s="50" t="s">
        <v>316</v>
      </c>
      <c r="C5179" s="50" t="s">
        <v>51</v>
      </c>
      <c r="D5179" s="50" t="s">
        <v>27</v>
      </c>
      <c r="E5179" s="50">
        <v>50030486</v>
      </c>
      <c r="F5179" s="50" t="s">
        <v>153</v>
      </c>
      <c r="G5179" s="50">
        <v>1</v>
      </c>
      <c r="H5179" s="50" t="s">
        <v>2</v>
      </c>
      <c r="I5179" s="50" t="s">
        <v>287</v>
      </c>
      <c r="J5179" s="51">
        <v>45939</v>
      </c>
      <c r="K5179" s="50" t="s">
        <v>3</v>
      </c>
      <c r="L5179" s="50" t="s">
        <v>80</v>
      </c>
    </row>
    <row r="5180" spans="2:12">
      <c r="B5180" s="50" t="s">
        <v>316</v>
      </c>
      <c r="C5180" s="50" t="s">
        <v>51</v>
      </c>
      <c r="D5180" s="50" t="s">
        <v>27</v>
      </c>
      <c r="E5180" s="50">
        <v>50030486</v>
      </c>
      <c r="F5180" s="50" t="s">
        <v>153</v>
      </c>
      <c r="G5180" s="50">
        <v>1</v>
      </c>
      <c r="H5180" s="50" t="s">
        <v>2</v>
      </c>
      <c r="I5180" s="50" t="s">
        <v>291</v>
      </c>
      <c r="J5180" s="51">
        <v>45939</v>
      </c>
      <c r="K5180" s="50" t="s">
        <v>3</v>
      </c>
      <c r="L5180" s="50" t="s">
        <v>80</v>
      </c>
    </row>
    <row r="5181" spans="2:12">
      <c r="B5181" s="50" t="s">
        <v>316</v>
      </c>
      <c r="C5181" s="50" t="s">
        <v>56</v>
      </c>
      <c r="D5181" s="50" t="s">
        <v>27</v>
      </c>
      <c r="E5181" s="50">
        <v>50039236</v>
      </c>
      <c r="F5181" s="50" t="s">
        <v>154</v>
      </c>
      <c r="G5181" s="50">
        <v>1</v>
      </c>
      <c r="H5181" s="50" t="s">
        <v>2</v>
      </c>
      <c r="I5181" s="50" t="s">
        <v>291</v>
      </c>
      <c r="J5181" s="51">
        <v>45939</v>
      </c>
      <c r="K5181" s="50" t="s">
        <v>1</v>
      </c>
      <c r="L5181" s="50" t="s">
        <v>80</v>
      </c>
    </row>
    <row r="5182" spans="2:12">
      <c r="B5182" s="50" t="s">
        <v>316</v>
      </c>
      <c r="C5182" s="50" t="s">
        <v>51</v>
      </c>
      <c r="D5182" s="50" t="s">
        <v>27</v>
      </c>
      <c r="E5182" s="50">
        <v>50043471</v>
      </c>
      <c r="F5182" s="50" t="s">
        <v>257</v>
      </c>
      <c r="G5182" s="50">
        <v>1</v>
      </c>
      <c r="H5182" s="50" t="s">
        <v>2</v>
      </c>
      <c r="I5182" s="50" t="s">
        <v>292</v>
      </c>
      <c r="J5182" s="51">
        <v>45939</v>
      </c>
      <c r="K5182" s="50" t="s">
        <v>3</v>
      </c>
      <c r="L5182" s="50" t="s">
        <v>80</v>
      </c>
    </row>
    <row r="5183" spans="2:12">
      <c r="B5183" s="50" t="s">
        <v>316</v>
      </c>
      <c r="C5183" s="50" t="s">
        <v>51</v>
      </c>
      <c r="D5183" s="50" t="s">
        <v>27</v>
      </c>
      <c r="E5183" s="50">
        <v>50043471</v>
      </c>
      <c r="F5183" s="50" t="s">
        <v>257</v>
      </c>
      <c r="G5183" s="50">
        <v>1</v>
      </c>
      <c r="H5183" s="50" t="s">
        <v>2</v>
      </c>
      <c r="I5183" s="50" t="s">
        <v>292</v>
      </c>
      <c r="J5183" s="51">
        <v>45939</v>
      </c>
      <c r="K5183" s="50" t="s">
        <v>1</v>
      </c>
      <c r="L5183" s="50" t="s">
        <v>80</v>
      </c>
    </row>
    <row r="5184" spans="2:12">
      <c r="B5184" s="50" t="s">
        <v>437</v>
      </c>
      <c r="C5184" s="50" t="s">
        <v>51</v>
      </c>
      <c r="D5184" s="50" t="s">
        <v>41</v>
      </c>
      <c r="E5184" s="50">
        <v>50043471</v>
      </c>
      <c r="F5184" s="50" t="s">
        <v>257</v>
      </c>
      <c r="G5184" s="50">
        <v>1</v>
      </c>
      <c r="H5184" s="50" t="s">
        <v>2</v>
      </c>
      <c r="I5184" s="50" t="s">
        <v>287</v>
      </c>
      <c r="J5184" s="51">
        <v>45939</v>
      </c>
      <c r="K5184" s="50" t="s">
        <v>3</v>
      </c>
      <c r="L5184" s="50" t="s">
        <v>80</v>
      </c>
    </row>
    <row r="5185" spans="2:12">
      <c r="B5185" s="50" t="s">
        <v>437</v>
      </c>
      <c r="C5185" s="50" t="s">
        <v>51</v>
      </c>
      <c r="D5185" s="50" t="s">
        <v>41</v>
      </c>
      <c r="E5185" s="50">
        <v>50043471</v>
      </c>
      <c r="F5185" s="50" t="s">
        <v>257</v>
      </c>
      <c r="G5185" s="50">
        <v>1</v>
      </c>
      <c r="H5185" s="50" t="s">
        <v>2</v>
      </c>
      <c r="I5185" s="50" t="s">
        <v>291</v>
      </c>
      <c r="J5185" s="51">
        <v>45939</v>
      </c>
      <c r="K5185" s="50" t="s">
        <v>1</v>
      </c>
      <c r="L5185" s="50" t="s">
        <v>80</v>
      </c>
    </row>
    <row r="5186" spans="2:12">
      <c r="B5186" s="50" t="s">
        <v>316</v>
      </c>
      <c r="C5186" s="50" t="s">
        <v>51</v>
      </c>
      <c r="D5186" s="50" t="s">
        <v>27</v>
      </c>
      <c r="E5186" s="50">
        <v>50043471</v>
      </c>
      <c r="F5186" s="50" t="s">
        <v>257</v>
      </c>
      <c r="G5186" s="50">
        <v>1</v>
      </c>
      <c r="H5186" s="50" t="s">
        <v>2</v>
      </c>
      <c r="I5186" s="50" t="s">
        <v>291</v>
      </c>
      <c r="J5186" s="51">
        <v>45939</v>
      </c>
      <c r="K5186" s="50" t="s">
        <v>3</v>
      </c>
      <c r="L5186" s="50" t="s">
        <v>80</v>
      </c>
    </row>
    <row r="5187" spans="2:12">
      <c r="B5187" s="50" t="s">
        <v>316</v>
      </c>
      <c r="C5187" s="50" t="s">
        <v>51</v>
      </c>
      <c r="D5187" s="50" t="s">
        <v>27</v>
      </c>
      <c r="E5187" s="50">
        <v>50043471</v>
      </c>
      <c r="F5187" s="50" t="s">
        <v>257</v>
      </c>
      <c r="G5187" s="50">
        <v>1</v>
      </c>
      <c r="H5187" s="50" t="s">
        <v>2</v>
      </c>
      <c r="I5187" s="50" t="s">
        <v>291</v>
      </c>
      <c r="J5187" s="51">
        <v>45939</v>
      </c>
      <c r="K5187" s="50" t="s">
        <v>3</v>
      </c>
      <c r="L5187" s="50" t="s">
        <v>80</v>
      </c>
    </row>
    <row r="5188" spans="2:12">
      <c r="B5188" s="50" t="s">
        <v>458</v>
      </c>
      <c r="C5188" s="50" t="s">
        <v>26</v>
      </c>
      <c r="D5188" s="50" t="s">
        <v>27</v>
      </c>
      <c r="E5188" s="50">
        <v>50003297</v>
      </c>
      <c r="F5188" s="50" t="s">
        <v>158</v>
      </c>
      <c r="G5188" s="50">
        <v>1</v>
      </c>
      <c r="H5188" s="50" t="s">
        <v>2</v>
      </c>
      <c r="I5188" s="50" t="s">
        <v>291</v>
      </c>
      <c r="J5188" s="51">
        <v>45939</v>
      </c>
      <c r="K5188" s="50" t="s">
        <v>1</v>
      </c>
      <c r="L5188" s="50" t="s">
        <v>80</v>
      </c>
    </row>
    <row r="5189" spans="2:12">
      <c r="B5189" s="50" t="s">
        <v>444</v>
      </c>
      <c r="C5189" s="50" t="s">
        <v>51</v>
      </c>
      <c r="D5189" s="50" t="s">
        <v>27</v>
      </c>
      <c r="E5189" s="50">
        <v>50038956</v>
      </c>
      <c r="F5189" s="50" t="s">
        <v>177</v>
      </c>
      <c r="G5189" s="50">
        <v>1</v>
      </c>
      <c r="H5189" s="50" t="s">
        <v>2</v>
      </c>
      <c r="I5189" s="50" t="s">
        <v>292</v>
      </c>
      <c r="J5189" s="51">
        <v>45939</v>
      </c>
      <c r="K5189" s="50" t="s">
        <v>3</v>
      </c>
      <c r="L5189" s="50" t="s">
        <v>80</v>
      </c>
    </row>
    <row r="5190" spans="2:12">
      <c r="B5190" s="50" t="s">
        <v>444</v>
      </c>
      <c r="C5190" s="50" t="s">
        <v>51</v>
      </c>
      <c r="D5190" s="50" t="s">
        <v>27</v>
      </c>
      <c r="E5190" s="50">
        <v>50038956</v>
      </c>
      <c r="F5190" s="50" t="s">
        <v>177</v>
      </c>
      <c r="G5190" s="50">
        <v>1</v>
      </c>
      <c r="H5190" s="50" t="s">
        <v>2</v>
      </c>
      <c r="I5190" s="50" t="s">
        <v>292</v>
      </c>
      <c r="J5190" s="51">
        <v>45939</v>
      </c>
      <c r="K5190" s="50" t="s">
        <v>1</v>
      </c>
      <c r="L5190" s="50" t="s">
        <v>80</v>
      </c>
    </row>
    <row r="5191" spans="2:12">
      <c r="B5191" s="50" t="s">
        <v>392</v>
      </c>
      <c r="C5191" s="50" t="s">
        <v>51</v>
      </c>
      <c r="D5191" s="50" t="s">
        <v>39</v>
      </c>
      <c r="E5191" s="50">
        <v>50038956</v>
      </c>
      <c r="F5191" s="50" t="s">
        <v>177</v>
      </c>
      <c r="G5191" s="50">
        <v>1</v>
      </c>
      <c r="H5191" s="50" t="s">
        <v>2</v>
      </c>
      <c r="I5191" s="50" t="s">
        <v>292</v>
      </c>
      <c r="J5191" s="51">
        <v>45939</v>
      </c>
      <c r="K5191" s="50" t="s">
        <v>3</v>
      </c>
      <c r="L5191" s="50" t="s">
        <v>80</v>
      </c>
    </row>
    <row r="5192" spans="2:12">
      <c r="B5192" s="50" t="s">
        <v>392</v>
      </c>
      <c r="C5192" s="50" t="s">
        <v>51</v>
      </c>
      <c r="D5192" s="50" t="s">
        <v>39</v>
      </c>
      <c r="E5192" s="50">
        <v>50038956</v>
      </c>
      <c r="F5192" s="50" t="s">
        <v>177</v>
      </c>
      <c r="G5192" s="50">
        <v>1</v>
      </c>
      <c r="H5192" s="50" t="s">
        <v>2</v>
      </c>
      <c r="I5192" s="50" t="s">
        <v>292</v>
      </c>
      <c r="J5192" s="51">
        <v>45939</v>
      </c>
      <c r="K5192" s="50" t="s">
        <v>1</v>
      </c>
      <c r="L5192" s="50" t="s">
        <v>80</v>
      </c>
    </row>
    <row r="5193" spans="2:12">
      <c r="B5193" s="50" t="e">
        <v>#N/A</v>
      </c>
      <c r="C5193" s="50" t="s">
        <v>26</v>
      </c>
      <c r="D5193" s="50" t="s">
        <v>27</v>
      </c>
      <c r="E5193" s="50">
        <v>50038956</v>
      </c>
      <c r="F5193" s="50" t="s">
        <v>177</v>
      </c>
      <c r="G5193" s="50">
        <v>1</v>
      </c>
      <c r="H5193" s="50" t="s">
        <v>2</v>
      </c>
      <c r="I5193" s="50" t="s">
        <v>291</v>
      </c>
      <c r="J5193" s="51">
        <v>45939</v>
      </c>
      <c r="K5193" s="50" t="s">
        <v>3</v>
      </c>
      <c r="L5193" s="50" t="s">
        <v>80</v>
      </c>
    </row>
    <row r="5194" spans="2:12">
      <c r="B5194" s="50" t="e">
        <v>#N/A</v>
      </c>
      <c r="C5194" s="50" t="s">
        <v>26</v>
      </c>
      <c r="D5194" s="50" t="s">
        <v>27</v>
      </c>
      <c r="E5194" s="50">
        <v>50038956</v>
      </c>
      <c r="F5194" s="50" t="s">
        <v>177</v>
      </c>
      <c r="G5194" s="50">
        <v>1</v>
      </c>
      <c r="H5194" s="50" t="s">
        <v>2</v>
      </c>
      <c r="I5194" s="50" t="s">
        <v>291</v>
      </c>
      <c r="J5194" s="51">
        <v>45939</v>
      </c>
      <c r="K5194" s="50" t="s">
        <v>1</v>
      </c>
      <c r="L5194" s="50" t="s">
        <v>80</v>
      </c>
    </row>
    <row r="5195" spans="2:12">
      <c r="B5195" s="50" t="s">
        <v>345</v>
      </c>
      <c r="C5195" s="50" t="s">
        <v>62</v>
      </c>
      <c r="D5195" s="50" t="s">
        <v>27</v>
      </c>
      <c r="E5195" s="50">
        <v>50037902</v>
      </c>
      <c r="F5195" s="50" t="s">
        <v>179</v>
      </c>
      <c r="G5195" s="50">
        <v>1</v>
      </c>
      <c r="H5195" s="50" t="s">
        <v>2</v>
      </c>
      <c r="I5195" s="50" t="s">
        <v>291</v>
      </c>
      <c r="J5195" s="51">
        <v>45939</v>
      </c>
      <c r="K5195" s="50" t="s">
        <v>3</v>
      </c>
      <c r="L5195" s="50" t="s">
        <v>80</v>
      </c>
    </row>
    <row r="5196" spans="2:12">
      <c r="B5196" s="50" t="s">
        <v>412</v>
      </c>
      <c r="C5196" s="50" t="s">
        <v>51</v>
      </c>
      <c r="D5196" s="50" t="s">
        <v>41</v>
      </c>
      <c r="E5196" s="50">
        <v>50038517</v>
      </c>
      <c r="F5196" s="50" t="s">
        <v>181</v>
      </c>
      <c r="G5196" s="50">
        <v>1</v>
      </c>
      <c r="H5196" s="50" t="s">
        <v>2</v>
      </c>
      <c r="I5196" s="50" t="s">
        <v>287</v>
      </c>
      <c r="J5196" s="51">
        <v>45939</v>
      </c>
      <c r="K5196" s="59" t="s">
        <v>3</v>
      </c>
      <c r="L5196" s="50" t="s">
        <v>80</v>
      </c>
    </row>
    <row r="5197" spans="2:12">
      <c r="B5197" s="50" t="s">
        <v>412</v>
      </c>
      <c r="C5197" s="50" t="s">
        <v>51</v>
      </c>
      <c r="D5197" s="50" t="s">
        <v>41</v>
      </c>
      <c r="E5197" s="50">
        <v>50038517</v>
      </c>
      <c r="F5197" s="50" t="s">
        <v>181</v>
      </c>
      <c r="G5197" s="50">
        <v>1</v>
      </c>
      <c r="H5197" s="50" t="s">
        <v>2</v>
      </c>
      <c r="I5197" s="50" t="s">
        <v>287</v>
      </c>
      <c r="J5197" s="51">
        <v>45939</v>
      </c>
      <c r="K5197" s="59" t="s">
        <v>1</v>
      </c>
      <c r="L5197" s="50" t="s">
        <v>80</v>
      </c>
    </row>
    <row r="5198" spans="2:12">
      <c r="B5198" s="50" t="s">
        <v>402</v>
      </c>
      <c r="C5198" s="50" t="s">
        <v>26</v>
      </c>
      <c r="D5198" s="58" t="s">
        <v>36</v>
      </c>
      <c r="E5198" s="50">
        <v>50038517</v>
      </c>
      <c r="F5198" s="50" t="s">
        <v>181</v>
      </c>
      <c r="G5198" s="58">
        <v>1</v>
      </c>
      <c r="H5198" s="59" t="s">
        <v>2</v>
      </c>
      <c r="I5198" s="59" t="s">
        <v>313</v>
      </c>
      <c r="J5198" s="63">
        <v>45939</v>
      </c>
      <c r="K5198" s="50" t="s">
        <v>3</v>
      </c>
      <c r="L5198" s="50" t="s">
        <v>80</v>
      </c>
    </row>
    <row r="5199" spans="2:12">
      <c r="B5199" s="50" t="s">
        <v>402</v>
      </c>
      <c r="C5199" s="50" t="s">
        <v>26</v>
      </c>
      <c r="D5199" s="58" t="s">
        <v>36</v>
      </c>
      <c r="E5199" s="50">
        <v>50038517</v>
      </c>
      <c r="F5199" s="50" t="s">
        <v>181</v>
      </c>
      <c r="G5199" s="58">
        <v>1</v>
      </c>
      <c r="H5199" s="59" t="s">
        <v>2</v>
      </c>
      <c r="I5199" s="59" t="s">
        <v>313</v>
      </c>
      <c r="J5199" s="63">
        <v>45939</v>
      </c>
      <c r="K5199" s="50" t="s">
        <v>3</v>
      </c>
      <c r="L5199" s="50" t="s">
        <v>80</v>
      </c>
    </row>
    <row r="5200" spans="2:12">
      <c r="B5200" s="50" t="s">
        <v>345</v>
      </c>
      <c r="C5200" s="50" t="s">
        <v>62</v>
      </c>
      <c r="D5200" s="50" t="s">
        <v>27</v>
      </c>
      <c r="E5200" s="50">
        <v>50037903</v>
      </c>
      <c r="F5200" s="50" t="s">
        <v>183</v>
      </c>
      <c r="G5200" s="50">
        <v>1</v>
      </c>
      <c r="H5200" s="50" t="s">
        <v>2</v>
      </c>
      <c r="I5200" s="50" t="s">
        <v>291</v>
      </c>
      <c r="J5200" s="51">
        <v>45939</v>
      </c>
      <c r="K5200" s="59" t="s">
        <v>1</v>
      </c>
      <c r="L5200" s="50" t="s">
        <v>80</v>
      </c>
    </row>
    <row r="5201" spans="2:12">
      <c r="B5201" s="50" t="s">
        <v>427</v>
      </c>
      <c r="C5201" s="50" t="s">
        <v>26</v>
      </c>
      <c r="D5201" s="50" t="s">
        <v>27</v>
      </c>
      <c r="E5201" s="50">
        <v>50001995</v>
      </c>
      <c r="F5201" s="50" t="s">
        <v>185</v>
      </c>
      <c r="G5201" s="50">
        <v>1</v>
      </c>
      <c r="H5201" s="50" t="s">
        <v>2</v>
      </c>
      <c r="I5201" s="50" t="s">
        <v>291</v>
      </c>
      <c r="J5201" s="51">
        <v>45939</v>
      </c>
      <c r="K5201" s="50" t="s">
        <v>3</v>
      </c>
      <c r="L5201" s="50" t="s">
        <v>80</v>
      </c>
    </row>
    <row r="5202" spans="2:12">
      <c r="B5202" s="50" t="s">
        <v>439</v>
      </c>
      <c r="C5202" s="50" t="s">
        <v>26</v>
      </c>
      <c r="D5202" s="58" t="s">
        <v>41</v>
      </c>
      <c r="E5202" s="50">
        <v>50001995</v>
      </c>
      <c r="F5202" s="50" t="s">
        <v>185</v>
      </c>
      <c r="G5202" s="58">
        <v>1</v>
      </c>
      <c r="H5202" s="59" t="s">
        <v>2</v>
      </c>
      <c r="I5202" s="59" t="s">
        <v>310</v>
      </c>
      <c r="J5202" s="63">
        <v>45939</v>
      </c>
      <c r="K5202" s="50" t="s">
        <v>3</v>
      </c>
      <c r="L5202" s="50" t="s">
        <v>80</v>
      </c>
    </row>
    <row r="5203" spans="2:12">
      <c r="B5203" s="50" t="e">
        <v>#N/A</v>
      </c>
      <c r="C5203" s="50" t="s">
        <v>62</v>
      </c>
      <c r="D5203" s="50" t="s">
        <v>27</v>
      </c>
      <c r="E5203" s="50">
        <v>50041195</v>
      </c>
      <c r="F5203" s="50" t="s">
        <v>206</v>
      </c>
      <c r="G5203" s="50">
        <v>1</v>
      </c>
      <c r="H5203" s="50" t="s">
        <v>2</v>
      </c>
      <c r="I5203" s="50" t="s">
        <v>291</v>
      </c>
      <c r="J5203" s="51">
        <v>45939</v>
      </c>
      <c r="K5203" s="50" t="s">
        <v>1</v>
      </c>
      <c r="L5203" s="50" t="s">
        <v>80</v>
      </c>
    </row>
    <row r="5204" spans="2:12">
      <c r="B5204" s="50" t="e">
        <v>#N/A</v>
      </c>
      <c r="C5204" s="50" t="s">
        <v>62</v>
      </c>
      <c r="D5204" s="50" t="s">
        <v>27</v>
      </c>
      <c r="E5204" s="50">
        <v>50041195</v>
      </c>
      <c r="F5204" s="50" t="s">
        <v>206</v>
      </c>
      <c r="G5204" s="50">
        <v>1</v>
      </c>
      <c r="H5204" s="50" t="s">
        <v>2</v>
      </c>
      <c r="I5204" s="50" t="s">
        <v>291</v>
      </c>
      <c r="J5204" s="51">
        <v>45939</v>
      </c>
      <c r="K5204" s="50" t="s">
        <v>3</v>
      </c>
      <c r="L5204" s="50" t="s">
        <v>80</v>
      </c>
    </row>
    <row r="5205" spans="2:12">
      <c r="B5205" s="50" t="s">
        <v>316</v>
      </c>
      <c r="C5205" s="50" t="s">
        <v>51</v>
      </c>
      <c r="D5205" s="50" t="s">
        <v>27</v>
      </c>
      <c r="E5205" s="50">
        <v>50041195</v>
      </c>
      <c r="F5205" s="50" t="s">
        <v>206</v>
      </c>
      <c r="G5205" s="50">
        <v>1</v>
      </c>
      <c r="H5205" s="50" t="s">
        <v>2</v>
      </c>
      <c r="I5205" s="50" t="s">
        <v>291</v>
      </c>
      <c r="J5205" s="51">
        <v>45939</v>
      </c>
      <c r="K5205" s="50" t="s">
        <v>1</v>
      </c>
      <c r="L5205" s="50" t="s">
        <v>80</v>
      </c>
    </row>
    <row r="5206" spans="2:12">
      <c r="B5206" s="50" t="s">
        <v>316</v>
      </c>
      <c r="C5206" s="50" t="s">
        <v>51</v>
      </c>
      <c r="D5206" s="50" t="s">
        <v>27</v>
      </c>
      <c r="E5206" s="50">
        <v>50041195</v>
      </c>
      <c r="F5206" s="50" t="s">
        <v>206</v>
      </c>
      <c r="G5206" s="50">
        <v>1</v>
      </c>
      <c r="H5206" s="50" t="s">
        <v>2</v>
      </c>
      <c r="I5206" s="50" t="s">
        <v>291</v>
      </c>
      <c r="J5206" s="51">
        <v>45939</v>
      </c>
      <c r="K5206" s="50" t="s">
        <v>3</v>
      </c>
      <c r="L5206" s="50" t="s">
        <v>80</v>
      </c>
    </row>
    <row r="5207" spans="2:12">
      <c r="B5207" s="50" t="s">
        <v>444</v>
      </c>
      <c r="C5207" s="50" t="s">
        <v>51</v>
      </c>
      <c r="D5207" s="50" t="s">
        <v>27</v>
      </c>
      <c r="E5207" s="50">
        <v>50043917</v>
      </c>
      <c r="F5207" s="50" t="s">
        <v>262</v>
      </c>
      <c r="G5207" s="50">
        <v>1</v>
      </c>
      <c r="H5207" s="50" t="s">
        <v>2</v>
      </c>
      <c r="I5207" s="50" t="s">
        <v>292</v>
      </c>
      <c r="J5207" s="51">
        <v>45939</v>
      </c>
      <c r="K5207" s="50" t="s">
        <v>1</v>
      </c>
      <c r="L5207" s="50" t="s">
        <v>80</v>
      </c>
    </row>
    <row r="5208" spans="2:12">
      <c r="B5208" s="50" t="s">
        <v>444</v>
      </c>
      <c r="C5208" s="50" t="s">
        <v>51</v>
      </c>
      <c r="D5208" s="50" t="s">
        <v>27</v>
      </c>
      <c r="E5208" s="50">
        <v>50043917</v>
      </c>
      <c r="F5208" s="50" t="s">
        <v>262</v>
      </c>
      <c r="G5208" s="50">
        <v>1</v>
      </c>
      <c r="H5208" s="50" t="s">
        <v>2</v>
      </c>
      <c r="I5208" s="50" t="s">
        <v>292</v>
      </c>
      <c r="J5208" s="51">
        <v>45939</v>
      </c>
      <c r="K5208" s="50" t="s">
        <v>3</v>
      </c>
      <c r="L5208" s="50" t="s">
        <v>80</v>
      </c>
    </row>
    <row r="5209" spans="2:12">
      <c r="B5209" s="50" t="s">
        <v>396</v>
      </c>
      <c r="C5209" s="50" t="s">
        <v>26</v>
      </c>
      <c r="D5209" s="50" t="s">
        <v>41</v>
      </c>
      <c r="E5209" s="50">
        <v>50043917</v>
      </c>
      <c r="F5209" s="50" t="s">
        <v>262</v>
      </c>
      <c r="G5209" s="50">
        <v>1</v>
      </c>
      <c r="H5209" s="50" t="s">
        <v>2</v>
      </c>
      <c r="I5209" s="50" t="s">
        <v>291</v>
      </c>
      <c r="J5209" s="51">
        <v>45939</v>
      </c>
      <c r="K5209" s="50" t="s">
        <v>1</v>
      </c>
      <c r="L5209" s="50" t="s">
        <v>80</v>
      </c>
    </row>
    <row r="5210" spans="2:12">
      <c r="B5210" s="50" t="s">
        <v>396</v>
      </c>
      <c r="C5210" s="50" t="s">
        <v>26</v>
      </c>
      <c r="D5210" s="50" t="s">
        <v>41</v>
      </c>
      <c r="E5210" s="50">
        <v>50043917</v>
      </c>
      <c r="F5210" s="50" t="s">
        <v>262</v>
      </c>
      <c r="G5210" s="50">
        <v>1</v>
      </c>
      <c r="H5210" s="50" t="s">
        <v>2</v>
      </c>
      <c r="I5210" s="50" t="s">
        <v>291</v>
      </c>
      <c r="J5210" s="51">
        <v>45939</v>
      </c>
      <c r="K5210" s="50" t="s">
        <v>3</v>
      </c>
      <c r="L5210" s="50" t="s">
        <v>80</v>
      </c>
    </row>
    <row r="5211" spans="2:12">
      <c r="B5211" s="50" t="s">
        <v>474</v>
      </c>
      <c r="C5211" s="50" t="s">
        <v>51</v>
      </c>
      <c r="D5211" s="50" t="s">
        <v>27</v>
      </c>
      <c r="E5211" s="50">
        <v>50043917</v>
      </c>
      <c r="F5211" s="50" t="s">
        <v>262</v>
      </c>
      <c r="G5211" s="50">
        <v>1</v>
      </c>
      <c r="H5211" s="50" t="s">
        <v>2</v>
      </c>
      <c r="I5211" s="50" t="s">
        <v>291</v>
      </c>
      <c r="J5211" s="51">
        <v>45939</v>
      </c>
      <c r="K5211" s="50" t="s">
        <v>1</v>
      </c>
      <c r="L5211" s="50" t="s">
        <v>80</v>
      </c>
    </row>
    <row r="5212" spans="2:12">
      <c r="B5212" s="50" t="s">
        <v>474</v>
      </c>
      <c r="C5212" s="50" t="s">
        <v>51</v>
      </c>
      <c r="D5212" s="50" t="s">
        <v>27</v>
      </c>
      <c r="E5212" s="50">
        <v>50043917</v>
      </c>
      <c r="F5212" s="50" t="s">
        <v>262</v>
      </c>
      <c r="G5212" s="50">
        <v>1</v>
      </c>
      <c r="H5212" s="50" t="s">
        <v>2</v>
      </c>
      <c r="I5212" s="50" t="s">
        <v>291</v>
      </c>
      <c r="J5212" s="51">
        <v>45939</v>
      </c>
      <c r="K5212" s="50" t="s">
        <v>1</v>
      </c>
      <c r="L5212" s="50" t="s">
        <v>80</v>
      </c>
    </row>
    <row r="5213" spans="2:12">
      <c r="B5213" s="50" t="e">
        <v>#N/A</v>
      </c>
      <c r="C5213" s="50" t="s">
        <v>26</v>
      </c>
      <c r="D5213" s="50" t="s">
        <v>27</v>
      </c>
      <c r="E5213" s="50">
        <v>50004486</v>
      </c>
      <c r="F5213" s="50" t="s">
        <v>221</v>
      </c>
      <c r="G5213" s="50">
        <v>1</v>
      </c>
      <c r="H5213" s="50" t="s">
        <v>2</v>
      </c>
      <c r="I5213" s="50" t="s">
        <v>291</v>
      </c>
      <c r="J5213" s="51">
        <v>45939</v>
      </c>
      <c r="K5213" s="50" t="s">
        <v>3</v>
      </c>
      <c r="L5213" s="50" t="s">
        <v>80</v>
      </c>
    </row>
    <row r="5214" spans="2:12">
      <c r="B5214" s="50" t="e">
        <v>#N/A</v>
      </c>
      <c r="C5214" s="50" t="s">
        <v>26</v>
      </c>
      <c r="D5214" s="50" t="s">
        <v>27</v>
      </c>
      <c r="E5214" s="50">
        <v>50004486</v>
      </c>
      <c r="F5214" s="50" t="s">
        <v>221</v>
      </c>
      <c r="G5214" s="50">
        <v>1</v>
      </c>
      <c r="H5214" s="50" t="s">
        <v>2</v>
      </c>
      <c r="I5214" s="50" t="s">
        <v>291</v>
      </c>
      <c r="J5214" s="51">
        <v>45939</v>
      </c>
      <c r="K5214" s="50" t="s">
        <v>1</v>
      </c>
      <c r="L5214" s="50" t="s">
        <v>80</v>
      </c>
    </row>
    <row r="5215" spans="2:12">
      <c r="B5215" s="50" t="s">
        <v>444</v>
      </c>
      <c r="C5215" s="50" t="s">
        <v>51</v>
      </c>
      <c r="D5215" s="50" t="s">
        <v>27</v>
      </c>
      <c r="E5215" s="50">
        <v>50038195</v>
      </c>
      <c r="F5215" s="50" t="s">
        <v>239</v>
      </c>
      <c r="G5215" s="50">
        <v>1</v>
      </c>
      <c r="H5215" s="50" t="s">
        <v>2</v>
      </c>
      <c r="I5215" s="50" t="s">
        <v>292</v>
      </c>
      <c r="J5215" s="51">
        <v>45939</v>
      </c>
      <c r="K5215" s="50" t="s">
        <v>3</v>
      </c>
      <c r="L5215" s="50" t="s">
        <v>80</v>
      </c>
    </row>
    <row r="5216" spans="2:12">
      <c r="B5216" s="50" t="s">
        <v>444</v>
      </c>
      <c r="C5216" s="50" t="s">
        <v>51</v>
      </c>
      <c r="D5216" s="50" t="s">
        <v>27</v>
      </c>
      <c r="E5216" s="50">
        <v>50038195</v>
      </c>
      <c r="F5216" s="50" t="s">
        <v>239</v>
      </c>
      <c r="G5216" s="50">
        <v>1</v>
      </c>
      <c r="H5216" s="50" t="s">
        <v>2</v>
      </c>
      <c r="I5216" s="50" t="s">
        <v>292</v>
      </c>
      <c r="J5216" s="51">
        <v>45939</v>
      </c>
      <c r="K5216" s="50" t="s">
        <v>1</v>
      </c>
      <c r="L5216" s="50" t="s">
        <v>80</v>
      </c>
    </row>
    <row r="5217" spans="2:12">
      <c r="B5217" s="50" t="s">
        <v>455</v>
      </c>
      <c r="C5217" s="50" t="s">
        <v>56</v>
      </c>
      <c r="D5217" s="50" t="s">
        <v>41</v>
      </c>
      <c r="E5217" s="50">
        <v>50038991</v>
      </c>
      <c r="F5217" s="50" t="s">
        <v>108</v>
      </c>
      <c r="G5217" s="50">
        <v>1</v>
      </c>
      <c r="H5217" s="50" t="s">
        <v>2</v>
      </c>
      <c r="I5217" s="50" t="s">
        <v>293</v>
      </c>
      <c r="J5217" s="51">
        <v>45938</v>
      </c>
      <c r="K5217" s="50" t="s">
        <v>3</v>
      </c>
      <c r="L5217" s="50" t="s">
        <v>80</v>
      </c>
    </row>
    <row r="5218" spans="2:12">
      <c r="B5218" s="50" t="s">
        <v>455</v>
      </c>
      <c r="C5218" s="50" t="s">
        <v>56</v>
      </c>
      <c r="D5218" s="50" t="s">
        <v>41</v>
      </c>
      <c r="E5218" s="50">
        <v>50038991</v>
      </c>
      <c r="F5218" s="50" t="s">
        <v>108</v>
      </c>
      <c r="G5218" s="50">
        <v>1</v>
      </c>
      <c r="H5218" s="50" t="s">
        <v>2</v>
      </c>
      <c r="I5218" s="50" t="s">
        <v>293</v>
      </c>
      <c r="J5218" s="51">
        <v>45938</v>
      </c>
      <c r="K5218" s="50" t="s">
        <v>1</v>
      </c>
      <c r="L5218" s="50" t="s">
        <v>80</v>
      </c>
    </row>
    <row r="5219" spans="2:12">
      <c r="B5219" s="50" t="s">
        <v>280</v>
      </c>
      <c r="C5219" s="50" t="s">
        <v>62</v>
      </c>
      <c r="D5219" s="50" t="s">
        <v>27</v>
      </c>
      <c r="E5219" s="50">
        <v>50003173</v>
      </c>
      <c r="F5219" s="50" t="s">
        <v>74</v>
      </c>
      <c r="G5219" s="50">
        <v>1</v>
      </c>
      <c r="H5219" s="50" t="s">
        <v>2</v>
      </c>
      <c r="I5219" s="50" t="s">
        <v>287</v>
      </c>
      <c r="J5219" s="51">
        <v>45938</v>
      </c>
      <c r="K5219" s="50" t="s">
        <v>3</v>
      </c>
      <c r="L5219" s="50" t="s">
        <v>80</v>
      </c>
    </row>
    <row r="5220" spans="2:12">
      <c r="B5220" s="50" t="s">
        <v>280</v>
      </c>
      <c r="C5220" s="50" t="s">
        <v>62</v>
      </c>
      <c r="D5220" s="50" t="s">
        <v>27</v>
      </c>
      <c r="E5220" s="50">
        <v>50003173</v>
      </c>
      <c r="F5220" s="50" t="s">
        <v>74</v>
      </c>
      <c r="G5220" s="50">
        <v>1</v>
      </c>
      <c r="H5220" s="50" t="s">
        <v>2</v>
      </c>
      <c r="I5220" s="50" t="s">
        <v>291</v>
      </c>
      <c r="J5220" s="51">
        <v>45938</v>
      </c>
      <c r="K5220" s="50" t="s">
        <v>1</v>
      </c>
      <c r="L5220" s="50" t="s">
        <v>80</v>
      </c>
    </row>
    <row r="5221" spans="2:12">
      <c r="B5221" s="50" t="s">
        <v>394</v>
      </c>
      <c r="C5221" s="50" t="s">
        <v>51</v>
      </c>
      <c r="D5221" s="50" t="s">
        <v>27</v>
      </c>
      <c r="E5221" s="50">
        <v>50039236</v>
      </c>
      <c r="F5221" s="50" t="s">
        <v>154</v>
      </c>
      <c r="G5221" s="50">
        <v>1</v>
      </c>
      <c r="H5221" s="50" t="s">
        <v>2</v>
      </c>
      <c r="I5221" s="50" t="s">
        <v>293</v>
      </c>
      <c r="J5221" s="51">
        <v>45938</v>
      </c>
      <c r="K5221" s="50" t="s">
        <v>3</v>
      </c>
      <c r="L5221" s="50" t="s">
        <v>80</v>
      </c>
    </row>
    <row r="5222" spans="2:12">
      <c r="B5222" s="50" t="s">
        <v>394</v>
      </c>
      <c r="C5222" s="50" t="s">
        <v>51</v>
      </c>
      <c r="D5222" s="50" t="s">
        <v>27</v>
      </c>
      <c r="E5222" s="50">
        <v>50039236</v>
      </c>
      <c r="F5222" s="50" t="s">
        <v>154</v>
      </c>
      <c r="G5222" s="50">
        <v>1</v>
      </c>
      <c r="H5222" s="50" t="s">
        <v>2</v>
      </c>
      <c r="I5222" s="50" t="s">
        <v>293</v>
      </c>
      <c r="J5222" s="51">
        <v>45938</v>
      </c>
      <c r="K5222" s="50" t="s">
        <v>1</v>
      </c>
      <c r="L5222" s="50" t="s">
        <v>80</v>
      </c>
    </row>
    <row r="5223" spans="2:12">
      <c r="B5223" s="50" t="s">
        <v>474</v>
      </c>
      <c r="C5223" s="50" t="s">
        <v>51</v>
      </c>
      <c r="D5223" s="50" t="s">
        <v>27</v>
      </c>
      <c r="E5223" s="50">
        <v>50039236</v>
      </c>
      <c r="F5223" s="50" t="s">
        <v>154</v>
      </c>
      <c r="G5223" s="50">
        <v>1</v>
      </c>
      <c r="H5223" s="50" t="s">
        <v>2</v>
      </c>
      <c r="I5223" s="50" t="s">
        <v>293</v>
      </c>
      <c r="J5223" s="51">
        <v>45938</v>
      </c>
      <c r="K5223" s="50" t="s">
        <v>3</v>
      </c>
      <c r="L5223" s="50" t="s">
        <v>80</v>
      </c>
    </row>
    <row r="5224" spans="2:12">
      <c r="B5224" s="50" t="s">
        <v>474</v>
      </c>
      <c r="C5224" s="50" t="s">
        <v>51</v>
      </c>
      <c r="D5224" s="50" t="s">
        <v>27</v>
      </c>
      <c r="E5224" s="50">
        <v>50039236</v>
      </c>
      <c r="F5224" s="50" t="s">
        <v>154</v>
      </c>
      <c r="G5224" s="50">
        <v>1</v>
      </c>
      <c r="H5224" s="50" t="s">
        <v>2</v>
      </c>
      <c r="I5224" s="50" t="s">
        <v>292</v>
      </c>
      <c r="J5224" s="51">
        <v>45938</v>
      </c>
      <c r="K5224" s="50" t="s">
        <v>1</v>
      </c>
      <c r="L5224" s="50" t="s">
        <v>80</v>
      </c>
    </row>
    <row r="5225" spans="2:12">
      <c r="B5225" s="50" t="s">
        <v>345</v>
      </c>
      <c r="C5225" s="50" t="s">
        <v>61</v>
      </c>
      <c r="D5225" s="50" t="s">
        <v>39</v>
      </c>
      <c r="E5225" s="50">
        <v>50043471</v>
      </c>
      <c r="F5225" s="50" t="s">
        <v>257</v>
      </c>
      <c r="G5225" s="50">
        <v>1</v>
      </c>
      <c r="H5225" s="50" t="s">
        <v>2</v>
      </c>
      <c r="I5225" s="50" t="s">
        <v>293</v>
      </c>
      <c r="J5225" s="51">
        <v>45938</v>
      </c>
      <c r="K5225" s="50" t="s">
        <v>3</v>
      </c>
      <c r="L5225" s="50" t="s">
        <v>80</v>
      </c>
    </row>
    <row r="5226" spans="2:12">
      <c r="B5226" s="50" t="s">
        <v>345</v>
      </c>
      <c r="C5226" s="50" t="s">
        <v>61</v>
      </c>
      <c r="D5226" s="50" t="s">
        <v>39</v>
      </c>
      <c r="E5226" s="50">
        <v>50043471</v>
      </c>
      <c r="F5226" s="50" t="s">
        <v>257</v>
      </c>
      <c r="G5226" s="50">
        <v>1</v>
      </c>
      <c r="H5226" s="50" t="s">
        <v>2</v>
      </c>
      <c r="I5226" s="50" t="s">
        <v>293</v>
      </c>
      <c r="J5226" s="51">
        <v>45938</v>
      </c>
      <c r="K5226" s="50" t="s">
        <v>1</v>
      </c>
      <c r="L5226" s="50" t="s">
        <v>80</v>
      </c>
    </row>
    <row r="5227" spans="2:12">
      <c r="B5227" s="50" t="s">
        <v>316</v>
      </c>
      <c r="C5227" s="50" t="s">
        <v>56</v>
      </c>
      <c r="D5227" s="50" t="s">
        <v>27</v>
      </c>
      <c r="E5227" s="50">
        <v>50043471</v>
      </c>
      <c r="F5227" s="50" t="s">
        <v>257</v>
      </c>
      <c r="G5227" s="50">
        <v>1</v>
      </c>
      <c r="H5227" s="50" t="s">
        <v>2</v>
      </c>
      <c r="I5227" s="50" t="s">
        <v>292</v>
      </c>
      <c r="J5227" s="51">
        <v>45938</v>
      </c>
      <c r="K5227" s="50" t="s">
        <v>3</v>
      </c>
      <c r="L5227" s="50" t="s">
        <v>80</v>
      </c>
    </row>
    <row r="5228" spans="2:12">
      <c r="B5228" s="50" t="s">
        <v>316</v>
      </c>
      <c r="C5228" s="50" t="s">
        <v>56</v>
      </c>
      <c r="D5228" s="50" t="s">
        <v>27</v>
      </c>
      <c r="E5228" s="50">
        <v>50043471</v>
      </c>
      <c r="F5228" s="50" t="s">
        <v>257</v>
      </c>
      <c r="G5228" s="50">
        <v>1</v>
      </c>
      <c r="H5228" s="50" t="s">
        <v>2</v>
      </c>
      <c r="I5228" s="50" t="s">
        <v>291</v>
      </c>
      <c r="J5228" s="51">
        <v>45938</v>
      </c>
      <c r="K5228" s="50" t="s">
        <v>1</v>
      </c>
      <c r="L5228" s="50" t="s">
        <v>80</v>
      </c>
    </row>
    <row r="5229" spans="2:12">
      <c r="B5229" s="50" t="s">
        <v>427</v>
      </c>
      <c r="C5229" s="50" t="s">
        <v>26</v>
      </c>
      <c r="D5229" s="50" t="s">
        <v>27</v>
      </c>
      <c r="E5229" s="50">
        <v>50003297</v>
      </c>
      <c r="F5229" s="50" t="s">
        <v>158</v>
      </c>
      <c r="G5229" s="50">
        <v>1</v>
      </c>
      <c r="H5229" s="50" t="s">
        <v>2</v>
      </c>
      <c r="I5229" s="50" t="s">
        <v>293</v>
      </c>
      <c r="J5229" s="51">
        <v>45938</v>
      </c>
      <c r="K5229" s="50" t="s">
        <v>3</v>
      </c>
      <c r="L5229" s="50" t="s">
        <v>80</v>
      </c>
    </row>
    <row r="5230" spans="2:12">
      <c r="B5230" s="50" t="s">
        <v>427</v>
      </c>
      <c r="C5230" s="50" t="s">
        <v>26</v>
      </c>
      <c r="D5230" s="50" t="s">
        <v>27</v>
      </c>
      <c r="E5230" s="50">
        <v>50003297</v>
      </c>
      <c r="F5230" s="50" t="s">
        <v>158</v>
      </c>
      <c r="G5230" s="50">
        <v>1</v>
      </c>
      <c r="H5230" s="50" t="s">
        <v>2</v>
      </c>
      <c r="I5230" s="50" t="s">
        <v>293</v>
      </c>
      <c r="J5230" s="51">
        <v>45938</v>
      </c>
      <c r="K5230" s="50" t="s">
        <v>1</v>
      </c>
      <c r="L5230" s="50" t="s">
        <v>80</v>
      </c>
    </row>
    <row r="5231" spans="2:12">
      <c r="B5231" s="50" t="s">
        <v>386</v>
      </c>
      <c r="C5231" s="50" t="s">
        <v>26</v>
      </c>
      <c r="D5231" s="50" t="s">
        <v>27</v>
      </c>
      <c r="E5231" s="50">
        <v>50038549</v>
      </c>
      <c r="F5231" s="50" t="s">
        <v>173</v>
      </c>
      <c r="G5231" s="50">
        <v>1</v>
      </c>
      <c r="H5231" s="50" t="s">
        <v>2</v>
      </c>
      <c r="I5231" s="50" t="s">
        <v>293</v>
      </c>
      <c r="J5231" s="51">
        <v>45938</v>
      </c>
      <c r="K5231" s="50" t="s">
        <v>3</v>
      </c>
      <c r="L5231" s="50" t="s">
        <v>80</v>
      </c>
    </row>
    <row r="5232" spans="2:12">
      <c r="B5232" s="50" t="s">
        <v>386</v>
      </c>
      <c r="C5232" s="50" t="s">
        <v>26</v>
      </c>
      <c r="D5232" s="50" t="s">
        <v>27</v>
      </c>
      <c r="E5232" s="50">
        <v>50038549</v>
      </c>
      <c r="F5232" s="50" t="s">
        <v>173</v>
      </c>
      <c r="G5232" s="50">
        <v>1</v>
      </c>
      <c r="H5232" s="50" t="s">
        <v>2</v>
      </c>
      <c r="I5232" s="50" t="s">
        <v>293</v>
      </c>
      <c r="J5232" s="51">
        <v>45938</v>
      </c>
      <c r="K5232" s="50" t="s">
        <v>1</v>
      </c>
      <c r="L5232" s="50" t="s">
        <v>80</v>
      </c>
    </row>
    <row r="5233" spans="2:12">
      <c r="B5233" s="50" t="s">
        <v>394</v>
      </c>
      <c r="C5233" s="50" t="s">
        <v>51</v>
      </c>
      <c r="D5233" s="50" t="s">
        <v>27</v>
      </c>
      <c r="E5233" s="50">
        <v>50038956</v>
      </c>
      <c r="F5233" s="50" t="s">
        <v>177</v>
      </c>
      <c r="G5233" s="50">
        <v>1</v>
      </c>
      <c r="H5233" s="50" t="s">
        <v>2</v>
      </c>
      <c r="I5233" s="50" t="s">
        <v>293</v>
      </c>
      <c r="J5233" s="51">
        <v>45938</v>
      </c>
      <c r="K5233" s="50" t="s">
        <v>3</v>
      </c>
      <c r="L5233" s="50" t="s">
        <v>80</v>
      </c>
    </row>
    <row r="5234" spans="2:12">
      <c r="B5234" s="50" t="s">
        <v>394</v>
      </c>
      <c r="C5234" s="50" t="s">
        <v>51</v>
      </c>
      <c r="D5234" s="50" t="s">
        <v>27</v>
      </c>
      <c r="E5234" s="50">
        <v>50038956</v>
      </c>
      <c r="F5234" s="50" t="s">
        <v>177</v>
      </c>
      <c r="G5234" s="50">
        <v>1</v>
      </c>
      <c r="H5234" s="50" t="s">
        <v>2</v>
      </c>
      <c r="I5234" s="50" t="s">
        <v>293</v>
      </c>
      <c r="J5234" s="51">
        <v>45938</v>
      </c>
      <c r="K5234" s="50" t="s">
        <v>1</v>
      </c>
      <c r="L5234" s="50" t="s">
        <v>80</v>
      </c>
    </row>
    <row r="5235" spans="2:12">
      <c r="B5235" s="50" t="e">
        <v>#N/A</v>
      </c>
      <c r="C5235" s="50" t="s">
        <v>26</v>
      </c>
      <c r="D5235" s="50" t="s">
        <v>27</v>
      </c>
      <c r="E5235" s="50">
        <v>50038956</v>
      </c>
      <c r="F5235" s="50" t="s">
        <v>177</v>
      </c>
      <c r="G5235" s="50">
        <v>1</v>
      </c>
      <c r="H5235" s="50" t="s">
        <v>2</v>
      </c>
      <c r="I5235" s="50" t="s">
        <v>292</v>
      </c>
      <c r="J5235" s="51">
        <v>45938</v>
      </c>
      <c r="K5235" s="50" t="s">
        <v>3</v>
      </c>
      <c r="L5235" s="50" t="s">
        <v>80</v>
      </c>
    </row>
    <row r="5236" spans="2:12">
      <c r="B5236" s="50" t="e">
        <v>#N/A</v>
      </c>
      <c r="C5236" s="50" t="s">
        <v>26</v>
      </c>
      <c r="D5236" s="50" t="s">
        <v>27</v>
      </c>
      <c r="E5236" s="50">
        <v>50038956</v>
      </c>
      <c r="F5236" s="50" t="s">
        <v>177</v>
      </c>
      <c r="G5236" s="50">
        <v>1</v>
      </c>
      <c r="H5236" s="50" t="s">
        <v>2</v>
      </c>
      <c r="I5236" s="50" t="s">
        <v>292</v>
      </c>
      <c r="J5236" s="51">
        <v>45938</v>
      </c>
      <c r="K5236" s="50" t="s">
        <v>1</v>
      </c>
      <c r="L5236" s="50" t="s">
        <v>80</v>
      </c>
    </row>
    <row r="5237" spans="2:12">
      <c r="B5237" s="50" t="s">
        <v>478</v>
      </c>
      <c r="C5237" s="50" t="s">
        <v>51</v>
      </c>
      <c r="D5237" s="50" t="s">
        <v>27</v>
      </c>
      <c r="E5237" s="50">
        <v>50038956</v>
      </c>
      <c r="F5237" s="50" t="s">
        <v>177</v>
      </c>
      <c r="G5237" s="50">
        <v>1</v>
      </c>
      <c r="H5237" s="50" t="s">
        <v>2</v>
      </c>
      <c r="I5237" s="50" t="s">
        <v>291</v>
      </c>
      <c r="J5237" s="51">
        <v>45938</v>
      </c>
      <c r="K5237" s="50" t="s">
        <v>3</v>
      </c>
      <c r="L5237" s="50" t="s">
        <v>80</v>
      </c>
    </row>
    <row r="5238" spans="2:12">
      <c r="B5238" s="50" t="s">
        <v>478</v>
      </c>
      <c r="C5238" s="50" t="s">
        <v>51</v>
      </c>
      <c r="D5238" s="50" t="s">
        <v>27</v>
      </c>
      <c r="E5238" s="50">
        <v>50038956</v>
      </c>
      <c r="F5238" s="50" t="s">
        <v>177</v>
      </c>
      <c r="G5238" s="50">
        <v>1</v>
      </c>
      <c r="H5238" s="50" t="s">
        <v>2</v>
      </c>
      <c r="I5238" s="50" t="s">
        <v>291</v>
      </c>
      <c r="J5238" s="51">
        <v>45938</v>
      </c>
      <c r="K5238" s="50" t="s">
        <v>3</v>
      </c>
      <c r="L5238" s="50" t="s">
        <v>80</v>
      </c>
    </row>
    <row r="5239" spans="2:12">
      <c r="B5239" s="50" t="s">
        <v>316</v>
      </c>
      <c r="C5239" s="50" t="s">
        <v>51</v>
      </c>
      <c r="D5239" s="50" t="s">
        <v>27</v>
      </c>
      <c r="E5239" s="50">
        <v>50037892</v>
      </c>
      <c r="F5239" s="50" t="s">
        <v>178</v>
      </c>
      <c r="G5239" s="50">
        <v>1</v>
      </c>
      <c r="H5239" s="50" t="s">
        <v>2</v>
      </c>
      <c r="I5239" s="50" t="s">
        <v>287</v>
      </c>
      <c r="J5239" s="51">
        <v>45938</v>
      </c>
      <c r="K5239" s="50" t="s">
        <v>1</v>
      </c>
      <c r="L5239" s="50" t="s">
        <v>80</v>
      </c>
    </row>
    <row r="5240" spans="2:12">
      <c r="B5240" s="50" t="s">
        <v>316</v>
      </c>
      <c r="C5240" s="50" t="s">
        <v>51</v>
      </c>
      <c r="D5240" s="50" t="s">
        <v>27</v>
      </c>
      <c r="E5240" s="50">
        <v>50037892</v>
      </c>
      <c r="F5240" s="50" t="s">
        <v>178</v>
      </c>
      <c r="G5240" s="50">
        <v>1</v>
      </c>
      <c r="H5240" s="50" t="s">
        <v>2</v>
      </c>
      <c r="I5240" s="50" t="s">
        <v>291</v>
      </c>
      <c r="J5240" s="51">
        <v>45938</v>
      </c>
      <c r="K5240" s="50" t="s">
        <v>3</v>
      </c>
      <c r="L5240" s="50" t="s">
        <v>80</v>
      </c>
    </row>
    <row r="5241" spans="2:12">
      <c r="B5241" s="50" t="s">
        <v>316</v>
      </c>
      <c r="C5241" s="50" t="s">
        <v>51</v>
      </c>
      <c r="D5241" s="50" t="s">
        <v>27</v>
      </c>
      <c r="E5241" s="50">
        <v>50037892</v>
      </c>
      <c r="F5241" s="50" t="s">
        <v>178</v>
      </c>
      <c r="G5241" s="50">
        <v>1</v>
      </c>
      <c r="H5241" s="50" t="s">
        <v>2</v>
      </c>
      <c r="I5241" s="50" t="s">
        <v>291</v>
      </c>
      <c r="J5241" s="51">
        <v>45938</v>
      </c>
      <c r="K5241" s="50" t="s">
        <v>1</v>
      </c>
      <c r="L5241" s="50" t="s">
        <v>80</v>
      </c>
    </row>
    <row r="5242" spans="2:12">
      <c r="B5242" s="50" t="s">
        <v>316</v>
      </c>
      <c r="C5242" s="50" t="s">
        <v>51</v>
      </c>
      <c r="D5242" s="50" t="s">
        <v>27</v>
      </c>
      <c r="E5242" s="50">
        <v>50037892</v>
      </c>
      <c r="F5242" s="50" t="s">
        <v>178</v>
      </c>
      <c r="G5242" s="50">
        <v>1</v>
      </c>
      <c r="H5242" s="50" t="s">
        <v>2</v>
      </c>
      <c r="I5242" s="50" t="s">
        <v>291</v>
      </c>
      <c r="J5242" s="51">
        <v>45938</v>
      </c>
      <c r="K5242" s="50" t="s">
        <v>3</v>
      </c>
      <c r="L5242" s="50" t="s">
        <v>80</v>
      </c>
    </row>
    <row r="5243" spans="2:12">
      <c r="B5243" s="50" t="s">
        <v>437</v>
      </c>
      <c r="C5243" s="50" t="s">
        <v>51</v>
      </c>
      <c r="D5243" s="50" t="s">
        <v>41</v>
      </c>
      <c r="E5243" s="50">
        <v>50038841</v>
      </c>
      <c r="F5243" s="50" t="s">
        <v>180</v>
      </c>
      <c r="G5243" s="50">
        <v>1</v>
      </c>
      <c r="H5243" s="50" t="s">
        <v>2</v>
      </c>
      <c r="I5243" s="50" t="s">
        <v>291</v>
      </c>
      <c r="J5243" s="51">
        <v>45938</v>
      </c>
      <c r="K5243" s="50" t="s">
        <v>1</v>
      </c>
      <c r="L5243" s="50" t="s">
        <v>80</v>
      </c>
    </row>
    <row r="5244" spans="2:12">
      <c r="B5244" s="50" t="s">
        <v>437</v>
      </c>
      <c r="C5244" s="50" t="s">
        <v>51</v>
      </c>
      <c r="D5244" s="50" t="s">
        <v>41</v>
      </c>
      <c r="E5244" s="50">
        <v>50038841</v>
      </c>
      <c r="F5244" s="50" t="s">
        <v>180</v>
      </c>
      <c r="G5244" s="50">
        <v>1</v>
      </c>
      <c r="H5244" s="50" t="s">
        <v>2</v>
      </c>
      <c r="I5244" s="50" t="s">
        <v>291</v>
      </c>
      <c r="J5244" s="51">
        <v>45938</v>
      </c>
      <c r="K5244" s="50" t="s">
        <v>3</v>
      </c>
      <c r="L5244" s="50" t="s">
        <v>80</v>
      </c>
    </row>
    <row r="5245" spans="2:12">
      <c r="B5245" s="50" t="s">
        <v>427</v>
      </c>
      <c r="C5245" s="50" t="s">
        <v>26</v>
      </c>
      <c r="D5245" s="50" t="s">
        <v>27</v>
      </c>
      <c r="E5245" s="50">
        <v>50038517</v>
      </c>
      <c r="F5245" s="50" t="s">
        <v>181</v>
      </c>
      <c r="G5245" s="50">
        <v>1</v>
      </c>
      <c r="H5245" s="50" t="s">
        <v>2</v>
      </c>
      <c r="I5245" s="50" t="s">
        <v>287</v>
      </c>
      <c r="J5245" s="51">
        <v>45938</v>
      </c>
      <c r="K5245" s="50" t="s">
        <v>1</v>
      </c>
      <c r="L5245" s="50" t="s">
        <v>80</v>
      </c>
    </row>
    <row r="5246" spans="2:12">
      <c r="B5246" s="50" t="s">
        <v>427</v>
      </c>
      <c r="C5246" s="50" t="s">
        <v>26</v>
      </c>
      <c r="D5246" s="50" t="s">
        <v>27</v>
      </c>
      <c r="E5246" s="50">
        <v>50038517</v>
      </c>
      <c r="F5246" s="50" t="s">
        <v>181</v>
      </c>
      <c r="G5246" s="50">
        <v>1</v>
      </c>
      <c r="H5246" s="50" t="s">
        <v>2</v>
      </c>
      <c r="I5246" s="50" t="s">
        <v>287</v>
      </c>
      <c r="J5246" s="51">
        <v>45938</v>
      </c>
      <c r="K5246" s="50" t="s">
        <v>3</v>
      </c>
      <c r="L5246" s="50" t="s">
        <v>80</v>
      </c>
    </row>
    <row r="5247" spans="2:12">
      <c r="B5247" s="50" t="s">
        <v>447</v>
      </c>
      <c r="C5247" s="50" t="s">
        <v>56</v>
      </c>
      <c r="D5247" s="50" t="s">
        <v>41</v>
      </c>
      <c r="E5247" s="50">
        <v>50038517</v>
      </c>
      <c r="F5247" s="50" t="s">
        <v>181</v>
      </c>
      <c r="G5247" s="50">
        <v>1</v>
      </c>
      <c r="H5247" s="50" t="s">
        <v>2</v>
      </c>
      <c r="I5247" s="50" t="s">
        <v>291</v>
      </c>
      <c r="J5247" s="51">
        <v>45938</v>
      </c>
      <c r="K5247" s="50" t="s">
        <v>1</v>
      </c>
      <c r="L5247" s="50" t="s">
        <v>80</v>
      </c>
    </row>
    <row r="5248" spans="2:12">
      <c r="B5248" s="50" t="s">
        <v>447</v>
      </c>
      <c r="C5248" s="50" t="s">
        <v>56</v>
      </c>
      <c r="D5248" s="50" t="s">
        <v>41</v>
      </c>
      <c r="E5248" s="50">
        <v>50038517</v>
      </c>
      <c r="F5248" s="50" t="s">
        <v>181</v>
      </c>
      <c r="G5248" s="50">
        <v>1</v>
      </c>
      <c r="H5248" s="50" t="s">
        <v>2</v>
      </c>
      <c r="I5248" s="50" t="s">
        <v>291</v>
      </c>
      <c r="J5248" s="51">
        <v>45938</v>
      </c>
      <c r="K5248" s="50" t="s">
        <v>3</v>
      </c>
      <c r="L5248" s="50" t="s">
        <v>80</v>
      </c>
    </row>
    <row r="5249" spans="2:12">
      <c r="B5249" s="50" t="s">
        <v>409</v>
      </c>
      <c r="C5249" s="50" t="s">
        <v>51</v>
      </c>
      <c r="D5249" s="50" t="s">
        <v>27</v>
      </c>
      <c r="E5249" s="50">
        <v>50038517</v>
      </c>
      <c r="F5249" s="50" t="s">
        <v>181</v>
      </c>
      <c r="G5249" s="50">
        <v>1</v>
      </c>
      <c r="H5249" s="50" t="s">
        <v>2</v>
      </c>
      <c r="I5249" s="50" t="s">
        <v>291</v>
      </c>
      <c r="J5249" s="51">
        <v>45938</v>
      </c>
      <c r="K5249" s="50" t="s">
        <v>1</v>
      </c>
      <c r="L5249" s="50" t="s">
        <v>80</v>
      </c>
    </row>
    <row r="5250" spans="2:12">
      <c r="B5250" s="50" t="s">
        <v>409</v>
      </c>
      <c r="C5250" s="50" t="s">
        <v>51</v>
      </c>
      <c r="D5250" s="50" t="s">
        <v>27</v>
      </c>
      <c r="E5250" s="50">
        <v>50038517</v>
      </c>
      <c r="F5250" s="50" t="s">
        <v>181</v>
      </c>
      <c r="G5250" s="50">
        <v>1</v>
      </c>
      <c r="H5250" s="50" t="s">
        <v>2</v>
      </c>
      <c r="I5250" s="50" t="s">
        <v>291</v>
      </c>
      <c r="J5250" s="51">
        <v>45938</v>
      </c>
      <c r="K5250" s="50" t="s">
        <v>1</v>
      </c>
      <c r="L5250" s="50" t="s">
        <v>80</v>
      </c>
    </row>
    <row r="5251" spans="2:12">
      <c r="B5251" s="50" t="s">
        <v>483</v>
      </c>
      <c r="C5251" s="50" t="s">
        <v>62</v>
      </c>
      <c r="D5251" s="50" t="s">
        <v>27</v>
      </c>
      <c r="E5251" s="50">
        <v>50037903</v>
      </c>
      <c r="F5251" s="50" t="s">
        <v>183</v>
      </c>
      <c r="G5251" s="50">
        <v>1</v>
      </c>
      <c r="H5251" s="50" t="s">
        <v>2</v>
      </c>
      <c r="I5251" s="50" t="s">
        <v>293</v>
      </c>
      <c r="J5251" s="51">
        <v>45938</v>
      </c>
      <c r="K5251" s="50" t="s">
        <v>3</v>
      </c>
      <c r="L5251" s="50" t="s">
        <v>80</v>
      </c>
    </row>
    <row r="5252" spans="2:12">
      <c r="B5252" s="50" t="s">
        <v>483</v>
      </c>
      <c r="C5252" s="50" t="s">
        <v>62</v>
      </c>
      <c r="D5252" s="50" t="s">
        <v>27</v>
      </c>
      <c r="E5252" s="50">
        <v>50037903</v>
      </c>
      <c r="F5252" s="50" t="s">
        <v>183</v>
      </c>
      <c r="G5252" s="50">
        <v>1</v>
      </c>
      <c r="H5252" s="50" t="s">
        <v>2</v>
      </c>
      <c r="I5252" s="50" t="s">
        <v>291</v>
      </c>
      <c r="J5252" s="51">
        <v>45938</v>
      </c>
      <c r="K5252" s="50" t="s">
        <v>1</v>
      </c>
      <c r="L5252" s="50" t="s">
        <v>80</v>
      </c>
    </row>
    <row r="5253" spans="2:12">
      <c r="B5253" s="50" t="s">
        <v>316</v>
      </c>
      <c r="C5253" s="50" t="s">
        <v>51</v>
      </c>
      <c r="D5253" s="50" t="s">
        <v>27</v>
      </c>
      <c r="E5253" s="50">
        <v>50039065</v>
      </c>
      <c r="F5253" s="50" t="s">
        <v>186</v>
      </c>
      <c r="G5253" s="50">
        <v>1</v>
      </c>
      <c r="H5253" s="50" t="s">
        <v>2</v>
      </c>
      <c r="I5253" s="50" t="s">
        <v>287</v>
      </c>
      <c r="J5253" s="51">
        <v>45938</v>
      </c>
      <c r="K5253" s="50" t="s">
        <v>3</v>
      </c>
      <c r="L5253" s="50" t="s">
        <v>80</v>
      </c>
    </row>
    <row r="5254" spans="2:12">
      <c r="B5254" s="50" t="s">
        <v>316</v>
      </c>
      <c r="C5254" s="50" t="s">
        <v>51</v>
      </c>
      <c r="D5254" s="50" t="s">
        <v>27</v>
      </c>
      <c r="E5254" s="50">
        <v>50039065</v>
      </c>
      <c r="F5254" s="50" t="s">
        <v>186</v>
      </c>
      <c r="G5254" s="50">
        <v>1</v>
      </c>
      <c r="H5254" s="50" t="s">
        <v>2</v>
      </c>
      <c r="I5254" s="50" t="s">
        <v>291</v>
      </c>
      <c r="J5254" s="51">
        <v>45938</v>
      </c>
      <c r="K5254" s="50" t="s">
        <v>1</v>
      </c>
      <c r="L5254" s="50" t="s">
        <v>80</v>
      </c>
    </row>
    <row r="5255" spans="2:12">
      <c r="B5255" s="50" t="e">
        <v>#N/A</v>
      </c>
      <c r="C5255" s="50" t="s">
        <v>26</v>
      </c>
      <c r="D5255" s="50" t="s">
        <v>27</v>
      </c>
      <c r="E5255" s="50">
        <v>50036297</v>
      </c>
      <c r="F5255" s="50" t="s">
        <v>189</v>
      </c>
      <c r="G5255" s="50">
        <v>1</v>
      </c>
      <c r="H5255" s="50" t="s">
        <v>2</v>
      </c>
      <c r="I5255" s="50" t="s">
        <v>291</v>
      </c>
      <c r="J5255" s="51">
        <v>45938</v>
      </c>
      <c r="K5255" s="50" t="s">
        <v>3</v>
      </c>
      <c r="L5255" s="50" t="s">
        <v>80</v>
      </c>
    </row>
    <row r="5256" spans="2:12">
      <c r="B5256" s="50" t="e">
        <v>#N/A</v>
      </c>
      <c r="C5256" s="50" t="s">
        <v>26</v>
      </c>
      <c r="D5256" s="50" t="s">
        <v>27</v>
      </c>
      <c r="E5256" s="50">
        <v>50036297</v>
      </c>
      <c r="F5256" s="50" t="s">
        <v>189</v>
      </c>
      <c r="G5256" s="50">
        <v>1</v>
      </c>
      <c r="H5256" s="50" t="s">
        <v>2</v>
      </c>
      <c r="I5256" s="50" t="s">
        <v>291</v>
      </c>
      <c r="J5256" s="51">
        <v>45938</v>
      </c>
      <c r="K5256" s="50" t="s">
        <v>1</v>
      </c>
      <c r="L5256" s="50" t="s">
        <v>80</v>
      </c>
    </row>
    <row r="5257" spans="2:12">
      <c r="B5257" s="50" t="s">
        <v>427</v>
      </c>
      <c r="C5257" s="50" t="s">
        <v>26</v>
      </c>
      <c r="D5257" s="50" t="s">
        <v>27</v>
      </c>
      <c r="E5257" s="50">
        <v>50038626</v>
      </c>
      <c r="F5257" s="50" t="s">
        <v>190</v>
      </c>
      <c r="G5257" s="50">
        <v>1</v>
      </c>
      <c r="H5257" s="50" t="s">
        <v>2</v>
      </c>
      <c r="I5257" s="50" t="s">
        <v>293</v>
      </c>
      <c r="J5257" s="51">
        <v>45938</v>
      </c>
      <c r="K5257" s="50" t="s">
        <v>3</v>
      </c>
      <c r="L5257" s="50" t="s">
        <v>80</v>
      </c>
    </row>
    <row r="5258" spans="2:12">
      <c r="B5258" s="50" t="s">
        <v>427</v>
      </c>
      <c r="C5258" s="50" t="s">
        <v>26</v>
      </c>
      <c r="D5258" s="50" t="s">
        <v>27</v>
      </c>
      <c r="E5258" s="50">
        <v>50038626</v>
      </c>
      <c r="F5258" s="50" t="s">
        <v>190</v>
      </c>
      <c r="G5258" s="50">
        <v>1</v>
      </c>
      <c r="H5258" s="50" t="s">
        <v>2</v>
      </c>
      <c r="I5258" s="50" t="s">
        <v>287</v>
      </c>
      <c r="J5258" s="51">
        <v>45938</v>
      </c>
      <c r="K5258" s="50" t="s">
        <v>1</v>
      </c>
      <c r="L5258" s="50" t="s">
        <v>80</v>
      </c>
    </row>
    <row r="5259" spans="2:12">
      <c r="B5259" s="50" t="s">
        <v>280</v>
      </c>
      <c r="C5259" s="50" t="s">
        <v>62</v>
      </c>
      <c r="D5259" s="50" t="s">
        <v>27</v>
      </c>
      <c r="E5259" s="50">
        <v>50026357</v>
      </c>
      <c r="F5259" s="50" t="s">
        <v>192</v>
      </c>
      <c r="G5259" s="50">
        <v>1</v>
      </c>
      <c r="H5259" s="50" t="s">
        <v>2</v>
      </c>
      <c r="I5259" s="50" t="s">
        <v>287</v>
      </c>
      <c r="J5259" s="51">
        <v>45938</v>
      </c>
      <c r="K5259" s="50" t="s">
        <v>3</v>
      </c>
      <c r="L5259" s="50" t="s">
        <v>80</v>
      </c>
    </row>
    <row r="5260" spans="2:12">
      <c r="B5260" s="50" t="s">
        <v>280</v>
      </c>
      <c r="C5260" s="50" t="s">
        <v>62</v>
      </c>
      <c r="D5260" s="50" t="s">
        <v>27</v>
      </c>
      <c r="E5260" s="50">
        <v>50026357</v>
      </c>
      <c r="F5260" s="50" t="s">
        <v>192</v>
      </c>
      <c r="G5260" s="50">
        <v>1</v>
      </c>
      <c r="H5260" s="50" t="s">
        <v>2</v>
      </c>
      <c r="I5260" s="50" t="s">
        <v>291</v>
      </c>
      <c r="J5260" s="51">
        <v>45938</v>
      </c>
      <c r="K5260" s="50" t="s">
        <v>1</v>
      </c>
      <c r="L5260" s="50" t="s">
        <v>80</v>
      </c>
    </row>
    <row r="5261" spans="2:12">
      <c r="B5261" s="50" t="s">
        <v>483</v>
      </c>
      <c r="C5261" s="50" t="s">
        <v>62</v>
      </c>
      <c r="D5261" s="50" t="s">
        <v>27</v>
      </c>
      <c r="E5261" s="50">
        <v>50038662</v>
      </c>
      <c r="F5261" s="50" t="s">
        <v>193</v>
      </c>
      <c r="G5261" s="50">
        <v>1</v>
      </c>
      <c r="H5261" s="50" t="s">
        <v>2</v>
      </c>
      <c r="I5261" s="50" t="s">
        <v>293</v>
      </c>
      <c r="J5261" s="51">
        <v>45938</v>
      </c>
      <c r="K5261" s="50" t="s">
        <v>3</v>
      </c>
      <c r="L5261" s="50" t="s">
        <v>80</v>
      </c>
    </row>
    <row r="5262" spans="2:12">
      <c r="B5262" s="50" t="s">
        <v>483</v>
      </c>
      <c r="C5262" s="50" t="s">
        <v>62</v>
      </c>
      <c r="D5262" s="50" t="s">
        <v>27</v>
      </c>
      <c r="E5262" s="50">
        <v>50038662</v>
      </c>
      <c r="F5262" s="50" t="s">
        <v>193</v>
      </c>
      <c r="G5262" s="50">
        <v>1</v>
      </c>
      <c r="H5262" s="50" t="s">
        <v>2</v>
      </c>
      <c r="I5262" s="50" t="s">
        <v>291</v>
      </c>
      <c r="J5262" s="51">
        <v>45938</v>
      </c>
      <c r="K5262" s="50" t="s">
        <v>3</v>
      </c>
      <c r="L5262" s="50" t="s">
        <v>80</v>
      </c>
    </row>
    <row r="5263" spans="2:12">
      <c r="B5263" s="50" t="s">
        <v>386</v>
      </c>
      <c r="C5263" s="50" t="s">
        <v>62</v>
      </c>
      <c r="D5263" s="50" t="s">
        <v>27</v>
      </c>
      <c r="E5263" s="50">
        <v>50041195</v>
      </c>
      <c r="F5263" s="50" t="s">
        <v>206</v>
      </c>
      <c r="G5263" s="50">
        <v>1</v>
      </c>
      <c r="H5263" s="50" t="s">
        <v>2</v>
      </c>
      <c r="I5263" s="50" t="s">
        <v>293</v>
      </c>
      <c r="J5263" s="51">
        <v>45938</v>
      </c>
      <c r="K5263" s="50" t="s">
        <v>3</v>
      </c>
      <c r="L5263" s="50" t="s">
        <v>80</v>
      </c>
    </row>
    <row r="5264" spans="2:12">
      <c r="B5264" s="50" t="s">
        <v>386</v>
      </c>
      <c r="C5264" s="50" t="s">
        <v>62</v>
      </c>
      <c r="D5264" s="50" t="s">
        <v>27</v>
      </c>
      <c r="E5264" s="50">
        <v>50041195</v>
      </c>
      <c r="F5264" s="50" t="s">
        <v>206</v>
      </c>
      <c r="G5264" s="50">
        <v>1</v>
      </c>
      <c r="H5264" s="50" t="s">
        <v>2</v>
      </c>
      <c r="I5264" s="50" t="s">
        <v>291</v>
      </c>
      <c r="J5264" s="51">
        <v>45938</v>
      </c>
      <c r="K5264" s="50" t="s">
        <v>1</v>
      </c>
      <c r="L5264" s="50" t="s">
        <v>80</v>
      </c>
    </row>
    <row r="5265" spans="2:12">
      <c r="B5265" s="50" t="s">
        <v>389</v>
      </c>
      <c r="C5265" s="50" t="s">
        <v>56</v>
      </c>
      <c r="D5265" s="50" t="s">
        <v>27</v>
      </c>
      <c r="E5265" s="50">
        <v>50043917</v>
      </c>
      <c r="F5265" s="50" t="s">
        <v>262</v>
      </c>
      <c r="G5265" s="50">
        <v>1</v>
      </c>
      <c r="H5265" s="50" t="s">
        <v>2</v>
      </c>
      <c r="I5265" s="50" t="s">
        <v>287</v>
      </c>
      <c r="J5265" s="51">
        <v>45938</v>
      </c>
      <c r="K5265" s="50" t="s">
        <v>1</v>
      </c>
      <c r="L5265" s="50" t="s">
        <v>80</v>
      </c>
    </row>
    <row r="5266" spans="2:12">
      <c r="B5266" s="50" t="s">
        <v>427</v>
      </c>
      <c r="C5266" s="50" t="s">
        <v>26</v>
      </c>
      <c r="D5266" s="50" t="s">
        <v>27</v>
      </c>
      <c r="E5266" s="50">
        <v>50004486</v>
      </c>
      <c r="F5266" s="50" t="s">
        <v>221</v>
      </c>
      <c r="G5266" s="50">
        <v>1</v>
      </c>
      <c r="H5266" s="50" t="s">
        <v>2</v>
      </c>
      <c r="I5266" s="50" t="s">
        <v>293</v>
      </c>
      <c r="J5266" s="51">
        <v>45938</v>
      </c>
      <c r="K5266" s="50" t="s">
        <v>3</v>
      </c>
      <c r="L5266" s="50" t="s">
        <v>80</v>
      </c>
    </row>
    <row r="5267" spans="2:12">
      <c r="B5267" s="50" t="s">
        <v>427</v>
      </c>
      <c r="C5267" s="50" t="s">
        <v>26</v>
      </c>
      <c r="D5267" s="50" t="s">
        <v>27</v>
      </c>
      <c r="E5267" s="50">
        <v>50004486</v>
      </c>
      <c r="F5267" s="50" t="s">
        <v>221</v>
      </c>
      <c r="G5267" s="50">
        <v>1</v>
      </c>
      <c r="H5267" s="50" t="s">
        <v>2</v>
      </c>
      <c r="I5267" s="50" t="s">
        <v>293</v>
      </c>
      <c r="J5267" s="51">
        <v>45938</v>
      </c>
      <c r="K5267" s="50" t="s">
        <v>1</v>
      </c>
      <c r="L5267" s="50" t="s">
        <v>80</v>
      </c>
    </row>
    <row r="5268" spans="2:12">
      <c r="B5268" s="50" t="s">
        <v>280</v>
      </c>
      <c r="C5268" s="50" t="s">
        <v>62</v>
      </c>
      <c r="D5268" s="50" t="s">
        <v>27</v>
      </c>
      <c r="E5268" s="50">
        <v>50028220</v>
      </c>
      <c r="F5268" s="50" t="s">
        <v>242</v>
      </c>
      <c r="G5268" s="50">
        <v>1</v>
      </c>
      <c r="H5268" s="50" t="s">
        <v>2</v>
      </c>
      <c r="I5268" s="50" t="s">
        <v>291</v>
      </c>
      <c r="J5268" s="51">
        <v>45938</v>
      </c>
      <c r="K5268" s="50" t="s">
        <v>3</v>
      </c>
      <c r="L5268" s="50" t="s">
        <v>80</v>
      </c>
    </row>
    <row r="5269" spans="2:12">
      <c r="B5269" s="50" t="s">
        <v>280</v>
      </c>
      <c r="C5269" s="50" t="s">
        <v>62</v>
      </c>
      <c r="D5269" s="50" t="s">
        <v>27</v>
      </c>
      <c r="E5269" s="50">
        <v>50028220</v>
      </c>
      <c r="F5269" s="50" t="s">
        <v>242</v>
      </c>
      <c r="G5269" s="50">
        <v>1</v>
      </c>
      <c r="H5269" s="50" t="s">
        <v>2</v>
      </c>
      <c r="I5269" s="50" t="s">
        <v>291</v>
      </c>
      <c r="J5269" s="51">
        <v>45938</v>
      </c>
      <c r="K5269" s="50" t="s">
        <v>1</v>
      </c>
      <c r="L5269" s="50" t="s">
        <v>80</v>
      </c>
    </row>
    <row r="5270" spans="2:12">
      <c r="B5270" s="50" t="s">
        <v>408</v>
      </c>
      <c r="C5270" s="50" t="s">
        <v>56</v>
      </c>
      <c r="D5270" s="50" t="s">
        <v>39</v>
      </c>
      <c r="E5270" s="50">
        <v>50037933</v>
      </c>
      <c r="F5270" s="50" t="s">
        <v>250</v>
      </c>
      <c r="G5270" s="50">
        <v>1</v>
      </c>
      <c r="H5270" s="50" t="s">
        <v>2</v>
      </c>
      <c r="I5270" s="50" t="s">
        <v>292</v>
      </c>
      <c r="J5270" s="51">
        <v>45938</v>
      </c>
      <c r="K5270" s="50" t="s">
        <v>1</v>
      </c>
      <c r="L5270" s="50" t="s">
        <v>80</v>
      </c>
    </row>
    <row r="5271" spans="2:12">
      <c r="B5271" s="50" t="s">
        <v>43</v>
      </c>
      <c r="C5271" s="50" t="s">
        <v>26</v>
      </c>
      <c r="D5271" s="50" t="s">
        <v>41</v>
      </c>
      <c r="E5271" s="50">
        <v>50037924</v>
      </c>
      <c r="F5271" s="50" t="s">
        <v>261</v>
      </c>
      <c r="G5271" s="50">
        <v>1</v>
      </c>
      <c r="H5271" s="50" t="s">
        <v>2</v>
      </c>
      <c r="I5271" s="50" t="s">
        <v>293</v>
      </c>
      <c r="J5271" s="51">
        <v>45938</v>
      </c>
      <c r="K5271" s="50" t="s">
        <v>3</v>
      </c>
      <c r="L5271" s="50" t="s">
        <v>80</v>
      </c>
    </row>
    <row r="5272" spans="2:12">
      <c r="B5272" s="50" t="s">
        <v>43</v>
      </c>
      <c r="C5272" s="50" t="s">
        <v>26</v>
      </c>
      <c r="D5272" s="50" t="s">
        <v>41</v>
      </c>
      <c r="E5272" s="50">
        <v>50037924</v>
      </c>
      <c r="F5272" s="50" t="s">
        <v>261</v>
      </c>
      <c r="G5272" s="50">
        <v>1</v>
      </c>
      <c r="H5272" s="50" t="s">
        <v>2</v>
      </c>
      <c r="I5272" s="50" t="s">
        <v>287</v>
      </c>
      <c r="J5272" s="51">
        <v>45938</v>
      </c>
      <c r="K5272" s="50" t="s">
        <v>3</v>
      </c>
      <c r="L5272" s="50" t="s">
        <v>80</v>
      </c>
    </row>
    <row r="5273" spans="2:12">
      <c r="B5273" s="50" t="s">
        <v>427</v>
      </c>
      <c r="C5273" s="50" t="s">
        <v>26</v>
      </c>
      <c r="D5273" s="50" t="s">
        <v>27</v>
      </c>
      <c r="E5273" s="50">
        <v>50010031</v>
      </c>
      <c r="F5273" s="50" t="s">
        <v>89</v>
      </c>
      <c r="G5273" s="50">
        <v>1</v>
      </c>
      <c r="H5273" s="50" t="s">
        <v>2</v>
      </c>
      <c r="I5273" s="50" t="s">
        <v>290</v>
      </c>
      <c r="J5273" s="51">
        <v>45937</v>
      </c>
      <c r="K5273" s="50" t="s">
        <v>1</v>
      </c>
      <c r="L5273" s="50" t="s">
        <v>80</v>
      </c>
    </row>
    <row r="5274" spans="2:12">
      <c r="B5274" s="50" t="s">
        <v>427</v>
      </c>
      <c r="C5274" s="50" t="s">
        <v>26</v>
      </c>
      <c r="D5274" s="50" t="s">
        <v>27</v>
      </c>
      <c r="E5274" s="50">
        <v>50010031</v>
      </c>
      <c r="F5274" s="50" t="s">
        <v>89</v>
      </c>
      <c r="G5274" s="50">
        <v>1</v>
      </c>
      <c r="H5274" s="50" t="s">
        <v>2</v>
      </c>
      <c r="I5274" s="50" t="s">
        <v>293</v>
      </c>
      <c r="J5274" s="51">
        <v>45937</v>
      </c>
      <c r="K5274" s="50" t="s">
        <v>1</v>
      </c>
      <c r="L5274" s="50" t="s">
        <v>80</v>
      </c>
    </row>
    <row r="5275" spans="2:12">
      <c r="B5275" s="50" t="s">
        <v>280</v>
      </c>
      <c r="C5275" s="50" t="s">
        <v>62</v>
      </c>
      <c r="D5275" s="50" t="s">
        <v>27</v>
      </c>
      <c r="E5275" s="50">
        <v>50036086</v>
      </c>
      <c r="F5275" s="50" t="s">
        <v>28</v>
      </c>
      <c r="G5275" s="50">
        <v>1</v>
      </c>
      <c r="H5275" s="50" t="s">
        <v>2</v>
      </c>
      <c r="I5275" s="50" t="s">
        <v>297</v>
      </c>
      <c r="J5275" s="51">
        <v>45937</v>
      </c>
      <c r="K5275" s="50" t="s">
        <v>3</v>
      </c>
      <c r="L5275" s="50" t="s">
        <v>80</v>
      </c>
    </row>
    <row r="5276" spans="2:12">
      <c r="B5276" s="50" t="s">
        <v>386</v>
      </c>
      <c r="C5276" s="50" t="s">
        <v>62</v>
      </c>
      <c r="D5276" s="50" t="s">
        <v>27</v>
      </c>
      <c r="E5276" s="50">
        <v>50036086</v>
      </c>
      <c r="F5276" s="50" t="s">
        <v>28</v>
      </c>
      <c r="G5276" s="50">
        <v>1</v>
      </c>
      <c r="H5276" s="50" t="s">
        <v>2</v>
      </c>
      <c r="I5276" s="50" t="s">
        <v>293</v>
      </c>
      <c r="J5276" s="51">
        <v>45937</v>
      </c>
      <c r="K5276" s="50" t="s">
        <v>1</v>
      </c>
      <c r="L5276" s="50" t="s">
        <v>80</v>
      </c>
    </row>
    <row r="5277" spans="2:12">
      <c r="B5277" s="50" t="s">
        <v>280</v>
      </c>
      <c r="C5277" s="50" t="s">
        <v>62</v>
      </c>
      <c r="D5277" s="50" t="s">
        <v>27</v>
      </c>
      <c r="E5277" s="50">
        <v>50003173</v>
      </c>
      <c r="F5277" s="50" t="s">
        <v>74</v>
      </c>
      <c r="G5277" s="50">
        <v>1</v>
      </c>
      <c r="H5277" s="50" t="s">
        <v>2</v>
      </c>
      <c r="I5277" s="50" t="s">
        <v>297</v>
      </c>
      <c r="J5277" s="51">
        <v>45937</v>
      </c>
      <c r="K5277" s="50" t="s">
        <v>3</v>
      </c>
      <c r="L5277" s="50" t="s">
        <v>80</v>
      </c>
    </row>
    <row r="5278" spans="2:12">
      <c r="B5278" s="50" t="s">
        <v>280</v>
      </c>
      <c r="C5278" s="50" t="s">
        <v>62</v>
      </c>
      <c r="D5278" s="50" t="s">
        <v>27</v>
      </c>
      <c r="E5278" s="50">
        <v>50003173</v>
      </c>
      <c r="F5278" s="50" t="s">
        <v>74</v>
      </c>
      <c r="G5278" s="50">
        <v>1</v>
      </c>
      <c r="H5278" s="50" t="s">
        <v>2</v>
      </c>
      <c r="I5278" s="50" t="s">
        <v>293</v>
      </c>
      <c r="J5278" s="51">
        <v>45937</v>
      </c>
      <c r="K5278" s="50" t="s">
        <v>1</v>
      </c>
      <c r="L5278" s="50" t="s">
        <v>80</v>
      </c>
    </row>
    <row r="5279" spans="2:12">
      <c r="B5279" s="50" t="s">
        <v>316</v>
      </c>
      <c r="C5279" s="50" t="s">
        <v>56</v>
      </c>
      <c r="D5279" s="50" t="s">
        <v>27</v>
      </c>
      <c r="E5279" s="50">
        <v>50030486</v>
      </c>
      <c r="F5279" s="50" t="s">
        <v>153</v>
      </c>
      <c r="G5279" s="50">
        <v>1</v>
      </c>
      <c r="H5279" s="50" t="s">
        <v>2</v>
      </c>
      <c r="I5279" s="50" t="s">
        <v>293</v>
      </c>
      <c r="J5279" s="51">
        <v>45937</v>
      </c>
      <c r="K5279" s="50" t="s">
        <v>3</v>
      </c>
      <c r="L5279" s="50" t="s">
        <v>80</v>
      </c>
    </row>
    <row r="5280" spans="2:12">
      <c r="B5280" s="50" t="s">
        <v>316</v>
      </c>
      <c r="C5280" s="50" t="s">
        <v>56</v>
      </c>
      <c r="D5280" s="50" t="s">
        <v>27</v>
      </c>
      <c r="E5280" s="50">
        <v>50030486</v>
      </c>
      <c r="F5280" s="50" t="s">
        <v>153</v>
      </c>
      <c r="G5280" s="50">
        <v>1</v>
      </c>
      <c r="H5280" s="50" t="s">
        <v>2</v>
      </c>
      <c r="I5280" s="50" t="s">
        <v>288</v>
      </c>
      <c r="J5280" s="51">
        <v>45937</v>
      </c>
      <c r="K5280" s="50" t="s">
        <v>1</v>
      </c>
      <c r="L5280" s="50" t="s">
        <v>80</v>
      </c>
    </row>
    <row r="5281" spans="2:12">
      <c r="B5281" s="50" t="s">
        <v>316</v>
      </c>
      <c r="C5281" s="50" t="s">
        <v>51</v>
      </c>
      <c r="D5281" s="50" t="s">
        <v>27</v>
      </c>
      <c r="E5281" s="50">
        <v>50043471</v>
      </c>
      <c r="F5281" s="50" t="s">
        <v>257</v>
      </c>
      <c r="G5281" s="50">
        <v>1</v>
      </c>
      <c r="H5281" s="50" t="s">
        <v>2</v>
      </c>
      <c r="I5281" s="50" t="s">
        <v>292</v>
      </c>
      <c r="J5281" s="51">
        <v>45937</v>
      </c>
      <c r="K5281" s="50" t="s">
        <v>3</v>
      </c>
      <c r="L5281" s="50" t="s">
        <v>80</v>
      </c>
    </row>
    <row r="5282" spans="2:12">
      <c r="B5282" s="50" t="s">
        <v>316</v>
      </c>
      <c r="C5282" s="50" t="s">
        <v>51</v>
      </c>
      <c r="D5282" s="50" t="s">
        <v>27</v>
      </c>
      <c r="E5282" s="50">
        <v>50043471</v>
      </c>
      <c r="F5282" s="50" t="s">
        <v>257</v>
      </c>
      <c r="G5282" s="50">
        <v>1</v>
      </c>
      <c r="H5282" s="50" t="s">
        <v>2</v>
      </c>
      <c r="I5282" s="50" t="s">
        <v>293</v>
      </c>
      <c r="J5282" s="51">
        <v>45937</v>
      </c>
      <c r="K5282" s="50" t="s">
        <v>1</v>
      </c>
      <c r="L5282" s="50" t="s">
        <v>80</v>
      </c>
    </row>
    <row r="5283" spans="2:12">
      <c r="B5283" s="50" t="s">
        <v>437</v>
      </c>
      <c r="C5283" s="50" t="s">
        <v>51</v>
      </c>
      <c r="D5283" s="50" t="s">
        <v>41</v>
      </c>
      <c r="E5283" s="50">
        <v>50043471</v>
      </c>
      <c r="F5283" s="50" t="s">
        <v>257</v>
      </c>
      <c r="G5283" s="50">
        <v>1</v>
      </c>
      <c r="H5283" s="50" t="s">
        <v>2</v>
      </c>
      <c r="I5283" s="50" t="s">
        <v>287</v>
      </c>
      <c r="J5283" s="51">
        <v>45937</v>
      </c>
      <c r="K5283" s="50" t="s">
        <v>3</v>
      </c>
      <c r="L5283" s="50" t="s">
        <v>80</v>
      </c>
    </row>
    <row r="5284" spans="2:12">
      <c r="B5284" s="50" t="s">
        <v>437</v>
      </c>
      <c r="C5284" s="50" t="s">
        <v>51</v>
      </c>
      <c r="D5284" s="50" t="s">
        <v>41</v>
      </c>
      <c r="E5284" s="50">
        <v>50043471</v>
      </c>
      <c r="F5284" s="50" t="s">
        <v>257</v>
      </c>
      <c r="G5284" s="50">
        <v>1</v>
      </c>
      <c r="H5284" s="50" t="s">
        <v>2</v>
      </c>
      <c r="I5284" s="50" t="s">
        <v>287</v>
      </c>
      <c r="J5284" s="51">
        <v>45937</v>
      </c>
      <c r="K5284" s="50" t="s">
        <v>1</v>
      </c>
      <c r="L5284" s="50" t="s">
        <v>80</v>
      </c>
    </row>
    <row r="5285" spans="2:12">
      <c r="B5285" s="50" t="e">
        <v>#N/A</v>
      </c>
      <c r="C5285" s="50" t="s">
        <v>51</v>
      </c>
      <c r="D5285" s="50" t="s">
        <v>41</v>
      </c>
      <c r="E5285" s="50">
        <v>50003297</v>
      </c>
      <c r="F5285" s="50" t="s">
        <v>158</v>
      </c>
      <c r="G5285" s="50">
        <v>1</v>
      </c>
      <c r="H5285" s="50" t="s">
        <v>2</v>
      </c>
      <c r="I5285" s="50" t="s">
        <v>287</v>
      </c>
      <c r="J5285" s="51">
        <v>45937</v>
      </c>
      <c r="K5285" s="50" t="s">
        <v>3</v>
      </c>
      <c r="L5285" s="50" t="s">
        <v>80</v>
      </c>
    </row>
    <row r="5286" spans="2:12">
      <c r="B5286" s="50" t="e">
        <v>#N/A</v>
      </c>
      <c r="C5286" s="50" t="s">
        <v>51</v>
      </c>
      <c r="D5286" s="50" t="s">
        <v>41</v>
      </c>
      <c r="E5286" s="50">
        <v>50003297</v>
      </c>
      <c r="F5286" s="50" t="s">
        <v>158</v>
      </c>
      <c r="G5286" s="50">
        <v>1</v>
      </c>
      <c r="H5286" s="50" t="s">
        <v>2</v>
      </c>
      <c r="I5286" s="50" t="s">
        <v>287</v>
      </c>
      <c r="J5286" s="51">
        <v>45937</v>
      </c>
      <c r="K5286" s="50" t="s">
        <v>1</v>
      </c>
      <c r="L5286" s="50" t="s">
        <v>80</v>
      </c>
    </row>
    <row r="5287" spans="2:12">
      <c r="B5287" s="50" t="s">
        <v>427</v>
      </c>
      <c r="C5287" s="50" t="s">
        <v>26</v>
      </c>
      <c r="D5287" s="50" t="s">
        <v>27</v>
      </c>
      <c r="E5287" s="50">
        <v>50038549</v>
      </c>
      <c r="F5287" s="50" t="s">
        <v>173</v>
      </c>
      <c r="G5287" s="50">
        <v>1</v>
      </c>
      <c r="H5287" s="50" t="s">
        <v>2</v>
      </c>
      <c r="I5287" s="50" t="s">
        <v>290</v>
      </c>
      <c r="J5287" s="51">
        <v>45937</v>
      </c>
      <c r="K5287" s="50" t="s">
        <v>3</v>
      </c>
      <c r="L5287" s="50" t="s">
        <v>80</v>
      </c>
    </row>
    <row r="5288" spans="2:12">
      <c r="B5288" s="50" t="s">
        <v>427</v>
      </c>
      <c r="C5288" s="50" t="s">
        <v>26</v>
      </c>
      <c r="D5288" s="50" t="s">
        <v>27</v>
      </c>
      <c r="E5288" s="50">
        <v>50038549</v>
      </c>
      <c r="F5288" s="50" t="s">
        <v>173</v>
      </c>
      <c r="G5288" s="50">
        <v>1</v>
      </c>
      <c r="H5288" s="50" t="s">
        <v>2</v>
      </c>
      <c r="I5288" s="50" t="s">
        <v>287</v>
      </c>
      <c r="J5288" s="51">
        <v>45937</v>
      </c>
      <c r="K5288" s="50" t="s">
        <v>1</v>
      </c>
      <c r="L5288" s="50" t="s">
        <v>80</v>
      </c>
    </row>
    <row r="5289" spans="2:12">
      <c r="B5289" s="50" t="s">
        <v>316</v>
      </c>
      <c r="C5289" s="50" t="s">
        <v>56</v>
      </c>
      <c r="D5289" s="50" t="s">
        <v>27</v>
      </c>
      <c r="E5289" s="50">
        <v>50038956</v>
      </c>
      <c r="F5289" s="50" t="s">
        <v>177</v>
      </c>
      <c r="G5289" s="50">
        <v>1</v>
      </c>
      <c r="H5289" s="50" t="s">
        <v>2</v>
      </c>
      <c r="I5289" s="50" t="s">
        <v>293</v>
      </c>
      <c r="J5289" s="51">
        <v>45937</v>
      </c>
      <c r="K5289" s="50" t="s">
        <v>3</v>
      </c>
      <c r="L5289" s="50" t="s">
        <v>80</v>
      </c>
    </row>
    <row r="5290" spans="2:12">
      <c r="B5290" s="50" t="s">
        <v>316</v>
      </c>
      <c r="C5290" s="50" t="s">
        <v>56</v>
      </c>
      <c r="D5290" s="50" t="s">
        <v>27</v>
      </c>
      <c r="E5290" s="50">
        <v>50038956</v>
      </c>
      <c r="F5290" s="50" t="s">
        <v>177</v>
      </c>
      <c r="G5290" s="50">
        <v>1</v>
      </c>
      <c r="H5290" s="50" t="s">
        <v>2</v>
      </c>
      <c r="I5290" s="50" t="s">
        <v>288</v>
      </c>
      <c r="J5290" s="51">
        <v>45937</v>
      </c>
      <c r="K5290" s="50" t="s">
        <v>3</v>
      </c>
      <c r="L5290" s="50" t="s">
        <v>80</v>
      </c>
    </row>
    <row r="5291" spans="2:12">
      <c r="B5291" s="50" t="s">
        <v>386</v>
      </c>
      <c r="C5291" s="50" t="s">
        <v>62</v>
      </c>
      <c r="D5291" s="50" t="s">
        <v>27</v>
      </c>
      <c r="E5291" s="50">
        <v>50037892</v>
      </c>
      <c r="F5291" s="50" t="s">
        <v>178</v>
      </c>
      <c r="G5291" s="50">
        <v>1</v>
      </c>
      <c r="H5291" s="50" t="s">
        <v>2</v>
      </c>
      <c r="I5291" s="50" t="s">
        <v>287</v>
      </c>
      <c r="J5291" s="51">
        <v>45937</v>
      </c>
      <c r="K5291" s="50" t="s">
        <v>1</v>
      </c>
      <c r="L5291" s="50" t="s">
        <v>80</v>
      </c>
    </row>
    <row r="5292" spans="2:12">
      <c r="B5292" s="50" t="s">
        <v>386</v>
      </c>
      <c r="C5292" s="50" t="s">
        <v>62</v>
      </c>
      <c r="D5292" s="50" t="s">
        <v>27</v>
      </c>
      <c r="E5292" s="50">
        <v>50037892</v>
      </c>
      <c r="F5292" s="50" t="s">
        <v>178</v>
      </c>
      <c r="G5292" s="50">
        <v>1</v>
      </c>
      <c r="H5292" s="50" t="s">
        <v>2</v>
      </c>
      <c r="I5292" s="50" t="s">
        <v>288</v>
      </c>
      <c r="J5292" s="51">
        <v>45937</v>
      </c>
      <c r="K5292" s="50" t="s">
        <v>3</v>
      </c>
      <c r="L5292" s="50" t="s">
        <v>80</v>
      </c>
    </row>
    <row r="5293" spans="2:12">
      <c r="B5293" s="50" t="s">
        <v>316</v>
      </c>
      <c r="C5293" s="50" t="s">
        <v>51</v>
      </c>
      <c r="D5293" s="50" t="s">
        <v>27</v>
      </c>
      <c r="E5293" s="50">
        <v>50037902</v>
      </c>
      <c r="F5293" s="50" t="s">
        <v>179</v>
      </c>
      <c r="G5293" s="50">
        <v>1</v>
      </c>
      <c r="H5293" s="50" t="s">
        <v>2</v>
      </c>
      <c r="I5293" s="50" t="s">
        <v>293</v>
      </c>
      <c r="J5293" s="51">
        <v>45937</v>
      </c>
      <c r="K5293" s="50" t="s">
        <v>1</v>
      </c>
      <c r="L5293" s="50" t="s">
        <v>80</v>
      </c>
    </row>
    <row r="5294" spans="2:12">
      <c r="B5294" s="50" t="s">
        <v>316</v>
      </c>
      <c r="C5294" s="50" t="s">
        <v>51</v>
      </c>
      <c r="D5294" s="50" t="s">
        <v>27</v>
      </c>
      <c r="E5294" s="50">
        <v>50037902</v>
      </c>
      <c r="F5294" s="50" t="s">
        <v>179</v>
      </c>
      <c r="G5294" s="50">
        <v>1</v>
      </c>
      <c r="H5294" s="50" t="s">
        <v>2</v>
      </c>
      <c r="I5294" s="50" t="s">
        <v>292</v>
      </c>
      <c r="J5294" s="51">
        <v>45937</v>
      </c>
      <c r="K5294" s="50" t="s">
        <v>3</v>
      </c>
      <c r="L5294" s="50" t="s">
        <v>80</v>
      </c>
    </row>
    <row r="5295" spans="2:12">
      <c r="B5295" s="50" t="s">
        <v>483</v>
      </c>
      <c r="C5295" s="50" t="s">
        <v>62</v>
      </c>
      <c r="D5295" s="50" t="s">
        <v>27</v>
      </c>
      <c r="E5295" s="50">
        <v>50037902</v>
      </c>
      <c r="F5295" s="50" t="s">
        <v>179</v>
      </c>
      <c r="G5295" s="50">
        <v>1</v>
      </c>
      <c r="H5295" s="50" t="s">
        <v>2</v>
      </c>
      <c r="I5295" s="50" t="s">
        <v>292</v>
      </c>
      <c r="J5295" s="51">
        <v>45937</v>
      </c>
      <c r="K5295" s="50" t="s">
        <v>1</v>
      </c>
      <c r="L5295" s="50" t="s">
        <v>80</v>
      </c>
    </row>
    <row r="5296" spans="2:12">
      <c r="B5296" s="50" t="s">
        <v>483</v>
      </c>
      <c r="C5296" s="50" t="s">
        <v>62</v>
      </c>
      <c r="D5296" s="50" t="s">
        <v>27</v>
      </c>
      <c r="E5296" s="50">
        <v>50037902</v>
      </c>
      <c r="F5296" s="50" t="s">
        <v>179</v>
      </c>
      <c r="G5296" s="50">
        <v>1</v>
      </c>
      <c r="H5296" s="50" t="s">
        <v>2</v>
      </c>
      <c r="I5296" s="50" t="s">
        <v>292</v>
      </c>
      <c r="J5296" s="51">
        <v>45937</v>
      </c>
      <c r="K5296" s="50" t="s">
        <v>3</v>
      </c>
      <c r="L5296" s="50" t="s">
        <v>80</v>
      </c>
    </row>
    <row r="5297" spans="2:12">
      <c r="B5297" s="50" t="s">
        <v>483</v>
      </c>
      <c r="C5297" s="50" t="s">
        <v>62</v>
      </c>
      <c r="D5297" s="50" t="s">
        <v>27</v>
      </c>
      <c r="E5297" s="50">
        <v>50038841</v>
      </c>
      <c r="F5297" s="50" t="s">
        <v>180</v>
      </c>
      <c r="G5297" s="50">
        <v>1</v>
      </c>
      <c r="H5297" s="50" t="s">
        <v>2</v>
      </c>
      <c r="I5297" s="50" t="s">
        <v>293</v>
      </c>
      <c r="J5297" s="51">
        <v>45937</v>
      </c>
      <c r="K5297" s="50" t="s">
        <v>1</v>
      </c>
      <c r="L5297" s="50" t="s">
        <v>80</v>
      </c>
    </row>
    <row r="5298" spans="2:12">
      <c r="B5298" s="50" t="s">
        <v>483</v>
      </c>
      <c r="C5298" s="50" t="s">
        <v>62</v>
      </c>
      <c r="D5298" s="50" t="s">
        <v>27</v>
      </c>
      <c r="E5298" s="50">
        <v>50038841</v>
      </c>
      <c r="F5298" s="50" t="s">
        <v>180</v>
      </c>
      <c r="G5298" s="50">
        <v>1</v>
      </c>
      <c r="H5298" s="50" t="s">
        <v>2</v>
      </c>
      <c r="I5298" s="50" t="s">
        <v>287</v>
      </c>
      <c r="J5298" s="51">
        <v>45937</v>
      </c>
      <c r="K5298" s="50" t="s">
        <v>3</v>
      </c>
      <c r="L5298" s="50" t="s">
        <v>80</v>
      </c>
    </row>
    <row r="5299" spans="2:12">
      <c r="B5299" s="50" t="s">
        <v>316</v>
      </c>
      <c r="C5299" s="50" t="s">
        <v>51</v>
      </c>
      <c r="D5299" s="50" t="s">
        <v>27</v>
      </c>
      <c r="E5299" s="50">
        <v>50038517</v>
      </c>
      <c r="F5299" s="50" t="s">
        <v>181</v>
      </c>
      <c r="G5299" s="50">
        <v>1</v>
      </c>
      <c r="H5299" s="50" t="s">
        <v>2</v>
      </c>
      <c r="I5299" s="50" t="s">
        <v>293</v>
      </c>
      <c r="J5299" s="51">
        <v>45937</v>
      </c>
      <c r="K5299" s="50" t="s">
        <v>1</v>
      </c>
      <c r="L5299" s="50" t="s">
        <v>80</v>
      </c>
    </row>
    <row r="5300" spans="2:12">
      <c r="B5300" s="50" t="s">
        <v>316</v>
      </c>
      <c r="C5300" s="50" t="s">
        <v>51</v>
      </c>
      <c r="D5300" s="50" t="s">
        <v>27</v>
      </c>
      <c r="E5300" s="50">
        <v>50038517</v>
      </c>
      <c r="F5300" s="50" t="s">
        <v>181</v>
      </c>
      <c r="G5300" s="50">
        <v>1</v>
      </c>
      <c r="H5300" s="50" t="s">
        <v>2</v>
      </c>
      <c r="I5300" s="50" t="s">
        <v>287</v>
      </c>
      <c r="J5300" s="51">
        <v>45937</v>
      </c>
      <c r="K5300" s="50" t="s">
        <v>1</v>
      </c>
      <c r="L5300" s="50" t="s">
        <v>80</v>
      </c>
    </row>
    <row r="5301" spans="2:12">
      <c r="B5301" s="50" t="s">
        <v>399</v>
      </c>
      <c r="C5301" s="50" t="s">
        <v>51</v>
      </c>
      <c r="D5301" s="50" t="s">
        <v>27</v>
      </c>
      <c r="E5301" s="50">
        <v>50039065</v>
      </c>
      <c r="F5301" s="50" t="s">
        <v>186</v>
      </c>
      <c r="G5301" s="50">
        <v>1</v>
      </c>
      <c r="H5301" s="50" t="s">
        <v>2</v>
      </c>
      <c r="I5301" s="50" t="s">
        <v>293</v>
      </c>
      <c r="J5301" s="51">
        <v>45937</v>
      </c>
      <c r="K5301" s="50" t="s">
        <v>3</v>
      </c>
      <c r="L5301" s="50" t="s">
        <v>80</v>
      </c>
    </row>
    <row r="5302" spans="2:12">
      <c r="B5302" s="50" t="s">
        <v>399</v>
      </c>
      <c r="C5302" s="50" t="s">
        <v>51</v>
      </c>
      <c r="D5302" s="50" t="s">
        <v>27</v>
      </c>
      <c r="E5302" s="50">
        <v>50039065</v>
      </c>
      <c r="F5302" s="50" t="s">
        <v>186</v>
      </c>
      <c r="G5302" s="50">
        <v>1</v>
      </c>
      <c r="H5302" s="50" t="s">
        <v>2</v>
      </c>
      <c r="I5302" s="50" t="s">
        <v>287</v>
      </c>
      <c r="J5302" s="51">
        <v>45937</v>
      </c>
      <c r="K5302" s="50" t="s">
        <v>1</v>
      </c>
      <c r="L5302" s="50" t="s">
        <v>80</v>
      </c>
    </row>
    <row r="5303" spans="2:12">
      <c r="B5303" s="50" t="s">
        <v>437</v>
      </c>
      <c r="C5303" s="50" t="s">
        <v>51</v>
      </c>
      <c r="D5303" s="50" t="s">
        <v>41</v>
      </c>
      <c r="E5303" s="50">
        <v>50036297</v>
      </c>
      <c r="F5303" s="50" t="s">
        <v>189</v>
      </c>
      <c r="G5303" s="50">
        <v>1</v>
      </c>
      <c r="H5303" s="50" t="s">
        <v>2</v>
      </c>
      <c r="I5303" s="50" t="s">
        <v>287</v>
      </c>
      <c r="J5303" s="51">
        <v>45937</v>
      </c>
      <c r="K5303" s="50" t="s">
        <v>3</v>
      </c>
      <c r="L5303" s="50" t="s">
        <v>80</v>
      </c>
    </row>
    <row r="5304" spans="2:12">
      <c r="B5304" s="50" t="s">
        <v>437</v>
      </c>
      <c r="C5304" s="50" t="s">
        <v>51</v>
      </c>
      <c r="D5304" s="50" t="s">
        <v>41</v>
      </c>
      <c r="E5304" s="50">
        <v>50036297</v>
      </c>
      <c r="F5304" s="50" t="s">
        <v>189</v>
      </c>
      <c r="G5304" s="50">
        <v>1</v>
      </c>
      <c r="H5304" s="50" t="s">
        <v>2</v>
      </c>
      <c r="I5304" s="50" t="s">
        <v>287</v>
      </c>
      <c r="J5304" s="51">
        <v>45937</v>
      </c>
      <c r="K5304" s="50" t="s">
        <v>1</v>
      </c>
      <c r="L5304" s="50" t="s">
        <v>80</v>
      </c>
    </row>
    <row r="5305" spans="2:12">
      <c r="B5305" s="50" t="s">
        <v>280</v>
      </c>
      <c r="C5305" s="50" t="s">
        <v>62</v>
      </c>
      <c r="D5305" s="50" t="s">
        <v>27</v>
      </c>
      <c r="E5305" s="50">
        <v>50026357</v>
      </c>
      <c r="F5305" s="50" t="s">
        <v>192</v>
      </c>
      <c r="G5305" s="50">
        <v>1</v>
      </c>
      <c r="H5305" s="50" t="s">
        <v>2</v>
      </c>
      <c r="I5305" s="50" t="s">
        <v>297</v>
      </c>
      <c r="J5305" s="51">
        <v>45937</v>
      </c>
      <c r="K5305" s="50" t="s">
        <v>3</v>
      </c>
      <c r="L5305" s="50" t="s">
        <v>80</v>
      </c>
    </row>
    <row r="5306" spans="2:12">
      <c r="B5306" s="50" t="s">
        <v>280</v>
      </c>
      <c r="C5306" s="50" t="s">
        <v>62</v>
      </c>
      <c r="D5306" s="50" t="s">
        <v>27</v>
      </c>
      <c r="E5306" s="50">
        <v>50026357</v>
      </c>
      <c r="F5306" s="50" t="s">
        <v>192</v>
      </c>
      <c r="G5306" s="50">
        <v>1</v>
      </c>
      <c r="H5306" s="50" t="s">
        <v>2</v>
      </c>
      <c r="I5306" s="50" t="s">
        <v>293</v>
      </c>
      <c r="J5306" s="51">
        <v>45937</v>
      </c>
      <c r="K5306" s="50" t="s">
        <v>1</v>
      </c>
      <c r="L5306" s="50" t="s">
        <v>80</v>
      </c>
    </row>
    <row r="5307" spans="2:12">
      <c r="B5307" s="50" t="s">
        <v>43</v>
      </c>
      <c r="C5307" s="50" t="s">
        <v>26</v>
      </c>
      <c r="D5307" s="50" t="s">
        <v>41</v>
      </c>
      <c r="E5307" s="50">
        <v>50041653</v>
      </c>
      <c r="F5307" s="50" t="s">
        <v>201</v>
      </c>
      <c r="G5307" s="50">
        <v>1</v>
      </c>
      <c r="H5307" s="50" t="s">
        <v>2</v>
      </c>
      <c r="I5307" s="50" t="s">
        <v>293</v>
      </c>
      <c r="J5307" s="51">
        <v>45937</v>
      </c>
      <c r="K5307" s="50" t="s">
        <v>3</v>
      </c>
      <c r="L5307" s="50" t="s">
        <v>80</v>
      </c>
    </row>
    <row r="5308" spans="2:12">
      <c r="B5308" s="50" t="s">
        <v>43</v>
      </c>
      <c r="C5308" s="50" t="s">
        <v>26</v>
      </c>
      <c r="D5308" s="50" t="s">
        <v>41</v>
      </c>
      <c r="E5308" s="50">
        <v>50041653</v>
      </c>
      <c r="F5308" s="50" t="s">
        <v>201</v>
      </c>
      <c r="G5308" s="50">
        <v>1</v>
      </c>
      <c r="H5308" s="50" t="s">
        <v>2</v>
      </c>
      <c r="I5308" s="50" t="s">
        <v>287</v>
      </c>
      <c r="J5308" s="51">
        <v>45937</v>
      </c>
      <c r="K5308" s="50" t="s">
        <v>1</v>
      </c>
      <c r="L5308" s="50" t="s">
        <v>80</v>
      </c>
    </row>
    <row r="5309" spans="2:12">
      <c r="B5309" s="50" t="s">
        <v>466</v>
      </c>
      <c r="C5309" s="50" t="s">
        <v>62</v>
      </c>
      <c r="D5309" s="50" t="s">
        <v>27</v>
      </c>
      <c r="E5309" s="50">
        <v>50041195</v>
      </c>
      <c r="F5309" s="50" t="s">
        <v>206</v>
      </c>
      <c r="G5309" s="50">
        <v>1</v>
      </c>
      <c r="H5309" s="50" t="s">
        <v>2</v>
      </c>
      <c r="I5309" s="50" t="s">
        <v>293</v>
      </c>
      <c r="J5309" s="51">
        <v>45937</v>
      </c>
      <c r="K5309" s="50" t="s">
        <v>3</v>
      </c>
      <c r="L5309" s="50" t="s">
        <v>80</v>
      </c>
    </row>
    <row r="5310" spans="2:12">
      <c r="B5310" s="50" t="e">
        <v>#N/A</v>
      </c>
      <c r="C5310" s="50" t="s">
        <v>62</v>
      </c>
      <c r="D5310" s="50" t="s">
        <v>27</v>
      </c>
      <c r="E5310" s="50">
        <v>50043917</v>
      </c>
      <c r="F5310" s="50" t="s">
        <v>262</v>
      </c>
      <c r="G5310" s="50">
        <v>1</v>
      </c>
      <c r="H5310" s="50" t="s">
        <v>2</v>
      </c>
      <c r="I5310" s="50" t="s">
        <v>293</v>
      </c>
      <c r="J5310" s="51">
        <v>45937</v>
      </c>
      <c r="K5310" s="59" t="s">
        <v>3</v>
      </c>
      <c r="L5310" s="50" t="s">
        <v>80</v>
      </c>
    </row>
    <row r="5311" spans="2:12">
      <c r="B5311" s="50" t="e">
        <v>#N/A</v>
      </c>
      <c r="C5311" s="50" t="s">
        <v>62</v>
      </c>
      <c r="D5311" s="50" t="s">
        <v>27</v>
      </c>
      <c r="E5311" s="50">
        <v>50043917</v>
      </c>
      <c r="F5311" s="50" t="s">
        <v>262</v>
      </c>
      <c r="G5311" s="50">
        <v>1</v>
      </c>
      <c r="H5311" s="50" t="s">
        <v>2</v>
      </c>
      <c r="I5311" s="50" t="s">
        <v>287</v>
      </c>
      <c r="J5311" s="51">
        <v>45937</v>
      </c>
      <c r="K5311" s="59" t="s">
        <v>1</v>
      </c>
      <c r="L5311" s="50" t="s">
        <v>80</v>
      </c>
    </row>
    <row r="5312" spans="2:12">
      <c r="B5312" s="50" t="s">
        <v>441</v>
      </c>
      <c r="C5312" s="50" t="s">
        <v>51</v>
      </c>
      <c r="D5312" s="58" t="s">
        <v>36</v>
      </c>
      <c r="E5312" s="50">
        <v>50043917</v>
      </c>
      <c r="F5312" s="50" t="str">
        <f>IFERROR(VLOOKUP(E5312,'BD MOVIMENTAÇÃO'!A:G,3,FALSE),"Não encontrado")</f>
        <v>PARAFUSADEIRA FURADEIRA BOSCH</v>
      </c>
      <c r="G5312" s="58">
        <v>1</v>
      </c>
      <c r="H5312" s="59" t="s">
        <v>2</v>
      </c>
      <c r="I5312" s="59" t="s">
        <v>310</v>
      </c>
      <c r="J5312" s="63">
        <v>45937</v>
      </c>
      <c r="K5312" s="50" t="s">
        <v>1</v>
      </c>
      <c r="L5312" s="50" t="s">
        <v>80</v>
      </c>
    </row>
    <row r="5313" spans="2:12">
      <c r="B5313" s="50" t="s">
        <v>441</v>
      </c>
      <c r="C5313" s="50" t="s">
        <v>51</v>
      </c>
      <c r="D5313" s="58" t="s">
        <v>36</v>
      </c>
      <c r="E5313" s="50">
        <v>50043917</v>
      </c>
      <c r="F5313" s="50" t="str">
        <f>IFERROR(VLOOKUP(E5313,'BD MOVIMENTAÇÃO'!A:G,3,FALSE),"Não encontrado")</f>
        <v>PARAFUSADEIRA FURADEIRA BOSCH</v>
      </c>
      <c r="G5313" s="58">
        <v>1</v>
      </c>
      <c r="H5313" s="59" t="s">
        <v>2</v>
      </c>
      <c r="I5313" s="59" t="s">
        <v>310</v>
      </c>
      <c r="J5313" s="63">
        <v>45937</v>
      </c>
      <c r="K5313" s="50" t="s">
        <v>1</v>
      </c>
      <c r="L5313" s="50" t="s">
        <v>80</v>
      </c>
    </row>
    <row r="5314" spans="2:12">
      <c r="B5314" s="50" t="e">
        <v>#N/A</v>
      </c>
      <c r="C5314" s="50" t="s">
        <v>62</v>
      </c>
      <c r="D5314" s="50" t="s">
        <v>27</v>
      </c>
      <c r="E5314" s="50">
        <v>50020622</v>
      </c>
      <c r="F5314" s="50" t="s">
        <v>217</v>
      </c>
      <c r="G5314" s="50">
        <v>1</v>
      </c>
      <c r="H5314" s="50" t="s">
        <v>2</v>
      </c>
      <c r="I5314" s="50" t="s">
        <v>293</v>
      </c>
      <c r="J5314" s="51">
        <v>45937</v>
      </c>
      <c r="K5314" s="50" t="s">
        <v>3</v>
      </c>
      <c r="L5314" s="50" t="s">
        <v>80</v>
      </c>
    </row>
    <row r="5315" spans="2:12">
      <c r="B5315" s="50" t="e">
        <v>#N/A</v>
      </c>
      <c r="C5315" s="50" t="s">
        <v>62</v>
      </c>
      <c r="D5315" s="50" t="s">
        <v>27</v>
      </c>
      <c r="E5315" s="50">
        <v>50020622</v>
      </c>
      <c r="F5315" s="50" t="s">
        <v>217</v>
      </c>
      <c r="G5315" s="50">
        <v>1</v>
      </c>
      <c r="H5315" s="50" t="s">
        <v>2</v>
      </c>
      <c r="I5315" s="50" t="s">
        <v>287</v>
      </c>
      <c r="J5315" s="51">
        <v>45937</v>
      </c>
      <c r="K5315" s="50" t="s">
        <v>1</v>
      </c>
      <c r="L5315" s="50" t="s">
        <v>80</v>
      </c>
    </row>
    <row r="5316" spans="2:12">
      <c r="B5316" s="50" t="s">
        <v>481</v>
      </c>
      <c r="C5316" s="50" t="s">
        <v>26</v>
      </c>
      <c r="D5316" s="50" t="s">
        <v>27</v>
      </c>
      <c r="E5316" s="50">
        <v>50012903</v>
      </c>
      <c r="F5316" s="50" t="s">
        <v>308</v>
      </c>
      <c r="G5316" s="50">
        <v>1</v>
      </c>
      <c r="H5316" s="50" t="s">
        <v>2</v>
      </c>
      <c r="I5316" s="50" t="s">
        <v>297</v>
      </c>
      <c r="J5316" s="51">
        <v>45937</v>
      </c>
      <c r="K5316" s="59" t="s">
        <v>3</v>
      </c>
      <c r="L5316" s="50" t="s">
        <v>80</v>
      </c>
    </row>
    <row r="5317" spans="2:12">
      <c r="B5317" s="50" t="s">
        <v>481</v>
      </c>
      <c r="C5317" s="50" t="s">
        <v>26</v>
      </c>
      <c r="D5317" s="50" t="s">
        <v>27</v>
      </c>
      <c r="E5317" s="50">
        <v>50012903</v>
      </c>
      <c r="F5317" s="50" t="s">
        <v>308</v>
      </c>
      <c r="G5317" s="50">
        <v>1</v>
      </c>
      <c r="H5317" s="50" t="s">
        <v>2</v>
      </c>
      <c r="I5317" s="50" t="s">
        <v>297</v>
      </c>
      <c r="J5317" s="51">
        <v>45937</v>
      </c>
      <c r="K5317" s="59" t="s">
        <v>1</v>
      </c>
      <c r="L5317" s="50" t="s">
        <v>80</v>
      </c>
    </row>
    <row r="5318" spans="2:12">
      <c r="B5318" s="50" t="s">
        <v>475</v>
      </c>
      <c r="C5318" s="50" t="s">
        <v>51</v>
      </c>
      <c r="D5318" s="58" t="s">
        <v>36</v>
      </c>
      <c r="E5318" s="50">
        <v>50038195</v>
      </c>
      <c r="F5318" s="50" t="s">
        <v>239</v>
      </c>
      <c r="G5318" s="58">
        <v>1</v>
      </c>
      <c r="H5318" s="59" t="s">
        <v>2</v>
      </c>
      <c r="I5318" s="59" t="s">
        <v>310</v>
      </c>
      <c r="J5318" s="63">
        <v>45937</v>
      </c>
      <c r="K5318" s="50" t="s">
        <v>3</v>
      </c>
      <c r="L5318" s="50" t="s">
        <v>80</v>
      </c>
    </row>
    <row r="5319" spans="2:12">
      <c r="B5319" s="50" t="s">
        <v>475</v>
      </c>
      <c r="C5319" s="50" t="s">
        <v>51</v>
      </c>
      <c r="D5319" s="58" t="s">
        <v>36</v>
      </c>
      <c r="E5319" s="50">
        <v>50038195</v>
      </c>
      <c r="F5319" s="50" t="s">
        <v>239</v>
      </c>
      <c r="G5319" s="58">
        <v>1</v>
      </c>
      <c r="H5319" s="59" t="s">
        <v>2</v>
      </c>
      <c r="I5319" s="59" t="s">
        <v>310</v>
      </c>
      <c r="J5319" s="63">
        <v>45937</v>
      </c>
      <c r="K5319" s="50" t="s">
        <v>1</v>
      </c>
      <c r="L5319" s="50" t="s">
        <v>80</v>
      </c>
    </row>
    <row r="5320" spans="2:12">
      <c r="B5320" s="50" t="s">
        <v>280</v>
      </c>
      <c r="C5320" s="50" t="s">
        <v>62</v>
      </c>
      <c r="D5320" s="50" t="s">
        <v>27</v>
      </c>
      <c r="E5320" s="50">
        <v>50028220</v>
      </c>
      <c r="F5320" s="50" t="s">
        <v>242</v>
      </c>
      <c r="G5320" s="50">
        <v>1</v>
      </c>
      <c r="H5320" s="50" t="s">
        <v>2</v>
      </c>
      <c r="I5320" s="50" t="s">
        <v>297</v>
      </c>
      <c r="J5320" s="51">
        <v>45937</v>
      </c>
      <c r="K5320" s="50" t="s">
        <v>3</v>
      </c>
      <c r="L5320" s="50" t="s">
        <v>80</v>
      </c>
    </row>
    <row r="5321" spans="2:12">
      <c r="B5321" s="50" t="s">
        <v>277</v>
      </c>
      <c r="C5321" s="50" t="s">
        <v>62</v>
      </c>
      <c r="D5321" s="50" t="s">
        <v>27</v>
      </c>
      <c r="E5321" s="50">
        <v>50028220</v>
      </c>
      <c r="F5321" s="50" t="s">
        <v>242</v>
      </c>
      <c r="G5321" s="50">
        <v>1</v>
      </c>
      <c r="H5321" s="50" t="s">
        <v>2</v>
      </c>
      <c r="I5321" s="50" t="s">
        <v>293</v>
      </c>
      <c r="J5321" s="51">
        <v>45937</v>
      </c>
      <c r="K5321" s="50" t="s">
        <v>3</v>
      </c>
      <c r="L5321" s="50" t="s">
        <v>80</v>
      </c>
    </row>
    <row r="5322" spans="2:12">
      <c r="B5322" s="50" t="s">
        <v>408</v>
      </c>
      <c r="C5322" s="50" t="s">
        <v>56</v>
      </c>
      <c r="D5322" s="50" t="s">
        <v>39</v>
      </c>
      <c r="E5322" s="50">
        <v>50037933</v>
      </c>
      <c r="F5322" s="50" t="s">
        <v>250</v>
      </c>
      <c r="G5322" s="50">
        <v>1</v>
      </c>
      <c r="H5322" s="50" t="s">
        <v>2</v>
      </c>
      <c r="I5322" s="50" t="s">
        <v>290</v>
      </c>
      <c r="J5322" s="51">
        <v>45937</v>
      </c>
      <c r="K5322" s="50" t="s">
        <v>1</v>
      </c>
      <c r="L5322" s="50" t="s">
        <v>80</v>
      </c>
    </row>
    <row r="5323" spans="2:12">
      <c r="B5323" s="50" t="s">
        <v>43</v>
      </c>
      <c r="C5323" s="50" t="s">
        <v>26</v>
      </c>
      <c r="D5323" s="50" t="s">
        <v>41</v>
      </c>
      <c r="E5323" s="50">
        <v>50037924</v>
      </c>
      <c r="F5323" s="50" t="s">
        <v>261</v>
      </c>
      <c r="G5323" s="50">
        <v>1</v>
      </c>
      <c r="H5323" s="50" t="s">
        <v>2</v>
      </c>
      <c r="I5323" s="50" t="s">
        <v>293</v>
      </c>
      <c r="J5323" s="51">
        <v>45937</v>
      </c>
      <c r="K5323" s="50" t="s">
        <v>3</v>
      </c>
      <c r="L5323" s="50" t="s">
        <v>80</v>
      </c>
    </row>
    <row r="5324" spans="2:12">
      <c r="B5324" s="50" t="s">
        <v>43</v>
      </c>
      <c r="C5324" s="50" t="s">
        <v>26</v>
      </c>
      <c r="D5324" s="50" t="s">
        <v>41</v>
      </c>
      <c r="E5324" s="50">
        <v>50037924</v>
      </c>
      <c r="F5324" s="50" t="s">
        <v>261</v>
      </c>
      <c r="G5324" s="50">
        <v>1</v>
      </c>
      <c r="H5324" s="50" t="s">
        <v>2</v>
      </c>
      <c r="I5324" s="50" t="s">
        <v>287</v>
      </c>
      <c r="J5324" s="51">
        <v>45937</v>
      </c>
      <c r="K5324" s="50" t="s">
        <v>1</v>
      </c>
      <c r="L5324" s="50" t="s">
        <v>80</v>
      </c>
    </row>
    <row r="5325" spans="2:12">
      <c r="B5325" s="50" t="s">
        <v>458</v>
      </c>
      <c r="C5325" s="50" t="s">
        <v>26</v>
      </c>
      <c r="D5325" s="50" t="s">
        <v>27</v>
      </c>
      <c r="E5325" s="50">
        <v>50010031</v>
      </c>
      <c r="F5325" s="50" t="s">
        <v>89</v>
      </c>
      <c r="G5325" s="50">
        <v>1</v>
      </c>
      <c r="H5325" s="50" t="s">
        <v>2</v>
      </c>
      <c r="I5325" s="50" t="s">
        <v>291</v>
      </c>
      <c r="J5325" s="51">
        <v>45936</v>
      </c>
      <c r="K5325" s="50" t="s">
        <v>3</v>
      </c>
      <c r="L5325" s="50" t="s">
        <v>80</v>
      </c>
    </row>
    <row r="5326" spans="2:12">
      <c r="B5326" s="50" t="e">
        <v>#N/A</v>
      </c>
      <c r="C5326" s="50" t="s">
        <v>26</v>
      </c>
      <c r="D5326" s="50" t="s">
        <v>27</v>
      </c>
      <c r="E5326" s="50">
        <v>50010031</v>
      </c>
      <c r="F5326" s="50" t="s">
        <v>89</v>
      </c>
      <c r="G5326" s="50">
        <v>1</v>
      </c>
      <c r="H5326" s="50" t="s">
        <v>2</v>
      </c>
      <c r="I5326" s="50" t="s">
        <v>287</v>
      </c>
      <c r="J5326" s="51">
        <v>45936</v>
      </c>
      <c r="K5326" s="50" t="s">
        <v>1</v>
      </c>
      <c r="L5326" s="50" t="s">
        <v>80</v>
      </c>
    </row>
    <row r="5327" spans="2:12">
      <c r="B5327" s="50" t="e">
        <v>#N/A</v>
      </c>
      <c r="C5327" s="50" t="s">
        <v>26</v>
      </c>
      <c r="D5327" s="50" t="s">
        <v>27</v>
      </c>
      <c r="E5327" s="50">
        <v>50010031</v>
      </c>
      <c r="F5327" s="50" t="s">
        <v>89</v>
      </c>
      <c r="G5327" s="50">
        <v>1</v>
      </c>
      <c r="H5327" s="50" t="s">
        <v>2</v>
      </c>
      <c r="I5327" s="50" t="s">
        <v>287</v>
      </c>
      <c r="J5327" s="51">
        <v>45936</v>
      </c>
      <c r="K5327" s="50" t="s">
        <v>1</v>
      </c>
      <c r="L5327" s="50" t="s">
        <v>80</v>
      </c>
    </row>
    <row r="5328" spans="2:12">
      <c r="B5328" s="50" t="s">
        <v>394</v>
      </c>
      <c r="C5328" s="50" t="s">
        <v>51</v>
      </c>
      <c r="D5328" s="50" t="s">
        <v>27</v>
      </c>
      <c r="E5328" s="50">
        <v>50036291</v>
      </c>
      <c r="F5328" s="50" t="s">
        <v>128</v>
      </c>
      <c r="G5328" s="50">
        <v>1</v>
      </c>
      <c r="H5328" s="50" t="s">
        <v>2</v>
      </c>
      <c r="I5328" s="50" t="s">
        <v>291</v>
      </c>
      <c r="J5328" s="51">
        <v>45936</v>
      </c>
      <c r="K5328" s="50" t="s">
        <v>3</v>
      </c>
      <c r="L5328" s="50" t="s">
        <v>80</v>
      </c>
    </row>
    <row r="5329" spans="2:12">
      <c r="B5329" s="50" t="s">
        <v>394</v>
      </c>
      <c r="C5329" s="50" t="s">
        <v>51</v>
      </c>
      <c r="D5329" s="50" t="s">
        <v>27</v>
      </c>
      <c r="E5329" s="50">
        <v>50036291</v>
      </c>
      <c r="F5329" s="50" t="s">
        <v>128</v>
      </c>
      <c r="G5329" s="50">
        <v>1</v>
      </c>
      <c r="H5329" s="50" t="s">
        <v>2</v>
      </c>
      <c r="I5329" s="50" t="s">
        <v>291</v>
      </c>
      <c r="J5329" s="51">
        <v>45936</v>
      </c>
      <c r="K5329" s="50" t="s">
        <v>1</v>
      </c>
      <c r="L5329" s="50" t="s">
        <v>80</v>
      </c>
    </row>
    <row r="5330" spans="2:12">
      <c r="B5330" s="50" t="s">
        <v>394</v>
      </c>
      <c r="C5330" s="50" t="s">
        <v>51</v>
      </c>
      <c r="D5330" s="50" t="s">
        <v>27</v>
      </c>
      <c r="E5330" s="50">
        <v>50036293</v>
      </c>
      <c r="F5330" s="50" t="s">
        <v>130</v>
      </c>
      <c r="G5330" s="50">
        <v>1</v>
      </c>
      <c r="H5330" s="50" t="s">
        <v>2</v>
      </c>
      <c r="I5330" s="50" t="s">
        <v>291</v>
      </c>
      <c r="J5330" s="51">
        <v>45936</v>
      </c>
      <c r="K5330" s="50" t="s">
        <v>3</v>
      </c>
      <c r="L5330" s="50" t="s">
        <v>80</v>
      </c>
    </row>
    <row r="5331" spans="2:12">
      <c r="B5331" s="50" t="s">
        <v>394</v>
      </c>
      <c r="C5331" s="50" t="s">
        <v>51</v>
      </c>
      <c r="D5331" s="50" t="s">
        <v>27</v>
      </c>
      <c r="E5331" s="50">
        <v>50036293</v>
      </c>
      <c r="F5331" s="50" t="s">
        <v>130</v>
      </c>
      <c r="G5331" s="50">
        <v>1</v>
      </c>
      <c r="H5331" s="50" t="s">
        <v>2</v>
      </c>
      <c r="I5331" s="50" t="s">
        <v>291</v>
      </c>
      <c r="J5331" s="51">
        <v>45936</v>
      </c>
      <c r="K5331" s="50" t="s">
        <v>1</v>
      </c>
      <c r="L5331" s="50" t="s">
        <v>80</v>
      </c>
    </row>
    <row r="5332" spans="2:12">
      <c r="B5332" s="50" t="s">
        <v>394</v>
      </c>
      <c r="C5332" s="50" t="s">
        <v>51</v>
      </c>
      <c r="D5332" s="50" t="s">
        <v>27</v>
      </c>
      <c r="E5332" s="50">
        <v>50036295</v>
      </c>
      <c r="F5332" s="50" t="s">
        <v>132</v>
      </c>
      <c r="G5332" s="50">
        <v>1</v>
      </c>
      <c r="H5332" s="50" t="s">
        <v>2</v>
      </c>
      <c r="I5332" s="50" t="s">
        <v>291</v>
      </c>
      <c r="J5332" s="51">
        <v>45936</v>
      </c>
      <c r="K5332" s="50" t="s">
        <v>3</v>
      </c>
      <c r="L5332" s="50" t="s">
        <v>80</v>
      </c>
    </row>
    <row r="5333" spans="2:12">
      <c r="B5333" s="50" t="s">
        <v>394</v>
      </c>
      <c r="C5333" s="50" t="s">
        <v>51</v>
      </c>
      <c r="D5333" s="50" t="s">
        <v>27</v>
      </c>
      <c r="E5333" s="50">
        <v>50036295</v>
      </c>
      <c r="F5333" s="50" t="s">
        <v>132</v>
      </c>
      <c r="G5333" s="50">
        <v>1</v>
      </c>
      <c r="H5333" s="50" t="s">
        <v>2</v>
      </c>
      <c r="I5333" s="50" t="s">
        <v>291</v>
      </c>
      <c r="J5333" s="51">
        <v>45936</v>
      </c>
      <c r="K5333" s="50" t="s">
        <v>1</v>
      </c>
      <c r="L5333" s="50" t="s">
        <v>80</v>
      </c>
    </row>
    <row r="5334" spans="2:12">
      <c r="B5334" s="50" t="s">
        <v>394</v>
      </c>
      <c r="C5334" s="50" t="s">
        <v>51</v>
      </c>
      <c r="D5334" s="50" t="s">
        <v>27</v>
      </c>
      <c r="E5334" s="50">
        <v>50036086</v>
      </c>
      <c r="F5334" s="50" t="s">
        <v>28</v>
      </c>
      <c r="G5334" s="50">
        <v>1</v>
      </c>
      <c r="H5334" s="50" t="s">
        <v>2</v>
      </c>
      <c r="I5334" s="50" t="s">
        <v>291</v>
      </c>
      <c r="J5334" s="51">
        <v>45936</v>
      </c>
      <c r="K5334" s="50" t="s">
        <v>3</v>
      </c>
      <c r="L5334" s="50" t="s">
        <v>80</v>
      </c>
    </row>
    <row r="5335" spans="2:12">
      <c r="B5335" s="50" t="s">
        <v>394</v>
      </c>
      <c r="C5335" s="50" t="s">
        <v>51</v>
      </c>
      <c r="D5335" s="50" t="s">
        <v>27</v>
      </c>
      <c r="E5335" s="50">
        <v>50036086</v>
      </c>
      <c r="F5335" s="50" t="s">
        <v>28</v>
      </c>
      <c r="G5335" s="50">
        <v>1</v>
      </c>
      <c r="H5335" s="50" t="s">
        <v>2</v>
      </c>
      <c r="I5335" s="50" t="s">
        <v>291</v>
      </c>
      <c r="J5335" s="51">
        <v>45936</v>
      </c>
      <c r="K5335" s="50" t="s">
        <v>1</v>
      </c>
      <c r="L5335" s="50" t="s">
        <v>80</v>
      </c>
    </row>
    <row r="5336" spans="2:12">
      <c r="B5336" s="50" t="s">
        <v>394</v>
      </c>
      <c r="C5336" s="50" t="s">
        <v>51</v>
      </c>
      <c r="D5336" s="50" t="s">
        <v>27</v>
      </c>
      <c r="E5336" s="50">
        <v>50038842</v>
      </c>
      <c r="F5336" s="50" t="s">
        <v>133</v>
      </c>
      <c r="G5336" s="50">
        <v>1</v>
      </c>
      <c r="H5336" s="50" t="s">
        <v>2</v>
      </c>
      <c r="I5336" s="50" t="s">
        <v>291</v>
      </c>
      <c r="J5336" s="51">
        <v>45936</v>
      </c>
      <c r="K5336" s="50" t="s">
        <v>3</v>
      </c>
      <c r="L5336" s="50" t="s">
        <v>80</v>
      </c>
    </row>
    <row r="5337" spans="2:12">
      <c r="B5337" s="50" t="s">
        <v>394</v>
      </c>
      <c r="C5337" s="50" t="s">
        <v>51</v>
      </c>
      <c r="D5337" s="50" t="s">
        <v>27</v>
      </c>
      <c r="E5337" s="50">
        <v>50038842</v>
      </c>
      <c r="F5337" s="50" t="s">
        <v>133</v>
      </c>
      <c r="G5337" s="50">
        <v>1</v>
      </c>
      <c r="H5337" s="50" t="s">
        <v>2</v>
      </c>
      <c r="I5337" s="50" t="s">
        <v>291</v>
      </c>
      <c r="J5337" s="51">
        <v>45936</v>
      </c>
      <c r="K5337" s="59" t="s">
        <v>1</v>
      </c>
      <c r="L5337" s="50" t="s">
        <v>80</v>
      </c>
    </row>
    <row r="5338" spans="2:12">
      <c r="B5338" s="50" t="s">
        <v>473</v>
      </c>
      <c r="C5338" s="50" t="s">
        <v>26</v>
      </c>
      <c r="D5338" s="58" t="s">
        <v>36</v>
      </c>
      <c r="E5338" s="50">
        <v>50003296</v>
      </c>
      <c r="F5338" s="50" t="s">
        <v>157</v>
      </c>
      <c r="G5338" s="58">
        <v>1</v>
      </c>
      <c r="H5338" s="59" t="s">
        <v>2</v>
      </c>
      <c r="I5338" s="59" t="s">
        <v>310</v>
      </c>
      <c r="J5338" s="63">
        <v>45936</v>
      </c>
      <c r="K5338" s="50" t="s">
        <v>3</v>
      </c>
      <c r="L5338" s="50" t="s">
        <v>80</v>
      </c>
    </row>
    <row r="5339" spans="2:12">
      <c r="B5339" s="50" t="s">
        <v>473</v>
      </c>
      <c r="C5339" s="50" t="s">
        <v>26</v>
      </c>
      <c r="D5339" s="58" t="s">
        <v>36</v>
      </c>
      <c r="E5339" s="50">
        <v>50003296</v>
      </c>
      <c r="F5339" s="50" t="s">
        <v>157</v>
      </c>
      <c r="G5339" s="58">
        <v>1</v>
      </c>
      <c r="H5339" s="59" t="s">
        <v>2</v>
      </c>
      <c r="I5339" s="59" t="s">
        <v>310</v>
      </c>
      <c r="J5339" s="63">
        <v>45936</v>
      </c>
      <c r="K5339" s="50" t="s">
        <v>1</v>
      </c>
      <c r="L5339" s="50" t="s">
        <v>80</v>
      </c>
    </row>
    <row r="5340" spans="2:12">
      <c r="B5340" s="50" t="s">
        <v>427</v>
      </c>
      <c r="C5340" s="50" t="s">
        <v>26</v>
      </c>
      <c r="D5340" s="50" t="s">
        <v>27</v>
      </c>
      <c r="E5340" s="50">
        <v>50038549</v>
      </c>
      <c r="F5340" s="50" t="s">
        <v>173</v>
      </c>
      <c r="G5340" s="50">
        <v>1</v>
      </c>
      <c r="H5340" s="50" t="s">
        <v>2</v>
      </c>
      <c r="I5340" s="50" t="s">
        <v>293</v>
      </c>
      <c r="J5340" s="51">
        <v>45936</v>
      </c>
      <c r="K5340" s="50" t="s">
        <v>3</v>
      </c>
      <c r="L5340" s="50" t="s">
        <v>80</v>
      </c>
    </row>
    <row r="5341" spans="2:12">
      <c r="B5341" s="50" t="s">
        <v>427</v>
      </c>
      <c r="C5341" s="50" t="s">
        <v>26</v>
      </c>
      <c r="D5341" s="50" t="s">
        <v>27</v>
      </c>
      <c r="E5341" s="50">
        <v>50038549</v>
      </c>
      <c r="F5341" s="50" t="s">
        <v>173</v>
      </c>
      <c r="G5341" s="50">
        <v>1</v>
      </c>
      <c r="H5341" s="50" t="s">
        <v>2</v>
      </c>
      <c r="I5341" s="50" t="s">
        <v>291</v>
      </c>
      <c r="J5341" s="51">
        <v>45936</v>
      </c>
      <c r="K5341" s="50" t="s">
        <v>1</v>
      </c>
      <c r="L5341" s="50" t="s">
        <v>80</v>
      </c>
    </row>
    <row r="5342" spans="2:12">
      <c r="B5342" s="50" t="s">
        <v>483</v>
      </c>
      <c r="C5342" s="50" t="s">
        <v>62</v>
      </c>
      <c r="D5342" s="50" t="s">
        <v>27</v>
      </c>
      <c r="E5342" s="50">
        <v>50038956</v>
      </c>
      <c r="F5342" s="50" t="s">
        <v>177</v>
      </c>
      <c r="G5342" s="50">
        <v>1</v>
      </c>
      <c r="H5342" s="50" t="s">
        <v>2</v>
      </c>
      <c r="I5342" s="50" t="s">
        <v>293</v>
      </c>
      <c r="J5342" s="51">
        <v>45936</v>
      </c>
      <c r="K5342" s="50" t="s">
        <v>3</v>
      </c>
      <c r="L5342" s="50" t="s">
        <v>80</v>
      </c>
    </row>
    <row r="5343" spans="2:12">
      <c r="B5343" s="50" t="s">
        <v>483</v>
      </c>
      <c r="C5343" s="50" t="s">
        <v>62</v>
      </c>
      <c r="D5343" s="50" t="s">
        <v>27</v>
      </c>
      <c r="E5343" s="50">
        <v>50038956</v>
      </c>
      <c r="F5343" s="50" t="s">
        <v>177</v>
      </c>
      <c r="G5343" s="50">
        <v>1</v>
      </c>
      <c r="H5343" s="50" t="s">
        <v>2</v>
      </c>
      <c r="I5343" s="50" t="s">
        <v>291</v>
      </c>
      <c r="J5343" s="51">
        <v>45936</v>
      </c>
      <c r="K5343" s="50" t="s">
        <v>3</v>
      </c>
      <c r="L5343" s="50" t="s">
        <v>80</v>
      </c>
    </row>
    <row r="5344" spans="2:12">
      <c r="B5344" s="50" t="s">
        <v>394</v>
      </c>
      <c r="C5344" s="50" t="s">
        <v>51</v>
      </c>
      <c r="D5344" s="50" t="s">
        <v>27</v>
      </c>
      <c r="E5344" s="50">
        <v>50037892</v>
      </c>
      <c r="F5344" s="50" t="s">
        <v>178</v>
      </c>
      <c r="G5344" s="50">
        <v>1</v>
      </c>
      <c r="H5344" s="50" t="s">
        <v>2</v>
      </c>
      <c r="I5344" s="50" t="s">
        <v>291</v>
      </c>
      <c r="J5344" s="51">
        <v>45936</v>
      </c>
      <c r="K5344" s="50" t="s">
        <v>3</v>
      </c>
      <c r="L5344" s="50" t="s">
        <v>80</v>
      </c>
    </row>
    <row r="5345" spans="2:12">
      <c r="B5345" s="50" t="s">
        <v>394</v>
      </c>
      <c r="C5345" s="50" t="s">
        <v>51</v>
      </c>
      <c r="D5345" s="50" t="s">
        <v>27</v>
      </c>
      <c r="E5345" s="50">
        <v>50037892</v>
      </c>
      <c r="F5345" s="50" t="s">
        <v>178</v>
      </c>
      <c r="G5345" s="50">
        <v>1</v>
      </c>
      <c r="H5345" s="50" t="s">
        <v>2</v>
      </c>
      <c r="I5345" s="50" t="s">
        <v>291</v>
      </c>
      <c r="J5345" s="51">
        <v>45936</v>
      </c>
      <c r="K5345" s="50" t="s">
        <v>1</v>
      </c>
      <c r="L5345" s="50" t="s">
        <v>80</v>
      </c>
    </row>
    <row r="5346" spans="2:12">
      <c r="B5346" s="50" t="s">
        <v>316</v>
      </c>
      <c r="C5346" s="50" t="s">
        <v>51</v>
      </c>
      <c r="D5346" s="50" t="s">
        <v>27</v>
      </c>
      <c r="E5346" s="50">
        <v>50037902</v>
      </c>
      <c r="F5346" s="50" t="s">
        <v>179</v>
      </c>
      <c r="G5346" s="50">
        <v>1</v>
      </c>
      <c r="H5346" s="50" t="s">
        <v>2</v>
      </c>
      <c r="I5346" s="50" t="s">
        <v>291</v>
      </c>
      <c r="J5346" s="51">
        <v>45936</v>
      </c>
      <c r="K5346" s="50" t="s">
        <v>3</v>
      </c>
      <c r="L5346" s="50" t="s">
        <v>80</v>
      </c>
    </row>
    <row r="5347" spans="2:12">
      <c r="B5347" s="50" t="s">
        <v>345</v>
      </c>
      <c r="C5347" s="50" t="s">
        <v>62</v>
      </c>
      <c r="D5347" s="50" t="s">
        <v>27</v>
      </c>
      <c r="E5347" s="50">
        <v>50038841</v>
      </c>
      <c r="F5347" s="50" t="s">
        <v>180</v>
      </c>
      <c r="G5347" s="50">
        <v>1</v>
      </c>
      <c r="H5347" s="50" t="s">
        <v>2</v>
      </c>
      <c r="I5347" s="50" t="s">
        <v>293</v>
      </c>
      <c r="J5347" s="51">
        <v>45936</v>
      </c>
      <c r="K5347" s="50" t="s">
        <v>1</v>
      </c>
      <c r="L5347" s="50" t="s">
        <v>80</v>
      </c>
    </row>
    <row r="5348" spans="2:12">
      <c r="B5348" s="50" t="s">
        <v>345</v>
      </c>
      <c r="C5348" s="50" t="s">
        <v>62</v>
      </c>
      <c r="D5348" s="50" t="s">
        <v>27</v>
      </c>
      <c r="E5348" s="50">
        <v>50038841</v>
      </c>
      <c r="F5348" s="50" t="s">
        <v>180</v>
      </c>
      <c r="G5348" s="50">
        <v>1</v>
      </c>
      <c r="H5348" s="50" t="s">
        <v>2</v>
      </c>
      <c r="I5348" s="50" t="s">
        <v>293</v>
      </c>
      <c r="J5348" s="51">
        <v>45936</v>
      </c>
      <c r="K5348" s="50" t="s">
        <v>3</v>
      </c>
      <c r="L5348" s="50" t="s">
        <v>80</v>
      </c>
    </row>
    <row r="5349" spans="2:12">
      <c r="B5349" s="50" t="s">
        <v>411</v>
      </c>
      <c r="C5349" s="50" t="s">
        <v>26</v>
      </c>
      <c r="D5349" s="50" t="s">
        <v>27</v>
      </c>
      <c r="E5349" s="50">
        <v>50038841</v>
      </c>
      <c r="F5349" s="50" t="s">
        <v>180</v>
      </c>
      <c r="G5349" s="50">
        <v>1</v>
      </c>
      <c r="H5349" s="50" t="s">
        <v>2</v>
      </c>
      <c r="I5349" s="50" t="s">
        <v>293</v>
      </c>
      <c r="J5349" s="51">
        <v>45936</v>
      </c>
      <c r="K5349" s="50" t="s">
        <v>1</v>
      </c>
      <c r="L5349" s="50" t="s">
        <v>80</v>
      </c>
    </row>
    <row r="5350" spans="2:12">
      <c r="B5350" s="50" t="s">
        <v>411</v>
      </c>
      <c r="C5350" s="50" t="s">
        <v>26</v>
      </c>
      <c r="D5350" s="50" t="s">
        <v>27</v>
      </c>
      <c r="E5350" s="50">
        <v>50038841</v>
      </c>
      <c r="F5350" s="50" t="s">
        <v>180</v>
      </c>
      <c r="G5350" s="50">
        <v>1</v>
      </c>
      <c r="H5350" s="50" t="s">
        <v>2</v>
      </c>
      <c r="I5350" s="50" t="s">
        <v>293</v>
      </c>
      <c r="J5350" s="51">
        <v>45936</v>
      </c>
      <c r="K5350" s="50" t="s">
        <v>3</v>
      </c>
      <c r="L5350" s="50" t="s">
        <v>80</v>
      </c>
    </row>
    <row r="5351" spans="2:12">
      <c r="B5351" s="50" t="s">
        <v>394</v>
      </c>
      <c r="C5351" s="50" t="s">
        <v>26</v>
      </c>
      <c r="D5351" s="50" t="s">
        <v>41</v>
      </c>
      <c r="E5351" s="50">
        <v>50038841</v>
      </c>
      <c r="F5351" s="50" t="s">
        <v>180</v>
      </c>
      <c r="G5351" s="50">
        <v>1</v>
      </c>
      <c r="H5351" s="50" t="s">
        <v>2</v>
      </c>
      <c r="I5351" s="50" t="s">
        <v>287</v>
      </c>
      <c r="J5351" s="51">
        <v>45936</v>
      </c>
      <c r="K5351" s="50" t="s">
        <v>1</v>
      </c>
      <c r="L5351" s="50" t="s">
        <v>80</v>
      </c>
    </row>
    <row r="5352" spans="2:12">
      <c r="B5352" s="50" t="s">
        <v>394</v>
      </c>
      <c r="C5352" s="50" t="s">
        <v>26</v>
      </c>
      <c r="D5352" s="50" t="s">
        <v>41</v>
      </c>
      <c r="E5352" s="50">
        <v>50038841</v>
      </c>
      <c r="F5352" s="50" t="s">
        <v>180</v>
      </c>
      <c r="G5352" s="50">
        <v>1</v>
      </c>
      <c r="H5352" s="50" t="s">
        <v>2</v>
      </c>
      <c r="I5352" s="50" t="s">
        <v>287</v>
      </c>
      <c r="J5352" s="51">
        <v>45936</v>
      </c>
      <c r="K5352" s="50" t="s">
        <v>3</v>
      </c>
      <c r="L5352" s="50" t="s">
        <v>80</v>
      </c>
    </row>
    <row r="5353" spans="2:12">
      <c r="B5353" s="50" t="s">
        <v>411</v>
      </c>
      <c r="C5353" s="50" t="s">
        <v>26</v>
      </c>
      <c r="D5353" s="50" t="s">
        <v>27</v>
      </c>
      <c r="E5353" s="50">
        <v>50038841</v>
      </c>
      <c r="F5353" s="50" t="s">
        <v>180</v>
      </c>
      <c r="G5353" s="50">
        <v>1</v>
      </c>
      <c r="H5353" s="50" t="s">
        <v>2</v>
      </c>
      <c r="I5353" s="50" t="s">
        <v>291</v>
      </c>
      <c r="J5353" s="51">
        <v>45936</v>
      </c>
      <c r="K5353" s="50" t="s">
        <v>1</v>
      </c>
      <c r="L5353" s="50" t="s">
        <v>80</v>
      </c>
    </row>
    <row r="5354" spans="2:12">
      <c r="B5354" s="50" t="s">
        <v>411</v>
      </c>
      <c r="C5354" s="50" t="s">
        <v>26</v>
      </c>
      <c r="D5354" s="50" t="s">
        <v>27</v>
      </c>
      <c r="E5354" s="50">
        <v>50038841</v>
      </c>
      <c r="F5354" s="50" t="s">
        <v>180</v>
      </c>
      <c r="G5354" s="50">
        <v>1</v>
      </c>
      <c r="H5354" s="50" t="s">
        <v>2</v>
      </c>
      <c r="I5354" s="50" t="s">
        <v>291</v>
      </c>
      <c r="J5354" s="51">
        <v>45936</v>
      </c>
      <c r="K5354" s="50" t="s">
        <v>3</v>
      </c>
      <c r="L5354" s="50" t="s">
        <v>80</v>
      </c>
    </row>
    <row r="5355" spans="2:12">
      <c r="B5355" s="50" t="s">
        <v>394</v>
      </c>
      <c r="C5355" s="50" t="s">
        <v>26</v>
      </c>
      <c r="D5355" s="50" t="s">
        <v>41</v>
      </c>
      <c r="E5355" s="50">
        <v>50038841</v>
      </c>
      <c r="F5355" s="50" t="s">
        <v>180</v>
      </c>
      <c r="G5355" s="50">
        <v>1</v>
      </c>
      <c r="H5355" s="50" t="s">
        <v>2</v>
      </c>
      <c r="I5355" s="50" t="s">
        <v>291</v>
      </c>
      <c r="J5355" s="51">
        <v>45936</v>
      </c>
      <c r="K5355" s="50" t="s">
        <v>1</v>
      </c>
      <c r="L5355" s="50" t="s">
        <v>80</v>
      </c>
    </row>
    <row r="5356" spans="2:12">
      <c r="B5356" s="50" t="s">
        <v>394</v>
      </c>
      <c r="C5356" s="50" t="s">
        <v>26</v>
      </c>
      <c r="D5356" s="50" t="s">
        <v>41</v>
      </c>
      <c r="E5356" s="50">
        <v>50038841</v>
      </c>
      <c r="F5356" s="50" t="s">
        <v>180</v>
      </c>
      <c r="G5356" s="50">
        <v>1</v>
      </c>
      <c r="H5356" s="50" t="s">
        <v>2</v>
      </c>
      <c r="I5356" s="50" t="s">
        <v>291</v>
      </c>
      <c r="J5356" s="51">
        <v>45936</v>
      </c>
      <c r="K5356" s="50" t="s">
        <v>3</v>
      </c>
      <c r="L5356" s="50" t="s">
        <v>80</v>
      </c>
    </row>
    <row r="5357" spans="2:12">
      <c r="B5357" s="50" t="s">
        <v>316</v>
      </c>
      <c r="C5357" s="50" t="s">
        <v>56</v>
      </c>
      <c r="D5357" s="50" t="s">
        <v>27</v>
      </c>
      <c r="E5357" s="50">
        <v>50038517</v>
      </c>
      <c r="F5357" s="50" t="s">
        <v>181</v>
      </c>
      <c r="G5357" s="50">
        <v>1</v>
      </c>
      <c r="H5357" s="50" t="s">
        <v>2</v>
      </c>
      <c r="I5357" s="50" t="s">
        <v>293</v>
      </c>
      <c r="J5357" s="51">
        <v>45936</v>
      </c>
      <c r="K5357" s="50" t="s">
        <v>3</v>
      </c>
      <c r="L5357" s="50" t="s">
        <v>80</v>
      </c>
    </row>
    <row r="5358" spans="2:12">
      <c r="B5358" s="50" t="s">
        <v>316</v>
      </c>
      <c r="C5358" s="50" t="s">
        <v>56</v>
      </c>
      <c r="D5358" s="50" t="s">
        <v>27</v>
      </c>
      <c r="E5358" s="50">
        <v>50038517</v>
      </c>
      <c r="F5358" s="50" t="s">
        <v>181</v>
      </c>
      <c r="G5358" s="50">
        <v>1</v>
      </c>
      <c r="H5358" s="50" t="s">
        <v>2</v>
      </c>
      <c r="I5358" s="50" t="s">
        <v>291</v>
      </c>
      <c r="J5358" s="51">
        <v>45936</v>
      </c>
      <c r="K5358" s="50" t="s">
        <v>1</v>
      </c>
      <c r="L5358" s="50" t="s">
        <v>80</v>
      </c>
    </row>
    <row r="5359" spans="2:12">
      <c r="B5359" s="50" t="s">
        <v>483</v>
      </c>
      <c r="C5359" s="50" t="s">
        <v>62</v>
      </c>
      <c r="D5359" s="50" t="s">
        <v>27</v>
      </c>
      <c r="E5359" s="50">
        <v>50039065</v>
      </c>
      <c r="F5359" s="50" t="s">
        <v>186</v>
      </c>
      <c r="G5359" s="50">
        <v>1</v>
      </c>
      <c r="H5359" s="50" t="s">
        <v>2</v>
      </c>
      <c r="I5359" s="50" t="s">
        <v>293</v>
      </c>
      <c r="J5359" s="51">
        <v>45936</v>
      </c>
      <c r="K5359" s="50" t="s">
        <v>3</v>
      </c>
      <c r="L5359" s="50" t="s">
        <v>80</v>
      </c>
    </row>
    <row r="5360" spans="2:12">
      <c r="B5360" s="50" t="s">
        <v>483</v>
      </c>
      <c r="C5360" s="50" t="s">
        <v>62</v>
      </c>
      <c r="D5360" s="50" t="s">
        <v>27</v>
      </c>
      <c r="E5360" s="50">
        <v>50039065</v>
      </c>
      <c r="F5360" s="50" t="s">
        <v>186</v>
      </c>
      <c r="G5360" s="50">
        <v>1</v>
      </c>
      <c r="H5360" s="50" t="s">
        <v>2</v>
      </c>
      <c r="I5360" s="50" t="s">
        <v>293</v>
      </c>
      <c r="J5360" s="51">
        <v>45936</v>
      </c>
      <c r="K5360" s="50" t="s">
        <v>1</v>
      </c>
      <c r="L5360" s="50" t="s">
        <v>80</v>
      </c>
    </row>
    <row r="5361" spans="2:12">
      <c r="B5361" s="50" t="s">
        <v>458</v>
      </c>
      <c r="C5361" s="50" t="s">
        <v>26</v>
      </c>
      <c r="D5361" s="50" t="s">
        <v>27</v>
      </c>
      <c r="E5361" s="50">
        <v>50039065</v>
      </c>
      <c r="F5361" s="50" t="s">
        <v>186</v>
      </c>
      <c r="G5361" s="50">
        <v>1</v>
      </c>
      <c r="H5361" s="50" t="s">
        <v>2</v>
      </c>
      <c r="I5361" s="50" t="s">
        <v>291</v>
      </c>
      <c r="J5361" s="51">
        <v>45936</v>
      </c>
      <c r="K5361" s="59" t="s">
        <v>3</v>
      </c>
      <c r="L5361" s="50" t="s">
        <v>80</v>
      </c>
    </row>
    <row r="5362" spans="2:12">
      <c r="B5362" s="50" t="s">
        <v>458</v>
      </c>
      <c r="C5362" s="50" t="s">
        <v>26</v>
      </c>
      <c r="D5362" s="50" t="s">
        <v>27</v>
      </c>
      <c r="E5362" s="50">
        <v>50039065</v>
      </c>
      <c r="F5362" s="50" t="s">
        <v>186</v>
      </c>
      <c r="G5362" s="50">
        <v>1</v>
      </c>
      <c r="H5362" s="50" t="s">
        <v>2</v>
      </c>
      <c r="I5362" s="50" t="s">
        <v>291</v>
      </c>
      <c r="J5362" s="51">
        <v>45936</v>
      </c>
      <c r="K5362" s="59" t="s">
        <v>1</v>
      </c>
      <c r="L5362" s="50" t="s">
        <v>80</v>
      </c>
    </row>
    <row r="5363" spans="2:12">
      <c r="B5363" s="50" t="s">
        <v>473</v>
      </c>
      <c r="C5363" s="50" t="s">
        <v>26</v>
      </c>
      <c r="D5363" s="58" t="s">
        <v>36</v>
      </c>
      <c r="E5363" s="50">
        <v>50039065</v>
      </c>
      <c r="F5363" s="50" t="s">
        <v>186</v>
      </c>
      <c r="G5363" s="58">
        <v>1</v>
      </c>
      <c r="H5363" s="59" t="s">
        <v>2</v>
      </c>
      <c r="I5363" s="59" t="s">
        <v>310</v>
      </c>
      <c r="J5363" s="63">
        <v>45936</v>
      </c>
      <c r="K5363" s="50" t="s">
        <v>3</v>
      </c>
      <c r="L5363" s="50" t="s">
        <v>80</v>
      </c>
    </row>
    <row r="5364" spans="2:12">
      <c r="B5364" s="50" t="s">
        <v>473</v>
      </c>
      <c r="C5364" s="50" t="s">
        <v>26</v>
      </c>
      <c r="D5364" s="58" t="s">
        <v>36</v>
      </c>
      <c r="E5364" s="50">
        <v>50039065</v>
      </c>
      <c r="F5364" s="50" t="s">
        <v>186</v>
      </c>
      <c r="G5364" s="58">
        <v>1</v>
      </c>
      <c r="H5364" s="59" t="s">
        <v>2</v>
      </c>
      <c r="I5364" s="59" t="s">
        <v>310</v>
      </c>
      <c r="J5364" s="63">
        <v>45936</v>
      </c>
      <c r="K5364" s="50" t="s">
        <v>1</v>
      </c>
      <c r="L5364" s="50" t="s">
        <v>80</v>
      </c>
    </row>
    <row r="5365" spans="2:12">
      <c r="B5365" s="50" t="s">
        <v>280</v>
      </c>
      <c r="C5365" s="50" t="s">
        <v>62</v>
      </c>
      <c r="D5365" s="50" t="s">
        <v>27</v>
      </c>
      <c r="E5365" s="50">
        <v>50026357</v>
      </c>
      <c r="F5365" s="50" t="s">
        <v>192</v>
      </c>
      <c r="G5365" s="50">
        <v>1</v>
      </c>
      <c r="H5365" s="50" t="s">
        <v>2</v>
      </c>
      <c r="I5365" s="50" t="s">
        <v>293</v>
      </c>
      <c r="J5365" s="51">
        <v>45936</v>
      </c>
      <c r="K5365" s="50" t="s">
        <v>3</v>
      </c>
      <c r="L5365" s="50" t="s">
        <v>80</v>
      </c>
    </row>
    <row r="5366" spans="2:12">
      <c r="B5366" s="50" t="s">
        <v>280</v>
      </c>
      <c r="C5366" s="50" t="s">
        <v>62</v>
      </c>
      <c r="D5366" s="50" t="s">
        <v>27</v>
      </c>
      <c r="E5366" s="50">
        <v>50026357</v>
      </c>
      <c r="F5366" s="50" t="s">
        <v>192</v>
      </c>
      <c r="G5366" s="50">
        <v>1</v>
      </c>
      <c r="H5366" s="50" t="s">
        <v>2</v>
      </c>
      <c r="I5366" s="50" t="s">
        <v>293</v>
      </c>
      <c r="J5366" s="51">
        <v>45936</v>
      </c>
      <c r="K5366" s="50" t="s">
        <v>1</v>
      </c>
      <c r="L5366" s="50" t="s">
        <v>80</v>
      </c>
    </row>
    <row r="5367" spans="2:12">
      <c r="B5367" s="50" t="s">
        <v>280</v>
      </c>
      <c r="C5367" s="50" t="s">
        <v>62</v>
      </c>
      <c r="D5367" s="50" t="s">
        <v>27</v>
      </c>
      <c r="E5367" s="50">
        <v>50026357</v>
      </c>
      <c r="F5367" s="50" t="s">
        <v>192</v>
      </c>
      <c r="G5367" s="50">
        <v>1</v>
      </c>
      <c r="H5367" s="50" t="s">
        <v>2</v>
      </c>
      <c r="I5367" s="50" t="s">
        <v>291</v>
      </c>
      <c r="J5367" s="51">
        <v>45936</v>
      </c>
      <c r="K5367" s="50" t="s">
        <v>3</v>
      </c>
      <c r="L5367" s="50" t="s">
        <v>80</v>
      </c>
    </row>
    <row r="5368" spans="2:12">
      <c r="B5368" s="50" t="s">
        <v>280</v>
      </c>
      <c r="C5368" s="50" t="s">
        <v>62</v>
      </c>
      <c r="D5368" s="50" t="s">
        <v>27</v>
      </c>
      <c r="E5368" s="50">
        <v>50026357</v>
      </c>
      <c r="F5368" s="50" t="s">
        <v>192</v>
      </c>
      <c r="G5368" s="50">
        <v>1</v>
      </c>
      <c r="H5368" s="50" t="s">
        <v>2</v>
      </c>
      <c r="I5368" s="50" t="s">
        <v>291</v>
      </c>
      <c r="J5368" s="51">
        <v>45936</v>
      </c>
      <c r="K5368" s="50" t="s">
        <v>1</v>
      </c>
      <c r="L5368" s="50" t="s">
        <v>80</v>
      </c>
    </row>
    <row r="5369" spans="2:12">
      <c r="B5369" s="50" t="s">
        <v>466</v>
      </c>
      <c r="C5369" s="50" t="s">
        <v>62</v>
      </c>
      <c r="D5369" s="50" t="s">
        <v>27</v>
      </c>
      <c r="E5369" s="50">
        <v>50041195</v>
      </c>
      <c r="F5369" s="50" t="s">
        <v>206</v>
      </c>
      <c r="G5369" s="50">
        <v>1</v>
      </c>
      <c r="H5369" s="50" t="s">
        <v>2</v>
      </c>
      <c r="I5369" s="50" t="s">
        <v>293</v>
      </c>
      <c r="J5369" s="51">
        <v>45936</v>
      </c>
      <c r="K5369" s="50" t="s">
        <v>3</v>
      </c>
      <c r="L5369" s="50" t="s">
        <v>80</v>
      </c>
    </row>
    <row r="5370" spans="2:12">
      <c r="B5370" s="50" t="s">
        <v>446</v>
      </c>
      <c r="C5370" s="50" t="s">
        <v>56</v>
      </c>
      <c r="D5370" s="50" t="s">
        <v>27</v>
      </c>
      <c r="E5370" s="50">
        <v>50041195</v>
      </c>
      <c r="F5370" s="50" t="s">
        <v>206</v>
      </c>
      <c r="G5370" s="50">
        <v>1</v>
      </c>
      <c r="H5370" s="50" t="s">
        <v>2</v>
      </c>
      <c r="I5370" s="50" t="s">
        <v>287</v>
      </c>
      <c r="J5370" s="51">
        <v>45936</v>
      </c>
      <c r="K5370" s="50" t="s">
        <v>3</v>
      </c>
      <c r="L5370" s="50" t="s">
        <v>80</v>
      </c>
    </row>
    <row r="5371" spans="2:12">
      <c r="B5371" s="50" t="s">
        <v>446</v>
      </c>
      <c r="C5371" s="50" t="s">
        <v>56</v>
      </c>
      <c r="D5371" s="50" t="s">
        <v>27</v>
      </c>
      <c r="E5371" s="50">
        <v>50041195</v>
      </c>
      <c r="F5371" s="50" t="s">
        <v>206</v>
      </c>
      <c r="G5371" s="50">
        <v>1</v>
      </c>
      <c r="H5371" s="50" t="s">
        <v>2</v>
      </c>
      <c r="I5371" s="50" t="s">
        <v>291</v>
      </c>
      <c r="J5371" s="51">
        <v>45936</v>
      </c>
      <c r="K5371" s="50" t="s">
        <v>3</v>
      </c>
      <c r="L5371" s="50" t="s">
        <v>80</v>
      </c>
    </row>
    <row r="5372" spans="2:12">
      <c r="B5372" s="50" t="s">
        <v>322</v>
      </c>
      <c r="C5372" s="50">
        <v>0</v>
      </c>
      <c r="D5372" s="50" t="s">
        <v>321</v>
      </c>
      <c r="E5372" s="50">
        <v>50043917</v>
      </c>
      <c r="F5372" s="50" t="s">
        <v>262</v>
      </c>
      <c r="G5372" s="50">
        <v>1</v>
      </c>
      <c r="H5372" s="50" t="s">
        <v>2</v>
      </c>
      <c r="I5372" s="50" t="s">
        <v>287</v>
      </c>
      <c r="J5372" s="51">
        <v>45936</v>
      </c>
      <c r="K5372" s="50" t="s">
        <v>1</v>
      </c>
      <c r="L5372" s="50" t="s">
        <v>80</v>
      </c>
    </row>
    <row r="5373" spans="2:12">
      <c r="B5373" s="50" t="s">
        <v>411</v>
      </c>
      <c r="C5373" s="50" t="s">
        <v>26</v>
      </c>
      <c r="D5373" s="50" t="s">
        <v>27</v>
      </c>
      <c r="E5373" s="50">
        <v>50012903</v>
      </c>
      <c r="F5373" s="50" t="s">
        <v>308</v>
      </c>
      <c r="G5373" s="50">
        <v>1</v>
      </c>
      <c r="H5373" s="50" t="s">
        <v>2</v>
      </c>
      <c r="I5373" s="50" t="s">
        <v>291</v>
      </c>
      <c r="J5373" s="51">
        <v>45936</v>
      </c>
      <c r="K5373" s="50" t="s">
        <v>3</v>
      </c>
      <c r="L5373" s="50" t="s">
        <v>80</v>
      </c>
    </row>
    <row r="5374" spans="2:12">
      <c r="B5374" s="50" t="s">
        <v>411</v>
      </c>
      <c r="C5374" s="50" t="s">
        <v>26</v>
      </c>
      <c r="D5374" s="50" t="s">
        <v>27</v>
      </c>
      <c r="E5374" s="50">
        <v>50012903</v>
      </c>
      <c r="F5374" s="50" t="s">
        <v>308</v>
      </c>
      <c r="G5374" s="50">
        <v>1</v>
      </c>
      <c r="H5374" s="50" t="s">
        <v>2</v>
      </c>
      <c r="I5374" s="50" t="s">
        <v>287</v>
      </c>
      <c r="J5374" s="51">
        <v>45936</v>
      </c>
      <c r="K5374" s="50" t="s">
        <v>1</v>
      </c>
      <c r="L5374" s="50" t="s">
        <v>80</v>
      </c>
    </row>
    <row r="5375" spans="2:12">
      <c r="B5375" s="50" t="s">
        <v>450</v>
      </c>
      <c r="C5375" s="50" t="s">
        <v>61</v>
      </c>
      <c r="D5375" s="50" t="s">
        <v>39</v>
      </c>
      <c r="E5375" s="50">
        <v>50044453</v>
      </c>
      <c r="F5375" s="50" t="s">
        <v>320</v>
      </c>
      <c r="G5375" s="50">
        <v>1</v>
      </c>
      <c r="H5375" s="50" t="s">
        <v>2</v>
      </c>
      <c r="I5375" s="50" t="s">
        <v>293</v>
      </c>
      <c r="J5375" s="51">
        <v>45936</v>
      </c>
      <c r="K5375" s="50" t="s">
        <v>3</v>
      </c>
      <c r="L5375" s="50" t="s">
        <v>80</v>
      </c>
    </row>
    <row r="5376" spans="2:12">
      <c r="B5376" s="50" t="s">
        <v>450</v>
      </c>
      <c r="C5376" s="50" t="s">
        <v>61</v>
      </c>
      <c r="D5376" s="50" t="s">
        <v>39</v>
      </c>
      <c r="E5376" s="50">
        <v>50044453</v>
      </c>
      <c r="F5376" s="50" t="s">
        <v>320</v>
      </c>
      <c r="G5376" s="50">
        <v>1</v>
      </c>
      <c r="H5376" s="50" t="s">
        <v>2</v>
      </c>
      <c r="I5376" s="50" t="s">
        <v>291</v>
      </c>
      <c r="J5376" s="51">
        <v>45936</v>
      </c>
      <c r="K5376" s="50" t="s">
        <v>1</v>
      </c>
      <c r="L5376" s="50" t="s">
        <v>80</v>
      </c>
    </row>
    <row r="5377" spans="2:12">
      <c r="B5377" s="50" t="s">
        <v>445</v>
      </c>
      <c r="C5377" s="50" t="s">
        <v>51</v>
      </c>
      <c r="D5377" s="50" t="s">
        <v>41</v>
      </c>
      <c r="E5377" s="50">
        <v>50037933</v>
      </c>
      <c r="F5377" s="50" t="s">
        <v>250</v>
      </c>
      <c r="G5377" s="50">
        <v>1</v>
      </c>
      <c r="H5377" s="50" t="s">
        <v>2</v>
      </c>
      <c r="I5377" s="50" t="s">
        <v>287</v>
      </c>
      <c r="J5377" s="51">
        <v>45936</v>
      </c>
      <c r="K5377" s="59" t="s">
        <v>3</v>
      </c>
      <c r="L5377" s="50" t="s">
        <v>80</v>
      </c>
    </row>
    <row r="5378" spans="2:12">
      <c r="B5378" s="50" t="s">
        <v>445</v>
      </c>
      <c r="C5378" s="50" t="s">
        <v>51</v>
      </c>
      <c r="D5378" s="50" t="s">
        <v>41</v>
      </c>
      <c r="E5378" s="50">
        <v>50037933</v>
      </c>
      <c r="F5378" s="50" t="s">
        <v>250</v>
      </c>
      <c r="G5378" s="50">
        <v>1</v>
      </c>
      <c r="H5378" s="50" t="s">
        <v>2</v>
      </c>
      <c r="I5378" s="50" t="s">
        <v>291</v>
      </c>
      <c r="J5378" s="51">
        <v>45936</v>
      </c>
      <c r="K5378" s="59" t="s">
        <v>1</v>
      </c>
      <c r="L5378" s="50" t="s">
        <v>80</v>
      </c>
    </row>
    <row r="5379" spans="2:12">
      <c r="B5379" s="50" t="s">
        <v>394</v>
      </c>
      <c r="C5379" s="50" t="s">
        <v>26</v>
      </c>
      <c r="D5379" s="58" t="s">
        <v>41</v>
      </c>
      <c r="E5379" s="50">
        <v>50039236</v>
      </c>
      <c r="F5379" s="50" t="s">
        <v>154</v>
      </c>
      <c r="G5379" s="58">
        <v>1</v>
      </c>
      <c r="H5379" s="59" t="s">
        <v>2</v>
      </c>
      <c r="I5379" s="59" t="s">
        <v>310</v>
      </c>
      <c r="J5379" s="63">
        <v>45935</v>
      </c>
      <c r="K5379" s="59" t="s">
        <v>3</v>
      </c>
      <c r="L5379" s="50" t="s">
        <v>80</v>
      </c>
    </row>
    <row r="5380" spans="2:12">
      <c r="B5380" s="50" t="s">
        <v>394</v>
      </c>
      <c r="C5380" s="50" t="s">
        <v>26</v>
      </c>
      <c r="D5380" s="58" t="s">
        <v>41</v>
      </c>
      <c r="E5380" s="50">
        <v>50039236</v>
      </c>
      <c r="F5380" s="50" t="s">
        <v>154</v>
      </c>
      <c r="G5380" s="58">
        <v>1</v>
      </c>
      <c r="H5380" s="59" t="s">
        <v>2</v>
      </c>
      <c r="I5380" s="59" t="s">
        <v>310</v>
      </c>
      <c r="J5380" s="63">
        <v>45935</v>
      </c>
      <c r="K5380" s="59" t="s">
        <v>1</v>
      </c>
      <c r="L5380" s="50" t="s">
        <v>80</v>
      </c>
    </row>
    <row r="5381" spans="2:12">
      <c r="B5381" s="50" t="s">
        <v>394</v>
      </c>
      <c r="C5381" s="50" t="s">
        <v>26</v>
      </c>
      <c r="D5381" s="58" t="s">
        <v>41</v>
      </c>
      <c r="E5381" s="50">
        <v>50037892</v>
      </c>
      <c r="F5381" s="50" t="s">
        <v>178</v>
      </c>
      <c r="G5381" s="58">
        <v>1</v>
      </c>
      <c r="H5381" s="59" t="s">
        <v>2</v>
      </c>
      <c r="I5381" s="59" t="s">
        <v>310</v>
      </c>
      <c r="J5381" s="63">
        <v>45935</v>
      </c>
      <c r="K5381" s="59" t="s">
        <v>3</v>
      </c>
      <c r="L5381" s="50" t="s">
        <v>80</v>
      </c>
    </row>
    <row r="5382" spans="2:12">
      <c r="B5382" s="50" t="s">
        <v>394</v>
      </c>
      <c r="C5382" s="50" t="s">
        <v>26</v>
      </c>
      <c r="D5382" s="58" t="s">
        <v>41</v>
      </c>
      <c r="E5382" s="50">
        <v>50037892</v>
      </c>
      <c r="F5382" s="50" t="s">
        <v>178</v>
      </c>
      <c r="G5382" s="58">
        <v>1</v>
      </c>
      <c r="H5382" s="59" t="s">
        <v>2</v>
      </c>
      <c r="I5382" s="59" t="s">
        <v>310</v>
      </c>
      <c r="J5382" s="63">
        <v>45935</v>
      </c>
      <c r="K5382" s="59" t="s">
        <v>1</v>
      </c>
      <c r="L5382" s="50" t="s">
        <v>80</v>
      </c>
    </row>
    <row r="5383" spans="2:12">
      <c r="B5383" s="50" t="s">
        <v>453</v>
      </c>
      <c r="C5383" s="50" t="s">
        <v>51</v>
      </c>
      <c r="D5383" s="58" t="s">
        <v>41</v>
      </c>
      <c r="E5383" s="50">
        <v>50038517</v>
      </c>
      <c r="F5383" s="50" t="s">
        <v>181</v>
      </c>
      <c r="G5383" s="58">
        <v>1</v>
      </c>
      <c r="H5383" s="59" t="s">
        <v>2</v>
      </c>
      <c r="I5383" s="59" t="s">
        <v>310</v>
      </c>
      <c r="J5383" s="63">
        <v>45935</v>
      </c>
      <c r="K5383" s="59" t="s">
        <v>3</v>
      </c>
      <c r="L5383" s="50" t="s">
        <v>80</v>
      </c>
    </row>
    <row r="5384" spans="2:12">
      <c r="B5384" s="50" t="s">
        <v>453</v>
      </c>
      <c r="C5384" s="50" t="s">
        <v>51</v>
      </c>
      <c r="D5384" s="58" t="s">
        <v>41</v>
      </c>
      <c r="E5384" s="50">
        <v>50038517</v>
      </c>
      <c r="F5384" s="50" t="s">
        <v>181</v>
      </c>
      <c r="G5384" s="58">
        <v>1</v>
      </c>
      <c r="H5384" s="59" t="s">
        <v>2</v>
      </c>
      <c r="I5384" s="59" t="s">
        <v>310</v>
      </c>
      <c r="J5384" s="63">
        <v>45935</v>
      </c>
      <c r="K5384" s="59" t="s">
        <v>1</v>
      </c>
      <c r="L5384" s="50" t="s">
        <v>80</v>
      </c>
    </row>
    <row r="5385" spans="2:12">
      <c r="B5385" s="50" t="s">
        <v>481</v>
      </c>
      <c r="C5385" s="50" t="s">
        <v>56</v>
      </c>
      <c r="D5385" s="58" t="s">
        <v>27</v>
      </c>
      <c r="E5385" s="50">
        <v>50041195</v>
      </c>
      <c r="F5385" s="50" t="s">
        <v>206</v>
      </c>
      <c r="G5385" s="58">
        <v>1</v>
      </c>
      <c r="H5385" s="59" t="s">
        <v>2</v>
      </c>
      <c r="I5385" s="59" t="s">
        <v>310</v>
      </c>
      <c r="J5385" s="63">
        <v>45935</v>
      </c>
      <c r="K5385" s="50" t="s">
        <v>1</v>
      </c>
      <c r="L5385" s="50" t="s">
        <v>80</v>
      </c>
    </row>
    <row r="5386" spans="2:12">
      <c r="B5386" s="50" t="s">
        <v>481</v>
      </c>
      <c r="C5386" s="50" t="s">
        <v>56</v>
      </c>
      <c r="D5386" s="58" t="s">
        <v>27</v>
      </c>
      <c r="E5386" s="50">
        <v>50041195</v>
      </c>
      <c r="F5386" s="50" t="s">
        <v>206</v>
      </c>
      <c r="G5386" s="58">
        <v>1</v>
      </c>
      <c r="H5386" s="59" t="s">
        <v>2</v>
      </c>
      <c r="I5386" s="59" t="s">
        <v>310</v>
      </c>
      <c r="J5386" s="63">
        <v>45935</v>
      </c>
      <c r="K5386" s="50" t="s">
        <v>1</v>
      </c>
      <c r="L5386" s="50" t="s">
        <v>80</v>
      </c>
    </row>
    <row r="5387" spans="2:12">
      <c r="B5387" s="50" t="s">
        <v>397</v>
      </c>
      <c r="C5387" s="50" t="s">
        <v>26</v>
      </c>
      <c r="D5387" s="50" t="s">
        <v>41</v>
      </c>
      <c r="E5387" s="50">
        <v>50037922</v>
      </c>
      <c r="F5387" s="50" t="s">
        <v>117</v>
      </c>
      <c r="G5387" s="50">
        <v>1</v>
      </c>
      <c r="H5387" s="50" t="s">
        <v>2</v>
      </c>
      <c r="I5387" s="50" t="s">
        <v>289</v>
      </c>
      <c r="J5387" s="51">
        <v>45934</v>
      </c>
      <c r="K5387" s="50" t="s">
        <v>3</v>
      </c>
      <c r="L5387" s="50" t="s">
        <v>80</v>
      </c>
    </row>
    <row r="5388" spans="2:12">
      <c r="B5388" s="50" t="s">
        <v>397</v>
      </c>
      <c r="C5388" s="50" t="s">
        <v>26</v>
      </c>
      <c r="D5388" s="50" t="s">
        <v>41</v>
      </c>
      <c r="E5388" s="50">
        <v>50037922</v>
      </c>
      <c r="F5388" s="50" t="s">
        <v>117</v>
      </c>
      <c r="G5388" s="50">
        <v>1</v>
      </c>
      <c r="H5388" s="50" t="s">
        <v>2</v>
      </c>
      <c r="I5388" s="50" t="s">
        <v>289</v>
      </c>
      <c r="J5388" s="51">
        <v>45934</v>
      </c>
      <c r="K5388" s="59" t="s">
        <v>1</v>
      </c>
      <c r="L5388" s="50" t="s">
        <v>80</v>
      </c>
    </row>
    <row r="5389" spans="2:12">
      <c r="B5389" s="50" t="s">
        <v>467</v>
      </c>
      <c r="C5389" s="50" t="s">
        <v>51</v>
      </c>
      <c r="D5389" s="50" t="s">
        <v>39</v>
      </c>
      <c r="E5389" s="50">
        <v>50037905</v>
      </c>
      <c r="F5389" s="50" t="s">
        <v>150</v>
      </c>
      <c r="G5389" s="50">
        <v>1</v>
      </c>
      <c r="H5389" s="50" t="s">
        <v>2</v>
      </c>
      <c r="I5389" s="50" t="s">
        <v>289</v>
      </c>
      <c r="J5389" s="51">
        <v>45934</v>
      </c>
      <c r="K5389" s="59" t="s">
        <v>86</v>
      </c>
      <c r="L5389" s="50" t="s">
        <v>80</v>
      </c>
    </row>
    <row r="5390" spans="2:12">
      <c r="B5390" s="50" t="s">
        <v>473</v>
      </c>
      <c r="C5390" s="58" t="s">
        <v>26</v>
      </c>
      <c r="D5390" s="58" t="s">
        <v>36</v>
      </c>
      <c r="E5390" s="50">
        <v>50044522</v>
      </c>
      <c r="F5390" s="50" t="s">
        <v>326</v>
      </c>
      <c r="G5390" s="58">
        <v>1</v>
      </c>
      <c r="H5390" s="59" t="s">
        <v>2</v>
      </c>
      <c r="I5390" s="59" t="s">
        <v>313</v>
      </c>
      <c r="J5390" s="60">
        <v>45934</v>
      </c>
      <c r="K5390" s="50" t="s">
        <v>3</v>
      </c>
      <c r="L5390" s="50" t="s">
        <v>80</v>
      </c>
    </row>
    <row r="5391" spans="2:12">
      <c r="B5391" s="50" t="s">
        <v>473</v>
      </c>
      <c r="C5391" s="58" t="s">
        <v>26</v>
      </c>
      <c r="D5391" s="58" t="s">
        <v>36</v>
      </c>
      <c r="E5391" s="50">
        <v>50044522</v>
      </c>
      <c r="F5391" s="50" t="s">
        <v>326</v>
      </c>
      <c r="G5391" s="58">
        <v>1</v>
      </c>
      <c r="H5391" s="59" t="s">
        <v>2</v>
      </c>
      <c r="I5391" s="59" t="s">
        <v>313</v>
      </c>
      <c r="J5391" s="60">
        <v>45934</v>
      </c>
      <c r="K5391" s="50" t="s">
        <v>1</v>
      </c>
      <c r="L5391" s="50" t="s">
        <v>80</v>
      </c>
    </row>
    <row r="5392" spans="2:12">
      <c r="B5392" s="50" t="s">
        <v>273</v>
      </c>
      <c r="C5392" s="50" t="s">
        <v>274</v>
      </c>
      <c r="D5392" s="50" t="s">
        <v>27</v>
      </c>
      <c r="E5392" s="50">
        <v>50043471</v>
      </c>
      <c r="F5392" s="50" t="s">
        <v>257</v>
      </c>
      <c r="G5392" s="50">
        <v>1</v>
      </c>
      <c r="H5392" s="50" t="s">
        <v>2</v>
      </c>
      <c r="I5392" s="50" t="s">
        <v>289</v>
      </c>
      <c r="J5392" s="51">
        <v>45934</v>
      </c>
      <c r="K5392" s="50" t="s">
        <v>1</v>
      </c>
      <c r="L5392" s="50" t="s">
        <v>80</v>
      </c>
    </row>
    <row r="5393" spans="2:12">
      <c r="B5393" s="50" t="s">
        <v>394</v>
      </c>
      <c r="C5393" s="50" t="s">
        <v>26</v>
      </c>
      <c r="D5393" s="50" t="s">
        <v>41</v>
      </c>
      <c r="E5393" s="50">
        <v>50037902</v>
      </c>
      <c r="F5393" s="50" t="s">
        <v>179</v>
      </c>
      <c r="G5393" s="50">
        <v>1</v>
      </c>
      <c r="H5393" s="50" t="s">
        <v>2</v>
      </c>
      <c r="I5393" s="50" t="s">
        <v>289</v>
      </c>
      <c r="J5393" s="51">
        <v>45934</v>
      </c>
      <c r="K5393" s="50" t="s">
        <v>1</v>
      </c>
      <c r="L5393" s="50" t="s">
        <v>80</v>
      </c>
    </row>
    <row r="5394" spans="2:12">
      <c r="B5394" s="50" t="s">
        <v>273</v>
      </c>
      <c r="C5394" s="50" t="s">
        <v>274</v>
      </c>
      <c r="D5394" s="50" t="s">
        <v>27</v>
      </c>
      <c r="E5394" s="50">
        <v>50037902</v>
      </c>
      <c r="F5394" s="50" t="s">
        <v>179</v>
      </c>
      <c r="G5394" s="50">
        <v>1</v>
      </c>
      <c r="H5394" s="50" t="s">
        <v>2</v>
      </c>
      <c r="I5394" s="50" t="s">
        <v>289</v>
      </c>
      <c r="J5394" s="51">
        <v>45934</v>
      </c>
      <c r="K5394" s="50" t="s">
        <v>1</v>
      </c>
      <c r="L5394" s="50" t="s">
        <v>80</v>
      </c>
    </row>
    <row r="5395" spans="2:12">
      <c r="B5395" s="50" t="s">
        <v>394</v>
      </c>
      <c r="C5395" s="50" t="s">
        <v>26</v>
      </c>
      <c r="D5395" s="50" t="s">
        <v>41</v>
      </c>
      <c r="E5395" s="50">
        <v>50037902</v>
      </c>
      <c r="F5395" s="50" t="s">
        <v>179</v>
      </c>
      <c r="G5395" s="50">
        <v>1</v>
      </c>
      <c r="H5395" s="50" t="s">
        <v>2</v>
      </c>
      <c r="I5395" s="50" t="s">
        <v>289</v>
      </c>
      <c r="J5395" s="51">
        <v>45934</v>
      </c>
      <c r="K5395" s="50" t="s">
        <v>3</v>
      </c>
      <c r="L5395" s="50" t="s">
        <v>80</v>
      </c>
    </row>
    <row r="5396" spans="2:12">
      <c r="B5396" s="50" t="s">
        <v>483</v>
      </c>
      <c r="C5396" s="50" t="s">
        <v>62</v>
      </c>
      <c r="D5396" s="50" t="s">
        <v>27</v>
      </c>
      <c r="E5396" s="50">
        <v>50038517</v>
      </c>
      <c r="F5396" s="50" t="s">
        <v>181</v>
      </c>
      <c r="G5396" s="50">
        <v>1</v>
      </c>
      <c r="H5396" s="50" t="s">
        <v>2</v>
      </c>
      <c r="I5396" s="50" t="s">
        <v>289</v>
      </c>
      <c r="J5396" s="51">
        <v>45934</v>
      </c>
      <c r="K5396" s="50" t="s">
        <v>3</v>
      </c>
      <c r="L5396" s="50" t="s">
        <v>80</v>
      </c>
    </row>
    <row r="5397" spans="2:12">
      <c r="B5397" s="50" t="s">
        <v>483</v>
      </c>
      <c r="C5397" s="50" t="s">
        <v>62</v>
      </c>
      <c r="D5397" s="50" t="s">
        <v>27</v>
      </c>
      <c r="E5397" s="50">
        <v>50038517</v>
      </c>
      <c r="F5397" s="50" t="s">
        <v>181</v>
      </c>
      <c r="G5397" s="50">
        <v>1</v>
      </c>
      <c r="H5397" s="50" t="s">
        <v>2</v>
      </c>
      <c r="I5397" s="50" t="s">
        <v>289</v>
      </c>
      <c r="J5397" s="51">
        <v>45934</v>
      </c>
      <c r="K5397" s="59" t="s">
        <v>1</v>
      </c>
      <c r="L5397" s="50" t="s">
        <v>80</v>
      </c>
    </row>
    <row r="5398" spans="2:12">
      <c r="B5398" s="50" t="s">
        <v>461</v>
      </c>
      <c r="C5398" s="50" t="s">
        <v>26</v>
      </c>
      <c r="D5398" s="58" t="s">
        <v>39</v>
      </c>
      <c r="E5398" s="50">
        <v>50039065</v>
      </c>
      <c r="F5398" s="50" t="s">
        <v>186</v>
      </c>
      <c r="G5398" s="58">
        <v>1</v>
      </c>
      <c r="H5398" s="59" t="s">
        <v>2</v>
      </c>
      <c r="I5398" s="59" t="s">
        <v>310</v>
      </c>
      <c r="J5398" s="60">
        <v>45934</v>
      </c>
      <c r="K5398" s="50" t="s">
        <v>3</v>
      </c>
      <c r="L5398" s="50" t="s">
        <v>80</v>
      </c>
    </row>
    <row r="5399" spans="2:12">
      <c r="B5399" s="50" t="s">
        <v>461</v>
      </c>
      <c r="C5399" s="50" t="s">
        <v>26</v>
      </c>
      <c r="D5399" s="58" t="s">
        <v>39</v>
      </c>
      <c r="E5399" s="50">
        <v>50039065</v>
      </c>
      <c r="F5399" s="50" t="s">
        <v>186</v>
      </c>
      <c r="G5399" s="58">
        <v>1</v>
      </c>
      <c r="H5399" s="59" t="s">
        <v>2</v>
      </c>
      <c r="I5399" s="59" t="s">
        <v>310</v>
      </c>
      <c r="J5399" s="60">
        <v>45934</v>
      </c>
      <c r="K5399" s="50" t="s">
        <v>1</v>
      </c>
      <c r="L5399" s="50" t="s">
        <v>80</v>
      </c>
    </row>
    <row r="5400" spans="2:12">
      <c r="B5400" s="50" t="s">
        <v>483</v>
      </c>
      <c r="C5400" s="50" t="s">
        <v>62</v>
      </c>
      <c r="D5400" s="50" t="s">
        <v>27</v>
      </c>
      <c r="E5400" s="50">
        <v>50026357</v>
      </c>
      <c r="F5400" s="50" t="s">
        <v>192</v>
      </c>
      <c r="G5400" s="50">
        <v>1</v>
      </c>
      <c r="H5400" s="50" t="s">
        <v>2</v>
      </c>
      <c r="I5400" s="50" t="s">
        <v>289</v>
      </c>
      <c r="J5400" s="51">
        <v>45934</v>
      </c>
      <c r="K5400" s="50" t="s">
        <v>3</v>
      </c>
      <c r="L5400" s="50" t="s">
        <v>80</v>
      </c>
    </row>
    <row r="5401" spans="2:12">
      <c r="B5401" s="50" t="s">
        <v>483</v>
      </c>
      <c r="C5401" s="50" t="s">
        <v>62</v>
      </c>
      <c r="D5401" s="50" t="s">
        <v>27</v>
      </c>
      <c r="E5401" s="50">
        <v>50026357</v>
      </c>
      <c r="F5401" s="50" t="s">
        <v>192</v>
      </c>
      <c r="G5401" s="50">
        <v>1</v>
      </c>
      <c r="H5401" s="50" t="s">
        <v>2</v>
      </c>
      <c r="I5401" s="50" t="s">
        <v>289</v>
      </c>
      <c r="J5401" s="51">
        <v>45934</v>
      </c>
      <c r="K5401" s="50" t="s">
        <v>1</v>
      </c>
      <c r="L5401" s="50" t="s">
        <v>80</v>
      </c>
    </row>
    <row r="5402" spans="2:12">
      <c r="B5402" s="50" t="s">
        <v>470</v>
      </c>
      <c r="C5402" s="50" t="s">
        <v>51</v>
      </c>
      <c r="D5402" s="50" t="s">
        <v>39</v>
      </c>
      <c r="E5402" s="50">
        <v>50041195</v>
      </c>
      <c r="F5402" s="50" t="s">
        <v>206</v>
      </c>
      <c r="G5402" s="50">
        <v>1</v>
      </c>
      <c r="H5402" s="50" t="s">
        <v>2</v>
      </c>
      <c r="I5402" s="50" t="s">
        <v>289</v>
      </c>
      <c r="J5402" s="51">
        <v>45934</v>
      </c>
      <c r="K5402" s="50" t="s">
        <v>3</v>
      </c>
      <c r="L5402" s="50" t="s">
        <v>80</v>
      </c>
    </row>
    <row r="5403" spans="2:12">
      <c r="B5403" s="50" t="s">
        <v>483</v>
      </c>
      <c r="C5403" s="50" t="s">
        <v>62</v>
      </c>
      <c r="D5403" s="50" t="s">
        <v>27</v>
      </c>
      <c r="E5403" s="50">
        <v>50010031</v>
      </c>
      <c r="F5403" s="50" t="s">
        <v>89</v>
      </c>
      <c r="G5403" s="50">
        <v>1</v>
      </c>
      <c r="H5403" s="50" t="s">
        <v>2</v>
      </c>
      <c r="I5403" s="50" t="s">
        <v>292</v>
      </c>
      <c r="J5403" s="51">
        <v>45933</v>
      </c>
      <c r="K5403" s="50" t="s">
        <v>1</v>
      </c>
      <c r="L5403" s="50" t="s">
        <v>80</v>
      </c>
    </row>
    <row r="5404" spans="2:12">
      <c r="B5404" s="50" t="s">
        <v>483</v>
      </c>
      <c r="C5404" s="50" t="s">
        <v>62</v>
      </c>
      <c r="D5404" s="50" t="s">
        <v>27</v>
      </c>
      <c r="E5404" s="50">
        <v>50010031</v>
      </c>
      <c r="F5404" s="50" t="s">
        <v>89</v>
      </c>
      <c r="G5404" s="50">
        <v>1</v>
      </c>
      <c r="H5404" s="50" t="s">
        <v>2</v>
      </c>
      <c r="I5404" s="50" t="s">
        <v>288</v>
      </c>
      <c r="J5404" s="51">
        <v>45933</v>
      </c>
      <c r="K5404" s="50" t="s">
        <v>3</v>
      </c>
      <c r="L5404" s="50" t="s">
        <v>80</v>
      </c>
    </row>
    <row r="5405" spans="2:12">
      <c r="B5405" s="50" t="e">
        <v>#N/A</v>
      </c>
      <c r="C5405" s="50" t="s">
        <v>56</v>
      </c>
      <c r="D5405" s="50" t="s">
        <v>27</v>
      </c>
      <c r="E5405" s="50">
        <v>50040694</v>
      </c>
      <c r="F5405" s="50" t="s">
        <v>96</v>
      </c>
      <c r="G5405" s="50">
        <v>1</v>
      </c>
      <c r="H5405" s="50" t="s">
        <v>2</v>
      </c>
      <c r="I5405" s="50" t="s">
        <v>293</v>
      </c>
      <c r="J5405" s="51">
        <v>45933</v>
      </c>
      <c r="K5405" s="50" t="s">
        <v>1</v>
      </c>
      <c r="L5405" s="50" t="s">
        <v>80</v>
      </c>
    </row>
    <row r="5406" spans="2:12">
      <c r="B5406" s="50" t="e">
        <v>#N/A</v>
      </c>
      <c r="C5406" s="50" t="s">
        <v>56</v>
      </c>
      <c r="D5406" s="50" t="s">
        <v>27</v>
      </c>
      <c r="E5406" s="50">
        <v>50040694</v>
      </c>
      <c r="F5406" s="50" t="s">
        <v>96</v>
      </c>
      <c r="G5406" s="50">
        <v>1</v>
      </c>
      <c r="H5406" s="50" t="s">
        <v>2</v>
      </c>
      <c r="I5406" s="50" t="s">
        <v>288</v>
      </c>
      <c r="J5406" s="51">
        <v>45933</v>
      </c>
      <c r="K5406" s="50" t="s">
        <v>1</v>
      </c>
      <c r="L5406" s="50" t="s">
        <v>80</v>
      </c>
    </row>
    <row r="5407" spans="2:12">
      <c r="B5407" s="50" t="s">
        <v>316</v>
      </c>
      <c r="C5407" s="50" t="s">
        <v>56</v>
      </c>
      <c r="D5407" s="50" t="s">
        <v>27</v>
      </c>
      <c r="E5407" s="50">
        <v>50044003</v>
      </c>
      <c r="F5407" s="50" t="s">
        <v>263</v>
      </c>
      <c r="G5407" s="50">
        <v>1</v>
      </c>
      <c r="H5407" s="50" t="s">
        <v>2</v>
      </c>
      <c r="I5407" s="50" t="s">
        <v>289</v>
      </c>
      <c r="J5407" s="51">
        <v>45933</v>
      </c>
      <c r="K5407" s="50" t="s">
        <v>3</v>
      </c>
      <c r="L5407" s="50" t="s">
        <v>80</v>
      </c>
    </row>
    <row r="5408" spans="2:12">
      <c r="B5408" s="50" t="s">
        <v>316</v>
      </c>
      <c r="C5408" s="50" t="s">
        <v>56</v>
      </c>
      <c r="D5408" s="50" t="s">
        <v>27</v>
      </c>
      <c r="E5408" s="50">
        <v>50044003</v>
      </c>
      <c r="F5408" s="50" t="s">
        <v>263</v>
      </c>
      <c r="G5408" s="50">
        <v>1</v>
      </c>
      <c r="H5408" s="50" t="s">
        <v>2</v>
      </c>
      <c r="I5408" s="50" t="s">
        <v>288</v>
      </c>
      <c r="J5408" s="51">
        <v>45933</v>
      </c>
      <c r="K5408" s="50" t="s">
        <v>3</v>
      </c>
      <c r="L5408" s="50" t="s">
        <v>80</v>
      </c>
    </row>
    <row r="5409" spans="2:12">
      <c r="B5409" s="50" t="s">
        <v>467</v>
      </c>
      <c r="C5409" s="50" t="s">
        <v>51</v>
      </c>
      <c r="D5409" s="50" t="s">
        <v>39</v>
      </c>
      <c r="E5409" s="50">
        <v>50037905</v>
      </c>
      <c r="F5409" s="50" t="s">
        <v>150</v>
      </c>
      <c r="G5409" s="50">
        <v>1</v>
      </c>
      <c r="H5409" s="50" t="s">
        <v>2</v>
      </c>
      <c r="I5409" s="50" t="s">
        <v>289</v>
      </c>
      <c r="J5409" s="51">
        <v>45933</v>
      </c>
      <c r="K5409" s="50" t="s">
        <v>3</v>
      </c>
      <c r="L5409" s="50" t="s">
        <v>80</v>
      </c>
    </row>
    <row r="5410" spans="2:12">
      <c r="B5410" s="50" t="s">
        <v>273</v>
      </c>
      <c r="C5410" s="50" t="s">
        <v>274</v>
      </c>
      <c r="D5410" s="50" t="s">
        <v>27</v>
      </c>
      <c r="E5410" s="50">
        <v>50043471</v>
      </c>
      <c r="F5410" s="50" t="s">
        <v>257</v>
      </c>
      <c r="G5410" s="50">
        <v>1</v>
      </c>
      <c r="H5410" s="50" t="s">
        <v>2</v>
      </c>
      <c r="I5410" s="50" t="s">
        <v>289</v>
      </c>
      <c r="J5410" s="51">
        <v>45933</v>
      </c>
      <c r="K5410" s="50" t="s">
        <v>324</v>
      </c>
      <c r="L5410" s="50" t="s">
        <v>80</v>
      </c>
    </row>
    <row r="5411" spans="2:12">
      <c r="B5411" s="50" t="s">
        <v>277</v>
      </c>
      <c r="C5411" s="50" t="s">
        <v>62</v>
      </c>
      <c r="D5411" s="50" t="s">
        <v>27</v>
      </c>
      <c r="E5411" s="50">
        <v>50043471</v>
      </c>
      <c r="F5411" s="50" t="s">
        <v>257</v>
      </c>
      <c r="G5411" s="50">
        <v>1</v>
      </c>
      <c r="H5411" s="50" t="s">
        <v>2</v>
      </c>
      <c r="I5411" s="50" t="s">
        <v>292</v>
      </c>
      <c r="J5411" s="51">
        <v>45933</v>
      </c>
      <c r="K5411" s="50" t="s">
        <v>3</v>
      </c>
      <c r="L5411" s="50" t="s">
        <v>80</v>
      </c>
    </row>
    <row r="5412" spans="2:12">
      <c r="B5412" s="50" t="s">
        <v>277</v>
      </c>
      <c r="C5412" s="50" t="s">
        <v>62</v>
      </c>
      <c r="D5412" s="50" t="s">
        <v>27</v>
      </c>
      <c r="E5412" s="50">
        <v>50043471</v>
      </c>
      <c r="F5412" s="50" t="s">
        <v>257</v>
      </c>
      <c r="G5412" s="50">
        <v>1</v>
      </c>
      <c r="H5412" s="50" t="s">
        <v>2</v>
      </c>
      <c r="I5412" s="50" t="s">
        <v>293</v>
      </c>
      <c r="J5412" s="51">
        <v>45933</v>
      </c>
      <c r="K5412" s="50" t="s">
        <v>1</v>
      </c>
      <c r="L5412" s="50" t="s">
        <v>80</v>
      </c>
    </row>
    <row r="5413" spans="2:12">
      <c r="B5413" s="50" t="s">
        <v>483</v>
      </c>
      <c r="C5413" s="50" t="s">
        <v>62</v>
      </c>
      <c r="D5413" s="50" t="s">
        <v>27</v>
      </c>
      <c r="E5413" s="50">
        <v>50029865</v>
      </c>
      <c r="F5413" s="50" t="s">
        <v>162</v>
      </c>
      <c r="G5413" s="50">
        <v>1</v>
      </c>
      <c r="H5413" s="50" t="s">
        <v>2</v>
      </c>
      <c r="I5413" s="50" t="s">
        <v>292</v>
      </c>
      <c r="J5413" s="51">
        <v>45933</v>
      </c>
      <c r="K5413" s="50" t="s">
        <v>3</v>
      </c>
      <c r="L5413" s="50" t="s">
        <v>80</v>
      </c>
    </row>
    <row r="5414" spans="2:12">
      <c r="B5414" s="50" t="s">
        <v>483</v>
      </c>
      <c r="C5414" s="50" t="s">
        <v>62</v>
      </c>
      <c r="D5414" s="50" t="s">
        <v>27</v>
      </c>
      <c r="E5414" s="50">
        <v>50029865</v>
      </c>
      <c r="F5414" s="50" t="s">
        <v>162</v>
      </c>
      <c r="G5414" s="50">
        <v>1</v>
      </c>
      <c r="H5414" s="50" t="s">
        <v>2</v>
      </c>
      <c r="I5414" s="50" t="s">
        <v>288</v>
      </c>
      <c r="J5414" s="51">
        <v>45933</v>
      </c>
      <c r="K5414" s="50" t="s">
        <v>1</v>
      </c>
      <c r="L5414" s="50" t="s">
        <v>80</v>
      </c>
    </row>
    <row r="5415" spans="2:12">
      <c r="B5415" s="50" t="s">
        <v>446</v>
      </c>
      <c r="C5415" s="50" t="s">
        <v>56</v>
      </c>
      <c r="D5415" s="50" t="s">
        <v>27</v>
      </c>
      <c r="E5415" s="50">
        <v>50043320</v>
      </c>
      <c r="F5415" s="50" t="s">
        <v>264</v>
      </c>
      <c r="G5415" s="50">
        <v>1</v>
      </c>
      <c r="H5415" s="50" t="s">
        <v>2</v>
      </c>
      <c r="I5415" s="50" t="s">
        <v>289</v>
      </c>
      <c r="J5415" s="51">
        <v>45933</v>
      </c>
      <c r="K5415" s="50" t="s">
        <v>3</v>
      </c>
      <c r="L5415" s="50" t="s">
        <v>80</v>
      </c>
    </row>
    <row r="5416" spans="2:12">
      <c r="B5416" s="50" t="s">
        <v>446</v>
      </c>
      <c r="C5416" s="50" t="s">
        <v>56</v>
      </c>
      <c r="D5416" s="50" t="s">
        <v>27</v>
      </c>
      <c r="E5416" s="50">
        <v>50043320</v>
      </c>
      <c r="F5416" s="50" t="s">
        <v>264</v>
      </c>
      <c r="G5416" s="50">
        <v>1</v>
      </c>
      <c r="H5416" s="50" t="s">
        <v>2</v>
      </c>
      <c r="I5416" s="50" t="s">
        <v>288</v>
      </c>
      <c r="J5416" s="51">
        <v>45933</v>
      </c>
      <c r="K5416" s="50" t="s">
        <v>1</v>
      </c>
      <c r="L5416" s="50" t="s">
        <v>80</v>
      </c>
    </row>
    <row r="5417" spans="2:12">
      <c r="B5417" s="50" t="s">
        <v>386</v>
      </c>
      <c r="C5417" s="50" t="s">
        <v>26</v>
      </c>
      <c r="D5417" s="50" t="s">
        <v>27</v>
      </c>
      <c r="E5417" s="50">
        <v>50038549</v>
      </c>
      <c r="F5417" s="50" t="s">
        <v>173</v>
      </c>
      <c r="G5417" s="50">
        <v>1</v>
      </c>
      <c r="H5417" s="50" t="s">
        <v>2</v>
      </c>
      <c r="I5417" s="50" t="s">
        <v>289</v>
      </c>
      <c r="J5417" s="51">
        <v>45933</v>
      </c>
      <c r="K5417" s="50" t="s">
        <v>3</v>
      </c>
      <c r="L5417" s="50" t="s">
        <v>80</v>
      </c>
    </row>
    <row r="5418" spans="2:12">
      <c r="B5418" s="50" t="s">
        <v>386</v>
      </c>
      <c r="C5418" s="50" t="s">
        <v>26</v>
      </c>
      <c r="D5418" s="50" t="s">
        <v>27</v>
      </c>
      <c r="E5418" s="50">
        <v>50038549</v>
      </c>
      <c r="F5418" s="50" t="s">
        <v>173</v>
      </c>
      <c r="G5418" s="50">
        <v>1</v>
      </c>
      <c r="H5418" s="50" t="s">
        <v>2</v>
      </c>
      <c r="I5418" s="50" t="s">
        <v>289</v>
      </c>
      <c r="J5418" s="51">
        <v>45933</v>
      </c>
      <c r="K5418" s="50" t="s">
        <v>1</v>
      </c>
      <c r="L5418" s="50" t="s">
        <v>80</v>
      </c>
    </row>
    <row r="5419" spans="2:12">
      <c r="B5419" s="50" t="s">
        <v>465</v>
      </c>
      <c r="C5419" s="50" t="s">
        <v>26</v>
      </c>
      <c r="D5419" s="50" t="s">
        <v>27</v>
      </c>
      <c r="E5419" s="50">
        <v>50022878</v>
      </c>
      <c r="F5419" s="50" t="s">
        <v>296</v>
      </c>
      <c r="G5419" s="50">
        <v>1</v>
      </c>
      <c r="H5419" s="50" t="s">
        <v>2</v>
      </c>
      <c r="I5419" s="50" t="s">
        <v>292</v>
      </c>
      <c r="J5419" s="51">
        <v>45933</v>
      </c>
      <c r="K5419" s="50" t="s">
        <v>3</v>
      </c>
      <c r="L5419" s="50" t="s">
        <v>80</v>
      </c>
    </row>
    <row r="5420" spans="2:12">
      <c r="B5420" s="50" t="s">
        <v>465</v>
      </c>
      <c r="C5420" s="50" t="s">
        <v>26</v>
      </c>
      <c r="D5420" s="50" t="s">
        <v>27</v>
      </c>
      <c r="E5420" s="50">
        <v>50022878</v>
      </c>
      <c r="F5420" s="50" t="s">
        <v>296</v>
      </c>
      <c r="G5420" s="50">
        <v>1</v>
      </c>
      <c r="H5420" s="50" t="s">
        <v>2</v>
      </c>
      <c r="I5420" s="50" t="s">
        <v>288</v>
      </c>
      <c r="J5420" s="51">
        <v>45933</v>
      </c>
      <c r="K5420" s="50" t="s">
        <v>1</v>
      </c>
      <c r="L5420" s="50" t="s">
        <v>80</v>
      </c>
    </row>
    <row r="5421" spans="2:12">
      <c r="B5421" s="50" t="s">
        <v>406</v>
      </c>
      <c r="C5421" s="50" t="s">
        <v>26</v>
      </c>
      <c r="D5421" s="50" t="s">
        <v>39</v>
      </c>
      <c r="E5421" s="50">
        <v>50038956</v>
      </c>
      <c r="F5421" s="50" t="s">
        <v>177</v>
      </c>
      <c r="G5421" s="50">
        <v>1</v>
      </c>
      <c r="H5421" s="50" t="s">
        <v>2</v>
      </c>
      <c r="I5421" s="50" t="s">
        <v>289</v>
      </c>
      <c r="J5421" s="51">
        <v>45933</v>
      </c>
      <c r="K5421" s="50" t="s">
        <v>3</v>
      </c>
      <c r="L5421" s="50" t="s">
        <v>80</v>
      </c>
    </row>
    <row r="5422" spans="2:12">
      <c r="B5422" s="50" t="s">
        <v>406</v>
      </c>
      <c r="C5422" s="50" t="s">
        <v>26</v>
      </c>
      <c r="D5422" s="50" t="s">
        <v>39</v>
      </c>
      <c r="E5422" s="50">
        <v>50038956</v>
      </c>
      <c r="F5422" s="50" t="s">
        <v>177</v>
      </c>
      <c r="G5422" s="50">
        <v>1</v>
      </c>
      <c r="H5422" s="50" t="s">
        <v>2</v>
      </c>
      <c r="I5422" s="50" t="s">
        <v>292</v>
      </c>
      <c r="J5422" s="51">
        <v>45933</v>
      </c>
      <c r="K5422" s="50" t="s">
        <v>1</v>
      </c>
      <c r="L5422" s="50" t="s">
        <v>80</v>
      </c>
    </row>
    <row r="5423" spans="2:12">
      <c r="B5423" s="50" t="s">
        <v>316</v>
      </c>
      <c r="C5423" s="50" t="s">
        <v>51</v>
      </c>
      <c r="D5423" s="50" t="s">
        <v>27</v>
      </c>
      <c r="E5423" s="50">
        <v>50038956</v>
      </c>
      <c r="F5423" s="50" t="s">
        <v>177</v>
      </c>
      <c r="G5423" s="50">
        <v>1</v>
      </c>
      <c r="H5423" s="50" t="s">
        <v>2</v>
      </c>
      <c r="I5423" s="50" t="s">
        <v>288</v>
      </c>
      <c r="J5423" s="51">
        <v>45933</v>
      </c>
      <c r="K5423" s="50" t="s">
        <v>3</v>
      </c>
      <c r="L5423" s="50" t="s">
        <v>80</v>
      </c>
    </row>
    <row r="5424" spans="2:12">
      <c r="B5424" s="50" t="s">
        <v>316</v>
      </c>
      <c r="C5424" s="50" t="s">
        <v>51</v>
      </c>
      <c r="D5424" s="50" t="s">
        <v>27</v>
      </c>
      <c r="E5424" s="50">
        <v>50038956</v>
      </c>
      <c r="F5424" s="50" t="s">
        <v>177</v>
      </c>
      <c r="G5424" s="50">
        <v>1</v>
      </c>
      <c r="H5424" s="50" t="s">
        <v>2</v>
      </c>
      <c r="I5424" s="50" t="s">
        <v>288</v>
      </c>
      <c r="J5424" s="51">
        <v>45933</v>
      </c>
      <c r="K5424" s="50" t="s">
        <v>1</v>
      </c>
      <c r="L5424" s="50" t="s">
        <v>80</v>
      </c>
    </row>
    <row r="5425" spans="2:12">
      <c r="B5425" s="50" t="s">
        <v>394</v>
      </c>
      <c r="C5425" s="50" t="s">
        <v>26</v>
      </c>
      <c r="D5425" s="50" t="s">
        <v>41</v>
      </c>
      <c r="E5425" s="50">
        <v>50038956</v>
      </c>
      <c r="F5425" s="50" t="s">
        <v>177</v>
      </c>
      <c r="G5425" s="50">
        <v>1</v>
      </c>
      <c r="H5425" s="50" t="s">
        <v>2</v>
      </c>
      <c r="I5425" s="50" t="s">
        <v>288</v>
      </c>
      <c r="J5425" s="51">
        <v>45933</v>
      </c>
      <c r="K5425" s="50" t="s">
        <v>3</v>
      </c>
      <c r="L5425" s="50" t="s">
        <v>80</v>
      </c>
    </row>
    <row r="5426" spans="2:12">
      <c r="B5426" s="50" t="s">
        <v>394</v>
      </c>
      <c r="C5426" s="50" t="s">
        <v>26</v>
      </c>
      <c r="D5426" s="50" t="s">
        <v>41</v>
      </c>
      <c r="E5426" s="50">
        <v>50038956</v>
      </c>
      <c r="F5426" s="50" t="s">
        <v>177</v>
      </c>
      <c r="G5426" s="50">
        <v>1</v>
      </c>
      <c r="H5426" s="50" t="s">
        <v>2</v>
      </c>
      <c r="I5426" s="50" t="s">
        <v>288</v>
      </c>
      <c r="J5426" s="51">
        <v>45933</v>
      </c>
      <c r="K5426" s="50" t="s">
        <v>3</v>
      </c>
      <c r="L5426" s="50" t="s">
        <v>80</v>
      </c>
    </row>
    <row r="5427" spans="2:12">
      <c r="B5427" s="50" t="s">
        <v>280</v>
      </c>
      <c r="C5427" s="50" t="s">
        <v>62</v>
      </c>
      <c r="D5427" s="50" t="s">
        <v>27</v>
      </c>
      <c r="E5427" s="50">
        <v>50037892</v>
      </c>
      <c r="F5427" s="50" t="s">
        <v>178</v>
      </c>
      <c r="G5427" s="50">
        <v>1</v>
      </c>
      <c r="H5427" s="50" t="s">
        <v>2</v>
      </c>
      <c r="I5427" s="50" t="s">
        <v>292</v>
      </c>
      <c r="J5427" s="51">
        <v>45933</v>
      </c>
      <c r="K5427" s="50" t="s">
        <v>3</v>
      </c>
      <c r="L5427" s="50" t="s">
        <v>80</v>
      </c>
    </row>
    <row r="5428" spans="2:12">
      <c r="B5428" s="50" t="s">
        <v>280</v>
      </c>
      <c r="C5428" s="50" t="s">
        <v>62</v>
      </c>
      <c r="D5428" s="50" t="s">
        <v>27</v>
      </c>
      <c r="E5428" s="50">
        <v>50037892</v>
      </c>
      <c r="F5428" s="50" t="s">
        <v>178</v>
      </c>
      <c r="G5428" s="50">
        <v>1</v>
      </c>
      <c r="H5428" s="50" t="s">
        <v>2</v>
      </c>
      <c r="I5428" s="50" t="s">
        <v>288</v>
      </c>
      <c r="J5428" s="51">
        <v>45933</v>
      </c>
      <c r="K5428" s="50" t="s">
        <v>1</v>
      </c>
      <c r="L5428" s="50" t="s">
        <v>80</v>
      </c>
    </row>
    <row r="5429" spans="2:12">
      <c r="B5429" s="50" t="s">
        <v>273</v>
      </c>
      <c r="C5429" s="50" t="s">
        <v>274</v>
      </c>
      <c r="D5429" s="50" t="s">
        <v>27</v>
      </c>
      <c r="E5429" s="50">
        <v>50037902</v>
      </c>
      <c r="F5429" s="50" t="s">
        <v>179</v>
      </c>
      <c r="G5429" s="50">
        <v>1</v>
      </c>
      <c r="H5429" s="50" t="s">
        <v>2</v>
      </c>
      <c r="I5429" s="50" t="s">
        <v>289</v>
      </c>
      <c r="J5429" s="51">
        <v>45933</v>
      </c>
      <c r="K5429" s="50" t="s">
        <v>3</v>
      </c>
      <c r="L5429" s="50" t="s">
        <v>80</v>
      </c>
    </row>
    <row r="5430" spans="2:12">
      <c r="B5430" s="50" t="s">
        <v>454</v>
      </c>
      <c r="C5430" s="50" t="s">
        <v>51</v>
      </c>
      <c r="D5430" s="50" t="s">
        <v>39</v>
      </c>
      <c r="E5430" s="50">
        <v>50037902</v>
      </c>
      <c r="F5430" s="50" t="s">
        <v>179</v>
      </c>
      <c r="G5430" s="50">
        <v>1</v>
      </c>
      <c r="H5430" s="50" t="s">
        <v>2</v>
      </c>
      <c r="I5430" s="50" t="s">
        <v>289</v>
      </c>
      <c r="J5430" s="51">
        <v>45933</v>
      </c>
      <c r="K5430" s="50" t="s">
        <v>1</v>
      </c>
      <c r="L5430" s="50" t="s">
        <v>80</v>
      </c>
    </row>
    <row r="5431" spans="2:12">
      <c r="B5431" s="50" t="s">
        <v>454</v>
      </c>
      <c r="C5431" s="50" t="s">
        <v>51</v>
      </c>
      <c r="D5431" s="50" t="s">
        <v>39</v>
      </c>
      <c r="E5431" s="50">
        <v>50037902</v>
      </c>
      <c r="F5431" s="50" t="s">
        <v>179</v>
      </c>
      <c r="G5431" s="50">
        <v>1</v>
      </c>
      <c r="H5431" s="50" t="s">
        <v>2</v>
      </c>
      <c r="I5431" s="50" t="s">
        <v>289</v>
      </c>
      <c r="J5431" s="51">
        <v>45933</v>
      </c>
      <c r="K5431" s="50" t="s">
        <v>3</v>
      </c>
      <c r="L5431" s="50" t="s">
        <v>80</v>
      </c>
    </row>
    <row r="5432" spans="2:12">
      <c r="B5432" s="50" t="s">
        <v>478</v>
      </c>
      <c r="C5432" s="50" t="s">
        <v>51</v>
      </c>
      <c r="D5432" s="50" t="s">
        <v>27</v>
      </c>
      <c r="E5432" s="50">
        <v>50037902</v>
      </c>
      <c r="F5432" s="50" t="s">
        <v>179</v>
      </c>
      <c r="G5432" s="50">
        <v>1</v>
      </c>
      <c r="H5432" s="50" t="s">
        <v>2</v>
      </c>
      <c r="I5432" s="50" t="s">
        <v>289</v>
      </c>
      <c r="J5432" s="51">
        <v>45933</v>
      </c>
      <c r="K5432" s="50" t="s">
        <v>1</v>
      </c>
      <c r="L5432" s="50" t="s">
        <v>80</v>
      </c>
    </row>
    <row r="5433" spans="2:12">
      <c r="B5433" s="50" t="s">
        <v>478</v>
      </c>
      <c r="C5433" s="50" t="s">
        <v>51</v>
      </c>
      <c r="D5433" s="50" t="s">
        <v>27</v>
      </c>
      <c r="E5433" s="50">
        <v>50037902</v>
      </c>
      <c r="F5433" s="50" t="s">
        <v>179</v>
      </c>
      <c r="G5433" s="50">
        <v>1</v>
      </c>
      <c r="H5433" s="50" t="s">
        <v>2</v>
      </c>
      <c r="I5433" s="50" t="s">
        <v>288</v>
      </c>
      <c r="J5433" s="51">
        <v>45933</v>
      </c>
      <c r="K5433" s="50" t="s">
        <v>3</v>
      </c>
      <c r="L5433" s="50" t="s">
        <v>80</v>
      </c>
    </row>
    <row r="5434" spans="2:12">
      <c r="B5434" s="50" t="s">
        <v>396</v>
      </c>
      <c r="C5434" s="50" t="s">
        <v>26</v>
      </c>
      <c r="D5434" s="50" t="s">
        <v>41</v>
      </c>
      <c r="E5434" s="50">
        <v>50038841</v>
      </c>
      <c r="F5434" s="50" t="s">
        <v>180</v>
      </c>
      <c r="G5434" s="50">
        <v>1</v>
      </c>
      <c r="H5434" s="50" t="s">
        <v>2</v>
      </c>
      <c r="I5434" s="50" t="s">
        <v>291</v>
      </c>
      <c r="J5434" s="51">
        <v>45933</v>
      </c>
      <c r="K5434" s="50" t="s">
        <v>1</v>
      </c>
      <c r="L5434" s="50" t="s">
        <v>80</v>
      </c>
    </row>
    <row r="5435" spans="2:12">
      <c r="B5435" s="50" t="s">
        <v>396</v>
      </c>
      <c r="C5435" s="50" t="s">
        <v>26</v>
      </c>
      <c r="D5435" s="50" t="s">
        <v>41</v>
      </c>
      <c r="E5435" s="50">
        <v>50038841</v>
      </c>
      <c r="F5435" s="50" t="s">
        <v>180</v>
      </c>
      <c r="G5435" s="50">
        <v>1</v>
      </c>
      <c r="H5435" s="50" t="s">
        <v>2</v>
      </c>
      <c r="I5435" s="50" t="s">
        <v>291</v>
      </c>
      <c r="J5435" s="51">
        <v>45933</v>
      </c>
      <c r="K5435" s="50" t="s">
        <v>3</v>
      </c>
      <c r="L5435" s="50" t="s">
        <v>80</v>
      </c>
    </row>
    <row r="5436" spans="2:12">
      <c r="B5436" s="50" t="s">
        <v>415</v>
      </c>
      <c r="C5436" s="50" t="s">
        <v>51</v>
      </c>
      <c r="D5436" s="50" t="s">
        <v>27</v>
      </c>
      <c r="E5436" s="50">
        <v>50038517</v>
      </c>
      <c r="F5436" s="50" t="s">
        <v>181</v>
      </c>
      <c r="G5436" s="50">
        <v>1</v>
      </c>
      <c r="H5436" s="50" t="s">
        <v>2</v>
      </c>
      <c r="I5436" s="50" t="s">
        <v>289</v>
      </c>
      <c r="J5436" s="51">
        <v>45933</v>
      </c>
      <c r="K5436" s="56" t="s">
        <v>1</v>
      </c>
      <c r="L5436" s="50" t="s">
        <v>80</v>
      </c>
    </row>
    <row r="5437" spans="2:12">
      <c r="B5437" s="50" t="s">
        <v>399</v>
      </c>
      <c r="C5437" s="50" t="s">
        <v>51</v>
      </c>
      <c r="D5437" s="50" t="s">
        <v>27</v>
      </c>
      <c r="E5437" s="50">
        <v>50038517</v>
      </c>
      <c r="F5437" s="50" t="s">
        <v>181</v>
      </c>
      <c r="G5437" s="50">
        <v>1</v>
      </c>
      <c r="H5437" s="50" t="s">
        <v>2</v>
      </c>
      <c r="I5437" s="50" t="s">
        <v>288</v>
      </c>
      <c r="J5437" s="51">
        <v>45933</v>
      </c>
      <c r="K5437" s="50" t="s">
        <v>1</v>
      </c>
      <c r="L5437" s="50" t="s">
        <v>80</v>
      </c>
    </row>
    <row r="5438" spans="2:12">
      <c r="B5438" s="50" t="e">
        <v>#N/A</v>
      </c>
      <c r="C5438" s="58" t="s">
        <v>56</v>
      </c>
      <c r="D5438" s="58" t="s">
        <v>27</v>
      </c>
      <c r="E5438" s="50">
        <v>50038517</v>
      </c>
      <c r="F5438" s="50" t="s">
        <v>181</v>
      </c>
      <c r="G5438" s="58">
        <v>1</v>
      </c>
      <c r="H5438" s="59" t="s">
        <v>2</v>
      </c>
      <c r="I5438" s="59" t="s">
        <v>310</v>
      </c>
      <c r="J5438" s="63">
        <v>45933</v>
      </c>
      <c r="K5438" s="50" t="s">
        <v>86</v>
      </c>
      <c r="L5438" s="50" t="s">
        <v>80</v>
      </c>
    </row>
    <row r="5439" spans="2:12">
      <c r="B5439" s="50" t="s">
        <v>345</v>
      </c>
      <c r="C5439" s="50" t="s">
        <v>62</v>
      </c>
      <c r="D5439" s="50" t="s">
        <v>27</v>
      </c>
      <c r="E5439" s="50">
        <v>50001995</v>
      </c>
      <c r="F5439" s="50" t="s">
        <v>185</v>
      </c>
      <c r="G5439" s="50">
        <v>1</v>
      </c>
      <c r="H5439" s="50" t="s">
        <v>2</v>
      </c>
      <c r="I5439" s="50" t="s">
        <v>289</v>
      </c>
      <c r="J5439" s="51">
        <v>45933</v>
      </c>
      <c r="K5439" s="50" t="s">
        <v>3</v>
      </c>
      <c r="L5439" s="50" t="s">
        <v>80</v>
      </c>
    </row>
    <row r="5440" spans="2:12">
      <c r="B5440" s="50" t="s">
        <v>345</v>
      </c>
      <c r="C5440" s="50" t="s">
        <v>62</v>
      </c>
      <c r="D5440" s="50" t="s">
        <v>27</v>
      </c>
      <c r="E5440" s="50">
        <v>50001995</v>
      </c>
      <c r="F5440" s="50" t="s">
        <v>185</v>
      </c>
      <c r="G5440" s="50">
        <v>1</v>
      </c>
      <c r="H5440" s="50" t="s">
        <v>2</v>
      </c>
      <c r="I5440" s="50" t="s">
        <v>288</v>
      </c>
      <c r="J5440" s="51">
        <v>45933</v>
      </c>
      <c r="K5440" s="50" t="s">
        <v>1</v>
      </c>
      <c r="L5440" s="50" t="s">
        <v>80</v>
      </c>
    </row>
    <row r="5441" spans="2:12">
      <c r="B5441" s="50" t="s">
        <v>399</v>
      </c>
      <c r="C5441" s="50" t="s">
        <v>51</v>
      </c>
      <c r="D5441" s="50" t="s">
        <v>27</v>
      </c>
      <c r="E5441" s="50">
        <v>50039065</v>
      </c>
      <c r="F5441" s="50" t="s">
        <v>186</v>
      </c>
      <c r="G5441" s="50">
        <v>1</v>
      </c>
      <c r="H5441" s="50" t="s">
        <v>2</v>
      </c>
      <c r="I5441" s="50" t="s">
        <v>289</v>
      </c>
      <c r="J5441" s="51">
        <v>45933</v>
      </c>
      <c r="K5441" s="50" t="s">
        <v>3</v>
      </c>
      <c r="L5441" s="50" t="s">
        <v>80</v>
      </c>
    </row>
    <row r="5442" spans="2:12">
      <c r="B5442" s="50" t="s">
        <v>399</v>
      </c>
      <c r="C5442" s="50" t="s">
        <v>51</v>
      </c>
      <c r="D5442" s="50" t="s">
        <v>27</v>
      </c>
      <c r="E5442" s="50">
        <v>50039065</v>
      </c>
      <c r="F5442" s="50" t="s">
        <v>186</v>
      </c>
      <c r="G5442" s="50">
        <v>1</v>
      </c>
      <c r="H5442" s="50" t="s">
        <v>2</v>
      </c>
      <c r="I5442" s="50" t="s">
        <v>291</v>
      </c>
      <c r="J5442" s="51">
        <v>45933</v>
      </c>
      <c r="K5442" s="50" t="s">
        <v>1</v>
      </c>
      <c r="L5442" s="50" t="s">
        <v>80</v>
      </c>
    </row>
    <row r="5443" spans="2:12">
      <c r="B5443" s="50" t="e">
        <v>#N/A</v>
      </c>
      <c r="C5443" s="50" t="s">
        <v>62</v>
      </c>
      <c r="D5443" s="50" t="s">
        <v>27</v>
      </c>
      <c r="E5443" s="50">
        <v>50026357</v>
      </c>
      <c r="F5443" s="50" t="s">
        <v>192</v>
      </c>
      <c r="G5443" s="50">
        <v>1</v>
      </c>
      <c r="H5443" s="50" t="s">
        <v>2</v>
      </c>
      <c r="I5443" s="50" t="s">
        <v>289</v>
      </c>
      <c r="J5443" s="51">
        <v>45933</v>
      </c>
      <c r="K5443" s="50" t="s">
        <v>3</v>
      </c>
      <c r="L5443" s="50" t="s">
        <v>80</v>
      </c>
    </row>
    <row r="5444" spans="2:12">
      <c r="B5444" s="50" t="e">
        <v>#N/A</v>
      </c>
      <c r="C5444" s="50" t="s">
        <v>62</v>
      </c>
      <c r="D5444" s="50" t="s">
        <v>27</v>
      </c>
      <c r="E5444" s="50">
        <v>50026357</v>
      </c>
      <c r="F5444" s="50" t="s">
        <v>192</v>
      </c>
      <c r="G5444" s="50">
        <v>1</v>
      </c>
      <c r="H5444" s="50" t="s">
        <v>2</v>
      </c>
      <c r="I5444" s="50" t="s">
        <v>288</v>
      </c>
      <c r="J5444" s="51">
        <v>45933</v>
      </c>
      <c r="K5444" s="50" t="s">
        <v>3</v>
      </c>
      <c r="L5444" s="50" t="s">
        <v>80</v>
      </c>
    </row>
    <row r="5445" spans="2:12">
      <c r="B5445" s="50" t="s">
        <v>483</v>
      </c>
      <c r="C5445" s="50" t="s">
        <v>62</v>
      </c>
      <c r="D5445" s="50" t="s">
        <v>27</v>
      </c>
      <c r="E5445" s="50">
        <v>50041195</v>
      </c>
      <c r="F5445" s="50" t="s">
        <v>206</v>
      </c>
      <c r="G5445" s="50">
        <v>1</v>
      </c>
      <c r="H5445" s="50" t="s">
        <v>2</v>
      </c>
      <c r="I5445" s="50" t="s">
        <v>292</v>
      </c>
      <c r="J5445" s="51">
        <v>45933</v>
      </c>
      <c r="K5445" s="59" t="s">
        <v>1</v>
      </c>
      <c r="L5445" s="50" t="s">
        <v>80</v>
      </c>
    </row>
    <row r="5446" spans="2:12">
      <c r="B5446" s="50" t="s">
        <v>483</v>
      </c>
      <c r="C5446" s="50" t="s">
        <v>62</v>
      </c>
      <c r="D5446" s="50" t="s">
        <v>27</v>
      </c>
      <c r="E5446" s="50">
        <v>50041195</v>
      </c>
      <c r="F5446" s="50" t="s">
        <v>206</v>
      </c>
      <c r="G5446" s="50">
        <v>1</v>
      </c>
      <c r="H5446" s="50" t="s">
        <v>2</v>
      </c>
      <c r="I5446" s="50" t="s">
        <v>288</v>
      </c>
      <c r="J5446" s="51">
        <v>45933</v>
      </c>
      <c r="K5446" s="50" t="s">
        <v>1</v>
      </c>
      <c r="L5446" s="50" t="s">
        <v>80</v>
      </c>
    </row>
    <row r="5447" spans="2:12">
      <c r="B5447" s="50" t="e">
        <v>#N/A</v>
      </c>
      <c r="C5447" s="58" t="s">
        <v>56</v>
      </c>
      <c r="D5447" s="58" t="s">
        <v>27</v>
      </c>
      <c r="E5447" s="50">
        <v>50041195</v>
      </c>
      <c r="F5447" s="50" t="s">
        <v>206</v>
      </c>
      <c r="G5447" s="58">
        <v>1</v>
      </c>
      <c r="H5447" s="59" t="s">
        <v>2</v>
      </c>
      <c r="I5447" s="59" t="s">
        <v>310</v>
      </c>
      <c r="J5447" s="60">
        <v>45933</v>
      </c>
      <c r="K5447" s="50" t="s">
        <v>3</v>
      </c>
      <c r="L5447" s="50" t="s">
        <v>80</v>
      </c>
    </row>
    <row r="5448" spans="2:12">
      <c r="B5448" s="50" t="s">
        <v>446</v>
      </c>
      <c r="C5448" s="50" t="s">
        <v>56</v>
      </c>
      <c r="D5448" s="50" t="s">
        <v>27</v>
      </c>
      <c r="E5448" s="50">
        <v>50043917</v>
      </c>
      <c r="F5448" s="50" t="s">
        <v>262</v>
      </c>
      <c r="G5448" s="50">
        <v>1</v>
      </c>
      <c r="H5448" s="50" t="s">
        <v>2</v>
      </c>
      <c r="I5448" s="50" t="s">
        <v>289</v>
      </c>
      <c r="J5448" s="51">
        <v>45933</v>
      </c>
      <c r="K5448" s="50" t="s">
        <v>1</v>
      </c>
      <c r="L5448" s="50" t="s">
        <v>80</v>
      </c>
    </row>
    <row r="5449" spans="2:12">
      <c r="B5449" s="50" t="s">
        <v>446</v>
      </c>
      <c r="C5449" s="50" t="s">
        <v>56</v>
      </c>
      <c r="D5449" s="50" t="s">
        <v>27</v>
      </c>
      <c r="E5449" s="50">
        <v>50043917</v>
      </c>
      <c r="F5449" s="50" t="s">
        <v>262</v>
      </c>
      <c r="G5449" s="50">
        <v>1</v>
      </c>
      <c r="H5449" s="50" t="s">
        <v>2</v>
      </c>
      <c r="I5449" s="50" t="s">
        <v>288</v>
      </c>
      <c r="J5449" s="51">
        <v>45933</v>
      </c>
      <c r="K5449" s="50" t="s">
        <v>1</v>
      </c>
      <c r="L5449" s="50" t="s">
        <v>80</v>
      </c>
    </row>
    <row r="5450" spans="2:12">
      <c r="B5450" s="50" t="s">
        <v>427</v>
      </c>
      <c r="C5450" s="50" t="s">
        <v>26</v>
      </c>
      <c r="D5450" s="50" t="s">
        <v>27</v>
      </c>
      <c r="E5450" s="50">
        <v>50012903</v>
      </c>
      <c r="F5450" s="50" t="s">
        <v>308</v>
      </c>
      <c r="G5450" s="50">
        <v>1</v>
      </c>
      <c r="H5450" s="50" t="s">
        <v>2</v>
      </c>
      <c r="I5450" s="50" t="s">
        <v>288</v>
      </c>
      <c r="J5450" s="51">
        <v>45933</v>
      </c>
      <c r="K5450" s="50" t="s">
        <v>3</v>
      </c>
      <c r="L5450" s="50" t="s">
        <v>80</v>
      </c>
    </row>
    <row r="5451" spans="2:12">
      <c r="B5451" s="50" t="s">
        <v>427</v>
      </c>
      <c r="C5451" s="50" t="s">
        <v>26</v>
      </c>
      <c r="D5451" s="50" t="s">
        <v>27</v>
      </c>
      <c r="E5451" s="50">
        <v>50012903</v>
      </c>
      <c r="F5451" s="50" t="s">
        <v>308</v>
      </c>
      <c r="G5451" s="50">
        <v>1</v>
      </c>
      <c r="H5451" s="50" t="s">
        <v>2</v>
      </c>
      <c r="I5451" s="50" t="s">
        <v>288</v>
      </c>
      <c r="J5451" s="51">
        <v>45933</v>
      </c>
      <c r="K5451" s="50" t="s">
        <v>1</v>
      </c>
      <c r="L5451" s="50" t="s">
        <v>80</v>
      </c>
    </row>
    <row r="5452" spans="2:12">
      <c r="B5452" s="50" t="s">
        <v>386</v>
      </c>
      <c r="C5452" s="50" t="s">
        <v>26</v>
      </c>
      <c r="D5452" s="50" t="s">
        <v>27</v>
      </c>
      <c r="E5452" s="50">
        <v>50032775</v>
      </c>
      <c r="F5452" s="50" t="s">
        <v>307</v>
      </c>
      <c r="G5452" s="50">
        <v>1</v>
      </c>
      <c r="H5452" s="50" t="s">
        <v>2</v>
      </c>
      <c r="I5452" s="50" t="s">
        <v>288</v>
      </c>
      <c r="J5452" s="51">
        <v>45933</v>
      </c>
      <c r="K5452" s="50" t="s">
        <v>3</v>
      </c>
      <c r="L5452" s="50" t="s">
        <v>80</v>
      </c>
    </row>
    <row r="5453" spans="2:12">
      <c r="B5453" s="50" t="s">
        <v>386</v>
      </c>
      <c r="C5453" s="50" t="s">
        <v>26</v>
      </c>
      <c r="D5453" s="50" t="s">
        <v>27</v>
      </c>
      <c r="E5453" s="50">
        <v>50032775</v>
      </c>
      <c r="F5453" s="50" t="s">
        <v>307</v>
      </c>
      <c r="G5453" s="50">
        <v>1</v>
      </c>
      <c r="H5453" s="50" t="s">
        <v>2</v>
      </c>
      <c r="I5453" s="50" t="s">
        <v>288</v>
      </c>
      <c r="J5453" s="51">
        <v>45933</v>
      </c>
      <c r="K5453" s="50" t="s">
        <v>1</v>
      </c>
      <c r="L5453" s="50" t="s">
        <v>80</v>
      </c>
    </row>
    <row r="5454" spans="2:12">
      <c r="B5454" s="50" t="s">
        <v>345</v>
      </c>
      <c r="C5454" s="50" t="s">
        <v>62</v>
      </c>
      <c r="D5454" s="50" t="s">
        <v>27</v>
      </c>
      <c r="E5454" s="50">
        <v>50038840</v>
      </c>
      <c r="F5454" s="50" t="s">
        <v>235</v>
      </c>
      <c r="G5454" s="50">
        <v>1</v>
      </c>
      <c r="H5454" s="50" t="s">
        <v>2</v>
      </c>
      <c r="I5454" s="50" t="s">
        <v>289</v>
      </c>
      <c r="J5454" s="51">
        <v>45933</v>
      </c>
      <c r="K5454" s="50" t="s">
        <v>3</v>
      </c>
      <c r="L5454" s="50" t="s">
        <v>80</v>
      </c>
    </row>
    <row r="5455" spans="2:12">
      <c r="B5455" s="50" t="s">
        <v>345</v>
      </c>
      <c r="C5455" s="50" t="s">
        <v>62</v>
      </c>
      <c r="D5455" s="50" t="s">
        <v>27</v>
      </c>
      <c r="E5455" s="50">
        <v>50038840</v>
      </c>
      <c r="F5455" s="50" t="s">
        <v>235</v>
      </c>
      <c r="G5455" s="50">
        <v>1</v>
      </c>
      <c r="H5455" s="50" t="s">
        <v>2</v>
      </c>
      <c r="I5455" s="50" t="s">
        <v>289</v>
      </c>
      <c r="J5455" s="51">
        <v>45933</v>
      </c>
      <c r="K5455" s="50" t="s">
        <v>1</v>
      </c>
      <c r="L5455" s="50" t="s">
        <v>80</v>
      </c>
    </row>
    <row r="5456" spans="2:12">
      <c r="B5456" s="50" t="s">
        <v>466</v>
      </c>
      <c r="C5456" s="50" t="s">
        <v>62</v>
      </c>
      <c r="D5456" s="50" t="s">
        <v>27</v>
      </c>
      <c r="E5456" s="50">
        <v>50041194</v>
      </c>
      <c r="F5456" s="50" t="s">
        <v>249</v>
      </c>
      <c r="G5456" s="50">
        <v>1</v>
      </c>
      <c r="H5456" s="50" t="s">
        <v>2</v>
      </c>
      <c r="I5456" s="50" t="s">
        <v>289</v>
      </c>
      <c r="J5456" s="51">
        <v>45933</v>
      </c>
      <c r="K5456" s="50" t="s">
        <v>1</v>
      </c>
      <c r="L5456" s="50" t="s">
        <v>80</v>
      </c>
    </row>
    <row r="5457" spans="2:12">
      <c r="B5457" s="50" t="s">
        <v>481</v>
      </c>
      <c r="C5457" s="50" t="s">
        <v>56</v>
      </c>
      <c r="D5457" s="50" t="s">
        <v>27</v>
      </c>
      <c r="E5457" s="50">
        <v>50037933</v>
      </c>
      <c r="F5457" s="50" t="s">
        <v>250</v>
      </c>
      <c r="G5457" s="50">
        <v>1</v>
      </c>
      <c r="H5457" s="50" t="s">
        <v>2</v>
      </c>
      <c r="I5457" s="50" t="s">
        <v>289</v>
      </c>
      <c r="J5457" s="51">
        <v>45933</v>
      </c>
      <c r="K5457" s="50" t="s">
        <v>1</v>
      </c>
      <c r="L5457" s="50" t="s">
        <v>80</v>
      </c>
    </row>
    <row r="5458" spans="2:12">
      <c r="B5458" s="50" t="s">
        <v>478</v>
      </c>
      <c r="C5458" s="50" t="s">
        <v>51</v>
      </c>
      <c r="D5458" s="50" t="s">
        <v>27</v>
      </c>
      <c r="E5458" s="50">
        <v>50010031</v>
      </c>
      <c r="F5458" s="50" t="s">
        <v>89</v>
      </c>
      <c r="G5458" s="50">
        <v>1</v>
      </c>
      <c r="H5458" s="50" t="s">
        <v>2</v>
      </c>
      <c r="I5458" s="50" t="s">
        <v>291</v>
      </c>
      <c r="J5458" s="51">
        <v>45932</v>
      </c>
      <c r="K5458" s="50" t="s">
        <v>1</v>
      </c>
      <c r="L5458" s="50" t="s">
        <v>80</v>
      </c>
    </row>
    <row r="5459" spans="2:12">
      <c r="B5459" s="50" t="s">
        <v>439</v>
      </c>
      <c r="C5459" s="50" t="s">
        <v>62</v>
      </c>
      <c r="D5459" s="50" t="s">
        <v>27</v>
      </c>
      <c r="E5459" s="50">
        <v>50036086</v>
      </c>
      <c r="F5459" s="50" t="s">
        <v>28</v>
      </c>
      <c r="G5459" s="50">
        <v>1</v>
      </c>
      <c r="H5459" s="50" t="s">
        <v>2</v>
      </c>
      <c r="I5459" s="50" t="s">
        <v>291</v>
      </c>
      <c r="J5459" s="51">
        <v>45932</v>
      </c>
      <c r="K5459" s="50" t="s">
        <v>3</v>
      </c>
      <c r="L5459" s="50" t="s">
        <v>80</v>
      </c>
    </row>
    <row r="5460" spans="2:12">
      <c r="B5460" s="50" t="s">
        <v>439</v>
      </c>
      <c r="C5460" s="50" t="s">
        <v>62</v>
      </c>
      <c r="D5460" s="50" t="s">
        <v>27</v>
      </c>
      <c r="E5460" s="50">
        <v>50036086</v>
      </c>
      <c r="F5460" s="50" t="s">
        <v>28</v>
      </c>
      <c r="G5460" s="50">
        <v>1</v>
      </c>
      <c r="H5460" s="50" t="s">
        <v>2</v>
      </c>
      <c r="I5460" s="50" t="s">
        <v>291</v>
      </c>
      <c r="J5460" s="51">
        <v>45932</v>
      </c>
      <c r="K5460" s="50" t="s">
        <v>1</v>
      </c>
      <c r="L5460" s="50" t="s">
        <v>80</v>
      </c>
    </row>
    <row r="5461" spans="2:12">
      <c r="B5461" s="50" t="e">
        <v>#N/A</v>
      </c>
      <c r="C5461" s="50" t="s">
        <v>26</v>
      </c>
      <c r="D5461" s="50" t="s">
        <v>27</v>
      </c>
      <c r="E5461" s="50">
        <v>50003173</v>
      </c>
      <c r="F5461" s="50" t="s">
        <v>74</v>
      </c>
      <c r="G5461" s="50">
        <v>1</v>
      </c>
      <c r="H5461" s="50" t="s">
        <v>2</v>
      </c>
      <c r="I5461" s="50" t="s">
        <v>290</v>
      </c>
      <c r="J5461" s="51">
        <v>45932</v>
      </c>
      <c r="K5461" s="50" t="s">
        <v>3</v>
      </c>
      <c r="L5461" s="50" t="s">
        <v>80</v>
      </c>
    </row>
    <row r="5462" spans="2:12">
      <c r="B5462" s="50" t="e">
        <v>#N/A</v>
      </c>
      <c r="C5462" s="50" t="s">
        <v>26</v>
      </c>
      <c r="D5462" s="50" t="s">
        <v>27</v>
      </c>
      <c r="E5462" s="50">
        <v>50003173</v>
      </c>
      <c r="F5462" s="50" t="s">
        <v>74</v>
      </c>
      <c r="G5462" s="50">
        <v>1</v>
      </c>
      <c r="H5462" s="50" t="s">
        <v>2</v>
      </c>
      <c r="I5462" s="50" t="s">
        <v>291</v>
      </c>
      <c r="J5462" s="51">
        <v>45932</v>
      </c>
      <c r="K5462" s="50" t="s">
        <v>1</v>
      </c>
      <c r="L5462" s="50" t="s">
        <v>318</v>
      </c>
    </row>
    <row r="5463" spans="2:12">
      <c r="B5463" s="50" t="s">
        <v>483</v>
      </c>
      <c r="C5463" s="50" t="s">
        <v>62</v>
      </c>
      <c r="D5463" s="50" t="s">
        <v>27</v>
      </c>
      <c r="E5463" s="50">
        <v>50030486</v>
      </c>
      <c r="F5463" s="50" t="s">
        <v>153</v>
      </c>
      <c r="G5463" s="50">
        <v>1</v>
      </c>
      <c r="H5463" s="50" t="s">
        <v>2</v>
      </c>
      <c r="I5463" s="50" t="s">
        <v>289</v>
      </c>
      <c r="J5463" s="51">
        <v>45932</v>
      </c>
      <c r="K5463" s="50" t="s">
        <v>3</v>
      </c>
      <c r="L5463" s="50" t="s">
        <v>80</v>
      </c>
    </row>
    <row r="5464" spans="2:12">
      <c r="B5464" s="50" t="s">
        <v>483</v>
      </c>
      <c r="C5464" s="50" t="s">
        <v>62</v>
      </c>
      <c r="D5464" s="50" t="s">
        <v>27</v>
      </c>
      <c r="E5464" s="50">
        <v>50030486</v>
      </c>
      <c r="F5464" s="50" t="s">
        <v>153</v>
      </c>
      <c r="G5464" s="50">
        <v>1</v>
      </c>
      <c r="H5464" s="50" t="s">
        <v>2</v>
      </c>
      <c r="I5464" s="50" t="s">
        <v>292</v>
      </c>
      <c r="J5464" s="51">
        <v>45932</v>
      </c>
      <c r="K5464" s="50" t="s">
        <v>1</v>
      </c>
      <c r="L5464" s="50" t="s">
        <v>80</v>
      </c>
    </row>
    <row r="5465" spans="2:12">
      <c r="B5465" s="50" t="s">
        <v>394</v>
      </c>
      <c r="C5465" s="50" t="s">
        <v>51</v>
      </c>
      <c r="D5465" s="50" t="s">
        <v>27</v>
      </c>
      <c r="E5465" s="50">
        <v>50043471</v>
      </c>
      <c r="F5465" s="50" t="s">
        <v>257</v>
      </c>
      <c r="G5465" s="50">
        <v>1</v>
      </c>
      <c r="H5465" s="50" t="s">
        <v>2</v>
      </c>
      <c r="I5465" s="50" t="s">
        <v>289</v>
      </c>
      <c r="J5465" s="51">
        <v>45932</v>
      </c>
      <c r="K5465" s="50" t="s">
        <v>3</v>
      </c>
      <c r="L5465" s="50" t="s">
        <v>80</v>
      </c>
    </row>
    <row r="5466" spans="2:12">
      <c r="B5466" s="50" t="s">
        <v>394</v>
      </c>
      <c r="C5466" s="50" t="s">
        <v>51</v>
      </c>
      <c r="D5466" s="50" t="s">
        <v>27</v>
      </c>
      <c r="E5466" s="50">
        <v>50043471</v>
      </c>
      <c r="F5466" s="50" t="s">
        <v>257</v>
      </c>
      <c r="G5466" s="50">
        <v>1</v>
      </c>
      <c r="H5466" s="50" t="s">
        <v>2</v>
      </c>
      <c r="I5466" s="50" t="s">
        <v>291</v>
      </c>
      <c r="J5466" s="51">
        <v>45932</v>
      </c>
      <c r="K5466" s="50" t="s">
        <v>1</v>
      </c>
      <c r="L5466" s="50" t="s">
        <v>80</v>
      </c>
    </row>
    <row r="5467" spans="2:12">
      <c r="B5467" s="50" t="s">
        <v>345</v>
      </c>
      <c r="C5467" s="50" t="s">
        <v>56</v>
      </c>
      <c r="D5467" s="50" t="s">
        <v>27</v>
      </c>
      <c r="E5467" s="50">
        <v>50003297</v>
      </c>
      <c r="F5467" s="50" t="s">
        <v>158</v>
      </c>
      <c r="G5467" s="50">
        <v>1</v>
      </c>
      <c r="H5467" s="50" t="s">
        <v>2</v>
      </c>
      <c r="I5467" s="50" t="s">
        <v>292</v>
      </c>
      <c r="J5467" s="51">
        <v>45932</v>
      </c>
      <c r="K5467" s="50" t="s">
        <v>3</v>
      </c>
      <c r="L5467" s="50" t="s">
        <v>80</v>
      </c>
    </row>
    <row r="5468" spans="2:12">
      <c r="B5468" s="50" t="s">
        <v>345</v>
      </c>
      <c r="C5468" s="50" t="s">
        <v>56</v>
      </c>
      <c r="D5468" s="50" t="s">
        <v>27</v>
      </c>
      <c r="E5468" s="50">
        <v>50003297</v>
      </c>
      <c r="F5468" s="50" t="s">
        <v>158</v>
      </c>
      <c r="G5468" s="50">
        <v>1</v>
      </c>
      <c r="H5468" s="50" t="s">
        <v>2</v>
      </c>
      <c r="I5468" s="50" t="s">
        <v>292</v>
      </c>
      <c r="J5468" s="51">
        <v>45932</v>
      </c>
      <c r="K5468" s="50" t="s">
        <v>3</v>
      </c>
      <c r="L5468" s="50" t="s">
        <v>80</v>
      </c>
    </row>
    <row r="5469" spans="2:12">
      <c r="B5469" s="50" t="s">
        <v>345</v>
      </c>
      <c r="C5469" s="50" t="s">
        <v>56</v>
      </c>
      <c r="D5469" s="50" t="s">
        <v>27</v>
      </c>
      <c r="E5469" s="50">
        <v>50044839</v>
      </c>
      <c r="F5469" s="50" t="s">
        <v>301</v>
      </c>
      <c r="G5469" s="50">
        <v>1</v>
      </c>
      <c r="H5469" s="50" t="s">
        <v>2</v>
      </c>
      <c r="I5469" s="50" t="s">
        <v>291</v>
      </c>
      <c r="J5469" s="51">
        <v>45932</v>
      </c>
      <c r="K5469" s="50" t="s">
        <v>1</v>
      </c>
      <c r="L5469" s="50" t="s">
        <v>80</v>
      </c>
    </row>
    <row r="5470" spans="2:12">
      <c r="B5470" s="50" t="s">
        <v>427</v>
      </c>
      <c r="C5470" s="50" t="s">
        <v>26</v>
      </c>
      <c r="D5470" s="50" t="s">
        <v>27</v>
      </c>
      <c r="E5470" s="50">
        <v>50022878</v>
      </c>
      <c r="F5470" s="50" t="s">
        <v>296</v>
      </c>
      <c r="G5470" s="50">
        <v>1</v>
      </c>
      <c r="H5470" s="50" t="s">
        <v>2</v>
      </c>
      <c r="I5470" s="50" t="s">
        <v>291</v>
      </c>
      <c r="J5470" s="51">
        <v>45932</v>
      </c>
      <c r="K5470" s="50" t="s">
        <v>3</v>
      </c>
      <c r="L5470" s="50" t="s">
        <v>80</v>
      </c>
    </row>
    <row r="5471" spans="2:12">
      <c r="B5471" s="50" t="s">
        <v>427</v>
      </c>
      <c r="C5471" s="50" t="s">
        <v>26</v>
      </c>
      <c r="D5471" s="50" t="s">
        <v>27</v>
      </c>
      <c r="E5471" s="50">
        <v>50022878</v>
      </c>
      <c r="F5471" s="50" t="s">
        <v>296</v>
      </c>
      <c r="G5471" s="50">
        <v>1</v>
      </c>
      <c r="H5471" s="50" t="s">
        <v>2</v>
      </c>
      <c r="I5471" s="50" t="s">
        <v>291</v>
      </c>
      <c r="J5471" s="51">
        <v>45932</v>
      </c>
      <c r="K5471" s="50" t="s">
        <v>1</v>
      </c>
      <c r="L5471" s="50" t="s">
        <v>80</v>
      </c>
    </row>
    <row r="5472" spans="2:12">
      <c r="B5472" s="50" t="e">
        <v>#N/A</v>
      </c>
      <c r="C5472" s="50" t="s">
        <v>62</v>
      </c>
      <c r="D5472" s="50" t="s">
        <v>27</v>
      </c>
      <c r="E5472" s="50">
        <v>50038956</v>
      </c>
      <c r="F5472" s="50" t="s">
        <v>177</v>
      </c>
      <c r="G5472" s="50">
        <v>1</v>
      </c>
      <c r="H5472" s="50" t="s">
        <v>2</v>
      </c>
      <c r="I5472" s="50" t="s">
        <v>289</v>
      </c>
      <c r="J5472" s="51">
        <v>45932</v>
      </c>
      <c r="K5472" s="50" t="s">
        <v>3</v>
      </c>
      <c r="L5472" s="50" t="s">
        <v>80</v>
      </c>
    </row>
    <row r="5473" spans="2:12">
      <c r="B5473" s="50" t="e">
        <v>#N/A</v>
      </c>
      <c r="C5473" s="50" t="s">
        <v>62</v>
      </c>
      <c r="D5473" s="50" t="s">
        <v>27</v>
      </c>
      <c r="E5473" s="50">
        <v>50038956</v>
      </c>
      <c r="F5473" s="50" t="s">
        <v>177</v>
      </c>
      <c r="G5473" s="50">
        <v>1</v>
      </c>
      <c r="H5473" s="50" t="s">
        <v>2</v>
      </c>
      <c r="I5473" s="50" t="s">
        <v>291</v>
      </c>
      <c r="J5473" s="51">
        <v>45932</v>
      </c>
      <c r="K5473" s="50" t="s">
        <v>3</v>
      </c>
      <c r="L5473" s="50" t="s">
        <v>80</v>
      </c>
    </row>
    <row r="5474" spans="2:12">
      <c r="B5474" s="50" t="s">
        <v>406</v>
      </c>
      <c r="C5474" s="50" t="s">
        <v>26</v>
      </c>
      <c r="D5474" s="50" t="s">
        <v>39</v>
      </c>
      <c r="E5474" s="50">
        <v>50037892</v>
      </c>
      <c r="F5474" s="50" t="s">
        <v>178</v>
      </c>
      <c r="G5474" s="50">
        <v>1</v>
      </c>
      <c r="H5474" s="50" t="s">
        <v>2</v>
      </c>
      <c r="I5474" s="50" t="s">
        <v>290</v>
      </c>
      <c r="J5474" s="51">
        <v>45932</v>
      </c>
      <c r="K5474" s="50" t="s">
        <v>1</v>
      </c>
      <c r="L5474" s="50" t="s">
        <v>80</v>
      </c>
    </row>
    <row r="5475" spans="2:12">
      <c r="B5475" s="50" t="s">
        <v>406</v>
      </c>
      <c r="C5475" s="50" t="s">
        <v>26</v>
      </c>
      <c r="D5475" s="50" t="s">
        <v>39</v>
      </c>
      <c r="E5475" s="50">
        <v>50037892</v>
      </c>
      <c r="F5475" s="50" t="s">
        <v>178</v>
      </c>
      <c r="G5475" s="50">
        <v>1</v>
      </c>
      <c r="H5475" s="50" t="s">
        <v>2</v>
      </c>
      <c r="I5475" s="50" t="s">
        <v>290</v>
      </c>
      <c r="J5475" s="51">
        <v>45932</v>
      </c>
      <c r="K5475" s="50" t="s">
        <v>3</v>
      </c>
      <c r="L5475" s="50" t="s">
        <v>80</v>
      </c>
    </row>
    <row r="5476" spans="2:12">
      <c r="B5476" s="50" t="s">
        <v>406</v>
      </c>
      <c r="C5476" s="50" t="s">
        <v>26</v>
      </c>
      <c r="D5476" s="50" t="s">
        <v>39</v>
      </c>
      <c r="E5476" s="50">
        <v>50037892</v>
      </c>
      <c r="F5476" s="50" t="s">
        <v>178</v>
      </c>
      <c r="G5476" s="50">
        <v>1</v>
      </c>
      <c r="H5476" s="50" t="s">
        <v>2</v>
      </c>
      <c r="I5476" s="50" t="s">
        <v>290</v>
      </c>
      <c r="J5476" s="51">
        <v>45932</v>
      </c>
      <c r="K5476" s="50" t="s">
        <v>1</v>
      </c>
      <c r="L5476" s="50" t="s">
        <v>80</v>
      </c>
    </row>
    <row r="5477" spans="2:12">
      <c r="B5477" s="50" t="s">
        <v>406</v>
      </c>
      <c r="C5477" s="50" t="s">
        <v>26</v>
      </c>
      <c r="D5477" s="50" t="s">
        <v>39</v>
      </c>
      <c r="E5477" s="50">
        <v>50037892</v>
      </c>
      <c r="F5477" s="50" t="s">
        <v>178</v>
      </c>
      <c r="G5477" s="50">
        <v>1</v>
      </c>
      <c r="H5477" s="50" t="s">
        <v>2</v>
      </c>
      <c r="I5477" s="50" t="s">
        <v>290</v>
      </c>
      <c r="J5477" s="51">
        <v>45932</v>
      </c>
      <c r="K5477" s="50" t="s">
        <v>3</v>
      </c>
      <c r="L5477" s="50" t="s">
        <v>80</v>
      </c>
    </row>
    <row r="5478" spans="2:12">
      <c r="B5478" s="50" t="s">
        <v>316</v>
      </c>
      <c r="C5478" s="50" t="s">
        <v>51</v>
      </c>
      <c r="D5478" s="50" t="s">
        <v>27</v>
      </c>
      <c r="E5478" s="50">
        <v>50037892</v>
      </c>
      <c r="F5478" s="50" t="s">
        <v>178</v>
      </c>
      <c r="G5478" s="50">
        <v>1</v>
      </c>
      <c r="H5478" s="50" t="s">
        <v>2</v>
      </c>
      <c r="I5478" s="50" t="s">
        <v>291</v>
      </c>
      <c r="J5478" s="51">
        <v>45932</v>
      </c>
      <c r="K5478" s="50" t="s">
        <v>1</v>
      </c>
      <c r="L5478" s="50" t="s">
        <v>80</v>
      </c>
    </row>
    <row r="5479" spans="2:12">
      <c r="B5479" s="50" t="s">
        <v>316</v>
      </c>
      <c r="C5479" s="50" t="s">
        <v>51</v>
      </c>
      <c r="D5479" s="50" t="s">
        <v>27</v>
      </c>
      <c r="E5479" s="50">
        <v>50037892</v>
      </c>
      <c r="F5479" s="50" t="s">
        <v>178</v>
      </c>
      <c r="G5479" s="50">
        <v>1</v>
      </c>
      <c r="H5479" s="50" t="s">
        <v>2</v>
      </c>
      <c r="I5479" s="50" t="s">
        <v>291</v>
      </c>
      <c r="J5479" s="51">
        <v>45932</v>
      </c>
      <c r="K5479" s="50" t="s">
        <v>3</v>
      </c>
      <c r="L5479" s="50" t="s">
        <v>80</v>
      </c>
    </row>
    <row r="5480" spans="2:12">
      <c r="B5480" s="50" t="s">
        <v>427</v>
      </c>
      <c r="C5480" s="50" t="s">
        <v>26</v>
      </c>
      <c r="D5480" s="50" t="s">
        <v>27</v>
      </c>
      <c r="E5480" s="50">
        <v>50037902</v>
      </c>
      <c r="F5480" s="50" t="s">
        <v>179</v>
      </c>
      <c r="G5480" s="50">
        <v>1</v>
      </c>
      <c r="H5480" s="50" t="s">
        <v>2</v>
      </c>
      <c r="I5480" s="50" t="s">
        <v>292</v>
      </c>
      <c r="J5480" s="51">
        <v>45932</v>
      </c>
      <c r="K5480" s="50" t="s">
        <v>1</v>
      </c>
      <c r="L5480" s="50" t="s">
        <v>80</v>
      </c>
    </row>
    <row r="5481" spans="2:12">
      <c r="B5481" s="50" t="s">
        <v>427</v>
      </c>
      <c r="C5481" s="50" t="s">
        <v>26</v>
      </c>
      <c r="D5481" s="50" t="s">
        <v>27</v>
      </c>
      <c r="E5481" s="50">
        <v>50037902</v>
      </c>
      <c r="F5481" s="50" t="s">
        <v>179</v>
      </c>
      <c r="G5481" s="50">
        <v>1</v>
      </c>
      <c r="H5481" s="50" t="s">
        <v>2</v>
      </c>
      <c r="I5481" s="50" t="s">
        <v>292</v>
      </c>
      <c r="J5481" s="51">
        <v>45932</v>
      </c>
      <c r="K5481" s="50" t="s">
        <v>3</v>
      </c>
      <c r="L5481" s="50" t="s">
        <v>80</v>
      </c>
    </row>
    <row r="5482" spans="2:12">
      <c r="B5482" s="50" t="s">
        <v>454</v>
      </c>
      <c r="C5482" s="50" t="s">
        <v>51</v>
      </c>
      <c r="D5482" s="50" t="s">
        <v>39</v>
      </c>
      <c r="E5482" s="50">
        <v>50038841</v>
      </c>
      <c r="F5482" s="50" t="s">
        <v>180</v>
      </c>
      <c r="G5482" s="50">
        <v>1</v>
      </c>
      <c r="H5482" s="50" t="s">
        <v>2</v>
      </c>
      <c r="I5482" s="50" t="s">
        <v>289</v>
      </c>
      <c r="J5482" s="51">
        <v>45932</v>
      </c>
      <c r="K5482" s="50" t="s">
        <v>1</v>
      </c>
      <c r="L5482" s="50" t="s">
        <v>80</v>
      </c>
    </row>
    <row r="5483" spans="2:12">
      <c r="B5483" s="50" t="s">
        <v>454</v>
      </c>
      <c r="C5483" s="50" t="s">
        <v>51</v>
      </c>
      <c r="D5483" s="50" t="s">
        <v>39</v>
      </c>
      <c r="E5483" s="50">
        <v>50038841</v>
      </c>
      <c r="F5483" s="50" t="s">
        <v>180</v>
      </c>
      <c r="G5483" s="50">
        <v>1</v>
      </c>
      <c r="H5483" s="50" t="s">
        <v>2</v>
      </c>
      <c r="I5483" s="50" t="s">
        <v>289</v>
      </c>
      <c r="J5483" s="51">
        <v>45932</v>
      </c>
      <c r="K5483" s="50" t="s">
        <v>3</v>
      </c>
      <c r="L5483" s="50" t="s">
        <v>80</v>
      </c>
    </row>
    <row r="5484" spans="2:12">
      <c r="B5484" s="50" t="s">
        <v>394</v>
      </c>
      <c r="C5484" s="50" t="s">
        <v>51</v>
      </c>
      <c r="D5484" s="50" t="s">
        <v>27</v>
      </c>
      <c r="E5484" s="50">
        <v>50038841</v>
      </c>
      <c r="F5484" s="50" t="s">
        <v>180</v>
      </c>
      <c r="G5484" s="50">
        <v>1</v>
      </c>
      <c r="H5484" s="50" t="s">
        <v>2</v>
      </c>
      <c r="I5484" s="50" t="s">
        <v>289</v>
      </c>
      <c r="J5484" s="51">
        <v>45932</v>
      </c>
      <c r="K5484" s="50" t="s">
        <v>1</v>
      </c>
      <c r="L5484" s="50" t="s">
        <v>80</v>
      </c>
    </row>
    <row r="5485" spans="2:12">
      <c r="B5485" s="50" t="s">
        <v>394</v>
      </c>
      <c r="C5485" s="50" t="s">
        <v>51</v>
      </c>
      <c r="D5485" s="50" t="s">
        <v>27</v>
      </c>
      <c r="E5485" s="50">
        <v>50038841</v>
      </c>
      <c r="F5485" s="50" t="s">
        <v>180</v>
      </c>
      <c r="G5485" s="50">
        <v>1</v>
      </c>
      <c r="H5485" s="50" t="s">
        <v>2</v>
      </c>
      <c r="I5485" s="50" t="s">
        <v>291</v>
      </c>
      <c r="J5485" s="51">
        <v>45932</v>
      </c>
      <c r="K5485" s="50" t="s">
        <v>3</v>
      </c>
      <c r="L5485" s="50" t="s">
        <v>80</v>
      </c>
    </row>
    <row r="5486" spans="2:12">
      <c r="B5486" s="50" t="s">
        <v>270</v>
      </c>
      <c r="C5486" s="50" t="s">
        <v>51</v>
      </c>
      <c r="D5486" s="50" t="s">
        <v>41</v>
      </c>
      <c r="E5486" s="50">
        <v>50038517</v>
      </c>
      <c r="F5486" s="50" t="s">
        <v>181</v>
      </c>
      <c r="G5486" s="50">
        <v>1</v>
      </c>
      <c r="H5486" s="50" t="s">
        <v>2</v>
      </c>
      <c r="I5486" s="50" t="s">
        <v>289</v>
      </c>
      <c r="J5486" s="51">
        <v>45932</v>
      </c>
      <c r="K5486" s="50" t="s">
        <v>1</v>
      </c>
      <c r="L5486" s="50" t="s">
        <v>80</v>
      </c>
    </row>
    <row r="5487" spans="2:12">
      <c r="B5487" s="50" t="s">
        <v>270</v>
      </c>
      <c r="C5487" s="50" t="s">
        <v>51</v>
      </c>
      <c r="D5487" s="50" t="s">
        <v>41</v>
      </c>
      <c r="E5487" s="50">
        <v>50038517</v>
      </c>
      <c r="F5487" s="50" t="s">
        <v>181</v>
      </c>
      <c r="G5487" s="50">
        <v>1</v>
      </c>
      <c r="H5487" s="50" t="s">
        <v>2</v>
      </c>
      <c r="I5487" s="50" t="s">
        <v>291</v>
      </c>
      <c r="J5487" s="51">
        <v>45932</v>
      </c>
      <c r="K5487" s="50" t="s">
        <v>3</v>
      </c>
      <c r="L5487" s="50" t="s">
        <v>80</v>
      </c>
    </row>
    <row r="5488" spans="2:12">
      <c r="B5488" s="50" t="s">
        <v>457</v>
      </c>
      <c r="C5488" s="50" t="s">
        <v>61</v>
      </c>
      <c r="D5488" s="50" t="s">
        <v>41</v>
      </c>
      <c r="E5488" s="50">
        <v>50038517</v>
      </c>
      <c r="F5488" s="50" t="s">
        <v>181</v>
      </c>
      <c r="G5488" s="50">
        <v>1</v>
      </c>
      <c r="H5488" s="50" t="s">
        <v>2</v>
      </c>
      <c r="I5488" s="50" t="s">
        <v>291</v>
      </c>
      <c r="J5488" s="51">
        <v>45932</v>
      </c>
      <c r="K5488" s="50" t="s">
        <v>1</v>
      </c>
      <c r="L5488" s="50" t="s">
        <v>80</v>
      </c>
    </row>
    <row r="5489" spans="2:12">
      <c r="B5489" s="50" t="s">
        <v>457</v>
      </c>
      <c r="C5489" s="50" t="s">
        <v>61</v>
      </c>
      <c r="D5489" s="50" t="s">
        <v>41</v>
      </c>
      <c r="E5489" s="50">
        <v>50038517</v>
      </c>
      <c r="F5489" s="50" t="s">
        <v>181</v>
      </c>
      <c r="G5489" s="50">
        <v>1</v>
      </c>
      <c r="H5489" s="50" t="s">
        <v>2</v>
      </c>
      <c r="I5489" s="50" t="s">
        <v>291</v>
      </c>
      <c r="J5489" s="51">
        <v>45932</v>
      </c>
      <c r="K5489" s="50" t="s">
        <v>3</v>
      </c>
      <c r="L5489" s="50" t="s">
        <v>80</v>
      </c>
    </row>
    <row r="5490" spans="2:12">
      <c r="B5490" s="50" t="s">
        <v>478</v>
      </c>
      <c r="C5490" s="50" t="s">
        <v>51</v>
      </c>
      <c r="D5490" s="50" t="s">
        <v>27</v>
      </c>
      <c r="E5490" s="50">
        <v>50038517</v>
      </c>
      <c r="F5490" s="50" t="s">
        <v>181</v>
      </c>
      <c r="G5490" s="50">
        <v>1</v>
      </c>
      <c r="H5490" s="50" t="s">
        <v>2</v>
      </c>
      <c r="I5490" s="50" t="s">
        <v>291</v>
      </c>
      <c r="J5490" s="51">
        <v>45932</v>
      </c>
      <c r="K5490" s="59" t="s">
        <v>3</v>
      </c>
      <c r="L5490" s="50" t="s">
        <v>80</v>
      </c>
    </row>
    <row r="5491" spans="2:12">
      <c r="B5491" s="50" t="s">
        <v>478</v>
      </c>
      <c r="C5491" s="50" t="s">
        <v>51</v>
      </c>
      <c r="D5491" s="50" t="s">
        <v>27</v>
      </c>
      <c r="E5491" s="50">
        <v>50038517</v>
      </c>
      <c r="F5491" s="50" t="s">
        <v>181</v>
      </c>
      <c r="G5491" s="50">
        <v>1</v>
      </c>
      <c r="H5491" s="50" t="s">
        <v>2</v>
      </c>
      <c r="I5491" s="50" t="s">
        <v>291</v>
      </c>
      <c r="J5491" s="51">
        <v>45932</v>
      </c>
      <c r="K5491" s="50" t="s">
        <v>1</v>
      </c>
      <c r="L5491" s="50" t="s">
        <v>80</v>
      </c>
    </row>
    <row r="5492" spans="2:12">
      <c r="B5492" s="50" t="e">
        <v>#N/A</v>
      </c>
      <c r="C5492" s="58" t="s">
        <v>56</v>
      </c>
      <c r="D5492" s="58" t="s">
        <v>27</v>
      </c>
      <c r="E5492" s="50">
        <v>50038517</v>
      </c>
      <c r="F5492" s="50" t="s">
        <v>181</v>
      </c>
      <c r="G5492" s="58">
        <v>1</v>
      </c>
      <c r="H5492" s="59" t="s">
        <v>2</v>
      </c>
      <c r="I5492" s="59" t="s">
        <v>310</v>
      </c>
      <c r="J5492" s="63">
        <v>45932</v>
      </c>
      <c r="K5492" s="50" t="s">
        <v>1</v>
      </c>
      <c r="L5492" s="50" t="s">
        <v>80</v>
      </c>
    </row>
    <row r="5493" spans="2:12">
      <c r="B5493" s="50" t="s">
        <v>483</v>
      </c>
      <c r="C5493" s="50" t="s">
        <v>62</v>
      </c>
      <c r="D5493" s="50" t="s">
        <v>27</v>
      </c>
      <c r="E5493" s="50">
        <v>50001995</v>
      </c>
      <c r="F5493" s="50" t="s">
        <v>185</v>
      </c>
      <c r="G5493" s="50">
        <v>1</v>
      </c>
      <c r="H5493" s="50" t="s">
        <v>2</v>
      </c>
      <c r="I5493" s="50" t="s">
        <v>292</v>
      </c>
      <c r="J5493" s="51">
        <v>45932</v>
      </c>
      <c r="K5493" s="50" t="s">
        <v>3</v>
      </c>
      <c r="L5493" s="50" t="s">
        <v>80</v>
      </c>
    </row>
    <row r="5494" spans="2:12">
      <c r="B5494" s="50" t="s">
        <v>483</v>
      </c>
      <c r="C5494" s="50" t="s">
        <v>62</v>
      </c>
      <c r="D5494" s="50" t="s">
        <v>27</v>
      </c>
      <c r="E5494" s="50">
        <v>50001995</v>
      </c>
      <c r="F5494" s="50" t="s">
        <v>185</v>
      </c>
      <c r="G5494" s="50">
        <v>1</v>
      </c>
      <c r="H5494" s="50" t="s">
        <v>2</v>
      </c>
      <c r="I5494" s="50" t="s">
        <v>290</v>
      </c>
      <c r="J5494" s="51">
        <v>45932</v>
      </c>
      <c r="K5494" s="50" t="s">
        <v>1</v>
      </c>
      <c r="L5494" s="50" t="s">
        <v>80</v>
      </c>
    </row>
    <row r="5495" spans="2:12">
      <c r="B5495" s="50" t="s">
        <v>427</v>
      </c>
      <c r="C5495" s="50" t="s">
        <v>26</v>
      </c>
      <c r="D5495" s="50" t="s">
        <v>27</v>
      </c>
      <c r="E5495" s="50">
        <v>50039065</v>
      </c>
      <c r="F5495" s="50" t="s">
        <v>186</v>
      </c>
      <c r="G5495" s="50">
        <v>1</v>
      </c>
      <c r="H5495" s="50" t="s">
        <v>2</v>
      </c>
      <c r="I5495" s="50" t="s">
        <v>292</v>
      </c>
      <c r="J5495" s="51">
        <v>45932</v>
      </c>
      <c r="K5495" s="50" t="s">
        <v>3</v>
      </c>
      <c r="L5495" s="50" t="s">
        <v>80</v>
      </c>
    </row>
    <row r="5496" spans="2:12">
      <c r="B5496" s="50" t="s">
        <v>427</v>
      </c>
      <c r="C5496" s="50" t="s">
        <v>26</v>
      </c>
      <c r="D5496" s="50" t="s">
        <v>27</v>
      </c>
      <c r="E5496" s="50">
        <v>50039065</v>
      </c>
      <c r="F5496" s="50" t="s">
        <v>186</v>
      </c>
      <c r="G5496" s="50">
        <v>1</v>
      </c>
      <c r="H5496" s="50" t="s">
        <v>2</v>
      </c>
      <c r="I5496" s="50" t="s">
        <v>292</v>
      </c>
      <c r="J5496" s="51">
        <v>45932</v>
      </c>
      <c r="K5496" s="50" t="s">
        <v>3</v>
      </c>
      <c r="L5496" s="50" t="s">
        <v>80</v>
      </c>
    </row>
    <row r="5497" spans="2:12">
      <c r="B5497" s="50" t="s">
        <v>427</v>
      </c>
      <c r="C5497" s="50" t="s">
        <v>26</v>
      </c>
      <c r="D5497" s="50" t="s">
        <v>27</v>
      </c>
      <c r="E5497" s="50">
        <v>50041195</v>
      </c>
      <c r="F5497" s="50" t="s">
        <v>206</v>
      </c>
      <c r="G5497" s="50">
        <v>1</v>
      </c>
      <c r="H5497" s="50" t="s">
        <v>2</v>
      </c>
      <c r="I5497" s="50" t="s">
        <v>289</v>
      </c>
      <c r="J5497" s="51">
        <v>45932</v>
      </c>
      <c r="K5497" s="50" t="s">
        <v>1</v>
      </c>
      <c r="L5497" s="50" t="s">
        <v>80</v>
      </c>
    </row>
    <row r="5498" spans="2:12">
      <c r="B5498" s="50" t="s">
        <v>427</v>
      </c>
      <c r="C5498" s="50" t="s">
        <v>26</v>
      </c>
      <c r="D5498" s="50" t="s">
        <v>27</v>
      </c>
      <c r="E5498" s="50">
        <v>50041195</v>
      </c>
      <c r="F5498" s="50" t="s">
        <v>206</v>
      </c>
      <c r="G5498" s="50">
        <v>1</v>
      </c>
      <c r="H5498" s="50" t="s">
        <v>2</v>
      </c>
      <c r="I5498" s="50" t="s">
        <v>292</v>
      </c>
      <c r="J5498" s="51">
        <v>45932</v>
      </c>
      <c r="K5498" s="50" t="s">
        <v>3</v>
      </c>
      <c r="L5498" s="50" t="s">
        <v>80</v>
      </c>
    </row>
    <row r="5499" spans="2:12">
      <c r="B5499" s="50" t="s">
        <v>316</v>
      </c>
      <c r="C5499" s="50" t="s">
        <v>51</v>
      </c>
      <c r="D5499" s="50" t="s">
        <v>27</v>
      </c>
      <c r="E5499" s="50">
        <v>50041195</v>
      </c>
      <c r="F5499" s="50" t="s">
        <v>206</v>
      </c>
      <c r="G5499" s="50">
        <v>1</v>
      </c>
      <c r="H5499" s="50" t="s">
        <v>2</v>
      </c>
      <c r="I5499" s="50" t="s">
        <v>290</v>
      </c>
      <c r="J5499" s="51">
        <v>45932</v>
      </c>
      <c r="K5499" s="59" t="s">
        <v>3</v>
      </c>
      <c r="L5499" s="50" t="s">
        <v>80</v>
      </c>
    </row>
    <row r="5500" spans="2:12">
      <c r="B5500" s="50" t="s">
        <v>316</v>
      </c>
      <c r="C5500" s="50" t="s">
        <v>51</v>
      </c>
      <c r="D5500" s="50" t="s">
        <v>27</v>
      </c>
      <c r="E5500" s="50">
        <v>50041195</v>
      </c>
      <c r="F5500" s="50" t="s">
        <v>206</v>
      </c>
      <c r="G5500" s="50">
        <v>1</v>
      </c>
      <c r="H5500" s="50" t="s">
        <v>2</v>
      </c>
      <c r="I5500" s="50" t="s">
        <v>291</v>
      </c>
      <c r="J5500" s="51">
        <v>45932</v>
      </c>
      <c r="K5500" s="50" t="s">
        <v>1</v>
      </c>
      <c r="L5500" s="50" t="s">
        <v>80</v>
      </c>
    </row>
    <row r="5501" spans="2:12">
      <c r="B5501" s="50" t="e">
        <v>#N/A</v>
      </c>
      <c r="C5501" s="58" t="s">
        <v>56</v>
      </c>
      <c r="D5501" s="58" t="s">
        <v>27</v>
      </c>
      <c r="E5501" s="50">
        <v>50041195</v>
      </c>
      <c r="F5501" s="50" t="s">
        <v>206</v>
      </c>
      <c r="G5501" s="58">
        <v>1</v>
      </c>
      <c r="H5501" s="59" t="s">
        <v>2</v>
      </c>
      <c r="I5501" s="59" t="s">
        <v>310</v>
      </c>
      <c r="J5501" s="60">
        <v>45932</v>
      </c>
      <c r="K5501" s="50" t="s">
        <v>3</v>
      </c>
      <c r="L5501" s="50" t="s">
        <v>80</v>
      </c>
    </row>
    <row r="5502" spans="2:12">
      <c r="B5502" s="50" t="s">
        <v>478</v>
      </c>
      <c r="C5502" s="50" t="s">
        <v>51</v>
      </c>
      <c r="D5502" s="50" t="s">
        <v>27</v>
      </c>
      <c r="E5502" s="50">
        <v>50043917</v>
      </c>
      <c r="F5502" s="50" t="s">
        <v>262</v>
      </c>
      <c r="G5502" s="50">
        <v>1</v>
      </c>
      <c r="H5502" s="50" t="s">
        <v>2</v>
      </c>
      <c r="I5502" s="50" t="s">
        <v>291</v>
      </c>
      <c r="J5502" s="51">
        <v>45932</v>
      </c>
      <c r="K5502" s="50" t="s">
        <v>1</v>
      </c>
      <c r="L5502" s="50" t="s">
        <v>80</v>
      </c>
    </row>
    <row r="5503" spans="2:12">
      <c r="B5503" s="50" t="s">
        <v>478</v>
      </c>
      <c r="C5503" s="50" t="s">
        <v>51</v>
      </c>
      <c r="D5503" s="50" t="s">
        <v>27</v>
      </c>
      <c r="E5503" s="50">
        <v>50043917</v>
      </c>
      <c r="F5503" s="50" t="s">
        <v>262</v>
      </c>
      <c r="G5503" s="50">
        <v>1</v>
      </c>
      <c r="H5503" s="50" t="s">
        <v>2</v>
      </c>
      <c r="I5503" s="50" t="s">
        <v>291</v>
      </c>
      <c r="J5503" s="51">
        <v>45932</v>
      </c>
      <c r="K5503" s="50" t="s">
        <v>1</v>
      </c>
      <c r="L5503" s="50" t="s">
        <v>80</v>
      </c>
    </row>
    <row r="5504" spans="2:12">
      <c r="B5504" s="50" t="s">
        <v>316</v>
      </c>
      <c r="C5504" s="50" t="s">
        <v>51</v>
      </c>
      <c r="D5504" s="50" t="s">
        <v>27</v>
      </c>
      <c r="E5504" s="50">
        <v>50032781</v>
      </c>
      <c r="F5504" s="50" t="s">
        <v>237</v>
      </c>
      <c r="G5504" s="50">
        <v>1</v>
      </c>
      <c r="H5504" s="50" t="s">
        <v>2</v>
      </c>
      <c r="I5504" s="50" t="s">
        <v>291</v>
      </c>
      <c r="J5504" s="51">
        <v>45932</v>
      </c>
      <c r="K5504" s="50" t="s">
        <v>3</v>
      </c>
      <c r="L5504" s="50" t="s">
        <v>80</v>
      </c>
    </row>
    <row r="5505" spans="2:12">
      <c r="B5505" s="50" t="s">
        <v>316</v>
      </c>
      <c r="C5505" s="50" t="s">
        <v>51</v>
      </c>
      <c r="D5505" s="50" t="s">
        <v>27</v>
      </c>
      <c r="E5505" s="50">
        <v>50032781</v>
      </c>
      <c r="F5505" s="50" t="s">
        <v>237</v>
      </c>
      <c r="G5505" s="50">
        <v>1</v>
      </c>
      <c r="H5505" s="50" t="s">
        <v>2</v>
      </c>
      <c r="I5505" s="50" t="s">
        <v>291</v>
      </c>
      <c r="J5505" s="51">
        <v>45932</v>
      </c>
      <c r="K5505" s="50" t="s">
        <v>3</v>
      </c>
      <c r="L5505" s="50" t="s">
        <v>80</v>
      </c>
    </row>
    <row r="5506" spans="2:12">
      <c r="B5506" s="50" t="s">
        <v>466</v>
      </c>
      <c r="C5506" s="50" t="s">
        <v>62</v>
      </c>
      <c r="D5506" s="50" t="s">
        <v>27</v>
      </c>
      <c r="E5506" s="50">
        <v>50041194</v>
      </c>
      <c r="F5506" s="50" t="s">
        <v>249</v>
      </c>
      <c r="G5506" s="50">
        <v>1</v>
      </c>
      <c r="H5506" s="50" t="s">
        <v>2</v>
      </c>
      <c r="I5506" s="50" t="s">
        <v>291</v>
      </c>
      <c r="J5506" s="51">
        <v>45932</v>
      </c>
      <c r="K5506" s="50" t="s">
        <v>3</v>
      </c>
      <c r="L5506" s="50" t="s">
        <v>80</v>
      </c>
    </row>
    <row r="5507" spans="2:12">
      <c r="B5507" s="50" t="s">
        <v>481</v>
      </c>
      <c r="C5507" s="50" t="s">
        <v>56</v>
      </c>
      <c r="D5507" s="50" t="s">
        <v>27</v>
      </c>
      <c r="E5507" s="50">
        <v>50037933</v>
      </c>
      <c r="F5507" s="50" t="s">
        <v>250</v>
      </c>
      <c r="G5507" s="50">
        <v>1</v>
      </c>
      <c r="H5507" s="50" t="s">
        <v>2</v>
      </c>
      <c r="I5507" s="50" t="s">
        <v>292</v>
      </c>
      <c r="J5507" s="51">
        <v>45932</v>
      </c>
      <c r="K5507" s="50" t="s">
        <v>1</v>
      </c>
      <c r="L5507" s="50" t="s">
        <v>80</v>
      </c>
    </row>
    <row r="5508" spans="2:12">
      <c r="B5508" s="50" t="s">
        <v>322</v>
      </c>
      <c r="C5508" s="50" t="s">
        <v>286</v>
      </c>
      <c r="D5508" s="50" t="s">
        <v>41</v>
      </c>
      <c r="E5508" s="50">
        <v>50036298</v>
      </c>
      <c r="F5508" s="50" t="s">
        <v>102</v>
      </c>
      <c r="G5508" s="50">
        <v>1</v>
      </c>
      <c r="H5508" s="50" t="s">
        <v>2</v>
      </c>
      <c r="I5508" s="50" t="s">
        <v>290</v>
      </c>
      <c r="J5508" s="51">
        <v>45931</v>
      </c>
      <c r="K5508" s="50" t="s">
        <v>3</v>
      </c>
      <c r="L5508" s="50" t="s">
        <v>80</v>
      </c>
    </row>
    <row r="5509" spans="2:12">
      <c r="B5509" s="50" t="s">
        <v>322</v>
      </c>
      <c r="C5509" s="50" t="s">
        <v>286</v>
      </c>
      <c r="D5509" s="50" t="s">
        <v>41</v>
      </c>
      <c r="E5509" s="50">
        <v>50036298</v>
      </c>
      <c r="F5509" s="50" t="s">
        <v>102</v>
      </c>
      <c r="G5509" s="50">
        <v>1</v>
      </c>
      <c r="H5509" s="50" t="s">
        <v>2</v>
      </c>
      <c r="I5509" s="50" t="s">
        <v>290</v>
      </c>
      <c r="J5509" s="51">
        <v>45931</v>
      </c>
      <c r="K5509" s="50" t="s">
        <v>1</v>
      </c>
      <c r="L5509" s="50" t="s">
        <v>80</v>
      </c>
    </row>
    <row r="5510" spans="2:12">
      <c r="B5510" s="50" t="s">
        <v>316</v>
      </c>
      <c r="C5510" s="50" t="s">
        <v>51</v>
      </c>
      <c r="D5510" s="50" t="s">
        <v>27</v>
      </c>
      <c r="E5510" s="50">
        <v>50039718</v>
      </c>
      <c r="F5510" s="50" t="s">
        <v>149</v>
      </c>
      <c r="G5510" s="50">
        <v>1</v>
      </c>
      <c r="H5510" s="50" t="s">
        <v>2</v>
      </c>
      <c r="I5510" s="50" t="s">
        <v>288</v>
      </c>
      <c r="J5510" s="51">
        <v>45931</v>
      </c>
      <c r="K5510" s="50" t="s">
        <v>3</v>
      </c>
      <c r="L5510" s="50" t="s">
        <v>80</v>
      </c>
    </row>
    <row r="5511" spans="2:12">
      <c r="B5511" s="50" t="s">
        <v>316</v>
      </c>
      <c r="C5511" s="50" t="s">
        <v>51</v>
      </c>
      <c r="D5511" s="50" t="s">
        <v>27</v>
      </c>
      <c r="E5511" s="50">
        <v>50039718</v>
      </c>
      <c r="F5511" s="50" t="s">
        <v>149</v>
      </c>
      <c r="G5511" s="50">
        <v>1</v>
      </c>
      <c r="H5511" s="50" t="s">
        <v>2</v>
      </c>
      <c r="I5511" s="50" t="s">
        <v>288</v>
      </c>
      <c r="J5511" s="51">
        <v>45931</v>
      </c>
      <c r="K5511" s="50" t="s">
        <v>1</v>
      </c>
      <c r="L5511" s="50" t="s">
        <v>318</v>
      </c>
    </row>
    <row r="5512" spans="2:12">
      <c r="B5512" s="50" t="s">
        <v>474</v>
      </c>
      <c r="C5512" s="50" t="s">
        <v>51</v>
      </c>
      <c r="D5512" s="50" t="s">
        <v>27</v>
      </c>
      <c r="E5512" s="50">
        <v>50030486</v>
      </c>
      <c r="F5512" s="50" t="s">
        <v>153</v>
      </c>
      <c r="G5512" s="50">
        <v>1</v>
      </c>
      <c r="H5512" s="50" t="s">
        <v>2</v>
      </c>
      <c r="I5512" s="50" t="s">
        <v>289</v>
      </c>
      <c r="J5512" s="51">
        <v>45931</v>
      </c>
      <c r="K5512" s="50" t="s">
        <v>3</v>
      </c>
      <c r="L5512" s="50" t="s">
        <v>80</v>
      </c>
    </row>
    <row r="5513" spans="2:12">
      <c r="B5513" s="50" t="s">
        <v>474</v>
      </c>
      <c r="C5513" s="50" t="s">
        <v>51</v>
      </c>
      <c r="D5513" s="50" t="s">
        <v>27</v>
      </c>
      <c r="E5513" s="50">
        <v>50030486</v>
      </c>
      <c r="F5513" s="50" t="s">
        <v>153</v>
      </c>
      <c r="G5513" s="50">
        <v>1</v>
      </c>
      <c r="H5513" s="50" t="s">
        <v>2</v>
      </c>
      <c r="I5513" s="50" t="s">
        <v>288</v>
      </c>
      <c r="J5513" s="51">
        <v>45931</v>
      </c>
      <c r="K5513" s="50" t="s">
        <v>1</v>
      </c>
      <c r="L5513" s="50" t="s">
        <v>80</v>
      </c>
    </row>
    <row r="5514" spans="2:12">
      <c r="B5514" s="50" t="e">
        <v>#N/A</v>
      </c>
      <c r="C5514" s="50" t="s">
        <v>56</v>
      </c>
      <c r="D5514" s="50" t="s">
        <v>27</v>
      </c>
      <c r="E5514" s="50">
        <v>50043471</v>
      </c>
      <c r="F5514" s="50" t="s">
        <v>257</v>
      </c>
      <c r="G5514" s="50">
        <v>1</v>
      </c>
      <c r="H5514" s="50" t="s">
        <v>2</v>
      </c>
      <c r="I5514" s="50" t="s">
        <v>292</v>
      </c>
      <c r="J5514" s="51">
        <v>45931</v>
      </c>
      <c r="K5514" s="50" t="s">
        <v>3</v>
      </c>
      <c r="L5514" s="50" t="s">
        <v>80</v>
      </c>
    </row>
    <row r="5515" spans="2:12">
      <c r="B5515" s="50" t="e">
        <v>#N/A</v>
      </c>
      <c r="C5515" s="50" t="s">
        <v>56</v>
      </c>
      <c r="D5515" s="50" t="s">
        <v>27</v>
      </c>
      <c r="E5515" s="50">
        <v>50043471</v>
      </c>
      <c r="F5515" s="50" t="s">
        <v>257</v>
      </c>
      <c r="G5515" s="50">
        <v>1</v>
      </c>
      <c r="H5515" s="50" t="s">
        <v>2</v>
      </c>
      <c r="I5515" s="50" t="s">
        <v>288</v>
      </c>
      <c r="J5515" s="51">
        <v>45931</v>
      </c>
      <c r="K5515" s="59" t="s">
        <v>1</v>
      </c>
      <c r="L5515" s="50" t="s">
        <v>80</v>
      </c>
    </row>
    <row r="5516" spans="2:12">
      <c r="B5516" s="50" t="s">
        <v>432</v>
      </c>
      <c r="C5516" s="58" t="s">
        <v>26</v>
      </c>
      <c r="D5516" s="58" t="s">
        <v>36</v>
      </c>
      <c r="E5516" s="50">
        <v>50043471</v>
      </c>
      <c r="F5516" s="50" t="s">
        <v>257</v>
      </c>
      <c r="G5516" s="50">
        <v>1</v>
      </c>
      <c r="H5516" s="50" t="s">
        <v>2</v>
      </c>
      <c r="I5516" s="50" t="s">
        <v>325</v>
      </c>
      <c r="J5516" s="51">
        <v>45931</v>
      </c>
      <c r="K5516" s="50" t="s">
        <v>3</v>
      </c>
      <c r="L5516" s="50" t="s">
        <v>80</v>
      </c>
    </row>
    <row r="5517" spans="2:12">
      <c r="B5517" s="50" t="s">
        <v>432</v>
      </c>
      <c r="C5517" s="58" t="s">
        <v>26</v>
      </c>
      <c r="D5517" s="58" t="s">
        <v>36</v>
      </c>
      <c r="E5517" s="50">
        <v>50043471</v>
      </c>
      <c r="F5517" s="50" t="s">
        <v>257</v>
      </c>
      <c r="G5517" s="58">
        <v>1</v>
      </c>
      <c r="H5517" s="59" t="s">
        <v>2</v>
      </c>
      <c r="I5517" s="59" t="s">
        <v>325</v>
      </c>
      <c r="J5517" s="63">
        <v>45931</v>
      </c>
      <c r="K5517" s="50" t="s">
        <v>1</v>
      </c>
      <c r="L5517" s="50" t="s">
        <v>80</v>
      </c>
    </row>
    <row r="5518" spans="2:12">
      <c r="B5518" s="50" t="s">
        <v>469</v>
      </c>
      <c r="C5518" s="50" t="s">
        <v>26</v>
      </c>
      <c r="D5518" s="50" t="s">
        <v>39</v>
      </c>
      <c r="E5518" s="50">
        <v>50038549</v>
      </c>
      <c r="F5518" s="50" t="s">
        <v>173</v>
      </c>
      <c r="G5518" s="50">
        <v>1</v>
      </c>
      <c r="H5518" s="50" t="s">
        <v>2</v>
      </c>
      <c r="I5518" s="50" t="s">
        <v>289</v>
      </c>
      <c r="J5518" s="51">
        <v>45931</v>
      </c>
      <c r="K5518" s="50" t="s">
        <v>3</v>
      </c>
      <c r="L5518" s="50" t="s">
        <v>80</v>
      </c>
    </row>
    <row r="5519" spans="2:12">
      <c r="B5519" s="50" t="s">
        <v>469</v>
      </c>
      <c r="C5519" s="50" t="s">
        <v>26</v>
      </c>
      <c r="D5519" s="50" t="s">
        <v>39</v>
      </c>
      <c r="E5519" s="50">
        <v>50038549</v>
      </c>
      <c r="F5519" s="50" t="s">
        <v>173</v>
      </c>
      <c r="G5519" s="50">
        <v>1</v>
      </c>
      <c r="H5519" s="50" t="s">
        <v>2</v>
      </c>
      <c r="I5519" s="50" t="s">
        <v>289</v>
      </c>
      <c r="J5519" s="51">
        <v>45931</v>
      </c>
      <c r="K5519" s="50" t="s">
        <v>3</v>
      </c>
      <c r="L5519" s="50" t="s">
        <v>80</v>
      </c>
    </row>
    <row r="5520" spans="2:12">
      <c r="B5520" s="50" t="s">
        <v>481</v>
      </c>
      <c r="C5520" s="50" t="s">
        <v>56</v>
      </c>
      <c r="D5520" s="50" t="s">
        <v>27</v>
      </c>
      <c r="E5520" s="50">
        <v>50037892</v>
      </c>
      <c r="F5520" s="50" t="s">
        <v>178</v>
      </c>
      <c r="G5520" s="50">
        <v>1</v>
      </c>
      <c r="H5520" s="50" t="s">
        <v>2</v>
      </c>
      <c r="I5520" s="50" t="s">
        <v>293</v>
      </c>
      <c r="J5520" s="51">
        <v>45931</v>
      </c>
      <c r="K5520" s="64" t="s">
        <v>3</v>
      </c>
      <c r="L5520" s="50" t="s">
        <v>80</v>
      </c>
    </row>
    <row r="5521" spans="2:12">
      <c r="B5521" s="50" t="s">
        <v>481</v>
      </c>
      <c r="C5521" s="50" t="s">
        <v>56</v>
      </c>
      <c r="D5521" s="50" t="s">
        <v>27</v>
      </c>
      <c r="E5521" s="50">
        <v>50037892</v>
      </c>
      <c r="F5521" s="50" t="s">
        <v>178</v>
      </c>
      <c r="G5521" s="50">
        <v>1</v>
      </c>
      <c r="H5521" s="50" t="s">
        <v>2</v>
      </c>
      <c r="I5521" s="50" t="s">
        <v>288</v>
      </c>
      <c r="J5521" s="51">
        <v>45931</v>
      </c>
      <c r="K5521" s="50" t="s">
        <v>1</v>
      </c>
      <c r="L5521" s="50" t="s">
        <v>80</v>
      </c>
    </row>
    <row r="5522" spans="2:12">
      <c r="B5522" s="50" t="e">
        <v>#N/A</v>
      </c>
      <c r="C5522" s="64"/>
      <c r="D5522" s="64"/>
      <c r="E5522" s="64">
        <v>50037892</v>
      </c>
      <c r="F5522" s="64" t="s">
        <v>178</v>
      </c>
      <c r="G5522" s="64">
        <v>1</v>
      </c>
      <c r="H5522" s="64" t="s">
        <v>2</v>
      </c>
      <c r="I5522" s="64" t="s">
        <v>325</v>
      </c>
      <c r="J5522" s="65">
        <v>45931</v>
      </c>
      <c r="K5522" s="50" t="s">
        <v>1</v>
      </c>
      <c r="L5522" s="50" t="s">
        <v>80</v>
      </c>
    </row>
    <row r="5523" spans="2:12">
      <c r="B5523" s="50" t="e">
        <v>#N/A</v>
      </c>
      <c r="C5523" s="50"/>
      <c r="D5523" s="50"/>
      <c r="E5523" s="50">
        <v>50037892</v>
      </c>
      <c r="F5523" s="50" t="s">
        <v>178</v>
      </c>
      <c r="G5523" s="50">
        <v>1</v>
      </c>
      <c r="H5523" s="50" t="s">
        <v>2</v>
      </c>
      <c r="I5523" s="50" t="s">
        <v>325</v>
      </c>
      <c r="J5523" s="51">
        <v>45931</v>
      </c>
      <c r="K5523" s="50" t="s">
        <v>3</v>
      </c>
      <c r="L5523" s="50" t="s">
        <v>80</v>
      </c>
    </row>
    <row r="5524" spans="2:12">
      <c r="B5524" s="50" t="s">
        <v>474</v>
      </c>
      <c r="C5524" s="50" t="s">
        <v>51</v>
      </c>
      <c r="D5524" s="50" t="s">
        <v>27</v>
      </c>
      <c r="E5524" s="50">
        <v>50037902</v>
      </c>
      <c r="F5524" s="50" t="s">
        <v>179</v>
      </c>
      <c r="G5524" s="50">
        <v>1</v>
      </c>
      <c r="H5524" s="50" t="s">
        <v>2</v>
      </c>
      <c r="I5524" s="50" t="s">
        <v>289</v>
      </c>
      <c r="J5524" s="51">
        <v>45931</v>
      </c>
      <c r="K5524" s="50" t="s">
        <v>1</v>
      </c>
      <c r="L5524" s="50" t="s">
        <v>80</v>
      </c>
    </row>
    <row r="5525" spans="2:12">
      <c r="B5525" s="50" t="s">
        <v>474</v>
      </c>
      <c r="C5525" s="50" t="s">
        <v>51</v>
      </c>
      <c r="D5525" s="50" t="s">
        <v>27</v>
      </c>
      <c r="E5525" s="50">
        <v>50037902</v>
      </c>
      <c r="F5525" s="50" t="s">
        <v>179</v>
      </c>
      <c r="G5525" s="50">
        <v>1</v>
      </c>
      <c r="H5525" s="50" t="s">
        <v>2</v>
      </c>
      <c r="I5525" s="50" t="s">
        <v>288</v>
      </c>
      <c r="J5525" s="51">
        <v>45931</v>
      </c>
      <c r="K5525" s="50" t="s">
        <v>3</v>
      </c>
      <c r="L5525" s="50" t="s">
        <v>80</v>
      </c>
    </row>
    <row r="5526" spans="2:12">
      <c r="B5526" s="50" t="s">
        <v>483</v>
      </c>
      <c r="C5526" s="50" t="s">
        <v>62</v>
      </c>
      <c r="D5526" s="50" t="s">
        <v>27</v>
      </c>
      <c r="E5526" s="50">
        <v>50038841</v>
      </c>
      <c r="F5526" s="50" t="s">
        <v>180</v>
      </c>
      <c r="G5526" s="50">
        <v>1</v>
      </c>
      <c r="H5526" s="50" t="s">
        <v>2</v>
      </c>
      <c r="I5526" s="50" t="s">
        <v>289</v>
      </c>
      <c r="J5526" s="51">
        <v>45931</v>
      </c>
      <c r="K5526" s="50" t="s">
        <v>1</v>
      </c>
      <c r="L5526" s="50" t="s">
        <v>80</v>
      </c>
    </row>
    <row r="5527" spans="2:12">
      <c r="B5527" s="50" t="s">
        <v>483</v>
      </c>
      <c r="C5527" s="50" t="s">
        <v>62</v>
      </c>
      <c r="D5527" s="50" t="s">
        <v>27</v>
      </c>
      <c r="E5527" s="50">
        <v>50038841</v>
      </c>
      <c r="F5527" s="50" t="s">
        <v>180</v>
      </c>
      <c r="G5527" s="50">
        <v>1</v>
      </c>
      <c r="H5527" s="50" t="s">
        <v>2</v>
      </c>
      <c r="I5527" s="50" t="s">
        <v>288</v>
      </c>
      <c r="J5527" s="51">
        <v>45931</v>
      </c>
      <c r="K5527" s="50" t="s">
        <v>3</v>
      </c>
      <c r="L5527" s="50" t="s">
        <v>80</v>
      </c>
    </row>
    <row r="5528" spans="2:12">
      <c r="B5528" s="50" t="s">
        <v>466</v>
      </c>
      <c r="C5528" s="50" t="s">
        <v>62</v>
      </c>
      <c r="D5528" s="50" t="s">
        <v>27</v>
      </c>
      <c r="E5528" s="50">
        <v>50038517</v>
      </c>
      <c r="F5528" s="50" t="s">
        <v>181</v>
      </c>
      <c r="G5528" s="50">
        <v>1</v>
      </c>
      <c r="H5528" s="50" t="s">
        <v>2</v>
      </c>
      <c r="I5528" s="50" t="s">
        <v>292</v>
      </c>
      <c r="J5528" s="51">
        <v>45931</v>
      </c>
      <c r="K5528" s="50" t="s">
        <v>1</v>
      </c>
      <c r="L5528" s="50" t="s">
        <v>80</v>
      </c>
    </row>
    <row r="5529" spans="2:12">
      <c r="B5529" s="50" t="s">
        <v>466</v>
      </c>
      <c r="C5529" s="50" t="s">
        <v>62</v>
      </c>
      <c r="D5529" s="50" t="s">
        <v>27</v>
      </c>
      <c r="E5529" s="50">
        <v>50038517</v>
      </c>
      <c r="F5529" s="50" t="s">
        <v>181</v>
      </c>
      <c r="G5529" s="50">
        <v>1</v>
      </c>
      <c r="H5529" s="50" t="s">
        <v>2</v>
      </c>
      <c r="I5529" s="50" t="s">
        <v>293</v>
      </c>
      <c r="J5529" s="51">
        <v>45931</v>
      </c>
      <c r="K5529" s="50" t="s">
        <v>3</v>
      </c>
      <c r="L5529" s="50" t="s">
        <v>80</v>
      </c>
    </row>
    <row r="5530" spans="2:12">
      <c r="B5530" s="50" t="s">
        <v>427</v>
      </c>
      <c r="C5530" s="50" t="s">
        <v>26</v>
      </c>
      <c r="D5530" s="50" t="s">
        <v>27</v>
      </c>
      <c r="E5530" s="50">
        <v>50038517</v>
      </c>
      <c r="F5530" s="50" t="s">
        <v>181</v>
      </c>
      <c r="G5530" s="50">
        <v>1</v>
      </c>
      <c r="H5530" s="50" t="s">
        <v>2</v>
      </c>
      <c r="I5530" s="50" t="s">
        <v>292</v>
      </c>
      <c r="J5530" s="51">
        <v>45931</v>
      </c>
      <c r="K5530" s="50" t="s">
        <v>1</v>
      </c>
      <c r="L5530" s="50" t="s">
        <v>80</v>
      </c>
    </row>
    <row r="5531" spans="2:12">
      <c r="B5531" s="50" t="s">
        <v>427</v>
      </c>
      <c r="C5531" s="50" t="s">
        <v>26</v>
      </c>
      <c r="D5531" s="50" t="s">
        <v>27</v>
      </c>
      <c r="E5531" s="50">
        <v>50038517</v>
      </c>
      <c r="F5531" s="50" t="s">
        <v>181</v>
      </c>
      <c r="G5531" s="50">
        <v>1</v>
      </c>
      <c r="H5531" s="50" t="s">
        <v>2</v>
      </c>
      <c r="I5531" s="50" t="s">
        <v>292</v>
      </c>
      <c r="J5531" s="51">
        <v>45931</v>
      </c>
      <c r="K5531" s="50" t="s">
        <v>3</v>
      </c>
      <c r="L5531" s="50" t="s">
        <v>80</v>
      </c>
    </row>
    <row r="5532" spans="2:12">
      <c r="B5532" s="50" t="s">
        <v>396</v>
      </c>
      <c r="C5532" s="50" t="s">
        <v>26</v>
      </c>
      <c r="D5532" s="50" t="s">
        <v>41</v>
      </c>
      <c r="E5532" s="50">
        <v>50038517</v>
      </c>
      <c r="F5532" s="50" t="s">
        <v>181</v>
      </c>
      <c r="G5532" s="50">
        <v>1</v>
      </c>
      <c r="H5532" s="50" t="s">
        <v>2</v>
      </c>
      <c r="I5532" s="50" t="s">
        <v>293</v>
      </c>
      <c r="J5532" s="51">
        <v>45931</v>
      </c>
      <c r="K5532" s="50" t="s">
        <v>1</v>
      </c>
      <c r="L5532" s="50" t="s">
        <v>80</v>
      </c>
    </row>
    <row r="5533" spans="2:12">
      <c r="B5533" s="50" t="s">
        <v>396</v>
      </c>
      <c r="C5533" s="50" t="s">
        <v>26</v>
      </c>
      <c r="D5533" s="50" t="s">
        <v>41</v>
      </c>
      <c r="E5533" s="50">
        <v>50038517</v>
      </c>
      <c r="F5533" s="50" t="s">
        <v>181</v>
      </c>
      <c r="G5533" s="50">
        <v>1</v>
      </c>
      <c r="H5533" s="50" t="s">
        <v>2</v>
      </c>
      <c r="I5533" s="50" t="s">
        <v>288</v>
      </c>
      <c r="J5533" s="51">
        <v>45931</v>
      </c>
      <c r="K5533" s="50" t="s">
        <v>1</v>
      </c>
      <c r="L5533" s="50" t="s">
        <v>80</v>
      </c>
    </row>
    <row r="5534" spans="2:12">
      <c r="B5534" s="50" t="s">
        <v>461</v>
      </c>
      <c r="C5534" s="50" t="s">
        <v>26</v>
      </c>
      <c r="D5534" s="50" t="s">
        <v>39</v>
      </c>
      <c r="E5534" s="50">
        <v>50037926</v>
      </c>
      <c r="F5534" s="50" t="s">
        <v>184</v>
      </c>
      <c r="G5534" s="50">
        <v>1</v>
      </c>
      <c r="H5534" s="50" t="s">
        <v>2</v>
      </c>
      <c r="I5534" s="50" t="s">
        <v>289</v>
      </c>
      <c r="J5534" s="51">
        <v>45931</v>
      </c>
      <c r="K5534" s="50" t="s">
        <v>3</v>
      </c>
      <c r="L5534" s="50" t="s">
        <v>80</v>
      </c>
    </row>
    <row r="5535" spans="2:12">
      <c r="B5535" s="50" t="s">
        <v>461</v>
      </c>
      <c r="C5535" s="50" t="s">
        <v>26</v>
      </c>
      <c r="D5535" s="50" t="s">
        <v>39</v>
      </c>
      <c r="E5535" s="50">
        <v>50037926</v>
      </c>
      <c r="F5535" s="50" t="s">
        <v>184</v>
      </c>
      <c r="G5535" s="50">
        <v>1</v>
      </c>
      <c r="H5535" s="50" t="s">
        <v>2</v>
      </c>
      <c r="I5535" s="50" t="s">
        <v>289</v>
      </c>
      <c r="J5535" s="51">
        <v>45931</v>
      </c>
      <c r="K5535" s="50" t="s">
        <v>1</v>
      </c>
      <c r="L5535" s="50" t="s">
        <v>80</v>
      </c>
    </row>
    <row r="5536" spans="2:12">
      <c r="B5536" s="50" t="s">
        <v>445</v>
      </c>
      <c r="C5536" s="50" t="s">
        <v>51</v>
      </c>
      <c r="D5536" s="50" t="s">
        <v>41</v>
      </c>
      <c r="E5536" s="50">
        <v>50036297</v>
      </c>
      <c r="F5536" s="50" t="s">
        <v>189</v>
      </c>
      <c r="G5536" s="50">
        <v>1</v>
      </c>
      <c r="H5536" s="50" t="s">
        <v>2</v>
      </c>
      <c r="I5536" s="50" t="s">
        <v>293</v>
      </c>
      <c r="J5536" s="51">
        <v>45931</v>
      </c>
      <c r="K5536" s="50" t="s">
        <v>3</v>
      </c>
      <c r="L5536" s="50" t="s">
        <v>80</v>
      </c>
    </row>
    <row r="5537" spans="2:12">
      <c r="B5537" s="50" t="s">
        <v>445</v>
      </c>
      <c r="C5537" s="50" t="s">
        <v>51</v>
      </c>
      <c r="D5537" s="50" t="s">
        <v>41</v>
      </c>
      <c r="E5537" s="50">
        <v>50036297</v>
      </c>
      <c r="F5537" s="50" t="s">
        <v>189</v>
      </c>
      <c r="G5537" s="50">
        <v>1</v>
      </c>
      <c r="H5537" s="50" t="s">
        <v>2</v>
      </c>
      <c r="I5537" s="50" t="s">
        <v>288</v>
      </c>
      <c r="J5537" s="51">
        <v>45931</v>
      </c>
      <c r="K5537" s="50" t="s">
        <v>1</v>
      </c>
      <c r="L5537" s="50" t="s">
        <v>80</v>
      </c>
    </row>
    <row r="5538" spans="2:12">
      <c r="B5538" s="50" t="s">
        <v>474</v>
      </c>
      <c r="C5538" s="50" t="s">
        <v>51</v>
      </c>
      <c r="D5538" s="50" t="s">
        <v>27</v>
      </c>
      <c r="E5538" s="50">
        <v>50038626</v>
      </c>
      <c r="F5538" s="50" t="s">
        <v>190</v>
      </c>
      <c r="G5538" s="50">
        <v>1</v>
      </c>
      <c r="H5538" s="50" t="s">
        <v>2</v>
      </c>
      <c r="I5538" s="50" t="s">
        <v>288</v>
      </c>
      <c r="J5538" s="51">
        <v>45931</v>
      </c>
      <c r="K5538" s="50" t="s">
        <v>3</v>
      </c>
      <c r="L5538" s="50" t="s">
        <v>80</v>
      </c>
    </row>
    <row r="5539" spans="2:12">
      <c r="B5539" s="50" t="s">
        <v>316</v>
      </c>
      <c r="C5539" s="50" t="s">
        <v>51</v>
      </c>
      <c r="D5539" s="50" t="s">
        <v>27</v>
      </c>
      <c r="E5539" s="50">
        <v>50041195</v>
      </c>
      <c r="F5539" s="50" t="s">
        <v>206</v>
      </c>
      <c r="G5539" s="50">
        <v>1</v>
      </c>
      <c r="H5539" s="50" t="s">
        <v>2</v>
      </c>
      <c r="I5539" s="50" t="s">
        <v>289</v>
      </c>
      <c r="J5539" s="51">
        <v>45931</v>
      </c>
      <c r="K5539" s="50" t="s">
        <v>3</v>
      </c>
      <c r="L5539" s="50" t="s">
        <v>80</v>
      </c>
    </row>
    <row r="5540" spans="2:12">
      <c r="B5540" s="50" t="s">
        <v>316</v>
      </c>
      <c r="C5540" s="50" t="s">
        <v>51</v>
      </c>
      <c r="D5540" s="50" t="s">
        <v>27</v>
      </c>
      <c r="E5540" s="50">
        <v>50041195</v>
      </c>
      <c r="F5540" s="50" t="s">
        <v>206</v>
      </c>
      <c r="G5540" s="50">
        <v>1</v>
      </c>
      <c r="H5540" s="50" t="s">
        <v>2</v>
      </c>
      <c r="I5540" s="50" t="s">
        <v>288</v>
      </c>
      <c r="J5540" s="51">
        <v>45931</v>
      </c>
      <c r="K5540" s="50" t="s">
        <v>1</v>
      </c>
      <c r="L5540" s="50" t="s">
        <v>80</v>
      </c>
    </row>
    <row r="5541" spans="2:12">
      <c r="B5541" s="50" t="s">
        <v>345</v>
      </c>
      <c r="C5541" s="50" t="s">
        <v>62</v>
      </c>
      <c r="D5541" s="50" t="s">
        <v>27</v>
      </c>
      <c r="E5541" s="50">
        <v>50043917</v>
      </c>
      <c r="F5541" s="50" t="s">
        <v>262</v>
      </c>
      <c r="G5541" s="50">
        <v>1</v>
      </c>
      <c r="H5541" s="50" t="s">
        <v>2</v>
      </c>
      <c r="I5541" s="50" t="s">
        <v>288</v>
      </c>
      <c r="J5541" s="51">
        <v>45931</v>
      </c>
      <c r="K5541" s="50" t="s">
        <v>1</v>
      </c>
      <c r="L5541" s="50" t="s">
        <v>80</v>
      </c>
    </row>
    <row r="5542" spans="2:12">
      <c r="B5542" s="50" t="s">
        <v>277</v>
      </c>
      <c r="C5542" s="50" t="s">
        <v>62</v>
      </c>
      <c r="D5542" s="50" t="s">
        <v>27</v>
      </c>
      <c r="E5542" s="50">
        <v>50038840</v>
      </c>
      <c r="F5542" s="50" t="s">
        <v>235</v>
      </c>
      <c r="G5542" s="50">
        <v>1</v>
      </c>
      <c r="H5542" s="50" t="s">
        <v>2</v>
      </c>
      <c r="I5542" s="50" t="s">
        <v>293</v>
      </c>
      <c r="J5542" s="51">
        <v>45931</v>
      </c>
      <c r="K5542" s="50" t="s">
        <v>3</v>
      </c>
      <c r="L5542" s="50" t="s">
        <v>80</v>
      </c>
    </row>
    <row r="5543" spans="2:12">
      <c r="B5543" s="50" t="s">
        <v>277</v>
      </c>
      <c r="C5543" s="50" t="s">
        <v>62</v>
      </c>
      <c r="D5543" s="50" t="s">
        <v>27</v>
      </c>
      <c r="E5543" s="50">
        <v>50038840</v>
      </c>
      <c r="F5543" s="50" t="s">
        <v>235</v>
      </c>
      <c r="G5543" s="50">
        <v>1</v>
      </c>
      <c r="H5543" s="50" t="s">
        <v>2</v>
      </c>
      <c r="I5543" s="50" t="s">
        <v>290</v>
      </c>
      <c r="J5543" s="51">
        <v>45931</v>
      </c>
      <c r="K5543" s="50" t="s">
        <v>1</v>
      </c>
      <c r="L5543" s="50" t="s">
        <v>80</v>
      </c>
    </row>
    <row r="5544" spans="2:12">
      <c r="B5544" s="50" t="s">
        <v>386</v>
      </c>
      <c r="C5544" s="50" t="s">
        <v>26</v>
      </c>
      <c r="D5544" s="50" t="s">
        <v>27</v>
      </c>
      <c r="E5544" s="50">
        <v>50037952</v>
      </c>
      <c r="F5544" s="50" t="s">
        <v>245</v>
      </c>
      <c r="G5544" s="50">
        <v>1</v>
      </c>
      <c r="H5544" s="50" t="s">
        <v>2</v>
      </c>
      <c r="I5544" s="50" t="s">
        <v>288</v>
      </c>
      <c r="J5544" s="51">
        <v>45931</v>
      </c>
      <c r="K5544" s="50" t="s">
        <v>3</v>
      </c>
      <c r="L5544" s="50" t="s">
        <v>80</v>
      </c>
    </row>
    <row r="5545" spans="2:12">
      <c r="B5545" s="50" t="s">
        <v>386</v>
      </c>
      <c r="C5545" s="50" t="s">
        <v>26</v>
      </c>
      <c r="D5545" s="50" t="s">
        <v>27</v>
      </c>
      <c r="E5545" s="50">
        <v>50037952</v>
      </c>
      <c r="F5545" s="50" t="s">
        <v>245</v>
      </c>
      <c r="G5545" s="50">
        <v>1</v>
      </c>
      <c r="H5545" s="50" t="s">
        <v>2</v>
      </c>
      <c r="I5545" s="50" t="s">
        <v>288</v>
      </c>
      <c r="J5545" s="51">
        <v>45931</v>
      </c>
      <c r="K5545" s="50" t="s">
        <v>3</v>
      </c>
      <c r="L5545" s="50" t="s">
        <v>80</v>
      </c>
    </row>
    <row r="5546" spans="2:12">
      <c r="B5546" s="50" t="s">
        <v>431</v>
      </c>
      <c r="C5546" s="50" t="s">
        <v>51</v>
      </c>
      <c r="D5546" s="50" t="s">
        <v>39</v>
      </c>
      <c r="E5546" s="50">
        <v>50010031</v>
      </c>
      <c r="F5546" s="50" t="s">
        <v>89</v>
      </c>
      <c r="G5546" s="50">
        <v>1</v>
      </c>
      <c r="H5546" s="50" t="s">
        <v>2</v>
      </c>
      <c r="I5546" s="50" t="s">
        <v>289</v>
      </c>
      <c r="J5546" s="51">
        <v>45930</v>
      </c>
      <c r="K5546" s="50" t="s">
        <v>1</v>
      </c>
      <c r="L5546" s="50" t="s">
        <v>80</v>
      </c>
    </row>
    <row r="5547" spans="2:12">
      <c r="B5547" s="50" t="s">
        <v>431</v>
      </c>
      <c r="C5547" s="50" t="s">
        <v>51</v>
      </c>
      <c r="D5547" s="50" t="s">
        <v>39</v>
      </c>
      <c r="E5547" s="50">
        <v>50010031</v>
      </c>
      <c r="F5547" s="50" t="s">
        <v>89</v>
      </c>
      <c r="G5547" s="50">
        <v>1</v>
      </c>
      <c r="H5547" s="50" t="s">
        <v>2</v>
      </c>
      <c r="I5547" s="50" t="s">
        <v>289</v>
      </c>
      <c r="J5547" s="51">
        <v>45930</v>
      </c>
      <c r="K5547" s="50" t="s">
        <v>1</v>
      </c>
      <c r="L5547" s="50" t="s">
        <v>80</v>
      </c>
    </row>
    <row r="5548" spans="2:12">
      <c r="B5548" s="50" t="s">
        <v>447</v>
      </c>
      <c r="C5548" s="50" t="s">
        <v>56</v>
      </c>
      <c r="D5548" s="50" t="s">
        <v>41</v>
      </c>
      <c r="E5548" s="50">
        <v>50038991</v>
      </c>
      <c r="F5548" s="50" t="s">
        <v>108</v>
      </c>
      <c r="G5548" s="50">
        <v>1</v>
      </c>
      <c r="H5548" s="50" t="s">
        <v>2</v>
      </c>
      <c r="I5548" s="50" t="s">
        <v>292</v>
      </c>
      <c r="J5548" s="51">
        <v>45930</v>
      </c>
      <c r="K5548" s="50" t="s">
        <v>3</v>
      </c>
      <c r="L5548" s="50" t="s">
        <v>80</v>
      </c>
    </row>
    <row r="5549" spans="2:12">
      <c r="B5549" s="50" t="s">
        <v>447</v>
      </c>
      <c r="C5549" s="50" t="s">
        <v>56</v>
      </c>
      <c r="D5549" s="50" t="s">
        <v>41</v>
      </c>
      <c r="E5549" s="50">
        <v>50038991</v>
      </c>
      <c r="F5549" s="50" t="s">
        <v>108</v>
      </c>
      <c r="G5549" s="50">
        <v>1</v>
      </c>
      <c r="H5549" s="50" t="s">
        <v>2</v>
      </c>
      <c r="I5549" s="50" t="s">
        <v>288</v>
      </c>
      <c r="J5549" s="51">
        <v>45930</v>
      </c>
      <c r="K5549" s="50" t="s">
        <v>1</v>
      </c>
      <c r="L5549" s="50" t="s">
        <v>80</v>
      </c>
    </row>
    <row r="5550" spans="2:12">
      <c r="B5550" s="50" t="s">
        <v>386</v>
      </c>
      <c r="C5550" s="50" t="s">
        <v>26</v>
      </c>
      <c r="D5550" s="50" t="s">
        <v>27</v>
      </c>
      <c r="E5550" s="50">
        <v>50036279</v>
      </c>
      <c r="F5550" s="50" t="s">
        <v>133</v>
      </c>
      <c r="G5550" s="50">
        <v>1</v>
      </c>
      <c r="H5550" s="50" t="s">
        <v>2</v>
      </c>
      <c r="I5550" s="50" t="s">
        <v>290</v>
      </c>
      <c r="J5550" s="51">
        <v>45930</v>
      </c>
      <c r="K5550" s="50" t="s">
        <v>3</v>
      </c>
      <c r="L5550" s="50" t="s">
        <v>80</v>
      </c>
    </row>
    <row r="5551" spans="2:12">
      <c r="B5551" s="50" t="s">
        <v>386</v>
      </c>
      <c r="C5551" s="50" t="s">
        <v>26</v>
      </c>
      <c r="D5551" s="50" t="s">
        <v>27</v>
      </c>
      <c r="E5551" s="50">
        <v>50036279</v>
      </c>
      <c r="F5551" s="50" t="s">
        <v>133</v>
      </c>
      <c r="G5551" s="50">
        <v>1</v>
      </c>
      <c r="H5551" s="50" t="s">
        <v>2</v>
      </c>
      <c r="I5551" s="50" t="s">
        <v>287</v>
      </c>
      <c r="J5551" s="51">
        <v>45930</v>
      </c>
      <c r="K5551" s="50" t="s">
        <v>1</v>
      </c>
      <c r="L5551" s="50" t="s">
        <v>80</v>
      </c>
    </row>
    <row r="5552" spans="2:12">
      <c r="B5552" s="50" t="s">
        <v>415</v>
      </c>
      <c r="C5552" s="50" t="s">
        <v>51</v>
      </c>
      <c r="D5552" s="50" t="s">
        <v>27</v>
      </c>
      <c r="E5552" s="50">
        <v>50043471</v>
      </c>
      <c r="F5552" s="50" t="s">
        <v>257</v>
      </c>
      <c r="G5552" s="50">
        <v>1</v>
      </c>
      <c r="H5552" s="50" t="s">
        <v>2</v>
      </c>
      <c r="I5552" s="50" t="s">
        <v>290</v>
      </c>
      <c r="J5552" s="51">
        <v>45930</v>
      </c>
      <c r="K5552" s="50" t="s">
        <v>3</v>
      </c>
      <c r="L5552" s="50" t="s">
        <v>80</v>
      </c>
    </row>
    <row r="5553" spans="2:12">
      <c r="B5553" s="50" t="s">
        <v>415</v>
      </c>
      <c r="C5553" s="50" t="s">
        <v>51</v>
      </c>
      <c r="D5553" s="50" t="s">
        <v>27</v>
      </c>
      <c r="E5553" s="50">
        <v>50043471</v>
      </c>
      <c r="F5553" s="50" t="s">
        <v>257</v>
      </c>
      <c r="G5553" s="50">
        <v>1</v>
      </c>
      <c r="H5553" s="50" t="s">
        <v>2</v>
      </c>
      <c r="I5553" s="50" t="s">
        <v>288</v>
      </c>
      <c r="J5553" s="51">
        <v>45930</v>
      </c>
      <c r="K5553" s="50" t="s">
        <v>3</v>
      </c>
      <c r="L5553" s="50" t="s">
        <v>80</v>
      </c>
    </row>
    <row r="5554" spans="2:12">
      <c r="B5554" s="50" t="s">
        <v>446</v>
      </c>
      <c r="C5554" s="50" t="s">
        <v>56</v>
      </c>
      <c r="D5554" s="50" t="s">
        <v>27</v>
      </c>
      <c r="E5554" s="50">
        <v>50041195</v>
      </c>
      <c r="F5554" s="50" t="s">
        <v>206</v>
      </c>
      <c r="G5554" s="50">
        <v>1</v>
      </c>
      <c r="H5554" s="50" t="s">
        <v>2</v>
      </c>
      <c r="I5554" s="50" t="s">
        <v>288</v>
      </c>
      <c r="J5554" s="51">
        <v>45930</v>
      </c>
      <c r="K5554" s="50" t="s">
        <v>3</v>
      </c>
      <c r="L5554" s="50" t="s">
        <v>80</v>
      </c>
    </row>
    <row r="5555" spans="2:12">
      <c r="B5555" s="50" t="s">
        <v>422</v>
      </c>
      <c r="C5555" s="50" t="s">
        <v>26</v>
      </c>
      <c r="D5555" s="50" t="s">
        <v>27</v>
      </c>
      <c r="E5555" s="50">
        <v>50041195</v>
      </c>
      <c r="F5555" s="50" t="s">
        <v>206</v>
      </c>
      <c r="G5555" s="50">
        <v>1</v>
      </c>
      <c r="H5555" s="50" t="s">
        <v>2</v>
      </c>
      <c r="I5555" s="50" t="s">
        <v>288</v>
      </c>
      <c r="J5555" s="51">
        <v>45930</v>
      </c>
      <c r="K5555" s="50" t="s">
        <v>1</v>
      </c>
      <c r="L5555" s="50" t="s">
        <v>80</v>
      </c>
    </row>
    <row r="5556" spans="2:12">
      <c r="B5556" s="50" t="e">
        <v>#N/A</v>
      </c>
      <c r="C5556" s="50" t="s">
        <v>62</v>
      </c>
      <c r="D5556" s="50" t="s">
        <v>27</v>
      </c>
      <c r="E5556" s="50">
        <v>50043917</v>
      </c>
      <c r="F5556" s="50" t="s">
        <v>262</v>
      </c>
      <c r="G5556" s="50">
        <v>1</v>
      </c>
      <c r="H5556" s="50" t="s">
        <v>2</v>
      </c>
      <c r="I5556" s="50" t="s">
        <v>292</v>
      </c>
      <c r="J5556" s="51">
        <v>45930</v>
      </c>
      <c r="K5556" s="50" t="s">
        <v>1</v>
      </c>
      <c r="L5556" s="50" t="s">
        <v>80</v>
      </c>
    </row>
    <row r="5557" spans="2:12">
      <c r="B5557" s="50" t="s">
        <v>420</v>
      </c>
      <c r="C5557" s="50" t="s">
        <v>26</v>
      </c>
      <c r="D5557" s="50" t="s">
        <v>41</v>
      </c>
      <c r="E5557" s="50">
        <v>50020622</v>
      </c>
      <c r="F5557" s="50" t="s">
        <v>217</v>
      </c>
      <c r="G5557" s="50">
        <v>1</v>
      </c>
      <c r="H5557" s="50" t="s">
        <v>2</v>
      </c>
      <c r="I5557" s="50" t="s">
        <v>290</v>
      </c>
      <c r="J5557" s="51">
        <v>45930</v>
      </c>
      <c r="K5557" s="50" t="s">
        <v>3</v>
      </c>
      <c r="L5557" s="50" t="s">
        <v>80</v>
      </c>
    </row>
    <row r="5558" spans="2:12">
      <c r="B5558" s="50" t="s">
        <v>420</v>
      </c>
      <c r="C5558" s="50" t="s">
        <v>26</v>
      </c>
      <c r="D5558" s="50" t="s">
        <v>41</v>
      </c>
      <c r="E5558" s="50">
        <v>50020622</v>
      </c>
      <c r="F5558" s="50" t="s">
        <v>217</v>
      </c>
      <c r="G5558" s="50">
        <v>1</v>
      </c>
      <c r="H5558" s="50" t="s">
        <v>2</v>
      </c>
      <c r="I5558" s="50" t="s">
        <v>288</v>
      </c>
      <c r="J5558" s="51">
        <v>45930</v>
      </c>
      <c r="K5558" s="50" t="s">
        <v>1</v>
      </c>
      <c r="L5558" s="50" t="s">
        <v>80</v>
      </c>
    </row>
    <row r="5559" spans="2:12">
      <c r="B5559" s="50" t="s">
        <v>474</v>
      </c>
      <c r="C5559" s="50" t="s">
        <v>51</v>
      </c>
      <c r="D5559" s="50" t="s">
        <v>27</v>
      </c>
      <c r="E5559" s="50">
        <v>50012902</v>
      </c>
      <c r="F5559" s="50" t="s">
        <v>225</v>
      </c>
      <c r="G5559" s="50">
        <v>1</v>
      </c>
      <c r="H5559" s="50" t="s">
        <v>2</v>
      </c>
      <c r="I5559" s="50" t="s">
        <v>292</v>
      </c>
      <c r="J5559" s="51">
        <v>45930</v>
      </c>
      <c r="K5559" s="50" t="s">
        <v>3</v>
      </c>
      <c r="L5559" s="50" t="s">
        <v>318</v>
      </c>
    </row>
    <row r="5560" spans="2:12">
      <c r="B5560" s="50" t="s">
        <v>474</v>
      </c>
      <c r="C5560" s="50" t="s">
        <v>51</v>
      </c>
      <c r="D5560" s="50" t="s">
        <v>27</v>
      </c>
      <c r="E5560" s="50">
        <v>50012902</v>
      </c>
      <c r="F5560" s="50" t="s">
        <v>225</v>
      </c>
      <c r="G5560" s="50">
        <v>1</v>
      </c>
      <c r="H5560" s="50" t="s">
        <v>2</v>
      </c>
      <c r="I5560" s="50" t="s">
        <v>293</v>
      </c>
      <c r="J5560" s="51">
        <v>45930</v>
      </c>
      <c r="K5560" s="50" t="s">
        <v>3</v>
      </c>
      <c r="L5560" s="50" t="s">
        <v>80</v>
      </c>
    </row>
    <row r="5561" spans="2:12">
      <c r="B5561" s="50" t="s">
        <v>280</v>
      </c>
      <c r="C5561" s="50" t="s">
        <v>62</v>
      </c>
      <c r="D5561" s="50" t="s">
        <v>27</v>
      </c>
      <c r="E5561" s="50">
        <v>50010031</v>
      </c>
      <c r="F5561" s="50" t="s">
        <v>89</v>
      </c>
      <c r="G5561" s="50">
        <v>1</v>
      </c>
      <c r="H5561" s="50" t="s">
        <v>2</v>
      </c>
      <c r="I5561" s="50" t="s">
        <v>291</v>
      </c>
      <c r="J5561" s="51">
        <v>45929</v>
      </c>
      <c r="K5561" s="50" t="s">
        <v>1</v>
      </c>
      <c r="L5561" s="50" t="s">
        <v>80</v>
      </c>
    </row>
    <row r="5562" spans="2:12">
      <c r="B5562" s="50" t="s">
        <v>280</v>
      </c>
      <c r="C5562" s="50" t="s">
        <v>62</v>
      </c>
      <c r="D5562" s="50" t="s">
        <v>27</v>
      </c>
      <c r="E5562" s="50">
        <v>50010031</v>
      </c>
      <c r="F5562" s="50" t="s">
        <v>89</v>
      </c>
      <c r="G5562" s="50">
        <v>1</v>
      </c>
      <c r="H5562" s="50" t="s">
        <v>2</v>
      </c>
      <c r="I5562" s="50" t="s">
        <v>291</v>
      </c>
      <c r="J5562" s="51">
        <v>45929</v>
      </c>
      <c r="K5562" s="50" t="s">
        <v>1</v>
      </c>
      <c r="L5562" s="50" t="s">
        <v>80</v>
      </c>
    </row>
    <row r="5563" spans="2:12">
      <c r="B5563" s="50" t="s">
        <v>386</v>
      </c>
      <c r="C5563" s="50" t="s">
        <v>26</v>
      </c>
      <c r="D5563" s="50" t="s">
        <v>27</v>
      </c>
      <c r="E5563" s="50">
        <v>50036086</v>
      </c>
      <c r="F5563" s="50" t="s">
        <v>28</v>
      </c>
      <c r="G5563" s="50">
        <v>1</v>
      </c>
      <c r="H5563" s="50" t="s">
        <v>2</v>
      </c>
      <c r="I5563" s="50" t="s">
        <v>291</v>
      </c>
      <c r="J5563" s="51">
        <v>45929</v>
      </c>
      <c r="K5563" s="50" t="s">
        <v>3</v>
      </c>
      <c r="L5563" s="50" t="s">
        <v>80</v>
      </c>
    </row>
    <row r="5564" spans="2:12">
      <c r="B5564" s="50" t="s">
        <v>386</v>
      </c>
      <c r="C5564" s="50" t="s">
        <v>26</v>
      </c>
      <c r="D5564" s="50" t="s">
        <v>27</v>
      </c>
      <c r="E5564" s="50">
        <v>50036086</v>
      </c>
      <c r="F5564" s="50" t="s">
        <v>28</v>
      </c>
      <c r="G5564" s="50">
        <v>1</v>
      </c>
      <c r="H5564" s="50" t="s">
        <v>2</v>
      </c>
      <c r="I5564" s="50" t="s">
        <v>291</v>
      </c>
      <c r="J5564" s="51">
        <v>45929</v>
      </c>
      <c r="K5564" s="50" t="s">
        <v>1</v>
      </c>
      <c r="L5564" s="50" t="s">
        <v>80</v>
      </c>
    </row>
    <row r="5565" spans="2:12">
      <c r="B5565" s="50" t="s">
        <v>422</v>
      </c>
      <c r="C5565" s="50" t="s">
        <v>26</v>
      </c>
      <c r="D5565" s="50" t="s">
        <v>27</v>
      </c>
      <c r="E5565" s="50">
        <v>50037905</v>
      </c>
      <c r="F5565" s="50" t="s">
        <v>150</v>
      </c>
      <c r="G5565" s="50">
        <v>1</v>
      </c>
      <c r="H5565" s="50" t="s">
        <v>2</v>
      </c>
      <c r="I5565" s="50" t="s">
        <v>291</v>
      </c>
      <c r="J5565" s="51">
        <v>45929</v>
      </c>
      <c r="K5565" s="50" t="s">
        <v>3</v>
      </c>
      <c r="L5565" s="50" t="s">
        <v>80</v>
      </c>
    </row>
    <row r="5566" spans="2:12">
      <c r="B5566" s="50" t="s">
        <v>422</v>
      </c>
      <c r="C5566" s="50" t="s">
        <v>26</v>
      </c>
      <c r="D5566" s="50" t="s">
        <v>27</v>
      </c>
      <c r="E5566" s="50">
        <v>50037905</v>
      </c>
      <c r="F5566" s="50" t="s">
        <v>150</v>
      </c>
      <c r="G5566" s="50">
        <v>1</v>
      </c>
      <c r="H5566" s="50" t="s">
        <v>2</v>
      </c>
      <c r="I5566" s="50" t="s">
        <v>291</v>
      </c>
      <c r="J5566" s="51">
        <v>45929</v>
      </c>
      <c r="K5566" s="50" t="s">
        <v>1</v>
      </c>
      <c r="L5566" s="50" t="s">
        <v>80</v>
      </c>
    </row>
    <row r="5567" spans="2:12">
      <c r="B5567" s="50" t="s">
        <v>280</v>
      </c>
      <c r="C5567" s="50" t="s">
        <v>62</v>
      </c>
      <c r="D5567" s="50" t="s">
        <v>27</v>
      </c>
      <c r="E5567" s="50">
        <v>50003297</v>
      </c>
      <c r="F5567" s="50" t="s">
        <v>158</v>
      </c>
      <c r="G5567" s="50">
        <v>1</v>
      </c>
      <c r="H5567" s="50" t="s">
        <v>2</v>
      </c>
      <c r="I5567" s="50" t="s">
        <v>291</v>
      </c>
      <c r="J5567" s="51">
        <v>45929</v>
      </c>
      <c r="K5567" s="50" t="s">
        <v>3</v>
      </c>
      <c r="L5567" s="50" t="s">
        <v>80</v>
      </c>
    </row>
    <row r="5568" spans="2:12">
      <c r="B5568" s="50" t="s">
        <v>280</v>
      </c>
      <c r="C5568" s="50" t="s">
        <v>62</v>
      </c>
      <c r="D5568" s="50" t="s">
        <v>27</v>
      </c>
      <c r="E5568" s="50">
        <v>50003297</v>
      </c>
      <c r="F5568" s="50" t="s">
        <v>158</v>
      </c>
      <c r="G5568" s="50">
        <v>1</v>
      </c>
      <c r="H5568" s="50" t="s">
        <v>2</v>
      </c>
      <c r="I5568" s="50" t="s">
        <v>291</v>
      </c>
      <c r="J5568" s="51">
        <v>45929</v>
      </c>
      <c r="K5568" s="50" t="s">
        <v>1</v>
      </c>
      <c r="L5568" s="50" t="s">
        <v>80</v>
      </c>
    </row>
    <row r="5569" spans="2:12">
      <c r="B5569" s="50" t="s">
        <v>483</v>
      </c>
      <c r="C5569" s="50" t="s">
        <v>62</v>
      </c>
      <c r="D5569" s="50" t="s">
        <v>27</v>
      </c>
      <c r="E5569" s="50">
        <v>50029865</v>
      </c>
      <c r="F5569" s="50" t="s">
        <v>162</v>
      </c>
      <c r="G5569" s="50">
        <v>1</v>
      </c>
      <c r="H5569" s="50" t="s">
        <v>2</v>
      </c>
      <c r="I5569" s="50" t="s">
        <v>293</v>
      </c>
      <c r="J5569" s="51">
        <v>45929</v>
      </c>
      <c r="K5569" s="50" t="s">
        <v>3</v>
      </c>
      <c r="L5569" s="50" t="s">
        <v>80</v>
      </c>
    </row>
    <row r="5570" spans="2:12">
      <c r="B5570" s="50" t="s">
        <v>483</v>
      </c>
      <c r="C5570" s="50" t="s">
        <v>62</v>
      </c>
      <c r="D5570" s="50" t="s">
        <v>27</v>
      </c>
      <c r="E5570" s="50">
        <v>50029865</v>
      </c>
      <c r="F5570" s="50" t="s">
        <v>162</v>
      </c>
      <c r="G5570" s="50">
        <v>1</v>
      </c>
      <c r="H5570" s="50" t="s">
        <v>2</v>
      </c>
      <c r="I5570" s="50" t="s">
        <v>293</v>
      </c>
      <c r="J5570" s="51">
        <v>45929</v>
      </c>
      <c r="K5570" s="50" t="s">
        <v>1</v>
      </c>
      <c r="L5570" s="50" t="s">
        <v>80</v>
      </c>
    </row>
    <row r="5571" spans="2:12">
      <c r="B5571" s="50" t="s">
        <v>446</v>
      </c>
      <c r="C5571" s="50" t="s">
        <v>56</v>
      </c>
      <c r="D5571" s="50" t="s">
        <v>27</v>
      </c>
      <c r="E5571" s="50">
        <v>50043320</v>
      </c>
      <c r="F5571" s="50" t="s">
        <v>264</v>
      </c>
      <c r="G5571" s="50">
        <v>1</v>
      </c>
      <c r="H5571" s="50" t="s">
        <v>2</v>
      </c>
      <c r="I5571" s="50" t="s">
        <v>291</v>
      </c>
      <c r="J5571" s="51">
        <v>45929</v>
      </c>
      <c r="K5571" s="50" t="s">
        <v>3</v>
      </c>
      <c r="L5571" s="50" t="s">
        <v>80</v>
      </c>
    </row>
    <row r="5572" spans="2:12">
      <c r="B5572" s="50" t="s">
        <v>446</v>
      </c>
      <c r="C5572" s="50" t="s">
        <v>56</v>
      </c>
      <c r="D5572" s="50" t="s">
        <v>27</v>
      </c>
      <c r="E5572" s="50">
        <v>50043320</v>
      </c>
      <c r="F5572" s="50" t="s">
        <v>264</v>
      </c>
      <c r="G5572" s="50">
        <v>1</v>
      </c>
      <c r="H5572" s="50" t="s">
        <v>2</v>
      </c>
      <c r="I5572" s="50" t="s">
        <v>291</v>
      </c>
      <c r="J5572" s="51">
        <v>45929</v>
      </c>
      <c r="K5572" s="50" t="s">
        <v>1</v>
      </c>
      <c r="L5572" s="50" t="s">
        <v>80</v>
      </c>
    </row>
    <row r="5573" spans="2:12">
      <c r="B5573" s="50" t="s">
        <v>406</v>
      </c>
      <c r="C5573" s="50" t="s">
        <v>26</v>
      </c>
      <c r="D5573" s="50" t="s">
        <v>39</v>
      </c>
      <c r="E5573" s="50">
        <v>50022878</v>
      </c>
      <c r="F5573" s="50" t="s">
        <v>296</v>
      </c>
      <c r="G5573" s="50">
        <v>1</v>
      </c>
      <c r="H5573" s="50" t="s">
        <v>2</v>
      </c>
      <c r="I5573" s="50" t="s">
        <v>290</v>
      </c>
      <c r="J5573" s="51">
        <v>45929</v>
      </c>
      <c r="K5573" s="50" t="s">
        <v>3</v>
      </c>
      <c r="L5573" s="50" t="s">
        <v>80</v>
      </c>
    </row>
    <row r="5574" spans="2:12">
      <c r="B5574" s="50" t="s">
        <v>406</v>
      </c>
      <c r="C5574" s="50" t="s">
        <v>26</v>
      </c>
      <c r="D5574" s="50" t="s">
        <v>39</v>
      </c>
      <c r="E5574" s="50">
        <v>50022878</v>
      </c>
      <c r="F5574" s="50" t="s">
        <v>296</v>
      </c>
      <c r="G5574" s="50">
        <v>1</v>
      </c>
      <c r="H5574" s="50" t="s">
        <v>2</v>
      </c>
      <c r="I5574" s="50" t="s">
        <v>291</v>
      </c>
      <c r="J5574" s="51">
        <v>45929</v>
      </c>
      <c r="K5574" s="50" t="s">
        <v>1</v>
      </c>
      <c r="L5574" s="50" t="s">
        <v>80</v>
      </c>
    </row>
    <row r="5575" spans="2:12">
      <c r="B5575" s="50" t="s">
        <v>386</v>
      </c>
      <c r="C5575" s="50" t="s">
        <v>26</v>
      </c>
      <c r="D5575" s="50" t="s">
        <v>27</v>
      </c>
      <c r="E5575" s="50">
        <v>50038956</v>
      </c>
      <c r="F5575" s="50" t="s">
        <v>177</v>
      </c>
      <c r="G5575" s="50">
        <v>1</v>
      </c>
      <c r="H5575" s="50" t="s">
        <v>2</v>
      </c>
      <c r="I5575" s="50" t="s">
        <v>293</v>
      </c>
      <c r="J5575" s="51">
        <v>45929</v>
      </c>
      <c r="K5575" s="50" t="s">
        <v>3</v>
      </c>
      <c r="L5575" s="50" t="s">
        <v>80</v>
      </c>
    </row>
    <row r="5576" spans="2:12">
      <c r="B5576" s="50" t="s">
        <v>386</v>
      </c>
      <c r="C5576" s="50" t="s">
        <v>26</v>
      </c>
      <c r="D5576" s="50" t="s">
        <v>27</v>
      </c>
      <c r="E5576" s="50">
        <v>50038956</v>
      </c>
      <c r="F5576" s="50" t="s">
        <v>177</v>
      </c>
      <c r="G5576" s="50">
        <v>1</v>
      </c>
      <c r="H5576" s="50" t="s">
        <v>2</v>
      </c>
      <c r="I5576" s="50" t="s">
        <v>293</v>
      </c>
      <c r="J5576" s="51">
        <v>45929</v>
      </c>
      <c r="K5576" s="50" t="s">
        <v>1</v>
      </c>
      <c r="L5576" s="50" t="s">
        <v>82</v>
      </c>
    </row>
    <row r="5577" spans="2:12">
      <c r="B5577" s="50" t="s">
        <v>437</v>
      </c>
      <c r="C5577" s="50" t="s">
        <v>51</v>
      </c>
      <c r="D5577" s="50" t="s">
        <v>41</v>
      </c>
      <c r="E5577" s="50">
        <v>50038956</v>
      </c>
      <c r="F5577" s="50" t="s">
        <v>177</v>
      </c>
      <c r="G5577" s="50">
        <v>1</v>
      </c>
      <c r="H5577" s="50" t="s">
        <v>2</v>
      </c>
      <c r="I5577" s="50" t="s">
        <v>291</v>
      </c>
      <c r="J5577" s="51">
        <v>45929</v>
      </c>
      <c r="K5577" s="50" t="s">
        <v>3</v>
      </c>
      <c r="L5577" s="50" t="s">
        <v>80</v>
      </c>
    </row>
    <row r="5578" spans="2:12">
      <c r="B5578" s="50" t="s">
        <v>437</v>
      </c>
      <c r="C5578" s="50" t="s">
        <v>51</v>
      </c>
      <c r="D5578" s="50" t="s">
        <v>41</v>
      </c>
      <c r="E5578" s="50">
        <v>50038956</v>
      </c>
      <c r="F5578" s="50" t="s">
        <v>177</v>
      </c>
      <c r="G5578" s="50">
        <v>1</v>
      </c>
      <c r="H5578" s="50" t="s">
        <v>2</v>
      </c>
      <c r="I5578" s="50" t="s">
        <v>291</v>
      </c>
      <c r="J5578" s="51">
        <v>45929</v>
      </c>
      <c r="K5578" s="50" t="s">
        <v>3</v>
      </c>
      <c r="L5578" s="50" t="s">
        <v>80</v>
      </c>
    </row>
    <row r="5579" spans="2:12">
      <c r="B5579" s="50" t="s">
        <v>399</v>
      </c>
      <c r="C5579" s="50" t="s">
        <v>51</v>
      </c>
      <c r="D5579" s="50" t="s">
        <v>27</v>
      </c>
      <c r="E5579" s="50">
        <v>50038841</v>
      </c>
      <c r="F5579" s="50" t="s">
        <v>180</v>
      </c>
      <c r="G5579" s="50">
        <v>1</v>
      </c>
      <c r="H5579" s="50" t="s">
        <v>2</v>
      </c>
      <c r="I5579" s="50" t="s">
        <v>293</v>
      </c>
      <c r="J5579" s="51">
        <v>45929</v>
      </c>
      <c r="K5579" s="50" t="s">
        <v>1</v>
      </c>
      <c r="L5579" s="50" t="s">
        <v>80</v>
      </c>
    </row>
    <row r="5580" spans="2:12">
      <c r="B5580" s="50" t="s">
        <v>399</v>
      </c>
      <c r="C5580" s="50" t="s">
        <v>51</v>
      </c>
      <c r="D5580" s="50" t="s">
        <v>27</v>
      </c>
      <c r="E5580" s="50">
        <v>50038841</v>
      </c>
      <c r="F5580" s="50" t="s">
        <v>180</v>
      </c>
      <c r="G5580" s="50">
        <v>1</v>
      </c>
      <c r="H5580" s="50" t="s">
        <v>2</v>
      </c>
      <c r="I5580" s="50" t="s">
        <v>290</v>
      </c>
      <c r="J5580" s="51">
        <v>45929</v>
      </c>
      <c r="K5580" s="50" t="s">
        <v>3</v>
      </c>
      <c r="L5580" s="50" t="s">
        <v>80</v>
      </c>
    </row>
    <row r="5581" spans="2:12">
      <c r="B5581" s="50" t="s">
        <v>394</v>
      </c>
      <c r="C5581" s="50" t="s">
        <v>26</v>
      </c>
      <c r="D5581" s="50" t="s">
        <v>41</v>
      </c>
      <c r="E5581" s="50">
        <v>50038841</v>
      </c>
      <c r="F5581" s="50" t="s">
        <v>180</v>
      </c>
      <c r="G5581" s="50">
        <v>1</v>
      </c>
      <c r="H5581" s="50" t="s">
        <v>2</v>
      </c>
      <c r="I5581" s="50" t="s">
        <v>291</v>
      </c>
      <c r="J5581" s="51">
        <v>45929</v>
      </c>
      <c r="K5581" s="50" t="s">
        <v>1</v>
      </c>
      <c r="L5581" s="50" t="s">
        <v>80</v>
      </c>
    </row>
    <row r="5582" spans="2:12">
      <c r="B5582" s="50" t="s">
        <v>394</v>
      </c>
      <c r="C5582" s="50" t="s">
        <v>26</v>
      </c>
      <c r="D5582" s="50" t="s">
        <v>41</v>
      </c>
      <c r="E5582" s="50">
        <v>50038841</v>
      </c>
      <c r="F5582" s="50" t="s">
        <v>180</v>
      </c>
      <c r="G5582" s="50">
        <v>1</v>
      </c>
      <c r="H5582" s="50" t="s">
        <v>2</v>
      </c>
      <c r="I5582" s="50" t="s">
        <v>291</v>
      </c>
      <c r="J5582" s="51">
        <v>45929</v>
      </c>
      <c r="K5582" s="50" t="s">
        <v>3</v>
      </c>
      <c r="L5582" s="50" t="s">
        <v>80</v>
      </c>
    </row>
    <row r="5583" spans="2:12">
      <c r="B5583" s="50" t="s">
        <v>345</v>
      </c>
      <c r="C5583" s="50" t="s">
        <v>62</v>
      </c>
      <c r="D5583" s="50" t="s">
        <v>27</v>
      </c>
      <c r="E5583" s="50">
        <v>50038841</v>
      </c>
      <c r="F5583" s="50" t="s">
        <v>180</v>
      </c>
      <c r="G5583" s="50">
        <v>1</v>
      </c>
      <c r="H5583" s="50" t="s">
        <v>2</v>
      </c>
      <c r="I5583" s="50" t="s">
        <v>291</v>
      </c>
      <c r="J5583" s="51">
        <v>45929</v>
      </c>
      <c r="K5583" s="50" t="s">
        <v>1</v>
      </c>
      <c r="L5583" s="50" t="s">
        <v>80</v>
      </c>
    </row>
    <row r="5584" spans="2:12">
      <c r="B5584" s="50" t="s">
        <v>345</v>
      </c>
      <c r="C5584" s="50" t="s">
        <v>62</v>
      </c>
      <c r="D5584" s="50" t="s">
        <v>27</v>
      </c>
      <c r="E5584" s="50">
        <v>50038841</v>
      </c>
      <c r="F5584" s="50" t="s">
        <v>180</v>
      </c>
      <c r="G5584" s="50">
        <v>1</v>
      </c>
      <c r="H5584" s="50" t="s">
        <v>2</v>
      </c>
      <c r="I5584" s="50" t="s">
        <v>291</v>
      </c>
      <c r="J5584" s="51">
        <v>45929</v>
      </c>
      <c r="K5584" s="50" t="s">
        <v>3</v>
      </c>
      <c r="L5584" s="50" t="s">
        <v>80</v>
      </c>
    </row>
    <row r="5585" spans="2:12">
      <c r="B5585" s="50" t="s">
        <v>481</v>
      </c>
      <c r="C5585" s="50" t="s">
        <v>26</v>
      </c>
      <c r="D5585" s="50" t="s">
        <v>27</v>
      </c>
      <c r="E5585" s="50">
        <v>50038517</v>
      </c>
      <c r="F5585" s="50" t="s">
        <v>181</v>
      </c>
      <c r="G5585" s="50">
        <v>1</v>
      </c>
      <c r="H5585" s="50" t="s">
        <v>2</v>
      </c>
      <c r="I5585" s="50" t="s">
        <v>293</v>
      </c>
      <c r="J5585" s="51">
        <v>45929</v>
      </c>
      <c r="K5585" s="50" t="s">
        <v>1</v>
      </c>
      <c r="L5585" s="50" t="s">
        <v>80</v>
      </c>
    </row>
    <row r="5586" spans="2:12">
      <c r="B5586" s="50" t="s">
        <v>481</v>
      </c>
      <c r="C5586" s="50" t="s">
        <v>26</v>
      </c>
      <c r="D5586" s="50" t="s">
        <v>27</v>
      </c>
      <c r="E5586" s="50">
        <v>50038517</v>
      </c>
      <c r="F5586" s="50" t="s">
        <v>181</v>
      </c>
      <c r="G5586" s="50">
        <v>1</v>
      </c>
      <c r="H5586" s="50" t="s">
        <v>2</v>
      </c>
      <c r="I5586" s="50" t="s">
        <v>291</v>
      </c>
      <c r="J5586" s="51">
        <v>45929</v>
      </c>
      <c r="K5586" s="50" t="s">
        <v>1</v>
      </c>
      <c r="L5586" s="50" t="s">
        <v>80</v>
      </c>
    </row>
    <row r="5587" spans="2:12">
      <c r="B5587" s="50" t="s">
        <v>437</v>
      </c>
      <c r="C5587" s="50" t="s">
        <v>51</v>
      </c>
      <c r="D5587" s="50" t="s">
        <v>41</v>
      </c>
      <c r="E5587" s="50">
        <v>50039065</v>
      </c>
      <c r="F5587" s="50" t="s">
        <v>186</v>
      </c>
      <c r="G5587" s="50">
        <v>1</v>
      </c>
      <c r="H5587" s="50" t="s">
        <v>2</v>
      </c>
      <c r="I5587" s="50" t="s">
        <v>291</v>
      </c>
      <c r="J5587" s="51">
        <v>45929</v>
      </c>
      <c r="K5587" s="50" t="s">
        <v>3</v>
      </c>
      <c r="L5587" s="50" t="s">
        <v>80</v>
      </c>
    </row>
    <row r="5588" spans="2:12">
      <c r="B5588" s="50" t="s">
        <v>437</v>
      </c>
      <c r="C5588" s="50" t="s">
        <v>51</v>
      </c>
      <c r="D5588" s="50" t="s">
        <v>41</v>
      </c>
      <c r="E5588" s="50">
        <v>50039065</v>
      </c>
      <c r="F5588" s="50" t="s">
        <v>186</v>
      </c>
      <c r="G5588" s="50">
        <v>1</v>
      </c>
      <c r="H5588" s="50" t="s">
        <v>2</v>
      </c>
      <c r="I5588" s="50" t="s">
        <v>291</v>
      </c>
      <c r="J5588" s="51">
        <v>45929</v>
      </c>
      <c r="K5588" s="50" t="s">
        <v>1</v>
      </c>
      <c r="L5588" s="50" t="s">
        <v>80</v>
      </c>
    </row>
    <row r="5589" spans="2:12">
      <c r="B5589" s="50" t="s">
        <v>394</v>
      </c>
      <c r="C5589" s="50" t="s">
        <v>26</v>
      </c>
      <c r="D5589" s="50" t="s">
        <v>41</v>
      </c>
      <c r="E5589" s="50">
        <v>50039065</v>
      </c>
      <c r="F5589" s="50" t="s">
        <v>186</v>
      </c>
      <c r="G5589" s="50">
        <v>1</v>
      </c>
      <c r="H5589" s="50" t="s">
        <v>2</v>
      </c>
      <c r="I5589" s="50" t="s">
        <v>291</v>
      </c>
      <c r="J5589" s="51">
        <v>45929</v>
      </c>
      <c r="K5589" s="50" t="s">
        <v>3</v>
      </c>
      <c r="L5589" s="50" t="s">
        <v>80</v>
      </c>
    </row>
    <row r="5590" spans="2:12">
      <c r="B5590" s="50" t="s">
        <v>394</v>
      </c>
      <c r="C5590" s="50" t="s">
        <v>26</v>
      </c>
      <c r="D5590" s="50" t="s">
        <v>41</v>
      </c>
      <c r="E5590" s="50">
        <v>50039065</v>
      </c>
      <c r="F5590" s="50" t="s">
        <v>186</v>
      </c>
      <c r="G5590" s="50">
        <v>1</v>
      </c>
      <c r="H5590" s="50" t="s">
        <v>2</v>
      </c>
      <c r="I5590" s="50" t="s">
        <v>291</v>
      </c>
      <c r="J5590" s="51">
        <v>45929</v>
      </c>
      <c r="K5590" s="50" t="s">
        <v>3</v>
      </c>
      <c r="L5590" s="50" t="s">
        <v>80</v>
      </c>
    </row>
    <row r="5591" spans="2:12">
      <c r="B5591" s="50" t="s">
        <v>345</v>
      </c>
      <c r="C5591" s="50" t="s">
        <v>62</v>
      </c>
      <c r="D5591" s="50" t="s">
        <v>27</v>
      </c>
      <c r="E5591" s="50">
        <v>50041195</v>
      </c>
      <c r="F5591" s="50" t="s">
        <v>206</v>
      </c>
      <c r="G5591" s="50">
        <v>1</v>
      </c>
      <c r="H5591" s="50" t="s">
        <v>2</v>
      </c>
      <c r="I5591" s="50" t="s">
        <v>293</v>
      </c>
      <c r="J5591" s="51">
        <v>45929</v>
      </c>
      <c r="K5591" s="50" t="s">
        <v>1</v>
      </c>
      <c r="L5591" s="50" t="s">
        <v>80</v>
      </c>
    </row>
    <row r="5592" spans="2:12">
      <c r="B5592" s="50" t="s">
        <v>345</v>
      </c>
      <c r="C5592" s="50" t="s">
        <v>62</v>
      </c>
      <c r="D5592" s="50" t="s">
        <v>27</v>
      </c>
      <c r="E5592" s="50">
        <v>50041195</v>
      </c>
      <c r="F5592" s="50" t="s">
        <v>206</v>
      </c>
      <c r="G5592" s="50">
        <v>1</v>
      </c>
      <c r="H5592" s="50" t="s">
        <v>2</v>
      </c>
      <c r="I5592" s="50" t="s">
        <v>291</v>
      </c>
      <c r="J5592" s="51">
        <v>45929</v>
      </c>
      <c r="K5592" s="50" t="s">
        <v>3</v>
      </c>
      <c r="L5592" s="50" t="s">
        <v>80</v>
      </c>
    </row>
    <row r="5593" spans="2:12">
      <c r="B5593" s="50" t="s">
        <v>483</v>
      </c>
      <c r="C5593" s="50" t="s">
        <v>62</v>
      </c>
      <c r="D5593" s="50" t="s">
        <v>27</v>
      </c>
      <c r="E5593" s="50">
        <v>50043917</v>
      </c>
      <c r="F5593" s="50" t="s">
        <v>262</v>
      </c>
      <c r="G5593" s="50">
        <v>1</v>
      </c>
      <c r="H5593" s="50" t="s">
        <v>2</v>
      </c>
      <c r="I5593" s="50" t="s">
        <v>293</v>
      </c>
      <c r="J5593" s="51">
        <v>45929</v>
      </c>
      <c r="K5593" s="50" t="s">
        <v>1</v>
      </c>
      <c r="L5593" s="50" t="s">
        <v>80</v>
      </c>
    </row>
    <row r="5594" spans="2:12">
      <c r="B5594" s="50" t="s">
        <v>483</v>
      </c>
      <c r="C5594" s="50" t="s">
        <v>62</v>
      </c>
      <c r="D5594" s="50" t="s">
        <v>27</v>
      </c>
      <c r="E5594" s="50">
        <v>50043917</v>
      </c>
      <c r="F5594" s="50" t="s">
        <v>262</v>
      </c>
      <c r="G5594" s="50">
        <v>1</v>
      </c>
      <c r="H5594" s="50" t="s">
        <v>2</v>
      </c>
      <c r="I5594" s="50" t="s">
        <v>293</v>
      </c>
      <c r="J5594" s="51">
        <v>45929</v>
      </c>
      <c r="K5594" s="50" t="s">
        <v>3</v>
      </c>
      <c r="L5594" s="50" t="s">
        <v>80</v>
      </c>
    </row>
    <row r="5595" spans="2:12">
      <c r="B5595" s="50" t="s">
        <v>446</v>
      </c>
      <c r="C5595" s="50" t="s">
        <v>56</v>
      </c>
      <c r="D5595" s="50" t="s">
        <v>27</v>
      </c>
      <c r="E5595" s="50">
        <v>50043917</v>
      </c>
      <c r="F5595" s="50" t="s">
        <v>262</v>
      </c>
      <c r="G5595" s="50">
        <v>1</v>
      </c>
      <c r="H5595" s="50" t="s">
        <v>2</v>
      </c>
      <c r="I5595" s="50" t="s">
        <v>291</v>
      </c>
      <c r="J5595" s="51">
        <v>45929</v>
      </c>
      <c r="K5595" s="50" t="s">
        <v>1</v>
      </c>
      <c r="L5595" s="50" t="s">
        <v>80</v>
      </c>
    </row>
    <row r="5596" spans="2:12">
      <c r="B5596" s="50" t="s">
        <v>446</v>
      </c>
      <c r="C5596" s="50" t="s">
        <v>56</v>
      </c>
      <c r="D5596" s="50" t="s">
        <v>27</v>
      </c>
      <c r="E5596" s="50">
        <v>50043917</v>
      </c>
      <c r="F5596" s="50" t="s">
        <v>262</v>
      </c>
      <c r="G5596" s="50">
        <v>1</v>
      </c>
      <c r="H5596" s="50" t="s">
        <v>2</v>
      </c>
      <c r="I5596" s="50" t="s">
        <v>291</v>
      </c>
      <c r="J5596" s="51">
        <v>45929</v>
      </c>
      <c r="K5596" s="50" t="s">
        <v>1</v>
      </c>
      <c r="L5596" s="50" t="s">
        <v>80</v>
      </c>
    </row>
    <row r="5597" spans="2:12">
      <c r="B5597" s="50" t="s">
        <v>280</v>
      </c>
      <c r="C5597" s="50" t="s">
        <v>62</v>
      </c>
      <c r="D5597" s="50" t="s">
        <v>27</v>
      </c>
      <c r="E5597" s="50">
        <v>50020622</v>
      </c>
      <c r="F5597" s="50" t="s">
        <v>217</v>
      </c>
      <c r="G5597" s="50">
        <v>1</v>
      </c>
      <c r="H5597" s="50" t="s">
        <v>2</v>
      </c>
      <c r="I5597" s="50" t="s">
        <v>291</v>
      </c>
      <c r="J5597" s="51">
        <v>45929</v>
      </c>
      <c r="K5597" s="50" t="s">
        <v>3</v>
      </c>
      <c r="L5597" s="50" t="s">
        <v>80</v>
      </c>
    </row>
    <row r="5598" spans="2:12">
      <c r="B5598" s="50" t="s">
        <v>345</v>
      </c>
      <c r="C5598" s="50" t="s">
        <v>62</v>
      </c>
      <c r="D5598" s="50" t="s">
        <v>27</v>
      </c>
      <c r="E5598" s="50">
        <v>50020622</v>
      </c>
      <c r="F5598" s="50" t="s">
        <v>217</v>
      </c>
      <c r="G5598" s="50">
        <v>1</v>
      </c>
      <c r="H5598" s="50" t="s">
        <v>2</v>
      </c>
      <c r="I5598" s="50" t="s">
        <v>291</v>
      </c>
      <c r="J5598" s="51">
        <v>45929</v>
      </c>
      <c r="K5598" s="50" t="s">
        <v>1</v>
      </c>
      <c r="L5598" s="50" t="s">
        <v>80</v>
      </c>
    </row>
    <row r="5599" spans="2:12">
      <c r="B5599" s="50" t="s">
        <v>345</v>
      </c>
      <c r="C5599" s="50" t="s">
        <v>62</v>
      </c>
      <c r="D5599" s="50" t="s">
        <v>27</v>
      </c>
      <c r="E5599" s="50">
        <v>50020622</v>
      </c>
      <c r="F5599" s="50" t="s">
        <v>217</v>
      </c>
      <c r="G5599" s="50">
        <v>1</v>
      </c>
      <c r="H5599" s="50" t="s">
        <v>2</v>
      </c>
      <c r="I5599" s="50" t="s">
        <v>291</v>
      </c>
      <c r="J5599" s="51">
        <v>45929</v>
      </c>
      <c r="K5599" s="50" t="s">
        <v>1</v>
      </c>
      <c r="L5599" s="50" t="s">
        <v>80</v>
      </c>
    </row>
    <row r="5600" spans="2:12">
      <c r="B5600" s="50" t="e">
        <v>#N/A</v>
      </c>
      <c r="C5600" s="50" t="s">
        <v>56</v>
      </c>
      <c r="D5600" s="50" t="s">
        <v>27</v>
      </c>
      <c r="E5600" s="50">
        <v>50012903</v>
      </c>
      <c r="F5600" s="50" t="s">
        <v>308</v>
      </c>
      <c r="G5600" s="50">
        <v>1</v>
      </c>
      <c r="H5600" s="50" t="s">
        <v>2</v>
      </c>
      <c r="I5600" s="50" t="s">
        <v>291</v>
      </c>
      <c r="J5600" s="51">
        <v>45929</v>
      </c>
      <c r="K5600" s="50" t="s">
        <v>3</v>
      </c>
      <c r="L5600" s="50" t="s">
        <v>80</v>
      </c>
    </row>
    <row r="5601" spans="2:12">
      <c r="B5601" s="50" t="e">
        <v>#N/A</v>
      </c>
      <c r="C5601" s="50" t="s">
        <v>56</v>
      </c>
      <c r="D5601" s="50" t="s">
        <v>27</v>
      </c>
      <c r="E5601" s="50">
        <v>50012903</v>
      </c>
      <c r="F5601" s="50" t="s">
        <v>308</v>
      </c>
      <c r="G5601" s="50">
        <v>1</v>
      </c>
      <c r="H5601" s="50" t="s">
        <v>2</v>
      </c>
      <c r="I5601" s="50" t="s">
        <v>291</v>
      </c>
      <c r="J5601" s="51">
        <v>45929</v>
      </c>
      <c r="K5601" s="50" t="s">
        <v>1</v>
      </c>
      <c r="L5601" s="50" t="s">
        <v>80</v>
      </c>
    </row>
    <row r="5602" spans="2:12">
      <c r="B5602" s="50" t="e">
        <v>#N/A</v>
      </c>
      <c r="C5602" s="50" t="s">
        <v>56</v>
      </c>
      <c r="D5602" s="50" t="s">
        <v>27</v>
      </c>
      <c r="E5602" s="50">
        <v>50012902</v>
      </c>
      <c r="F5602" s="50" t="s">
        <v>225</v>
      </c>
      <c r="G5602" s="50">
        <v>1</v>
      </c>
      <c r="H5602" s="50" t="s">
        <v>2</v>
      </c>
      <c r="I5602" s="50" t="s">
        <v>291</v>
      </c>
      <c r="J5602" s="51">
        <v>45929</v>
      </c>
      <c r="K5602" s="50" t="s">
        <v>3</v>
      </c>
      <c r="L5602" s="50" t="s">
        <v>80</v>
      </c>
    </row>
    <row r="5603" spans="2:12">
      <c r="B5603" s="50" t="e">
        <v>#N/A</v>
      </c>
      <c r="C5603" s="50" t="s">
        <v>56</v>
      </c>
      <c r="D5603" s="50" t="s">
        <v>27</v>
      </c>
      <c r="E5603" s="50">
        <v>50012902</v>
      </c>
      <c r="F5603" s="50" t="s">
        <v>225</v>
      </c>
      <c r="G5603" s="50">
        <v>1</v>
      </c>
      <c r="H5603" s="50" t="s">
        <v>2</v>
      </c>
      <c r="I5603" s="50" t="s">
        <v>291</v>
      </c>
      <c r="J5603" s="51">
        <v>45929</v>
      </c>
      <c r="K5603" s="50" t="s">
        <v>1</v>
      </c>
      <c r="L5603" s="50" t="s">
        <v>80</v>
      </c>
    </row>
    <row r="5604" spans="2:12">
      <c r="B5604" s="50" t="s">
        <v>483</v>
      </c>
      <c r="C5604" s="50" t="s">
        <v>62</v>
      </c>
      <c r="D5604" s="50" t="s">
        <v>27</v>
      </c>
      <c r="E5604" s="50">
        <v>50038845</v>
      </c>
      <c r="F5604" s="50" t="s">
        <v>234</v>
      </c>
      <c r="G5604" s="50">
        <v>1</v>
      </c>
      <c r="H5604" s="50" t="s">
        <v>2</v>
      </c>
      <c r="I5604" s="50" t="s">
        <v>293</v>
      </c>
      <c r="J5604" s="51">
        <v>45929</v>
      </c>
      <c r="K5604" s="50" t="s">
        <v>3</v>
      </c>
      <c r="L5604" s="50" t="s">
        <v>80</v>
      </c>
    </row>
    <row r="5605" spans="2:12">
      <c r="B5605" s="50" t="s">
        <v>483</v>
      </c>
      <c r="C5605" s="50" t="s">
        <v>62</v>
      </c>
      <c r="D5605" s="50" t="s">
        <v>27</v>
      </c>
      <c r="E5605" s="50">
        <v>50038845</v>
      </c>
      <c r="F5605" s="50" t="s">
        <v>234</v>
      </c>
      <c r="G5605" s="50">
        <v>1</v>
      </c>
      <c r="H5605" s="50" t="s">
        <v>2</v>
      </c>
      <c r="I5605" s="50" t="s">
        <v>293</v>
      </c>
      <c r="J5605" s="51">
        <v>45929</v>
      </c>
      <c r="K5605" s="50" t="s">
        <v>1</v>
      </c>
      <c r="L5605" s="50" t="s">
        <v>80</v>
      </c>
    </row>
    <row r="5606" spans="2:12">
      <c r="B5606" s="50" t="s">
        <v>483</v>
      </c>
      <c r="C5606" s="50" t="s">
        <v>62</v>
      </c>
      <c r="D5606" s="50" t="s">
        <v>27</v>
      </c>
      <c r="E5606" s="50">
        <v>50038840</v>
      </c>
      <c r="F5606" s="50" t="s">
        <v>235</v>
      </c>
      <c r="G5606" s="50">
        <v>1</v>
      </c>
      <c r="H5606" s="50" t="s">
        <v>2</v>
      </c>
      <c r="I5606" s="50" t="s">
        <v>291</v>
      </c>
      <c r="J5606" s="51">
        <v>45929</v>
      </c>
      <c r="K5606" s="50" t="s">
        <v>1</v>
      </c>
      <c r="L5606" s="50" t="s">
        <v>80</v>
      </c>
    </row>
    <row r="5607" spans="2:12">
      <c r="B5607" s="50" t="s">
        <v>277</v>
      </c>
      <c r="C5607" s="50" t="s">
        <v>62</v>
      </c>
      <c r="D5607" s="50" t="s">
        <v>27</v>
      </c>
      <c r="E5607" s="50">
        <v>50032781</v>
      </c>
      <c r="F5607" s="50" t="s">
        <v>237</v>
      </c>
      <c r="G5607" s="50">
        <v>1</v>
      </c>
      <c r="H5607" s="50" t="s">
        <v>2</v>
      </c>
      <c r="I5607" s="50" t="s">
        <v>291</v>
      </c>
      <c r="J5607" s="51">
        <v>45929</v>
      </c>
      <c r="K5607" s="50" t="s">
        <v>3</v>
      </c>
      <c r="L5607" s="50" t="s">
        <v>80</v>
      </c>
    </row>
    <row r="5608" spans="2:12">
      <c r="B5608" s="50" t="s">
        <v>277</v>
      </c>
      <c r="C5608" s="50" t="s">
        <v>62</v>
      </c>
      <c r="D5608" s="50" t="s">
        <v>27</v>
      </c>
      <c r="E5608" s="50">
        <v>50032781</v>
      </c>
      <c r="F5608" s="50" t="s">
        <v>237</v>
      </c>
      <c r="G5608" s="50">
        <v>1</v>
      </c>
      <c r="H5608" s="50" t="s">
        <v>2</v>
      </c>
      <c r="I5608" s="50" t="s">
        <v>291</v>
      </c>
      <c r="J5608" s="51">
        <v>45929</v>
      </c>
      <c r="K5608" s="50" t="s">
        <v>1</v>
      </c>
      <c r="L5608" s="50" t="s">
        <v>80</v>
      </c>
    </row>
    <row r="5609" spans="2:12">
      <c r="B5609" s="50" t="s">
        <v>43</v>
      </c>
      <c r="C5609" s="50" t="s">
        <v>26</v>
      </c>
      <c r="D5609" s="50" t="s">
        <v>41</v>
      </c>
      <c r="E5609" s="50">
        <v>50037933</v>
      </c>
      <c r="F5609" s="50" t="s">
        <v>250</v>
      </c>
      <c r="G5609" s="50">
        <v>1</v>
      </c>
      <c r="H5609" s="50" t="s">
        <v>2</v>
      </c>
      <c r="I5609" s="50" t="s">
        <v>290</v>
      </c>
      <c r="J5609" s="51">
        <v>45929</v>
      </c>
      <c r="K5609" s="50" t="s">
        <v>3</v>
      </c>
      <c r="L5609" s="50" t="s">
        <v>80</v>
      </c>
    </row>
    <row r="5610" spans="2:12">
      <c r="B5610" s="50" t="s">
        <v>43</v>
      </c>
      <c r="C5610" s="50" t="s">
        <v>26</v>
      </c>
      <c r="D5610" s="50" t="s">
        <v>41</v>
      </c>
      <c r="E5610" s="50">
        <v>50037933</v>
      </c>
      <c r="F5610" s="50" t="s">
        <v>250</v>
      </c>
      <c r="G5610" s="50">
        <v>1</v>
      </c>
      <c r="H5610" s="50" t="s">
        <v>2</v>
      </c>
      <c r="I5610" s="50" t="s">
        <v>290</v>
      </c>
      <c r="J5610" s="51">
        <v>45929</v>
      </c>
      <c r="K5610" s="50" t="s">
        <v>1</v>
      </c>
      <c r="L5610" s="50" t="s">
        <v>80</v>
      </c>
    </row>
    <row r="5611" spans="2:12">
      <c r="B5611" s="50" t="s">
        <v>277</v>
      </c>
      <c r="C5611" s="50" t="s">
        <v>62</v>
      </c>
      <c r="D5611" s="50" t="s">
        <v>27</v>
      </c>
      <c r="E5611" s="50">
        <v>50029865</v>
      </c>
      <c r="F5611" s="50" t="s">
        <v>162</v>
      </c>
      <c r="G5611" s="50">
        <v>1</v>
      </c>
      <c r="H5611" s="50" t="s">
        <v>2</v>
      </c>
      <c r="I5611" s="50" t="s">
        <v>293</v>
      </c>
      <c r="J5611" s="51">
        <v>45926</v>
      </c>
      <c r="K5611" s="50" t="s">
        <v>3</v>
      </c>
      <c r="L5611" s="50" t="s">
        <v>80</v>
      </c>
    </row>
    <row r="5612" spans="2:12">
      <c r="B5612" s="50" t="s">
        <v>277</v>
      </c>
      <c r="C5612" s="50" t="s">
        <v>62</v>
      </c>
      <c r="D5612" s="50" t="s">
        <v>27</v>
      </c>
      <c r="E5612" s="50">
        <v>50029865</v>
      </c>
      <c r="F5612" s="50" t="s">
        <v>162</v>
      </c>
      <c r="G5612" s="50">
        <v>1</v>
      </c>
      <c r="H5612" s="50" t="s">
        <v>2</v>
      </c>
      <c r="I5612" s="50" t="s">
        <v>291</v>
      </c>
      <c r="J5612" s="51">
        <v>45926</v>
      </c>
      <c r="K5612" s="50" t="s">
        <v>1</v>
      </c>
      <c r="L5612" s="50" t="s">
        <v>80</v>
      </c>
    </row>
    <row r="5613" spans="2:12">
      <c r="B5613" s="50" t="s">
        <v>469</v>
      </c>
      <c r="C5613" s="50" t="s">
        <v>26</v>
      </c>
      <c r="D5613" s="50" t="s">
        <v>39</v>
      </c>
      <c r="E5613" s="50">
        <v>50038549</v>
      </c>
      <c r="F5613" s="50" t="s">
        <v>173</v>
      </c>
      <c r="G5613" s="50">
        <v>1</v>
      </c>
      <c r="H5613" s="50" t="s">
        <v>2</v>
      </c>
      <c r="I5613" s="50" t="s">
        <v>289</v>
      </c>
      <c r="J5613" s="51">
        <v>45926</v>
      </c>
      <c r="K5613" s="50" t="s">
        <v>3</v>
      </c>
      <c r="L5613" s="50" t="s">
        <v>80</v>
      </c>
    </row>
    <row r="5614" spans="2:12">
      <c r="B5614" s="50" t="s">
        <v>469</v>
      </c>
      <c r="C5614" s="50" t="s">
        <v>26</v>
      </c>
      <c r="D5614" s="50" t="s">
        <v>39</v>
      </c>
      <c r="E5614" s="50">
        <v>50038549</v>
      </c>
      <c r="F5614" s="50" t="s">
        <v>173</v>
      </c>
      <c r="G5614" s="50">
        <v>1</v>
      </c>
      <c r="H5614" s="50" t="s">
        <v>2</v>
      </c>
      <c r="I5614" s="50" t="s">
        <v>289</v>
      </c>
      <c r="J5614" s="51">
        <v>45926</v>
      </c>
      <c r="K5614" s="50" t="s">
        <v>1</v>
      </c>
      <c r="L5614" s="50" t="s">
        <v>80</v>
      </c>
    </row>
    <row r="5615" spans="2:12">
      <c r="B5615" s="50" t="s">
        <v>481</v>
      </c>
      <c r="C5615" s="50" t="s">
        <v>26</v>
      </c>
      <c r="D5615" s="50" t="s">
        <v>27</v>
      </c>
      <c r="E5615" s="50">
        <v>50038549</v>
      </c>
      <c r="F5615" s="50" t="s">
        <v>173</v>
      </c>
      <c r="G5615" s="50">
        <v>1</v>
      </c>
      <c r="H5615" s="50" t="s">
        <v>2</v>
      </c>
      <c r="I5615" s="50" t="s">
        <v>293</v>
      </c>
      <c r="J5615" s="51">
        <v>45926</v>
      </c>
      <c r="K5615" s="50" t="s">
        <v>3</v>
      </c>
      <c r="L5615" s="50" t="s">
        <v>80</v>
      </c>
    </row>
    <row r="5616" spans="2:12">
      <c r="B5616" s="50" t="s">
        <v>481</v>
      </c>
      <c r="C5616" s="50" t="s">
        <v>26</v>
      </c>
      <c r="D5616" s="50" t="s">
        <v>27</v>
      </c>
      <c r="E5616" s="50">
        <v>50038549</v>
      </c>
      <c r="F5616" s="50" t="s">
        <v>173</v>
      </c>
      <c r="G5616" s="50">
        <v>1</v>
      </c>
      <c r="H5616" s="50" t="s">
        <v>2</v>
      </c>
      <c r="I5616" s="50" t="s">
        <v>291</v>
      </c>
      <c r="J5616" s="51">
        <v>45926</v>
      </c>
      <c r="K5616" s="50" t="s">
        <v>1</v>
      </c>
      <c r="L5616" s="50" t="s">
        <v>80</v>
      </c>
    </row>
    <row r="5617" spans="2:12">
      <c r="B5617" s="50" t="s">
        <v>443</v>
      </c>
      <c r="C5617" s="50" t="s">
        <v>56</v>
      </c>
      <c r="D5617" s="50" t="s">
        <v>36</v>
      </c>
      <c r="E5617" s="50">
        <v>50038549</v>
      </c>
      <c r="F5617" s="50" t="s">
        <v>173</v>
      </c>
      <c r="G5617" s="50">
        <v>1</v>
      </c>
      <c r="H5617" s="50" t="s">
        <v>2</v>
      </c>
      <c r="I5617" s="50" t="s">
        <v>291</v>
      </c>
      <c r="J5617" s="51">
        <v>45926</v>
      </c>
      <c r="K5617" s="50" t="s">
        <v>3</v>
      </c>
      <c r="L5617" s="50" t="s">
        <v>80</v>
      </c>
    </row>
    <row r="5618" spans="2:12">
      <c r="B5618" s="50" t="s">
        <v>443</v>
      </c>
      <c r="C5618" s="50" t="s">
        <v>56</v>
      </c>
      <c r="D5618" s="50" t="s">
        <v>36</v>
      </c>
      <c r="E5618" s="50">
        <v>50038549</v>
      </c>
      <c r="F5618" s="50" t="s">
        <v>173</v>
      </c>
      <c r="G5618" s="50">
        <v>1</v>
      </c>
      <c r="H5618" s="50" t="s">
        <v>2</v>
      </c>
      <c r="I5618" s="50" t="s">
        <v>291</v>
      </c>
      <c r="J5618" s="51">
        <v>45926</v>
      </c>
      <c r="K5618" s="50" t="s">
        <v>1</v>
      </c>
      <c r="L5618" s="50" t="s">
        <v>80</v>
      </c>
    </row>
    <row r="5619" spans="2:12">
      <c r="B5619" s="50" t="s">
        <v>478</v>
      </c>
      <c r="C5619" s="50" t="s">
        <v>51</v>
      </c>
      <c r="D5619" s="50" t="s">
        <v>27</v>
      </c>
      <c r="E5619" s="50">
        <v>50038956</v>
      </c>
      <c r="F5619" s="50" t="s">
        <v>177</v>
      </c>
      <c r="G5619" s="50">
        <v>1</v>
      </c>
      <c r="H5619" s="50" t="s">
        <v>2</v>
      </c>
      <c r="I5619" s="50" t="s">
        <v>289</v>
      </c>
      <c r="J5619" s="51">
        <v>45926</v>
      </c>
      <c r="K5619" s="50" t="s">
        <v>3</v>
      </c>
      <c r="L5619" s="50" t="s">
        <v>80</v>
      </c>
    </row>
    <row r="5620" spans="2:12">
      <c r="B5620" s="50" t="s">
        <v>478</v>
      </c>
      <c r="C5620" s="50" t="s">
        <v>51</v>
      </c>
      <c r="D5620" s="50" t="s">
        <v>27</v>
      </c>
      <c r="E5620" s="50">
        <v>50038956</v>
      </c>
      <c r="F5620" s="50" t="s">
        <v>177</v>
      </c>
      <c r="G5620" s="50">
        <v>1</v>
      </c>
      <c r="H5620" s="50" t="s">
        <v>2</v>
      </c>
      <c r="I5620" s="50" t="s">
        <v>292</v>
      </c>
      <c r="J5620" s="51">
        <v>45926</v>
      </c>
      <c r="K5620" s="50" t="s">
        <v>3</v>
      </c>
      <c r="L5620" s="50" t="s">
        <v>80</v>
      </c>
    </row>
    <row r="5621" spans="2:12">
      <c r="B5621" s="50" t="s">
        <v>316</v>
      </c>
      <c r="C5621" s="50" t="s">
        <v>56</v>
      </c>
      <c r="D5621" s="50" t="s">
        <v>27</v>
      </c>
      <c r="E5621" s="50">
        <v>50037892</v>
      </c>
      <c r="F5621" s="50" t="s">
        <v>178</v>
      </c>
      <c r="G5621" s="50">
        <v>1</v>
      </c>
      <c r="H5621" s="50" t="s">
        <v>2</v>
      </c>
      <c r="I5621" s="50" t="s">
        <v>289</v>
      </c>
      <c r="J5621" s="51">
        <v>45926</v>
      </c>
      <c r="K5621" s="50" t="s">
        <v>1</v>
      </c>
      <c r="L5621" s="50" t="s">
        <v>80</v>
      </c>
    </row>
    <row r="5622" spans="2:12">
      <c r="B5622" s="50" t="s">
        <v>316</v>
      </c>
      <c r="C5622" s="50" t="s">
        <v>56</v>
      </c>
      <c r="D5622" s="50" t="s">
        <v>27</v>
      </c>
      <c r="E5622" s="50">
        <v>50037892</v>
      </c>
      <c r="F5622" s="50" t="s">
        <v>178</v>
      </c>
      <c r="G5622" s="50">
        <v>1</v>
      </c>
      <c r="H5622" s="50" t="s">
        <v>2</v>
      </c>
      <c r="I5622" s="50" t="s">
        <v>291</v>
      </c>
      <c r="J5622" s="51">
        <v>45926</v>
      </c>
      <c r="K5622" s="50" t="s">
        <v>3</v>
      </c>
      <c r="L5622" s="50" t="s">
        <v>318</v>
      </c>
    </row>
    <row r="5623" spans="2:12">
      <c r="B5623" s="50" t="s">
        <v>481</v>
      </c>
      <c r="C5623" s="50" t="s">
        <v>26</v>
      </c>
      <c r="D5623" s="50" t="s">
        <v>27</v>
      </c>
      <c r="E5623" s="50">
        <v>50037902</v>
      </c>
      <c r="F5623" s="50" t="s">
        <v>179</v>
      </c>
      <c r="G5623" s="50">
        <v>1</v>
      </c>
      <c r="H5623" s="50" t="s">
        <v>2</v>
      </c>
      <c r="I5623" s="50" t="s">
        <v>293</v>
      </c>
      <c r="J5623" s="51">
        <v>45926</v>
      </c>
      <c r="K5623" s="50" t="s">
        <v>1</v>
      </c>
      <c r="L5623" s="50" t="s">
        <v>80</v>
      </c>
    </row>
    <row r="5624" spans="2:12">
      <c r="B5624" s="50" t="s">
        <v>481</v>
      </c>
      <c r="C5624" s="50" t="s">
        <v>26</v>
      </c>
      <c r="D5624" s="50" t="s">
        <v>27</v>
      </c>
      <c r="E5624" s="50">
        <v>50037902</v>
      </c>
      <c r="F5624" s="50" t="s">
        <v>179</v>
      </c>
      <c r="G5624" s="50">
        <v>1</v>
      </c>
      <c r="H5624" s="50" t="s">
        <v>2</v>
      </c>
      <c r="I5624" s="50" t="s">
        <v>291</v>
      </c>
      <c r="J5624" s="51">
        <v>45926</v>
      </c>
      <c r="K5624" s="50" t="s">
        <v>3</v>
      </c>
      <c r="L5624" s="50" t="s">
        <v>80</v>
      </c>
    </row>
    <row r="5625" spans="2:12">
      <c r="B5625" s="50" t="s">
        <v>396</v>
      </c>
      <c r="C5625" s="50" t="s">
        <v>26</v>
      </c>
      <c r="D5625" s="50" t="s">
        <v>41</v>
      </c>
      <c r="E5625" s="50">
        <v>50038841</v>
      </c>
      <c r="F5625" s="50" t="s">
        <v>180</v>
      </c>
      <c r="G5625" s="50">
        <v>1</v>
      </c>
      <c r="H5625" s="50" t="s">
        <v>2</v>
      </c>
      <c r="I5625" s="50" t="s">
        <v>291</v>
      </c>
      <c r="J5625" s="51">
        <v>45926</v>
      </c>
      <c r="K5625" s="50" t="s">
        <v>1</v>
      </c>
      <c r="L5625" s="50" t="s">
        <v>80</v>
      </c>
    </row>
    <row r="5626" spans="2:12">
      <c r="B5626" s="50" t="s">
        <v>396</v>
      </c>
      <c r="C5626" s="50" t="s">
        <v>26</v>
      </c>
      <c r="D5626" s="50" t="s">
        <v>41</v>
      </c>
      <c r="E5626" s="50">
        <v>50038841</v>
      </c>
      <c r="F5626" s="50" t="s">
        <v>180</v>
      </c>
      <c r="G5626" s="50">
        <v>1</v>
      </c>
      <c r="H5626" s="50" t="s">
        <v>2</v>
      </c>
      <c r="I5626" s="50" t="s">
        <v>291</v>
      </c>
      <c r="J5626" s="51">
        <v>45926</v>
      </c>
      <c r="K5626" s="50" t="s">
        <v>1</v>
      </c>
      <c r="L5626" s="50" t="s">
        <v>80</v>
      </c>
    </row>
    <row r="5627" spans="2:12">
      <c r="B5627" s="50" t="s">
        <v>43</v>
      </c>
      <c r="C5627" s="50" t="s">
        <v>26</v>
      </c>
      <c r="D5627" s="50" t="s">
        <v>41</v>
      </c>
      <c r="E5627" s="50">
        <v>50041653</v>
      </c>
      <c r="F5627" s="50" t="s">
        <v>201</v>
      </c>
      <c r="G5627" s="50">
        <v>1</v>
      </c>
      <c r="H5627" s="50" t="s">
        <v>2</v>
      </c>
      <c r="I5627" s="50" t="s">
        <v>293</v>
      </c>
      <c r="J5627" s="51">
        <v>45926</v>
      </c>
      <c r="K5627" s="50" t="s">
        <v>3</v>
      </c>
      <c r="L5627" s="50" t="s">
        <v>80</v>
      </c>
    </row>
    <row r="5628" spans="2:12">
      <c r="B5628" s="50" t="s">
        <v>43</v>
      </c>
      <c r="C5628" s="50" t="s">
        <v>26</v>
      </c>
      <c r="D5628" s="50" t="s">
        <v>41</v>
      </c>
      <c r="E5628" s="50">
        <v>50041653</v>
      </c>
      <c r="F5628" s="50" t="s">
        <v>201</v>
      </c>
      <c r="G5628" s="50">
        <v>1</v>
      </c>
      <c r="H5628" s="50" t="s">
        <v>2</v>
      </c>
      <c r="I5628" s="50" t="s">
        <v>291</v>
      </c>
      <c r="J5628" s="51">
        <v>45926</v>
      </c>
      <c r="K5628" s="50" t="s">
        <v>3</v>
      </c>
      <c r="L5628" s="50" t="s">
        <v>80</v>
      </c>
    </row>
    <row r="5629" spans="2:12">
      <c r="B5629" s="50" t="e">
        <v>#N/A</v>
      </c>
      <c r="C5629" s="50" t="s">
        <v>26</v>
      </c>
      <c r="D5629" s="50" t="s">
        <v>39</v>
      </c>
      <c r="E5629" s="50">
        <v>50041195</v>
      </c>
      <c r="F5629" s="50" t="s">
        <v>206</v>
      </c>
      <c r="G5629" s="50">
        <v>1</v>
      </c>
      <c r="H5629" s="50" t="s">
        <v>2</v>
      </c>
      <c r="I5629" s="50" t="s">
        <v>289</v>
      </c>
      <c r="J5629" s="51">
        <v>45926</v>
      </c>
      <c r="K5629" s="50" t="s">
        <v>1</v>
      </c>
      <c r="L5629" s="50" t="s">
        <v>80</v>
      </c>
    </row>
    <row r="5630" spans="2:12">
      <c r="B5630" s="50" t="e">
        <v>#N/A</v>
      </c>
      <c r="C5630" s="50" t="s">
        <v>26</v>
      </c>
      <c r="D5630" s="50" t="s">
        <v>39</v>
      </c>
      <c r="E5630" s="50">
        <v>50041195</v>
      </c>
      <c r="F5630" s="50" t="s">
        <v>206</v>
      </c>
      <c r="G5630" s="50">
        <v>1</v>
      </c>
      <c r="H5630" s="50" t="s">
        <v>2</v>
      </c>
      <c r="I5630" s="50" t="s">
        <v>289</v>
      </c>
      <c r="J5630" s="51">
        <v>45926</v>
      </c>
      <c r="K5630" s="50" t="s">
        <v>3</v>
      </c>
      <c r="L5630" s="50" t="s">
        <v>80</v>
      </c>
    </row>
    <row r="5631" spans="2:12">
      <c r="B5631" s="50" t="e">
        <v>#N/A</v>
      </c>
      <c r="C5631" s="50" t="s">
        <v>62</v>
      </c>
      <c r="D5631" s="50" t="s">
        <v>27</v>
      </c>
      <c r="E5631" s="50">
        <v>50041195</v>
      </c>
      <c r="F5631" s="50" t="s">
        <v>206</v>
      </c>
      <c r="G5631" s="50">
        <v>1</v>
      </c>
      <c r="H5631" s="50" t="s">
        <v>2</v>
      </c>
      <c r="I5631" s="50" t="s">
        <v>292</v>
      </c>
      <c r="J5631" s="51">
        <v>45926</v>
      </c>
      <c r="K5631" s="50" t="s">
        <v>1</v>
      </c>
      <c r="L5631" s="50" t="s">
        <v>80</v>
      </c>
    </row>
    <row r="5632" spans="2:12">
      <c r="B5632" s="50" t="e">
        <v>#N/A</v>
      </c>
      <c r="C5632" s="50" t="s">
        <v>62</v>
      </c>
      <c r="D5632" s="50" t="s">
        <v>27</v>
      </c>
      <c r="E5632" s="50">
        <v>50041195</v>
      </c>
      <c r="F5632" s="50" t="s">
        <v>206</v>
      </c>
      <c r="G5632" s="50">
        <v>1</v>
      </c>
      <c r="H5632" s="50" t="s">
        <v>2</v>
      </c>
      <c r="I5632" s="50" t="s">
        <v>292</v>
      </c>
      <c r="J5632" s="51">
        <v>45926</v>
      </c>
      <c r="K5632" s="50" t="s">
        <v>3</v>
      </c>
      <c r="L5632" s="50" t="s">
        <v>80</v>
      </c>
    </row>
    <row r="5633" spans="2:12">
      <c r="B5633" s="50" t="s">
        <v>277</v>
      </c>
      <c r="C5633" s="50" t="s">
        <v>62</v>
      </c>
      <c r="D5633" s="50" t="s">
        <v>27</v>
      </c>
      <c r="E5633" s="50">
        <v>50041195</v>
      </c>
      <c r="F5633" s="50" t="s">
        <v>206</v>
      </c>
      <c r="G5633" s="50">
        <v>1</v>
      </c>
      <c r="H5633" s="50" t="s">
        <v>2</v>
      </c>
      <c r="I5633" s="50" t="s">
        <v>293</v>
      </c>
      <c r="J5633" s="51">
        <v>45926</v>
      </c>
      <c r="K5633" s="50" t="s">
        <v>1</v>
      </c>
      <c r="L5633" s="50" t="s">
        <v>80</v>
      </c>
    </row>
    <row r="5634" spans="2:12">
      <c r="B5634" s="50" t="s">
        <v>277</v>
      </c>
      <c r="C5634" s="50" t="s">
        <v>62</v>
      </c>
      <c r="D5634" s="50" t="s">
        <v>27</v>
      </c>
      <c r="E5634" s="50">
        <v>50041195</v>
      </c>
      <c r="F5634" s="50" t="s">
        <v>206</v>
      </c>
      <c r="G5634" s="50">
        <v>1</v>
      </c>
      <c r="H5634" s="50" t="s">
        <v>2</v>
      </c>
      <c r="I5634" s="50" t="s">
        <v>291</v>
      </c>
      <c r="J5634" s="51">
        <v>45926</v>
      </c>
      <c r="K5634" s="50" t="s">
        <v>3</v>
      </c>
      <c r="L5634" s="50" t="s">
        <v>80</v>
      </c>
    </row>
    <row r="5635" spans="2:12">
      <c r="B5635" s="50" t="s">
        <v>422</v>
      </c>
      <c r="C5635" s="50" t="s">
        <v>26</v>
      </c>
      <c r="D5635" s="50" t="s">
        <v>27</v>
      </c>
      <c r="E5635" s="50">
        <v>50041195</v>
      </c>
      <c r="F5635" s="50" t="s">
        <v>206</v>
      </c>
      <c r="G5635" s="50">
        <v>1</v>
      </c>
      <c r="H5635" s="50" t="s">
        <v>2</v>
      </c>
      <c r="I5635" s="50" t="s">
        <v>291</v>
      </c>
      <c r="J5635" s="51">
        <v>45926</v>
      </c>
      <c r="K5635" s="50" t="s">
        <v>1</v>
      </c>
      <c r="L5635" s="50" t="s">
        <v>80</v>
      </c>
    </row>
    <row r="5636" spans="2:12">
      <c r="B5636" s="50" t="s">
        <v>422</v>
      </c>
      <c r="C5636" s="50" t="s">
        <v>26</v>
      </c>
      <c r="D5636" s="50" t="s">
        <v>27</v>
      </c>
      <c r="E5636" s="50">
        <v>50041195</v>
      </c>
      <c r="F5636" s="50" t="s">
        <v>206</v>
      </c>
      <c r="G5636" s="50">
        <v>1</v>
      </c>
      <c r="H5636" s="50" t="s">
        <v>2</v>
      </c>
      <c r="I5636" s="50" t="s">
        <v>291</v>
      </c>
      <c r="J5636" s="51">
        <v>45926</v>
      </c>
      <c r="K5636" s="50" t="s">
        <v>3</v>
      </c>
      <c r="L5636" s="50" t="s">
        <v>80</v>
      </c>
    </row>
    <row r="5637" spans="2:12">
      <c r="B5637" s="50" t="e">
        <v>#N/A</v>
      </c>
      <c r="C5637" s="50" t="s">
        <v>26</v>
      </c>
      <c r="D5637" s="50" t="s">
        <v>39</v>
      </c>
      <c r="E5637" s="50">
        <v>50043917</v>
      </c>
      <c r="F5637" s="50" t="s">
        <v>262</v>
      </c>
      <c r="G5637" s="50">
        <v>1</v>
      </c>
      <c r="H5637" s="50" t="s">
        <v>2</v>
      </c>
      <c r="I5637" s="50" t="s">
        <v>289</v>
      </c>
      <c r="J5637" s="51">
        <v>45926</v>
      </c>
      <c r="K5637" s="50" t="s">
        <v>3</v>
      </c>
      <c r="L5637" s="50" t="s">
        <v>80</v>
      </c>
    </row>
    <row r="5638" spans="2:12">
      <c r="B5638" s="50" t="e">
        <v>#N/A</v>
      </c>
      <c r="C5638" s="50" t="s">
        <v>26</v>
      </c>
      <c r="D5638" s="50" t="s">
        <v>39</v>
      </c>
      <c r="E5638" s="50">
        <v>50043917</v>
      </c>
      <c r="F5638" s="50" t="s">
        <v>262</v>
      </c>
      <c r="G5638" s="50">
        <v>1</v>
      </c>
      <c r="H5638" s="50" t="s">
        <v>2</v>
      </c>
      <c r="I5638" s="50" t="s">
        <v>289</v>
      </c>
      <c r="J5638" s="51">
        <v>45926</v>
      </c>
      <c r="K5638" s="50" t="s">
        <v>3</v>
      </c>
      <c r="L5638" s="50" t="s">
        <v>80</v>
      </c>
    </row>
    <row r="5639" spans="2:12">
      <c r="B5639" s="50" t="s">
        <v>277</v>
      </c>
      <c r="C5639" s="50" t="s">
        <v>62</v>
      </c>
      <c r="D5639" s="50" t="s">
        <v>27</v>
      </c>
      <c r="E5639" s="50">
        <v>50043917</v>
      </c>
      <c r="F5639" s="50" t="s">
        <v>262</v>
      </c>
      <c r="G5639" s="50">
        <v>1</v>
      </c>
      <c r="H5639" s="50" t="s">
        <v>2</v>
      </c>
      <c r="I5639" s="50" t="s">
        <v>291</v>
      </c>
      <c r="J5639" s="51">
        <v>45926</v>
      </c>
      <c r="K5639" s="59" t="s">
        <v>1</v>
      </c>
      <c r="L5639" s="50" t="s">
        <v>80</v>
      </c>
    </row>
    <row r="5640" spans="2:12">
      <c r="B5640" s="50" t="s">
        <v>439</v>
      </c>
      <c r="C5640" s="50" t="str">
        <f>IFERROR(VLOOKUP(#REF!,'BD COLABORADORES'!A:E,7,FALSE),"")</f>
        <v/>
      </c>
      <c r="D5640" s="50" t="str">
        <f>IFERROR(VLOOKUP(#REF!,'BD COLABORADORES'!A:E,2,FALSE),"")</f>
        <v/>
      </c>
      <c r="E5640" s="50">
        <v>50036086</v>
      </c>
      <c r="F5640" s="50" t="str">
        <f>IFERROR(VLOOKUP(E5640,'BD MOVIMENTAÇÃO'!A:G,3,FALSE),"Não encontrado")</f>
        <v>CHAVE GRIFO 18</v>
      </c>
      <c r="G5640" s="58">
        <v>1</v>
      </c>
      <c r="H5640" s="59" t="s">
        <v>2</v>
      </c>
      <c r="I5640" s="59" t="s">
        <v>313</v>
      </c>
      <c r="J5640" s="63">
        <v>45925</v>
      </c>
      <c r="K5640" s="50" t="s">
        <v>3</v>
      </c>
      <c r="L5640" s="50" t="s">
        <v>80</v>
      </c>
    </row>
    <row r="5641" spans="2:12">
      <c r="B5641" s="50" t="s">
        <v>439</v>
      </c>
      <c r="C5641" s="50" t="str">
        <f>IFERROR(VLOOKUP(#REF!,'BD COLABORADORES'!A:E,7,FALSE),"")</f>
        <v/>
      </c>
      <c r="D5641" s="50" t="str">
        <f>IFERROR(VLOOKUP(#REF!,'BD COLABORADORES'!A:E,2,FALSE),"")</f>
        <v/>
      </c>
      <c r="E5641" s="50">
        <v>50036086</v>
      </c>
      <c r="F5641" s="50" t="str">
        <f>IFERROR(VLOOKUP(E5641,'BD MOVIMENTAÇÃO'!A:G,3,FALSE),"Não encontrado")</f>
        <v>CHAVE GRIFO 18</v>
      </c>
      <c r="G5641" s="58">
        <v>1</v>
      </c>
      <c r="H5641" s="59" t="s">
        <v>2</v>
      </c>
      <c r="I5641" s="59" t="s">
        <v>313</v>
      </c>
      <c r="J5641" s="63">
        <v>45925</v>
      </c>
      <c r="K5641" s="50" t="s">
        <v>1</v>
      </c>
      <c r="L5641" s="50" t="s">
        <v>80</v>
      </c>
    </row>
    <row r="5642" spans="2:12">
      <c r="B5642" s="50" t="e">
        <v>#N/A</v>
      </c>
      <c r="C5642" s="50">
        <v>0</v>
      </c>
      <c r="D5642" s="50" t="s">
        <v>41</v>
      </c>
      <c r="E5642" s="50">
        <v>50037905</v>
      </c>
      <c r="F5642" s="50" t="s">
        <v>150</v>
      </c>
      <c r="G5642" s="50">
        <v>1</v>
      </c>
      <c r="H5642" s="50" t="s">
        <v>2</v>
      </c>
      <c r="I5642" s="50" t="s">
        <v>290</v>
      </c>
      <c r="J5642" s="51">
        <v>45925</v>
      </c>
      <c r="K5642" s="50" t="s">
        <v>3</v>
      </c>
      <c r="L5642" s="50" t="s">
        <v>80</v>
      </c>
    </row>
    <row r="5643" spans="2:12">
      <c r="B5643" s="50" t="e">
        <v>#N/A</v>
      </c>
      <c r="C5643" s="50">
        <v>0</v>
      </c>
      <c r="D5643" s="50" t="s">
        <v>41</v>
      </c>
      <c r="E5643" s="50">
        <v>50037905</v>
      </c>
      <c r="F5643" s="50" t="s">
        <v>150</v>
      </c>
      <c r="G5643" s="50">
        <v>1</v>
      </c>
      <c r="H5643" s="50" t="s">
        <v>2</v>
      </c>
      <c r="I5643" s="50" t="s">
        <v>291</v>
      </c>
      <c r="J5643" s="51">
        <v>45925</v>
      </c>
      <c r="K5643" s="50" t="s">
        <v>1</v>
      </c>
      <c r="L5643" s="50" t="s">
        <v>80</v>
      </c>
    </row>
    <row r="5644" spans="2:12">
      <c r="B5644" s="50" t="s">
        <v>399</v>
      </c>
      <c r="C5644" s="50" t="s">
        <v>51</v>
      </c>
      <c r="D5644" s="50" t="s">
        <v>27</v>
      </c>
      <c r="E5644" s="50">
        <v>50039236</v>
      </c>
      <c r="F5644" s="50" t="s">
        <v>154</v>
      </c>
      <c r="G5644" s="50">
        <v>1</v>
      </c>
      <c r="H5644" s="50" t="s">
        <v>2</v>
      </c>
      <c r="I5644" s="50" t="s">
        <v>289</v>
      </c>
      <c r="J5644" s="51">
        <v>45925</v>
      </c>
      <c r="K5644" s="50" t="s">
        <v>3</v>
      </c>
      <c r="L5644" s="50" t="s">
        <v>80</v>
      </c>
    </row>
    <row r="5645" spans="2:12">
      <c r="B5645" s="50" t="s">
        <v>399</v>
      </c>
      <c r="C5645" s="50" t="s">
        <v>51</v>
      </c>
      <c r="D5645" s="50" t="s">
        <v>27</v>
      </c>
      <c r="E5645" s="50">
        <v>50039236</v>
      </c>
      <c r="F5645" s="50" t="s">
        <v>154</v>
      </c>
      <c r="G5645" s="50">
        <v>1</v>
      </c>
      <c r="H5645" s="50" t="s">
        <v>2</v>
      </c>
      <c r="I5645" s="50" t="s">
        <v>292</v>
      </c>
      <c r="J5645" s="51">
        <v>45925</v>
      </c>
      <c r="K5645" s="50" t="s">
        <v>1</v>
      </c>
      <c r="L5645" s="50" t="s">
        <v>80</v>
      </c>
    </row>
    <row r="5646" spans="2:12">
      <c r="B5646" s="50" t="s">
        <v>481</v>
      </c>
      <c r="C5646" s="50" t="s">
        <v>26</v>
      </c>
      <c r="D5646" s="50" t="s">
        <v>27</v>
      </c>
      <c r="E5646" s="50">
        <v>50038549</v>
      </c>
      <c r="F5646" s="50" t="s">
        <v>173</v>
      </c>
      <c r="G5646" s="50">
        <v>1</v>
      </c>
      <c r="H5646" s="50" t="s">
        <v>2</v>
      </c>
      <c r="I5646" s="50" t="s">
        <v>290</v>
      </c>
      <c r="J5646" s="51">
        <v>45925</v>
      </c>
      <c r="K5646" s="50" t="s">
        <v>1</v>
      </c>
      <c r="L5646" s="50" t="s">
        <v>80</v>
      </c>
    </row>
    <row r="5647" spans="2:12">
      <c r="B5647" s="50" t="s">
        <v>434</v>
      </c>
      <c r="C5647" s="50" t="s">
        <v>51</v>
      </c>
      <c r="D5647" s="50" t="s">
        <v>39</v>
      </c>
      <c r="E5647" s="50">
        <v>50038956</v>
      </c>
      <c r="F5647" s="50" t="s">
        <v>177</v>
      </c>
      <c r="G5647" s="50">
        <v>1</v>
      </c>
      <c r="H5647" s="50" t="s">
        <v>2</v>
      </c>
      <c r="I5647" s="50" t="s">
        <v>289</v>
      </c>
      <c r="J5647" s="51">
        <v>45925</v>
      </c>
      <c r="K5647" s="50" t="s">
        <v>3</v>
      </c>
      <c r="L5647" s="50" t="s">
        <v>80</v>
      </c>
    </row>
    <row r="5648" spans="2:12">
      <c r="B5648" s="50" t="s">
        <v>273</v>
      </c>
      <c r="C5648" s="50" t="s">
        <v>274</v>
      </c>
      <c r="D5648" s="50" t="s">
        <v>27</v>
      </c>
      <c r="E5648" s="50">
        <v>50037892</v>
      </c>
      <c r="F5648" s="50" t="s">
        <v>178</v>
      </c>
      <c r="G5648" s="50">
        <v>1</v>
      </c>
      <c r="H5648" s="50" t="s">
        <v>2</v>
      </c>
      <c r="I5648" s="50" t="s">
        <v>289</v>
      </c>
      <c r="J5648" s="51">
        <v>45925</v>
      </c>
      <c r="K5648" s="50" t="s">
        <v>1</v>
      </c>
      <c r="L5648" s="50" t="s">
        <v>80</v>
      </c>
    </row>
    <row r="5649" spans="2:12">
      <c r="B5649" s="50" t="e">
        <v>#N/A</v>
      </c>
      <c r="C5649" s="50" t="s">
        <v>26</v>
      </c>
      <c r="D5649" s="50" t="s">
        <v>27</v>
      </c>
      <c r="E5649" s="50">
        <v>50037892</v>
      </c>
      <c r="F5649" s="50" t="s">
        <v>178</v>
      </c>
      <c r="G5649" s="50">
        <v>1</v>
      </c>
      <c r="H5649" s="50" t="s">
        <v>2</v>
      </c>
      <c r="I5649" s="50" t="s">
        <v>291</v>
      </c>
      <c r="J5649" s="51">
        <v>45925</v>
      </c>
      <c r="K5649" s="50" t="s">
        <v>3</v>
      </c>
      <c r="L5649" s="50" t="s">
        <v>80</v>
      </c>
    </row>
    <row r="5650" spans="2:12">
      <c r="B5650" s="50" t="s">
        <v>427</v>
      </c>
      <c r="C5650" s="50" t="s">
        <v>26</v>
      </c>
      <c r="D5650" s="50" t="s">
        <v>27</v>
      </c>
      <c r="E5650" s="50">
        <v>50038841</v>
      </c>
      <c r="F5650" s="50" t="s">
        <v>180</v>
      </c>
      <c r="G5650" s="50">
        <v>1</v>
      </c>
      <c r="H5650" s="50" t="s">
        <v>2</v>
      </c>
      <c r="I5650" s="50" t="s">
        <v>292</v>
      </c>
      <c r="J5650" s="51">
        <v>45925</v>
      </c>
      <c r="K5650" s="50" t="s">
        <v>86</v>
      </c>
      <c r="L5650" s="50" t="s">
        <v>80</v>
      </c>
    </row>
    <row r="5651" spans="2:12">
      <c r="B5651" s="50" t="s">
        <v>427</v>
      </c>
      <c r="C5651" s="50" t="s">
        <v>26</v>
      </c>
      <c r="D5651" s="50" t="s">
        <v>27</v>
      </c>
      <c r="E5651" s="50">
        <v>50038841</v>
      </c>
      <c r="F5651" s="50" t="s">
        <v>180</v>
      </c>
      <c r="G5651" s="50">
        <v>1</v>
      </c>
      <c r="H5651" s="50" t="s">
        <v>2</v>
      </c>
      <c r="I5651" s="50" t="s">
        <v>290</v>
      </c>
      <c r="J5651" s="51">
        <v>45925</v>
      </c>
      <c r="K5651" s="50" t="s">
        <v>3</v>
      </c>
      <c r="L5651" s="50" t="s">
        <v>80</v>
      </c>
    </row>
    <row r="5652" spans="2:12">
      <c r="B5652" s="50" t="s">
        <v>394</v>
      </c>
      <c r="C5652" s="50" t="s">
        <v>51</v>
      </c>
      <c r="D5652" s="50" t="s">
        <v>27</v>
      </c>
      <c r="E5652" s="50">
        <v>50038841</v>
      </c>
      <c r="F5652" s="50" t="s">
        <v>180</v>
      </c>
      <c r="G5652" s="50">
        <v>1</v>
      </c>
      <c r="H5652" s="50" t="s">
        <v>2</v>
      </c>
      <c r="I5652" s="50" t="s">
        <v>290</v>
      </c>
      <c r="J5652" s="51">
        <v>45925</v>
      </c>
      <c r="K5652" s="50" t="s">
        <v>1</v>
      </c>
      <c r="L5652" s="50" t="s">
        <v>80</v>
      </c>
    </row>
    <row r="5653" spans="2:12">
      <c r="B5653" s="50" t="s">
        <v>394</v>
      </c>
      <c r="C5653" s="50" t="s">
        <v>51</v>
      </c>
      <c r="D5653" s="50" t="s">
        <v>27</v>
      </c>
      <c r="E5653" s="50">
        <v>50038841</v>
      </c>
      <c r="F5653" s="50" t="s">
        <v>180</v>
      </c>
      <c r="G5653" s="50">
        <v>1</v>
      </c>
      <c r="H5653" s="50" t="s">
        <v>2</v>
      </c>
      <c r="I5653" s="50" t="s">
        <v>291</v>
      </c>
      <c r="J5653" s="51">
        <v>45925</v>
      </c>
      <c r="K5653" s="50" t="s">
        <v>3</v>
      </c>
      <c r="L5653" s="50" t="s">
        <v>80</v>
      </c>
    </row>
    <row r="5654" spans="2:12">
      <c r="B5654" s="50" t="s">
        <v>399</v>
      </c>
      <c r="C5654" s="50" t="s">
        <v>51</v>
      </c>
      <c r="D5654" s="50" t="s">
        <v>27</v>
      </c>
      <c r="E5654" s="50">
        <v>50038517</v>
      </c>
      <c r="F5654" s="50" t="s">
        <v>181</v>
      </c>
      <c r="G5654" s="50">
        <v>1</v>
      </c>
      <c r="H5654" s="50" t="s">
        <v>2</v>
      </c>
      <c r="I5654" s="50" t="s">
        <v>289</v>
      </c>
      <c r="J5654" s="51">
        <v>45925</v>
      </c>
      <c r="K5654" s="50" t="s">
        <v>1</v>
      </c>
      <c r="L5654" s="50" t="s">
        <v>80</v>
      </c>
    </row>
    <row r="5655" spans="2:12">
      <c r="B5655" s="50" t="s">
        <v>399</v>
      </c>
      <c r="C5655" s="50" t="s">
        <v>51</v>
      </c>
      <c r="D5655" s="50" t="s">
        <v>27</v>
      </c>
      <c r="E5655" s="50">
        <v>50038517</v>
      </c>
      <c r="F5655" s="50" t="s">
        <v>181</v>
      </c>
      <c r="G5655" s="50">
        <v>1</v>
      </c>
      <c r="H5655" s="50" t="s">
        <v>2</v>
      </c>
      <c r="I5655" s="50" t="s">
        <v>291</v>
      </c>
      <c r="J5655" s="51">
        <v>45925</v>
      </c>
      <c r="K5655" s="50" t="s">
        <v>1</v>
      </c>
      <c r="L5655" s="50" t="s">
        <v>80</v>
      </c>
    </row>
    <row r="5656" spans="2:12">
      <c r="B5656" s="50" t="s">
        <v>439</v>
      </c>
      <c r="C5656" s="50" t="s">
        <v>62</v>
      </c>
      <c r="D5656" s="50" t="s">
        <v>27</v>
      </c>
      <c r="E5656" s="50">
        <v>50026357</v>
      </c>
      <c r="F5656" s="50" t="s">
        <v>192</v>
      </c>
      <c r="G5656" s="50">
        <v>1</v>
      </c>
      <c r="H5656" s="50" t="s">
        <v>2</v>
      </c>
      <c r="I5656" s="50" t="s">
        <v>289</v>
      </c>
      <c r="J5656" s="51">
        <v>45925</v>
      </c>
      <c r="K5656" s="50" t="s">
        <v>3</v>
      </c>
      <c r="L5656" s="50" t="s">
        <v>80</v>
      </c>
    </row>
    <row r="5657" spans="2:12">
      <c r="B5657" s="50" t="s">
        <v>439</v>
      </c>
      <c r="C5657" s="50" t="s">
        <v>62</v>
      </c>
      <c r="D5657" s="50" t="s">
        <v>27</v>
      </c>
      <c r="E5657" s="50">
        <v>50026357</v>
      </c>
      <c r="F5657" s="50" t="s">
        <v>192</v>
      </c>
      <c r="G5657" s="50">
        <v>1</v>
      </c>
      <c r="H5657" s="50" t="s">
        <v>2</v>
      </c>
      <c r="I5657" s="50" t="s">
        <v>291</v>
      </c>
      <c r="J5657" s="51">
        <v>45925</v>
      </c>
      <c r="K5657" s="50" t="s">
        <v>1</v>
      </c>
      <c r="L5657" s="50" t="s">
        <v>80</v>
      </c>
    </row>
    <row r="5658" spans="2:12">
      <c r="B5658" s="50" t="s">
        <v>466</v>
      </c>
      <c r="C5658" s="50" t="s">
        <v>62</v>
      </c>
      <c r="D5658" s="50" t="s">
        <v>27</v>
      </c>
      <c r="E5658" s="50">
        <v>50038662</v>
      </c>
      <c r="F5658" s="50" t="s">
        <v>193</v>
      </c>
      <c r="G5658" s="50">
        <v>1</v>
      </c>
      <c r="H5658" s="50" t="s">
        <v>2</v>
      </c>
      <c r="I5658" s="50" t="s">
        <v>292</v>
      </c>
      <c r="J5658" s="51">
        <v>45925</v>
      </c>
      <c r="K5658" s="50" t="s">
        <v>3</v>
      </c>
      <c r="L5658" s="50" t="s">
        <v>80</v>
      </c>
    </row>
    <row r="5659" spans="2:12">
      <c r="B5659" s="50" t="s">
        <v>466</v>
      </c>
      <c r="C5659" s="50" t="s">
        <v>62</v>
      </c>
      <c r="D5659" s="50" t="s">
        <v>27</v>
      </c>
      <c r="E5659" s="50">
        <v>50038662</v>
      </c>
      <c r="F5659" s="50" t="s">
        <v>193</v>
      </c>
      <c r="G5659" s="50">
        <v>1</v>
      </c>
      <c r="H5659" s="50" t="s">
        <v>2</v>
      </c>
      <c r="I5659" s="50" t="s">
        <v>291</v>
      </c>
      <c r="J5659" s="51">
        <v>45925</v>
      </c>
      <c r="K5659" s="50" t="s">
        <v>3</v>
      </c>
      <c r="L5659" s="50" t="s">
        <v>80</v>
      </c>
    </row>
    <row r="5660" spans="2:12">
      <c r="B5660" s="50" t="s">
        <v>446</v>
      </c>
      <c r="C5660" s="50" t="s">
        <v>56</v>
      </c>
      <c r="D5660" s="50" t="s">
        <v>27</v>
      </c>
      <c r="E5660" s="50">
        <v>50041195</v>
      </c>
      <c r="F5660" s="50" t="s">
        <v>206</v>
      </c>
      <c r="G5660" s="50">
        <v>1</v>
      </c>
      <c r="H5660" s="50" t="s">
        <v>2</v>
      </c>
      <c r="I5660" s="50" t="s">
        <v>291</v>
      </c>
      <c r="J5660" s="51">
        <v>45925</v>
      </c>
      <c r="K5660" s="50" t="s">
        <v>1</v>
      </c>
      <c r="L5660" s="50" t="s">
        <v>80</v>
      </c>
    </row>
    <row r="5661" spans="2:12">
      <c r="B5661" s="50" t="e">
        <v>#N/A</v>
      </c>
      <c r="C5661" s="50" t="s">
        <v>62</v>
      </c>
      <c r="D5661" s="50" t="s">
        <v>27</v>
      </c>
      <c r="E5661" s="50">
        <v>50041195</v>
      </c>
      <c r="F5661" s="50" t="s">
        <v>206</v>
      </c>
      <c r="G5661" s="50">
        <v>1</v>
      </c>
      <c r="H5661" s="50" t="s">
        <v>2</v>
      </c>
      <c r="I5661" s="50" t="s">
        <v>291</v>
      </c>
      <c r="J5661" s="51">
        <v>45925</v>
      </c>
      <c r="K5661" s="50" t="s">
        <v>3</v>
      </c>
      <c r="L5661" s="50" t="s">
        <v>80</v>
      </c>
    </row>
    <row r="5662" spans="2:12">
      <c r="B5662" s="50" t="s">
        <v>392</v>
      </c>
      <c r="C5662" s="50" t="s">
        <v>51</v>
      </c>
      <c r="D5662" s="50" t="s">
        <v>39</v>
      </c>
      <c r="E5662" s="50">
        <v>50043917</v>
      </c>
      <c r="F5662" s="50" t="s">
        <v>262</v>
      </c>
      <c r="G5662" s="50">
        <v>1</v>
      </c>
      <c r="H5662" s="50" t="s">
        <v>2</v>
      </c>
      <c r="I5662" s="50" t="s">
        <v>289</v>
      </c>
      <c r="J5662" s="51">
        <v>45925</v>
      </c>
      <c r="K5662" s="50" t="s">
        <v>1</v>
      </c>
      <c r="L5662" s="50" t="s">
        <v>80</v>
      </c>
    </row>
    <row r="5663" spans="2:12">
      <c r="B5663" s="50" t="s">
        <v>392</v>
      </c>
      <c r="C5663" s="50" t="s">
        <v>51</v>
      </c>
      <c r="D5663" s="50" t="s">
        <v>39</v>
      </c>
      <c r="E5663" s="50">
        <v>50043917</v>
      </c>
      <c r="F5663" s="50" t="s">
        <v>262</v>
      </c>
      <c r="G5663" s="50">
        <v>1</v>
      </c>
      <c r="H5663" s="50" t="s">
        <v>2</v>
      </c>
      <c r="I5663" s="50" t="s">
        <v>289</v>
      </c>
      <c r="J5663" s="51">
        <v>45925</v>
      </c>
      <c r="K5663" s="50" t="s">
        <v>3</v>
      </c>
      <c r="L5663" s="50" t="s">
        <v>80</v>
      </c>
    </row>
    <row r="5664" spans="2:12">
      <c r="B5664" s="50" t="s">
        <v>345</v>
      </c>
      <c r="C5664" s="50" t="s">
        <v>62</v>
      </c>
      <c r="D5664" s="50" t="s">
        <v>27</v>
      </c>
      <c r="E5664" s="50">
        <v>50043917</v>
      </c>
      <c r="F5664" s="50" t="s">
        <v>262</v>
      </c>
      <c r="G5664" s="50">
        <v>1</v>
      </c>
      <c r="H5664" s="50" t="s">
        <v>2</v>
      </c>
      <c r="I5664" s="50" t="s">
        <v>289</v>
      </c>
      <c r="J5664" s="51">
        <v>45925</v>
      </c>
      <c r="K5664" s="50" t="s">
        <v>1</v>
      </c>
      <c r="L5664" s="50" t="s">
        <v>80</v>
      </c>
    </row>
    <row r="5665" spans="2:12">
      <c r="B5665" s="50" t="s">
        <v>345</v>
      </c>
      <c r="C5665" s="50" t="s">
        <v>62</v>
      </c>
      <c r="D5665" s="50" t="s">
        <v>27</v>
      </c>
      <c r="E5665" s="50">
        <v>50043917</v>
      </c>
      <c r="F5665" s="50" t="s">
        <v>262</v>
      </c>
      <c r="G5665" s="50">
        <v>1</v>
      </c>
      <c r="H5665" s="50" t="s">
        <v>2</v>
      </c>
      <c r="I5665" s="50" t="s">
        <v>291</v>
      </c>
      <c r="J5665" s="51">
        <v>45925</v>
      </c>
      <c r="K5665" s="50" t="s">
        <v>3</v>
      </c>
      <c r="L5665" s="50" t="s">
        <v>80</v>
      </c>
    </row>
    <row r="5666" spans="2:12">
      <c r="B5666" s="50" t="s">
        <v>345</v>
      </c>
      <c r="C5666" s="50" t="s">
        <v>62</v>
      </c>
      <c r="D5666" s="50" t="s">
        <v>27</v>
      </c>
      <c r="E5666" s="50">
        <v>50020622</v>
      </c>
      <c r="F5666" s="50" t="s">
        <v>217</v>
      </c>
      <c r="G5666" s="50">
        <v>1</v>
      </c>
      <c r="H5666" s="50" t="s">
        <v>2</v>
      </c>
      <c r="I5666" s="50" t="s">
        <v>291</v>
      </c>
      <c r="J5666" s="51">
        <v>45925</v>
      </c>
      <c r="K5666" s="50" t="s">
        <v>1</v>
      </c>
      <c r="L5666" s="50" t="s">
        <v>80</v>
      </c>
    </row>
    <row r="5667" spans="2:12">
      <c r="B5667" s="50" t="s">
        <v>345</v>
      </c>
      <c r="C5667" s="50" t="s">
        <v>62</v>
      </c>
      <c r="D5667" s="50" t="s">
        <v>27</v>
      </c>
      <c r="E5667" s="50">
        <v>50020622</v>
      </c>
      <c r="F5667" s="50" t="s">
        <v>217</v>
      </c>
      <c r="G5667" s="50">
        <v>1</v>
      </c>
      <c r="H5667" s="50" t="s">
        <v>2</v>
      </c>
      <c r="I5667" s="50" t="s">
        <v>291</v>
      </c>
      <c r="J5667" s="51">
        <v>45925</v>
      </c>
      <c r="K5667" s="50" t="s">
        <v>1</v>
      </c>
      <c r="L5667" s="50" t="s">
        <v>80</v>
      </c>
    </row>
    <row r="5668" spans="2:12">
      <c r="B5668" s="50" t="s">
        <v>394</v>
      </c>
      <c r="C5668" s="50" t="s">
        <v>51</v>
      </c>
      <c r="D5668" s="50" t="s">
        <v>27</v>
      </c>
      <c r="E5668" s="50">
        <v>50032781</v>
      </c>
      <c r="F5668" s="50" t="s">
        <v>237</v>
      </c>
      <c r="G5668" s="50">
        <v>1</v>
      </c>
      <c r="H5668" s="50" t="s">
        <v>2</v>
      </c>
      <c r="I5668" s="50" t="s">
        <v>290</v>
      </c>
      <c r="J5668" s="51">
        <v>45925</v>
      </c>
      <c r="K5668" s="50" t="s">
        <v>3</v>
      </c>
      <c r="L5668" s="50" t="s">
        <v>80</v>
      </c>
    </row>
    <row r="5669" spans="2:12">
      <c r="B5669" s="50" t="s">
        <v>394</v>
      </c>
      <c r="C5669" s="50" t="s">
        <v>51</v>
      </c>
      <c r="D5669" s="50" t="s">
        <v>27</v>
      </c>
      <c r="E5669" s="50">
        <v>50032781</v>
      </c>
      <c r="F5669" s="50" t="s">
        <v>237</v>
      </c>
      <c r="G5669" s="50">
        <v>1</v>
      </c>
      <c r="H5669" s="50" t="s">
        <v>2</v>
      </c>
      <c r="I5669" s="50" t="s">
        <v>291</v>
      </c>
      <c r="J5669" s="51">
        <v>45925</v>
      </c>
      <c r="K5669" s="50" t="s">
        <v>1</v>
      </c>
      <c r="L5669" s="50" t="s">
        <v>81</v>
      </c>
    </row>
    <row r="5670" spans="2:12">
      <c r="B5670" s="50" t="s">
        <v>483</v>
      </c>
      <c r="C5670" s="50" t="s">
        <v>62</v>
      </c>
      <c r="D5670" s="50" t="s">
        <v>27</v>
      </c>
      <c r="E5670" s="50">
        <v>50028220</v>
      </c>
      <c r="F5670" s="50" t="s">
        <v>242</v>
      </c>
      <c r="G5670" s="50">
        <v>1</v>
      </c>
      <c r="H5670" s="50" t="s">
        <v>2</v>
      </c>
      <c r="I5670" s="50" t="s">
        <v>291</v>
      </c>
      <c r="J5670" s="51">
        <v>45925</v>
      </c>
      <c r="K5670" s="50" t="s">
        <v>3</v>
      </c>
      <c r="L5670" s="50" t="s">
        <v>81</v>
      </c>
    </row>
    <row r="5671" spans="2:12">
      <c r="B5671" s="50" t="s">
        <v>483</v>
      </c>
      <c r="C5671" s="50" t="s">
        <v>62</v>
      </c>
      <c r="D5671" s="50" t="s">
        <v>27</v>
      </c>
      <c r="E5671" s="50">
        <v>50028220</v>
      </c>
      <c r="F5671" s="50" t="s">
        <v>242</v>
      </c>
      <c r="G5671" s="50">
        <v>1</v>
      </c>
      <c r="H5671" s="50" t="s">
        <v>2</v>
      </c>
      <c r="I5671" s="50" t="s">
        <v>291</v>
      </c>
      <c r="J5671" s="51">
        <v>45925</v>
      </c>
      <c r="K5671" s="50" t="s">
        <v>1</v>
      </c>
      <c r="L5671" s="50" t="s">
        <v>80</v>
      </c>
    </row>
    <row r="5672" spans="2:12">
      <c r="B5672" s="50" t="s">
        <v>446</v>
      </c>
      <c r="C5672" s="50" t="s">
        <v>51</v>
      </c>
      <c r="D5672" s="50" t="s">
        <v>27</v>
      </c>
      <c r="E5672" s="50">
        <v>50043150</v>
      </c>
      <c r="F5672" s="50" t="s">
        <v>259</v>
      </c>
      <c r="G5672" s="50">
        <v>1</v>
      </c>
      <c r="H5672" s="50" t="s">
        <v>2</v>
      </c>
      <c r="I5672" s="50" t="s">
        <v>291</v>
      </c>
      <c r="J5672" s="51">
        <v>45925</v>
      </c>
      <c r="K5672" s="50" t="s">
        <v>3</v>
      </c>
      <c r="L5672" s="50" t="s">
        <v>80</v>
      </c>
    </row>
    <row r="5673" spans="2:12">
      <c r="B5673" s="50" t="s">
        <v>446</v>
      </c>
      <c r="C5673" s="50" t="s">
        <v>51</v>
      </c>
      <c r="D5673" s="50" t="s">
        <v>27</v>
      </c>
      <c r="E5673" s="50">
        <v>50043150</v>
      </c>
      <c r="F5673" s="50" t="s">
        <v>259</v>
      </c>
      <c r="G5673" s="50">
        <v>1</v>
      </c>
      <c r="H5673" s="50" t="s">
        <v>2</v>
      </c>
      <c r="I5673" s="50" t="s">
        <v>291</v>
      </c>
      <c r="J5673" s="51">
        <v>45925</v>
      </c>
      <c r="K5673" s="50" t="s">
        <v>3</v>
      </c>
      <c r="L5673" s="50" t="s">
        <v>80</v>
      </c>
    </row>
    <row r="5674" spans="2:12">
      <c r="B5674" s="50" t="s">
        <v>455</v>
      </c>
      <c r="C5674" s="50" t="s">
        <v>56</v>
      </c>
      <c r="D5674" s="50" t="s">
        <v>41</v>
      </c>
      <c r="E5674" s="50">
        <v>50010031</v>
      </c>
      <c r="F5674" s="50" t="s">
        <v>89</v>
      </c>
      <c r="G5674" s="50">
        <v>1</v>
      </c>
      <c r="H5674" s="50" t="s">
        <v>2</v>
      </c>
      <c r="I5674" s="50" t="s">
        <v>297</v>
      </c>
      <c r="J5674" s="51">
        <v>45924</v>
      </c>
      <c r="K5674" s="50" t="s">
        <v>1</v>
      </c>
      <c r="L5674" s="50" t="s">
        <v>80</v>
      </c>
    </row>
    <row r="5675" spans="2:12">
      <c r="B5675" s="50" t="s">
        <v>455</v>
      </c>
      <c r="C5675" s="50" t="s">
        <v>56</v>
      </c>
      <c r="D5675" s="50" t="s">
        <v>41</v>
      </c>
      <c r="E5675" s="50">
        <v>50010031</v>
      </c>
      <c r="F5675" s="50" t="s">
        <v>89</v>
      </c>
      <c r="G5675" s="50">
        <v>1</v>
      </c>
      <c r="H5675" s="50" t="s">
        <v>2</v>
      </c>
      <c r="I5675" s="50" t="s">
        <v>293</v>
      </c>
      <c r="J5675" s="51">
        <v>45924</v>
      </c>
      <c r="K5675" s="50" t="s">
        <v>3</v>
      </c>
      <c r="L5675" s="50" t="s">
        <v>80</v>
      </c>
    </row>
    <row r="5676" spans="2:12">
      <c r="B5676" s="50" t="e">
        <v>#N/A</v>
      </c>
      <c r="C5676" s="50" t="s">
        <v>26</v>
      </c>
      <c r="D5676" s="50" t="s">
        <v>27</v>
      </c>
      <c r="E5676" s="50">
        <v>50010031</v>
      </c>
      <c r="F5676" s="50" t="s">
        <v>89</v>
      </c>
      <c r="G5676" s="50">
        <v>1</v>
      </c>
      <c r="H5676" s="50" t="s">
        <v>2</v>
      </c>
      <c r="I5676" s="50" t="s">
        <v>290</v>
      </c>
      <c r="J5676" s="51">
        <v>45924</v>
      </c>
      <c r="K5676" s="50" t="s">
        <v>1</v>
      </c>
      <c r="L5676" s="50" t="s">
        <v>80</v>
      </c>
    </row>
    <row r="5677" spans="2:12">
      <c r="B5677" s="50" t="e">
        <v>#N/A</v>
      </c>
      <c r="C5677" s="50" t="s">
        <v>26</v>
      </c>
      <c r="D5677" s="50" t="s">
        <v>27</v>
      </c>
      <c r="E5677" s="50">
        <v>50010031</v>
      </c>
      <c r="F5677" s="50" t="s">
        <v>89</v>
      </c>
      <c r="G5677" s="50">
        <v>1</v>
      </c>
      <c r="H5677" s="50" t="s">
        <v>2</v>
      </c>
      <c r="I5677" s="50" t="s">
        <v>290</v>
      </c>
      <c r="J5677" s="51">
        <v>45924</v>
      </c>
      <c r="K5677" s="50" t="s">
        <v>1</v>
      </c>
      <c r="L5677" s="50" t="s">
        <v>80</v>
      </c>
    </row>
    <row r="5678" spans="2:12">
      <c r="B5678" s="50" t="s">
        <v>316</v>
      </c>
      <c r="C5678" s="50" t="s">
        <v>56</v>
      </c>
      <c r="D5678" s="50" t="s">
        <v>27</v>
      </c>
      <c r="E5678" s="50">
        <v>50044003</v>
      </c>
      <c r="F5678" s="50" t="s">
        <v>263</v>
      </c>
      <c r="G5678" s="50">
        <v>1</v>
      </c>
      <c r="H5678" s="50" t="s">
        <v>2</v>
      </c>
      <c r="I5678" s="50" t="s">
        <v>293</v>
      </c>
      <c r="J5678" s="51">
        <v>45924</v>
      </c>
      <c r="K5678" s="50" t="s">
        <v>3</v>
      </c>
      <c r="L5678" s="50" t="s">
        <v>80</v>
      </c>
    </row>
    <row r="5679" spans="2:12">
      <c r="B5679" s="50" t="s">
        <v>316</v>
      </c>
      <c r="C5679" s="50" t="s">
        <v>56</v>
      </c>
      <c r="D5679" s="50" t="s">
        <v>27</v>
      </c>
      <c r="E5679" s="50">
        <v>50044003</v>
      </c>
      <c r="F5679" s="50" t="s">
        <v>263</v>
      </c>
      <c r="G5679" s="50">
        <v>1</v>
      </c>
      <c r="H5679" s="50" t="s">
        <v>2</v>
      </c>
      <c r="I5679" s="50" t="s">
        <v>291</v>
      </c>
      <c r="J5679" s="51">
        <v>45924</v>
      </c>
      <c r="K5679" s="50" t="s">
        <v>1</v>
      </c>
      <c r="L5679" s="50" t="s">
        <v>80</v>
      </c>
    </row>
    <row r="5680" spans="2:12">
      <c r="B5680" s="50" t="s">
        <v>465</v>
      </c>
      <c r="C5680" s="50" t="s">
        <v>26</v>
      </c>
      <c r="D5680" s="50" t="s">
        <v>27</v>
      </c>
      <c r="E5680" s="50">
        <v>50037960</v>
      </c>
      <c r="F5680" s="50" t="s">
        <v>112</v>
      </c>
      <c r="G5680" s="50">
        <v>1</v>
      </c>
      <c r="H5680" s="50" t="s">
        <v>2</v>
      </c>
      <c r="I5680" s="50" t="s">
        <v>290</v>
      </c>
      <c r="J5680" s="51">
        <v>45924</v>
      </c>
      <c r="K5680" s="50" t="s">
        <v>1</v>
      </c>
      <c r="L5680" s="50" t="s">
        <v>80</v>
      </c>
    </row>
    <row r="5681" spans="2:12">
      <c r="B5681" s="50" t="s">
        <v>465</v>
      </c>
      <c r="C5681" s="50" t="s">
        <v>26</v>
      </c>
      <c r="D5681" s="50" t="s">
        <v>27</v>
      </c>
      <c r="E5681" s="50">
        <v>50037961</v>
      </c>
      <c r="F5681" s="50" t="s">
        <v>113</v>
      </c>
      <c r="G5681" s="50">
        <v>1</v>
      </c>
      <c r="H5681" s="50" t="s">
        <v>2</v>
      </c>
      <c r="I5681" s="50" t="s">
        <v>290</v>
      </c>
      <c r="J5681" s="51">
        <v>45924</v>
      </c>
      <c r="K5681" s="50" t="s">
        <v>1</v>
      </c>
      <c r="L5681" s="50" t="s">
        <v>80</v>
      </c>
    </row>
    <row r="5682" spans="2:12">
      <c r="B5682" s="50" t="s">
        <v>25</v>
      </c>
      <c r="C5682" s="50" t="s">
        <v>26</v>
      </c>
      <c r="D5682" s="50" t="s">
        <v>27</v>
      </c>
      <c r="E5682" s="50">
        <v>50036255</v>
      </c>
      <c r="F5682" s="50" t="s">
        <v>120</v>
      </c>
      <c r="G5682" s="50">
        <v>1</v>
      </c>
      <c r="H5682" s="50" t="s">
        <v>2</v>
      </c>
      <c r="I5682" s="50" t="s">
        <v>292</v>
      </c>
      <c r="J5682" s="51">
        <v>45924</v>
      </c>
      <c r="K5682" s="50" t="s">
        <v>3</v>
      </c>
      <c r="L5682" s="50" t="s">
        <v>80</v>
      </c>
    </row>
    <row r="5683" spans="2:12">
      <c r="B5683" s="50" t="s">
        <v>25</v>
      </c>
      <c r="C5683" s="50" t="s">
        <v>26</v>
      </c>
      <c r="D5683" s="50" t="s">
        <v>27</v>
      </c>
      <c r="E5683" s="50">
        <v>50036255</v>
      </c>
      <c r="F5683" s="50" t="s">
        <v>120</v>
      </c>
      <c r="G5683" s="50">
        <v>1</v>
      </c>
      <c r="H5683" s="50" t="s">
        <v>2</v>
      </c>
      <c r="I5683" s="50" t="s">
        <v>291</v>
      </c>
      <c r="J5683" s="51">
        <v>45924</v>
      </c>
      <c r="K5683" s="50" t="s">
        <v>1</v>
      </c>
      <c r="L5683" s="50" t="s">
        <v>80</v>
      </c>
    </row>
    <row r="5684" spans="2:12">
      <c r="B5684" s="50" t="s">
        <v>406</v>
      </c>
      <c r="C5684" s="50" t="s">
        <v>26</v>
      </c>
      <c r="D5684" s="50" t="s">
        <v>39</v>
      </c>
      <c r="E5684" s="50">
        <v>50039718</v>
      </c>
      <c r="F5684" s="50" t="s">
        <v>149</v>
      </c>
      <c r="G5684" s="50">
        <v>1</v>
      </c>
      <c r="H5684" s="50" t="s">
        <v>2</v>
      </c>
      <c r="I5684" s="50" t="s">
        <v>290</v>
      </c>
      <c r="J5684" s="51">
        <v>45924</v>
      </c>
      <c r="K5684" s="50" t="s">
        <v>3</v>
      </c>
      <c r="L5684" s="50" t="s">
        <v>80</v>
      </c>
    </row>
    <row r="5685" spans="2:12">
      <c r="B5685" s="50" t="s">
        <v>406</v>
      </c>
      <c r="C5685" s="50" t="s">
        <v>26</v>
      </c>
      <c r="D5685" s="50" t="s">
        <v>39</v>
      </c>
      <c r="E5685" s="50">
        <v>50039718</v>
      </c>
      <c r="F5685" s="50" t="s">
        <v>149</v>
      </c>
      <c r="G5685" s="50">
        <v>1</v>
      </c>
      <c r="H5685" s="50" t="s">
        <v>2</v>
      </c>
      <c r="I5685" s="50" t="s">
        <v>291</v>
      </c>
      <c r="J5685" s="51">
        <v>45924</v>
      </c>
      <c r="K5685" s="50" t="s">
        <v>1</v>
      </c>
      <c r="L5685" s="50" t="s">
        <v>80</v>
      </c>
    </row>
    <row r="5686" spans="2:12">
      <c r="B5686" s="50" t="s">
        <v>465</v>
      </c>
      <c r="C5686" s="50" t="s">
        <v>26</v>
      </c>
      <c r="D5686" s="50" t="s">
        <v>27</v>
      </c>
      <c r="E5686" s="50">
        <v>50039236</v>
      </c>
      <c r="F5686" s="50" t="s">
        <v>154</v>
      </c>
      <c r="G5686" s="50">
        <v>1</v>
      </c>
      <c r="H5686" s="50" t="s">
        <v>2</v>
      </c>
      <c r="I5686" s="50" t="s">
        <v>289</v>
      </c>
      <c r="J5686" s="51">
        <v>45924</v>
      </c>
      <c r="K5686" s="50" t="s">
        <v>3</v>
      </c>
      <c r="L5686" s="50" t="s">
        <v>80</v>
      </c>
    </row>
    <row r="5687" spans="2:12">
      <c r="B5687" s="50" t="s">
        <v>465</v>
      </c>
      <c r="C5687" s="50" t="s">
        <v>26</v>
      </c>
      <c r="D5687" s="50" t="s">
        <v>27</v>
      </c>
      <c r="E5687" s="50">
        <v>50039236</v>
      </c>
      <c r="F5687" s="50" t="s">
        <v>154</v>
      </c>
      <c r="G5687" s="50">
        <v>1</v>
      </c>
      <c r="H5687" s="50" t="s">
        <v>2</v>
      </c>
      <c r="I5687" s="50" t="s">
        <v>291</v>
      </c>
      <c r="J5687" s="51">
        <v>45924</v>
      </c>
      <c r="K5687" s="50" t="s">
        <v>1</v>
      </c>
      <c r="L5687" s="50" t="s">
        <v>80</v>
      </c>
    </row>
    <row r="5688" spans="2:12">
      <c r="B5688" s="50" t="s">
        <v>345</v>
      </c>
      <c r="C5688" s="50" t="s">
        <v>62</v>
      </c>
      <c r="D5688" s="50" t="s">
        <v>27</v>
      </c>
      <c r="E5688" s="50">
        <v>50043471</v>
      </c>
      <c r="F5688" s="50" t="s">
        <v>257</v>
      </c>
      <c r="G5688" s="50">
        <v>1</v>
      </c>
      <c r="H5688" s="50" t="s">
        <v>2</v>
      </c>
      <c r="I5688" s="50" t="s">
        <v>292</v>
      </c>
      <c r="J5688" s="51">
        <v>45924</v>
      </c>
      <c r="K5688" s="50" t="s">
        <v>3</v>
      </c>
      <c r="L5688" s="50" t="s">
        <v>80</v>
      </c>
    </row>
    <row r="5689" spans="2:12">
      <c r="B5689" s="50" t="s">
        <v>345</v>
      </c>
      <c r="C5689" s="50" t="s">
        <v>62</v>
      </c>
      <c r="D5689" s="50" t="s">
        <v>27</v>
      </c>
      <c r="E5689" s="50">
        <v>50043471</v>
      </c>
      <c r="F5689" s="50" t="s">
        <v>257</v>
      </c>
      <c r="G5689" s="50">
        <v>1</v>
      </c>
      <c r="H5689" s="50" t="s">
        <v>2</v>
      </c>
      <c r="I5689" s="50" t="s">
        <v>297</v>
      </c>
      <c r="J5689" s="51">
        <v>45924</v>
      </c>
      <c r="K5689" s="50" t="s">
        <v>3</v>
      </c>
      <c r="L5689" s="50" t="s">
        <v>80</v>
      </c>
    </row>
    <row r="5690" spans="2:12">
      <c r="B5690" s="50" t="s">
        <v>465</v>
      </c>
      <c r="C5690" s="50" t="s">
        <v>26</v>
      </c>
      <c r="D5690" s="50" t="s">
        <v>27</v>
      </c>
      <c r="E5690" s="50">
        <v>50038549</v>
      </c>
      <c r="F5690" s="50" t="s">
        <v>173</v>
      </c>
      <c r="G5690" s="50">
        <v>1</v>
      </c>
      <c r="H5690" s="50" t="s">
        <v>2</v>
      </c>
      <c r="I5690" s="50" t="s">
        <v>289</v>
      </c>
      <c r="J5690" s="51">
        <v>45924</v>
      </c>
      <c r="K5690" s="50" t="s">
        <v>1</v>
      </c>
      <c r="L5690" s="50" t="s">
        <v>80</v>
      </c>
    </row>
    <row r="5691" spans="2:12">
      <c r="B5691" s="50" t="s">
        <v>427</v>
      </c>
      <c r="C5691" s="50" t="s">
        <v>26</v>
      </c>
      <c r="D5691" s="50" t="s">
        <v>27</v>
      </c>
      <c r="E5691" s="50">
        <v>50038549</v>
      </c>
      <c r="F5691" s="50" t="s">
        <v>173</v>
      </c>
      <c r="G5691" s="50">
        <v>1</v>
      </c>
      <c r="H5691" s="50" t="s">
        <v>2</v>
      </c>
      <c r="I5691" s="50" t="s">
        <v>292</v>
      </c>
      <c r="J5691" s="51">
        <v>45924</v>
      </c>
      <c r="K5691" s="50" t="s">
        <v>3</v>
      </c>
      <c r="L5691" s="50" t="s">
        <v>80</v>
      </c>
    </row>
    <row r="5692" spans="2:12">
      <c r="B5692" s="50" t="s">
        <v>427</v>
      </c>
      <c r="C5692" s="50" t="s">
        <v>26</v>
      </c>
      <c r="D5692" s="50" t="s">
        <v>27</v>
      </c>
      <c r="E5692" s="50">
        <v>50038549</v>
      </c>
      <c r="F5692" s="50" t="s">
        <v>173</v>
      </c>
      <c r="G5692" s="50">
        <v>1</v>
      </c>
      <c r="H5692" s="50" t="s">
        <v>2</v>
      </c>
      <c r="I5692" s="50" t="s">
        <v>291</v>
      </c>
      <c r="J5692" s="51">
        <v>45924</v>
      </c>
      <c r="K5692" s="50" t="s">
        <v>3</v>
      </c>
      <c r="L5692" s="50" t="s">
        <v>80</v>
      </c>
    </row>
    <row r="5693" spans="2:12">
      <c r="B5693" s="50" t="s">
        <v>410</v>
      </c>
      <c r="C5693" s="50" t="s">
        <v>51</v>
      </c>
      <c r="D5693" s="50" t="s">
        <v>27</v>
      </c>
      <c r="E5693" s="50">
        <v>50038956</v>
      </c>
      <c r="F5693" s="50" t="s">
        <v>177</v>
      </c>
      <c r="G5693" s="50">
        <v>1</v>
      </c>
      <c r="H5693" s="50" t="s">
        <v>2</v>
      </c>
      <c r="I5693" s="50" t="s">
        <v>289</v>
      </c>
      <c r="J5693" s="51">
        <v>45924</v>
      </c>
      <c r="K5693" s="50" t="s">
        <v>3</v>
      </c>
      <c r="L5693" s="50" t="s">
        <v>80</v>
      </c>
    </row>
    <row r="5694" spans="2:12">
      <c r="B5694" s="50" t="s">
        <v>481</v>
      </c>
      <c r="C5694" s="61" t="s">
        <v>56</v>
      </c>
      <c r="D5694" s="61" t="s">
        <v>27</v>
      </c>
      <c r="E5694" s="50">
        <v>50037892</v>
      </c>
      <c r="F5694" s="50" t="s">
        <v>178</v>
      </c>
      <c r="G5694" s="50">
        <v>1</v>
      </c>
      <c r="H5694" s="50" t="s">
        <v>2</v>
      </c>
      <c r="I5694" s="50" t="s">
        <v>289</v>
      </c>
      <c r="J5694" s="51">
        <v>45924</v>
      </c>
      <c r="K5694" s="50" t="s">
        <v>1</v>
      </c>
      <c r="L5694" s="50" t="s">
        <v>80</v>
      </c>
    </row>
    <row r="5695" spans="2:12">
      <c r="B5695" s="50" t="s">
        <v>481</v>
      </c>
      <c r="C5695" s="50" t="s">
        <v>56</v>
      </c>
      <c r="D5695" s="50" t="s">
        <v>27</v>
      </c>
      <c r="E5695" s="50">
        <v>50037892</v>
      </c>
      <c r="F5695" s="50" t="s">
        <v>178</v>
      </c>
      <c r="G5695" s="50">
        <v>1</v>
      </c>
      <c r="H5695" s="50" t="s">
        <v>2</v>
      </c>
      <c r="I5695" s="50" t="s">
        <v>291</v>
      </c>
      <c r="J5695" s="51">
        <v>45924</v>
      </c>
      <c r="K5695" s="50" t="s">
        <v>3</v>
      </c>
      <c r="L5695" s="50" t="s">
        <v>80</v>
      </c>
    </row>
    <row r="5696" spans="2:12">
      <c r="B5696" s="50" t="s">
        <v>396</v>
      </c>
      <c r="C5696" s="50" t="s">
        <v>26</v>
      </c>
      <c r="D5696" s="50" t="s">
        <v>41</v>
      </c>
      <c r="E5696" s="50">
        <v>50037892</v>
      </c>
      <c r="F5696" s="50" t="s">
        <v>178</v>
      </c>
      <c r="G5696" s="50">
        <v>1</v>
      </c>
      <c r="H5696" s="50" t="s">
        <v>2</v>
      </c>
      <c r="I5696" s="50" t="s">
        <v>291</v>
      </c>
      <c r="J5696" s="51">
        <v>45924</v>
      </c>
      <c r="K5696" s="50" t="s">
        <v>1</v>
      </c>
      <c r="L5696" s="50" t="s">
        <v>80</v>
      </c>
    </row>
    <row r="5697" spans="2:12">
      <c r="B5697" s="50" t="s">
        <v>396</v>
      </c>
      <c r="C5697" s="50" t="s">
        <v>26</v>
      </c>
      <c r="D5697" s="50" t="s">
        <v>41</v>
      </c>
      <c r="E5697" s="50">
        <v>50037892</v>
      </c>
      <c r="F5697" s="50" t="s">
        <v>178</v>
      </c>
      <c r="G5697" s="50">
        <v>1</v>
      </c>
      <c r="H5697" s="50" t="s">
        <v>2</v>
      </c>
      <c r="I5697" s="50" t="s">
        <v>291</v>
      </c>
      <c r="J5697" s="51">
        <v>45924</v>
      </c>
      <c r="K5697" s="50" t="s">
        <v>3</v>
      </c>
      <c r="L5697" s="50" t="s">
        <v>80</v>
      </c>
    </row>
    <row r="5698" spans="2:12">
      <c r="B5698" s="50" t="s">
        <v>483</v>
      </c>
      <c r="C5698" s="50" t="s">
        <v>62</v>
      </c>
      <c r="D5698" s="50" t="s">
        <v>27</v>
      </c>
      <c r="E5698" s="50">
        <v>50037902</v>
      </c>
      <c r="F5698" s="50" t="s">
        <v>179</v>
      </c>
      <c r="G5698" s="50">
        <v>1</v>
      </c>
      <c r="H5698" s="50" t="s">
        <v>2</v>
      </c>
      <c r="I5698" s="50" t="s">
        <v>292</v>
      </c>
      <c r="J5698" s="51">
        <v>45924</v>
      </c>
      <c r="K5698" s="50" t="s">
        <v>1</v>
      </c>
      <c r="L5698" s="50" t="s">
        <v>80</v>
      </c>
    </row>
    <row r="5699" spans="2:12">
      <c r="B5699" s="50" t="s">
        <v>483</v>
      </c>
      <c r="C5699" s="50" t="s">
        <v>62</v>
      </c>
      <c r="D5699" s="50" t="s">
        <v>27</v>
      </c>
      <c r="E5699" s="50">
        <v>50037902</v>
      </c>
      <c r="F5699" s="50" t="s">
        <v>179</v>
      </c>
      <c r="G5699" s="50">
        <v>1</v>
      </c>
      <c r="H5699" s="50" t="s">
        <v>2</v>
      </c>
      <c r="I5699" s="50" t="s">
        <v>291</v>
      </c>
      <c r="J5699" s="51">
        <v>45924</v>
      </c>
      <c r="K5699" s="50" t="s">
        <v>3</v>
      </c>
      <c r="L5699" s="50" t="s">
        <v>80</v>
      </c>
    </row>
    <row r="5700" spans="2:12">
      <c r="B5700" s="50" t="s">
        <v>316</v>
      </c>
      <c r="C5700" s="50" t="s">
        <v>51</v>
      </c>
      <c r="D5700" s="50" t="s">
        <v>27</v>
      </c>
      <c r="E5700" s="50">
        <v>50038841</v>
      </c>
      <c r="F5700" s="50" t="s">
        <v>180</v>
      </c>
      <c r="G5700" s="50">
        <v>1</v>
      </c>
      <c r="H5700" s="50" t="s">
        <v>2</v>
      </c>
      <c r="I5700" s="50" t="s">
        <v>289</v>
      </c>
      <c r="J5700" s="51">
        <v>45924</v>
      </c>
      <c r="K5700" s="50" t="s">
        <v>1</v>
      </c>
      <c r="L5700" s="50" t="s">
        <v>80</v>
      </c>
    </row>
    <row r="5701" spans="2:12">
      <c r="B5701" s="50" t="s">
        <v>316</v>
      </c>
      <c r="C5701" s="50" t="s">
        <v>51</v>
      </c>
      <c r="D5701" s="50" t="s">
        <v>27</v>
      </c>
      <c r="E5701" s="50">
        <v>50038841</v>
      </c>
      <c r="F5701" s="50" t="s">
        <v>180</v>
      </c>
      <c r="G5701" s="50">
        <v>1</v>
      </c>
      <c r="H5701" s="50" t="s">
        <v>2</v>
      </c>
      <c r="I5701" s="50" t="s">
        <v>291</v>
      </c>
      <c r="J5701" s="51">
        <v>45924</v>
      </c>
      <c r="K5701" s="50" t="s">
        <v>3</v>
      </c>
      <c r="L5701" s="50" t="s">
        <v>80</v>
      </c>
    </row>
    <row r="5702" spans="2:12">
      <c r="B5702" s="50" t="s">
        <v>410</v>
      </c>
      <c r="C5702" s="50" t="s">
        <v>51</v>
      </c>
      <c r="D5702" s="50" t="s">
        <v>27</v>
      </c>
      <c r="E5702" s="50">
        <v>50038517</v>
      </c>
      <c r="F5702" s="50" t="s">
        <v>181</v>
      </c>
      <c r="G5702" s="50">
        <v>1</v>
      </c>
      <c r="H5702" s="50" t="s">
        <v>2</v>
      </c>
      <c r="I5702" s="50" t="s">
        <v>289</v>
      </c>
      <c r="J5702" s="51">
        <v>45924</v>
      </c>
      <c r="K5702" s="50" t="s">
        <v>1</v>
      </c>
      <c r="L5702" s="50" t="s">
        <v>80</v>
      </c>
    </row>
    <row r="5703" spans="2:12">
      <c r="B5703" s="50" t="s">
        <v>415</v>
      </c>
      <c r="C5703" s="50" t="s">
        <v>51</v>
      </c>
      <c r="D5703" s="50" t="s">
        <v>27</v>
      </c>
      <c r="E5703" s="50">
        <v>50038517</v>
      </c>
      <c r="F5703" s="50" t="s">
        <v>181</v>
      </c>
      <c r="G5703" s="50">
        <v>1</v>
      </c>
      <c r="H5703" s="50" t="s">
        <v>2</v>
      </c>
      <c r="I5703" s="50" t="s">
        <v>291</v>
      </c>
      <c r="J5703" s="51">
        <v>45924</v>
      </c>
      <c r="K5703" s="50" t="s">
        <v>3</v>
      </c>
      <c r="L5703" s="50" t="s">
        <v>80</v>
      </c>
    </row>
    <row r="5704" spans="2:12">
      <c r="B5704" s="50" t="s">
        <v>397</v>
      </c>
      <c r="C5704" s="50" t="s">
        <v>26</v>
      </c>
      <c r="D5704" s="50" t="s">
        <v>41</v>
      </c>
      <c r="E5704" s="50">
        <v>50038517</v>
      </c>
      <c r="F5704" s="50" t="s">
        <v>181</v>
      </c>
      <c r="G5704" s="50">
        <v>1</v>
      </c>
      <c r="H5704" s="50" t="s">
        <v>2</v>
      </c>
      <c r="I5704" s="50" t="s">
        <v>291</v>
      </c>
      <c r="J5704" s="51">
        <v>45924</v>
      </c>
      <c r="K5704" s="50" t="s">
        <v>1</v>
      </c>
      <c r="L5704" s="50" t="s">
        <v>80</v>
      </c>
    </row>
    <row r="5705" spans="2:12">
      <c r="B5705" s="50" t="s">
        <v>397</v>
      </c>
      <c r="C5705" s="50" t="s">
        <v>26</v>
      </c>
      <c r="D5705" s="50" t="s">
        <v>41</v>
      </c>
      <c r="E5705" s="50">
        <v>50038517</v>
      </c>
      <c r="F5705" s="50" t="s">
        <v>181</v>
      </c>
      <c r="G5705" s="50">
        <v>1</v>
      </c>
      <c r="H5705" s="50" t="s">
        <v>2</v>
      </c>
      <c r="I5705" s="50" t="s">
        <v>291</v>
      </c>
      <c r="J5705" s="51">
        <v>45924</v>
      </c>
      <c r="K5705" s="50" t="s">
        <v>3</v>
      </c>
      <c r="L5705" s="50" t="s">
        <v>80</v>
      </c>
    </row>
    <row r="5706" spans="2:12">
      <c r="B5706" s="50" t="s">
        <v>472</v>
      </c>
      <c r="C5706" s="50" t="s">
        <v>51</v>
      </c>
      <c r="D5706" s="50" t="s">
        <v>41</v>
      </c>
      <c r="E5706" s="50">
        <v>50038517</v>
      </c>
      <c r="F5706" s="50" t="s">
        <v>181</v>
      </c>
      <c r="G5706" s="50">
        <v>1</v>
      </c>
      <c r="H5706" s="50" t="s">
        <v>2</v>
      </c>
      <c r="I5706" s="50" t="s">
        <v>291</v>
      </c>
      <c r="J5706" s="51">
        <v>45924</v>
      </c>
      <c r="K5706" s="50" t="s">
        <v>1</v>
      </c>
      <c r="L5706" s="50" t="s">
        <v>80</v>
      </c>
    </row>
    <row r="5707" spans="2:12">
      <c r="B5707" s="50" t="s">
        <v>472</v>
      </c>
      <c r="C5707" s="50" t="s">
        <v>51</v>
      </c>
      <c r="D5707" s="50" t="s">
        <v>41</v>
      </c>
      <c r="E5707" s="50">
        <v>50038517</v>
      </c>
      <c r="F5707" s="50" t="s">
        <v>181</v>
      </c>
      <c r="G5707" s="50">
        <v>1</v>
      </c>
      <c r="H5707" s="50" t="s">
        <v>2</v>
      </c>
      <c r="I5707" s="50" t="s">
        <v>291</v>
      </c>
      <c r="J5707" s="51">
        <v>45924</v>
      </c>
      <c r="K5707" s="50" t="s">
        <v>1</v>
      </c>
      <c r="L5707" s="50" t="s">
        <v>80</v>
      </c>
    </row>
    <row r="5708" spans="2:12">
      <c r="B5708" s="50" t="s">
        <v>458</v>
      </c>
      <c r="C5708" s="50" t="s">
        <v>26</v>
      </c>
      <c r="D5708" s="50" t="s">
        <v>27</v>
      </c>
      <c r="E5708" s="50">
        <v>50001995</v>
      </c>
      <c r="F5708" s="50" t="s">
        <v>185</v>
      </c>
      <c r="G5708" s="50">
        <v>1</v>
      </c>
      <c r="H5708" s="50" t="s">
        <v>2</v>
      </c>
      <c r="I5708" s="50" t="s">
        <v>293</v>
      </c>
      <c r="J5708" s="51">
        <v>45924</v>
      </c>
      <c r="K5708" s="50" t="s">
        <v>3</v>
      </c>
      <c r="L5708" s="50" t="s">
        <v>80</v>
      </c>
    </row>
    <row r="5709" spans="2:12">
      <c r="B5709" s="50" t="s">
        <v>458</v>
      </c>
      <c r="C5709" s="50" t="s">
        <v>26</v>
      </c>
      <c r="D5709" s="50" t="s">
        <v>27</v>
      </c>
      <c r="E5709" s="50">
        <v>50001995</v>
      </c>
      <c r="F5709" s="50" t="s">
        <v>185</v>
      </c>
      <c r="G5709" s="50">
        <v>1</v>
      </c>
      <c r="H5709" s="50" t="s">
        <v>2</v>
      </c>
      <c r="I5709" s="50" t="s">
        <v>292</v>
      </c>
      <c r="J5709" s="51">
        <v>45924</v>
      </c>
      <c r="K5709" s="50" t="s">
        <v>1</v>
      </c>
      <c r="L5709" s="50" t="s">
        <v>80</v>
      </c>
    </row>
    <row r="5710" spans="2:12">
      <c r="B5710" s="50" t="s">
        <v>316</v>
      </c>
      <c r="C5710" s="50" t="s">
        <v>51</v>
      </c>
      <c r="D5710" s="50" t="s">
        <v>27</v>
      </c>
      <c r="E5710" s="50">
        <v>50039065</v>
      </c>
      <c r="F5710" s="50" t="s">
        <v>186</v>
      </c>
      <c r="G5710" s="50">
        <v>1</v>
      </c>
      <c r="H5710" s="50" t="s">
        <v>2</v>
      </c>
      <c r="I5710" s="50" t="s">
        <v>289</v>
      </c>
      <c r="J5710" s="51">
        <v>45924</v>
      </c>
      <c r="K5710" s="50" t="s">
        <v>3</v>
      </c>
      <c r="L5710" s="50" t="s">
        <v>80</v>
      </c>
    </row>
    <row r="5711" spans="2:12">
      <c r="B5711" s="50" t="s">
        <v>316</v>
      </c>
      <c r="C5711" s="50" t="s">
        <v>51</v>
      </c>
      <c r="D5711" s="50" t="s">
        <v>27</v>
      </c>
      <c r="E5711" s="50">
        <v>50039065</v>
      </c>
      <c r="F5711" s="50" t="s">
        <v>186</v>
      </c>
      <c r="G5711" s="50">
        <v>1</v>
      </c>
      <c r="H5711" s="50" t="s">
        <v>2</v>
      </c>
      <c r="I5711" s="50" t="s">
        <v>291</v>
      </c>
      <c r="J5711" s="51">
        <v>45924</v>
      </c>
      <c r="K5711" s="50" t="s">
        <v>1</v>
      </c>
      <c r="L5711" s="50" t="s">
        <v>80</v>
      </c>
    </row>
    <row r="5712" spans="2:12">
      <c r="B5712" s="50" t="s">
        <v>409</v>
      </c>
      <c r="C5712" s="50" t="s">
        <v>51</v>
      </c>
      <c r="D5712" s="50" t="s">
        <v>27</v>
      </c>
      <c r="E5712" s="50">
        <v>50039065</v>
      </c>
      <c r="F5712" s="50" t="s">
        <v>186</v>
      </c>
      <c r="G5712" s="50">
        <v>1</v>
      </c>
      <c r="H5712" s="50" t="s">
        <v>2</v>
      </c>
      <c r="I5712" s="50" t="s">
        <v>291</v>
      </c>
      <c r="J5712" s="51">
        <v>45924</v>
      </c>
      <c r="K5712" s="50" t="s">
        <v>3</v>
      </c>
      <c r="L5712" s="50" t="s">
        <v>80</v>
      </c>
    </row>
    <row r="5713" spans="2:12">
      <c r="B5713" s="50" t="s">
        <v>409</v>
      </c>
      <c r="C5713" s="50" t="s">
        <v>51</v>
      </c>
      <c r="D5713" s="50" t="s">
        <v>27</v>
      </c>
      <c r="E5713" s="50">
        <v>50039065</v>
      </c>
      <c r="F5713" s="50" t="s">
        <v>186</v>
      </c>
      <c r="G5713" s="50">
        <v>1</v>
      </c>
      <c r="H5713" s="50" t="s">
        <v>2</v>
      </c>
      <c r="I5713" s="50" t="s">
        <v>291</v>
      </c>
      <c r="J5713" s="51">
        <v>45924</v>
      </c>
      <c r="K5713" s="50" t="s">
        <v>1</v>
      </c>
      <c r="L5713" s="50" t="s">
        <v>80</v>
      </c>
    </row>
    <row r="5714" spans="2:12">
      <c r="B5714" s="50" t="s">
        <v>439</v>
      </c>
      <c r="C5714" s="50" t="s">
        <v>62</v>
      </c>
      <c r="D5714" s="50" t="s">
        <v>27</v>
      </c>
      <c r="E5714" s="50">
        <v>50026357</v>
      </c>
      <c r="F5714" s="50" t="s">
        <v>192</v>
      </c>
      <c r="G5714" s="50">
        <v>1</v>
      </c>
      <c r="H5714" s="50" t="s">
        <v>2</v>
      </c>
      <c r="I5714" s="50" t="s">
        <v>292</v>
      </c>
      <c r="J5714" s="51">
        <v>45924</v>
      </c>
      <c r="K5714" s="50" t="s">
        <v>3</v>
      </c>
      <c r="L5714" s="50" t="s">
        <v>80</v>
      </c>
    </row>
    <row r="5715" spans="2:12">
      <c r="B5715" s="50" t="s">
        <v>439</v>
      </c>
      <c r="C5715" s="50" t="s">
        <v>62</v>
      </c>
      <c r="D5715" s="50" t="s">
        <v>27</v>
      </c>
      <c r="E5715" s="50">
        <v>50026357</v>
      </c>
      <c r="F5715" s="50" t="s">
        <v>192</v>
      </c>
      <c r="G5715" s="50">
        <v>1</v>
      </c>
      <c r="H5715" s="50" t="s">
        <v>2</v>
      </c>
      <c r="I5715" s="50" t="s">
        <v>293</v>
      </c>
      <c r="J5715" s="51">
        <v>45924</v>
      </c>
      <c r="K5715" s="50" t="s">
        <v>3</v>
      </c>
      <c r="L5715" s="50" t="s">
        <v>80</v>
      </c>
    </row>
    <row r="5716" spans="2:12">
      <c r="B5716" s="50" t="s">
        <v>481</v>
      </c>
      <c r="C5716" s="50" t="s">
        <v>56</v>
      </c>
      <c r="D5716" s="50" t="s">
        <v>27</v>
      </c>
      <c r="E5716" s="50">
        <v>50041195</v>
      </c>
      <c r="F5716" s="50" t="s">
        <v>206</v>
      </c>
      <c r="G5716" s="50">
        <v>1</v>
      </c>
      <c r="H5716" s="50" t="s">
        <v>2</v>
      </c>
      <c r="I5716" s="50" t="s">
        <v>289</v>
      </c>
      <c r="J5716" s="51">
        <v>45924</v>
      </c>
      <c r="K5716" s="50" t="s">
        <v>1</v>
      </c>
      <c r="L5716" s="50" t="s">
        <v>80</v>
      </c>
    </row>
    <row r="5717" spans="2:12">
      <c r="B5717" s="50" t="s">
        <v>481</v>
      </c>
      <c r="C5717" s="50" t="s">
        <v>56</v>
      </c>
      <c r="D5717" s="50" t="s">
        <v>27</v>
      </c>
      <c r="E5717" s="50">
        <v>50041195</v>
      </c>
      <c r="F5717" s="50" t="s">
        <v>206</v>
      </c>
      <c r="G5717" s="50">
        <v>1</v>
      </c>
      <c r="H5717" s="50" t="s">
        <v>2</v>
      </c>
      <c r="I5717" s="50" t="s">
        <v>291</v>
      </c>
      <c r="J5717" s="51">
        <v>45924</v>
      </c>
      <c r="K5717" s="50" t="s">
        <v>3</v>
      </c>
      <c r="L5717" s="50" t="s">
        <v>80</v>
      </c>
    </row>
    <row r="5718" spans="2:12">
      <c r="B5718" s="50" t="s">
        <v>423</v>
      </c>
      <c r="C5718" s="50" t="s">
        <v>62</v>
      </c>
      <c r="D5718" s="50" t="s">
        <v>27</v>
      </c>
      <c r="E5718" s="50">
        <v>50043917</v>
      </c>
      <c r="F5718" s="50" t="s">
        <v>262</v>
      </c>
      <c r="G5718" s="50">
        <v>1</v>
      </c>
      <c r="H5718" s="50" t="s">
        <v>2</v>
      </c>
      <c r="I5718" s="50" t="s">
        <v>293</v>
      </c>
      <c r="J5718" s="51">
        <v>45924</v>
      </c>
      <c r="K5718" s="50" t="s">
        <v>3</v>
      </c>
      <c r="L5718" s="50" t="s">
        <v>80</v>
      </c>
    </row>
    <row r="5719" spans="2:12">
      <c r="B5719" s="50" t="s">
        <v>423</v>
      </c>
      <c r="C5719" s="50" t="s">
        <v>62</v>
      </c>
      <c r="D5719" s="50" t="s">
        <v>27</v>
      </c>
      <c r="E5719" s="50">
        <v>50043917</v>
      </c>
      <c r="F5719" s="50" t="s">
        <v>262</v>
      </c>
      <c r="G5719" s="50">
        <v>1</v>
      </c>
      <c r="H5719" s="50" t="s">
        <v>2</v>
      </c>
      <c r="I5719" s="50" t="s">
        <v>291</v>
      </c>
      <c r="J5719" s="51">
        <v>45924</v>
      </c>
      <c r="K5719" s="50" t="s">
        <v>3</v>
      </c>
      <c r="L5719" s="50" t="s">
        <v>80</v>
      </c>
    </row>
    <row r="5720" spans="2:12">
      <c r="B5720" s="50" t="s">
        <v>345</v>
      </c>
      <c r="C5720" s="50" t="s">
        <v>62</v>
      </c>
      <c r="D5720" s="50" t="s">
        <v>27</v>
      </c>
      <c r="E5720" s="50">
        <v>50020622</v>
      </c>
      <c r="F5720" s="50" t="s">
        <v>217</v>
      </c>
      <c r="G5720" s="50">
        <v>1</v>
      </c>
      <c r="H5720" s="50" t="s">
        <v>2</v>
      </c>
      <c r="I5720" s="50" t="s">
        <v>297</v>
      </c>
      <c r="J5720" s="51">
        <v>45924</v>
      </c>
      <c r="K5720" s="50" t="s">
        <v>3</v>
      </c>
      <c r="L5720" s="50" t="s">
        <v>80</v>
      </c>
    </row>
    <row r="5721" spans="2:12">
      <c r="B5721" s="50" t="s">
        <v>399</v>
      </c>
      <c r="C5721" s="50" t="s">
        <v>51</v>
      </c>
      <c r="D5721" s="50" t="s">
        <v>27</v>
      </c>
      <c r="E5721" s="50">
        <v>50010031</v>
      </c>
      <c r="F5721" s="50" t="s">
        <v>89</v>
      </c>
      <c r="G5721" s="50">
        <v>1</v>
      </c>
      <c r="H5721" s="50" t="s">
        <v>2</v>
      </c>
      <c r="I5721" s="50" t="s">
        <v>289</v>
      </c>
      <c r="J5721" s="51">
        <v>45923</v>
      </c>
      <c r="K5721" s="50" t="s">
        <v>1</v>
      </c>
      <c r="L5721" s="50" t="s">
        <v>80</v>
      </c>
    </row>
    <row r="5722" spans="2:12">
      <c r="B5722" s="50" t="s">
        <v>399</v>
      </c>
      <c r="C5722" s="50" t="s">
        <v>51</v>
      </c>
      <c r="D5722" s="50" t="s">
        <v>27</v>
      </c>
      <c r="E5722" s="50">
        <v>50010031</v>
      </c>
      <c r="F5722" s="50" t="s">
        <v>89</v>
      </c>
      <c r="G5722" s="50">
        <v>1</v>
      </c>
      <c r="H5722" s="50" t="s">
        <v>2</v>
      </c>
      <c r="I5722" s="50" t="s">
        <v>288</v>
      </c>
      <c r="J5722" s="51">
        <v>45923</v>
      </c>
      <c r="K5722" s="50" t="s">
        <v>1</v>
      </c>
      <c r="L5722" s="50" t="s">
        <v>80</v>
      </c>
    </row>
    <row r="5723" spans="2:12">
      <c r="B5723" s="50" t="s">
        <v>408</v>
      </c>
      <c r="C5723" s="50" t="s">
        <v>56</v>
      </c>
      <c r="D5723" s="50" t="s">
        <v>39</v>
      </c>
      <c r="E5723" s="50">
        <v>50038991</v>
      </c>
      <c r="F5723" s="50" t="s">
        <v>108</v>
      </c>
      <c r="G5723" s="50">
        <v>1</v>
      </c>
      <c r="H5723" s="50" t="s">
        <v>2</v>
      </c>
      <c r="I5723" s="50" t="s">
        <v>292</v>
      </c>
      <c r="J5723" s="51">
        <v>45923</v>
      </c>
      <c r="K5723" s="50" t="s">
        <v>1</v>
      </c>
      <c r="L5723" s="50" t="s">
        <v>80</v>
      </c>
    </row>
    <row r="5724" spans="2:12">
      <c r="B5724" s="50" t="e">
        <v>#N/A</v>
      </c>
      <c r="C5724" s="50" t="s">
        <v>26</v>
      </c>
      <c r="D5724" s="50" t="s">
        <v>27</v>
      </c>
      <c r="E5724" s="50">
        <v>50039718</v>
      </c>
      <c r="F5724" s="50" t="s">
        <v>149</v>
      </c>
      <c r="G5724" s="50">
        <v>1</v>
      </c>
      <c r="H5724" s="50" t="s">
        <v>2</v>
      </c>
      <c r="I5724" s="50" t="s">
        <v>288</v>
      </c>
      <c r="J5724" s="51">
        <v>45923</v>
      </c>
      <c r="K5724" s="50" t="s">
        <v>3</v>
      </c>
      <c r="L5724" s="50" t="s">
        <v>80</v>
      </c>
    </row>
    <row r="5725" spans="2:12">
      <c r="B5725" s="50" t="e">
        <v>#N/A</v>
      </c>
      <c r="C5725" s="50" t="s">
        <v>26</v>
      </c>
      <c r="D5725" s="50" t="s">
        <v>27</v>
      </c>
      <c r="E5725" s="50">
        <v>50039718</v>
      </c>
      <c r="F5725" s="50" t="s">
        <v>149</v>
      </c>
      <c r="G5725" s="50">
        <v>1</v>
      </c>
      <c r="H5725" s="50" t="s">
        <v>2</v>
      </c>
      <c r="I5725" s="50" t="s">
        <v>288</v>
      </c>
      <c r="J5725" s="51">
        <v>45923</v>
      </c>
      <c r="K5725" s="50" t="s">
        <v>1</v>
      </c>
      <c r="L5725" s="50" t="s">
        <v>80</v>
      </c>
    </row>
    <row r="5726" spans="2:12">
      <c r="B5726" s="50" t="s">
        <v>280</v>
      </c>
      <c r="C5726" s="50" t="s">
        <v>62</v>
      </c>
      <c r="D5726" s="50" t="s">
        <v>27</v>
      </c>
      <c r="E5726" s="50">
        <v>50039236</v>
      </c>
      <c r="F5726" s="50" t="s">
        <v>154</v>
      </c>
      <c r="G5726" s="50">
        <v>1</v>
      </c>
      <c r="H5726" s="50" t="s">
        <v>2</v>
      </c>
      <c r="I5726" s="50" t="s">
        <v>288</v>
      </c>
      <c r="J5726" s="51">
        <v>45923</v>
      </c>
      <c r="K5726" s="50" t="s">
        <v>3</v>
      </c>
      <c r="L5726" s="50" t="s">
        <v>80</v>
      </c>
    </row>
    <row r="5727" spans="2:12">
      <c r="B5727" s="50" t="s">
        <v>280</v>
      </c>
      <c r="C5727" s="50" t="s">
        <v>62</v>
      </c>
      <c r="D5727" s="50" t="s">
        <v>27</v>
      </c>
      <c r="E5727" s="50">
        <v>50039236</v>
      </c>
      <c r="F5727" s="50" t="s">
        <v>154</v>
      </c>
      <c r="G5727" s="50">
        <v>1</v>
      </c>
      <c r="H5727" s="50" t="s">
        <v>2</v>
      </c>
      <c r="I5727" s="50" t="s">
        <v>288</v>
      </c>
      <c r="J5727" s="51">
        <v>45923</v>
      </c>
      <c r="K5727" s="50" t="s">
        <v>3</v>
      </c>
      <c r="L5727" s="50" t="s">
        <v>80</v>
      </c>
    </row>
    <row r="5728" spans="2:12">
      <c r="B5728" s="50" t="s">
        <v>437</v>
      </c>
      <c r="C5728" s="50" t="s">
        <v>51</v>
      </c>
      <c r="D5728" s="50" t="s">
        <v>41</v>
      </c>
      <c r="E5728" s="50">
        <v>50037892</v>
      </c>
      <c r="F5728" s="50" t="s">
        <v>178</v>
      </c>
      <c r="G5728" s="50">
        <v>1</v>
      </c>
      <c r="H5728" s="50" t="s">
        <v>2</v>
      </c>
      <c r="I5728" s="50" t="s">
        <v>288</v>
      </c>
      <c r="J5728" s="51">
        <v>45923</v>
      </c>
      <c r="K5728" s="50" t="s">
        <v>1</v>
      </c>
      <c r="L5728" s="50" t="s">
        <v>80</v>
      </c>
    </row>
    <row r="5729" spans="2:12">
      <c r="B5729" s="50" t="s">
        <v>437</v>
      </c>
      <c r="C5729" s="50" t="s">
        <v>51</v>
      </c>
      <c r="D5729" s="50" t="s">
        <v>41</v>
      </c>
      <c r="E5729" s="50">
        <v>50037892</v>
      </c>
      <c r="F5729" s="50" t="s">
        <v>178</v>
      </c>
      <c r="G5729" s="50">
        <v>1</v>
      </c>
      <c r="H5729" s="50" t="s">
        <v>2</v>
      </c>
      <c r="I5729" s="50" t="s">
        <v>290</v>
      </c>
      <c r="J5729" s="51">
        <v>45923</v>
      </c>
      <c r="K5729" s="50" t="s">
        <v>3</v>
      </c>
      <c r="L5729" s="50" t="s">
        <v>80</v>
      </c>
    </row>
    <row r="5730" spans="2:12">
      <c r="B5730" s="50" t="s">
        <v>434</v>
      </c>
      <c r="C5730" s="50" t="s">
        <v>51</v>
      </c>
      <c r="D5730" s="50" t="s">
        <v>39</v>
      </c>
      <c r="E5730" s="50">
        <v>50037902</v>
      </c>
      <c r="F5730" s="50" t="s">
        <v>179</v>
      </c>
      <c r="G5730" s="50">
        <v>1</v>
      </c>
      <c r="H5730" s="50" t="s">
        <v>2</v>
      </c>
      <c r="I5730" s="50" t="s">
        <v>289</v>
      </c>
      <c r="J5730" s="51">
        <v>45923</v>
      </c>
      <c r="K5730" s="50" t="s">
        <v>1</v>
      </c>
      <c r="L5730" s="50" t="s">
        <v>80</v>
      </c>
    </row>
    <row r="5731" spans="2:12">
      <c r="B5731" s="50" t="s">
        <v>434</v>
      </c>
      <c r="C5731" s="50" t="s">
        <v>51</v>
      </c>
      <c r="D5731" s="50" t="s">
        <v>39</v>
      </c>
      <c r="E5731" s="50">
        <v>50037902</v>
      </c>
      <c r="F5731" s="50" t="s">
        <v>179</v>
      </c>
      <c r="G5731" s="50">
        <v>1</v>
      </c>
      <c r="H5731" s="50" t="s">
        <v>2</v>
      </c>
      <c r="I5731" s="50" t="s">
        <v>289</v>
      </c>
      <c r="J5731" s="51">
        <v>45923</v>
      </c>
      <c r="K5731" s="50" t="s">
        <v>3</v>
      </c>
      <c r="L5731" s="50" t="s">
        <v>80</v>
      </c>
    </row>
    <row r="5732" spans="2:12">
      <c r="B5732" s="50" t="e">
        <v>#N/A</v>
      </c>
      <c r="C5732" s="50" t="s">
        <v>56</v>
      </c>
      <c r="D5732" s="50" t="s">
        <v>27</v>
      </c>
      <c r="E5732" s="50">
        <v>50038841</v>
      </c>
      <c r="F5732" s="50" t="s">
        <v>180</v>
      </c>
      <c r="G5732" s="50">
        <v>1</v>
      </c>
      <c r="H5732" s="50" t="s">
        <v>2</v>
      </c>
      <c r="I5732" s="50" t="s">
        <v>289</v>
      </c>
      <c r="J5732" s="51">
        <v>45923</v>
      </c>
      <c r="K5732" s="50" t="s">
        <v>1</v>
      </c>
      <c r="L5732" s="50" t="s">
        <v>80</v>
      </c>
    </row>
    <row r="5733" spans="2:12">
      <c r="B5733" s="50" t="e">
        <v>#N/A</v>
      </c>
      <c r="C5733" s="50" t="s">
        <v>56</v>
      </c>
      <c r="D5733" s="50" t="s">
        <v>27</v>
      </c>
      <c r="E5733" s="50">
        <v>50038841</v>
      </c>
      <c r="F5733" s="50" t="s">
        <v>180</v>
      </c>
      <c r="G5733" s="50">
        <v>1</v>
      </c>
      <c r="H5733" s="50" t="s">
        <v>2</v>
      </c>
      <c r="I5733" s="50" t="s">
        <v>297</v>
      </c>
      <c r="J5733" s="51">
        <v>45923</v>
      </c>
      <c r="K5733" s="50" t="s">
        <v>3</v>
      </c>
      <c r="L5733" s="50" t="s">
        <v>80</v>
      </c>
    </row>
    <row r="5734" spans="2:12">
      <c r="B5734" s="50" t="s">
        <v>316</v>
      </c>
      <c r="C5734" s="50" t="s">
        <v>51</v>
      </c>
      <c r="D5734" s="50" t="s">
        <v>27</v>
      </c>
      <c r="E5734" s="50">
        <v>50038841</v>
      </c>
      <c r="F5734" s="50" t="s">
        <v>180</v>
      </c>
      <c r="G5734" s="50">
        <v>1</v>
      </c>
      <c r="H5734" s="50" t="s">
        <v>2</v>
      </c>
      <c r="I5734" s="50" t="s">
        <v>288</v>
      </c>
      <c r="J5734" s="51">
        <v>45923</v>
      </c>
      <c r="K5734" s="59" t="s">
        <v>1</v>
      </c>
      <c r="L5734" s="50" t="s">
        <v>80</v>
      </c>
    </row>
    <row r="5735" spans="2:12">
      <c r="B5735" s="50" t="s">
        <v>316</v>
      </c>
      <c r="C5735" s="50" t="s">
        <v>51</v>
      </c>
      <c r="D5735" s="50" t="s">
        <v>27</v>
      </c>
      <c r="E5735" s="50">
        <v>50038841</v>
      </c>
      <c r="F5735" s="50" t="s">
        <v>180</v>
      </c>
      <c r="G5735" s="50">
        <v>1</v>
      </c>
      <c r="H5735" s="50" t="s">
        <v>2</v>
      </c>
      <c r="I5735" s="50" t="s">
        <v>288</v>
      </c>
      <c r="J5735" s="51">
        <v>45923</v>
      </c>
      <c r="K5735" s="59" t="s">
        <v>1</v>
      </c>
      <c r="L5735" s="50" t="s">
        <v>80</v>
      </c>
    </row>
    <row r="5736" spans="2:12">
      <c r="B5736" s="50" t="e">
        <v>#N/A</v>
      </c>
      <c r="C5736" s="50" t="str">
        <f>IFERROR(VLOOKUP(#REF!,'BD COLABORADORES'!A:E,7,FALSE),"")</f>
        <v/>
      </c>
      <c r="D5736" s="50" t="str">
        <f>IFERROR(VLOOKUP(#REF!,'BD COLABORADORES'!A:E,2,FALSE),"")</f>
        <v/>
      </c>
      <c r="E5736" s="50">
        <v>50001995</v>
      </c>
      <c r="F5736" s="50" t="str">
        <f>IFERROR(VLOOKUP(E5736,'BD MOVIMENTAÇÃO'!A:G,3,FALSE),"Não encontrado")</f>
        <v>MAQUINA DE SOLDA</v>
      </c>
      <c r="G5736" s="58">
        <v>1</v>
      </c>
      <c r="H5736" s="59" t="s">
        <v>2</v>
      </c>
      <c r="I5736" s="59" t="s">
        <v>316</v>
      </c>
      <c r="J5736" s="63">
        <v>45923</v>
      </c>
      <c r="K5736" s="50" t="s">
        <v>3</v>
      </c>
      <c r="L5736" s="50" t="s">
        <v>80</v>
      </c>
    </row>
    <row r="5737" spans="2:12">
      <c r="B5737" s="50" t="e">
        <v>#N/A</v>
      </c>
      <c r="C5737" s="50" t="str">
        <f>IFERROR(VLOOKUP(#REF!,'BD COLABORADORES'!A:E,7,FALSE),"")</f>
        <v/>
      </c>
      <c r="D5737" s="50" t="str">
        <f>IFERROR(VLOOKUP(#REF!,'BD COLABORADORES'!A:E,2,FALSE),"")</f>
        <v/>
      </c>
      <c r="E5737" s="50">
        <v>50001995</v>
      </c>
      <c r="F5737" s="50" t="str">
        <f>IFERROR(VLOOKUP(E5737,'BD MOVIMENTAÇÃO'!A:G,3,FALSE),"Não encontrado")</f>
        <v>MAQUINA DE SOLDA</v>
      </c>
      <c r="G5737" s="58">
        <v>1</v>
      </c>
      <c r="H5737" s="59" t="s">
        <v>2</v>
      </c>
      <c r="I5737" s="59" t="s">
        <v>316</v>
      </c>
      <c r="J5737" s="63">
        <v>45923</v>
      </c>
      <c r="K5737" s="50" t="s">
        <v>3</v>
      </c>
      <c r="L5737" s="50" t="s">
        <v>80</v>
      </c>
    </row>
    <row r="5738" spans="2:12">
      <c r="B5738" s="50" t="s">
        <v>474</v>
      </c>
      <c r="C5738" s="50" t="s">
        <v>51</v>
      </c>
      <c r="D5738" s="50" t="s">
        <v>27</v>
      </c>
      <c r="E5738" s="50">
        <v>50038626</v>
      </c>
      <c r="F5738" s="50" t="s">
        <v>190</v>
      </c>
      <c r="G5738" s="50">
        <v>1</v>
      </c>
      <c r="H5738" s="50" t="s">
        <v>2</v>
      </c>
      <c r="I5738" s="50" t="s">
        <v>288</v>
      </c>
      <c r="J5738" s="51">
        <v>45923</v>
      </c>
      <c r="K5738" s="50" t="s">
        <v>1</v>
      </c>
      <c r="L5738" s="50" t="s">
        <v>80</v>
      </c>
    </row>
    <row r="5739" spans="2:12">
      <c r="B5739" s="50" t="s">
        <v>439</v>
      </c>
      <c r="C5739" s="50" t="s">
        <v>62</v>
      </c>
      <c r="D5739" s="50" t="s">
        <v>27</v>
      </c>
      <c r="E5739" s="50">
        <v>50026357</v>
      </c>
      <c r="F5739" s="50" t="s">
        <v>192</v>
      </c>
      <c r="G5739" s="50">
        <v>1</v>
      </c>
      <c r="H5739" s="50" t="s">
        <v>2</v>
      </c>
      <c r="I5739" s="50" t="s">
        <v>293</v>
      </c>
      <c r="J5739" s="51">
        <v>45923</v>
      </c>
      <c r="K5739" s="50" t="s">
        <v>3</v>
      </c>
      <c r="L5739" s="50" t="s">
        <v>80</v>
      </c>
    </row>
    <row r="5740" spans="2:12">
      <c r="B5740" s="50" t="s">
        <v>439</v>
      </c>
      <c r="C5740" s="50" t="s">
        <v>62</v>
      </c>
      <c r="D5740" s="50" t="s">
        <v>27</v>
      </c>
      <c r="E5740" s="50">
        <v>50026357</v>
      </c>
      <c r="F5740" s="50" t="s">
        <v>192</v>
      </c>
      <c r="G5740" s="50">
        <v>1</v>
      </c>
      <c r="H5740" s="50" t="s">
        <v>2</v>
      </c>
      <c r="I5740" s="50" t="s">
        <v>288</v>
      </c>
      <c r="J5740" s="51">
        <v>45923</v>
      </c>
      <c r="K5740" s="50" t="s">
        <v>1</v>
      </c>
      <c r="L5740" s="50" t="s">
        <v>80</v>
      </c>
    </row>
    <row r="5741" spans="2:12">
      <c r="B5741" s="50" t="s">
        <v>439</v>
      </c>
      <c r="C5741" s="50" t="str">
        <f>IFERROR(VLOOKUP(#REF!,'BD COLABORADORES'!A:E,7,FALSE),"")</f>
        <v/>
      </c>
      <c r="D5741" s="50" t="str">
        <f>IFERROR(VLOOKUP(#REF!,'BD COLABORADORES'!A:E,2,FALSE),"")</f>
        <v/>
      </c>
      <c r="E5741" s="50">
        <v>50037929</v>
      </c>
      <c r="F5741" s="50" t="str">
        <f>IFERROR(VLOOKUP(E5741,'BD MOVIMENTAÇÃO'!A:G,3,FALSE),"Não encontrado")</f>
        <v>MICROMETRO 25-50 DIAMETRO EXTERNO</v>
      </c>
      <c r="G5741" s="58">
        <v>1</v>
      </c>
      <c r="H5741" s="59" t="s">
        <v>2</v>
      </c>
      <c r="I5741" s="59" t="s">
        <v>313</v>
      </c>
      <c r="J5741" s="63">
        <v>45923</v>
      </c>
      <c r="K5741" s="50" t="s">
        <v>3</v>
      </c>
      <c r="L5741" s="50" t="s">
        <v>80</v>
      </c>
    </row>
    <row r="5742" spans="2:12">
      <c r="B5742" s="50" t="s">
        <v>277</v>
      </c>
      <c r="C5742" s="50" t="s">
        <v>62</v>
      </c>
      <c r="D5742" s="50" t="s">
        <v>27</v>
      </c>
      <c r="E5742" s="50">
        <v>50041195</v>
      </c>
      <c r="F5742" s="50" t="s">
        <v>206</v>
      </c>
      <c r="G5742" s="50">
        <v>1</v>
      </c>
      <c r="H5742" s="50" t="s">
        <v>2</v>
      </c>
      <c r="I5742" s="50" t="s">
        <v>293</v>
      </c>
      <c r="J5742" s="51">
        <v>45923</v>
      </c>
      <c r="K5742" s="50" t="s">
        <v>1</v>
      </c>
      <c r="L5742" s="50" t="s">
        <v>80</v>
      </c>
    </row>
    <row r="5743" spans="2:12">
      <c r="B5743" s="50" t="s">
        <v>277</v>
      </c>
      <c r="C5743" s="50" t="s">
        <v>62</v>
      </c>
      <c r="D5743" s="50" t="s">
        <v>27</v>
      </c>
      <c r="E5743" s="50">
        <v>50041195</v>
      </c>
      <c r="F5743" s="50" t="s">
        <v>206</v>
      </c>
      <c r="G5743" s="50">
        <v>1</v>
      </c>
      <c r="H5743" s="50" t="s">
        <v>2</v>
      </c>
      <c r="I5743" s="50" t="s">
        <v>288</v>
      </c>
      <c r="J5743" s="51">
        <v>45923</v>
      </c>
      <c r="K5743" s="50" t="s">
        <v>3</v>
      </c>
      <c r="L5743" s="50" t="s">
        <v>80</v>
      </c>
    </row>
    <row r="5744" spans="2:12">
      <c r="B5744" s="50" t="s">
        <v>277</v>
      </c>
      <c r="C5744" s="50" t="s">
        <v>62</v>
      </c>
      <c r="D5744" s="50" t="s">
        <v>27</v>
      </c>
      <c r="E5744" s="50">
        <v>50043917</v>
      </c>
      <c r="F5744" s="50" t="s">
        <v>262</v>
      </c>
      <c r="G5744" s="50">
        <v>1</v>
      </c>
      <c r="H5744" s="50" t="s">
        <v>2</v>
      </c>
      <c r="I5744" s="50" t="s">
        <v>293</v>
      </c>
      <c r="J5744" s="51">
        <v>45923</v>
      </c>
      <c r="K5744" s="50" t="s">
        <v>1</v>
      </c>
      <c r="L5744" s="50" t="s">
        <v>80</v>
      </c>
    </row>
    <row r="5745" spans="2:12">
      <c r="B5745" s="50" t="s">
        <v>277</v>
      </c>
      <c r="C5745" s="50" t="s">
        <v>62</v>
      </c>
      <c r="D5745" s="50" t="s">
        <v>27</v>
      </c>
      <c r="E5745" s="50">
        <v>50043917</v>
      </c>
      <c r="F5745" s="50" t="s">
        <v>262</v>
      </c>
      <c r="G5745" s="50">
        <v>1</v>
      </c>
      <c r="H5745" s="50" t="s">
        <v>2</v>
      </c>
      <c r="I5745" s="50" t="s">
        <v>288</v>
      </c>
      <c r="J5745" s="51">
        <v>45923</v>
      </c>
      <c r="K5745" s="50" t="s">
        <v>1</v>
      </c>
      <c r="L5745" s="50" t="s">
        <v>80</v>
      </c>
    </row>
    <row r="5746" spans="2:12">
      <c r="B5746" s="50" t="s">
        <v>444</v>
      </c>
      <c r="C5746" s="50" t="s">
        <v>51</v>
      </c>
      <c r="D5746" s="50" t="s">
        <v>27</v>
      </c>
      <c r="E5746" s="50">
        <v>50004486</v>
      </c>
      <c r="F5746" s="50" t="s">
        <v>221</v>
      </c>
      <c r="G5746" s="50">
        <v>1</v>
      </c>
      <c r="H5746" s="50" t="s">
        <v>2</v>
      </c>
      <c r="I5746" s="50" t="s">
        <v>292</v>
      </c>
      <c r="J5746" s="51">
        <v>45923</v>
      </c>
      <c r="K5746" s="50" t="s">
        <v>3</v>
      </c>
      <c r="L5746" s="50" t="s">
        <v>80</v>
      </c>
    </row>
    <row r="5747" spans="2:12">
      <c r="B5747" s="50" t="s">
        <v>444</v>
      </c>
      <c r="C5747" s="50" t="s">
        <v>51</v>
      </c>
      <c r="D5747" s="50" t="s">
        <v>27</v>
      </c>
      <c r="E5747" s="50">
        <v>50004486</v>
      </c>
      <c r="F5747" s="50" t="s">
        <v>221</v>
      </c>
      <c r="G5747" s="50">
        <v>1</v>
      </c>
      <c r="H5747" s="50" t="s">
        <v>2</v>
      </c>
      <c r="I5747" s="50" t="s">
        <v>288</v>
      </c>
      <c r="J5747" s="51">
        <v>45923</v>
      </c>
      <c r="K5747" s="50" t="s">
        <v>1</v>
      </c>
      <c r="L5747" s="50" t="s">
        <v>80</v>
      </c>
    </row>
    <row r="5748" spans="2:12">
      <c r="B5748" s="50" t="s">
        <v>467</v>
      </c>
      <c r="C5748" s="50" t="s">
        <v>51</v>
      </c>
      <c r="D5748" s="50" t="s">
        <v>39</v>
      </c>
      <c r="E5748" s="50">
        <v>50032775</v>
      </c>
      <c r="F5748" s="50" t="s">
        <v>307</v>
      </c>
      <c r="G5748" s="50">
        <v>1</v>
      </c>
      <c r="H5748" s="50" t="s">
        <v>2</v>
      </c>
      <c r="I5748" s="50" t="s">
        <v>289</v>
      </c>
      <c r="J5748" s="51">
        <v>45923</v>
      </c>
      <c r="K5748" s="50" t="s">
        <v>3</v>
      </c>
      <c r="L5748" s="50" t="s">
        <v>80</v>
      </c>
    </row>
    <row r="5749" spans="2:12">
      <c r="B5749" s="50" t="s">
        <v>400</v>
      </c>
      <c r="C5749" s="50" t="s">
        <v>51</v>
      </c>
      <c r="D5749" s="50" t="s">
        <v>39</v>
      </c>
      <c r="E5749" s="50">
        <v>50032775</v>
      </c>
      <c r="F5749" s="50" t="s">
        <v>307</v>
      </c>
      <c r="G5749" s="50">
        <v>1</v>
      </c>
      <c r="H5749" s="50" t="s">
        <v>2</v>
      </c>
      <c r="I5749" s="50" t="s">
        <v>289</v>
      </c>
      <c r="J5749" s="51">
        <v>45923</v>
      </c>
      <c r="K5749" s="50" t="s">
        <v>3</v>
      </c>
      <c r="L5749" s="50" t="s">
        <v>80</v>
      </c>
    </row>
    <row r="5750" spans="2:12">
      <c r="B5750" s="50" t="s">
        <v>483</v>
      </c>
      <c r="C5750" s="50" t="s">
        <v>62</v>
      </c>
      <c r="D5750" s="50" t="s">
        <v>27</v>
      </c>
      <c r="E5750" s="50">
        <v>50038840</v>
      </c>
      <c r="F5750" s="50" t="s">
        <v>235</v>
      </c>
      <c r="G5750" s="50">
        <v>1</v>
      </c>
      <c r="H5750" s="50" t="s">
        <v>2</v>
      </c>
      <c r="I5750" s="50" t="s">
        <v>292</v>
      </c>
      <c r="J5750" s="51">
        <v>45923</v>
      </c>
      <c r="K5750" s="50" t="s">
        <v>1</v>
      </c>
      <c r="L5750" s="50" t="s">
        <v>80</v>
      </c>
    </row>
    <row r="5751" spans="2:12">
      <c r="B5751" s="50" t="s">
        <v>278</v>
      </c>
      <c r="C5751" s="50" t="s">
        <v>62</v>
      </c>
      <c r="D5751" s="50" t="s">
        <v>27</v>
      </c>
      <c r="E5751" s="50">
        <v>50038854</v>
      </c>
      <c r="F5751" s="50" t="s">
        <v>101</v>
      </c>
      <c r="G5751" s="50">
        <v>1</v>
      </c>
      <c r="H5751" s="50" t="s">
        <v>2</v>
      </c>
      <c r="I5751" s="50" t="s">
        <v>290</v>
      </c>
      <c r="J5751" s="51">
        <v>45922</v>
      </c>
      <c r="K5751" s="50" t="s">
        <v>3</v>
      </c>
      <c r="L5751" s="50" t="s">
        <v>80</v>
      </c>
    </row>
    <row r="5752" spans="2:12">
      <c r="B5752" s="50" t="s">
        <v>278</v>
      </c>
      <c r="C5752" s="50" t="s">
        <v>62</v>
      </c>
      <c r="D5752" s="50" t="s">
        <v>27</v>
      </c>
      <c r="E5752" s="50">
        <v>50038854</v>
      </c>
      <c r="F5752" s="50" t="s">
        <v>101</v>
      </c>
      <c r="G5752" s="50">
        <v>1</v>
      </c>
      <c r="H5752" s="50" t="s">
        <v>2</v>
      </c>
      <c r="I5752" s="50" t="s">
        <v>290</v>
      </c>
      <c r="J5752" s="51">
        <v>45922</v>
      </c>
      <c r="K5752" s="50" t="s">
        <v>3</v>
      </c>
      <c r="L5752" s="50" t="s">
        <v>80</v>
      </c>
    </row>
    <row r="5753" spans="2:12">
      <c r="B5753" s="50" t="s">
        <v>408</v>
      </c>
      <c r="C5753" s="50" t="s">
        <v>56</v>
      </c>
      <c r="D5753" s="50" t="s">
        <v>39</v>
      </c>
      <c r="E5753" s="50">
        <v>50038991</v>
      </c>
      <c r="F5753" s="50" t="s">
        <v>108</v>
      </c>
      <c r="G5753" s="50">
        <v>1</v>
      </c>
      <c r="H5753" s="50" t="s">
        <v>2</v>
      </c>
      <c r="I5753" s="50" t="s">
        <v>289</v>
      </c>
      <c r="J5753" s="51">
        <v>45922</v>
      </c>
      <c r="K5753" s="50" t="s">
        <v>1</v>
      </c>
      <c r="L5753" s="50" t="s">
        <v>80</v>
      </c>
    </row>
    <row r="5754" spans="2:12">
      <c r="B5754" s="50" t="s">
        <v>471</v>
      </c>
      <c r="C5754" s="50" t="s">
        <v>26</v>
      </c>
      <c r="D5754" s="50" t="s">
        <v>27</v>
      </c>
      <c r="E5754" s="50">
        <v>50037905</v>
      </c>
      <c r="F5754" s="50" t="s">
        <v>150</v>
      </c>
      <c r="G5754" s="50">
        <v>1</v>
      </c>
      <c r="H5754" s="50" t="s">
        <v>2</v>
      </c>
      <c r="I5754" s="50" t="s">
        <v>289</v>
      </c>
      <c r="J5754" s="51">
        <v>45922</v>
      </c>
      <c r="K5754" s="50" t="s">
        <v>3</v>
      </c>
      <c r="L5754" s="50" t="s">
        <v>80</v>
      </c>
    </row>
    <row r="5755" spans="2:12">
      <c r="B5755" s="50" t="s">
        <v>471</v>
      </c>
      <c r="C5755" s="50" t="s">
        <v>26</v>
      </c>
      <c r="D5755" s="50" t="s">
        <v>27</v>
      </c>
      <c r="E5755" s="50">
        <v>50037905</v>
      </c>
      <c r="F5755" s="50" t="s">
        <v>150</v>
      </c>
      <c r="G5755" s="50">
        <v>1</v>
      </c>
      <c r="H5755" s="50" t="s">
        <v>2</v>
      </c>
      <c r="I5755" s="50" t="s">
        <v>293</v>
      </c>
      <c r="J5755" s="51">
        <v>45922</v>
      </c>
      <c r="K5755" s="50" t="s">
        <v>1</v>
      </c>
      <c r="L5755" s="50" t="s">
        <v>80</v>
      </c>
    </row>
    <row r="5756" spans="2:12">
      <c r="B5756" s="50" t="s">
        <v>439</v>
      </c>
      <c r="C5756" s="50" t="s">
        <v>62</v>
      </c>
      <c r="D5756" s="50" t="s">
        <v>27</v>
      </c>
      <c r="E5756" s="50">
        <v>50037916</v>
      </c>
      <c r="F5756" s="50" t="s">
        <v>164</v>
      </c>
      <c r="G5756" s="50">
        <v>1</v>
      </c>
      <c r="H5756" s="50" t="s">
        <v>2</v>
      </c>
      <c r="I5756" s="50" t="s">
        <v>293</v>
      </c>
      <c r="J5756" s="51">
        <v>45922</v>
      </c>
      <c r="K5756" s="50" t="s">
        <v>3</v>
      </c>
      <c r="L5756" s="50" t="s">
        <v>80</v>
      </c>
    </row>
    <row r="5757" spans="2:12">
      <c r="B5757" s="50" t="s">
        <v>439</v>
      </c>
      <c r="C5757" s="50" t="s">
        <v>62</v>
      </c>
      <c r="D5757" s="50" t="s">
        <v>27</v>
      </c>
      <c r="E5757" s="50">
        <v>50037916</v>
      </c>
      <c r="F5757" s="50" t="s">
        <v>164</v>
      </c>
      <c r="G5757" s="50">
        <v>1</v>
      </c>
      <c r="H5757" s="50" t="s">
        <v>2</v>
      </c>
      <c r="I5757" s="50" t="s">
        <v>293</v>
      </c>
      <c r="J5757" s="51">
        <v>45922</v>
      </c>
      <c r="K5757" s="50" t="s">
        <v>3</v>
      </c>
      <c r="L5757" s="50" t="s">
        <v>80</v>
      </c>
    </row>
    <row r="5758" spans="2:12">
      <c r="B5758" s="50" t="s">
        <v>458</v>
      </c>
      <c r="C5758" s="50" t="s">
        <v>26</v>
      </c>
      <c r="D5758" s="50" t="s">
        <v>27</v>
      </c>
      <c r="E5758" s="50">
        <v>50037892</v>
      </c>
      <c r="F5758" s="50" t="s">
        <v>178</v>
      </c>
      <c r="G5758" s="50">
        <v>1</v>
      </c>
      <c r="H5758" s="50" t="s">
        <v>2</v>
      </c>
      <c r="I5758" s="50" t="s">
        <v>293</v>
      </c>
      <c r="J5758" s="51">
        <v>45922</v>
      </c>
      <c r="K5758" s="50" t="s">
        <v>1</v>
      </c>
      <c r="L5758" s="50" t="s">
        <v>80</v>
      </c>
    </row>
    <row r="5759" spans="2:12">
      <c r="B5759" s="50" t="s">
        <v>458</v>
      </c>
      <c r="C5759" s="50" t="s">
        <v>26</v>
      </c>
      <c r="D5759" s="50" t="s">
        <v>27</v>
      </c>
      <c r="E5759" s="50">
        <v>50037892</v>
      </c>
      <c r="F5759" s="50" t="s">
        <v>178</v>
      </c>
      <c r="G5759" s="50">
        <v>1</v>
      </c>
      <c r="H5759" s="50" t="s">
        <v>2</v>
      </c>
      <c r="I5759" s="50" t="s">
        <v>293</v>
      </c>
      <c r="J5759" s="51">
        <v>45922</v>
      </c>
      <c r="K5759" s="50" t="s">
        <v>3</v>
      </c>
      <c r="L5759" s="50" t="s">
        <v>80</v>
      </c>
    </row>
    <row r="5760" spans="2:12">
      <c r="B5760" s="50" t="s">
        <v>483</v>
      </c>
      <c r="C5760" s="50" t="s">
        <v>62</v>
      </c>
      <c r="D5760" s="50" t="s">
        <v>27</v>
      </c>
      <c r="E5760" s="50">
        <v>50037892</v>
      </c>
      <c r="F5760" s="50" t="s">
        <v>178</v>
      </c>
      <c r="G5760" s="50">
        <v>1</v>
      </c>
      <c r="H5760" s="50" t="s">
        <v>2</v>
      </c>
      <c r="I5760" s="50" t="s">
        <v>293</v>
      </c>
      <c r="J5760" s="51">
        <v>45922</v>
      </c>
      <c r="K5760" s="50" t="s">
        <v>1</v>
      </c>
      <c r="L5760" s="50" t="s">
        <v>80</v>
      </c>
    </row>
    <row r="5761" spans="2:12">
      <c r="B5761" s="50" t="s">
        <v>483</v>
      </c>
      <c r="C5761" s="50" t="s">
        <v>62</v>
      </c>
      <c r="D5761" s="50" t="s">
        <v>27</v>
      </c>
      <c r="E5761" s="50">
        <v>50037892</v>
      </c>
      <c r="F5761" s="50" t="s">
        <v>178</v>
      </c>
      <c r="G5761" s="50">
        <v>1</v>
      </c>
      <c r="H5761" s="50" t="s">
        <v>2</v>
      </c>
      <c r="I5761" s="50" t="s">
        <v>290</v>
      </c>
      <c r="J5761" s="51">
        <v>45922</v>
      </c>
      <c r="K5761" s="50" t="s">
        <v>1</v>
      </c>
      <c r="L5761" s="50" t="s">
        <v>80</v>
      </c>
    </row>
    <row r="5762" spans="2:12">
      <c r="B5762" s="50" t="s">
        <v>471</v>
      </c>
      <c r="C5762" s="50" t="s">
        <v>26</v>
      </c>
      <c r="D5762" s="50" t="s">
        <v>27</v>
      </c>
      <c r="E5762" s="50">
        <v>50037902</v>
      </c>
      <c r="F5762" s="50" t="s">
        <v>179</v>
      </c>
      <c r="G5762" s="50">
        <v>1</v>
      </c>
      <c r="H5762" s="50" t="s">
        <v>2</v>
      </c>
      <c r="I5762" s="50" t="s">
        <v>289</v>
      </c>
      <c r="J5762" s="51">
        <v>45922</v>
      </c>
      <c r="K5762" s="50" t="s">
        <v>3</v>
      </c>
      <c r="L5762" s="50" t="s">
        <v>80</v>
      </c>
    </row>
    <row r="5763" spans="2:12">
      <c r="B5763" s="50" t="s">
        <v>478</v>
      </c>
      <c r="C5763" s="50" t="s">
        <v>51</v>
      </c>
      <c r="D5763" s="50" t="s">
        <v>27</v>
      </c>
      <c r="E5763" s="50">
        <v>50038841</v>
      </c>
      <c r="F5763" s="50" t="s">
        <v>180</v>
      </c>
      <c r="G5763" s="50">
        <v>1</v>
      </c>
      <c r="H5763" s="50" t="s">
        <v>2</v>
      </c>
      <c r="I5763" s="50" t="s">
        <v>293</v>
      </c>
      <c r="J5763" s="51">
        <v>45922</v>
      </c>
      <c r="K5763" s="50" t="s">
        <v>1</v>
      </c>
      <c r="L5763" s="50" t="s">
        <v>80</v>
      </c>
    </row>
    <row r="5764" spans="2:12">
      <c r="B5764" s="50" t="s">
        <v>478</v>
      </c>
      <c r="C5764" s="50" t="s">
        <v>51</v>
      </c>
      <c r="D5764" s="50" t="s">
        <v>27</v>
      </c>
      <c r="E5764" s="50">
        <v>50038841</v>
      </c>
      <c r="F5764" s="50" t="s">
        <v>180</v>
      </c>
      <c r="G5764" s="50">
        <v>1</v>
      </c>
      <c r="H5764" s="50" t="s">
        <v>2</v>
      </c>
      <c r="I5764" s="50" t="s">
        <v>293</v>
      </c>
      <c r="J5764" s="51">
        <v>45922</v>
      </c>
      <c r="K5764" s="50" t="s">
        <v>1</v>
      </c>
      <c r="L5764" s="50" t="s">
        <v>80</v>
      </c>
    </row>
    <row r="5765" spans="2:12">
      <c r="B5765" s="50" t="s">
        <v>461</v>
      </c>
      <c r="C5765" s="50" t="s">
        <v>26</v>
      </c>
      <c r="D5765" s="50" t="s">
        <v>39</v>
      </c>
      <c r="E5765" s="50">
        <v>50039065</v>
      </c>
      <c r="F5765" s="50" t="s">
        <v>186</v>
      </c>
      <c r="G5765" s="50">
        <v>1</v>
      </c>
      <c r="H5765" s="50" t="s">
        <v>2</v>
      </c>
      <c r="I5765" s="50" t="s">
        <v>289</v>
      </c>
      <c r="J5765" s="51">
        <v>45922</v>
      </c>
      <c r="K5765" s="50" t="s">
        <v>3</v>
      </c>
      <c r="L5765" s="50" t="s">
        <v>80</v>
      </c>
    </row>
    <row r="5766" spans="2:12">
      <c r="B5766" s="50" t="s">
        <v>461</v>
      </c>
      <c r="C5766" s="50" t="s">
        <v>26</v>
      </c>
      <c r="D5766" s="50" t="s">
        <v>39</v>
      </c>
      <c r="E5766" s="50">
        <v>50039065</v>
      </c>
      <c r="F5766" s="50" t="s">
        <v>186</v>
      </c>
      <c r="G5766" s="50">
        <v>1</v>
      </c>
      <c r="H5766" s="50" t="s">
        <v>2</v>
      </c>
      <c r="I5766" s="50" t="s">
        <v>289</v>
      </c>
      <c r="J5766" s="51">
        <v>45922</v>
      </c>
      <c r="K5766" s="50" t="s">
        <v>1</v>
      </c>
      <c r="L5766" s="50" t="s">
        <v>80</v>
      </c>
    </row>
    <row r="5767" spans="2:12">
      <c r="B5767" s="50" t="s">
        <v>399</v>
      </c>
      <c r="C5767" s="50" t="s">
        <v>51</v>
      </c>
      <c r="D5767" s="50" t="s">
        <v>27</v>
      </c>
      <c r="E5767" s="50">
        <v>50039065</v>
      </c>
      <c r="F5767" s="50" t="s">
        <v>186</v>
      </c>
      <c r="G5767" s="50">
        <v>1</v>
      </c>
      <c r="H5767" s="50" t="s">
        <v>2</v>
      </c>
      <c r="I5767" s="50" t="s">
        <v>293</v>
      </c>
      <c r="J5767" s="51">
        <v>45922</v>
      </c>
      <c r="K5767" s="59" t="s">
        <v>3</v>
      </c>
      <c r="L5767" s="50" t="s">
        <v>80</v>
      </c>
    </row>
    <row r="5768" spans="2:12">
      <c r="B5768" s="50" t="s">
        <v>399</v>
      </c>
      <c r="C5768" s="50" t="s">
        <v>51</v>
      </c>
      <c r="D5768" s="50" t="s">
        <v>27</v>
      </c>
      <c r="E5768" s="50">
        <v>50039065</v>
      </c>
      <c r="F5768" s="50" t="s">
        <v>186</v>
      </c>
      <c r="G5768" s="50">
        <v>1</v>
      </c>
      <c r="H5768" s="50" t="s">
        <v>2</v>
      </c>
      <c r="I5768" s="50" t="s">
        <v>293</v>
      </c>
      <c r="J5768" s="51">
        <v>45922</v>
      </c>
      <c r="K5768" s="50" t="s">
        <v>1</v>
      </c>
      <c r="L5768" s="50" t="s">
        <v>80</v>
      </c>
    </row>
    <row r="5769" spans="2:12">
      <c r="B5769" s="50" t="s">
        <v>402</v>
      </c>
      <c r="C5769" s="50" t="str">
        <f>IFERROR(VLOOKUP(#REF!,'BD COLABORADORES'!A:E,7,FALSE),"")</f>
        <v/>
      </c>
      <c r="D5769" s="50" t="str">
        <f>IFERROR(VLOOKUP(#REF!,'BD COLABORADORES'!A:E,2,FALSE),"")</f>
        <v/>
      </c>
      <c r="E5769" s="50">
        <v>50038626</v>
      </c>
      <c r="F5769" s="50" t="str">
        <f>IFERROR(VLOOKUP(E5769,'BD MOVIMENTAÇÃO'!A:G,3,FALSE),"Não encontrado")</f>
        <v>MARRETA 8KG</v>
      </c>
      <c r="G5769" s="58">
        <v>1</v>
      </c>
      <c r="H5769" s="59" t="s">
        <v>2</v>
      </c>
      <c r="I5769" s="59" t="s">
        <v>313</v>
      </c>
      <c r="J5769" s="63">
        <v>45922</v>
      </c>
      <c r="K5769" s="50" t="s">
        <v>1</v>
      </c>
      <c r="L5769" s="50" t="s">
        <v>80</v>
      </c>
    </row>
    <row r="5770" spans="2:12">
      <c r="B5770" s="50" t="s">
        <v>439</v>
      </c>
      <c r="C5770" s="50" t="s">
        <v>62</v>
      </c>
      <c r="D5770" s="50" t="s">
        <v>27</v>
      </c>
      <c r="E5770" s="50">
        <v>50026357</v>
      </c>
      <c r="F5770" s="50" t="s">
        <v>192</v>
      </c>
      <c r="G5770" s="50">
        <v>1</v>
      </c>
      <c r="H5770" s="50" t="s">
        <v>2</v>
      </c>
      <c r="I5770" s="50" t="s">
        <v>293</v>
      </c>
      <c r="J5770" s="51">
        <v>45922</v>
      </c>
      <c r="K5770" s="59" t="s">
        <v>3</v>
      </c>
      <c r="L5770" s="50" t="s">
        <v>80</v>
      </c>
    </row>
    <row r="5771" spans="2:12">
      <c r="B5771" s="50" t="s">
        <v>439</v>
      </c>
      <c r="C5771" s="50" t="s">
        <v>62</v>
      </c>
      <c r="D5771" s="50" t="s">
        <v>27</v>
      </c>
      <c r="E5771" s="50">
        <v>50026357</v>
      </c>
      <c r="F5771" s="50" t="s">
        <v>192</v>
      </c>
      <c r="G5771" s="50">
        <v>1</v>
      </c>
      <c r="H5771" s="50" t="s">
        <v>2</v>
      </c>
      <c r="I5771" s="50" t="s">
        <v>293</v>
      </c>
      <c r="J5771" s="51">
        <v>45922</v>
      </c>
      <c r="K5771" s="50" t="s">
        <v>3</v>
      </c>
      <c r="L5771" s="50" t="s">
        <v>80</v>
      </c>
    </row>
    <row r="5772" spans="2:12">
      <c r="B5772" s="50" t="s">
        <v>439</v>
      </c>
      <c r="C5772" s="50" t="str">
        <f>IFERROR(VLOOKUP(#REF!,'BD COLABORADORES'!A:E,7,FALSE),"")</f>
        <v/>
      </c>
      <c r="D5772" s="50" t="str">
        <f>IFERROR(VLOOKUP(#REF!,'BD COLABORADORES'!A:E,2,FALSE),"")</f>
        <v/>
      </c>
      <c r="E5772" s="50">
        <v>50037929</v>
      </c>
      <c r="F5772" s="50" t="str">
        <f>IFERROR(VLOOKUP(E5772,'BD MOVIMENTAÇÃO'!A:G,3,FALSE),"Não encontrado")</f>
        <v>MICROMETRO 25-50 DIAMETRO EXTERNO</v>
      </c>
      <c r="G5772" s="58">
        <v>1</v>
      </c>
      <c r="H5772" s="59" t="s">
        <v>2</v>
      </c>
      <c r="I5772" s="59" t="s">
        <v>313</v>
      </c>
      <c r="J5772" s="63">
        <v>45922</v>
      </c>
      <c r="K5772" s="50" t="s">
        <v>3</v>
      </c>
      <c r="L5772" s="50" t="s">
        <v>80</v>
      </c>
    </row>
    <row r="5773" spans="2:12">
      <c r="B5773" s="50" t="s">
        <v>277</v>
      </c>
      <c r="C5773" s="50" t="s">
        <v>62</v>
      </c>
      <c r="D5773" s="50" t="s">
        <v>27</v>
      </c>
      <c r="E5773" s="50">
        <v>50041195</v>
      </c>
      <c r="F5773" s="50" t="s">
        <v>206</v>
      </c>
      <c r="G5773" s="50">
        <v>1</v>
      </c>
      <c r="H5773" s="50" t="s">
        <v>2</v>
      </c>
      <c r="I5773" s="50" t="s">
        <v>289</v>
      </c>
      <c r="J5773" s="51">
        <v>45922</v>
      </c>
      <c r="K5773" s="50" t="s">
        <v>1</v>
      </c>
      <c r="L5773" s="50" t="s">
        <v>80</v>
      </c>
    </row>
    <row r="5774" spans="2:12">
      <c r="B5774" s="50" t="s">
        <v>277</v>
      </c>
      <c r="C5774" s="50" t="s">
        <v>62</v>
      </c>
      <c r="D5774" s="50" t="s">
        <v>27</v>
      </c>
      <c r="E5774" s="50">
        <v>50041195</v>
      </c>
      <c r="F5774" s="50" t="s">
        <v>206</v>
      </c>
      <c r="G5774" s="50">
        <v>1</v>
      </c>
      <c r="H5774" s="50" t="s">
        <v>2</v>
      </c>
      <c r="I5774" s="50" t="s">
        <v>290</v>
      </c>
      <c r="J5774" s="51">
        <v>45922</v>
      </c>
      <c r="K5774" s="50" t="s">
        <v>3</v>
      </c>
      <c r="L5774" s="50" t="s">
        <v>80</v>
      </c>
    </row>
    <row r="5775" spans="2:12">
      <c r="B5775" s="50" t="s">
        <v>316</v>
      </c>
      <c r="C5775" s="50" t="s">
        <v>51</v>
      </c>
      <c r="D5775" s="50" t="s">
        <v>27</v>
      </c>
      <c r="E5775" s="50">
        <v>50043917</v>
      </c>
      <c r="F5775" s="50" t="s">
        <v>262</v>
      </c>
      <c r="G5775" s="50">
        <v>1</v>
      </c>
      <c r="H5775" s="50" t="s">
        <v>2</v>
      </c>
      <c r="I5775" s="50" t="s">
        <v>293</v>
      </c>
      <c r="J5775" s="51">
        <v>45922</v>
      </c>
      <c r="K5775" s="50" t="s">
        <v>3</v>
      </c>
      <c r="L5775" s="50" t="s">
        <v>80</v>
      </c>
    </row>
    <row r="5776" spans="2:12">
      <c r="B5776" s="50" t="s">
        <v>316</v>
      </c>
      <c r="C5776" s="50" t="s">
        <v>51</v>
      </c>
      <c r="D5776" s="50" t="s">
        <v>27</v>
      </c>
      <c r="E5776" s="50">
        <v>50043917</v>
      </c>
      <c r="F5776" s="50" t="s">
        <v>262</v>
      </c>
      <c r="G5776" s="50">
        <v>1</v>
      </c>
      <c r="H5776" s="50" t="s">
        <v>2</v>
      </c>
      <c r="I5776" s="50" t="s">
        <v>293</v>
      </c>
      <c r="J5776" s="51">
        <v>45922</v>
      </c>
      <c r="K5776" s="50" t="s">
        <v>1</v>
      </c>
      <c r="L5776" s="50" t="s">
        <v>80</v>
      </c>
    </row>
    <row r="5777" spans="2:12">
      <c r="B5777" s="50" t="s">
        <v>408</v>
      </c>
      <c r="C5777" s="50" t="s">
        <v>56</v>
      </c>
      <c r="D5777" s="50" t="s">
        <v>39</v>
      </c>
      <c r="E5777" s="50">
        <v>50037933</v>
      </c>
      <c r="F5777" s="50" t="s">
        <v>250</v>
      </c>
      <c r="G5777" s="50">
        <v>1</v>
      </c>
      <c r="H5777" s="50" t="s">
        <v>2</v>
      </c>
      <c r="I5777" s="50" t="s">
        <v>289</v>
      </c>
      <c r="J5777" s="51">
        <v>45922</v>
      </c>
      <c r="K5777" s="50" t="s">
        <v>3</v>
      </c>
      <c r="L5777" s="50" t="s">
        <v>80</v>
      </c>
    </row>
    <row r="5778" spans="2:12">
      <c r="B5778" s="50" t="s">
        <v>408</v>
      </c>
      <c r="C5778" s="50" t="s">
        <v>56</v>
      </c>
      <c r="D5778" s="50" t="s">
        <v>39</v>
      </c>
      <c r="E5778" s="50">
        <v>50037933</v>
      </c>
      <c r="F5778" s="50" t="s">
        <v>250</v>
      </c>
      <c r="G5778" s="50">
        <v>1</v>
      </c>
      <c r="H5778" s="50" t="s">
        <v>2</v>
      </c>
      <c r="I5778" s="50" t="s">
        <v>289</v>
      </c>
      <c r="J5778" s="51">
        <v>45922</v>
      </c>
      <c r="K5778" s="59" t="s">
        <v>1</v>
      </c>
      <c r="L5778" s="50" t="s">
        <v>80</v>
      </c>
    </row>
    <row r="5779" spans="2:12">
      <c r="B5779" s="50" t="s">
        <v>422</v>
      </c>
      <c r="C5779" s="50" t="str">
        <f>IFERROR(VLOOKUP(#REF!,'BD COLABORADORES'!A:E,7,FALSE),"")</f>
        <v/>
      </c>
      <c r="D5779" s="50" t="str">
        <f>IFERROR(VLOOKUP(#REF!,'BD COLABORADORES'!A:E,2,FALSE),"")</f>
        <v/>
      </c>
      <c r="E5779" s="50">
        <v>50037905</v>
      </c>
      <c r="F5779" s="50" t="str">
        <f>IFERROR(VLOOKUP(E5779,'BD MOVIMENTAÇÃO'!A:G,3,FALSE),"Não encontrado")</f>
        <v>ESTETOSCÓPIO SKF</v>
      </c>
      <c r="G5779" s="58">
        <v>1</v>
      </c>
      <c r="H5779" s="59" t="s">
        <v>2</v>
      </c>
      <c r="I5779" s="59" t="s">
        <v>316</v>
      </c>
      <c r="J5779" s="63">
        <v>45921</v>
      </c>
      <c r="K5779" s="59" t="s">
        <v>3</v>
      </c>
      <c r="L5779" s="50" t="s">
        <v>80</v>
      </c>
    </row>
    <row r="5780" spans="2:12">
      <c r="B5780" s="50" t="s">
        <v>422</v>
      </c>
      <c r="C5780" s="50" t="str">
        <f>IFERROR(VLOOKUP(#REF!,'BD COLABORADORES'!A:E,7,FALSE),"")</f>
        <v/>
      </c>
      <c r="D5780" s="50" t="str">
        <f>IFERROR(VLOOKUP(#REF!,'BD COLABORADORES'!A:E,2,FALSE),"")</f>
        <v/>
      </c>
      <c r="E5780" s="50">
        <v>50037905</v>
      </c>
      <c r="F5780" s="50" t="str">
        <f>IFERROR(VLOOKUP(E5780,'BD MOVIMENTAÇÃO'!A:G,3,FALSE),"Não encontrado")</f>
        <v>ESTETOSCÓPIO SKF</v>
      </c>
      <c r="G5780" s="58">
        <v>1</v>
      </c>
      <c r="H5780" s="59" t="s">
        <v>2</v>
      </c>
      <c r="I5780" s="59" t="s">
        <v>316</v>
      </c>
      <c r="J5780" s="63">
        <v>45921</v>
      </c>
      <c r="K5780" s="59" t="s">
        <v>1</v>
      </c>
      <c r="L5780" s="50" t="s">
        <v>80</v>
      </c>
    </row>
    <row r="5781" spans="2:12">
      <c r="B5781" s="50" t="e">
        <v>#N/A</v>
      </c>
      <c r="C5781" s="50" t="str">
        <f>IFERROR(VLOOKUP(#REF!,'BD COLABORADORES'!A:E,7,FALSE),"")</f>
        <v/>
      </c>
      <c r="D5781" s="50" t="str">
        <f>IFERROR(VLOOKUP(#REF!,'BD COLABORADORES'!A:E,2,FALSE),"")</f>
        <v/>
      </c>
      <c r="E5781" s="50">
        <v>50038517</v>
      </c>
      <c r="F5781" s="50" t="str">
        <f>IFERROR(VLOOKUP(E5781,'BD MOVIMENTAÇÃO'!A:G,3,FALSE),"Não encontrado")</f>
        <v>LIXADEIRA BOSCH 5</v>
      </c>
      <c r="G5781" s="58">
        <v>1</v>
      </c>
      <c r="H5781" s="59" t="s">
        <v>2</v>
      </c>
      <c r="I5781" s="59" t="s">
        <v>310</v>
      </c>
      <c r="J5781" s="63">
        <v>45921</v>
      </c>
      <c r="K5781" s="59" t="s">
        <v>3</v>
      </c>
      <c r="L5781" s="50" t="s">
        <v>80</v>
      </c>
    </row>
    <row r="5782" spans="2:12">
      <c r="B5782" s="50" t="e">
        <v>#N/A</v>
      </c>
      <c r="C5782" s="50" t="str">
        <f>IFERROR(VLOOKUP(#REF!,'BD COLABORADORES'!A:E,7,FALSE),"")</f>
        <v/>
      </c>
      <c r="D5782" s="50" t="str">
        <f>IFERROR(VLOOKUP(#REF!,'BD COLABORADORES'!A:E,2,FALSE),"")</f>
        <v/>
      </c>
      <c r="E5782" s="50">
        <v>50038517</v>
      </c>
      <c r="F5782" s="50" t="str">
        <f>IFERROR(VLOOKUP(E5782,'BD MOVIMENTAÇÃO'!A:G,3,FALSE),"Não encontrado")</f>
        <v>LIXADEIRA BOSCH 5</v>
      </c>
      <c r="G5782" s="58">
        <v>1</v>
      </c>
      <c r="H5782" s="59" t="s">
        <v>2</v>
      </c>
      <c r="I5782" s="59" t="s">
        <v>310</v>
      </c>
      <c r="J5782" s="63">
        <v>45921</v>
      </c>
      <c r="K5782" s="59" t="s">
        <v>3</v>
      </c>
      <c r="L5782" s="50" t="s">
        <v>80</v>
      </c>
    </row>
    <row r="5783" spans="2:12">
      <c r="B5783" s="50" t="s">
        <v>417</v>
      </c>
      <c r="C5783" s="50" t="str">
        <f>IFERROR(VLOOKUP(#REF!,'BD COLABORADORES'!A:E,7,FALSE),"")</f>
        <v/>
      </c>
      <c r="D5783" s="50" t="str">
        <f>IFERROR(VLOOKUP(#REF!,'BD COLABORADORES'!A:E,2,FALSE),"")</f>
        <v/>
      </c>
      <c r="E5783" s="50">
        <v>50038626</v>
      </c>
      <c r="F5783" s="50" t="str">
        <f>IFERROR(VLOOKUP(E5783,'BD MOVIMENTAÇÃO'!A:G,3,FALSE),"Não encontrado")</f>
        <v>MARRETA 8KG</v>
      </c>
      <c r="G5783" s="58">
        <v>1</v>
      </c>
      <c r="H5783" s="59" t="s">
        <v>2</v>
      </c>
      <c r="I5783" s="59" t="s">
        <v>310</v>
      </c>
      <c r="J5783" s="63">
        <v>45921</v>
      </c>
      <c r="K5783" s="59" t="s">
        <v>1</v>
      </c>
      <c r="L5783" s="50" t="s">
        <v>80</v>
      </c>
    </row>
    <row r="5784" spans="2:12">
      <c r="B5784" s="50" t="s">
        <v>417</v>
      </c>
      <c r="C5784" s="50" t="str">
        <f>IFERROR(VLOOKUP(#REF!,'BD COLABORADORES'!A:E,7,FALSE),"")</f>
        <v/>
      </c>
      <c r="D5784" s="50" t="str">
        <f>IFERROR(VLOOKUP(#REF!,'BD COLABORADORES'!A:E,2,FALSE),"")</f>
        <v/>
      </c>
      <c r="E5784" s="50">
        <v>50038626</v>
      </c>
      <c r="F5784" s="50" t="str">
        <f>IFERROR(VLOOKUP(E5784,'BD MOVIMENTAÇÃO'!A:G,3,FALSE),"Não encontrado")</f>
        <v>MARRETA 8KG</v>
      </c>
      <c r="G5784" s="58">
        <v>1</v>
      </c>
      <c r="H5784" s="59" t="s">
        <v>2</v>
      </c>
      <c r="I5784" s="59" t="s">
        <v>310</v>
      </c>
      <c r="J5784" s="63">
        <v>45921</v>
      </c>
      <c r="K5784" s="59" t="s">
        <v>3</v>
      </c>
      <c r="L5784" s="50" t="s">
        <v>80</v>
      </c>
    </row>
    <row r="5785" spans="2:12">
      <c r="B5785" s="50" t="s">
        <v>402</v>
      </c>
      <c r="C5785" s="50" t="str">
        <f>IFERROR(VLOOKUP(#REF!,'BD COLABORADORES'!A:E,7,FALSE),"")</f>
        <v/>
      </c>
      <c r="D5785" s="50" t="str">
        <f>IFERROR(VLOOKUP(#REF!,'BD COLABORADORES'!A:E,2,FALSE),"")</f>
        <v/>
      </c>
      <c r="E5785" s="50">
        <v>50038626</v>
      </c>
      <c r="F5785" s="50" t="str">
        <f>IFERROR(VLOOKUP(E5785,'BD MOVIMENTAÇÃO'!A:G,3,FALSE),"Não encontrado")</f>
        <v>MARRETA 8KG</v>
      </c>
      <c r="G5785" s="58">
        <v>1</v>
      </c>
      <c r="H5785" s="59" t="s">
        <v>2</v>
      </c>
      <c r="I5785" s="59" t="s">
        <v>313</v>
      </c>
      <c r="J5785" s="63">
        <v>45921</v>
      </c>
      <c r="K5785" s="50" t="s">
        <v>1</v>
      </c>
      <c r="L5785" s="50" t="s">
        <v>80</v>
      </c>
    </row>
    <row r="5786" spans="2:12">
      <c r="B5786" s="50" t="s">
        <v>57</v>
      </c>
      <c r="C5786" s="50" t="str">
        <f>IFERROR(VLOOKUP(#REF!,'BD COLABORADORES'!A:E,7,FALSE),"")</f>
        <v/>
      </c>
      <c r="D5786" s="50" t="str">
        <f>IFERROR(VLOOKUP(#REF!,'BD COLABORADORES'!A:E,2,FALSE),"")</f>
        <v/>
      </c>
      <c r="E5786" s="50">
        <v>50037933</v>
      </c>
      <c r="F5786" s="50" t="str">
        <f>IFERROR(VLOOKUP(E5786,'BD MOVIMENTAÇÃO'!A:G,3,FALSE),"Não encontrado")</f>
        <v>TERMOMETRO</v>
      </c>
      <c r="G5786" s="58">
        <v>1</v>
      </c>
      <c r="H5786" s="59" t="s">
        <v>2</v>
      </c>
      <c r="I5786" s="59" t="s">
        <v>317</v>
      </c>
      <c r="J5786" s="63">
        <v>45921</v>
      </c>
      <c r="K5786" s="50" t="s">
        <v>1</v>
      </c>
      <c r="L5786" s="50" t="s">
        <v>80</v>
      </c>
    </row>
    <row r="5787" spans="2:12">
      <c r="B5787" s="50" t="e">
        <v>#N/A</v>
      </c>
      <c r="C5787" s="50" t="s">
        <v>26</v>
      </c>
      <c r="D5787" s="50" t="s">
        <v>27</v>
      </c>
      <c r="E5787" s="50">
        <v>50037905</v>
      </c>
      <c r="F5787" s="50" t="s">
        <v>150</v>
      </c>
      <c r="G5787" s="50">
        <v>1</v>
      </c>
      <c r="H5787" s="50" t="s">
        <v>2</v>
      </c>
      <c r="I5787" s="50" t="s">
        <v>289</v>
      </c>
      <c r="J5787" s="51">
        <v>45920</v>
      </c>
      <c r="K5787" s="50" t="s">
        <v>3</v>
      </c>
      <c r="L5787" s="50" t="s">
        <v>80</v>
      </c>
    </row>
    <row r="5788" spans="2:12">
      <c r="B5788" s="50" t="e">
        <v>#N/A</v>
      </c>
      <c r="C5788" s="50" t="s">
        <v>26</v>
      </c>
      <c r="D5788" s="50" t="s">
        <v>27</v>
      </c>
      <c r="E5788" s="50">
        <v>50037905</v>
      </c>
      <c r="F5788" s="50" t="s">
        <v>150</v>
      </c>
      <c r="G5788" s="50">
        <v>1</v>
      </c>
      <c r="H5788" s="50" t="s">
        <v>2</v>
      </c>
      <c r="I5788" s="50" t="s">
        <v>289</v>
      </c>
      <c r="J5788" s="51">
        <v>45920</v>
      </c>
      <c r="K5788" s="50" t="s">
        <v>1</v>
      </c>
      <c r="L5788" s="50" t="s">
        <v>80</v>
      </c>
    </row>
    <row r="5789" spans="2:12">
      <c r="B5789" s="50" t="s">
        <v>417</v>
      </c>
      <c r="C5789" s="50" t="s">
        <v>51</v>
      </c>
      <c r="D5789" s="50" t="s">
        <v>41</v>
      </c>
      <c r="E5789" s="50">
        <v>50003297</v>
      </c>
      <c r="F5789" s="50" t="s">
        <v>158</v>
      </c>
      <c r="G5789" s="50">
        <v>1</v>
      </c>
      <c r="H5789" s="50" t="s">
        <v>2</v>
      </c>
      <c r="I5789" s="50" t="s">
        <v>289</v>
      </c>
      <c r="J5789" s="51">
        <v>45920</v>
      </c>
      <c r="K5789" s="50" t="s">
        <v>3</v>
      </c>
      <c r="L5789" s="50" t="s">
        <v>80</v>
      </c>
    </row>
    <row r="5790" spans="2:12">
      <c r="B5790" s="50" t="s">
        <v>417</v>
      </c>
      <c r="C5790" s="50" t="s">
        <v>51</v>
      </c>
      <c r="D5790" s="50" t="s">
        <v>41</v>
      </c>
      <c r="E5790" s="50">
        <v>50003297</v>
      </c>
      <c r="F5790" s="50" t="s">
        <v>158</v>
      </c>
      <c r="G5790" s="50">
        <v>1</v>
      </c>
      <c r="H5790" s="50" t="s">
        <v>2</v>
      </c>
      <c r="I5790" s="50" t="s">
        <v>289</v>
      </c>
      <c r="J5790" s="51">
        <v>45920</v>
      </c>
      <c r="K5790" s="50" t="s">
        <v>1</v>
      </c>
      <c r="L5790" s="50" t="s">
        <v>80</v>
      </c>
    </row>
    <row r="5791" spans="2:12">
      <c r="B5791" s="50" t="s">
        <v>469</v>
      </c>
      <c r="C5791" s="50" t="s">
        <v>26</v>
      </c>
      <c r="D5791" s="50" t="s">
        <v>39</v>
      </c>
      <c r="E5791" s="50">
        <v>50038549</v>
      </c>
      <c r="F5791" s="50" t="s">
        <v>173</v>
      </c>
      <c r="G5791" s="50">
        <v>1</v>
      </c>
      <c r="H5791" s="50" t="s">
        <v>2</v>
      </c>
      <c r="I5791" s="50" t="s">
        <v>289</v>
      </c>
      <c r="J5791" s="51">
        <v>45920</v>
      </c>
      <c r="K5791" s="50" t="s">
        <v>1</v>
      </c>
      <c r="L5791" s="50" t="s">
        <v>80</v>
      </c>
    </row>
    <row r="5792" spans="2:12">
      <c r="B5792" s="50" t="s">
        <v>471</v>
      </c>
      <c r="C5792" s="50" t="s">
        <v>26</v>
      </c>
      <c r="D5792" s="50" t="s">
        <v>27</v>
      </c>
      <c r="E5792" s="50">
        <v>50037902</v>
      </c>
      <c r="F5792" s="50" t="s">
        <v>179</v>
      </c>
      <c r="G5792" s="50">
        <v>1</v>
      </c>
      <c r="H5792" s="50" t="s">
        <v>2</v>
      </c>
      <c r="I5792" s="50" t="s">
        <v>289</v>
      </c>
      <c r="J5792" s="51">
        <v>45920</v>
      </c>
      <c r="K5792" s="50" t="s">
        <v>3</v>
      </c>
      <c r="L5792" s="50" t="s">
        <v>80</v>
      </c>
    </row>
    <row r="5793" spans="2:12">
      <c r="B5793" s="50" t="e">
        <v>#N/A</v>
      </c>
      <c r="C5793" s="50" t="s">
        <v>51</v>
      </c>
      <c r="D5793" s="50" t="s">
        <v>41</v>
      </c>
      <c r="E5793" s="50">
        <v>50037902</v>
      </c>
      <c r="F5793" s="50" t="s">
        <v>179</v>
      </c>
      <c r="G5793" s="50">
        <v>1</v>
      </c>
      <c r="H5793" s="50" t="s">
        <v>2</v>
      </c>
      <c r="I5793" s="50" t="s">
        <v>289</v>
      </c>
      <c r="J5793" s="51">
        <v>45920</v>
      </c>
      <c r="K5793" s="50" t="s">
        <v>1</v>
      </c>
      <c r="L5793" s="50" t="s">
        <v>80</v>
      </c>
    </row>
    <row r="5794" spans="2:12">
      <c r="B5794" s="50" t="e">
        <v>#N/A</v>
      </c>
      <c r="C5794" s="50" t="s">
        <v>51</v>
      </c>
      <c r="D5794" s="50" t="s">
        <v>41</v>
      </c>
      <c r="E5794" s="50">
        <v>50037902</v>
      </c>
      <c r="F5794" s="50" t="s">
        <v>179</v>
      </c>
      <c r="G5794" s="50">
        <v>1</v>
      </c>
      <c r="H5794" s="50" t="s">
        <v>2</v>
      </c>
      <c r="I5794" s="50" t="s">
        <v>289</v>
      </c>
      <c r="J5794" s="51">
        <v>45920</v>
      </c>
      <c r="K5794" s="50" t="s">
        <v>3</v>
      </c>
      <c r="L5794" s="50" t="s">
        <v>80</v>
      </c>
    </row>
    <row r="5795" spans="2:12">
      <c r="B5795" s="50" t="s">
        <v>386</v>
      </c>
      <c r="C5795" s="50" t="s">
        <v>26</v>
      </c>
      <c r="D5795" s="50" t="s">
        <v>27</v>
      </c>
      <c r="E5795" s="50">
        <v>50037902</v>
      </c>
      <c r="F5795" s="50" t="s">
        <v>179</v>
      </c>
      <c r="G5795" s="50">
        <v>1</v>
      </c>
      <c r="H5795" s="50" t="s">
        <v>2</v>
      </c>
      <c r="I5795" s="50" t="s">
        <v>289</v>
      </c>
      <c r="J5795" s="51">
        <v>45920</v>
      </c>
      <c r="K5795" s="59" t="s">
        <v>3</v>
      </c>
      <c r="L5795" s="50" t="s">
        <v>80</v>
      </c>
    </row>
    <row r="5796" spans="2:12">
      <c r="B5796" s="50" t="s">
        <v>473</v>
      </c>
      <c r="C5796" s="50" t="str">
        <f>IFERROR(VLOOKUP(#REF!,'BD COLABORADORES'!A:E,7,FALSE),"")</f>
        <v/>
      </c>
      <c r="D5796" s="50" t="str">
        <f>IFERROR(VLOOKUP(#REF!,'BD COLABORADORES'!A:E,2,FALSE),"")</f>
        <v/>
      </c>
      <c r="E5796" s="50">
        <v>50041195</v>
      </c>
      <c r="F5796" s="50" t="str">
        <f>IFERROR(VLOOKUP(E5796,'BD MOVIMENTAÇÃO'!A:G,3,FALSE),"Não encontrado")</f>
        <v>PARAFUSADEIRA FUR DE IMPACTO BRUSHLESS</v>
      </c>
      <c r="G5796" s="58">
        <v>1</v>
      </c>
      <c r="H5796" s="59" t="s">
        <v>2</v>
      </c>
      <c r="I5796" s="59" t="s">
        <v>314</v>
      </c>
      <c r="J5796" s="63">
        <v>45920</v>
      </c>
      <c r="K5796" s="50" t="s">
        <v>3</v>
      </c>
      <c r="L5796" s="50" t="s">
        <v>80</v>
      </c>
    </row>
    <row r="5797" spans="2:12">
      <c r="B5797" s="50" t="s">
        <v>57</v>
      </c>
      <c r="C5797" s="50" t="str">
        <f>IFERROR(VLOOKUP(#REF!,'BD COLABORADORES'!A:E,7,FALSE),"")</f>
        <v/>
      </c>
      <c r="D5797" s="50" t="str">
        <f>IFERROR(VLOOKUP(#REF!,'BD COLABORADORES'!A:E,2,FALSE),"")</f>
        <v/>
      </c>
      <c r="E5797" s="50">
        <v>50037933</v>
      </c>
      <c r="F5797" s="50" t="str">
        <f>IFERROR(VLOOKUP(E5797,'BD MOVIMENTAÇÃO'!A:G,3,FALSE),"Não encontrado")</f>
        <v>TERMOMETRO</v>
      </c>
      <c r="G5797" s="58">
        <v>1</v>
      </c>
      <c r="H5797" s="59" t="s">
        <v>2</v>
      </c>
      <c r="I5797" s="59" t="s">
        <v>317</v>
      </c>
      <c r="J5797" s="63">
        <v>45920</v>
      </c>
      <c r="K5797" s="50" t="s">
        <v>3</v>
      </c>
      <c r="L5797" s="50" t="s">
        <v>80</v>
      </c>
    </row>
    <row r="5798" spans="2:12">
      <c r="B5798" s="50" t="s">
        <v>465</v>
      </c>
      <c r="C5798" s="50" t="s">
        <v>26</v>
      </c>
      <c r="D5798" s="50" t="s">
        <v>27</v>
      </c>
      <c r="E5798" s="50">
        <v>50037960</v>
      </c>
      <c r="F5798" s="50" t="s">
        <v>112</v>
      </c>
      <c r="G5798" s="50">
        <v>1</v>
      </c>
      <c r="H5798" s="50" t="s">
        <v>2</v>
      </c>
      <c r="I5798" s="50" t="s">
        <v>291</v>
      </c>
      <c r="J5798" s="51">
        <v>45919</v>
      </c>
      <c r="K5798" s="50" t="s">
        <v>3</v>
      </c>
      <c r="L5798" s="50" t="s">
        <v>80</v>
      </c>
    </row>
    <row r="5799" spans="2:12">
      <c r="B5799" s="50" t="s">
        <v>465</v>
      </c>
      <c r="C5799" s="50" t="s">
        <v>26</v>
      </c>
      <c r="D5799" s="50" t="s">
        <v>27</v>
      </c>
      <c r="E5799" s="50">
        <v>50037961</v>
      </c>
      <c r="F5799" s="50" t="s">
        <v>113</v>
      </c>
      <c r="G5799" s="50">
        <v>1</v>
      </c>
      <c r="H5799" s="50" t="s">
        <v>2</v>
      </c>
      <c r="I5799" s="50" t="s">
        <v>291</v>
      </c>
      <c r="J5799" s="51">
        <v>45919</v>
      </c>
      <c r="K5799" s="50" t="s">
        <v>1</v>
      </c>
      <c r="L5799" s="50" t="s">
        <v>80</v>
      </c>
    </row>
    <row r="5800" spans="2:12">
      <c r="B5800" s="50" t="s">
        <v>444</v>
      </c>
      <c r="C5800" s="50" t="s">
        <v>51</v>
      </c>
      <c r="D5800" s="50" t="s">
        <v>27</v>
      </c>
      <c r="E5800" s="50">
        <v>50043471</v>
      </c>
      <c r="F5800" s="50" t="s">
        <v>257</v>
      </c>
      <c r="G5800" s="50">
        <v>1</v>
      </c>
      <c r="H5800" s="50" t="s">
        <v>2</v>
      </c>
      <c r="I5800" s="50" t="s">
        <v>293</v>
      </c>
      <c r="J5800" s="51">
        <v>45919</v>
      </c>
      <c r="K5800" s="50" t="s">
        <v>3</v>
      </c>
      <c r="L5800" s="50" t="s">
        <v>80</v>
      </c>
    </row>
    <row r="5801" spans="2:12">
      <c r="B5801" s="50" t="s">
        <v>444</v>
      </c>
      <c r="C5801" s="50" t="s">
        <v>51</v>
      </c>
      <c r="D5801" s="50" t="s">
        <v>27</v>
      </c>
      <c r="E5801" s="50">
        <v>50043471</v>
      </c>
      <c r="F5801" s="50" t="s">
        <v>257</v>
      </c>
      <c r="G5801" s="50">
        <v>1</v>
      </c>
      <c r="H5801" s="50" t="s">
        <v>2</v>
      </c>
      <c r="I5801" s="50" t="s">
        <v>292</v>
      </c>
      <c r="J5801" s="51">
        <v>45919</v>
      </c>
      <c r="K5801" s="50" t="s">
        <v>1</v>
      </c>
      <c r="L5801" s="50" t="s">
        <v>80</v>
      </c>
    </row>
    <row r="5802" spans="2:12">
      <c r="B5802" s="50" t="s">
        <v>280</v>
      </c>
      <c r="C5802" s="50" t="s">
        <v>62</v>
      </c>
      <c r="D5802" s="50" t="s">
        <v>27</v>
      </c>
      <c r="E5802" s="50">
        <v>50043471</v>
      </c>
      <c r="F5802" s="50" t="s">
        <v>257</v>
      </c>
      <c r="G5802" s="50">
        <v>1</v>
      </c>
      <c r="H5802" s="50" t="s">
        <v>2</v>
      </c>
      <c r="I5802" s="50" t="s">
        <v>288</v>
      </c>
      <c r="J5802" s="51">
        <v>45919</v>
      </c>
      <c r="K5802" s="50" t="s">
        <v>3</v>
      </c>
      <c r="L5802" s="50" t="s">
        <v>80</v>
      </c>
    </row>
    <row r="5803" spans="2:12">
      <c r="B5803" s="50" t="s">
        <v>280</v>
      </c>
      <c r="C5803" s="50" t="s">
        <v>62</v>
      </c>
      <c r="D5803" s="50" t="s">
        <v>27</v>
      </c>
      <c r="E5803" s="50">
        <v>50043471</v>
      </c>
      <c r="F5803" s="50" t="s">
        <v>257</v>
      </c>
      <c r="G5803" s="50">
        <v>1</v>
      </c>
      <c r="H5803" s="50" t="s">
        <v>2</v>
      </c>
      <c r="I5803" s="50" t="s">
        <v>291</v>
      </c>
      <c r="J5803" s="51">
        <v>45919</v>
      </c>
      <c r="K5803" s="59" t="s">
        <v>3</v>
      </c>
      <c r="L5803" s="50" t="s">
        <v>80</v>
      </c>
    </row>
    <row r="5804" spans="2:12">
      <c r="B5804" s="50" t="s">
        <v>469</v>
      </c>
      <c r="C5804" s="50" t="s">
        <v>26</v>
      </c>
      <c r="D5804" s="50" t="s">
        <v>39</v>
      </c>
      <c r="E5804" s="50">
        <v>50038549</v>
      </c>
      <c r="F5804" s="50" t="s">
        <v>173</v>
      </c>
      <c r="G5804" s="50">
        <v>1</v>
      </c>
      <c r="H5804" s="50" t="s">
        <v>2</v>
      </c>
      <c r="I5804" s="50" t="s">
        <v>293</v>
      </c>
      <c r="J5804" s="51">
        <v>45919</v>
      </c>
      <c r="K5804" s="59" t="s">
        <v>1</v>
      </c>
      <c r="L5804" s="50" t="s">
        <v>80</v>
      </c>
    </row>
    <row r="5805" spans="2:12">
      <c r="B5805" s="50" t="s">
        <v>401</v>
      </c>
      <c r="C5805" s="50" t="str">
        <f>IFERROR(VLOOKUP(#REF!,'BD COLABORADORES'!A:E,7,FALSE),"")</f>
        <v/>
      </c>
      <c r="D5805" s="50" t="str">
        <f>IFERROR(VLOOKUP(#REF!,'BD COLABORADORES'!A:E,2,FALSE),"")</f>
        <v/>
      </c>
      <c r="E5805" s="50">
        <v>50038549</v>
      </c>
      <c r="F5805" s="50" t="str">
        <f>IFERROR(VLOOKUP(E5805,'BD MOVIMENTAÇÃO'!A:G,3,FALSE),"Não encontrado")</f>
        <v>JOGO SOQUETE ESTRIADOS 1/2 22PEÇ</v>
      </c>
      <c r="G5805" s="58">
        <v>1</v>
      </c>
      <c r="H5805" s="59" t="s">
        <v>2</v>
      </c>
      <c r="I5805" s="59" t="s">
        <v>313</v>
      </c>
      <c r="J5805" s="63">
        <v>45919</v>
      </c>
      <c r="K5805" s="50" t="s">
        <v>3</v>
      </c>
      <c r="L5805" s="50" t="s">
        <v>80</v>
      </c>
    </row>
    <row r="5806" spans="2:12">
      <c r="B5806" s="50" t="s">
        <v>401</v>
      </c>
      <c r="C5806" s="50" t="str">
        <f>IFERROR(VLOOKUP(#REF!,'BD COLABORADORES'!A:E,7,FALSE),"")</f>
        <v/>
      </c>
      <c r="D5806" s="50" t="str">
        <f>IFERROR(VLOOKUP(#REF!,'BD COLABORADORES'!A:E,2,FALSE),"")</f>
        <v/>
      </c>
      <c r="E5806" s="50">
        <v>50038549</v>
      </c>
      <c r="F5806" s="50" t="str">
        <f>IFERROR(VLOOKUP(E5806,'BD MOVIMENTAÇÃO'!A:G,3,FALSE),"Não encontrado")</f>
        <v>JOGO SOQUETE ESTRIADOS 1/2 22PEÇ</v>
      </c>
      <c r="G5806" s="58">
        <v>1</v>
      </c>
      <c r="H5806" s="59" t="s">
        <v>2</v>
      </c>
      <c r="I5806" s="59" t="s">
        <v>313</v>
      </c>
      <c r="J5806" s="63">
        <v>45919</v>
      </c>
      <c r="K5806" s="50" t="s">
        <v>1</v>
      </c>
      <c r="L5806" s="50" t="s">
        <v>80</v>
      </c>
    </row>
    <row r="5807" spans="2:12">
      <c r="B5807" s="50" t="s">
        <v>458</v>
      </c>
      <c r="C5807" s="50" t="s">
        <v>26</v>
      </c>
      <c r="D5807" s="50" t="s">
        <v>27</v>
      </c>
      <c r="E5807" s="50">
        <v>50038956</v>
      </c>
      <c r="F5807" s="50" t="s">
        <v>177</v>
      </c>
      <c r="G5807" s="50">
        <v>1</v>
      </c>
      <c r="H5807" s="50" t="s">
        <v>2</v>
      </c>
      <c r="I5807" s="50" t="s">
        <v>291</v>
      </c>
      <c r="J5807" s="51">
        <v>45919</v>
      </c>
      <c r="K5807" s="50" t="s">
        <v>3</v>
      </c>
      <c r="L5807" s="50" t="s">
        <v>80</v>
      </c>
    </row>
    <row r="5808" spans="2:12">
      <c r="B5808" s="50" t="s">
        <v>458</v>
      </c>
      <c r="C5808" s="58" t="s">
        <v>26</v>
      </c>
      <c r="D5808" s="58" t="s">
        <v>27</v>
      </c>
      <c r="E5808" s="50">
        <v>50038956</v>
      </c>
      <c r="F5808" s="50" t="s">
        <v>177</v>
      </c>
      <c r="G5808" s="50">
        <v>1</v>
      </c>
      <c r="H5808" s="50" t="s">
        <v>2</v>
      </c>
      <c r="I5808" s="50" t="s">
        <v>291</v>
      </c>
      <c r="J5808" s="51">
        <v>45919</v>
      </c>
      <c r="K5808" s="50" t="s">
        <v>3</v>
      </c>
      <c r="L5808" s="50" t="s">
        <v>80</v>
      </c>
    </row>
    <row r="5809" spans="2:12">
      <c r="B5809" s="50" t="e">
        <v>#N/A</v>
      </c>
      <c r="C5809" s="50" t="s">
        <v>62</v>
      </c>
      <c r="D5809" s="50" t="s">
        <v>27</v>
      </c>
      <c r="E5809" s="50">
        <v>50037892</v>
      </c>
      <c r="F5809" s="50" t="s">
        <v>178</v>
      </c>
      <c r="G5809" s="50">
        <v>1</v>
      </c>
      <c r="H5809" s="50" t="s">
        <v>2</v>
      </c>
      <c r="I5809" s="50" t="s">
        <v>292</v>
      </c>
      <c r="J5809" s="51">
        <v>45919</v>
      </c>
      <c r="K5809" s="50" t="s">
        <v>3</v>
      </c>
      <c r="L5809" s="50" t="s">
        <v>80</v>
      </c>
    </row>
    <row r="5810" spans="2:12">
      <c r="B5810" s="50" t="e">
        <v>#N/A</v>
      </c>
      <c r="C5810" s="50" t="s">
        <v>62</v>
      </c>
      <c r="D5810" s="50" t="s">
        <v>27</v>
      </c>
      <c r="E5810" s="50">
        <v>50037892</v>
      </c>
      <c r="F5810" s="50" t="s">
        <v>178</v>
      </c>
      <c r="G5810" s="50">
        <v>1</v>
      </c>
      <c r="H5810" s="50" t="s">
        <v>2</v>
      </c>
      <c r="I5810" s="50" t="s">
        <v>291</v>
      </c>
      <c r="J5810" s="51">
        <v>45919</v>
      </c>
      <c r="K5810" s="50" t="s">
        <v>1</v>
      </c>
      <c r="L5810" s="50" t="s">
        <v>80</v>
      </c>
    </row>
    <row r="5811" spans="2:12">
      <c r="B5811" s="50" t="s">
        <v>386</v>
      </c>
      <c r="C5811" s="50" t="s">
        <v>26</v>
      </c>
      <c r="D5811" s="50" t="s">
        <v>27</v>
      </c>
      <c r="E5811" s="50">
        <v>50037902</v>
      </c>
      <c r="F5811" s="50" t="s">
        <v>179</v>
      </c>
      <c r="G5811" s="50">
        <v>1</v>
      </c>
      <c r="H5811" s="50" t="s">
        <v>2</v>
      </c>
      <c r="I5811" s="50" t="s">
        <v>293</v>
      </c>
      <c r="J5811" s="51">
        <v>45919</v>
      </c>
      <c r="K5811" s="50" t="s">
        <v>3</v>
      </c>
      <c r="L5811" s="50" t="s">
        <v>80</v>
      </c>
    </row>
    <row r="5812" spans="2:12">
      <c r="B5812" s="50" t="s">
        <v>382</v>
      </c>
      <c r="C5812" s="50" t="s">
        <v>51</v>
      </c>
      <c r="D5812" s="50" t="s">
        <v>41</v>
      </c>
      <c r="E5812" s="50">
        <v>50038841</v>
      </c>
      <c r="F5812" s="50" t="s">
        <v>180</v>
      </c>
      <c r="G5812" s="50">
        <v>1</v>
      </c>
      <c r="H5812" s="50" t="s">
        <v>2</v>
      </c>
      <c r="I5812" s="50" t="s">
        <v>293</v>
      </c>
      <c r="J5812" s="51">
        <v>45919</v>
      </c>
      <c r="K5812" s="50" t="s">
        <v>1</v>
      </c>
      <c r="L5812" s="50" t="s">
        <v>80</v>
      </c>
    </row>
    <row r="5813" spans="2:12">
      <c r="B5813" s="50" t="s">
        <v>382</v>
      </c>
      <c r="C5813" s="50" t="s">
        <v>51</v>
      </c>
      <c r="D5813" s="50" t="s">
        <v>41</v>
      </c>
      <c r="E5813" s="50">
        <v>50038841</v>
      </c>
      <c r="F5813" s="50" t="s">
        <v>180</v>
      </c>
      <c r="G5813" s="50">
        <v>1</v>
      </c>
      <c r="H5813" s="50" t="s">
        <v>2</v>
      </c>
      <c r="I5813" s="50" t="s">
        <v>291</v>
      </c>
      <c r="J5813" s="51">
        <v>45919</v>
      </c>
      <c r="K5813" s="50" t="s">
        <v>3</v>
      </c>
      <c r="L5813" s="50" t="s">
        <v>80</v>
      </c>
    </row>
    <row r="5814" spans="2:12">
      <c r="B5814" s="50" t="s">
        <v>394</v>
      </c>
      <c r="C5814" s="50" t="s">
        <v>51</v>
      </c>
      <c r="D5814" s="50" t="s">
        <v>27</v>
      </c>
      <c r="E5814" s="50">
        <v>50041195</v>
      </c>
      <c r="F5814" s="50" t="s">
        <v>206</v>
      </c>
      <c r="G5814" s="50">
        <v>1</v>
      </c>
      <c r="H5814" s="50" t="s">
        <v>2</v>
      </c>
      <c r="I5814" s="50" t="s">
        <v>293</v>
      </c>
      <c r="J5814" s="51">
        <v>45919</v>
      </c>
      <c r="K5814" s="50" t="s">
        <v>1</v>
      </c>
      <c r="L5814" s="50" t="s">
        <v>80</v>
      </c>
    </row>
    <row r="5815" spans="2:12">
      <c r="B5815" s="50" t="s">
        <v>394</v>
      </c>
      <c r="C5815" s="50" t="s">
        <v>51</v>
      </c>
      <c r="D5815" s="50" t="s">
        <v>27</v>
      </c>
      <c r="E5815" s="50">
        <v>50041195</v>
      </c>
      <c r="F5815" s="50" t="s">
        <v>206</v>
      </c>
      <c r="G5815" s="50">
        <v>1</v>
      </c>
      <c r="H5815" s="50" t="s">
        <v>2</v>
      </c>
      <c r="I5815" s="50" t="s">
        <v>293</v>
      </c>
      <c r="J5815" s="51">
        <v>45919</v>
      </c>
      <c r="K5815" s="50" t="s">
        <v>3</v>
      </c>
      <c r="L5815" s="50" t="s">
        <v>80</v>
      </c>
    </row>
    <row r="5816" spans="2:12">
      <c r="B5816" s="50" t="s">
        <v>444</v>
      </c>
      <c r="C5816" s="50" t="s">
        <v>51</v>
      </c>
      <c r="D5816" s="50" t="s">
        <v>27</v>
      </c>
      <c r="E5816" s="50">
        <v>50041195</v>
      </c>
      <c r="F5816" s="50" t="s">
        <v>206</v>
      </c>
      <c r="G5816" s="50">
        <v>1</v>
      </c>
      <c r="H5816" s="50" t="s">
        <v>2</v>
      </c>
      <c r="I5816" s="50" t="s">
        <v>292</v>
      </c>
      <c r="J5816" s="51">
        <v>45919</v>
      </c>
      <c r="K5816" s="59" t="s">
        <v>3</v>
      </c>
      <c r="L5816" s="50" t="s">
        <v>80</v>
      </c>
    </row>
    <row r="5817" spans="2:12">
      <c r="B5817" s="50" t="s">
        <v>444</v>
      </c>
      <c r="C5817" s="50" t="s">
        <v>51</v>
      </c>
      <c r="D5817" s="50" t="s">
        <v>27</v>
      </c>
      <c r="E5817" s="50">
        <v>50041195</v>
      </c>
      <c r="F5817" s="50" t="s">
        <v>206</v>
      </c>
      <c r="G5817" s="50">
        <v>1</v>
      </c>
      <c r="H5817" s="50" t="s">
        <v>2</v>
      </c>
      <c r="I5817" s="50" t="s">
        <v>291</v>
      </c>
      <c r="J5817" s="51">
        <v>45919</v>
      </c>
      <c r="K5817" s="50" t="s">
        <v>3</v>
      </c>
      <c r="L5817" s="50" t="s">
        <v>80</v>
      </c>
    </row>
    <row r="5818" spans="2:12">
      <c r="B5818" s="50" t="s">
        <v>473</v>
      </c>
      <c r="C5818" s="50" t="str">
        <f>IFERROR(VLOOKUP(#REF!,'BD COLABORADORES'!A:E,7,FALSE),"")</f>
        <v/>
      </c>
      <c r="D5818" s="50" t="str">
        <f>IFERROR(VLOOKUP(#REF!,'BD COLABORADORES'!A:E,2,FALSE),"")</f>
        <v/>
      </c>
      <c r="E5818" s="50">
        <v>50041195</v>
      </c>
      <c r="F5818" s="50" t="str">
        <f>IFERROR(VLOOKUP(E5818,'BD MOVIMENTAÇÃO'!A:G,3,FALSE),"Não encontrado")</f>
        <v>PARAFUSADEIRA FUR DE IMPACTO BRUSHLESS</v>
      </c>
      <c r="G5818" s="58">
        <v>1</v>
      </c>
      <c r="H5818" s="59" t="s">
        <v>2</v>
      </c>
      <c r="I5818" s="59" t="s">
        <v>314</v>
      </c>
      <c r="J5818" s="63">
        <v>45919</v>
      </c>
      <c r="K5818" s="50" t="s">
        <v>1</v>
      </c>
      <c r="L5818" s="50" t="s">
        <v>80</v>
      </c>
    </row>
    <row r="5819" spans="2:12">
      <c r="B5819" s="50" t="s">
        <v>481</v>
      </c>
      <c r="C5819" s="50" t="s">
        <v>26</v>
      </c>
      <c r="D5819" s="50" t="s">
        <v>27</v>
      </c>
      <c r="E5819" s="50">
        <v>50043917</v>
      </c>
      <c r="F5819" s="50" t="s">
        <v>262</v>
      </c>
      <c r="G5819" s="50">
        <v>1</v>
      </c>
      <c r="H5819" s="50" t="s">
        <v>2</v>
      </c>
      <c r="I5819" s="50" t="s">
        <v>292</v>
      </c>
      <c r="J5819" s="51">
        <v>45919</v>
      </c>
      <c r="K5819" s="50" t="s">
        <v>3</v>
      </c>
      <c r="L5819" s="50" t="s">
        <v>80</v>
      </c>
    </row>
    <row r="5820" spans="2:12">
      <c r="B5820" s="50" t="s">
        <v>481</v>
      </c>
      <c r="C5820" s="50" t="s">
        <v>26</v>
      </c>
      <c r="D5820" s="50" t="s">
        <v>27</v>
      </c>
      <c r="E5820" s="50">
        <v>50037920</v>
      </c>
      <c r="F5820" s="50" t="s">
        <v>243</v>
      </c>
      <c r="G5820" s="50">
        <v>1</v>
      </c>
      <c r="H5820" s="50" t="s">
        <v>2</v>
      </c>
      <c r="I5820" s="50" t="s">
        <v>291</v>
      </c>
      <c r="J5820" s="51">
        <v>45919</v>
      </c>
      <c r="K5820" s="50" t="s">
        <v>1</v>
      </c>
      <c r="L5820" s="50" t="s">
        <v>80</v>
      </c>
    </row>
    <row r="5821" spans="2:12">
      <c r="B5821" s="50" t="s">
        <v>481</v>
      </c>
      <c r="C5821" s="50" t="s">
        <v>26</v>
      </c>
      <c r="D5821" s="50" t="s">
        <v>27</v>
      </c>
      <c r="E5821" s="50">
        <v>50037920</v>
      </c>
      <c r="F5821" s="50" t="s">
        <v>243</v>
      </c>
      <c r="G5821" s="50">
        <v>1</v>
      </c>
      <c r="H5821" s="50" t="s">
        <v>2</v>
      </c>
      <c r="I5821" s="50" t="s">
        <v>291</v>
      </c>
      <c r="J5821" s="51">
        <v>45919</v>
      </c>
      <c r="K5821" s="50" t="s">
        <v>1</v>
      </c>
      <c r="L5821" s="50" t="s">
        <v>80</v>
      </c>
    </row>
    <row r="5822" spans="2:12">
      <c r="B5822" s="50" t="s">
        <v>397</v>
      </c>
      <c r="C5822" s="50" t="s">
        <v>26</v>
      </c>
      <c r="D5822" s="50" t="s">
        <v>41</v>
      </c>
      <c r="E5822" s="50">
        <v>50043150</v>
      </c>
      <c r="F5822" s="50" t="s">
        <v>259</v>
      </c>
      <c r="G5822" s="50">
        <v>1</v>
      </c>
      <c r="H5822" s="50" t="s">
        <v>2</v>
      </c>
      <c r="I5822" s="50" t="s">
        <v>292</v>
      </c>
      <c r="J5822" s="51">
        <v>45919</v>
      </c>
      <c r="K5822" s="50" t="s">
        <v>3</v>
      </c>
      <c r="L5822" s="50" t="s">
        <v>80</v>
      </c>
    </row>
    <row r="5823" spans="2:12">
      <c r="B5823" s="50" t="s">
        <v>397</v>
      </c>
      <c r="C5823" s="50" t="s">
        <v>26</v>
      </c>
      <c r="D5823" s="50" t="s">
        <v>41</v>
      </c>
      <c r="E5823" s="50">
        <v>50043150</v>
      </c>
      <c r="F5823" s="50" t="s">
        <v>259</v>
      </c>
      <c r="G5823" s="50">
        <v>1</v>
      </c>
      <c r="H5823" s="50" t="s">
        <v>2</v>
      </c>
      <c r="I5823" s="50" t="s">
        <v>291</v>
      </c>
      <c r="J5823" s="51">
        <v>45919</v>
      </c>
      <c r="K5823" s="50" t="s">
        <v>1</v>
      </c>
      <c r="L5823" s="50" t="s">
        <v>80</v>
      </c>
    </row>
    <row r="5824" spans="2:12">
      <c r="B5824" s="50" t="s">
        <v>278</v>
      </c>
      <c r="C5824" s="50" t="s">
        <v>62</v>
      </c>
      <c r="D5824" s="50" t="s">
        <v>27</v>
      </c>
      <c r="E5824" s="50">
        <v>50041194</v>
      </c>
      <c r="F5824" s="50" t="s">
        <v>249</v>
      </c>
      <c r="G5824" s="50">
        <v>1</v>
      </c>
      <c r="H5824" s="50" t="s">
        <v>2</v>
      </c>
      <c r="I5824" s="50" t="s">
        <v>292</v>
      </c>
      <c r="J5824" s="51">
        <v>45919</v>
      </c>
      <c r="K5824" s="50" t="s">
        <v>3</v>
      </c>
      <c r="L5824" s="50" t="s">
        <v>80</v>
      </c>
    </row>
    <row r="5825" spans="2:12">
      <c r="B5825" s="50" t="s">
        <v>278</v>
      </c>
      <c r="C5825" s="50" t="s">
        <v>62</v>
      </c>
      <c r="D5825" s="50" t="s">
        <v>27</v>
      </c>
      <c r="E5825" s="50">
        <v>50041194</v>
      </c>
      <c r="F5825" s="50" t="s">
        <v>249</v>
      </c>
      <c r="G5825" s="50">
        <v>1</v>
      </c>
      <c r="H5825" s="50" t="s">
        <v>2</v>
      </c>
      <c r="I5825" s="50" t="s">
        <v>292</v>
      </c>
      <c r="J5825" s="51">
        <v>45919</v>
      </c>
      <c r="K5825" s="50" t="s">
        <v>3</v>
      </c>
      <c r="L5825" s="50" t="s">
        <v>80</v>
      </c>
    </row>
    <row r="5826" spans="2:12">
      <c r="B5826" s="50" t="s">
        <v>483</v>
      </c>
      <c r="C5826" s="50" t="s">
        <v>62</v>
      </c>
      <c r="D5826" s="50" t="s">
        <v>27</v>
      </c>
      <c r="E5826" s="50">
        <v>50010031</v>
      </c>
      <c r="F5826" s="50" t="s">
        <v>89</v>
      </c>
      <c r="G5826" s="50">
        <v>1</v>
      </c>
      <c r="H5826" s="50" t="s">
        <v>2</v>
      </c>
      <c r="I5826" s="50" t="s">
        <v>292</v>
      </c>
      <c r="J5826" s="51">
        <v>45918</v>
      </c>
      <c r="K5826" s="50" t="s">
        <v>1</v>
      </c>
      <c r="L5826" s="50" t="s">
        <v>80</v>
      </c>
    </row>
    <row r="5827" spans="2:12">
      <c r="B5827" s="50" t="s">
        <v>483</v>
      </c>
      <c r="C5827" s="50" t="s">
        <v>62</v>
      </c>
      <c r="D5827" s="50" t="s">
        <v>27</v>
      </c>
      <c r="E5827" s="50">
        <v>50010031</v>
      </c>
      <c r="F5827" s="50" t="s">
        <v>89</v>
      </c>
      <c r="G5827" s="50">
        <v>1</v>
      </c>
      <c r="H5827" s="50" t="s">
        <v>2</v>
      </c>
      <c r="I5827" s="50" t="s">
        <v>291</v>
      </c>
      <c r="J5827" s="51">
        <v>45918</v>
      </c>
      <c r="K5827" s="50" t="s">
        <v>1</v>
      </c>
      <c r="L5827" s="50" t="s">
        <v>80</v>
      </c>
    </row>
    <row r="5828" spans="2:12">
      <c r="B5828" s="50" t="s">
        <v>393</v>
      </c>
      <c r="C5828" s="50" t="s">
        <v>56</v>
      </c>
      <c r="D5828" s="50" t="s">
        <v>39</v>
      </c>
      <c r="E5828" s="50">
        <v>50038991</v>
      </c>
      <c r="F5828" s="50" t="s">
        <v>108</v>
      </c>
      <c r="G5828" s="50">
        <v>1</v>
      </c>
      <c r="H5828" s="50" t="s">
        <v>2</v>
      </c>
      <c r="I5828" s="50" t="s">
        <v>289</v>
      </c>
      <c r="J5828" s="51">
        <v>45918</v>
      </c>
      <c r="K5828" s="50" t="s">
        <v>3</v>
      </c>
      <c r="L5828" s="50" t="s">
        <v>80</v>
      </c>
    </row>
    <row r="5829" spans="2:12">
      <c r="B5829" s="50" t="s">
        <v>393</v>
      </c>
      <c r="C5829" s="50" t="s">
        <v>56</v>
      </c>
      <c r="D5829" s="50" t="s">
        <v>39</v>
      </c>
      <c r="E5829" s="50">
        <v>50038991</v>
      </c>
      <c r="F5829" s="50" t="s">
        <v>108</v>
      </c>
      <c r="G5829" s="50">
        <v>1</v>
      </c>
      <c r="H5829" s="50" t="s">
        <v>2</v>
      </c>
      <c r="I5829" s="50" t="s">
        <v>289</v>
      </c>
      <c r="J5829" s="51">
        <v>45918</v>
      </c>
      <c r="K5829" s="50" t="s">
        <v>1</v>
      </c>
      <c r="L5829" s="50" t="s">
        <v>80</v>
      </c>
    </row>
    <row r="5830" spans="2:12">
      <c r="B5830" s="50" t="s">
        <v>316</v>
      </c>
      <c r="C5830" s="50" t="s">
        <v>56</v>
      </c>
      <c r="D5830" s="50" t="s">
        <v>27</v>
      </c>
      <c r="E5830" s="50">
        <v>50044003</v>
      </c>
      <c r="F5830" s="50" t="s">
        <v>263</v>
      </c>
      <c r="G5830" s="50">
        <v>1</v>
      </c>
      <c r="H5830" s="50" t="s">
        <v>2</v>
      </c>
      <c r="I5830" s="50" t="s">
        <v>291</v>
      </c>
      <c r="J5830" s="51">
        <v>45918</v>
      </c>
      <c r="K5830" s="50" t="s">
        <v>3</v>
      </c>
      <c r="L5830" s="50" t="s">
        <v>80</v>
      </c>
    </row>
    <row r="5831" spans="2:12">
      <c r="B5831" s="50" t="s">
        <v>316</v>
      </c>
      <c r="C5831" s="50" t="s">
        <v>56</v>
      </c>
      <c r="D5831" s="50" t="s">
        <v>27</v>
      </c>
      <c r="E5831" s="50">
        <v>50044003</v>
      </c>
      <c r="F5831" s="50" t="s">
        <v>263</v>
      </c>
      <c r="G5831" s="50">
        <v>1</v>
      </c>
      <c r="H5831" s="50" t="s">
        <v>2</v>
      </c>
      <c r="I5831" s="50" t="s">
        <v>292</v>
      </c>
      <c r="J5831" s="51">
        <v>45918</v>
      </c>
      <c r="K5831" s="50" t="s">
        <v>1</v>
      </c>
      <c r="L5831" s="50" t="s">
        <v>80</v>
      </c>
    </row>
    <row r="5832" spans="2:12">
      <c r="B5832" s="50" t="s">
        <v>25</v>
      </c>
      <c r="C5832" s="50" t="s">
        <v>26</v>
      </c>
      <c r="D5832" s="50" t="s">
        <v>27</v>
      </c>
      <c r="E5832" s="50">
        <v>50036255</v>
      </c>
      <c r="F5832" s="50" t="s">
        <v>120</v>
      </c>
      <c r="G5832" s="50">
        <v>1</v>
      </c>
      <c r="H5832" s="50" t="s">
        <v>2</v>
      </c>
      <c r="I5832" s="50" t="s">
        <v>292</v>
      </c>
      <c r="J5832" s="51">
        <v>45918</v>
      </c>
      <c r="K5832" s="50" t="s">
        <v>3</v>
      </c>
      <c r="L5832" s="50" t="s">
        <v>80</v>
      </c>
    </row>
    <row r="5833" spans="2:12">
      <c r="B5833" s="50" t="s">
        <v>25</v>
      </c>
      <c r="C5833" s="50" t="s">
        <v>26</v>
      </c>
      <c r="D5833" s="50" t="s">
        <v>27</v>
      </c>
      <c r="E5833" s="50">
        <v>50036255</v>
      </c>
      <c r="F5833" s="50" t="s">
        <v>120</v>
      </c>
      <c r="G5833" s="50">
        <v>1</v>
      </c>
      <c r="H5833" s="50" t="s">
        <v>2</v>
      </c>
      <c r="I5833" s="50" t="s">
        <v>292</v>
      </c>
      <c r="J5833" s="51">
        <v>45918</v>
      </c>
      <c r="K5833" s="50" t="s">
        <v>1</v>
      </c>
      <c r="L5833" s="50" t="s">
        <v>80</v>
      </c>
    </row>
    <row r="5834" spans="2:12">
      <c r="B5834" s="50" t="s">
        <v>25</v>
      </c>
      <c r="C5834" s="50" t="s">
        <v>26</v>
      </c>
      <c r="D5834" s="50" t="s">
        <v>27</v>
      </c>
      <c r="E5834" s="50">
        <v>50036279</v>
      </c>
      <c r="F5834" s="50" t="s">
        <v>133</v>
      </c>
      <c r="G5834" s="50">
        <v>1</v>
      </c>
      <c r="H5834" s="50" t="s">
        <v>2</v>
      </c>
      <c r="I5834" s="50" t="s">
        <v>291</v>
      </c>
      <c r="J5834" s="51">
        <v>45918</v>
      </c>
      <c r="K5834" s="59" t="s">
        <v>3</v>
      </c>
      <c r="L5834" s="50" t="s">
        <v>80</v>
      </c>
    </row>
    <row r="5835" spans="2:12">
      <c r="B5835" s="50" t="s">
        <v>25</v>
      </c>
      <c r="C5835" s="50" t="s">
        <v>26</v>
      </c>
      <c r="D5835" s="50" t="s">
        <v>27</v>
      </c>
      <c r="E5835" s="50">
        <v>50036279</v>
      </c>
      <c r="F5835" s="50" t="s">
        <v>133</v>
      </c>
      <c r="G5835" s="50">
        <v>1</v>
      </c>
      <c r="H5835" s="50" t="s">
        <v>2</v>
      </c>
      <c r="I5835" s="50" t="s">
        <v>291</v>
      </c>
      <c r="J5835" s="51">
        <v>45918</v>
      </c>
      <c r="K5835" s="50" t="s">
        <v>1</v>
      </c>
      <c r="L5835" s="50" t="s">
        <v>80</v>
      </c>
    </row>
    <row r="5836" spans="2:12">
      <c r="B5836" s="50" t="s">
        <v>402</v>
      </c>
      <c r="C5836" s="50" t="str">
        <f>IFERROR(VLOOKUP(#REF!,'BD COLABORADORES'!A:E,7,FALSE),"")</f>
        <v/>
      </c>
      <c r="D5836" s="50" t="str">
        <f>IFERROR(VLOOKUP(#REF!,'BD COLABORADORES'!A:E,2,FALSE),"")</f>
        <v/>
      </c>
      <c r="E5836" s="50">
        <v>50039718</v>
      </c>
      <c r="F5836" s="50" t="str">
        <f>IFERROR(VLOOKUP(E5836,'BD MOVIMENTAÇÃO'!A:G,3,FALSE),"Não encontrado")</f>
        <v>ESCALA DE ACO 1000MM VONDER </v>
      </c>
      <c r="G5836" s="58">
        <v>1</v>
      </c>
      <c r="H5836" s="59" t="s">
        <v>2</v>
      </c>
      <c r="I5836" s="59" t="s">
        <v>313</v>
      </c>
      <c r="J5836" s="63">
        <v>45918</v>
      </c>
      <c r="K5836" s="50" t="s">
        <v>1</v>
      </c>
      <c r="L5836" s="50" t="s">
        <v>80</v>
      </c>
    </row>
    <row r="5837" spans="2:12">
      <c r="B5837" s="50" t="s">
        <v>394</v>
      </c>
      <c r="C5837" s="50" t="s">
        <v>51</v>
      </c>
      <c r="D5837" s="50" t="s">
        <v>27</v>
      </c>
      <c r="E5837" s="50">
        <v>50030486</v>
      </c>
      <c r="F5837" s="50" t="s">
        <v>153</v>
      </c>
      <c r="G5837" s="50">
        <v>1</v>
      </c>
      <c r="H5837" s="50" t="s">
        <v>2</v>
      </c>
      <c r="I5837" s="50" t="s">
        <v>291</v>
      </c>
      <c r="J5837" s="51">
        <v>45918</v>
      </c>
      <c r="K5837" s="50" t="s">
        <v>3</v>
      </c>
      <c r="L5837" s="50" t="s">
        <v>80</v>
      </c>
    </row>
    <row r="5838" spans="2:12">
      <c r="B5838" s="50" t="s">
        <v>394</v>
      </c>
      <c r="C5838" s="50" t="s">
        <v>51</v>
      </c>
      <c r="D5838" s="50" t="s">
        <v>27</v>
      </c>
      <c r="E5838" s="50">
        <v>50030486</v>
      </c>
      <c r="F5838" s="50" t="s">
        <v>153</v>
      </c>
      <c r="G5838" s="50">
        <v>1</v>
      </c>
      <c r="H5838" s="50" t="s">
        <v>2</v>
      </c>
      <c r="I5838" s="50" t="s">
        <v>291</v>
      </c>
      <c r="J5838" s="51">
        <v>45918</v>
      </c>
      <c r="K5838" s="50" t="s">
        <v>1</v>
      </c>
      <c r="L5838" s="50" t="s">
        <v>80</v>
      </c>
    </row>
    <row r="5839" spans="2:12">
      <c r="B5839" s="50" t="s">
        <v>280</v>
      </c>
      <c r="C5839" s="50" t="s">
        <v>62</v>
      </c>
      <c r="D5839" s="50" t="s">
        <v>27</v>
      </c>
      <c r="E5839" s="50">
        <v>50039236</v>
      </c>
      <c r="F5839" s="50" t="s">
        <v>154</v>
      </c>
      <c r="G5839" s="50">
        <v>1</v>
      </c>
      <c r="H5839" s="50" t="s">
        <v>2</v>
      </c>
      <c r="I5839" s="50" t="s">
        <v>292</v>
      </c>
      <c r="J5839" s="51">
        <v>45918</v>
      </c>
      <c r="K5839" s="50" t="s">
        <v>3</v>
      </c>
      <c r="L5839" s="50" t="s">
        <v>80</v>
      </c>
    </row>
    <row r="5840" spans="2:12">
      <c r="B5840" s="50" t="s">
        <v>280</v>
      </c>
      <c r="C5840" s="50" t="s">
        <v>62</v>
      </c>
      <c r="D5840" s="50" t="s">
        <v>27</v>
      </c>
      <c r="E5840" s="50">
        <v>50039236</v>
      </c>
      <c r="F5840" s="50" t="s">
        <v>154</v>
      </c>
      <c r="G5840" s="50">
        <v>1</v>
      </c>
      <c r="H5840" s="50" t="s">
        <v>2</v>
      </c>
      <c r="I5840" s="50" t="s">
        <v>291</v>
      </c>
      <c r="J5840" s="51">
        <v>45918</v>
      </c>
      <c r="K5840" s="50" t="s">
        <v>1</v>
      </c>
      <c r="L5840" s="50" t="s">
        <v>80</v>
      </c>
    </row>
    <row r="5841" spans="2:12">
      <c r="B5841" s="50" t="s">
        <v>469</v>
      </c>
      <c r="C5841" s="50" t="s">
        <v>26</v>
      </c>
      <c r="D5841" s="50" t="s">
        <v>39</v>
      </c>
      <c r="E5841" s="50">
        <v>50003296</v>
      </c>
      <c r="F5841" s="50" t="s">
        <v>157</v>
      </c>
      <c r="G5841" s="50">
        <v>1</v>
      </c>
      <c r="H5841" s="50" t="s">
        <v>4</v>
      </c>
      <c r="I5841" s="50" t="s">
        <v>289</v>
      </c>
      <c r="J5841" s="51">
        <v>45918</v>
      </c>
      <c r="K5841" s="50" t="s">
        <v>3</v>
      </c>
      <c r="L5841" s="50" t="s">
        <v>80</v>
      </c>
    </row>
    <row r="5842" spans="2:12">
      <c r="B5842" s="50" t="s">
        <v>469</v>
      </c>
      <c r="C5842" s="50" t="s">
        <v>26</v>
      </c>
      <c r="D5842" s="50" t="s">
        <v>39</v>
      </c>
      <c r="E5842" s="50">
        <v>50003296</v>
      </c>
      <c r="F5842" s="50" t="s">
        <v>157</v>
      </c>
      <c r="G5842" s="50">
        <v>1</v>
      </c>
      <c r="H5842" s="50" t="s">
        <v>2</v>
      </c>
      <c r="I5842" s="50" t="s">
        <v>289</v>
      </c>
      <c r="J5842" s="51">
        <v>45918</v>
      </c>
      <c r="K5842" s="50" t="s">
        <v>1</v>
      </c>
      <c r="L5842" s="50" t="s">
        <v>80</v>
      </c>
    </row>
    <row r="5843" spans="2:12">
      <c r="B5843" s="50" t="s">
        <v>406</v>
      </c>
      <c r="C5843" s="50" t="s">
        <v>26</v>
      </c>
      <c r="D5843" s="50" t="s">
        <v>39</v>
      </c>
      <c r="E5843" s="50">
        <v>50003297</v>
      </c>
      <c r="F5843" s="50" t="s">
        <v>158</v>
      </c>
      <c r="G5843" s="50">
        <v>1</v>
      </c>
      <c r="H5843" s="50" t="s">
        <v>2</v>
      </c>
      <c r="I5843" s="50" t="s">
        <v>291</v>
      </c>
      <c r="J5843" s="51">
        <v>45918</v>
      </c>
      <c r="K5843" s="50" t="s">
        <v>3</v>
      </c>
      <c r="L5843" s="50" t="s">
        <v>80</v>
      </c>
    </row>
    <row r="5844" spans="2:12">
      <c r="B5844" s="50" t="s">
        <v>406</v>
      </c>
      <c r="C5844" s="50" t="s">
        <v>26</v>
      </c>
      <c r="D5844" s="50" t="s">
        <v>39</v>
      </c>
      <c r="E5844" s="50">
        <v>50003297</v>
      </c>
      <c r="F5844" s="50" t="s">
        <v>158</v>
      </c>
      <c r="G5844" s="50">
        <v>1</v>
      </c>
      <c r="H5844" s="50" t="s">
        <v>2</v>
      </c>
      <c r="I5844" s="50" t="s">
        <v>291</v>
      </c>
      <c r="J5844" s="51">
        <v>45918</v>
      </c>
      <c r="K5844" s="50" t="s">
        <v>3</v>
      </c>
      <c r="L5844" s="50" t="s">
        <v>80</v>
      </c>
    </row>
    <row r="5845" spans="2:12">
      <c r="B5845" s="50" t="s">
        <v>454</v>
      </c>
      <c r="C5845" s="50" t="s">
        <v>51</v>
      </c>
      <c r="D5845" s="50" t="s">
        <v>39</v>
      </c>
      <c r="E5845" s="50">
        <v>50037902</v>
      </c>
      <c r="F5845" s="50" t="s">
        <v>179</v>
      </c>
      <c r="G5845" s="50">
        <v>1</v>
      </c>
      <c r="H5845" s="50" t="s">
        <v>2</v>
      </c>
      <c r="I5845" s="50" t="s">
        <v>289</v>
      </c>
      <c r="J5845" s="51">
        <v>45918</v>
      </c>
      <c r="K5845" s="50" t="s">
        <v>1</v>
      </c>
      <c r="L5845" s="50" t="s">
        <v>80</v>
      </c>
    </row>
    <row r="5846" spans="2:12">
      <c r="B5846" s="50" t="s">
        <v>454</v>
      </c>
      <c r="C5846" s="50" t="s">
        <v>51</v>
      </c>
      <c r="D5846" s="50" t="s">
        <v>39</v>
      </c>
      <c r="E5846" s="50">
        <v>50037902</v>
      </c>
      <c r="F5846" s="50" t="s">
        <v>179</v>
      </c>
      <c r="G5846" s="50">
        <v>1</v>
      </c>
      <c r="H5846" s="50" t="s">
        <v>2</v>
      </c>
      <c r="I5846" s="50" t="s">
        <v>292</v>
      </c>
      <c r="J5846" s="51">
        <v>45918</v>
      </c>
      <c r="K5846" s="50" t="s">
        <v>3</v>
      </c>
      <c r="L5846" s="50" t="s">
        <v>80</v>
      </c>
    </row>
    <row r="5847" spans="2:12">
      <c r="B5847" s="50" t="s">
        <v>394</v>
      </c>
      <c r="C5847" s="50" t="s">
        <v>51</v>
      </c>
      <c r="D5847" s="50" t="s">
        <v>27</v>
      </c>
      <c r="E5847" s="50">
        <v>50038841</v>
      </c>
      <c r="F5847" s="50" t="s">
        <v>180</v>
      </c>
      <c r="G5847" s="50">
        <v>1</v>
      </c>
      <c r="H5847" s="50" t="s">
        <v>2</v>
      </c>
      <c r="I5847" s="50" t="s">
        <v>291</v>
      </c>
      <c r="J5847" s="51">
        <v>45918</v>
      </c>
      <c r="K5847" s="50" t="s">
        <v>1</v>
      </c>
      <c r="L5847" s="50" t="s">
        <v>80</v>
      </c>
    </row>
    <row r="5848" spans="2:12">
      <c r="B5848" s="50" t="s">
        <v>394</v>
      </c>
      <c r="C5848" s="50" t="s">
        <v>51</v>
      </c>
      <c r="D5848" s="50" t="s">
        <v>27</v>
      </c>
      <c r="E5848" s="50">
        <v>50038841</v>
      </c>
      <c r="F5848" s="50" t="s">
        <v>180</v>
      </c>
      <c r="G5848" s="50">
        <v>1</v>
      </c>
      <c r="H5848" s="50" t="s">
        <v>2</v>
      </c>
      <c r="I5848" s="50" t="s">
        <v>291</v>
      </c>
      <c r="J5848" s="51">
        <v>45918</v>
      </c>
      <c r="K5848" s="50" t="s">
        <v>3</v>
      </c>
      <c r="L5848" s="50" t="s">
        <v>80</v>
      </c>
    </row>
    <row r="5849" spans="2:12">
      <c r="B5849" s="50" t="s">
        <v>399</v>
      </c>
      <c r="C5849" s="50" t="s">
        <v>51</v>
      </c>
      <c r="D5849" s="50" t="s">
        <v>27</v>
      </c>
      <c r="E5849" s="50">
        <v>50038841</v>
      </c>
      <c r="F5849" s="50" t="s">
        <v>180</v>
      </c>
      <c r="G5849" s="50">
        <v>1</v>
      </c>
      <c r="H5849" s="50" t="s">
        <v>2</v>
      </c>
      <c r="I5849" s="50" t="s">
        <v>291</v>
      </c>
      <c r="J5849" s="51">
        <v>45918</v>
      </c>
      <c r="K5849" s="50" t="s">
        <v>1</v>
      </c>
      <c r="L5849" s="50" t="s">
        <v>80</v>
      </c>
    </row>
    <row r="5850" spans="2:12">
      <c r="B5850" s="50" t="s">
        <v>399</v>
      </c>
      <c r="C5850" s="50" t="s">
        <v>51</v>
      </c>
      <c r="D5850" s="50" t="s">
        <v>27</v>
      </c>
      <c r="E5850" s="50">
        <v>50038841</v>
      </c>
      <c r="F5850" s="50" t="s">
        <v>180</v>
      </c>
      <c r="G5850" s="50">
        <v>1</v>
      </c>
      <c r="H5850" s="50" t="s">
        <v>2</v>
      </c>
      <c r="I5850" s="50" t="s">
        <v>291</v>
      </c>
      <c r="J5850" s="51">
        <v>45918</v>
      </c>
      <c r="K5850" s="50" t="s">
        <v>3</v>
      </c>
      <c r="L5850" s="50" t="s">
        <v>80</v>
      </c>
    </row>
    <row r="5851" spans="2:12">
      <c r="B5851" s="50" t="s">
        <v>406</v>
      </c>
      <c r="C5851" s="50" t="s">
        <v>26</v>
      </c>
      <c r="D5851" s="50" t="s">
        <v>39</v>
      </c>
      <c r="E5851" s="50">
        <v>50038517</v>
      </c>
      <c r="F5851" s="50" t="s">
        <v>181</v>
      </c>
      <c r="G5851" s="50">
        <v>1</v>
      </c>
      <c r="H5851" s="50" t="s">
        <v>2</v>
      </c>
      <c r="I5851" s="50" t="s">
        <v>291</v>
      </c>
      <c r="J5851" s="51">
        <v>45918</v>
      </c>
      <c r="K5851" s="59" t="s">
        <v>1</v>
      </c>
      <c r="L5851" s="50" t="s">
        <v>80</v>
      </c>
    </row>
    <row r="5852" spans="2:12">
      <c r="B5852" s="50" t="s">
        <v>406</v>
      </c>
      <c r="C5852" s="50" t="s">
        <v>26</v>
      </c>
      <c r="D5852" s="50" t="s">
        <v>39</v>
      </c>
      <c r="E5852" s="50">
        <v>50038517</v>
      </c>
      <c r="F5852" s="50" t="s">
        <v>181</v>
      </c>
      <c r="G5852" s="50">
        <v>1</v>
      </c>
      <c r="H5852" s="50" t="s">
        <v>2</v>
      </c>
      <c r="I5852" s="50" t="s">
        <v>291</v>
      </c>
      <c r="J5852" s="51">
        <v>45918</v>
      </c>
      <c r="K5852" s="50" t="s">
        <v>1</v>
      </c>
      <c r="L5852" s="50" t="s">
        <v>80</v>
      </c>
    </row>
    <row r="5853" spans="2:12">
      <c r="B5853" s="50" t="s">
        <v>401</v>
      </c>
      <c r="C5853" s="50" t="str">
        <f>IFERROR(VLOOKUP(#REF!,'BD COLABORADORES'!A:E,7,FALSE),"")</f>
        <v/>
      </c>
      <c r="D5853" s="50" t="str">
        <f>IFERROR(VLOOKUP(#REF!,'BD COLABORADORES'!A:E,2,FALSE),"")</f>
        <v/>
      </c>
      <c r="E5853" s="50">
        <v>50001995</v>
      </c>
      <c r="F5853" s="50" t="str">
        <f>IFERROR(VLOOKUP(E5853,'BD MOVIMENTAÇÃO'!A:G,3,FALSE),"Não encontrado")</f>
        <v>MAQUINA DE SOLDA</v>
      </c>
      <c r="G5853" s="58">
        <v>1</v>
      </c>
      <c r="H5853" s="59" t="s">
        <v>2</v>
      </c>
      <c r="I5853" s="59" t="s">
        <v>313</v>
      </c>
      <c r="J5853" s="63">
        <v>45918</v>
      </c>
      <c r="K5853" s="50" t="s">
        <v>1</v>
      </c>
      <c r="L5853" s="50" t="s">
        <v>80</v>
      </c>
    </row>
    <row r="5854" spans="2:12">
      <c r="B5854" s="50" t="s">
        <v>278</v>
      </c>
      <c r="C5854" s="50" t="s">
        <v>62</v>
      </c>
      <c r="D5854" s="50" t="s">
        <v>27</v>
      </c>
      <c r="E5854" s="50">
        <v>50038662</v>
      </c>
      <c r="F5854" s="50" t="s">
        <v>193</v>
      </c>
      <c r="G5854" s="50">
        <v>1</v>
      </c>
      <c r="H5854" s="50" t="s">
        <v>2</v>
      </c>
      <c r="I5854" s="50" t="s">
        <v>291</v>
      </c>
      <c r="J5854" s="51">
        <v>45918</v>
      </c>
      <c r="K5854" s="50" t="s">
        <v>3</v>
      </c>
      <c r="L5854" s="50" t="s">
        <v>80</v>
      </c>
    </row>
    <row r="5855" spans="2:12">
      <c r="B5855" s="50" t="s">
        <v>454</v>
      </c>
      <c r="C5855" s="50" t="s">
        <v>51</v>
      </c>
      <c r="D5855" s="50" t="s">
        <v>39</v>
      </c>
      <c r="E5855" s="50">
        <v>50041195</v>
      </c>
      <c r="F5855" s="50" t="s">
        <v>206</v>
      </c>
      <c r="G5855" s="50">
        <v>1</v>
      </c>
      <c r="H5855" s="50" t="s">
        <v>2</v>
      </c>
      <c r="I5855" s="50" t="s">
        <v>289</v>
      </c>
      <c r="J5855" s="51">
        <v>45918</v>
      </c>
      <c r="K5855" s="50" t="s">
        <v>1</v>
      </c>
      <c r="L5855" s="50" t="s">
        <v>80</v>
      </c>
    </row>
    <row r="5856" spans="2:12">
      <c r="B5856" s="50" t="s">
        <v>454</v>
      </c>
      <c r="C5856" s="50" t="s">
        <v>51</v>
      </c>
      <c r="D5856" s="50" t="s">
        <v>39</v>
      </c>
      <c r="E5856" s="50">
        <v>50041195</v>
      </c>
      <c r="F5856" s="50" t="s">
        <v>206</v>
      </c>
      <c r="G5856" s="50">
        <v>1</v>
      </c>
      <c r="H5856" s="50" t="s">
        <v>2</v>
      </c>
      <c r="I5856" s="50" t="s">
        <v>289</v>
      </c>
      <c r="J5856" s="51">
        <v>45918</v>
      </c>
      <c r="K5856" s="50" t="s">
        <v>3</v>
      </c>
      <c r="L5856" s="50" t="s">
        <v>80</v>
      </c>
    </row>
    <row r="5857" spans="2:12">
      <c r="B5857" s="50" t="s">
        <v>406</v>
      </c>
      <c r="C5857" s="50" t="s">
        <v>26</v>
      </c>
      <c r="D5857" s="50" t="s">
        <v>39</v>
      </c>
      <c r="E5857" s="50">
        <v>50043917</v>
      </c>
      <c r="F5857" s="50" t="s">
        <v>262</v>
      </c>
      <c r="G5857" s="50">
        <v>1</v>
      </c>
      <c r="H5857" s="50" t="s">
        <v>2</v>
      </c>
      <c r="I5857" s="50" t="s">
        <v>291</v>
      </c>
      <c r="J5857" s="51">
        <v>45918</v>
      </c>
      <c r="K5857" s="50" t="s">
        <v>1</v>
      </c>
      <c r="L5857" s="50" t="s">
        <v>80</v>
      </c>
    </row>
    <row r="5858" spans="2:12">
      <c r="B5858" s="50" t="s">
        <v>406</v>
      </c>
      <c r="C5858" s="50" t="s">
        <v>26</v>
      </c>
      <c r="D5858" s="50" t="s">
        <v>39</v>
      </c>
      <c r="E5858" s="50">
        <v>50043917</v>
      </c>
      <c r="F5858" s="50" t="s">
        <v>262</v>
      </c>
      <c r="G5858" s="50">
        <v>1</v>
      </c>
      <c r="H5858" s="50" t="s">
        <v>2</v>
      </c>
      <c r="I5858" s="50" t="s">
        <v>291</v>
      </c>
      <c r="J5858" s="51">
        <v>45918</v>
      </c>
      <c r="K5858" s="50" t="s">
        <v>1</v>
      </c>
      <c r="L5858" s="50" t="s">
        <v>80</v>
      </c>
    </row>
    <row r="5859" spans="2:12">
      <c r="B5859" s="50" t="s">
        <v>280</v>
      </c>
      <c r="C5859" s="50" t="s">
        <v>62</v>
      </c>
      <c r="D5859" s="50" t="s">
        <v>27</v>
      </c>
      <c r="E5859" s="50">
        <v>50020622</v>
      </c>
      <c r="F5859" s="50" t="s">
        <v>217</v>
      </c>
      <c r="G5859" s="50">
        <v>1</v>
      </c>
      <c r="H5859" s="50" t="s">
        <v>2</v>
      </c>
      <c r="I5859" s="50" t="s">
        <v>292</v>
      </c>
      <c r="J5859" s="51">
        <v>45918</v>
      </c>
      <c r="K5859" s="50" t="s">
        <v>3</v>
      </c>
      <c r="L5859" s="50" t="s">
        <v>80</v>
      </c>
    </row>
    <row r="5860" spans="2:12">
      <c r="B5860" s="50" t="s">
        <v>280</v>
      </c>
      <c r="C5860" s="50" t="s">
        <v>62</v>
      </c>
      <c r="D5860" s="50" t="s">
        <v>27</v>
      </c>
      <c r="E5860" s="50">
        <v>50020622</v>
      </c>
      <c r="F5860" s="50" t="s">
        <v>217</v>
      </c>
      <c r="G5860" s="50">
        <v>1</v>
      </c>
      <c r="H5860" s="50" t="s">
        <v>2</v>
      </c>
      <c r="I5860" s="50" t="s">
        <v>291</v>
      </c>
      <c r="J5860" s="51">
        <v>45918</v>
      </c>
      <c r="K5860" s="50" t="s">
        <v>1</v>
      </c>
      <c r="L5860" s="50" t="s">
        <v>80</v>
      </c>
    </row>
    <row r="5861" spans="2:12">
      <c r="B5861" s="50" t="s">
        <v>25</v>
      </c>
      <c r="C5861" s="50" t="s">
        <v>26</v>
      </c>
      <c r="D5861" s="50" t="s">
        <v>27</v>
      </c>
      <c r="E5861" s="50">
        <v>50032775</v>
      </c>
      <c r="F5861" s="50" t="s">
        <v>307</v>
      </c>
      <c r="G5861" s="50">
        <v>1</v>
      </c>
      <c r="H5861" s="50" t="s">
        <v>2</v>
      </c>
      <c r="I5861" s="50" t="s">
        <v>292</v>
      </c>
      <c r="J5861" s="51">
        <v>45918</v>
      </c>
      <c r="K5861" s="50" t="s">
        <v>3</v>
      </c>
      <c r="L5861" s="50" t="s">
        <v>80</v>
      </c>
    </row>
    <row r="5862" spans="2:12">
      <c r="B5862" s="50" t="s">
        <v>25</v>
      </c>
      <c r="C5862" s="50" t="s">
        <v>26</v>
      </c>
      <c r="D5862" s="50" t="s">
        <v>27</v>
      </c>
      <c r="E5862" s="50">
        <v>50032775</v>
      </c>
      <c r="F5862" s="50" t="s">
        <v>307</v>
      </c>
      <c r="G5862" s="50">
        <v>1</v>
      </c>
      <c r="H5862" s="50" t="s">
        <v>2</v>
      </c>
      <c r="I5862" s="50" t="s">
        <v>292</v>
      </c>
      <c r="J5862" s="51">
        <v>45918</v>
      </c>
      <c r="K5862" s="50" t="s">
        <v>1</v>
      </c>
      <c r="L5862" s="50" t="s">
        <v>80</v>
      </c>
    </row>
    <row r="5863" spans="2:12">
      <c r="B5863" s="50" t="s">
        <v>483</v>
      </c>
      <c r="C5863" s="50" t="s">
        <v>62</v>
      </c>
      <c r="D5863" s="50" t="s">
        <v>27</v>
      </c>
      <c r="E5863" s="50">
        <v>50028220</v>
      </c>
      <c r="F5863" s="50" t="s">
        <v>242</v>
      </c>
      <c r="G5863" s="50">
        <v>1</v>
      </c>
      <c r="H5863" s="50" t="s">
        <v>2</v>
      </c>
      <c r="I5863" s="50" t="s">
        <v>292</v>
      </c>
      <c r="J5863" s="51">
        <v>45918</v>
      </c>
      <c r="K5863" s="50" t="s">
        <v>3</v>
      </c>
      <c r="L5863" s="50" t="s">
        <v>80</v>
      </c>
    </row>
    <row r="5864" spans="2:12">
      <c r="B5864" s="50" t="s">
        <v>483</v>
      </c>
      <c r="C5864" s="50" t="s">
        <v>62</v>
      </c>
      <c r="D5864" s="50" t="s">
        <v>27</v>
      </c>
      <c r="E5864" s="50">
        <v>50028220</v>
      </c>
      <c r="F5864" s="50" t="s">
        <v>242</v>
      </c>
      <c r="G5864" s="50">
        <v>1</v>
      </c>
      <c r="H5864" s="50" t="s">
        <v>2</v>
      </c>
      <c r="I5864" s="50" t="s">
        <v>292</v>
      </c>
      <c r="J5864" s="51">
        <v>45918</v>
      </c>
      <c r="K5864" s="50" t="s">
        <v>1</v>
      </c>
      <c r="L5864" s="50" t="s">
        <v>80</v>
      </c>
    </row>
    <row r="5865" spans="2:12">
      <c r="B5865" s="50" t="s">
        <v>450</v>
      </c>
      <c r="C5865" s="50" t="s">
        <v>61</v>
      </c>
      <c r="D5865" s="50" t="s">
        <v>39</v>
      </c>
      <c r="E5865" s="50">
        <v>50028220</v>
      </c>
      <c r="F5865" s="50" t="s">
        <v>242</v>
      </c>
      <c r="G5865" s="50">
        <v>1</v>
      </c>
      <c r="H5865" s="50" t="s">
        <v>2</v>
      </c>
      <c r="I5865" s="50" t="s">
        <v>291</v>
      </c>
      <c r="J5865" s="51">
        <v>45918</v>
      </c>
      <c r="K5865" s="50" t="s">
        <v>3</v>
      </c>
      <c r="L5865" s="50" t="s">
        <v>80</v>
      </c>
    </row>
    <row r="5866" spans="2:12">
      <c r="B5866" s="50" t="s">
        <v>450</v>
      </c>
      <c r="C5866" s="50" t="s">
        <v>61</v>
      </c>
      <c r="D5866" s="50" t="s">
        <v>39</v>
      </c>
      <c r="E5866" s="50">
        <v>50028220</v>
      </c>
      <c r="F5866" s="50" t="s">
        <v>242</v>
      </c>
      <c r="G5866" s="50">
        <v>1</v>
      </c>
      <c r="H5866" s="50" t="s">
        <v>2</v>
      </c>
      <c r="I5866" s="50" t="s">
        <v>291</v>
      </c>
      <c r="J5866" s="51">
        <v>45918</v>
      </c>
      <c r="K5866" s="59" t="s">
        <v>1</v>
      </c>
      <c r="L5866" s="50" t="s">
        <v>80</v>
      </c>
    </row>
    <row r="5867" spans="2:12">
      <c r="B5867" s="50" t="s">
        <v>278</v>
      </c>
      <c r="C5867" s="50" t="s">
        <v>62</v>
      </c>
      <c r="D5867" s="50" t="s">
        <v>27</v>
      </c>
      <c r="E5867" s="50">
        <v>50041194</v>
      </c>
      <c r="F5867" s="50" t="s">
        <v>249</v>
      </c>
      <c r="G5867" s="50">
        <v>1</v>
      </c>
      <c r="H5867" s="50" t="s">
        <v>2</v>
      </c>
      <c r="I5867" s="50" t="s">
        <v>291</v>
      </c>
      <c r="J5867" s="51">
        <v>45918</v>
      </c>
      <c r="K5867" s="50" t="s">
        <v>3</v>
      </c>
      <c r="L5867" s="50" t="s">
        <v>80</v>
      </c>
    </row>
    <row r="5868" spans="2:12">
      <c r="B5868" s="50" t="s">
        <v>402</v>
      </c>
      <c r="C5868" s="50" t="str">
        <f>IFERROR(VLOOKUP(#REF!,'BD COLABORADORES'!A:E,7,FALSE),"")</f>
        <v/>
      </c>
      <c r="D5868" s="50" t="str">
        <f>IFERROR(VLOOKUP(#REF!,'BD COLABORADORES'!A:E,2,FALSE),"")</f>
        <v/>
      </c>
      <c r="E5868" s="50">
        <v>50039718</v>
      </c>
      <c r="F5868" s="50" t="str">
        <f>IFERROR(VLOOKUP(E5868,'BD MOVIMENTAÇÃO'!A:G,3,FALSE),"Não encontrado")</f>
        <v>ESCALA DE ACO 1000MM VONDER </v>
      </c>
      <c r="G5868" s="58">
        <v>1</v>
      </c>
      <c r="H5868" s="59" t="s">
        <v>2</v>
      </c>
      <c r="I5868" s="59" t="s">
        <v>313</v>
      </c>
      <c r="J5868" s="63">
        <v>45917</v>
      </c>
      <c r="K5868" s="50" t="s">
        <v>1</v>
      </c>
      <c r="L5868" s="50" t="s">
        <v>80</v>
      </c>
    </row>
    <row r="5869" spans="2:12">
      <c r="B5869" s="50" t="s">
        <v>444</v>
      </c>
      <c r="C5869" s="50" t="s">
        <v>51</v>
      </c>
      <c r="D5869" s="50" t="s">
        <v>27</v>
      </c>
      <c r="E5869" s="50">
        <v>50030486</v>
      </c>
      <c r="F5869" s="50" t="s">
        <v>153</v>
      </c>
      <c r="G5869" s="50">
        <v>1</v>
      </c>
      <c r="H5869" s="50" t="s">
        <v>2</v>
      </c>
      <c r="I5869" s="50" t="s">
        <v>293</v>
      </c>
      <c r="J5869" s="51">
        <v>45917</v>
      </c>
      <c r="K5869" s="50" t="s">
        <v>3</v>
      </c>
      <c r="L5869" s="50" t="s">
        <v>80</v>
      </c>
    </row>
    <row r="5870" spans="2:12">
      <c r="B5870" s="50" t="s">
        <v>444</v>
      </c>
      <c r="C5870" s="50" t="s">
        <v>51</v>
      </c>
      <c r="D5870" s="50" t="s">
        <v>27</v>
      </c>
      <c r="E5870" s="50">
        <v>50030486</v>
      </c>
      <c r="F5870" s="50" t="s">
        <v>153</v>
      </c>
      <c r="G5870" s="50">
        <v>1</v>
      </c>
      <c r="H5870" s="50" t="s">
        <v>2</v>
      </c>
      <c r="I5870" s="50" t="s">
        <v>292</v>
      </c>
      <c r="J5870" s="51">
        <v>45917</v>
      </c>
      <c r="K5870" s="50" t="s">
        <v>1</v>
      </c>
      <c r="L5870" s="50" t="s">
        <v>80</v>
      </c>
    </row>
    <row r="5871" spans="2:12">
      <c r="B5871" s="50" t="s">
        <v>444</v>
      </c>
      <c r="C5871" s="50" t="s">
        <v>51</v>
      </c>
      <c r="D5871" s="50" t="s">
        <v>27</v>
      </c>
      <c r="E5871" s="50">
        <v>50039236</v>
      </c>
      <c r="F5871" s="50" t="s">
        <v>154</v>
      </c>
      <c r="G5871" s="50">
        <v>1</v>
      </c>
      <c r="H5871" s="50" t="s">
        <v>2</v>
      </c>
      <c r="I5871" s="50" t="s">
        <v>291</v>
      </c>
      <c r="J5871" s="51">
        <v>45917</v>
      </c>
      <c r="K5871" s="50" t="s">
        <v>3</v>
      </c>
      <c r="L5871" s="50" t="s">
        <v>80</v>
      </c>
    </row>
    <row r="5872" spans="2:12">
      <c r="B5872" s="50" t="s">
        <v>444</v>
      </c>
      <c r="C5872" s="50" t="s">
        <v>51</v>
      </c>
      <c r="D5872" s="50" t="s">
        <v>27</v>
      </c>
      <c r="E5872" s="50">
        <v>50039236</v>
      </c>
      <c r="F5872" s="50" t="s">
        <v>154</v>
      </c>
      <c r="G5872" s="50">
        <v>1</v>
      </c>
      <c r="H5872" s="50" t="s">
        <v>2</v>
      </c>
      <c r="I5872" s="50" t="s">
        <v>291</v>
      </c>
      <c r="J5872" s="51">
        <v>45917</v>
      </c>
      <c r="K5872" s="50" t="s">
        <v>1</v>
      </c>
      <c r="L5872" s="50" t="s">
        <v>80</v>
      </c>
    </row>
    <row r="5873" spans="2:12">
      <c r="B5873" s="50" t="s">
        <v>427</v>
      </c>
      <c r="C5873" s="50" t="s">
        <v>26</v>
      </c>
      <c r="D5873" s="50" t="s">
        <v>27</v>
      </c>
      <c r="E5873" s="50">
        <v>50043471</v>
      </c>
      <c r="F5873" s="50" t="s">
        <v>257</v>
      </c>
      <c r="G5873" s="50">
        <v>1</v>
      </c>
      <c r="H5873" s="50" t="s">
        <v>2</v>
      </c>
      <c r="I5873" s="50" t="s">
        <v>292</v>
      </c>
      <c r="J5873" s="51">
        <v>45917</v>
      </c>
      <c r="K5873" s="50" t="s">
        <v>3</v>
      </c>
      <c r="L5873" s="50" t="s">
        <v>80</v>
      </c>
    </row>
    <row r="5874" spans="2:12">
      <c r="B5874" s="50" t="s">
        <v>427</v>
      </c>
      <c r="C5874" s="50" t="s">
        <v>26</v>
      </c>
      <c r="D5874" s="50" t="s">
        <v>27</v>
      </c>
      <c r="E5874" s="50">
        <v>50043471</v>
      </c>
      <c r="F5874" s="50" t="s">
        <v>257</v>
      </c>
      <c r="G5874" s="50">
        <v>1</v>
      </c>
      <c r="H5874" s="50" t="s">
        <v>2</v>
      </c>
      <c r="I5874" s="50" t="s">
        <v>291</v>
      </c>
      <c r="J5874" s="51">
        <v>45917</v>
      </c>
      <c r="K5874" s="50" t="s">
        <v>1</v>
      </c>
      <c r="L5874" s="50" t="s">
        <v>80</v>
      </c>
    </row>
    <row r="5875" spans="2:12">
      <c r="B5875" s="50" t="s">
        <v>444</v>
      </c>
      <c r="C5875" s="50" t="s">
        <v>51</v>
      </c>
      <c r="D5875" s="50" t="s">
        <v>27</v>
      </c>
      <c r="E5875" s="50">
        <v>50003296</v>
      </c>
      <c r="F5875" s="50" t="s">
        <v>157</v>
      </c>
      <c r="G5875" s="50">
        <v>1</v>
      </c>
      <c r="H5875" s="50" t="s">
        <v>2</v>
      </c>
      <c r="I5875" s="50" t="s">
        <v>293</v>
      </c>
      <c r="J5875" s="51">
        <v>45917</v>
      </c>
      <c r="K5875" s="50" t="s">
        <v>3</v>
      </c>
      <c r="L5875" s="50" t="s">
        <v>80</v>
      </c>
    </row>
    <row r="5876" spans="2:12">
      <c r="B5876" s="50" t="s">
        <v>444</v>
      </c>
      <c r="C5876" s="50" t="s">
        <v>51</v>
      </c>
      <c r="D5876" s="50" t="s">
        <v>27</v>
      </c>
      <c r="E5876" s="50">
        <v>50003296</v>
      </c>
      <c r="F5876" s="50" t="s">
        <v>157</v>
      </c>
      <c r="G5876" s="50">
        <v>1</v>
      </c>
      <c r="H5876" s="50" t="s">
        <v>2</v>
      </c>
      <c r="I5876" s="50" t="s">
        <v>293</v>
      </c>
      <c r="J5876" s="51">
        <v>45917</v>
      </c>
      <c r="K5876" s="50" t="s">
        <v>1</v>
      </c>
      <c r="L5876" s="50" t="s">
        <v>80</v>
      </c>
    </row>
    <row r="5877" spans="2:12">
      <c r="B5877" s="50" t="s">
        <v>427</v>
      </c>
      <c r="C5877" s="50" t="s">
        <v>26</v>
      </c>
      <c r="D5877" s="50" t="s">
        <v>27</v>
      </c>
      <c r="E5877" s="50">
        <v>50038549</v>
      </c>
      <c r="F5877" s="50" t="s">
        <v>173</v>
      </c>
      <c r="G5877" s="50">
        <v>1</v>
      </c>
      <c r="H5877" s="50" t="s">
        <v>2</v>
      </c>
      <c r="I5877" s="50" t="s">
        <v>293</v>
      </c>
      <c r="J5877" s="51">
        <v>45917</v>
      </c>
      <c r="K5877" s="50" t="s">
        <v>3</v>
      </c>
      <c r="L5877" s="50" t="s">
        <v>80</v>
      </c>
    </row>
    <row r="5878" spans="2:12">
      <c r="B5878" s="50" t="s">
        <v>427</v>
      </c>
      <c r="C5878" s="50" t="s">
        <v>26</v>
      </c>
      <c r="D5878" s="50" t="s">
        <v>27</v>
      </c>
      <c r="E5878" s="50">
        <v>50038549</v>
      </c>
      <c r="F5878" s="50" t="s">
        <v>173</v>
      </c>
      <c r="G5878" s="50">
        <v>1</v>
      </c>
      <c r="H5878" s="50" t="s">
        <v>2</v>
      </c>
      <c r="I5878" s="50" t="s">
        <v>291</v>
      </c>
      <c r="J5878" s="51">
        <v>45917</v>
      </c>
      <c r="K5878" s="50" t="s">
        <v>1</v>
      </c>
      <c r="L5878" s="50" t="s">
        <v>80</v>
      </c>
    </row>
    <row r="5879" spans="2:12">
      <c r="B5879" s="50" t="s">
        <v>381</v>
      </c>
      <c r="C5879" s="50" t="s">
        <v>56</v>
      </c>
      <c r="D5879" s="50" t="s">
        <v>36</v>
      </c>
      <c r="E5879" s="50">
        <v>50038549</v>
      </c>
      <c r="F5879" s="50" t="s">
        <v>173</v>
      </c>
      <c r="G5879" s="50">
        <v>1</v>
      </c>
      <c r="H5879" s="50" t="s">
        <v>2</v>
      </c>
      <c r="I5879" s="50" t="s">
        <v>291</v>
      </c>
      <c r="J5879" s="51">
        <v>45917</v>
      </c>
      <c r="K5879" s="50" t="s">
        <v>3</v>
      </c>
      <c r="L5879" s="50" t="s">
        <v>80</v>
      </c>
    </row>
    <row r="5880" spans="2:12">
      <c r="B5880" s="50" t="s">
        <v>381</v>
      </c>
      <c r="C5880" s="50" t="s">
        <v>56</v>
      </c>
      <c r="D5880" s="50" t="s">
        <v>36</v>
      </c>
      <c r="E5880" s="50">
        <v>50038549</v>
      </c>
      <c r="F5880" s="50" t="s">
        <v>173</v>
      </c>
      <c r="G5880" s="50">
        <v>1</v>
      </c>
      <c r="H5880" s="50" t="s">
        <v>2</v>
      </c>
      <c r="I5880" s="50" t="s">
        <v>291</v>
      </c>
      <c r="J5880" s="51">
        <v>45917</v>
      </c>
      <c r="K5880" s="50" t="s">
        <v>1</v>
      </c>
      <c r="L5880" s="50" t="s">
        <v>80</v>
      </c>
    </row>
    <row r="5881" spans="2:12">
      <c r="B5881" s="50" t="s">
        <v>481</v>
      </c>
      <c r="C5881" s="50" t="s">
        <v>26</v>
      </c>
      <c r="D5881" s="50" t="s">
        <v>27</v>
      </c>
      <c r="E5881" s="50">
        <v>50022878</v>
      </c>
      <c r="F5881" s="50" t="s">
        <v>296</v>
      </c>
      <c r="G5881" s="50">
        <v>1</v>
      </c>
      <c r="H5881" s="50" t="s">
        <v>2</v>
      </c>
      <c r="I5881" s="50" t="s">
        <v>291</v>
      </c>
      <c r="J5881" s="51">
        <v>45917</v>
      </c>
      <c r="K5881" s="50" t="s">
        <v>3</v>
      </c>
      <c r="L5881" s="50" t="s">
        <v>80</v>
      </c>
    </row>
    <row r="5882" spans="2:12">
      <c r="B5882" s="50" t="s">
        <v>481</v>
      </c>
      <c r="C5882" s="50" t="s">
        <v>26</v>
      </c>
      <c r="D5882" s="50" t="s">
        <v>27</v>
      </c>
      <c r="E5882" s="50">
        <v>50022878</v>
      </c>
      <c r="F5882" s="50" t="s">
        <v>296</v>
      </c>
      <c r="G5882" s="50">
        <v>1</v>
      </c>
      <c r="H5882" s="50" t="s">
        <v>2</v>
      </c>
      <c r="I5882" s="50" t="s">
        <v>291</v>
      </c>
      <c r="J5882" s="51">
        <v>45917</v>
      </c>
      <c r="K5882" s="50" t="s">
        <v>3</v>
      </c>
      <c r="L5882" s="50" t="s">
        <v>80</v>
      </c>
    </row>
    <row r="5883" spans="2:12">
      <c r="B5883" s="50" t="s">
        <v>415</v>
      </c>
      <c r="C5883" s="50" t="s">
        <v>51</v>
      </c>
      <c r="D5883" s="50" t="s">
        <v>27</v>
      </c>
      <c r="E5883" s="50">
        <v>50037902</v>
      </c>
      <c r="F5883" s="50" t="s">
        <v>179</v>
      </c>
      <c r="G5883" s="50">
        <v>1</v>
      </c>
      <c r="H5883" s="50" t="s">
        <v>2</v>
      </c>
      <c r="I5883" s="50" t="s">
        <v>292</v>
      </c>
      <c r="J5883" s="51">
        <v>45917</v>
      </c>
      <c r="K5883" s="50" t="s">
        <v>1</v>
      </c>
      <c r="L5883" s="50" t="s">
        <v>80</v>
      </c>
    </row>
    <row r="5884" spans="2:12">
      <c r="B5884" s="50" t="s">
        <v>415</v>
      </c>
      <c r="C5884" s="50" t="s">
        <v>51</v>
      </c>
      <c r="D5884" s="50" t="s">
        <v>27</v>
      </c>
      <c r="E5884" s="50">
        <v>50037902</v>
      </c>
      <c r="F5884" s="50" t="s">
        <v>179</v>
      </c>
      <c r="G5884" s="50">
        <v>1</v>
      </c>
      <c r="H5884" s="50" t="s">
        <v>2</v>
      </c>
      <c r="I5884" s="50" t="s">
        <v>292</v>
      </c>
      <c r="J5884" s="51">
        <v>45917</v>
      </c>
      <c r="K5884" s="50" t="s">
        <v>1</v>
      </c>
      <c r="L5884" s="50" t="s">
        <v>80</v>
      </c>
    </row>
    <row r="5885" spans="2:12">
      <c r="B5885" s="50" t="s">
        <v>439</v>
      </c>
      <c r="C5885" s="50" t="s">
        <v>62</v>
      </c>
      <c r="D5885" s="50" t="s">
        <v>27</v>
      </c>
      <c r="E5885" s="50">
        <v>50037902</v>
      </c>
      <c r="F5885" s="50" t="s">
        <v>179</v>
      </c>
      <c r="G5885" s="50">
        <v>1</v>
      </c>
      <c r="H5885" s="50" t="s">
        <v>2</v>
      </c>
      <c r="I5885" s="50" t="s">
        <v>291</v>
      </c>
      <c r="J5885" s="51">
        <v>45917</v>
      </c>
      <c r="K5885" s="50" t="s">
        <v>3</v>
      </c>
      <c r="L5885" s="50" t="s">
        <v>80</v>
      </c>
    </row>
    <row r="5886" spans="2:12">
      <c r="B5886" s="50" t="s">
        <v>424</v>
      </c>
      <c r="C5886" s="50" t="s">
        <v>51</v>
      </c>
      <c r="D5886" s="50" t="s">
        <v>39</v>
      </c>
      <c r="E5886" s="50">
        <v>50038841</v>
      </c>
      <c r="F5886" s="50" t="s">
        <v>180</v>
      </c>
      <c r="G5886" s="50">
        <v>1</v>
      </c>
      <c r="H5886" s="50" t="s">
        <v>4</v>
      </c>
      <c r="I5886" s="50" t="s">
        <v>289</v>
      </c>
      <c r="J5886" s="51">
        <v>45917</v>
      </c>
      <c r="K5886" s="59" t="s">
        <v>3</v>
      </c>
      <c r="L5886" s="50" t="s">
        <v>80</v>
      </c>
    </row>
    <row r="5887" spans="2:12">
      <c r="B5887" s="50" t="s">
        <v>424</v>
      </c>
      <c r="C5887" s="50" t="s">
        <v>51</v>
      </c>
      <c r="D5887" s="50" t="s">
        <v>39</v>
      </c>
      <c r="E5887" s="50">
        <v>50038841</v>
      </c>
      <c r="F5887" s="50" t="s">
        <v>180</v>
      </c>
      <c r="G5887" s="50">
        <v>1</v>
      </c>
      <c r="H5887" s="50" t="s">
        <v>2</v>
      </c>
      <c r="I5887" s="50" t="s">
        <v>289</v>
      </c>
      <c r="J5887" s="51">
        <v>45917</v>
      </c>
      <c r="K5887" s="50" t="s">
        <v>3</v>
      </c>
      <c r="L5887" s="50" t="s">
        <v>80</v>
      </c>
    </row>
    <row r="5888" spans="2:12">
      <c r="B5888" s="50" t="s">
        <v>401</v>
      </c>
      <c r="C5888" s="50" t="str">
        <f>IFERROR(VLOOKUP(#REF!,'BD COLABORADORES'!A:E,7,FALSE),"")</f>
        <v/>
      </c>
      <c r="D5888" s="50" t="str">
        <f>IFERROR(VLOOKUP(#REF!,'BD COLABORADORES'!A:E,2,FALSE),"")</f>
        <v/>
      </c>
      <c r="E5888" s="50">
        <v>50001995</v>
      </c>
      <c r="F5888" s="50" t="str">
        <f>IFERROR(VLOOKUP(E5888,'BD MOVIMENTAÇÃO'!A:G,3,FALSE),"Não encontrado")</f>
        <v>MAQUINA DE SOLDA</v>
      </c>
      <c r="G5888" s="58">
        <v>1</v>
      </c>
      <c r="H5888" s="59" t="s">
        <v>2</v>
      </c>
      <c r="I5888" s="59" t="s">
        <v>313</v>
      </c>
      <c r="J5888" s="63">
        <v>45917</v>
      </c>
      <c r="K5888" s="50" t="s">
        <v>1</v>
      </c>
      <c r="L5888" s="50" t="s">
        <v>80</v>
      </c>
    </row>
    <row r="5889" spans="2:12">
      <c r="B5889" s="50" t="e">
        <v>#N/A</v>
      </c>
      <c r="C5889" s="50" t="s">
        <v>26</v>
      </c>
      <c r="D5889" s="50" t="s">
        <v>39</v>
      </c>
      <c r="E5889" s="50">
        <v>50038626</v>
      </c>
      <c r="F5889" s="50" t="s">
        <v>190</v>
      </c>
      <c r="G5889" s="50">
        <v>1</v>
      </c>
      <c r="H5889" s="50" t="s">
        <v>2</v>
      </c>
      <c r="I5889" s="50" t="s">
        <v>289</v>
      </c>
      <c r="J5889" s="51">
        <v>45917</v>
      </c>
      <c r="K5889" s="50" t="s">
        <v>3</v>
      </c>
      <c r="L5889" s="50" t="s">
        <v>80</v>
      </c>
    </row>
    <row r="5890" spans="2:12">
      <c r="B5890" s="50" t="e">
        <v>#N/A</v>
      </c>
      <c r="C5890" s="50" t="s">
        <v>26</v>
      </c>
      <c r="D5890" s="50" t="s">
        <v>39</v>
      </c>
      <c r="E5890" s="50">
        <v>50038626</v>
      </c>
      <c r="F5890" s="50" t="s">
        <v>190</v>
      </c>
      <c r="G5890" s="50">
        <v>1</v>
      </c>
      <c r="H5890" s="50" t="s">
        <v>2</v>
      </c>
      <c r="I5890" s="50" t="s">
        <v>289</v>
      </c>
      <c r="J5890" s="51">
        <v>45917</v>
      </c>
      <c r="K5890" s="50" t="s">
        <v>1</v>
      </c>
      <c r="L5890" s="50" t="s">
        <v>80</v>
      </c>
    </row>
    <row r="5891" spans="2:12">
      <c r="B5891" s="50" t="s">
        <v>277</v>
      </c>
      <c r="C5891" s="50" t="s">
        <v>62</v>
      </c>
      <c r="D5891" s="50" t="s">
        <v>27</v>
      </c>
      <c r="E5891" s="50">
        <v>50026357</v>
      </c>
      <c r="F5891" s="50" t="s">
        <v>192</v>
      </c>
      <c r="G5891" s="50">
        <v>1</v>
      </c>
      <c r="H5891" s="50" t="s">
        <v>2</v>
      </c>
      <c r="I5891" s="50" t="s">
        <v>293</v>
      </c>
      <c r="J5891" s="51">
        <v>45917</v>
      </c>
      <c r="K5891" s="50" t="s">
        <v>3</v>
      </c>
      <c r="L5891" s="50" t="s">
        <v>80</v>
      </c>
    </row>
    <row r="5892" spans="2:12">
      <c r="B5892" s="50" t="s">
        <v>277</v>
      </c>
      <c r="C5892" s="50" t="s">
        <v>62</v>
      </c>
      <c r="D5892" s="50" t="s">
        <v>27</v>
      </c>
      <c r="E5892" s="50">
        <v>50026357</v>
      </c>
      <c r="F5892" s="50" t="s">
        <v>192</v>
      </c>
      <c r="G5892" s="50">
        <v>1</v>
      </c>
      <c r="H5892" s="50" t="s">
        <v>2</v>
      </c>
      <c r="I5892" s="50" t="s">
        <v>291</v>
      </c>
      <c r="J5892" s="51">
        <v>45917</v>
      </c>
      <c r="K5892" s="50" t="s">
        <v>3</v>
      </c>
      <c r="L5892" s="50" t="s">
        <v>80</v>
      </c>
    </row>
    <row r="5893" spans="2:12">
      <c r="B5893" s="50" t="s">
        <v>278</v>
      </c>
      <c r="C5893" s="50" t="s">
        <v>62</v>
      </c>
      <c r="D5893" s="50" t="s">
        <v>27</v>
      </c>
      <c r="E5893" s="50">
        <v>50038662</v>
      </c>
      <c r="F5893" s="50" t="s">
        <v>193</v>
      </c>
      <c r="G5893" s="50">
        <v>1</v>
      </c>
      <c r="H5893" s="50" t="s">
        <v>2</v>
      </c>
      <c r="I5893" s="50" t="s">
        <v>291</v>
      </c>
      <c r="J5893" s="51">
        <v>45917</v>
      </c>
      <c r="K5893" s="50" t="s">
        <v>1</v>
      </c>
      <c r="L5893" s="50" t="s">
        <v>80</v>
      </c>
    </row>
    <row r="5894" spans="2:12">
      <c r="B5894" s="50" t="s">
        <v>400</v>
      </c>
      <c r="C5894" s="50" t="s">
        <v>51</v>
      </c>
      <c r="D5894" s="50" t="s">
        <v>39</v>
      </c>
      <c r="E5894" s="50">
        <v>50043917</v>
      </c>
      <c r="F5894" s="50" t="s">
        <v>262</v>
      </c>
      <c r="G5894" s="50">
        <v>1</v>
      </c>
      <c r="H5894" s="50" t="s">
        <v>2</v>
      </c>
      <c r="I5894" s="50" t="s">
        <v>289</v>
      </c>
      <c r="J5894" s="51">
        <v>45917</v>
      </c>
      <c r="K5894" s="50" t="s">
        <v>1</v>
      </c>
      <c r="L5894" s="50" t="s">
        <v>80</v>
      </c>
    </row>
    <row r="5895" spans="2:12">
      <c r="B5895" s="50" t="s">
        <v>400</v>
      </c>
      <c r="C5895" s="50" t="s">
        <v>51</v>
      </c>
      <c r="D5895" s="50" t="s">
        <v>39</v>
      </c>
      <c r="E5895" s="50">
        <v>50043917</v>
      </c>
      <c r="F5895" s="50" t="s">
        <v>262</v>
      </c>
      <c r="G5895" s="50">
        <v>1</v>
      </c>
      <c r="H5895" s="50" t="s">
        <v>2</v>
      </c>
      <c r="I5895" s="50" t="s">
        <v>289</v>
      </c>
      <c r="J5895" s="51">
        <v>45917</v>
      </c>
      <c r="K5895" s="50" t="s">
        <v>3</v>
      </c>
      <c r="L5895" s="50" t="s">
        <v>80</v>
      </c>
    </row>
    <row r="5896" spans="2:12">
      <c r="B5896" s="50" t="s">
        <v>277</v>
      </c>
      <c r="C5896" s="50" t="s">
        <v>62</v>
      </c>
      <c r="D5896" s="50" t="s">
        <v>27</v>
      </c>
      <c r="E5896" s="50">
        <v>50043917</v>
      </c>
      <c r="F5896" s="50" t="s">
        <v>262</v>
      </c>
      <c r="G5896" s="50">
        <v>1</v>
      </c>
      <c r="H5896" s="50" t="s">
        <v>2</v>
      </c>
      <c r="I5896" s="50" t="s">
        <v>293</v>
      </c>
      <c r="J5896" s="51">
        <v>45917</v>
      </c>
      <c r="K5896" s="50" t="s">
        <v>1</v>
      </c>
      <c r="L5896" s="50" t="s">
        <v>80</v>
      </c>
    </row>
    <row r="5897" spans="2:12">
      <c r="B5897" s="50" t="s">
        <v>277</v>
      </c>
      <c r="C5897" s="50" t="s">
        <v>62</v>
      </c>
      <c r="D5897" s="50" t="s">
        <v>27</v>
      </c>
      <c r="E5897" s="50">
        <v>50043917</v>
      </c>
      <c r="F5897" s="50" t="s">
        <v>262</v>
      </c>
      <c r="G5897" s="50">
        <v>1</v>
      </c>
      <c r="H5897" s="50" t="s">
        <v>2</v>
      </c>
      <c r="I5897" s="50" t="s">
        <v>292</v>
      </c>
      <c r="J5897" s="51">
        <v>45917</v>
      </c>
      <c r="K5897" s="50" t="s">
        <v>1</v>
      </c>
      <c r="L5897" s="50" t="s">
        <v>80</v>
      </c>
    </row>
    <row r="5898" spans="2:12">
      <c r="B5898" s="50" t="s">
        <v>444</v>
      </c>
      <c r="C5898" s="50" t="s">
        <v>51</v>
      </c>
      <c r="D5898" s="50" t="s">
        <v>27</v>
      </c>
      <c r="E5898" s="50">
        <v>50012902</v>
      </c>
      <c r="F5898" s="50" t="s">
        <v>225</v>
      </c>
      <c r="G5898" s="50">
        <v>1</v>
      </c>
      <c r="H5898" s="50" t="s">
        <v>2</v>
      </c>
      <c r="I5898" s="50" t="s">
        <v>293</v>
      </c>
      <c r="J5898" s="51">
        <v>45917</v>
      </c>
      <c r="K5898" s="50" t="s">
        <v>3</v>
      </c>
      <c r="L5898" s="50" t="s">
        <v>80</v>
      </c>
    </row>
    <row r="5899" spans="2:12">
      <c r="B5899" s="50" t="s">
        <v>444</v>
      </c>
      <c r="C5899" s="50" t="s">
        <v>51</v>
      </c>
      <c r="D5899" s="50" t="s">
        <v>27</v>
      </c>
      <c r="E5899" s="50">
        <v>50012902</v>
      </c>
      <c r="F5899" s="50" t="s">
        <v>225</v>
      </c>
      <c r="G5899" s="50">
        <v>1</v>
      </c>
      <c r="H5899" s="50" t="s">
        <v>2</v>
      </c>
      <c r="I5899" s="50" t="s">
        <v>291</v>
      </c>
      <c r="J5899" s="51">
        <v>45917</v>
      </c>
      <c r="K5899" s="50" t="s">
        <v>1</v>
      </c>
      <c r="L5899" s="50" t="s">
        <v>80</v>
      </c>
    </row>
    <row r="5900" spans="2:12">
      <c r="B5900" s="50" t="s">
        <v>483</v>
      </c>
      <c r="C5900" s="50" t="s">
        <v>62</v>
      </c>
      <c r="D5900" s="50" t="s">
        <v>27</v>
      </c>
      <c r="E5900" s="50">
        <v>50038840</v>
      </c>
      <c r="F5900" s="50" t="s">
        <v>235</v>
      </c>
      <c r="G5900" s="50">
        <v>1</v>
      </c>
      <c r="H5900" s="50" t="s">
        <v>2</v>
      </c>
      <c r="I5900" s="50" t="s">
        <v>293</v>
      </c>
      <c r="J5900" s="51">
        <v>45917</v>
      </c>
      <c r="K5900" s="50" t="s">
        <v>3</v>
      </c>
      <c r="L5900" s="50" t="s">
        <v>80</v>
      </c>
    </row>
    <row r="5901" spans="2:12">
      <c r="B5901" s="50" t="s">
        <v>483</v>
      </c>
      <c r="C5901" s="50" t="s">
        <v>62</v>
      </c>
      <c r="D5901" s="50" t="s">
        <v>27</v>
      </c>
      <c r="E5901" s="50">
        <v>50038840</v>
      </c>
      <c r="F5901" s="50" t="s">
        <v>235</v>
      </c>
      <c r="G5901" s="50">
        <v>1</v>
      </c>
      <c r="H5901" s="50" t="s">
        <v>2</v>
      </c>
      <c r="I5901" s="50" t="s">
        <v>291</v>
      </c>
      <c r="J5901" s="51">
        <v>45917</v>
      </c>
      <c r="K5901" s="50" t="s">
        <v>3</v>
      </c>
      <c r="L5901" s="50" t="s">
        <v>80</v>
      </c>
    </row>
    <row r="5902" spans="2:12">
      <c r="B5902" s="50" t="s">
        <v>278</v>
      </c>
      <c r="C5902" s="50" t="s">
        <v>62</v>
      </c>
      <c r="D5902" s="50" t="s">
        <v>27</v>
      </c>
      <c r="E5902" s="50">
        <v>50041194</v>
      </c>
      <c r="F5902" s="50" t="s">
        <v>249</v>
      </c>
      <c r="G5902" s="50">
        <v>1</v>
      </c>
      <c r="H5902" s="50" t="s">
        <v>2</v>
      </c>
      <c r="I5902" s="50" t="s">
        <v>291</v>
      </c>
      <c r="J5902" s="51">
        <v>45917</v>
      </c>
      <c r="K5902" s="50" t="s">
        <v>1</v>
      </c>
      <c r="L5902" s="50" t="s">
        <v>80</v>
      </c>
    </row>
    <row r="5903" spans="2:12">
      <c r="B5903" s="50" t="s">
        <v>439</v>
      </c>
      <c r="C5903" s="50" t="s">
        <v>62</v>
      </c>
      <c r="D5903" s="50" t="s">
        <v>27</v>
      </c>
      <c r="E5903" s="50">
        <v>50036086</v>
      </c>
      <c r="F5903" s="50" t="s">
        <v>28</v>
      </c>
      <c r="G5903" s="50">
        <v>1</v>
      </c>
      <c r="H5903" s="50" t="s">
        <v>2</v>
      </c>
      <c r="I5903" s="50" t="s">
        <v>292</v>
      </c>
      <c r="J5903" s="51">
        <v>45916</v>
      </c>
      <c r="K5903" s="59" t="s">
        <v>3</v>
      </c>
      <c r="L5903" s="50" t="s">
        <v>80</v>
      </c>
    </row>
    <row r="5904" spans="2:12">
      <c r="B5904" s="50" t="s">
        <v>439</v>
      </c>
      <c r="C5904" s="50" t="s">
        <v>62</v>
      </c>
      <c r="D5904" s="50" t="s">
        <v>27</v>
      </c>
      <c r="E5904" s="50">
        <v>50036086</v>
      </c>
      <c r="F5904" s="50" t="s">
        <v>28</v>
      </c>
      <c r="G5904" s="50">
        <v>1</v>
      </c>
      <c r="H5904" s="50" t="s">
        <v>2</v>
      </c>
      <c r="I5904" s="50" t="s">
        <v>288</v>
      </c>
      <c r="J5904" s="51">
        <v>45916</v>
      </c>
      <c r="K5904" s="59" t="s">
        <v>1</v>
      </c>
      <c r="L5904" s="50" t="s">
        <v>80</v>
      </c>
    </row>
    <row r="5905" spans="2:12">
      <c r="B5905" s="50" t="s">
        <v>439</v>
      </c>
      <c r="C5905" s="50" t="str">
        <f>IFERROR(VLOOKUP(#REF!,'BD COLABORADORES'!A:E,7,FALSE),"")</f>
        <v/>
      </c>
      <c r="D5905" s="50" t="str">
        <f>IFERROR(VLOOKUP(#REF!,'BD COLABORADORES'!A:E,2,FALSE),"")</f>
        <v/>
      </c>
      <c r="E5905" s="50">
        <v>50036086</v>
      </c>
      <c r="F5905" s="50" t="str">
        <f>IFERROR(VLOOKUP(E5905,'BD MOVIMENTAÇÃO'!A:G,3,FALSE),"Não encontrado")</f>
        <v>CHAVE GRIFO 18</v>
      </c>
      <c r="G5905" s="58">
        <v>1</v>
      </c>
      <c r="H5905" s="59" t="s">
        <v>2</v>
      </c>
      <c r="I5905" s="59" t="s">
        <v>313</v>
      </c>
      <c r="J5905" s="63">
        <v>45916</v>
      </c>
      <c r="K5905" s="50" t="s">
        <v>3</v>
      </c>
      <c r="L5905" s="50" t="s">
        <v>80</v>
      </c>
    </row>
    <row r="5906" spans="2:12">
      <c r="B5906" s="50" t="s">
        <v>439</v>
      </c>
      <c r="C5906" s="50" t="str">
        <f>IFERROR(VLOOKUP(#REF!,'BD COLABORADORES'!A:E,7,FALSE),"")</f>
        <v/>
      </c>
      <c r="D5906" s="50" t="str">
        <f>IFERROR(VLOOKUP(#REF!,'BD COLABORADORES'!A:E,2,FALSE),"")</f>
        <v/>
      </c>
      <c r="E5906" s="50">
        <v>50036086</v>
      </c>
      <c r="F5906" s="50" t="str">
        <f>IFERROR(VLOOKUP(E5906,'BD MOVIMENTAÇÃO'!A:G,3,FALSE),"Não encontrado")</f>
        <v>CHAVE GRIFO 18</v>
      </c>
      <c r="G5906" s="58">
        <v>1</v>
      </c>
      <c r="H5906" s="59" t="s">
        <v>2</v>
      </c>
      <c r="I5906" s="59" t="s">
        <v>313</v>
      </c>
      <c r="J5906" s="63">
        <v>45916</v>
      </c>
      <c r="K5906" s="50" t="s">
        <v>1</v>
      </c>
      <c r="L5906" s="50" t="s">
        <v>80</v>
      </c>
    </row>
    <row r="5907" spans="2:12">
      <c r="B5907" s="50" t="s">
        <v>458</v>
      </c>
      <c r="C5907" s="50" t="s">
        <v>26</v>
      </c>
      <c r="D5907" s="50" t="s">
        <v>27</v>
      </c>
      <c r="E5907" s="50">
        <v>50036279</v>
      </c>
      <c r="F5907" s="50" t="s">
        <v>133</v>
      </c>
      <c r="G5907" s="50">
        <v>2</v>
      </c>
      <c r="H5907" s="50" t="s">
        <v>2</v>
      </c>
      <c r="I5907" s="50" t="s">
        <v>290</v>
      </c>
      <c r="J5907" s="51">
        <v>45916</v>
      </c>
      <c r="K5907" s="50" t="s">
        <v>3</v>
      </c>
      <c r="L5907" s="50" t="s">
        <v>80</v>
      </c>
    </row>
    <row r="5908" spans="2:12">
      <c r="B5908" s="50" t="s">
        <v>458</v>
      </c>
      <c r="C5908" s="50" t="s">
        <v>26</v>
      </c>
      <c r="D5908" s="50" t="s">
        <v>27</v>
      </c>
      <c r="E5908" s="50">
        <v>50036279</v>
      </c>
      <c r="F5908" s="50" t="s">
        <v>133</v>
      </c>
      <c r="G5908" s="50">
        <v>2</v>
      </c>
      <c r="H5908" s="50" t="s">
        <v>2</v>
      </c>
      <c r="I5908" s="50" t="s">
        <v>288</v>
      </c>
      <c r="J5908" s="51">
        <v>45916</v>
      </c>
      <c r="K5908" s="50" t="s">
        <v>1</v>
      </c>
      <c r="L5908" s="50" t="s">
        <v>80</v>
      </c>
    </row>
    <row r="5909" spans="2:12">
      <c r="B5909" s="50" t="e">
        <v>#N/A</v>
      </c>
      <c r="C5909" s="50" t="s">
        <v>26</v>
      </c>
      <c r="D5909" s="50" t="s">
        <v>39</v>
      </c>
      <c r="E5909" s="50">
        <v>50039718</v>
      </c>
      <c r="F5909" s="50" t="s">
        <v>149</v>
      </c>
      <c r="G5909" s="50">
        <v>1</v>
      </c>
      <c r="H5909" s="50" t="s">
        <v>2</v>
      </c>
      <c r="I5909" s="50" t="s">
        <v>289</v>
      </c>
      <c r="J5909" s="51">
        <v>45916</v>
      </c>
      <c r="K5909" s="59" t="s">
        <v>3</v>
      </c>
      <c r="L5909" s="50" t="s">
        <v>80</v>
      </c>
    </row>
    <row r="5910" spans="2:12">
      <c r="B5910" s="50" t="e">
        <v>#N/A</v>
      </c>
      <c r="C5910" s="50" t="s">
        <v>26</v>
      </c>
      <c r="D5910" s="50" t="s">
        <v>27</v>
      </c>
      <c r="E5910" s="50">
        <v>50039718</v>
      </c>
      <c r="F5910" s="50" t="s">
        <v>149</v>
      </c>
      <c r="G5910" s="50">
        <v>1</v>
      </c>
      <c r="H5910" s="50" t="s">
        <v>2</v>
      </c>
      <c r="I5910" s="50" t="s">
        <v>292</v>
      </c>
      <c r="J5910" s="51">
        <v>45916</v>
      </c>
      <c r="K5910" s="59" t="s">
        <v>1</v>
      </c>
      <c r="L5910" s="50" t="s">
        <v>80</v>
      </c>
    </row>
    <row r="5911" spans="2:12">
      <c r="B5911" s="50" t="e">
        <v>#N/A</v>
      </c>
      <c r="C5911" s="50" t="str">
        <f>IFERROR(VLOOKUP(#REF!,'BD COLABORADORES'!A:E,7,FALSE),"")</f>
        <v/>
      </c>
      <c r="D5911" s="50" t="str">
        <f>IFERROR(VLOOKUP(#REF!,'BD COLABORADORES'!A:E,2,FALSE),"")</f>
        <v/>
      </c>
      <c r="E5911" s="50">
        <v>50037905</v>
      </c>
      <c r="F5911" s="50" t="str">
        <f>IFERROR(VLOOKUP(E5911,'BD MOVIMENTAÇÃO'!A:G,3,FALSE),"Não encontrado")</f>
        <v>ESTETOSCÓPIO SKF</v>
      </c>
      <c r="G5911" s="58">
        <v>1</v>
      </c>
      <c r="H5911" s="59" t="s">
        <v>2</v>
      </c>
      <c r="I5911" s="59" t="s">
        <v>290</v>
      </c>
      <c r="J5911" s="63">
        <v>45916</v>
      </c>
      <c r="K5911" s="50" t="s">
        <v>3</v>
      </c>
      <c r="L5911" s="50" t="s">
        <v>80</v>
      </c>
    </row>
    <row r="5912" spans="2:12">
      <c r="B5912" s="50" t="e">
        <v>#N/A</v>
      </c>
      <c r="C5912" s="50" t="str">
        <f>IFERROR(VLOOKUP(#REF!,'BD COLABORADORES'!A:E,7,FALSE),"")</f>
        <v/>
      </c>
      <c r="D5912" s="50" t="str">
        <f>IFERROR(VLOOKUP(#REF!,'BD COLABORADORES'!A:E,2,FALSE),"")</f>
        <v/>
      </c>
      <c r="E5912" s="50">
        <v>50037905</v>
      </c>
      <c r="F5912" s="50" t="str">
        <f>IFERROR(VLOOKUP(E5912,'BD MOVIMENTAÇÃO'!A:G,3,FALSE),"Não encontrado")</f>
        <v>ESTETOSCÓPIO SKF</v>
      </c>
      <c r="G5912" s="58">
        <v>1</v>
      </c>
      <c r="H5912" s="59" t="s">
        <v>2</v>
      </c>
      <c r="I5912" s="59" t="s">
        <v>290</v>
      </c>
      <c r="J5912" s="63">
        <v>45916</v>
      </c>
      <c r="K5912" s="50" t="s">
        <v>1</v>
      </c>
      <c r="L5912" s="50" t="s">
        <v>80</v>
      </c>
    </row>
    <row r="5913" spans="2:12">
      <c r="B5913" s="50" t="s">
        <v>483</v>
      </c>
      <c r="C5913" s="50" t="s">
        <v>62</v>
      </c>
      <c r="D5913" s="50" t="s">
        <v>27</v>
      </c>
      <c r="E5913" s="50">
        <v>50030486</v>
      </c>
      <c r="F5913" s="50" t="s">
        <v>153</v>
      </c>
      <c r="G5913" s="50">
        <v>1</v>
      </c>
      <c r="H5913" s="50" t="s">
        <v>2</v>
      </c>
      <c r="I5913" s="50" t="s">
        <v>292</v>
      </c>
      <c r="J5913" s="51">
        <v>45916</v>
      </c>
      <c r="K5913" s="50" t="s">
        <v>3</v>
      </c>
      <c r="L5913" s="50" t="s">
        <v>80</v>
      </c>
    </row>
    <row r="5914" spans="2:12">
      <c r="B5914" s="50" t="s">
        <v>483</v>
      </c>
      <c r="C5914" s="50" t="s">
        <v>62</v>
      </c>
      <c r="D5914" s="50" t="s">
        <v>27</v>
      </c>
      <c r="E5914" s="50">
        <v>50030486</v>
      </c>
      <c r="F5914" s="50" t="s">
        <v>153</v>
      </c>
      <c r="G5914" s="50">
        <v>1</v>
      </c>
      <c r="H5914" s="50" t="s">
        <v>2</v>
      </c>
      <c r="I5914" s="50" t="s">
        <v>288</v>
      </c>
      <c r="J5914" s="51">
        <v>45916</v>
      </c>
      <c r="K5914" s="50" t="s">
        <v>1</v>
      </c>
      <c r="L5914" s="50" t="s">
        <v>80</v>
      </c>
    </row>
    <row r="5915" spans="2:12">
      <c r="B5915" s="50" t="s">
        <v>471</v>
      </c>
      <c r="C5915" s="50" t="s">
        <v>26</v>
      </c>
      <c r="D5915" s="50" t="s">
        <v>27</v>
      </c>
      <c r="E5915" s="50">
        <v>50039236</v>
      </c>
      <c r="F5915" s="50" t="s">
        <v>154</v>
      </c>
      <c r="G5915" s="50">
        <v>1</v>
      </c>
      <c r="H5915" s="50" t="s">
        <v>2</v>
      </c>
      <c r="I5915" s="50" t="s">
        <v>289</v>
      </c>
      <c r="J5915" s="51">
        <v>45916</v>
      </c>
      <c r="K5915" s="50" t="s">
        <v>3</v>
      </c>
      <c r="L5915" s="50" t="s">
        <v>80</v>
      </c>
    </row>
    <row r="5916" spans="2:12">
      <c r="B5916" s="50" t="s">
        <v>471</v>
      </c>
      <c r="C5916" s="50" t="s">
        <v>26</v>
      </c>
      <c r="D5916" s="50" t="s">
        <v>27</v>
      </c>
      <c r="E5916" s="50">
        <v>50039236</v>
      </c>
      <c r="F5916" s="50" t="s">
        <v>154</v>
      </c>
      <c r="G5916" s="50">
        <v>1</v>
      </c>
      <c r="H5916" s="50" t="s">
        <v>2</v>
      </c>
      <c r="I5916" s="50" t="s">
        <v>292</v>
      </c>
      <c r="J5916" s="51">
        <v>45916</v>
      </c>
      <c r="K5916" s="50" t="s">
        <v>1</v>
      </c>
      <c r="L5916" s="50" t="s">
        <v>80</v>
      </c>
    </row>
    <row r="5917" spans="2:12">
      <c r="B5917" s="50" t="s">
        <v>446</v>
      </c>
      <c r="C5917" s="50" t="s">
        <v>56</v>
      </c>
      <c r="D5917" s="50" t="s">
        <v>27</v>
      </c>
      <c r="E5917" s="50">
        <v>50043471</v>
      </c>
      <c r="F5917" s="50" t="s">
        <v>257</v>
      </c>
      <c r="G5917" s="50">
        <v>1</v>
      </c>
      <c r="H5917" s="50" t="s">
        <v>2</v>
      </c>
      <c r="I5917" s="50" t="s">
        <v>288</v>
      </c>
      <c r="J5917" s="51">
        <v>45916</v>
      </c>
      <c r="K5917" s="50" t="s">
        <v>3</v>
      </c>
      <c r="L5917" s="50" t="s">
        <v>80</v>
      </c>
    </row>
    <row r="5918" spans="2:12">
      <c r="B5918" s="50" t="s">
        <v>446</v>
      </c>
      <c r="C5918" s="50" t="s">
        <v>56</v>
      </c>
      <c r="D5918" s="50" t="s">
        <v>27</v>
      </c>
      <c r="E5918" s="50">
        <v>50043471</v>
      </c>
      <c r="F5918" s="50" t="s">
        <v>257</v>
      </c>
      <c r="G5918" s="50">
        <v>1</v>
      </c>
      <c r="H5918" s="50" t="s">
        <v>2</v>
      </c>
      <c r="I5918" s="50" t="s">
        <v>288</v>
      </c>
      <c r="J5918" s="51">
        <v>45916</v>
      </c>
      <c r="K5918" s="50" t="s">
        <v>1</v>
      </c>
      <c r="L5918" s="50" t="s">
        <v>80</v>
      </c>
    </row>
    <row r="5919" spans="2:12">
      <c r="B5919" s="50" t="s">
        <v>483</v>
      </c>
      <c r="C5919" s="50" t="s">
        <v>62</v>
      </c>
      <c r="D5919" s="50" t="s">
        <v>27</v>
      </c>
      <c r="E5919" s="50">
        <v>50029865</v>
      </c>
      <c r="F5919" s="50" t="s">
        <v>162</v>
      </c>
      <c r="G5919" s="50">
        <v>1</v>
      </c>
      <c r="H5919" s="50" t="s">
        <v>2</v>
      </c>
      <c r="I5919" s="50" t="s">
        <v>292</v>
      </c>
      <c r="J5919" s="51">
        <v>45916</v>
      </c>
      <c r="K5919" s="50" t="s">
        <v>3</v>
      </c>
      <c r="L5919" s="50" t="s">
        <v>80</v>
      </c>
    </row>
    <row r="5920" spans="2:12">
      <c r="B5920" s="50" t="s">
        <v>483</v>
      </c>
      <c r="C5920" s="50" t="s">
        <v>62</v>
      </c>
      <c r="D5920" s="50" t="s">
        <v>27</v>
      </c>
      <c r="E5920" s="50">
        <v>50029865</v>
      </c>
      <c r="F5920" s="50" t="s">
        <v>162</v>
      </c>
      <c r="G5920" s="50">
        <v>1</v>
      </c>
      <c r="H5920" s="50" t="s">
        <v>2</v>
      </c>
      <c r="I5920" s="50" t="s">
        <v>288</v>
      </c>
      <c r="J5920" s="51">
        <v>45916</v>
      </c>
      <c r="K5920" s="50" t="s">
        <v>1</v>
      </c>
      <c r="L5920" s="50" t="s">
        <v>80</v>
      </c>
    </row>
    <row r="5921" spans="2:12">
      <c r="B5921" s="50" t="e">
        <v>#N/A</v>
      </c>
      <c r="C5921" s="50" t="s">
        <v>26</v>
      </c>
      <c r="D5921" s="50" t="s">
        <v>39</v>
      </c>
      <c r="E5921" s="50">
        <v>50038549</v>
      </c>
      <c r="F5921" s="50" t="s">
        <v>173</v>
      </c>
      <c r="G5921" s="50">
        <v>1</v>
      </c>
      <c r="H5921" s="50" t="s">
        <v>2</v>
      </c>
      <c r="I5921" s="50" t="s">
        <v>289</v>
      </c>
      <c r="J5921" s="51">
        <v>45916</v>
      </c>
      <c r="K5921" s="59" t="s">
        <v>3</v>
      </c>
      <c r="L5921" s="50" t="s">
        <v>80</v>
      </c>
    </row>
    <row r="5922" spans="2:12">
      <c r="B5922" s="50" t="s">
        <v>427</v>
      </c>
      <c r="C5922" s="50" t="s">
        <v>26</v>
      </c>
      <c r="D5922" s="50" t="s">
        <v>27</v>
      </c>
      <c r="E5922" s="50">
        <v>50038549</v>
      </c>
      <c r="F5922" s="50" t="s">
        <v>173</v>
      </c>
      <c r="G5922" s="50">
        <v>1</v>
      </c>
      <c r="H5922" s="50" t="s">
        <v>2</v>
      </c>
      <c r="I5922" s="50" t="s">
        <v>288</v>
      </c>
      <c r="J5922" s="51">
        <v>45916</v>
      </c>
      <c r="K5922" s="59" t="s">
        <v>1</v>
      </c>
      <c r="L5922" s="50" t="s">
        <v>80</v>
      </c>
    </row>
    <row r="5923" spans="2:12">
      <c r="B5923" s="50" t="s">
        <v>401</v>
      </c>
      <c r="C5923" s="50" t="str">
        <f>IFERROR(VLOOKUP(#REF!,'BD COLABORADORES'!A:E,7,FALSE),"")</f>
        <v/>
      </c>
      <c r="D5923" s="50" t="str">
        <f>IFERROR(VLOOKUP(#REF!,'BD COLABORADORES'!A:E,2,FALSE),"")</f>
        <v/>
      </c>
      <c r="E5923" s="50">
        <v>50038549</v>
      </c>
      <c r="F5923" s="50" t="str">
        <f>IFERROR(VLOOKUP(E5923,'BD MOVIMENTAÇÃO'!A:G,3,FALSE),"Não encontrado")</f>
        <v>JOGO SOQUETE ESTRIADOS 1/2 22PEÇ</v>
      </c>
      <c r="G5923" s="58">
        <v>1</v>
      </c>
      <c r="H5923" s="59" t="s">
        <v>2</v>
      </c>
      <c r="I5923" s="59" t="s">
        <v>313</v>
      </c>
      <c r="J5923" s="63">
        <v>45916</v>
      </c>
      <c r="K5923" s="50" t="s">
        <v>3</v>
      </c>
      <c r="L5923" s="50" t="s">
        <v>80</v>
      </c>
    </row>
    <row r="5924" spans="2:12">
      <c r="B5924" s="50" t="s">
        <v>401</v>
      </c>
      <c r="C5924" s="50" t="str">
        <f>IFERROR(VLOOKUP(#REF!,'BD COLABORADORES'!A:E,7,FALSE),"")</f>
        <v/>
      </c>
      <c r="D5924" s="50" t="str">
        <f>IFERROR(VLOOKUP(#REF!,'BD COLABORADORES'!A:E,2,FALSE),"")</f>
        <v/>
      </c>
      <c r="E5924" s="50">
        <v>50038549</v>
      </c>
      <c r="F5924" s="50" t="str">
        <f>IFERROR(VLOOKUP(E5924,'BD MOVIMENTAÇÃO'!A:G,3,FALSE),"Não encontrado")</f>
        <v>JOGO SOQUETE ESTRIADOS 1/2 22PEÇ</v>
      </c>
      <c r="G5924" s="58">
        <v>1</v>
      </c>
      <c r="H5924" s="59" t="s">
        <v>2</v>
      </c>
      <c r="I5924" s="59" t="s">
        <v>313</v>
      </c>
      <c r="J5924" s="63">
        <v>45916</v>
      </c>
      <c r="K5924" s="50" t="s">
        <v>1</v>
      </c>
      <c r="L5924" s="50" t="s">
        <v>80</v>
      </c>
    </row>
    <row r="5925" spans="2:12">
      <c r="B5925" s="50" t="s">
        <v>439</v>
      </c>
      <c r="C5925" s="50" t="s">
        <v>62</v>
      </c>
      <c r="D5925" s="50" t="s">
        <v>27</v>
      </c>
      <c r="E5925" s="50">
        <v>50037902</v>
      </c>
      <c r="F5925" s="50" t="s">
        <v>179</v>
      </c>
      <c r="G5925" s="50">
        <v>1</v>
      </c>
      <c r="H5925" s="50" t="s">
        <v>2</v>
      </c>
      <c r="I5925" s="50" t="s">
        <v>288</v>
      </c>
      <c r="J5925" s="51">
        <v>45916</v>
      </c>
      <c r="K5925" s="50" t="s">
        <v>3</v>
      </c>
      <c r="L5925" s="50" t="s">
        <v>80</v>
      </c>
    </row>
    <row r="5926" spans="2:12">
      <c r="B5926" s="50" t="s">
        <v>409</v>
      </c>
      <c r="C5926" s="50" t="s">
        <v>51</v>
      </c>
      <c r="D5926" s="50" t="s">
        <v>27</v>
      </c>
      <c r="E5926" s="50">
        <v>50038841</v>
      </c>
      <c r="F5926" s="50" t="s">
        <v>180</v>
      </c>
      <c r="G5926" s="50">
        <v>1</v>
      </c>
      <c r="H5926" s="50" t="s">
        <v>2</v>
      </c>
      <c r="I5926" s="50" t="s">
        <v>290</v>
      </c>
      <c r="J5926" s="51">
        <v>45916</v>
      </c>
      <c r="K5926" s="59" t="s">
        <v>3</v>
      </c>
      <c r="L5926" s="50" t="s">
        <v>80</v>
      </c>
    </row>
    <row r="5927" spans="2:12">
      <c r="B5927" s="50" t="s">
        <v>409</v>
      </c>
      <c r="C5927" s="50" t="s">
        <v>51</v>
      </c>
      <c r="D5927" s="50" t="s">
        <v>27</v>
      </c>
      <c r="E5927" s="50">
        <v>50038841</v>
      </c>
      <c r="F5927" s="50" t="s">
        <v>180</v>
      </c>
      <c r="G5927" s="50">
        <v>1</v>
      </c>
      <c r="H5927" s="50" t="s">
        <v>2</v>
      </c>
      <c r="I5927" s="50" t="s">
        <v>288</v>
      </c>
      <c r="J5927" s="51">
        <v>45916</v>
      </c>
      <c r="K5927" s="59" t="s">
        <v>1</v>
      </c>
      <c r="L5927" s="50" t="s">
        <v>80</v>
      </c>
    </row>
    <row r="5928" spans="2:12">
      <c r="B5928" s="50" t="s">
        <v>439</v>
      </c>
      <c r="C5928" s="50" t="str">
        <f>IFERROR(VLOOKUP(#REF!,'BD COLABORADORES'!A:E,7,FALSE),"")</f>
        <v/>
      </c>
      <c r="D5928" s="50" t="str">
        <f>IFERROR(VLOOKUP(#REF!,'BD COLABORADORES'!A:E,2,FALSE),"")</f>
        <v/>
      </c>
      <c r="E5928" s="50">
        <v>50038517</v>
      </c>
      <c r="F5928" s="50" t="str">
        <f>IFERROR(VLOOKUP(E5928,'BD MOVIMENTAÇÃO'!A:G,3,FALSE),"Não encontrado")</f>
        <v>LIXADEIRA BOSCH 5</v>
      </c>
      <c r="G5928" s="58">
        <v>1</v>
      </c>
      <c r="H5928" s="59" t="s">
        <v>2</v>
      </c>
      <c r="I5928" s="59" t="s">
        <v>313</v>
      </c>
      <c r="J5928" s="63">
        <v>45916</v>
      </c>
      <c r="K5928" s="50" t="s">
        <v>1</v>
      </c>
      <c r="L5928" s="50" t="s">
        <v>80</v>
      </c>
    </row>
    <row r="5929" spans="2:12">
      <c r="B5929" s="50" t="s">
        <v>439</v>
      </c>
      <c r="C5929" s="50" t="str">
        <f>IFERROR(VLOOKUP(#REF!,'BD COLABORADORES'!A:E,7,FALSE),"")</f>
        <v/>
      </c>
      <c r="D5929" s="50" t="str">
        <f>IFERROR(VLOOKUP(#REF!,'BD COLABORADORES'!A:E,2,FALSE),"")</f>
        <v/>
      </c>
      <c r="E5929" s="50">
        <v>50038517</v>
      </c>
      <c r="F5929" s="50" t="str">
        <f>IFERROR(VLOOKUP(E5929,'BD MOVIMENTAÇÃO'!A:G,3,FALSE),"Não encontrado")</f>
        <v>LIXADEIRA BOSCH 5</v>
      </c>
      <c r="G5929" s="58">
        <v>1</v>
      </c>
      <c r="H5929" s="59" t="s">
        <v>2</v>
      </c>
      <c r="I5929" s="59" t="s">
        <v>313</v>
      </c>
      <c r="J5929" s="63">
        <v>45916</v>
      </c>
      <c r="K5929" s="50" t="s">
        <v>3</v>
      </c>
      <c r="L5929" s="50" t="s">
        <v>80</v>
      </c>
    </row>
    <row r="5930" spans="2:12">
      <c r="B5930" s="50" t="s">
        <v>483</v>
      </c>
      <c r="C5930" s="50" t="s">
        <v>62</v>
      </c>
      <c r="D5930" s="50" t="s">
        <v>27</v>
      </c>
      <c r="E5930" s="50">
        <v>50043917</v>
      </c>
      <c r="F5930" s="50" t="s">
        <v>262</v>
      </c>
      <c r="G5930" s="50">
        <v>1</v>
      </c>
      <c r="H5930" s="50" t="s">
        <v>2</v>
      </c>
      <c r="I5930" s="50" t="s">
        <v>292</v>
      </c>
      <c r="J5930" s="51">
        <v>45916</v>
      </c>
      <c r="K5930" s="59" t="s">
        <v>1</v>
      </c>
      <c r="L5930" s="50" t="s">
        <v>80</v>
      </c>
    </row>
    <row r="5931" spans="2:12">
      <c r="B5931" s="50" t="s">
        <v>483</v>
      </c>
      <c r="C5931" s="50" t="s">
        <v>62</v>
      </c>
      <c r="D5931" s="50" t="s">
        <v>27</v>
      </c>
      <c r="E5931" s="50">
        <v>50043917</v>
      </c>
      <c r="F5931" s="50" t="s">
        <v>262</v>
      </c>
      <c r="G5931" s="50">
        <v>1</v>
      </c>
      <c r="H5931" s="50" t="s">
        <v>2</v>
      </c>
      <c r="I5931" s="50" t="s">
        <v>288</v>
      </c>
      <c r="J5931" s="51">
        <v>45916</v>
      </c>
      <c r="K5931" s="59" t="s">
        <v>1</v>
      </c>
      <c r="L5931" s="50" t="s">
        <v>80</v>
      </c>
    </row>
    <row r="5932" spans="2:12">
      <c r="B5932" s="50" t="s">
        <v>439</v>
      </c>
      <c r="C5932" s="50" t="str">
        <f>IFERROR(VLOOKUP(#REF!,'BD COLABORADORES'!A:E,7,FALSE),"")</f>
        <v/>
      </c>
      <c r="D5932" s="50" t="str">
        <f>IFERROR(VLOOKUP(#REF!,'BD COLABORADORES'!A:E,2,FALSE),"")</f>
        <v/>
      </c>
      <c r="E5932" s="50">
        <v>50041089</v>
      </c>
      <c r="F5932" s="50" t="str">
        <f>IFERROR(VLOOKUP(E5932,'BD MOVIMENTAÇÃO'!A:G,3,FALSE),"Não encontrado")</f>
        <v xml:space="preserve">TORQUIMETRO GEDORE </v>
      </c>
      <c r="G5932" s="58">
        <v>1</v>
      </c>
      <c r="H5932" s="59" t="s">
        <v>2</v>
      </c>
      <c r="I5932" s="59" t="s">
        <v>313</v>
      </c>
      <c r="J5932" s="63">
        <v>45916</v>
      </c>
      <c r="K5932" s="50" t="s">
        <v>3</v>
      </c>
      <c r="L5932" s="50" t="s">
        <v>80</v>
      </c>
    </row>
    <row r="5933" spans="2:12">
      <c r="B5933" s="50" t="s">
        <v>439</v>
      </c>
      <c r="C5933" s="50" t="str">
        <f>IFERROR(VLOOKUP(#REF!,'BD COLABORADORES'!A:E,7,FALSE),"")</f>
        <v/>
      </c>
      <c r="D5933" s="50" t="str">
        <f>IFERROR(VLOOKUP(#REF!,'BD COLABORADORES'!A:E,2,FALSE),"")</f>
        <v/>
      </c>
      <c r="E5933" s="50">
        <v>50041089</v>
      </c>
      <c r="F5933" s="50" t="str">
        <f>IFERROR(VLOOKUP(E5933,'BD MOVIMENTAÇÃO'!A:G,3,FALSE),"Não encontrado")</f>
        <v xml:space="preserve">TORQUIMETRO GEDORE </v>
      </c>
      <c r="G5933" s="58">
        <v>1</v>
      </c>
      <c r="H5933" s="59" t="s">
        <v>2</v>
      </c>
      <c r="I5933" s="59" t="s">
        <v>313</v>
      </c>
      <c r="J5933" s="63">
        <v>45916</v>
      </c>
      <c r="K5933" s="50" t="s">
        <v>3</v>
      </c>
      <c r="L5933" s="50" t="s">
        <v>80</v>
      </c>
    </row>
    <row r="5934" spans="2:12">
      <c r="B5934" s="50" t="s">
        <v>399</v>
      </c>
      <c r="C5934" s="50" t="s">
        <v>51</v>
      </c>
      <c r="D5934" s="50" t="s">
        <v>27</v>
      </c>
      <c r="E5934" s="50">
        <v>50010031</v>
      </c>
      <c r="F5934" s="50" t="s">
        <v>89</v>
      </c>
      <c r="G5934" s="50">
        <v>1</v>
      </c>
      <c r="H5934" s="50" t="s">
        <v>2</v>
      </c>
      <c r="I5934" s="50" t="s">
        <v>289</v>
      </c>
      <c r="J5934" s="51">
        <v>45915</v>
      </c>
      <c r="K5934" s="50" t="s">
        <v>1</v>
      </c>
      <c r="L5934" s="50" t="s">
        <v>80</v>
      </c>
    </row>
    <row r="5935" spans="2:12">
      <c r="B5935" s="50" t="s">
        <v>399</v>
      </c>
      <c r="C5935" s="50" t="s">
        <v>51</v>
      </c>
      <c r="D5935" s="50" t="s">
        <v>27</v>
      </c>
      <c r="E5935" s="50">
        <v>50010031</v>
      </c>
      <c r="F5935" s="50" t="s">
        <v>89</v>
      </c>
      <c r="G5935" s="50">
        <v>1</v>
      </c>
      <c r="H5935" s="50" t="s">
        <v>2</v>
      </c>
      <c r="I5935" s="50" t="s">
        <v>293</v>
      </c>
      <c r="J5935" s="51">
        <v>45915</v>
      </c>
      <c r="K5935" s="50" t="s">
        <v>1</v>
      </c>
      <c r="L5935" s="50" t="s">
        <v>80</v>
      </c>
    </row>
    <row r="5936" spans="2:12">
      <c r="B5936" s="50" t="s">
        <v>403</v>
      </c>
      <c r="C5936" s="50" t="s">
        <v>281</v>
      </c>
      <c r="D5936" s="50" t="s">
        <v>27</v>
      </c>
      <c r="E5936" s="50">
        <v>50044003</v>
      </c>
      <c r="F5936" s="50" t="s">
        <v>263</v>
      </c>
      <c r="G5936" s="50">
        <v>1</v>
      </c>
      <c r="H5936" s="50" t="s">
        <v>2</v>
      </c>
      <c r="I5936" s="50" t="s">
        <v>293</v>
      </c>
      <c r="J5936" s="51">
        <v>45915</v>
      </c>
      <c r="K5936" s="50" t="s">
        <v>3</v>
      </c>
      <c r="L5936" s="50" t="s">
        <v>80</v>
      </c>
    </row>
    <row r="5937" spans="2:12">
      <c r="B5937" s="50" t="s">
        <v>403</v>
      </c>
      <c r="C5937" s="50" t="s">
        <v>281</v>
      </c>
      <c r="D5937" s="50" t="s">
        <v>27</v>
      </c>
      <c r="E5937" s="50">
        <v>50044003</v>
      </c>
      <c r="F5937" s="50" t="s">
        <v>263</v>
      </c>
      <c r="G5937" s="50">
        <v>1</v>
      </c>
      <c r="H5937" s="50" t="s">
        <v>2</v>
      </c>
      <c r="I5937" s="50" t="s">
        <v>291</v>
      </c>
      <c r="J5937" s="51">
        <v>45915</v>
      </c>
      <c r="K5937" s="50" t="s">
        <v>1</v>
      </c>
      <c r="L5937" s="50" t="s">
        <v>80</v>
      </c>
    </row>
    <row r="5938" spans="2:12">
      <c r="B5938" s="50" t="s">
        <v>458</v>
      </c>
      <c r="C5938" s="50" t="s">
        <v>26</v>
      </c>
      <c r="D5938" s="50" t="s">
        <v>27</v>
      </c>
      <c r="E5938" s="50">
        <v>50036296</v>
      </c>
      <c r="F5938" s="50" t="s">
        <v>109</v>
      </c>
      <c r="G5938" s="50">
        <v>1</v>
      </c>
      <c r="H5938" s="50" t="s">
        <v>2</v>
      </c>
      <c r="I5938" s="50" t="s">
        <v>289</v>
      </c>
      <c r="J5938" s="51">
        <v>45915</v>
      </c>
      <c r="K5938" s="50" t="s">
        <v>3</v>
      </c>
      <c r="L5938" s="50" t="s">
        <v>80</v>
      </c>
    </row>
    <row r="5939" spans="2:12">
      <c r="B5939" s="50" t="s">
        <v>427</v>
      </c>
      <c r="C5939" s="50" t="s">
        <v>26</v>
      </c>
      <c r="D5939" s="50" t="s">
        <v>27</v>
      </c>
      <c r="E5939" s="50">
        <v>50036296</v>
      </c>
      <c r="F5939" s="50" t="s">
        <v>109</v>
      </c>
      <c r="G5939" s="50">
        <v>1</v>
      </c>
      <c r="H5939" s="50" t="s">
        <v>2</v>
      </c>
      <c r="I5939" s="50" t="s">
        <v>291</v>
      </c>
      <c r="J5939" s="51">
        <v>45915</v>
      </c>
      <c r="K5939" s="50" t="s">
        <v>1</v>
      </c>
      <c r="L5939" s="50" t="s">
        <v>80</v>
      </c>
    </row>
    <row r="5940" spans="2:12">
      <c r="B5940" s="50" t="s">
        <v>469</v>
      </c>
      <c r="C5940" s="50" t="s">
        <v>26</v>
      </c>
      <c r="D5940" s="50" t="s">
        <v>39</v>
      </c>
      <c r="E5940" s="50">
        <v>50036086</v>
      </c>
      <c r="F5940" s="50" t="s">
        <v>28</v>
      </c>
      <c r="G5940" s="50">
        <v>1</v>
      </c>
      <c r="H5940" s="50" t="s">
        <v>2</v>
      </c>
      <c r="I5940" s="50" t="s">
        <v>289</v>
      </c>
      <c r="J5940" s="51">
        <v>45915</v>
      </c>
      <c r="K5940" s="50" t="s">
        <v>3</v>
      </c>
      <c r="L5940" s="50" t="s">
        <v>80</v>
      </c>
    </row>
    <row r="5941" spans="2:12">
      <c r="B5941" s="50" t="s">
        <v>469</v>
      </c>
      <c r="C5941" s="50" t="s">
        <v>26</v>
      </c>
      <c r="D5941" s="50" t="s">
        <v>39</v>
      </c>
      <c r="E5941" s="50">
        <v>50036086</v>
      </c>
      <c r="F5941" s="50" t="s">
        <v>28</v>
      </c>
      <c r="G5941" s="50">
        <v>1</v>
      </c>
      <c r="H5941" s="50" t="s">
        <v>2</v>
      </c>
      <c r="I5941" s="50" t="s">
        <v>293</v>
      </c>
      <c r="J5941" s="51">
        <v>45915</v>
      </c>
      <c r="K5941" s="50" t="s">
        <v>1</v>
      </c>
      <c r="L5941" s="50" t="s">
        <v>80</v>
      </c>
    </row>
    <row r="5942" spans="2:12">
      <c r="B5942" s="50" t="s">
        <v>439</v>
      </c>
      <c r="C5942" s="50" t="s">
        <v>62</v>
      </c>
      <c r="D5942" s="50" t="s">
        <v>27</v>
      </c>
      <c r="E5942" s="50">
        <v>50036086</v>
      </c>
      <c r="F5942" s="50" t="s">
        <v>28</v>
      </c>
      <c r="G5942" s="50">
        <v>1</v>
      </c>
      <c r="H5942" s="50" t="s">
        <v>2</v>
      </c>
      <c r="I5942" s="50" t="s">
        <v>293</v>
      </c>
      <c r="J5942" s="51">
        <v>45915</v>
      </c>
      <c r="K5942" s="50" t="s">
        <v>3</v>
      </c>
      <c r="L5942" s="50" t="s">
        <v>80</v>
      </c>
    </row>
    <row r="5943" spans="2:12">
      <c r="B5943" s="50" t="s">
        <v>439</v>
      </c>
      <c r="C5943" s="50" t="s">
        <v>62</v>
      </c>
      <c r="D5943" s="50" t="s">
        <v>27</v>
      </c>
      <c r="E5943" s="50">
        <v>50036086</v>
      </c>
      <c r="F5943" s="50" t="s">
        <v>28</v>
      </c>
      <c r="G5943" s="50">
        <v>1</v>
      </c>
      <c r="H5943" s="50" t="s">
        <v>2</v>
      </c>
      <c r="I5943" s="50" t="s">
        <v>293</v>
      </c>
      <c r="J5943" s="51">
        <v>45915</v>
      </c>
      <c r="K5943" s="50" t="s">
        <v>1</v>
      </c>
      <c r="L5943" s="50" t="s">
        <v>80</v>
      </c>
    </row>
    <row r="5944" spans="2:12">
      <c r="B5944" s="50" t="e">
        <v>#N/A</v>
      </c>
      <c r="C5944" s="50" t="s">
        <v>26</v>
      </c>
      <c r="D5944" s="50" t="s">
        <v>27</v>
      </c>
      <c r="E5944" s="50">
        <v>50037905</v>
      </c>
      <c r="F5944" s="50" t="s">
        <v>150</v>
      </c>
      <c r="G5944" s="50">
        <v>1</v>
      </c>
      <c r="H5944" s="50" t="s">
        <v>2</v>
      </c>
      <c r="I5944" s="50" t="s">
        <v>291</v>
      </c>
      <c r="J5944" s="51">
        <v>45915</v>
      </c>
      <c r="K5944" s="50" t="s">
        <v>3</v>
      </c>
      <c r="L5944" s="50" t="s">
        <v>80</v>
      </c>
    </row>
    <row r="5945" spans="2:12">
      <c r="B5945" s="50" t="e">
        <v>#N/A</v>
      </c>
      <c r="C5945" s="50" t="s">
        <v>26</v>
      </c>
      <c r="D5945" s="50" t="s">
        <v>27</v>
      </c>
      <c r="E5945" s="50">
        <v>50037905</v>
      </c>
      <c r="F5945" s="50" t="s">
        <v>150</v>
      </c>
      <c r="G5945" s="50">
        <v>1</v>
      </c>
      <c r="H5945" s="50" t="s">
        <v>2</v>
      </c>
      <c r="I5945" s="50" t="s">
        <v>291</v>
      </c>
      <c r="J5945" s="51">
        <v>45915</v>
      </c>
      <c r="K5945" s="50" t="s">
        <v>1</v>
      </c>
      <c r="L5945" s="50" t="s">
        <v>80</v>
      </c>
    </row>
    <row r="5946" spans="2:12">
      <c r="B5946" s="50" t="s">
        <v>422</v>
      </c>
      <c r="C5946" s="50" t="s">
        <v>26</v>
      </c>
      <c r="D5946" s="50" t="s">
        <v>27</v>
      </c>
      <c r="E5946" s="50">
        <v>50043471</v>
      </c>
      <c r="F5946" s="50" t="s">
        <v>257</v>
      </c>
      <c r="G5946" s="50">
        <v>1</v>
      </c>
      <c r="H5946" s="50" t="s">
        <v>2</v>
      </c>
      <c r="I5946" s="50" t="s">
        <v>293</v>
      </c>
      <c r="J5946" s="51">
        <v>45915</v>
      </c>
      <c r="K5946" s="59" t="s">
        <v>3</v>
      </c>
      <c r="L5946" s="50" t="s">
        <v>80</v>
      </c>
    </row>
    <row r="5947" spans="2:12">
      <c r="B5947" s="50" t="s">
        <v>422</v>
      </c>
      <c r="C5947" s="50" t="s">
        <v>26</v>
      </c>
      <c r="D5947" s="50" t="s">
        <v>27</v>
      </c>
      <c r="E5947" s="50">
        <v>50043471</v>
      </c>
      <c r="F5947" s="50" t="s">
        <v>257</v>
      </c>
      <c r="G5947" s="50">
        <v>1</v>
      </c>
      <c r="H5947" s="50" t="s">
        <v>2</v>
      </c>
      <c r="I5947" s="50" t="s">
        <v>291</v>
      </c>
      <c r="J5947" s="51">
        <v>45915</v>
      </c>
      <c r="K5947" s="59" t="s">
        <v>1</v>
      </c>
      <c r="L5947" s="50" t="s">
        <v>80</v>
      </c>
    </row>
    <row r="5948" spans="2:12">
      <c r="B5948" s="50" t="s">
        <v>397</v>
      </c>
      <c r="C5948" s="50" t="str">
        <f>IFERROR(VLOOKUP(#REF!,'BD COLABORADORES'!A:E,7,FALSE),"")</f>
        <v/>
      </c>
      <c r="D5948" s="50" t="str">
        <f>IFERROR(VLOOKUP(#REF!,'BD COLABORADORES'!A:E,2,FALSE),"")</f>
        <v/>
      </c>
      <c r="E5948" s="50">
        <v>50043471</v>
      </c>
      <c r="F5948" s="50" t="str">
        <f>IFERROR(VLOOKUP(E5948,'BD MOVIMENTAÇÃO'!A:G,3,FALSE),"Não encontrado")</f>
        <v>FURADEIRA BOSCH 7</v>
      </c>
      <c r="G5948" s="58">
        <v>1</v>
      </c>
      <c r="H5948" s="59" t="s">
        <v>2</v>
      </c>
      <c r="I5948" s="59" t="s">
        <v>316</v>
      </c>
      <c r="J5948" s="63">
        <v>45915</v>
      </c>
      <c r="K5948" s="50" t="s">
        <v>3</v>
      </c>
      <c r="L5948" s="50" t="s">
        <v>80</v>
      </c>
    </row>
    <row r="5949" spans="2:12">
      <c r="B5949" s="50" t="s">
        <v>397</v>
      </c>
      <c r="C5949" s="50" t="str">
        <f>IFERROR(VLOOKUP(#REF!,'BD COLABORADORES'!A:E,7,FALSE),"")</f>
        <v/>
      </c>
      <c r="D5949" s="50" t="str">
        <f>IFERROR(VLOOKUP(#REF!,'BD COLABORADORES'!A:E,2,FALSE),"")</f>
        <v/>
      </c>
      <c r="E5949" s="50">
        <v>50043471</v>
      </c>
      <c r="F5949" s="50" t="str">
        <f>IFERROR(VLOOKUP(E5949,'BD MOVIMENTAÇÃO'!A:G,3,FALSE),"Não encontrado")</f>
        <v>FURADEIRA BOSCH 7</v>
      </c>
      <c r="G5949" s="58">
        <v>1</v>
      </c>
      <c r="H5949" s="59" t="s">
        <v>2</v>
      </c>
      <c r="I5949" s="59" t="s">
        <v>316</v>
      </c>
      <c r="J5949" s="63">
        <v>45915</v>
      </c>
      <c r="K5949" s="50" t="s">
        <v>1</v>
      </c>
      <c r="L5949" s="50" t="s">
        <v>80</v>
      </c>
    </row>
    <row r="5950" spans="2:12">
      <c r="B5950" s="50" t="s">
        <v>483</v>
      </c>
      <c r="C5950" s="50" t="s">
        <v>62</v>
      </c>
      <c r="D5950" s="50" t="s">
        <v>27</v>
      </c>
      <c r="E5950" s="50">
        <v>50003297</v>
      </c>
      <c r="F5950" s="50" t="s">
        <v>158</v>
      </c>
      <c r="G5950" s="50">
        <v>1</v>
      </c>
      <c r="H5950" s="50" t="s">
        <v>2</v>
      </c>
      <c r="I5950" s="50" t="s">
        <v>293</v>
      </c>
      <c r="J5950" s="51">
        <v>45915</v>
      </c>
      <c r="K5950" s="50" t="s">
        <v>3</v>
      </c>
      <c r="L5950" s="50" t="s">
        <v>80</v>
      </c>
    </row>
    <row r="5951" spans="2:12">
      <c r="B5951" s="50" t="s">
        <v>483</v>
      </c>
      <c r="C5951" s="50" t="s">
        <v>62</v>
      </c>
      <c r="D5951" s="50" t="s">
        <v>27</v>
      </c>
      <c r="E5951" s="50">
        <v>50003297</v>
      </c>
      <c r="F5951" s="50" t="s">
        <v>158</v>
      </c>
      <c r="G5951" s="50">
        <v>1</v>
      </c>
      <c r="H5951" s="50" t="s">
        <v>2</v>
      </c>
      <c r="I5951" s="50" t="s">
        <v>293</v>
      </c>
      <c r="J5951" s="51">
        <v>45915</v>
      </c>
      <c r="K5951" s="50" t="s">
        <v>1</v>
      </c>
      <c r="L5951" s="50" t="s">
        <v>80</v>
      </c>
    </row>
    <row r="5952" spans="2:12">
      <c r="B5952" s="50" t="s">
        <v>469</v>
      </c>
      <c r="C5952" s="50" t="s">
        <v>26</v>
      </c>
      <c r="D5952" s="50" t="s">
        <v>39</v>
      </c>
      <c r="E5952" s="50">
        <v>50038549</v>
      </c>
      <c r="F5952" s="50" t="s">
        <v>173</v>
      </c>
      <c r="G5952" s="50">
        <v>1</v>
      </c>
      <c r="H5952" s="50" t="s">
        <v>2</v>
      </c>
      <c r="I5952" s="50" t="s">
        <v>289</v>
      </c>
      <c r="J5952" s="51">
        <v>45915</v>
      </c>
      <c r="K5952" s="50" t="s">
        <v>3</v>
      </c>
      <c r="L5952" s="50" t="s">
        <v>80</v>
      </c>
    </row>
    <row r="5953" spans="2:12">
      <c r="B5953" s="50" t="s">
        <v>469</v>
      </c>
      <c r="C5953" s="50" t="s">
        <v>26</v>
      </c>
      <c r="D5953" s="50" t="s">
        <v>39</v>
      </c>
      <c r="E5953" s="50">
        <v>50038549</v>
      </c>
      <c r="F5953" s="50" t="s">
        <v>173</v>
      </c>
      <c r="G5953" s="50">
        <v>1</v>
      </c>
      <c r="H5953" s="50" t="s">
        <v>2</v>
      </c>
      <c r="I5953" s="50" t="s">
        <v>293</v>
      </c>
      <c r="J5953" s="51">
        <v>45915</v>
      </c>
      <c r="K5953" s="50" t="s">
        <v>1</v>
      </c>
      <c r="L5953" s="50" t="s">
        <v>80</v>
      </c>
    </row>
    <row r="5954" spans="2:12">
      <c r="B5954" s="50" t="s">
        <v>386</v>
      </c>
      <c r="C5954" s="50" t="s">
        <v>26</v>
      </c>
      <c r="D5954" s="50" t="s">
        <v>27</v>
      </c>
      <c r="E5954" s="50">
        <v>50022878</v>
      </c>
      <c r="F5954" s="50" t="s">
        <v>296</v>
      </c>
      <c r="G5954" s="50">
        <v>1</v>
      </c>
      <c r="H5954" s="50" t="s">
        <v>2</v>
      </c>
      <c r="I5954" s="50" t="s">
        <v>293</v>
      </c>
      <c r="J5954" s="51">
        <v>45915</v>
      </c>
      <c r="K5954" s="50" t="s">
        <v>3</v>
      </c>
      <c r="L5954" s="50" t="s">
        <v>80</v>
      </c>
    </row>
    <row r="5955" spans="2:12">
      <c r="B5955" s="50" t="s">
        <v>386</v>
      </c>
      <c r="C5955" s="50" t="s">
        <v>26</v>
      </c>
      <c r="D5955" s="50" t="s">
        <v>27</v>
      </c>
      <c r="E5955" s="50">
        <v>50022878</v>
      </c>
      <c r="F5955" s="50" t="s">
        <v>296</v>
      </c>
      <c r="G5955" s="50">
        <v>1</v>
      </c>
      <c r="H5955" s="50" t="s">
        <v>2</v>
      </c>
      <c r="I5955" s="50" t="s">
        <v>290</v>
      </c>
      <c r="J5955" s="51">
        <v>45915</v>
      </c>
      <c r="K5955" s="50" t="s">
        <v>1</v>
      </c>
      <c r="L5955" s="50" t="s">
        <v>80</v>
      </c>
    </row>
    <row r="5956" spans="2:12">
      <c r="B5956" s="50" t="s">
        <v>483</v>
      </c>
      <c r="C5956" s="50" t="s">
        <v>62</v>
      </c>
      <c r="D5956" s="50" t="s">
        <v>27</v>
      </c>
      <c r="E5956" s="50">
        <v>50038956</v>
      </c>
      <c r="F5956" s="50" t="s">
        <v>177</v>
      </c>
      <c r="G5956" s="50">
        <v>1</v>
      </c>
      <c r="H5956" s="50" t="s">
        <v>2</v>
      </c>
      <c r="I5956" s="50" t="s">
        <v>293</v>
      </c>
      <c r="J5956" s="51">
        <v>45915</v>
      </c>
      <c r="K5956" s="59" t="s">
        <v>3</v>
      </c>
      <c r="L5956" s="50" t="s">
        <v>80</v>
      </c>
    </row>
    <row r="5957" spans="2:12">
      <c r="B5957" s="50" t="s">
        <v>483</v>
      </c>
      <c r="C5957" s="50" t="s">
        <v>62</v>
      </c>
      <c r="D5957" s="50" t="s">
        <v>27</v>
      </c>
      <c r="E5957" s="50">
        <v>50038956</v>
      </c>
      <c r="F5957" s="50" t="s">
        <v>177</v>
      </c>
      <c r="G5957" s="50">
        <v>1</v>
      </c>
      <c r="H5957" s="50" t="s">
        <v>2</v>
      </c>
      <c r="I5957" s="50" t="s">
        <v>293</v>
      </c>
      <c r="J5957" s="51">
        <v>45915</v>
      </c>
      <c r="K5957" s="59" t="s">
        <v>1</v>
      </c>
      <c r="L5957" s="50" t="s">
        <v>80</v>
      </c>
    </row>
    <row r="5958" spans="2:12">
      <c r="B5958" s="50" t="s">
        <v>446</v>
      </c>
      <c r="C5958" s="50" t="str">
        <f>IFERROR(VLOOKUP(#REF!,'BD COLABORADORES'!A:E,7,FALSE),"")</f>
        <v/>
      </c>
      <c r="D5958" s="50" t="str">
        <f>IFERROR(VLOOKUP(#REF!,'BD COLABORADORES'!A:E,2,FALSE),"")</f>
        <v/>
      </c>
      <c r="E5958" s="50">
        <v>50037892</v>
      </c>
      <c r="F5958" s="50" t="str">
        <f>IFERROR(VLOOKUP(E5958,'BD MOVIMENTAÇÃO'!A:G,3,FALSE),"Não encontrado")</f>
        <v>LIXADEIRA BOSCH 2 / QUEBRADA</v>
      </c>
      <c r="G5958" s="58">
        <v>1</v>
      </c>
      <c r="H5958" s="59" t="s">
        <v>2</v>
      </c>
      <c r="I5958" s="59" t="s">
        <v>314</v>
      </c>
      <c r="J5958" s="63">
        <v>45915</v>
      </c>
      <c r="K5958" s="50" t="s">
        <v>1</v>
      </c>
      <c r="L5958" s="50" t="s">
        <v>80</v>
      </c>
    </row>
    <row r="5959" spans="2:12">
      <c r="B5959" s="50" t="s">
        <v>446</v>
      </c>
      <c r="C5959" s="50" t="str">
        <f>IFERROR(VLOOKUP(#REF!,'BD COLABORADORES'!A:E,7,FALSE),"")</f>
        <v/>
      </c>
      <c r="D5959" s="50" t="str">
        <f>IFERROR(VLOOKUP(#REF!,'BD COLABORADORES'!A:E,2,FALSE),"")</f>
        <v/>
      </c>
      <c r="E5959" s="50">
        <v>50037892</v>
      </c>
      <c r="F5959" s="50" t="str">
        <f>IFERROR(VLOOKUP(E5959,'BD MOVIMENTAÇÃO'!A:G,3,FALSE),"Não encontrado")</f>
        <v>LIXADEIRA BOSCH 2 / QUEBRADA</v>
      </c>
      <c r="G5959" s="58">
        <v>1</v>
      </c>
      <c r="H5959" s="59" t="s">
        <v>2</v>
      </c>
      <c r="I5959" s="59" t="s">
        <v>314</v>
      </c>
      <c r="J5959" s="63">
        <v>45915</v>
      </c>
      <c r="K5959" s="50" t="s">
        <v>3</v>
      </c>
      <c r="L5959" s="50" t="s">
        <v>80</v>
      </c>
    </row>
    <row r="5960" spans="2:12">
      <c r="B5960" s="50" t="s">
        <v>458</v>
      </c>
      <c r="C5960" s="50" t="s">
        <v>26</v>
      </c>
      <c r="D5960" s="50" t="s">
        <v>27</v>
      </c>
      <c r="E5960" s="50">
        <v>50038841</v>
      </c>
      <c r="F5960" s="50" t="s">
        <v>180</v>
      </c>
      <c r="G5960" s="50">
        <v>1</v>
      </c>
      <c r="H5960" s="50" t="s">
        <v>2</v>
      </c>
      <c r="I5960" s="50" t="s">
        <v>289</v>
      </c>
      <c r="J5960" s="51">
        <v>45915</v>
      </c>
      <c r="K5960" s="50" t="s">
        <v>1</v>
      </c>
      <c r="L5960" s="50" t="s">
        <v>80</v>
      </c>
    </row>
    <row r="5961" spans="2:12">
      <c r="B5961" s="50" t="s">
        <v>427</v>
      </c>
      <c r="C5961" s="50" t="s">
        <v>26</v>
      </c>
      <c r="D5961" s="50" t="s">
        <v>27</v>
      </c>
      <c r="E5961" s="50">
        <v>50038841</v>
      </c>
      <c r="F5961" s="50" t="s">
        <v>180</v>
      </c>
      <c r="G5961" s="50">
        <v>1</v>
      </c>
      <c r="H5961" s="50" t="s">
        <v>2</v>
      </c>
      <c r="I5961" s="50" t="s">
        <v>293</v>
      </c>
      <c r="J5961" s="51">
        <v>45915</v>
      </c>
      <c r="K5961" s="50" t="s">
        <v>3</v>
      </c>
      <c r="L5961" s="50" t="s">
        <v>80</v>
      </c>
    </row>
    <row r="5962" spans="2:12">
      <c r="B5962" s="50" t="s">
        <v>444</v>
      </c>
      <c r="C5962" s="50" t="s">
        <v>51</v>
      </c>
      <c r="D5962" s="50" t="s">
        <v>27</v>
      </c>
      <c r="E5962" s="50">
        <v>50038841</v>
      </c>
      <c r="F5962" s="50" t="s">
        <v>180</v>
      </c>
      <c r="G5962" s="50">
        <v>1</v>
      </c>
      <c r="H5962" s="50" t="s">
        <v>2</v>
      </c>
      <c r="I5962" s="50" t="s">
        <v>293</v>
      </c>
      <c r="J5962" s="51">
        <v>45915</v>
      </c>
      <c r="K5962" s="50" t="s">
        <v>1</v>
      </c>
      <c r="L5962" s="50" t="s">
        <v>80</v>
      </c>
    </row>
    <row r="5963" spans="2:12">
      <c r="B5963" s="50" t="s">
        <v>444</v>
      </c>
      <c r="C5963" s="50" t="s">
        <v>51</v>
      </c>
      <c r="D5963" s="50" t="s">
        <v>27</v>
      </c>
      <c r="E5963" s="50">
        <v>50038841</v>
      </c>
      <c r="F5963" s="50" t="s">
        <v>180</v>
      </c>
      <c r="G5963" s="50">
        <v>1</v>
      </c>
      <c r="H5963" s="50" t="s">
        <v>2</v>
      </c>
      <c r="I5963" s="50" t="s">
        <v>293</v>
      </c>
      <c r="J5963" s="51">
        <v>45915</v>
      </c>
      <c r="K5963" s="50" t="s">
        <v>3</v>
      </c>
      <c r="L5963" s="50" t="s">
        <v>80</v>
      </c>
    </row>
    <row r="5964" spans="2:12">
      <c r="B5964" s="50" t="s">
        <v>422</v>
      </c>
      <c r="C5964" s="50" t="s">
        <v>26</v>
      </c>
      <c r="D5964" s="50" t="s">
        <v>27</v>
      </c>
      <c r="E5964" s="50">
        <v>50038841</v>
      </c>
      <c r="F5964" s="50" t="s">
        <v>180</v>
      </c>
      <c r="G5964" s="50">
        <v>1</v>
      </c>
      <c r="H5964" s="50" t="s">
        <v>2</v>
      </c>
      <c r="I5964" s="50" t="s">
        <v>291</v>
      </c>
      <c r="J5964" s="51">
        <v>45915</v>
      </c>
      <c r="K5964" s="50" t="s">
        <v>1</v>
      </c>
      <c r="L5964" s="50" t="s">
        <v>80</v>
      </c>
    </row>
    <row r="5965" spans="2:12">
      <c r="B5965" s="50" t="s">
        <v>422</v>
      </c>
      <c r="C5965" s="50" t="s">
        <v>26</v>
      </c>
      <c r="D5965" s="50" t="s">
        <v>27</v>
      </c>
      <c r="E5965" s="50">
        <v>50038841</v>
      </c>
      <c r="F5965" s="50" t="s">
        <v>180</v>
      </c>
      <c r="G5965" s="50">
        <v>1</v>
      </c>
      <c r="H5965" s="50" t="s">
        <v>2</v>
      </c>
      <c r="I5965" s="50" t="s">
        <v>291</v>
      </c>
      <c r="J5965" s="51">
        <v>45915</v>
      </c>
      <c r="K5965" s="50" t="s">
        <v>3</v>
      </c>
      <c r="L5965" s="50" t="s">
        <v>80</v>
      </c>
    </row>
    <row r="5966" spans="2:12">
      <c r="B5966" s="50" t="s">
        <v>411</v>
      </c>
      <c r="C5966" s="50" t="s">
        <v>26</v>
      </c>
      <c r="D5966" s="50" t="s">
        <v>27</v>
      </c>
      <c r="E5966" s="50">
        <v>50038517</v>
      </c>
      <c r="F5966" s="50" t="s">
        <v>181</v>
      </c>
      <c r="G5966" s="50">
        <v>1</v>
      </c>
      <c r="H5966" s="50" t="s">
        <v>2</v>
      </c>
      <c r="I5966" s="50" t="s">
        <v>289</v>
      </c>
      <c r="J5966" s="51">
        <v>45915</v>
      </c>
      <c r="K5966" s="50" t="s">
        <v>1</v>
      </c>
      <c r="L5966" s="50" t="s">
        <v>80</v>
      </c>
    </row>
    <row r="5967" spans="2:12">
      <c r="B5967" s="50" t="s">
        <v>411</v>
      </c>
      <c r="C5967" s="50" t="s">
        <v>26</v>
      </c>
      <c r="D5967" s="50" t="s">
        <v>27</v>
      </c>
      <c r="E5967" s="50">
        <v>50038517</v>
      </c>
      <c r="F5967" s="50" t="s">
        <v>181</v>
      </c>
      <c r="G5967" s="50">
        <v>1</v>
      </c>
      <c r="H5967" s="50" t="s">
        <v>2</v>
      </c>
      <c r="I5967" s="50" t="s">
        <v>290</v>
      </c>
      <c r="J5967" s="51">
        <v>45915</v>
      </c>
      <c r="K5967" s="50" t="s">
        <v>1</v>
      </c>
      <c r="L5967" s="50" t="s">
        <v>80</v>
      </c>
    </row>
    <row r="5968" spans="2:12">
      <c r="B5968" s="50" t="s">
        <v>458</v>
      </c>
      <c r="C5968" s="50" t="s">
        <v>26</v>
      </c>
      <c r="D5968" s="50" t="s">
        <v>27</v>
      </c>
      <c r="E5968" s="50">
        <v>50037903</v>
      </c>
      <c r="F5968" s="50" t="s">
        <v>183</v>
      </c>
      <c r="G5968" s="50">
        <v>1</v>
      </c>
      <c r="H5968" s="50" t="s">
        <v>2</v>
      </c>
      <c r="I5968" s="50" t="s">
        <v>289</v>
      </c>
      <c r="J5968" s="51">
        <v>45915</v>
      </c>
      <c r="K5968" s="50" t="s">
        <v>3</v>
      </c>
      <c r="L5968" s="50" t="s">
        <v>80</v>
      </c>
    </row>
    <row r="5969" spans="2:12">
      <c r="B5969" s="50" t="s">
        <v>427</v>
      </c>
      <c r="C5969" s="50" t="s">
        <v>26</v>
      </c>
      <c r="D5969" s="50" t="s">
        <v>27</v>
      </c>
      <c r="E5969" s="50">
        <v>50037903</v>
      </c>
      <c r="F5969" s="50" t="s">
        <v>183</v>
      </c>
      <c r="G5969" s="50">
        <v>1</v>
      </c>
      <c r="H5969" s="50" t="s">
        <v>2</v>
      </c>
      <c r="I5969" s="50" t="s">
        <v>291</v>
      </c>
      <c r="J5969" s="51">
        <v>45915</v>
      </c>
      <c r="K5969" s="50" t="s">
        <v>1</v>
      </c>
      <c r="L5969" s="50" t="s">
        <v>80</v>
      </c>
    </row>
    <row r="5970" spans="2:12">
      <c r="B5970" s="50" t="s">
        <v>439</v>
      </c>
      <c r="C5970" s="50" t="s">
        <v>62</v>
      </c>
      <c r="D5970" s="50" t="s">
        <v>27</v>
      </c>
      <c r="E5970" s="50">
        <v>50026357</v>
      </c>
      <c r="F5970" s="50" t="s">
        <v>192</v>
      </c>
      <c r="G5970" s="50">
        <v>1</v>
      </c>
      <c r="H5970" s="50" t="s">
        <v>2</v>
      </c>
      <c r="I5970" s="50" t="s">
        <v>293</v>
      </c>
      <c r="J5970" s="51">
        <v>45915</v>
      </c>
      <c r="K5970" s="50" t="s">
        <v>3</v>
      </c>
      <c r="L5970" s="50" t="s">
        <v>80</v>
      </c>
    </row>
    <row r="5971" spans="2:12">
      <c r="B5971" s="50" t="s">
        <v>439</v>
      </c>
      <c r="C5971" s="50" t="s">
        <v>62</v>
      </c>
      <c r="D5971" s="50" t="s">
        <v>27</v>
      </c>
      <c r="E5971" s="50">
        <v>50026357</v>
      </c>
      <c r="F5971" s="50" t="s">
        <v>192</v>
      </c>
      <c r="G5971" s="50">
        <v>1</v>
      </c>
      <c r="H5971" s="50" t="s">
        <v>2</v>
      </c>
      <c r="I5971" s="50" t="s">
        <v>290</v>
      </c>
      <c r="J5971" s="51">
        <v>45915</v>
      </c>
      <c r="K5971" s="50" t="s">
        <v>3</v>
      </c>
      <c r="L5971" s="50" t="s">
        <v>80</v>
      </c>
    </row>
    <row r="5972" spans="2:12">
      <c r="B5972" s="50" t="e">
        <v>#N/A</v>
      </c>
      <c r="C5972" s="50" t="s">
        <v>62</v>
      </c>
      <c r="D5972" s="50" t="s">
        <v>27</v>
      </c>
      <c r="E5972" s="50">
        <v>50041195</v>
      </c>
      <c r="F5972" s="50" t="s">
        <v>206</v>
      </c>
      <c r="G5972" s="50">
        <v>1</v>
      </c>
      <c r="H5972" s="50" t="s">
        <v>2</v>
      </c>
      <c r="I5972" s="50" t="s">
        <v>293</v>
      </c>
      <c r="J5972" s="51">
        <v>45915</v>
      </c>
      <c r="K5972" s="50" t="s">
        <v>1</v>
      </c>
      <c r="L5972" s="50" t="s">
        <v>80</v>
      </c>
    </row>
    <row r="5973" spans="2:12">
      <c r="B5973" s="50" t="e">
        <v>#N/A</v>
      </c>
      <c r="C5973" s="50" t="s">
        <v>62</v>
      </c>
      <c r="D5973" s="50" t="s">
        <v>27</v>
      </c>
      <c r="E5973" s="50">
        <v>50041195</v>
      </c>
      <c r="F5973" s="50" t="s">
        <v>206</v>
      </c>
      <c r="G5973" s="50">
        <v>1</v>
      </c>
      <c r="H5973" s="50" t="s">
        <v>2</v>
      </c>
      <c r="I5973" s="50" t="s">
        <v>293</v>
      </c>
      <c r="J5973" s="51">
        <v>45915</v>
      </c>
      <c r="K5973" s="50" t="s">
        <v>3</v>
      </c>
      <c r="L5973" s="50" t="s">
        <v>80</v>
      </c>
    </row>
    <row r="5974" spans="2:12">
      <c r="B5974" s="50" t="e">
        <v>#N/A</v>
      </c>
      <c r="C5974" s="50" t="s">
        <v>62</v>
      </c>
      <c r="D5974" s="50" t="s">
        <v>27</v>
      </c>
      <c r="E5974" s="50">
        <v>50041195</v>
      </c>
      <c r="F5974" s="50" t="s">
        <v>206</v>
      </c>
      <c r="G5974" s="50">
        <v>1</v>
      </c>
      <c r="H5974" s="50" t="s">
        <v>2</v>
      </c>
      <c r="I5974" s="50" t="s">
        <v>291</v>
      </c>
      <c r="J5974" s="51">
        <v>45915</v>
      </c>
      <c r="K5974" s="50" t="s">
        <v>1</v>
      </c>
      <c r="L5974" s="50" t="s">
        <v>80</v>
      </c>
    </row>
    <row r="5975" spans="2:12">
      <c r="B5975" s="50" t="e">
        <v>#N/A</v>
      </c>
      <c r="C5975" s="50" t="s">
        <v>62</v>
      </c>
      <c r="D5975" s="50" t="s">
        <v>27</v>
      </c>
      <c r="E5975" s="50">
        <v>50041195</v>
      </c>
      <c r="F5975" s="50" t="s">
        <v>206</v>
      </c>
      <c r="G5975" s="50">
        <v>1</v>
      </c>
      <c r="H5975" s="50" t="s">
        <v>2</v>
      </c>
      <c r="I5975" s="50" t="s">
        <v>291</v>
      </c>
      <c r="J5975" s="51">
        <v>45915</v>
      </c>
      <c r="K5975" s="50" t="s">
        <v>3</v>
      </c>
      <c r="L5975" s="50" t="s">
        <v>80</v>
      </c>
    </row>
    <row r="5976" spans="2:12">
      <c r="B5976" s="50" t="s">
        <v>345</v>
      </c>
      <c r="C5976" s="50" t="s">
        <v>62</v>
      </c>
      <c r="D5976" s="50" t="s">
        <v>27</v>
      </c>
      <c r="E5976" s="50">
        <v>50043917</v>
      </c>
      <c r="F5976" s="50" t="s">
        <v>262</v>
      </c>
      <c r="G5976" s="50">
        <v>1</v>
      </c>
      <c r="H5976" s="50" t="s">
        <v>2</v>
      </c>
      <c r="I5976" s="50" t="s">
        <v>293</v>
      </c>
      <c r="J5976" s="51">
        <v>45915</v>
      </c>
      <c r="K5976" s="50" t="s">
        <v>3</v>
      </c>
      <c r="L5976" s="50" t="s">
        <v>80</v>
      </c>
    </row>
    <row r="5977" spans="2:12">
      <c r="B5977" s="50" t="s">
        <v>345</v>
      </c>
      <c r="C5977" s="50" t="s">
        <v>62</v>
      </c>
      <c r="D5977" s="50" t="s">
        <v>27</v>
      </c>
      <c r="E5977" s="50">
        <v>50043917</v>
      </c>
      <c r="F5977" s="50" t="s">
        <v>262</v>
      </c>
      <c r="G5977" s="50">
        <v>1</v>
      </c>
      <c r="H5977" s="50" t="s">
        <v>2</v>
      </c>
      <c r="I5977" s="50" t="s">
        <v>290</v>
      </c>
      <c r="J5977" s="51">
        <v>45915</v>
      </c>
      <c r="K5977" s="50" t="s">
        <v>1</v>
      </c>
      <c r="L5977" s="50" t="s">
        <v>80</v>
      </c>
    </row>
    <row r="5978" spans="2:12">
      <c r="B5978" s="50" t="s">
        <v>409</v>
      </c>
      <c r="C5978" s="50" t="s">
        <v>51</v>
      </c>
      <c r="D5978" s="50" t="s">
        <v>27</v>
      </c>
      <c r="E5978" s="50">
        <v>50012903</v>
      </c>
      <c r="F5978" s="50" t="s">
        <v>308</v>
      </c>
      <c r="G5978" s="50">
        <v>1</v>
      </c>
      <c r="H5978" s="50" t="s">
        <v>2</v>
      </c>
      <c r="I5978" s="50" t="s">
        <v>293</v>
      </c>
      <c r="J5978" s="51">
        <v>45915</v>
      </c>
      <c r="K5978" s="50" t="s">
        <v>3</v>
      </c>
      <c r="L5978" s="50" t="s">
        <v>80</v>
      </c>
    </row>
    <row r="5979" spans="2:12">
      <c r="B5979" s="50" t="s">
        <v>409</v>
      </c>
      <c r="C5979" s="50" t="s">
        <v>51</v>
      </c>
      <c r="D5979" s="50" t="s">
        <v>27</v>
      </c>
      <c r="E5979" s="50">
        <v>50012903</v>
      </c>
      <c r="F5979" s="50" t="s">
        <v>308</v>
      </c>
      <c r="G5979" s="50">
        <v>1</v>
      </c>
      <c r="H5979" s="50" t="s">
        <v>2</v>
      </c>
      <c r="I5979" s="50" t="s">
        <v>291</v>
      </c>
      <c r="J5979" s="51">
        <v>45915</v>
      </c>
      <c r="K5979" s="50" t="s">
        <v>1</v>
      </c>
      <c r="L5979" s="50" t="s">
        <v>80</v>
      </c>
    </row>
    <row r="5980" spans="2:12">
      <c r="B5980" s="50" t="s">
        <v>431</v>
      </c>
      <c r="C5980" s="50" t="s">
        <v>51</v>
      </c>
      <c r="D5980" s="50" t="s">
        <v>39</v>
      </c>
      <c r="E5980" s="50">
        <v>50032775</v>
      </c>
      <c r="F5980" s="50" t="s">
        <v>307</v>
      </c>
      <c r="G5980" s="50">
        <v>1</v>
      </c>
      <c r="H5980" s="50" t="s">
        <v>2</v>
      </c>
      <c r="I5980" s="50" t="s">
        <v>289</v>
      </c>
      <c r="J5980" s="51">
        <v>45915</v>
      </c>
      <c r="K5980" s="50" t="s">
        <v>3</v>
      </c>
      <c r="L5980" s="50" t="s">
        <v>80</v>
      </c>
    </row>
    <row r="5981" spans="2:12">
      <c r="B5981" s="50" t="s">
        <v>431</v>
      </c>
      <c r="C5981" s="50" t="s">
        <v>51</v>
      </c>
      <c r="D5981" s="50" t="s">
        <v>39</v>
      </c>
      <c r="E5981" s="50">
        <v>50032775</v>
      </c>
      <c r="F5981" s="50" t="s">
        <v>307</v>
      </c>
      <c r="G5981" s="50">
        <v>1</v>
      </c>
      <c r="H5981" s="50" t="s">
        <v>2</v>
      </c>
      <c r="I5981" s="50" t="s">
        <v>293</v>
      </c>
      <c r="J5981" s="51">
        <v>45915</v>
      </c>
      <c r="K5981" s="50" t="s">
        <v>1</v>
      </c>
      <c r="L5981" s="50" t="s">
        <v>80</v>
      </c>
    </row>
    <row r="5982" spans="2:12">
      <c r="B5982" s="50" t="s">
        <v>458</v>
      </c>
      <c r="C5982" s="50" t="s">
        <v>26</v>
      </c>
      <c r="D5982" s="50" t="s">
        <v>27</v>
      </c>
      <c r="E5982" s="50">
        <v>50037949</v>
      </c>
      <c r="F5982" s="50" t="s">
        <v>233</v>
      </c>
      <c r="G5982" s="50">
        <v>1</v>
      </c>
      <c r="H5982" s="50" t="s">
        <v>2</v>
      </c>
      <c r="I5982" s="50" t="s">
        <v>289</v>
      </c>
      <c r="J5982" s="51">
        <v>45915</v>
      </c>
      <c r="K5982" s="50" t="s">
        <v>3</v>
      </c>
      <c r="L5982" s="50" t="s">
        <v>80</v>
      </c>
    </row>
    <row r="5983" spans="2:12">
      <c r="B5983" s="50" t="s">
        <v>427</v>
      </c>
      <c r="C5983" s="50" t="s">
        <v>26</v>
      </c>
      <c r="D5983" s="50" t="s">
        <v>27</v>
      </c>
      <c r="E5983" s="50">
        <v>50037949</v>
      </c>
      <c r="F5983" s="50" t="s">
        <v>233</v>
      </c>
      <c r="G5983" s="50">
        <v>1</v>
      </c>
      <c r="H5983" s="50" t="s">
        <v>2</v>
      </c>
      <c r="I5983" s="50" t="s">
        <v>293</v>
      </c>
      <c r="J5983" s="51">
        <v>45915</v>
      </c>
      <c r="K5983" s="59" t="s">
        <v>1</v>
      </c>
      <c r="L5983" s="50" t="s">
        <v>80</v>
      </c>
    </row>
    <row r="5984" spans="2:12">
      <c r="B5984" s="50" t="s">
        <v>469</v>
      </c>
      <c r="C5984" s="50" t="str">
        <f>IFERROR(VLOOKUP(#REF!,'BD COLABORADORES'!A:E,7,FALSE),"")</f>
        <v/>
      </c>
      <c r="D5984" s="50" t="str">
        <f>IFERROR(VLOOKUP(#REF!,'BD COLABORADORES'!A:E,2,FALSE),"")</f>
        <v/>
      </c>
      <c r="E5984" s="50">
        <v>50037905</v>
      </c>
      <c r="F5984" s="50" t="str">
        <f>IFERROR(VLOOKUP(E5984,'BD MOVIMENTAÇÃO'!A:G,3,FALSE),"Não encontrado")</f>
        <v>ESTETOSCÓPIO SKF</v>
      </c>
      <c r="G5984" s="58">
        <v>1</v>
      </c>
      <c r="H5984" s="59" t="s">
        <v>2</v>
      </c>
      <c r="I5984" s="59" t="s">
        <v>315</v>
      </c>
      <c r="J5984" s="63">
        <v>45914</v>
      </c>
      <c r="K5984" s="59" t="s">
        <v>3</v>
      </c>
      <c r="L5984" s="50" t="s">
        <v>80</v>
      </c>
    </row>
    <row r="5985" spans="2:12">
      <c r="B5985" s="50" t="s">
        <v>469</v>
      </c>
      <c r="C5985" s="50" t="str">
        <f>IFERROR(VLOOKUP(#REF!,'BD COLABORADORES'!A:E,7,FALSE),"")</f>
        <v/>
      </c>
      <c r="D5985" s="50" t="str">
        <f>IFERROR(VLOOKUP(#REF!,'BD COLABORADORES'!A:E,2,FALSE),"")</f>
        <v/>
      </c>
      <c r="E5985" s="50">
        <v>50037905</v>
      </c>
      <c r="F5985" s="50" t="str">
        <f>IFERROR(VLOOKUP(E5985,'BD MOVIMENTAÇÃO'!A:G,3,FALSE),"Não encontrado")</f>
        <v>ESTETOSCÓPIO SKF</v>
      </c>
      <c r="G5985" s="58">
        <v>1</v>
      </c>
      <c r="H5985" s="59" t="s">
        <v>2</v>
      </c>
      <c r="I5985" s="59" t="s">
        <v>315</v>
      </c>
      <c r="J5985" s="63">
        <v>45914</v>
      </c>
      <c r="K5985" s="59" t="s">
        <v>1</v>
      </c>
      <c r="L5985" s="50" t="s">
        <v>80</v>
      </c>
    </row>
    <row r="5986" spans="2:12">
      <c r="B5986" s="50" t="s">
        <v>471</v>
      </c>
      <c r="C5986" s="50" t="str">
        <f>IFERROR(VLOOKUP(#REF!,'BD COLABORADORES'!A:E,7,FALSE),"")</f>
        <v/>
      </c>
      <c r="D5986" s="50" t="str">
        <f>IFERROR(VLOOKUP(#REF!,'BD COLABORADORES'!A:E,2,FALSE),"")</f>
        <v/>
      </c>
      <c r="E5986" s="50">
        <v>50003297</v>
      </c>
      <c r="F5986" s="50" t="str">
        <f>IFERROR(VLOOKUP(E5986,'BD MOVIMENTAÇÃO'!A:G,3,FALSE),"Não encontrado")</f>
        <v>FURADEIRA DE IMPACTO MAKITA 02</v>
      </c>
      <c r="G5986" s="58">
        <v>1</v>
      </c>
      <c r="H5986" s="59" t="s">
        <v>2</v>
      </c>
      <c r="I5986" s="59" t="s">
        <v>315</v>
      </c>
      <c r="J5986" s="63">
        <v>45914</v>
      </c>
      <c r="K5986" s="59" t="s">
        <v>3</v>
      </c>
      <c r="L5986" s="50" t="s">
        <v>80</v>
      </c>
    </row>
    <row r="5987" spans="2:12">
      <c r="B5987" s="50" t="s">
        <v>471</v>
      </c>
      <c r="C5987" s="50" t="str">
        <f>IFERROR(VLOOKUP(#REF!,'BD COLABORADORES'!A:E,7,FALSE),"")</f>
        <v/>
      </c>
      <c r="D5987" s="50" t="str">
        <f>IFERROR(VLOOKUP(#REF!,'BD COLABORADORES'!A:E,2,FALSE),"")</f>
        <v/>
      </c>
      <c r="E5987" s="50">
        <v>50003297</v>
      </c>
      <c r="F5987" s="50" t="str">
        <f>IFERROR(VLOOKUP(E5987,'BD MOVIMENTAÇÃO'!A:G,3,FALSE),"Não encontrado")</f>
        <v>FURADEIRA DE IMPACTO MAKITA 02</v>
      </c>
      <c r="G5987" s="58">
        <v>1</v>
      </c>
      <c r="H5987" s="59" t="s">
        <v>2</v>
      </c>
      <c r="I5987" s="59" t="s">
        <v>315</v>
      </c>
      <c r="J5987" s="63">
        <v>45914</v>
      </c>
      <c r="K5987" s="59" t="s">
        <v>1</v>
      </c>
      <c r="L5987" s="50" t="s">
        <v>80</v>
      </c>
    </row>
    <row r="5988" spans="2:12">
      <c r="B5988" s="50" t="s">
        <v>412</v>
      </c>
      <c r="C5988" s="50" t="str">
        <f>IFERROR(VLOOKUP(#REF!,'BD COLABORADORES'!A:E,7,FALSE),"")</f>
        <v/>
      </c>
      <c r="D5988" s="50" t="str">
        <f>IFERROR(VLOOKUP(#REF!,'BD COLABORADORES'!A:E,2,FALSE),"")</f>
        <v/>
      </c>
      <c r="E5988" s="50">
        <v>50037892</v>
      </c>
      <c r="F5988" s="50" t="str">
        <f>IFERROR(VLOOKUP(E5988,'BD MOVIMENTAÇÃO'!A:G,3,FALSE),"Não encontrado")</f>
        <v>LIXADEIRA BOSCH 2 / QUEBRADA</v>
      </c>
      <c r="G5988" s="58">
        <v>1</v>
      </c>
      <c r="H5988" s="59" t="s">
        <v>2</v>
      </c>
      <c r="I5988" s="59" t="s">
        <v>316</v>
      </c>
      <c r="J5988" s="63">
        <v>45914</v>
      </c>
      <c r="K5988" s="59" t="s">
        <v>3</v>
      </c>
      <c r="L5988" s="50" t="s">
        <v>80</v>
      </c>
    </row>
    <row r="5989" spans="2:12">
      <c r="B5989" s="50" t="s">
        <v>412</v>
      </c>
      <c r="C5989" s="50" t="str">
        <f>IFERROR(VLOOKUP(#REF!,'BD COLABORADORES'!A:E,7,FALSE),"")</f>
        <v/>
      </c>
      <c r="D5989" s="50" t="str">
        <f>IFERROR(VLOOKUP(#REF!,'BD COLABORADORES'!A:E,2,FALSE),"")</f>
        <v/>
      </c>
      <c r="E5989" s="50">
        <v>50037892</v>
      </c>
      <c r="F5989" s="50" t="str">
        <f>IFERROR(VLOOKUP(E5989,'BD MOVIMENTAÇÃO'!A:G,3,FALSE),"Não encontrado")</f>
        <v>LIXADEIRA BOSCH 2 / QUEBRADA</v>
      </c>
      <c r="G5989" s="58">
        <v>1</v>
      </c>
      <c r="H5989" s="59" t="s">
        <v>2</v>
      </c>
      <c r="I5989" s="59" t="s">
        <v>316</v>
      </c>
      <c r="J5989" s="63">
        <v>45914</v>
      </c>
      <c r="K5989" s="59" t="s">
        <v>1</v>
      </c>
      <c r="L5989" s="50" t="s">
        <v>80</v>
      </c>
    </row>
    <row r="5990" spans="2:12">
      <c r="B5990" s="50" t="s">
        <v>471</v>
      </c>
      <c r="C5990" s="50" t="str">
        <f>IFERROR(VLOOKUP(#REF!,'BD COLABORADORES'!A:E,7,FALSE),"")</f>
        <v/>
      </c>
      <c r="D5990" s="50" t="str">
        <f>IFERROR(VLOOKUP(#REF!,'BD COLABORADORES'!A:E,2,FALSE),"")</f>
        <v/>
      </c>
      <c r="E5990" s="50">
        <v>50038517</v>
      </c>
      <c r="F5990" s="50" t="str">
        <f>IFERROR(VLOOKUP(E5990,'BD MOVIMENTAÇÃO'!A:G,3,FALSE),"Não encontrado")</f>
        <v>LIXADEIRA BOSCH 5</v>
      </c>
      <c r="G5990" s="58">
        <v>1</v>
      </c>
      <c r="H5990" s="59" t="s">
        <v>2</v>
      </c>
      <c r="I5990" s="59" t="s">
        <v>315</v>
      </c>
      <c r="J5990" s="63">
        <v>45914</v>
      </c>
      <c r="K5990" s="59" t="s">
        <v>1</v>
      </c>
      <c r="L5990" s="50" t="s">
        <v>80</v>
      </c>
    </row>
    <row r="5991" spans="2:12">
      <c r="B5991" s="50" t="s">
        <v>471</v>
      </c>
      <c r="C5991" s="50" t="str">
        <f>IFERROR(VLOOKUP(#REF!,'BD COLABORADORES'!A:E,7,FALSE),"")</f>
        <v/>
      </c>
      <c r="D5991" s="50" t="str">
        <f>IFERROR(VLOOKUP(#REF!,'BD COLABORADORES'!A:E,2,FALSE),"")</f>
        <v/>
      </c>
      <c r="E5991" s="50">
        <v>50038517</v>
      </c>
      <c r="F5991" s="50" t="str">
        <f>IFERROR(VLOOKUP(E5991,'BD MOVIMENTAÇÃO'!A:G,3,FALSE),"Não encontrado")</f>
        <v>LIXADEIRA BOSCH 5</v>
      </c>
      <c r="G5991" s="58">
        <v>1</v>
      </c>
      <c r="H5991" s="59" t="s">
        <v>2</v>
      </c>
      <c r="I5991" s="59" t="s">
        <v>315</v>
      </c>
      <c r="J5991" s="63">
        <v>45914</v>
      </c>
      <c r="K5991" s="59" t="s">
        <v>1</v>
      </c>
      <c r="L5991" s="50" t="s">
        <v>80</v>
      </c>
    </row>
    <row r="5992" spans="2:12">
      <c r="B5992" s="50" t="e">
        <v>#N/A</v>
      </c>
      <c r="C5992" s="50" t="str">
        <f>IFERROR(VLOOKUP(#REF!,'BD COLABORADORES'!A:E,7,FALSE),"")</f>
        <v/>
      </c>
      <c r="D5992" s="50" t="str">
        <f>IFERROR(VLOOKUP(#REF!,'BD COLABORADORES'!A:E,2,FALSE),"")</f>
        <v/>
      </c>
      <c r="E5992" s="50">
        <v>50001995</v>
      </c>
      <c r="F5992" s="50" t="str">
        <f>IFERROR(VLOOKUP(E5992,'BD MOVIMENTAÇÃO'!A:G,3,FALSE),"Não encontrado")</f>
        <v>MAQUINA DE SOLDA</v>
      </c>
      <c r="G5992" s="58">
        <v>1</v>
      </c>
      <c r="H5992" s="59" t="s">
        <v>2</v>
      </c>
      <c r="I5992" s="59" t="s">
        <v>316</v>
      </c>
      <c r="J5992" s="63">
        <v>45914</v>
      </c>
      <c r="K5992" s="59" t="s">
        <v>3</v>
      </c>
      <c r="L5992" s="50" t="s">
        <v>80</v>
      </c>
    </row>
    <row r="5993" spans="2:12">
      <c r="B5993" s="50" t="e">
        <v>#N/A</v>
      </c>
      <c r="C5993" s="50" t="str">
        <f>IFERROR(VLOOKUP(#REF!,'BD COLABORADORES'!A:E,7,FALSE),"")</f>
        <v/>
      </c>
      <c r="D5993" s="50" t="str">
        <f>IFERROR(VLOOKUP(#REF!,'BD COLABORADORES'!A:E,2,FALSE),"")</f>
        <v/>
      </c>
      <c r="E5993" s="50">
        <v>50001995</v>
      </c>
      <c r="F5993" s="50" t="str">
        <f>IFERROR(VLOOKUP(E5993,'BD MOVIMENTAÇÃO'!A:G,3,FALSE),"Não encontrado")</f>
        <v>MAQUINA DE SOLDA</v>
      </c>
      <c r="G5993" s="58">
        <v>1</v>
      </c>
      <c r="H5993" s="59" t="s">
        <v>2</v>
      </c>
      <c r="I5993" s="59" t="s">
        <v>316</v>
      </c>
      <c r="J5993" s="63">
        <v>45914</v>
      </c>
      <c r="K5993" s="59" t="s">
        <v>1</v>
      </c>
      <c r="L5993" s="50" t="s">
        <v>80</v>
      </c>
    </row>
    <row r="5994" spans="2:12">
      <c r="B5994" s="50" t="s">
        <v>471</v>
      </c>
      <c r="C5994" s="50" t="str">
        <f>IFERROR(VLOOKUP(#REF!,'BD COLABORADORES'!A:E,7,FALSE),"")</f>
        <v/>
      </c>
      <c r="D5994" s="50" t="str">
        <f>IFERROR(VLOOKUP(#REF!,'BD COLABORADORES'!A:E,2,FALSE),"")</f>
        <v/>
      </c>
      <c r="E5994" s="50">
        <v>50001995</v>
      </c>
      <c r="F5994" s="50" t="str">
        <f>IFERROR(VLOOKUP(E5994,'BD MOVIMENTAÇÃO'!A:G,3,FALSE),"Não encontrado")</f>
        <v>MAQUINA DE SOLDA</v>
      </c>
      <c r="G5994" s="58">
        <v>1</v>
      </c>
      <c r="H5994" s="59" t="s">
        <v>2</v>
      </c>
      <c r="I5994" s="59" t="s">
        <v>315</v>
      </c>
      <c r="J5994" s="63">
        <v>45914</v>
      </c>
      <c r="K5994" s="59" t="s">
        <v>3</v>
      </c>
      <c r="L5994" s="50" t="s">
        <v>80</v>
      </c>
    </row>
    <row r="5995" spans="2:12">
      <c r="B5995" s="50" t="s">
        <v>471</v>
      </c>
      <c r="C5995" s="50" t="str">
        <f>IFERROR(VLOOKUP(#REF!,'BD COLABORADORES'!A:E,7,FALSE),"")</f>
        <v/>
      </c>
      <c r="D5995" s="50" t="str">
        <f>IFERROR(VLOOKUP(#REF!,'BD COLABORADORES'!A:E,2,FALSE),"")</f>
        <v/>
      </c>
      <c r="E5995" s="50">
        <v>50001995</v>
      </c>
      <c r="F5995" s="50" t="str">
        <f>IFERROR(VLOOKUP(E5995,'BD MOVIMENTAÇÃO'!A:G,3,FALSE),"Não encontrado")</f>
        <v>MAQUINA DE SOLDA</v>
      </c>
      <c r="G5995" s="58">
        <v>1</v>
      </c>
      <c r="H5995" s="59" t="s">
        <v>2</v>
      </c>
      <c r="I5995" s="59" t="s">
        <v>315</v>
      </c>
      <c r="J5995" s="63">
        <v>45914</v>
      </c>
      <c r="K5995" s="59" t="s">
        <v>1</v>
      </c>
      <c r="L5995" s="50" t="s">
        <v>80</v>
      </c>
    </row>
    <row r="5996" spans="2:12">
      <c r="B5996" s="50" t="s">
        <v>459</v>
      </c>
      <c r="C5996" s="50" t="str">
        <f>IFERROR(VLOOKUP(#REF!,'BD COLABORADORES'!A:E,7,FALSE),"")</f>
        <v/>
      </c>
      <c r="D5996" s="50" t="str">
        <f>IFERROR(VLOOKUP(#REF!,'BD COLABORADORES'!A:E,2,FALSE),"")</f>
        <v/>
      </c>
      <c r="E5996" s="50">
        <v>50038194</v>
      </c>
      <c r="F5996" s="50" t="str">
        <f>IFERROR(VLOOKUP(E5996,'BD MOVIMENTAÇÃO'!A:G,3,FALSE),"Não encontrado")</f>
        <v>SERRA TICO TICO BOSCH C/MALETA</v>
      </c>
      <c r="G5996" s="58">
        <v>1</v>
      </c>
      <c r="H5996" s="59" t="s">
        <v>2</v>
      </c>
      <c r="I5996" s="59" t="s">
        <v>316</v>
      </c>
      <c r="J5996" s="63">
        <v>45914</v>
      </c>
      <c r="K5996" s="59" t="s">
        <v>3</v>
      </c>
      <c r="L5996" s="50" t="s">
        <v>80</v>
      </c>
    </row>
    <row r="5997" spans="2:12">
      <c r="B5997" s="50" t="s">
        <v>459</v>
      </c>
      <c r="C5997" s="50" t="str">
        <f>IFERROR(VLOOKUP(#REF!,'BD COLABORADORES'!A:E,7,FALSE),"")</f>
        <v/>
      </c>
      <c r="D5997" s="50" t="str">
        <f>IFERROR(VLOOKUP(#REF!,'BD COLABORADORES'!A:E,2,FALSE),"")</f>
        <v/>
      </c>
      <c r="E5997" s="50">
        <v>50038194</v>
      </c>
      <c r="F5997" s="50" t="str">
        <f>IFERROR(VLOOKUP(E5997,'BD MOVIMENTAÇÃO'!A:G,3,FALSE),"Não encontrado")</f>
        <v>SERRA TICO TICO BOSCH C/MALETA</v>
      </c>
      <c r="G5997" s="58">
        <v>1</v>
      </c>
      <c r="H5997" s="59" t="s">
        <v>2</v>
      </c>
      <c r="I5997" s="59" t="s">
        <v>316</v>
      </c>
      <c r="J5997" s="63">
        <v>45914</v>
      </c>
      <c r="K5997" s="59" t="s">
        <v>1</v>
      </c>
      <c r="L5997" s="50" t="s">
        <v>80</v>
      </c>
    </row>
    <row r="5998" spans="2:12">
      <c r="B5998" s="50" t="s">
        <v>459</v>
      </c>
      <c r="C5998" s="50" t="str">
        <f>IFERROR(VLOOKUP(#REF!,'BD COLABORADORES'!A:E,7,FALSE),"")</f>
        <v/>
      </c>
      <c r="D5998" s="50" t="str">
        <f>IFERROR(VLOOKUP(#REF!,'BD COLABORADORES'!A:E,2,FALSE),"")</f>
        <v/>
      </c>
      <c r="E5998" s="50">
        <v>50028220</v>
      </c>
      <c r="F5998" s="50" t="str">
        <f>IFERROR(VLOOKUP(E5998,'BD MOVIMENTAÇÃO'!A:G,3,FALSE),"Não encontrado")</f>
        <v>SOPRADOR TERMICO VONDER 1500W 220V</v>
      </c>
      <c r="G5998" s="58">
        <v>1</v>
      </c>
      <c r="H5998" s="59" t="s">
        <v>2</v>
      </c>
      <c r="I5998" s="59" t="s">
        <v>316</v>
      </c>
      <c r="J5998" s="63">
        <v>45914</v>
      </c>
      <c r="K5998" s="50" t="s">
        <v>3</v>
      </c>
      <c r="L5998" s="50" t="s">
        <v>80</v>
      </c>
    </row>
    <row r="5999" spans="2:12">
      <c r="B5999" s="50" t="s">
        <v>459</v>
      </c>
      <c r="C5999" s="50" t="str">
        <f>IFERROR(VLOOKUP(#REF!,'BD COLABORADORES'!A:E,7,FALSE),"")</f>
        <v/>
      </c>
      <c r="D5999" s="50" t="str">
        <f>IFERROR(VLOOKUP(#REF!,'BD COLABORADORES'!A:E,2,FALSE),"")</f>
        <v/>
      </c>
      <c r="E5999" s="50">
        <v>50028220</v>
      </c>
      <c r="F5999" s="50" t="str">
        <f>IFERROR(VLOOKUP(E5999,'BD MOVIMENTAÇÃO'!A:G,3,FALSE),"Não encontrado")</f>
        <v>SOPRADOR TERMICO VONDER 1500W 220V</v>
      </c>
      <c r="G5999" s="58">
        <v>1</v>
      </c>
      <c r="H5999" s="59" t="s">
        <v>2</v>
      </c>
      <c r="I5999" s="59" t="s">
        <v>316</v>
      </c>
      <c r="J5999" s="63">
        <v>45914</v>
      </c>
      <c r="K5999" s="50" t="s">
        <v>1</v>
      </c>
      <c r="L5999" s="50" t="s">
        <v>80</v>
      </c>
    </row>
    <row r="6000" spans="2:12">
      <c r="B6000" s="50" t="e">
        <v>#N/A</v>
      </c>
      <c r="C6000" s="50" t="s">
        <v>26</v>
      </c>
      <c r="D6000" s="50" t="s">
        <v>27</v>
      </c>
      <c r="E6000" s="50">
        <v>50037905</v>
      </c>
      <c r="F6000" s="50" t="s">
        <v>150</v>
      </c>
      <c r="G6000" s="50">
        <v>1</v>
      </c>
      <c r="H6000" s="50" t="s">
        <v>2</v>
      </c>
      <c r="I6000" s="50" t="s">
        <v>287</v>
      </c>
      <c r="J6000" s="51">
        <v>45913</v>
      </c>
      <c r="K6000" s="50" t="s">
        <v>3</v>
      </c>
      <c r="L6000" s="50" t="s">
        <v>80</v>
      </c>
    </row>
    <row r="6001" spans="2:12">
      <c r="B6001" s="50" t="e">
        <v>#N/A</v>
      </c>
      <c r="C6001" s="50" t="s">
        <v>26</v>
      </c>
      <c r="D6001" s="50" t="s">
        <v>27</v>
      </c>
      <c r="E6001" s="50">
        <v>50037905</v>
      </c>
      <c r="F6001" s="50" t="s">
        <v>150</v>
      </c>
      <c r="G6001" s="50">
        <v>1</v>
      </c>
      <c r="H6001" s="50" t="s">
        <v>2</v>
      </c>
      <c r="I6001" s="50" t="s">
        <v>287</v>
      </c>
      <c r="J6001" s="51">
        <v>45913</v>
      </c>
      <c r="K6001" s="50" t="s">
        <v>1</v>
      </c>
      <c r="L6001" s="50" t="s">
        <v>80</v>
      </c>
    </row>
    <row r="6002" spans="2:12">
      <c r="B6002" s="50" t="s">
        <v>382</v>
      </c>
      <c r="C6002" s="50" t="s">
        <v>51</v>
      </c>
      <c r="D6002" s="50" t="s">
        <v>41</v>
      </c>
      <c r="E6002" s="50">
        <v>50043471</v>
      </c>
      <c r="F6002" s="50" t="s">
        <v>257</v>
      </c>
      <c r="G6002" s="50">
        <v>1</v>
      </c>
      <c r="H6002" s="50" t="s">
        <v>2</v>
      </c>
      <c r="I6002" s="50" t="s">
        <v>287</v>
      </c>
      <c r="J6002" s="51">
        <v>45913</v>
      </c>
      <c r="K6002" s="50" t="s">
        <v>3</v>
      </c>
      <c r="L6002" s="50" t="s">
        <v>80</v>
      </c>
    </row>
    <row r="6003" spans="2:12">
      <c r="B6003" s="50" t="s">
        <v>382</v>
      </c>
      <c r="C6003" s="50" t="s">
        <v>51</v>
      </c>
      <c r="D6003" s="50" t="s">
        <v>41</v>
      </c>
      <c r="E6003" s="50">
        <v>50043471</v>
      </c>
      <c r="F6003" s="50" t="s">
        <v>257</v>
      </c>
      <c r="G6003" s="50">
        <v>1</v>
      </c>
      <c r="H6003" s="50" t="s">
        <v>2</v>
      </c>
      <c r="I6003" s="50" t="s">
        <v>287</v>
      </c>
      <c r="J6003" s="51">
        <v>45913</v>
      </c>
      <c r="K6003" s="50" t="s">
        <v>1</v>
      </c>
      <c r="L6003" s="50" t="s">
        <v>80</v>
      </c>
    </row>
    <row r="6004" spans="2:12">
      <c r="B6004" s="50" t="s">
        <v>59</v>
      </c>
      <c r="C6004" s="50" t="s">
        <v>56</v>
      </c>
      <c r="D6004" s="50" t="s">
        <v>41</v>
      </c>
      <c r="E6004" s="50">
        <v>50003296</v>
      </c>
      <c r="F6004" s="50" t="s">
        <v>157</v>
      </c>
      <c r="G6004" s="50">
        <v>1</v>
      </c>
      <c r="H6004" s="50" t="s">
        <v>2</v>
      </c>
      <c r="I6004" s="50" t="s">
        <v>287</v>
      </c>
      <c r="J6004" s="51">
        <v>45913</v>
      </c>
      <c r="K6004" s="59" t="s">
        <v>3</v>
      </c>
      <c r="L6004" s="50" t="s">
        <v>80</v>
      </c>
    </row>
    <row r="6005" spans="2:12">
      <c r="B6005" s="50" t="s">
        <v>59</v>
      </c>
      <c r="C6005" s="50" t="s">
        <v>56</v>
      </c>
      <c r="D6005" s="50" t="s">
        <v>41</v>
      </c>
      <c r="E6005" s="50">
        <v>50003296</v>
      </c>
      <c r="F6005" s="50" t="s">
        <v>157</v>
      </c>
      <c r="G6005" s="50">
        <v>1</v>
      </c>
      <c r="H6005" s="50" t="s">
        <v>2</v>
      </c>
      <c r="I6005" s="50" t="s">
        <v>287</v>
      </c>
      <c r="J6005" s="51">
        <v>45913</v>
      </c>
      <c r="K6005" s="59" t="s">
        <v>1</v>
      </c>
      <c r="L6005" s="50" t="s">
        <v>80</v>
      </c>
    </row>
    <row r="6006" spans="2:12">
      <c r="B6006" s="50" t="s">
        <v>469</v>
      </c>
      <c r="C6006" s="50" t="str">
        <f>IFERROR(VLOOKUP(#REF!,'BD COLABORADORES'!A:E,7,FALSE),"")</f>
        <v/>
      </c>
      <c r="D6006" s="50" t="str">
        <f>IFERROR(VLOOKUP(#REF!,'BD COLABORADORES'!A:E,2,FALSE),"")</f>
        <v/>
      </c>
      <c r="E6006" s="50">
        <v>50003297</v>
      </c>
      <c r="F6006" s="50" t="str">
        <f>IFERROR(VLOOKUP(E6006,'BD MOVIMENTAÇÃO'!A:G,3,FALSE),"Não encontrado")</f>
        <v>FURADEIRA DE IMPACTO MAKITA 02</v>
      </c>
      <c r="G6006" s="58">
        <v>1</v>
      </c>
      <c r="H6006" s="59" t="s">
        <v>2</v>
      </c>
      <c r="I6006" s="59" t="s">
        <v>315</v>
      </c>
      <c r="J6006" s="63">
        <v>45913</v>
      </c>
      <c r="K6006" s="50" t="s">
        <v>3</v>
      </c>
      <c r="L6006" s="50" t="s">
        <v>80</v>
      </c>
    </row>
    <row r="6007" spans="2:12">
      <c r="B6007" s="50" t="s">
        <v>469</v>
      </c>
      <c r="C6007" s="50" t="str">
        <f>IFERROR(VLOOKUP(#REF!,'BD COLABORADORES'!A:E,7,FALSE),"")</f>
        <v/>
      </c>
      <c r="D6007" s="50" t="str">
        <f>IFERROR(VLOOKUP(#REF!,'BD COLABORADORES'!A:E,2,FALSE),"")</f>
        <v/>
      </c>
      <c r="E6007" s="50">
        <v>50003297</v>
      </c>
      <c r="F6007" s="50" t="str">
        <f>IFERROR(VLOOKUP(E6007,'BD MOVIMENTAÇÃO'!A:G,3,FALSE),"Não encontrado")</f>
        <v>FURADEIRA DE IMPACTO MAKITA 02</v>
      </c>
      <c r="G6007" s="58">
        <v>1</v>
      </c>
      <c r="H6007" s="59" t="s">
        <v>2</v>
      </c>
      <c r="I6007" s="59" t="s">
        <v>315</v>
      </c>
      <c r="J6007" s="63">
        <v>45913</v>
      </c>
      <c r="K6007" s="50" t="s">
        <v>1</v>
      </c>
      <c r="L6007" s="50" t="s">
        <v>80</v>
      </c>
    </row>
    <row r="6008" spans="2:12">
      <c r="B6008" s="50" t="s">
        <v>443</v>
      </c>
      <c r="C6008" s="50" t="s">
        <v>56</v>
      </c>
      <c r="D6008" s="50" t="s">
        <v>36</v>
      </c>
      <c r="E6008" s="50">
        <v>50038549</v>
      </c>
      <c r="F6008" s="50" t="s">
        <v>173</v>
      </c>
      <c r="G6008" s="50">
        <v>1</v>
      </c>
      <c r="H6008" s="50" t="s">
        <v>2</v>
      </c>
      <c r="I6008" s="50" t="s">
        <v>287</v>
      </c>
      <c r="J6008" s="51">
        <v>45913</v>
      </c>
      <c r="K6008" s="59" t="s">
        <v>3</v>
      </c>
      <c r="L6008" s="50" t="s">
        <v>80</v>
      </c>
    </row>
    <row r="6009" spans="2:12">
      <c r="B6009" s="50" t="s">
        <v>443</v>
      </c>
      <c r="C6009" s="50" t="s">
        <v>56</v>
      </c>
      <c r="D6009" s="50" t="s">
        <v>36</v>
      </c>
      <c r="E6009" s="50">
        <v>50038549</v>
      </c>
      <c r="F6009" s="50" t="s">
        <v>173</v>
      </c>
      <c r="G6009" s="50">
        <v>1</v>
      </c>
      <c r="H6009" s="50" t="s">
        <v>2</v>
      </c>
      <c r="I6009" s="50" t="s">
        <v>287</v>
      </c>
      <c r="J6009" s="51">
        <v>45913</v>
      </c>
      <c r="K6009" s="59" t="s">
        <v>1</v>
      </c>
      <c r="L6009" s="50" t="s">
        <v>80</v>
      </c>
    </row>
    <row r="6010" spans="2:12">
      <c r="B6010" s="50" t="s">
        <v>469</v>
      </c>
      <c r="C6010" s="50" t="str">
        <f>IFERROR(VLOOKUP(#REF!,'BD COLABORADORES'!A:E,7,FALSE),"")</f>
        <v/>
      </c>
      <c r="D6010" s="50" t="str">
        <f>IFERROR(VLOOKUP(#REF!,'BD COLABORADORES'!A:E,2,FALSE),"")</f>
        <v/>
      </c>
      <c r="E6010" s="50">
        <v>50038549</v>
      </c>
      <c r="F6010" s="50" t="str">
        <f>IFERROR(VLOOKUP(E6010,'BD MOVIMENTAÇÃO'!A:G,3,FALSE),"Não encontrado")</f>
        <v>JOGO SOQUETE ESTRIADOS 1/2 22PEÇ</v>
      </c>
      <c r="G6010" s="58">
        <v>1</v>
      </c>
      <c r="H6010" s="59" t="s">
        <v>2</v>
      </c>
      <c r="I6010" s="59" t="s">
        <v>315</v>
      </c>
      <c r="J6010" s="63">
        <v>45913</v>
      </c>
      <c r="K6010" s="50" t="s">
        <v>3</v>
      </c>
      <c r="L6010" s="50" t="s">
        <v>80</v>
      </c>
    </row>
    <row r="6011" spans="2:12">
      <c r="B6011" s="50" t="s">
        <v>469</v>
      </c>
      <c r="C6011" s="50" t="str">
        <f>IFERROR(VLOOKUP(#REF!,'BD COLABORADORES'!A:E,7,FALSE),"")</f>
        <v/>
      </c>
      <c r="D6011" s="50" t="str">
        <f>IFERROR(VLOOKUP(#REF!,'BD COLABORADORES'!A:E,2,FALSE),"")</f>
        <v/>
      </c>
      <c r="E6011" s="50">
        <v>50038549</v>
      </c>
      <c r="F6011" s="50" t="str">
        <f>IFERROR(VLOOKUP(E6011,'BD MOVIMENTAÇÃO'!A:G,3,FALSE),"Não encontrado")</f>
        <v>JOGO SOQUETE ESTRIADOS 1/2 22PEÇ</v>
      </c>
      <c r="G6011" s="58">
        <v>1</v>
      </c>
      <c r="H6011" s="59" t="s">
        <v>2</v>
      </c>
      <c r="I6011" s="59" t="s">
        <v>315</v>
      </c>
      <c r="J6011" s="63">
        <v>45913</v>
      </c>
      <c r="K6011" s="50" t="s">
        <v>1</v>
      </c>
      <c r="L6011" s="50" t="s">
        <v>80</v>
      </c>
    </row>
    <row r="6012" spans="2:12">
      <c r="B6012" s="50" t="s">
        <v>437</v>
      </c>
      <c r="C6012" s="50" t="s">
        <v>51</v>
      </c>
      <c r="D6012" s="50" t="s">
        <v>41</v>
      </c>
      <c r="E6012" s="50">
        <v>50038956</v>
      </c>
      <c r="F6012" s="50" t="s">
        <v>177</v>
      </c>
      <c r="G6012" s="50">
        <v>1</v>
      </c>
      <c r="H6012" s="50" t="s">
        <v>2</v>
      </c>
      <c r="I6012" s="50" t="s">
        <v>287</v>
      </c>
      <c r="J6012" s="51">
        <v>45913</v>
      </c>
      <c r="K6012" s="59" t="s">
        <v>3</v>
      </c>
      <c r="L6012" s="50" t="s">
        <v>80</v>
      </c>
    </row>
    <row r="6013" spans="2:12">
      <c r="B6013" s="50" t="s">
        <v>437</v>
      </c>
      <c r="C6013" s="50" t="s">
        <v>51</v>
      </c>
      <c r="D6013" s="50" t="s">
        <v>41</v>
      </c>
      <c r="E6013" s="50">
        <v>50038956</v>
      </c>
      <c r="F6013" s="50" t="s">
        <v>177</v>
      </c>
      <c r="G6013" s="50">
        <v>1</v>
      </c>
      <c r="H6013" s="50" t="s">
        <v>2</v>
      </c>
      <c r="I6013" s="50" t="s">
        <v>287</v>
      </c>
      <c r="J6013" s="51">
        <v>45913</v>
      </c>
      <c r="K6013" s="59" t="s">
        <v>1</v>
      </c>
      <c r="L6013" s="50" t="s">
        <v>80</v>
      </c>
    </row>
    <row r="6014" spans="2:12">
      <c r="B6014" s="50" t="s">
        <v>469</v>
      </c>
      <c r="C6014" s="50" t="str">
        <f>IFERROR(VLOOKUP(#REF!,'BD COLABORADORES'!A:E,7,FALSE),"")</f>
        <v/>
      </c>
      <c r="D6014" s="50" t="str">
        <f>IFERROR(VLOOKUP(#REF!,'BD COLABORADORES'!A:E,2,FALSE),"")</f>
        <v/>
      </c>
      <c r="E6014" s="50">
        <v>50037892</v>
      </c>
      <c r="F6014" s="50" t="str">
        <f>IFERROR(VLOOKUP(E6014,'BD MOVIMENTAÇÃO'!A:G,3,FALSE),"Não encontrado")</f>
        <v>LIXADEIRA BOSCH 2 / QUEBRADA</v>
      </c>
      <c r="G6014" s="58">
        <v>1</v>
      </c>
      <c r="H6014" s="59" t="s">
        <v>2</v>
      </c>
      <c r="I6014" s="59" t="s">
        <v>315</v>
      </c>
      <c r="J6014" s="63">
        <v>45913</v>
      </c>
      <c r="K6014" s="66" t="s">
        <v>1</v>
      </c>
      <c r="L6014" s="50" t="s">
        <v>80</v>
      </c>
    </row>
    <row r="6015" spans="2:12">
      <c r="B6015" s="50" t="s">
        <v>469</v>
      </c>
      <c r="C6015" s="50" t="str">
        <f>IFERROR(VLOOKUP(#REF!,'BD COLABORADORES'!A:E,7,FALSE),"")</f>
        <v/>
      </c>
      <c r="D6015" s="50" t="str">
        <f>IFERROR(VLOOKUP(#REF!,'BD COLABORADORES'!A:E,2,FALSE),"")</f>
        <v/>
      </c>
      <c r="E6015" s="50">
        <v>50037892</v>
      </c>
      <c r="F6015" s="50" t="str">
        <f>IFERROR(VLOOKUP(E6015,'BD MOVIMENTAÇÃO'!A:G,3,FALSE),"Não encontrado")</f>
        <v>LIXADEIRA BOSCH 2 / QUEBRADA</v>
      </c>
      <c r="G6015" s="58">
        <v>1</v>
      </c>
      <c r="H6015" s="59" t="s">
        <v>2</v>
      </c>
      <c r="I6015" s="59" t="s">
        <v>315</v>
      </c>
      <c r="J6015" s="63">
        <v>45913</v>
      </c>
      <c r="K6015" s="59" t="s">
        <v>1</v>
      </c>
      <c r="L6015" s="50" t="s">
        <v>80</v>
      </c>
    </row>
    <row r="6016" spans="2:12">
      <c r="B6016" s="50" t="s">
        <v>469</v>
      </c>
      <c r="C6016" s="67" t="str">
        <f>IFERROR(VLOOKUP(#REF!,'BD COLABORADORES'!A:E,7,FALSE),"")</f>
        <v/>
      </c>
      <c r="D6016" s="67" t="str">
        <f>IFERROR(VLOOKUP(#REF!,'BD COLABORADORES'!A:E,2,FALSE),"")</f>
        <v/>
      </c>
      <c r="E6016" s="67">
        <v>50001995</v>
      </c>
      <c r="F6016" s="67" t="str">
        <f>IFERROR(VLOOKUP(E6016,'BD MOVIMENTAÇÃO'!A:G,3,FALSE),"Não encontrado")</f>
        <v>MAQUINA DE SOLDA</v>
      </c>
      <c r="G6016" s="67">
        <v>1</v>
      </c>
      <c r="H6016" s="66" t="s">
        <v>2</v>
      </c>
      <c r="I6016" s="66" t="s">
        <v>315</v>
      </c>
      <c r="J6016" s="68">
        <v>45913</v>
      </c>
      <c r="K6016" s="50" t="s">
        <v>3</v>
      </c>
      <c r="L6016" s="50" t="s">
        <v>80</v>
      </c>
    </row>
    <row r="6017" spans="2:12">
      <c r="B6017" s="50" t="s">
        <v>469</v>
      </c>
      <c r="C6017" s="50" t="str">
        <f>IFERROR(VLOOKUP(#REF!,'BD COLABORADORES'!A:E,7,FALSE),"")</f>
        <v/>
      </c>
      <c r="D6017" s="50" t="str">
        <f>IFERROR(VLOOKUP(#REF!,'BD COLABORADORES'!A:E,2,FALSE),"")</f>
        <v/>
      </c>
      <c r="E6017" s="50">
        <v>50001995</v>
      </c>
      <c r="F6017" s="50" t="str">
        <f>IFERROR(VLOOKUP(E6017,'BD MOVIMENTAÇÃO'!A:G,3,FALSE),"Não encontrado")</f>
        <v>MAQUINA DE SOLDA</v>
      </c>
      <c r="G6017" s="58">
        <v>1</v>
      </c>
      <c r="H6017" s="59" t="s">
        <v>2</v>
      </c>
      <c r="I6017" s="59" t="s">
        <v>315</v>
      </c>
      <c r="J6017" s="63">
        <v>45913</v>
      </c>
      <c r="K6017" s="50" t="s">
        <v>3</v>
      </c>
      <c r="L6017" s="50" t="s">
        <v>80</v>
      </c>
    </row>
    <row r="6018" spans="2:12">
      <c r="B6018" s="50" t="s">
        <v>422</v>
      </c>
      <c r="C6018" s="50" t="s">
        <v>26</v>
      </c>
      <c r="D6018" s="50" t="s">
        <v>27</v>
      </c>
      <c r="E6018" s="50">
        <v>50043917</v>
      </c>
      <c r="F6018" s="50" t="s">
        <v>262</v>
      </c>
      <c r="G6018" s="50">
        <v>1</v>
      </c>
      <c r="H6018" s="50" t="s">
        <v>2</v>
      </c>
      <c r="I6018" s="50" t="s">
        <v>287</v>
      </c>
      <c r="J6018" s="51">
        <v>45913</v>
      </c>
      <c r="K6018" s="50" t="s">
        <v>1</v>
      </c>
      <c r="L6018" s="50" t="s">
        <v>80</v>
      </c>
    </row>
    <row r="6019" spans="2:12">
      <c r="B6019" s="50" t="s">
        <v>422</v>
      </c>
      <c r="C6019" s="50" t="s">
        <v>26</v>
      </c>
      <c r="D6019" s="50" t="s">
        <v>27</v>
      </c>
      <c r="E6019" s="50">
        <v>50043917</v>
      </c>
      <c r="F6019" s="50" t="s">
        <v>262</v>
      </c>
      <c r="G6019" s="50">
        <v>1</v>
      </c>
      <c r="H6019" s="50" t="s">
        <v>2</v>
      </c>
      <c r="I6019" s="50" t="s">
        <v>287</v>
      </c>
      <c r="J6019" s="51">
        <v>45913</v>
      </c>
      <c r="K6019" s="50" t="s">
        <v>1</v>
      </c>
      <c r="L6019" s="50" t="s">
        <v>80</v>
      </c>
    </row>
    <row r="6020" spans="2:12">
      <c r="B6020" s="50" t="s">
        <v>422</v>
      </c>
      <c r="C6020" s="50" t="s">
        <v>26</v>
      </c>
      <c r="D6020" s="50" t="s">
        <v>27</v>
      </c>
      <c r="E6020" s="50">
        <v>50020622</v>
      </c>
      <c r="F6020" s="50" t="s">
        <v>217</v>
      </c>
      <c r="G6020" s="50">
        <v>1</v>
      </c>
      <c r="H6020" s="50" t="s">
        <v>2</v>
      </c>
      <c r="I6020" s="50" t="s">
        <v>287</v>
      </c>
      <c r="J6020" s="51">
        <v>45913</v>
      </c>
      <c r="K6020" s="50" t="s">
        <v>3</v>
      </c>
      <c r="L6020" s="50" t="s">
        <v>80</v>
      </c>
    </row>
    <row r="6021" spans="2:12">
      <c r="B6021" s="50" t="s">
        <v>422</v>
      </c>
      <c r="C6021" s="50" t="s">
        <v>26</v>
      </c>
      <c r="D6021" s="50" t="s">
        <v>27</v>
      </c>
      <c r="E6021" s="50">
        <v>50020622</v>
      </c>
      <c r="F6021" s="50" t="s">
        <v>217</v>
      </c>
      <c r="G6021" s="50">
        <v>1</v>
      </c>
      <c r="H6021" s="50" t="s">
        <v>2</v>
      </c>
      <c r="I6021" s="50" t="s">
        <v>287</v>
      </c>
      <c r="J6021" s="51">
        <v>45913</v>
      </c>
      <c r="K6021" s="50" t="s">
        <v>1</v>
      </c>
      <c r="L6021" s="50" t="s">
        <v>80</v>
      </c>
    </row>
    <row r="6022" spans="2:12">
      <c r="B6022" s="50" t="s">
        <v>25</v>
      </c>
      <c r="C6022" s="50" t="s">
        <v>26</v>
      </c>
      <c r="D6022" s="50" t="s">
        <v>27</v>
      </c>
      <c r="E6022" s="50">
        <v>50038854</v>
      </c>
      <c r="F6022" s="50" t="s">
        <v>101</v>
      </c>
      <c r="G6022" s="50">
        <v>1</v>
      </c>
      <c r="H6022" s="50" t="s">
        <v>2</v>
      </c>
      <c r="I6022" s="50" t="s">
        <v>291</v>
      </c>
      <c r="J6022" s="51">
        <v>45912</v>
      </c>
      <c r="K6022" s="50" t="s">
        <v>3</v>
      </c>
      <c r="L6022" s="50" t="s">
        <v>80</v>
      </c>
    </row>
    <row r="6023" spans="2:12">
      <c r="B6023" s="50" t="s">
        <v>25</v>
      </c>
      <c r="C6023" s="50" t="s">
        <v>26</v>
      </c>
      <c r="D6023" s="50" t="s">
        <v>27</v>
      </c>
      <c r="E6023" s="50">
        <v>50038854</v>
      </c>
      <c r="F6023" s="50" t="s">
        <v>101</v>
      </c>
      <c r="G6023" s="50">
        <v>1</v>
      </c>
      <c r="H6023" s="50" t="s">
        <v>2</v>
      </c>
      <c r="I6023" s="50" t="s">
        <v>291</v>
      </c>
      <c r="J6023" s="51">
        <v>45912</v>
      </c>
      <c r="K6023" s="50" t="s">
        <v>1</v>
      </c>
      <c r="L6023" s="50" t="s">
        <v>80</v>
      </c>
    </row>
    <row r="6024" spans="2:12">
      <c r="B6024" s="50" t="s">
        <v>409</v>
      </c>
      <c r="C6024" s="50" t="s">
        <v>51</v>
      </c>
      <c r="D6024" s="50" t="s">
        <v>27</v>
      </c>
      <c r="E6024" s="50">
        <v>50036288</v>
      </c>
      <c r="F6024" s="50" t="s">
        <v>125</v>
      </c>
      <c r="G6024" s="50">
        <v>1</v>
      </c>
      <c r="H6024" s="50" t="s">
        <v>2</v>
      </c>
      <c r="I6024" s="50" t="s">
        <v>291</v>
      </c>
      <c r="J6024" s="51">
        <v>45912</v>
      </c>
      <c r="K6024" s="50" t="s">
        <v>1</v>
      </c>
      <c r="L6024" s="50" t="s">
        <v>80</v>
      </c>
    </row>
    <row r="6025" spans="2:12">
      <c r="B6025" s="50" t="s">
        <v>280</v>
      </c>
      <c r="C6025" s="50" t="s">
        <v>62</v>
      </c>
      <c r="D6025" s="50" t="s">
        <v>27</v>
      </c>
      <c r="E6025" s="50">
        <v>50043471</v>
      </c>
      <c r="F6025" s="50" t="s">
        <v>257</v>
      </c>
      <c r="G6025" s="50">
        <v>1</v>
      </c>
      <c r="H6025" s="50" t="s">
        <v>2</v>
      </c>
      <c r="I6025" s="50" t="s">
        <v>293</v>
      </c>
      <c r="J6025" s="51">
        <v>45912</v>
      </c>
      <c r="K6025" s="50" t="s">
        <v>3</v>
      </c>
      <c r="L6025" s="50" t="s">
        <v>80</v>
      </c>
    </row>
    <row r="6026" spans="2:12">
      <c r="B6026" s="50" t="s">
        <v>280</v>
      </c>
      <c r="C6026" s="50" t="s">
        <v>62</v>
      </c>
      <c r="D6026" s="50" t="s">
        <v>27</v>
      </c>
      <c r="E6026" s="50">
        <v>50043471</v>
      </c>
      <c r="F6026" s="50" t="s">
        <v>257</v>
      </c>
      <c r="G6026" s="50">
        <v>1</v>
      </c>
      <c r="H6026" s="50" t="s">
        <v>2</v>
      </c>
      <c r="I6026" s="50" t="s">
        <v>293</v>
      </c>
      <c r="J6026" s="51">
        <v>45912</v>
      </c>
      <c r="K6026" s="50" t="s">
        <v>1</v>
      </c>
      <c r="L6026" s="50" t="s">
        <v>80</v>
      </c>
    </row>
    <row r="6027" spans="2:12">
      <c r="B6027" s="50" t="s">
        <v>445</v>
      </c>
      <c r="C6027" s="50" t="s">
        <v>51</v>
      </c>
      <c r="D6027" s="50" t="s">
        <v>41</v>
      </c>
      <c r="E6027" s="50">
        <v>50043471</v>
      </c>
      <c r="F6027" s="50" t="s">
        <v>257</v>
      </c>
      <c r="G6027" s="50">
        <v>1</v>
      </c>
      <c r="H6027" s="50" t="s">
        <v>2</v>
      </c>
      <c r="I6027" s="50" t="s">
        <v>293</v>
      </c>
      <c r="J6027" s="51">
        <v>45912</v>
      </c>
      <c r="K6027" s="50" t="s">
        <v>3</v>
      </c>
      <c r="L6027" s="50" t="s">
        <v>80</v>
      </c>
    </row>
    <row r="6028" spans="2:12">
      <c r="B6028" s="50" t="s">
        <v>445</v>
      </c>
      <c r="C6028" s="50" t="s">
        <v>51</v>
      </c>
      <c r="D6028" s="50" t="s">
        <v>41</v>
      </c>
      <c r="E6028" s="50">
        <v>50043471</v>
      </c>
      <c r="F6028" s="50" t="s">
        <v>257</v>
      </c>
      <c r="G6028" s="50">
        <v>1</v>
      </c>
      <c r="H6028" s="50" t="s">
        <v>2</v>
      </c>
      <c r="I6028" s="50" t="s">
        <v>287</v>
      </c>
      <c r="J6028" s="51">
        <v>45912</v>
      </c>
      <c r="K6028" s="50" t="s">
        <v>1</v>
      </c>
      <c r="L6028" s="50" t="s">
        <v>80</v>
      </c>
    </row>
    <row r="6029" spans="2:12">
      <c r="B6029" s="50" t="s">
        <v>483</v>
      </c>
      <c r="C6029" s="50" t="s">
        <v>62</v>
      </c>
      <c r="D6029" s="50" t="s">
        <v>27</v>
      </c>
      <c r="E6029" s="50">
        <v>50003297</v>
      </c>
      <c r="F6029" s="50" t="s">
        <v>158</v>
      </c>
      <c r="G6029" s="50">
        <v>1</v>
      </c>
      <c r="H6029" s="50" t="s">
        <v>2</v>
      </c>
      <c r="I6029" s="50" t="s">
        <v>292</v>
      </c>
      <c r="J6029" s="51">
        <v>45912</v>
      </c>
      <c r="K6029" s="50" t="s">
        <v>3</v>
      </c>
      <c r="L6029" s="50" t="s">
        <v>80</v>
      </c>
    </row>
    <row r="6030" spans="2:12">
      <c r="B6030" s="50" t="s">
        <v>483</v>
      </c>
      <c r="C6030" s="50" t="s">
        <v>62</v>
      </c>
      <c r="D6030" s="50" t="s">
        <v>27</v>
      </c>
      <c r="E6030" s="50">
        <v>50003297</v>
      </c>
      <c r="F6030" s="50" t="s">
        <v>158</v>
      </c>
      <c r="G6030" s="50">
        <v>1</v>
      </c>
      <c r="H6030" s="50" t="s">
        <v>2</v>
      </c>
      <c r="I6030" s="50" t="s">
        <v>292</v>
      </c>
      <c r="J6030" s="51">
        <v>45912</v>
      </c>
      <c r="K6030" s="50" t="s">
        <v>1</v>
      </c>
      <c r="L6030" s="50" t="s">
        <v>80</v>
      </c>
    </row>
    <row r="6031" spans="2:12">
      <c r="B6031" s="50" t="s">
        <v>422</v>
      </c>
      <c r="C6031" s="50" t="s">
        <v>26</v>
      </c>
      <c r="D6031" s="50" t="s">
        <v>27</v>
      </c>
      <c r="E6031" s="50">
        <v>50038549</v>
      </c>
      <c r="F6031" s="50" t="s">
        <v>173</v>
      </c>
      <c r="G6031" s="50">
        <v>1</v>
      </c>
      <c r="H6031" s="50" t="s">
        <v>2</v>
      </c>
      <c r="I6031" s="50" t="s">
        <v>293</v>
      </c>
      <c r="J6031" s="51">
        <v>45912</v>
      </c>
      <c r="K6031" s="50" t="s">
        <v>3</v>
      </c>
      <c r="L6031" s="50" t="s">
        <v>80</v>
      </c>
    </row>
    <row r="6032" spans="2:12">
      <c r="B6032" s="50" t="s">
        <v>422</v>
      </c>
      <c r="C6032" s="50" t="s">
        <v>26</v>
      </c>
      <c r="D6032" s="50" t="s">
        <v>27</v>
      </c>
      <c r="E6032" s="50">
        <v>50038549</v>
      </c>
      <c r="F6032" s="50" t="s">
        <v>173</v>
      </c>
      <c r="G6032" s="50">
        <v>1</v>
      </c>
      <c r="H6032" s="50" t="s">
        <v>2</v>
      </c>
      <c r="I6032" s="50" t="s">
        <v>291</v>
      </c>
      <c r="J6032" s="51">
        <v>45912</v>
      </c>
      <c r="K6032" s="50" t="s">
        <v>1</v>
      </c>
      <c r="L6032" s="50" t="s">
        <v>80</v>
      </c>
    </row>
    <row r="6033" spans="2:12">
      <c r="B6033" s="50" t="s">
        <v>471</v>
      </c>
      <c r="C6033" s="50" t="s">
        <v>26</v>
      </c>
      <c r="D6033" s="50" t="s">
        <v>27</v>
      </c>
      <c r="E6033" s="50">
        <v>50038956</v>
      </c>
      <c r="F6033" s="50" t="s">
        <v>177</v>
      </c>
      <c r="G6033" s="50">
        <v>1</v>
      </c>
      <c r="H6033" s="50" t="s">
        <v>2</v>
      </c>
      <c r="I6033" s="50" t="s">
        <v>289</v>
      </c>
      <c r="J6033" s="51">
        <v>45912</v>
      </c>
      <c r="K6033" s="50" t="s">
        <v>3</v>
      </c>
      <c r="L6033" s="50" t="s">
        <v>80</v>
      </c>
    </row>
    <row r="6034" spans="2:12">
      <c r="B6034" s="50" t="s">
        <v>471</v>
      </c>
      <c r="C6034" s="50" t="s">
        <v>26</v>
      </c>
      <c r="D6034" s="50" t="s">
        <v>27</v>
      </c>
      <c r="E6034" s="50">
        <v>50038956</v>
      </c>
      <c r="F6034" s="50" t="s">
        <v>177</v>
      </c>
      <c r="G6034" s="50">
        <v>1</v>
      </c>
      <c r="H6034" s="50" t="s">
        <v>2</v>
      </c>
      <c r="I6034" s="50" t="s">
        <v>289</v>
      </c>
      <c r="J6034" s="51">
        <v>45912</v>
      </c>
      <c r="K6034" s="50" t="s">
        <v>1</v>
      </c>
      <c r="L6034" s="50" t="s">
        <v>80</v>
      </c>
    </row>
    <row r="6035" spans="2:12">
      <c r="B6035" s="50" t="s">
        <v>316</v>
      </c>
      <c r="C6035" s="50" t="s">
        <v>56</v>
      </c>
      <c r="D6035" s="50" t="s">
        <v>27</v>
      </c>
      <c r="E6035" s="50">
        <v>50038956</v>
      </c>
      <c r="F6035" s="50" t="s">
        <v>177</v>
      </c>
      <c r="G6035" s="50">
        <v>1</v>
      </c>
      <c r="H6035" s="50" t="s">
        <v>2</v>
      </c>
      <c r="I6035" s="50" t="s">
        <v>289</v>
      </c>
      <c r="J6035" s="51">
        <v>45912</v>
      </c>
      <c r="K6035" s="50" t="s">
        <v>3</v>
      </c>
      <c r="L6035" s="50" t="s">
        <v>80</v>
      </c>
    </row>
    <row r="6036" spans="2:12">
      <c r="B6036" s="50" t="s">
        <v>316</v>
      </c>
      <c r="C6036" s="50" t="s">
        <v>56</v>
      </c>
      <c r="D6036" s="50" t="s">
        <v>27</v>
      </c>
      <c r="E6036" s="50">
        <v>50038956</v>
      </c>
      <c r="F6036" s="50" t="s">
        <v>177</v>
      </c>
      <c r="G6036" s="50">
        <v>1</v>
      </c>
      <c r="H6036" s="50" t="s">
        <v>2</v>
      </c>
      <c r="I6036" s="50" t="s">
        <v>291</v>
      </c>
      <c r="J6036" s="51">
        <v>45912</v>
      </c>
      <c r="K6036" s="50" t="s">
        <v>3</v>
      </c>
      <c r="L6036" s="50" t="s">
        <v>80</v>
      </c>
    </row>
    <row r="6037" spans="2:12">
      <c r="B6037" s="50" t="s">
        <v>409</v>
      </c>
      <c r="C6037" s="50" t="s">
        <v>51</v>
      </c>
      <c r="D6037" s="50" t="s">
        <v>27</v>
      </c>
      <c r="E6037" s="50">
        <v>50038841</v>
      </c>
      <c r="F6037" s="50" t="s">
        <v>180</v>
      </c>
      <c r="G6037" s="50">
        <v>1</v>
      </c>
      <c r="H6037" s="50" t="s">
        <v>2</v>
      </c>
      <c r="I6037" s="50" t="s">
        <v>291</v>
      </c>
      <c r="J6037" s="51">
        <v>45912</v>
      </c>
      <c r="K6037" s="50" t="s">
        <v>1</v>
      </c>
      <c r="L6037" s="50" t="s">
        <v>80</v>
      </c>
    </row>
    <row r="6038" spans="2:12">
      <c r="B6038" s="50" t="s">
        <v>409</v>
      </c>
      <c r="C6038" s="50" t="s">
        <v>51</v>
      </c>
      <c r="D6038" s="50" t="s">
        <v>27</v>
      </c>
      <c r="E6038" s="50">
        <v>50038841</v>
      </c>
      <c r="F6038" s="50" t="s">
        <v>180</v>
      </c>
      <c r="G6038" s="50">
        <v>1</v>
      </c>
      <c r="H6038" s="50" t="s">
        <v>2</v>
      </c>
      <c r="I6038" s="50" t="s">
        <v>291</v>
      </c>
      <c r="J6038" s="51">
        <v>45912</v>
      </c>
      <c r="K6038" s="50" t="s">
        <v>3</v>
      </c>
      <c r="L6038" s="50" t="s">
        <v>80</v>
      </c>
    </row>
    <row r="6039" spans="2:12">
      <c r="B6039" s="50" t="s">
        <v>409</v>
      </c>
      <c r="C6039" s="50" t="s">
        <v>51</v>
      </c>
      <c r="D6039" s="50" t="s">
        <v>27</v>
      </c>
      <c r="E6039" s="50">
        <v>50038517</v>
      </c>
      <c r="F6039" s="50" t="s">
        <v>181</v>
      </c>
      <c r="G6039" s="50">
        <v>1</v>
      </c>
      <c r="H6039" s="50" t="s">
        <v>2</v>
      </c>
      <c r="I6039" s="50" t="s">
        <v>288</v>
      </c>
      <c r="J6039" s="51">
        <v>45912</v>
      </c>
      <c r="K6039" s="50" t="s">
        <v>1</v>
      </c>
      <c r="L6039" s="50" t="s">
        <v>80</v>
      </c>
    </row>
    <row r="6040" spans="2:12">
      <c r="B6040" s="50" t="s">
        <v>409</v>
      </c>
      <c r="C6040" s="50" t="s">
        <v>51</v>
      </c>
      <c r="D6040" s="50" t="s">
        <v>27</v>
      </c>
      <c r="E6040" s="50">
        <v>50038517</v>
      </c>
      <c r="F6040" s="50" t="s">
        <v>181</v>
      </c>
      <c r="G6040" s="50">
        <v>1</v>
      </c>
      <c r="H6040" s="50" t="s">
        <v>2</v>
      </c>
      <c r="I6040" s="50" t="s">
        <v>288</v>
      </c>
      <c r="J6040" s="51">
        <v>45912</v>
      </c>
      <c r="K6040" s="50" t="s">
        <v>1</v>
      </c>
      <c r="L6040" s="50" t="s">
        <v>80</v>
      </c>
    </row>
    <row r="6041" spans="2:12">
      <c r="B6041" s="50" t="s">
        <v>483</v>
      </c>
      <c r="C6041" s="50" t="s">
        <v>62</v>
      </c>
      <c r="D6041" s="50" t="s">
        <v>27</v>
      </c>
      <c r="E6041" s="50">
        <v>50037903</v>
      </c>
      <c r="F6041" s="50" t="s">
        <v>183</v>
      </c>
      <c r="G6041" s="50">
        <v>1</v>
      </c>
      <c r="H6041" s="50" t="s">
        <v>2</v>
      </c>
      <c r="I6041" s="50" t="s">
        <v>291</v>
      </c>
      <c r="J6041" s="51">
        <v>45912</v>
      </c>
      <c r="K6041" s="50" t="s">
        <v>3</v>
      </c>
      <c r="L6041" s="50" t="s">
        <v>80</v>
      </c>
    </row>
    <row r="6042" spans="2:12">
      <c r="B6042" s="50" t="s">
        <v>483</v>
      </c>
      <c r="C6042" s="50" t="s">
        <v>62</v>
      </c>
      <c r="D6042" s="50" t="s">
        <v>27</v>
      </c>
      <c r="E6042" s="50">
        <v>50037903</v>
      </c>
      <c r="F6042" s="50" t="s">
        <v>183</v>
      </c>
      <c r="G6042" s="50">
        <v>1</v>
      </c>
      <c r="H6042" s="50" t="s">
        <v>2</v>
      </c>
      <c r="I6042" s="50" t="s">
        <v>291</v>
      </c>
      <c r="J6042" s="51">
        <v>45912</v>
      </c>
      <c r="K6042" s="50" t="s">
        <v>1</v>
      </c>
      <c r="L6042" s="50" t="s">
        <v>80</v>
      </c>
    </row>
    <row r="6043" spans="2:12">
      <c r="B6043" s="50" t="s">
        <v>471</v>
      </c>
      <c r="C6043" s="50" t="s">
        <v>26</v>
      </c>
      <c r="D6043" s="50" t="s">
        <v>27</v>
      </c>
      <c r="E6043" s="50">
        <v>50039065</v>
      </c>
      <c r="F6043" s="50" t="s">
        <v>186</v>
      </c>
      <c r="G6043" s="50">
        <v>1</v>
      </c>
      <c r="H6043" s="50" t="s">
        <v>2</v>
      </c>
      <c r="I6043" s="50" t="s">
        <v>289</v>
      </c>
      <c r="J6043" s="51">
        <v>45912</v>
      </c>
      <c r="K6043" s="50" t="s">
        <v>3</v>
      </c>
      <c r="L6043" s="50" t="s">
        <v>80</v>
      </c>
    </row>
    <row r="6044" spans="2:12">
      <c r="B6044" s="50" t="s">
        <v>471</v>
      </c>
      <c r="C6044" s="50" t="s">
        <v>26</v>
      </c>
      <c r="D6044" s="50" t="s">
        <v>27</v>
      </c>
      <c r="E6044" s="50">
        <v>50039065</v>
      </c>
      <c r="F6044" s="50" t="s">
        <v>186</v>
      </c>
      <c r="G6044" s="50">
        <v>1</v>
      </c>
      <c r="H6044" s="50" t="s">
        <v>2</v>
      </c>
      <c r="I6044" s="50" t="s">
        <v>289</v>
      </c>
      <c r="J6044" s="51">
        <v>45912</v>
      </c>
      <c r="K6044" s="50" t="s">
        <v>1</v>
      </c>
      <c r="L6044" s="50" t="s">
        <v>80</v>
      </c>
    </row>
    <row r="6045" spans="2:12">
      <c r="B6045" s="50" t="s">
        <v>409</v>
      </c>
      <c r="C6045" s="50" t="s">
        <v>51</v>
      </c>
      <c r="D6045" s="50" t="s">
        <v>27</v>
      </c>
      <c r="E6045" s="50">
        <v>50039065</v>
      </c>
      <c r="F6045" s="50" t="s">
        <v>186</v>
      </c>
      <c r="G6045" s="50">
        <v>1</v>
      </c>
      <c r="H6045" s="50" t="s">
        <v>2</v>
      </c>
      <c r="I6045" s="50" t="s">
        <v>291</v>
      </c>
      <c r="J6045" s="51">
        <v>45912</v>
      </c>
      <c r="K6045" s="50" t="s">
        <v>3</v>
      </c>
      <c r="L6045" s="50" t="s">
        <v>80</v>
      </c>
    </row>
    <row r="6046" spans="2:12">
      <c r="B6046" s="50" t="s">
        <v>409</v>
      </c>
      <c r="C6046" s="50" t="s">
        <v>51</v>
      </c>
      <c r="D6046" s="50" t="s">
        <v>27</v>
      </c>
      <c r="E6046" s="50">
        <v>50039065</v>
      </c>
      <c r="F6046" s="50" t="s">
        <v>186</v>
      </c>
      <c r="G6046" s="50">
        <v>1</v>
      </c>
      <c r="H6046" s="50" t="s">
        <v>2</v>
      </c>
      <c r="I6046" s="50" t="s">
        <v>291</v>
      </c>
      <c r="J6046" s="51">
        <v>45912</v>
      </c>
      <c r="K6046" s="50" t="s">
        <v>1</v>
      </c>
      <c r="L6046" s="50" t="s">
        <v>80</v>
      </c>
    </row>
    <row r="6047" spans="2:12">
      <c r="B6047" s="50" t="s">
        <v>483</v>
      </c>
      <c r="C6047" s="50" t="s">
        <v>62</v>
      </c>
      <c r="D6047" s="50" t="s">
        <v>27</v>
      </c>
      <c r="E6047" s="50">
        <v>50038662</v>
      </c>
      <c r="F6047" s="50" t="s">
        <v>193</v>
      </c>
      <c r="G6047" s="50">
        <v>1</v>
      </c>
      <c r="H6047" s="50" t="s">
        <v>2</v>
      </c>
      <c r="I6047" s="50" t="s">
        <v>292</v>
      </c>
      <c r="J6047" s="51">
        <v>45912</v>
      </c>
      <c r="K6047" s="50" t="s">
        <v>3</v>
      </c>
      <c r="L6047" s="50" t="s">
        <v>80</v>
      </c>
    </row>
    <row r="6048" spans="2:12">
      <c r="B6048" s="50" t="s">
        <v>483</v>
      </c>
      <c r="C6048" s="50" t="s">
        <v>62</v>
      </c>
      <c r="D6048" s="50" t="s">
        <v>27</v>
      </c>
      <c r="E6048" s="50">
        <v>50038662</v>
      </c>
      <c r="F6048" s="50" t="s">
        <v>193</v>
      </c>
      <c r="G6048" s="50">
        <v>1</v>
      </c>
      <c r="H6048" s="50" t="s">
        <v>2</v>
      </c>
      <c r="I6048" s="50" t="s">
        <v>291</v>
      </c>
      <c r="J6048" s="51">
        <v>45912</v>
      </c>
      <c r="K6048" s="50" t="s">
        <v>3</v>
      </c>
      <c r="L6048" s="50" t="s">
        <v>80</v>
      </c>
    </row>
    <row r="6049" spans="2:12">
      <c r="B6049" s="50" t="s">
        <v>458</v>
      </c>
      <c r="C6049" s="50" t="s">
        <v>26</v>
      </c>
      <c r="D6049" s="50" t="s">
        <v>27</v>
      </c>
      <c r="E6049" s="50">
        <v>50043917</v>
      </c>
      <c r="F6049" s="50" t="s">
        <v>262</v>
      </c>
      <c r="G6049" s="50">
        <v>1</v>
      </c>
      <c r="H6049" s="50" t="s">
        <v>2</v>
      </c>
      <c r="I6049" s="50" t="s">
        <v>293</v>
      </c>
      <c r="J6049" s="51">
        <v>45912</v>
      </c>
      <c r="K6049" s="50" t="s">
        <v>1</v>
      </c>
      <c r="L6049" s="50" t="s">
        <v>80</v>
      </c>
    </row>
    <row r="6050" spans="2:12">
      <c r="B6050" s="50" t="s">
        <v>458</v>
      </c>
      <c r="C6050" s="50" t="s">
        <v>26</v>
      </c>
      <c r="D6050" s="50" t="s">
        <v>27</v>
      </c>
      <c r="E6050" s="50">
        <v>50043917</v>
      </c>
      <c r="F6050" s="50" t="s">
        <v>262</v>
      </c>
      <c r="G6050" s="50">
        <v>1</v>
      </c>
      <c r="H6050" s="50" t="s">
        <v>2</v>
      </c>
      <c r="I6050" s="50" t="s">
        <v>292</v>
      </c>
      <c r="J6050" s="51">
        <v>45912</v>
      </c>
      <c r="K6050" s="50" t="s">
        <v>1</v>
      </c>
      <c r="L6050" s="50" t="s">
        <v>80</v>
      </c>
    </row>
    <row r="6051" spans="2:12">
      <c r="B6051" s="50" t="s">
        <v>345</v>
      </c>
      <c r="C6051" s="50" t="s">
        <v>62</v>
      </c>
      <c r="D6051" s="50" t="s">
        <v>27</v>
      </c>
      <c r="E6051" s="50">
        <v>50020622</v>
      </c>
      <c r="F6051" s="50" t="s">
        <v>217</v>
      </c>
      <c r="G6051" s="50">
        <v>1</v>
      </c>
      <c r="H6051" s="50" t="s">
        <v>2</v>
      </c>
      <c r="I6051" s="50" t="s">
        <v>293</v>
      </c>
      <c r="J6051" s="51">
        <v>45912</v>
      </c>
      <c r="K6051" s="50" t="s">
        <v>1</v>
      </c>
      <c r="L6051" s="50" t="s">
        <v>80</v>
      </c>
    </row>
    <row r="6052" spans="2:12">
      <c r="B6052" s="50" t="s">
        <v>483</v>
      </c>
      <c r="C6052" s="50" t="s">
        <v>62</v>
      </c>
      <c r="D6052" s="50" t="s">
        <v>27</v>
      </c>
      <c r="E6052" s="50">
        <v>50038840</v>
      </c>
      <c r="F6052" s="50" t="s">
        <v>235</v>
      </c>
      <c r="G6052" s="50">
        <v>1</v>
      </c>
      <c r="H6052" s="50" t="s">
        <v>2</v>
      </c>
      <c r="I6052" s="50" t="s">
        <v>292</v>
      </c>
      <c r="J6052" s="51">
        <v>45912</v>
      </c>
      <c r="K6052" s="50" t="s">
        <v>3</v>
      </c>
      <c r="L6052" s="50" t="s">
        <v>80</v>
      </c>
    </row>
    <row r="6053" spans="2:12">
      <c r="B6053" s="50" t="s">
        <v>483</v>
      </c>
      <c r="C6053" s="50" t="s">
        <v>62</v>
      </c>
      <c r="D6053" s="50" t="s">
        <v>27</v>
      </c>
      <c r="E6053" s="50">
        <v>50038840</v>
      </c>
      <c r="F6053" s="50" t="s">
        <v>235</v>
      </c>
      <c r="G6053" s="50">
        <v>1</v>
      </c>
      <c r="H6053" s="50" t="s">
        <v>2</v>
      </c>
      <c r="I6053" s="50" t="s">
        <v>291</v>
      </c>
      <c r="J6053" s="51">
        <v>45912</v>
      </c>
      <c r="K6053" s="50" t="s">
        <v>1</v>
      </c>
      <c r="L6053" s="50" t="s">
        <v>80</v>
      </c>
    </row>
    <row r="6054" spans="2:12">
      <c r="B6054" s="50" t="s">
        <v>386</v>
      </c>
      <c r="C6054" s="50" t="s">
        <v>26</v>
      </c>
      <c r="D6054" s="50" t="s">
        <v>27</v>
      </c>
      <c r="E6054" s="50">
        <v>50037952</v>
      </c>
      <c r="F6054" s="50" t="s">
        <v>245</v>
      </c>
      <c r="G6054" s="50">
        <v>1</v>
      </c>
      <c r="H6054" s="50" t="s">
        <v>2</v>
      </c>
      <c r="I6054" s="50" t="s">
        <v>292</v>
      </c>
      <c r="J6054" s="51">
        <v>45912</v>
      </c>
      <c r="K6054" s="50" t="s">
        <v>3</v>
      </c>
      <c r="L6054" s="50" t="s">
        <v>80</v>
      </c>
    </row>
    <row r="6055" spans="2:12">
      <c r="B6055" s="50" t="s">
        <v>386</v>
      </c>
      <c r="C6055" s="50" t="s">
        <v>26</v>
      </c>
      <c r="D6055" s="50" t="s">
        <v>27</v>
      </c>
      <c r="E6055" s="50">
        <v>50037952</v>
      </c>
      <c r="F6055" s="50" t="s">
        <v>245</v>
      </c>
      <c r="G6055" s="50">
        <v>1</v>
      </c>
      <c r="H6055" s="50" t="s">
        <v>2</v>
      </c>
      <c r="I6055" s="50" t="s">
        <v>291</v>
      </c>
      <c r="J6055" s="51">
        <v>45912</v>
      </c>
      <c r="K6055" s="50" t="s">
        <v>1</v>
      </c>
      <c r="L6055" s="50" t="s">
        <v>80</v>
      </c>
    </row>
    <row r="6056" spans="2:12">
      <c r="B6056" s="50" t="s">
        <v>407</v>
      </c>
      <c r="C6056" s="50" t="s">
        <v>26</v>
      </c>
      <c r="D6056" s="50" t="s">
        <v>27</v>
      </c>
      <c r="E6056" s="50">
        <v>50036296</v>
      </c>
      <c r="F6056" s="50" t="s">
        <v>109</v>
      </c>
      <c r="G6056" s="50">
        <v>1</v>
      </c>
      <c r="H6056" s="50" t="s">
        <v>2</v>
      </c>
      <c r="I6056" s="50" t="s">
        <v>292</v>
      </c>
      <c r="J6056" s="51">
        <v>45911</v>
      </c>
      <c r="K6056" s="50" t="s">
        <v>3</v>
      </c>
      <c r="L6056" s="50" t="s">
        <v>80</v>
      </c>
    </row>
    <row r="6057" spans="2:12">
      <c r="B6057" s="50" t="s">
        <v>407</v>
      </c>
      <c r="C6057" s="50" t="s">
        <v>26</v>
      </c>
      <c r="D6057" s="50" t="s">
        <v>27</v>
      </c>
      <c r="E6057" s="50">
        <v>50036296</v>
      </c>
      <c r="F6057" s="50" t="s">
        <v>109</v>
      </c>
      <c r="G6057" s="50">
        <v>1</v>
      </c>
      <c r="H6057" s="50" t="s">
        <v>2</v>
      </c>
      <c r="I6057" s="50" t="s">
        <v>291</v>
      </c>
      <c r="J6057" s="51">
        <v>45911</v>
      </c>
      <c r="K6057" s="50" t="s">
        <v>1</v>
      </c>
      <c r="L6057" s="50" t="s">
        <v>80</v>
      </c>
    </row>
    <row r="6058" spans="2:12">
      <c r="B6058" s="50" t="s">
        <v>458</v>
      </c>
      <c r="C6058" s="50" t="s">
        <v>26</v>
      </c>
      <c r="D6058" s="50" t="s">
        <v>27</v>
      </c>
      <c r="E6058" s="50">
        <v>50039718</v>
      </c>
      <c r="F6058" s="50" t="s">
        <v>149</v>
      </c>
      <c r="G6058" s="50">
        <v>1</v>
      </c>
      <c r="H6058" s="50" t="s">
        <v>2</v>
      </c>
      <c r="I6058" s="50" t="s">
        <v>289</v>
      </c>
      <c r="J6058" s="51">
        <v>45911</v>
      </c>
      <c r="K6058" s="50" t="s">
        <v>3</v>
      </c>
      <c r="L6058" s="50" t="s">
        <v>80</v>
      </c>
    </row>
    <row r="6059" spans="2:12">
      <c r="B6059" s="50" t="s">
        <v>458</v>
      </c>
      <c r="C6059" s="50" t="s">
        <v>26</v>
      </c>
      <c r="D6059" s="50" t="s">
        <v>27</v>
      </c>
      <c r="E6059" s="50">
        <v>50039718</v>
      </c>
      <c r="F6059" s="50" t="s">
        <v>149</v>
      </c>
      <c r="G6059" s="50">
        <v>1</v>
      </c>
      <c r="H6059" s="50" t="s">
        <v>2</v>
      </c>
      <c r="I6059" s="50" t="s">
        <v>292</v>
      </c>
      <c r="J6059" s="51">
        <v>45911</v>
      </c>
      <c r="K6059" s="50" t="s">
        <v>1</v>
      </c>
      <c r="L6059" s="50" t="s">
        <v>80</v>
      </c>
    </row>
    <row r="6060" spans="2:12">
      <c r="B6060" s="50" t="e">
        <v>#N/A</v>
      </c>
      <c r="C6060" s="50" t="s">
        <v>26</v>
      </c>
      <c r="D6060" s="50" t="s">
        <v>39</v>
      </c>
      <c r="E6060" s="50">
        <v>50037905</v>
      </c>
      <c r="F6060" s="50" t="s">
        <v>150</v>
      </c>
      <c r="G6060" s="50">
        <v>1</v>
      </c>
      <c r="H6060" s="50" t="s">
        <v>2</v>
      </c>
      <c r="I6060" s="50" t="s">
        <v>289</v>
      </c>
      <c r="J6060" s="51">
        <v>45911</v>
      </c>
      <c r="K6060" s="50" t="s">
        <v>3</v>
      </c>
      <c r="L6060" s="50" t="s">
        <v>80</v>
      </c>
    </row>
    <row r="6061" spans="2:12">
      <c r="B6061" s="50" t="e">
        <v>#N/A</v>
      </c>
      <c r="C6061" s="50" t="s">
        <v>26</v>
      </c>
      <c r="D6061" s="50" t="s">
        <v>39</v>
      </c>
      <c r="E6061" s="50">
        <v>50037905</v>
      </c>
      <c r="F6061" s="50" t="s">
        <v>150</v>
      </c>
      <c r="G6061" s="50">
        <v>1</v>
      </c>
      <c r="H6061" s="50" t="s">
        <v>4</v>
      </c>
      <c r="I6061" s="50" t="s">
        <v>292</v>
      </c>
      <c r="J6061" s="51">
        <v>45911</v>
      </c>
      <c r="K6061" s="50" t="s">
        <v>1</v>
      </c>
      <c r="L6061" s="50" t="s">
        <v>80</v>
      </c>
    </row>
    <row r="6062" spans="2:12">
      <c r="B6062" s="50" t="s">
        <v>422</v>
      </c>
      <c r="C6062" s="50" t="s">
        <v>26</v>
      </c>
      <c r="D6062" s="50" t="s">
        <v>27</v>
      </c>
      <c r="E6062" s="50">
        <v>50037905</v>
      </c>
      <c r="F6062" s="50" t="s">
        <v>150</v>
      </c>
      <c r="G6062" s="50">
        <v>1</v>
      </c>
      <c r="H6062" s="50" t="s">
        <v>4</v>
      </c>
      <c r="I6062" s="50" t="s">
        <v>292</v>
      </c>
      <c r="J6062" s="51">
        <v>45911</v>
      </c>
      <c r="K6062" s="50" t="s">
        <v>3</v>
      </c>
      <c r="L6062" s="50" t="s">
        <v>80</v>
      </c>
    </row>
    <row r="6063" spans="2:12">
      <c r="B6063" s="50" t="s">
        <v>422</v>
      </c>
      <c r="C6063" s="50" t="s">
        <v>26</v>
      </c>
      <c r="D6063" s="50" t="s">
        <v>27</v>
      </c>
      <c r="E6063" s="50">
        <v>50037905</v>
      </c>
      <c r="F6063" s="50" t="s">
        <v>150</v>
      </c>
      <c r="G6063" s="50">
        <v>1</v>
      </c>
      <c r="H6063" s="50" t="s">
        <v>4</v>
      </c>
      <c r="I6063" s="50" t="s">
        <v>290</v>
      </c>
      <c r="J6063" s="51">
        <v>45911</v>
      </c>
      <c r="K6063" s="50" t="s">
        <v>1</v>
      </c>
      <c r="L6063" s="50" t="s">
        <v>80</v>
      </c>
    </row>
    <row r="6064" spans="2:12">
      <c r="B6064" s="50" t="s">
        <v>399</v>
      </c>
      <c r="C6064" s="50" t="s">
        <v>51</v>
      </c>
      <c r="D6064" s="50" t="s">
        <v>27</v>
      </c>
      <c r="E6064" s="50">
        <v>50030486</v>
      </c>
      <c r="F6064" s="50" t="s">
        <v>153</v>
      </c>
      <c r="G6064" s="50">
        <v>1</v>
      </c>
      <c r="H6064" s="50" t="s">
        <v>2</v>
      </c>
      <c r="I6064" s="50" t="s">
        <v>289</v>
      </c>
      <c r="J6064" s="51">
        <v>45911</v>
      </c>
      <c r="K6064" s="50" t="s">
        <v>3</v>
      </c>
      <c r="L6064" s="50" t="s">
        <v>80</v>
      </c>
    </row>
    <row r="6065" spans="2:12">
      <c r="B6065" s="50" t="s">
        <v>399</v>
      </c>
      <c r="C6065" s="50" t="s">
        <v>51</v>
      </c>
      <c r="D6065" s="50" t="s">
        <v>27</v>
      </c>
      <c r="E6065" s="50">
        <v>50030486</v>
      </c>
      <c r="F6065" s="50" t="s">
        <v>153</v>
      </c>
      <c r="G6065" s="50">
        <v>1</v>
      </c>
      <c r="H6065" s="50" t="s">
        <v>2</v>
      </c>
      <c r="I6065" s="50" t="s">
        <v>288</v>
      </c>
      <c r="J6065" s="51">
        <v>45911</v>
      </c>
      <c r="K6065" s="50" t="s">
        <v>1</v>
      </c>
      <c r="L6065" s="50" t="s">
        <v>80</v>
      </c>
    </row>
    <row r="6066" spans="2:12">
      <c r="B6066" s="50" t="s">
        <v>456</v>
      </c>
      <c r="C6066" s="50" t="s">
        <v>56</v>
      </c>
      <c r="D6066" s="50" t="s">
        <v>39</v>
      </c>
      <c r="E6066" s="50">
        <v>50003297</v>
      </c>
      <c r="F6066" s="50" t="s">
        <v>158</v>
      </c>
      <c r="G6066" s="50">
        <v>1</v>
      </c>
      <c r="H6066" s="50" t="s">
        <v>2</v>
      </c>
      <c r="I6066" s="50" t="s">
        <v>289</v>
      </c>
      <c r="J6066" s="51">
        <v>45911</v>
      </c>
      <c r="K6066" s="50" t="s">
        <v>3</v>
      </c>
      <c r="L6066" s="50" t="s">
        <v>80</v>
      </c>
    </row>
    <row r="6067" spans="2:12">
      <c r="B6067" s="50" t="s">
        <v>456</v>
      </c>
      <c r="C6067" s="50" t="s">
        <v>56</v>
      </c>
      <c r="D6067" s="50" t="s">
        <v>39</v>
      </c>
      <c r="E6067" s="50">
        <v>50003297</v>
      </c>
      <c r="F6067" s="50" t="s">
        <v>158</v>
      </c>
      <c r="G6067" s="50">
        <v>1</v>
      </c>
      <c r="H6067" s="50" t="s">
        <v>2</v>
      </c>
      <c r="I6067" s="50" t="s">
        <v>289</v>
      </c>
      <c r="J6067" s="51">
        <v>45911</v>
      </c>
      <c r="K6067" s="50" t="s">
        <v>1</v>
      </c>
      <c r="L6067" s="50" t="s">
        <v>80</v>
      </c>
    </row>
    <row r="6068" spans="2:12">
      <c r="B6068" s="50" t="s">
        <v>456</v>
      </c>
      <c r="C6068" s="50" t="s">
        <v>56</v>
      </c>
      <c r="D6068" s="50" t="s">
        <v>39</v>
      </c>
      <c r="E6068" s="50">
        <v>50036299</v>
      </c>
      <c r="F6068" s="50" t="s">
        <v>163</v>
      </c>
      <c r="G6068" s="50">
        <v>1</v>
      </c>
      <c r="H6068" s="50" t="s">
        <v>2</v>
      </c>
      <c r="I6068" s="50" t="s">
        <v>289</v>
      </c>
      <c r="J6068" s="51">
        <v>45911</v>
      </c>
      <c r="K6068" s="50" t="s">
        <v>3</v>
      </c>
      <c r="L6068" s="50" t="s">
        <v>80</v>
      </c>
    </row>
    <row r="6069" spans="2:12">
      <c r="B6069" s="50" t="s">
        <v>456</v>
      </c>
      <c r="C6069" s="50" t="s">
        <v>56</v>
      </c>
      <c r="D6069" s="50" t="s">
        <v>39</v>
      </c>
      <c r="E6069" s="50">
        <v>50036299</v>
      </c>
      <c r="F6069" s="50" t="s">
        <v>163</v>
      </c>
      <c r="G6069" s="50">
        <v>1</v>
      </c>
      <c r="H6069" s="50" t="s">
        <v>2</v>
      </c>
      <c r="I6069" s="50" t="s">
        <v>289</v>
      </c>
      <c r="J6069" s="51">
        <v>45911</v>
      </c>
      <c r="K6069" s="50" t="s">
        <v>1</v>
      </c>
      <c r="L6069" s="50" t="s">
        <v>80</v>
      </c>
    </row>
    <row r="6070" spans="2:12">
      <c r="B6070" s="50" t="s">
        <v>481</v>
      </c>
      <c r="C6070" s="50" t="s">
        <v>26</v>
      </c>
      <c r="D6070" s="50" t="s">
        <v>27</v>
      </c>
      <c r="E6070" s="50">
        <v>50038549</v>
      </c>
      <c r="F6070" s="50" t="s">
        <v>173</v>
      </c>
      <c r="G6070" s="50">
        <v>1</v>
      </c>
      <c r="H6070" s="50" t="s">
        <v>2</v>
      </c>
      <c r="I6070" s="50" t="s">
        <v>292</v>
      </c>
      <c r="J6070" s="51">
        <v>45911</v>
      </c>
      <c r="K6070" s="50" t="s">
        <v>3</v>
      </c>
      <c r="L6070" s="50" t="s">
        <v>80</v>
      </c>
    </row>
    <row r="6071" spans="2:12">
      <c r="B6071" s="50" t="s">
        <v>481</v>
      </c>
      <c r="C6071" s="50" t="s">
        <v>26</v>
      </c>
      <c r="D6071" s="50" t="s">
        <v>27</v>
      </c>
      <c r="E6071" s="50">
        <v>50038549</v>
      </c>
      <c r="F6071" s="50" t="s">
        <v>173</v>
      </c>
      <c r="G6071" s="50">
        <v>1</v>
      </c>
      <c r="H6071" s="50" t="s">
        <v>2</v>
      </c>
      <c r="I6071" s="50" t="s">
        <v>288</v>
      </c>
      <c r="J6071" s="51">
        <v>45911</v>
      </c>
      <c r="K6071" s="50" t="s">
        <v>3</v>
      </c>
      <c r="L6071" s="50" t="s">
        <v>80</v>
      </c>
    </row>
    <row r="6072" spans="2:12">
      <c r="B6072" s="50" t="s">
        <v>316</v>
      </c>
      <c r="C6072" s="50" t="s">
        <v>56</v>
      </c>
      <c r="D6072" s="50" t="s">
        <v>27</v>
      </c>
      <c r="E6072" s="50">
        <v>50037892</v>
      </c>
      <c r="F6072" s="50" t="s">
        <v>178</v>
      </c>
      <c r="G6072" s="50">
        <v>1</v>
      </c>
      <c r="H6072" s="50" t="s">
        <v>2</v>
      </c>
      <c r="I6072" s="50" t="s">
        <v>287</v>
      </c>
      <c r="J6072" s="51">
        <v>45911</v>
      </c>
      <c r="K6072" s="50" t="s">
        <v>1</v>
      </c>
      <c r="L6072" s="50" t="s">
        <v>80</v>
      </c>
    </row>
    <row r="6073" spans="2:12">
      <c r="B6073" s="50" t="s">
        <v>316</v>
      </c>
      <c r="C6073" s="50" t="s">
        <v>56</v>
      </c>
      <c r="D6073" s="50" t="s">
        <v>27</v>
      </c>
      <c r="E6073" s="50">
        <v>50037892</v>
      </c>
      <c r="F6073" s="50" t="s">
        <v>178</v>
      </c>
      <c r="G6073" s="50">
        <v>1</v>
      </c>
      <c r="H6073" s="50" t="s">
        <v>2</v>
      </c>
      <c r="I6073" s="50" t="s">
        <v>291</v>
      </c>
      <c r="J6073" s="51">
        <v>45911</v>
      </c>
      <c r="K6073" s="50" t="s">
        <v>3</v>
      </c>
      <c r="L6073" s="50" t="s">
        <v>80</v>
      </c>
    </row>
    <row r="6074" spans="2:12">
      <c r="B6074" s="50" t="s">
        <v>437</v>
      </c>
      <c r="C6074" s="50" t="s">
        <v>51</v>
      </c>
      <c r="D6074" s="50" t="s">
        <v>41</v>
      </c>
      <c r="E6074" s="50">
        <v>50037892</v>
      </c>
      <c r="F6074" s="50" t="s">
        <v>178</v>
      </c>
      <c r="G6074" s="50">
        <v>1</v>
      </c>
      <c r="H6074" s="50" t="s">
        <v>2</v>
      </c>
      <c r="I6074" s="50" t="s">
        <v>291</v>
      </c>
      <c r="J6074" s="51">
        <v>45911</v>
      </c>
      <c r="K6074" s="50" t="s">
        <v>1</v>
      </c>
      <c r="L6074" s="50" t="s">
        <v>80</v>
      </c>
    </row>
    <row r="6075" spans="2:12">
      <c r="B6075" s="50" t="s">
        <v>437</v>
      </c>
      <c r="C6075" s="50" t="s">
        <v>51</v>
      </c>
      <c r="D6075" s="50" t="s">
        <v>41</v>
      </c>
      <c r="E6075" s="50">
        <v>50037892</v>
      </c>
      <c r="F6075" s="50" t="s">
        <v>178</v>
      </c>
      <c r="G6075" s="50">
        <v>1</v>
      </c>
      <c r="H6075" s="50" t="s">
        <v>2</v>
      </c>
      <c r="I6075" s="50" t="s">
        <v>290</v>
      </c>
      <c r="J6075" s="51">
        <v>45911</v>
      </c>
      <c r="K6075" s="50" t="s">
        <v>3</v>
      </c>
      <c r="L6075" s="50" t="s">
        <v>80</v>
      </c>
    </row>
    <row r="6076" spans="2:12">
      <c r="B6076" s="50" t="s">
        <v>415</v>
      </c>
      <c r="C6076" s="50" t="s">
        <v>51</v>
      </c>
      <c r="D6076" s="50" t="s">
        <v>27</v>
      </c>
      <c r="E6076" s="50">
        <v>50037902</v>
      </c>
      <c r="F6076" s="50" t="s">
        <v>179</v>
      </c>
      <c r="G6076" s="50">
        <v>1</v>
      </c>
      <c r="H6076" s="50" t="s">
        <v>2</v>
      </c>
      <c r="I6076" s="50" t="s">
        <v>289</v>
      </c>
      <c r="J6076" s="51">
        <v>45911</v>
      </c>
      <c r="K6076" s="50" t="s">
        <v>1</v>
      </c>
      <c r="L6076" s="50" t="s">
        <v>80</v>
      </c>
    </row>
    <row r="6077" spans="2:12">
      <c r="B6077" s="50" t="s">
        <v>415</v>
      </c>
      <c r="C6077" s="50" t="s">
        <v>51</v>
      </c>
      <c r="D6077" s="50" t="s">
        <v>27</v>
      </c>
      <c r="E6077" s="50">
        <v>50037902</v>
      </c>
      <c r="F6077" s="50" t="s">
        <v>179</v>
      </c>
      <c r="G6077" s="50">
        <v>1</v>
      </c>
      <c r="H6077" s="50" t="s">
        <v>2</v>
      </c>
      <c r="I6077" s="50" t="s">
        <v>292</v>
      </c>
      <c r="J6077" s="51">
        <v>45911</v>
      </c>
      <c r="K6077" s="50" t="s">
        <v>3</v>
      </c>
      <c r="L6077" s="50" t="s">
        <v>80</v>
      </c>
    </row>
    <row r="6078" spans="2:12">
      <c r="B6078" s="50" t="s">
        <v>410</v>
      </c>
      <c r="C6078" s="50" t="s">
        <v>51</v>
      </c>
      <c r="D6078" s="50" t="s">
        <v>27</v>
      </c>
      <c r="E6078" s="50">
        <v>50037902</v>
      </c>
      <c r="F6078" s="50" t="s">
        <v>179</v>
      </c>
      <c r="G6078" s="50">
        <v>1</v>
      </c>
      <c r="H6078" s="50" t="s">
        <v>2</v>
      </c>
      <c r="I6078" s="50" t="s">
        <v>287</v>
      </c>
      <c r="J6078" s="51">
        <v>45911</v>
      </c>
      <c r="K6078" s="50" t="s">
        <v>1</v>
      </c>
      <c r="L6078" s="50" t="s">
        <v>80</v>
      </c>
    </row>
    <row r="6079" spans="2:12">
      <c r="B6079" s="50" t="s">
        <v>410</v>
      </c>
      <c r="C6079" s="50" t="s">
        <v>51</v>
      </c>
      <c r="D6079" s="50" t="s">
        <v>27</v>
      </c>
      <c r="E6079" s="50">
        <v>50037902</v>
      </c>
      <c r="F6079" s="50" t="s">
        <v>179</v>
      </c>
      <c r="G6079" s="50">
        <v>1</v>
      </c>
      <c r="H6079" s="50" t="s">
        <v>2</v>
      </c>
      <c r="I6079" s="50" t="s">
        <v>287</v>
      </c>
      <c r="J6079" s="51">
        <v>45911</v>
      </c>
      <c r="K6079" s="50" t="s">
        <v>3</v>
      </c>
      <c r="L6079" s="50" t="s">
        <v>80</v>
      </c>
    </row>
    <row r="6080" spans="2:12">
      <c r="B6080" s="50" t="s">
        <v>399</v>
      </c>
      <c r="C6080" s="50" t="s">
        <v>51</v>
      </c>
      <c r="D6080" s="50" t="s">
        <v>27</v>
      </c>
      <c r="E6080" s="50">
        <v>50038841</v>
      </c>
      <c r="F6080" s="50" t="s">
        <v>180</v>
      </c>
      <c r="G6080" s="50">
        <v>1</v>
      </c>
      <c r="H6080" s="50" t="s">
        <v>2</v>
      </c>
      <c r="I6080" s="50" t="s">
        <v>289</v>
      </c>
      <c r="J6080" s="51">
        <v>45911</v>
      </c>
      <c r="K6080" s="50" t="s">
        <v>1</v>
      </c>
      <c r="L6080" s="50" t="s">
        <v>80</v>
      </c>
    </row>
    <row r="6081" spans="2:12">
      <c r="B6081" s="50" t="s">
        <v>399</v>
      </c>
      <c r="C6081" s="50" t="s">
        <v>51</v>
      </c>
      <c r="D6081" s="50" t="s">
        <v>27</v>
      </c>
      <c r="E6081" s="50">
        <v>50038841</v>
      </c>
      <c r="F6081" s="50" t="s">
        <v>180</v>
      </c>
      <c r="G6081" s="50">
        <v>1</v>
      </c>
      <c r="H6081" s="50" t="s">
        <v>2</v>
      </c>
      <c r="I6081" s="50" t="s">
        <v>288</v>
      </c>
      <c r="J6081" s="51">
        <v>45911</v>
      </c>
      <c r="K6081" s="50" t="s">
        <v>3</v>
      </c>
      <c r="L6081" s="50" t="s">
        <v>80</v>
      </c>
    </row>
    <row r="6082" spans="2:12">
      <c r="B6082" s="50" t="s">
        <v>455</v>
      </c>
      <c r="C6082" s="50" t="s">
        <v>56</v>
      </c>
      <c r="D6082" s="50" t="s">
        <v>41</v>
      </c>
      <c r="E6082" s="50">
        <v>50038517</v>
      </c>
      <c r="F6082" s="50" t="s">
        <v>181</v>
      </c>
      <c r="G6082" s="50">
        <v>1</v>
      </c>
      <c r="H6082" s="50" t="s">
        <v>2</v>
      </c>
      <c r="I6082" s="50" t="s">
        <v>292</v>
      </c>
      <c r="J6082" s="51">
        <v>45911</v>
      </c>
      <c r="K6082" s="50" t="s">
        <v>1</v>
      </c>
      <c r="L6082" s="50" t="s">
        <v>80</v>
      </c>
    </row>
    <row r="6083" spans="2:12">
      <c r="B6083" s="50" t="s">
        <v>455</v>
      </c>
      <c r="C6083" s="50" t="s">
        <v>56</v>
      </c>
      <c r="D6083" s="50" t="s">
        <v>41</v>
      </c>
      <c r="E6083" s="50">
        <v>50038517</v>
      </c>
      <c r="F6083" s="50" t="s">
        <v>181</v>
      </c>
      <c r="G6083" s="50">
        <v>1</v>
      </c>
      <c r="H6083" s="50" t="s">
        <v>2</v>
      </c>
      <c r="I6083" s="50" t="s">
        <v>288</v>
      </c>
      <c r="J6083" s="51">
        <v>45911</v>
      </c>
      <c r="K6083" s="50" t="s">
        <v>3</v>
      </c>
      <c r="L6083" s="50" t="s">
        <v>80</v>
      </c>
    </row>
    <row r="6084" spans="2:12">
      <c r="B6084" s="50" t="s">
        <v>453</v>
      </c>
      <c r="C6084" s="50" t="s">
        <v>51</v>
      </c>
      <c r="D6084" s="50" t="s">
        <v>41</v>
      </c>
      <c r="E6084" s="50">
        <v>50038517</v>
      </c>
      <c r="F6084" s="50" t="s">
        <v>181</v>
      </c>
      <c r="G6084" s="50">
        <v>1</v>
      </c>
      <c r="H6084" s="50" t="s">
        <v>2</v>
      </c>
      <c r="I6084" s="50" t="s">
        <v>291</v>
      </c>
      <c r="J6084" s="51">
        <v>45911</v>
      </c>
      <c r="K6084" s="50" t="s">
        <v>1</v>
      </c>
      <c r="L6084" s="50" t="s">
        <v>80</v>
      </c>
    </row>
    <row r="6085" spans="2:12">
      <c r="B6085" s="50" t="s">
        <v>453</v>
      </c>
      <c r="C6085" s="50" t="s">
        <v>51</v>
      </c>
      <c r="D6085" s="50" t="s">
        <v>41</v>
      </c>
      <c r="E6085" s="50">
        <v>50038517</v>
      </c>
      <c r="F6085" s="50" t="s">
        <v>181</v>
      </c>
      <c r="G6085" s="50">
        <v>1</v>
      </c>
      <c r="H6085" s="50" t="s">
        <v>2</v>
      </c>
      <c r="I6085" s="50" t="s">
        <v>291</v>
      </c>
      <c r="J6085" s="51">
        <v>45911</v>
      </c>
      <c r="K6085" s="50" t="s">
        <v>1</v>
      </c>
      <c r="L6085" s="50" t="s">
        <v>80</v>
      </c>
    </row>
    <row r="6086" spans="2:12">
      <c r="B6086" s="50" t="s">
        <v>461</v>
      </c>
      <c r="C6086" s="50" t="s">
        <v>26</v>
      </c>
      <c r="D6086" s="50" t="s">
        <v>39</v>
      </c>
      <c r="E6086" s="50">
        <v>50001995</v>
      </c>
      <c r="F6086" s="50" t="s">
        <v>185</v>
      </c>
      <c r="G6086" s="50">
        <v>1</v>
      </c>
      <c r="H6086" s="50" t="s">
        <v>2</v>
      </c>
      <c r="I6086" s="50" t="s">
        <v>289</v>
      </c>
      <c r="J6086" s="51">
        <v>45911</v>
      </c>
      <c r="K6086" s="50" t="s">
        <v>3</v>
      </c>
      <c r="L6086" s="50" t="s">
        <v>80</v>
      </c>
    </row>
    <row r="6087" spans="2:12">
      <c r="B6087" s="50" t="s">
        <v>461</v>
      </c>
      <c r="C6087" s="50" t="s">
        <v>26</v>
      </c>
      <c r="D6087" s="50" t="s">
        <v>39</v>
      </c>
      <c r="E6087" s="50">
        <v>50001995</v>
      </c>
      <c r="F6087" s="50" t="s">
        <v>185</v>
      </c>
      <c r="G6087" s="50">
        <v>1</v>
      </c>
      <c r="H6087" s="50" t="s">
        <v>2</v>
      </c>
      <c r="I6087" s="50" t="s">
        <v>292</v>
      </c>
      <c r="J6087" s="51">
        <v>45911</v>
      </c>
      <c r="K6087" s="50" t="s">
        <v>1</v>
      </c>
      <c r="L6087" s="50" t="s">
        <v>80</v>
      </c>
    </row>
    <row r="6088" spans="2:12">
      <c r="B6088" s="50" t="e">
        <v>#N/A</v>
      </c>
      <c r="C6088" s="50" t="s">
        <v>56</v>
      </c>
      <c r="D6088" s="50" t="s">
        <v>27</v>
      </c>
      <c r="E6088" s="50">
        <v>50026357</v>
      </c>
      <c r="F6088" s="50" t="s">
        <v>192</v>
      </c>
      <c r="G6088" s="50">
        <v>1</v>
      </c>
      <c r="H6088" s="50" t="s">
        <v>2</v>
      </c>
      <c r="I6088" s="50" t="s">
        <v>287</v>
      </c>
      <c r="J6088" s="51">
        <v>45911</v>
      </c>
      <c r="K6088" s="50" t="s">
        <v>3</v>
      </c>
      <c r="L6088" s="50" t="s">
        <v>80</v>
      </c>
    </row>
    <row r="6089" spans="2:12">
      <c r="B6089" s="50" t="e">
        <v>#N/A</v>
      </c>
      <c r="C6089" s="50" t="s">
        <v>56</v>
      </c>
      <c r="D6089" s="50" t="s">
        <v>27</v>
      </c>
      <c r="E6089" s="50">
        <v>50026357</v>
      </c>
      <c r="F6089" s="50" t="s">
        <v>192</v>
      </c>
      <c r="G6089" s="50">
        <v>1</v>
      </c>
      <c r="H6089" s="50" t="s">
        <v>2</v>
      </c>
      <c r="I6089" s="50" t="s">
        <v>288</v>
      </c>
      <c r="J6089" s="51">
        <v>45911</v>
      </c>
      <c r="K6089" s="50" t="s">
        <v>1</v>
      </c>
      <c r="L6089" s="50" t="s">
        <v>80</v>
      </c>
    </row>
    <row r="6090" spans="2:12">
      <c r="B6090" s="50" t="s">
        <v>483</v>
      </c>
      <c r="C6090" s="50" t="s">
        <v>62</v>
      </c>
      <c r="D6090" s="50" t="s">
        <v>27</v>
      </c>
      <c r="E6090" s="50">
        <v>50041124</v>
      </c>
      <c r="F6090" s="50" t="s">
        <v>202</v>
      </c>
      <c r="G6090" s="50">
        <v>1</v>
      </c>
      <c r="H6090" s="50" t="s">
        <v>2</v>
      </c>
      <c r="I6090" s="50" t="s">
        <v>292</v>
      </c>
      <c r="J6090" s="51">
        <v>45911</v>
      </c>
      <c r="K6090" s="50" t="s">
        <v>3</v>
      </c>
      <c r="L6090" s="50" t="s">
        <v>80</v>
      </c>
    </row>
    <row r="6091" spans="2:12">
      <c r="B6091" s="50" t="s">
        <v>483</v>
      </c>
      <c r="C6091" s="50" t="s">
        <v>62</v>
      </c>
      <c r="D6091" s="50" t="s">
        <v>27</v>
      </c>
      <c r="E6091" s="50">
        <v>50041124</v>
      </c>
      <c r="F6091" s="50" t="s">
        <v>202</v>
      </c>
      <c r="G6091" s="50">
        <v>1</v>
      </c>
      <c r="H6091" s="50" t="s">
        <v>2</v>
      </c>
      <c r="I6091" s="50" t="s">
        <v>288</v>
      </c>
      <c r="J6091" s="51">
        <v>45911</v>
      </c>
      <c r="K6091" s="50" t="s">
        <v>1</v>
      </c>
      <c r="L6091" s="50" t="s">
        <v>80</v>
      </c>
    </row>
    <row r="6092" spans="2:12">
      <c r="B6092" s="50" t="s">
        <v>423</v>
      </c>
      <c r="C6092" s="50" t="s">
        <v>62</v>
      </c>
      <c r="D6092" s="50" t="s">
        <v>27</v>
      </c>
      <c r="E6092" s="50">
        <v>50041195</v>
      </c>
      <c r="F6092" s="50" t="s">
        <v>206</v>
      </c>
      <c r="G6092" s="50">
        <v>1</v>
      </c>
      <c r="H6092" s="50" t="s">
        <v>2</v>
      </c>
      <c r="I6092" s="50" t="s">
        <v>291</v>
      </c>
      <c r="J6092" s="51">
        <v>45911</v>
      </c>
      <c r="K6092" s="50" t="s">
        <v>3</v>
      </c>
      <c r="L6092" s="50" t="s">
        <v>80</v>
      </c>
    </row>
    <row r="6093" spans="2:12">
      <c r="B6093" s="50" t="s">
        <v>400</v>
      </c>
      <c r="C6093" s="50" t="s">
        <v>51</v>
      </c>
      <c r="D6093" s="50" t="s">
        <v>39</v>
      </c>
      <c r="E6093" s="50">
        <v>50043917</v>
      </c>
      <c r="F6093" s="50" t="s">
        <v>262</v>
      </c>
      <c r="G6093" s="50">
        <v>1</v>
      </c>
      <c r="H6093" s="50" t="s">
        <v>2</v>
      </c>
      <c r="I6093" s="50" t="s">
        <v>289</v>
      </c>
      <c r="J6093" s="51">
        <v>45911</v>
      </c>
      <c r="K6093" s="50" t="s">
        <v>1</v>
      </c>
      <c r="L6093" s="50" t="s">
        <v>80</v>
      </c>
    </row>
    <row r="6094" spans="2:12">
      <c r="B6094" s="50" t="s">
        <v>400</v>
      </c>
      <c r="C6094" s="50" t="s">
        <v>51</v>
      </c>
      <c r="D6094" s="50" t="s">
        <v>39</v>
      </c>
      <c r="E6094" s="50">
        <v>50043917</v>
      </c>
      <c r="F6094" s="50" t="s">
        <v>262</v>
      </c>
      <c r="G6094" s="50">
        <v>1</v>
      </c>
      <c r="H6094" s="50" t="s">
        <v>2</v>
      </c>
      <c r="I6094" s="50" t="s">
        <v>289</v>
      </c>
      <c r="J6094" s="51">
        <v>45911</v>
      </c>
      <c r="K6094" s="50" t="s">
        <v>3</v>
      </c>
      <c r="L6094" s="50" t="s">
        <v>80</v>
      </c>
    </row>
    <row r="6095" spans="2:12">
      <c r="B6095" s="50" t="s">
        <v>468</v>
      </c>
      <c r="C6095" s="50" t="s">
        <v>56</v>
      </c>
      <c r="D6095" s="50" t="s">
        <v>41</v>
      </c>
      <c r="E6095" s="50">
        <v>50043917</v>
      </c>
      <c r="F6095" s="50" t="s">
        <v>262</v>
      </c>
      <c r="G6095" s="50">
        <v>1</v>
      </c>
      <c r="H6095" s="50" t="s">
        <v>2</v>
      </c>
      <c r="I6095" s="50" t="s">
        <v>292</v>
      </c>
      <c r="J6095" s="51">
        <v>45911</v>
      </c>
      <c r="K6095" s="50" t="s">
        <v>1</v>
      </c>
      <c r="L6095" s="50" t="s">
        <v>80</v>
      </c>
    </row>
    <row r="6096" spans="2:12">
      <c r="B6096" s="50" t="s">
        <v>468</v>
      </c>
      <c r="C6096" s="50" t="s">
        <v>56</v>
      </c>
      <c r="D6096" s="50" t="s">
        <v>41</v>
      </c>
      <c r="E6096" s="50">
        <v>50043917</v>
      </c>
      <c r="F6096" s="50" t="s">
        <v>262</v>
      </c>
      <c r="G6096" s="50">
        <v>1</v>
      </c>
      <c r="H6096" s="50" t="s">
        <v>2</v>
      </c>
      <c r="I6096" s="50" t="s">
        <v>292</v>
      </c>
      <c r="J6096" s="51">
        <v>45911</v>
      </c>
      <c r="K6096" s="50" t="s">
        <v>3</v>
      </c>
      <c r="L6096" s="50" t="s">
        <v>80</v>
      </c>
    </row>
    <row r="6097" spans="2:12">
      <c r="B6097" s="50" t="s">
        <v>411</v>
      </c>
      <c r="C6097" s="50" t="s">
        <v>26</v>
      </c>
      <c r="D6097" s="50" t="s">
        <v>27</v>
      </c>
      <c r="E6097" s="50">
        <v>50043917</v>
      </c>
      <c r="F6097" s="50" t="s">
        <v>262</v>
      </c>
      <c r="G6097" s="50">
        <v>1</v>
      </c>
      <c r="H6097" s="50" t="s">
        <v>2</v>
      </c>
      <c r="I6097" s="50" t="s">
        <v>292</v>
      </c>
      <c r="J6097" s="51">
        <v>45911</v>
      </c>
      <c r="K6097" s="50" t="s">
        <v>1</v>
      </c>
      <c r="L6097" s="50" t="s">
        <v>80</v>
      </c>
    </row>
    <row r="6098" spans="2:12">
      <c r="B6098" s="50" t="s">
        <v>411</v>
      </c>
      <c r="C6098" s="50" t="s">
        <v>26</v>
      </c>
      <c r="D6098" s="50" t="s">
        <v>27</v>
      </c>
      <c r="E6098" s="50">
        <v>50043917</v>
      </c>
      <c r="F6098" s="50" t="s">
        <v>262</v>
      </c>
      <c r="G6098" s="50">
        <v>1</v>
      </c>
      <c r="H6098" s="50" t="s">
        <v>2</v>
      </c>
      <c r="I6098" s="50" t="s">
        <v>287</v>
      </c>
      <c r="J6098" s="51">
        <v>45911</v>
      </c>
      <c r="K6098" s="50" t="s">
        <v>3</v>
      </c>
      <c r="L6098" s="50" t="s">
        <v>80</v>
      </c>
    </row>
    <row r="6099" spans="2:12">
      <c r="B6099" s="50" t="s">
        <v>427</v>
      </c>
      <c r="C6099" s="50" t="s">
        <v>26</v>
      </c>
      <c r="D6099" s="50" t="s">
        <v>27</v>
      </c>
      <c r="E6099" s="50">
        <v>50043917</v>
      </c>
      <c r="F6099" s="50" t="s">
        <v>262</v>
      </c>
      <c r="G6099" s="50">
        <v>1</v>
      </c>
      <c r="H6099" s="50" t="s">
        <v>2</v>
      </c>
      <c r="I6099" s="50" t="s">
        <v>291</v>
      </c>
      <c r="J6099" s="51">
        <v>45911</v>
      </c>
      <c r="K6099" s="50" t="s">
        <v>3</v>
      </c>
      <c r="L6099" s="50" t="s">
        <v>80</v>
      </c>
    </row>
    <row r="6100" spans="2:12">
      <c r="B6100" s="50" t="s">
        <v>427</v>
      </c>
      <c r="C6100" s="50" t="s">
        <v>26</v>
      </c>
      <c r="D6100" s="50" t="s">
        <v>27</v>
      </c>
      <c r="E6100" s="50">
        <v>50043917</v>
      </c>
      <c r="F6100" s="50" t="s">
        <v>262</v>
      </c>
      <c r="G6100" s="50">
        <v>1</v>
      </c>
      <c r="H6100" s="50" t="s">
        <v>2</v>
      </c>
      <c r="I6100" s="50" t="s">
        <v>291</v>
      </c>
      <c r="J6100" s="51">
        <v>45911</v>
      </c>
      <c r="K6100" s="50" t="s">
        <v>3</v>
      </c>
      <c r="L6100" s="50" t="s">
        <v>80</v>
      </c>
    </row>
    <row r="6101" spans="2:12">
      <c r="B6101" s="50" t="s">
        <v>280</v>
      </c>
      <c r="C6101" s="50" t="s">
        <v>62</v>
      </c>
      <c r="D6101" s="50" t="s">
        <v>27</v>
      </c>
      <c r="E6101" s="50">
        <v>50020622</v>
      </c>
      <c r="F6101" s="50" t="s">
        <v>217</v>
      </c>
      <c r="G6101" s="50">
        <v>1</v>
      </c>
      <c r="H6101" s="50" t="s">
        <v>2</v>
      </c>
      <c r="I6101" s="50" t="s">
        <v>287</v>
      </c>
      <c r="J6101" s="51">
        <v>45911</v>
      </c>
      <c r="K6101" s="50" t="s">
        <v>1</v>
      </c>
      <c r="L6101" s="50" t="s">
        <v>80</v>
      </c>
    </row>
    <row r="6102" spans="2:12">
      <c r="B6102" s="50" t="s">
        <v>481</v>
      </c>
      <c r="C6102" s="50" t="s">
        <v>26</v>
      </c>
      <c r="D6102" s="50" t="s">
        <v>27</v>
      </c>
      <c r="E6102" s="50">
        <v>50012902</v>
      </c>
      <c r="F6102" s="50" t="s">
        <v>225</v>
      </c>
      <c r="G6102" s="50">
        <v>1</v>
      </c>
      <c r="H6102" s="50" t="s">
        <v>2</v>
      </c>
      <c r="I6102" s="50" t="s">
        <v>287</v>
      </c>
      <c r="J6102" s="51">
        <v>45911</v>
      </c>
      <c r="K6102" s="50" t="s">
        <v>3</v>
      </c>
      <c r="L6102" s="50" t="s">
        <v>80</v>
      </c>
    </row>
    <row r="6103" spans="2:12">
      <c r="B6103" s="50" t="s">
        <v>481</v>
      </c>
      <c r="C6103" s="50" t="s">
        <v>26</v>
      </c>
      <c r="D6103" s="50" t="s">
        <v>27</v>
      </c>
      <c r="E6103" s="50">
        <v>50012902</v>
      </c>
      <c r="F6103" s="50" t="s">
        <v>225</v>
      </c>
      <c r="G6103" s="50">
        <v>1</v>
      </c>
      <c r="H6103" s="50" t="s">
        <v>2</v>
      </c>
      <c r="I6103" s="50" t="s">
        <v>287</v>
      </c>
      <c r="J6103" s="51">
        <v>45911</v>
      </c>
      <c r="K6103" s="50" t="s">
        <v>1</v>
      </c>
      <c r="L6103" s="50" t="s">
        <v>80</v>
      </c>
    </row>
    <row r="6104" spans="2:12">
      <c r="B6104" s="50" t="s">
        <v>427</v>
      </c>
      <c r="C6104" s="50" t="s">
        <v>26</v>
      </c>
      <c r="D6104" s="50" t="s">
        <v>27</v>
      </c>
      <c r="E6104" s="50">
        <v>50032781</v>
      </c>
      <c r="F6104" s="50" t="s">
        <v>237</v>
      </c>
      <c r="G6104" s="50">
        <v>1</v>
      </c>
      <c r="H6104" s="50" t="s">
        <v>2</v>
      </c>
      <c r="I6104" s="50" t="s">
        <v>291</v>
      </c>
      <c r="J6104" s="51">
        <v>45911</v>
      </c>
      <c r="K6104" s="50" t="s">
        <v>3</v>
      </c>
      <c r="L6104" s="50" t="s">
        <v>80</v>
      </c>
    </row>
    <row r="6105" spans="2:12">
      <c r="B6105" s="50" t="s">
        <v>427</v>
      </c>
      <c r="C6105" s="50" t="s">
        <v>26</v>
      </c>
      <c r="D6105" s="50" t="s">
        <v>27</v>
      </c>
      <c r="E6105" s="50">
        <v>50032781</v>
      </c>
      <c r="F6105" s="50" t="s">
        <v>237</v>
      </c>
      <c r="G6105" s="50">
        <v>1</v>
      </c>
      <c r="H6105" s="50" t="s">
        <v>2</v>
      </c>
      <c r="I6105" s="50" t="s">
        <v>291</v>
      </c>
      <c r="J6105" s="51">
        <v>45911</v>
      </c>
      <c r="K6105" s="50" t="s">
        <v>1</v>
      </c>
      <c r="L6105" s="50" t="s">
        <v>80</v>
      </c>
    </row>
    <row r="6106" spans="2:12">
      <c r="B6106" s="50" t="s">
        <v>427</v>
      </c>
      <c r="C6106" s="50" t="s">
        <v>26</v>
      </c>
      <c r="D6106" s="50" t="s">
        <v>27</v>
      </c>
      <c r="E6106" s="50">
        <v>50038194</v>
      </c>
      <c r="F6106" s="50" t="s">
        <v>238</v>
      </c>
      <c r="G6106" s="50">
        <v>1</v>
      </c>
      <c r="H6106" s="50" t="s">
        <v>2</v>
      </c>
      <c r="I6106" s="50" t="s">
        <v>287</v>
      </c>
      <c r="J6106" s="51">
        <v>45911</v>
      </c>
      <c r="K6106" s="50" t="s">
        <v>3</v>
      </c>
      <c r="L6106" s="50" t="s">
        <v>80</v>
      </c>
    </row>
    <row r="6107" spans="2:12">
      <c r="B6107" s="50" t="s">
        <v>427</v>
      </c>
      <c r="C6107" s="50" t="s">
        <v>26</v>
      </c>
      <c r="D6107" s="50" t="s">
        <v>27</v>
      </c>
      <c r="E6107" s="50">
        <v>50038194</v>
      </c>
      <c r="F6107" s="50" t="s">
        <v>238</v>
      </c>
      <c r="G6107" s="50">
        <v>1</v>
      </c>
      <c r="H6107" s="50" t="s">
        <v>2</v>
      </c>
      <c r="I6107" s="50" t="s">
        <v>287</v>
      </c>
      <c r="J6107" s="51">
        <v>45911</v>
      </c>
      <c r="K6107" s="50" t="s">
        <v>1</v>
      </c>
      <c r="L6107" s="50" t="s">
        <v>80</v>
      </c>
    </row>
    <row r="6108" spans="2:12">
      <c r="B6108" s="50" t="s">
        <v>422</v>
      </c>
      <c r="C6108" s="50" t="s">
        <v>26</v>
      </c>
      <c r="D6108" s="50" t="s">
        <v>27</v>
      </c>
      <c r="E6108" s="50">
        <v>50037905</v>
      </c>
      <c r="F6108" s="50" t="s">
        <v>150</v>
      </c>
      <c r="G6108" s="50">
        <v>1</v>
      </c>
      <c r="H6108" s="50" t="s">
        <v>2</v>
      </c>
      <c r="I6108" s="50" t="s">
        <v>287</v>
      </c>
      <c r="J6108" s="51">
        <v>45910</v>
      </c>
      <c r="K6108" s="50" t="s">
        <v>3</v>
      </c>
      <c r="L6108" s="50" t="s">
        <v>80</v>
      </c>
    </row>
    <row r="6109" spans="2:12">
      <c r="B6109" s="50" t="s">
        <v>422</v>
      </c>
      <c r="C6109" s="50" t="s">
        <v>26</v>
      </c>
      <c r="D6109" s="50" t="s">
        <v>27</v>
      </c>
      <c r="E6109" s="50">
        <v>50037905</v>
      </c>
      <c r="F6109" s="50" t="s">
        <v>150</v>
      </c>
      <c r="G6109" s="50">
        <v>1</v>
      </c>
      <c r="H6109" s="50" t="s">
        <v>2</v>
      </c>
      <c r="I6109" s="50" t="s">
        <v>287</v>
      </c>
      <c r="J6109" s="51">
        <v>45910</v>
      </c>
      <c r="K6109" s="50" t="s">
        <v>1</v>
      </c>
      <c r="L6109" s="50" t="s">
        <v>80</v>
      </c>
    </row>
    <row r="6110" spans="2:12">
      <c r="B6110" s="50" t="s">
        <v>483</v>
      </c>
      <c r="C6110" s="50" t="s">
        <v>62</v>
      </c>
      <c r="D6110" s="50" t="s">
        <v>27</v>
      </c>
      <c r="E6110" s="50">
        <v>50030486</v>
      </c>
      <c r="F6110" s="50" t="s">
        <v>153</v>
      </c>
      <c r="G6110" s="50">
        <v>1</v>
      </c>
      <c r="H6110" s="50" t="s">
        <v>2</v>
      </c>
      <c r="I6110" s="50" t="s">
        <v>289</v>
      </c>
      <c r="J6110" s="51">
        <v>45910</v>
      </c>
      <c r="K6110" s="50" t="s">
        <v>3</v>
      </c>
      <c r="L6110" s="50" t="s">
        <v>80</v>
      </c>
    </row>
    <row r="6111" spans="2:12">
      <c r="B6111" s="50" t="s">
        <v>483</v>
      </c>
      <c r="C6111" s="50" t="s">
        <v>62</v>
      </c>
      <c r="D6111" s="50" t="s">
        <v>27</v>
      </c>
      <c r="E6111" s="50">
        <v>50030486</v>
      </c>
      <c r="F6111" s="50" t="s">
        <v>153</v>
      </c>
      <c r="G6111" s="50">
        <v>1</v>
      </c>
      <c r="H6111" s="50" t="s">
        <v>2</v>
      </c>
      <c r="I6111" s="50" t="s">
        <v>293</v>
      </c>
      <c r="J6111" s="51">
        <v>45910</v>
      </c>
      <c r="K6111" s="50" t="s">
        <v>1</v>
      </c>
      <c r="L6111" s="50" t="s">
        <v>80</v>
      </c>
    </row>
    <row r="6112" spans="2:12">
      <c r="B6112" s="50" t="s">
        <v>483</v>
      </c>
      <c r="C6112" s="50" t="s">
        <v>62</v>
      </c>
      <c r="D6112" s="50" t="s">
        <v>27</v>
      </c>
      <c r="E6112" s="50">
        <v>50043471</v>
      </c>
      <c r="F6112" s="50" t="s">
        <v>257</v>
      </c>
      <c r="G6112" s="50">
        <v>1</v>
      </c>
      <c r="H6112" s="50" t="s">
        <v>2</v>
      </c>
      <c r="I6112" s="50" t="s">
        <v>287</v>
      </c>
      <c r="J6112" s="51">
        <v>45910</v>
      </c>
      <c r="K6112" s="50" t="s">
        <v>3</v>
      </c>
      <c r="L6112" s="50" t="s">
        <v>80</v>
      </c>
    </row>
    <row r="6113" spans="2:12">
      <c r="B6113" s="50" t="s">
        <v>483</v>
      </c>
      <c r="C6113" s="50" t="s">
        <v>62</v>
      </c>
      <c r="D6113" s="50" t="s">
        <v>27</v>
      </c>
      <c r="E6113" s="50">
        <v>50043471</v>
      </c>
      <c r="F6113" s="50" t="s">
        <v>257</v>
      </c>
      <c r="G6113" s="50">
        <v>1</v>
      </c>
      <c r="H6113" s="50" t="s">
        <v>2</v>
      </c>
      <c r="I6113" s="50" t="s">
        <v>291</v>
      </c>
      <c r="J6113" s="51">
        <v>45910</v>
      </c>
      <c r="K6113" s="50" t="s">
        <v>1</v>
      </c>
      <c r="L6113" s="50" t="s">
        <v>80</v>
      </c>
    </row>
    <row r="6114" spans="2:12">
      <c r="B6114" s="50" t="s">
        <v>43</v>
      </c>
      <c r="C6114" s="50" t="s">
        <v>26</v>
      </c>
      <c r="D6114" s="50" t="s">
        <v>41</v>
      </c>
      <c r="E6114" s="50">
        <v>50044839</v>
      </c>
      <c r="F6114" s="50" t="s">
        <v>301</v>
      </c>
      <c r="G6114" s="50">
        <v>1</v>
      </c>
      <c r="H6114" s="50" t="s">
        <v>2</v>
      </c>
      <c r="I6114" s="50" t="s">
        <v>291</v>
      </c>
      <c r="J6114" s="51">
        <v>45910</v>
      </c>
      <c r="K6114" s="50" t="s">
        <v>3</v>
      </c>
      <c r="L6114" s="50" t="s">
        <v>80</v>
      </c>
    </row>
    <row r="6115" spans="2:12">
      <c r="B6115" s="50" t="s">
        <v>43</v>
      </c>
      <c r="C6115" s="50" t="s">
        <v>26</v>
      </c>
      <c r="D6115" s="50" t="s">
        <v>41</v>
      </c>
      <c r="E6115" s="50">
        <v>50044839</v>
      </c>
      <c r="F6115" s="50" t="s">
        <v>301</v>
      </c>
      <c r="G6115" s="50">
        <v>1</v>
      </c>
      <c r="H6115" s="50" t="s">
        <v>2</v>
      </c>
      <c r="I6115" s="50" t="s">
        <v>291</v>
      </c>
      <c r="J6115" s="51">
        <v>45910</v>
      </c>
      <c r="K6115" s="50" t="s">
        <v>1</v>
      </c>
      <c r="L6115" s="50" t="s">
        <v>80</v>
      </c>
    </row>
    <row r="6116" spans="2:12">
      <c r="B6116" s="50" t="s">
        <v>483</v>
      </c>
      <c r="C6116" s="50" t="s">
        <v>62</v>
      </c>
      <c r="D6116" s="50" t="s">
        <v>27</v>
      </c>
      <c r="E6116" s="50">
        <v>50029865</v>
      </c>
      <c r="F6116" s="50" t="s">
        <v>162</v>
      </c>
      <c r="G6116" s="50">
        <v>1</v>
      </c>
      <c r="H6116" s="50" t="s">
        <v>2</v>
      </c>
      <c r="I6116" s="50" t="s">
        <v>287</v>
      </c>
      <c r="J6116" s="51">
        <v>45910</v>
      </c>
      <c r="K6116" s="50" t="s">
        <v>3</v>
      </c>
      <c r="L6116" s="50" t="s">
        <v>80</v>
      </c>
    </row>
    <row r="6117" spans="2:12">
      <c r="B6117" s="50" t="s">
        <v>483</v>
      </c>
      <c r="C6117" s="50" t="s">
        <v>62</v>
      </c>
      <c r="D6117" s="50" t="s">
        <v>27</v>
      </c>
      <c r="E6117" s="50">
        <v>50029865</v>
      </c>
      <c r="F6117" s="50" t="s">
        <v>162</v>
      </c>
      <c r="G6117" s="50">
        <v>1</v>
      </c>
      <c r="H6117" s="50" t="s">
        <v>2</v>
      </c>
      <c r="I6117" s="50" t="s">
        <v>291</v>
      </c>
      <c r="J6117" s="51">
        <v>45910</v>
      </c>
      <c r="K6117" s="50" t="s">
        <v>1</v>
      </c>
      <c r="L6117" s="50" t="s">
        <v>80</v>
      </c>
    </row>
    <row r="6118" spans="2:12">
      <c r="B6118" s="50" t="s">
        <v>277</v>
      </c>
      <c r="C6118" s="50" t="s">
        <v>62</v>
      </c>
      <c r="D6118" s="50" t="s">
        <v>27</v>
      </c>
      <c r="E6118" s="50">
        <v>50036299</v>
      </c>
      <c r="F6118" s="50" t="s">
        <v>163</v>
      </c>
      <c r="G6118" s="50">
        <v>1</v>
      </c>
      <c r="H6118" s="50" t="s">
        <v>2</v>
      </c>
      <c r="I6118" s="50" t="s">
        <v>289</v>
      </c>
      <c r="J6118" s="51">
        <v>45910</v>
      </c>
      <c r="K6118" s="50" t="s">
        <v>3</v>
      </c>
      <c r="L6118" s="50" t="s">
        <v>80</v>
      </c>
    </row>
    <row r="6119" spans="2:12">
      <c r="B6119" s="50" t="s">
        <v>277</v>
      </c>
      <c r="C6119" s="50" t="s">
        <v>62</v>
      </c>
      <c r="D6119" s="50" t="s">
        <v>27</v>
      </c>
      <c r="E6119" s="50">
        <v>50036299</v>
      </c>
      <c r="F6119" s="50" t="s">
        <v>163</v>
      </c>
      <c r="G6119" s="50">
        <v>1</v>
      </c>
      <c r="H6119" s="50" t="s">
        <v>2</v>
      </c>
      <c r="I6119" s="50" t="s">
        <v>292</v>
      </c>
      <c r="J6119" s="51">
        <v>45910</v>
      </c>
      <c r="K6119" s="50" t="s">
        <v>1</v>
      </c>
      <c r="L6119" s="50" t="s">
        <v>80</v>
      </c>
    </row>
    <row r="6120" spans="2:12">
      <c r="B6120" s="50" t="s">
        <v>407</v>
      </c>
      <c r="C6120" s="50" t="s">
        <v>26</v>
      </c>
      <c r="D6120" s="50" t="s">
        <v>27</v>
      </c>
      <c r="E6120" s="50">
        <v>50022878</v>
      </c>
      <c r="F6120" s="50" t="s">
        <v>296</v>
      </c>
      <c r="G6120" s="50">
        <v>1</v>
      </c>
      <c r="H6120" s="50" t="s">
        <v>2</v>
      </c>
      <c r="I6120" s="50" t="s">
        <v>289</v>
      </c>
      <c r="J6120" s="51">
        <v>45910</v>
      </c>
      <c r="K6120" s="50" t="s">
        <v>3</v>
      </c>
      <c r="L6120" s="50" t="s">
        <v>80</v>
      </c>
    </row>
    <row r="6121" spans="2:12">
      <c r="B6121" s="50" t="s">
        <v>407</v>
      </c>
      <c r="C6121" s="50" t="s">
        <v>26</v>
      </c>
      <c r="D6121" s="50" t="s">
        <v>27</v>
      </c>
      <c r="E6121" s="50">
        <v>50022878</v>
      </c>
      <c r="F6121" s="50" t="s">
        <v>296</v>
      </c>
      <c r="G6121" s="50">
        <v>1</v>
      </c>
      <c r="H6121" s="50" t="s">
        <v>2</v>
      </c>
      <c r="I6121" s="50" t="s">
        <v>292</v>
      </c>
      <c r="J6121" s="51">
        <v>45910</v>
      </c>
      <c r="K6121" s="50" t="s">
        <v>1</v>
      </c>
      <c r="L6121" s="50" t="s">
        <v>80</v>
      </c>
    </row>
    <row r="6122" spans="2:12">
      <c r="B6122" s="50" t="s">
        <v>415</v>
      </c>
      <c r="C6122" s="50" t="s">
        <v>51</v>
      </c>
      <c r="D6122" s="50" t="s">
        <v>27</v>
      </c>
      <c r="E6122" s="50">
        <v>50038956</v>
      </c>
      <c r="F6122" s="50" t="s">
        <v>177</v>
      </c>
      <c r="G6122" s="50">
        <v>1</v>
      </c>
      <c r="H6122" s="50" t="s">
        <v>2</v>
      </c>
      <c r="I6122" s="50" t="s">
        <v>291</v>
      </c>
      <c r="J6122" s="51">
        <v>45910</v>
      </c>
      <c r="K6122" s="50" t="s">
        <v>3</v>
      </c>
      <c r="L6122" s="50" t="s">
        <v>80</v>
      </c>
    </row>
    <row r="6123" spans="2:12">
      <c r="B6123" s="50" t="s">
        <v>415</v>
      </c>
      <c r="C6123" s="50" t="s">
        <v>51</v>
      </c>
      <c r="D6123" s="50" t="s">
        <v>27</v>
      </c>
      <c r="E6123" s="50">
        <v>50038956</v>
      </c>
      <c r="F6123" s="50" t="s">
        <v>177</v>
      </c>
      <c r="G6123" s="50">
        <v>1</v>
      </c>
      <c r="H6123" s="50" t="s">
        <v>2</v>
      </c>
      <c r="I6123" s="50" t="s">
        <v>291</v>
      </c>
      <c r="J6123" s="51">
        <v>45910</v>
      </c>
      <c r="K6123" s="50" t="s">
        <v>1</v>
      </c>
      <c r="L6123" s="50" t="s">
        <v>80</v>
      </c>
    </row>
    <row r="6124" spans="2:12">
      <c r="B6124" s="50" t="s">
        <v>437</v>
      </c>
      <c r="C6124" s="50" t="s">
        <v>51</v>
      </c>
      <c r="D6124" s="50" t="s">
        <v>41</v>
      </c>
      <c r="E6124" s="50">
        <v>50038956</v>
      </c>
      <c r="F6124" s="50" t="s">
        <v>177</v>
      </c>
      <c r="G6124" s="50">
        <v>1</v>
      </c>
      <c r="H6124" s="50" t="s">
        <v>2</v>
      </c>
      <c r="I6124" s="50" t="s">
        <v>287</v>
      </c>
      <c r="J6124" s="51">
        <v>45910</v>
      </c>
      <c r="K6124" s="50" t="s">
        <v>3</v>
      </c>
      <c r="L6124" s="50" t="s">
        <v>80</v>
      </c>
    </row>
    <row r="6125" spans="2:12">
      <c r="B6125" s="50" t="s">
        <v>437</v>
      </c>
      <c r="C6125" s="50" t="s">
        <v>51</v>
      </c>
      <c r="D6125" s="50" t="s">
        <v>41</v>
      </c>
      <c r="E6125" s="50">
        <v>50038956</v>
      </c>
      <c r="F6125" s="50" t="s">
        <v>177</v>
      </c>
      <c r="G6125" s="50">
        <v>1</v>
      </c>
      <c r="H6125" s="50" t="s">
        <v>2</v>
      </c>
      <c r="I6125" s="50" t="s">
        <v>287</v>
      </c>
      <c r="J6125" s="51">
        <v>45910</v>
      </c>
      <c r="K6125" s="50" t="s">
        <v>3</v>
      </c>
      <c r="L6125" s="50" t="s">
        <v>80</v>
      </c>
    </row>
    <row r="6126" spans="2:12">
      <c r="B6126" s="50" t="s">
        <v>406</v>
      </c>
      <c r="C6126" s="50" t="s">
        <v>26</v>
      </c>
      <c r="D6126" s="50" t="s">
        <v>39</v>
      </c>
      <c r="E6126" s="50">
        <v>50037892</v>
      </c>
      <c r="F6126" s="50" t="s">
        <v>178</v>
      </c>
      <c r="G6126" s="50">
        <v>1</v>
      </c>
      <c r="H6126" s="50" t="s">
        <v>2</v>
      </c>
      <c r="I6126" s="50" t="s">
        <v>293</v>
      </c>
      <c r="J6126" s="51">
        <v>45910</v>
      </c>
      <c r="K6126" s="50" t="s">
        <v>1</v>
      </c>
      <c r="L6126" s="50" t="s">
        <v>80</v>
      </c>
    </row>
    <row r="6127" spans="2:12">
      <c r="B6127" s="50" t="s">
        <v>406</v>
      </c>
      <c r="C6127" s="50" t="s">
        <v>26</v>
      </c>
      <c r="D6127" s="50" t="s">
        <v>39</v>
      </c>
      <c r="E6127" s="50">
        <v>50037892</v>
      </c>
      <c r="F6127" s="50" t="s">
        <v>178</v>
      </c>
      <c r="G6127" s="50">
        <v>1</v>
      </c>
      <c r="H6127" s="50" t="s">
        <v>2</v>
      </c>
      <c r="I6127" s="50" t="s">
        <v>291</v>
      </c>
      <c r="J6127" s="51">
        <v>45910</v>
      </c>
      <c r="K6127" s="50" t="s">
        <v>3</v>
      </c>
      <c r="L6127" s="50" t="s">
        <v>80</v>
      </c>
    </row>
    <row r="6128" spans="2:12">
      <c r="B6128" s="50" t="s">
        <v>483</v>
      </c>
      <c r="C6128" s="50" t="s">
        <v>62</v>
      </c>
      <c r="D6128" s="50" t="s">
        <v>27</v>
      </c>
      <c r="E6128" s="50">
        <v>50037902</v>
      </c>
      <c r="F6128" s="50" t="s">
        <v>179</v>
      </c>
      <c r="G6128" s="50">
        <v>1</v>
      </c>
      <c r="H6128" s="50" t="s">
        <v>2</v>
      </c>
      <c r="I6128" s="50" t="s">
        <v>289</v>
      </c>
      <c r="J6128" s="51">
        <v>45910</v>
      </c>
      <c r="K6128" s="50" t="s">
        <v>1</v>
      </c>
      <c r="L6128" s="50" t="s">
        <v>80</v>
      </c>
    </row>
    <row r="6129" spans="2:12">
      <c r="B6129" s="50" t="s">
        <v>483</v>
      </c>
      <c r="C6129" s="50" t="s">
        <v>62</v>
      </c>
      <c r="D6129" s="50" t="s">
        <v>27</v>
      </c>
      <c r="E6129" s="50">
        <v>50037902</v>
      </c>
      <c r="F6129" s="50" t="s">
        <v>179</v>
      </c>
      <c r="G6129" s="50">
        <v>1</v>
      </c>
      <c r="H6129" s="50" t="s">
        <v>2</v>
      </c>
      <c r="I6129" s="50" t="s">
        <v>292</v>
      </c>
      <c r="J6129" s="51">
        <v>45910</v>
      </c>
      <c r="K6129" s="50" t="s">
        <v>3</v>
      </c>
      <c r="L6129" s="50" t="s">
        <v>80</v>
      </c>
    </row>
    <row r="6130" spans="2:12">
      <c r="B6130" s="50" t="s">
        <v>483</v>
      </c>
      <c r="C6130" s="50" t="s">
        <v>62</v>
      </c>
      <c r="D6130" s="50" t="s">
        <v>27</v>
      </c>
      <c r="E6130" s="50">
        <v>50037902</v>
      </c>
      <c r="F6130" s="50" t="s">
        <v>179</v>
      </c>
      <c r="G6130" s="50">
        <v>1</v>
      </c>
      <c r="H6130" s="50" t="s">
        <v>2</v>
      </c>
      <c r="I6130" s="50" t="s">
        <v>287</v>
      </c>
      <c r="J6130" s="51">
        <v>45910</v>
      </c>
      <c r="K6130" s="50" t="s">
        <v>1</v>
      </c>
      <c r="L6130" s="50" t="s">
        <v>80</v>
      </c>
    </row>
    <row r="6131" spans="2:12">
      <c r="B6131" s="50" t="s">
        <v>483</v>
      </c>
      <c r="C6131" s="50" t="s">
        <v>62</v>
      </c>
      <c r="D6131" s="50" t="s">
        <v>27</v>
      </c>
      <c r="E6131" s="50">
        <v>50037902</v>
      </c>
      <c r="F6131" s="50" t="s">
        <v>179</v>
      </c>
      <c r="G6131" s="50">
        <v>1</v>
      </c>
      <c r="H6131" s="50" t="s">
        <v>2</v>
      </c>
      <c r="I6131" s="50" t="s">
        <v>291</v>
      </c>
      <c r="J6131" s="51">
        <v>45910</v>
      </c>
      <c r="K6131" s="50" t="s">
        <v>3</v>
      </c>
      <c r="L6131" s="50" t="s">
        <v>80</v>
      </c>
    </row>
    <row r="6132" spans="2:12">
      <c r="B6132" s="50" t="s">
        <v>458</v>
      </c>
      <c r="C6132" s="50" t="s">
        <v>26</v>
      </c>
      <c r="D6132" s="50" t="s">
        <v>27</v>
      </c>
      <c r="E6132" s="50">
        <v>50038517</v>
      </c>
      <c r="F6132" s="50" t="s">
        <v>181</v>
      </c>
      <c r="G6132" s="50">
        <v>1</v>
      </c>
      <c r="H6132" s="50" t="s">
        <v>2</v>
      </c>
      <c r="I6132" s="50" t="s">
        <v>291</v>
      </c>
      <c r="J6132" s="51">
        <v>45910</v>
      </c>
      <c r="K6132" s="50" t="s">
        <v>1</v>
      </c>
      <c r="L6132" s="50" t="s">
        <v>80</v>
      </c>
    </row>
    <row r="6133" spans="2:12">
      <c r="B6133" s="50" t="s">
        <v>458</v>
      </c>
      <c r="C6133" s="50" t="s">
        <v>26</v>
      </c>
      <c r="D6133" s="50" t="s">
        <v>27</v>
      </c>
      <c r="E6133" s="50">
        <v>50038517</v>
      </c>
      <c r="F6133" s="50" t="s">
        <v>181</v>
      </c>
      <c r="G6133" s="50">
        <v>1</v>
      </c>
      <c r="H6133" s="50" t="s">
        <v>2</v>
      </c>
      <c r="I6133" s="50" t="s">
        <v>291</v>
      </c>
      <c r="J6133" s="51">
        <v>45910</v>
      </c>
      <c r="K6133" s="50" t="s">
        <v>1</v>
      </c>
      <c r="L6133" s="50" t="s">
        <v>80</v>
      </c>
    </row>
    <row r="6134" spans="2:12">
      <c r="B6134" s="50" t="s">
        <v>483</v>
      </c>
      <c r="C6134" s="50" t="s">
        <v>62</v>
      </c>
      <c r="D6134" s="50" t="s">
        <v>27</v>
      </c>
      <c r="E6134" s="50">
        <v>50001995</v>
      </c>
      <c r="F6134" s="50" t="s">
        <v>185</v>
      </c>
      <c r="G6134" s="50">
        <v>1</v>
      </c>
      <c r="H6134" s="50" t="s">
        <v>2</v>
      </c>
      <c r="I6134" s="50" t="s">
        <v>292</v>
      </c>
      <c r="J6134" s="51">
        <v>45910</v>
      </c>
      <c r="K6134" s="50" t="s">
        <v>3</v>
      </c>
      <c r="L6134" s="50" t="s">
        <v>80</v>
      </c>
    </row>
    <row r="6135" spans="2:12">
      <c r="B6135" s="50" t="s">
        <v>483</v>
      </c>
      <c r="C6135" s="50" t="s">
        <v>62</v>
      </c>
      <c r="D6135" s="50" t="s">
        <v>27</v>
      </c>
      <c r="E6135" s="50">
        <v>50001995</v>
      </c>
      <c r="F6135" s="50" t="s">
        <v>185</v>
      </c>
      <c r="G6135" s="50">
        <v>1</v>
      </c>
      <c r="H6135" s="50" t="s">
        <v>2</v>
      </c>
      <c r="I6135" s="50" t="s">
        <v>291</v>
      </c>
      <c r="J6135" s="51">
        <v>45910</v>
      </c>
      <c r="K6135" s="50" t="s">
        <v>1</v>
      </c>
      <c r="L6135" s="50" t="s">
        <v>80</v>
      </c>
    </row>
    <row r="6136" spans="2:12">
      <c r="B6136" s="50" t="s">
        <v>280</v>
      </c>
      <c r="C6136" s="50" t="s">
        <v>62</v>
      </c>
      <c r="D6136" s="50" t="s">
        <v>27</v>
      </c>
      <c r="E6136" s="50">
        <v>50026357</v>
      </c>
      <c r="F6136" s="50" t="s">
        <v>192</v>
      </c>
      <c r="G6136" s="50">
        <v>1</v>
      </c>
      <c r="H6136" s="50" t="s">
        <v>2</v>
      </c>
      <c r="I6136" s="50" t="s">
        <v>293</v>
      </c>
      <c r="J6136" s="51">
        <v>45910</v>
      </c>
      <c r="K6136" s="50" t="s">
        <v>3</v>
      </c>
      <c r="L6136" s="50" t="s">
        <v>80</v>
      </c>
    </row>
    <row r="6137" spans="2:12">
      <c r="B6137" s="50" t="s">
        <v>280</v>
      </c>
      <c r="C6137" s="50" t="s">
        <v>62</v>
      </c>
      <c r="D6137" s="50" t="s">
        <v>27</v>
      </c>
      <c r="E6137" s="50">
        <v>50026357</v>
      </c>
      <c r="F6137" s="50" t="s">
        <v>192</v>
      </c>
      <c r="G6137" s="50">
        <v>1</v>
      </c>
      <c r="H6137" s="50" t="s">
        <v>2</v>
      </c>
      <c r="I6137" s="50" t="s">
        <v>291</v>
      </c>
      <c r="J6137" s="51">
        <v>45910</v>
      </c>
      <c r="K6137" s="50" t="s">
        <v>3</v>
      </c>
      <c r="L6137" s="50" t="s">
        <v>80</v>
      </c>
    </row>
    <row r="6138" spans="2:12">
      <c r="B6138" s="50" t="s">
        <v>316</v>
      </c>
      <c r="C6138" s="50" t="s">
        <v>51</v>
      </c>
      <c r="D6138" s="50" t="s">
        <v>27</v>
      </c>
      <c r="E6138" s="50">
        <v>50041195</v>
      </c>
      <c r="F6138" s="50" t="s">
        <v>206</v>
      </c>
      <c r="G6138" s="50">
        <v>1</v>
      </c>
      <c r="H6138" s="50" t="s">
        <v>2</v>
      </c>
      <c r="I6138" s="50" t="s">
        <v>289</v>
      </c>
      <c r="J6138" s="51">
        <v>45910</v>
      </c>
      <c r="K6138" s="50" t="s">
        <v>1</v>
      </c>
      <c r="L6138" s="50" t="s">
        <v>80</v>
      </c>
    </row>
    <row r="6139" spans="2:12">
      <c r="B6139" s="50" t="s">
        <v>316</v>
      </c>
      <c r="C6139" s="50" t="s">
        <v>56</v>
      </c>
      <c r="D6139" s="50" t="s">
        <v>27</v>
      </c>
      <c r="E6139" s="50">
        <v>50041195</v>
      </c>
      <c r="F6139" s="50" t="s">
        <v>206</v>
      </c>
      <c r="G6139" s="50">
        <v>1</v>
      </c>
      <c r="H6139" s="50" t="s">
        <v>2</v>
      </c>
      <c r="I6139" s="50" t="s">
        <v>293</v>
      </c>
      <c r="J6139" s="51">
        <v>45910</v>
      </c>
      <c r="K6139" s="50" t="s">
        <v>3</v>
      </c>
      <c r="L6139" s="50" t="s">
        <v>80</v>
      </c>
    </row>
    <row r="6140" spans="2:12">
      <c r="B6140" s="50" t="s">
        <v>415</v>
      </c>
      <c r="C6140" s="50" t="s">
        <v>51</v>
      </c>
      <c r="D6140" s="50" t="s">
        <v>27</v>
      </c>
      <c r="E6140" s="50">
        <v>50041195</v>
      </c>
      <c r="F6140" s="50" t="s">
        <v>206</v>
      </c>
      <c r="G6140" s="50">
        <v>1</v>
      </c>
      <c r="H6140" s="50" t="s">
        <v>2</v>
      </c>
      <c r="I6140" s="50" t="s">
        <v>291</v>
      </c>
      <c r="J6140" s="51">
        <v>45910</v>
      </c>
      <c r="K6140" s="50" t="s">
        <v>1</v>
      </c>
      <c r="L6140" s="50" t="s">
        <v>80</v>
      </c>
    </row>
    <row r="6141" spans="2:12">
      <c r="B6141" s="50" t="s">
        <v>415</v>
      </c>
      <c r="C6141" s="50" t="s">
        <v>51</v>
      </c>
      <c r="D6141" s="50" t="s">
        <v>27</v>
      </c>
      <c r="E6141" s="50">
        <v>50041195</v>
      </c>
      <c r="F6141" s="50" t="s">
        <v>206</v>
      </c>
      <c r="G6141" s="50">
        <v>1</v>
      </c>
      <c r="H6141" s="50" t="s">
        <v>2</v>
      </c>
      <c r="I6141" s="50" t="s">
        <v>291</v>
      </c>
      <c r="J6141" s="51">
        <v>45910</v>
      </c>
      <c r="K6141" s="50" t="s">
        <v>3</v>
      </c>
      <c r="L6141" s="50" t="s">
        <v>80</v>
      </c>
    </row>
    <row r="6142" spans="2:12">
      <c r="B6142" s="50" t="s">
        <v>413</v>
      </c>
      <c r="C6142" s="50" t="s">
        <v>51</v>
      </c>
      <c r="D6142" s="50" t="s">
        <v>39</v>
      </c>
      <c r="E6142" s="50">
        <v>50043917</v>
      </c>
      <c r="F6142" s="50" t="s">
        <v>262</v>
      </c>
      <c r="G6142" s="50">
        <v>1</v>
      </c>
      <c r="H6142" s="50" t="s">
        <v>2</v>
      </c>
      <c r="I6142" s="50" t="s">
        <v>289</v>
      </c>
      <c r="J6142" s="51">
        <v>45910</v>
      </c>
      <c r="K6142" s="50" t="s">
        <v>1</v>
      </c>
      <c r="L6142" s="50" t="s">
        <v>80</v>
      </c>
    </row>
    <row r="6143" spans="2:12">
      <c r="B6143" s="50" t="s">
        <v>413</v>
      </c>
      <c r="C6143" s="50" t="s">
        <v>51</v>
      </c>
      <c r="D6143" s="50" t="s">
        <v>39</v>
      </c>
      <c r="E6143" s="50">
        <v>50043917</v>
      </c>
      <c r="F6143" s="50" t="s">
        <v>262</v>
      </c>
      <c r="G6143" s="50">
        <v>1</v>
      </c>
      <c r="H6143" s="50" t="s">
        <v>2</v>
      </c>
      <c r="I6143" s="50" t="s">
        <v>289</v>
      </c>
      <c r="J6143" s="51">
        <v>45910</v>
      </c>
      <c r="K6143" s="50" t="s">
        <v>3</v>
      </c>
      <c r="L6143" s="50" t="s">
        <v>80</v>
      </c>
    </row>
    <row r="6144" spans="2:12">
      <c r="B6144" s="50" t="s">
        <v>386</v>
      </c>
      <c r="C6144" s="50" t="s">
        <v>26</v>
      </c>
      <c r="D6144" s="50" t="s">
        <v>27</v>
      </c>
      <c r="E6144" s="50">
        <v>50043917</v>
      </c>
      <c r="F6144" s="50" t="s">
        <v>262</v>
      </c>
      <c r="G6144" s="50">
        <v>1</v>
      </c>
      <c r="H6144" s="50" t="s">
        <v>2</v>
      </c>
      <c r="I6144" s="50" t="s">
        <v>289</v>
      </c>
      <c r="J6144" s="51">
        <v>45910</v>
      </c>
      <c r="K6144" s="50" t="s">
        <v>3</v>
      </c>
      <c r="L6144" s="50" t="s">
        <v>80</v>
      </c>
    </row>
    <row r="6145" spans="2:12">
      <c r="B6145" s="50" t="s">
        <v>386</v>
      </c>
      <c r="C6145" s="50" t="s">
        <v>26</v>
      </c>
      <c r="D6145" s="50" t="s">
        <v>27</v>
      </c>
      <c r="E6145" s="50">
        <v>50043917</v>
      </c>
      <c r="F6145" s="50" t="s">
        <v>262</v>
      </c>
      <c r="G6145" s="50">
        <v>1</v>
      </c>
      <c r="H6145" s="50" t="s">
        <v>2</v>
      </c>
      <c r="I6145" s="50" t="s">
        <v>293</v>
      </c>
      <c r="J6145" s="51">
        <v>45910</v>
      </c>
      <c r="K6145" s="50" t="s">
        <v>1</v>
      </c>
      <c r="L6145" s="50" t="s">
        <v>80</v>
      </c>
    </row>
    <row r="6146" spans="2:12">
      <c r="B6146" s="50" t="s">
        <v>397</v>
      </c>
      <c r="C6146" s="50" t="s">
        <v>26</v>
      </c>
      <c r="D6146" s="50" t="s">
        <v>41</v>
      </c>
      <c r="E6146" s="50">
        <v>50020622</v>
      </c>
      <c r="F6146" s="50" t="s">
        <v>217</v>
      </c>
      <c r="G6146" s="50">
        <v>1</v>
      </c>
      <c r="H6146" s="50" t="s">
        <v>2</v>
      </c>
      <c r="I6146" s="50" t="s">
        <v>287</v>
      </c>
      <c r="J6146" s="51">
        <v>45910</v>
      </c>
      <c r="K6146" s="50" t="s">
        <v>3</v>
      </c>
      <c r="L6146" s="50" t="s">
        <v>80</v>
      </c>
    </row>
    <row r="6147" spans="2:12">
      <c r="B6147" s="50" t="s">
        <v>397</v>
      </c>
      <c r="C6147" s="50" t="s">
        <v>26</v>
      </c>
      <c r="D6147" s="50" t="s">
        <v>41</v>
      </c>
      <c r="E6147" s="50">
        <v>50020622</v>
      </c>
      <c r="F6147" s="50" t="s">
        <v>217</v>
      </c>
      <c r="G6147" s="50">
        <v>1</v>
      </c>
      <c r="H6147" s="50" t="s">
        <v>2</v>
      </c>
      <c r="I6147" s="50" t="s">
        <v>291</v>
      </c>
      <c r="J6147" s="51">
        <v>45910</v>
      </c>
      <c r="K6147" s="50" t="s">
        <v>1</v>
      </c>
      <c r="L6147" s="50" t="s">
        <v>80</v>
      </c>
    </row>
    <row r="6148" spans="2:12">
      <c r="B6148" s="50" t="s">
        <v>444</v>
      </c>
      <c r="C6148" s="50" t="s">
        <v>51</v>
      </c>
      <c r="D6148" s="50" t="s">
        <v>27</v>
      </c>
      <c r="E6148" s="50">
        <v>50032781</v>
      </c>
      <c r="F6148" s="50" t="s">
        <v>237</v>
      </c>
      <c r="G6148" s="50">
        <v>1</v>
      </c>
      <c r="H6148" s="50" t="s">
        <v>2</v>
      </c>
      <c r="I6148" s="50" t="s">
        <v>291</v>
      </c>
      <c r="J6148" s="51">
        <v>45910</v>
      </c>
      <c r="K6148" s="50" t="s">
        <v>3</v>
      </c>
      <c r="L6148" s="50" t="s">
        <v>80</v>
      </c>
    </row>
    <row r="6149" spans="2:12">
      <c r="B6149" s="50" t="s">
        <v>444</v>
      </c>
      <c r="C6149" s="50" t="s">
        <v>51</v>
      </c>
      <c r="D6149" s="50" t="s">
        <v>27</v>
      </c>
      <c r="E6149" s="50">
        <v>50032781</v>
      </c>
      <c r="F6149" s="50" t="s">
        <v>237</v>
      </c>
      <c r="G6149" s="50">
        <v>1</v>
      </c>
      <c r="H6149" s="50" t="s">
        <v>2</v>
      </c>
      <c r="I6149" s="50" t="s">
        <v>291</v>
      </c>
      <c r="J6149" s="51">
        <v>45910</v>
      </c>
      <c r="K6149" s="50" t="s">
        <v>3</v>
      </c>
      <c r="L6149" s="50" t="s">
        <v>80</v>
      </c>
    </row>
    <row r="6150" spans="2:12">
      <c r="B6150" s="50" t="s">
        <v>450</v>
      </c>
      <c r="C6150" s="50" t="s">
        <v>61</v>
      </c>
      <c r="D6150" s="50" t="s">
        <v>39</v>
      </c>
      <c r="E6150" s="50">
        <v>50042002</v>
      </c>
      <c r="F6150" s="50" t="s">
        <v>299</v>
      </c>
      <c r="G6150" s="50">
        <v>1</v>
      </c>
      <c r="H6150" s="50" t="s">
        <v>2</v>
      </c>
      <c r="I6150" s="50" t="s">
        <v>291</v>
      </c>
      <c r="J6150" s="51">
        <v>45910</v>
      </c>
      <c r="K6150" s="50" t="s">
        <v>1</v>
      </c>
      <c r="L6150" s="50" t="s">
        <v>80</v>
      </c>
    </row>
    <row r="6151" spans="2:12">
      <c r="B6151" s="50" t="s">
        <v>446</v>
      </c>
      <c r="C6151" s="50" t="s">
        <v>56</v>
      </c>
      <c r="D6151" s="50" t="s">
        <v>27</v>
      </c>
      <c r="E6151" s="50">
        <v>50036298</v>
      </c>
      <c r="F6151" s="50" t="s">
        <v>102</v>
      </c>
      <c r="G6151" s="50">
        <v>1</v>
      </c>
      <c r="H6151" s="50" t="s">
        <v>2</v>
      </c>
      <c r="I6151" s="50" t="s">
        <v>288</v>
      </c>
      <c r="J6151" s="51">
        <v>45909</v>
      </c>
      <c r="K6151" s="50" t="s">
        <v>3</v>
      </c>
      <c r="L6151" s="50" t="s">
        <v>80</v>
      </c>
    </row>
    <row r="6152" spans="2:12">
      <c r="B6152" s="50" t="s">
        <v>409</v>
      </c>
      <c r="C6152" s="50" t="s">
        <v>51</v>
      </c>
      <c r="D6152" s="50" t="s">
        <v>27</v>
      </c>
      <c r="E6152" s="50">
        <v>50036288</v>
      </c>
      <c r="F6152" s="50" t="s">
        <v>125</v>
      </c>
      <c r="G6152" s="50">
        <v>1</v>
      </c>
      <c r="H6152" s="50" t="s">
        <v>2</v>
      </c>
      <c r="I6152" s="50" t="s">
        <v>287</v>
      </c>
      <c r="J6152" s="51">
        <v>45909</v>
      </c>
      <c r="K6152" s="50" t="s">
        <v>1</v>
      </c>
      <c r="L6152" s="50" t="s">
        <v>80</v>
      </c>
    </row>
    <row r="6153" spans="2:12">
      <c r="B6153" s="50" t="s">
        <v>421</v>
      </c>
      <c r="C6153" s="50" t="s">
        <v>268</v>
      </c>
      <c r="D6153" s="50" t="s">
        <v>27</v>
      </c>
      <c r="E6153" s="50">
        <v>50030486</v>
      </c>
      <c r="F6153" s="50" t="s">
        <v>153</v>
      </c>
      <c r="G6153" s="50">
        <v>1</v>
      </c>
      <c r="H6153" s="50" t="s">
        <v>2</v>
      </c>
      <c r="I6153" s="50" t="s">
        <v>297</v>
      </c>
      <c r="J6153" s="51">
        <v>45909</v>
      </c>
      <c r="K6153" s="50" t="s">
        <v>3</v>
      </c>
      <c r="L6153" s="50" t="s">
        <v>80</v>
      </c>
    </row>
    <row r="6154" spans="2:12">
      <c r="B6154" s="50" t="s">
        <v>421</v>
      </c>
      <c r="C6154" s="50" t="s">
        <v>268</v>
      </c>
      <c r="D6154" s="50" t="s">
        <v>27</v>
      </c>
      <c r="E6154" s="50">
        <v>50030486</v>
      </c>
      <c r="F6154" s="50" t="s">
        <v>153</v>
      </c>
      <c r="G6154" s="50">
        <v>1</v>
      </c>
      <c r="H6154" s="50" t="s">
        <v>2</v>
      </c>
      <c r="I6154" s="50" t="s">
        <v>293</v>
      </c>
      <c r="J6154" s="51">
        <v>45909</v>
      </c>
      <c r="K6154" s="50" t="s">
        <v>1</v>
      </c>
      <c r="L6154" s="50" t="s">
        <v>80</v>
      </c>
    </row>
    <row r="6155" spans="2:12">
      <c r="B6155" s="50" t="s">
        <v>280</v>
      </c>
      <c r="C6155" s="50" t="s">
        <v>62</v>
      </c>
      <c r="D6155" s="50" t="s">
        <v>27</v>
      </c>
      <c r="E6155" s="50">
        <v>50039236</v>
      </c>
      <c r="F6155" s="50" t="s">
        <v>154</v>
      </c>
      <c r="G6155" s="50">
        <v>1</v>
      </c>
      <c r="H6155" s="50" t="s">
        <v>2</v>
      </c>
      <c r="I6155" s="50" t="s">
        <v>293</v>
      </c>
      <c r="J6155" s="51">
        <v>45909</v>
      </c>
      <c r="K6155" s="50" t="s">
        <v>3</v>
      </c>
      <c r="L6155" s="50" t="s">
        <v>80</v>
      </c>
    </row>
    <row r="6156" spans="2:12">
      <c r="B6156" s="50" t="s">
        <v>280</v>
      </c>
      <c r="C6156" s="50" t="s">
        <v>62</v>
      </c>
      <c r="D6156" s="50" t="s">
        <v>27</v>
      </c>
      <c r="E6156" s="50">
        <v>50039236</v>
      </c>
      <c r="F6156" s="50" t="s">
        <v>154</v>
      </c>
      <c r="G6156" s="50">
        <v>1</v>
      </c>
      <c r="H6156" s="50" t="s">
        <v>2</v>
      </c>
      <c r="I6156" s="50" t="s">
        <v>293</v>
      </c>
      <c r="J6156" s="51">
        <v>45909</v>
      </c>
      <c r="K6156" s="50" t="s">
        <v>1</v>
      </c>
      <c r="L6156" s="50" t="s">
        <v>80</v>
      </c>
    </row>
    <row r="6157" spans="2:12">
      <c r="B6157" s="50" t="s">
        <v>399</v>
      </c>
      <c r="C6157" s="50" t="s">
        <v>51</v>
      </c>
      <c r="D6157" s="50" t="s">
        <v>27</v>
      </c>
      <c r="E6157" s="50">
        <v>50043471</v>
      </c>
      <c r="F6157" s="50" t="s">
        <v>257</v>
      </c>
      <c r="G6157" s="50">
        <v>1</v>
      </c>
      <c r="H6157" s="50" t="s">
        <v>2</v>
      </c>
      <c r="I6157" s="50" t="s">
        <v>293</v>
      </c>
      <c r="J6157" s="51">
        <v>45909</v>
      </c>
      <c r="K6157" s="50" t="s">
        <v>3</v>
      </c>
      <c r="L6157" s="50" t="s">
        <v>80</v>
      </c>
    </row>
    <row r="6158" spans="2:12">
      <c r="B6158" s="50" t="s">
        <v>399</v>
      </c>
      <c r="C6158" s="50" t="s">
        <v>51</v>
      </c>
      <c r="D6158" s="50" t="s">
        <v>27</v>
      </c>
      <c r="E6158" s="50">
        <v>50043471</v>
      </c>
      <c r="F6158" s="50" t="s">
        <v>257</v>
      </c>
      <c r="G6158" s="50">
        <v>1</v>
      </c>
      <c r="H6158" s="50" t="s">
        <v>2</v>
      </c>
      <c r="I6158" s="50" t="s">
        <v>287</v>
      </c>
      <c r="J6158" s="51">
        <v>45909</v>
      </c>
      <c r="K6158" s="50" t="s">
        <v>1</v>
      </c>
      <c r="L6158" s="50" t="s">
        <v>80</v>
      </c>
    </row>
    <row r="6159" spans="2:12">
      <c r="B6159" s="50" t="s">
        <v>345</v>
      </c>
      <c r="C6159" s="50" t="s">
        <v>62</v>
      </c>
      <c r="D6159" s="50" t="s">
        <v>27</v>
      </c>
      <c r="E6159" s="50">
        <v>50003296</v>
      </c>
      <c r="F6159" s="50" t="s">
        <v>157</v>
      </c>
      <c r="G6159" s="50">
        <v>1</v>
      </c>
      <c r="H6159" s="50" t="s">
        <v>2</v>
      </c>
      <c r="I6159" s="50" t="s">
        <v>289</v>
      </c>
      <c r="J6159" s="51">
        <v>45909</v>
      </c>
      <c r="K6159" s="50" t="s">
        <v>3</v>
      </c>
      <c r="L6159" s="50" t="s">
        <v>80</v>
      </c>
    </row>
    <row r="6160" spans="2:12">
      <c r="B6160" s="50" t="s">
        <v>345</v>
      </c>
      <c r="C6160" s="50" t="s">
        <v>62</v>
      </c>
      <c r="D6160" s="50" t="s">
        <v>27</v>
      </c>
      <c r="E6160" s="50">
        <v>50003296</v>
      </c>
      <c r="F6160" s="50" t="s">
        <v>157</v>
      </c>
      <c r="G6160" s="50">
        <v>1</v>
      </c>
      <c r="H6160" s="50" t="s">
        <v>2</v>
      </c>
      <c r="I6160" s="50" t="s">
        <v>293</v>
      </c>
      <c r="J6160" s="51">
        <v>45909</v>
      </c>
      <c r="K6160" s="50" t="s">
        <v>1</v>
      </c>
      <c r="L6160" s="50" t="s">
        <v>80</v>
      </c>
    </row>
    <row r="6161" spans="2:12">
      <c r="B6161" s="50" t="s">
        <v>417</v>
      </c>
      <c r="C6161" s="50" t="s">
        <v>51</v>
      </c>
      <c r="D6161" s="50" t="s">
        <v>41</v>
      </c>
      <c r="E6161" s="50">
        <v>50003297</v>
      </c>
      <c r="F6161" s="50" t="s">
        <v>158</v>
      </c>
      <c r="G6161" s="50">
        <v>1</v>
      </c>
      <c r="H6161" s="50" t="s">
        <v>2</v>
      </c>
      <c r="I6161" s="50" t="s">
        <v>288</v>
      </c>
      <c r="J6161" s="51">
        <v>45909</v>
      </c>
      <c r="K6161" s="50" t="s">
        <v>3</v>
      </c>
      <c r="L6161" s="50" t="s">
        <v>80</v>
      </c>
    </row>
    <row r="6162" spans="2:12">
      <c r="B6162" s="50" t="s">
        <v>417</v>
      </c>
      <c r="C6162" s="50" t="s">
        <v>51</v>
      </c>
      <c r="D6162" s="50" t="s">
        <v>41</v>
      </c>
      <c r="E6162" s="50">
        <v>50003297</v>
      </c>
      <c r="F6162" s="50" t="s">
        <v>158</v>
      </c>
      <c r="G6162" s="50">
        <v>1</v>
      </c>
      <c r="H6162" s="50" t="s">
        <v>2</v>
      </c>
      <c r="I6162" s="50" t="s">
        <v>288</v>
      </c>
      <c r="J6162" s="51">
        <v>45909</v>
      </c>
      <c r="K6162" s="50" t="s">
        <v>1</v>
      </c>
      <c r="L6162" s="50" t="s">
        <v>80</v>
      </c>
    </row>
    <row r="6163" spans="2:12">
      <c r="B6163" s="50" t="s">
        <v>386</v>
      </c>
      <c r="C6163" s="50" t="s">
        <v>26</v>
      </c>
      <c r="D6163" s="50" t="s">
        <v>27</v>
      </c>
      <c r="E6163" s="50">
        <v>50022878</v>
      </c>
      <c r="F6163" s="50" t="s">
        <v>296</v>
      </c>
      <c r="G6163" s="50">
        <v>1</v>
      </c>
      <c r="H6163" s="50" t="s">
        <v>2</v>
      </c>
      <c r="I6163" s="50" t="s">
        <v>293</v>
      </c>
      <c r="J6163" s="51">
        <v>45909</v>
      </c>
      <c r="K6163" s="50" t="s">
        <v>3</v>
      </c>
      <c r="L6163" s="50" t="s">
        <v>80</v>
      </c>
    </row>
    <row r="6164" spans="2:12">
      <c r="B6164" s="50" t="s">
        <v>406</v>
      </c>
      <c r="C6164" s="50" t="s">
        <v>26</v>
      </c>
      <c r="D6164" s="50" t="s">
        <v>39</v>
      </c>
      <c r="E6164" s="50">
        <v>50022878</v>
      </c>
      <c r="F6164" s="50" t="s">
        <v>296</v>
      </c>
      <c r="G6164" s="50">
        <v>1</v>
      </c>
      <c r="H6164" s="50" t="s">
        <v>2</v>
      </c>
      <c r="I6164" s="50" t="s">
        <v>287</v>
      </c>
      <c r="J6164" s="51">
        <v>45909</v>
      </c>
      <c r="K6164" s="50" t="s">
        <v>1</v>
      </c>
      <c r="L6164" s="50" t="s">
        <v>80</v>
      </c>
    </row>
    <row r="6165" spans="2:12">
      <c r="B6165" s="50" t="s">
        <v>386</v>
      </c>
      <c r="C6165" s="50" t="s">
        <v>26</v>
      </c>
      <c r="D6165" s="50" t="s">
        <v>27</v>
      </c>
      <c r="E6165" s="50">
        <v>50022878</v>
      </c>
      <c r="F6165" s="50" t="s">
        <v>296</v>
      </c>
      <c r="G6165" s="50">
        <v>1</v>
      </c>
      <c r="H6165" s="50" t="s">
        <v>2</v>
      </c>
      <c r="I6165" s="50" t="s">
        <v>287</v>
      </c>
      <c r="J6165" s="51">
        <v>45909</v>
      </c>
      <c r="K6165" s="50" t="s">
        <v>3</v>
      </c>
      <c r="L6165" s="50"/>
    </row>
    <row r="6166" spans="2:12">
      <c r="B6166" s="50" t="s">
        <v>386</v>
      </c>
      <c r="C6166" s="50" t="s">
        <v>26</v>
      </c>
      <c r="D6166" s="50" t="s">
        <v>27</v>
      </c>
      <c r="E6166" s="50">
        <v>50022878</v>
      </c>
      <c r="F6166" s="50" t="s">
        <v>296</v>
      </c>
      <c r="G6166" s="50">
        <v>1</v>
      </c>
      <c r="H6166" s="50" t="s">
        <v>2</v>
      </c>
      <c r="I6166" s="50" t="s">
        <v>288</v>
      </c>
      <c r="J6166" s="51">
        <v>45909</v>
      </c>
      <c r="K6166" s="50" t="s">
        <v>3</v>
      </c>
      <c r="L6166" s="50" t="s">
        <v>80</v>
      </c>
    </row>
    <row r="6167" spans="2:12">
      <c r="B6167" s="50" t="s">
        <v>471</v>
      </c>
      <c r="C6167" s="50" t="s">
        <v>26</v>
      </c>
      <c r="D6167" s="50" t="s">
        <v>27</v>
      </c>
      <c r="E6167" s="50">
        <v>50037892</v>
      </c>
      <c r="F6167" s="50" t="s">
        <v>178</v>
      </c>
      <c r="G6167" s="50">
        <v>1</v>
      </c>
      <c r="H6167" s="50" t="s">
        <v>2</v>
      </c>
      <c r="I6167" s="50" t="s">
        <v>289</v>
      </c>
      <c r="J6167" s="51">
        <v>45909</v>
      </c>
      <c r="K6167" s="50" t="s">
        <v>1</v>
      </c>
      <c r="L6167" s="50" t="s">
        <v>80</v>
      </c>
    </row>
    <row r="6168" spans="2:12">
      <c r="B6168" s="50" t="s">
        <v>471</v>
      </c>
      <c r="C6168" s="50" t="s">
        <v>26</v>
      </c>
      <c r="D6168" s="50" t="s">
        <v>27</v>
      </c>
      <c r="E6168" s="50">
        <v>50037892</v>
      </c>
      <c r="F6168" s="50" t="s">
        <v>178</v>
      </c>
      <c r="G6168" s="50">
        <v>1</v>
      </c>
      <c r="H6168" s="50" t="s">
        <v>2</v>
      </c>
      <c r="I6168" s="50" t="s">
        <v>293</v>
      </c>
      <c r="J6168" s="51">
        <v>45909</v>
      </c>
      <c r="K6168" s="50" t="s">
        <v>3</v>
      </c>
      <c r="L6168" s="50" t="s">
        <v>80</v>
      </c>
    </row>
    <row r="6169" spans="2:12">
      <c r="B6169" s="50" t="s">
        <v>399</v>
      </c>
      <c r="C6169" s="50" t="s">
        <v>51</v>
      </c>
      <c r="D6169" s="50" t="s">
        <v>27</v>
      </c>
      <c r="E6169" s="50">
        <v>50038841</v>
      </c>
      <c r="F6169" s="50" t="s">
        <v>180</v>
      </c>
      <c r="G6169" s="50">
        <v>1</v>
      </c>
      <c r="H6169" s="50" t="s">
        <v>2</v>
      </c>
      <c r="I6169" s="50" t="s">
        <v>292</v>
      </c>
      <c r="J6169" s="51">
        <v>45909</v>
      </c>
      <c r="K6169" s="50" t="s">
        <v>1</v>
      </c>
      <c r="L6169" s="50" t="s">
        <v>80</v>
      </c>
    </row>
    <row r="6170" spans="2:12">
      <c r="B6170" s="50" t="s">
        <v>399</v>
      </c>
      <c r="C6170" s="50" t="s">
        <v>51</v>
      </c>
      <c r="D6170" s="50" t="s">
        <v>27</v>
      </c>
      <c r="E6170" s="50">
        <v>50038841</v>
      </c>
      <c r="F6170" s="50" t="s">
        <v>180</v>
      </c>
      <c r="G6170" s="50">
        <v>1</v>
      </c>
      <c r="H6170" s="50" t="s">
        <v>2</v>
      </c>
      <c r="I6170" s="50" t="s">
        <v>288</v>
      </c>
      <c r="J6170" s="51">
        <v>45909</v>
      </c>
      <c r="K6170" s="50" t="s">
        <v>3</v>
      </c>
      <c r="L6170" s="50" t="s">
        <v>80</v>
      </c>
    </row>
    <row r="6171" spans="2:12">
      <c r="B6171" s="50" t="s">
        <v>483</v>
      </c>
      <c r="C6171" s="50" t="s">
        <v>62</v>
      </c>
      <c r="D6171" s="50" t="s">
        <v>27</v>
      </c>
      <c r="E6171" s="50">
        <v>50038517</v>
      </c>
      <c r="F6171" s="50" t="s">
        <v>181</v>
      </c>
      <c r="G6171" s="50">
        <v>1</v>
      </c>
      <c r="H6171" s="50" t="s">
        <v>2</v>
      </c>
      <c r="I6171" s="50" t="s">
        <v>293</v>
      </c>
      <c r="J6171" s="51">
        <v>45909</v>
      </c>
      <c r="K6171" s="50" t="s">
        <v>1</v>
      </c>
      <c r="L6171" s="50" t="s">
        <v>80</v>
      </c>
    </row>
    <row r="6172" spans="2:12">
      <c r="B6172" s="50" t="s">
        <v>345</v>
      </c>
      <c r="C6172" s="50" t="s">
        <v>62</v>
      </c>
      <c r="D6172" s="50" t="s">
        <v>27</v>
      </c>
      <c r="E6172" s="50">
        <v>50038517</v>
      </c>
      <c r="F6172" s="50" t="s">
        <v>181</v>
      </c>
      <c r="G6172" s="50">
        <v>1</v>
      </c>
      <c r="H6172" s="50" t="s">
        <v>2</v>
      </c>
      <c r="I6172" s="50" t="s">
        <v>288</v>
      </c>
      <c r="J6172" s="51">
        <v>45909</v>
      </c>
      <c r="K6172" s="50" t="s">
        <v>1</v>
      </c>
      <c r="L6172" s="50" t="s">
        <v>80</v>
      </c>
    </row>
    <row r="6173" spans="2:12">
      <c r="B6173" s="50" t="s">
        <v>483</v>
      </c>
      <c r="C6173" s="50" t="s">
        <v>62</v>
      </c>
      <c r="D6173" s="50" t="s">
        <v>27</v>
      </c>
      <c r="E6173" s="50">
        <v>50001995</v>
      </c>
      <c r="F6173" s="50" t="s">
        <v>185</v>
      </c>
      <c r="G6173" s="50">
        <v>1</v>
      </c>
      <c r="H6173" s="50" t="s">
        <v>2</v>
      </c>
      <c r="I6173" s="50" t="s">
        <v>293</v>
      </c>
      <c r="J6173" s="51">
        <v>45909</v>
      </c>
      <c r="K6173" s="50" t="s">
        <v>3</v>
      </c>
      <c r="L6173" s="50" t="s">
        <v>80</v>
      </c>
    </row>
    <row r="6174" spans="2:12">
      <c r="B6174" s="50" t="s">
        <v>483</v>
      </c>
      <c r="C6174" s="50" t="s">
        <v>62</v>
      </c>
      <c r="D6174" s="50" t="s">
        <v>27</v>
      </c>
      <c r="E6174" s="50">
        <v>50001995</v>
      </c>
      <c r="F6174" s="50" t="s">
        <v>185</v>
      </c>
      <c r="G6174" s="50">
        <v>1</v>
      </c>
      <c r="H6174" s="50" t="s">
        <v>2</v>
      </c>
      <c r="I6174" s="50" t="s">
        <v>288</v>
      </c>
      <c r="J6174" s="51">
        <v>45909</v>
      </c>
      <c r="K6174" s="50" t="s">
        <v>1</v>
      </c>
      <c r="L6174" s="50" t="s">
        <v>80</v>
      </c>
    </row>
    <row r="6175" spans="2:12">
      <c r="B6175" s="50" t="s">
        <v>280</v>
      </c>
      <c r="C6175" s="50" t="s">
        <v>62</v>
      </c>
      <c r="D6175" s="50" t="s">
        <v>27</v>
      </c>
      <c r="E6175" s="50">
        <v>50026357</v>
      </c>
      <c r="F6175" s="50" t="s">
        <v>192</v>
      </c>
      <c r="G6175" s="50">
        <v>1</v>
      </c>
      <c r="H6175" s="50" t="s">
        <v>2</v>
      </c>
      <c r="I6175" s="50" t="s">
        <v>293</v>
      </c>
      <c r="J6175" s="51">
        <v>45909</v>
      </c>
      <c r="K6175" s="50" t="s">
        <v>3</v>
      </c>
      <c r="L6175" s="50" t="s">
        <v>80</v>
      </c>
    </row>
    <row r="6176" spans="2:12">
      <c r="B6176" s="50" t="s">
        <v>280</v>
      </c>
      <c r="C6176" s="50" t="s">
        <v>62</v>
      </c>
      <c r="D6176" s="50" t="s">
        <v>27</v>
      </c>
      <c r="E6176" s="50">
        <v>50026357</v>
      </c>
      <c r="F6176" s="50" t="s">
        <v>192</v>
      </c>
      <c r="G6176" s="50">
        <v>1</v>
      </c>
      <c r="H6176" s="50" t="s">
        <v>2</v>
      </c>
      <c r="I6176" s="50" t="s">
        <v>288</v>
      </c>
      <c r="J6176" s="51">
        <v>45909</v>
      </c>
      <c r="K6176" s="50" t="s">
        <v>1</v>
      </c>
      <c r="L6176" s="50" t="s">
        <v>80</v>
      </c>
    </row>
    <row r="6177" spans="2:12">
      <c r="B6177" s="50" t="s">
        <v>458</v>
      </c>
      <c r="C6177" s="50" t="s">
        <v>26</v>
      </c>
      <c r="D6177" s="50" t="s">
        <v>27</v>
      </c>
      <c r="E6177" s="50">
        <v>50041653</v>
      </c>
      <c r="F6177" s="50" t="s">
        <v>201</v>
      </c>
      <c r="G6177" s="50">
        <v>1</v>
      </c>
      <c r="H6177" s="50" t="s">
        <v>2</v>
      </c>
      <c r="I6177" s="50" t="s">
        <v>287</v>
      </c>
      <c r="J6177" s="51">
        <v>45909</v>
      </c>
      <c r="K6177" s="50" t="s">
        <v>3</v>
      </c>
      <c r="L6177" s="50" t="s">
        <v>80</v>
      </c>
    </row>
    <row r="6178" spans="2:12">
      <c r="B6178" s="50" t="s">
        <v>458</v>
      </c>
      <c r="C6178" s="50" t="s">
        <v>26</v>
      </c>
      <c r="D6178" s="50" t="s">
        <v>27</v>
      </c>
      <c r="E6178" s="50">
        <v>50041653</v>
      </c>
      <c r="F6178" s="50" t="s">
        <v>201</v>
      </c>
      <c r="G6178" s="50">
        <v>1</v>
      </c>
      <c r="H6178" s="50" t="s">
        <v>2</v>
      </c>
      <c r="I6178" s="50" t="s">
        <v>288</v>
      </c>
      <c r="J6178" s="51">
        <v>45909</v>
      </c>
      <c r="K6178" s="50" t="s">
        <v>3</v>
      </c>
      <c r="L6178" s="50" t="s">
        <v>80</v>
      </c>
    </row>
    <row r="6179" spans="2:12">
      <c r="B6179" s="50" t="s">
        <v>467</v>
      </c>
      <c r="C6179" s="50" t="s">
        <v>51</v>
      </c>
      <c r="D6179" s="50" t="s">
        <v>39</v>
      </c>
      <c r="E6179" s="50">
        <v>50041195</v>
      </c>
      <c r="F6179" s="50" t="s">
        <v>206</v>
      </c>
      <c r="G6179" s="50">
        <v>1</v>
      </c>
      <c r="H6179" s="50" t="s">
        <v>2</v>
      </c>
      <c r="I6179" s="50" t="s">
        <v>289</v>
      </c>
      <c r="J6179" s="51">
        <v>45909</v>
      </c>
      <c r="K6179" s="50" t="s">
        <v>1</v>
      </c>
      <c r="L6179" s="50" t="s">
        <v>80</v>
      </c>
    </row>
    <row r="6180" spans="2:12">
      <c r="B6180" s="50" t="s">
        <v>467</v>
      </c>
      <c r="C6180" s="50" t="s">
        <v>51</v>
      </c>
      <c r="D6180" s="50" t="s">
        <v>39</v>
      </c>
      <c r="E6180" s="50">
        <v>50041195</v>
      </c>
      <c r="F6180" s="50" t="s">
        <v>206</v>
      </c>
      <c r="G6180" s="50">
        <v>1</v>
      </c>
      <c r="H6180" s="50" t="s">
        <v>2</v>
      </c>
      <c r="I6180" s="50" t="s">
        <v>289</v>
      </c>
      <c r="J6180" s="51">
        <v>45909</v>
      </c>
      <c r="K6180" s="50" t="s">
        <v>3</v>
      </c>
      <c r="L6180" s="50" t="s">
        <v>80</v>
      </c>
    </row>
    <row r="6181" spans="2:12">
      <c r="B6181" s="50" t="s">
        <v>481</v>
      </c>
      <c r="C6181" s="50" t="s">
        <v>56</v>
      </c>
      <c r="D6181" s="50" t="s">
        <v>27</v>
      </c>
      <c r="E6181" s="50">
        <v>50041195</v>
      </c>
      <c r="F6181" s="50" t="s">
        <v>206</v>
      </c>
      <c r="G6181" s="50">
        <v>1</v>
      </c>
      <c r="H6181" s="50" t="s">
        <v>2</v>
      </c>
      <c r="I6181" s="50" t="s">
        <v>289</v>
      </c>
      <c r="J6181" s="51">
        <v>45909</v>
      </c>
      <c r="K6181" s="50" t="s">
        <v>1</v>
      </c>
      <c r="L6181" s="50" t="s">
        <v>80</v>
      </c>
    </row>
    <row r="6182" spans="2:12">
      <c r="B6182" s="50" t="s">
        <v>481</v>
      </c>
      <c r="C6182" s="50" t="s">
        <v>56</v>
      </c>
      <c r="D6182" s="50" t="s">
        <v>27</v>
      </c>
      <c r="E6182" s="50">
        <v>50041195</v>
      </c>
      <c r="F6182" s="50" t="s">
        <v>206</v>
      </c>
      <c r="G6182" s="50">
        <v>1</v>
      </c>
      <c r="H6182" s="50" t="s">
        <v>2</v>
      </c>
      <c r="I6182" s="50" t="s">
        <v>292</v>
      </c>
      <c r="J6182" s="51">
        <v>45909</v>
      </c>
      <c r="K6182" s="50" t="s">
        <v>3</v>
      </c>
      <c r="L6182" s="50" t="s">
        <v>80</v>
      </c>
    </row>
    <row r="6183" spans="2:12">
      <c r="B6183" s="50" t="s">
        <v>277</v>
      </c>
      <c r="C6183" s="50" t="s">
        <v>62</v>
      </c>
      <c r="D6183" s="50" t="s">
        <v>27</v>
      </c>
      <c r="E6183" s="50">
        <v>50041195</v>
      </c>
      <c r="F6183" s="50" t="s">
        <v>206</v>
      </c>
      <c r="G6183" s="50">
        <v>1</v>
      </c>
      <c r="H6183" s="50" t="s">
        <v>2</v>
      </c>
      <c r="I6183" s="50" t="s">
        <v>293</v>
      </c>
      <c r="J6183" s="51">
        <v>45909</v>
      </c>
      <c r="K6183" s="50" t="s">
        <v>3</v>
      </c>
      <c r="L6183" s="50" t="s">
        <v>80</v>
      </c>
    </row>
    <row r="6184" spans="2:12">
      <c r="B6184" s="50" t="s">
        <v>277</v>
      </c>
      <c r="C6184" s="50" t="s">
        <v>62</v>
      </c>
      <c r="D6184" s="50" t="s">
        <v>27</v>
      </c>
      <c r="E6184" s="50">
        <v>50041195</v>
      </c>
      <c r="F6184" s="50" t="s">
        <v>206</v>
      </c>
      <c r="G6184" s="50">
        <v>1</v>
      </c>
      <c r="H6184" s="50" t="s">
        <v>2</v>
      </c>
      <c r="I6184" s="50" t="s">
        <v>293</v>
      </c>
      <c r="J6184" s="51">
        <v>45909</v>
      </c>
      <c r="K6184" s="50" t="s">
        <v>1</v>
      </c>
      <c r="L6184" s="50" t="s">
        <v>80</v>
      </c>
    </row>
    <row r="6185" spans="2:12">
      <c r="B6185" s="50" t="s">
        <v>439</v>
      </c>
      <c r="C6185" s="50" t="s">
        <v>62</v>
      </c>
      <c r="D6185" s="50" t="s">
        <v>27</v>
      </c>
      <c r="E6185" s="50">
        <v>50041195</v>
      </c>
      <c r="F6185" s="50" t="s">
        <v>206</v>
      </c>
      <c r="G6185" s="50">
        <v>1</v>
      </c>
      <c r="H6185" s="50" t="s">
        <v>2</v>
      </c>
      <c r="I6185" s="50" t="s">
        <v>288</v>
      </c>
      <c r="J6185" s="51">
        <v>45909</v>
      </c>
      <c r="K6185" s="50" t="s">
        <v>3</v>
      </c>
      <c r="L6185" s="50" t="s">
        <v>80</v>
      </c>
    </row>
    <row r="6186" spans="2:12">
      <c r="B6186" s="50" t="s">
        <v>481</v>
      </c>
      <c r="C6186" s="50" t="s">
        <v>56</v>
      </c>
      <c r="D6186" s="50" t="s">
        <v>27</v>
      </c>
      <c r="E6186" s="50">
        <v>50043917</v>
      </c>
      <c r="F6186" s="50" t="s">
        <v>262</v>
      </c>
      <c r="G6186" s="50">
        <v>1</v>
      </c>
      <c r="H6186" s="50" t="s">
        <v>2</v>
      </c>
      <c r="I6186" s="50" t="s">
        <v>292</v>
      </c>
      <c r="J6186" s="51">
        <v>45909</v>
      </c>
      <c r="K6186" s="50" t="s">
        <v>1</v>
      </c>
      <c r="L6186" s="50" t="s">
        <v>80</v>
      </c>
    </row>
    <row r="6187" spans="2:12">
      <c r="B6187" s="50" t="s">
        <v>481</v>
      </c>
      <c r="C6187" s="50" t="s">
        <v>56</v>
      </c>
      <c r="D6187" s="50" t="s">
        <v>27</v>
      </c>
      <c r="E6187" s="50">
        <v>50043917</v>
      </c>
      <c r="F6187" s="50" t="s">
        <v>262</v>
      </c>
      <c r="G6187" s="50">
        <v>1</v>
      </c>
      <c r="H6187" s="50" t="s">
        <v>2</v>
      </c>
      <c r="I6187" s="50" t="s">
        <v>288</v>
      </c>
      <c r="J6187" s="51">
        <v>45909</v>
      </c>
      <c r="K6187" s="50" t="s">
        <v>1</v>
      </c>
      <c r="L6187" s="50" t="s">
        <v>80</v>
      </c>
    </row>
    <row r="6188" spans="2:12">
      <c r="B6188" s="50" t="s">
        <v>465</v>
      </c>
      <c r="C6188" s="50" t="s">
        <v>26</v>
      </c>
      <c r="D6188" s="50" t="s">
        <v>27</v>
      </c>
      <c r="E6188" s="50">
        <v>50004486</v>
      </c>
      <c r="F6188" s="50" t="s">
        <v>221</v>
      </c>
      <c r="G6188" s="50">
        <v>1</v>
      </c>
      <c r="H6188" s="50" t="s">
        <v>2</v>
      </c>
      <c r="I6188" s="50" t="s">
        <v>293</v>
      </c>
      <c r="J6188" s="51">
        <v>45909</v>
      </c>
      <c r="K6188" s="50" t="s">
        <v>3</v>
      </c>
      <c r="L6188" s="50" t="s">
        <v>80</v>
      </c>
    </row>
    <row r="6189" spans="2:12">
      <c r="B6189" s="50" t="s">
        <v>465</v>
      </c>
      <c r="C6189" s="50" t="s">
        <v>26</v>
      </c>
      <c r="D6189" s="50" t="s">
        <v>27</v>
      </c>
      <c r="E6189" s="50">
        <v>50004486</v>
      </c>
      <c r="F6189" s="50" t="s">
        <v>221</v>
      </c>
      <c r="G6189" s="50">
        <v>1</v>
      </c>
      <c r="H6189" s="50" t="s">
        <v>2</v>
      </c>
      <c r="I6189" s="50" t="s">
        <v>292</v>
      </c>
      <c r="J6189" s="51">
        <v>45909</v>
      </c>
      <c r="K6189" s="50" t="s">
        <v>1</v>
      </c>
      <c r="L6189" s="50" t="s">
        <v>80</v>
      </c>
    </row>
    <row r="6190" spans="2:12">
      <c r="B6190" s="50" t="s">
        <v>478</v>
      </c>
      <c r="C6190" s="50" t="s">
        <v>51</v>
      </c>
      <c r="D6190" s="50" t="s">
        <v>27</v>
      </c>
      <c r="E6190" s="50">
        <v>50032781</v>
      </c>
      <c r="F6190" s="50" t="s">
        <v>237</v>
      </c>
      <c r="G6190" s="50">
        <v>1</v>
      </c>
      <c r="H6190" s="50" t="s">
        <v>2</v>
      </c>
      <c r="I6190" s="50" t="s">
        <v>287</v>
      </c>
      <c r="J6190" s="51">
        <v>45909</v>
      </c>
      <c r="K6190" s="50" t="s">
        <v>3</v>
      </c>
      <c r="L6190" s="50" t="s">
        <v>80</v>
      </c>
    </row>
    <row r="6191" spans="2:12">
      <c r="B6191" s="50" t="s">
        <v>478</v>
      </c>
      <c r="C6191" s="50" t="s">
        <v>51</v>
      </c>
      <c r="D6191" s="50" t="s">
        <v>27</v>
      </c>
      <c r="E6191" s="50">
        <v>50032781</v>
      </c>
      <c r="F6191" s="50" t="s">
        <v>237</v>
      </c>
      <c r="G6191" s="50">
        <v>1</v>
      </c>
      <c r="H6191" s="50" t="s">
        <v>2</v>
      </c>
      <c r="I6191" s="50" t="s">
        <v>288</v>
      </c>
      <c r="J6191" s="51">
        <v>45909</v>
      </c>
      <c r="K6191" s="50" t="s">
        <v>1</v>
      </c>
      <c r="L6191" s="50" t="s">
        <v>80</v>
      </c>
    </row>
    <row r="6192" spans="2:12">
      <c r="B6192" s="50" t="s">
        <v>458</v>
      </c>
      <c r="C6192" s="50" t="s">
        <v>26</v>
      </c>
      <c r="D6192" s="50" t="s">
        <v>27</v>
      </c>
      <c r="E6192" s="50">
        <v>50037924</v>
      </c>
      <c r="F6192" s="50" t="s">
        <v>261</v>
      </c>
      <c r="G6192" s="50">
        <v>1</v>
      </c>
      <c r="H6192" s="50" t="s">
        <v>2</v>
      </c>
      <c r="I6192" s="50" t="s">
        <v>288</v>
      </c>
      <c r="J6192" s="51">
        <v>45909</v>
      </c>
      <c r="K6192" s="50" t="s">
        <v>3</v>
      </c>
      <c r="L6192" s="50" t="s">
        <v>80</v>
      </c>
    </row>
    <row r="6193" spans="2:12">
      <c r="B6193" s="50" t="s">
        <v>458</v>
      </c>
      <c r="C6193" s="50" t="s">
        <v>26</v>
      </c>
      <c r="D6193" s="50" t="s">
        <v>27</v>
      </c>
      <c r="E6193" s="50">
        <v>50037924</v>
      </c>
      <c r="F6193" s="50" t="s">
        <v>261</v>
      </c>
      <c r="G6193" s="50">
        <v>1</v>
      </c>
      <c r="H6193" s="50" t="s">
        <v>2</v>
      </c>
      <c r="I6193" s="50" t="s">
        <v>288</v>
      </c>
      <c r="J6193" s="51">
        <v>45909</v>
      </c>
      <c r="K6193" s="50" t="s">
        <v>1</v>
      </c>
      <c r="L6193" s="50" t="s">
        <v>80</v>
      </c>
    </row>
    <row r="6194" spans="2:12">
      <c r="B6194" s="50" t="s">
        <v>316</v>
      </c>
      <c r="C6194" s="50" t="s">
        <v>56</v>
      </c>
      <c r="D6194" s="50" t="s">
        <v>27</v>
      </c>
      <c r="E6194" s="50">
        <v>50002644</v>
      </c>
      <c r="F6194" s="50" t="s">
        <v>91</v>
      </c>
      <c r="G6194" s="50">
        <v>1</v>
      </c>
      <c r="H6194" s="50" t="s">
        <v>2</v>
      </c>
      <c r="I6194" s="50" t="s">
        <v>293</v>
      </c>
      <c r="J6194" s="51">
        <v>45908</v>
      </c>
      <c r="K6194" s="50" t="s">
        <v>3</v>
      </c>
      <c r="L6194" s="50" t="s">
        <v>80</v>
      </c>
    </row>
    <row r="6195" spans="2:12">
      <c r="B6195" s="50" t="s">
        <v>316</v>
      </c>
      <c r="C6195" s="50" t="s">
        <v>56</v>
      </c>
      <c r="D6195" s="50" t="s">
        <v>27</v>
      </c>
      <c r="E6195" s="50">
        <v>50002644</v>
      </c>
      <c r="F6195" s="50" t="s">
        <v>91</v>
      </c>
      <c r="G6195" s="50">
        <v>1</v>
      </c>
      <c r="H6195" s="50" t="s">
        <v>2</v>
      </c>
      <c r="I6195" s="50" t="s">
        <v>291</v>
      </c>
      <c r="J6195" s="51">
        <v>45908</v>
      </c>
      <c r="K6195" s="50" t="s">
        <v>1</v>
      </c>
      <c r="L6195" s="50" t="s">
        <v>80</v>
      </c>
    </row>
    <row r="6196" spans="2:12">
      <c r="B6196" s="50" t="s">
        <v>280</v>
      </c>
      <c r="C6196" s="50" t="s">
        <v>62</v>
      </c>
      <c r="D6196" s="50" t="s">
        <v>27</v>
      </c>
      <c r="E6196" s="50">
        <v>50030486</v>
      </c>
      <c r="F6196" s="50" t="s">
        <v>153</v>
      </c>
      <c r="G6196" s="50">
        <v>1</v>
      </c>
      <c r="H6196" s="50" t="s">
        <v>2</v>
      </c>
      <c r="I6196" s="50" t="s">
        <v>293</v>
      </c>
      <c r="J6196" s="51">
        <v>45908</v>
      </c>
      <c r="K6196" s="50" t="s">
        <v>3</v>
      </c>
      <c r="L6196" s="50" t="s">
        <v>80</v>
      </c>
    </row>
    <row r="6197" spans="2:12">
      <c r="B6197" s="50" t="s">
        <v>280</v>
      </c>
      <c r="C6197" s="50" t="s">
        <v>62</v>
      </c>
      <c r="D6197" s="50" t="s">
        <v>27</v>
      </c>
      <c r="E6197" s="50">
        <v>50030486</v>
      </c>
      <c r="F6197" s="50" t="s">
        <v>153</v>
      </c>
      <c r="G6197" s="50">
        <v>1</v>
      </c>
      <c r="H6197" s="50" t="s">
        <v>2</v>
      </c>
      <c r="I6197" s="50" t="s">
        <v>293</v>
      </c>
      <c r="J6197" s="51">
        <v>45908</v>
      </c>
      <c r="K6197" s="50" t="s">
        <v>1</v>
      </c>
      <c r="L6197" s="50" t="s">
        <v>80</v>
      </c>
    </row>
    <row r="6198" spans="2:12">
      <c r="B6198" s="50" t="s">
        <v>277</v>
      </c>
      <c r="C6198" s="50" t="s">
        <v>62</v>
      </c>
      <c r="D6198" s="50" t="s">
        <v>27</v>
      </c>
      <c r="E6198" s="50">
        <v>50043471</v>
      </c>
      <c r="F6198" s="50" t="s">
        <v>257</v>
      </c>
      <c r="G6198" s="50">
        <v>1</v>
      </c>
      <c r="H6198" s="50" t="s">
        <v>2</v>
      </c>
      <c r="I6198" s="50" t="s">
        <v>293</v>
      </c>
      <c r="J6198" s="51">
        <v>45908</v>
      </c>
      <c r="K6198" s="50" t="s">
        <v>3</v>
      </c>
      <c r="L6198" s="50" t="s">
        <v>80</v>
      </c>
    </row>
    <row r="6199" spans="2:12">
      <c r="B6199" s="50" t="s">
        <v>277</v>
      </c>
      <c r="C6199" s="50" t="s">
        <v>62</v>
      </c>
      <c r="D6199" s="50" t="s">
        <v>27</v>
      </c>
      <c r="E6199" s="50">
        <v>50043471</v>
      </c>
      <c r="F6199" s="50" t="s">
        <v>257</v>
      </c>
      <c r="G6199" s="50">
        <v>1</v>
      </c>
      <c r="H6199" s="50" t="s">
        <v>2</v>
      </c>
      <c r="I6199" s="50" t="s">
        <v>293</v>
      </c>
      <c r="J6199" s="51">
        <v>45908</v>
      </c>
      <c r="K6199" s="50" t="s">
        <v>3</v>
      </c>
      <c r="L6199" s="50" t="s">
        <v>80</v>
      </c>
    </row>
    <row r="6200" spans="2:12">
      <c r="B6200" s="50" t="s">
        <v>25</v>
      </c>
      <c r="C6200" s="50" t="s">
        <v>26</v>
      </c>
      <c r="D6200" s="50" t="s">
        <v>27</v>
      </c>
      <c r="E6200" s="50">
        <v>50037909</v>
      </c>
      <c r="F6200" s="50" t="s">
        <v>175</v>
      </c>
      <c r="G6200" s="50">
        <v>1</v>
      </c>
      <c r="H6200" s="50" t="s">
        <v>2</v>
      </c>
      <c r="I6200" s="50" t="s">
        <v>293</v>
      </c>
      <c r="J6200" s="51">
        <v>45908</v>
      </c>
      <c r="K6200" s="50" t="s">
        <v>1</v>
      </c>
      <c r="L6200" s="50" t="s">
        <v>80</v>
      </c>
    </row>
    <row r="6201" spans="2:12">
      <c r="B6201" s="50" t="s">
        <v>25</v>
      </c>
      <c r="C6201" s="50" t="s">
        <v>26</v>
      </c>
      <c r="D6201" s="50" t="s">
        <v>27</v>
      </c>
      <c r="E6201" s="50">
        <v>50037909</v>
      </c>
      <c r="F6201" s="50" t="s">
        <v>175</v>
      </c>
      <c r="G6201" s="50">
        <v>1</v>
      </c>
      <c r="H6201" s="50" t="s">
        <v>2</v>
      </c>
      <c r="I6201" s="50" t="s">
        <v>293</v>
      </c>
      <c r="J6201" s="51">
        <v>45908</v>
      </c>
      <c r="K6201" s="50" t="s">
        <v>1</v>
      </c>
      <c r="L6201" s="50" t="s">
        <v>80</v>
      </c>
    </row>
    <row r="6202" spans="2:12">
      <c r="B6202" s="50" t="s">
        <v>406</v>
      </c>
      <c r="C6202" s="50" t="s">
        <v>26</v>
      </c>
      <c r="D6202" s="50" t="s">
        <v>39</v>
      </c>
      <c r="E6202" s="50">
        <v>50022878</v>
      </c>
      <c r="F6202" s="50" t="s">
        <v>296</v>
      </c>
      <c r="G6202" s="50">
        <v>1</v>
      </c>
      <c r="H6202" s="50" t="s">
        <v>2</v>
      </c>
      <c r="I6202" s="50" t="s">
        <v>289</v>
      </c>
      <c r="J6202" s="51">
        <v>45908</v>
      </c>
      <c r="K6202" s="50" t="s">
        <v>3</v>
      </c>
      <c r="L6202" s="50" t="s">
        <v>80</v>
      </c>
    </row>
    <row r="6203" spans="2:12">
      <c r="B6203" s="50" t="s">
        <v>406</v>
      </c>
      <c r="C6203" s="50" t="s">
        <v>26</v>
      </c>
      <c r="D6203" s="50" t="s">
        <v>39</v>
      </c>
      <c r="E6203" s="50">
        <v>50022878</v>
      </c>
      <c r="F6203" s="50" t="s">
        <v>296</v>
      </c>
      <c r="G6203" s="50">
        <v>1</v>
      </c>
      <c r="H6203" s="50" t="s">
        <v>2</v>
      </c>
      <c r="I6203" s="50" t="s">
        <v>291</v>
      </c>
      <c r="J6203" s="51">
        <v>45908</v>
      </c>
      <c r="K6203" s="50" t="s">
        <v>1</v>
      </c>
      <c r="L6203" s="50" t="s">
        <v>80</v>
      </c>
    </row>
    <row r="6204" spans="2:12">
      <c r="B6204" s="50" t="s">
        <v>467</v>
      </c>
      <c r="C6204" s="50" t="s">
        <v>51</v>
      </c>
      <c r="D6204" s="50" t="s">
        <v>39</v>
      </c>
      <c r="E6204" s="50">
        <v>50038956</v>
      </c>
      <c r="F6204" s="50" t="s">
        <v>177</v>
      </c>
      <c r="G6204" s="50">
        <v>1</v>
      </c>
      <c r="H6204" s="50" t="s">
        <v>2</v>
      </c>
      <c r="I6204" s="50" t="s">
        <v>289</v>
      </c>
      <c r="J6204" s="51">
        <v>45908</v>
      </c>
      <c r="K6204" s="50" t="s">
        <v>3</v>
      </c>
      <c r="L6204" s="50" t="s">
        <v>80</v>
      </c>
    </row>
    <row r="6205" spans="2:12">
      <c r="B6205" s="50" t="s">
        <v>467</v>
      </c>
      <c r="C6205" s="50" t="s">
        <v>51</v>
      </c>
      <c r="D6205" s="50" t="s">
        <v>39</v>
      </c>
      <c r="E6205" s="50">
        <v>50038956</v>
      </c>
      <c r="F6205" s="50" t="s">
        <v>177</v>
      </c>
      <c r="G6205" s="50">
        <v>1</v>
      </c>
      <c r="H6205" s="50" t="s">
        <v>2</v>
      </c>
      <c r="I6205" s="50" t="s">
        <v>289</v>
      </c>
      <c r="J6205" s="51">
        <v>45908</v>
      </c>
      <c r="K6205" s="50" t="s">
        <v>1</v>
      </c>
      <c r="L6205" s="50" t="s">
        <v>80</v>
      </c>
    </row>
    <row r="6206" spans="2:12">
      <c r="B6206" s="50" t="s">
        <v>483</v>
      </c>
      <c r="C6206" s="50" t="s">
        <v>62</v>
      </c>
      <c r="D6206" s="50" t="s">
        <v>27</v>
      </c>
      <c r="E6206" s="50">
        <v>50038956</v>
      </c>
      <c r="F6206" s="50" t="s">
        <v>177</v>
      </c>
      <c r="G6206" s="50">
        <v>1</v>
      </c>
      <c r="H6206" s="50" t="s">
        <v>2</v>
      </c>
      <c r="I6206" s="50" t="s">
        <v>293</v>
      </c>
      <c r="J6206" s="51">
        <v>45908</v>
      </c>
      <c r="K6206" s="50" t="s">
        <v>3</v>
      </c>
      <c r="L6206" s="50" t="s">
        <v>80</v>
      </c>
    </row>
    <row r="6207" spans="2:12">
      <c r="B6207" s="50" t="s">
        <v>483</v>
      </c>
      <c r="C6207" s="50" t="s">
        <v>62</v>
      </c>
      <c r="D6207" s="50" t="s">
        <v>27</v>
      </c>
      <c r="E6207" s="50">
        <v>50038956</v>
      </c>
      <c r="F6207" s="50" t="s">
        <v>177</v>
      </c>
      <c r="G6207" s="50">
        <v>1</v>
      </c>
      <c r="H6207" s="50" t="s">
        <v>2</v>
      </c>
      <c r="I6207" s="50" t="s">
        <v>291</v>
      </c>
      <c r="J6207" s="51">
        <v>45908</v>
      </c>
      <c r="K6207" s="50" t="s">
        <v>3</v>
      </c>
      <c r="L6207" s="50" t="s">
        <v>80</v>
      </c>
    </row>
    <row r="6208" spans="2:12">
      <c r="B6208" s="50" t="s">
        <v>466</v>
      </c>
      <c r="C6208" s="50" t="s">
        <v>62</v>
      </c>
      <c r="D6208" s="50" t="s">
        <v>27</v>
      </c>
      <c r="E6208" s="50">
        <v>50037892</v>
      </c>
      <c r="F6208" s="50" t="s">
        <v>178</v>
      </c>
      <c r="G6208" s="50">
        <v>1</v>
      </c>
      <c r="H6208" s="50" t="s">
        <v>2</v>
      </c>
      <c r="I6208" s="50" t="s">
        <v>291</v>
      </c>
      <c r="J6208" s="51">
        <v>45908</v>
      </c>
      <c r="K6208" s="50" t="s">
        <v>1</v>
      </c>
      <c r="L6208" s="50" t="s">
        <v>80</v>
      </c>
    </row>
    <row r="6209" spans="2:12">
      <c r="B6209" s="50" t="s">
        <v>466</v>
      </c>
      <c r="C6209" s="50" t="s">
        <v>62</v>
      </c>
      <c r="D6209" s="50" t="s">
        <v>27</v>
      </c>
      <c r="E6209" s="50">
        <v>50037892</v>
      </c>
      <c r="F6209" s="50" t="s">
        <v>178</v>
      </c>
      <c r="G6209" s="50">
        <v>1</v>
      </c>
      <c r="H6209" s="50" t="s">
        <v>2</v>
      </c>
      <c r="I6209" s="50" t="s">
        <v>291</v>
      </c>
      <c r="J6209" s="51">
        <v>45908</v>
      </c>
      <c r="K6209" s="50" t="s">
        <v>3</v>
      </c>
      <c r="L6209" s="50" t="s">
        <v>80</v>
      </c>
    </row>
    <row r="6210" spans="2:12">
      <c r="B6210" s="50" t="s">
        <v>406</v>
      </c>
      <c r="C6210" s="50" t="s">
        <v>26</v>
      </c>
      <c r="D6210" s="50" t="s">
        <v>39</v>
      </c>
      <c r="E6210" s="50">
        <v>50037902</v>
      </c>
      <c r="F6210" s="50" t="s">
        <v>179</v>
      </c>
      <c r="G6210" s="50">
        <v>1</v>
      </c>
      <c r="H6210" s="50" t="s">
        <v>2</v>
      </c>
      <c r="I6210" s="50" t="s">
        <v>293</v>
      </c>
      <c r="J6210" s="51">
        <v>45908</v>
      </c>
      <c r="K6210" s="50" t="s">
        <v>1</v>
      </c>
      <c r="L6210" s="50" t="s">
        <v>80</v>
      </c>
    </row>
    <row r="6211" spans="2:12">
      <c r="B6211" s="50" t="s">
        <v>406</v>
      </c>
      <c r="C6211" s="50" t="s">
        <v>26</v>
      </c>
      <c r="D6211" s="50" t="s">
        <v>39</v>
      </c>
      <c r="E6211" s="50">
        <v>50037902</v>
      </c>
      <c r="F6211" s="50" t="s">
        <v>179</v>
      </c>
      <c r="G6211" s="50">
        <v>1</v>
      </c>
      <c r="H6211" s="50" t="s">
        <v>2</v>
      </c>
      <c r="I6211" s="50" t="s">
        <v>291</v>
      </c>
      <c r="J6211" s="51">
        <v>45908</v>
      </c>
      <c r="K6211" s="50" t="s">
        <v>3</v>
      </c>
      <c r="L6211" s="50" t="s">
        <v>80</v>
      </c>
    </row>
    <row r="6212" spans="2:12">
      <c r="B6212" s="50" t="s">
        <v>478</v>
      </c>
      <c r="C6212" s="50" t="s">
        <v>51</v>
      </c>
      <c r="D6212" s="50" t="s">
        <v>27</v>
      </c>
      <c r="E6212" s="50">
        <v>50038841</v>
      </c>
      <c r="F6212" s="50" t="s">
        <v>180</v>
      </c>
      <c r="G6212" s="50">
        <v>1</v>
      </c>
      <c r="H6212" s="50" t="s">
        <v>2</v>
      </c>
      <c r="I6212" s="50" t="s">
        <v>291</v>
      </c>
      <c r="J6212" s="51">
        <v>45908</v>
      </c>
      <c r="K6212" s="50" t="s">
        <v>1</v>
      </c>
      <c r="L6212" s="50" t="s">
        <v>80</v>
      </c>
    </row>
    <row r="6213" spans="2:12">
      <c r="B6213" s="50" t="s">
        <v>478</v>
      </c>
      <c r="C6213" s="50" t="s">
        <v>51</v>
      </c>
      <c r="D6213" s="50" t="s">
        <v>27</v>
      </c>
      <c r="E6213" s="50">
        <v>50038841</v>
      </c>
      <c r="F6213" s="50" t="s">
        <v>180</v>
      </c>
      <c r="G6213" s="50">
        <v>1</v>
      </c>
      <c r="H6213" s="50" t="s">
        <v>2</v>
      </c>
      <c r="I6213" s="50" t="s">
        <v>291</v>
      </c>
      <c r="J6213" s="51">
        <v>45908</v>
      </c>
      <c r="K6213" s="50" t="s">
        <v>1</v>
      </c>
      <c r="L6213" s="50" t="s">
        <v>80</v>
      </c>
    </row>
    <row r="6214" spans="2:12">
      <c r="B6214" s="50" t="s">
        <v>483</v>
      </c>
      <c r="C6214" s="50" t="s">
        <v>62</v>
      </c>
      <c r="D6214" s="50" t="s">
        <v>27</v>
      </c>
      <c r="E6214" s="50">
        <v>50001995</v>
      </c>
      <c r="F6214" s="50" t="s">
        <v>185</v>
      </c>
      <c r="G6214" s="50">
        <v>1</v>
      </c>
      <c r="H6214" s="50" t="s">
        <v>2</v>
      </c>
      <c r="I6214" s="50" t="s">
        <v>293</v>
      </c>
      <c r="J6214" s="51">
        <v>45908</v>
      </c>
      <c r="K6214" s="50" t="s">
        <v>3</v>
      </c>
      <c r="L6214" s="50" t="s">
        <v>80</v>
      </c>
    </row>
    <row r="6215" spans="2:12">
      <c r="B6215" s="50" t="s">
        <v>483</v>
      </c>
      <c r="C6215" s="50" t="s">
        <v>62</v>
      </c>
      <c r="D6215" s="50" t="s">
        <v>27</v>
      </c>
      <c r="E6215" s="50">
        <v>50001995</v>
      </c>
      <c r="F6215" s="50" t="s">
        <v>185</v>
      </c>
      <c r="G6215" s="50">
        <v>1</v>
      </c>
      <c r="H6215" s="50" t="s">
        <v>2</v>
      </c>
      <c r="I6215" s="50" t="s">
        <v>291</v>
      </c>
      <c r="J6215" s="51">
        <v>45908</v>
      </c>
      <c r="K6215" s="50" t="s">
        <v>3</v>
      </c>
      <c r="L6215" s="50" t="s">
        <v>80</v>
      </c>
    </row>
    <row r="6216" spans="2:12">
      <c r="B6216" s="50" t="s">
        <v>444</v>
      </c>
      <c r="C6216" s="50" t="s">
        <v>56</v>
      </c>
      <c r="D6216" s="50" t="s">
        <v>27</v>
      </c>
      <c r="E6216" s="50">
        <v>50022923</v>
      </c>
      <c r="F6216" s="50" t="s">
        <v>196</v>
      </c>
      <c r="G6216" s="50">
        <v>1</v>
      </c>
      <c r="H6216" s="50" t="s">
        <v>2</v>
      </c>
      <c r="I6216" s="50" t="s">
        <v>289</v>
      </c>
      <c r="J6216" s="51">
        <v>45908</v>
      </c>
      <c r="K6216" s="50" t="s">
        <v>1</v>
      </c>
      <c r="L6216" s="50" t="s">
        <v>80</v>
      </c>
    </row>
    <row r="6217" spans="2:12">
      <c r="B6217" s="50" t="s">
        <v>444</v>
      </c>
      <c r="C6217" s="50" t="s">
        <v>56</v>
      </c>
      <c r="D6217" s="50" t="s">
        <v>27</v>
      </c>
      <c r="E6217" s="50">
        <v>50022923</v>
      </c>
      <c r="F6217" s="50" t="s">
        <v>196</v>
      </c>
      <c r="G6217" s="50">
        <v>1</v>
      </c>
      <c r="H6217" s="50" t="s">
        <v>2</v>
      </c>
      <c r="I6217" s="50" t="s">
        <v>293</v>
      </c>
      <c r="J6217" s="51">
        <v>45908</v>
      </c>
      <c r="K6217" s="50" t="s">
        <v>1</v>
      </c>
      <c r="L6217" s="50" t="s">
        <v>80</v>
      </c>
    </row>
    <row r="6218" spans="2:12">
      <c r="B6218" s="50" t="s">
        <v>458</v>
      </c>
      <c r="C6218" s="50" t="s">
        <v>26</v>
      </c>
      <c r="D6218" s="50" t="s">
        <v>27</v>
      </c>
      <c r="E6218" s="50">
        <v>50041653</v>
      </c>
      <c r="F6218" s="50" t="s">
        <v>201</v>
      </c>
      <c r="G6218" s="50">
        <v>1</v>
      </c>
      <c r="H6218" s="50" t="s">
        <v>2</v>
      </c>
      <c r="I6218" s="50" t="s">
        <v>293</v>
      </c>
      <c r="J6218" s="51">
        <v>45908</v>
      </c>
      <c r="K6218" s="50" t="s">
        <v>3</v>
      </c>
      <c r="L6218" s="50" t="s">
        <v>80</v>
      </c>
    </row>
    <row r="6219" spans="2:12">
      <c r="B6219" s="50" t="s">
        <v>458</v>
      </c>
      <c r="C6219" s="50" t="s">
        <v>26</v>
      </c>
      <c r="D6219" s="50" t="s">
        <v>27</v>
      </c>
      <c r="E6219" s="50">
        <v>50041653</v>
      </c>
      <c r="F6219" s="50" t="s">
        <v>201</v>
      </c>
      <c r="G6219" s="50">
        <v>1</v>
      </c>
      <c r="H6219" s="50" t="s">
        <v>2</v>
      </c>
      <c r="I6219" s="50" t="s">
        <v>291</v>
      </c>
      <c r="J6219" s="51">
        <v>45908</v>
      </c>
      <c r="K6219" s="50" t="s">
        <v>3</v>
      </c>
      <c r="L6219" s="50" t="s">
        <v>80</v>
      </c>
    </row>
    <row r="6220" spans="2:12">
      <c r="B6220" s="50" t="s">
        <v>423</v>
      </c>
      <c r="C6220" s="50" t="s">
        <v>62</v>
      </c>
      <c r="D6220" s="50" t="s">
        <v>27</v>
      </c>
      <c r="E6220" s="50">
        <v>50041195</v>
      </c>
      <c r="F6220" s="50" t="s">
        <v>206</v>
      </c>
      <c r="G6220" s="50">
        <v>1</v>
      </c>
      <c r="H6220" s="50" t="s">
        <v>2</v>
      </c>
      <c r="I6220" s="50" t="s">
        <v>293</v>
      </c>
      <c r="J6220" s="51">
        <v>45908</v>
      </c>
      <c r="K6220" s="50" t="s">
        <v>1</v>
      </c>
      <c r="L6220" s="50" t="s">
        <v>80</v>
      </c>
    </row>
    <row r="6221" spans="2:12">
      <c r="B6221" s="50" t="s">
        <v>423</v>
      </c>
      <c r="C6221" s="50" t="s">
        <v>62</v>
      </c>
      <c r="D6221" s="50" t="s">
        <v>27</v>
      </c>
      <c r="E6221" s="50">
        <v>50041195</v>
      </c>
      <c r="F6221" s="50" t="s">
        <v>206</v>
      </c>
      <c r="G6221" s="50">
        <v>1</v>
      </c>
      <c r="H6221" s="50" t="s">
        <v>2</v>
      </c>
      <c r="I6221" s="50" t="s">
        <v>291</v>
      </c>
      <c r="J6221" s="51">
        <v>45908</v>
      </c>
      <c r="K6221" s="50" t="s">
        <v>1</v>
      </c>
      <c r="L6221" s="50" t="s">
        <v>80</v>
      </c>
    </row>
    <row r="6222" spans="2:12">
      <c r="B6222" s="50" t="s">
        <v>481</v>
      </c>
      <c r="C6222" s="50" t="s">
        <v>56</v>
      </c>
      <c r="D6222" s="50" t="s">
        <v>27</v>
      </c>
      <c r="E6222" s="50">
        <v>50043917</v>
      </c>
      <c r="F6222" s="50" t="s">
        <v>262</v>
      </c>
      <c r="G6222" s="50">
        <v>1</v>
      </c>
      <c r="H6222" s="50" t="s">
        <v>2</v>
      </c>
      <c r="I6222" s="50" t="s">
        <v>293</v>
      </c>
      <c r="J6222" s="51">
        <v>45908</v>
      </c>
      <c r="K6222" s="50" t="s">
        <v>3</v>
      </c>
      <c r="L6222" s="50" t="s">
        <v>80</v>
      </c>
    </row>
    <row r="6223" spans="2:12">
      <c r="B6223" s="50" t="s">
        <v>415</v>
      </c>
      <c r="C6223" s="50" t="s">
        <v>51</v>
      </c>
      <c r="D6223" s="50" t="s">
        <v>27</v>
      </c>
      <c r="E6223" s="50">
        <v>50043917</v>
      </c>
      <c r="F6223" s="50" t="s">
        <v>262</v>
      </c>
      <c r="G6223" s="50">
        <v>1</v>
      </c>
      <c r="H6223" s="50" t="s">
        <v>2</v>
      </c>
      <c r="I6223" s="50" t="s">
        <v>287</v>
      </c>
      <c r="J6223" s="51">
        <v>45908</v>
      </c>
      <c r="K6223" s="50" t="s">
        <v>1</v>
      </c>
      <c r="L6223" s="50" t="s">
        <v>80</v>
      </c>
    </row>
    <row r="6224" spans="2:12">
      <c r="B6224" s="50" t="s">
        <v>415</v>
      </c>
      <c r="C6224" s="50" t="s">
        <v>51</v>
      </c>
      <c r="D6224" s="50" t="s">
        <v>27</v>
      </c>
      <c r="E6224" s="50">
        <v>50043917</v>
      </c>
      <c r="F6224" s="50" t="s">
        <v>262</v>
      </c>
      <c r="G6224" s="50">
        <v>1</v>
      </c>
      <c r="H6224" s="50" t="s">
        <v>2</v>
      </c>
      <c r="I6224" s="50" t="s">
        <v>291</v>
      </c>
      <c r="J6224" s="51">
        <v>45908</v>
      </c>
      <c r="K6224" s="50" t="s">
        <v>3</v>
      </c>
      <c r="L6224" s="50" t="s">
        <v>80</v>
      </c>
    </row>
    <row r="6225" spans="2:12">
      <c r="B6225" s="50" t="s">
        <v>345</v>
      </c>
      <c r="C6225" s="50" t="s">
        <v>62</v>
      </c>
      <c r="D6225" s="50" t="s">
        <v>27</v>
      </c>
      <c r="E6225" s="50">
        <v>50043917</v>
      </c>
      <c r="F6225" s="50" t="s">
        <v>262</v>
      </c>
      <c r="G6225" s="50">
        <v>1</v>
      </c>
      <c r="H6225" s="50" t="s">
        <v>2</v>
      </c>
      <c r="I6225" s="50" t="s">
        <v>291</v>
      </c>
      <c r="J6225" s="51">
        <v>45908</v>
      </c>
      <c r="K6225" s="50" t="s">
        <v>1</v>
      </c>
      <c r="L6225" s="50" t="s">
        <v>80</v>
      </c>
    </row>
    <row r="6226" spans="2:12">
      <c r="B6226" s="50" t="s">
        <v>345</v>
      </c>
      <c r="C6226" s="50" t="s">
        <v>62</v>
      </c>
      <c r="D6226" s="50" t="s">
        <v>27</v>
      </c>
      <c r="E6226" s="50">
        <v>50043917</v>
      </c>
      <c r="F6226" s="50" t="s">
        <v>262</v>
      </c>
      <c r="G6226" s="50">
        <v>1</v>
      </c>
      <c r="H6226" s="50" t="s">
        <v>2</v>
      </c>
      <c r="I6226" s="50" t="s">
        <v>291</v>
      </c>
      <c r="J6226" s="51">
        <v>45908</v>
      </c>
      <c r="K6226" s="50" t="s">
        <v>1</v>
      </c>
      <c r="L6226" s="50" t="s">
        <v>80</v>
      </c>
    </row>
    <row r="6227" spans="2:12">
      <c r="B6227" s="50" t="s">
        <v>415</v>
      </c>
      <c r="C6227" s="50" t="s">
        <v>51</v>
      </c>
      <c r="D6227" s="50" t="s">
        <v>27</v>
      </c>
      <c r="E6227" s="50">
        <v>50020622</v>
      </c>
      <c r="F6227" s="50" t="s">
        <v>217</v>
      </c>
      <c r="G6227" s="50">
        <v>1</v>
      </c>
      <c r="H6227" s="50" t="s">
        <v>2</v>
      </c>
      <c r="I6227" s="50" t="s">
        <v>287</v>
      </c>
      <c r="J6227" s="51">
        <v>45908</v>
      </c>
      <c r="K6227" s="50" t="s">
        <v>3</v>
      </c>
      <c r="L6227" s="50" t="s">
        <v>80</v>
      </c>
    </row>
    <row r="6228" spans="2:12">
      <c r="B6228" s="50" t="s">
        <v>415</v>
      </c>
      <c r="C6228" s="50" t="s">
        <v>51</v>
      </c>
      <c r="D6228" s="50" t="s">
        <v>27</v>
      </c>
      <c r="E6228" s="50">
        <v>50020622</v>
      </c>
      <c r="F6228" s="50" t="s">
        <v>217</v>
      </c>
      <c r="G6228" s="50">
        <v>1</v>
      </c>
      <c r="H6228" s="50" t="s">
        <v>2</v>
      </c>
      <c r="I6228" s="50" t="s">
        <v>291</v>
      </c>
      <c r="J6228" s="51">
        <v>45908</v>
      </c>
      <c r="K6228" s="50" t="s">
        <v>1</v>
      </c>
      <c r="L6228" s="50" t="s">
        <v>80</v>
      </c>
    </row>
    <row r="6229" spans="2:12">
      <c r="B6229" s="50" t="s">
        <v>25</v>
      </c>
      <c r="C6229" s="50" t="s">
        <v>26</v>
      </c>
      <c r="D6229" s="50" t="s">
        <v>27</v>
      </c>
      <c r="E6229" s="50">
        <v>50012903</v>
      </c>
      <c r="F6229" s="50" t="s">
        <v>308</v>
      </c>
      <c r="G6229" s="50">
        <v>1</v>
      </c>
      <c r="H6229" s="50" t="s">
        <v>2</v>
      </c>
      <c r="I6229" s="50" t="s">
        <v>293</v>
      </c>
      <c r="J6229" s="51">
        <v>45908</v>
      </c>
      <c r="K6229" s="50" t="s">
        <v>3</v>
      </c>
      <c r="L6229" s="50" t="s">
        <v>80</v>
      </c>
    </row>
    <row r="6230" spans="2:12">
      <c r="B6230" s="50" t="s">
        <v>25</v>
      </c>
      <c r="C6230" s="50" t="s">
        <v>26</v>
      </c>
      <c r="D6230" s="50" t="s">
        <v>27</v>
      </c>
      <c r="E6230" s="50">
        <v>50012903</v>
      </c>
      <c r="F6230" s="50" t="s">
        <v>308</v>
      </c>
      <c r="G6230" s="50">
        <v>1</v>
      </c>
      <c r="H6230" s="50" t="s">
        <v>2</v>
      </c>
      <c r="I6230" s="50" t="s">
        <v>293</v>
      </c>
      <c r="J6230" s="51">
        <v>45908</v>
      </c>
      <c r="K6230" s="50" t="s">
        <v>1</v>
      </c>
      <c r="L6230" s="50" t="s">
        <v>80</v>
      </c>
    </row>
    <row r="6231" spans="2:12">
      <c r="B6231" s="50" t="s">
        <v>386</v>
      </c>
      <c r="C6231" s="50" t="s">
        <v>26</v>
      </c>
      <c r="D6231" s="50" t="s">
        <v>27</v>
      </c>
      <c r="E6231" s="50">
        <v>50012903</v>
      </c>
      <c r="F6231" s="50" t="s">
        <v>308</v>
      </c>
      <c r="G6231" s="50">
        <v>1</v>
      </c>
      <c r="H6231" s="50" t="s">
        <v>2</v>
      </c>
      <c r="I6231" s="50" t="s">
        <v>293</v>
      </c>
      <c r="J6231" s="51">
        <v>45908</v>
      </c>
      <c r="K6231" s="50" t="s">
        <v>3</v>
      </c>
      <c r="L6231" s="50" t="s">
        <v>80</v>
      </c>
    </row>
    <row r="6232" spans="2:12">
      <c r="B6232" s="50" t="s">
        <v>386</v>
      </c>
      <c r="C6232" s="50" t="s">
        <v>26</v>
      </c>
      <c r="D6232" s="50" t="s">
        <v>27</v>
      </c>
      <c r="E6232" s="50">
        <v>50012903</v>
      </c>
      <c r="F6232" s="50" t="s">
        <v>308</v>
      </c>
      <c r="G6232" s="50">
        <v>1</v>
      </c>
      <c r="H6232" s="50" t="s">
        <v>2</v>
      </c>
      <c r="I6232" s="50" t="s">
        <v>287</v>
      </c>
      <c r="J6232" s="51">
        <v>45908</v>
      </c>
      <c r="K6232" s="50" t="s">
        <v>1</v>
      </c>
      <c r="L6232" s="50" t="s">
        <v>80</v>
      </c>
    </row>
    <row r="6233" spans="2:12">
      <c r="B6233" s="50" t="s">
        <v>316</v>
      </c>
      <c r="C6233" s="50" t="s">
        <v>51</v>
      </c>
      <c r="D6233" s="50" t="s">
        <v>27</v>
      </c>
      <c r="E6233" s="50">
        <v>50032781</v>
      </c>
      <c r="F6233" s="50" t="s">
        <v>237</v>
      </c>
      <c r="G6233" s="50">
        <v>1</v>
      </c>
      <c r="H6233" s="50" t="s">
        <v>2</v>
      </c>
      <c r="I6233" s="50" t="s">
        <v>293</v>
      </c>
      <c r="J6233" s="51">
        <v>45908</v>
      </c>
      <c r="K6233" s="50" t="s">
        <v>3</v>
      </c>
      <c r="L6233" s="50" t="s">
        <v>80</v>
      </c>
    </row>
    <row r="6234" spans="2:12">
      <c r="B6234" s="50" t="s">
        <v>316</v>
      </c>
      <c r="C6234" s="50" t="s">
        <v>51</v>
      </c>
      <c r="D6234" s="50" t="s">
        <v>27</v>
      </c>
      <c r="E6234" s="50">
        <v>50032781</v>
      </c>
      <c r="F6234" s="50" t="s">
        <v>237</v>
      </c>
      <c r="G6234" s="50">
        <v>1</v>
      </c>
      <c r="H6234" s="50" t="s">
        <v>2</v>
      </c>
      <c r="I6234" s="50" t="s">
        <v>293</v>
      </c>
      <c r="J6234" s="51">
        <v>45908</v>
      </c>
      <c r="K6234" s="50" t="s">
        <v>1</v>
      </c>
      <c r="L6234" s="50" t="s">
        <v>80</v>
      </c>
    </row>
    <row r="6235" spans="2:12">
      <c r="B6235" s="50" t="s">
        <v>277</v>
      </c>
      <c r="C6235" s="50" t="s">
        <v>62</v>
      </c>
      <c r="D6235" s="50" t="s">
        <v>27</v>
      </c>
      <c r="E6235" s="50">
        <v>50028220</v>
      </c>
      <c r="F6235" s="50" t="s">
        <v>242</v>
      </c>
      <c r="G6235" s="50">
        <v>1</v>
      </c>
      <c r="H6235" s="50" t="s">
        <v>2</v>
      </c>
      <c r="I6235" s="50" t="s">
        <v>287</v>
      </c>
      <c r="J6235" s="51">
        <v>45908</v>
      </c>
      <c r="K6235" s="50" t="s">
        <v>3</v>
      </c>
      <c r="L6235" s="50" t="s">
        <v>80</v>
      </c>
    </row>
    <row r="6236" spans="2:12">
      <c r="B6236" s="50" t="s">
        <v>277</v>
      </c>
      <c r="C6236" s="50" t="s">
        <v>62</v>
      </c>
      <c r="D6236" s="50" t="s">
        <v>27</v>
      </c>
      <c r="E6236" s="50">
        <v>50028220</v>
      </c>
      <c r="F6236" s="50" t="s">
        <v>242</v>
      </c>
      <c r="G6236" s="50">
        <v>1</v>
      </c>
      <c r="H6236" s="50" t="s">
        <v>2</v>
      </c>
      <c r="I6236" s="50" t="s">
        <v>291</v>
      </c>
      <c r="J6236" s="51">
        <v>45908</v>
      </c>
      <c r="K6236" s="50" t="s">
        <v>1</v>
      </c>
      <c r="L6236" s="50" t="s">
        <v>80</v>
      </c>
    </row>
    <row r="6237" spans="2:12">
      <c r="B6237" s="50" t="s">
        <v>458</v>
      </c>
      <c r="C6237" s="50" t="s">
        <v>26</v>
      </c>
      <c r="D6237" s="50" t="s">
        <v>27</v>
      </c>
      <c r="E6237" s="50">
        <v>50037924</v>
      </c>
      <c r="F6237" s="50" t="s">
        <v>261</v>
      </c>
      <c r="G6237" s="50">
        <v>1</v>
      </c>
      <c r="H6237" s="50" t="s">
        <v>2</v>
      </c>
      <c r="I6237" s="50" t="s">
        <v>293</v>
      </c>
      <c r="J6237" s="51">
        <v>45908</v>
      </c>
      <c r="K6237" s="50" t="s">
        <v>3</v>
      </c>
      <c r="L6237" s="50" t="s">
        <v>80</v>
      </c>
    </row>
    <row r="6238" spans="2:12">
      <c r="B6238" s="50" t="s">
        <v>458</v>
      </c>
      <c r="C6238" s="50" t="s">
        <v>26</v>
      </c>
      <c r="D6238" s="50" t="s">
        <v>27</v>
      </c>
      <c r="E6238" s="50">
        <v>50037924</v>
      </c>
      <c r="F6238" s="50" t="s">
        <v>261</v>
      </c>
      <c r="G6238" s="50">
        <v>1</v>
      </c>
      <c r="H6238" s="50" t="s">
        <v>2</v>
      </c>
      <c r="I6238" s="50" t="s">
        <v>291</v>
      </c>
      <c r="J6238" s="51">
        <v>45908</v>
      </c>
      <c r="K6238" s="50" t="s">
        <v>1</v>
      </c>
      <c r="L6238" s="50" t="s">
        <v>80</v>
      </c>
    </row>
    <row r="6239" spans="2:12">
      <c r="B6239" s="50" t="s">
        <v>445</v>
      </c>
      <c r="C6239" s="50" t="s">
        <v>51</v>
      </c>
      <c r="D6239" s="50" t="s">
        <v>41</v>
      </c>
      <c r="E6239" s="50">
        <v>50038854</v>
      </c>
      <c r="F6239" s="50" t="s">
        <v>101</v>
      </c>
      <c r="G6239" s="50">
        <v>1</v>
      </c>
      <c r="H6239" s="50" t="s">
        <v>2</v>
      </c>
      <c r="I6239" s="50" t="s">
        <v>289</v>
      </c>
      <c r="J6239" s="51">
        <v>45906</v>
      </c>
      <c r="K6239" s="50" t="s">
        <v>3</v>
      </c>
      <c r="L6239" s="50" t="s">
        <v>80</v>
      </c>
    </row>
    <row r="6240" spans="2:12">
      <c r="B6240" s="50" t="s">
        <v>445</v>
      </c>
      <c r="C6240" s="50" t="s">
        <v>51</v>
      </c>
      <c r="D6240" s="50" t="s">
        <v>41</v>
      </c>
      <c r="E6240" s="50">
        <v>50038854</v>
      </c>
      <c r="F6240" s="50" t="s">
        <v>101</v>
      </c>
      <c r="G6240" s="50">
        <v>1</v>
      </c>
      <c r="H6240" s="50" t="s">
        <v>2</v>
      </c>
      <c r="I6240" s="50" t="s">
        <v>289</v>
      </c>
      <c r="J6240" s="51">
        <v>45906</v>
      </c>
      <c r="K6240" s="50" t="s">
        <v>3</v>
      </c>
      <c r="L6240" s="50" t="s">
        <v>80</v>
      </c>
    </row>
    <row r="6241" spans="2:12">
      <c r="B6241" s="50" t="s">
        <v>437</v>
      </c>
      <c r="C6241" s="50" t="s">
        <v>51</v>
      </c>
      <c r="D6241" s="50" t="s">
        <v>41</v>
      </c>
      <c r="E6241" s="50">
        <v>50037892</v>
      </c>
      <c r="F6241" s="50" t="s">
        <v>178</v>
      </c>
      <c r="G6241" s="50">
        <v>1</v>
      </c>
      <c r="H6241" s="50" t="s">
        <v>2</v>
      </c>
      <c r="I6241" s="50" t="s">
        <v>289</v>
      </c>
      <c r="J6241" s="51">
        <v>45906</v>
      </c>
      <c r="K6241" s="50" t="s">
        <v>1</v>
      </c>
      <c r="L6241" s="50" t="s">
        <v>80</v>
      </c>
    </row>
    <row r="6242" spans="2:12">
      <c r="B6242" s="50" t="s">
        <v>437</v>
      </c>
      <c r="C6242" s="50" t="s">
        <v>51</v>
      </c>
      <c r="D6242" s="50" t="s">
        <v>41</v>
      </c>
      <c r="E6242" s="50">
        <v>50037892</v>
      </c>
      <c r="F6242" s="50" t="s">
        <v>178</v>
      </c>
      <c r="G6242" s="50">
        <v>1</v>
      </c>
      <c r="H6242" s="50" t="s">
        <v>2</v>
      </c>
      <c r="I6242" s="50" t="s">
        <v>289</v>
      </c>
      <c r="J6242" s="51">
        <v>45906</v>
      </c>
      <c r="K6242" s="50" t="s">
        <v>3</v>
      </c>
      <c r="L6242" s="50" t="s">
        <v>80</v>
      </c>
    </row>
    <row r="6243" spans="2:12">
      <c r="B6243" s="50" t="s">
        <v>422</v>
      </c>
      <c r="C6243" s="50" t="s">
        <v>26</v>
      </c>
      <c r="D6243" s="50" t="s">
        <v>27</v>
      </c>
      <c r="E6243" s="50">
        <v>50037892</v>
      </c>
      <c r="F6243" s="50" t="s">
        <v>178</v>
      </c>
      <c r="G6243" s="50">
        <v>1</v>
      </c>
      <c r="H6243" s="50" t="s">
        <v>2</v>
      </c>
      <c r="I6243" s="50" t="s">
        <v>289</v>
      </c>
      <c r="J6243" s="51">
        <v>45906</v>
      </c>
      <c r="K6243" s="50" t="s">
        <v>1</v>
      </c>
      <c r="L6243" s="50" t="s">
        <v>80</v>
      </c>
    </row>
    <row r="6244" spans="2:12">
      <c r="B6244" s="50" t="s">
        <v>422</v>
      </c>
      <c r="C6244" s="50" t="s">
        <v>26</v>
      </c>
      <c r="D6244" s="50" t="s">
        <v>27</v>
      </c>
      <c r="E6244" s="50">
        <v>50037892</v>
      </c>
      <c r="F6244" s="50" t="s">
        <v>178</v>
      </c>
      <c r="G6244" s="50">
        <v>1</v>
      </c>
      <c r="H6244" s="50" t="s">
        <v>2</v>
      </c>
      <c r="I6244" s="50" t="s">
        <v>289</v>
      </c>
      <c r="J6244" s="51">
        <v>45906</v>
      </c>
      <c r="K6244" s="50" t="s">
        <v>3</v>
      </c>
      <c r="L6244" s="50" t="s">
        <v>80</v>
      </c>
    </row>
    <row r="6245" spans="2:12">
      <c r="B6245" s="50" t="s">
        <v>423</v>
      </c>
      <c r="C6245" s="50" t="s">
        <v>62</v>
      </c>
      <c r="D6245" s="50" t="s">
        <v>27</v>
      </c>
      <c r="E6245" s="50">
        <v>50038841</v>
      </c>
      <c r="F6245" s="50" t="s">
        <v>180</v>
      </c>
      <c r="G6245" s="50">
        <v>1</v>
      </c>
      <c r="H6245" s="50" t="s">
        <v>2</v>
      </c>
      <c r="I6245" s="50" t="s">
        <v>289</v>
      </c>
      <c r="J6245" s="51">
        <v>45906</v>
      </c>
      <c r="K6245" s="50" t="s">
        <v>1</v>
      </c>
      <c r="L6245" s="50" t="s">
        <v>80</v>
      </c>
    </row>
    <row r="6246" spans="2:12">
      <c r="B6246" s="50" t="s">
        <v>423</v>
      </c>
      <c r="C6246" s="50" t="s">
        <v>62</v>
      </c>
      <c r="D6246" s="50" t="s">
        <v>27</v>
      </c>
      <c r="E6246" s="50">
        <v>50038841</v>
      </c>
      <c r="F6246" s="50" t="s">
        <v>180</v>
      </c>
      <c r="G6246" s="50">
        <v>1</v>
      </c>
      <c r="H6246" s="50" t="s">
        <v>2</v>
      </c>
      <c r="I6246" s="50" t="s">
        <v>289</v>
      </c>
      <c r="J6246" s="51">
        <v>45906</v>
      </c>
      <c r="K6246" s="50" t="s">
        <v>3</v>
      </c>
      <c r="L6246" s="50" t="s">
        <v>80</v>
      </c>
    </row>
    <row r="6247" spans="2:12">
      <c r="B6247" s="50" t="s">
        <v>396</v>
      </c>
      <c r="C6247" s="50" t="s">
        <v>26</v>
      </c>
      <c r="D6247" s="50" t="s">
        <v>41</v>
      </c>
      <c r="E6247" s="50">
        <v>50038841</v>
      </c>
      <c r="F6247" s="50" t="s">
        <v>180</v>
      </c>
      <c r="G6247" s="50">
        <v>1</v>
      </c>
      <c r="H6247" s="50" t="s">
        <v>2</v>
      </c>
      <c r="I6247" s="50" t="s">
        <v>289</v>
      </c>
      <c r="J6247" s="51">
        <v>45906</v>
      </c>
      <c r="K6247" s="50" t="s">
        <v>1</v>
      </c>
      <c r="L6247" s="50" t="s">
        <v>80</v>
      </c>
    </row>
    <row r="6248" spans="2:12">
      <c r="B6248" s="50" t="s">
        <v>396</v>
      </c>
      <c r="C6248" s="50" t="s">
        <v>26</v>
      </c>
      <c r="D6248" s="50" t="s">
        <v>41</v>
      </c>
      <c r="E6248" s="50">
        <v>50038841</v>
      </c>
      <c r="F6248" s="50" t="s">
        <v>180</v>
      </c>
      <c r="G6248" s="50">
        <v>1</v>
      </c>
      <c r="H6248" s="50" t="s">
        <v>2</v>
      </c>
      <c r="I6248" s="50" t="s">
        <v>289</v>
      </c>
      <c r="J6248" s="51">
        <v>45906</v>
      </c>
      <c r="K6248" s="50" t="s">
        <v>3</v>
      </c>
      <c r="L6248" s="50" t="s">
        <v>80</v>
      </c>
    </row>
    <row r="6249" spans="2:12">
      <c r="B6249" s="50" t="s">
        <v>472</v>
      </c>
      <c r="C6249" s="50" t="s">
        <v>51</v>
      </c>
      <c r="D6249" s="50" t="s">
        <v>41</v>
      </c>
      <c r="E6249" s="50">
        <v>50041195</v>
      </c>
      <c r="F6249" s="50" t="s">
        <v>206</v>
      </c>
      <c r="G6249" s="50">
        <v>1</v>
      </c>
      <c r="H6249" s="50" t="s">
        <v>2</v>
      </c>
      <c r="I6249" s="50" t="s">
        <v>289</v>
      </c>
      <c r="J6249" s="51">
        <v>45906</v>
      </c>
      <c r="K6249" s="50" t="s">
        <v>1</v>
      </c>
      <c r="L6249" s="50" t="s">
        <v>80</v>
      </c>
    </row>
    <row r="6250" spans="2:12">
      <c r="B6250" s="50" t="s">
        <v>472</v>
      </c>
      <c r="C6250" s="50" t="s">
        <v>51</v>
      </c>
      <c r="D6250" s="50" t="s">
        <v>41</v>
      </c>
      <c r="E6250" s="50">
        <v>50041195</v>
      </c>
      <c r="F6250" s="50" t="s">
        <v>206</v>
      </c>
      <c r="G6250" s="50">
        <v>1</v>
      </c>
      <c r="H6250" s="50" t="s">
        <v>2</v>
      </c>
      <c r="I6250" s="50" t="s">
        <v>289</v>
      </c>
      <c r="J6250" s="51">
        <v>45906</v>
      </c>
      <c r="K6250" s="50" t="s">
        <v>3</v>
      </c>
      <c r="L6250" s="50" t="s">
        <v>80</v>
      </c>
    </row>
    <row r="6251" spans="2:12">
      <c r="B6251" s="50" t="s">
        <v>445</v>
      </c>
      <c r="C6251" s="50" t="s">
        <v>51</v>
      </c>
      <c r="D6251" s="50" t="s">
        <v>41</v>
      </c>
      <c r="E6251" s="50">
        <v>50043917</v>
      </c>
      <c r="F6251" s="50" t="s">
        <v>262</v>
      </c>
      <c r="G6251" s="50">
        <v>1</v>
      </c>
      <c r="H6251" s="50" t="s">
        <v>2</v>
      </c>
      <c r="I6251" s="50" t="s">
        <v>289</v>
      </c>
      <c r="J6251" s="51">
        <v>45906</v>
      </c>
      <c r="K6251" s="50" t="s">
        <v>1</v>
      </c>
      <c r="L6251" s="50" t="s">
        <v>80</v>
      </c>
    </row>
    <row r="6252" spans="2:12">
      <c r="B6252" s="50" t="s">
        <v>445</v>
      </c>
      <c r="C6252" s="50" t="s">
        <v>51</v>
      </c>
      <c r="D6252" s="50" t="s">
        <v>41</v>
      </c>
      <c r="E6252" s="50">
        <v>50043917</v>
      </c>
      <c r="F6252" s="50" t="s">
        <v>262</v>
      </c>
      <c r="G6252" s="50">
        <v>1</v>
      </c>
      <c r="H6252" s="50" t="s">
        <v>2</v>
      </c>
      <c r="I6252" s="50" t="s">
        <v>289</v>
      </c>
      <c r="J6252" s="51">
        <v>45906</v>
      </c>
      <c r="K6252" s="50" t="s">
        <v>1</v>
      </c>
      <c r="L6252" s="50" t="s">
        <v>80</v>
      </c>
    </row>
    <row r="6253" spans="2:12">
      <c r="B6253" s="50" t="s">
        <v>483</v>
      </c>
      <c r="C6253" s="50" t="s">
        <v>62</v>
      </c>
      <c r="D6253" s="50" t="s">
        <v>27</v>
      </c>
      <c r="E6253" s="50">
        <v>50038854</v>
      </c>
      <c r="F6253" s="50" t="s">
        <v>101</v>
      </c>
      <c r="G6253" s="50">
        <v>1</v>
      </c>
      <c r="H6253" s="50" t="s">
        <v>2</v>
      </c>
      <c r="I6253" s="50" t="s">
        <v>297</v>
      </c>
      <c r="J6253" s="51">
        <v>45905</v>
      </c>
      <c r="K6253" s="50" t="s">
        <v>3</v>
      </c>
      <c r="L6253" s="50" t="s">
        <v>80</v>
      </c>
    </row>
    <row r="6254" spans="2:12">
      <c r="B6254" s="50" t="s">
        <v>483</v>
      </c>
      <c r="C6254" s="50" t="s">
        <v>62</v>
      </c>
      <c r="D6254" s="50" t="s">
        <v>27</v>
      </c>
      <c r="E6254" s="50">
        <v>50038854</v>
      </c>
      <c r="F6254" s="50" t="s">
        <v>101</v>
      </c>
      <c r="G6254" s="50">
        <v>1</v>
      </c>
      <c r="H6254" s="50" t="s">
        <v>2</v>
      </c>
      <c r="I6254" s="50" t="s">
        <v>293</v>
      </c>
      <c r="J6254" s="51">
        <v>45905</v>
      </c>
      <c r="K6254" s="50" t="s">
        <v>1</v>
      </c>
      <c r="L6254" s="50" t="s">
        <v>80</v>
      </c>
    </row>
    <row r="6255" spans="2:12">
      <c r="B6255" s="50" t="s">
        <v>25</v>
      </c>
      <c r="C6255" s="50" t="s">
        <v>26</v>
      </c>
      <c r="D6255" s="50" t="s">
        <v>27</v>
      </c>
      <c r="E6255" s="50">
        <v>50038854</v>
      </c>
      <c r="F6255" s="50" t="s">
        <v>101</v>
      </c>
      <c r="G6255" s="50">
        <v>1</v>
      </c>
      <c r="H6255" s="50" t="s">
        <v>2</v>
      </c>
      <c r="I6255" s="50" t="s">
        <v>291</v>
      </c>
      <c r="J6255" s="51">
        <v>45905</v>
      </c>
      <c r="K6255" s="50" t="s">
        <v>3</v>
      </c>
      <c r="L6255" s="50" t="s">
        <v>80</v>
      </c>
    </row>
    <row r="6256" spans="2:12">
      <c r="B6256" s="50" t="s">
        <v>25</v>
      </c>
      <c r="C6256" s="50" t="s">
        <v>26</v>
      </c>
      <c r="D6256" s="50" t="s">
        <v>27</v>
      </c>
      <c r="E6256" s="50">
        <v>50038854</v>
      </c>
      <c r="F6256" s="50" t="s">
        <v>101</v>
      </c>
      <c r="G6256" s="50">
        <v>1</v>
      </c>
      <c r="H6256" s="50" t="s">
        <v>2</v>
      </c>
      <c r="I6256" s="50" t="s">
        <v>291</v>
      </c>
      <c r="J6256" s="51">
        <v>45905</v>
      </c>
      <c r="K6256" s="50" t="s">
        <v>1</v>
      </c>
      <c r="L6256" s="50" t="s">
        <v>80</v>
      </c>
    </row>
    <row r="6257" spans="2:12">
      <c r="B6257" s="50" t="s">
        <v>406</v>
      </c>
      <c r="C6257" s="50" t="s">
        <v>26</v>
      </c>
      <c r="D6257" s="50" t="s">
        <v>39</v>
      </c>
      <c r="E6257" s="50">
        <v>50036296</v>
      </c>
      <c r="F6257" s="50" t="s">
        <v>109</v>
      </c>
      <c r="G6257" s="50">
        <v>1</v>
      </c>
      <c r="H6257" s="50" t="s">
        <v>2</v>
      </c>
      <c r="I6257" s="50" t="s">
        <v>291</v>
      </c>
      <c r="J6257" s="51">
        <v>45905</v>
      </c>
      <c r="K6257" s="50" t="s">
        <v>3</v>
      </c>
      <c r="L6257" s="50" t="s">
        <v>80</v>
      </c>
    </row>
    <row r="6258" spans="2:12">
      <c r="B6258" s="50" t="s">
        <v>406</v>
      </c>
      <c r="C6258" s="50" t="s">
        <v>26</v>
      </c>
      <c r="D6258" s="50" t="s">
        <v>39</v>
      </c>
      <c r="E6258" s="50">
        <v>50036296</v>
      </c>
      <c r="F6258" s="50" t="s">
        <v>109</v>
      </c>
      <c r="G6258" s="50">
        <v>1</v>
      </c>
      <c r="H6258" s="50" t="s">
        <v>2</v>
      </c>
      <c r="I6258" s="50" t="s">
        <v>291</v>
      </c>
      <c r="J6258" s="51">
        <v>45905</v>
      </c>
      <c r="K6258" s="50" t="s">
        <v>1</v>
      </c>
      <c r="L6258" s="50" t="s">
        <v>80</v>
      </c>
    </row>
    <row r="6259" spans="2:12">
      <c r="B6259" s="50" t="s">
        <v>399</v>
      </c>
      <c r="C6259" s="50" t="s">
        <v>51</v>
      </c>
      <c r="D6259" s="50" t="s">
        <v>27</v>
      </c>
      <c r="E6259" s="50">
        <v>50030486</v>
      </c>
      <c r="F6259" s="50" t="s">
        <v>153</v>
      </c>
      <c r="G6259" s="50">
        <v>1</v>
      </c>
      <c r="H6259" s="50" t="s">
        <v>2</v>
      </c>
      <c r="I6259" s="50" t="s">
        <v>297</v>
      </c>
      <c r="J6259" s="51">
        <v>45905</v>
      </c>
      <c r="K6259" s="50" t="s">
        <v>3</v>
      </c>
      <c r="L6259" s="50" t="s">
        <v>80</v>
      </c>
    </row>
    <row r="6260" spans="2:12">
      <c r="B6260" s="50" t="s">
        <v>399</v>
      </c>
      <c r="C6260" s="50" t="s">
        <v>51</v>
      </c>
      <c r="D6260" s="50" t="s">
        <v>27</v>
      </c>
      <c r="E6260" s="50">
        <v>50030486</v>
      </c>
      <c r="F6260" s="50" t="s">
        <v>153</v>
      </c>
      <c r="G6260" s="50">
        <v>1</v>
      </c>
      <c r="H6260" s="50" t="s">
        <v>2</v>
      </c>
      <c r="I6260" s="50" t="s">
        <v>288</v>
      </c>
      <c r="J6260" s="51">
        <v>45905</v>
      </c>
      <c r="K6260" s="50" t="s">
        <v>1</v>
      </c>
      <c r="L6260" s="50" t="s">
        <v>80</v>
      </c>
    </row>
    <row r="6261" spans="2:12">
      <c r="B6261" s="50" t="s">
        <v>458</v>
      </c>
      <c r="C6261" s="50" t="s">
        <v>26</v>
      </c>
      <c r="D6261" s="50" t="s">
        <v>27</v>
      </c>
      <c r="E6261" s="50">
        <v>50039236</v>
      </c>
      <c r="F6261" s="50" t="s">
        <v>154</v>
      </c>
      <c r="G6261" s="50">
        <v>1</v>
      </c>
      <c r="H6261" s="50" t="s">
        <v>2</v>
      </c>
      <c r="I6261" s="50" t="s">
        <v>297</v>
      </c>
      <c r="J6261" s="51">
        <v>45905</v>
      </c>
      <c r="K6261" s="50" t="s">
        <v>3</v>
      </c>
      <c r="L6261" s="50" t="s">
        <v>80</v>
      </c>
    </row>
    <row r="6262" spans="2:12">
      <c r="B6262" s="50" t="s">
        <v>458</v>
      </c>
      <c r="C6262" s="50" t="s">
        <v>26</v>
      </c>
      <c r="D6262" s="50" t="s">
        <v>27</v>
      </c>
      <c r="E6262" s="50">
        <v>50039236</v>
      </c>
      <c r="F6262" s="50" t="s">
        <v>154</v>
      </c>
      <c r="G6262" s="50">
        <v>1</v>
      </c>
      <c r="H6262" s="50" t="s">
        <v>2</v>
      </c>
      <c r="I6262" s="50" t="s">
        <v>291</v>
      </c>
      <c r="J6262" s="51">
        <v>45905</v>
      </c>
      <c r="K6262" s="50" t="s">
        <v>1</v>
      </c>
      <c r="L6262" s="50" t="s">
        <v>80</v>
      </c>
    </row>
    <row r="6263" spans="2:12">
      <c r="B6263" s="50" t="s">
        <v>406</v>
      </c>
      <c r="C6263" s="50" t="s">
        <v>26</v>
      </c>
      <c r="D6263" s="50" t="s">
        <v>39</v>
      </c>
      <c r="E6263" s="50">
        <v>50038549</v>
      </c>
      <c r="F6263" s="50" t="s">
        <v>173</v>
      </c>
      <c r="G6263" s="50">
        <v>1</v>
      </c>
      <c r="H6263" s="50" t="s">
        <v>2</v>
      </c>
      <c r="I6263" s="50" t="s">
        <v>288</v>
      </c>
      <c r="J6263" s="51">
        <v>45905</v>
      </c>
      <c r="K6263" s="50" t="s">
        <v>3</v>
      </c>
      <c r="L6263" s="50" t="s">
        <v>80</v>
      </c>
    </row>
    <row r="6264" spans="2:12">
      <c r="B6264" s="50" t="s">
        <v>406</v>
      </c>
      <c r="C6264" s="50" t="s">
        <v>26</v>
      </c>
      <c r="D6264" s="50" t="s">
        <v>39</v>
      </c>
      <c r="E6264" s="50">
        <v>50038549</v>
      </c>
      <c r="F6264" s="50" t="s">
        <v>173</v>
      </c>
      <c r="G6264" s="50">
        <v>1</v>
      </c>
      <c r="H6264" s="50" t="s">
        <v>2</v>
      </c>
      <c r="I6264" s="50" t="s">
        <v>288</v>
      </c>
      <c r="J6264" s="51">
        <v>45905</v>
      </c>
      <c r="K6264" s="50" t="s">
        <v>3</v>
      </c>
      <c r="L6264" s="50" t="s">
        <v>80</v>
      </c>
    </row>
    <row r="6265" spans="2:12">
      <c r="B6265" s="50" t="s">
        <v>394</v>
      </c>
      <c r="C6265" s="50" t="s">
        <v>51</v>
      </c>
      <c r="D6265" s="50" t="s">
        <v>27</v>
      </c>
      <c r="E6265" s="50">
        <v>50037892</v>
      </c>
      <c r="F6265" s="50" t="s">
        <v>178</v>
      </c>
      <c r="G6265" s="50">
        <v>1</v>
      </c>
      <c r="H6265" s="50" t="s">
        <v>2</v>
      </c>
      <c r="I6265" s="50" t="s">
        <v>291</v>
      </c>
      <c r="J6265" s="51">
        <v>45905</v>
      </c>
      <c r="K6265" s="50" t="s">
        <v>1</v>
      </c>
      <c r="L6265" s="50" t="s">
        <v>80</v>
      </c>
    </row>
    <row r="6266" spans="2:12">
      <c r="B6266" s="50" t="s">
        <v>394</v>
      </c>
      <c r="C6266" s="50" t="s">
        <v>51</v>
      </c>
      <c r="D6266" s="50" t="s">
        <v>27</v>
      </c>
      <c r="E6266" s="50">
        <v>50037892</v>
      </c>
      <c r="F6266" s="50" t="s">
        <v>178</v>
      </c>
      <c r="G6266" s="50">
        <v>1</v>
      </c>
      <c r="H6266" s="50" t="s">
        <v>2</v>
      </c>
      <c r="I6266" s="50" t="s">
        <v>291</v>
      </c>
      <c r="J6266" s="51">
        <v>45905</v>
      </c>
      <c r="K6266" s="50" t="s">
        <v>3</v>
      </c>
      <c r="L6266" s="50" t="s">
        <v>80</v>
      </c>
    </row>
    <row r="6267" spans="2:12">
      <c r="B6267" s="50" t="s">
        <v>437</v>
      </c>
      <c r="C6267" s="50" t="s">
        <v>51</v>
      </c>
      <c r="D6267" s="50" t="s">
        <v>41</v>
      </c>
      <c r="E6267" s="50">
        <v>50037892</v>
      </c>
      <c r="F6267" s="50" t="s">
        <v>178</v>
      </c>
      <c r="G6267" s="50">
        <v>1</v>
      </c>
      <c r="H6267" s="50" t="s">
        <v>2</v>
      </c>
      <c r="I6267" s="50" t="s">
        <v>291</v>
      </c>
      <c r="J6267" s="51">
        <v>45905</v>
      </c>
      <c r="K6267" s="50" t="s">
        <v>1</v>
      </c>
      <c r="L6267" s="50" t="s">
        <v>80</v>
      </c>
    </row>
    <row r="6268" spans="2:12">
      <c r="B6268" s="50" t="s">
        <v>437</v>
      </c>
      <c r="C6268" s="50" t="s">
        <v>51</v>
      </c>
      <c r="D6268" s="50" t="s">
        <v>41</v>
      </c>
      <c r="E6268" s="50">
        <v>50037892</v>
      </c>
      <c r="F6268" s="50" t="s">
        <v>178</v>
      </c>
      <c r="G6268" s="50">
        <v>1</v>
      </c>
      <c r="H6268" s="50" t="s">
        <v>2</v>
      </c>
      <c r="I6268" s="50" t="s">
        <v>291</v>
      </c>
      <c r="J6268" s="51">
        <v>45905</v>
      </c>
      <c r="K6268" s="50" t="s">
        <v>3</v>
      </c>
      <c r="L6268" s="50" t="s">
        <v>80</v>
      </c>
    </row>
    <row r="6269" spans="2:12">
      <c r="B6269" s="50" t="s">
        <v>481</v>
      </c>
      <c r="C6269" s="50" t="s">
        <v>26</v>
      </c>
      <c r="D6269" s="50" t="s">
        <v>27</v>
      </c>
      <c r="E6269" s="50">
        <v>50037902</v>
      </c>
      <c r="F6269" s="50" t="s">
        <v>179</v>
      </c>
      <c r="G6269" s="50">
        <v>1</v>
      </c>
      <c r="H6269" s="50" t="s">
        <v>2</v>
      </c>
      <c r="I6269" s="50" t="s">
        <v>293</v>
      </c>
      <c r="J6269" s="51">
        <v>45905</v>
      </c>
      <c r="K6269" s="50" t="s">
        <v>1</v>
      </c>
      <c r="L6269" s="50" t="s">
        <v>80</v>
      </c>
    </row>
    <row r="6270" spans="2:12">
      <c r="B6270" s="50" t="s">
        <v>481</v>
      </c>
      <c r="C6270" s="50" t="s">
        <v>26</v>
      </c>
      <c r="D6270" s="50" t="s">
        <v>27</v>
      </c>
      <c r="E6270" s="50">
        <v>50037902</v>
      </c>
      <c r="F6270" s="50" t="s">
        <v>179</v>
      </c>
      <c r="G6270" s="50">
        <v>1</v>
      </c>
      <c r="H6270" s="50" t="s">
        <v>2</v>
      </c>
      <c r="I6270" s="50" t="s">
        <v>292</v>
      </c>
      <c r="J6270" s="51">
        <v>45905</v>
      </c>
      <c r="K6270" s="50" t="s">
        <v>3</v>
      </c>
      <c r="L6270" s="50" t="s">
        <v>80</v>
      </c>
    </row>
    <row r="6271" spans="2:12">
      <c r="B6271" s="50" t="s">
        <v>453</v>
      </c>
      <c r="C6271" s="50" t="s">
        <v>51</v>
      </c>
      <c r="D6271" s="50" t="s">
        <v>41</v>
      </c>
      <c r="E6271" s="50">
        <v>50038841</v>
      </c>
      <c r="F6271" s="50" t="s">
        <v>180</v>
      </c>
      <c r="G6271" s="50">
        <v>1</v>
      </c>
      <c r="H6271" s="50" t="s">
        <v>2</v>
      </c>
      <c r="I6271" s="50" t="s">
        <v>292</v>
      </c>
      <c r="J6271" s="51">
        <v>45905</v>
      </c>
      <c r="K6271" s="50" t="s">
        <v>1</v>
      </c>
      <c r="L6271" s="50" t="s">
        <v>80</v>
      </c>
    </row>
    <row r="6272" spans="2:12">
      <c r="B6272" s="50" t="s">
        <v>453</v>
      </c>
      <c r="C6272" s="50" t="s">
        <v>51</v>
      </c>
      <c r="D6272" s="50" t="s">
        <v>41</v>
      </c>
      <c r="E6272" s="50">
        <v>50038841</v>
      </c>
      <c r="F6272" s="50" t="s">
        <v>180</v>
      </c>
      <c r="G6272" s="50">
        <v>1</v>
      </c>
      <c r="H6272" s="50" t="s">
        <v>2</v>
      </c>
      <c r="I6272" s="50" t="s">
        <v>291</v>
      </c>
      <c r="J6272" s="51">
        <v>45905</v>
      </c>
      <c r="K6272" s="50" t="s">
        <v>1</v>
      </c>
      <c r="L6272" s="50" t="s">
        <v>80</v>
      </c>
    </row>
    <row r="6273" spans="2:12">
      <c r="B6273" s="50" t="s">
        <v>483</v>
      </c>
      <c r="C6273" s="50" t="s">
        <v>62</v>
      </c>
      <c r="D6273" s="50" t="s">
        <v>27</v>
      </c>
      <c r="E6273" s="50">
        <v>50001995</v>
      </c>
      <c r="F6273" s="50" t="s">
        <v>185</v>
      </c>
      <c r="G6273" s="50">
        <v>1</v>
      </c>
      <c r="H6273" s="50" t="s">
        <v>2</v>
      </c>
      <c r="I6273" s="50" t="s">
        <v>291</v>
      </c>
      <c r="J6273" s="51">
        <v>45905</v>
      </c>
      <c r="K6273" s="50" t="s">
        <v>3</v>
      </c>
      <c r="L6273" s="50" t="s">
        <v>80</v>
      </c>
    </row>
    <row r="6274" spans="2:12">
      <c r="B6274" s="50" t="s">
        <v>483</v>
      </c>
      <c r="C6274" s="50" t="s">
        <v>62</v>
      </c>
      <c r="D6274" s="50" t="s">
        <v>27</v>
      </c>
      <c r="E6274" s="50">
        <v>50001995</v>
      </c>
      <c r="F6274" s="50" t="s">
        <v>185</v>
      </c>
      <c r="G6274" s="50">
        <v>1</v>
      </c>
      <c r="H6274" s="50" t="s">
        <v>2</v>
      </c>
      <c r="I6274" s="50" t="s">
        <v>291</v>
      </c>
      <c r="J6274" s="51">
        <v>45905</v>
      </c>
      <c r="K6274" s="50" t="s">
        <v>1</v>
      </c>
      <c r="L6274" s="50" t="s">
        <v>80</v>
      </c>
    </row>
    <row r="6275" spans="2:12">
      <c r="B6275" s="50" t="s">
        <v>278</v>
      </c>
      <c r="C6275" s="50" t="s">
        <v>62</v>
      </c>
      <c r="D6275" s="50" t="s">
        <v>27</v>
      </c>
      <c r="E6275" s="50">
        <v>50041195</v>
      </c>
      <c r="F6275" s="50" t="s">
        <v>206</v>
      </c>
      <c r="G6275" s="50">
        <v>1</v>
      </c>
      <c r="H6275" s="50" t="s">
        <v>2</v>
      </c>
      <c r="I6275" s="50" t="s">
        <v>297</v>
      </c>
      <c r="J6275" s="51">
        <v>45905</v>
      </c>
      <c r="K6275" s="50" t="s">
        <v>3</v>
      </c>
      <c r="L6275" s="50" t="s">
        <v>80</v>
      </c>
    </row>
    <row r="6276" spans="2:12">
      <c r="B6276" s="50" t="s">
        <v>25</v>
      </c>
      <c r="C6276" s="50" t="s">
        <v>26</v>
      </c>
      <c r="D6276" s="50" t="s">
        <v>27</v>
      </c>
      <c r="E6276" s="50">
        <v>50041195</v>
      </c>
      <c r="F6276" s="50" t="s">
        <v>206</v>
      </c>
      <c r="G6276" s="50">
        <v>1</v>
      </c>
      <c r="H6276" s="50" t="s">
        <v>2</v>
      </c>
      <c r="I6276" s="50" t="s">
        <v>291</v>
      </c>
      <c r="J6276" s="51">
        <v>45905</v>
      </c>
      <c r="K6276" s="50" t="s">
        <v>1</v>
      </c>
      <c r="L6276" s="50" t="s">
        <v>80</v>
      </c>
    </row>
    <row r="6277" spans="2:12">
      <c r="B6277" s="50" t="s">
        <v>25</v>
      </c>
      <c r="C6277" s="50" t="s">
        <v>26</v>
      </c>
      <c r="D6277" s="50" t="s">
        <v>27</v>
      </c>
      <c r="E6277" s="50">
        <v>50041195</v>
      </c>
      <c r="F6277" s="50" t="s">
        <v>206</v>
      </c>
      <c r="G6277" s="50">
        <v>1</v>
      </c>
      <c r="H6277" s="50" t="s">
        <v>2</v>
      </c>
      <c r="I6277" s="50" t="s">
        <v>291</v>
      </c>
      <c r="J6277" s="51">
        <v>45905</v>
      </c>
      <c r="K6277" s="50" t="s">
        <v>3</v>
      </c>
      <c r="L6277" s="50" t="s">
        <v>80</v>
      </c>
    </row>
    <row r="6278" spans="2:12">
      <c r="B6278" s="50" t="s">
        <v>277</v>
      </c>
      <c r="C6278" s="50" t="s">
        <v>62</v>
      </c>
      <c r="D6278" s="50" t="s">
        <v>27</v>
      </c>
      <c r="E6278" s="50">
        <v>50043917</v>
      </c>
      <c r="F6278" s="50" t="s">
        <v>262</v>
      </c>
      <c r="G6278" s="50">
        <v>1</v>
      </c>
      <c r="H6278" s="50" t="s">
        <v>2</v>
      </c>
      <c r="I6278" s="50" t="s">
        <v>297</v>
      </c>
      <c r="J6278" s="51">
        <v>45905</v>
      </c>
      <c r="K6278" s="50" t="s">
        <v>1</v>
      </c>
      <c r="L6278" s="50" t="s">
        <v>80</v>
      </c>
    </row>
    <row r="6279" spans="2:12">
      <c r="B6279" s="50" t="s">
        <v>277</v>
      </c>
      <c r="C6279" s="50" t="s">
        <v>62</v>
      </c>
      <c r="D6279" s="50" t="s">
        <v>27</v>
      </c>
      <c r="E6279" s="50">
        <v>50043917</v>
      </c>
      <c r="F6279" s="50" t="s">
        <v>262</v>
      </c>
      <c r="G6279" s="50">
        <v>1</v>
      </c>
      <c r="H6279" s="50" t="s">
        <v>2</v>
      </c>
      <c r="I6279" s="50" t="s">
        <v>291</v>
      </c>
      <c r="J6279" s="51">
        <v>45905</v>
      </c>
      <c r="K6279" s="50" t="s">
        <v>3</v>
      </c>
      <c r="L6279" s="50" t="s">
        <v>80</v>
      </c>
    </row>
    <row r="6280" spans="2:12">
      <c r="B6280" s="50" t="s">
        <v>345</v>
      </c>
      <c r="C6280" s="50" t="s">
        <v>62</v>
      </c>
      <c r="D6280" s="50" t="s">
        <v>27</v>
      </c>
      <c r="E6280" s="50">
        <v>50043917</v>
      </c>
      <c r="F6280" s="50" t="s">
        <v>262</v>
      </c>
      <c r="G6280" s="50">
        <v>1</v>
      </c>
      <c r="H6280" s="50" t="s">
        <v>2</v>
      </c>
      <c r="I6280" s="50" t="s">
        <v>291</v>
      </c>
      <c r="J6280" s="51">
        <v>45905</v>
      </c>
      <c r="K6280" s="50" t="s">
        <v>1</v>
      </c>
      <c r="L6280" s="50" t="s">
        <v>80</v>
      </c>
    </row>
    <row r="6281" spans="2:12">
      <c r="B6281" s="50" t="s">
        <v>345</v>
      </c>
      <c r="C6281" s="50" t="s">
        <v>62</v>
      </c>
      <c r="D6281" s="50" t="s">
        <v>27</v>
      </c>
      <c r="E6281" s="50">
        <v>50043917</v>
      </c>
      <c r="F6281" s="50" t="s">
        <v>262</v>
      </c>
      <c r="G6281" s="50">
        <v>1</v>
      </c>
      <c r="H6281" s="50" t="s">
        <v>2</v>
      </c>
      <c r="I6281" s="50" t="s">
        <v>291</v>
      </c>
      <c r="J6281" s="51">
        <v>45905</v>
      </c>
      <c r="K6281" s="50" t="s">
        <v>1</v>
      </c>
      <c r="L6281" s="50" t="s">
        <v>80</v>
      </c>
    </row>
    <row r="6282" spans="2:12">
      <c r="B6282" s="50" t="s">
        <v>25</v>
      </c>
      <c r="C6282" s="50" t="s">
        <v>26</v>
      </c>
      <c r="D6282" s="50" t="s">
        <v>27</v>
      </c>
      <c r="E6282" s="50">
        <v>50012903</v>
      </c>
      <c r="F6282" s="50" t="s">
        <v>308</v>
      </c>
      <c r="G6282" s="50">
        <v>1</v>
      </c>
      <c r="H6282" s="50" t="s">
        <v>2</v>
      </c>
      <c r="I6282" s="50" t="s">
        <v>292</v>
      </c>
      <c r="J6282" s="51">
        <v>45905</v>
      </c>
      <c r="K6282" s="50" t="s">
        <v>3</v>
      </c>
      <c r="L6282" s="50" t="s">
        <v>80</v>
      </c>
    </row>
    <row r="6283" spans="2:12">
      <c r="B6283" s="50" t="s">
        <v>25</v>
      </c>
      <c r="C6283" s="50" t="s">
        <v>26</v>
      </c>
      <c r="D6283" s="50" t="s">
        <v>27</v>
      </c>
      <c r="E6283" s="50">
        <v>50012903</v>
      </c>
      <c r="F6283" s="50" t="s">
        <v>308</v>
      </c>
      <c r="G6283" s="50">
        <v>1</v>
      </c>
      <c r="H6283" s="50" t="s">
        <v>2</v>
      </c>
      <c r="I6283" s="50" t="s">
        <v>293</v>
      </c>
      <c r="J6283" s="51">
        <v>45905</v>
      </c>
      <c r="K6283" s="50" t="s">
        <v>3</v>
      </c>
      <c r="L6283" s="50" t="s">
        <v>80</v>
      </c>
    </row>
    <row r="6284" spans="2:12">
      <c r="B6284" s="50" t="s">
        <v>386</v>
      </c>
      <c r="C6284" s="50" t="s">
        <v>26</v>
      </c>
      <c r="D6284" s="50" t="s">
        <v>27</v>
      </c>
      <c r="E6284" s="50">
        <v>50010031</v>
      </c>
      <c r="F6284" s="50" t="s">
        <v>89</v>
      </c>
      <c r="G6284" s="50">
        <v>1</v>
      </c>
      <c r="H6284" s="50" t="s">
        <v>2</v>
      </c>
      <c r="I6284" s="50" t="s">
        <v>289</v>
      </c>
      <c r="J6284" s="51">
        <v>45904</v>
      </c>
      <c r="K6284" s="50" t="s">
        <v>1</v>
      </c>
      <c r="L6284" s="50" t="s">
        <v>80</v>
      </c>
    </row>
    <row r="6285" spans="2:12">
      <c r="B6285" s="50" t="s">
        <v>386</v>
      </c>
      <c r="C6285" s="50" t="s">
        <v>26</v>
      </c>
      <c r="D6285" s="50" t="s">
        <v>27</v>
      </c>
      <c r="E6285" s="50">
        <v>50010031</v>
      </c>
      <c r="F6285" s="50" t="s">
        <v>89</v>
      </c>
      <c r="G6285" s="50">
        <v>1</v>
      </c>
      <c r="H6285" s="50" t="s">
        <v>2</v>
      </c>
      <c r="I6285" s="50" t="s">
        <v>291</v>
      </c>
      <c r="J6285" s="51">
        <v>45904</v>
      </c>
      <c r="K6285" s="50" t="s">
        <v>1</v>
      </c>
      <c r="L6285" s="50" t="s">
        <v>80</v>
      </c>
    </row>
    <row r="6286" spans="2:12">
      <c r="B6286" s="50" t="e">
        <v>#N/A</v>
      </c>
      <c r="C6286" s="50" t="s">
        <v>56</v>
      </c>
      <c r="D6286" s="50" t="s">
        <v>27</v>
      </c>
      <c r="E6286" s="50">
        <v>50002644</v>
      </c>
      <c r="F6286" s="50" t="s">
        <v>91</v>
      </c>
      <c r="G6286" s="50">
        <v>1</v>
      </c>
      <c r="H6286" s="50" t="s">
        <v>2</v>
      </c>
      <c r="I6286" s="50" t="s">
        <v>291</v>
      </c>
      <c r="J6286" s="51">
        <v>45904</v>
      </c>
      <c r="K6286" s="50" t="s">
        <v>3</v>
      </c>
      <c r="L6286" s="50" t="s">
        <v>80</v>
      </c>
    </row>
    <row r="6287" spans="2:12">
      <c r="B6287" s="50" t="e">
        <v>#N/A</v>
      </c>
      <c r="C6287" s="50" t="s">
        <v>56</v>
      </c>
      <c r="D6287" s="50" t="s">
        <v>27</v>
      </c>
      <c r="E6287" s="50">
        <v>50002644</v>
      </c>
      <c r="F6287" s="50" t="s">
        <v>91</v>
      </c>
      <c r="G6287" s="50">
        <v>1</v>
      </c>
      <c r="H6287" s="50" t="s">
        <v>2</v>
      </c>
      <c r="I6287" s="50" t="s">
        <v>291</v>
      </c>
      <c r="J6287" s="51">
        <v>45904</v>
      </c>
      <c r="K6287" s="50" t="s">
        <v>1</v>
      </c>
      <c r="L6287" s="50" t="s">
        <v>80</v>
      </c>
    </row>
    <row r="6288" spans="2:12">
      <c r="B6288" s="50" t="s">
        <v>411</v>
      </c>
      <c r="C6288" s="50" t="s">
        <v>26</v>
      </c>
      <c r="D6288" s="50" t="s">
        <v>27</v>
      </c>
      <c r="E6288" s="50">
        <v>50038854</v>
      </c>
      <c r="F6288" s="50" t="s">
        <v>101</v>
      </c>
      <c r="G6288" s="50">
        <v>1</v>
      </c>
      <c r="H6288" s="50" t="s">
        <v>2</v>
      </c>
      <c r="I6288" s="50" t="s">
        <v>289</v>
      </c>
      <c r="J6288" s="51">
        <v>45904</v>
      </c>
      <c r="K6288" s="50" t="s">
        <v>3</v>
      </c>
      <c r="L6288" s="50" t="s">
        <v>302</v>
      </c>
    </row>
    <row r="6289" spans="2:12">
      <c r="B6289" s="50" t="s">
        <v>411</v>
      </c>
      <c r="C6289" s="50" t="s">
        <v>26</v>
      </c>
      <c r="D6289" s="50">
        <v>0</v>
      </c>
      <c r="E6289" s="50">
        <v>50038854</v>
      </c>
      <c r="F6289" s="50" t="s">
        <v>101</v>
      </c>
      <c r="G6289" s="50">
        <v>1</v>
      </c>
      <c r="H6289" s="50" t="s">
        <v>2</v>
      </c>
      <c r="I6289" s="50" t="s">
        <v>287</v>
      </c>
      <c r="J6289" s="51">
        <v>45904</v>
      </c>
      <c r="K6289" s="50" t="s">
        <v>3</v>
      </c>
      <c r="L6289" s="50" t="s">
        <v>80</v>
      </c>
    </row>
    <row r="6290" spans="2:12">
      <c r="B6290" s="50" t="s">
        <v>468</v>
      </c>
      <c r="C6290" s="50" t="s">
        <v>56</v>
      </c>
      <c r="D6290" s="50" t="s">
        <v>41</v>
      </c>
      <c r="E6290" s="50">
        <v>50036298</v>
      </c>
      <c r="F6290" s="50" t="s">
        <v>102</v>
      </c>
      <c r="G6290" s="50">
        <v>1</v>
      </c>
      <c r="H6290" s="50" t="s">
        <v>2</v>
      </c>
      <c r="I6290" s="50" t="s">
        <v>292</v>
      </c>
      <c r="J6290" s="51">
        <v>45904</v>
      </c>
      <c r="K6290" s="50" t="s">
        <v>1</v>
      </c>
      <c r="L6290" s="50" t="s">
        <v>80</v>
      </c>
    </row>
    <row r="6291" spans="2:12">
      <c r="B6291" s="50" t="e">
        <v>#N/A</v>
      </c>
      <c r="C6291" s="50" t="s">
        <v>26</v>
      </c>
      <c r="D6291" s="50" t="s">
        <v>39</v>
      </c>
      <c r="E6291" s="50">
        <v>50037905</v>
      </c>
      <c r="F6291" s="50" t="s">
        <v>150</v>
      </c>
      <c r="G6291" s="50">
        <v>1</v>
      </c>
      <c r="H6291" s="50" t="s">
        <v>4</v>
      </c>
      <c r="I6291" s="50" t="s">
        <v>289</v>
      </c>
      <c r="J6291" s="51">
        <v>45904</v>
      </c>
      <c r="K6291" s="50" t="s">
        <v>3</v>
      </c>
      <c r="L6291" s="50" t="s">
        <v>80</v>
      </c>
    </row>
    <row r="6292" spans="2:12">
      <c r="B6292" s="50" t="s">
        <v>469</v>
      </c>
      <c r="C6292" s="50" t="s">
        <v>26</v>
      </c>
      <c r="D6292" s="50" t="s">
        <v>39</v>
      </c>
      <c r="E6292" s="50">
        <v>50037905</v>
      </c>
      <c r="F6292" s="50" t="s">
        <v>150</v>
      </c>
      <c r="G6292" s="50">
        <v>1</v>
      </c>
      <c r="H6292" s="50" t="s">
        <v>2</v>
      </c>
      <c r="I6292" s="50" t="s">
        <v>292</v>
      </c>
      <c r="J6292" s="51">
        <v>45904</v>
      </c>
      <c r="K6292" s="50" t="s">
        <v>1</v>
      </c>
      <c r="L6292" s="50" t="s">
        <v>80</v>
      </c>
    </row>
    <row r="6293" spans="2:12">
      <c r="B6293" s="50" t="s">
        <v>394</v>
      </c>
      <c r="C6293" s="50" t="s">
        <v>51</v>
      </c>
      <c r="D6293" s="50" t="s">
        <v>27</v>
      </c>
      <c r="E6293" s="50">
        <v>50030486</v>
      </c>
      <c r="F6293" s="50" t="s">
        <v>153</v>
      </c>
      <c r="G6293" s="50">
        <v>1</v>
      </c>
      <c r="H6293" s="50" t="s">
        <v>2</v>
      </c>
      <c r="I6293" s="50" t="s">
        <v>289</v>
      </c>
      <c r="J6293" s="51">
        <v>45904</v>
      </c>
      <c r="K6293" s="50" t="s">
        <v>3</v>
      </c>
      <c r="L6293" s="50" t="s">
        <v>80</v>
      </c>
    </row>
    <row r="6294" spans="2:12">
      <c r="B6294" s="50" t="s">
        <v>394</v>
      </c>
      <c r="C6294" s="50" t="s">
        <v>51</v>
      </c>
      <c r="D6294" s="50" t="s">
        <v>27</v>
      </c>
      <c r="E6294" s="50">
        <v>50030486</v>
      </c>
      <c r="F6294" s="50" t="s">
        <v>153</v>
      </c>
      <c r="G6294" s="50">
        <v>1</v>
      </c>
      <c r="H6294" s="50" t="s">
        <v>2</v>
      </c>
      <c r="I6294" s="50" t="s">
        <v>291</v>
      </c>
      <c r="J6294" s="51">
        <v>45904</v>
      </c>
      <c r="K6294" s="50" t="s">
        <v>1</v>
      </c>
      <c r="L6294" s="50" t="s">
        <v>80</v>
      </c>
    </row>
    <row r="6295" spans="2:12">
      <c r="B6295" s="50" t="s">
        <v>465</v>
      </c>
      <c r="C6295" s="50" t="s">
        <v>26</v>
      </c>
      <c r="D6295" s="50" t="s">
        <v>27</v>
      </c>
      <c r="E6295" s="50">
        <v>50043471</v>
      </c>
      <c r="F6295" s="50" t="s">
        <v>257</v>
      </c>
      <c r="G6295" s="50">
        <v>1</v>
      </c>
      <c r="H6295" s="50" t="s">
        <v>2</v>
      </c>
      <c r="I6295" s="50" t="s">
        <v>289</v>
      </c>
      <c r="J6295" s="51">
        <v>45904</v>
      </c>
      <c r="K6295" s="50" t="s">
        <v>3</v>
      </c>
      <c r="L6295" s="50" t="s">
        <v>80</v>
      </c>
    </row>
    <row r="6296" spans="2:12">
      <c r="B6296" s="50" t="s">
        <v>465</v>
      </c>
      <c r="C6296" s="50" t="s">
        <v>26</v>
      </c>
      <c r="D6296" s="50" t="s">
        <v>27</v>
      </c>
      <c r="E6296" s="50">
        <v>50043471</v>
      </c>
      <c r="F6296" s="50" t="s">
        <v>257</v>
      </c>
      <c r="G6296" s="50">
        <v>1</v>
      </c>
      <c r="H6296" s="50" t="s">
        <v>2</v>
      </c>
      <c r="I6296" s="50" t="s">
        <v>291</v>
      </c>
      <c r="J6296" s="51">
        <v>45904</v>
      </c>
      <c r="K6296" s="50" t="s">
        <v>1</v>
      </c>
      <c r="L6296" s="50" t="s">
        <v>80</v>
      </c>
    </row>
    <row r="6297" spans="2:12">
      <c r="B6297" s="50" t="e">
        <v>#N/A</v>
      </c>
      <c r="C6297" s="50" t="s">
        <v>56</v>
      </c>
      <c r="D6297" s="50" t="s">
        <v>27</v>
      </c>
      <c r="E6297" s="50">
        <v>50003297</v>
      </c>
      <c r="F6297" s="50" t="s">
        <v>158</v>
      </c>
      <c r="G6297" s="50">
        <v>1</v>
      </c>
      <c r="H6297" s="50" t="s">
        <v>2</v>
      </c>
      <c r="I6297" s="50" t="s">
        <v>289</v>
      </c>
      <c r="J6297" s="51">
        <v>45904</v>
      </c>
      <c r="K6297" s="50" t="s">
        <v>3</v>
      </c>
      <c r="L6297" s="50" t="s">
        <v>80</v>
      </c>
    </row>
    <row r="6298" spans="2:12">
      <c r="B6298" s="50" t="e">
        <v>#N/A</v>
      </c>
      <c r="C6298" s="50" t="s">
        <v>56</v>
      </c>
      <c r="D6298" s="50" t="s">
        <v>27</v>
      </c>
      <c r="E6298" s="50">
        <v>50003297</v>
      </c>
      <c r="F6298" s="50" t="s">
        <v>158</v>
      </c>
      <c r="G6298" s="50">
        <v>1</v>
      </c>
      <c r="H6298" s="50" t="s">
        <v>2</v>
      </c>
      <c r="I6298" s="50" t="s">
        <v>291</v>
      </c>
      <c r="J6298" s="51">
        <v>45904</v>
      </c>
      <c r="K6298" s="50" t="s">
        <v>1</v>
      </c>
      <c r="L6298" s="50" t="s">
        <v>80</v>
      </c>
    </row>
    <row r="6299" spans="2:12">
      <c r="B6299" s="50" t="s">
        <v>447</v>
      </c>
      <c r="C6299" s="50" t="s">
        <v>56</v>
      </c>
      <c r="D6299" s="50" t="s">
        <v>41</v>
      </c>
      <c r="E6299" s="50">
        <v>50003297</v>
      </c>
      <c r="F6299" s="50" t="s">
        <v>158</v>
      </c>
      <c r="G6299" s="50">
        <v>1</v>
      </c>
      <c r="H6299" s="50" t="s">
        <v>2</v>
      </c>
      <c r="I6299" s="50" t="s">
        <v>291</v>
      </c>
      <c r="J6299" s="51">
        <v>45904</v>
      </c>
      <c r="K6299" s="50" t="s">
        <v>3</v>
      </c>
      <c r="L6299" s="50" t="s">
        <v>80</v>
      </c>
    </row>
    <row r="6300" spans="2:12">
      <c r="B6300" s="50" t="s">
        <v>447</v>
      </c>
      <c r="C6300" s="50" t="s">
        <v>56</v>
      </c>
      <c r="D6300" s="50" t="s">
        <v>41</v>
      </c>
      <c r="E6300" s="50">
        <v>50003297</v>
      </c>
      <c r="F6300" s="50" t="s">
        <v>158</v>
      </c>
      <c r="G6300" s="50">
        <v>1</v>
      </c>
      <c r="H6300" s="50" t="s">
        <v>2</v>
      </c>
      <c r="I6300" s="50" t="s">
        <v>291</v>
      </c>
      <c r="J6300" s="51">
        <v>45904</v>
      </c>
      <c r="K6300" s="50" t="s">
        <v>1</v>
      </c>
      <c r="L6300" s="50" t="s">
        <v>80</v>
      </c>
    </row>
    <row r="6301" spans="2:12">
      <c r="B6301" s="50" t="s">
        <v>483</v>
      </c>
      <c r="C6301" s="50" t="s">
        <v>62</v>
      </c>
      <c r="D6301" s="50" t="s">
        <v>27</v>
      </c>
      <c r="E6301" s="50">
        <v>50029865</v>
      </c>
      <c r="F6301" s="50" t="s">
        <v>162</v>
      </c>
      <c r="G6301" s="50">
        <v>1</v>
      </c>
      <c r="H6301" s="50" t="s">
        <v>2</v>
      </c>
      <c r="I6301" s="50" t="s">
        <v>289</v>
      </c>
      <c r="J6301" s="51">
        <v>45904</v>
      </c>
      <c r="K6301" s="50" t="s">
        <v>3</v>
      </c>
      <c r="L6301" s="50" t="s">
        <v>80</v>
      </c>
    </row>
    <row r="6302" spans="2:12">
      <c r="B6302" s="50" t="s">
        <v>483</v>
      </c>
      <c r="C6302" s="50" t="s">
        <v>62</v>
      </c>
      <c r="D6302" s="50" t="s">
        <v>27</v>
      </c>
      <c r="E6302" s="50">
        <v>50029865</v>
      </c>
      <c r="F6302" s="50" t="s">
        <v>162</v>
      </c>
      <c r="G6302" s="50">
        <v>1</v>
      </c>
      <c r="H6302" s="50" t="s">
        <v>2</v>
      </c>
      <c r="I6302" s="50" t="s">
        <v>291</v>
      </c>
      <c r="J6302" s="51">
        <v>45904</v>
      </c>
      <c r="K6302" s="50" t="s">
        <v>1</v>
      </c>
      <c r="L6302" s="50" t="s">
        <v>80</v>
      </c>
    </row>
    <row r="6303" spans="2:12">
      <c r="B6303" s="50" t="e">
        <v>#N/A</v>
      </c>
      <c r="C6303" s="50" t="s">
        <v>56</v>
      </c>
      <c r="D6303" s="50" t="s">
        <v>27</v>
      </c>
      <c r="E6303" s="50">
        <v>50036299</v>
      </c>
      <c r="F6303" s="50" t="s">
        <v>163</v>
      </c>
      <c r="G6303" s="50">
        <v>1</v>
      </c>
      <c r="H6303" s="50" t="s">
        <v>2</v>
      </c>
      <c r="I6303" s="50" t="s">
        <v>291</v>
      </c>
      <c r="J6303" s="51">
        <v>45904</v>
      </c>
      <c r="K6303" s="50" t="s">
        <v>3</v>
      </c>
      <c r="L6303" s="50" t="s">
        <v>80</v>
      </c>
    </row>
    <row r="6304" spans="2:12">
      <c r="B6304" s="50" t="e">
        <v>#N/A</v>
      </c>
      <c r="C6304" s="50" t="s">
        <v>56</v>
      </c>
      <c r="D6304" s="50" t="s">
        <v>27</v>
      </c>
      <c r="E6304" s="50">
        <v>50036299</v>
      </c>
      <c r="F6304" s="50" t="s">
        <v>163</v>
      </c>
      <c r="G6304" s="50">
        <v>1</v>
      </c>
      <c r="H6304" s="50" t="s">
        <v>2</v>
      </c>
      <c r="I6304" s="50" t="s">
        <v>291</v>
      </c>
      <c r="J6304" s="51">
        <v>45904</v>
      </c>
      <c r="K6304" s="50" t="s">
        <v>1</v>
      </c>
      <c r="L6304" s="50" t="s">
        <v>80</v>
      </c>
    </row>
    <row r="6305" spans="2:12">
      <c r="B6305" s="50" t="e">
        <v>#N/A</v>
      </c>
      <c r="C6305" s="50" t="s">
        <v>56</v>
      </c>
      <c r="D6305" s="50" t="s">
        <v>27</v>
      </c>
      <c r="E6305" s="50">
        <v>50043320</v>
      </c>
      <c r="F6305" s="50" t="s">
        <v>264</v>
      </c>
      <c r="G6305" s="50">
        <v>1</v>
      </c>
      <c r="H6305" s="50" t="s">
        <v>2</v>
      </c>
      <c r="I6305" s="50" t="s">
        <v>289</v>
      </c>
      <c r="J6305" s="51">
        <v>45904</v>
      </c>
      <c r="K6305" s="50" t="s">
        <v>3</v>
      </c>
      <c r="L6305" s="50" t="s">
        <v>80</v>
      </c>
    </row>
    <row r="6306" spans="2:12">
      <c r="B6306" s="50" t="e">
        <v>#N/A</v>
      </c>
      <c r="C6306" s="50" t="s">
        <v>56</v>
      </c>
      <c r="D6306" s="50" t="s">
        <v>27</v>
      </c>
      <c r="E6306" s="50">
        <v>50043320</v>
      </c>
      <c r="F6306" s="50" t="s">
        <v>264</v>
      </c>
      <c r="G6306" s="50">
        <v>1</v>
      </c>
      <c r="H6306" s="50" t="s">
        <v>2</v>
      </c>
      <c r="I6306" s="50" t="s">
        <v>291</v>
      </c>
      <c r="J6306" s="51">
        <v>45904</v>
      </c>
      <c r="K6306" s="50" t="s">
        <v>1</v>
      </c>
      <c r="L6306" s="50" t="s">
        <v>80</v>
      </c>
    </row>
    <row r="6307" spans="2:12">
      <c r="B6307" s="50" t="s">
        <v>427</v>
      </c>
      <c r="C6307" s="50" t="s">
        <v>26</v>
      </c>
      <c r="D6307" s="50" t="s">
        <v>27</v>
      </c>
      <c r="E6307" s="50">
        <v>50022878</v>
      </c>
      <c r="F6307" s="50" t="s">
        <v>296</v>
      </c>
      <c r="G6307" s="50">
        <v>1</v>
      </c>
      <c r="H6307" s="50" t="s">
        <v>2</v>
      </c>
      <c r="I6307" s="50" t="s">
        <v>292</v>
      </c>
      <c r="J6307" s="51">
        <v>45904</v>
      </c>
      <c r="K6307" s="50" t="s">
        <v>3</v>
      </c>
      <c r="L6307" s="50" t="s">
        <v>80</v>
      </c>
    </row>
    <row r="6308" spans="2:12">
      <c r="B6308" s="50" t="s">
        <v>427</v>
      </c>
      <c r="C6308" s="50" t="s">
        <v>26</v>
      </c>
      <c r="D6308" s="50" t="s">
        <v>27</v>
      </c>
      <c r="E6308" s="50">
        <v>50022878</v>
      </c>
      <c r="F6308" s="50" t="s">
        <v>296</v>
      </c>
      <c r="G6308" s="50">
        <v>1</v>
      </c>
      <c r="H6308" s="50" t="s">
        <v>2</v>
      </c>
      <c r="I6308" s="50" t="s">
        <v>290</v>
      </c>
      <c r="J6308" s="51">
        <v>45904</v>
      </c>
      <c r="K6308" s="50" t="s">
        <v>1</v>
      </c>
      <c r="L6308" s="50" t="s">
        <v>80</v>
      </c>
    </row>
    <row r="6309" spans="2:12">
      <c r="B6309" s="50" t="s">
        <v>478</v>
      </c>
      <c r="C6309" s="50" t="s">
        <v>51</v>
      </c>
      <c r="D6309" s="50" t="s">
        <v>27</v>
      </c>
      <c r="E6309" s="50">
        <v>50038956</v>
      </c>
      <c r="F6309" s="50" t="s">
        <v>177</v>
      </c>
      <c r="G6309" s="50">
        <v>1</v>
      </c>
      <c r="H6309" s="50" t="s">
        <v>2</v>
      </c>
      <c r="I6309" s="50" t="s">
        <v>292</v>
      </c>
      <c r="J6309" s="51">
        <v>45904</v>
      </c>
      <c r="K6309" s="50" t="s">
        <v>3</v>
      </c>
      <c r="L6309" s="50" t="s">
        <v>80</v>
      </c>
    </row>
    <row r="6310" spans="2:12">
      <c r="B6310" s="50" t="s">
        <v>478</v>
      </c>
      <c r="C6310" s="50" t="s">
        <v>51</v>
      </c>
      <c r="D6310" s="50" t="s">
        <v>27</v>
      </c>
      <c r="E6310" s="50">
        <v>50038956</v>
      </c>
      <c r="F6310" s="50" t="s">
        <v>177</v>
      </c>
      <c r="G6310" s="50">
        <v>1</v>
      </c>
      <c r="H6310" s="50" t="s">
        <v>2</v>
      </c>
      <c r="I6310" s="50" t="s">
        <v>292</v>
      </c>
      <c r="J6310" s="51">
        <v>45904</v>
      </c>
      <c r="K6310" s="50" t="s">
        <v>3</v>
      </c>
      <c r="L6310" s="50" t="s">
        <v>80</v>
      </c>
    </row>
    <row r="6311" spans="2:12">
      <c r="B6311" s="50" t="s">
        <v>483</v>
      </c>
      <c r="C6311" s="50" t="s">
        <v>62</v>
      </c>
      <c r="D6311" s="50" t="s">
        <v>27</v>
      </c>
      <c r="E6311" s="50">
        <v>50037892</v>
      </c>
      <c r="F6311" s="50" t="s">
        <v>178</v>
      </c>
      <c r="G6311" s="50">
        <v>1</v>
      </c>
      <c r="H6311" s="50" t="s">
        <v>2</v>
      </c>
      <c r="I6311" s="50" t="s">
        <v>289</v>
      </c>
      <c r="J6311" s="51">
        <v>45904</v>
      </c>
      <c r="K6311" s="50" t="s">
        <v>1</v>
      </c>
      <c r="L6311" s="50" t="s">
        <v>80</v>
      </c>
    </row>
    <row r="6312" spans="2:12">
      <c r="B6312" s="50" t="s">
        <v>483</v>
      </c>
      <c r="C6312" s="50" t="s">
        <v>62</v>
      </c>
      <c r="D6312" s="50" t="s">
        <v>27</v>
      </c>
      <c r="E6312" s="50">
        <v>50037892</v>
      </c>
      <c r="F6312" s="50" t="s">
        <v>178</v>
      </c>
      <c r="G6312" s="50">
        <v>1</v>
      </c>
      <c r="H6312" s="50" t="s">
        <v>2</v>
      </c>
      <c r="I6312" s="50" t="s">
        <v>291</v>
      </c>
      <c r="J6312" s="51">
        <v>45904</v>
      </c>
      <c r="K6312" s="50" t="s">
        <v>3</v>
      </c>
      <c r="L6312" s="50" t="s">
        <v>303</v>
      </c>
    </row>
    <row r="6313" spans="2:12">
      <c r="B6313" s="50" t="s">
        <v>410</v>
      </c>
      <c r="C6313" s="50" t="s">
        <v>51</v>
      </c>
      <c r="D6313" s="50" t="s">
        <v>27</v>
      </c>
      <c r="E6313" s="50">
        <v>50038841</v>
      </c>
      <c r="F6313" s="50" t="s">
        <v>180</v>
      </c>
      <c r="G6313" s="50">
        <v>1</v>
      </c>
      <c r="H6313" s="50" t="s">
        <v>2</v>
      </c>
      <c r="I6313" s="50" t="s">
        <v>291</v>
      </c>
      <c r="J6313" s="51">
        <v>45904</v>
      </c>
      <c r="K6313" s="50" t="s">
        <v>1</v>
      </c>
      <c r="L6313" s="50" t="s">
        <v>80</v>
      </c>
    </row>
    <row r="6314" spans="2:12">
      <c r="B6314" s="50" t="s">
        <v>410</v>
      </c>
      <c r="C6314" s="50" t="s">
        <v>51</v>
      </c>
      <c r="D6314" s="50" t="s">
        <v>27</v>
      </c>
      <c r="E6314" s="50">
        <v>50038841</v>
      </c>
      <c r="F6314" s="50" t="s">
        <v>180</v>
      </c>
      <c r="G6314" s="50">
        <v>1</v>
      </c>
      <c r="H6314" s="50" t="s">
        <v>2</v>
      </c>
      <c r="I6314" s="50" t="s">
        <v>291</v>
      </c>
      <c r="J6314" s="51">
        <v>45904</v>
      </c>
      <c r="K6314" s="50" t="s">
        <v>3</v>
      </c>
      <c r="L6314" s="50" t="s">
        <v>80</v>
      </c>
    </row>
    <row r="6315" spans="2:12">
      <c r="B6315" s="50" t="s">
        <v>411</v>
      </c>
      <c r="C6315" s="50" t="s">
        <v>26</v>
      </c>
      <c r="D6315" s="50" t="s">
        <v>27</v>
      </c>
      <c r="E6315" s="50">
        <v>50041195</v>
      </c>
      <c r="F6315" s="50" t="s">
        <v>206</v>
      </c>
      <c r="G6315" s="50">
        <v>1</v>
      </c>
      <c r="H6315" s="50" t="s">
        <v>2</v>
      </c>
      <c r="I6315" s="50" t="s">
        <v>289</v>
      </c>
      <c r="J6315" s="51">
        <v>45904</v>
      </c>
      <c r="K6315" s="50" t="s">
        <v>1</v>
      </c>
      <c r="L6315" s="50" t="s">
        <v>80</v>
      </c>
    </row>
    <row r="6316" spans="2:12">
      <c r="B6316" s="50" t="s">
        <v>411</v>
      </c>
      <c r="C6316" s="50" t="s">
        <v>26</v>
      </c>
      <c r="D6316" s="50">
        <v>0</v>
      </c>
      <c r="E6316" s="50">
        <v>50041195</v>
      </c>
      <c r="F6316" s="50" t="s">
        <v>206</v>
      </c>
      <c r="G6316" s="50">
        <v>1</v>
      </c>
      <c r="H6316" s="50" t="s">
        <v>2</v>
      </c>
      <c r="I6316" s="50" t="s">
        <v>287</v>
      </c>
      <c r="J6316" s="51">
        <v>45904</v>
      </c>
      <c r="K6316" s="50" t="s">
        <v>3</v>
      </c>
      <c r="L6316" s="50" t="s">
        <v>80</v>
      </c>
    </row>
    <row r="6317" spans="2:12">
      <c r="B6317" s="50" t="s">
        <v>277</v>
      </c>
      <c r="C6317" s="50" t="s">
        <v>62</v>
      </c>
      <c r="D6317" s="50" t="s">
        <v>27</v>
      </c>
      <c r="E6317" s="50">
        <v>50043917</v>
      </c>
      <c r="F6317" s="50" t="s">
        <v>262</v>
      </c>
      <c r="G6317" s="50">
        <v>1</v>
      </c>
      <c r="H6317" s="50" t="s">
        <v>2</v>
      </c>
      <c r="I6317" s="50" t="s">
        <v>289</v>
      </c>
      <c r="J6317" s="51">
        <v>45904</v>
      </c>
      <c r="K6317" s="50" t="s">
        <v>1</v>
      </c>
      <c r="L6317" s="50" t="s">
        <v>80</v>
      </c>
    </row>
    <row r="6318" spans="2:12">
      <c r="B6318" s="50" t="s">
        <v>277</v>
      </c>
      <c r="C6318" s="50" t="s">
        <v>62</v>
      </c>
      <c r="D6318" s="50" t="s">
        <v>27</v>
      </c>
      <c r="E6318" s="50">
        <v>50043917</v>
      </c>
      <c r="F6318" s="50" t="s">
        <v>262</v>
      </c>
      <c r="G6318" s="50">
        <v>1</v>
      </c>
      <c r="H6318" s="50" t="s">
        <v>2</v>
      </c>
      <c r="I6318" s="50" t="s">
        <v>291</v>
      </c>
      <c r="J6318" s="51">
        <v>45904</v>
      </c>
      <c r="K6318" s="50" t="s">
        <v>1</v>
      </c>
      <c r="L6318" s="50" t="s">
        <v>80</v>
      </c>
    </row>
    <row r="6319" spans="2:12">
      <c r="B6319" s="50" t="s">
        <v>471</v>
      </c>
      <c r="C6319" s="50" t="s">
        <v>26</v>
      </c>
      <c r="D6319" s="50" t="s">
        <v>27</v>
      </c>
      <c r="E6319" s="50">
        <v>50004486</v>
      </c>
      <c r="F6319" s="50" t="s">
        <v>221</v>
      </c>
      <c r="G6319" s="50">
        <v>1</v>
      </c>
      <c r="H6319" s="50" t="s">
        <v>2</v>
      </c>
      <c r="I6319" s="50" t="s">
        <v>289</v>
      </c>
      <c r="J6319" s="51">
        <v>45904</v>
      </c>
      <c r="K6319" s="50" t="s">
        <v>3</v>
      </c>
      <c r="L6319" s="50" t="s">
        <v>80</v>
      </c>
    </row>
    <row r="6320" spans="2:12">
      <c r="B6320" s="50" t="s">
        <v>471</v>
      </c>
      <c r="C6320" s="50" t="s">
        <v>26</v>
      </c>
      <c r="D6320" s="50" t="s">
        <v>27</v>
      </c>
      <c r="E6320" s="50">
        <v>50004486</v>
      </c>
      <c r="F6320" s="50" t="s">
        <v>221</v>
      </c>
      <c r="G6320" s="50">
        <v>1</v>
      </c>
      <c r="H6320" s="50" t="s">
        <v>2</v>
      </c>
      <c r="I6320" s="50" t="s">
        <v>292</v>
      </c>
      <c r="J6320" s="51">
        <v>45904</v>
      </c>
      <c r="K6320" s="50" t="s">
        <v>1</v>
      </c>
      <c r="L6320" s="50" t="s">
        <v>80</v>
      </c>
    </row>
    <row r="6321" spans="2:12">
      <c r="B6321" s="50" t="s">
        <v>478</v>
      </c>
      <c r="C6321" s="50" t="s">
        <v>51</v>
      </c>
      <c r="D6321" s="50" t="s">
        <v>27</v>
      </c>
      <c r="E6321" s="50">
        <v>50004486</v>
      </c>
      <c r="F6321" s="50" t="s">
        <v>221</v>
      </c>
      <c r="G6321" s="50">
        <v>1</v>
      </c>
      <c r="H6321" s="50" t="s">
        <v>2</v>
      </c>
      <c r="I6321" s="50" t="s">
        <v>290</v>
      </c>
      <c r="J6321" s="51">
        <v>45904</v>
      </c>
      <c r="K6321" s="50" t="s">
        <v>3</v>
      </c>
      <c r="L6321" s="50" t="s">
        <v>80</v>
      </c>
    </row>
    <row r="6322" spans="2:12">
      <c r="B6322" s="50" t="s">
        <v>478</v>
      </c>
      <c r="C6322" s="50" t="s">
        <v>51</v>
      </c>
      <c r="D6322" s="50" t="s">
        <v>27</v>
      </c>
      <c r="E6322" s="50">
        <v>50004486</v>
      </c>
      <c r="F6322" s="50" t="s">
        <v>221</v>
      </c>
      <c r="G6322" s="50">
        <v>1</v>
      </c>
      <c r="H6322" s="50" t="s">
        <v>4</v>
      </c>
      <c r="I6322" s="50" t="s">
        <v>290</v>
      </c>
      <c r="J6322" s="51">
        <v>45904</v>
      </c>
      <c r="K6322" s="50" t="s">
        <v>1</v>
      </c>
      <c r="L6322" s="50" t="s">
        <v>80</v>
      </c>
    </row>
    <row r="6323" spans="2:12">
      <c r="B6323" s="50" t="s">
        <v>345</v>
      </c>
      <c r="C6323" s="50" t="s">
        <v>62</v>
      </c>
      <c r="D6323" s="50" t="s">
        <v>27</v>
      </c>
      <c r="E6323" s="50">
        <v>50028220</v>
      </c>
      <c r="F6323" s="50" t="s">
        <v>242</v>
      </c>
      <c r="G6323" s="50">
        <v>1</v>
      </c>
      <c r="H6323" s="50" t="s">
        <v>2</v>
      </c>
      <c r="I6323" s="50" t="s">
        <v>289</v>
      </c>
      <c r="J6323" s="51">
        <v>45904</v>
      </c>
      <c r="K6323" s="50" t="s">
        <v>3</v>
      </c>
      <c r="L6323" s="50" t="s">
        <v>80</v>
      </c>
    </row>
    <row r="6324" spans="2:12">
      <c r="B6324" s="50" t="s">
        <v>345</v>
      </c>
      <c r="C6324" s="50" t="s">
        <v>62</v>
      </c>
      <c r="D6324" s="50" t="s">
        <v>27</v>
      </c>
      <c r="E6324" s="50">
        <v>50028220</v>
      </c>
      <c r="F6324" s="50" t="s">
        <v>242</v>
      </c>
      <c r="G6324" s="50">
        <v>1</v>
      </c>
      <c r="H6324" s="50" t="s">
        <v>2</v>
      </c>
      <c r="I6324" s="50" t="s">
        <v>292</v>
      </c>
      <c r="J6324" s="51">
        <v>45904</v>
      </c>
      <c r="K6324" s="50" t="s">
        <v>3</v>
      </c>
      <c r="L6324" s="50" t="s">
        <v>80</v>
      </c>
    </row>
    <row r="6325" spans="2:12">
      <c r="B6325" s="50" t="s">
        <v>427</v>
      </c>
      <c r="C6325" s="50" t="s">
        <v>26</v>
      </c>
      <c r="D6325" s="50" t="s">
        <v>27</v>
      </c>
      <c r="E6325" s="50">
        <v>50010031</v>
      </c>
      <c r="F6325" s="50" t="s">
        <v>89</v>
      </c>
      <c r="G6325" s="50">
        <v>1</v>
      </c>
      <c r="H6325" s="50" t="s">
        <v>2</v>
      </c>
      <c r="I6325" s="50" t="s">
        <v>291</v>
      </c>
      <c r="J6325" s="51">
        <v>45903</v>
      </c>
      <c r="K6325" s="50" t="s">
        <v>1</v>
      </c>
      <c r="L6325" s="50" t="s">
        <v>80</v>
      </c>
    </row>
    <row r="6326" spans="2:12">
      <c r="B6326" s="50" t="s">
        <v>427</v>
      </c>
      <c r="C6326" s="50" t="s">
        <v>26</v>
      </c>
      <c r="D6326" s="50" t="s">
        <v>27</v>
      </c>
      <c r="E6326" s="50">
        <v>50010031</v>
      </c>
      <c r="F6326" s="50" t="s">
        <v>89</v>
      </c>
      <c r="G6326" s="50">
        <v>1</v>
      </c>
      <c r="H6326" s="50" t="s">
        <v>2</v>
      </c>
      <c r="I6326" s="50" t="s">
        <v>291</v>
      </c>
      <c r="J6326" s="51">
        <v>45903</v>
      </c>
      <c r="K6326" s="50" t="s">
        <v>1</v>
      </c>
      <c r="L6326" s="50" t="s">
        <v>80</v>
      </c>
    </row>
    <row r="6327" spans="2:12">
      <c r="B6327" s="50" t="s">
        <v>389</v>
      </c>
      <c r="C6327" s="50" t="s">
        <v>56</v>
      </c>
      <c r="D6327" s="50" t="s">
        <v>27</v>
      </c>
      <c r="E6327" s="50">
        <v>50002644</v>
      </c>
      <c r="F6327" s="50" t="s">
        <v>91</v>
      </c>
      <c r="G6327" s="50">
        <v>1</v>
      </c>
      <c r="H6327" s="50" t="s">
        <v>2</v>
      </c>
      <c r="I6327" s="50" t="s">
        <v>291</v>
      </c>
      <c r="J6327" s="51">
        <v>45903</v>
      </c>
      <c r="K6327" s="50" t="s">
        <v>3</v>
      </c>
      <c r="L6327" s="50" t="s">
        <v>80</v>
      </c>
    </row>
    <row r="6328" spans="2:12">
      <c r="B6328" s="50" t="s">
        <v>389</v>
      </c>
      <c r="C6328" s="50" t="s">
        <v>56</v>
      </c>
      <c r="D6328" s="50" t="s">
        <v>27</v>
      </c>
      <c r="E6328" s="50">
        <v>50002644</v>
      </c>
      <c r="F6328" s="50" t="s">
        <v>91</v>
      </c>
      <c r="G6328" s="50">
        <v>1</v>
      </c>
      <c r="H6328" s="50" t="s">
        <v>2</v>
      </c>
      <c r="I6328" s="50" t="s">
        <v>291</v>
      </c>
      <c r="J6328" s="51">
        <v>45903</v>
      </c>
      <c r="K6328" s="50" t="s">
        <v>1</v>
      </c>
      <c r="L6328" s="50" t="s">
        <v>80</v>
      </c>
    </row>
    <row r="6329" spans="2:12">
      <c r="B6329" s="50" t="s">
        <v>25</v>
      </c>
      <c r="C6329" s="50" t="s">
        <v>26</v>
      </c>
      <c r="D6329" s="50" t="s">
        <v>27</v>
      </c>
      <c r="E6329" s="50">
        <v>50038854</v>
      </c>
      <c r="F6329" s="50" t="s">
        <v>101</v>
      </c>
      <c r="G6329" s="50">
        <v>1</v>
      </c>
      <c r="H6329" s="50" t="s">
        <v>2</v>
      </c>
      <c r="I6329" s="50" t="s">
        <v>293</v>
      </c>
      <c r="J6329" s="51">
        <v>45903</v>
      </c>
      <c r="K6329" s="50" t="s">
        <v>3</v>
      </c>
      <c r="L6329" s="50" t="s">
        <v>80</v>
      </c>
    </row>
    <row r="6330" spans="2:12">
      <c r="B6330" s="50" t="s">
        <v>25</v>
      </c>
      <c r="C6330" s="50" t="s">
        <v>26</v>
      </c>
      <c r="D6330" s="50" t="s">
        <v>27</v>
      </c>
      <c r="E6330" s="50">
        <v>50038854</v>
      </c>
      <c r="F6330" s="50" t="s">
        <v>101</v>
      </c>
      <c r="G6330" s="50">
        <v>1</v>
      </c>
      <c r="H6330" s="50" t="s">
        <v>2</v>
      </c>
      <c r="I6330" s="50" t="s">
        <v>292</v>
      </c>
      <c r="J6330" s="51">
        <v>45903</v>
      </c>
      <c r="K6330" s="50" t="s">
        <v>1</v>
      </c>
      <c r="L6330" s="50" t="s">
        <v>80</v>
      </c>
    </row>
    <row r="6331" spans="2:12">
      <c r="B6331" s="50" t="s">
        <v>316</v>
      </c>
      <c r="C6331" s="50" t="s">
        <v>51</v>
      </c>
      <c r="D6331" s="50" t="s">
        <v>27</v>
      </c>
      <c r="E6331" s="50">
        <v>50039236</v>
      </c>
      <c r="F6331" s="50" t="s">
        <v>154</v>
      </c>
      <c r="G6331" s="50">
        <v>1</v>
      </c>
      <c r="H6331" s="50" t="s">
        <v>2</v>
      </c>
      <c r="I6331" s="50" t="s">
        <v>293</v>
      </c>
      <c r="J6331" s="51">
        <v>45903</v>
      </c>
      <c r="K6331" s="50" t="s">
        <v>3</v>
      </c>
      <c r="L6331" s="50" t="s">
        <v>80</v>
      </c>
    </row>
    <row r="6332" spans="2:12">
      <c r="B6332" s="50" t="s">
        <v>316</v>
      </c>
      <c r="C6332" s="50" t="s">
        <v>51</v>
      </c>
      <c r="D6332" s="50" t="s">
        <v>27</v>
      </c>
      <c r="E6332" s="50">
        <v>50039236</v>
      </c>
      <c r="F6332" s="50" t="s">
        <v>154</v>
      </c>
      <c r="G6332" s="50">
        <v>1</v>
      </c>
      <c r="H6332" s="50" t="s">
        <v>2</v>
      </c>
      <c r="I6332" s="50" t="s">
        <v>293</v>
      </c>
      <c r="J6332" s="51">
        <v>45903</v>
      </c>
      <c r="K6332" s="50" t="s">
        <v>1</v>
      </c>
      <c r="L6332" s="50" t="s">
        <v>80</v>
      </c>
    </row>
    <row r="6333" spans="2:12">
      <c r="B6333" s="50" t="s">
        <v>444</v>
      </c>
      <c r="C6333" s="50" t="s">
        <v>51</v>
      </c>
      <c r="D6333" s="50" t="s">
        <v>27</v>
      </c>
      <c r="E6333" s="50">
        <v>50039236</v>
      </c>
      <c r="F6333" s="50" t="s">
        <v>154</v>
      </c>
      <c r="G6333" s="50">
        <v>1</v>
      </c>
      <c r="H6333" s="50" t="s">
        <v>2</v>
      </c>
      <c r="I6333" s="50" t="s">
        <v>292</v>
      </c>
      <c r="J6333" s="51">
        <v>45903</v>
      </c>
      <c r="K6333" s="50" t="s">
        <v>3</v>
      </c>
      <c r="L6333" s="50" t="s">
        <v>80</v>
      </c>
    </row>
    <row r="6334" spans="2:12">
      <c r="B6334" s="50" t="s">
        <v>444</v>
      </c>
      <c r="C6334" s="50" t="s">
        <v>51</v>
      </c>
      <c r="D6334" s="50" t="s">
        <v>27</v>
      </c>
      <c r="E6334" s="50">
        <v>50039236</v>
      </c>
      <c r="F6334" s="50" t="s">
        <v>154</v>
      </c>
      <c r="G6334" s="50">
        <v>1</v>
      </c>
      <c r="H6334" s="50" t="s">
        <v>2</v>
      </c>
      <c r="I6334" s="50" t="s">
        <v>287</v>
      </c>
      <c r="J6334" s="51">
        <v>45903</v>
      </c>
      <c r="K6334" s="50" t="s">
        <v>1</v>
      </c>
      <c r="L6334" s="50" t="s">
        <v>80</v>
      </c>
    </row>
    <row r="6335" spans="2:12">
      <c r="B6335" s="50" t="s">
        <v>466</v>
      </c>
      <c r="C6335" s="50" t="s">
        <v>62</v>
      </c>
      <c r="D6335" s="50" t="s">
        <v>27</v>
      </c>
      <c r="E6335" s="50">
        <v>50039236</v>
      </c>
      <c r="F6335" s="50" t="s">
        <v>154</v>
      </c>
      <c r="G6335" s="50">
        <v>1</v>
      </c>
      <c r="H6335" s="50" t="s">
        <v>2</v>
      </c>
      <c r="I6335" s="50" t="s">
        <v>291</v>
      </c>
      <c r="J6335" s="51">
        <v>45903</v>
      </c>
      <c r="K6335" s="50" t="s">
        <v>3</v>
      </c>
      <c r="L6335" s="50" t="s">
        <v>80</v>
      </c>
    </row>
    <row r="6336" spans="2:12">
      <c r="B6336" s="50" t="s">
        <v>466</v>
      </c>
      <c r="C6336" s="50" t="s">
        <v>62</v>
      </c>
      <c r="D6336" s="50" t="s">
        <v>27</v>
      </c>
      <c r="E6336" s="50">
        <v>50039236</v>
      </c>
      <c r="F6336" s="50" t="s">
        <v>154</v>
      </c>
      <c r="G6336" s="50">
        <v>1</v>
      </c>
      <c r="H6336" s="50" t="s">
        <v>2</v>
      </c>
      <c r="I6336" s="50" t="s">
        <v>291</v>
      </c>
      <c r="J6336" s="51">
        <v>45903</v>
      </c>
      <c r="K6336" s="50" t="s">
        <v>1</v>
      </c>
      <c r="L6336" s="50" t="s">
        <v>80</v>
      </c>
    </row>
    <row r="6337" spans="2:12">
      <c r="B6337" s="50" t="s">
        <v>316</v>
      </c>
      <c r="C6337" s="50" t="s">
        <v>51</v>
      </c>
      <c r="D6337" s="50" t="s">
        <v>27</v>
      </c>
      <c r="E6337" s="50">
        <v>50043471</v>
      </c>
      <c r="F6337" s="50" t="s">
        <v>257</v>
      </c>
      <c r="G6337" s="50">
        <v>1</v>
      </c>
      <c r="H6337" s="50" t="s">
        <v>2</v>
      </c>
      <c r="I6337" s="50" t="s">
        <v>291</v>
      </c>
      <c r="J6337" s="51">
        <v>45903</v>
      </c>
      <c r="K6337" s="50" t="s">
        <v>3</v>
      </c>
      <c r="L6337" s="50" t="s">
        <v>80</v>
      </c>
    </row>
    <row r="6338" spans="2:12">
      <c r="B6338" s="50" t="s">
        <v>316</v>
      </c>
      <c r="C6338" s="50" t="s">
        <v>51</v>
      </c>
      <c r="D6338" s="50" t="s">
        <v>27</v>
      </c>
      <c r="E6338" s="50">
        <v>50043471</v>
      </c>
      <c r="F6338" s="50" t="s">
        <v>257</v>
      </c>
      <c r="G6338" s="50">
        <v>1</v>
      </c>
      <c r="H6338" s="50" t="s">
        <v>2</v>
      </c>
      <c r="I6338" s="50" t="s">
        <v>291</v>
      </c>
      <c r="J6338" s="51">
        <v>45903</v>
      </c>
      <c r="K6338" s="50" t="s">
        <v>1</v>
      </c>
      <c r="L6338" s="50" t="s">
        <v>80</v>
      </c>
    </row>
    <row r="6339" spans="2:12">
      <c r="B6339" s="50" t="s">
        <v>466</v>
      </c>
      <c r="C6339" s="50" t="s">
        <v>62</v>
      </c>
      <c r="D6339" s="50" t="s">
        <v>27</v>
      </c>
      <c r="E6339" s="50">
        <v>50029865</v>
      </c>
      <c r="F6339" s="50" t="s">
        <v>162</v>
      </c>
      <c r="G6339" s="50">
        <v>1</v>
      </c>
      <c r="H6339" s="50" t="s">
        <v>2</v>
      </c>
      <c r="I6339" s="50" t="s">
        <v>291</v>
      </c>
      <c r="J6339" s="51">
        <v>45903</v>
      </c>
      <c r="K6339" s="50" t="s">
        <v>3</v>
      </c>
      <c r="L6339" s="50" t="s">
        <v>80</v>
      </c>
    </row>
    <row r="6340" spans="2:12">
      <c r="B6340" s="50" t="s">
        <v>466</v>
      </c>
      <c r="C6340" s="50" t="s">
        <v>62</v>
      </c>
      <c r="D6340" s="50" t="s">
        <v>27</v>
      </c>
      <c r="E6340" s="50">
        <v>50029865</v>
      </c>
      <c r="F6340" s="50" t="s">
        <v>162</v>
      </c>
      <c r="G6340" s="50">
        <v>1</v>
      </c>
      <c r="H6340" s="50" t="s">
        <v>2</v>
      </c>
      <c r="I6340" s="50" t="s">
        <v>291</v>
      </c>
      <c r="J6340" s="51">
        <v>45903</v>
      </c>
      <c r="K6340" s="50" t="s">
        <v>1</v>
      </c>
      <c r="L6340" s="50" t="s">
        <v>80</v>
      </c>
    </row>
    <row r="6341" spans="2:12">
      <c r="B6341" s="50" t="s">
        <v>412</v>
      </c>
      <c r="C6341" s="50" t="s">
        <v>51</v>
      </c>
      <c r="D6341" s="50" t="s">
        <v>41</v>
      </c>
      <c r="E6341" s="50">
        <v>50038956</v>
      </c>
      <c r="F6341" s="50" t="s">
        <v>177</v>
      </c>
      <c r="G6341" s="50">
        <v>1</v>
      </c>
      <c r="H6341" s="50" t="s">
        <v>2</v>
      </c>
      <c r="I6341" s="50" t="s">
        <v>292</v>
      </c>
      <c r="J6341" s="51">
        <v>45903</v>
      </c>
      <c r="K6341" s="50" t="s">
        <v>3</v>
      </c>
      <c r="L6341" s="50" t="s">
        <v>80</v>
      </c>
    </row>
    <row r="6342" spans="2:12">
      <c r="B6342" s="50" t="s">
        <v>412</v>
      </c>
      <c r="C6342" s="50" t="s">
        <v>51</v>
      </c>
      <c r="D6342" s="50" t="s">
        <v>41</v>
      </c>
      <c r="E6342" s="50">
        <v>50038956</v>
      </c>
      <c r="F6342" s="50" t="s">
        <v>177</v>
      </c>
      <c r="G6342" s="50">
        <v>1</v>
      </c>
      <c r="H6342" s="50" t="s">
        <v>2</v>
      </c>
      <c r="I6342" s="50" t="s">
        <v>287</v>
      </c>
      <c r="J6342" s="51">
        <v>45903</v>
      </c>
      <c r="K6342" s="50" t="s">
        <v>1</v>
      </c>
      <c r="L6342" s="50" t="s">
        <v>80</v>
      </c>
    </row>
    <row r="6343" spans="2:12">
      <c r="B6343" s="50" t="s">
        <v>466</v>
      </c>
      <c r="C6343" s="50" t="s">
        <v>62</v>
      </c>
      <c r="D6343" s="50" t="s">
        <v>27</v>
      </c>
      <c r="E6343" s="50">
        <v>50038956</v>
      </c>
      <c r="F6343" s="50" t="s">
        <v>177</v>
      </c>
      <c r="G6343" s="50">
        <v>1</v>
      </c>
      <c r="H6343" s="50" t="s">
        <v>2</v>
      </c>
      <c r="I6343" s="50" t="s">
        <v>291</v>
      </c>
      <c r="J6343" s="51">
        <v>45903</v>
      </c>
      <c r="K6343" s="50" t="s">
        <v>3</v>
      </c>
      <c r="L6343" s="50" t="s">
        <v>80</v>
      </c>
    </row>
    <row r="6344" spans="2:12">
      <c r="B6344" s="50" t="s">
        <v>466</v>
      </c>
      <c r="C6344" s="50" t="s">
        <v>62</v>
      </c>
      <c r="D6344" s="50" t="s">
        <v>27</v>
      </c>
      <c r="E6344" s="50">
        <v>50038956</v>
      </c>
      <c r="F6344" s="50" t="s">
        <v>177</v>
      </c>
      <c r="G6344" s="50">
        <v>1</v>
      </c>
      <c r="H6344" s="50" t="s">
        <v>2</v>
      </c>
      <c r="I6344" s="50" t="s">
        <v>291</v>
      </c>
      <c r="J6344" s="51">
        <v>45903</v>
      </c>
      <c r="K6344" s="50" t="s">
        <v>3</v>
      </c>
      <c r="L6344" s="50" t="s">
        <v>80</v>
      </c>
    </row>
    <row r="6345" spans="2:12">
      <c r="B6345" s="50" t="s">
        <v>478</v>
      </c>
      <c r="C6345" s="50" t="s">
        <v>51</v>
      </c>
      <c r="D6345" s="50" t="s">
        <v>27</v>
      </c>
      <c r="E6345" s="50">
        <v>50037892</v>
      </c>
      <c r="F6345" s="50" t="s">
        <v>178</v>
      </c>
      <c r="G6345" s="50">
        <v>1</v>
      </c>
      <c r="H6345" s="50" t="s">
        <v>2</v>
      </c>
      <c r="I6345" s="50" t="s">
        <v>293</v>
      </c>
      <c r="J6345" s="51">
        <v>45903</v>
      </c>
      <c r="K6345" s="50" t="s">
        <v>1</v>
      </c>
      <c r="L6345" s="50" t="s">
        <v>80</v>
      </c>
    </row>
    <row r="6346" spans="2:12">
      <c r="B6346" s="50" t="s">
        <v>399</v>
      </c>
      <c r="C6346" s="50" t="s">
        <v>51</v>
      </c>
      <c r="D6346" s="50" t="s">
        <v>27</v>
      </c>
      <c r="E6346" s="50">
        <v>50037892</v>
      </c>
      <c r="F6346" s="50" t="s">
        <v>178</v>
      </c>
      <c r="G6346" s="50">
        <v>1</v>
      </c>
      <c r="H6346" s="50" t="s">
        <v>2</v>
      </c>
      <c r="I6346" s="50" t="s">
        <v>287</v>
      </c>
      <c r="J6346" s="51">
        <v>45903</v>
      </c>
      <c r="K6346" s="50" t="s">
        <v>1</v>
      </c>
      <c r="L6346" s="50" t="s">
        <v>80</v>
      </c>
    </row>
    <row r="6347" spans="2:12">
      <c r="B6347" s="50" t="s">
        <v>399</v>
      </c>
      <c r="C6347" s="50" t="s">
        <v>51</v>
      </c>
      <c r="D6347" s="50" t="s">
        <v>27</v>
      </c>
      <c r="E6347" s="50">
        <v>50037892</v>
      </c>
      <c r="F6347" s="50" t="s">
        <v>178</v>
      </c>
      <c r="G6347" s="50">
        <v>1</v>
      </c>
      <c r="H6347" s="50" t="s">
        <v>2</v>
      </c>
      <c r="I6347" s="50" t="s">
        <v>287</v>
      </c>
      <c r="J6347" s="51">
        <v>45903</v>
      </c>
      <c r="K6347" s="50" t="s">
        <v>3</v>
      </c>
      <c r="L6347" s="50" t="s">
        <v>80</v>
      </c>
    </row>
    <row r="6348" spans="2:12">
      <c r="B6348" s="50" t="s">
        <v>481</v>
      </c>
      <c r="C6348" s="50" t="s">
        <v>26</v>
      </c>
      <c r="D6348" s="50" t="s">
        <v>27</v>
      </c>
      <c r="E6348" s="50">
        <v>50038841</v>
      </c>
      <c r="F6348" s="50" t="s">
        <v>180</v>
      </c>
      <c r="G6348" s="50">
        <v>1</v>
      </c>
      <c r="H6348" s="50" t="s">
        <v>2</v>
      </c>
      <c r="I6348" s="50" t="s">
        <v>297</v>
      </c>
      <c r="J6348" s="51">
        <v>45903</v>
      </c>
      <c r="K6348" s="50" t="s">
        <v>1</v>
      </c>
      <c r="L6348" s="50" t="s">
        <v>80</v>
      </c>
    </row>
    <row r="6349" spans="2:12">
      <c r="B6349" s="50" t="s">
        <v>481</v>
      </c>
      <c r="C6349" s="50" t="s">
        <v>26</v>
      </c>
      <c r="D6349" s="50" t="s">
        <v>27</v>
      </c>
      <c r="E6349" s="50">
        <v>50038841</v>
      </c>
      <c r="F6349" s="50" t="s">
        <v>180</v>
      </c>
      <c r="G6349" s="50">
        <v>1</v>
      </c>
      <c r="H6349" s="50" t="s">
        <v>2</v>
      </c>
      <c r="I6349" s="50" t="s">
        <v>292</v>
      </c>
      <c r="J6349" s="51">
        <v>45903</v>
      </c>
      <c r="K6349" s="50" t="s">
        <v>1</v>
      </c>
      <c r="L6349" s="50" t="s">
        <v>80</v>
      </c>
    </row>
    <row r="6350" spans="2:12">
      <c r="B6350" s="50" t="s">
        <v>316</v>
      </c>
      <c r="C6350" s="50" t="s">
        <v>51</v>
      </c>
      <c r="D6350" s="50" t="s">
        <v>27</v>
      </c>
      <c r="E6350" s="50">
        <v>50038841</v>
      </c>
      <c r="F6350" s="50" t="s">
        <v>180</v>
      </c>
      <c r="G6350" s="50">
        <v>1</v>
      </c>
      <c r="H6350" s="50" t="s">
        <v>2</v>
      </c>
      <c r="I6350" s="50" t="s">
        <v>292</v>
      </c>
      <c r="J6350" s="51">
        <v>45903</v>
      </c>
      <c r="K6350" s="50" t="s">
        <v>1</v>
      </c>
      <c r="L6350" s="50" t="s">
        <v>80</v>
      </c>
    </row>
    <row r="6351" spans="2:12">
      <c r="B6351" s="50" t="s">
        <v>397</v>
      </c>
      <c r="C6351" s="50" t="s">
        <v>26</v>
      </c>
      <c r="D6351" s="50" t="s">
        <v>41</v>
      </c>
      <c r="E6351" s="50">
        <v>50001995</v>
      </c>
      <c r="F6351" s="50" t="s">
        <v>185</v>
      </c>
      <c r="G6351" s="50">
        <v>1</v>
      </c>
      <c r="H6351" s="50" t="s">
        <v>2</v>
      </c>
      <c r="I6351" s="50" t="s">
        <v>291</v>
      </c>
      <c r="J6351" s="51">
        <v>45903</v>
      </c>
      <c r="K6351" s="50" t="s">
        <v>3</v>
      </c>
      <c r="L6351" s="50" t="s">
        <v>80</v>
      </c>
    </row>
    <row r="6352" spans="2:12">
      <c r="B6352" s="50" t="s">
        <v>397</v>
      </c>
      <c r="C6352" s="50" t="s">
        <v>26</v>
      </c>
      <c r="D6352" s="50" t="s">
        <v>41</v>
      </c>
      <c r="E6352" s="50">
        <v>50001995</v>
      </c>
      <c r="F6352" s="50" t="s">
        <v>185</v>
      </c>
      <c r="G6352" s="50">
        <v>1</v>
      </c>
      <c r="H6352" s="50" t="s">
        <v>2</v>
      </c>
      <c r="I6352" s="50" t="s">
        <v>291</v>
      </c>
      <c r="J6352" s="51">
        <v>45903</v>
      </c>
      <c r="K6352" s="50" t="s">
        <v>1</v>
      </c>
      <c r="L6352" s="50" t="s">
        <v>80</v>
      </c>
    </row>
    <row r="6353" spans="2:12">
      <c r="B6353" s="50" t="s">
        <v>345</v>
      </c>
      <c r="C6353" s="50" t="s">
        <v>62</v>
      </c>
      <c r="D6353" s="50" t="s">
        <v>27</v>
      </c>
      <c r="E6353" s="50">
        <v>50001995</v>
      </c>
      <c r="F6353" s="50" t="s">
        <v>185</v>
      </c>
      <c r="G6353" s="50">
        <v>1</v>
      </c>
      <c r="H6353" s="50" t="s">
        <v>2</v>
      </c>
      <c r="I6353" s="50" t="s">
        <v>291</v>
      </c>
      <c r="J6353" s="51">
        <v>45903</v>
      </c>
      <c r="K6353" s="50" t="s">
        <v>3</v>
      </c>
      <c r="L6353" s="50" t="s">
        <v>80</v>
      </c>
    </row>
    <row r="6354" spans="2:12">
      <c r="B6354" s="50" t="s">
        <v>345</v>
      </c>
      <c r="C6354" s="50" t="s">
        <v>62</v>
      </c>
      <c r="D6354" s="50" t="s">
        <v>27</v>
      </c>
      <c r="E6354" s="50">
        <v>50001995</v>
      </c>
      <c r="F6354" s="50" t="s">
        <v>185</v>
      </c>
      <c r="G6354" s="50">
        <v>1</v>
      </c>
      <c r="H6354" s="50" t="s">
        <v>2</v>
      </c>
      <c r="I6354" s="50" t="s">
        <v>291</v>
      </c>
      <c r="J6354" s="51">
        <v>45903</v>
      </c>
      <c r="K6354" s="50" t="s">
        <v>3</v>
      </c>
      <c r="L6354" s="50" t="s">
        <v>80</v>
      </c>
    </row>
    <row r="6355" spans="2:12">
      <c r="B6355" s="50" t="s">
        <v>25</v>
      </c>
      <c r="C6355" s="50" t="s">
        <v>26</v>
      </c>
      <c r="D6355" s="50" t="s">
        <v>27</v>
      </c>
      <c r="E6355" s="50">
        <v>50041195</v>
      </c>
      <c r="F6355" s="50" t="s">
        <v>206</v>
      </c>
      <c r="G6355" s="50">
        <v>1</v>
      </c>
      <c r="H6355" s="50" t="s">
        <v>2</v>
      </c>
      <c r="I6355" s="50" t="s">
        <v>293</v>
      </c>
      <c r="J6355" s="51">
        <v>45903</v>
      </c>
      <c r="K6355" s="50" t="s">
        <v>1</v>
      </c>
      <c r="L6355" s="50" t="s">
        <v>80</v>
      </c>
    </row>
    <row r="6356" spans="2:12">
      <c r="B6356" s="50" t="s">
        <v>25</v>
      </c>
      <c r="C6356" s="50" t="s">
        <v>26</v>
      </c>
      <c r="D6356" s="50" t="s">
        <v>27</v>
      </c>
      <c r="E6356" s="50">
        <v>50041195</v>
      </c>
      <c r="F6356" s="50" t="s">
        <v>206</v>
      </c>
      <c r="G6356" s="50">
        <v>1</v>
      </c>
      <c r="H6356" s="50" t="s">
        <v>2</v>
      </c>
      <c r="I6356" s="50" t="s">
        <v>291</v>
      </c>
      <c r="J6356" s="51">
        <v>45903</v>
      </c>
      <c r="K6356" s="50" t="s">
        <v>1</v>
      </c>
      <c r="L6356" s="50" t="s">
        <v>80</v>
      </c>
    </row>
    <row r="6357" spans="2:12">
      <c r="B6357" s="50" t="s">
        <v>277</v>
      </c>
      <c r="C6357" s="50" t="s">
        <v>62</v>
      </c>
      <c r="D6357" s="50" t="s">
        <v>27</v>
      </c>
      <c r="E6357" s="50">
        <v>50043917</v>
      </c>
      <c r="F6357" s="50" t="s">
        <v>262</v>
      </c>
      <c r="G6357" s="50">
        <v>1</v>
      </c>
      <c r="H6357" s="50" t="s">
        <v>2</v>
      </c>
      <c r="I6357" s="50" t="s">
        <v>293</v>
      </c>
      <c r="J6357" s="51">
        <v>45903</v>
      </c>
      <c r="K6357" s="50" t="s">
        <v>1</v>
      </c>
      <c r="L6357" s="50" t="s">
        <v>80</v>
      </c>
    </row>
    <row r="6358" spans="2:12">
      <c r="B6358" s="50" t="s">
        <v>406</v>
      </c>
      <c r="C6358" s="50" t="s">
        <v>26</v>
      </c>
      <c r="D6358" s="50" t="s">
        <v>39</v>
      </c>
      <c r="E6358" s="50">
        <v>50032775</v>
      </c>
      <c r="F6358" s="50" t="s">
        <v>307</v>
      </c>
      <c r="G6358" s="50">
        <v>1</v>
      </c>
      <c r="H6358" s="50" t="s">
        <v>2</v>
      </c>
      <c r="I6358" s="50" t="s">
        <v>287</v>
      </c>
      <c r="J6358" s="51">
        <v>45903</v>
      </c>
      <c r="K6358" s="50" t="s">
        <v>3</v>
      </c>
      <c r="L6358" s="50" t="s">
        <v>80</v>
      </c>
    </row>
    <row r="6359" spans="2:12">
      <c r="B6359" s="50" t="s">
        <v>406</v>
      </c>
      <c r="C6359" s="50" t="s">
        <v>26</v>
      </c>
      <c r="D6359" s="50" t="s">
        <v>39</v>
      </c>
      <c r="E6359" s="50">
        <v>50032775</v>
      </c>
      <c r="F6359" s="50" t="s">
        <v>307</v>
      </c>
      <c r="G6359" s="50">
        <v>1</v>
      </c>
      <c r="H6359" s="50" t="s">
        <v>2</v>
      </c>
      <c r="I6359" s="50" t="s">
        <v>287</v>
      </c>
      <c r="J6359" s="51">
        <v>45903</v>
      </c>
      <c r="K6359" s="50" t="s">
        <v>3</v>
      </c>
      <c r="L6359" s="50" t="s">
        <v>80</v>
      </c>
    </row>
    <row r="6360" spans="2:12">
      <c r="B6360" s="50" t="s">
        <v>411</v>
      </c>
      <c r="C6360" s="50" t="s">
        <v>26</v>
      </c>
      <c r="D6360" s="50">
        <v>0</v>
      </c>
      <c r="E6360" s="50">
        <v>50010031</v>
      </c>
      <c r="F6360" s="50" t="s">
        <v>89</v>
      </c>
      <c r="G6360" s="50">
        <v>2</v>
      </c>
      <c r="H6360" s="50" t="s">
        <v>2</v>
      </c>
      <c r="I6360" s="50" t="s">
        <v>297</v>
      </c>
      <c r="J6360" s="51">
        <v>45902</v>
      </c>
      <c r="K6360" s="50" t="s">
        <v>1</v>
      </c>
      <c r="L6360" s="50" t="s">
        <v>80</v>
      </c>
    </row>
    <row r="6361" spans="2:12">
      <c r="B6361" s="50" t="s">
        <v>411</v>
      </c>
      <c r="C6361" s="50" t="s">
        <v>26</v>
      </c>
      <c r="D6361" s="50">
        <v>0</v>
      </c>
      <c r="E6361" s="50">
        <v>50010031</v>
      </c>
      <c r="F6361" s="50" t="s">
        <v>89</v>
      </c>
      <c r="G6361" s="50">
        <v>2</v>
      </c>
      <c r="H6361" s="50" t="s">
        <v>2</v>
      </c>
      <c r="I6361" s="50" t="s">
        <v>288</v>
      </c>
      <c r="J6361" s="51">
        <v>45902</v>
      </c>
      <c r="K6361" s="50" t="s">
        <v>1</v>
      </c>
      <c r="L6361" s="50" t="s">
        <v>80</v>
      </c>
    </row>
    <row r="6362" spans="2:12">
      <c r="B6362" s="50" t="s">
        <v>422</v>
      </c>
      <c r="C6362" s="50" t="s">
        <v>26</v>
      </c>
      <c r="D6362" s="50" t="s">
        <v>27</v>
      </c>
      <c r="E6362" s="50">
        <v>50037905</v>
      </c>
      <c r="F6362" s="50" t="s">
        <v>150</v>
      </c>
      <c r="G6362" s="50">
        <v>1</v>
      </c>
      <c r="H6362" s="50" t="s">
        <v>2</v>
      </c>
      <c r="I6362" s="50" t="s">
        <v>287</v>
      </c>
      <c r="J6362" s="51">
        <v>45902</v>
      </c>
      <c r="K6362" s="50" t="s">
        <v>3</v>
      </c>
      <c r="L6362" s="50" t="s">
        <v>80</v>
      </c>
    </row>
    <row r="6363" spans="2:12">
      <c r="B6363" s="50" t="s">
        <v>422</v>
      </c>
      <c r="C6363" s="50" t="s">
        <v>26</v>
      </c>
      <c r="D6363" s="50" t="s">
        <v>27</v>
      </c>
      <c r="E6363" s="50">
        <v>50037905</v>
      </c>
      <c r="F6363" s="50" t="s">
        <v>150</v>
      </c>
      <c r="G6363" s="50">
        <v>1</v>
      </c>
      <c r="H6363" s="50" t="s">
        <v>2</v>
      </c>
      <c r="I6363" s="50" t="s">
        <v>287</v>
      </c>
      <c r="J6363" s="51">
        <v>45902</v>
      </c>
      <c r="K6363" s="50" t="s">
        <v>1</v>
      </c>
      <c r="L6363" s="50" t="s">
        <v>80</v>
      </c>
    </row>
    <row r="6364" spans="2:12">
      <c r="B6364" s="50" t="s">
        <v>277</v>
      </c>
      <c r="C6364" s="50" t="s">
        <v>62</v>
      </c>
      <c r="D6364" s="50" t="s">
        <v>27</v>
      </c>
      <c r="E6364" s="50">
        <v>50039236</v>
      </c>
      <c r="F6364" s="50" t="s">
        <v>154</v>
      </c>
      <c r="G6364" s="50">
        <v>1</v>
      </c>
      <c r="H6364" s="50" t="s">
        <v>2</v>
      </c>
      <c r="I6364" s="50" t="s">
        <v>297</v>
      </c>
      <c r="J6364" s="51">
        <v>45902</v>
      </c>
      <c r="K6364" s="50" t="s">
        <v>3</v>
      </c>
      <c r="L6364" s="50" t="s">
        <v>81</v>
      </c>
    </row>
    <row r="6365" spans="2:12">
      <c r="B6365" s="50" t="s">
        <v>277</v>
      </c>
      <c r="C6365" s="50" t="s">
        <v>62</v>
      </c>
      <c r="D6365" s="50" t="s">
        <v>27</v>
      </c>
      <c r="E6365" s="50">
        <v>50039236</v>
      </c>
      <c r="F6365" s="50" t="s">
        <v>154</v>
      </c>
      <c r="G6365" s="50">
        <v>1</v>
      </c>
      <c r="H6365" s="50" t="s">
        <v>2</v>
      </c>
      <c r="I6365" s="50" t="s">
        <v>297</v>
      </c>
      <c r="J6365" s="51">
        <v>45902</v>
      </c>
      <c r="K6365" s="50" t="s">
        <v>1</v>
      </c>
      <c r="L6365" s="50" t="s">
        <v>80</v>
      </c>
    </row>
    <row r="6366" spans="2:12">
      <c r="B6366" s="50" t="s">
        <v>316</v>
      </c>
      <c r="C6366" s="50" t="s">
        <v>51</v>
      </c>
      <c r="D6366" s="50" t="s">
        <v>27</v>
      </c>
      <c r="E6366" s="50">
        <v>50043471</v>
      </c>
      <c r="F6366" s="50" t="s">
        <v>257</v>
      </c>
      <c r="G6366" s="50">
        <v>1</v>
      </c>
      <c r="H6366" s="50" t="s">
        <v>2</v>
      </c>
      <c r="I6366" s="50" t="s">
        <v>288</v>
      </c>
      <c r="J6366" s="51">
        <v>45902</v>
      </c>
      <c r="K6366" s="50" t="s">
        <v>3</v>
      </c>
      <c r="L6366" s="50" t="s">
        <v>80</v>
      </c>
    </row>
    <row r="6367" spans="2:12">
      <c r="B6367" s="50" t="s">
        <v>316</v>
      </c>
      <c r="C6367" s="50" t="s">
        <v>51</v>
      </c>
      <c r="D6367" s="50" t="s">
        <v>27</v>
      </c>
      <c r="E6367" s="50">
        <v>50043471</v>
      </c>
      <c r="F6367" s="50" t="s">
        <v>257</v>
      </c>
      <c r="G6367" s="50">
        <v>1</v>
      </c>
      <c r="H6367" s="50" t="s">
        <v>2</v>
      </c>
      <c r="I6367" s="50" t="s">
        <v>288</v>
      </c>
      <c r="J6367" s="51">
        <v>45902</v>
      </c>
      <c r="K6367" s="50" t="s">
        <v>1</v>
      </c>
      <c r="L6367" s="50" t="s">
        <v>80</v>
      </c>
    </row>
    <row r="6368" spans="2:12">
      <c r="B6368" s="50" t="s">
        <v>483</v>
      </c>
      <c r="C6368" s="50" t="s">
        <v>62</v>
      </c>
      <c r="D6368" s="50" t="s">
        <v>27</v>
      </c>
      <c r="E6368" s="50">
        <v>50003297</v>
      </c>
      <c r="F6368" s="50" t="s">
        <v>158</v>
      </c>
      <c r="G6368" s="50">
        <v>1</v>
      </c>
      <c r="H6368" s="50" t="s">
        <v>2</v>
      </c>
      <c r="I6368" s="50" t="s">
        <v>297</v>
      </c>
      <c r="J6368" s="51">
        <v>45902</v>
      </c>
      <c r="K6368" s="50" t="s">
        <v>3</v>
      </c>
      <c r="L6368" s="50" t="s">
        <v>80</v>
      </c>
    </row>
    <row r="6369" spans="2:12">
      <c r="B6369" s="50" t="s">
        <v>483</v>
      </c>
      <c r="C6369" s="50" t="s">
        <v>62</v>
      </c>
      <c r="D6369" s="50" t="s">
        <v>27</v>
      </c>
      <c r="E6369" s="50">
        <v>50003297</v>
      </c>
      <c r="F6369" s="50" t="s">
        <v>158</v>
      </c>
      <c r="G6369" s="50">
        <v>1</v>
      </c>
      <c r="H6369" s="50" t="s">
        <v>2</v>
      </c>
      <c r="I6369" s="50" t="s">
        <v>288</v>
      </c>
      <c r="J6369" s="51">
        <v>45902</v>
      </c>
      <c r="K6369" s="50" t="s">
        <v>1</v>
      </c>
      <c r="L6369" s="50" t="s">
        <v>80</v>
      </c>
    </row>
    <row r="6370" spans="2:12">
      <c r="B6370" s="50" t="s">
        <v>277</v>
      </c>
      <c r="C6370" s="50" t="s">
        <v>62</v>
      </c>
      <c r="D6370" s="50" t="s">
        <v>27</v>
      </c>
      <c r="E6370" s="50">
        <v>50029865</v>
      </c>
      <c r="F6370" s="50" t="s">
        <v>162</v>
      </c>
      <c r="G6370" s="50">
        <v>1</v>
      </c>
      <c r="H6370" s="50" t="s">
        <v>2</v>
      </c>
      <c r="I6370" s="50" t="s">
        <v>297</v>
      </c>
      <c r="J6370" s="51">
        <v>45902</v>
      </c>
      <c r="K6370" s="50" t="s">
        <v>3</v>
      </c>
      <c r="L6370" s="50" t="s">
        <v>80</v>
      </c>
    </row>
    <row r="6371" spans="2:12">
      <c r="B6371" s="50" t="s">
        <v>277</v>
      </c>
      <c r="C6371" s="50" t="s">
        <v>62</v>
      </c>
      <c r="D6371" s="50" t="s">
        <v>27</v>
      </c>
      <c r="E6371" s="50">
        <v>50029865</v>
      </c>
      <c r="F6371" s="50" t="s">
        <v>162</v>
      </c>
      <c r="G6371" s="50">
        <v>1</v>
      </c>
      <c r="H6371" s="50" t="s">
        <v>2</v>
      </c>
      <c r="I6371" s="50" t="s">
        <v>297</v>
      </c>
      <c r="J6371" s="51">
        <v>45902</v>
      </c>
      <c r="K6371" s="50" t="s">
        <v>3</v>
      </c>
      <c r="L6371" s="50" t="s">
        <v>80</v>
      </c>
    </row>
    <row r="6372" spans="2:12">
      <c r="B6372" s="50" t="s">
        <v>399</v>
      </c>
      <c r="C6372" s="50" t="s">
        <v>51</v>
      </c>
      <c r="D6372" s="50" t="s">
        <v>27</v>
      </c>
      <c r="E6372" s="50">
        <v>50037892</v>
      </c>
      <c r="F6372" s="50" t="s">
        <v>178</v>
      </c>
      <c r="G6372" s="50">
        <v>1</v>
      </c>
      <c r="H6372" s="50" t="s">
        <v>2</v>
      </c>
      <c r="I6372" s="50" t="s">
        <v>287</v>
      </c>
      <c r="J6372" s="51">
        <v>45902</v>
      </c>
      <c r="K6372" s="50" t="s">
        <v>1</v>
      </c>
      <c r="L6372" s="50" t="s">
        <v>80</v>
      </c>
    </row>
    <row r="6373" spans="2:12">
      <c r="B6373" s="50" t="s">
        <v>415</v>
      </c>
      <c r="C6373" s="50" t="s">
        <v>51</v>
      </c>
      <c r="D6373" s="50" t="s">
        <v>27</v>
      </c>
      <c r="E6373" s="50">
        <v>50038841</v>
      </c>
      <c r="F6373" s="50" t="s">
        <v>180</v>
      </c>
      <c r="G6373" s="50">
        <v>1</v>
      </c>
      <c r="H6373" s="50" t="s">
        <v>2</v>
      </c>
      <c r="I6373" s="50" t="s">
        <v>288</v>
      </c>
      <c r="J6373" s="51">
        <v>45902</v>
      </c>
      <c r="K6373" s="50" t="s">
        <v>3</v>
      </c>
      <c r="L6373" s="50" t="s">
        <v>80</v>
      </c>
    </row>
    <row r="6374" spans="2:12">
      <c r="B6374" s="50" t="s">
        <v>316</v>
      </c>
      <c r="C6374" s="50" t="s">
        <v>51</v>
      </c>
      <c r="D6374" s="50" t="s">
        <v>27</v>
      </c>
      <c r="E6374" s="50">
        <v>50038841</v>
      </c>
      <c r="F6374" s="50" t="s">
        <v>180</v>
      </c>
      <c r="G6374" s="50">
        <v>1</v>
      </c>
      <c r="H6374" s="50" t="s">
        <v>2</v>
      </c>
      <c r="I6374" s="50" t="s">
        <v>288</v>
      </c>
      <c r="J6374" s="51">
        <v>45902</v>
      </c>
      <c r="K6374" s="50" t="s">
        <v>1</v>
      </c>
      <c r="L6374" s="50" t="s">
        <v>80</v>
      </c>
    </row>
    <row r="6375" spans="2:12">
      <c r="B6375" s="50" t="s">
        <v>316</v>
      </c>
      <c r="C6375" s="50" t="s">
        <v>51</v>
      </c>
      <c r="D6375" s="50" t="s">
        <v>27</v>
      </c>
      <c r="E6375" s="50">
        <v>50038841</v>
      </c>
      <c r="F6375" s="50" t="s">
        <v>180</v>
      </c>
      <c r="G6375" s="50">
        <v>1</v>
      </c>
      <c r="H6375" s="50" t="s">
        <v>2</v>
      </c>
      <c r="I6375" s="50" t="s">
        <v>287</v>
      </c>
      <c r="J6375" s="51">
        <v>45902</v>
      </c>
      <c r="K6375" s="50" t="s">
        <v>1</v>
      </c>
      <c r="L6375" s="50" t="s">
        <v>80</v>
      </c>
    </row>
    <row r="6376" spans="2:12">
      <c r="B6376" s="50" t="s">
        <v>458</v>
      </c>
      <c r="C6376" s="50" t="s">
        <v>26</v>
      </c>
      <c r="D6376" s="50" t="s">
        <v>27</v>
      </c>
      <c r="E6376" s="50">
        <v>50001995</v>
      </c>
      <c r="F6376" s="50" t="s">
        <v>185</v>
      </c>
      <c r="G6376" s="50">
        <v>1</v>
      </c>
      <c r="H6376" s="50" t="s">
        <v>2</v>
      </c>
      <c r="I6376" s="50" t="s">
        <v>297</v>
      </c>
      <c r="J6376" s="51">
        <v>45902</v>
      </c>
      <c r="K6376" s="50" t="s">
        <v>3</v>
      </c>
      <c r="L6376" s="50" t="s">
        <v>80</v>
      </c>
    </row>
    <row r="6377" spans="2:12">
      <c r="B6377" s="50" t="s">
        <v>458</v>
      </c>
      <c r="C6377" s="50" t="s">
        <v>26</v>
      </c>
      <c r="D6377" s="50" t="s">
        <v>27</v>
      </c>
      <c r="E6377" s="50">
        <v>50001995</v>
      </c>
      <c r="F6377" s="50" t="s">
        <v>185</v>
      </c>
      <c r="G6377" s="50">
        <v>1</v>
      </c>
      <c r="H6377" s="50" t="s">
        <v>2</v>
      </c>
      <c r="I6377" s="50" t="s">
        <v>288</v>
      </c>
      <c r="J6377" s="51">
        <v>45902</v>
      </c>
      <c r="K6377" s="50" t="s">
        <v>1</v>
      </c>
      <c r="L6377" s="50" t="s">
        <v>80</v>
      </c>
    </row>
    <row r="6378" spans="2:12">
      <c r="B6378" s="50" t="s">
        <v>386</v>
      </c>
      <c r="C6378" s="50" t="s">
        <v>51</v>
      </c>
      <c r="D6378" s="50" t="s">
        <v>27</v>
      </c>
      <c r="E6378" s="50">
        <v>50026357</v>
      </c>
      <c r="F6378" s="50" t="s">
        <v>192</v>
      </c>
      <c r="G6378" s="50">
        <v>1</v>
      </c>
      <c r="H6378" s="50" t="s">
        <v>2</v>
      </c>
      <c r="I6378" s="50" t="s">
        <v>292</v>
      </c>
      <c r="J6378" s="51">
        <v>45902</v>
      </c>
      <c r="K6378" s="50" t="s">
        <v>3</v>
      </c>
      <c r="L6378" s="50" t="s">
        <v>80</v>
      </c>
    </row>
    <row r="6379" spans="2:12">
      <c r="B6379" s="50" t="s">
        <v>386</v>
      </c>
      <c r="C6379" s="50" t="s">
        <v>51</v>
      </c>
      <c r="D6379" s="50" t="s">
        <v>27</v>
      </c>
      <c r="E6379" s="50">
        <v>50026357</v>
      </c>
      <c r="F6379" s="50" t="s">
        <v>192</v>
      </c>
      <c r="G6379" s="50">
        <v>1</v>
      </c>
      <c r="H6379" s="50" t="s">
        <v>2</v>
      </c>
      <c r="I6379" s="50" t="s">
        <v>292</v>
      </c>
      <c r="J6379" s="51">
        <v>45902</v>
      </c>
      <c r="K6379" s="50" t="s">
        <v>1</v>
      </c>
      <c r="L6379" s="50" t="s">
        <v>80</v>
      </c>
    </row>
    <row r="6380" spans="2:12">
      <c r="B6380" s="50" t="s">
        <v>316</v>
      </c>
      <c r="C6380" s="50" t="s">
        <v>51</v>
      </c>
      <c r="D6380" s="50" t="s">
        <v>27</v>
      </c>
      <c r="E6380" s="50">
        <v>50041195</v>
      </c>
      <c r="F6380" s="50" t="s">
        <v>206</v>
      </c>
      <c r="G6380" s="50">
        <v>1</v>
      </c>
      <c r="H6380" s="50" t="s">
        <v>2</v>
      </c>
      <c r="I6380" s="50" t="s">
        <v>297</v>
      </c>
      <c r="J6380" s="51">
        <v>45902</v>
      </c>
      <c r="K6380" s="50" t="s">
        <v>3</v>
      </c>
      <c r="L6380" s="50" t="s">
        <v>80</v>
      </c>
    </row>
    <row r="6381" spans="2:12">
      <c r="B6381" s="50" t="s">
        <v>406</v>
      </c>
      <c r="C6381" s="50" t="s">
        <v>26</v>
      </c>
      <c r="D6381" s="50" t="s">
        <v>39</v>
      </c>
      <c r="E6381" s="50">
        <v>50043917</v>
      </c>
      <c r="F6381" s="50" t="s">
        <v>262</v>
      </c>
      <c r="G6381" s="50">
        <v>1</v>
      </c>
      <c r="H6381" s="50" t="s">
        <v>2</v>
      </c>
      <c r="I6381" s="50" t="s">
        <v>297</v>
      </c>
      <c r="J6381" s="51">
        <v>45902</v>
      </c>
      <c r="K6381" s="50" t="s">
        <v>3</v>
      </c>
      <c r="L6381" s="50" t="s">
        <v>80</v>
      </c>
    </row>
    <row r="6382" spans="2:12">
      <c r="B6382" s="50" t="s">
        <v>406</v>
      </c>
      <c r="C6382" s="50" t="s">
        <v>26</v>
      </c>
      <c r="D6382" s="50" t="s">
        <v>39</v>
      </c>
      <c r="E6382" s="50">
        <v>50043917</v>
      </c>
      <c r="F6382" s="50" t="s">
        <v>262</v>
      </c>
      <c r="G6382" s="50">
        <v>1</v>
      </c>
      <c r="H6382" s="50" t="s">
        <v>2</v>
      </c>
      <c r="I6382" s="50" t="s">
        <v>297</v>
      </c>
      <c r="J6382" s="51">
        <v>45902</v>
      </c>
      <c r="K6382" s="50" t="s">
        <v>1</v>
      </c>
      <c r="L6382" s="50" t="s">
        <v>80</v>
      </c>
    </row>
    <row r="6383" spans="2:12">
      <c r="B6383" s="50" t="s">
        <v>278</v>
      </c>
      <c r="C6383" s="50" t="s">
        <v>62</v>
      </c>
      <c r="D6383" s="50" t="s">
        <v>27</v>
      </c>
      <c r="E6383" s="50">
        <v>50043917</v>
      </c>
      <c r="F6383" s="50" t="s">
        <v>262</v>
      </c>
      <c r="G6383" s="50">
        <v>1</v>
      </c>
      <c r="H6383" s="50" t="s">
        <v>2</v>
      </c>
      <c r="I6383" s="50" t="s">
        <v>287</v>
      </c>
      <c r="J6383" s="51">
        <v>45902</v>
      </c>
      <c r="K6383" s="50" t="s">
        <v>1</v>
      </c>
      <c r="L6383" s="50" t="s">
        <v>80</v>
      </c>
    </row>
    <row r="6384" spans="2:12">
      <c r="B6384" s="50" t="s">
        <v>316</v>
      </c>
      <c r="C6384" s="50" t="s">
        <v>51</v>
      </c>
      <c r="D6384" s="50" t="s">
        <v>27</v>
      </c>
      <c r="E6384" s="50">
        <v>50032781</v>
      </c>
      <c r="F6384" s="50" t="s">
        <v>237</v>
      </c>
      <c r="G6384" s="50">
        <v>1</v>
      </c>
      <c r="H6384" s="50" t="s">
        <v>2</v>
      </c>
      <c r="I6384" s="50" t="s">
        <v>297</v>
      </c>
      <c r="J6384" s="51">
        <v>45902</v>
      </c>
      <c r="K6384" s="50" t="s">
        <v>3</v>
      </c>
      <c r="L6384" s="50" t="s">
        <v>80</v>
      </c>
    </row>
    <row r="6385" spans="2:12">
      <c r="B6385" s="50" t="s">
        <v>316</v>
      </c>
      <c r="C6385" s="50" t="s">
        <v>51</v>
      </c>
      <c r="D6385" s="50" t="s">
        <v>27</v>
      </c>
      <c r="E6385" s="50">
        <v>50032781</v>
      </c>
      <c r="F6385" s="50" t="s">
        <v>237</v>
      </c>
      <c r="G6385" s="50">
        <v>1</v>
      </c>
      <c r="H6385" s="50" t="s">
        <v>2</v>
      </c>
      <c r="I6385" s="50" t="s">
        <v>292</v>
      </c>
      <c r="J6385" s="51">
        <v>45902</v>
      </c>
      <c r="K6385" s="50" t="s">
        <v>1</v>
      </c>
      <c r="L6385" s="50" t="s">
        <v>80</v>
      </c>
    </row>
    <row r="6386" spans="2:12">
      <c r="B6386" s="50" t="s">
        <v>316</v>
      </c>
      <c r="C6386" s="50" t="s">
        <v>51</v>
      </c>
      <c r="D6386" s="50" t="s">
        <v>27</v>
      </c>
      <c r="E6386" s="50">
        <v>50038194</v>
      </c>
      <c r="F6386" s="50" t="s">
        <v>238</v>
      </c>
      <c r="G6386" s="50">
        <v>1</v>
      </c>
      <c r="H6386" s="50" t="s">
        <v>2</v>
      </c>
      <c r="I6386" s="50" t="s">
        <v>292</v>
      </c>
      <c r="J6386" s="51">
        <v>45902</v>
      </c>
      <c r="K6386" s="50" t="s">
        <v>3</v>
      </c>
      <c r="L6386" s="50" t="s">
        <v>80</v>
      </c>
    </row>
    <row r="6387" spans="2:12">
      <c r="B6387" s="50" t="s">
        <v>316</v>
      </c>
      <c r="C6387" s="50" t="s">
        <v>51</v>
      </c>
      <c r="D6387" s="50" t="s">
        <v>27</v>
      </c>
      <c r="E6387" s="50">
        <v>50038194</v>
      </c>
      <c r="F6387" s="50" t="s">
        <v>238</v>
      </c>
      <c r="G6387" s="50">
        <v>1</v>
      </c>
      <c r="H6387" s="50" t="s">
        <v>2</v>
      </c>
      <c r="I6387" s="50" t="s">
        <v>288</v>
      </c>
      <c r="J6387" s="51">
        <v>45902</v>
      </c>
      <c r="K6387" s="50" t="s">
        <v>1</v>
      </c>
      <c r="L6387" s="50" t="s">
        <v>80</v>
      </c>
    </row>
    <row r="6388" spans="2:12">
      <c r="B6388" s="50" t="s">
        <v>409</v>
      </c>
      <c r="C6388" s="50" t="s">
        <v>51</v>
      </c>
      <c r="D6388" s="50" t="s">
        <v>27</v>
      </c>
      <c r="E6388" s="50">
        <v>50038194</v>
      </c>
      <c r="F6388" s="50" t="s">
        <v>238</v>
      </c>
      <c r="G6388" s="50">
        <v>1</v>
      </c>
      <c r="H6388" s="50" t="s">
        <v>2</v>
      </c>
      <c r="I6388" s="50" t="s">
        <v>288</v>
      </c>
      <c r="J6388" s="51">
        <v>45902</v>
      </c>
      <c r="K6388" s="50" t="s">
        <v>3</v>
      </c>
      <c r="L6388" s="50" t="s">
        <v>80</v>
      </c>
    </row>
    <row r="6389" spans="2:12">
      <c r="B6389" s="50" t="s">
        <v>409</v>
      </c>
      <c r="C6389" s="50" t="s">
        <v>51</v>
      </c>
      <c r="D6389" s="50" t="s">
        <v>27</v>
      </c>
      <c r="E6389" s="50">
        <v>50038194</v>
      </c>
      <c r="F6389" s="50" t="s">
        <v>238</v>
      </c>
      <c r="G6389" s="50">
        <v>1</v>
      </c>
      <c r="H6389" s="50" t="s">
        <v>2</v>
      </c>
      <c r="I6389" s="50" t="s">
        <v>288</v>
      </c>
      <c r="J6389" s="51">
        <v>45902</v>
      </c>
      <c r="K6389" s="50" t="s">
        <v>1</v>
      </c>
      <c r="L6389" s="50" t="s">
        <v>80</v>
      </c>
    </row>
    <row r="6390" spans="2:12">
      <c r="B6390" s="50" t="s">
        <v>422</v>
      </c>
      <c r="C6390" s="50" t="s">
        <v>26</v>
      </c>
      <c r="D6390" s="50" t="s">
        <v>27</v>
      </c>
      <c r="E6390" s="50">
        <v>50038194</v>
      </c>
      <c r="F6390" s="50" t="s">
        <v>238</v>
      </c>
      <c r="G6390" s="50">
        <v>1</v>
      </c>
      <c r="H6390" s="50" t="s">
        <v>2</v>
      </c>
      <c r="I6390" s="50" t="s">
        <v>288</v>
      </c>
      <c r="J6390" s="51">
        <v>45902</v>
      </c>
      <c r="K6390" s="50" t="s">
        <v>3</v>
      </c>
      <c r="L6390" s="50" t="s">
        <v>80</v>
      </c>
    </row>
    <row r="6391" spans="2:12">
      <c r="B6391" s="50" t="s">
        <v>422</v>
      </c>
      <c r="C6391" s="50" t="s">
        <v>26</v>
      </c>
      <c r="D6391" s="50" t="s">
        <v>27</v>
      </c>
      <c r="E6391" s="50">
        <v>50038194</v>
      </c>
      <c r="F6391" s="50" t="s">
        <v>238</v>
      </c>
      <c r="G6391" s="50">
        <v>1</v>
      </c>
      <c r="H6391" s="50" t="s">
        <v>2</v>
      </c>
      <c r="I6391" s="50" t="s">
        <v>288</v>
      </c>
      <c r="J6391" s="51">
        <v>45902</v>
      </c>
      <c r="K6391" s="50" t="s">
        <v>1</v>
      </c>
      <c r="L6391" s="50" t="s">
        <v>80</v>
      </c>
    </row>
    <row r="6392" spans="2:12">
      <c r="B6392" s="50" t="s">
        <v>415</v>
      </c>
      <c r="C6392" s="50" t="s">
        <v>51</v>
      </c>
      <c r="D6392" s="50" t="s">
        <v>27</v>
      </c>
      <c r="E6392" s="50">
        <v>50038194</v>
      </c>
      <c r="F6392" s="50" t="s">
        <v>238</v>
      </c>
      <c r="G6392" s="50">
        <v>1</v>
      </c>
      <c r="H6392" s="50" t="s">
        <v>2</v>
      </c>
      <c r="I6392" s="50" t="s">
        <v>288</v>
      </c>
      <c r="J6392" s="51">
        <v>45902</v>
      </c>
      <c r="K6392" s="50" t="s">
        <v>3</v>
      </c>
      <c r="L6392" s="50" t="s">
        <v>80</v>
      </c>
    </row>
    <row r="6393" spans="2:12">
      <c r="B6393" s="50" t="s">
        <v>415</v>
      </c>
      <c r="C6393" s="50" t="s">
        <v>51</v>
      </c>
      <c r="D6393" s="50" t="s">
        <v>27</v>
      </c>
      <c r="E6393" s="50">
        <v>50038194</v>
      </c>
      <c r="F6393" s="50" t="s">
        <v>238</v>
      </c>
      <c r="G6393" s="50">
        <v>1</v>
      </c>
      <c r="H6393" s="50" t="s">
        <v>4</v>
      </c>
      <c r="I6393" s="50" t="s">
        <v>287</v>
      </c>
      <c r="J6393" s="51">
        <v>45902</v>
      </c>
      <c r="K6393" s="50" t="s">
        <v>3</v>
      </c>
      <c r="L6393" s="50" t="s">
        <v>80</v>
      </c>
    </row>
    <row r="6394" spans="2:12">
      <c r="B6394" s="50" t="s">
        <v>446</v>
      </c>
      <c r="C6394" s="50" t="s">
        <v>56</v>
      </c>
      <c r="D6394" s="50" t="s">
        <v>27</v>
      </c>
      <c r="E6394" s="50">
        <v>50010031</v>
      </c>
      <c r="F6394" s="50" t="s">
        <v>89</v>
      </c>
      <c r="G6394" s="50">
        <v>1</v>
      </c>
      <c r="H6394" s="50" t="s">
        <v>2</v>
      </c>
      <c r="I6394" s="50" t="s">
        <v>289</v>
      </c>
      <c r="J6394" s="51">
        <v>45901</v>
      </c>
      <c r="K6394" s="50" t="s">
        <v>3</v>
      </c>
      <c r="L6394" s="50" t="s">
        <v>80</v>
      </c>
    </row>
    <row r="6395" spans="2:12">
      <c r="B6395" s="50" t="s">
        <v>446</v>
      </c>
      <c r="C6395" s="50" t="s">
        <v>56</v>
      </c>
      <c r="D6395" s="50" t="s">
        <v>27</v>
      </c>
      <c r="E6395" s="50">
        <v>50010031</v>
      </c>
      <c r="F6395" s="50" t="s">
        <v>89</v>
      </c>
      <c r="G6395" s="50">
        <v>1</v>
      </c>
      <c r="H6395" s="50" t="s">
        <v>2</v>
      </c>
      <c r="I6395" s="50" t="s">
        <v>287</v>
      </c>
      <c r="J6395" s="51">
        <v>45901</v>
      </c>
      <c r="K6395" s="50" t="s">
        <v>1</v>
      </c>
      <c r="L6395" s="50" t="s">
        <v>80</v>
      </c>
    </row>
    <row r="6396" spans="2:12">
      <c r="B6396" s="50" t="s">
        <v>411</v>
      </c>
      <c r="C6396" s="50" t="s">
        <v>26</v>
      </c>
      <c r="D6396" s="50">
        <v>0</v>
      </c>
      <c r="E6396" s="50">
        <v>50038956</v>
      </c>
      <c r="F6396" s="50" t="s">
        <v>177</v>
      </c>
      <c r="G6396" s="50">
        <v>1</v>
      </c>
      <c r="H6396" s="50" t="s">
        <v>2</v>
      </c>
      <c r="I6396" s="50" t="s">
        <v>289</v>
      </c>
      <c r="J6396" s="51">
        <v>45901</v>
      </c>
      <c r="K6396" s="50" t="s">
        <v>3</v>
      </c>
      <c r="L6396" s="50" t="s">
        <v>80</v>
      </c>
    </row>
    <row r="6397" spans="2:12">
      <c r="B6397" s="50" t="s">
        <v>411</v>
      </c>
      <c r="C6397" s="50" t="s">
        <v>26</v>
      </c>
      <c r="D6397" s="50">
        <v>0</v>
      </c>
      <c r="E6397" s="50">
        <v>50038956</v>
      </c>
      <c r="F6397" s="50" t="s">
        <v>177</v>
      </c>
      <c r="G6397" s="50">
        <v>1</v>
      </c>
      <c r="H6397" s="50" t="s">
        <v>2</v>
      </c>
      <c r="I6397" s="50" t="s">
        <v>291</v>
      </c>
      <c r="J6397" s="51">
        <v>45901</v>
      </c>
      <c r="K6397" s="50" t="s">
        <v>3</v>
      </c>
      <c r="L6397" s="50" t="s">
        <v>80</v>
      </c>
    </row>
    <row r="6398" spans="2:12">
      <c r="B6398" s="50" t="s">
        <v>316</v>
      </c>
      <c r="C6398" s="50" t="s">
        <v>51</v>
      </c>
      <c r="D6398" s="50" t="s">
        <v>27</v>
      </c>
      <c r="E6398" s="50">
        <v>50037892</v>
      </c>
      <c r="F6398" s="50" t="s">
        <v>178</v>
      </c>
      <c r="G6398" s="50">
        <v>1</v>
      </c>
      <c r="H6398" s="50" t="s">
        <v>2</v>
      </c>
      <c r="I6398" s="50" t="s">
        <v>289</v>
      </c>
      <c r="J6398" s="51">
        <v>45901</v>
      </c>
      <c r="K6398" s="50" t="s">
        <v>1</v>
      </c>
      <c r="L6398" s="50" t="s">
        <v>80</v>
      </c>
    </row>
    <row r="6399" spans="2:12">
      <c r="B6399" s="50" t="s">
        <v>316</v>
      </c>
      <c r="C6399" s="50" t="s">
        <v>51</v>
      </c>
      <c r="D6399" s="50" t="s">
        <v>27</v>
      </c>
      <c r="E6399" s="50">
        <v>50037892</v>
      </c>
      <c r="F6399" s="50" t="s">
        <v>178</v>
      </c>
      <c r="G6399" s="50">
        <v>1</v>
      </c>
      <c r="H6399" s="50" t="s">
        <v>2</v>
      </c>
      <c r="I6399" s="50" t="s">
        <v>287</v>
      </c>
      <c r="J6399" s="51">
        <v>45901</v>
      </c>
      <c r="K6399" s="50" t="s">
        <v>3</v>
      </c>
      <c r="L6399" s="50" t="s">
        <v>80</v>
      </c>
    </row>
    <row r="6400" spans="2:12">
      <c r="B6400" s="50" t="s">
        <v>471</v>
      </c>
      <c r="C6400" s="50" t="s">
        <v>26</v>
      </c>
      <c r="D6400" s="50" t="s">
        <v>27</v>
      </c>
      <c r="E6400" s="50">
        <v>50037902</v>
      </c>
      <c r="F6400" s="50" t="s">
        <v>179</v>
      </c>
      <c r="G6400" s="50">
        <v>1</v>
      </c>
      <c r="H6400" s="50" t="s">
        <v>2</v>
      </c>
      <c r="I6400" s="50" t="s">
        <v>289</v>
      </c>
      <c r="J6400" s="51">
        <v>45901</v>
      </c>
      <c r="K6400" s="50" t="s">
        <v>1</v>
      </c>
      <c r="L6400" s="50" t="s">
        <v>80</v>
      </c>
    </row>
    <row r="6401" spans="2:12">
      <c r="B6401" s="50" t="s">
        <v>394</v>
      </c>
      <c r="C6401" s="50" t="s">
        <v>51</v>
      </c>
      <c r="D6401" s="50" t="s">
        <v>27</v>
      </c>
      <c r="E6401" s="50">
        <v>50037902</v>
      </c>
      <c r="F6401" s="50" t="s">
        <v>179</v>
      </c>
      <c r="G6401" s="50">
        <v>1</v>
      </c>
      <c r="H6401" s="50" t="s">
        <v>2</v>
      </c>
      <c r="I6401" s="50" t="s">
        <v>287</v>
      </c>
      <c r="J6401" s="51">
        <v>45901</v>
      </c>
      <c r="K6401" s="50" t="s">
        <v>1</v>
      </c>
      <c r="L6401" s="50" t="s">
        <v>80</v>
      </c>
    </row>
    <row r="6402" spans="2:12">
      <c r="B6402" s="50" t="s">
        <v>280</v>
      </c>
      <c r="C6402" s="50" t="s">
        <v>62</v>
      </c>
      <c r="D6402" s="50" t="s">
        <v>27</v>
      </c>
      <c r="E6402" s="50">
        <v>50026357</v>
      </c>
      <c r="F6402" s="50" t="s">
        <v>192</v>
      </c>
      <c r="G6402" s="50">
        <v>1</v>
      </c>
      <c r="H6402" s="50" t="s">
        <v>2</v>
      </c>
      <c r="I6402" s="50" t="s">
        <v>289</v>
      </c>
      <c r="J6402" s="51">
        <v>45901</v>
      </c>
      <c r="K6402" s="50" t="s">
        <v>3</v>
      </c>
      <c r="L6402" s="50" t="s">
        <v>80</v>
      </c>
    </row>
    <row r="6403" spans="2:12">
      <c r="B6403" s="50" t="s">
        <v>280</v>
      </c>
      <c r="C6403" s="50" t="s">
        <v>62</v>
      </c>
      <c r="D6403" s="50" t="s">
        <v>27</v>
      </c>
      <c r="E6403" s="50">
        <v>50026357</v>
      </c>
      <c r="F6403" s="50" t="s">
        <v>192</v>
      </c>
      <c r="G6403" s="50">
        <v>1</v>
      </c>
      <c r="H6403" s="50" t="s">
        <v>2</v>
      </c>
      <c r="I6403" s="50" t="s">
        <v>291</v>
      </c>
      <c r="J6403" s="51">
        <v>45901</v>
      </c>
      <c r="K6403" s="59" t="s">
        <v>1</v>
      </c>
      <c r="L6403" s="50" t="s">
        <v>80</v>
      </c>
    </row>
    <row r="6404" spans="2:12">
      <c r="B6404" s="50" t="s">
        <v>316</v>
      </c>
      <c r="C6404" s="50" t="s">
        <v>51</v>
      </c>
      <c r="D6404" s="50" t="s">
        <v>27</v>
      </c>
      <c r="E6404" s="50">
        <v>50041195</v>
      </c>
      <c r="F6404" s="50" t="s">
        <v>206</v>
      </c>
      <c r="G6404" s="50">
        <v>1</v>
      </c>
      <c r="H6404" s="50" t="s">
        <v>2</v>
      </c>
      <c r="I6404" s="50" t="s">
        <v>291</v>
      </c>
      <c r="J6404" s="51">
        <v>45901</v>
      </c>
      <c r="K6404" s="50" t="s">
        <v>1</v>
      </c>
      <c r="L6404" s="50" t="s">
        <v>80</v>
      </c>
    </row>
    <row r="6405" spans="2:12">
      <c r="B6405" s="50" t="e">
        <v>#N/A</v>
      </c>
      <c r="C6405" s="50" t="s">
        <v>26</v>
      </c>
      <c r="D6405" s="50" t="s">
        <v>27</v>
      </c>
      <c r="E6405" s="50">
        <v>50037905</v>
      </c>
      <c r="F6405" s="50" t="s">
        <v>150</v>
      </c>
      <c r="G6405" s="50">
        <v>1</v>
      </c>
      <c r="H6405" s="50" t="s">
        <v>2</v>
      </c>
      <c r="I6405" s="50" t="s">
        <v>287</v>
      </c>
      <c r="J6405" s="51">
        <v>45899</v>
      </c>
      <c r="K6405" s="50" t="s">
        <v>3</v>
      </c>
      <c r="L6405" s="50" t="s">
        <v>80</v>
      </c>
    </row>
    <row r="6406" spans="2:12">
      <c r="B6406" s="50" t="e">
        <v>#N/A</v>
      </c>
      <c r="C6406" s="50" t="s">
        <v>26</v>
      </c>
      <c r="D6406" s="50" t="s">
        <v>27</v>
      </c>
      <c r="E6406" s="50">
        <v>50037905</v>
      </c>
      <c r="F6406" s="50" t="s">
        <v>150</v>
      </c>
      <c r="G6406" s="50">
        <v>1</v>
      </c>
      <c r="H6406" s="50" t="s">
        <v>2</v>
      </c>
      <c r="I6406" s="50" t="s">
        <v>287</v>
      </c>
      <c r="J6406" s="51">
        <v>45899</v>
      </c>
      <c r="K6406" s="50" t="s">
        <v>3</v>
      </c>
      <c r="L6406" s="50" t="s">
        <v>80</v>
      </c>
    </row>
    <row r="6407" spans="2:12">
      <c r="B6407" s="50" t="s">
        <v>437</v>
      </c>
      <c r="C6407" s="50" t="s">
        <v>51</v>
      </c>
      <c r="D6407" s="50" t="s">
        <v>41</v>
      </c>
      <c r="E6407" s="50">
        <v>50038841</v>
      </c>
      <c r="F6407" s="50" t="s">
        <v>180</v>
      </c>
      <c r="G6407" s="50">
        <v>1</v>
      </c>
      <c r="H6407" s="50" t="s">
        <v>2</v>
      </c>
      <c r="I6407" s="50" t="s">
        <v>287</v>
      </c>
      <c r="J6407" s="51">
        <v>45899</v>
      </c>
      <c r="K6407" s="50" t="s">
        <v>1</v>
      </c>
      <c r="L6407" s="50" t="s">
        <v>80</v>
      </c>
    </row>
    <row r="6408" spans="2:12">
      <c r="B6408" s="50" t="s">
        <v>437</v>
      </c>
      <c r="C6408" s="50" t="s">
        <v>51</v>
      </c>
      <c r="D6408" s="50" t="s">
        <v>41</v>
      </c>
      <c r="E6408" s="50">
        <v>50038841</v>
      </c>
      <c r="F6408" s="50" t="s">
        <v>180</v>
      </c>
      <c r="G6408" s="50">
        <v>1</v>
      </c>
      <c r="H6408" s="50" t="s">
        <v>2</v>
      </c>
      <c r="I6408" s="50" t="s">
        <v>287</v>
      </c>
      <c r="J6408" s="51">
        <v>45899</v>
      </c>
      <c r="K6408" s="50" t="s">
        <v>1</v>
      </c>
      <c r="L6408" s="50" t="s">
        <v>80</v>
      </c>
    </row>
    <row r="6409" spans="2:12">
      <c r="B6409" s="50" t="s">
        <v>422</v>
      </c>
      <c r="C6409" s="50" t="s">
        <v>26</v>
      </c>
      <c r="D6409" s="50" t="s">
        <v>27</v>
      </c>
      <c r="E6409" s="50">
        <v>50038626</v>
      </c>
      <c r="F6409" s="50" t="s">
        <v>190</v>
      </c>
      <c r="G6409" s="50">
        <v>1</v>
      </c>
      <c r="H6409" s="50" t="s">
        <v>2</v>
      </c>
      <c r="I6409" s="50" t="s">
        <v>287</v>
      </c>
      <c r="J6409" s="51">
        <v>45899</v>
      </c>
      <c r="K6409" s="50" t="s">
        <v>3</v>
      </c>
      <c r="L6409" s="50" t="s">
        <v>80</v>
      </c>
    </row>
    <row r="6410" spans="2:12">
      <c r="B6410" s="50" t="s">
        <v>422</v>
      </c>
      <c r="C6410" s="50" t="s">
        <v>26</v>
      </c>
      <c r="D6410" s="50" t="s">
        <v>27</v>
      </c>
      <c r="E6410" s="50">
        <v>50038626</v>
      </c>
      <c r="F6410" s="50" t="s">
        <v>190</v>
      </c>
      <c r="G6410" s="50">
        <v>1</v>
      </c>
      <c r="H6410" s="50" t="s">
        <v>2</v>
      </c>
      <c r="I6410" s="50" t="s">
        <v>287</v>
      </c>
      <c r="J6410" s="51">
        <v>45899</v>
      </c>
      <c r="K6410" s="50" t="s">
        <v>1</v>
      </c>
      <c r="L6410" s="50" t="s">
        <v>80</v>
      </c>
    </row>
    <row r="6411" spans="2:12">
      <c r="B6411" s="50" t="s">
        <v>277</v>
      </c>
      <c r="C6411" s="50" t="s">
        <v>62</v>
      </c>
      <c r="D6411" s="50" t="s">
        <v>27</v>
      </c>
      <c r="E6411" s="50">
        <v>50041195</v>
      </c>
      <c r="F6411" s="50" t="s">
        <v>206</v>
      </c>
      <c r="G6411" s="50">
        <v>1</v>
      </c>
      <c r="H6411" s="50" t="s">
        <v>2</v>
      </c>
      <c r="I6411" s="50" t="s">
        <v>287</v>
      </c>
      <c r="J6411" s="51">
        <v>45899</v>
      </c>
      <c r="K6411" s="50" t="s">
        <v>3</v>
      </c>
      <c r="L6411" s="50" t="s">
        <v>80</v>
      </c>
    </row>
    <row r="6412" spans="2:12">
      <c r="B6412" s="50" t="s">
        <v>394</v>
      </c>
      <c r="C6412" s="50" t="s">
        <v>51</v>
      </c>
      <c r="D6412" s="50" t="s">
        <v>27</v>
      </c>
      <c r="E6412" s="50">
        <v>50010031</v>
      </c>
      <c r="F6412" s="50" t="s">
        <v>89</v>
      </c>
      <c r="G6412" s="50">
        <v>1</v>
      </c>
      <c r="H6412" s="50" t="s">
        <v>2</v>
      </c>
      <c r="I6412" s="50" t="s">
        <v>297</v>
      </c>
      <c r="J6412" s="51">
        <v>45898</v>
      </c>
      <c r="K6412" s="50" t="s">
        <v>3</v>
      </c>
      <c r="L6412" s="50" t="s">
        <v>80</v>
      </c>
    </row>
    <row r="6413" spans="2:12">
      <c r="B6413" s="50" t="s">
        <v>394</v>
      </c>
      <c r="C6413" s="50" t="s">
        <v>51</v>
      </c>
      <c r="D6413" s="50" t="s">
        <v>27</v>
      </c>
      <c r="E6413" s="50">
        <v>50010031</v>
      </c>
      <c r="F6413" s="50" t="s">
        <v>89</v>
      </c>
      <c r="G6413" s="50">
        <v>1</v>
      </c>
      <c r="H6413" s="50" t="s">
        <v>2</v>
      </c>
      <c r="I6413" s="50" t="s">
        <v>291</v>
      </c>
      <c r="J6413" s="51">
        <v>45898</v>
      </c>
      <c r="K6413" s="50" t="s">
        <v>1</v>
      </c>
      <c r="L6413" s="50" t="s">
        <v>80</v>
      </c>
    </row>
    <row r="6414" spans="2:12">
      <c r="B6414" s="50" t="s">
        <v>406</v>
      </c>
      <c r="C6414" s="50" t="s">
        <v>26</v>
      </c>
      <c r="D6414" s="50" t="s">
        <v>39</v>
      </c>
      <c r="E6414" s="50">
        <v>50037905</v>
      </c>
      <c r="F6414" s="50" t="s">
        <v>150</v>
      </c>
      <c r="G6414" s="50">
        <v>1</v>
      </c>
      <c r="H6414" s="50" t="s">
        <v>2</v>
      </c>
      <c r="I6414" s="50" t="s">
        <v>289</v>
      </c>
      <c r="J6414" s="51">
        <v>45898</v>
      </c>
      <c r="K6414" s="50" t="s">
        <v>3</v>
      </c>
      <c r="L6414" s="50" t="s">
        <v>80</v>
      </c>
    </row>
    <row r="6415" spans="2:12">
      <c r="B6415" s="50" t="s">
        <v>406</v>
      </c>
      <c r="C6415" s="50" t="s">
        <v>26</v>
      </c>
      <c r="D6415" s="50" t="s">
        <v>39</v>
      </c>
      <c r="E6415" s="50">
        <v>50037905</v>
      </c>
      <c r="F6415" s="50" t="s">
        <v>150</v>
      </c>
      <c r="G6415" s="50">
        <v>1</v>
      </c>
      <c r="H6415" s="50" t="s">
        <v>2</v>
      </c>
      <c r="I6415" s="50" t="s">
        <v>292</v>
      </c>
      <c r="J6415" s="51">
        <v>45898</v>
      </c>
      <c r="K6415" s="50" t="s">
        <v>1</v>
      </c>
      <c r="L6415" s="50" t="s">
        <v>80</v>
      </c>
    </row>
    <row r="6416" spans="2:12">
      <c r="B6416" s="50" t="e">
        <v>#N/A</v>
      </c>
      <c r="C6416" s="50" t="s">
        <v>26</v>
      </c>
      <c r="D6416" s="50" t="s">
        <v>27</v>
      </c>
      <c r="E6416" s="50">
        <v>50037905</v>
      </c>
      <c r="F6416" s="50" t="s">
        <v>150</v>
      </c>
      <c r="G6416" s="50">
        <v>1</v>
      </c>
      <c r="H6416" s="50" t="s">
        <v>2</v>
      </c>
      <c r="I6416" s="50" t="s">
        <v>292</v>
      </c>
      <c r="J6416" s="51">
        <v>45898</v>
      </c>
      <c r="K6416" s="50" t="s">
        <v>3</v>
      </c>
      <c r="L6416" s="50" t="s">
        <v>80</v>
      </c>
    </row>
    <row r="6417" spans="2:12">
      <c r="B6417" s="50" t="e">
        <v>#N/A</v>
      </c>
      <c r="C6417" s="50" t="s">
        <v>26</v>
      </c>
      <c r="D6417" s="50" t="s">
        <v>27</v>
      </c>
      <c r="E6417" s="50">
        <v>50037905</v>
      </c>
      <c r="F6417" s="50" t="s">
        <v>150</v>
      </c>
      <c r="G6417" s="50">
        <v>1</v>
      </c>
      <c r="H6417" s="50" t="s">
        <v>2</v>
      </c>
      <c r="I6417" s="50" t="s">
        <v>292</v>
      </c>
      <c r="J6417" s="51">
        <v>45898</v>
      </c>
      <c r="K6417" s="50" t="s">
        <v>1</v>
      </c>
      <c r="L6417" s="50" t="s">
        <v>80</v>
      </c>
    </row>
    <row r="6418" spans="2:12">
      <c r="B6418" s="50" t="e">
        <v>#N/A</v>
      </c>
      <c r="C6418" s="50" t="s">
        <v>26</v>
      </c>
      <c r="D6418" s="50" t="s">
        <v>27</v>
      </c>
      <c r="E6418" s="50">
        <v>50037905</v>
      </c>
      <c r="F6418" s="50" t="s">
        <v>150</v>
      </c>
      <c r="G6418" s="50">
        <v>1</v>
      </c>
      <c r="H6418" s="50" t="s">
        <v>2</v>
      </c>
      <c r="I6418" s="50" t="s">
        <v>291</v>
      </c>
      <c r="J6418" s="51">
        <v>45898</v>
      </c>
      <c r="K6418" s="50" t="s">
        <v>3</v>
      </c>
      <c r="L6418" s="50" t="s">
        <v>80</v>
      </c>
    </row>
    <row r="6419" spans="2:12">
      <c r="B6419" s="50" t="e">
        <v>#N/A</v>
      </c>
      <c r="C6419" s="50" t="s">
        <v>26</v>
      </c>
      <c r="D6419" s="50" t="s">
        <v>27</v>
      </c>
      <c r="E6419" s="50">
        <v>50037905</v>
      </c>
      <c r="F6419" s="50" t="s">
        <v>150</v>
      </c>
      <c r="G6419" s="50">
        <v>1</v>
      </c>
      <c r="H6419" s="50" t="s">
        <v>2</v>
      </c>
      <c r="I6419" s="50" t="s">
        <v>291</v>
      </c>
      <c r="J6419" s="51">
        <v>45898</v>
      </c>
      <c r="K6419" s="50" t="s">
        <v>1</v>
      </c>
      <c r="L6419" s="50" t="s">
        <v>80</v>
      </c>
    </row>
    <row r="6420" spans="2:12">
      <c r="B6420" s="50" t="s">
        <v>478</v>
      </c>
      <c r="C6420" s="50" t="s">
        <v>51</v>
      </c>
      <c r="D6420" s="50" t="s">
        <v>27</v>
      </c>
      <c r="E6420" s="50">
        <v>50039236</v>
      </c>
      <c r="F6420" s="50" t="s">
        <v>154</v>
      </c>
      <c r="G6420" s="50">
        <v>1</v>
      </c>
      <c r="H6420" s="50" t="s">
        <v>2</v>
      </c>
      <c r="I6420" s="50" t="s">
        <v>291</v>
      </c>
      <c r="J6420" s="51">
        <v>45898</v>
      </c>
      <c r="K6420" s="50" t="s">
        <v>3</v>
      </c>
      <c r="L6420" s="50" t="s">
        <v>80</v>
      </c>
    </row>
    <row r="6421" spans="2:12">
      <c r="B6421" s="50" t="s">
        <v>394</v>
      </c>
      <c r="C6421" s="50" t="s">
        <v>51</v>
      </c>
      <c r="D6421" s="50" t="s">
        <v>27</v>
      </c>
      <c r="E6421" s="50">
        <v>50039236</v>
      </c>
      <c r="F6421" s="50" t="s">
        <v>154</v>
      </c>
      <c r="G6421" s="50">
        <v>1</v>
      </c>
      <c r="H6421" s="50" t="s">
        <v>2</v>
      </c>
      <c r="I6421" s="50" t="s">
        <v>291</v>
      </c>
      <c r="J6421" s="51">
        <v>45898</v>
      </c>
      <c r="K6421" s="50" t="s">
        <v>1</v>
      </c>
      <c r="L6421" s="50" t="s">
        <v>80</v>
      </c>
    </row>
    <row r="6422" spans="2:12">
      <c r="B6422" s="50" t="s">
        <v>386</v>
      </c>
      <c r="C6422" s="50" t="s">
        <v>62</v>
      </c>
      <c r="D6422" s="50" t="s">
        <v>27</v>
      </c>
      <c r="E6422" s="50">
        <v>50043471</v>
      </c>
      <c r="F6422" s="50" t="s">
        <v>257</v>
      </c>
      <c r="G6422" s="50">
        <v>1</v>
      </c>
      <c r="H6422" s="50" t="s">
        <v>2</v>
      </c>
      <c r="I6422" s="50" t="s">
        <v>289</v>
      </c>
      <c r="J6422" s="51">
        <v>45898</v>
      </c>
      <c r="K6422" s="50" t="s">
        <v>3</v>
      </c>
      <c r="L6422" s="50" t="s">
        <v>80</v>
      </c>
    </row>
    <row r="6423" spans="2:12">
      <c r="B6423" s="50" t="s">
        <v>386</v>
      </c>
      <c r="C6423" s="50" t="s">
        <v>62</v>
      </c>
      <c r="D6423" s="50" t="s">
        <v>27</v>
      </c>
      <c r="E6423" s="50">
        <v>50043471</v>
      </c>
      <c r="F6423" s="50" t="s">
        <v>257</v>
      </c>
      <c r="G6423" s="50">
        <v>1</v>
      </c>
      <c r="H6423" s="50" t="s">
        <v>2</v>
      </c>
      <c r="I6423" s="50" t="s">
        <v>292</v>
      </c>
      <c r="J6423" s="51">
        <v>45898</v>
      </c>
      <c r="K6423" s="50" t="s">
        <v>1</v>
      </c>
      <c r="L6423" s="50" t="s">
        <v>80</v>
      </c>
    </row>
    <row r="6424" spans="2:12">
      <c r="B6424" s="50" t="e">
        <v>#N/A</v>
      </c>
      <c r="C6424" s="50" t="s">
        <v>56</v>
      </c>
      <c r="D6424" s="50" t="s">
        <v>27</v>
      </c>
      <c r="E6424" s="50">
        <v>50038549</v>
      </c>
      <c r="F6424" s="50" t="s">
        <v>173</v>
      </c>
      <c r="G6424" s="50">
        <v>1</v>
      </c>
      <c r="H6424" s="50" t="s">
        <v>2</v>
      </c>
      <c r="I6424" s="50" t="s">
        <v>291</v>
      </c>
      <c r="J6424" s="51">
        <v>45898</v>
      </c>
      <c r="K6424" s="50" t="s">
        <v>3</v>
      </c>
      <c r="L6424" s="50" t="s">
        <v>80</v>
      </c>
    </row>
    <row r="6425" spans="2:12">
      <c r="B6425" s="50" t="e">
        <v>#N/A</v>
      </c>
      <c r="C6425" s="50" t="s">
        <v>56</v>
      </c>
      <c r="D6425" s="50" t="s">
        <v>27</v>
      </c>
      <c r="E6425" s="50">
        <v>50038549</v>
      </c>
      <c r="F6425" s="50" t="s">
        <v>173</v>
      </c>
      <c r="G6425" s="50">
        <v>1</v>
      </c>
      <c r="H6425" s="50" t="s">
        <v>2</v>
      </c>
      <c r="I6425" s="50" t="s">
        <v>291</v>
      </c>
      <c r="J6425" s="51">
        <v>45898</v>
      </c>
      <c r="K6425" s="50" t="s">
        <v>1</v>
      </c>
      <c r="L6425" s="50" t="s">
        <v>80</v>
      </c>
    </row>
    <row r="6426" spans="2:12">
      <c r="B6426" s="50" t="s">
        <v>458</v>
      </c>
      <c r="C6426" s="50" t="s">
        <v>26</v>
      </c>
      <c r="D6426" s="50" t="s">
        <v>27</v>
      </c>
      <c r="E6426" s="50">
        <v>50022878</v>
      </c>
      <c r="F6426" s="50" t="s">
        <v>296</v>
      </c>
      <c r="G6426" s="50">
        <v>1</v>
      </c>
      <c r="H6426" s="50" t="s">
        <v>2</v>
      </c>
      <c r="I6426" s="50" t="s">
        <v>291</v>
      </c>
      <c r="J6426" s="51">
        <v>45898</v>
      </c>
      <c r="K6426" s="50" t="s">
        <v>3</v>
      </c>
      <c r="L6426" s="50" t="s">
        <v>80</v>
      </c>
    </row>
    <row r="6427" spans="2:12">
      <c r="B6427" s="50" t="s">
        <v>458</v>
      </c>
      <c r="C6427" s="50" t="s">
        <v>26</v>
      </c>
      <c r="D6427" s="50" t="s">
        <v>27</v>
      </c>
      <c r="E6427" s="50">
        <v>50022878</v>
      </c>
      <c r="F6427" s="50" t="s">
        <v>296</v>
      </c>
      <c r="G6427" s="50">
        <v>1</v>
      </c>
      <c r="H6427" s="50" t="s">
        <v>2</v>
      </c>
      <c r="I6427" s="50" t="s">
        <v>291</v>
      </c>
      <c r="J6427" s="51">
        <v>45898</v>
      </c>
      <c r="K6427" s="50" t="s">
        <v>1</v>
      </c>
      <c r="L6427" s="50" t="s">
        <v>80</v>
      </c>
    </row>
    <row r="6428" spans="2:12">
      <c r="B6428" s="50" t="s">
        <v>407</v>
      </c>
      <c r="C6428" s="50" t="s">
        <v>26</v>
      </c>
      <c r="D6428" s="50" t="s">
        <v>27</v>
      </c>
      <c r="E6428" s="50">
        <v>50022878</v>
      </c>
      <c r="F6428" s="50" t="s">
        <v>296</v>
      </c>
      <c r="G6428" s="50">
        <v>1</v>
      </c>
      <c r="H6428" s="50" t="s">
        <v>2</v>
      </c>
      <c r="I6428" s="50" t="s">
        <v>291</v>
      </c>
      <c r="J6428" s="51">
        <v>45898</v>
      </c>
      <c r="K6428" s="50" t="s">
        <v>3</v>
      </c>
      <c r="L6428" s="50" t="s">
        <v>80</v>
      </c>
    </row>
    <row r="6429" spans="2:12">
      <c r="B6429" s="50" t="s">
        <v>407</v>
      </c>
      <c r="C6429" s="50" t="s">
        <v>26</v>
      </c>
      <c r="D6429" s="50" t="s">
        <v>27</v>
      </c>
      <c r="E6429" s="50">
        <v>50022878</v>
      </c>
      <c r="F6429" s="50" t="s">
        <v>296</v>
      </c>
      <c r="G6429" s="50">
        <v>1</v>
      </c>
      <c r="H6429" s="50" t="s">
        <v>2</v>
      </c>
      <c r="I6429" s="50" t="s">
        <v>291</v>
      </c>
      <c r="J6429" s="51">
        <v>45898</v>
      </c>
      <c r="K6429" s="50" t="s">
        <v>1</v>
      </c>
      <c r="L6429" s="50" t="s">
        <v>80</v>
      </c>
    </row>
    <row r="6430" spans="2:12">
      <c r="B6430" s="50" t="e">
        <v>#N/A</v>
      </c>
      <c r="C6430" s="50" t="s">
        <v>26</v>
      </c>
      <c r="D6430" s="50" t="s">
        <v>27</v>
      </c>
      <c r="E6430" s="50">
        <v>50038956</v>
      </c>
      <c r="F6430" s="50" t="s">
        <v>177</v>
      </c>
      <c r="G6430" s="50">
        <v>1</v>
      </c>
      <c r="H6430" s="50" t="s">
        <v>2</v>
      </c>
      <c r="I6430" s="50" t="s">
        <v>291</v>
      </c>
      <c r="J6430" s="51">
        <v>45898</v>
      </c>
      <c r="K6430" s="50" t="s">
        <v>3</v>
      </c>
      <c r="L6430" s="50" t="s">
        <v>80</v>
      </c>
    </row>
    <row r="6431" spans="2:12">
      <c r="B6431" s="50" t="s">
        <v>471</v>
      </c>
      <c r="C6431" s="50" t="s">
        <v>26</v>
      </c>
      <c r="D6431" s="50" t="s">
        <v>27</v>
      </c>
      <c r="E6431" s="50">
        <v>50038956</v>
      </c>
      <c r="F6431" s="50" t="s">
        <v>177</v>
      </c>
      <c r="G6431" s="50">
        <v>1</v>
      </c>
      <c r="H6431" s="50" t="s">
        <v>2</v>
      </c>
      <c r="I6431" s="50" t="s">
        <v>291</v>
      </c>
      <c r="J6431" s="51">
        <v>45898</v>
      </c>
      <c r="K6431" s="50" t="s">
        <v>3</v>
      </c>
      <c r="L6431" s="50" t="s">
        <v>80</v>
      </c>
    </row>
    <row r="6432" spans="2:12">
      <c r="B6432" s="50" t="s">
        <v>478</v>
      </c>
      <c r="C6432" s="50" t="s">
        <v>51</v>
      </c>
      <c r="D6432" s="50" t="s">
        <v>27</v>
      </c>
      <c r="E6432" s="50">
        <v>50037892</v>
      </c>
      <c r="F6432" s="50" t="s">
        <v>178</v>
      </c>
      <c r="G6432" s="50">
        <v>1</v>
      </c>
      <c r="H6432" s="50" t="s">
        <v>2</v>
      </c>
      <c r="I6432" s="50" t="s">
        <v>291</v>
      </c>
      <c r="J6432" s="51">
        <v>45898</v>
      </c>
      <c r="K6432" s="50" t="s">
        <v>1</v>
      </c>
      <c r="L6432" s="50" t="s">
        <v>80</v>
      </c>
    </row>
    <row r="6433" spans="2:12">
      <c r="B6433" s="50" t="s">
        <v>427</v>
      </c>
      <c r="C6433" s="50" t="s">
        <v>26</v>
      </c>
      <c r="D6433" s="50" t="s">
        <v>27</v>
      </c>
      <c r="E6433" s="50">
        <v>50037892</v>
      </c>
      <c r="F6433" s="50" t="s">
        <v>178</v>
      </c>
      <c r="G6433" s="50">
        <v>1</v>
      </c>
      <c r="H6433" s="50" t="s">
        <v>2</v>
      </c>
      <c r="I6433" s="50" t="s">
        <v>291</v>
      </c>
      <c r="J6433" s="51">
        <v>45898</v>
      </c>
      <c r="K6433" s="50" t="s">
        <v>3</v>
      </c>
      <c r="L6433" s="50" t="s">
        <v>80</v>
      </c>
    </row>
    <row r="6434" spans="2:12">
      <c r="B6434" s="50" t="e">
        <v>#N/A</v>
      </c>
      <c r="C6434" s="50" t="s">
        <v>56</v>
      </c>
      <c r="D6434" s="50" t="s">
        <v>27</v>
      </c>
      <c r="E6434" s="50">
        <v>50038841</v>
      </c>
      <c r="F6434" s="50" t="s">
        <v>180</v>
      </c>
      <c r="G6434" s="50">
        <v>1</v>
      </c>
      <c r="H6434" s="50" t="s">
        <v>2</v>
      </c>
      <c r="I6434" s="50" t="s">
        <v>291</v>
      </c>
      <c r="J6434" s="51">
        <v>45898</v>
      </c>
      <c r="K6434" s="50" t="s">
        <v>1</v>
      </c>
      <c r="L6434" s="50" t="s">
        <v>80</v>
      </c>
    </row>
    <row r="6435" spans="2:12">
      <c r="B6435" s="50" t="e">
        <v>#N/A</v>
      </c>
      <c r="C6435" s="50" t="s">
        <v>56</v>
      </c>
      <c r="D6435" s="50" t="s">
        <v>27</v>
      </c>
      <c r="E6435" s="50">
        <v>50038841</v>
      </c>
      <c r="F6435" s="50" t="s">
        <v>180</v>
      </c>
      <c r="G6435" s="50">
        <v>1</v>
      </c>
      <c r="H6435" s="50" t="s">
        <v>2</v>
      </c>
      <c r="I6435" s="50" t="s">
        <v>291</v>
      </c>
      <c r="J6435" s="51">
        <v>45898</v>
      </c>
      <c r="K6435" s="50" t="s">
        <v>3</v>
      </c>
      <c r="L6435" s="50" t="s">
        <v>80</v>
      </c>
    </row>
    <row r="6436" spans="2:12">
      <c r="B6436" s="50" t="s">
        <v>483</v>
      </c>
      <c r="C6436" s="50" t="s">
        <v>62</v>
      </c>
      <c r="D6436" s="50" t="s">
        <v>27</v>
      </c>
      <c r="E6436" s="50">
        <v>50038517</v>
      </c>
      <c r="F6436" s="50" t="s">
        <v>181</v>
      </c>
      <c r="G6436" s="50">
        <v>1</v>
      </c>
      <c r="H6436" s="50" t="s">
        <v>2</v>
      </c>
      <c r="I6436" s="50" t="s">
        <v>297</v>
      </c>
      <c r="J6436" s="51">
        <v>45898</v>
      </c>
      <c r="K6436" s="50" t="s">
        <v>1</v>
      </c>
      <c r="L6436" s="50" t="s">
        <v>80</v>
      </c>
    </row>
    <row r="6437" spans="2:12">
      <c r="B6437" s="50" t="s">
        <v>483</v>
      </c>
      <c r="C6437" s="50" t="s">
        <v>62</v>
      </c>
      <c r="D6437" s="50" t="s">
        <v>27</v>
      </c>
      <c r="E6437" s="50">
        <v>50038517</v>
      </c>
      <c r="F6437" s="50" t="s">
        <v>181</v>
      </c>
      <c r="G6437" s="50">
        <v>1</v>
      </c>
      <c r="H6437" s="50" t="s">
        <v>2</v>
      </c>
      <c r="I6437" s="50" t="s">
        <v>292</v>
      </c>
      <c r="J6437" s="51">
        <v>45898</v>
      </c>
      <c r="K6437" s="50" t="s">
        <v>3</v>
      </c>
      <c r="L6437" s="50" t="s">
        <v>80</v>
      </c>
    </row>
    <row r="6438" spans="2:12">
      <c r="B6438" s="50" t="e">
        <v>#N/A</v>
      </c>
      <c r="C6438" s="50" t="s">
        <v>26</v>
      </c>
      <c r="D6438" s="50" t="s">
        <v>27</v>
      </c>
      <c r="E6438" s="50">
        <v>50038517</v>
      </c>
      <c r="F6438" s="50" t="s">
        <v>181</v>
      </c>
      <c r="G6438" s="50">
        <v>1</v>
      </c>
      <c r="H6438" s="50" t="s">
        <v>2</v>
      </c>
      <c r="I6438" s="50" t="s">
        <v>291</v>
      </c>
      <c r="J6438" s="51">
        <v>45898</v>
      </c>
      <c r="K6438" s="50" t="s">
        <v>1</v>
      </c>
      <c r="L6438" s="50" t="s">
        <v>80</v>
      </c>
    </row>
    <row r="6439" spans="2:12">
      <c r="B6439" s="50" t="e">
        <v>#N/A</v>
      </c>
      <c r="C6439" s="50" t="s">
        <v>26</v>
      </c>
      <c r="D6439" s="50" t="s">
        <v>27</v>
      </c>
      <c r="E6439" s="50">
        <v>50038517</v>
      </c>
      <c r="F6439" s="50" t="s">
        <v>181</v>
      </c>
      <c r="G6439" s="50">
        <v>1</v>
      </c>
      <c r="H6439" s="50" t="s">
        <v>2</v>
      </c>
      <c r="I6439" s="50" t="s">
        <v>291</v>
      </c>
      <c r="J6439" s="51">
        <v>45898</v>
      </c>
      <c r="K6439" s="50" t="s">
        <v>1</v>
      </c>
      <c r="L6439" s="50" t="s">
        <v>80</v>
      </c>
    </row>
    <row r="6440" spans="2:12">
      <c r="B6440" s="50" t="s">
        <v>483</v>
      </c>
      <c r="C6440" s="50" t="s">
        <v>62</v>
      </c>
      <c r="D6440" s="50" t="s">
        <v>27</v>
      </c>
      <c r="E6440" s="50">
        <v>50001995</v>
      </c>
      <c r="F6440" s="50" t="s">
        <v>185</v>
      </c>
      <c r="G6440" s="50">
        <v>1</v>
      </c>
      <c r="H6440" s="50" t="s">
        <v>2</v>
      </c>
      <c r="I6440" s="50" t="s">
        <v>297</v>
      </c>
      <c r="J6440" s="51">
        <v>45898</v>
      </c>
      <c r="K6440" s="50" t="s">
        <v>3</v>
      </c>
      <c r="L6440" s="50" t="s">
        <v>80</v>
      </c>
    </row>
    <row r="6441" spans="2:12">
      <c r="B6441" s="50" t="s">
        <v>483</v>
      </c>
      <c r="C6441" s="50" t="s">
        <v>62</v>
      </c>
      <c r="D6441" s="50" t="s">
        <v>27</v>
      </c>
      <c r="E6441" s="50">
        <v>50001995</v>
      </c>
      <c r="F6441" s="50" t="s">
        <v>185</v>
      </c>
      <c r="G6441" s="50">
        <v>1</v>
      </c>
      <c r="H6441" s="50" t="s">
        <v>2</v>
      </c>
      <c r="I6441" s="50" t="s">
        <v>292</v>
      </c>
      <c r="J6441" s="51">
        <v>45898</v>
      </c>
      <c r="K6441" s="50" t="s">
        <v>3</v>
      </c>
      <c r="L6441" s="50" t="s">
        <v>80</v>
      </c>
    </row>
    <row r="6442" spans="2:12">
      <c r="B6442" s="50" t="s">
        <v>316</v>
      </c>
      <c r="C6442" s="50" t="s">
        <v>51</v>
      </c>
      <c r="D6442" s="50" t="s">
        <v>27</v>
      </c>
      <c r="E6442" s="50">
        <v>50041195</v>
      </c>
      <c r="F6442" s="50" t="s">
        <v>206</v>
      </c>
      <c r="G6442" s="50">
        <v>1</v>
      </c>
      <c r="H6442" s="50" t="s">
        <v>2</v>
      </c>
      <c r="I6442" s="50" t="s">
        <v>287</v>
      </c>
      <c r="J6442" s="51">
        <v>45898</v>
      </c>
      <c r="K6442" s="50" t="s">
        <v>1</v>
      </c>
      <c r="L6442" s="50" t="s">
        <v>80</v>
      </c>
    </row>
    <row r="6443" spans="2:12">
      <c r="B6443" s="50" t="s">
        <v>316</v>
      </c>
      <c r="C6443" s="50" t="s">
        <v>51</v>
      </c>
      <c r="D6443" s="50" t="s">
        <v>27</v>
      </c>
      <c r="E6443" s="50">
        <v>50041195</v>
      </c>
      <c r="F6443" s="50" t="s">
        <v>206</v>
      </c>
      <c r="G6443" s="50">
        <v>1</v>
      </c>
      <c r="H6443" s="50" t="s">
        <v>2</v>
      </c>
      <c r="I6443" s="50" t="s">
        <v>291</v>
      </c>
      <c r="J6443" s="51">
        <v>45898</v>
      </c>
      <c r="K6443" s="50" t="s">
        <v>3</v>
      </c>
      <c r="L6443" s="50" t="s">
        <v>80</v>
      </c>
    </row>
    <row r="6444" spans="2:12">
      <c r="B6444" s="50" t="e">
        <v>#N/A</v>
      </c>
      <c r="C6444" s="50" t="s">
        <v>56</v>
      </c>
      <c r="D6444" s="50" t="s">
        <v>27</v>
      </c>
      <c r="E6444" s="50">
        <v>50041195</v>
      </c>
      <c r="F6444" s="50" t="s">
        <v>206</v>
      </c>
      <c r="G6444" s="50">
        <v>1</v>
      </c>
      <c r="H6444" s="50" t="s">
        <v>2</v>
      </c>
      <c r="I6444" s="50" t="s">
        <v>291</v>
      </c>
      <c r="J6444" s="51">
        <v>45898</v>
      </c>
      <c r="K6444" s="50" t="s">
        <v>1</v>
      </c>
      <c r="L6444" s="50" t="s">
        <v>80</v>
      </c>
    </row>
    <row r="6445" spans="2:12">
      <c r="B6445" s="50" t="e">
        <v>#N/A</v>
      </c>
      <c r="C6445" s="50" t="s">
        <v>56</v>
      </c>
      <c r="D6445" s="50" t="s">
        <v>27</v>
      </c>
      <c r="E6445" s="50">
        <v>50041195</v>
      </c>
      <c r="F6445" s="50" t="s">
        <v>206</v>
      </c>
      <c r="G6445" s="50">
        <v>1</v>
      </c>
      <c r="H6445" s="50" t="s">
        <v>2</v>
      </c>
      <c r="I6445" s="50" t="s">
        <v>291</v>
      </c>
      <c r="J6445" s="51">
        <v>45898</v>
      </c>
      <c r="K6445" s="50" t="s">
        <v>3</v>
      </c>
      <c r="L6445" s="50" t="s">
        <v>80</v>
      </c>
    </row>
    <row r="6446" spans="2:12">
      <c r="B6446" s="50" t="s">
        <v>386</v>
      </c>
      <c r="C6446" s="50" t="s">
        <v>62</v>
      </c>
      <c r="D6446" s="50" t="s">
        <v>27</v>
      </c>
      <c r="E6446" s="50">
        <v>50043917</v>
      </c>
      <c r="F6446" s="50" t="s">
        <v>262</v>
      </c>
      <c r="G6446" s="50">
        <v>1</v>
      </c>
      <c r="H6446" s="50" t="s">
        <v>2</v>
      </c>
      <c r="I6446" s="50" t="s">
        <v>297</v>
      </c>
      <c r="J6446" s="51">
        <v>45898</v>
      </c>
      <c r="K6446" s="50" t="s">
        <v>1</v>
      </c>
      <c r="L6446" s="50" t="s">
        <v>80</v>
      </c>
    </row>
    <row r="6447" spans="2:12">
      <c r="B6447" s="50" t="s">
        <v>277</v>
      </c>
      <c r="C6447" s="50" t="s">
        <v>62</v>
      </c>
      <c r="D6447" s="50" t="s">
        <v>27</v>
      </c>
      <c r="E6447" s="50">
        <v>50043917</v>
      </c>
      <c r="F6447" s="50" t="s">
        <v>262</v>
      </c>
      <c r="G6447" s="50">
        <v>1</v>
      </c>
      <c r="H6447" s="50" t="s">
        <v>2</v>
      </c>
      <c r="I6447" s="50" t="s">
        <v>291</v>
      </c>
      <c r="J6447" s="51">
        <v>45898</v>
      </c>
      <c r="K6447" s="50" t="s">
        <v>1</v>
      </c>
      <c r="L6447" s="50" t="s">
        <v>80</v>
      </c>
    </row>
    <row r="6448" spans="2:12">
      <c r="B6448" s="50" t="s">
        <v>458</v>
      </c>
      <c r="C6448" s="50" t="s">
        <v>26</v>
      </c>
      <c r="D6448" s="50" t="s">
        <v>27</v>
      </c>
      <c r="E6448" s="50">
        <v>50032775</v>
      </c>
      <c r="F6448" s="50" t="s">
        <v>307</v>
      </c>
      <c r="G6448" s="50">
        <v>1</v>
      </c>
      <c r="H6448" s="50" t="s">
        <v>2</v>
      </c>
      <c r="I6448" s="50" t="s">
        <v>291</v>
      </c>
      <c r="J6448" s="51">
        <v>45898</v>
      </c>
      <c r="K6448" s="50" t="s">
        <v>3</v>
      </c>
      <c r="L6448" s="50" t="s">
        <v>80</v>
      </c>
    </row>
    <row r="6449" spans="2:12">
      <c r="B6449" s="50" t="s">
        <v>458</v>
      </c>
      <c r="C6449" s="50" t="s">
        <v>26</v>
      </c>
      <c r="D6449" s="50" t="s">
        <v>27</v>
      </c>
      <c r="E6449" s="50">
        <v>50032775</v>
      </c>
      <c r="F6449" s="50" t="s">
        <v>307</v>
      </c>
      <c r="G6449" s="50">
        <v>1</v>
      </c>
      <c r="H6449" s="50" t="s">
        <v>2</v>
      </c>
      <c r="I6449" s="50" t="s">
        <v>291</v>
      </c>
      <c r="J6449" s="51">
        <v>45898</v>
      </c>
      <c r="K6449" s="50" t="s">
        <v>1</v>
      </c>
      <c r="L6449" s="50" t="s">
        <v>80</v>
      </c>
    </row>
    <row r="6450" spans="2:12">
      <c r="B6450" s="50" t="s">
        <v>394</v>
      </c>
      <c r="C6450" s="50" t="s">
        <v>51</v>
      </c>
      <c r="D6450" s="50" t="s">
        <v>27</v>
      </c>
      <c r="E6450" s="50">
        <v>50032781</v>
      </c>
      <c r="F6450" s="50" t="s">
        <v>237</v>
      </c>
      <c r="G6450" s="50">
        <v>1</v>
      </c>
      <c r="H6450" s="50" t="s">
        <v>2</v>
      </c>
      <c r="I6450" s="50" t="s">
        <v>297</v>
      </c>
      <c r="J6450" s="51">
        <v>45898</v>
      </c>
      <c r="K6450" s="50" t="s">
        <v>3</v>
      </c>
      <c r="L6450" s="50" t="s">
        <v>80</v>
      </c>
    </row>
    <row r="6451" spans="2:12">
      <c r="B6451" s="50" t="s">
        <v>394</v>
      </c>
      <c r="C6451" s="50" t="s">
        <v>51</v>
      </c>
      <c r="D6451" s="50" t="s">
        <v>27</v>
      </c>
      <c r="E6451" s="50">
        <v>50032781</v>
      </c>
      <c r="F6451" s="50" t="s">
        <v>237</v>
      </c>
      <c r="G6451" s="50">
        <v>1</v>
      </c>
      <c r="H6451" s="50" t="s">
        <v>2</v>
      </c>
      <c r="I6451" s="50" t="s">
        <v>291</v>
      </c>
      <c r="J6451" s="51">
        <v>45898</v>
      </c>
      <c r="K6451" s="50" t="s">
        <v>1</v>
      </c>
      <c r="L6451" s="50" t="s">
        <v>80</v>
      </c>
    </row>
    <row r="6452" spans="2:12">
      <c r="B6452" s="50" t="s">
        <v>316</v>
      </c>
      <c r="C6452" s="50" t="s">
        <v>51</v>
      </c>
      <c r="D6452" s="50" t="s">
        <v>27</v>
      </c>
      <c r="E6452" s="50">
        <v>50038194</v>
      </c>
      <c r="F6452" s="50" t="s">
        <v>238</v>
      </c>
      <c r="G6452" s="50">
        <v>1</v>
      </c>
      <c r="H6452" s="50" t="s">
        <v>2</v>
      </c>
      <c r="I6452" s="50" t="s">
        <v>287</v>
      </c>
      <c r="J6452" s="51">
        <v>45898</v>
      </c>
      <c r="K6452" s="50" t="s">
        <v>3</v>
      </c>
      <c r="L6452" s="50" t="s">
        <v>80</v>
      </c>
    </row>
    <row r="6453" spans="2:12">
      <c r="B6453" s="50" t="s">
        <v>316</v>
      </c>
      <c r="C6453" s="50" t="s">
        <v>51</v>
      </c>
      <c r="D6453" s="50" t="s">
        <v>27</v>
      </c>
      <c r="E6453" s="50">
        <v>50038194</v>
      </c>
      <c r="F6453" s="50" t="s">
        <v>238</v>
      </c>
      <c r="G6453" s="50">
        <v>1</v>
      </c>
      <c r="H6453" s="50" t="s">
        <v>2</v>
      </c>
      <c r="I6453" s="50" t="s">
        <v>291</v>
      </c>
      <c r="J6453" s="51">
        <v>45898</v>
      </c>
      <c r="K6453" s="50" t="s">
        <v>1</v>
      </c>
      <c r="L6453" s="50" t="s">
        <v>80</v>
      </c>
    </row>
    <row r="6454" spans="2:12">
      <c r="B6454" s="50" t="s">
        <v>422</v>
      </c>
      <c r="C6454" s="50" t="s">
        <v>26</v>
      </c>
      <c r="D6454" s="50" t="s">
        <v>27</v>
      </c>
      <c r="E6454" s="50">
        <v>50037905</v>
      </c>
      <c r="F6454" s="50" t="s">
        <v>150</v>
      </c>
      <c r="G6454" s="50">
        <v>1</v>
      </c>
      <c r="H6454" s="50" t="s">
        <v>2</v>
      </c>
      <c r="I6454" s="50" t="s">
        <v>291</v>
      </c>
      <c r="J6454" s="51">
        <v>45897</v>
      </c>
      <c r="K6454" s="50" t="s">
        <v>3</v>
      </c>
      <c r="L6454" s="50" t="s">
        <v>80</v>
      </c>
    </row>
    <row r="6455" spans="2:12">
      <c r="B6455" s="50" t="s">
        <v>422</v>
      </c>
      <c r="C6455" s="50" t="s">
        <v>26</v>
      </c>
      <c r="D6455" s="50" t="s">
        <v>27</v>
      </c>
      <c r="E6455" s="50">
        <v>50037905</v>
      </c>
      <c r="F6455" s="50" t="s">
        <v>150</v>
      </c>
      <c r="G6455" s="50">
        <v>1</v>
      </c>
      <c r="H6455" s="50" t="s">
        <v>2</v>
      </c>
      <c r="I6455" s="50" t="s">
        <v>291</v>
      </c>
      <c r="J6455" s="51">
        <v>45897</v>
      </c>
      <c r="K6455" s="50" t="s">
        <v>1</v>
      </c>
      <c r="L6455" s="50" t="s">
        <v>80</v>
      </c>
    </row>
    <row r="6456" spans="2:12">
      <c r="B6456" s="50" t="s">
        <v>399</v>
      </c>
      <c r="C6456" s="50" t="s">
        <v>51</v>
      </c>
      <c r="D6456" s="50" t="s">
        <v>27</v>
      </c>
      <c r="E6456" s="50">
        <v>50030486</v>
      </c>
      <c r="F6456" s="50" t="s">
        <v>153</v>
      </c>
      <c r="G6456" s="50">
        <v>1</v>
      </c>
      <c r="H6456" s="50" t="s">
        <v>2</v>
      </c>
      <c r="I6456" s="50" t="s">
        <v>289</v>
      </c>
      <c r="J6456" s="51">
        <v>45897</v>
      </c>
      <c r="K6456" s="50" t="s">
        <v>3</v>
      </c>
      <c r="L6456" s="50" t="s">
        <v>80</v>
      </c>
    </row>
    <row r="6457" spans="2:12">
      <c r="B6457" s="50" t="s">
        <v>399</v>
      </c>
      <c r="C6457" s="50" t="s">
        <v>51</v>
      </c>
      <c r="D6457" s="50" t="s">
        <v>27</v>
      </c>
      <c r="E6457" s="50">
        <v>50030486</v>
      </c>
      <c r="F6457" s="50" t="s">
        <v>153</v>
      </c>
      <c r="G6457" s="50">
        <v>1</v>
      </c>
      <c r="H6457" s="50" t="s">
        <v>2</v>
      </c>
      <c r="I6457" s="50" t="s">
        <v>291</v>
      </c>
      <c r="J6457" s="51">
        <v>45897</v>
      </c>
      <c r="K6457" s="50" t="s">
        <v>1</v>
      </c>
      <c r="L6457" s="50" t="s">
        <v>80</v>
      </c>
    </row>
    <row r="6458" spans="2:12">
      <c r="B6458" s="50" t="s">
        <v>409</v>
      </c>
      <c r="C6458" s="50" t="s">
        <v>51</v>
      </c>
      <c r="D6458" s="50" t="s">
        <v>27</v>
      </c>
      <c r="E6458" s="50">
        <v>50039236</v>
      </c>
      <c r="F6458" s="50" t="s">
        <v>154</v>
      </c>
      <c r="G6458" s="50">
        <v>1</v>
      </c>
      <c r="H6458" s="50" t="s">
        <v>2</v>
      </c>
      <c r="I6458" s="50" t="s">
        <v>289</v>
      </c>
      <c r="J6458" s="51">
        <v>45897</v>
      </c>
      <c r="K6458" s="50" t="s">
        <v>3</v>
      </c>
      <c r="L6458" s="50" t="s">
        <v>80</v>
      </c>
    </row>
    <row r="6459" spans="2:12">
      <c r="B6459" s="50" t="s">
        <v>409</v>
      </c>
      <c r="C6459" s="50" t="s">
        <v>51</v>
      </c>
      <c r="D6459" s="50" t="s">
        <v>27</v>
      </c>
      <c r="E6459" s="50">
        <v>50039236</v>
      </c>
      <c r="F6459" s="50" t="s">
        <v>154</v>
      </c>
      <c r="G6459" s="50">
        <v>1</v>
      </c>
      <c r="H6459" s="50" t="s">
        <v>2</v>
      </c>
      <c r="I6459" s="50" t="s">
        <v>291</v>
      </c>
      <c r="J6459" s="51">
        <v>45897</v>
      </c>
      <c r="K6459" s="50" t="s">
        <v>1</v>
      </c>
      <c r="L6459" s="50" t="s">
        <v>80</v>
      </c>
    </row>
    <row r="6460" spans="2:12">
      <c r="B6460" s="50" t="s">
        <v>277</v>
      </c>
      <c r="C6460" s="50" t="s">
        <v>62</v>
      </c>
      <c r="D6460" s="50" t="s">
        <v>27</v>
      </c>
      <c r="E6460" s="50">
        <v>50043471</v>
      </c>
      <c r="F6460" s="50" t="s">
        <v>257</v>
      </c>
      <c r="G6460" s="50">
        <v>1</v>
      </c>
      <c r="H6460" s="50" t="s">
        <v>2</v>
      </c>
      <c r="I6460" s="50" t="s">
        <v>292</v>
      </c>
      <c r="J6460" s="51">
        <v>45897</v>
      </c>
      <c r="K6460" s="50" t="s">
        <v>3</v>
      </c>
      <c r="L6460" s="50" t="s">
        <v>80</v>
      </c>
    </row>
    <row r="6461" spans="2:12">
      <c r="B6461" s="50" t="s">
        <v>277</v>
      </c>
      <c r="C6461" s="50" t="s">
        <v>62</v>
      </c>
      <c r="D6461" s="50" t="s">
        <v>27</v>
      </c>
      <c r="E6461" s="50">
        <v>50043471</v>
      </c>
      <c r="F6461" s="50" t="s">
        <v>257</v>
      </c>
      <c r="G6461" s="50">
        <v>1</v>
      </c>
      <c r="H6461" s="50" t="s">
        <v>2</v>
      </c>
      <c r="I6461" s="50" t="s">
        <v>291</v>
      </c>
      <c r="J6461" s="51">
        <v>45897</v>
      </c>
      <c r="K6461" s="50" t="s">
        <v>1</v>
      </c>
      <c r="L6461" s="50" t="s">
        <v>80</v>
      </c>
    </row>
    <row r="6462" spans="2:12">
      <c r="B6462" s="50" t="s">
        <v>386</v>
      </c>
      <c r="C6462" s="50" t="s">
        <v>26</v>
      </c>
      <c r="D6462" s="50" t="s">
        <v>27</v>
      </c>
      <c r="E6462" s="50">
        <v>50003297</v>
      </c>
      <c r="F6462" s="50" t="s">
        <v>158</v>
      </c>
      <c r="G6462" s="50">
        <v>1</v>
      </c>
      <c r="H6462" s="50" t="s">
        <v>2</v>
      </c>
      <c r="I6462" s="50" t="s">
        <v>291</v>
      </c>
      <c r="J6462" s="51">
        <v>45897</v>
      </c>
      <c r="K6462" s="50" t="s">
        <v>3</v>
      </c>
      <c r="L6462" s="50" t="s">
        <v>80</v>
      </c>
    </row>
    <row r="6463" spans="2:12">
      <c r="B6463" s="50" t="s">
        <v>386</v>
      </c>
      <c r="C6463" s="50" t="s">
        <v>26</v>
      </c>
      <c r="D6463" s="50" t="s">
        <v>27</v>
      </c>
      <c r="E6463" s="50">
        <v>50003297</v>
      </c>
      <c r="F6463" s="50" t="s">
        <v>158</v>
      </c>
      <c r="G6463" s="50">
        <v>1</v>
      </c>
      <c r="H6463" s="50" t="s">
        <v>2</v>
      </c>
      <c r="I6463" s="50" t="s">
        <v>291</v>
      </c>
      <c r="J6463" s="51">
        <v>45897</v>
      </c>
      <c r="K6463" s="50" t="s">
        <v>1</v>
      </c>
      <c r="L6463" s="50" t="s">
        <v>80</v>
      </c>
    </row>
    <row r="6464" spans="2:12">
      <c r="B6464" s="50" t="e">
        <v>#N/A</v>
      </c>
      <c r="C6464" s="50" t="s">
        <v>56</v>
      </c>
      <c r="D6464" s="50" t="s">
        <v>27</v>
      </c>
      <c r="E6464" s="50">
        <v>50038549</v>
      </c>
      <c r="F6464" s="50" t="s">
        <v>173</v>
      </c>
      <c r="G6464" s="50">
        <v>1</v>
      </c>
      <c r="H6464" s="50" t="s">
        <v>2</v>
      </c>
      <c r="I6464" s="50" t="s">
        <v>289</v>
      </c>
      <c r="J6464" s="51">
        <v>45897</v>
      </c>
      <c r="K6464" s="50" t="s">
        <v>3</v>
      </c>
      <c r="L6464" s="50" t="s">
        <v>80</v>
      </c>
    </row>
    <row r="6465" spans="2:12">
      <c r="B6465" s="50" t="e">
        <v>#N/A</v>
      </c>
      <c r="C6465" s="50" t="s">
        <v>56</v>
      </c>
      <c r="D6465" s="50">
        <v>0</v>
      </c>
      <c r="E6465" s="50">
        <v>50038549</v>
      </c>
      <c r="F6465" s="50" t="s">
        <v>173</v>
      </c>
      <c r="G6465" s="50">
        <v>1</v>
      </c>
      <c r="H6465" s="50" t="s">
        <v>2</v>
      </c>
      <c r="I6465" s="50" t="s">
        <v>287</v>
      </c>
      <c r="J6465" s="51">
        <v>45897</v>
      </c>
      <c r="K6465" s="50" t="s">
        <v>3</v>
      </c>
      <c r="L6465" s="50" t="s">
        <v>80</v>
      </c>
    </row>
    <row r="6466" spans="2:12">
      <c r="B6466" s="50" t="e">
        <v>#N/A</v>
      </c>
      <c r="C6466" s="50" t="s">
        <v>56</v>
      </c>
      <c r="D6466" s="50" t="s">
        <v>27</v>
      </c>
      <c r="E6466" s="50">
        <v>50037892</v>
      </c>
      <c r="F6466" s="50" t="s">
        <v>178</v>
      </c>
      <c r="G6466" s="50">
        <v>1</v>
      </c>
      <c r="H6466" s="50" t="s">
        <v>2</v>
      </c>
      <c r="I6466" s="50" t="s">
        <v>289</v>
      </c>
      <c r="J6466" s="51">
        <v>45897</v>
      </c>
      <c r="K6466" s="50" t="s">
        <v>1</v>
      </c>
      <c r="L6466" s="50" t="s">
        <v>80</v>
      </c>
    </row>
    <row r="6467" spans="2:12">
      <c r="B6467" s="50" t="e">
        <v>#N/A</v>
      </c>
      <c r="C6467" s="50" t="s">
        <v>56</v>
      </c>
      <c r="D6467" s="50">
        <v>0</v>
      </c>
      <c r="E6467" s="50">
        <v>50037892</v>
      </c>
      <c r="F6467" s="50" t="s">
        <v>178</v>
      </c>
      <c r="G6467" s="50">
        <v>1</v>
      </c>
      <c r="H6467" s="50" t="s">
        <v>2</v>
      </c>
      <c r="I6467" s="50" t="s">
        <v>287</v>
      </c>
      <c r="J6467" s="51">
        <v>45897</v>
      </c>
      <c r="K6467" s="50" t="s">
        <v>3</v>
      </c>
      <c r="L6467" s="50" t="s">
        <v>80</v>
      </c>
    </row>
    <row r="6468" spans="2:12">
      <c r="B6468" s="50" t="s">
        <v>399</v>
      </c>
      <c r="C6468" s="50" t="s">
        <v>51</v>
      </c>
      <c r="D6468" s="50" t="s">
        <v>27</v>
      </c>
      <c r="E6468" s="50">
        <v>50037902</v>
      </c>
      <c r="F6468" s="50" t="s">
        <v>179</v>
      </c>
      <c r="G6468" s="50">
        <v>1</v>
      </c>
      <c r="H6468" s="50" t="s">
        <v>2</v>
      </c>
      <c r="I6468" s="50" t="s">
        <v>289</v>
      </c>
      <c r="J6468" s="51">
        <v>45897</v>
      </c>
      <c r="K6468" s="50" t="s">
        <v>1</v>
      </c>
      <c r="L6468" s="50" t="s">
        <v>80</v>
      </c>
    </row>
    <row r="6469" spans="2:12">
      <c r="B6469" s="50" t="s">
        <v>399</v>
      </c>
      <c r="C6469" s="50" t="s">
        <v>51</v>
      </c>
      <c r="D6469" s="50" t="s">
        <v>27</v>
      </c>
      <c r="E6469" s="50">
        <v>50037902</v>
      </c>
      <c r="F6469" s="50" t="s">
        <v>179</v>
      </c>
      <c r="G6469" s="50">
        <v>1</v>
      </c>
      <c r="H6469" s="50" t="s">
        <v>2</v>
      </c>
      <c r="I6469" s="50" t="s">
        <v>291</v>
      </c>
      <c r="J6469" s="51">
        <v>45897</v>
      </c>
      <c r="K6469" s="50" t="s">
        <v>3</v>
      </c>
      <c r="L6469" s="50" t="s">
        <v>80</v>
      </c>
    </row>
    <row r="6470" spans="2:12">
      <c r="B6470" s="50" t="s">
        <v>478</v>
      </c>
      <c r="C6470" s="50" t="s">
        <v>51</v>
      </c>
      <c r="D6470" s="50" t="s">
        <v>27</v>
      </c>
      <c r="E6470" s="50">
        <v>50038517</v>
      </c>
      <c r="F6470" s="50" t="s">
        <v>181</v>
      </c>
      <c r="G6470" s="50">
        <v>1</v>
      </c>
      <c r="H6470" s="50" t="s">
        <v>2</v>
      </c>
      <c r="I6470" s="50" t="s">
        <v>289</v>
      </c>
      <c r="J6470" s="51">
        <v>45897</v>
      </c>
      <c r="K6470" s="50" t="s">
        <v>1</v>
      </c>
      <c r="L6470" s="50" t="s">
        <v>80</v>
      </c>
    </row>
    <row r="6471" spans="2:12">
      <c r="B6471" s="50" t="s">
        <v>478</v>
      </c>
      <c r="C6471" s="50" t="s">
        <v>51</v>
      </c>
      <c r="D6471" s="50" t="s">
        <v>27</v>
      </c>
      <c r="E6471" s="50">
        <v>50038517</v>
      </c>
      <c r="F6471" s="50" t="s">
        <v>181</v>
      </c>
      <c r="G6471" s="50">
        <v>1</v>
      </c>
      <c r="H6471" s="50" t="s">
        <v>2</v>
      </c>
      <c r="I6471" s="50" t="s">
        <v>291</v>
      </c>
      <c r="J6471" s="51">
        <v>45897</v>
      </c>
      <c r="K6471" s="50" t="s">
        <v>1</v>
      </c>
      <c r="L6471" s="50" t="s">
        <v>80</v>
      </c>
    </row>
    <row r="6472" spans="2:12">
      <c r="B6472" s="50" t="e">
        <v>#N/A</v>
      </c>
      <c r="C6472" s="50" t="s">
        <v>26</v>
      </c>
      <c r="D6472" s="50" t="s">
        <v>27</v>
      </c>
      <c r="E6472" s="50">
        <v>50001995</v>
      </c>
      <c r="F6472" s="50" t="s">
        <v>185</v>
      </c>
      <c r="G6472" s="50">
        <v>1</v>
      </c>
      <c r="H6472" s="50" t="s">
        <v>2</v>
      </c>
      <c r="I6472" s="50" t="s">
        <v>292</v>
      </c>
      <c r="J6472" s="51">
        <v>45897</v>
      </c>
      <c r="K6472" s="50" t="s">
        <v>3</v>
      </c>
      <c r="L6472" s="50" t="s">
        <v>80</v>
      </c>
    </row>
    <row r="6473" spans="2:12">
      <c r="B6473" s="50" t="e">
        <v>#N/A</v>
      </c>
      <c r="C6473" s="50" t="s">
        <v>26</v>
      </c>
      <c r="D6473" s="50" t="s">
        <v>27</v>
      </c>
      <c r="E6473" s="50">
        <v>50001995</v>
      </c>
      <c r="F6473" s="50" t="s">
        <v>185</v>
      </c>
      <c r="G6473" s="50">
        <v>1</v>
      </c>
      <c r="H6473" s="50" t="s">
        <v>2</v>
      </c>
      <c r="I6473" s="50" t="s">
        <v>292</v>
      </c>
      <c r="J6473" s="51">
        <v>45897</v>
      </c>
      <c r="K6473" s="50" t="s">
        <v>1</v>
      </c>
      <c r="L6473" s="50" t="s">
        <v>80</v>
      </c>
    </row>
    <row r="6474" spans="2:12">
      <c r="B6474" s="50" t="s">
        <v>394</v>
      </c>
      <c r="C6474" s="50" t="s">
        <v>26</v>
      </c>
      <c r="D6474" s="50" t="s">
        <v>41</v>
      </c>
      <c r="E6474" s="50">
        <v>50039065</v>
      </c>
      <c r="F6474" s="50" t="s">
        <v>186</v>
      </c>
      <c r="G6474" s="50">
        <v>1</v>
      </c>
      <c r="H6474" s="50" t="s">
        <v>2</v>
      </c>
      <c r="I6474" s="50" t="s">
        <v>291</v>
      </c>
      <c r="J6474" s="51">
        <v>45897</v>
      </c>
      <c r="K6474" s="50" t="s">
        <v>3</v>
      </c>
      <c r="L6474" s="50" t="s">
        <v>80</v>
      </c>
    </row>
    <row r="6475" spans="2:12">
      <c r="B6475" s="50" t="s">
        <v>394</v>
      </c>
      <c r="C6475" s="50" t="s">
        <v>26</v>
      </c>
      <c r="D6475" s="50" t="s">
        <v>41</v>
      </c>
      <c r="E6475" s="50">
        <v>50039065</v>
      </c>
      <c r="F6475" s="50" t="s">
        <v>186</v>
      </c>
      <c r="G6475" s="50">
        <v>1</v>
      </c>
      <c r="H6475" s="50" t="s">
        <v>2</v>
      </c>
      <c r="I6475" s="50" t="s">
        <v>291</v>
      </c>
      <c r="J6475" s="51">
        <v>45897</v>
      </c>
      <c r="K6475" s="50" t="s">
        <v>1</v>
      </c>
      <c r="L6475" s="50" t="s">
        <v>80</v>
      </c>
    </row>
    <row r="6476" spans="2:12">
      <c r="B6476" s="50" t="s">
        <v>277</v>
      </c>
      <c r="C6476" s="50" t="s">
        <v>62</v>
      </c>
      <c r="D6476" s="50" t="s">
        <v>27</v>
      </c>
      <c r="E6476" s="50">
        <v>50026357</v>
      </c>
      <c r="F6476" s="50" t="s">
        <v>192</v>
      </c>
      <c r="G6476" s="50">
        <v>1</v>
      </c>
      <c r="H6476" s="50" t="s">
        <v>2</v>
      </c>
      <c r="I6476" s="50" t="s">
        <v>291</v>
      </c>
      <c r="J6476" s="51">
        <v>45897</v>
      </c>
      <c r="K6476" s="50" t="s">
        <v>3</v>
      </c>
      <c r="L6476" s="50" t="s">
        <v>80</v>
      </c>
    </row>
    <row r="6477" spans="2:12">
      <c r="B6477" s="50" t="e">
        <v>#N/A</v>
      </c>
      <c r="C6477" s="50" t="s">
        <v>56</v>
      </c>
      <c r="D6477" s="50" t="s">
        <v>27</v>
      </c>
      <c r="E6477" s="50">
        <v>50041195</v>
      </c>
      <c r="F6477" s="50" t="s">
        <v>206</v>
      </c>
      <c r="G6477" s="50">
        <v>1</v>
      </c>
      <c r="H6477" s="50" t="s">
        <v>2</v>
      </c>
      <c r="I6477" s="50" t="s">
        <v>289</v>
      </c>
      <c r="J6477" s="51">
        <v>45897</v>
      </c>
      <c r="K6477" s="50" t="s">
        <v>1</v>
      </c>
      <c r="L6477" s="50" t="s">
        <v>80</v>
      </c>
    </row>
    <row r="6478" spans="2:12">
      <c r="B6478" s="50" t="e">
        <v>#N/A</v>
      </c>
      <c r="C6478" s="50" t="s">
        <v>56</v>
      </c>
      <c r="D6478" s="50">
        <v>0</v>
      </c>
      <c r="E6478" s="50">
        <v>50041195</v>
      </c>
      <c r="F6478" s="50" t="s">
        <v>206</v>
      </c>
      <c r="G6478" s="50">
        <v>1</v>
      </c>
      <c r="H6478" s="50" t="s">
        <v>2</v>
      </c>
      <c r="I6478" s="50" t="s">
        <v>287</v>
      </c>
      <c r="J6478" s="51">
        <v>45897</v>
      </c>
      <c r="K6478" s="50" t="s">
        <v>3</v>
      </c>
      <c r="L6478" s="50" t="s">
        <v>80</v>
      </c>
    </row>
    <row r="6479" spans="2:12">
      <c r="B6479" s="50" t="e">
        <v>#N/A</v>
      </c>
      <c r="C6479" s="50" t="s">
        <v>62</v>
      </c>
      <c r="D6479" s="50" t="s">
        <v>27</v>
      </c>
      <c r="E6479" s="50">
        <v>50043917</v>
      </c>
      <c r="F6479" s="50" t="s">
        <v>262</v>
      </c>
      <c r="G6479" s="50">
        <v>1</v>
      </c>
      <c r="H6479" s="50" t="s">
        <v>2</v>
      </c>
      <c r="I6479" s="50" t="s">
        <v>289</v>
      </c>
      <c r="J6479" s="51">
        <v>45897</v>
      </c>
      <c r="K6479" s="50" t="s">
        <v>1</v>
      </c>
      <c r="L6479" s="50" t="s">
        <v>80</v>
      </c>
    </row>
    <row r="6480" spans="2:12">
      <c r="B6480" s="50" t="e">
        <v>#N/A</v>
      </c>
      <c r="C6480" s="50" t="s">
        <v>62</v>
      </c>
      <c r="D6480" s="50" t="s">
        <v>27</v>
      </c>
      <c r="E6480" s="50">
        <v>50043917</v>
      </c>
      <c r="F6480" s="50" t="s">
        <v>262</v>
      </c>
      <c r="G6480" s="50">
        <v>1</v>
      </c>
      <c r="H6480" s="50" t="s">
        <v>2</v>
      </c>
      <c r="I6480" s="50" t="s">
        <v>291</v>
      </c>
      <c r="J6480" s="51">
        <v>45897</v>
      </c>
      <c r="K6480" s="50" t="s">
        <v>1</v>
      </c>
      <c r="L6480" s="50" t="s">
        <v>80</v>
      </c>
    </row>
    <row r="6481" spans="2:12">
      <c r="B6481" s="50" t="s">
        <v>478</v>
      </c>
      <c r="C6481" s="50" t="s">
        <v>51</v>
      </c>
      <c r="D6481" s="50" t="s">
        <v>27</v>
      </c>
      <c r="E6481" s="50">
        <v>50032781</v>
      </c>
      <c r="F6481" s="50" t="s">
        <v>237</v>
      </c>
      <c r="G6481" s="50">
        <v>1</v>
      </c>
      <c r="H6481" s="50" t="s">
        <v>2</v>
      </c>
      <c r="I6481" s="50" t="s">
        <v>292</v>
      </c>
      <c r="J6481" s="51">
        <v>45897</v>
      </c>
      <c r="K6481" s="50" t="s">
        <v>3</v>
      </c>
      <c r="L6481" s="50" t="s">
        <v>80</v>
      </c>
    </row>
    <row r="6482" spans="2:12">
      <c r="B6482" s="50" t="s">
        <v>478</v>
      </c>
      <c r="C6482" s="50" t="s">
        <v>51</v>
      </c>
      <c r="D6482" s="50" t="s">
        <v>27</v>
      </c>
      <c r="E6482" s="50">
        <v>50032781</v>
      </c>
      <c r="F6482" s="50" t="s">
        <v>237</v>
      </c>
      <c r="G6482" s="50">
        <v>1</v>
      </c>
      <c r="H6482" s="50" t="s">
        <v>2</v>
      </c>
      <c r="I6482" s="50" t="s">
        <v>292</v>
      </c>
      <c r="J6482" s="51">
        <v>45897</v>
      </c>
      <c r="K6482" s="50" t="s">
        <v>3</v>
      </c>
      <c r="L6482" s="50" t="s">
        <v>80</v>
      </c>
    </row>
    <row r="6483" spans="2:12">
      <c r="B6483" s="50" t="s">
        <v>437</v>
      </c>
      <c r="C6483" s="50" t="s">
        <v>51</v>
      </c>
      <c r="D6483" s="50" t="s">
        <v>41</v>
      </c>
      <c r="E6483" s="50">
        <v>50010031</v>
      </c>
      <c r="F6483" s="50" t="s">
        <v>89</v>
      </c>
      <c r="G6483" s="50">
        <v>1</v>
      </c>
      <c r="H6483" s="50" t="s">
        <v>2</v>
      </c>
      <c r="I6483" s="50" t="s">
        <v>291</v>
      </c>
      <c r="J6483" s="51">
        <v>45896</v>
      </c>
      <c r="K6483" s="50" t="s">
        <v>1</v>
      </c>
      <c r="L6483" s="50" t="s">
        <v>80</v>
      </c>
    </row>
    <row r="6484" spans="2:12">
      <c r="B6484" s="50" t="s">
        <v>437</v>
      </c>
      <c r="C6484" s="50" t="s">
        <v>51</v>
      </c>
      <c r="D6484" s="50" t="s">
        <v>41</v>
      </c>
      <c r="E6484" s="50">
        <v>50010031</v>
      </c>
      <c r="F6484" s="50" t="s">
        <v>89</v>
      </c>
      <c r="G6484" s="50">
        <v>1</v>
      </c>
      <c r="H6484" s="50" t="s">
        <v>2</v>
      </c>
      <c r="I6484" s="50" t="s">
        <v>291</v>
      </c>
      <c r="J6484" s="51">
        <v>45896</v>
      </c>
      <c r="K6484" s="50" t="s">
        <v>1</v>
      </c>
      <c r="L6484" s="50" t="s">
        <v>80</v>
      </c>
    </row>
    <row r="6485" spans="2:12">
      <c r="B6485" s="50" t="s">
        <v>455</v>
      </c>
      <c r="C6485" s="50" t="s">
        <v>56</v>
      </c>
      <c r="D6485" s="50" t="s">
        <v>41</v>
      </c>
      <c r="E6485" s="50">
        <v>50036296</v>
      </c>
      <c r="F6485" s="50" t="s">
        <v>109</v>
      </c>
      <c r="G6485" s="50">
        <v>1</v>
      </c>
      <c r="H6485" s="50" t="s">
        <v>2</v>
      </c>
      <c r="I6485" s="50" t="s">
        <v>297</v>
      </c>
      <c r="J6485" s="51">
        <v>45896</v>
      </c>
      <c r="K6485" s="50" t="s">
        <v>3</v>
      </c>
      <c r="L6485" s="50" t="s">
        <v>80</v>
      </c>
    </row>
    <row r="6486" spans="2:12">
      <c r="B6486" s="50" t="s">
        <v>455</v>
      </c>
      <c r="C6486" s="50" t="s">
        <v>56</v>
      </c>
      <c r="D6486" s="50" t="s">
        <v>41</v>
      </c>
      <c r="E6486" s="50">
        <v>50036296</v>
      </c>
      <c r="F6486" s="50" t="s">
        <v>109</v>
      </c>
      <c r="G6486" s="50">
        <v>1</v>
      </c>
      <c r="H6486" s="50" t="s">
        <v>2</v>
      </c>
      <c r="I6486" s="50" t="s">
        <v>291</v>
      </c>
      <c r="J6486" s="51">
        <v>45896</v>
      </c>
      <c r="K6486" s="50" t="s">
        <v>1</v>
      </c>
      <c r="L6486" s="50" t="s">
        <v>80</v>
      </c>
    </row>
    <row r="6487" spans="2:12">
      <c r="B6487" s="50" t="s">
        <v>422</v>
      </c>
      <c r="C6487" s="50" t="s">
        <v>26</v>
      </c>
      <c r="D6487" s="50" t="s">
        <v>27</v>
      </c>
      <c r="E6487" s="50">
        <v>50037905</v>
      </c>
      <c r="F6487" s="50" t="s">
        <v>150</v>
      </c>
      <c r="G6487" s="50">
        <v>1</v>
      </c>
      <c r="H6487" s="50" t="s">
        <v>2</v>
      </c>
      <c r="I6487" s="50" t="s">
        <v>291</v>
      </c>
      <c r="J6487" s="51">
        <v>45896</v>
      </c>
      <c r="K6487" s="50" t="s">
        <v>3</v>
      </c>
      <c r="L6487" s="50" t="s">
        <v>80</v>
      </c>
    </row>
    <row r="6488" spans="2:12">
      <c r="B6488" s="50" t="s">
        <v>422</v>
      </c>
      <c r="C6488" s="50" t="s">
        <v>26</v>
      </c>
      <c r="D6488" s="50" t="s">
        <v>27</v>
      </c>
      <c r="E6488" s="50">
        <v>50037905</v>
      </c>
      <c r="F6488" s="50" t="s">
        <v>150</v>
      </c>
      <c r="G6488" s="50">
        <v>1</v>
      </c>
      <c r="H6488" s="50" t="s">
        <v>2</v>
      </c>
      <c r="I6488" s="50" t="s">
        <v>290</v>
      </c>
      <c r="J6488" s="51">
        <v>45896</v>
      </c>
      <c r="K6488" s="50" t="s">
        <v>1</v>
      </c>
      <c r="L6488" s="50" t="s">
        <v>80</v>
      </c>
    </row>
    <row r="6489" spans="2:12">
      <c r="B6489" s="50" t="s">
        <v>439</v>
      </c>
      <c r="C6489" s="50" t="s">
        <v>62</v>
      </c>
      <c r="D6489" s="50" t="s">
        <v>27</v>
      </c>
      <c r="E6489" s="50">
        <v>50030486</v>
      </c>
      <c r="F6489" s="50" t="s">
        <v>153</v>
      </c>
      <c r="G6489" s="50">
        <v>1</v>
      </c>
      <c r="H6489" s="50" t="s">
        <v>2</v>
      </c>
      <c r="I6489" s="50" t="s">
        <v>297</v>
      </c>
      <c r="J6489" s="51">
        <v>45896</v>
      </c>
      <c r="K6489" s="50" t="s">
        <v>3</v>
      </c>
      <c r="L6489" s="50" t="s">
        <v>80</v>
      </c>
    </row>
    <row r="6490" spans="2:12">
      <c r="B6490" s="50" t="s">
        <v>439</v>
      </c>
      <c r="C6490" s="50" t="s">
        <v>62</v>
      </c>
      <c r="D6490" s="50" t="s">
        <v>27</v>
      </c>
      <c r="E6490" s="50">
        <v>50030486</v>
      </c>
      <c r="F6490" s="50" t="s">
        <v>153</v>
      </c>
      <c r="G6490" s="50">
        <v>1</v>
      </c>
      <c r="H6490" s="50" t="s">
        <v>2</v>
      </c>
      <c r="I6490" s="50" t="s">
        <v>292</v>
      </c>
      <c r="J6490" s="51">
        <v>45896</v>
      </c>
      <c r="K6490" s="50" t="s">
        <v>1</v>
      </c>
      <c r="L6490" s="50" t="s">
        <v>80</v>
      </c>
    </row>
    <row r="6491" spans="2:12">
      <c r="B6491" s="50" t="s">
        <v>409</v>
      </c>
      <c r="C6491" s="50" t="s">
        <v>51</v>
      </c>
      <c r="D6491" s="50" t="s">
        <v>27</v>
      </c>
      <c r="E6491" s="50">
        <v>50043471</v>
      </c>
      <c r="F6491" s="50" t="s">
        <v>257</v>
      </c>
      <c r="G6491" s="50">
        <v>1</v>
      </c>
      <c r="H6491" s="50" t="s">
        <v>2</v>
      </c>
      <c r="I6491" s="50" t="s">
        <v>297</v>
      </c>
      <c r="J6491" s="51">
        <v>45896</v>
      </c>
      <c r="K6491" s="50" t="s">
        <v>3</v>
      </c>
      <c r="L6491" s="50" t="s">
        <v>80</v>
      </c>
    </row>
    <row r="6492" spans="2:12">
      <c r="B6492" s="50" t="s">
        <v>409</v>
      </c>
      <c r="C6492" s="50" t="s">
        <v>51</v>
      </c>
      <c r="D6492" s="50" t="s">
        <v>27</v>
      </c>
      <c r="E6492" s="50">
        <v>50043471</v>
      </c>
      <c r="F6492" s="50" t="s">
        <v>257</v>
      </c>
      <c r="G6492" s="50">
        <v>1</v>
      </c>
      <c r="H6492" s="50" t="s">
        <v>2</v>
      </c>
      <c r="I6492" s="50" t="s">
        <v>292</v>
      </c>
      <c r="J6492" s="51">
        <v>45896</v>
      </c>
      <c r="K6492" s="50" t="s">
        <v>1</v>
      </c>
      <c r="L6492" s="50" t="s">
        <v>80</v>
      </c>
    </row>
    <row r="6493" spans="2:12">
      <c r="B6493" s="50" t="s">
        <v>386</v>
      </c>
      <c r="C6493" s="50" t="s">
        <v>62</v>
      </c>
      <c r="D6493" s="50" t="s">
        <v>27</v>
      </c>
      <c r="E6493" s="50">
        <v>50003296</v>
      </c>
      <c r="F6493" s="50" t="s">
        <v>157</v>
      </c>
      <c r="G6493" s="50">
        <v>1</v>
      </c>
      <c r="H6493" s="50" t="s">
        <v>2</v>
      </c>
      <c r="I6493" s="50" t="s">
        <v>297</v>
      </c>
      <c r="J6493" s="51">
        <v>45896</v>
      </c>
      <c r="K6493" s="50" t="s">
        <v>3</v>
      </c>
      <c r="L6493" s="50" t="s">
        <v>80</v>
      </c>
    </row>
    <row r="6494" spans="2:12">
      <c r="B6494" s="50" t="s">
        <v>386</v>
      </c>
      <c r="C6494" s="50" t="s">
        <v>62</v>
      </c>
      <c r="D6494" s="50" t="s">
        <v>27</v>
      </c>
      <c r="E6494" s="50">
        <v>50003296</v>
      </c>
      <c r="F6494" s="50" t="s">
        <v>157</v>
      </c>
      <c r="G6494" s="50">
        <v>1</v>
      </c>
      <c r="H6494" s="50" t="s">
        <v>2</v>
      </c>
      <c r="I6494" s="50" t="s">
        <v>292</v>
      </c>
      <c r="J6494" s="51">
        <v>45896</v>
      </c>
      <c r="K6494" s="50" t="s">
        <v>3</v>
      </c>
      <c r="L6494" s="50" t="s">
        <v>80</v>
      </c>
    </row>
    <row r="6495" spans="2:12">
      <c r="B6495" s="50" t="s">
        <v>445</v>
      </c>
      <c r="C6495" s="50" t="s">
        <v>51</v>
      </c>
      <c r="D6495" s="50" t="s">
        <v>41</v>
      </c>
      <c r="E6495" s="50">
        <v>50038517</v>
      </c>
      <c r="F6495" s="50" t="s">
        <v>181</v>
      </c>
      <c r="G6495" s="50">
        <v>1</v>
      </c>
      <c r="H6495" s="50" t="s">
        <v>2</v>
      </c>
      <c r="I6495" s="50" t="s">
        <v>292</v>
      </c>
      <c r="J6495" s="51">
        <v>45896</v>
      </c>
      <c r="K6495" s="50" t="s">
        <v>1</v>
      </c>
      <c r="L6495" s="50" t="s">
        <v>80</v>
      </c>
    </row>
    <row r="6496" spans="2:12">
      <c r="B6496" s="50" t="s">
        <v>445</v>
      </c>
      <c r="C6496" s="50" t="s">
        <v>51</v>
      </c>
      <c r="D6496" s="50" t="s">
        <v>41</v>
      </c>
      <c r="E6496" s="50">
        <v>50038517</v>
      </c>
      <c r="F6496" s="50" t="s">
        <v>181</v>
      </c>
      <c r="G6496" s="50">
        <v>1</v>
      </c>
      <c r="H6496" s="50" t="s">
        <v>2</v>
      </c>
      <c r="I6496" s="50" t="s">
        <v>292</v>
      </c>
      <c r="J6496" s="51">
        <v>45896</v>
      </c>
      <c r="K6496" s="50" t="s">
        <v>3</v>
      </c>
      <c r="L6496" s="50" t="s">
        <v>80</v>
      </c>
    </row>
    <row r="6497" spans="2:12">
      <c r="B6497" s="50" t="s">
        <v>415</v>
      </c>
      <c r="C6497" s="50" t="s">
        <v>51</v>
      </c>
      <c r="D6497" s="50" t="s">
        <v>27</v>
      </c>
      <c r="E6497" s="50">
        <v>50038517</v>
      </c>
      <c r="F6497" s="50" t="s">
        <v>181</v>
      </c>
      <c r="G6497" s="50">
        <v>1</v>
      </c>
      <c r="H6497" s="50" t="s">
        <v>2</v>
      </c>
      <c r="I6497" s="50" t="s">
        <v>287</v>
      </c>
      <c r="J6497" s="51">
        <v>45896</v>
      </c>
      <c r="K6497" s="50" t="s">
        <v>3</v>
      </c>
      <c r="L6497" s="50" t="s">
        <v>80</v>
      </c>
    </row>
    <row r="6498" spans="2:12">
      <c r="B6498" s="50" t="s">
        <v>415</v>
      </c>
      <c r="C6498" s="50" t="s">
        <v>51</v>
      </c>
      <c r="D6498" s="50" t="s">
        <v>27</v>
      </c>
      <c r="E6498" s="50">
        <v>50038517</v>
      </c>
      <c r="F6498" s="50" t="s">
        <v>181</v>
      </c>
      <c r="G6498" s="50">
        <v>1</v>
      </c>
      <c r="H6498" s="50" t="s">
        <v>2</v>
      </c>
      <c r="I6498" s="50" t="s">
        <v>291</v>
      </c>
      <c r="J6498" s="51">
        <v>45896</v>
      </c>
      <c r="K6498" s="50" t="s">
        <v>3</v>
      </c>
      <c r="L6498" s="50" t="s">
        <v>80</v>
      </c>
    </row>
    <row r="6499" spans="2:12">
      <c r="B6499" s="50" t="s">
        <v>280</v>
      </c>
      <c r="C6499" s="50" t="s">
        <v>62</v>
      </c>
      <c r="D6499" s="50" t="s">
        <v>27</v>
      </c>
      <c r="E6499" s="50">
        <v>50026357</v>
      </c>
      <c r="F6499" s="50" t="s">
        <v>192</v>
      </c>
      <c r="G6499" s="50">
        <v>1</v>
      </c>
      <c r="H6499" s="50" t="s">
        <v>2</v>
      </c>
      <c r="I6499" s="50" t="s">
        <v>292</v>
      </c>
      <c r="J6499" s="51">
        <v>45896</v>
      </c>
      <c r="K6499" s="59" t="s">
        <v>1</v>
      </c>
      <c r="L6499" s="50" t="s">
        <v>80</v>
      </c>
    </row>
    <row r="6500" spans="2:12">
      <c r="B6500" s="50" t="s">
        <v>345</v>
      </c>
      <c r="C6500" s="50" t="s">
        <v>56</v>
      </c>
      <c r="D6500" s="50" t="s">
        <v>27</v>
      </c>
      <c r="E6500" s="50">
        <v>50041195</v>
      </c>
      <c r="F6500" s="50" t="s">
        <v>206</v>
      </c>
      <c r="G6500" s="50">
        <v>1</v>
      </c>
      <c r="H6500" s="50" t="s">
        <v>2</v>
      </c>
      <c r="I6500" s="50" t="s">
        <v>287</v>
      </c>
      <c r="J6500" s="51">
        <v>45896</v>
      </c>
      <c r="K6500" s="50" t="s">
        <v>3</v>
      </c>
      <c r="L6500" s="50" t="s">
        <v>80</v>
      </c>
    </row>
    <row r="6501" spans="2:12">
      <c r="B6501" s="50" t="s">
        <v>446</v>
      </c>
      <c r="C6501" s="50" t="str">
        <f>IFERROR(VLOOKUP(#REF!,'BD COLABORADORES'!A:E,7,FALSE),"")</f>
        <v/>
      </c>
      <c r="D6501" s="50" t="str">
        <f>IFERROR(VLOOKUP(#REF!,'BD COLABORADORES'!A:E,2,FALSE),"")</f>
        <v/>
      </c>
      <c r="E6501" s="50">
        <v>50041195</v>
      </c>
      <c r="F6501" s="50" t="str">
        <f>IFERROR(VLOOKUP(E6501,'BD MOVIMENTAÇÃO'!A:G,3,FALSE),"Não encontrado")</f>
        <v>PARAFUSADEIRA FUR DE IMPACTO BRUSHLESS</v>
      </c>
      <c r="G6501" s="58">
        <v>1</v>
      </c>
      <c r="H6501" s="59" t="s">
        <v>2</v>
      </c>
      <c r="I6501" s="59" t="s">
        <v>314</v>
      </c>
      <c r="J6501" s="60">
        <v>45896</v>
      </c>
      <c r="K6501" s="50" t="s">
        <v>3</v>
      </c>
      <c r="L6501" s="50" t="s">
        <v>80</v>
      </c>
    </row>
    <row r="6502" spans="2:12">
      <c r="B6502" s="50" t="e">
        <v>#N/A</v>
      </c>
      <c r="C6502" s="50" t="s">
        <v>62</v>
      </c>
      <c r="D6502" s="50" t="s">
        <v>27</v>
      </c>
      <c r="E6502" s="50">
        <v>50043917</v>
      </c>
      <c r="F6502" s="50" t="s">
        <v>262</v>
      </c>
      <c r="G6502" s="50">
        <v>1</v>
      </c>
      <c r="H6502" s="50" t="s">
        <v>2</v>
      </c>
      <c r="I6502" s="50" t="s">
        <v>291</v>
      </c>
      <c r="J6502" s="51">
        <v>45896</v>
      </c>
      <c r="K6502" s="50" t="s">
        <v>1</v>
      </c>
      <c r="L6502" s="50" t="s">
        <v>80</v>
      </c>
    </row>
    <row r="6503" spans="2:12">
      <c r="B6503" s="50" t="s">
        <v>409</v>
      </c>
      <c r="C6503" s="50" t="s">
        <v>51</v>
      </c>
      <c r="D6503" s="50" t="s">
        <v>27</v>
      </c>
      <c r="E6503" s="50">
        <v>50032781</v>
      </c>
      <c r="F6503" s="50" t="s">
        <v>237</v>
      </c>
      <c r="G6503" s="50">
        <v>1</v>
      </c>
      <c r="H6503" s="50" t="s">
        <v>2</v>
      </c>
      <c r="I6503" s="50" t="s">
        <v>297</v>
      </c>
      <c r="J6503" s="51">
        <v>45896</v>
      </c>
      <c r="K6503" s="50" t="s">
        <v>3</v>
      </c>
      <c r="L6503" s="50" t="s">
        <v>80</v>
      </c>
    </row>
    <row r="6504" spans="2:12">
      <c r="B6504" s="50" t="s">
        <v>409</v>
      </c>
      <c r="C6504" s="50" t="s">
        <v>51</v>
      </c>
      <c r="D6504" s="50" t="s">
        <v>27</v>
      </c>
      <c r="E6504" s="50">
        <v>50032781</v>
      </c>
      <c r="F6504" s="50" t="s">
        <v>237</v>
      </c>
      <c r="G6504" s="50">
        <v>1</v>
      </c>
      <c r="H6504" s="50" t="s">
        <v>2</v>
      </c>
      <c r="I6504" s="50" t="s">
        <v>297</v>
      </c>
      <c r="J6504" s="51">
        <v>45896</v>
      </c>
      <c r="K6504" s="50" t="s">
        <v>1</v>
      </c>
      <c r="L6504" s="50" t="s">
        <v>80</v>
      </c>
    </row>
    <row r="6505" spans="2:12">
      <c r="B6505" s="50" t="s">
        <v>280</v>
      </c>
      <c r="C6505" s="50" t="s">
        <v>62</v>
      </c>
      <c r="D6505" s="50" t="s">
        <v>27</v>
      </c>
      <c r="E6505" s="50">
        <v>50038854</v>
      </c>
      <c r="F6505" s="50" t="s">
        <v>101</v>
      </c>
      <c r="G6505" s="50">
        <v>1</v>
      </c>
      <c r="H6505" s="50" t="s">
        <v>4</v>
      </c>
      <c r="I6505" s="50" t="s">
        <v>290</v>
      </c>
      <c r="J6505" s="51">
        <v>45895</v>
      </c>
      <c r="K6505" s="50" t="s">
        <v>1</v>
      </c>
      <c r="L6505" s="50" t="s">
        <v>80</v>
      </c>
    </row>
    <row r="6506" spans="2:12">
      <c r="B6506" s="50" t="s">
        <v>422</v>
      </c>
      <c r="C6506" s="50" t="s">
        <v>26</v>
      </c>
      <c r="D6506" s="50" t="s">
        <v>27</v>
      </c>
      <c r="E6506" s="50">
        <v>50037905</v>
      </c>
      <c r="F6506" s="50" t="s">
        <v>150</v>
      </c>
      <c r="G6506" s="50">
        <v>1</v>
      </c>
      <c r="H6506" s="50" t="s">
        <v>2</v>
      </c>
      <c r="I6506" s="50" t="s">
        <v>290</v>
      </c>
      <c r="J6506" s="51">
        <v>45895</v>
      </c>
      <c r="K6506" s="50" t="s">
        <v>3</v>
      </c>
      <c r="L6506" s="50" t="s">
        <v>80</v>
      </c>
    </row>
    <row r="6507" spans="2:12">
      <c r="B6507" s="50" t="s">
        <v>422</v>
      </c>
      <c r="C6507" s="50" t="s">
        <v>26</v>
      </c>
      <c r="D6507" s="50" t="s">
        <v>27</v>
      </c>
      <c r="E6507" s="50">
        <v>50037905</v>
      </c>
      <c r="F6507" s="50" t="s">
        <v>150</v>
      </c>
      <c r="G6507" s="50">
        <v>1</v>
      </c>
      <c r="H6507" s="50" t="s">
        <v>2</v>
      </c>
      <c r="I6507" s="50" t="s">
        <v>290</v>
      </c>
      <c r="J6507" s="51">
        <v>45895</v>
      </c>
      <c r="K6507" s="50" t="s">
        <v>1</v>
      </c>
      <c r="L6507" s="50" t="s">
        <v>80</v>
      </c>
    </row>
    <row r="6508" spans="2:12">
      <c r="B6508" s="50" t="s">
        <v>478</v>
      </c>
      <c r="C6508" s="50" t="s">
        <v>51</v>
      </c>
      <c r="D6508" s="50" t="s">
        <v>27</v>
      </c>
      <c r="E6508" s="50">
        <v>50030486</v>
      </c>
      <c r="F6508" s="50" t="s">
        <v>153</v>
      </c>
      <c r="G6508" s="50">
        <v>1</v>
      </c>
      <c r="H6508" s="50" t="s">
        <v>2</v>
      </c>
      <c r="I6508" s="50" t="s">
        <v>289</v>
      </c>
      <c r="J6508" s="51">
        <v>45895</v>
      </c>
      <c r="K6508" s="50" t="s">
        <v>3</v>
      </c>
      <c r="L6508" s="50" t="s">
        <v>80</v>
      </c>
    </row>
    <row r="6509" spans="2:12">
      <c r="B6509" s="50" t="s">
        <v>478</v>
      </c>
      <c r="C6509" s="50" t="s">
        <v>51</v>
      </c>
      <c r="D6509" s="50" t="s">
        <v>27</v>
      </c>
      <c r="E6509" s="50">
        <v>50030486</v>
      </c>
      <c r="F6509" s="50" t="s">
        <v>153</v>
      </c>
      <c r="G6509" s="50">
        <v>1</v>
      </c>
      <c r="H6509" s="50" t="s">
        <v>2</v>
      </c>
      <c r="I6509" s="50" t="s">
        <v>290</v>
      </c>
      <c r="J6509" s="51">
        <v>45895</v>
      </c>
      <c r="K6509" s="50" t="s">
        <v>1</v>
      </c>
      <c r="L6509" s="50" t="s">
        <v>80</v>
      </c>
    </row>
    <row r="6510" spans="2:12">
      <c r="B6510" s="50" t="s">
        <v>316</v>
      </c>
      <c r="C6510" s="50" t="s">
        <v>51</v>
      </c>
      <c r="D6510" s="50" t="s">
        <v>27</v>
      </c>
      <c r="E6510" s="50">
        <v>50022878</v>
      </c>
      <c r="F6510" s="50" t="s">
        <v>296</v>
      </c>
      <c r="G6510" s="50">
        <v>1</v>
      </c>
      <c r="H6510" s="50" t="s">
        <v>2</v>
      </c>
      <c r="I6510" s="50" t="s">
        <v>290</v>
      </c>
      <c r="J6510" s="51">
        <v>45895</v>
      </c>
      <c r="K6510" s="50" t="s">
        <v>3</v>
      </c>
      <c r="L6510" s="50" t="s">
        <v>80</v>
      </c>
    </row>
    <row r="6511" spans="2:12">
      <c r="B6511" s="50" t="s">
        <v>316</v>
      </c>
      <c r="C6511" s="50" t="s">
        <v>51</v>
      </c>
      <c r="D6511" s="50" t="s">
        <v>27</v>
      </c>
      <c r="E6511" s="50">
        <v>50022878</v>
      </c>
      <c r="F6511" s="50" t="s">
        <v>296</v>
      </c>
      <c r="G6511" s="50">
        <v>1</v>
      </c>
      <c r="H6511" s="50" t="s">
        <v>2</v>
      </c>
      <c r="I6511" s="50" t="s">
        <v>290</v>
      </c>
      <c r="J6511" s="51">
        <v>45895</v>
      </c>
      <c r="K6511" s="50" t="s">
        <v>3</v>
      </c>
      <c r="L6511" s="50" t="s">
        <v>80</v>
      </c>
    </row>
    <row r="6512" spans="2:12">
      <c r="B6512" s="50" t="s">
        <v>394</v>
      </c>
      <c r="C6512" s="50" t="s">
        <v>51</v>
      </c>
      <c r="D6512" s="50" t="s">
        <v>27</v>
      </c>
      <c r="E6512" s="50">
        <v>50037892</v>
      </c>
      <c r="F6512" s="50" t="s">
        <v>178</v>
      </c>
      <c r="G6512" s="50">
        <v>1</v>
      </c>
      <c r="H6512" s="50" t="s">
        <v>2</v>
      </c>
      <c r="I6512" s="50" t="s">
        <v>290</v>
      </c>
      <c r="J6512" s="51">
        <v>45895</v>
      </c>
      <c r="K6512" s="50" t="s">
        <v>1</v>
      </c>
      <c r="L6512" s="50" t="s">
        <v>80</v>
      </c>
    </row>
    <row r="6513" spans="2:12">
      <c r="B6513" s="50" t="s">
        <v>394</v>
      </c>
      <c r="C6513" s="50" t="s">
        <v>51</v>
      </c>
      <c r="D6513" s="50" t="s">
        <v>27</v>
      </c>
      <c r="E6513" s="50">
        <v>50037892</v>
      </c>
      <c r="F6513" s="50" t="s">
        <v>178</v>
      </c>
      <c r="G6513" s="50">
        <v>1</v>
      </c>
      <c r="H6513" s="50" t="s">
        <v>2</v>
      </c>
      <c r="I6513" s="50" t="s">
        <v>290</v>
      </c>
      <c r="J6513" s="51">
        <v>45895</v>
      </c>
      <c r="K6513" s="50" t="s">
        <v>3</v>
      </c>
      <c r="L6513" s="50" t="s">
        <v>80</v>
      </c>
    </row>
    <row r="6514" spans="2:12">
      <c r="B6514" s="50" t="s">
        <v>316</v>
      </c>
      <c r="C6514" s="50" t="s">
        <v>51</v>
      </c>
      <c r="D6514" s="50" t="s">
        <v>27</v>
      </c>
      <c r="E6514" s="50">
        <v>50037902</v>
      </c>
      <c r="F6514" s="50" t="s">
        <v>179</v>
      </c>
      <c r="G6514" s="50">
        <v>1</v>
      </c>
      <c r="H6514" s="50" t="s">
        <v>2</v>
      </c>
      <c r="I6514" s="50" t="s">
        <v>290</v>
      </c>
      <c r="J6514" s="51">
        <v>45895</v>
      </c>
      <c r="K6514" s="50" t="s">
        <v>1</v>
      </c>
      <c r="L6514" s="50" t="s">
        <v>80</v>
      </c>
    </row>
    <row r="6515" spans="2:12">
      <c r="B6515" s="50" t="s">
        <v>316</v>
      </c>
      <c r="C6515" s="50" t="s">
        <v>51</v>
      </c>
      <c r="D6515" s="50" t="s">
        <v>27</v>
      </c>
      <c r="E6515" s="50">
        <v>50037902</v>
      </c>
      <c r="F6515" s="50" t="s">
        <v>179</v>
      </c>
      <c r="G6515" s="50">
        <v>1</v>
      </c>
      <c r="H6515" s="50" t="s">
        <v>2</v>
      </c>
      <c r="I6515" s="50" t="s">
        <v>290</v>
      </c>
      <c r="J6515" s="51">
        <v>45895</v>
      </c>
      <c r="K6515" s="50" t="s">
        <v>3</v>
      </c>
      <c r="L6515" s="50" t="s">
        <v>80</v>
      </c>
    </row>
    <row r="6516" spans="2:12">
      <c r="B6516" s="50" t="s">
        <v>280</v>
      </c>
      <c r="C6516" s="50" t="s">
        <v>62</v>
      </c>
      <c r="D6516" s="50" t="s">
        <v>27</v>
      </c>
      <c r="E6516" s="50">
        <v>50038841</v>
      </c>
      <c r="F6516" s="50" t="s">
        <v>180</v>
      </c>
      <c r="G6516" s="50">
        <v>1</v>
      </c>
      <c r="H6516" s="50" t="s">
        <v>4</v>
      </c>
      <c r="I6516" s="50" t="s">
        <v>290</v>
      </c>
      <c r="J6516" s="51">
        <v>45895</v>
      </c>
      <c r="K6516" s="50" t="s">
        <v>1</v>
      </c>
      <c r="L6516" s="50" t="s">
        <v>80</v>
      </c>
    </row>
    <row r="6517" spans="2:12">
      <c r="B6517" s="50" t="s">
        <v>280</v>
      </c>
      <c r="C6517" s="50" t="s">
        <v>62</v>
      </c>
      <c r="D6517" s="50" t="s">
        <v>27</v>
      </c>
      <c r="E6517" s="50">
        <v>50038841</v>
      </c>
      <c r="F6517" s="50" t="s">
        <v>180</v>
      </c>
      <c r="G6517" s="50">
        <v>1</v>
      </c>
      <c r="H6517" s="50" t="s">
        <v>2</v>
      </c>
      <c r="I6517" s="50" t="s">
        <v>290</v>
      </c>
      <c r="J6517" s="51">
        <v>45895</v>
      </c>
      <c r="K6517" s="50" t="s">
        <v>3</v>
      </c>
      <c r="L6517" s="50" t="s">
        <v>80</v>
      </c>
    </row>
    <row r="6518" spans="2:12">
      <c r="B6518" s="50" t="s">
        <v>407</v>
      </c>
      <c r="C6518" s="50" t="s">
        <v>56</v>
      </c>
      <c r="D6518" s="50" t="s">
        <v>39</v>
      </c>
      <c r="E6518" s="50">
        <v>50038517</v>
      </c>
      <c r="F6518" s="50" t="s">
        <v>181</v>
      </c>
      <c r="G6518" s="50">
        <v>1</v>
      </c>
      <c r="H6518" s="50" t="s">
        <v>2</v>
      </c>
      <c r="I6518" s="50" t="s">
        <v>290</v>
      </c>
      <c r="J6518" s="51">
        <v>45895</v>
      </c>
      <c r="K6518" s="50" t="s">
        <v>3</v>
      </c>
      <c r="L6518" s="50" t="s">
        <v>80</v>
      </c>
    </row>
    <row r="6519" spans="2:12">
      <c r="B6519" s="50" t="s">
        <v>407</v>
      </c>
      <c r="C6519" s="50" t="s">
        <v>56</v>
      </c>
      <c r="D6519" s="50" t="s">
        <v>39</v>
      </c>
      <c r="E6519" s="50">
        <v>50038517</v>
      </c>
      <c r="F6519" s="50" t="s">
        <v>181</v>
      </c>
      <c r="G6519" s="50">
        <v>1</v>
      </c>
      <c r="H6519" s="50" t="s">
        <v>2</v>
      </c>
      <c r="I6519" s="50" t="s">
        <v>290</v>
      </c>
      <c r="J6519" s="51">
        <v>45895</v>
      </c>
      <c r="K6519" s="50" t="s">
        <v>3</v>
      </c>
      <c r="L6519" s="50" t="s">
        <v>80</v>
      </c>
    </row>
    <row r="6520" spans="2:12">
      <c r="B6520" s="50" t="s">
        <v>345</v>
      </c>
      <c r="C6520" s="50" t="s">
        <v>62</v>
      </c>
      <c r="D6520" s="50" t="s">
        <v>27</v>
      </c>
      <c r="E6520" s="50">
        <v>50041195</v>
      </c>
      <c r="F6520" s="50" t="s">
        <v>206</v>
      </c>
      <c r="G6520" s="50">
        <v>1</v>
      </c>
      <c r="H6520" s="50" t="s">
        <v>2</v>
      </c>
      <c r="I6520" s="50" t="s">
        <v>290</v>
      </c>
      <c r="J6520" s="51">
        <v>45895</v>
      </c>
      <c r="K6520" s="50" t="s">
        <v>3</v>
      </c>
      <c r="L6520" s="50" t="s">
        <v>80</v>
      </c>
    </row>
    <row r="6521" spans="2:12">
      <c r="B6521" s="50" t="s">
        <v>277</v>
      </c>
      <c r="C6521" s="50" t="s">
        <v>62</v>
      </c>
      <c r="D6521" s="50" t="s">
        <v>27</v>
      </c>
      <c r="E6521" s="50">
        <v>50043917</v>
      </c>
      <c r="F6521" s="50" t="s">
        <v>262</v>
      </c>
      <c r="G6521" s="50">
        <v>1</v>
      </c>
      <c r="H6521" s="50" t="s">
        <v>2</v>
      </c>
      <c r="I6521" s="50" t="s">
        <v>290</v>
      </c>
      <c r="J6521" s="51">
        <v>45895</v>
      </c>
      <c r="K6521" s="50" t="s">
        <v>3</v>
      </c>
      <c r="L6521" s="50" t="s">
        <v>80</v>
      </c>
    </row>
    <row r="6522" spans="2:12">
      <c r="B6522" s="50" t="s">
        <v>280</v>
      </c>
      <c r="C6522" s="50" t="s">
        <v>62</v>
      </c>
      <c r="D6522" s="50" t="s">
        <v>27</v>
      </c>
      <c r="E6522" s="50">
        <v>50038854</v>
      </c>
      <c r="F6522" s="50" t="s">
        <v>101</v>
      </c>
      <c r="G6522" s="50">
        <v>1</v>
      </c>
      <c r="H6522" s="50" t="s">
        <v>2</v>
      </c>
      <c r="I6522" s="50" t="s">
        <v>293</v>
      </c>
      <c r="J6522" s="51">
        <v>45894</v>
      </c>
      <c r="K6522" s="50" t="s">
        <v>1</v>
      </c>
      <c r="L6522" s="50" t="s">
        <v>80</v>
      </c>
    </row>
    <row r="6523" spans="2:12">
      <c r="B6523" s="50" t="s">
        <v>469</v>
      </c>
      <c r="C6523" s="50" t="s">
        <v>26</v>
      </c>
      <c r="D6523" s="50" t="s">
        <v>39</v>
      </c>
      <c r="E6523" s="50">
        <v>50037905</v>
      </c>
      <c r="F6523" s="50" t="s">
        <v>150</v>
      </c>
      <c r="G6523" s="50">
        <v>1</v>
      </c>
      <c r="H6523" s="50" t="s">
        <v>2</v>
      </c>
      <c r="I6523" s="50" t="s">
        <v>289</v>
      </c>
      <c r="J6523" s="51">
        <v>45894</v>
      </c>
      <c r="K6523" s="50" t="s">
        <v>3</v>
      </c>
      <c r="L6523" s="50" t="s">
        <v>80</v>
      </c>
    </row>
    <row r="6524" spans="2:12">
      <c r="B6524" s="50" t="s">
        <v>469</v>
      </c>
      <c r="C6524" s="50" t="s">
        <v>26</v>
      </c>
      <c r="D6524" s="50" t="s">
        <v>39</v>
      </c>
      <c r="E6524" s="50">
        <v>50037905</v>
      </c>
      <c r="F6524" s="50" t="s">
        <v>150</v>
      </c>
      <c r="G6524" s="50">
        <v>1</v>
      </c>
      <c r="H6524" s="50" t="s">
        <v>2</v>
      </c>
      <c r="I6524" s="50" t="s">
        <v>290</v>
      </c>
      <c r="J6524" s="51">
        <v>45894</v>
      </c>
      <c r="K6524" s="50" t="s">
        <v>1</v>
      </c>
      <c r="L6524" s="50" t="s">
        <v>80</v>
      </c>
    </row>
    <row r="6525" spans="2:12">
      <c r="B6525" s="50" t="s">
        <v>399</v>
      </c>
      <c r="C6525" s="50" t="s">
        <v>51</v>
      </c>
      <c r="D6525" s="50" t="s">
        <v>27</v>
      </c>
      <c r="E6525" s="50">
        <v>50039236</v>
      </c>
      <c r="F6525" s="50" t="s">
        <v>154</v>
      </c>
      <c r="G6525" s="50">
        <v>1</v>
      </c>
      <c r="H6525" s="50" t="s">
        <v>2</v>
      </c>
      <c r="I6525" s="50" t="s">
        <v>293</v>
      </c>
      <c r="J6525" s="51">
        <v>45894</v>
      </c>
      <c r="K6525" s="50" t="s">
        <v>3</v>
      </c>
      <c r="L6525" s="50" t="s">
        <v>80</v>
      </c>
    </row>
    <row r="6526" spans="2:12">
      <c r="B6526" s="50" t="s">
        <v>399</v>
      </c>
      <c r="C6526" s="50" t="s">
        <v>51</v>
      </c>
      <c r="D6526" s="50" t="s">
        <v>27</v>
      </c>
      <c r="E6526" s="50">
        <v>50039236</v>
      </c>
      <c r="F6526" s="50" t="s">
        <v>154</v>
      </c>
      <c r="G6526" s="50">
        <v>1</v>
      </c>
      <c r="H6526" s="50" t="s">
        <v>2</v>
      </c>
      <c r="I6526" s="50" t="s">
        <v>293</v>
      </c>
      <c r="J6526" s="51">
        <v>45894</v>
      </c>
      <c r="K6526" s="50" t="s">
        <v>1</v>
      </c>
      <c r="L6526" s="50" t="s">
        <v>80</v>
      </c>
    </row>
    <row r="6527" spans="2:12">
      <c r="B6527" s="50" t="s">
        <v>388</v>
      </c>
      <c r="C6527" s="50" t="s">
        <v>56</v>
      </c>
      <c r="D6527" s="50" t="s">
        <v>39</v>
      </c>
      <c r="E6527" s="50">
        <v>50036299</v>
      </c>
      <c r="F6527" s="50" t="s">
        <v>163</v>
      </c>
      <c r="G6527" s="50">
        <v>1</v>
      </c>
      <c r="H6527" s="50" t="s">
        <v>2</v>
      </c>
      <c r="I6527" s="50" t="s">
        <v>289</v>
      </c>
      <c r="J6527" s="51">
        <v>45894</v>
      </c>
      <c r="K6527" s="50" t="s">
        <v>3</v>
      </c>
      <c r="L6527" s="50" t="s">
        <v>80</v>
      </c>
    </row>
    <row r="6528" spans="2:12">
      <c r="B6528" s="50" t="s">
        <v>388</v>
      </c>
      <c r="C6528" s="50" t="str">
        <f>IFERROR(VLOOKUP(#REF!,'BD COLABORADORES'!A:E,7,FALSE),"")</f>
        <v/>
      </c>
      <c r="D6528" s="50" t="str">
        <f>IFERROR(VLOOKUP(#REF!,'BD COLABORADORES'!A:E,2,FALSE),"")</f>
        <v/>
      </c>
      <c r="E6528" s="50">
        <v>50036299</v>
      </c>
      <c r="F6528" s="50" t="str">
        <f>IFERROR(VLOOKUP(E6528,'BD MOVIMENTAÇÃO'!A:G,3,FALSE),"Não encontrado")</f>
        <v>JOGO DE SERRAS COPOS BIMETALICAS 16 PEÇAS</v>
      </c>
      <c r="G6528" s="58">
        <v>1</v>
      </c>
      <c r="H6528" s="50" t="s">
        <v>2</v>
      </c>
      <c r="I6528" s="59" t="s">
        <v>289</v>
      </c>
      <c r="J6528" s="60">
        <v>45894</v>
      </c>
      <c r="K6528" s="50" t="s">
        <v>3</v>
      </c>
      <c r="L6528" s="50" t="s">
        <v>80</v>
      </c>
    </row>
    <row r="6529" spans="2:12">
      <c r="B6529" s="50" t="s">
        <v>316</v>
      </c>
      <c r="C6529" s="50" t="s">
        <v>51</v>
      </c>
      <c r="D6529" s="50" t="s">
        <v>27</v>
      </c>
      <c r="E6529" s="50">
        <v>50037902</v>
      </c>
      <c r="F6529" s="50" t="s">
        <v>179</v>
      </c>
      <c r="G6529" s="50">
        <v>1</v>
      </c>
      <c r="H6529" s="50" t="s">
        <v>2</v>
      </c>
      <c r="I6529" s="50" t="s">
        <v>293</v>
      </c>
      <c r="J6529" s="51">
        <v>45894</v>
      </c>
      <c r="K6529" s="50" t="s">
        <v>1</v>
      </c>
      <c r="L6529" s="50" t="s">
        <v>80</v>
      </c>
    </row>
    <row r="6530" spans="2:12">
      <c r="B6530" s="50" t="s">
        <v>316</v>
      </c>
      <c r="C6530" s="50" t="s">
        <v>51</v>
      </c>
      <c r="D6530" s="50" t="s">
        <v>27</v>
      </c>
      <c r="E6530" s="50">
        <v>50037902</v>
      </c>
      <c r="F6530" s="50" t="s">
        <v>179</v>
      </c>
      <c r="G6530" s="50">
        <v>1</v>
      </c>
      <c r="H6530" s="50" t="s">
        <v>2</v>
      </c>
      <c r="I6530" s="50" t="s">
        <v>290</v>
      </c>
      <c r="J6530" s="51">
        <v>45894</v>
      </c>
      <c r="K6530" s="50" t="s">
        <v>3</v>
      </c>
      <c r="L6530" s="50" t="s">
        <v>80</v>
      </c>
    </row>
    <row r="6531" spans="2:12">
      <c r="B6531" s="50" t="s">
        <v>483</v>
      </c>
      <c r="C6531" s="50" t="s">
        <v>62</v>
      </c>
      <c r="D6531" s="50" t="s">
        <v>27</v>
      </c>
      <c r="E6531" s="50">
        <v>50038841</v>
      </c>
      <c r="F6531" s="50" t="s">
        <v>180</v>
      </c>
      <c r="G6531" s="50">
        <v>1</v>
      </c>
      <c r="H6531" s="50" t="s">
        <v>2</v>
      </c>
      <c r="I6531" s="50" t="s">
        <v>289</v>
      </c>
      <c r="J6531" s="51">
        <v>45894</v>
      </c>
      <c r="K6531" s="50" t="s">
        <v>1</v>
      </c>
      <c r="L6531" s="50" t="s">
        <v>80</v>
      </c>
    </row>
    <row r="6532" spans="2:12">
      <c r="B6532" s="50" t="s">
        <v>483</v>
      </c>
      <c r="C6532" s="50" t="s">
        <v>62</v>
      </c>
      <c r="D6532" s="50" t="s">
        <v>27</v>
      </c>
      <c r="E6532" s="50">
        <v>50038841</v>
      </c>
      <c r="F6532" s="50" t="s">
        <v>180</v>
      </c>
      <c r="G6532" s="50">
        <v>1</v>
      </c>
      <c r="H6532" s="50" t="s">
        <v>2</v>
      </c>
      <c r="I6532" s="50" t="s">
        <v>290</v>
      </c>
      <c r="J6532" s="51">
        <v>45894</v>
      </c>
      <c r="K6532" s="50" t="s">
        <v>1</v>
      </c>
      <c r="L6532" s="50" t="s">
        <v>80</v>
      </c>
    </row>
    <row r="6533" spans="2:12">
      <c r="B6533" s="50" t="s">
        <v>483</v>
      </c>
      <c r="C6533" s="50" t="s">
        <v>62</v>
      </c>
      <c r="D6533" s="50" t="s">
        <v>27</v>
      </c>
      <c r="E6533" s="50">
        <v>50001995</v>
      </c>
      <c r="F6533" s="50" t="s">
        <v>185</v>
      </c>
      <c r="G6533" s="50">
        <v>1</v>
      </c>
      <c r="H6533" s="50" t="s">
        <v>2</v>
      </c>
      <c r="I6533" s="50" t="s">
        <v>289</v>
      </c>
      <c r="J6533" s="51">
        <v>45894</v>
      </c>
      <c r="K6533" s="50" t="s">
        <v>3</v>
      </c>
      <c r="L6533" s="50" t="s">
        <v>80</v>
      </c>
    </row>
    <row r="6534" spans="2:12">
      <c r="B6534" s="50" t="s">
        <v>483</v>
      </c>
      <c r="C6534" s="50" t="s">
        <v>62</v>
      </c>
      <c r="D6534" s="50" t="s">
        <v>27</v>
      </c>
      <c r="E6534" s="50">
        <v>50001995</v>
      </c>
      <c r="F6534" s="50" t="s">
        <v>185</v>
      </c>
      <c r="G6534" s="50">
        <v>1</v>
      </c>
      <c r="H6534" s="50" t="s">
        <v>2</v>
      </c>
      <c r="I6534" s="50" t="s">
        <v>290</v>
      </c>
      <c r="J6534" s="51">
        <v>45894</v>
      </c>
      <c r="K6534" s="50" t="s">
        <v>1</v>
      </c>
      <c r="L6534" s="50" t="s">
        <v>80</v>
      </c>
    </row>
    <row r="6535" spans="2:12">
      <c r="B6535" s="50" t="s">
        <v>277</v>
      </c>
      <c r="C6535" s="50" t="s">
        <v>62</v>
      </c>
      <c r="D6535" s="50" t="s">
        <v>27</v>
      </c>
      <c r="E6535" s="50">
        <v>50026357</v>
      </c>
      <c r="F6535" s="50" t="s">
        <v>192</v>
      </c>
      <c r="G6535" s="50">
        <v>1</v>
      </c>
      <c r="H6535" s="50" t="s">
        <v>2</v>
      </c>
      <c r="I6535" s="50" t="s">
        <v>293</v>
      </c>
      <c r="J6535" s="51">
        <v>45894</v>
      </c>
      <c r="K6535" s="50" t="s">
        <v>3</v>
      </c>
      <c r="L6535" s="50" t="s">
        <v>80</v>
      </c>
    </row>
    <row r="6536" spans="2:12">
      <c r="B6536" s="50" t="s">
        <v>277</v>
      </c>
      <c r="C6536" s="50" t="s">
        <v>62</v>
      </c>
      <c r="D6536" s="50" t="s">
        <v>27</v>
      </c>
      <c r="E6536" s="50">
        <v>50026357</v>
      </c>
      <c r="F6536" s="50" t="s">
        <v>192</v>
      </c>
      <c r="G6536" s="50">
        <v>1</v>
      </c>
      <c r="H6536" s="50" t="s">
        <v>4</v>
      </c>
      <c r="I6536" s="50" t="s">
        <v>290</v>
      </c>
      <c r="J6536" s="51">
        <v>45894</v>
      </c>
      <c r="K6536" s="50" t="s">
        <v>1</v>
      </c>
      <c r="L6536" s="50" t="s">
        <v>80</v>
      </c>
    </row>
    <row r="6537" spans="2:12">
      <c r="B6537" s="50" t="s">
        <v>388</v>
      </c>
      <c r="C6537" s="50" t="s">
        <v>56</v>
      </c>
      <c r="D6537" s="50" t="s">
        <v>39</v>
      </c>
      <c r="E6537" s="50">
        <v>50041195</v>
      </c>
      <c r="F6537" s="50" t="s">
        <v>206</v>
      </c>
      <c r="G6537" s="50">
        <v>1</v>
      </c>
      <c r="H6537" s="50" t="s">
        <v>2</v>
      </c>
      <c r="I6537" s="50" t="s">
        <v>289</v>
      </c>
      <c r="J6537" s="51">
        <v>45894</v>
      </c>
      <c r="K6537" s="50" t="s">
        <v>1</v>
      </c>
      <c r="L6537" s="50" t="s">
        <v>80</v>
      </c>
    </row>
    <row r="6538" spans="2:12">
      <c r="B6538" s="50" t="s">
        <v>389</v>
      </c>
      <c r="C6538" s="50" t="s">
        <v>56</v>
      </c>
      <c r="D6538" s="50" t="s">
        <v>27</v>
      </c>
      <c r="E6538" s="50">
        <v>50041195</v>
      </c>
      <c r="F6538" s="50" t="s">
        <v>206</v>
      </c>
      <c r="G6538" s="50">
        <v>1</v>
      </c>
      <c r="H6538" s="50" t="s">
        <v>2</v>
      </c>
      <c r="I6538" s="50" t="s">
        <v>289</v>
      </c>
      <c r="J6538" s="51">
        <v>45894</v>
      </c>
      <c r="K6538" s="50" t="s">
        <v>1</v>
      </c>
      <c r="L6538" s="50" t="s">
        <v>80</v>
      </c>
    </row>
    <row r="6539" spans="2:12">
      <c r="B6539" s="50" t="s">
        <v>388</v>
      </c>
      <c r="C6539" s="50" t="str">
        <f>IFERROR(VLOOKUP(#REF!,'BD COLABORADORES'!A:E,7,FALSE),"")</f>
        <v/>
      </c>
      <c r="D6539" s="50" t="str">
        <f>IFERROR(VLOOKUP(#REF!,'BD COLABORADORES'!A:E,2,FALSE),"")</f>
        <v/>
      </c>
      <c r="E6539" s="50">
        <v>50041195</v>
      </c>
      <c r="F6539" s="50" t="str">
        <f>IFERROR(VLOOKUP(E6539,'BD MOVIMENTAÇÃO'!A:G,3,FALSE),"Não encontrado")</f>
        <v>PARAFUSADEIRA FUR DE IMPACTO BRUSHLESS</v>
      </c>
      <c r="G6539" s="58">
        <v>1</v>
      </c>
      <c r="H6539" s="50" t="s">
        <v>2</v>
      </c>
      <c r="I6539" s="59" t="s">
        <v>289</v>
      </c>
      <c r="J6539" s="60">
        <v>45894</v>
      </c>
      <c r="K6539" s="50" t="s">
        <v>3</v>
      </c>
      <c r="L6539" s="50" t="s">
        <v>80</v>
      </c>
    </row>
    <row r="6540" spans="2:12">
      <c r="B6540" s="50" t="s">
        <v>345</v>
      </c>
      <c r="C6540" s="50" t="s">
        <v>62</v>
      </c>
      <c r="D6540" s="50" t="s">
        <v>27</v>
      </c>
      <c r="E6540" s="50">
        <v>50043917</v>
      </c>
      <c r="F6540" s="50" t="s">
        <v>262</v>
      </c>
      <c r="G6540" s="50">
        <v>1</v>
      </c>
      <c r="H6540" s="50" t="s">
        <v>2</v>
      </c>
      <c r="I6540" s="50" t="s">
        <v>293</v>
      </c>
      <c r="J6540" s="51">
        <v>45894</v>
      </c>
      <c r="K6540" s="50" t="s">
        <v>1</v>
      </c>
      <c r="L6540" s="50" t="s">
        <v>80</v>
      </c>
    </row>
    <row r="6541" spans="2:12">
      <c r="B6541" s="50" t="s">
        <v>345</v>
      </c>
      <c r="C6541" s="50" t="s">
        <v>62</v>
      </c>
      <c r="D6541" s="50" t="s">
        <v>27</v>
      </c>
      <c r="E6541" s="50">
        <v>50043917</v>
      </c>
      <c r="F6541" s="50" t="s">
        <v>262</v>
      </c>
      <c r="G6541" s="50">
        <v>1</v>
      </c>
      <c r="H6541" s="50" t="s">
        <v>2</v>
      </c>
      <c r="I6541" s="50" t="s">
        <v>290</v>
      </c>
      <c r="J6541" s="51">
        <v>45894</v>
      </c>
      <c r="K6541" s="50" t="s">
        <v>1</v>
      </c>
      <c r="L6541" s="50" t="s">
        <v>80</v>
      </c>
    </row>
    <row r="6542" spans="2:12">
      <c r="B6542" s="50" t="s">
        <v>402</v>
      </c>
      <c r="C6542" s="50" t="str">
        <f>IFERROR(VLOOKUP(#REF!,'BD COLABORADORES'!A:E,7,FALSE),"")</f>
        <v/>
      </c>
      <c r="D6542" s="50" t="str">
        <f>IFERROR(VLOOKUP(#REF!,'BD COLABORADORES'!A:E,2,FALSE),"")</f>
        <v/>
      </c>
      <c r="E6542" s="50">
        <v>50037933</v>
      </c>
      <c r="F6542" s="50" t="str">
        <f>IFERROR(VLOOKUP(E6542,'BD MOVIMENTAÇÃO'!A:G,3,FALSE),"Não encontrado")</f>
        <v>TERMOMETRO</v>
      </c>
      <c r="G6542" s="58">
        <v>1</v>
      </c>
      <c r="H6542" s="50" t="s">
        <v>2</v>
      </c>
      <c r="I6542" s="59"/>
      <c r="J6542" s="60">
        <v>45894</v>
      </c>
      <c r="K6542" s="50" t="s">
        <v>3</v>
      </c>
      <c r="L6542" s="50" t="s">
        <v>80</v>
      </c>
    </row>
    <row r="6543" spans="2:12">
      <c r="B6543" s="50" t="s">
        <v>402</v>
      </c>
      <c r="C6543" s="50" t="str">
        <f>IFERROR(VLOOKUP(#REF!,'BD COLABORADORES'!A:E,7,FALSE),"")</f>
        <v/>
      </c>
      <c r="D6543" s="50" t="str">
        <f>IFERROR(VLOOKUP(#REF!,'BD COLABORADORES'!A:E,2,FALSE),"")</f>
        <v/>
      </c>
      <c r="E6543" s="50">
        <v>50037933</v>
      </c>
      <c r="F6543" s="50" t="str">
        <f>IFERROR(VLOOKUP(E6543,'BD MOVIMENTAÇÃO'!A:G,3,FALSE),"Não encontrado")</f>
        <v>TERMOMETRO</v>
      </c>
      <c r="G6543" s="58">
        <v>1</v>
      </c>
      <c r="H6543" s="50" t="s">
        <v>2</v>
      </c>
      <c r="I6543" s="59"/>
      <c r="J6543" s="60">
        <v>45894</v>
      </c>
      <c r="K6543" s="50" t="s">
        <v>1</v>
      </c>
      <c r="L6543" s="50" t="s">
        <v>80</v>
      </c>
    </row>
    <row r="6544" spans="2:12">
      <c r="B6544" s="50" t="s">
        <v>439</v>
      </c>
      <c r="C6544" s="50" t="str">
        <f>IFERROR(VLOOKUP(#REF!,'BD COLABORADORES'!A:E,7,FALSE),"")</f>
        <v/>
      </c>
      <c r="D6544" s="50" t="str">
        <f>IFERROR(VLOOKUP(#REF!,'BD COLABORADORES'!A:E,2,FALSE),"")</f>
        <v/>
      </c>
      <c r="E6544" s="50">
        <v>50043917</v>
      </c>
      <c r="F6544" s="50" t="str">
        <f>IFERROR(VLOOKUP(E6544,'BD MOVIMENTAÇÃO'!A:G,3,FALSE),"Não encontrado")</f>
        <v>PARAFUSADEIRA FURADEIRA BOSCH</v>
      </c>
      <c r="G6544" s="58">
        <v>1</v>
      </c>
      <c r="H6544" s="50" t="s">
        <v>2</v>
      </c>
      <c r="I6544" s="59" t="s">
        <v>311</v>
      </c>
      <c r="J6544" s="63">
        <v>45893</v>
      </c>
      <c r="K6544" s="50" t="s">
        <v>1</v>
      </c>
      <c r="L6544" s="50" t="s">
        <v>80</v>
      </c>
    </row>
    <row r="6545" spans="2:12">
      <c r="B6545" s="50" t="s">
        <v>394</v>
      </c>
      <c r="C6545" s="50" t="s">
        <v>26</v>
      </c>
      <c r="D6545" s="50" t="s">
        <v>41</v>
      </c>
      <c r="E6545" s="50">
        <v>50038956</v>
      </c>
      <c r="F6545" s="50" t="s">
        <v>177</v>
      </c>
      <c r="G6545" s="50">
        <v>1</v>
      </c>
      <c r="H6545" s="50" t="s">
        <v>2</v>
      </c>
      <c r="I6545" s="50" t="s">
        <v>289</v>
      </c>
      <c r="J6545" s="51">
        <v>45892</v>
      </c>
      <c r="K6545" s="50" t="s">
        <v>3</v>
      </c>
      <c r="L6545" s="50" t="s">
        <v>80</v>
      </c>
    </row>
    <row r="6546" spans="2:12">
      <c r="B6546" s="50" t="s">
        <v>394</v>
      </c>
      <c r="C6546" s="50" t="s">
        <v>26</v>
      </c>
      <c r="D6546" s="50" t="s">
        <v>41</v>
      </c>
      <c r="E6546" s="50">
        <v>50038956</v>
      </c>
      <c r="F6546" s="50" t="s">
        <v>177</v>
      </c>
      <c r="G6546" s="50">
        <v>1</v>
      </c>
      <c r="H6546" s="50" t="s">
        <v>2</v>
      </c>
      <c r="I6546" s="50" t="s">
        <v>289</v>
      </c>
      <c r="J6546" s="51">
        <v>45892</v>
      </c>
      <c r="K6546" s="50" t="s">
        <v>3</v>
      </c>
      <c r="L6546" s="50" t="s">
        <v>80</v>
      </c>
    </row>
    <row r="6547" spans="2:12">
      <c r="B6547" s="50" t="s">
        <v>445</v>
      </c>
      <c r="C6547" s="50" t="s">
        <v>51</v>
      </c>
      <c r="D6547" s="50" t="s">
        <v>41</v>
      </c>
      <c r="E6547" s="50">
        <v>50038841</v>
      </c>
      <c r="F6547" s="50" t="s">
        <v>180</v>
      </c>
      <c r="G6547" s="50">
        <v>1</v>
      </c>
      <c r="H6547" s="50" t="s">
        <v>2</v>
      </c>
      <c r="I6547" s="50" t="s">
        <v>289</v>
      </c>
      <c r="J6547" s="51">
        <v>45892</v>
      </c>
      <c r="K6547" s="50" t="s">
        <v>1</v>
      </c>
      <c r="L6547" s="50" t="s">
        <v>80</v>
      </c>
    </row>
    <row r="6548" spans="2:12">
      <c r="B6548" s="50" t="s">
        <v>445</v>
      </c>
      <c r="C6548" s="50" t="s">
        <v>51</v>
      </c>
      <c r="D6548" s="50" t="s">
        <v>41</v>
      </c>
      <c r="E6548" s="50">
        <v>50038841</v>
      </c>
      <c r="F6548" s="50" t="s">
        <v>180</v>
      </c>
      <c r="G6548" s="50">
        <v>1</v>
      </c>
      <c r="H6548" s="50" t="s">
        <v>2</v>
      </c>
      <c r="I6548" s="50" t="s">
        <v>289</v>
      </c>
      <c r="J6548" s="51">
        <v>45892</v>
      </c>
      <c r="K6548" s="50" t="s">
        <v>1</v>
      </c>
      <c r="L6548" s="50" t="s">
        <v>80</v>
      </c>
    </row>
    <row r="6549" spans="2:12">
      <c r="B6549" s="50" t="s">
        <v>445</v>
      </c>
      <c r="C6549" s="50" t="s">
        <v>51</v>
      </c>
      <c r="D6549" s="50" t="s">
        <v>41</v>
      </c>
      <c r="E6549" s="50">
        <v>50039065</v>
      </c>
      <c r="F6549" s="50" t="s">
        <v>186</v>
      </c>
      <c r="G6549" s="50">
        <v>1</v>
      </c>
      <c r="H6549" s="50" t="s">
        <v>2</v>
      </c>
      <c r="I6549" s="50" t="s">
        <v>289</v>
      </c>
      <c r="J6549" s="51">
        <v>45892</v>
      </c>
      <c r="K6549" s="50" t="s">
        <v>3</v>
      </c>
      <c r="L6549" s="50" t="s">
        <v>80</v>
      </c>
    </row>
    <row r="6550" spans="2:12">
      <c r="B6550" s="50" t="s">
        <v>445</v>
      </c>
      <c r="C6550" s="50" t="s">
        <v>51</v>
      </c>
      <c r="D6550" s="50" t="s">
        <v>41</v>
      </c>
      <c r="E6550" s="50">
        <v>50039065</v>
      </c>
      <c r="F6550" s="50" t="s">
        <v>186</v>
      </c>
      <c r="G6550" s="50">
        <v>1</v>
      </c>
      <c r="H6550" s="50" t="s">
        <v>2</v>
      </c>
      <c r="I6550" s="50" t="s">
        <v>289</v>
      </c>
      <c r="J6550" s="51">
        <v>45892</v>
      </c>
      <c r="K6550" s="50" t="s">
        <v>3</v>
      </c>
      <c r="L6550" s="50" t="s">
        <v>80</v>
      </c>
    </row>
    <row r="6551" spans="2:12">
      <c r="B6551" s="50" t="s">
        <v>437</v>
      </c>
      <c r="C6551" s="50" t="s">
        <v>51</v>
      </c>
      <c r="D6551" s="50" t="s">
        <v>41</v>
      </c>
      <c r="E6551" s="50">
        <v>50010031</v>
      </c>
      <c r="F6551" s="50" t="s">
        <v>89</v>
      </c>
      <c r="G6551" s="50">
        <v>1</v>
      </c>
      <c r="H6551" s="50" t="s">
        <v>2</v>
      </c>
      <c r="I6551" s="50" t="s">
        <v>293</v>
      </c>
      <c r="J6551" s="51">
        <v>45891</v>
      </c>
      <c r="K6551" s="50" t="s">
        <v>1</v>
      </c>
      <c r="L6551" s="50" t="s">
        <v>80</v>
      </c>
    </row>
    <row r="6552" spans="2:12">
      <c r="B6552" s="50" t="s">
        <v>437</v>
      </c>
      <c r="C6552" s="50" t="s">
        <v>51</v>
      </c>
      <c r="D6552" s="50" t="s">
        <v>41</v>
      </c>
      <c r="E6552" s="50">
        <v>50010031</v>
      </c>
      <c r="F6552" s="50" t="s">
        <v>89</v>
      </c>
      <c r="G6552" s="50">
        <v>1</v>
      </c>
      <c r="H6552" s="50" t="s">
        <v>2</v>
      </c>
      <c r="I6552" s="50" t="s">
        <v>287</v>
      </c>
      <c r="J6552" s="51">
        <v>45891</v>
      </c>
      <c r="K6552" s="50" t="s">
        <v>1</v>
      </c>
      <c r="L6552" s="50" t="s">
        <v>80</v>
      </c>
    </row>
    <row r="6553" spans="2:12">
      <c r="B6553" s="50" t="s">
        <v>466</v>
      </c>
      <c r="C6553" s="50" t="s">
        <v>62</v>
      </c>
      <c r="D6553" s="50" t="s">
        <v>27</v>
      </c>
      <c r="E6553" s="50">
        <v>50002644</v>
      </c>
      <c r="F6553" s="50" t="s">
        <v>91</v>
      </c>
      <c r="G6553" s="50">
        <v>1</v>
      </c>
      <c r="H6553" s="50" t="s">
        <v>2</v>
      </c>
      <c r="I6553" s="50" t="s">
        <v>291</v>
      </c>
      <c r="J6553" s="51">
        <v>45891</v>
      </c>
      <c r="K6553" s="50" t="s">
        <v>3</v>
      </c>
      <c r="L6553" s="50" t="s">
        <v>80</v>
      </c>
    </row>
    <row r="6554" spans="2:12">
      <c r="B6554" s="50" t="s">
        <v>466</v>
      </c>
      <c r="C6554" s="50" t="s">
        <v>62</v>
      </c>
      <c r="D6554" s="50" t="s">
        <v>27</v>
      </c>
      <c r="E6554" s="50">
        <v>50002644</v>
      </c>
      <c r="F6554" s="50" t="s">
        <v>91</v>
      </c>
      <c r="G6554" s="50">
        <v>1</v>
      </c>
      <c r="H6554" s="50" t="s">
        <v>2</v>
      </c>
      <c r="I6554" s="50" t="s">
        <v>291</v>
      </c>
      <c r="J6554" s="51">
        <v>45891</v>
      </c>
      <c r="K6554" s="50" t="s">
        <v>1</v>
      </c>
      <c r="L6554" s="50" t="s">
        <v>80</v>
      </c>
    </row>
    <row r="6555" spans="2:12">
      <c r="B6555" s="50" t="s">
        <v>345</v>
      </c>
      <c r="C6555" s="50" t="s">
        <v>56</v>
      </c>
      <c r="D6555" s="50" t="s">
        <v>27</v>
      </c>
      <c r="E6555" s="50">
        <v>50038854</v>
      </c>
      <c r="F6555" s="50" t="s">
        <v>101</v>
      </c>
      <c r="G6555" s="50">
        <v>1</v>
      </c>
      <c r="H6555" s="50" t="s">
        <v>2</v>
      </c>
      <c r="I6555" s="50" t="s">
        <v>293</v>
      </c>
      <c r="J6555" s="51">
        <v>45891</v>
      </c>
      <c r="K6555" s="50" t="s">
        <v>3</v>
      </c>
      <c r="L6555" s="50" t="s">
        <v>80</v>
      </c>
    </row>
    <row r="6556" spans="2:12">
      <c r="B6556" s="50" t="s">
        <v>345</v>
      </c>
      <c r="C6556" s="50" t="s">
        <v>56</v>
      </c>
      <c r="D6556" s="50" t="s">
        <v>27</v>
      </c>
      <c r="E6556" s="50">
        <v>50038854</v>
      </c>
      <c r="F6556" s="50" t="s">
        <v>101</v>
      </c>
      <c r="G6556" s="50">
        <v>1</v>
      </c>
      <c r="H6556" s="50" t="s">
        <v>2</v>
      </c>
      <c r="I6556" s="50" t="s">
        <v>292</v>
      </c>
      <c r="J6556" s="51">
        <v>45891</v>
      </c>
      <c r="K6556" s="50" t="s">
        <v>1</v>
      </c>
      <c r="L6556" s="50" t="s">
        <v>80</v>
      </c>
    </row>
    <row r="6557" spans="2:12">
      <c r="B6557" s="50" t="s">
        <v>447</v>
      </c>
      <c r="C6557" s="50" t="s">
        <v>56</v>
      </c>
      <c r="D6557" s="50" t="s">
        <v>41</v>
      </c>
      <c r="E6557" s="50">
        <v>50036298</v>
      </c>
      <c r="F6557" s="50" t="s">
        <v>102</v>
      </c>
      <c r="G6557" s="50">
        <v>1</v>
      </c>
      <c r="H6557" s="50" t="s">
        <v>2</v>
      </c>
      <c r="I6557" s="50" t="s">
        <v>291</v>
      </c>
      <c r="J6557" s="51">
        <v>45891</v>
      </c>
      <c r="K6557" s="50" t="s">
        <v>3</v>
      </c>
      <c r="L6557" s="50" t="s">
        <v>80</v>
      </c>
    </row>
    <row r="6558" spans="2:12">
      <c r="B6558" s="50" t="s">
        <v>447</v>
      </c>
      <c r="C6558" s="50" t="s">
        <v>56</v>
      </c>
      <c r="D6558" s="50" t="s">
        <v>41</v>
      </c>
      <c r="E6558" s="50">
        <v>50036298</v>
      </c>
      <c r="F6558" s="50" t="s">
        <v>102</v>
      </c>
      <c r="G6558" s="50">
        <v>1</v>
      </c>
      <c r="H6558" s="50" t="s">
        <v>2</v>
      </c>
      <c r="I6558" s="50" t="s">
        <v>291</v>
      </c>
      <c r="J6558" s="51">
        <v>45891</v>
      </c>
      <c r="K6558" s="50" t="s">
        <v>1</v>
      </c>
      <c r="L6558" s="50" t="s">
        <v>80</v>
      </c>
    </row>
    <row r="6559" spans="2:12">
      <c r="B6559" s="50" t="s">
        <v>25</v>
      </c>
      <c r="C6559" s="50" t="s">
        <v>26</v>
      </c>
      <c r="D6559" s="50" t="s">
        <v>27</v>
      </c>
      <c r="E6559" s="50">
        <v>50037960</v>
      </c>
      <c r="F6559" s="50" t="s">
        <v>112</v>
      </c>
      <c r="G6559" s="50">
        <v>1</v>
      </c>
      <c r="H6559" s="50" t="s">
        <v>2</v>
      </c>
      <c r="I6559" s="50" t="s">
        <v>289</v>
      </c>
      <c r="J6559" s="51">
        <v>45891</v>
      </c>
      <c r="K6559" s="50" t="s">
        <v>1</v>
      </c>
      <c r="L6559" s="50" t="s">
        <v>80</v>
      </c>
    </row>
    <row r="6560" spans="2:12">
      <c r="B6560" s="50" t="s">
        <v>25</v>
      </c>
      <c r="C6560" s="50" t="s">
        <v>26</v>
      </c>
      <c r="D6560" s="50" t="s">
        <v>27</v>
      </c>
      <c r="E6560" s="50">
        <v>50037961</v>
      </c>
      <c r="F6560" s="50" t="s">
        <v>113</v>
      </c>
      <c r="G6560" s="50">
        <v>1</v>
      </c>
      <c r="H6560" s="50" t="s">
        <v>2</v>
      </c>
      <c r="I6560" s="50" t="s">
        <v>289</v>
      </c>
      <c r="J6560" s="51">
        <v>45891</v>
      </c>
      <c r="K6560" s="50" t="s">
        <v>1</v>
      </c>
      <c r="L6560" s="50" t="s">
        <v>80</v>
      </c>
    </row>
    <row r="6561" spans="2:12">
      <c r="B6561" s="50" t="s">
        <v>445</v>
      </c>
      <c r="C6561" s="50" t="s">
        <v>51</v>
      </c>
      <c r="D6561" s="50" t="s">
        <v>41</v>
      </c>
      <c r="E6561" s="50">
        <v>50039236</v>
      </c>
      <c r="F6561" s="50" t="s">
        <v>154</v>
      </c>
      <c r="G6561" s="50">
        <v>1</v>
      </c>
      <c r="H6561" s="50" t="s">
        <v>2</v>
      </c>
      <c r="I6561" s="50" t="s">
        <v>293</v>
      </c>
      <c r="J6561" s="51">
        <v>45891</v>
      </c>
      <c r="K6561" s="50" t="s">
        <v>3</v>
      </c>
      <c r="L6561" s="50" t="s">
        <v>80</v>
      </c>
    </row>
    <row r="6562" spans="2:12">
      <c r="B6562" s="50" t="s">
        <v>445</v>
      </c>
      <c r="C6562" s="50" t="s">
        <v>51</v>
      </c>
      <c r="D6562" s="50" t="s">
        <v>41</v>
      </c>
      <c r="E6562" s="50">
        <v>50039236</v>
      </c>
      <c r="F6562" s="50" t="s">
        <v>154</v>
      </c>
      <c r="G6562" s="50">
        <v>1</v>
      </c>
      <c r="H6562" s="50" t="s">
        <v>2</v>
      </c>
      <c r="I6562" s="50" t="s">
        <v>291</v>
      </c>
      <c r="J6562" s="51">
        <v>45891</v>
      </c>
      <c r="K6562" s="50" t="s">
        <v>1</v>
      </c>
      <c r="L6562" s="50" t="s">
        <v>80</v>
      </c>
    </row>
    <row r="6563" spans="2:12">
      <c r="B6563" s="50" t="s">
        <v>394</v>
      </c>
      <c r="C6563" s="50" t="s">
        <v>51</v>
      </c>
      <c r="D6563" s="50" t="s">
        <v>27</v>
      </c>
      <c r="E6563" s="50">
        <v>50043471</v>
      </c>
      <c r="F6563" s="50" t="s">
        <v>257</v>
      </c>
      <c r="G6563" s="50">
        <v>1</v>
      </c>
      <c r="H6563" s="50" t="s">
        <v>2</v>
      </c>
      <c r="I6563" s="50" t="s">
        <v>291</v>
      </c>
      <c r="J6563" s="51">
        <v>45891</v>
      </c>
      <c r="K6563" s="50" t="s">
        <v>3</v>
      </c>
      <c r="L6563" s="50" t="s">
        <v>80</v>
      </c>
    </row>
    <row r="6564" spans="2:12">
      <c r="B6564" s="50" t="s">
        <v>394</v>
      </c>
      <c r="C6564" s="50" t="s">
        <v>51</v>
      </c>
      <c r="D6564" s="50" t="s">
        <v>27</v>
      </c>
      <c r="E6564" s="50">
        <v>50043471</v>
      </c>
      <c r="F6564" s="50" t="s">
        <v>257</v>
      </c>
      <c r="G6564" s="50">
        <v>1</v>
      </c>
      <c r="H6564" s="50" t="s">
        <v>2</v>
      </c>
      <c r="I6564" s="50" t="s">
        <v>287</v>
      </c>
      <c r="J6564" s="51">
        <v>45891</v>
      </c>
      <c r="K6564" s="50" t="s">
        <v>1</v>
      </c>
      <c r="L6564" s="50" t="s">
        <v>80</v>
      </c>
    </row>
    <row r="6565" spans="2:12">
      <c r="B6565" s="50" t="s">
        <v>316</v>
      </c>
      <c r="C6565" s="50" t="s">
        <v>56</v>
      </c>
      <c r="D6565" s="50" t="s">
        <v>27</v>
      </c>
      <c r="E6565" s="50">
        <v>50003296</v>
      </c>
      <c r="F6565" s="50" t="s">
        <v>157</v>
      </c>
      <c r="G6565" s="50">
        <v>1</v>
      </c>
      <c r="H6565" s="50" t="s">
        <v>2</v>
      </c>
      <c r="I6565" s="50" t="s">
        <v>291</v>
      </c>
      <c r="J6565" s="51">
        <v>45891</v>
      </c>
      <c r="K6565" s="50" t="s">
        <v>3</v>
      </c>
      <c r="L6565" s="50" t="s">
        <v>80</v>
      </c>
    </row>
    <row r="6566" spans="2:12">
      <c r="B6566" s="50" t="s">
        <v>316</v>
      </c>
      <c r="C6566" s="50" t="s">
        <v>56</v>
      </c>
      <c r="D6566" s="50" t="s">
        <v>27</v>
      </c>
      <c r="E6566" s="50">
        <v>50003296</v>
      </c>
      <c r="F6566" s="50" t="s">
        <v>157</v>
      </c>
      <c r="G6566" s="50">
        <v>1</v>
      </c>
      <c r="H6566" s="50" t="s">
        <v>2</v>
      </c>
      <c r="I6566" s="50" t="s">
        <v>291</v>
      </c>
      <c r="J6566" s="51">
        <v>45891</v>
      </c>
      <c r="K6566" s="50" t="s">
        <v>1</v>
      </c>
      <c r="L6566" s="50" t="s">
        <v>80</v>
      </c>
    </row>
    <row r="6567" spans="2:12">
      <c r="B6567" s="50" t="s">
        <v>458</v>
      </c>
      <c r="C6567" s="50" t="s">
        <v>26</v>
      </c>
      <c r="D6567" s="50" t="s">
        <v>27</v>
      </c>
      <c r="E6567" s="50">
        <v>50038956</v>
      </c>
      <c r="F6567" s="50" t="s">
        <v>177</v>
      </c>
      <c r="G6567" s="50">
        <v>1</v>
      </c>
      <c r="H6567" s="50" t="s">
        <v>2</v>
      </c>
      <c r="I6567" s="50" t="s">
        <v>293</v>
      </c>
      <c r="J6567" s="51">
        <v>45891</v>
      </c>
      <c r="K6567" s="50" t="s">
        <v>3</v>
      </c>
      <c r="L6567" s="50" t="s">
        <v>80</v>
      </c>
    </row>
    <row r="6568" spans="2:12">
      <c r="B6568" s="50" t="s">
        <v>458</v>
      </c>
      <c r="C6568" s="50" t="s">
        <v>26</v>
      </c>
      <c r="D6568" s="50" t="s">
        <v>27</v>
      </c>
      <c r="E6568" s="50">
        <v>50038956</v>
      </c>
      <c r="F6568" s="50" t="s">
        <v>177</v>
      </c>
      <c r="G6568" s="50">
        <v>1</v>
      </c>
      <c r="H6568" s="50" t="s">
        <v>2</v>
      </c>
      <c r="I6568" s="50" t="s">
        <v>287</v>
      </c>
      <c r="J6568" s="51">
        <v>45891</v>
      </c>
      <c r="K6568" s="50" t="s">
        <v>3</v>
      </c>
      <c r="L6568" s="50" t="s">
        <v>80</v>
      </c>
    </row>
    <row r="6569" spans="2:12">
      <c r="B6569" s="50" t="s">
        <v>394</v>
      </c>
      <c r="C6569" s="50" t="s">
        <v>51</v>
      </c>
      <c r="D6569" s="50" t="s">
        <v>27</v>
      </c>
      <c r="E6569" s="50">
        <v>50037892</v>
      </c>
      <c r="F6569" s="50" t="s">
        <v>178</v>
      </c>
      <c r="G6569" s="50">
        <v>1</v>
      </c>
      <c r="H6569" s="50" t="s">
        <v>2</v>
      </c>
      <c r="I6569" s="50" t="s">
        <v>291</v>
      </c>
      <c r="J6569" s="51">
        <v>45891</v>
      </c>
      <c r="K6569" s="50" t="s">
        <v>1</v>
      </c>
      <c r="L6569" s="50" t="s">
        <v>80</v>
      </c>
    </row>
    <row r="6570" spans="2:12">
      <c r="B6570" s="50" t="s">
        <v>394</v>
      </c>
      <c r="C6570" s="50" t="s">
        <v>51</v>
      </c>
      <c r="D6570" s="50" t="s">
        <v>27</v>
      </c>
      <c r="E6570" s="50">
        <v>50037892</v>
      </c>
      <c r="F6570" s="50" t="s">
        <v>178</v>
      </c>
      <c r="G6570" s="50">
        <v>1</v>
      </c>
      <c r="H6570" s="50" t="s">
        <v>2</v>
      </c>
      <c r="I6570" s="50" t="s">
        <v>291</v>
      </c>
      <c r="J6570" s="51">
        <v>45891</v>
      </c>
      <c r="K6570" s="50" t="s">
        <v>3</v>
      </c>
      <c r="L6570" s="50" t="s">
        <v>80</v>
      </c>
    </row>
    <row r="6571" spans="2:12">
      <c r="B6571" s="50" t="s">
        <v>402</v>
      </c>
      <c r="C6571" s="50" t="s">
        <v>26</v>
      </c>
      <c r="D6571" s="50" t="s">
        <v>36</v>
      </c>
      <c r="E6571" s="50">
        <v>50037902</v>
      </c>
      <c r="F6571" s="50" t="s">
        <v>179</v>
      </c>
      <c r="G6571" s="50">
        <v>1</v>
      </c>
      <c r="H6571" s="50" t="s">
        <v>2</v>
      </c>
      <c r="I6571" s="50" t="s">
        <v>290</v>
      </c>
      <c r="J6571" s="51">
        <v>45891</v>
      </c>
      <c r="K6571" s="50" t="s">
        <v>1</v>
      </c>
      <c r="L6571" s="50" t="s">
        <v>80</v>
      </c>
    </row>
    <row r="6572" spans="2:12">
      <c r="B6572" s="50" t="s">
        <v>402</v>
      </c>
      <c r="C6572" s="50" t="s">
        <v>26</v>
      </c>
      <c r="D6572" s="50" t="s">
        <v>36</v>
      </c>
      <c r="E6572" s="50">
        <v>50037902</v>
      </c>
      <c r="F6572" s="50" t="s">
        <v>179</v>
      </c>
      <c r="G6572" s="50">
        <v>1</v>
      </c>
      <c r="H6572" s="50" t="s">
        <v>4</v>
      </c>
      <c r="I6572" s="50" t="s">
        <v>290</v>
      </c>
      <c r="J6572" s="51">
        <v>45891</v>
      </c>
      <c r="K6572" s="50" t="s">
        <v>3</v>
      </c>
      <c r="L6572" s="50" t="s">
        <v>80</v>
      </c>
    </row>
    <row r="6573" spans="2:12">
      <c r="B6573" s="50" t="s">
        <v>316</v>
      </c>
      <c r="C6573" s="50" t="s">
        <v>51</v>
      </c>
      <c r="D6573" s="50" t="s">
        <v>27</v>
      </c>
      <c r="E6573" s="50">
        <v>50038841</v>
      </c>
      <c r="F6573" s="50" t="s">
        <v>180</v>
      </c>
      <c r="G6573" s="50">
        <v>1</v>
      </c>
      <c r="H6573" s="50" t="s">
        <v>2</v>
      </c>
      <c r="I6573" s="50" t="s">
        <v>289</v>
      </c>
      <c r="J6573" s="51">
        <v>45891</v>
      </c>
      <c r="K6573" s="50" t="s">
        <v>1</v>
      </c>
      <c r="L6573" s="50" t="s">
        <v>80</v>
      </c>
    </row>
    <row r="6574" spans="2:12">
      <c r="B6574" s="50" t="s">
        <v>316</v>
      </c>
      <c r="C6574" s="50" t="s">
        <v>51</v>
      </c>
      <c r="D6574" s="50" t="s">
        <v>27</v>
      </c>
      <c r="E6574" s="50">
        <v>50038841</v>
      </c>
      <c r="F6574" s="50" t="s">
        <v>180</v>
      </c>
      <c r="G6574" s="50">
        <v>1</v>
      </c>
      <c r="H6574" s="50" t="s">
        <v>2</v>
      </c>
      <c r="I6574" s="50" t="s">
        <v>293</v>
      </c>
      <c r="J6574" s="51">
        <v>45891</v>
      </c>
      <c r="K6574" s="50" t="s">
        <v>3</v>
      </c>
      <c r="L6574" s="50" t="s">
        <v>80</v>
      </c>
    </row>
    <row r="6575" spans="2:12">
      <c r="B6575" s="50" t="s">
        <v>412</v>
      </c>
      <c r="C6575" s="50" t="s">
        <v>51</v>
      </c>
      <c r="D6575" s="50" t="s">
        <v>41</v>
      </c>
      <c r="E6575" s="50">
        <v>50038841</v>
      </c>
      <c r="F6575" s="50" t="s">
        <v>180</v>
      </c>
      <c r="G6575" s="50">
        <v>1</v>
      </c>
      <c r="H6575" s="50" t="s">
        <v>2</v>
      </c>
      <c r="I6575" s="50" t="s">
        <v>293</v>
      </c>
      <c r="J6575" s="51">
        <v>45891</v>
      </c>
      <c r="K6575" s="50" t="s">
        <v>1</v>
      </c>
      <c r="L6575" s="50" t="s">
        <v>80</v>
      </c>
    </row>
    <row r="6576" spans="2:12">
      <c r="B6576" s="50" t="s">
        <v>412</v>
      </c>
      <c r="C6576" s="50" t="s">
        <v>51</v>
      </c>
      <c r="D6576" s="50" t="s">
        <v>41</v>
      </c>
      <c r="E6576" s="50">
        <v>50038841</v>
      </c>
      <c r="F6576" s="50" t="s">
        <v>180</v>
      </c>
      <c r="G6576" s="50">
        <v>1</v>
      </c>
      <c r="H6576" s="50" t="s">
        <v>2</v>
      </c>
      <c r="I6576" s="50" t="s">
        <v>293</v>
      </c>
      <c r="J6576" s="51">
        <v>45891</v>
      </c>
      <c r="K6576" s="50" t="s">
        <v>3</v>
      </c>
      <c r="L6576" s="50" t="s">
        <v>80</v>
      </c>
    </row>
    <row r="6577" spans="2:12">
      <c r="B6577" s="50" t="s">
        <v>277</v>
      </c>
      <c r="C6577" s="50" t="s">
        <v>62</v>
      </c>
      <c r="D6577" s="50" t="s">
        <v>27</v>
      </c>
      <c r="E6577" s="50">
        <v>50038841</v>
      </c>
      <c r="F6577" s="50" t="s">
        <v>180</v>
      </c>
      <c r="G6577" s="50">
        <v>1</v>
      </c>
      <c r="H6577" s="50" t="s">
        <v>2</v>
      </c>
      <c r="I6577" s="50" t="s">
        <v>291</v>
      </c>
      <c r="J6577" s="51">
        <v>45891</v>
      </c>
      <c r="K6577" s="50" t="s">
        <v>1</v>
      </c>
      <c r="L6577" s="50" t="s">
        <v>80</v>
      </c>
    </row>
    <row r="6578" spans="2:12">
      <c r="B6578" s="50" t="s">
        <v>277</v>
      </c>
      <c r="C6578" s="50" t="s">
        <v>62</v>
      </c>
      <c r="D6578" s="50" t="s">
        <v>27</v>
      </c>
      <c r="E6578" s="50">
        <v>50038841</v>
      </c>
      <c r="F6578" s="50" t="s">
        <v>180</v>
      </c>
      <c r="G6578" s="50">
        <v>1</v>
      </c>
      <c r="H6578" s="50" t="s">
        <v>2</v>
      </c>
      <c r="I6578" s="50" t="s">
        <v>291</v>
      </c>
      <c r="J6578" s="51">
        <v>45891</v>
      </c>
      <c r="K6578" s="50" t="s">
        <v>3</v>
      </c>
      <c r="L6578" s="50" t="s">
        <v>80</v>
      </c>
    </row>
    <row r="6579" spans="2:12">
      <c r="B6579" s="50" t="s">
        <v>394</v>
      </c>
      <c r="C6579" s="50" t="s">
        <v>51</v>
      </c>
      <c r="D6579" s="50" t="s">
        <v>27</v>
      </c>
      <c r="E6579" s="50">
        <v>50038517</v>
      </c>
      <c r="F6579" s="50" t="s">
        <v>181</v>
      </c>
      <c r="G6579" s="50">
        <v>1</v>
      </c>
      <c r="H6579" s="50" t="s">
        <v>2</v>
      </c>
      <c r="I6579" s="50" t="s">
        <v>291</v>
      </c>
      <c r="J6579" s="51">
        <v>45891</v>
      </c>
      <c r="K6579" s="50" t="s">
        <v>1</v>
      </c>
      <c r="L6579" s="50" t="s">
        <v>80</v>
      </c>
    </row>
    <row r="6580" spans="2:12">
      <c r="B6580" s="50" t="s">
        <v>394</v>
      </c>
      <c r="C6580" s="50" t="s">
        <v>51</v>
      </c>
      <c r="D6580" s="50" t="s">
        <v>27</v>
      </c>
      <c r="E6580" s="50">
        <v>50038517</v>
      </c>
      <c r="F6580" s="50" t="s">
        <v>181</v>
      </c>
      <c r="G6580" s="50">
        <v>1</v>
      </c>
      <c r="H6580" s="50" t="s">
        <v>2</v>
      </c>
      <c r="I6580" s="50" t="s">
        <v>287</v>
      </c>
      <c r="J6580" s="51">
        <v>45891</v>
      </c>
      <c r="K6580" s="50" t="s">
        <v>1</v>
      </c>
      <c r="L6580" s="50" t="s">
        <v>80</v>
      </c>
    </row>
    <row r="6581" spans="2:12">
      <c r="B6581" s="50" t="s">
        <v>458</v>
      </c>
      <c r="C6581" s="50" t="s">
        <v>26</v>
      </c>
      <c r="D6581" s="50" t="s">
        <v>27</v>
      </c>
      <c r="E6581" s="50">
        <v>50001995</v>
      </c>
      <c r="F6581" s="50" t="s">
        <v>185</v>
      </c>
      <c r="G6581" s="50">
        <v>1</v>
      </c>
      <c r="H6581" s="50" t="s">
        <v>2</v>
      </c>
      <c r="I6581" s="50" t="s">
        <v>293</v>
      </c>
      <c r="J6581" s="51">
        <v>45891</v>
      </c>
      <c r="K6581" s="50" t="s">
        <v>3</v>
      </c>
      <c r="L6581" s="50" t="s">
        <v>80</v>
      </c>
    </row>
    <row r="6582" spans="2:12">
      <c r="B6582" s="50" t="s">
        <v>458</v>
      </c>
      <c r="C6582" s="50" t="s">
        <v>26</v>
      </c>
      <c r="D6582" s="50" t="s">
        <v>27</v>
      </c>
      <c r="E6582" s="50">
        <v>50001995</v>
      </c>
      <c r="F6582" s="50" t="s">
        <v>185</v>
      </c>
      <c r="G6582" s="50">
        <v>1</v>
      </c>
      <c r="H6582" s="50" t="s">
        <v>2</v>
      </c>
      <c r="I6582" s="50" t="s">
        <v>291</v>
      </c>
      <c r="J6582" s="51">
        <v>45891</v>
      </c>
      <c r="K6582" s="50" t="s">
        <v>1</v>
      </c>
      <c r="L6582" s="50" t="s">
        <v>80</v>
      </c>
    </row>
    <row r="6583" spans="2:12">
      <c r="B6583" s="50" t="s">
        <v>458</v>
      </c>
      <c r="C6583" s="50" t="s">
        <v>26</v>
      </c>
      <c r="D6583" s="50" t="s">
        <v>27</v>
      </c>
      <c r="E6583" s="50">
        <v>50001995</v>
      </c>
      <c r="F6583" s="50" t="s">
        <v>185</v>
      </c>
      <c r="G6583" s="50">
        <v>1</v>
      </c>
      <c r="H6583" s="50" t="s">
        <v>2</v>
      </c>
      <c r="I6583" s="50" t="s">
        <v>291</v>
      </c>
      <c r="J6583" s="51">
        <v>45891</v>
      </c>
      <c r="K6583" s="50" t="s">
        <v>3</v>
      </c>
      <c r="L6583" s="50" t="s">
        <v>80</v>
      </c>
    </row>
    <row r="6584" spans="2:12">
      <c r="B6584" s="50" t="s">
        <v>458</v>
      </c>
      <c r="C6584" s="50" t="s">
        <v>26</v>
      </c>
      <c r="D6584" s="50" t="s">
        <v>27</v>
      </c>
      <c r="E6584" s="50">
        <v>50001995</v>
      </c>
      <c r="F6584" s="50" t="s">
        <v>185</v>
      </c>
      <c r="G6584" s="50">
        <v>1</v>
      </c>
      <c r="H6584" s="50" t="s">
        <v>2</v>
      </c>
      <c r="I6584" s="50" t="s">
        <v>287</v>
      </c>
      <c r="J6584" s="51">
        <v>45891</v>
      </c>
      <c r="K6584" s="50" t="s">
        <v>1</v>
      </c>
      <c r="L6584" s="50" t="s">
        <v>80</v>
      </c>
    </row>
    <row r="6585" spans="2:12">
      <c r="B6585" s="50" t="s">
        <v>458</v>
      </c>
      <c r="C6585" s="50" t="s">
        <v>26</v>
      </c>
      <c r="D6585" s="50" t="s">
        <v>27</v>
      </c>
      <c r="E6585" s="50">
        <v>50039065</v>
      </c>
      <c r="F6585" s="50" t="s">
        <v>186</v>
      </c>
      <c r="G6585" s="50">
        <v>1</v>
      </c>
      <c r="H6585" s="50" t="s">
        <v>2</v>
      </c>
      <c r="I6585" s="50" t="s">
        <v>291</v>
      </c>
      <c r="J6585" s="51">
        <v>45891</v>
      </c>
      <c r="K6585" s="50" t="s">
        <v>3</v>
      </c>
      <c r="L6585" s="50" t="s">
        <v>80</v>
      </c>
    </row>
    <row r="6586" spans="2:12">
      <c r="B6586" s="50" t="s">
        <v>458</v>
      </c>
      <c r="C6586" s="50" t="s">
        <v>26</v>
      </c>
      <c r="D6586" s="50" t="s">
        <v>27</v>
      </c>
      <c r="E6586" s="50">
        <v>50039065</v>
      </c>
      <c r="F6586" s="50" t="s">
        <v>186</v>
      </c>
      <c r="G6586" s="50">
        <v>1</v>
      </c>
      <c r="H6586" s="50" t="s">
        <v>2</v>
      </c>
      <c r="I6586" s="50" t="s">
        <v>291</v>
      </c>
      <c r="J6586" s="51">
        <v>45891</v>
      </c>
      <c r="K6586" s="50" t="s">
        <v>1</v>
      </c>
      <c r="L6586" s="50" t="s">
        <v>80</v>
      </c>
    </row>
    <row r="6587" spans="2:12">
      <c r="B6587" s="50" t="s">
        <v>277</v>
      </c>
      <c r="C6587" s="50" t="s">
        <v>62</v>
      </c>
      <c r="D6587" s="50" t="s">
        <v>27</v>
      </c>
      <c r="E6587" s="50">
        <v>50026357</v>
      </c>
      <c r="F6587" s="50" t="s">
        <v>192</v>
      </c>
      <c r="G6587" s="50">
        <v>1</v>
      </c>
      <c r="H6587" s="50" t="s">
        <v>2</v>
      </c>
      <c r="I6587" s="50" t="s">
        <v>291</v>
      </c>
      <c r="J6587" s="51">
        <v>45891</v>
      </c>
      <c r="K6587" s="50" t="s">
        <v>3</v>
      </c>
      <c r="L6587" s="50" t="s">
        <v>80</v>
      </c>
    </row>
    <row r="6588" spans="2:12">
      <c r="B6588" s="50" t="s">
        <v>277</v>
      </c>
      <c r="C6588" s="50" t="s">
        <v>62</v>
      </c>
      <c r="D6588" s="50" t="s">
        <v>27</v>
      </c>
      <c r="E6588" s="50">
        <v>50026357</v>
      </c>
      <c r="F6588" s="50" t="s">
        <v>192</v>
      </c>
      <c r="G6588" s="50">
        <v>1</v>
      </c>
      <c r="H6588" s="50" t="s">
        <v>2</v>
      </c>
      <c r="I6588" s="50" t="s">
        <v>291</v>
      </c>
      <c r="J6588" s="51">
        <v>45891</v>
      </c>
      <c r="K6588" s="50" t="s">
        <v>1</v>
      </c>
      <c r="L6588" s="50" t="s">
        <v>80</v>
      </c>
    </row>
    <row r="6589" spans="2:12">
      <c r="B6589" s="50" t="s">
        <v>466</v>
      </c>
      <c r="C6589" s="50" t="s">
        <v>62</v>
      </c>
      <c r="D6589" s="50" t="s">
        <v>27</v>
      </c>
      <c r="E6589" s="50">
        <v>50038662</v>
      </c>
      <c r="F6589" s="50" t="s">
        <v>193</v>
      </c>
      <c r="G6589" s="50">
        <v>1</v>
      </c>
      <c r="H6589" s="50" t="s">
        <v>2</v>
      </c>
      <c r="I6589" s="50" t="s">
        <v>291</v>
      </c>
      <c r="J6589" s="51">
        <v>45891</v>
      </c>
      <c r="K6589" s="50" t="s">
        <v>3</v>
      </c>
      <c r="L6589" s="50" t="s">
        <v>80</v>
      </c>
    </row>
    <row r="6590" spans="2:12">
      <c r="B6590" s="50" t="s">
        <v>466</v>
      </c>
      <c r="C6590" s="50" t="s">
        <v>62</v>
      </c>
      <c r="D6590" s="50" t="s">
        <v>27</v>
      </c>
      <c r="E6590" s="50">
        <v>50038662</v>
      </c>
      <c r="F6590" s="50" t="s">
        <v>193</v>
      </c>
      <c r="G6590" s="50">
        <v>1</v>
      </c>
      <c r="H6590" s="50" t="s">
        <v>2</v>
      </c>
      <c r="I6590" s="50" t="s">
        <v>291</v>
      </c>
      <c r="J6590" s="51">
        <v>45891</v>
      </c>
      <c r="K6590" s="50" t="s">
        <v>1</v>
      </c>
      <c r="L6590" s="50" t="s">
        <v>80</v>
      </c>
    </row>
    <row r="6591" spans="2:12">
      <c r="B6591" s="50" t="s">
        <v>389</v>
      </c>
      <c r="C6591" s="50" t="s">
        <v>56</v>
      </c>
      <c r="D6591" s="50" t="s">
        <v>27</v>
      </c>
      <c r="E6591" s="72">
        <v>50041195</v>
      </c>
      <c r="F6591" s="72" t="s">
        <v>206</v>
      </c>
      <c r="G6591" s="50">
        <v>1</v>
      </c>
      <c r="H6591" s="50" t="s">
        <v>2</v>
      </c>
      <c r="I6591" s="50" t="s">
        <v>289</v>
      </c>
      <c r="J6591" s="51">
        <v>45891</v>
      </c>
      <c r="K6591" s="50" t="s">
        <v>3</v>
      </c>
      <c r="L6591" s="50" t="s">
        <v>80</v>
      </c>
    </row>
    <row r="6592" spans="2:12">
      <c r="B6592" s="50" t="s">
        <v>465</v>
      </c>
      <c r="C6592" s="50" t="s">
        <v>26</v>
      </c>
      <c r="D6592" s="50" t="s">
        <v>27</v>
      </c>
      <c r="E6592" s="50">
        <v>50041195</v>
      </c>
      <c r="F6592" s="50" t="s">
        <v>206</v>
      </c>
      <c r="G6592" s="50">
        <v>1</v>
      </c>
      <c r="H6592" s="50" t="s">
        <v>2</v>
      </c>
      <c r="I6592" s="50" t="s">
        <v>291</v>
      </c>
      <c r="J6592" s="51">
        <v>45891</v>
      </c>
      <c r="K6592" s="50" t="s">
        <v>1</v>
      </c>
      <c r="L6592" s="50" t="s">
        <v>80</v>
      </c>
    </row>
    <row r="6593" spans="2:12">
      <c r="B6593" s="50" t="s">
        <v>465</v>
      </c>
      <c r="C6593" s="50" t="s">
        <v>26</v>
      </c>
      <c r="D6593" s="50" t="s">
        <v>27</v>
      </c>
      <c r="E6593" s="50">
        <v>50041195</v>
      </c>
      <c r="F6593" s="50" t="s">
        <v>206</v>
      </c>
      <c r="G6593" s="50">
        <v>1</v>
      </c>
      <c r="H6593" s="50" t="s">
        <v>2</v>
      </c>
      <c r="I6593" s="50" t="s">
        <v>287</v>
      </c>
      <c r="J6593" s="51">
        <v>45891</v>
      </c>
      <c r="K6593" s="50" t="s">
        <v>3</v>
      </c>
      <c r="L6593" s="50" t="s">
        <v>80</v>
      </c>
    </row>
    <row r="6594" spans="2:12">
      <c r="B6594" s="50" t="e">
        <v>#N/A</v>
      </c>
      <c r="C6594" s="50" t="s">
        <v>62</v>
      </c>
      <c r="D6594" s="50" t="s">
        <v>27</v>
      </c>
      <c r="E6594" s="50">
        <v>50043917</v>
      </c>
      <c r="F6594" s="50" t="s">
        <v>262</v>
      </c>
      <c r="G6594" s="50">
        <v>1</v>
      </c>
      <c r="H6594" s="50" t="s">
        <v>2</v>
      </c>
      <c r="I6594" s="50" t="s">
        <v>289</v>
      </c>
      <c r="J6594" s="51">
        <v>45891</v>
      </c>
      <c r="K6594" s="50" t="s">
        <v>1</v>
      </c>
      <c r="L6594" s="50" t="s">
        <v>80</v>
      </c>
    </row>
    <row r="6595" spans="2:12">
      <c r="B6595" s="50" t="e">
        <v>#N/A</v>
      </c>
      <c r="C6595" s="50" t="s">
        <v>62</v>
      </c>
      <c r="D6595" s="50" t="s">
        <v>27</v>
      </c>
      <c r="E6595" s="50">
        <v>50043917</v>
      </c>
      <c r="F6595" s="50" t="s">
        <v>262</v>
      </c>
      <c r="G6595" s="50">
        <v>1</v>
      </c>
      <c r="H6595" s="50" t="s">
        <v>2</v>
      </c>
      <c r="I6595" s="50" t="s">
        <v>291</v>
      </c>
      <c r="J6595" s="51">
        <v>45891</v>
      </c>
      <c r="K6595" s="50" t="s">
        <v>1</v>
      </c>
      <c r="L6595" s="50" t="s">
        <v>80</v>
      </c>
    </row>
    <row r="6596" spans="2:12">
      <c r="B6596" s="50" t="s">
        <v>427</v>
      </c>
      <c r="C6596" s="50" t="s">
        <v>26</v>
      </c>
      <c r="D6596" s="50" t="s">
        <v>27</v>
      </c>
      <c r="E6596" s="50">
        <v>50032775</v>
      </c>
      <c r="F6596" s="50" t="s">
        <v>307</v>
      </c>
      <c r="G6596" s="50">
        <v>1</v>
      </c>
      <c r="H6596" s="50" t="s">
        <v>2</v>
      </c>
      <c r="I6596" s="50" t="s">
        <v>289</v>
      </c>
      <c r="J6596" s="51">
        <v>45891</v>
      </c>
      <c r="K6596" s="50" t="s">
        <v>3</v>
      </c>
      <c r="L6596" s="50" t="s">
        <v>80</v>
      </c>
    </row>
    <row r="6597" spans="2:12">
      <c r="B6597" s="50" t="s">
        <v>427</v>
      </c>
      <c r="C6597" s="50" t="s">
        <v>26</v>
      </c>
      <c r="D6597" s="50" t="s">
        <v>27</v>
      </c>
      <c r="E6597" s="50">
        <v>50032775</v>
      </c>
      <c r="F6597" s="50" t="s">
        <v>307</v>
      </c>
      <c r="G6597" s="50">
        <v>1</v>
      </c>
      <c r="H6597" s="50" t="s">
        <v>2</v>
      </c>
      <c r="I6597" s="50" t="s">
        <v>287</v>
      </c>
      <c r="J6597" s="51">
        <v>45891</v>
      </c>
      <c r="K6597" s="50" t="s">
        <v>3</v>
      </c>
      <c r="L6597" s="50" t="s">
        <v>80</v>
      </c>
    </row>
    <row r="6598" spans="2:12">
      <c r="B6598" s="50" t="s">
        <v>316</v>
      </c>
      <c r="C6598" s="50" t="s">
        <v>56</v>
      </c>
      <c r="D6598" s="50" t="s">
        <v>27</v>
      </c>
      <c r="E6598" s="50">
        <v>50010031</v>
      </c>
      <c r="F6598" s="50" t="s">
        <v>89</v>
      </c>
      <c r="G6598" s="50">
        <v>1</v>
      </c>
      <c r="H6598" s="50" t="s">
        <v>2</v>
      </c>
      <c r="I6598" s="50" t="s">
        <v>292</v>
      </c>
      <c r="J6598" s="51">
        <v>45890</v>
      </c>
      <c r="K6598" s="50" t="s">
        <v>1</v>
      </c>
      <c r="L6598" s="50" t="s">
        <v>80</v>
      </c>
    </row>
    <row r="6599" spans="2:12">
      <c r="B6599" s="50" t="s">
        <v>316</v>
      </c>
      <c r="C6599" s="50" t="s">
        <v>56</v>
      </c>
      <c r="D6599" s="50" t="s">
        <v>27</v>
      </c>
      <c r="E6599" s="50">
        <v>50010031</v>
      </c>
      <c r="F6599" s="50" t="s">
        <v>89</v>
      </c>
      <c r="G6599" s="50">
        <v>1</v>
      </c>
      <c r="H6599" s="50" t="s">
        <v>2</v>
      </c>
      <c r="I6599" s="50" t="s">
        <v>291</v>
      </c>
      <c r="J6599" s="51">
        <v>45890</v>
      </c>
      <c r="K6599" s="50" t="s">
        <v>1</v>
      </c>
      <c r="L6599" s="50" t="s">
        <v>80</v>
      </c>
    </row>
    <row r="6600" spans="2:12">
      <c r="B6600" s="50" t="s">
        <v>437</v>
      </c>
      <c r="C6600" s="50" t="s">
        <v>51</v>
      </c>
      <c r="D6600" s="50" t="s">
        <v>41</v>
      </c>
      <c r="E6600" s="50">
        <v>50036086</v>
      </c>
      <c r="F6600" s="50" t="s">
        <v>28</v>
      </c>
      <c r="G6600" s="50">
        <v>1</v>
      </c>
      <c r="H6600" s="50" t="s">
        <v>2</v>
      </c>
      <c r="I6600" s="50" t="s">
        <v>287</v>
      </c>
      <c r="J6600" s="51">
        <v>45890</v>
      </c>
      <c r="K6600" s="50" t="s">
        <v>3</v>
      </c>
      <c r="L6600" s="50" t="s">
        <v>80</v>
      </c>
    </row>
    <row r="6601" spans="2:12">
      <c r="B6601" s="50" t="s">
        <v>437</v>
      </c>
      <c r="C6601" s="50" t="s">
        <v>51</v>
      </c>
      <c r="D6601" s="50" t="s">
        <v>41</v>
      </c>
      <c r="E6601" s="50">
        <v>50036086</v>
      </c>
      <c r="F6601" s="50" t="s">
        <v>28</v>
      </c>
      <c r="G6601" s="50">
        <v>1</v>
      </c>
      <c r="H6601" s="50" t="s">
        <v>2</v>
      </c>
      <c r="I6601" s="50" t="s">
        <v>291</v>
      </c>
      <c r="J6601" s="51">
        <v>45890</v>
      </c>
      <c r="K6601" s="50" t="s">
        <v>1</v>
      </c>
      <c r="L6601" s="50" t="s">
        <v>80</v>
      </c>
    </row>
    <row r="6602" spans="2:12">
      <c r="B6602" s="50" t="s">
        <v>280</v>
      </c>
      <c r="C6602" s="50" t="s">
        <v>62</v>
      </c>
      <c r="D6602" s="50" t="s">
        <v>27</v>
      </c>
      <c r="E6602" s="50">
        <v>50030486</v>
      </c>
      <c r="F6602" s="50" t="s">
        <v>153</v>
      </c>
      <c r="G6602" s="50">
        <v>1</v>
      </c>
      <c r="H6602" s="50" t="s">
        <v>2</v>
      </c>
      <c r="I6602" s="50" t="s">
        <v>287</v>
      </c>
      <c r="J6602" s="51">
        <v>45890</v>
      </c>
      <c r="K6602" s="50" t="s">
        <v>3</v>
      </c>
      <c r="L6602" s="50" t="s">
        <v>80</v>
      </c>
    </row>
    <row r="6603" spans="2:12">
      <c r="B6603" s="50" t="s">
        <v>280</v>
      </c>
      <c r="C6603" s="50" t="s">
        <v>62</v>
      </c>
      <c r="D6603" s="50" t="s">
        <v>27</v>
      </c>
      <c r="E6603" s="50">
        <v>50030486</v>
      </c>
      <c r="F6603" s="50" t="s">
        <v>153</v>
      </c>
      <c r="G6603" s="50">
        <v>1</v>
      </c>
      <c r="H6603" s="50" t="s">
        <v>2</v>
      </c>
      <c r="I6603" s="50" t="s">
        <v>291</v>
      </c>
      <c r="J6603" s="51">
        <v>45890</v>
      </c>
      <c r="K6603" s="50" t="s">
        <v>1</v>
      </c>
      <c r="L6603" s="50" t="s">
        <v>80</v>
      </c>
    </row>
    <row r="6604" spans="2:12">
      <c r="B6604" s="50" t="s">
        <v>458</v>
      </c>
      <c r="C6604" s="50" t="s">
        <v>26</v>
      </c>
      <c r="D6604" s="50" t="s">
        <v>27</v>
      </c>
      <c r="E6604" s="50">
        <v>50038549</v>
      </c>
      <c r="F6604" s="50" t="s">
        <v>173</v>
      </c>
      <c r="G6604" s="50">
        <v>1</v>
      </c>
      <c r="H6604" s="50" t="s">
        <v>2</v>
      </c>
      <c r="I6604" s="50" t="s">
        <v>292</v>
      </c>
      <c r="J6604" s="51">
        <v>45890</v>
      </c>
      <c r="K6604" s="50" t="s">
        <v>3</v>
      </c>
      <c r="L6604" s="50" t="s">
        <v>80</v>
      </c>
    </row>
    <row r="6605" spans="2:12">
      <c r="B6605" s="50" t="s">
        <v>458</v>
      </c>
      <c r="C6605" s="50" t="s">
        <v>26</v>
      </c>
      <c r="D6605" s="50" t="s">
        <v>27</v>
      </c>
      <c r="E6605" s="50">
        <v>50038549</v>
      </c>
      <c r="F6605" s="50" t="s">
        <v>173</v>
      </c>
      <c r="G6605" s="50">
        <v>1</v>
      </c>
      <c r="H6605" s="50" t="s">
        <v>2</v>
      </c>
      <c r="I6605" s="50" t="s">
        <v>292</v>
      </c>
      <c r="J6605" s="51">
        <v>45890</v>
      </c>
      <c r="K6605" s="50" t="s">
        <v>1</v>
      </c>
      <c r="L6605" s="50" t="s">
        <v>80</v>
      </c>
    </row>
    <row r="6606" spans="2:12">
      <c r="B6606" s="50" t="s">
        <v>394</v>
      </c>
      <c r="C6606" s="50" t="s">
        <v>51</v>
      </c>
      <c r="D6606" s="50" t="s">
        <v>27</v>
      </c>
      <c r="E6606" s="50">
        <v>50038956</v>
      </c>
      <c r="F6606" s="50" t="s">
        <v>177</v>
      </c>
      <c r="G6606" s="50">
        <v>1</v>
      </c>
      <c r="H6606" s="50" t="s">
        <v>2</v>
      </c>
      <c r="I6606" s="50" t="s">
        <v>292</v>
      </c>
      <c r="J6606" s="51">
        <v>45890</v>
      </c>
      <c r="K6606" s="50" t="s">
        <v>3</v>
      </c>
      <c r="L6606" s="50" t="s">
        <v>80</v>
      </c>
    </row>
    <row r="6607" spans="2:12">
      <c r="B6607" s="50" t="s">
        <v>394</v>
      </c>
      <c r="C6607" s="50" t="s">
        <v>51</v>
      </c>
      <c r="D6607" s="50" t="s">
        <v>27</v>
      </c>
      <c r="E6607" s="50">
        <v>50038956</v>
      </c>
      <c r="F6607" s="50" t="s">
        <v>177</v>
      </c>
      <c r="G6607" s="50">
        <v>1</v>
      </c>
      <c r="H6607" s="50" t="s">
        <v>2</v>
      </c>
      <c r="I6607" s="50" t="s">
        <v>291</v>
      </c>
      <c r="J6607" s="51">
        <v>45890</v>
      </c>
      <c r="K6607" s="50" t="s">
        <v>1</v>
      </c>
      <c r="L6607" s="50" t="s">
        <v>80</v>
      </c>
    </row>
    <row r="6608" spans="2:12">
      <c r="B6608" s="50" t="s">
        <v>437</v>
      </c>
      <c r="C6608" s="50" t="s">
        <v>51</v>
      </c>
      <c r="D6608" s="50" t="s">
        <v>41</v>
      </c>
      <c r="E6608" s="50">
        <v>50036297</v>
      </c>
      <c r="F6608" s="50" t="s">
        <v>189</v>
      </c>
      <c r="G6608" s="50">
        <v>1</v>
      </c>
      <c r="H6608" s="50" t="s">
        <v>2</v>
      </c>
      <c r="I6608" s="50" t="s">
        <v>291</v>
      </c>
      <c r="J6608" s="51">
        <v>45890</v>
      </c>
      <c r="K6608" s="50" t="s">
        <v>3</v>
      </c>
      <c r="L6608" s="50" t="s">
        <v>80</v>
      </c>
    </row>
    <row r="6609" spans="2:12">
      <c r="B6609" s="50" t="s">
        <v>437</v>
      </c>
      <c r="C6609" s="50" t="s">
        <v>51</v>
      </c>
      <c r="D6609" s="50" t="s">
        <v>41</v>
      </c>
      <c r="E6609" s="50">
        <v>50036297</v>
      </c>
      <c r="F6609" s="50" t="s">
        <v>189</v>
      </c>
      <c r="G6609" s="50">
        <v>1</v>
      </c>
      <c r="H6609" s="50" t="s">
        <v>2</v>
      </c>
      <c r="I6609" s="50" t="s">
        <v>291</v>
      </c>
      <c r="J6609" s="51">
        <v>45890</v>
      </c>
      <c r="K6609" s="50" t="s">
        <v>3</v>
      </c>
      <c r="L6609" s="50" t="s">
        <v>80</v>
      </c>
    </row>
    <row r="6610" spans="2:12">
      <c r="B6610" s="50" t="e">
        <v>#N/A</v>
      </c>
      <c r="C6610" s="50" t="s">
        <v>26</v>
      </c>
      <c r="D6610" s="50" t="s">
        <v>27</v>
      </c>
      <c r="E6610" s="50">
        <v>50043917</v>
      </c>
      <c r="F6610" s="50" t="s">
        <v>262</v>
      </c>
      <c r="G6610" s="50">
        <v>1</v>
      </c>
      <c r="H6610" s="50" t="s">
        <v>2</v>
      </c>
      <c r="I6610" s="50" t="s">
        <v>291</v>
      </c>
      <c r="J6610" s="51">
        <v>45890</v>
      </c>
      <c r="K6610" s="50" t="s">
        <v>1</v>
      </c>
      <c r="L6610" s="50" t="s">
        <v>80</v>
      </c>
    </row>
    <row r="6611" spans="2:12">
      <c r="B6611" s="50" t="e">
        <v>#N/A</v>
      </c>
      <c r="C6611" s="50" t="s">
        <v>26</v>
      </c>
      <c r="D6611" s="50" t="s">
        <v>27</v>
      </c>
      <c r="E6611" s="50">
        <v>50043917</v>
      </c>
      <c r="F6611" s="50" t="s">
        <v>262</v>
      </c>
      <c r="G6611" s="50">
        <v>1</v>
      </c>
      <c r="H6611" s="50" t="s">
        <v>2</v>
      </c>
      <c r="I6611" s="50" t="s">
        <v>291</v>
      </c>
      <c r="J6611" s="51">
        <v>45890</v>
      </c>
      <c r="K6611" s="50" t="s">
        <v>1</v>
      </c>
      <c r="L6611" s="50" t="s">
        <v>80</v>
      </c>
    </row>
    <row r="6612" spans="2:12">
      <c r="B6612" s="50" t="s">
        <v>397</v>
      </c>
      <c r="C6612" s="50" t="s">
        <v>26</v>
      </c>
      <c r="D6612" s="50" t="s">
        <v>41</v>
      </c>
      <c r="E6612" s="50">
        <v>50020622</v>
      </c>
      <c r="F6612" s="50" t="s">
        <v>217</v>
      </c>
      <c r="G6612" s="50">
        <v>1</v>
      </c>
      <c r="H6612" s="50" t="s">
        <v>2</v>
      </c>
      <c r="I6612" s="50" t="s">
        <v>291</v>
      </c>
      <c r="J6612" s="51">
        <v>45890</v>
      </c>
      <c r="K6612" s="50" t="s">
        <v>3</v>
      </c>
      <c r="L6612" s="50" t="s">
        <v>80</v>
      </c>
    </row>
    <row r="6613" spans="2:12">
      <c r="B6613" s="50" t="s">
        <v>397</v>
      </c>
      <c r="C6613" s="50" t="s">
        <v>26</v>
      </c>
      <c r="D6613" s="50" t="s">
        <v>41</v>
      </c>
      <c r="E6613" s="50">
        <v>50020622</v>
      </c>
      <c r="F6613" s="50" t="s">
        <v>217</v>
      </c>
      <c r="G6613" s="50">
        <v>1</v>
      </c>
      <c r="H6613" s="50" t="s">
        <v>2</v>
      </c>
      <c r="I6613" s="50" t="s">
        <v>291</v>
      </c>
      <c r="J6613" s="51">
        <v>45890</v>
      </c>
      <c r="K6613" s="50" t="s">
        <v>1</v>
      </c>
      <c r="L6613" s="50" t="s">
        <v>80</v>
      </c>
    </row>
    <row r="6614" spans="2:12">
      <c r="B6614" s="50" t="s">
        <v>280</v>
      </c>
      <c r="C6614" s="50" t="s">
        <v>62</v>
      </c>
      <c r="D6614" s="50" t="s">
        <v>27</v>
      </c>
      <c r="E6614" s="50">
        <v>50032781</v>
      </c>
      <c r="F6614" s="50" t="s">
        <v>237</v>
      </c>
      <c r="G6614" s="50">
        <v>1</v>
      </c>
      <c r="H6614" s="50" t="s">
        <v>2</v>
      </c>
      <c r="I6614" s="50" t="s">
        <v>291</v>
      </c>
      <c r="J6614" s="51">
        <v>45890</v>
      </c>
      <c r="K6614" s="50" t="s">
        <v>3</v>
      </c>
      <c r="L6614" s="50" t="s">
        <v>80</v>
      </c>
    </row>
    <row r="6615" spans="2:12">
      <c r="B6615" s="50" t="s">
        <v>277</v>
      </c>
      <c r="C6615" s="50" t="s">
        <v>62</v>
      </c>
      <c r="D6615" s="50" t="s">
        <v>27</v>
      </c>
      <c r="E6615" s="50">
        <v>50032781</v>
      </c>
      <c r="F6615" s="50" t="s">
        <v>237</v>
      </c>
      <c r="G6615" s="50">
        <v>1</v>
      </c>
      <c r="H6615" s="50" t="s">
        <v>2</v>
      </c>
      <c r="I6615" s="50" t="s">
        <v>291</v>
      </c>
      <c r="J6615" s="51">
        <v>45890</v>
      </c>
      <c r="K6615" s="50" t="s">
        <v>3</v>
      </c>
      <c r="L6615" s="50" t="s">
        <v>80</v>
      </c>
    </row>
    <row r="6616" spans="2:12">
      <c r="B6616" s="50" t="s">
        <v>399</v>
      </c>
      <c r="C6616" s="50" t="s">
        <v>51</v>
      </c>
      <c r="D6616" s="50" t="s">
        <v>27</v>
      </c>
      <c r="E6616" s="50">
        <v>50010031</v>
      </c>
      <c r="F6616" s="50" t="s">
        <v>89</v>
      </c>
      <c r="G6616" s="50">
        <v>1</v>
      </c>
      <c r="H6616" s="50" t="s">
        <v>2</v>
      </c>
      <c r="I6616" s="50" t="s">
        <v>293</v>
      </c>
      <c r="J6616" s="51">
        <v>45889</v>
      </c>
      <c r="K6616" s="50" t="s">
        <v>3</v>
      </c>
      <c r="L6616" s="50" t="s">
        <v>80</v>
      </c>
    </row>
    <row r="6617" spans="2:12">
      <c r="B6617" s="50" t="s">
        <v>399</v>
      </c>
      <c r="C6617" s="50" t="s">
        <v>51</v>
      </c>
      <c r="D6617" s="50" t="s">
        <v>27</v>
      </c>
      <c r="E6617" s="50">
        <v>50010031</v>
      </c>
      <c r="F6617" s="50" t="s">
        <v>89</v>
      </c>
      <c r="G6617" s="50">
        <v>1</v>
      </c>
      <c r="H6617" s="50" t="s">
        <v>2</v>
      </c>
      <c r="I6617" s="50" t="s">
        <v>291</v>
      </c>
      <c r="J6617" s="51">
        <v>45889</v>
      </c>
      <c r="K6617" s="50" t="s">
        <v>1</v>
      </c>
      <c r="L6617" s="50" t="s">
        <v>80</v>
      </c>
    </row>
    <row r="6618" spans="2:12">
      <c r="B6618" s="50" t="s">
        <v>428</v>
      </c>
      <c r="C6618" s="50" t="s">
        <v>26</v>
      </c>
      <c r="D6618" s="50" t="s">
        <v>27</v>
      </c>
      <c r="E6618" s="50">
        <v>50037905</v>
      </c>
      <c r="F6618" s="50" t="s">
        <v>150</v>
      </c>
      <c r="G6618" s="50">
        <v>1</v>
      </c>
      <c r="H6618" s="50" t="s">
        <v>2</v>
      </c>
      <c r="I6618" s="50" t="s">
        <v>293</v>
      </c>
      <c r="J6618" s="51">
        <v>45889</v>
      </c>
      <c r="K6618" s="50" t="s">
        <v>3</v>
      </c>
      <c r="L6618" s="50" t="s">
        <v>80</v>
      </c>
    </row>
    <row r="6619" spans="2:12">
      <c r="B6619" s="50" t="s">
        <v>428</v>
      </c>
      <c r="C6619" s="50" t="s">
        <v>26</v>
      </c>
      <c r="D6619" s="50" t="s">
        <v>27</v>
      </c>
      <c r="E6619" s="50">
        <v>50037905</v>
      </c>
      <c r="F6619" s="50" t="s">
        <v>150</v>
      </c>
      <c r="G6619" s="50">
        <v>1</v>
      </c>
      <c r="H6619" s="50" t="s">
        <v>2</v>
      </c>
      <c r="I6619" s="50" t="s">
        <v>293</v>
      </c>
      <c r="J6619" s="51">
        <v>45889</v>
      </c>
      <c r="K6619" s="50" t="s">
        <v>1</v>
      </c>
      <c r="L6619" s="50" t="s">
        <v>80</v>
      </c>
    </row>
    <row r="6620" spans="2:12">
      <c r="B6620" s="50" t="s">
        <v>399</v>
      </c>
      <c r="C6620" s="50" t="s">
        <v>51</v>
      </c>
      <c r="D6620" s="50" t="s">
        <v>27</v>
      </c>
      <c r="E6620" s="50">
        <v>50039236</v>
      </c>
      <c r="F6620" s="50" t="s">
        <v>154</v>
      </c>
      <c r="G6620" s="50">
        <v>1</v>
      </c>
      <c r="H6620" s="50" t="s">
        <v>2</v>
      </c>
      <c r="I6620" s="50" t="s">
        <v>293</v>
      </c>
      <c r="J6620" s="51">
        <v>45889</v>
      </c>
      <c r="K6620" s="50" t="s">
        <v>3</v>
      </c>
      <c r="L6620" s="50" t="s">
        <v>80</v>
      </c>
    </row>
    <row r="6621" spans="2:12">
      <c r="B6621" s="50" t="s">
        <v>399</v>
      </c>
      <c r="C6621" s="50" t="s">
        <v>51</v>
      </c>
      <c r="D6621" s="50" t="s">
        <v>27</v>
      </c>
      <c r="E6621" s="50">
        <v>50039236</v>
      </c>
      <c r="F6621" s="50" t="s">
        <v>154</v>
      </c>
      <c r="G6621" s="50">
        <v>1</v>
      </c>
      <c r="H6621" s="50" t="s">
        <v>2</v>
      </c>
      <c r="I6621" s="50" t="s">
        <v>291</v>
      </c>
      <c r="J6621" s="51">
        <v>45889</v>
      </c>
      <c r="K6621" s="50" t="s">
        <v>1</v>
      </c>
      <c r="L6621" s="50" t="s">
        <v>80</v>
      </c>
    </row>
    <row r="6622" spans="2:12">
      <c r="B6622" s="50" t="s">
        <v>458</v>
      </c>
      <c r="C6622" s="50" t="s">
        <v>26</v>
      </c>
      <c r="D6622" s="50" t="s">
        <v>27</v>
      </c>
      <c r="E6622" s="50">
        <v>50043471</v>
      </c>
      <c r="F6622" s="50" t="s">
        <v>257</v>
      </c>
      <c r="G6622" s="50">
        <v>1</v>
      </c>
      <c r="H6622" s="50" t="s">
        <v>2</v>
      </c>
      <c r="I6622" s="50" t="s">
        <v>293</v>
      </c>
      <c r="J6622" s="51">
        <v>45889</v>
      </c>
      <c r="K6622" s="50" t="s">
        <v>3</v>
      </c>
      <c r="L6622" s="50" t="s">
        <v>80</v>
      </c>
    </row>
    <row r="6623" spans="2:12">
      <c r="B6623" s="50" t="s">
        <v>458</v>
      </c>
      <c r="C6623" s="50" t="s">
        <v>26</v>
      </c>
      <c r="D6623" s="50" t="s">
        <v>27</v>
      </c>
      <c r="E6623" s="50">
        <v>50043471</v>
      </c>
      <c r="F6623" s="50" t="s">
        <v>257</v>
      </c>
      <c r="G6623" s="50">
        <v>1</v>
      </c>
      <c r="H6623" s="50" t="s">
        <v>2</v>
      </c>
      <c r="I6623" s="50" t="s">
        <v>291</v>
      </c>
      <c r="J6623" s="51">
        <v>45889</v>
      </c>
      <c r="K6623" s="50" t="s">
        <v>1</v>
      </c>
      <c r="L6623" s="50" t="s">
        <v>80</v>
      </c>
    </row>
    <row r="6624" spans="2:12">
      <c r="B6624" s="50" t="s">
        <v>389</v>
      </c>
      <c r="C6624" s="50" t="s">
        <v>56</v>
      </c>
      <c r="D6624" s="50" t="s">
        <v>27</v>
      </c>
      <c r="E6624" s="50">
        <v>50029865</v>
      </c>
      <c r="F6624" s="50" t="s">
        <v>162</v>
      </c>
      <c r="G6624" s="50">
        <v>1</v>
      </c>
      <c r="H6624" s="50" t="s">
        <v>2</v>
      </c>
      <c r="I6624" s="50" t="s">
        <v>290</v>
      </c>
      <c r="J6624" s="51">
        <v>45889</v>
      </c>
      <c r="K6624" s="50" t="s">
        <v>3</v>
      </c>
      <c r="L6624" s="50" t="s">
        <v>80</v>
      </c>
    </row>
    <row r="6625" spans="2:12">
      <c r="B6625" s="50" t="s">
        <v>389</v>
      </c>
      <c r="C6625" s="50" t="s">
        <v>56</v>
      </c>
      <c r="D6625" s="50" t="s">
        <v>27</v>
      </c>
      <c r="E6625" s="50">
        <v>50029865</v>
      </c>
      <c r="F6625" s="50" t="s">
        <v>162</v>
      </c>
      <c r="G6625" s="50">
        <v>1</v>
      </c>
      <c r="H6625" s="50" t="s">
        <v>2</v>
      </c>
      <c r="I6625" s="50" t="s">
        <v>290</v>
      </c>
      <c r="J6625" s="51">
        <v>45889</v>
      </c>
      <c r="K6625" s="50" t="s">
        <v>1</v>
      </c>
      <c r="L6625" s="50" t="s">
        <v>80</v>
      </c>
    </row>
    <row r="6626" spans="2:12">
      <c r="B6626" s="50" t="s">
        <v>277</v>
      </c>
      <c r="C6626" s="50" t="s">
        <v>62</v>
      </c>
      <c r="D6626" s="50" t="s">
        <v>27</v>
      </c>
      <c r="E6626" s="50">
        <v>50029865</v>
      </c>
      <c r="F6626" s="50" t="s">
        <v>162</v>
      </c>
      <c r="G6626" s="50">
        <v>1</v>
      </c>
      <c r="H6626" s="50" t="s">
        <v>2</v>
      </c>
      <c r="I6626" s="50" t="s">
        <v>293</v>
      </c>
      <c r="J6626" s="51">
        <v>45889</v>
      </c>
      <c r="K6626" s="50" t="s">
        <v>3</v>
      </c>
      <c r="L6626" s="50" t="s">
        <v>80</v>
      </c>
    </row>
    <row r="6627" spans="2:12">
      <c r="B6627" s="50" t="s">
        <v>277</v>
      </c>
      <c r="C6627" s="50" t="s">
        <v>62</v>
      </c>
      <c r="D6627" s="50" t="s">
        <v>27</v>
      </c>
      <c r="E6627" s="50">
        <v>50029865</v>
      </c>
      <c r="F6627" s="50" t="s">
        <v>162</v>
      </c>
      <c r="G6627" s="50">
        <v>1</v>
      </c>
      <c r="H6627" s="50" t="s">
        <v>2</v>
      </c>
      <c r="I6627" s="50" t="s">
        <v>293</v>
      </c>
      <c r="J6627" s="51">
        <v>45889</v>
      </c>
      <c r="K6627" s="50" t="s">
        <v>1</v>
      </c>
      <c r="L6627" s="50" t="s">
        <v>80</v>
      </c>
    </row>
    <row r="6628" spans="2:12">
      <c r="B6628" s="50" t="e">
        <v>#N/A</v>
      </c>
      <c r="C6628" s="50" t="s">
        <v>56</v>
      </c>
      <c r="D6628" s="50" t="s">
        <v>27</v>
      </c>
      <c r="E6628" s="50">
        <v>50043320</v>
      </c>
      <c r="F6628" s="50" t="s">
        <v>264</v>
      </c>
      <c r="G6628" s="50">
        <v>1</v>
      </c>
      <c r="H6628" s="50" t="s">
        <v>2</v>
      </c>
      <c r="I6628" s="50" t="s">
        <v>291</v>
      </c>
      <c r="J6628" s="51">
        <v>45889</v>
      </c>
      <c r="K6628" s="50" t="s">
        <v>3</v>
      </c>
      <c r="L6628" s="50" t="s">
        <v>80</v>
      </c>
    </row>
    <row r="6629" spans="2:12">
      <c r="B6629" s="50" t="e">
        <v>#N/A</v>
      </c>
      <c r="C6629" s="50" t="s">
        <v>56</v>
      </c>
      <c r="D6629" s="50" t="s">
        <v>27</v>
      </c>
      <c r="E6629" s="50">
        <v>50043320</v>
      </c>
      <c r="F6629" s="50" t="s">
        <v>264</v>
      </c>
      <c r="G6629" s="50">
        <v>1</v>
      </c>
      <c r="H6629" s="50" t="s">
        <v>2</v>
      </c>
      <c r="I6629" s="50" t="s">
        <v>291</v>
      </c>
      <c r="J6629" s="51">
        <v>45889</v>
      </c>
      <c r="K6629" s="50" t="s">
        <v>1</v>
      </c>
      <c r="L6629" s="50" t="s">
        <v>80</v>
      </c>
    </row>
    <row r="6630" spans="2:12">
      <c r="B6630" s="50" t="s">
        <v>458</v>
      </c>
      <c r="C6630" s="50" t="s">
        <v>26</v>
      </c>
      <c r="D6630" s="50" t="s">
        <v>27</v>
      </c>
      <c r="E6630" s="50">
        <v>50038549</v>
      </c>
      <c r="F6630" s="50" t="s">
        <v>173</v>
      </c>
      <c r="G6630" s="50">
        <v>1</v>
      </c>
      <c r="H6630" s="50" t="s">
        <v>2</v>
      </c>
      <c r="I6630" s="50" t="s">
        <v>293</v>
      </c>
      <c r="J6630" s="51">
        <v>45889</v>
      </c>
      <c r="K6630" s="50" t="s">
        <v>3</v>
      </c>
      <c r="L6630" s="50" t="s">
        <v>80</v>
      </c>
    </row>
    <row r="6631" spans="2:12">
      <c r="B6631" s="50" t="s">
        <v>458</v>
      </c>
      <c r="C6631" s="50" t="s">
        <v>26</v>
      </c>
      <c r="D6631" s="50" t="s">
        <v>27</v>
      </c>
      <c r="E6631" s="50">
        <v>50038549</v>
      </c>
      <c r="F6631" s="50" t="s">
        <v>173</v>
      </c>
      <c r="G6631" s="50">
        <v>1</v>
      </c>
      <c r="H6631" s="50" t="s">
        <v>2</v>
      </c>
      <c r="I6631" s="50" t="s">
        <v>291</v>
      </c>
      <c r="J6631" s="51">
        <v>45889</v>
      </c>
      <c r="K6631" s="50" t="s">
        <v>1</v>
      </c>
      <c r="L6631" s="50" t="s">
        <v>80</v>
      </c>
    </row>
    <row r="6632" spans="2:12">
      <c r="B6632" s="50" t="s">
        <v>463</v>
      </c>
      <c r="C6632" s="50" t="s">
        <v>56</v>
      </c>
      <c r="D6632" s="50" t="s">
        <v>27</v>
      </c>
      <c r="E6632" s="50">
        <v>50038956</v>
      </c>
      <c r="F6632" s="50" t="s">
        <v>177</v>
      </c>
      <c r="G6632" s="50">
        <v>1</v>
      </c>
      <c r="H6632" s="50" t="s">
        <v>2</v>
      </c>
      <c r="I6632" s="50" t="s">
        <v>293</v>
      </c>
      <c r="J6632" s="51">
        <v>45889</v>
      </c>
      <c r="K6632" s="50" t="s">
        <v>3</v>
      </c>
      <c r="L6632" s="50" t="s">
        <v>80</v>
      </c>
    </row>
    <row r="6633" spans="2:12">
      <c r="B6633" s="50" t="s">
        <v>463</v>
      </c>
      <c r="C6633" s="50" t="s">
        <v>56</v>
      </c>
      <c r="D6633" s="50" t="s">
        <v>27</v>
      </c>
      <c r="E6633" s="50">
        <v>50038956</v>
      </c>
      <c r="F6633" s="50" t="s">
        <v>177</v>
      </c>
      <c r="G6633" s="50">
        <v>1</v>
      </c>
      <c r="H6633" s="50" t="s">
        <v>2</v>
      </c>
      <c r="I6633" s="50" t="s">
        <v>291</v>
      </c>
      <c r="J6633" s="51">
        <v>45889</v>
      </c>
      <c r="K6633" s="50" t="s">
        <v>3</v>
      </c>
      <c r="L6633" s="50" t="s">
        <v>80</v>
      </c>
    </row>
    <row r="6634" spans="2:12">
      <c r="B6634" s="50" t="s">
        <v>415</v>
      </c>
      <c r="C6634" s="50" t="s">
        <v>51</v>
      </c>
      <c r="D6634" s="50" t="s">
        <v>27</v>
      </c>
      <c r="E6634" s="50">
        <v>50037892</v>
      </c>
      <c r="F6634" s="50" t="s">
        <v>178</v>
      </c>
      <c r="G6634" s="50">
        <v>1</v>
      </c>
      <c r="H6634" s="50" t="s">
        <v>2</v>
      </c>
      <c r="I6634" s="50" t="s">
        <v>293</v>
      </c>
      <c r="J6634" s="51">
        <v>45889</v>
      </c>
      <c r="K6634" s="50" t="s">
        <v>1</v>
      </c>
      <c r="L6634" s="50" t="s">
        <v>80</v>
      </c>
    </row>
    <row r="6635" spans="2:12">
      <c r="B6635" s="50" t="s">
        <v>415</v>
      </c>
      <c r="C6635" s="50" t="s">
        <v>51</v>
      </c>
      <c r="D6635" s="50" t="s">
        <v>27</v>
      </c>
      <c r="E6635" s="50">
        <v>50037892</v>
      </c>
      <c r="F6635" s="50" t="s">
        <v>178</v>
      </c>
      <c r="G6635" s="50">
        <v>1</v>
      </c>
      <c r="H6635" s="50" t="s">
        <v>2</v>
      </c>
      <c r="I6635" s="50" t="s">
        <v>293</v>
      </c>
      <c r="J6635" s="51">
        <v>45889</v>
      </c>
      <c r="K6635" s="50" t="s">
        <v>3</v>
      </c>
      <c r="L6635" s="50" t="s">
        <v>80</v>
      </c>
    </row>
    <row r="6636" spans="2:12">
      <c r="B6636" s="50" t="s">
        <v>316</v>
      </c>
      <c r="C6636" s="50" t="s">
        <v>51</v>
      </c>
      <c r="D6636" s="50" t="s">
        <v>27</v>
      </c>
      <c r="E6636" s="50">
        <v>50037892</v>
      </c>
      <c r="F6636" s="50" t="s">
        <v>178</v>
      </c>
      <c r="G6636" s="50">
        <v>1</v>
      </c>
      <c r="H6636" s="50" t="s">
        <v>2</v>
      </c>
      <c r="I6636" s="50" t="s">
        <v>293</v>
      </c>
      <c r="J6636" s="51">
        <v>45889</v>
      </c>
      <c r="K6636" s="50" t="s">
        <v>1</v>
      </c>
      <c r="L6636" s="50" t="s">
        <v>80</v>
      </c>
    </row>
    <row r="6637" spans="2:12">
      <c r="B6637" s="50" t="s">
        <v>316</v>
      </c>
      <c r="C6637" s="50" t="s">
        <v>51</v>
      </c>
      <c r="D6637" s="50" t="s">
        <v>27</v>
      </c>
      <c r="E6637" s="50">
        <v>50037892</v>
      </c>
      <c r="F6637" s="50" t="s">
        <v>178</v>
      </c>
      <c r="G6637" s="50">
        <v>1</v>
      </c>
      <c r="H6637" s="50" t="s">
        <v>2</v>
      </c>
      <c r="I6637" s="50" t="s">
        <v>293</v>
      </c>
      <c r="J6637" s="51">
        <v>45889</v>
      </c>
      <c r="K6637" s="50" t="s">
        <v>3</v>
      </c>
      <c r="L6637" s="50" t="s">
        <v>80</v>
      </c>
    </row>
    <row r="6638" spans="2:12">
      <c r="B6638" s="50" t="s">
        <v>394</v>
      </c>
      <c r="C6638" s="50" t="s">
        <v>51</v>
      </c>
      <c r="D6638" s="50" t="s">
        <v>27</v>
      </c>
      <c r="E6638" s="50">
        <v>50037892</v>
      </c>
      <c r="F6638" s="50" t="s">
        <v>178</v>
      </c>
      <c r="G6638" s="50">
        <v>1</v>
      </c>
      <c r="H6638" s="50" t="s">
        <v>2</v>
      </c>
      <c r="I6638" s="50" t="s">
        <v>293</v>
      </c>
      <c r="J6638" s="51">
        <v>45889</v>
      </c>
      <c r="K6638" s="50" t="s">
        <v>1</v>
      </c>
      <c r="L6638" s="50" t="s">
        <v>80</v>
      </c>
    </row>
    <row r="6639" spans="2:12">
      <c r="B6639" s="50" t="s">
        <v>394</v>
      </c>
      <c r="C6639" s="50" t="s">
        <v>51</v>
      </c>
      <c r="D6639" s="50" t="s">
        <v>27</v>
      </c>
      <c r="E6639" s="50">
        <v>50037892</v>
      </c>
      <c r="F6639" s="50" t="s">
        <v>178</v>
      </c>
      <c r="G6639" s="50">
        <v>1</v>
      </c>
      <c r="H6639" s="50" t="s">
        <v>2</v>
      </c>
      <c r="I6639" s="50" t="s">
        <v>291</v>
      </c>
      <c r="J6639" s="51">
        <v>45889</v>
      </c>
      <c r="K6639" s="50" t="s">
        <v>3</v>
      </c>
      <c r="L6639" s="50" t="s">
        <v>80</v>
      </c>
    </row>
    <row r="6640" spans="2:12">
      <c r="B6640" s="50" t="s">
        <v>316</v>
      </c>
      <c r="C6640" s="50" t="s">
        <v>51</v>
      </c>
      <c r="D6640" s="50" t="s">
        <v>27</v>
      </c>
      <c r="E6640" s="50">
        <v>50037902</v>
      </c>
      <c r="F6640" s="50" t="s">
        <v>179</v>
      </c>
      <c r="G6640" s="50">
        <v>1</v>
      </c>
      <c r="H6640" s="50" t="s">
        <v>2</v>
      </c>
      <c r="I6640" s="50" t="s">
        <v>291</v>
      </c>
      <c r="J6640" s="51">
        <v>45889</v>
      </c>
      <c r="K6640" s="50" t="s">
        <v>1</v>
      </c>
      <c r="L6640" s="50" t="s">
        <v>80</v>
      </c>
    </row>
    <row r="6641" spans="2:12">
      <c r="B6641" s="50" t="s">
        <v>316</v>
      </c>
      <c r="C6641" s="50" t="s">
        <v>51</v>
      </c>
      <c r="D6641" s="50" t="s">
        <v>27</v>
      </c>
      <c r="E6641" s="50">
        <v>50037902</v>
      </c>
      <c r="F6641" s="50" t="s">
        <v>179</v>
      </c>
      <c r="G6641" s="50">
        <v>1</v>
      </c>
      <c r="H6641" s="50" t="s">
        <v>2</v>
      </c>
      <c r="I6641" s="50" t="s">
        <v>291</v>
      </c>
      <c r="J6641" s="51">
        <v>45889</v>
      </c>
      <c r="K6641" s="50" t="s">
        <v>3</v>
      </c>
      <c r="L6641" s="50" t="s">
        <v>80</v>
      </c>
    </row>
    <row r="6642" spans="2:12">
      <c r="B6642" s="50" t="s">
        <v>483</v>
      </c>
      <c r="C6642" s="50" t="s">
        <v>62</v>
      </c>
      <c r="D6642" s="50" t="s">
        <v>27</v>
      </c>
      <c r="E6642" s="50">
        <v>50038841</v>
      </c>
      <c r="F6642" s="50" t="s">
        <v>180</v>
      </c>
      <c r="G6642" s="50">
        <v>1</v>
      </c>
      <c r="H6642" s="50" t="s">
        <v>2</v>
      </c>
      <c r="I6642" s="50" t="s">
        <v>293</v>
      </c>
      <c r="J6642" s="51">
        <v>45889</v>
      </c>
      <c r="K6642" s="50" t="s">
        <v>1</v>
      </c>
      <c r="L6642" s="50" t="s">
        <v>80</v>
      </c>
    </row>
    <row r="6643" spans="2:12">
      <c r="B6643" s="50" t="s">
        <v>483</v>
      </c>
      <c r="C6643" s="50" t="s">
        <v>62</v>
      </c>
      <c r="D6643" s="50" t="s">
        <v>27</v>
      </c>
      <c r="E6643" s="50">
        <v>50038841</v>
      </c>
      <c r="F6643" s="50" t="s">
        <v>180</v>
      </c>
      <c r="G6643" s="50">
        <v>1</v>
      </c>
      <c r="H6643" s="50" t="s">
        <v>2</v>
      </c>
      <c r="I6643" s="50" t="s">
        <v>291</v>
      </c>
      <c r="J6643" s="51">
        <v>45889</v>
      </c>
      <c r="K6643" s="50" t="s">
        <v>3</v>
      </c>
      <c r="L6643" s="50" t="s">
        <v>80</v>
      </c>
    </row>
    <row r="6644" spans="2:12">
      <c r="B6644" s="50" t="s">
        <v>427</v>
      </c>
      <c r="C6644" s="50" t="s">
        <v>26</v>
      </c>
      <c r="D6644" s="50" t="s">
        <v>27</v>
      </c>
      <c r="E6644" s="50">
        <v>50038517</v>
      </c>
      <c r="F6644" s="50" t="s">
        <v>181</v>
      </c>
      <c r="G6644" s="50">
        <v>1</v>
      </c>
      <c r="H6644" s="50" t="s">
        <v>2</v>
      </c>
      <c r="I6644" s="50" t="s">
        <v>293</v>
      </c>
      <c r="J6644" s="51">
        <v>45889</v>
      </c>
      <c r="K6644" s="50" t="s">
        <v>1</v>
      </c>
      <c r="L6644" s="50" t="s">
        <v>80</v>
      </c>
    </row>
    <row r="6645" spans="2:12">
      <c r="B6645" s="50" t="s">
        <v>427</v>
      </c>
      <c r="C6645" s="50" t="s">
        <v>26</v>
      </c>
      <c r="D6645" s="50" t="s">
        <v>27</v>
      </c>
      <c r="E6645" s="50">
        <v>50038517</v>
      </c>
      <c r="F6645" s="50" t="s">
        <v>181</v>
      </c>
      <c r="G6645" s="50">
        <v>1</v>
      </c>
      <c r="H6645" s="50" t="s">
        <v>2</v>
      </c>
      <c r="I6645" s="50" t="s">
        <v>293</v>
      </c>
      <c r="J6645" s="51">
        <v>45889</v>
      </c>
      <c r="K6645" s="50" t="s">
        <v>1</v>
      </c>
      <c r="L6645" s="50" t="s">
        <v>80</v>
      </c>
    </row>
    <row r="6646" spans="2:12">
      <c r="B6646" s="50" t="s">
        <v>280</v>
      </c>
      <c r="C6646" s="50" t="s">
        <v>62</v>
      </c>
      <c r="D6646" s="50" t="s">
        <v>27</v>
      </c>
      <c r="E6646" s="50">
        <v>50037903</v>
      </c>
      <c r="F6646" s="50" t="s">
        <v>183</v>
      </c>
      <c r="G6646" s="50">
        <v>1</v>
      </c>
      <c r="H6646" s="50" t="s">
        <v>2</v>
      </c>
      <c r="I6646" s="50" t="s">
        <v>291</v>
      </c>
      <c r="J6646" s="51">
        <v>45889</v>
      </c>
      <c r="K6646" s="50" t="s">
        <v>3</v>
      </c>
      <c r="L6646" s="50" t="s">
        <v>80</v>
      </c>
    </row>
    <row r="6647" spans="2:12">
      <c r="B6647" s="50" t="s">
        <v>280</v>
      </c>
      <c r="C6647" s="50" t="s">
        <v>62</v>
      </c>
      <c r="D6647" s="50" t="s">
        <v>27</v>
      </c>
      <c r="E6647" s="50">
        <v>50037903</v>
      </c>
      <c r="F6647" s="50" t="s">
        <v>183</v>
      </c>
      <c r="G6647" s="50">
        <v>1</v>
      </c>
      <c r="H6647" s="50" t="s">
        <v>2</v>
      </c>
      <c r="I6647" s="50" t="s">
        <v>291</v>
      </c>
      <c r="J6647" s="51">
        <v>45889</v>
      </c>
      <c r="K6647" s="50" t="s">
        <v>1</v>
      </c>
      <c r="L6647" s="50" t="s">
        <v>80</v>
      </c>
    </row>
    <row r="6648" spans="2:12">
      <c r="B6648" s="50" t="s">
        <v>280</v>
      </c>
      <c r="C6648" s="50" t="s">
        <v>62</v>
      </c>
      <c r="D6648" s="50" t="s">
        <v>27</v>
      </c>
      <c r="E6648" s="50">
        <v>50026357</v>
      </c>
      <c r="F6648" s="50" t="s">
        <v>192</v>
      </c>
      <c r="G6648" s="50">
        <v>1</v>
      </c>
      <c r="H6648" s="50" t="s">
        <v>2</v>
      </c>
      <c r="I6648" s="50" t="s">
        <v>293</v>
      </c>
      <c r="J6648" s="51">
        <v>45889</v>
      </c>
      <c r="K6648" s="50" t="s">
        <v>3</v>
      </c>
      <c r="L6648" s="50" t="s">
        <v>80</v>
      </c>
    </row>
    <row r="6649" spans="2:12">
      <c r="B6649" s="50" t="s">
        <v>280</v>
      </c>
      <c r="C6649" s="50" t="s">
        <v>62</v>
      </c>
      <c r="D6649" s="50" t="s">
        <v>27</v>
      </c>
      <c r="E6649" s="50">
        <v>50026357</v>
      </c>
      <c r="F6649" s="50" t="s">
        <v>192</v>
      </c>
      <c r="G6649" s="50">
        <v>1</v>
      </c>
      <c r="H6649" s="50" t="s">
        <v>2</v>
      </c>
      <c r="I6649" s="50" t="s">
        <v>288</v>
      </c>
      <c r="J6649" s="51">
        <v>45889</v>
      </c>
      <c r="K6649" s="50" t="s">
        <v>3</v>
      </c>
      <c r="L6649" s="50" t="s">
        <v>80</v>
      </c>
    </row>
    <row r="6650" spans="2:12">
      <c r="B6650" s="50" t="e">
        <v>#N/A</v>
      </c>
      <c r="C6650" s="50" t="s">
        <v>62</v>
      </c>
      <c r="D6650" s="50" t="s">
        <v>27</v>
      </c>
      <c r="E6650" s="50">
        <v>50041195</v>
      </c>
      <c r="F6650" s="50" t="s">
        <v>206</v>
      </c>
      <c r="G6650" s="50">
        <v>1</v>
      </c>
      <c r="H6650" s="50" t="s">
        <v>2</v>
      </c>
      <c r="I6650" s="50" t="s">
        <v>293</v>
      </c>
      <c r="J6650" s="51">
        <v>45889</v>
      </c>
      <c r="K6650" s="50" t="s">
        <v>1</v>
      </c>
      <c r="L6650" s="50" t="s">
        <v>80</v>
      </c>
    </row>
    <row r="6651" spans="2:12">
      <c r="B6651" s="50" t="e">
        <v>#N/A</v>
      </c>
      <c r="C6651" s="50" t="s">
        <v>62</v>
      </c>
      <c r="D6651" s="50" t="s">
        <v>27</v>
      </c>
      <c r="E6651" s="50">
        <v>50041195</v>
      </c>
      <c r="F6651" s="50" t="s">
        <v>206</v>
      </c>
      <c r="G6651" s="50">
        <v>1</v>
      </c>
      <c r="H6651" s="50" t="s">
        <v>2</v>
      </c>
      <c r="I6651" s="50" t="s">
        <v>291</v>
      </c>
      <c r="J6651" s="51">
        <v>45889</v>
      </c>
      <c r="K6651" s="50" t="s">
        <v>3</v>
      </c>
      <c r="L6651" s="50" t="s">
        <v>80</v>
      </c>
    </row>
    <row r="6652" spans="2:12">
      <c r="B6652" s="50" t="s">
        <v>277</v>
      </c>
      <c r="C6652" s="50" t="s">
        <v>62</v>
      </c>
      <c r="D6652" s="50" t="s">
        <v>27</v>
      </c>
      <c r="E6652" s="50">
        <v>50043917</v>
      </c>
      <c r="F6652" s="50" t="s">
        <v>262</v>
      </c>
      <c r="G6652" s="50">
        <v>1</v>
      </c>
      <c r="H6652" s="50" t="s">
        <v>2</v>
      </c>
      <c r="I6652" s="50" t="s">
        <v>293</v>
      </c>
      <c r="J6652" s="51">
        <v>45889</v>
      </c>
      <c r="K6652" s="50" t="s">
        <v>1</v>
      </c>
      <c r="L6652" s="50" t="s">
        <v>80</v>
      </c>
    </row>
    <row r="6653" spans="2:12">
      <c r="B6653" s="50" t="s">
        <v>277</v>
      </c>
      <c r="C6653" s="50" t="s">
        <v>62</v>
      </c>
      <c r="D6653" s="50" t="s">
        <v>27</v>
      </c>
      <c r="E6653" s="50">
        <v>50043917</v>
      </c>
      <c r="F6653" s="50" t="s">
        <v>262</v>
      </c>
      <c r="G6653" s="50">
        <v>1</v>
      </c>
      <c r="H6653" s="50" t="s">
        <v>2</v>
      </c>
      <c r="I6653" s="50" t="s">
        <v>293</v>
      </c>
      <c r="J6653" s="51">
        <v>45889</v>
      </c>
      <c r="K6653" s="50" t="s">
        <v>3</v>
      </c>
      <c r="L6653" s="50" t="s">
        <v>80</v>
      </c>
    </row>
    <row r="6654" spans="2:12">
      <c r="B6654" s="50" t="s">
        <v>316</v>
      </c>
      <c r="C6654" s="50" t="s">
        <v>51</v>
      </c>
      <c r="D6654" s="50" t="s">
        <v>27</v>
      </c>
      <c r="E6654" s="50">
        <v>50043917</v>
      </c>
      <c r="F6654" s="50" t="s">
        <v>262</v>
      </c>
      <c r="G6654" s="50">
        <v>1</v>
      </c>
      <c r="H6654" s="50" t="s">
        <v>2</v>
      </c>
      <c r="I6654" s="50" t="s">
        <v>293</v>
      </c>
      <c r="J6654" s="51">
        <v>45889</v>
      </c>
      <c r="K6654" s="50" t="s">
        <v>1</v>
      </c>
      <c r="L6654" s="50" t="s">
        <v>80</v>
      </c>
    </row>
    <row r="6655" spans="2:12">
      <c r="B6655" s="50" t="s">
        <v>316</v>
      </c>
      <c r="C6655" s="50" t="s">
        <v>51</v>
      </c>
      <c r="D6655" s="50" t="s">
        <v>27</v>
      </c>
      <c r="E6655" s="50">
        <v>50043917</v>
      </c>
      <c r="F6655" s="50" t="s">
        <v>262</v>
      </c>
      <c r="G6655" s="50">
        <v>1</v>
      </c>
      <c r="H6655" s="50" t="s">
        <v>2</v>
      </c>
      <c r="I6655" s="50" t="s">
        <v>291</v>
      </c>
      <c r="J6655" s="51">
        <v>45889</v>
      </c>
      <c r="K6655" s="50" t="s">
        <v>1</v>
      </c>
      <c r="L6655" s="50" t="s">
        <v>80</v>
      </c>
    </row>
    <row r="6656" spans="2:12">
      <c r="B6656" s="50" t="s">
        <v>459</v>
      </c>
      <c r="C6656" s="50" t="s">
        <v>51</v>
      </c>
      <c r="D6656" s="50" t="s">
        <v>41</v>
      </c>
      <c r="E6656" s="50">
        <v>50012902</v>
      </c>
      <c r="F6656" s="50" t="s">
        <v>225</v>
      </c>
      <c r="G6656" s="50">
        <v>1</v>
      </c>
      <c r="H6656" s="50" t="s">
        <v>2</v>
      </c>
      <c r="I6656" s="50" t="s">
        <v>291</v>
      </c>
      <c r="J6656" s="51">
        <v>45889</v>
      </c>
      <c r="K6656" s="50" t="s">
        <v>3</v>
      </c>
      <c r="L6656" s="50" t="s">
        <v>80</v>
      </c>
    </row>
    <row r="6657" spans="2:12">
      <c r="B6657" s="50" t="s">
        <v>459</v>
      </c>
      <c r="C6657" s="50" t="s">
        <v>51</v>
      </c>
      <c r="D6657" s="50" t="s">
        <v>41</v>
      </c>
      <c r="E6657" s="50">
        <v>50012902</v>
      </c>
      <c r="F6657" s="50" t="s">
        <v>225</v>
      </c>
      <c r="G6657" s="50">
        <v>1</v>
      </c>
      <c r="H6657" s="50" t="s">
        <v>2</v>
      </c>
      <c r="I6657" s="50" t="s">
        <v>291</v>
      </c>
      <c r="J6657" s="51">
        <v>45889</v>
      </c>
      <c r="K6657" s="50" t="s">
        <v>1</v>
      </c>
      <c r="L6657" s="50" t="s">
        <v>80</v>
      </c>
    </row>
    <row r="6658" spans="2:12">
      <c r="B6658" s="50" t="s">
        <v>316</v>
      </c>
      <c r="C6658" s="50" t="s">
        <v>51</v>
      </c>
      <c r="D6658" s="50" t="s">
        <v>27</v>
      </c>
      <c r="E6658" s="50">
        <v>50032781</v>
      </c>
      <c r="F6658" s="50" t="s">
        <v>237</v>
      </c>
      <c r="G6658" s="50">
        <v>1</v>
      </c>
      <c r="H6658" s="50" t="s">
        <v>2</v>
      </c>
      <c r="I6658" s="50" t="s">
        <v>293</v>
      </c>
      <c r="J6658" s="51">
        <v>45889</v>
      </c>
      <c r="K6658" s="50" t="s">
        <v>3</v>
      </c>
      <c r="L6658" s="50" t="s">
        <v>80</v>
      </c>
    </row>
    <row r="6659" spans="2:12">
      <c r="B6659" s="50" t="s">
        <v>316</v>
      </c>
      <c r="C6659" s="50" t="s">
        <v>51</v>
      </c>
      <c r="D6659" s="50" t="s">
        <v>27</v>
      </c>
      <c r="E6659" s="50">
        <v>50032781</v>
      </c>
      <c r="F6659" s="50" t="s">
        <v>237</v>
      </c>
      <c r="G6659" s="50">
        <v>1</v>
      </c>
      <c r="H6659" s="50" t="s">
        <v>2</v>
      </c>
      <c r="I6659" s="50" t="s">
        <v>291</v>
      </c>
      <c r="J6659" s="51">
        <v>45889</v>
      </c>
      <c r="K6659" s="50" t="s">
        <v>1</v>
      </c>
      <c r="L6659" s="50" t="s">
        <v>80</v>
      </c>
    </row>
    <row r="6660" spans="2:12">
      <c r="B6660" s="50" t="s">
        <v>386</v>
      </c>
      <c r="C6660" s="50" t="s">
        <v>26</v>
      </c>
      <c r="D6660" s="50" t="s">
        <v>27</v>
      </c>
      <c r="E6660" s="50">
        <v>50028220</v>
      </c>
      <c r="F6660" s="50" t="s">
        <v>242</v>
      </c>
      <c r="G6660" s="50">
        <v>1</v>
      </c>
      <c r="H6660" s="50" t="s">
        <v>2</v>
      </c>
      <c r="I6660" s="50" t="s">
        <v>293</v>
      </c>
      <c r="J6660" s="51">
        <v>45889</v>
      </c>
      <c r="K6660" s="50" t="s">
        <v>3</v>
      </c>
      <c r="L6660" s="50" t="s">
        <v>80</v>
      </c>
    </row>
    <row r="6661" spans="2:12">
      <c r="B6661" s="50" t="s">
        <v>386</v>
      </c>
      <c r="C6661" s="50" t="s">
        <v>26</v>
      </c>
      <c r="D6661" s="50" t="s">
        <v>27</v>
      </c>
      <c r="E6661" s="50">
        <v>50028220</v>
      </c>
      <c r="F6661" s="50" t="s">
        <v>242</v>
      </c>
      <c r="G6661" s="50">
        <v>1</v>
      </c>
      <c r="H6661" s="50" t="s">
        <v>2</v>
      </c>
      <c r="I6661" s="50" t="s">
        <v>293</v>
      </c>
      <c r="J6661" s="51">
        <v>45889</v>
      </c>
      <c r="K6661" s="50" t="s">
        <v>1</v>
      </c>
      <c r="L6661" s="50" t="s">
        <v>80</v>
      </c>
    </row>
    <row r="6662" spans="2:12">
      <c r="B6662" s="50" t="s">
        <v>406</v>
      </c>
      <c r="C6662" s="50" t="s">
        <v>26</v>
      </c>
      <c r="D6662" s="50" t="s">
        <v>39</v>
      </c>
      <c r="E6662" s="50">
        <v>50043520</v>
      </c>
      <c r="F6662" s="50" t="s">
        <v>266</v>
      </c>
      <c r="G6662" s="50">
        <v>1</v>
      </c>
      <c r="H6662" s="50" t="s">
        <v>2</v>
      </c>
      <c r="I6662" s="50" t="s">
        <v>293</v>
      </c>
      <c r="J6662" s="51">
        <v>45888</v>
      </c>
      <c r="K6662" s="50" t="s">
        <v>3</v>
      </c>
      <c r="L6662" s="50" t="s">
        <v>80</v>
      </c>
    </row>
    <row r="6663" spans="2:12">
      <c r="B6663" s="50" t="s">
        <v>469</v>
      </c>
      <c r="C6663" s="50" t="s">
        <v>26</v>
      </c>
      <c r="D6663" s="50" t="s">
        <v>39</v>
      </c>
      <c r="E6663" s="50">
        <v>50043520</v>
      </c>
      <c r="F6663" s="50" t="s">
        <v>266</v>
      </c>
      <c r="G6663" s="50">
        <v>1</v>
      </c>
      <c r="H6663" s="50" t="s">
        <v>2</v>
      </c>
      <c r="I6663" s="50" t="s">
        <v>293</v>
      </c>
      <c r="J6663" s="51">
        <v>45888</v>
      </c>
      <c r="K6663" s="50" t="s">
        <v>1</v>
      </c>
      <c r="L6663" s="50" t="s">
        <v>80</v>
      </c>
    </row>
    <row r="6664" spans="2:12">
      <c r="B6664" s="50" t="s">
        <v>471</v>
      </c>
      <c r="C6664" s="50" t="s">
        <v>26</v>
      </c>
      <c r="D6664" s="50" t="s">
        <v>27</v>
      </c>
      <c r="E6664" s="50">
        <v>50043471</v>
      </c>
      <c r="F6664" s="50" t="s">
        <v>257</v>
      </c>
      <c r="G6664" s="50">
        <v>1</v>
      </c>
      <c r="H6664" s="50" t="s">
        <v>2</v>
      </c>
      <c r="I6664" s="50" t="s">
        <v>293</v>
      </c>
      <c r="J6664" s="51">
        <v>45888</v>
      </c>
      <c r="K6664" s="50" t="s">
        <v>3</v>
      </c>
      <c r="L6664" s="50" t="s">
        <v>80</v>
      </c>
    </row>
    <row r="6665" spans="2:12">
      <c r="B6665" s="50" t="s">
        <v>471</v>
      </c>
      <c r="C6665" s="50" t="s">
        <v>26</v>
      </c>
      <c r="D6665" s="50" t="s">
        <v>27</v>
      </c>
      <c r="E6665" s="50">
        <v>50043471</v>
      </c>
      <c r="F6665" s="50" t="s">
        <v>257</v>
      </c>
      <c r="G6665" s="50">
        <v>1</v>
      </c>
      <c r="H6665" s="50" t="s">
        <v>2</v>
      </c>
      <c r="I6665" s="50" t="s">
        <v>287</v>
      </c>
      <c r="J6665" s="51">
        <v>45888</v>
      </c>
      <c r="K6665" s="50" t="s">
        <v>1</v>
      </c>
      <c r="L6665" s="50" t="s">
        <v>80</v>
      </c>
    </row>
    <row r="6666" spans="2:12">
      <c r="B6666" s="50" t="s">
        <v>407</v>
      </c>
      <c r="C6666" s="50" t="s">
        <v>26</v>
      </c>
      <c r="D6666" s="50" t="s">
        <v>27</v>
      </c>
      <c r="E6666" s="50">
        <v>50022878</v>
      </c>
      <c r="F6666" s="50" t="s">
        <v>296</v>
      </c>
      <c r="G6666" s="50">
        <v>1</v>
      </c>
      <c r="H6666" s="50" t="s">
        <v>2</v>
      </c>
      <c r="I6666" s="50" t="s">
        <v>287</v>
      </c>
      <c r="J6666" s="51">
        <v>45888</v>
      </c>
      <c r="K6666" s="50" t="s">
        <v>3</v>
      </c>
      <c r="L6666" s="50" t="s">
        <v>80</v>
      </c>
    </row>
    <row r="6667" spans="2:12">
      <c r="B6667" s="50" t="s">
        <v>407</v>
      </c>
      <c r="C6667" s="50" t="s">
        <v>26</v>
      </c>
      <c r="D6667" s="50" t="s">
        <v>27</v>
      </c>
      <c r="E6667" s="50">
        <v>50022878</v>
      </c>
      <c r="F6667" s="50" t="s">
        <v>296</v>
      </c>
      <c r="G6667" s="50">
        <v>1</v>
      </c>
      <c r="H6667" s="50" t="s">
        <v>2</v>
      </c>
      <c r="I6667" s="50" t="s">
        <v>288</v>
      </c>
      <c r="J6667" s="51">
        <v>45888</v>
      </c>
      <c r="K6667" s="50" t="s">
        <v>3</v>
      </c>
      <c r="L6667" s="50" t="s">
        <v>80</v>
      </c>
    </row>
    <row r="6668" spans="2:12">
      <c r="B6668" s="50" t="s">
        <v>280</v>
      </c>
      <c r="C6668" s="50" t="s">
        <v>62</v>
      </c>
      <c r="D6668" s="50" t="s">
        <v>27</v>
      </c>
      <c r="E6668" s="50">
        <v>50038841</v>
      </c>
      <c r="F6668" s="50" t="s">
        <v>180</v>
      </c>
      <c r="G6668" s="50">
        <v>1</v>
      </c>
      <c r="H6668" s="50" t="s">
        <v>2</v>
      </c>
      <c r="I6668" s="50" t="s">
        <v>293</v>
      </c>
      <c r="J6668" s="51">
        <v>45888</v>
      </c>
      <c r="K6668" s="50" t="s">
        <v>1</v>
      </c>
      <c r="L6668" s="50" t="s">
        <v>80</v>
      </c>
    </row>
    <row r="6669" spans="2:12">
      <c r="B6669" s="50" t="s">
        <v>280</v>
      </c>
      <c r="C6669" s="50" t="s">
        <v>62</v>
      </c>
      <c r="D6669" s="50" t="s">
        <v>27</v>
      </c>
      <c r="E6669" s="50">
        <v>50038841</v>
      </c>
      <c r="F6669" s="50" t="s">
        <v>180</v>
      </c>
      <c r="G6669" s="50">
        <v>1</v>
      </c>
      <c r="H6669" s="50" t="s">
        <v>2</v>
      </c>
      <c r="I6669" s="50" t="s">
        <v>288</v>
      </c>
      <c r="J6669" s="51">
        <v>45888</v>
      </c>
      <c r="K6669" s="50" t="s">
        <v>3</v>
      </c>
      <c r="L6669" s="50" t="s">
        <v>80</v>
      </c>
    </row>
    <row r="6670" spans="2:12">
      <c r="B6670" s="50" t="s">
        <v>427</v>
      </c>
      <c r="C6670" s="50" t="s">
        <v>26</v>
      </c>
      <c r="D6670" s="50" t="s">
        <v>27</v>
      </c>
      <c r="E6670" s="50">
        <v>50038841</v>
      </c>
      <c r="F6670" s="50" t="s">
        <v>180</v>
      </c>
      <c r="G6670" s="50">
        <v>1</v>
      </c>
      <c r="H6670" s="50" t="s">
        <v>2</v>
      </c>
      <c r="I6670" s="50" t="s">
        <v>288</v>
      </c>
      <c r="J6670" s="51">
        <v>45888</v>
      </c>
      <c r="K6670" s="50" t="s">
        <v>1</v>
      </c>
      <c r="L6670" s="50" t="s">
        <v>80</v>
      </c>
    </row>
    <row r="6671" spans="2:12">
      <c r="B6671" s="50" t="s">
        <v>427</v>
      </c>
      <c r="C6671" s="50" t="s">
        <v>26</v>
      </c>
      <c r="D6671" s="50" t="s">
        <v>27</v>
      </c>
      <c r="E6671" s="50">
        <v>50038841</v>
      </c>
      <c r="F6671" s="50" t="s">
        <v>180</v>
      </c>
      <c r="G6671" s="50">
        <v>1</v>
      </c>
      <c r="H6671" s="50" t="s">
        <v>2</v>
      </c>
      <c r="I6671" s="50" t="s">
        <v>288</v>
      </c>
      <c r="J6671" s="51">
        <v>45888</v>
      </c>
      <c r="K6671" s="50" t="s">
        <v>1</v>
      </c>
      <c r="L6671" s="50" t="s">
        <v>80</v>
      </c>
    </row>
    <row r="6672" spans="2:12">
      <c r="B6672" s="50" t="s">
        <v>478</v>
      </c>
      <c r="C6672" s="50" t="s">
        <v>51</v>
      </c>
      <c r="D6672" s="50" t="s">
        <v>27</v>
      </c>
      <c r="E6672" s="50">
        <v>50038517</v>
      </c>
      <c r="F6672" s="50" t="s">
        <v>181</v>
      </c>
      <c r="G6672" s="50">
        <v>1</v>
      </c>
      <c r="H6672" s="50" t="s">
        <v>2</v>
      </c>
      <c r="I6672" s="50" t="s">
        <v>287</v>
      </c>
      <c r="J6672" s="51">
        <v>45888</v>
      </c>
      <c r="K6672" s="50" t="s">
        <v>1</v>
      </c>
      <c r="L6672" s="50" t="s">
        <v>80</v>
      </c>
    </row>
    <row r="6673" spans="2:12">
      <c r="B6673" s="50" t="s">
        <v>483</v>
      </c>
      <c r="C6673" s="50" t="s">
        <v>62</v>
      </c>
      <c r="D6673" s="50" t="s">
        <v>27</v>
      </c>
      <c r="E6673" s="50">
        <v>50037903</v>
      </c>
      <c r="F6673" s="50" t="s">
        <v>183</v>
      </c>
      <c r="G6673" s="50">
        <v>1</v>
      </c>
      <c r="H6673" s="50" t="s">
        <v>2</v>
      </c>
      <c r="I6673" s="50" t="s">
        <v>293</v>
      </c>
      <c r="J6673" s="51">
        <v>45888</v>
      </c>
      <c r="K6673" s="50" t="s">
        <v>3</v>
      </c>
      <c r="L6673" s="50" t="s">
        <v>80</v>
      </c>
    </row>
    <row r="6674" spans="2:12">
      <c r="B6674" s="50" t="s">
        <v>483</v>
      </c>
      <c r="C6674" s="50" t="s">
        <v>62</v>
      </c>
      <c r="D6674" s="50" t="s">
        <v>27</v>
      </c>
      <c r="E6674" s="50">
        <v>50037903</v>
      </c>
      <c r="F6674" s="50" t="s">
        <v>183</v>
      </c>
      <c r="G6674" s="50">
        <v>1</v>
      </c>
      <c r="H6674" s="50" t="s">
        <v>2</v>
      </c>
      <c r="I6674" s="50" t="s">
        <v>288</v>
      </c>
      <c r="J6674" s="51">
        <v>45888</v>
      </c>
      <c r="K6674" s="50" t="s">
        <v>1</v>
      </c>
      <c r="L6674" s="50" t="s">
        <v>80</v>
      </c>
    </row>
    <row r="6675" spans="2:12">
      <c r="B6675" s="50" t="s">
        <v>483</v>
      </c>
      <c r="C6675" s="50" t="s">
        <v>62</v>
      </c>
      <c r="D6675" s="50" t="s">
        <v>27</v>
      </c>
      <c r="E6675" s="50">
        <v>50001995</v>
      </c>
      <c r="F6675" s="50" t="s">
        <v>185</v>
      </c>
      <c r="G6675" s="50">
        <v>1</v>
      </c>
      <c r="H6675" s="50" t="s">
        <v>2</v>
      </c>
      <c r="I6675" s="50" t="s">
        <v>293</v>
      </c>
      <c r="J6675" s="51">
        <v>45888</v>
      </c>
      <c r="K6675" s="50" t="s">
        <v>3</v>
      </c>
      <c r="L6675" s="50" t="s">
        <v>80</v>
      </c>
    </row>
    <row r="6676" spans="2:12">
      <c r="B6676" s="50" t="s">
        <v>483</v>
      </c>
      <c r="C6676" s="50" t="s">
        <v>62</v>
      </c>
      <c r="D6676" s="50" t="s">
        <v>27</v>
      </c>
      <c r="E6676" s="50">
        <v>50001995</v>
      </c>
      <c r="F6676" s="50" t="s">
        <v>185</v>
      </c>
      <c r="G6676" s="50">
        <v>1</v>
      </c>
      <c r="H6676" s="50" t="s">
        <v>2</v>
      </c>
      <c r="I6676" s="50" t="s">
        <v>288</v>
      </c>
      <c r="J6676" s="51">
        <v>45888</v>
      </c>
      <c r="K6676" s="50" t="s">
        <v>1</v>
      </c>
      <c r="L6676" s="50" t="s">
        <v>80</v>
      </c>
    </row>
    <row r="6677" spans="2:12">
      <c r="B6677" s="50" t="s">
        <v>25</v>
      </c>
      <c r="C6677" s="50" t="s">
        <v>26</v>
      </c>
      <c r="D6677" s="50" t="s">
        <v>27</v>
      </c>
      <c r="E6677" s="50">
        <v>50036297</v>
      </c>
      <c r="F6677" s="50" t="s">
        <v>189</v>
      </c>
      <c r="G6677" s="50">
        <v>1</v>
      </c>
      <c r="H6677" s="50" t="s">
        <v>2</v>
      </c>
      <c r="I6677" s="50" t="s">
        <v>287</v>
      </c>
      <c r="J6677" s="51">
        <v>45888</v>
      </c>
      <c r="K6677" s="50" t="s">
        <v>3</v>
      </c>
      <c r="L6677" s="50" t="s">
        <v>80</v>
      </c>
    </row>
    <row r="6678" spans="2:12">
      <c r="B6678" s="50" t="s">
        <v>25</v>
      </c>
      <c r="C6678" s="50" t="s">
        <v>26</v>
      </c>
      <c r="D6678" s="50" t="s">
        <v>27</v>
      </c>
      <c r="E6678" s="50">
        <v>50036297</v>
      </c>
      <c r="F6678" s="50" t="s">
        <v>189</v>
      </c>
      <c r="G6678" s="50">
        <v>1</v>
      </c>
      <c r="H6678" s="50" t="s">
        <v>2</v>
      </c>
      <c r="I6678" s="50" t="s">
        <v>288</v>
      </c>
      <c r="J6678" s="51">
        <v>45888</v>
      </c>
      <c r="K6678" s="50" t="s">
        <v>1</v>
      </c>
      <c r="L6678" s="50" t="s">
        <v>80</v>
      </c>
    </row>
    <row r="6679" spans="2:12">
      <c r="B6679" s="50" t="s">
        <v>481</v>
      </c>
      <c r="C6679" s="50" t="s">
        <v>26</v>
      </c>
      <c r="D6679" s="50" t="s">
        <v>27</v>
      </c>
      <c r="E6679" s="50">
        <v>50038626</v>
      </c>
      <c r="F6679" s="50" t="s">
        <v>190</v>
      </c>
      <c r="G6679" s="50">
        <v>1</v>
      </c>
      <c r="H6679" s="50" t="s">
        <v>2</v>
      </c>
      <c r="I6679" s="50" t="s">
        <v>293</v>
      </c>
      <c r="J6679" s="51">
        <v>45888</v>
      </c>
      <c r="K6679" s="50" t="s">
        <v>3</v>
      </c>
      <c r="L6679" s="50" t="s">
        <v>80</v>
      </c>
    </row>
    <row r="6680" spans="2:12">
      <c r="B6680" s="50" t="s">
        <v>481</v>
      </c>
      <c r="C6680" s="50" t="s">
        <v>26</v>
      </c>
      <c r="D6680" s="50" t="s">
        <v>27</v>
      </c>
      <c r="E6680" s="50">
        <v>50038626</v>
      </c>
      <c r="F6680" s="50" t="s">
        <v>190</v>
      </c>
      <c r="G6680" s="50">
        <v>1</v>
      </c>
      <c r="H6680" s="50" t="s">
        <v>2</v>
      </c>
      <c r="I6680" s="50" t="s">
        <v>287</v>
      </c>
      <c r="J6680" s="51">
        <v>45888</v>
      </c>
      <c r="K6680" s="50" t="s">
        <v>1</v>
      </c>
      <c r="L6680" s="50" t="s">
        <v>80</v>
      </c>
    </row>
    <row r="6681" spans="2:12">
      <c r="B6681" s="50" t="s">
        <v>407</v>
      </c>
      <c r="C6681" s="50" t="s">
        <v>26</v>
      </c>
      <c r="D6681" s="50" t="s">
        <v>27</v>
      </c>
      <c r="E6681" s="50">
        <v>50001740</v>
      </c>
      <c r="F6681" s="50" t="s">
        <v>294</v>
      </c>
      <c r="G6681" s="50">
        <v>1</v>
      </c>
      <c r="H6681" s="50" t="s">
        <v>2</v>
      </c>
      <c r="I6681" s="50" t="s">
        <v>287</v>
      </c>
      <c r="J6681" s="51">
        <v>45888</v>
      </c>
      <c r="K6681" s="50" t="s">
        <v>3</v>
      </c>
      <c r="L6681" s="50" t="s">
        <v>80</v>
      </c>
    </row>
    <row r="6682" spans="2:12">
      <c r="B6682" s="50" t="s">
        <v>407</v>
      </c>
      <c r="C6682" s="50" t="s">
        <v>26</v>
      </c>
      <c r="D6682" s="50" t="s">
        <v>27</v>
      </c>
      <c r="E6682" s="50">
        <v>50001740</v>
      </c>
      <c r="F6682" s="50" t="s">
        <v>294</v>
      </c>
      <c r="G6682" s="50">
        <v>1</v>
      </c>
      <c r="H6682" s="50" t="s">
        <v>2</v>
      </c>
      <c r="I6682" s="50" t="s">
        <v>288</v>
      </c>
      <c r="J6682" s="51">
        <v>45888</v>
      </c>
      <c r="K6682" s="50" t="s">
        <v>3</v>
      </c>
      <c r="L6682" s="50" t="s">
        <v>80</v>
      </c>
    </row>
    <row r="6683" spans="2:12">
      <c r="B6683" s="50" t="e">
        <v>#N/A</v>
      </c>
      <c r="C6683" s="50" t="s">
        <v>62</v>
      </c>
      <c r="D6683" s="50" t="s">
        <v>27</v>
      </c>
      <c r="E6683" s="50">
        <v>50041195</v>
      </c>
      <c r="F6683" s="50" t="s">
        <v>206</v>
      </c>
      <c r="G6683" s="50">
        <v>1</v>
      </c>
      <c r="H6683" s="50" t="s">
        <v>2</v>
      </c>
      <c r="I6683" s="50" t="s">
        <v>293</v>
      </c>
      <c r="J6683" s="51">
        <v>45888</v>
      </c>
      <c r="K6683" s="50" t="s">
        <v>1</v>
      </c>
      <c r="L6683" s="50" t="s">
        <v>80</v>
      </c>
    </row>
    <row r="6684" spans="2:12">
      <c r="B6684" s="50" t="e">
        <v>#N/A</v>
      </c>
      <c r="C6684" s="50" t="s">
        <v>62</v>
      </c>
      <c r="D6684" s="50" t="s">
        <v>27</v>
      </c>
      <c r="E6684" s="50">
        <v>50041195</v>
      </c>
      <c r="F6684" s="50" t="s">
        <v>206</v>
      </c>
      <c r="G6684" s="50">
        <v>1</v>
      </c>
      <c r="H6684" s="50" t="s">
        <v>2</v>
      </c>
      <c r="I6684" s="50" t="s">
        <v>288</v>
      </c>
      <c r="J6684" s="51">
        <v>45888</v>
      </c>
      <c r="K6684" s="50" t="s">
        <v>1</v>
      </c>
      <c r="L6684" s="50" t="s">
        <v>80</v>
      </c>
    </row>
    <row r="6685" spans="2:12">
      <c r="B6685" s="50" t="s">
        <v>386</v>
      </c>
      <c r="C6685" s="50" t="s">
        <v>62</v>
      </c>
      <c r="D6685" s="50" t="s">
        <v>27</v>
      </c>
      <c r="E6685" s="50">
        <v>50036086</v>
      </c>
      <c r="F6685" s="50" t="s">
        <v>28</v>
      </c>
      <c r="G6685" s="50">
        <v>1</v>
      </c>
      <c r="H6685" s="50" t="s">
        <v>2</v>
      </c>
      <c r="I6685" s="50" t="s">
        <v>293</v>
      </c>
      <c r="J6685" s="51">
        <v>45887</v>
      </c>
      <c r="K6685" s="50" t="s">
        <v>3</v>
      </c>
      <c r="L6685" s="50" t="s">
        <v>80</v>
      </c>
    </row>
    <row r="6686" spans="2:12">
      <c r="B6686" s="50" t="s">
        <v>386</v>
      </c>
      <c r="C6686" s="50" t="s">
        <v>62</v>
      </c>
      <c r="D6686" s="50" t="s">
        <v>27</v>
      </c>
      <c r="E6686" s="50">
        <v>50036086</v>
      </c>
      <c r="F6686" s="50" t="s">
        <v>28</v>
      </c>
      <c r="G6686" s="50">
        <v>1</v>
      </c>
      <c r="H6686" s="50" t="s">
        <v>2</v>
      </c>
      <c r="I6686" s="50" t="s">
        <v>291</v>
      </c>
      <c r="J6686" s="51">
        <v>45887</v>
      </c>
      <c r="K6686" s="50" t="s">
        <v>1</v>
      </c>
      <c r="L6686" s="50" t="s">
        <v>80</v>
      </c>
    </row>
    <row r="6687" spans="2:12">
      <c r="B6687" s="50" t="s">
        <v>25</v>
      </c>
      <c r="C6687" s="50" t="s">
        <v>26</v>
      </c>
      <c r="D6687" s="50" t="s">
        <v>27</v>
      </c>
      <c r="E6687" s="50">
        <v>50003173</v>
      </c>
      <c r="F6687" s="50" t="s">
        <v>74</v>
      </c>
      <c r="G6687" s="50">
        <v>1</v>
      </c>
      <c r="H6687" s="50" t="s">
        <v>2</v>
      </c>
      <c r="I6687" s="50" t="s">
        <v>287</v>
      </c>
      <c r="J6687" s="51">
        <v>45887</v>
      </c>
      <c r="K6687" s="50" t="s">
        <v>3</v>
      </c>
      <c r="L6687" s="50" t="s">
        <v>80</v>
      </c>
    </row>
    <row r="6688" spans="2:12">
      <c r="B6688" s="50" t="s">
        <v>25</v>
      </c>
      <c r="C6688" s="50" t="s">
        <v>26</v>
      </c>
      <c r="D6688" s="50" t="s">
        <v>27</v>
      </c>
      <c r="E6688" s="50">
        <v>50003173</v>
      </c>
      <c r="F6688" s="50" t="s">
        <v>74</v>
      </c>
      <c r="G6688" s="50">
        <v>1</v>
      </c>
      <c r="H6688" s="50" t="s">
        <v>2</v>
      </c>
      <c r="I6688" s="50" t="s">
        <v>287</v>
      </c>
      <c r="J6688" s="51">
        <v>45887</v>
      </c>
      <c r="K6688" s="50" t="s">
        <v>1</v>
      </c>
      <c r="L6688" s="50" t="s">
        <v>80</v>
      </c>
    </row>
    <row r="6689" spans="2:12">
      <c r="B6689" s="50" t="s">
        <v>25</v>
      </c>
      <c r="C6689" s="50" t="s">
        <v>26</v>
      </c>
      <c r="D6689" s="50" t="s">
        <v>27</v>
      </c>
      <c r="E6689" s="50">
        <v>50036279</v>
      </c>
      <c r="F6689" s="50" t="s">
        <v>133</v>
      </c>
      <c r="G6689" s="50">
        <v>1</v>
      </c>
      <c r="H6689" s="50" t="s">
        <v>2</v>
      </c>
      <c r="I6689" s="50" t="s">
        <v>287</v>
      </c>
      <c r="J6689" s="51">
        <v>45887</v>
      </c>
      <c r="K6689" s="50" t="s">
        <v>3</v>
      </c>
      <c r="L6689" s="50" t="s">
        <v>80</v>
      </c>
    </row>
    <row r="6690" spans="2:12">
      <c r="B6690" s="50" t="s">
        <v>25</v>
      </c>
      <c r="C6690" s="50" t="s">
        <v>26</v>
      </c>
      <c r="D6690" s="50" t="s">
        <v>27</v>
      </c>
      <c r="E6690" s="50">
        <v>50036279</v>
      </c>
      <c r="F6690" s="50" t="s">
        <v>133</v>
      </c>
      <c r="G6690" s="50">
        <v>1</v>
      </c>
      <c r="H6690" s="50" t="s">
        <v>2</v>
      </c>
      <c r="I6690" s="50" t="s">
        <v>287</v>
      </c>
      <c r="J6690" s="51">
        <v>45887</v>
      </c>
      <c r="K6690" s="50" t="s">
        <v>1</v>
      </c>
      <c r="L6690" s="50" t="s">
        <v>80</v>
      </c>
    </row>
    <row r="6691" spans="2:12">
      <c r="B6691" s="50" t="s">
        <v>406</v>
      </c>
      <c r="C6691" s="50" t="s">
        <v>26</v>
      </c>
      <c r="D6691" s="50" t="s">
        <v>39</v>
      </c>
      <c r="E6691" s="50">
        <v>50037905</v>
      </c>
      <c r="F6691" s="50" t="s">
        <v>150</v>
      </c>
      <c r="G6691" s="50">
        <v>1</v>
      </c>
      <c r="H6691" s="50" t="s">
        <v>2</v>
      </c>
      <c r="I6691" s="50" t="s">
        <v>291</v>
      </c>
      <c r="J6691" s="51">
        <v>45887</v>
      </c>
      <c r="K6691" s="50" t="s">
        <v>1</v>
      </c>
      <c r="L6691" s="50" t="s">
        <v>80</v>
      </c>
    </row>
    <row r="6692" spans="2:12">
      <c r="B6692" s="50" t="s">
        <v>394</v>
      </c>
      <c r="C6692" s="50" t="s">
        <v>26</v>
      </c>
      <c r="D6692" s="50" t="s">
        <v>41</v>
      </c>
      <c r="E6692" s="50">
        <v>50030074</v>
      </c>
      <c r="F6692" s="50" t="s">
        <v>156</v>
      </c>
      <c r="G6692" s="50">
        <v>1</v>
      </c>
      <c r="H6692" s="50" t="s">
        <v>2</v>
      </c>
      <c r="I6692" s="50" t="s">
        <v>291</v>
      </c>
      <c r="J6692" s="51">
        <v>45887</v>
      </c>
      <c r="K6692" s="50" t="s">
        <v>3</v>
      </c>
      <c r="L6692" s="50" t="s">
        <v>80</v>
      </c>
    </row>
    <row r="6693" spans="2:12">
      <c r="B6693" s="50" t="s">
        <v>394</v>
      </c>
      <c r="C6693" s="50" t="s">
        <v>26</v>
      </c>
      <c r="D6693" s="50" t="s">
        <v>41</v>
      </c>
      <c r="E6693" s="50">
        <v>50030074</v>
      </c>
      <c r="F6693" s="50" t="s">
        <v>156</v>
      </c>
      <c r="G6693" s="50">
        <v>1</v>
      </c>
      <c r="H6693" s="50" t="s">
        <v>2</v>
      </c>
      <c r="I6693" s="50" t="s">
        <v>291</v>
      </c>
      <c r="J6693" s="51">
        <v>45887</v>
      </c>
      <c r="K6693" s="50" t="s">
        <v>1</v>
      </c>
      <c r="L6693" s="50" t="s">
        <v>80</v>
      </c>
    </row>
    <row r="6694" spans="2:12">
      <c r="B6694" s="50" t="s">
        <v>483</v>
      </c>
      <c r="C6694" s="50" t="s">
        <v>62</v>
      </c>
      <c r="D6694" s="50" t="s">
        <v>27</v>
      </c>
      <c r="E6694" s="50">
        <v>50043471</v>
      </c>
      <c r="F6694" s="50" t="s">
        <v>257</v>
      </c>
      <c r="G6694" s="50">
        <v>1</v>
      </c>
      <c r="H6694" s="50" t="s">
        <v>2</v>
      </c>
      <c r="I6694" s="50" t="s">
        <v>293</v>
      </c>
      <c r="J6694" s="51">
        <v>45887</v>
      </c>
      <c r="K6694" s="50" t="s">
        <v>3</v>
      </c>
      <c r="L6694" s="50" t="s">
        <v>80</v>
      </c>
    </row>
    <row r="6695" spans="2:12">
      <c r="B6695" s="50" t="s">
        <v>483</v>
      </c>
      <c r="C6695" s="50" t="s">
        <v>62</v>
      </c>
      <c r="D6695" s="50" t="s">
        <v>27</v>
      </c>
      <c r="E6695" s="50">
        <v>50043471</v>
      </c>
      <c r="F6695" s="50" t="s">
        <v>257</v>
      </c>
      <c r="G6695" s="50">
        <v>1</v>
      </c>
      <c r="H6695" s="50" t="s">
        <v>2</v>
      </c>
      <c r="I6695" s="50" t="s">
        <v>291</v>
      </c>
      <c r="J6695" s="51">
        <v>45887</v>
      </c>
      <c r="K6695" s="50" t="s">
        <v>1</v>
      </c>
      <c r="L6695" s="50" t="s">
        <v>80</v>
      </c>
    </row>
    <row r="6696" spans="2:12">
      <c r="B6696" s="50" t="s">
        <v>277</v>
      </c>
      <c r="C6696" s="50" t="s">
        <v>62</v>
      </c>
      <c r="D6696" s="50" t="s">
        <v>27</v>
      </c>
      <c r="E6696" s="50">
        <v>50029865</v>
      </c>
      <c r="F6696" s="50" t="s">
        <v>162</v>
      </c>
      <c r="G6696" s="50">
        <v>1</v>
      </c>
      <c r="H6696" s="50" t="s">
        <v>2</v>
      </c>
      <c r="I6696" s="50" t="s">
        <v>291</v>
      </c>
      <c r="J6696" s="51">
        <v>45887</v>
      </c>
      <c r="K6696" s="50" t="s">
        <v>3</v>
      </c>
      <c r="L6696" s="50" t="s">
        <v>80</v>
      </c>
    </row>
    <row r="6697" spans="2:12">
      <c r="B6697" s="50" t="s">
        <v>277</v>
      </c>
      <c r="C6697" s="50" t="s">
        <v>62</v>
      </c>
      <c r="D6697" s="50" t="s">
        <v>27</v>
      </c>
      <c r="E6697" s="50">
        <v>50029865</v>
      </c>
      <c r="F6697" s="50" t="s">
        <v>162</v>
      </c>
      <c r="G6697" s="50">
        <v>1</v>
      </c>
      <c r="H6697" s="50" t="s">
        <v>2</v>
      </c>
      <c r="I6697" s="50" t="s">
        <v>291</v>
      </c>
      <c r="J6697" s="51">
        <v>45887</v>
      </c>
      <c r="K6697" s="50" t="s">
        <v>1</v>
      </c>
      <c r="L6697" s="50" t="s">
        <v>80</v>
      </c>
    </row>
    <row r="6698" spans="2:12">
      <c r="B6698" s="50" t="s">
        <v>25</v>
      </c>
      <c r="C6698" s="50" t="s">
        <v>26</v>
      </c>
      <c r="D6698" s="50" t="s">
        <v>27</v>
      </c>
      <c r="E6698" s="50">
        <v>50038549</v>
      </c>
      <c r="F6698" s="50" t="s">
        <v>173</v>
      </c>
      <c r="G6698" s="50">
        <v>1</v>
      </c>
      <c r="H6698" s="50" t="s">
        <v>2</v>
      </c>
      <c r="I6698" s="50" t="s">
        <v>293</v>
      </c>
      <c r="J6698" s="51">
        <v>45887</v>
      </c>
      <c r="K6698" s="50" t="s">
        <v>3</v>
      </c>
      <c r="L6698" s="50" t="s">
        <v>80</v>
      </c>
    </row>
    <row r="6699" spans="2:12">
      <c r="B6699" s="50" t="s">
        <v>407</v>
      </c>
      <c r="C6699" s="50" t="s">
        <v>26</v>
      </c>
      <c r="D6699" s="50" t="s">
        <v>27</v>
      </c>
      <c r="E6699" s="50">
        <v>50038549</v>
      </c>
      <c r="F6699" s="50" t="s">
        <v>173</v>
      </c>
      <c r="G6699" s="50">
        <v>1</v>
      </c>
      <c r="H6699" s="50" t="s">
        <v>2</v>
      </c>
      <c r="I6699" s="50" t="s">
        <v>293</v>
      </c>
      <c r="J6699" s="51">
        <v>45887</v>
      </c>
      <c r="K6699" s="50" t="s">
        <v>1</v>
      </c>
      <c r="L6699" s="50" t="s">
        <v>80</v>
      </c>
    </row>
    <row r="6700" spans="2:12">
      <c r="B6700" s="50" t="s">
        <v>25</v>
      </c>
      <c r="C6700" s="50" t="s">
        <v>26</v>
      </c>
      <c r="D6700" s="50" t="s">
        <v>27</v>
      </c>
      <c r="E6700" s="50">
        <v>50038549</v>
      </c>
      <c r="F6700" s="50" t="s">
        <v>173</v>
      </c>
      <c r="G6700" s="50">
        <v>1</v>
      </c>
      <c r="H6700" s="50" t="s">
        <v>2</v>
      </c>
      <c r="I6700" s="50" t="s">
        <v>293</v>
      </c>
      <c r="J6700" s="51">
        <v>45887</v>
      </c>
      <c r="K6700" s="50" t="s">
        <v>3</v>
      </c>
      <c r="L6700" s="50" t="s">
        <v>80</v>
      </c>
    </row>
    <row r="6701" spans="2:12">
      <c r="B6701" s="50" t="s">
        <v>407</v>
      </c>
      <c r="C6701" s="50" t="s">
        <v>26</v>
      </c>
      <c r="D6701" s="50" t="s">
        <v>27</v>
      </c>
      <c r="E6701" s="50">
        <v>50038549</v>
      </c>
      <c r="F6701" s="50" t="s">
        <v>173</v>
      </c>
      <c r="G6701" s="50">
        <v>1</v>
      </c>
      <c r="H6701" s="50" t="s">
        <v>2</v>
      </c>
      <c r="I6701" s="50" t="s">
        <v>291</v>
      </c>
      <c r="J6701" s="51">
        <v>45887</v>
      </c>
      <c r="K6701" s="50" t="s">
        <v>3</v>
      </c>
      <c r="L6701" s="50" t="s">
        <v>80</v>
      </c>
    </row>
    <row r="6702" spans="2:12">
      <c r="B6702" s="50" t="s">
        <v>483</v>
      </c>
      <c r="C6702" s="50" t="s">
        <v>62</v>
      </c>
      <c r="D6702" s="50" t="s">
        <v>27</v>
      </c>
      <c r="E6702" s="50">
        <v>50038841</v>
      </c>
      <c r="F6702" s="50" t="s">
        <v>180</v>
      </c>
      <c r="G6702" s="50">
        <v>1</v>
      </c>
      <c r="H6702" s="50" t="s">
        <v>2</v>
      </c>
      <c r="I6702" s="50" t="s">
        <v>293</v>
      </c>
      <c r="J6702" s="51">
        <v>45887</v>
      </c>
      <c r="K6702" s="50" t="s">
        <v>3</v>
      </c>
      <c r="L6702" s="50" t="s">
        <v>80</v>
      </c>
    </row>
    <row r="6703" spans="2:12">
      <c r="B6703" s="50" t="s">
        <v>483</v>
      </c>
      <c r="C6703" s="50" t="s">
        <v>62</v>
      </c>
      <c r="D6703" s="50" t="s">
        <v>27</v>
      </c>
      <c r="E6703" s="50">
        <v>50038841</v>
      </c>
      <c r="F6703" s="50" t="s">
        <v>180</v>
      </c>
      <c r="G6703" s="50">
        <v>1</v>
      </c>
      <c r="H6703" s="50" t="s">
        <v>2</v>
      </c>
      <c r="I6703" s="50" t="s">
        <v>291</v>
      </c>
      <c r="J6703" s="51">
        <v>45887</v>
      </c>
      <c r="K6703" s="50" t="s">
        <v>1</v>
      </c>
      <c r="L6703" s="50" t="s">
        <v>80</v>
      </c>
    </row>
    <row r="6704" spans="2:12">
      <c r="B6704" s="50" t="s">
        <v>399</v>
      </c>
      <c r="C6704" s="50" t="s">
        <v>51</v>
      </c>
      <c r="D6704" s="50" t="s">
        <v>27</v>
      </c>
      <c r="E6704" s="50">
        <v>50038517</v>
      </c>
      <c r="F6704" s="50" t="s">
        <v>181</v>
      </c>
      <c r="G6704" s="50">
        <v>1</v>
      </c>
      <c r="H6704" s="50" t="s">
        <v>2</v>
      </c>
      <c r="I6704" s="50" t="s">
        <v>291</v>
      </c>
      <c r="J6704" s="51">
        <v>45887</v>
      </c>
      <c r="K6704" s="50" t="s">
        <v>1</v>
      </c>
      <c r="L6704" s="50" t="s">
        <v>80</v>
      </c>
    </row>
    <row r="6705" spans="2:12">
      <c r="B6705" s="50" t="s">
        <v>25</v>
      </c>
      <c r="C6705" s="50" t="s">
        <v>26</v>
      </c>
      <c r="D6705" s="50" t="s">
        <v>27</v>
      </c>
      <c r="E6705" s="50">
        <v>50037926</v>
      </c>
      <c r="F6705" s="50" t="s">
        <v>184</v>
      </c>
      <c r="G6705" s="50">
        <v>1</v>
      </c>
      <c r="H6705" s="50" t="s">
        <v>2</v>
      </c>
      <c r="I6705" s="50" t="s">
        <v>287</v>
      </c>
      <c r="J6705" s="51">
        <v>45887</v>
      </c>
      <c r="K6705" s="50" t="s">
        <v>3</v>
      </c>
      <c r="L6705" s="50" t="s">
        <v>80</v>
      </c>
    </row>
    <row r="6706" spans="2:12">
      <c r="B6706" s="50" t="s">
        <v>25</v>
      </c>
      <c r="C6706" s="50" t="s">
        <v>26</v>
      </c>
      <c r="D6706" s="50" t="s">
        <v>27</v>
      </c>
      <c r="E6706" s="50">
        <v>50037926</v>
      </c>
      <c r="F6706" s="50" t="s">
        <v>184</v>
      </c>
      <c r="G6706" s="50">
        <v>1</v>
      </c>
      <c r="H6706" s="50" t="s">
        <v>2</v>
      </c>
      <c r="I6706" s="50" t="s">
        <v>291</v>
      </c>
      <c r="J6706" s="51">
        <v>45887</v>
      </c>
      <c r="K6706" s="50" t="s">
        <v>1</v>
      </c>
      <c r="L6706" s="50" t="s">
        <v>80</v>
      </c>
    </row>
    <row r="6707" spans="2:12">
      <c r="B6707" s="50" t="s">
        <v>394</v>
      </c>
      <c r="C6707" s="50" t="s">
        <v>26</v>
      </c>
      <c r="D6707" s="50" t="s">
        <v>41</v>
      </c>
      <c r="E6707" s="50">
        <v>50001995</v>
      </c>
      <c r="F6707" s="50" t="s">
        <v>185</v>
      </c>
      <c r="G6707" s="50">
        <v>1</v>
      </c>
      <c r="H6707" s="50" t="s">
        <v>2</v>
      </c>
      <c r="I6707" s="50" t="s">
        <v>291</v>
      </c>
      <c r="J6707" s="51">
        <v>45887</v>
      </c>
      <c r="K6707" s="50" t="s">
        <v>3</v>
      </c>
      <c r="L6707" s="50" t="s">
        <v>80</v>
      </c>
    </row>
    <row r="6708" spans="2:12">
      <c r="B6708" s="50" t="s">
        <v>394</v>
      </c>
      <c r="C6708" s="50" t="s">
        <v>26</v>
      </c>
      <c r="D6708" s="50" t="s">
        <v>41</v>
      </c>
      <c r="E6708" s="50">
        <v>50001995</v>
      </c>
      <c r="F6708" s="50" t="s">
        <v>185</v>
      </c>
      <c r="G6708" s="50">
        <v>1</v>
      </c>
      <c r="H6708" s="50" t="s">
        <v>2</v>
      </c>
      <c r="I6708" s="50" t="s">
        <v>291</v>
      </c>
      <c r="J6708" s="51">
        <v>45887</v>
      </c>
      <c r="K6708" s="50" t="s">
        <v>3</v>
      </c>
      <c r="L6708" s="50" t="s">
        <v>80</v>
      </c>
    </row>
    <row r="6709" spans="2:12">
      <c r="B6709" s="50" t="e">
        <v>#N/A</v>
      </c>
      <c r="C6709" s="50" t="s">
        <v>62</v>
      </c>
      <c r="D6709" s="50" t="s">
        <v>27</v>
      </c>
      <c r="E6709" s="50">
        <v>50041195</v>
      </c>
      <c r="F6709" s="50" t="s">
        <v>206</v>
      </c>
      <c r="G6709" s="50">
        <v>1</v>
      </c>
      <c r="H6709" s="50" t="s">
        <v>2</v>
      </c>
      <c r="I6709" s="50" t="s">
        <v>293</v>
      </c>
      <c r="J6709" s="51">
        <v>45887</v>
      </c>
      <c r="K6709" s="50" t="s">
        <v>1</v>
      </c>
      <c r="L6709" s="50" t="s">
        <v>80</v>
      </c>
    </row>
    <row r="6710" spans="2:12">
      <c r="B6710" s="50" t="e">
        <v>#N/A</v>
      </c>
      <c r="C6710" s="50" t="s">
        <v>62</v>
      </c>
      <c r="D6710" s="50" t="s">
        <v>27</v>
      </c>
      <c r="E6710" s="50">
        <v>50041195</v>
      </c>
      <c r="F6710" s="50" t="s">
        <v>206</v>
      </c>
      <c r="G6710" s="50">
        <v>1</v>
      </c>
      <c r="H6710" s="50" t="s">
        <v>2</v>
      </c>
      <c r="I6710" s="50" t="s">
        <v>291</v>
      </c>
      <c r="J6710" s="51">
        <v>45887</v>
      </c>
      <c r="K6710" s="50" t="s">
        <v>3</v>
      </c>
      <c r="L6710" s="50" t="s">
        <v>80</v>
      </c>
    </row>
    <row r="6711" spans="2:12">
      <c r="B6711" s="50" t="s">
        <v>277</v>
      </c>
      <c r="C6711" s="50" t="s">
        <v>62</v>
      </c>
      <c r="D6711" s="50" t="s">
        <v>27</v>
      </c>
      <c r="E6711" s="50">
        <v>50043917</v>
      </c>
      <c r="F6711" s="50" t="s">
        <v>262</v>
      </c>
      <c r="G6711" s="50">
        <v>1</v>
      </c>
      <c r="H6711" s="50" t="s">
        <v>2</v>
      </c>
      <c r="I6711" s="50" t="s">
        <v>291</v>
      </c>
      <c r="J6711" s="51">
        <v>45887</v>
      </c>
      <c r="K6711" s="50" t="s">
        <v>1</v>
      </c>
      <c r="L6711" s="50" t="s">
        <v>80</v>
      </c>
    </row>
    <row r="6712" spans="2:12">
      <c r="B6712" s="50" t="s">
        <v>277</v>
      </c>
      <c r="C6712" s="50" t="s">
        <v>62</v>
      </c>
      <c r="D6712" s="50" t="s">
        <v>27</v>
      </c>
      <c r="E6712" s="50">
        <v>50043917</v>
      </c>
      <c r="F6712" s="50" t="s">
        <v>262</v>
      </c>
      <c r="G6712" s="50">
        <v>1</v>
      </c>
      <c r="H6712" s="50" t="s">
        <v>2</v>
      </c>
      <c r="I6712" s="50" t="s">
        <v>291</v>
      </c>
      <c r="J6712" s="51">
        <v>45887</v>
      </c>
      <c r="K6712" s="50" t="s">
        <v>1</v>
      </c>
      <c r="L6712" s="50" t="s">
        <v>80</v>
      </c>
    </row>
    <row r="6713" spans="2:12">
      <c r="B6713" s="50" t="s">
        <v>270</v>
      </c>
      <c r="C6713" s="50" t="s">
        <v>51</v>
      </c>
      <c r="D6713" s="50" t="s">
        <v>41</v>
      </c>
      <c r="E6713" s="50">
        <v>50012902</v>
      </c>
      <c r="F6713" s="50" t="s">
        <v>225</v>
      </c>
      <c r="G6713" s="50">
        <v>1</v>
      </c>
      <c r="H6713" s="50" t="s">
        <v>2</v>
      </c>
      <c r="I6713" s="50" t="s">
        <v>287</v>
      </c>
      <c r="J6713" s="51">
        <v>45887</v>
      </c>
      <c r="K6713" s="50" t="s">
        <v>3</v>
      </c>
      <c r="L6713" s="50" t="s">
        <v>80</v>
      </c>
    </row>
    <row r="6714" spans="2:12">
      <c r="B6714" s="50" t="s">
        <v>270</v>
      </c>
      <c r="C6714" s="50" t="s">
        <v>51</v>
      </c>
      <c r="D6714" s="50" t="s">
        <v>41</v>
      </c>
      <c r="E6714" s="50">
        <v>50012902</v>
      </c>
      <c r="F6714" s="50" t="s">
        <v>225</v>
      </c>
      <c r="G6714" s="50">
        <v>1</v>
      </c>
      <c r="H6714" s="50" t="s">
        <v>2</v>
      </c>
      <c r="I6714" s="50" t="s">
        <v>291</v>
      </c>
      <c r="J6714" s="51">
        <v>45887</v>
      </c>
      <c r="K6714" s="50" t="s">
        <v>1</v>
      </c>
      <c r="L6714" s="50" t="s">
        <v>80</v>
      </c>
    </row>
    <row r="6715" spans="2:12">
      <c r="B6715" s="50" t="s">
        <v>386</v>
      </c>
      <c r="C6715" s="50" t="s">
        <v>62</v>
      </c>
      <c r="D6715" s="50" t="s">
        <v>27</v>
      </c>
      <c r="E6715" s="50">
        <v>50038840</v>
      </c>
      <c r="F6715" s="50" t="s">
        <v>235</v>
      </c>
      <c r="G6715" s="50">
        <v>1</v>
      </c>
      <c r="H6715" s="50" t="s">
        <v>2</v>
      </c>
      <c r="I6715" s="50" t="s">
        <v>293</v>
      </c>
      <c r="J6715" s="51">
        <v>45887</v>
      </c>
      <c r="K6715" s="50" t="s">
        <v>3</v>
      </c>
      <c r="L6715" s="50" t="s">
        <v>80</v>
      </c>
    </row>
    <row r="6716" spans="2:12">
      <c r="B6716" s="50" t="s">
        <v>386</v>
      </c>
      <c r="C6716" s="50" t="s">
        <v>62</v>
      </c>
      <c r="D6716" s="50" t="s">
        <v>27</v>
      </c>
      <c r="E6716" s="50">
        <v>50038840</v>
      </c>
      <c r="F6716" s="50" t="s">
        <v>235</v>
      </c>
      <c r="G6716" s="50">
        <v>1</v>
      </c>
      <c r="H6716" s="50" t="s">
        <v>2</v>
      </c>
      <c r="I6716" s="50" t="s">
        <v>293</v>
      </c>
      <c r="J6716" s="51">
        <v>45887</v>
      </c>
      <c r="K6716" s="50" t="s">
        <v>3</v>
      </c>
      <c r="L6716" s="50" t="s">
        <v>80</v>
      </c>
    </row>
    <row r="6717" spans="2:12">
      <c r="B6717" s="50" t="s">
        <v>402</v>
      </c>
      <c r="C6717" s="50" t="str">
        <f>IFERROR(VLOOKUP(#REF!,'BD COLABORADORES'!A:E,7,FALSE),"")</f>
        <v/>
      </c>
      <c r="D6717" s="50" t="str">
        <f>IFERROR(VLOOKUP(#REF!,'BD COLABORADORES'!A:E,2,FALSE),"")</f>
        <v/>
      </c>
      <c r="E6717" s="50">
        <v>50041195</v>
      </c>
      <c r="F6717" s="50" t="str">
        <f>IFERROR(VLOOKUP(E6717,'BD MOVIMENTAÇÃO'!A:G,3,FALSE),"Não encontrado")</f>
        <v>PARAFUSADEIRA FUR DE IMPACTO BRUSHLESS</v>
      </c>
      <c r="G6717" s="58">
        <v>1</v>
      </c>
      <c r="H6717" s="50" t="s">
        <v>2</v>
      </c>
      <c r="I6717" s="59" t="s">
        <v>313</v>
      </c>
      <c r="J6717" s="63">
        <v>45886</v>
      </c>
      <c r="K6717" s="50" t="s">
        <v>3</v>
      </c>
      <c r="L6717" s="50" t="s">
        <v>80</v>
      </c>
    </row>
    <row r="6718" spans="2:12">
      <c r="B6718" s="50" t="s">
        <v>406</v>
      </c>
      <c r="C6718" s="50" t="s">
        <v>26</v>
      </c>
      <c r="D6718" s="50" t="s">
        <v>39</v>
      </c>
      <c r="E6718" s="50">
        <v>50037905</v>
      </c>
      <c r="F6718" s="50" t="s">
        <v>150</v>
      </c>
      <c r="G6718" s="50">
        <v>1</v>
      </c>
      <c r="H6718" s="50" t="s">
        <v>2</v>
      </c>
      <c r="I6718" s="50" t="s">
        <v>287</v>
      </c>
      <c r="J6718" s="51">
        <v>45885</v>
      </c>
      <c r="K6718" s="50" t="s">
        <v>3</v>
      </c>
      <c r="L6718" s="50" t="s">
        <v>80</v>
      </c>
    </row>
    <row r="6719" spans="2:12">
      <c r="B6719" s="50" t="s">
        <v>394</v>
      </c>
      <c r="C6719" s="50" t="s">
        <v>26</v>
      </c>
      <c r="D6719" s="50" t="s">
        <v>41</v>
      </c>
      <c r="E6719" s="50">
        <v>50038841</v>
      </c>
      <c r="F6719" s="50" t="s">
        <v>180</v>
      </c>
      <c r="G6719" s="50">
        <v>1</v>
      </c>
      <c r="H6719" s="50" t="s">
        <v>2</v>
      </c>
      <c r="I6719" s="50" t="s">
        <v>287</v>
      </c>
      <c r="J6719" s="51">
        <v>45885</v>
      </c>
      <c r="K6719" s="50" t="s">
        <v>1</v>
      </c>
      <c r="L6719" s="50" t="s">
        <v>80</v>
      </c>
    </row>
    <row r="6720" spans="2:12">
      <c r="B6720" s="50" t="s">
        <v>394</v>
      </c>
      <c r="C6720" s="50" t="s">
        <v>26</v>
      </c>
      <c r="D6720" s="50" t="s">
        <v>41</v>
      </c>
      <c r="E6720" s="50">
        <v>50038841</v>
      </c>
      <c r="F6720" s="50" t="s">
        <v>180</v>
      </c>
      <c r="G6720" s="50">
        <v>1</v>
      </c>
      <c r="H6720" s="50" t="s">
        <v>2</v>
      </c>
      <c r="I6720" s="50" t="s">
        <v>287</v>
      </c>
      <c r="J6720" s="51">
        <v>45885</v>
      </c>
      <c r="K6720" s="50" t="s">
        <v>1</v>
      </c>
      <c r="L6720" s="50" t="s">
        <v>80</v>
      </c>
    </row>
    <row r="6721" spans="2:12">
      <c r="B6721" s="50" t="s">
        <v>415</v>
      </c>
      <c r="C6721" s="50" t="s">
        <v>51</v>
      </c>
      <c r="D6721" s="50" t="s">
        <v>27</v>
      </c>
      <c r="E6721" s="50">
        <v>50030074</v>
      </c>
      <c r="F6721" s="50" t="s">
        <v>156</v>
      </c>
      <c r="G6721" s="50">
        <v>1</v>
      </c>
      <c r="H6721" s="50" t="s">
        <v>2</v>
      </c>
      <c r="I6721" s="50" t="s">
        <v>293</v>
      </c>
      <c r="J6721" s="51">
        <v>45884</v>
      </c>
      <c r="K6721" s="50" t="s">
        <v>3</v>
      </c>
      <c r="L6721" s="50" t="s">
        <v>80</v>
      </c>
    </row>
    <row r="6722" spans="2:12">
      <c r="B6722" s="50" t="s">
        <v>415</v>
      </c>
      <c r="C6722" s="50" t="s">
        <v>51</v>
      </c>
      <c r="D6722" s="50" t="s">
        <v>27</v>
      </c>
      <c r="E6722" s="50">
        <v>50030074</v>
      </c>
      <c r="F6722" s="50" t="s">
        <v>156</v>
      </c>
      <c r="G6722" s="50">
        <v>1</v>
      </c>
      <c r="H6722" s="50" t="s">
        <v>2</v>
      </c>
      <c r="I6722" s="50" t="s">
        <v>293</v>
      </c>
      <c r="J6722" s="51">
        <v>45884</v>
      </c>
      <c r="K6722" s="50" t="s">
        <v>1</v>
      </c>
      <c r="L6722" s="50" t="s">
        <v>80</v>
      </c>
    </row>
    <row r="6723" spans="2:12">
      <c r="B6723" s="50" t="s">
        <v>316</v>
      </c>
      <c r="C6723" s="50" t="s">
        <v>51</v>
      </c>
      <c r="D6723" s="50" t="s">
        <v>27</v>
      </c>
      <c r="E6723" s="50">
        <v>50030074</v>
      </c>
      <c r="F6723" s="50" t="s">
        <v>156</v>
      </c>
      <c r="G6723" s="50">
        <v>1</v>
      </c>
      <c r="H6723" s="50" t="s">
        <v>2</v>
      </c>
      <c r="I6723" s="50" t="s">
        <v>293</v>
      </c>
      <c r="J6723" s="51">
        <v>45884</v>
      </c>
      <c r="K6723" s="50" t="s">
        <v>3</v>
      </c>
      <c r="L6723" s="50" t="s">
        <v>80</v>
      </c>
    </row>
    <row r="6724" spans="2:12">
      <c r="B6724" s="50" t="s">
        <v>316</v>
      </c>
      <c r="C6724" s="50" t="s">
        <v>51</v>
      </c>
      <c r="D6724" s="50" t="s">
        <v>27</v>
      </c>
      <c r="E6724" s="50">
        <v>50030074</v>
      </c>
      <c r="F6724" s="50" t="s">
        <v>156</v>
      </c>
      <c r="G6724" s="50">
        <v>1</v>
      </c>
      <c r="H6724" s="50" t="s">
        <v>4</v>
      </c>
      <c r="I6724" s="50" t="s">
        <v>290</v>
      </c>
      <c r="J6724" s="51">
        <v>45884</v>
      </c>
      <c r="K6724" s="50" t="s">
        <v>1</v>
      </c>
      <c r="L6724" s="50" t="s">
        <v>80</v>
      </c>
    </row>
    <row r="6725" spans="2:12">
      <c r="B6725" s="50" t="s">
        <v>386</v>
      </c>
      <c r="C6725" s="50" t="s">
        <v>62</v>
      </c>
      <c r="D6725" s="50" t="s">
        <v>27</v>
      </c>
      <c r="E6725" s="50">
        <v>50029865</v>
      </c>
      <c r="F6725" s="50" t="s">
        <v>162</v>
      </c>
      <c r="G6725" s="50">
        <v>1</v>
      </c>
      <c r="H6725" s="50" t="s">
        <v>2</v>
      </c>
      <c r="I6725" s="50" t="s">
        <v>293</v>
      </c>
      <c r="J6725" s="51">
        <v>45884</v>
      </c>
      <c r="K6725" s="50" t="s">
        <v>3</v>
      </c>
      <c r="L6725" s="50" t="s">
        <v>80</v>
      </c>
    </row>
    <row r="6726" spans="2:12">
      <c r="B6726" s="50" t="s">
        <v>386</v>
      </c>
      <c r="C6726" s="50" t="s">
        <v>62</v>
      </c>
      <c r="D6726" s="50" t="s">
        <v>27</v>
      </c>
      <c r="E6726" s="50">
        <v>50029865</v>
      </c>
      <c r="F6726" s="50" t="s">
        <v>162</v>
      </c>
      <c r="G6726" s="50">
        <v>1</v>
      </c>
      <c r="H6726" s="50" t="s">
        <v>2</v>
      </c>
      <c r="I6726" s="50" t="s">
        <v>292</v>
      </c>
      <c r="J6726" s="51">
        <v>45884</v>
      </c>
      <c r="K6726" s="50" t="s">
        <v>1</v>
      </c>
      <c r="L6726" s="50" t="s">
        <v>80</v>
      </c>
    </row>
    <row r="6727" spans="2:12">
      <c r="B6727" s="50" t="s">
        <v>277</v>
      </c>
      <c r="C6727" s="50" t="s">
        <v>62</v>
      </c>
      <c r="D6727" s="50" t="s">
        <v>27</v>
      </c>
      <c r="E6727" s="50">
        <v>50029865</v>
      </c>
      <c r="F6727" s="50" t="s">
        <v>162</v>
      </c>
      <c r="G6727" s="50">
        <v>1</v>
      </c>
      <c r="H6727" s="50" t="s">
        <v>2</v>
      </c>
      <c r="I6727" s="50" t="s">
        <v>287</v>
      </c>
      <c r="J6727" s="51">
        <v>45884</v>
      </c>
      <c r="K6727" s="50" t="s">
        <v>3</v>
      </c>
      <c r="L6727" s="50" t="s">
        <v>80</v>
      </c>
    </row>
    <row r="6728" spans="2:12">
      <c r="B6728" s="50" t="s">
        <v>277</v>
      </c>
      <c r="C6728" s="50" t="s">
        <v>62</v>
      </c>
      <c r="D6728" s="50" t="s">
        <v>27</v>
      </c>
      <c r="E6728" s="50">
        <v>50029865</v>
      </c>
      <c r="F6728" s="50" t="s">
        <v>162</v>
      </c>
      <c r="G6728" s="50">
        <v>1</v>
      </c>
      <c r="H6728" s="50" t="s">
        <v>2</v>
      </c>
      <c r="I6728" s="50" t="s">
        <v>287</v>
      </c>
      <c r="J6728" s="51">
        <v>45884</v>
      </c>
      <c r="K6728" s="50" t="s">
        <v>1</v>
      </c>
      <c r="L6728" s="50" t="s">
        <v>80</v>
      </c>
    </row>
    <row r="6729" spans="2:12">
      <c r="B6729" s="50" t="s">
        <v>386</v>
      </c>
      <c r="C6729" s="50" t="s">
        <v>62</v>
      </c>
      <c r="D6729" s="50" t="s">
        <v>27</v>
      </c>
      <c r="E6729" s="50">
        <v>50037916</v>
      </c>
      <c r="F6729" s="50" t="s">
        <v>164</v>
      </c>
      <c r="G6729" s="50">
        <v>1</v>
      </c>
      <c r="H6729" s="50" t="s">
        <v>2</v>
      </c>
      <c r="I6729" s="50" t="s">
        <v>291</v>
      </c>
      <c r="J6729" s="51">
        <v>45884</v>
      </c>
      <c r="K6729" s="50" t="s">
        <v>3</v>
      </c>
      <c r="L6729" s="50" t="s">
        <v>80</v>
      </c>
    </row>
    <row r="6730" spans="2:12">
      <c r="B6730" s="50" t="s">
        <v>386</v>
      </c>
      <c r="C6730" s="50" t="s">
        <v>62</v>
      </c>
      <c r="D6730" s="50" t="s">
        <v>27</v>
      </c>
      <c r="E6730" s="50">
        <v>50037916</v>
      </c>
      <c r="F6730" s="50" t="s">
        <v>164</v>
      </c>
      <c r="G6730" s="50">
        <v>1</v>
      </c>
      <c r="H6730" s="50" t="s">
        <v>2</v>
      </c>
      <c r="I6730" s="50" t="s">
        <v>288</v>
      </c>
      <c r="J6730" s="51">
        <v>45884</v>
      </c>
      <c r="K6730" s="50" t="s">
        <v>1</v>
      </c>
      <c r="L6730" s="50" t="s">
        <v>80</v>
      </c>
    </row>
    <row r="6731" spans="2:12">
      <c r="B6731" s="50" t="s">
        <v>458</v>
      </c>
      <c r="C6731" s="50" t="s">
        <v>26</v>
      </c>
      <c r="D6731" s="50" t="s">
        <v>27</v>
      </c>
      <c r="E6731" s="50">
        <v>50038549</v>
      </c>
      <c r="F6731" s="50" t="s">
        <v>173</v>
      </c>
      <c r="G6731" s="50">
        <v>1</v>
      </c>
      <c r="H6731" s="50" t="s">
        <v>2</v>
      </c>
      <c r="I6731" s="50" t="s">
        <v>291</v>
      </c>
      <c r="J6731" s="51">
        <v>45884</v>
      </c>
      <c r="K6731" s="50" t="s">
        <v>3</v>
      </c>
      <c r="L6731" s="50" t="s">
        <v>80</v>
      </c>
    </row>
    <row r="6732" spans="2:12">
      <c r="B6732" s="50" t="s">
        <v>458</v>
      </c>
      <c r="C6732" s="50" t="s">
        <v>26</v>
      </c>
      <c r="D6732" s="50" t="s">
        <v>27</v>
      </c>
      <c r="E6732" s="50">
        <v>50038549</v>
      </c>
      <c r="F6732" s="50" t="s">
        <v>173</v>
      </c>
      <c r="G6732" s="50">
        <v>1</v>
      </c>
      <c r="H6732" s="50" t="s">
        <v>2</v>
      </c>
      <c r="I6732" s="50" t="s">
        <v>291</v>
      </c>
      <c r="J6732" s="51">
        <v>45884</v>
      </c>
      <c r="K6732" s="50" t="s">
        <v>3</v>
      </c>
      <c r="L6732" s="50" t="s">
        <v>80</v>
      </c>
    </row>
    <row r="6733" spans="2:12">
      <c r="B6733" s="50" t="s">
        <v>316</v>
      </c>
      <c r="C6733" s="50" t="s">
        <v>51</v>
      </c>
      <c r="D6733" s="50" t="s">
        <v>27</v>
      </c>
      <c r="E6733" s="50">
        <v>50037902</v>
      </c>
      <c r="F6733" s="50" t="s">
        <v>179</v>
      </c>
      <c r="G6733" s="50">
        <v>1</v>
      </c>
      <c r="H6733" s="50" t="s">
        <v>2</v>
      </c>
      <c r="I6733" s="50" t="s">
        <v>293</v>
      </c>
      <c r="J6733" s="51">
        <v>45884</v>
      </c>
      <c r="K6733" s="50" t="s">
        <v>1</v>
      </c>
      <c r="L6733" s="50" t="s">
        <v>80</v>
      </c>
    </row>
    <row r="6734" spans="2:12">
      <c r="B6734" s="50" t="s">
        <v>316</v>
      </c>
      <c r="C6734" s="50" t="s">
        <v>51</v>
      </c>
      <c r="D6734" s="50" t="s">
        <v>27</v>
      </c>
      <c r="E6734" s="50">
        <v>50037902</v>
      </c>
      <c r="F6734" s="50" t="s">
        <v>179</v>
      </c>
      <c r="G6734" s="50">
        <v>1</v>
      </c>
      <c r="H6734" s="50" t="s">
        <v>4</v>
      </c>
      <c r="I6734" s="50" t="s">
        <v>290</v>
      </c>
      <c r="J6734" s="51">
        <v>45884</v>
      </c>
      <c r="K6734" s="50" t="s">
        <v>3</v>
      </c>
      <c r="L6734" s="50" t="s">
        <v>80</v>
      </c>
    </row>
    <row r="6735" spans="2:12">
      <c r="B6735" s="50" t="s">
        <v>483</v>
      </c>
      <c r="C6735" s="50" t="s">
        <v>62</v>
      </c>
      <c r="D6735" s="50" t="s">
        <v>27</v>
      </c>
      <c r="E6735" s="50">
        <v>50038841</v>
      </c>
      <c r="F6735" s="50" t="s">
        <v>180</v>
      </c>
      <c r="G6735" s="50">
        <v>1</v>
      </c>
      <c r="H6735" s="50" t="s">
        <v>2</v>
      </c>
      <c r="I6735" s="50" t="s">
        <v>293</v>
      </c>
      <c r="J6735" s="51">
        <v>45884</v>
      </c>
      <c r="K6735" s="50" t="s">
        <v>1</v>
      </c>
      <c r="L6735" s="50" t="s">
        <v>80</v>
      </c>
    </row>
    <row r="6736" spans="2:12">
      <c r="B6736" s="50" t="s">
        <v>483</v>
      </c>
      <c r="C6736" s="50" t="s">
        <v>62</v>
      </c>
      <c r="D6736" s="50" t="s">
        <v>27</v>
      </c>
      <c r="E6736" s="50">
        <v>50038841</v>
      </c>
      <c r="F6736" s="50" t="s">
        <v>180</v>
      </c>
      <c r="G6736" s="50">
        <v>1</v>
      </c>
      <c r="H6736" s="50" t="s">
        <v>2</v>
      </c>
      <c r="I6736" s="50" t="s">
        <v>293</v>
      </c>
      <c r="J6736" s="51">
        <v>45884</v>
      </c>
      <c r="K6736" s="50" t="s">
        <v>1</v>
      </c>
      <c r="L6736" s="50" t="s">
        <v>80</v>
      </c>
    </row>
    <row r="6737" spans="2:12">
      <c r="B6737" s="50" t="s">
        <v>25</v>
      </c>
      <c r="C6737" s="50" t="s">
        <v>26</v>
      </c>
      <c r="D6737" s="50" t="s">
        <v>27</v>
      </c>
      <c r="E6737" s="50">
        <v>50038517</v>
      </c>
      <c r="F6737" s="50" t="s">
        <v>181</v>
      </c>
      <c r="G6737" s="50">
        <v>1</v>
      </c>
      <c r="H6737" s="50" t="s">
        <v>2</v>
      </c>
      <c r="I6737" s="50" t="s">
        <v>287</v>
      </c>
      <c r="J6737" s="51">
        <v>45884</v>
      </c>
      <c r="K6737" s="50" t="s">
        <v>1</v>
      </c>
      <c r="L6737" s="50" t="s">
        <v>80</v>
      </c>
    </row>
    <row r="6738" spans="2:12">
      <c r="B6738" s="50" t="s">
        <v>316</v>
      </c>
      <c r="C6738" s="50" t="s">
        <v>51</v>
      </c>
      <c r="D6738" s="50" t="s">
        <v>27</v>
      </c>
      <c r="E6738" s="50">
        <v>50039065</v>
      </c>
      <c r="F6738" s="50" t="s">
        <v>186</v>
      </c>
      <c r="G6738" s="50">
        <v>1</v>
      </c>
      <c r="H6738" s="50" t="s">
        <v>2</v>
      </c>
      <c r="I6738" s="50" t="s">
        <v>293</v>
      </c>
      <c r="J6738" s="51">
        <v>45884</v>
      </c>
      <c r="K6738" s="50" t="s">
        <v>3</v>
      </c>
      <c r="L6738" s="50" t="s">
        <v>80</v>
      </c>
    </row>
    <row r="6739" spans="2:12">
      <c r="B6739" s="50" t="s">
        <v>316</v>
      </c>
      <c r="C6739" s="50" t="s">
        <v>51</v>
      </c>
      <c r="D6739" s="50" t="s">
        <v>27</v>
      </c>
      <c r="E6739" s="50">
        <v>50039065</v>
      </c>
      <c r="F6739" s="50" t="s">
        <v>186</v>
      </c>
      <c r="G6739" s="50">
        <v>1</v>
      </c>
      <c r="H6739" s="50" t="s">
        <v>2</v>
      </c>
      <c r="I6739" s="50" t="s">
        <v>291</v>
      </c>
      <c r="J6739" s="51">
        <v>45884</v>
      </c>
      <c r="K6739" s="50" t="s">
        <v>3</v>
      </c>
      <c r="L6739" s="50" t="s">
        <v>80</v>
      </c>
    </row>
    <row r="6740" spans="2:12">
      <c r="B6740" s="50" t="s">
        <v>423</v>
      </c>
      <c r="C6740" s="50" t="s">
        <v>62</v>
      </c>
      <c r="D6740" s="50" t="s">
        <v>27</v>
      </c>
      <c r="E6740" s="50">
        <v>50041195</v>
      </c>
      <c r="F6740" s="50" t="s">
        <v>206</v>
      </c>
      <c r="G6740" s="50">
        <v>1</v>
      </c>
      <c r="H6740" s="50" t="s">
        <v>2</v>
      </c>
      <c r="I6740" s="50" t="s">
        <v>293</v>
      </c>
      <c r="J6740" s="51">
        <v>45884</v>
      </c>
      <c r="K6740" s="50" t="s">
        <v>1</v>
      </c>
      <c r="L6740" s="50" t="s">
        <v>80</v>
      </c>
    </row>
    <row r="6741" spans="2:12">
      <c r="B6741" s="50" t="s">
        <v>423</v>
      </c>
      <c r="C6741" s="50" t="s">
        <v>62</v>
      </c>
      <c r="D6741" s="50" t="s">
        <v>27</v>
      </c>
      <c r="E6741" s="50">
        <v>50041195</v>
      </c>
      <c r="F6741" s="50" t="s">
        <v>206</v>
      </c>
      <c r="G6741" s="50">
        <v>1</v>
      </c>
      <c r="H6741" s="50" t="s">
        <v>2</v>
      </c>
      <c r="I6741" s="50" t="s">
        <v>291</v>
      </c>
      <c r="J6741" s="51">
        <v>45884</v>
      </c>
      <c r="K6741" s="50" t="s">
        <v>3</v>
      </c>
      <c r="L6741" s="50" t="s">
        <v>80</v>
      </c>
    </row>
    <row r="6742" spans="2:12">
      <c r="B6742" s="50" t="s">
        <v>386</v>
      </c>
      <c r="C6742" s="50" t="s">
        <v>62</v>
      </c>
      <c r="D6742" s="50" t="s">
        <v>27</v>
      </c>
      <c r="E6742" s="50">
        <v>50043917</v>
      </c>
      <c r="F6742" s="50" t="s">
        <v>262</v>
      </c>
      <c r="G6742" s="50">
        <v>1</v>
      </c>
      <c r="H6742" s="50" t="s">
        <v>2</v>
      </c>
      <c r="I6742" s="50" t="s">
        <v>293</v>
      </c>
      <c r="J6742" s="51">
        <v>45884</v>
      </c>
      <c r="K6742" s="50" t="s">
        <v>1</v>
      </c>
      <c r="L6742" s="50" t="s">
        <v>80</v>
      </c>
    </row>
    <row r="6743" spans="2:12">
      <c r="B6743" s="50" t="s">
        <v>386</v>
      </c>
      <c r="C6743" s="50" t="s">
        <v>62</v>
      </c>
      <c r="D6743" s="50" t="s">
        <v>27</v>
      </c>
      <c r="E6743" s="50">
        <v>50043917</v>
      </c>
      <c r="F6743" s="50" t="s">
        <v>262</v>
      </c>
      <c r="G6743" s="50">
        <v>1</v>
      </c>
      <c r="H6743" s="50" t="s">
        <v>2</v>
      </c>
      <c r="I6743" s="50" t="s">
        <v>292</v>
      </c>
      <c r="J6743" s="51">
        <v>45884</v>
      </c>
      <c r="K6743" s="50" t="s">
        <v>1</v>
      </c>
      <c r="L6743" s="50" t="s">
        <v>80</v>
      </c>
    </row>
    <row r="6744" spans="2:12">
      <c r="B6744" s="50" t="s">
        <v>277</v>
      </c>
      <c r="C6744" s="50" t="s">
        <v>62</v>
      </c>
      <c r="D6744" s="50" t="s">
        <v>27</v>
      </c>
      <c r="E6744" s="50">
        <v>50020622</v>
      </c>
      <c r="F6744" s="50" t="s">
        <v>217</v>
      </c>
      <c r="G6744" s="50">
        <v>1</v>
      </c>
      <c r="H6744" s="50" t="s">
        <v>2</v>
      </c>
      <c r="I6744" s="50" t="s">
        <v>287</v>
      </c>
      <c r="J6744" s="51">
        <v>45884</v>
      </c>
      <c r="K6744" s="50" t="s">
        <v>3</v>
      </c>
      <c r="L6744" s="50" t="s">
        <v>80</v>
      </c>
    </row>
    <row r="6745" spans="2:12">
      <c r="B6745" s="50" t="s">
        <v>277</v>
      </c>
      <c r="C6745" s="50" t="s">
        <v>62</v>
      </c>
      <c r="D6745" s="50" t="s">
        <v>27</v>
      </c>
      <c r="E6745" s="50">
        <v>50020622</v>
      </c>
      <c r="F6745" s="50" t="s">
        <v>217</v>
      </c>
      <c r="G6745" s="50">
        <v>1</v>
      </c>
      <c r="H6745" s="50" t="s">
        <v>2</v>
      </c>
      <c r="I6745" s="50" t="s">
        <v>287</v>
      </c>
      <c r="J6745" s="51">
        <v>45884</v>
      </c>
      <c r="K6745" s="50" t="s">
        <v>1</v>
      </c>
      <c r="L6745" s="50" t="s">
        <v>80</v>
      </c>
    </row>
    <row r="6746" spans="2:12">
      <c r="B6746" s="50" t="s">
        <v>345</v>
      </c>
      <c r="C6746" s="50" t="s">
        <v>56</v>
      </c>
      <c r="D6746" s="50" t="s">
        <v>27</v>
      </c>
      <c r="E6746" s="50">
        <v>50002644</v>
      </c>
      <c r="F6746" s="50" t="s">
        <v>91</v>
      </c>
      <c r="G6746" s="50">
        <v>1</v>
      </c>
      <c r="H6746" s="50" t="s">
        <v>2</v>
      </c>
      <c r="I6746" s="50" t="s">
        <v>292</v>
      </c>
      <c r="J6746" s="51">
        <v>45883</v>
      </c>
      <c r="K6746" s="50" t="s">
        <v>3</v>
      </c>
      <c r="L6746" s="50" t="s">
        <v>80</v>
      </c>
    </row>
    <row r="6747" spans="2:12">
      <c r="B6747" s="50" t="s">
        <v>345</v>
      </c>
      <c r="C6747" s="50" t="s">
        <v>56</v>
      </c>
      <c r="D6747" s="50" t="s">
        <v>27</v>
      </c>
      <c r="E6747" s="50">
        <v>50002644</v>
      </c>
      <c r="F6747" s="50" t="s">
        <v>91</v>
      </c>
      <c r="G6747" s="50">
        <v>1</v>
      </c>
      <c r="H6747" s="50" t="s">
        <v>2</v>
      </c>
      <c r="I6747" s="50" t="s">
        <v>292</v>
      </c>
      <c r="J6747" s="51">
        <v>45883</v>
      </c>
      <c r="K6747" s="50" t="s">
        <v>3</v>
      </c>
      <c r="L6747" s="50" t="s">
        <v>80</v>
      </c>
    </row>
    <row r="6748" spans="2:12">
      <c r="B6748" s="50" t="s">
        <v>463</v>
      </c>
      <c r="C6748" s="50" t="s">
        <v>56</v>
      </c>
      <c r="D6748" s="50" t="s">
        <v>27</v>
      </c>
      <c r="E6748" s="50">
        <v>50037965</v>
      </c>
      <c r="F6748" s="50" t="s">
        <v>95</v>
      </c>
      <c r="G6748" s="50">
        <v>1</v>
      </c>
      <c r="H6748" s="50" t="s">
        <v>2</v>
      </c>
      <c r="I6748" s="50" t="s">
        <v>291</v>
      </c>
      <c r="J6748" s="51">
        <v>45883</v>
      </c>
      <c r="K6748" s="50" t="s">
        <v>3</v>
      </c>
      <c r="L6748" s="50" t="s">
        <v>80</v>
      </c>
    </row>
    <row r="6749" spans="2:12">
      <c r="B6749" s="50" t="s">
        <v>463</v>
      </c>
      <c r="C6749" s="50" t="s">
        <v>56</v>
      </c>
      <c r="D6749" s="50" t="s">
        <v>27</v>
      </c>
      <c r="E6749" s="50">
        <v>50037965</v>
      </c>
      <c r="F6749" s="50" t="s">
        <v>95</v>
      </c>
      <c r="G6749" s="50">
        <v>1</v>
      </c>
      <c r="H6749" s="50" t="s">
        <v>2</v>
      </c>
      <c r="I6749" s="50" t="s">
        <v>291</v>
      </c>
      <c r="J6749" s="51">
        <v>45883</v>
      </c>
      <c r="K6749" s="50" t="s">
        <v>3</v>
      </c>
      <c r="L6749" s="50" t="s">
        <v>80</v>
      </c>
    </row>
    <row r="6750" spans="2:12">
      <c r="B6750" s="50" t="s">
        <v>25</v>
      </c>
      <c r="C6750" s="50" t="s">
        <v>26</v>
      </c>
      <c r="D6750" s="50" t="s">
        <v>27</v>
      </c>
      <c r="E6750" s="50">
        <v>50037960</v>
      </c>
      <c r="F6750" s="50" t="s">
        <v>112</v>
      </c>
      <c r="G6750" s="50">
        <v>1</v>
      </c>
      <c r="H6750" s="50" t="s">
        <v>2</v>
      </c>
      <c r="I6750" s="50" t="s">
        <v>291</v>
      </c>
      <c r="J6750" s="51">
        <v>45883</v>
      </c>
      <c r="K6750" s="50" t="s">
        <v>3</v>
      </c>
      <c r="L6750" s="50" t="s">
        <v>80</v>
      </c>
    </row>
    <row r="6751" spans="2:12">
      <c r="B6751" s="50" t="s">
        <v>25</v>
      </c>
      <c r="C6751" s="50" t="s">
        <v>26</v>
      </c>
      <c r="D6751" s="50" t="s">
        <v>27</v>
      </c>
      <c r="E6751" s="50">
        <v>50037961</v>
      </c>
      <c r="F6751" s="50" t="s">
        <v>113</v>
      </c>
      <c r="G6751" s="50">
        <v>1</v>
      </c>
      <c r="H6751" s="50" t="s">
        <v>2</v>
      </c>
      <c r="I6751" s="50" t="s">
        <v>291</v>
      </c>
      <c r="J6751" s="51">
        <v>45883</v>
      </c>
      <c r="K6751" s="50" t="s">
        <v>1</v>
      </c>
      <c r="L6751" s="50" t="s">
        <v>80</v>
      </c>
    </row>
    <row r="6752" spans="2:12">
      <c r="B6752" s="50" t="s">
        <v>483</v>
      </c>
      <c r="C6752" s="50" t="s">
        <v>62</v>
      </c>
      <c r="D6752" s="50" t="s">
        <v>27</v>
      </c>
      <c r="E6752" s="50">
        <v>50039236</v>
      </c>
      <c r="F6752" s="50" t="s">
        <v>154</v>
      </c>
      <c r="G6752" s="50">
        <v>1</v>
      </c>
      <c r="H6752" s="50" t="s">
        <v>2</v>
      </c>
      <c r="I6752" s="50" t="s">
        <v>291</v>
      </c>
      <c r="J6752" s="51">
        <v>45883</v>
      </c>
      <c r="K6752" s="50" t="s">
        <v>3</v>
      </c>
      <c r="L6752" s="50" t="s">
        <v>80</v>
      </c>
    </row>
    <row r="6753" spans="2:12">
      <c r="B6753" s="50" t="s">
        <v>483</v>
      </c>
      <c r="C6753" s="50" t="s">
        <v>62</v>
      </c>
      <c r="D6753" s="50" t="s">
        <v>27</v>
      </c>
      <c r="E6753" s="50">
        <v>50039236</v>
      </c>
      <c r="F6753" s="50" t="s">
        <v>154</v>
      </c>
      <c r="G6753" s="50">
        <v>1</v>
      </c>
      <c r="H6753" s="50" t="s">
        <v>2</v>
      </c>
      <c r="I6753" s="50" t="s">
        <v>291</v>
      </c>
      <c r="J6753" s="51">
        <v>45883</v>
      </c>
      <c r="K6753" s="50" t="s">
        <v>1</v>
      </c>
      <c r="L6753" s="50" t="s">
        <v>80</v>
      </c>
    </row>
    <row r="6754" spans="2:12">
      <c r="B6754" s="50" t="s">
        <v>417</v>
      </c>
      <c r="C6754" s="50" t="s">
        <v>51</v>
      </c>
      <c r="D6754" s="50" t="s">
        <v>41</v>
      </c>
      <c r="E6754" s="50">
        <v>50043471</v>
      </c>
      <c r="F6754" s="50" t="s">
        <v>257</v>
      </c>
      <c r="G6754" s="50">
        <v>1</v>
      </c>
      <c r="H6754" s="50" t="s">
        <v>2</v>
      </c>
      <c r="I6754" s="50" t="s">
        <v>287</v>
      </c>
      <c r="J6754" s="51">
        <v>45883</v>
      </c>
      <c r="K6754" s="50" t="s">
        <v>1</v>
      </c>
      <c r="L6754" s="50" t="s">
        <v>80</v>
      </c>
    </row>
    <row r="6755" spans="2:12">
      <c r="B6755" s="50" t="s">
        <v>277</v>
      </c>
      <c r="C6755" s="50" t="s">
        <v>62</v>
      </c>
      <c r="D6755" s="50" t="s">
        <v>27</v>
      </c>
      <c r="E6755" s="50">
        <v>50029865</v>
      </c>
      <c r="F6755" s="50" t="s">
        <v>162</v>
      </c>
      <c r="G6755" s="50">
        <v>1</v>
      </c>
      <c r="H6755" s="50" t="s">
        <v>2</v>
      </c>
      <c r="I6755" s="50" t="s">
        <v>291</v>
      </c>
      <c r="J6755" s="51">
        <v>45883</v>
      </c>
      <c r="K6755" s="50" t="s">
        <v>3</v>
      </c>
      <c r="L6755" s="50" t="s">
        <v>80</v>
      </c>
    </row>
    <row r="6756" spans="2:12">
      <c r="B6756" s="50" t="s">
        <v>277</v>
      </c>
      <c r="C6756" s="50" t="s">
        <v>62</v>
      </c>
      <c r="D6756" s="50" t="s">
        <v>27</v>
      </c>
      <c r="E6756" s="50">
        <v>50029865</v>
      </c>
      <c r="F6756" s="50" t="s">
        <v>162</v>
      </c>
      <c r="G6756" s="50">
        <v>1</v>
      </c>
      <c r="H6756" s="50" t="s">
        <v>2</v>
      </c>
      <c r="I6756" s="50" t="s">
        <v>291</v>
      </c>
      <c r="J6756" s="51">
        <v>45883</v>
      </c>
      <c r="K6756" s="50" t="s">
        <v>1</v>
      </c>
      <c r="L6756" s="50" t="s">
        <v>80</v>
      </c>
    </row>
    <row r="6757" spans="2:12">
      <c r="B6757" s="50" t="s">
        <v>25</v>
      </c>
      <c r="C6757" s="50" t="s">
        <v>26</v>
      </c>
      <c r="D6757" s="50" t="s">
        <v>27</v>
      </c>
      <c r="E6757" s="50">
        <v>50038517</v>
      </c>
      <c r="F6757" s="50" t="s">
        <v>181</v>
      </c>
      <c r="G6757" s="50">
        <v>1</v>
      </c>
      <c r="H6757" s="50" t="s">
        <v>2</v>
      </c>
      <c r="I6757" s="50" t="s">
        <v>291</v>
      </c>
      <c r="J6757" s="51">
        <v>45883</v>
      </c>
      <c r="K6757" s="50" t="s">
        <v>1</v>
      </c>
      <c r="L6757" s="50" t="s">
        <v>80</v>
      </c>
    </row>
    <row r="6758" spans="2:12">
      <c r="B6758" s="50" t="s">
        <v>483</v>
      </c>
      <c r="C6758" s="50" t="s">
        <v>62</v>
      </c>
      <c r="D6758" s="50" t="s">
        <v>27</v>
      </c>
      <c r="E6758" s="50">
        <v>50037903</v>
      </c>
      <c r="F6758" s="50" t="s">
        <v>183</v>
      </c>
      <c r="G6758" s="50">
        <v>1</v>
      </c>
      <c r="H6758" s="50" t="s">
        <v>2</v>
      </c>
      <c r="I6758" s="50" t="s">
        <v>292</v>
      </c>
      <c r="J6758" s="51">
        <v>45883</v>
      </c>
      <c r="K6758" s="50" t="s">
        <v>3</v>
      </c>
      <c r="L6758" s="50" t="s">
        <v>80</v>
      </c>
    </row>
    <row r="6759" spans="2:12">
      <c r="B6759" s="50" t="s">
        <v>483</v>
      </c>
      <c r="C6759" s="50" t="s">
        <v>62</v>
      </c>
      <c r="D6759" s="50" t="s">
        <v>27</v>
      </c>
      <c r="E6759" s="50">
        <v>50037903</v>
      </c>
      <c r="F6759" s="50" t="s">
        <v>183</v>
      </c>
      <c r="G6759" s="50">
        <v>1</v>
      </c>
      <c r="H6759" s="50" t="s">
        <v>2</v>
      </c>
      <c r="I6759" s="50" t="s">
        <v>291</v>
      </c>
      <c r="J6759" s="51">
        <v>45883</v>
      </c>
      <c r="K6759" s="50" t="s">
        <v>1</v>
      </c>
      <c r="L6759" s="50" t="s">
        <v>80</v>
      </c>
    </row>
    <row r="6760" spans="2:12">
      <c r="B6760" s="50" t="s">
        <v>483</v>
      </c>
      <c r="C6760" s="50" t="s">
        <v>62</v>
      </c>
      <c r="D6760" s="50" t="s">
        <v>27</v>
      </c>
      <c r="E6760" s="50">
        <v>50001995</v>
      </c>
      <c r="F6760" s="50" t="s">
        <v>185</v>
      </c>
      <c r="G6760" s="50">
        <v>1</v>
      </c>
      <c r="H6760" s="50" t="s">
        <v>2</v>
      </c>
      <c r="I6760" s="50" t="s">
        <v>292</v>
      </c>
      <c r="J6760" s="51">
        <v>45883</v>
      </c>
      <c r="K6760" s="50" t="s">
        <v>3</v>
      </c>
      <c r="L6760" s="50" t="s">
        <v>80</v>
      </c>
    </row>
    <row r="6761" spans="2:12">
      <c r="B6761" s="50" t="s">
        <v>483</v>
      </c>
      <c r="C6761" s="50" t="s">
        <v>62</v>
      </c>
      <c r="D6761" s="50" t="s">
        <v>27</v>
      </c>
      <c r="E6761" s="50">
        <v>50001995</v>
      </c>
      <c r="F6761" s="50" t="s">
        <v>185</v>
      </c>
      <c r="G6761" s="50">
        <v>1</v>
      </c>
      <c r="H6761" s="50" t="s">
        <v>2</v>
      </c>
      <c r="I6761" s="50" t="s">
        <v>291</v>
      </c>
      <c r="J6761" s="51">
        <v>45883</v>
      </c>
      <c r="K6761" s="50" t="s">
        <v>1</v>
      </c>
      <c r="L6761" s="50" t="s">
        <v>80</v>
      </c>
    </row>
    <row r="6762" spans="2:12">
      <c r="B6762" s="50" t="s">
        <v>483</v>
      </c>
      <c r="C6762" s="50" t="s">
        <v>62</v>
      </c>
      <c r="D6762" s="50" t="s">
        <v>27</v>
      </c>
      <c r="E6762" s="50">
        <v>50026357</v>
      </c>
      <c r="F6762" s="50" t="s">
        <v>192</v>
      </c>
      <c r="G6762" s="50">
        <v>1</v>
      </c>
      <c r="H6762" s="50" t="s">
        <v>2</v>
      </c>
      <c r="I6762" s="50" t="s">
        <v>292</v>
      </c>
      <c r="J6762" s="51">
        <v>45883</v>
      </c>
      <c r="K6762" s="50" t="s">
        <v>3</v>
      </c>
      <c r="L6762" s="50" t="s">
        <v>80</v>
      </c>
    </row>
    <row r="6763" spans="2:12">
      <c r="B6763" s="50" t="s">
        <v>483</v>
      </c>
      <c r="C6763" s="50" t="s">
        <v>62</v>
      </c>
      <c r="D6763" s="50" t="s">
        <v>27</v>
      </c>
      <c r="E6763" s="50">
        <v>50026357</v>
      </c>
      <c r="F6763" s="50" t="s">
        <v>192</v>
      </c>
      <c r="G6763" s="50">
        <v>1</v>
      </c>
      <c r="H6763" s="50" t="s">
        <v>2</v>
      </c>
      <c r="I6763" s="50" t="s">
        <v>291</v>
      </c>
      <c r="J6763" s="51">
        <v>45883</v>
      </c>
      <c r="K6763" s="50" t="s">
        <v>3</v>
      </c>
      <c r="L6763" s="50" t="s">
        <v>80</v>
      </c>
    </row>
    <row r="6764" spans="2:12">
      <c r="B6764" s="50" t="s">
        <v>277</v>
      </c>
      <c r="C6764" s="50" t="s">
        <v>62</v>
      </c>
      <c r="D6764" s="50" t="s">
        <v>27</v>
      </c>
      <c r="E6764" s="50">
        <v>50043917</v>
      </c>
      <c r="F6764" s="50" t="s">
        <v>262</v>
      </c>
      <c r="G6764" s="50">
        <v>1</v>
      </c>
      <c r="H6764" s="50" t="s">
        <v>2</v>
      </c>
      <c r="I6764" s="50" t="s">
        <v>291</v>
      </c>
      <c r="J6764" s="51">
        <v>45883</v>
      </c>
      <c r="K6764" s="50" t="s">
        <v>1</v>
      </c>
      <c r="L6764" s="50" t="s">
        <v>80</v>
      </c>
    </row>
    <row r="6765" spans="2:12">
      <c r="B6765" s="50" t="s">
        <v>277</v>
      </c>
      <c r="C6765" s="50" t="s">
        <v>62</v>
      </c>
      <c r="D6765" s="50" t="s">
        <v>27</v>
      </c>
      <c r="E6765" s="50">
        <v>50043917</v>
      </c>
      <c r="F6765" s="50" t="s">
        <v>262</v>
      </c>
      <c r="G6765" s="50">
        <v>1</v>
      </c>
      <c r="H6765" s="50" t="s">
        <v>2</v>
      </c>
      <c r="I6765" s="50" t="s">
        <v>291</v>
      </c>
      <c r="J6765" s="51">
        <v>45883</v>
      </c>
      <c r="K6765" s="50" t="s">
        <v>3</v>
      </c>
      <c r="L6765" s="50" t="s">
        <v>80</v>
      </c>
    </row>
    <row r="6766" spans="2:12">
      <c r="B6766" s="50" t="s">
        <v>476</v>
      </c>
      <c r="C6766" s="50" t="s">
        <v>51</v>
      </c>
      <c r="D6766" s="50" t="s">
        <v>36</v>
      </c>
      <c r="E6766" s="50">
        <v>50043917</v>
      </c>
      <c r="F6766" s="50" t="s">
        <v>262</v>
      </c>
      <c r="G6766" s="50">
        <v>1</v>
      </c>
      <c r="H6766" s="50" t="s">
        <v>2</v>
      </c>
      <c r="I6766" s="50" t="s">
        <v>287</v>
      </c>
      <c r="J6766" s="51">
        <v>45883</v>
      </c>
      <c r="K6766" s="50" t="s">
        <v>1</v>
      </c>
      <c r="L6766" s="50" t="s">
        <v>80</v>
      </c>
    </row>
    <row r="6767" spans="2:12">
      <c r="B6767" s="50" t="s">
        <v>476</v>
      </c>
      <c r="C6767" s="50" t="s">
        <v>51</v>
      </c>
      <c r="D6767" s="50" t="s">
        <v>36</v>
      </c>
      <c r="E6767" s="50">
        <v>50043917</v>
      </c>
      <c r="F6767" s="50" t="s">
        <v>262</v>
      </c>
      <c r="G6767" s="50">
        <v>1</v>
      </c>
      <c r="H6767" s="50" t="s">
        <v>4</v>
      </c>
      <c r="I6767" s="50" t="s">
        <v>290</v>
      </c>
      <c r="J6767" s="51">
        <v>45883</v>
      </c>
      <c r="K6767" s="50" t="s">
        <v>1</v>
      </c>
      <c r="L6767" s="50" t="s">
        <v>80</v>
      </c>
    </row>
    <row r="6768" spans="2:12">
      <c r="B6768" s="50" t="s">
        <v>483</v>
      </c>
      <c r="C6768" s="50" t="s">
        <v>62</v>
      </c>
      <c r="D6768" s="50" t="s">
        <v>27</v>
      </c>
      <c r="E6768" s="50">
        <v>50038195</v>
      </c>
      <c r="F6768" s="50" t="s">
        <v>239</v>
      </c>
      <c r="G6768" s="50">
        <v>1</v>
      </c>
      <c r="H6768" s="50" t="s">
        <v>2</v>
      </c>
      <c r="I6768" s="50" t="s">
        <v>291</v>
      </c>
      <c r="J6768" s="51">
        <v>45883</v>
      </c>
      <c r="K6768" s="50" t="s">
        <v>3</v>
      </c>
      <c r="L6768" s="50" t="s">
        <v>80</v>
      </c>
    </row>
    <row r="6769" spans="2:12">
      <c r="B6769" s="50" t="s">
        <v>483</v>
      </c>
      <c r="C6769" s="50" t="s">
        <v>62</v>
      </c>
      <c r="D6769" s="50" t="s">
        <v>27</v>
      </c>
      <c r="E6769" s="50">
        <v>50038195</v>
      </c>
      <c r="F6769" s="50" t="s">
        <v>239</v>
      </c>
      <c r="G6769" s="50">
        <v>1</v>
      </c>
      <c r="H6769" s="50" t="s">
        <v>2</v>
      </c>
      <c r="I6769" s="50" t="s">
        <v>291</v>
      </c>
      <c r="J6769" s="51">
        <v>45883</v>
      </c>
      <c r="K6769" s="50" t="s">
        <v>1</v>
      </c>
      <c r="L6769" s="50" t="s">
        <v>80</v>
      </c>
    </row>
    <row r="6770" spans="2:12">
      <c r="B6770" s="50" t="s">
        <v>316</v>
      </c>
      <c r="C6770" s="50" t="s">
        <v>51</v>
      </c>
      <c r="D6770" s="50" t="s">
        <v>27</v>
      </c>
      <c r="E6770" s="50">
        <v>50038854</v>
      </c>
      <c r="F6770" s="50" t="s">
        <v>101</v>
      </c>
      <c r="G6770" s="50">
        <v>1</v>
      </c>
      <c r="H6770" s="50" t="s">
        <v>2</v>
      </c>
      <c r="I6770" s="50" t="s">
        <v>291</v>
      </c>
      <c r="J6770" s="51">
        <v>45882</v>
      </c>
      <c r="K6770" s="50" t="s">
        <v>3</v>
      </c>
      <c r="L6770" s="50" t="s">
        <v>80</v>
      </c>
    </row>
    <row r="6771" spans="2:12">
      <c r="B6771" s="50" t="s">
        <v>316</v>
      </c>
      <c r="C6771" s="50" t="s">
        <v>51</v>
      </c>
      <c r="D6771" s="50" t="s">
        <v>27</v>
      </c>
      <c r="E6771" s="50">
        <v>50038854</v>
      </c>
      <c r="F6771" s="50" t="s">
        <v>101</v>
      </c>
      <c r="G6771" s="50">
        <v>1</v>
      </c>
      <c r="H6771" s="50" t="s">
        <v>2</v>
      </c>
      <c r="I6771" s="50" t="s">
        <v>291</v>
      </c>
      <c r="J6771" s="51">
        <v>45882</v>
      </c>
      <c r="K6771" s="50" t="s">
        <v>1</v>
      </c>
      <c r="L6771" s="50" t="s">
        <v>80</v>
      </c>
    </row>
    <row r="6772" spans="2:12">
      <c r="B6772" s="50" t="s">
        <v>471</v>
      </c>
      <c r="C6772" s="50" t="s">
        <v>51</v>
      </c>
      <c r="D6772" s="50" t="s">
        <v>36</v>
      </c>
      <c r="E6772" s="50">
        <v>50038854</v>
      </c>
      <c r="F6772" s="50" t="s">
        <v>101</v>
      </c>
      <c r="G6772" s="50">
        <v>1</v>
      </c>
      <c r="H6772" s="50" t="s">
        <v>2</v>
      </c>
      <c r="I6772" s="50" t="s">
        <v>290</v>
      </c>
      <c r="J6772" s="51">
        <v>45882</v>
      </c>
      <c r="K6772" s="50" t="s">
        <v>3</v>
      </c>
      <c r="L6772" s="50" t="s">
        <v>80</v>
      </c>
    </row>
    <row r="6773" spans="2:12">
      <c r="B6773" s="50" t="s">
        <v>471</v>
      </c>
      <c r="C6773" s="50" t="s">
        <v>51</v>
      </c>
      <c r="D6773" s="50" t="s">
        <v>36</v>
      </c>
      <c r="E6773" s="50">
        <v>50038854</v>
      </c>
      <c r="F6773" s="50" t="s">
        <v>101</v>
      </c>
      <c r="G6773" s="50">
        <v>1</v>
      </c>
      <c r="H6773" s="50" t="s">
        <v>2</v>
      </c>
      <c r="I6773" s="50" t="s">
        <v>290</v>
      </c>
      <c r="J6773" s="51">
        <v>45882</v>
      </c>
      <c r="K6773" s="50" t="s">
        <v>1</v>
      </c>
      <c r="L6773" s="50" t="s">
        <v>80</v>
      </c>
    </row>
    <row r="6774" spans="2:12">
      <c r="B6774" s="50" t="s">
        <v>422</v>
      </c>
      <c r="C6774" s="50" t="s">
        <v>26</v>
      </c>
      <c r="D6774" s="50" t="s">
        <v>27</v>
      </c>
      <c r="E6774" s="50">
        <v>50037905</v>
      </c>
      <c r="F6774" s="50" t="s">
        <v>150</v>
      </c>
      <c r="G6774" s="50">
        <v>1</v>
      </c>
      <c r="H6774" s="50" t="s">
        <v>2</v>
      </c>
      <c r="I6774" s="50" t="s">
        <v>291</v>
      </c>
      <c r="J6774" s="51">
        <v>45882</v>
      </c>
      <c r="K6774" s="50" t="s">
        <v>3</v>
      </c>
      <c r="L6774" s="50" t="s">
        <v>80</v>
      </c>
    </row>
    <row r="6775" spans="2:12">
      <c r="B6775" s="50" t="s">
        <v>422</v>
      </c>
      <c r="C6775" s="50" t="s">
        <v>26</v>
      </c>
      <c r="D6775" s="50" t="s">
        <v>27</v>
      </c>
      <c r="E6775" s="50">
        <v>50037905</v>
      </c>
      <c r="F6775" s="50" t="s">
        <v>150</v>
      </c>
      <c r="G6775" s="50">
        <v>1</v>
      </c>
      <c r="H6775" s="50" t="s">
        <v>2</v>
      </c>
      <c r="I6775" s="50" t="s">
        <v>290</v>
      </c>
      <c r="J6775" s="51">
        <v>45882</v>
      </c>
      <c r="K6775" s="50" t="s">
        <v>1</v>
      </c>
      <c r="L6775" s="50" t="s">
        <v>80</v>
      </c>
    </row>
    <row r="6776" spans="2:12">
      <c r="B6776" s="50" t="s">
        <v>402</v>
      </c>
      <c r="C6776" s="50" t="s">
        <v>26</v>
      </c>
      <c r="D6776" s="50" t="s">
        <v>36</v>
      </c>
      <c r="E6776" s="50">
        <v>50037902</v>
      </c>
      <c r="F6776" s="50" t="s">
        <v>179</v>
      </c>
      <c r="G6776" s="50">
        <v>1</v>
      </c>
      <c r="H6776" s="50" t="s">
        <v>2</v>
      </c>
      <c r="I6776" s="50" t="s">
        <v>290</v>
      </c>
      <c r="J6776" s="51">
        <v>45882</v>
      </c>
      <c r="K6776" s="50" t="s">
        <v>1</v>
      </c>
      <c r="L6776" s="50" t="s">
        <v>80</v>
      </c>
    </row>
    <row r="6777" spans="2:12">
      <c r="B6777" s="50" t="s">
        <v>402</v>
      </c>
      <c r="C6777" s="50" t="s">
        <v>26</v>
      </c>
      <c r="D6777" s="50" t="s">
        <v>36</v>
      </c>
      <c r="E6777" s="50">
        <v>50041195</v>
      </c>
      <c r="F6777" s="50" t="s">
        <v>206</v>
      </c>
      <c r="G6777" s="50">
        <v>1</v>
      </c>
      <c r="H6777" s="50" t="s">
        <v>2</v>
      </c>
      <c r="I6777" s="50" t="s">
        <v>290</v>
      </c>
      <c r="J6777" s="51">
        <v>45882</v>
      </c>
      <c r="K6777" s="50" t="s">
        <v>3</v>
      </c>
      <c r="L6777" s="50" t="s">
        <v>80</v>
      </c>
    </row>
    <row r="6778" spans="2:12">
      <c r="B6778" s="50" t="s">
        <v>467</v>
      </c>
      <c r="C6778" s="50" t="s">
        <v>51</v>
      </c>
      <c r="D6778" s="50" t="s">
        <v>39</v>
      </c>
      <c r="E6778" s="50">
        <v>50043917</v>
      </c>
      <c r="F6778" s="50" t="s">
        <v>262</v>
      </c>
      <c r="G6778" s="50">
        <v>1</v>
      </c>
      <c r="H6778" s="50" t="s">
        <v>2</v>
      </c>
      <c r="I6778" s="50" t="s">
        <v>289</v>
      </c>
      <c r="J6778" s="51">
        <v>45882</v>
      </c>
      <c r="K6778" s="50" t="s">
        <v>1</v>
      </c>
      <c r="L6778" s="50" t="s">
        <v>80</v>
      </c>
    </row>
    <row r="6779" spans="2:12">
      <c r="B6779" s="50" t="s">
        <v>467</v>
      </c>
      <c r="C6779" s="50" t="s">
        <v>51</v>
      </c>
      <c r="D6779" s="50" t="s">
        <v>39</v>
      </c>
      <c r="E6779" s="50">
        <v>50043917</v>
      </c>
      <c r="F6779" s="50" t="s">
        <v>262</v>
      </c>
      <c r="G6779" s="50">
        <v>1</v>
      </c>
      <c r="H6779" s="50" t="s">
        <v>2</v>
      </c>
      <c r="I6779" s="50" t="s">
        <v>293</v>
      </c>
      <c r="J6779" s="51">
        <v>45882</v>
      </c>
      <c r="K6779" s="50" t="s">
        <v>3</v>
      </c>
      <c r="L6779" s="50" t="s">
        <v>80</v>
      </c>
    </row>
    <row r="6780" spans="2:12">
      <c r="B6780" s="50" t="s">
        <v>277</v>
      </c>
      <c r="C6780" s="50" t="s">
        <v>62</v>
      </c>
      <c r="D6780" s="50" t="s">
        <v>27</v>
      </c>
      <c r="E6780" s="50">
        <v>50043917</v>
      </c>
      <c r="F6780" s="50" t="s">
        <v>262</v>
      </c>
      <c r="G6780" s="50">
        <v>1</v>
      </c>
      <c r="H6780" s="50" t="s">
        <v>2</v>
      </c>
      <c r="I6780" s="50" t="s">
        <v>293</v>
      </c>
      <c r="J6780" s="51">
        <v>45882</v>
      </c>
      <c r="K6780" s="50" t="s">
        <v>3</v>
      </c>
      <c r="L6780" s="50" t="s">
        <v>80</v>
      </c>
    </row>
    <row r="6781" spans="2:12">
      <c r="B6781" s="50" t="s">
        <v>277</v>
      </c>
      <c r="C6781" s="50" t="s">
        <v>62</v>
      </c>
      <c r="D6781" s="50" t="s">
        <v>27</v>
      </c>
      <c r="E6781" s="50">
        <v>50043917</v>
      </c>
      <c r="F6781" s="50" t="s">
        <v>262</v>
      </c>
      <c r="G6781" s="50">
        <v>1</v>
      </c>
      <c r="H6781" s="50" t="s">
        <v>2</v>
      </c>
      <c r="I6781" s="50" t="s">
        <v>293</v>
      </c>
      <c r="J6781" s="51">
        <v>45882</v>
      </c>
      <c r="K6781" s="50" t="s">
        <v>3</v>
      </c>
      <c r="L6781" s="50" t="s">
        <v>80</v>
      </c>
    </row>
    <row r="6782" spans="2:12">
      <c r="B6782" s="50" t="s">
        <v>394</v>
      </c>
      <c r="C6782" s="50" t="s">
        <v>51</v>
      </c>
      <c r="D6782" s="50" t="s">
        <v>27</v>
      </c>
      <c r="E6782" s="58">
        <v>50007151</v>
      </c>
      <c r="F6782" s="58" t="s">
        <v>223</v>
      </c>
      <c r="G6782" s="50">
        <v>1</v>
      </c>
      <c r="H6782" s="50" t="s">
        <v>2</v>
      </c>
      <c r="I6782" s="50" t="s">
        <v>293</v>
      </c>
      <c r="J6782" s="51">
        <v>45882</v>
      </c>
      <c r="K6782" s="50" t="s">
        <v>3</v>
      </c>
      <c r="L6782" s="50" t="s">
        <v>80</v>
      </c>
    </row>
    <row r="6783" spans="2:12">
      <c r="B6783" s="50" t="s">
        <v>394</v>
      </c>
      <c r="C6783" s="50" t="s">
        <v>51</v>
      </c>
      <c r="D6783" s="50" t="s">
        <v>27</v>
      </c>
      <c r="E6783" s="50">
        <v>50005179</v>
      </c>
      <c r="F6783" s="50" t="s">
        <v>224</v>
      </c>
      <c r="G6783" s="50">
        <v>1</v>
      </c>
      <c r="H6783" s="50" t="s">
        <v>2</v>
      </c>
      <c r="I6783" s="50" t="s">
        <v>293</v>
      </c>
      <c r="J6783" s="51">
        <v>45882</v>
      </c>
      <c r="K6783" s="50" t="s">
        <v>1</v>
      </c>
      <c r="L6783" s="50" t="s">
        <v>80</v>
      </c>
    </row>
    <row r="6784" spans="2:12">
      <c r="B6784" s="50" t="s">
        <v>394</v>
      </c>
      <c r="C6784" s="50" t="s">
        <v>56</v>
      </c>
      <c r="D6784" s="50" t="s">
        <v>41</v>
      </c>
      <c r="E6784" s="50">
        <v>50038854</v>
      </c>
      <c r="F6784" s="50" t="s">
        <v>101</v>
      </c>
      <c r="G6784" s="50">
        <v>1</v>
      </c>
      <c r="H6784" s="50" t="s">
        <v>2</v>
      </c>
      <c r="I6784" s="50" t="s">
        <v>290</v>
      </c>
      <c r="J6784" s="51">
        <v>45881</v>
      </c>
      <c r="K6784" s="50" t="s">
        <v>3</v>
      </c>
      <c r="L6784" s="50" t="s">
        <v>80</v>
      </c>
    </row>
    <row r="6785" spans="2:12">
      <c r="B6785" s="50" t="s">
        <v>394</v>
      </c>
      <c r="C6785" s="50" t="s">
        <v>56</v>
      </c>
      <c r="D6785" s="50" t="s">
        <v>41</v>
      </c>
      <c r="E6785" s="50">
        <v>50038854</v>
      </c>
      <c r="F6785" s="50" t="s">
        <v>101</v>
      </c>
      <c r="G6785" s="50">
        <v>1</v>
      </c>
      <c r="H6785" s="50" t="s">
        <v>2</v>
      </c>
      <c r="I6785" s="50" t="s">
        <v>290</v>
      </c>
      <c r="J6785" s="51">
        <v>45881</v>
      </c>
      <c r="K6785" s="50" t="s">
        <v>1</v>
      </c>
      <c r="L6785" s="50" t="s">
        <v>80</v>
      </c>
    </row>
    <row r="6786" spans="2:12">
      <c r="B6786" s="50" t="s">
        <v>406</v>
      </c>
      <c r="C6786" s="50" t="s">
        <v>26</v>
      </c>
      <c r="D6786" s="50" t="s">
        <v>39</v>
      </c>
      <c r="E6786" s="50">
        <v>50036296</v>
      </c>
      <c r="F6786" s="50" t="s">
        <v>109</v>
      </c>
      <c r="G6786" s="50">
        <v>1</v>
      </c>
      <c r="H6786" s="50" t="s">
        <v>2</v>
      </c>
      <c r="I6786" s="50" t="s">
        <v>293</v>
      </c>
      <c r="J6786" s="51">
        <v>45881</v>
      </c>
      <c r="K6786" s="50" t="s">
        <v>3</v>
      </c>
      <c r="L6786" s="50" t="s">
        <v>80</v>
      </c>
    </row>
    <row r="6787" spans="2:12">
      <c r="B6787" s="50" t="s">
        <v>406</v>
      </c>
      <c r="C6787" s="50" t="s">
        <v>26</v>
      </c>
      <c r="D6787" s="50" t="s">
        <v>39</v>
      </c>
      <c r="E6787" s="50">
        <v>50036296</v>
      </c>
      <c r="F6787" s="50" t="s">
        <v>109</v>
      </c>
      <c r="G6787" s="50">
        <v>1</v>
      </c>
      <c r="H6787" s="50" t="s">
        <v>2</v>
      </c>
      <c r="I6787" s="50" t="s">
        <v>293</v>
      </c>
      <c r="J6787" s="51">
        <v>45881</v>
      </c>
      <c r="K6787" s="50" t="s">
        <v>1</v>
      </c>
      <c r="L6787" s="50" t="s">
        <v>80</v>
      </c>
    </row>
    <row r="6788" spans="2:12">
      <c r="B6788" s="50" t="e">
        <v>#N/A</v>
      </c>
      <c r="C6788" s="50" t="s">
        <v>26</v>
      </c>
      <c r="D6788" s="50" t="s">
        <v>27</v>
      </c>
      <c r="E6788" s="50">
        <v>50037905</v>
      </c>
      <c r="F6788" s="50" t="s">
        <v>150</v>
      </c>
      <c r="G6788" s="50">
        <v>1</v>
      </c>
      <c r="H6788" s="50" t="s">
        <v>2</v>
      </c>
      <c r="I6788" s="50" t="s">
        <v>288</v>
      </c>
      <c r="J6788" s="51">
        <v>45881</v>
      </c>
      <c r="K6788" s="50" t="s">
        <v>3</v>
      </c>
      <c r="L6788" s="50" t="s">
        <v>80</v>
      </c>
    </row>
    <row r="6789" spans="2:12">
      <c r="B6789" s="50" t="e">
        <v>#N/A</v>
      </c>
      <c r="C6789" s="50" t="s">
        <v>26</v>
      </c>
      <c r="D6789" s="50" t="s">
        <v>27</v>
      </c>
      <c r="E6789" s="50">
        <v>50037905</v>
      </c>
      <c r="F6789" s="50" t="s">
        <v>150</v>
      </c>
      <c r="G6789" s="50">
        <v>1</v>
      </c>
      <c r="H6789" s="50" t="s">
        <v>2</v>
      </c>
      <c r="I6789" s="50" t="s">
        <v>290</v>
      </c>
      <c r="J6789" s="51">
        <v>45881</v>
      </c>
      <c r="K6789" s="50" t="s">
        <v>1</v>
      </c>
      <c r="L6789" s="50" t="s">
        <v>80</v>
      </c>
    </row>
    <row r="6790" spans="2:12">
      <c r="B6790" s="50" t="s">
        <v>444</v>
      </c>
      <c r="C6790" s="50" t="s">
        <v>51</v>
      </c>
      <c r="D6790" s="50" t="s">
        <v>27</v>
      </c>
      <c r="E6790" s="50">
        <v>50039236</v>
      </c>
      <c r="F6790" s="50" t="s">
        <v>154</v>
      </c>
      <c r="G6790" s="50">
        <v>1</v>
      </c>
      <c r="H6790" s="50" t="s">
        <v>2</v>
      </c>
      <c r="I6790" s="50" t="s">
        <v>288</v>
      </c>
      <c r="J6790" s="51">
        <v>45881</v>
      </c>
      <c r="K6790" s="50" t="s">
        <v>3</v>
      </c>
      <c r="L6790" s="50" t="s">
        <v>80</v>
      </c>
    </row>
    <row r="6791" spans="2:12">
      <c r="B6791" s="50" t="s">
        <v>444</v>
      </c>
      <c r="C6791" s="50" t="s">
        <v>51</v>
      </c>
      <c r="D6791" s="50" t="s">
        <v>27</v>
      </c>
      <c r="E6791" s="50">
        <v>50039236</v>
      </c>
      <c r="F6791" s="50" t="s">
        <v>154</v>
      </c>
      <c r="G6791" s="50">
        <v>1</v>
      </c>
      <c r="H6791" s="50" t="s">
        <v>2</v>
      </c>
      <c r="I6791" s="50" t="s">
        <v>288</v>
      </c>
      <c r="J6791" s="51">
        <v>45881</v>
      </c>
      <c r="K6791" s="50" t="s">
        <v>1</v>
      </c>
      <c r="L6791" s="50" t="s">
        <v>80</v>
      </c>
    </row>
    <row r="6792" spans="2:12">
      <c r="B6792" s="50" t="s">
        <v>316</v>
      </c>
      <c r="C6792" s="50" t="s">
        <v>51</v>
      </c>
      <c r="D6792" s="50" t="s">
        <v>27</v>
      </c>
      <c r="E6792" s="50">
        <v>50030074</v>
      </c>
      <c r="F6792" s="50" t="s">
        <v>156</v>
      </c>
      <c r="G6792" s="50">
        <v>1</v>
      </c>
      <c r="H6792" s="50" t="s">
        <v>2</v>
      </c>
      <c r="I6792" s="50" t="s">
        <v>293</v>
      </c>
      <c r="J6792" s="51">
        <v>45881</v>
      </c>
      <c r="K6792" s="50" t="s">
        <v>3</v>
      </c>
      <c r="L6792" s="50" t="s">
        <v>80</v>
      </c>
    </row>
    <row r="6793" spans="2:12">
      <c r="B6793" s="50" t="s">
        <v>316</v>
      </c>
      <c r="C6793" s="50" t="s">
        <v>51</v>
      </c>
      <c r="D6793" s="50" t="s">
        <v>27</v>
      </c>
      <c r="E6793" s="50">
        <v>50030074</v>
      </c>
      <c r="F6793" s="50" t="s">
        <v>156</v>
      </c>
      <c r="G6793" s="50">
        <v>1</v>
      </c>
      <c r="H6793" s="50" t="s">
        <v>2</v>
      </c>
      <c r="I6793" s="50" t="s">
        <v>288</v>
      </c>
      <c r="J6793" s="51">
        <v>45881</v>
      </c>
      <c r="K6793" s="50" t="s">
        <v>3</v>
      </c>
      <c r="L6793" s="50" t="s">
        <v>80</v>
      </c>
    </row>
    <row r="6794" spans="2:12">
      <c r="B6794" s="50" t="s">
        <v>417</v>
      </c>
      <c r="C6794" s="50" t="s">
        <v>51</v>
      </c>
      <c r="D6794" s="50" t="s">
        <v>41</v>
      </c>
      <c r="E6794" s="50">
        <v>50043471</v>
      </c>
      <c r="F6794" s="50" t="s">
        <v>257</v>
      </c>
      <c r="G6794" s="50">
        <v>1</v>
      </c>
      <c r="H6794" s="50" t="s">
        <v>2</v>
      </c>
      <c r="I6794" s="50" t="s">
        <v>287</v>
      </c>
      <c r="J6794" s="51">
        <v>45881</v>
      </c>
      <c r="K6794" s="50" t="s">
        <v>1</v>
      </c>
      <c r="L6794" s="50" t="s">
        <v>80</v>
      </c>
    </row>
    <row r="6795" spans="2:12">
      <c r="B6795" s="50" t="s">
        <v>456</v>
      </c>
      <c r="C6795" s="50" t="s">
        <v>56</v>
      </c>
      <c r="D6795" s="50" t="s">
        <v>39</v>
      </c>
      <c r="E6795" s="50">
        <v>50003297</v>
      </c>
      <c r="F6795" s="50" t="s">
        <v>158</v>
      </c>
      <c r="G6795" s="50">
        <v>1</v>
      </c>
      <c r="H6795" s="50" t="s">
        <v>2</v>
      </c>
      <c r="I6795" s="50" t="s">
        <v>293</v>
      </c>
      <c r="J6795" s="51">
        <v>45881</v>
      </c>
      <c r="K6795" s="50" t="s">
        <v>3</v>
      </c>
      <c r="L6795" s="50" t="s">
        <v>80</v>
      </c>
    </row>
    <row r="6796" spans="2:12">
      <c r="B6796" s="50" t="s">
        <v>456</v>
      </c>
      <c r="C6796" s="50" t="s">
        <v>56</v>
      </c>
      <c r="D6796" s="50" t="s">
        <v>39</v>
      </c>
      <c r="E6796" s="50">
        <v>50003297</v>
      </c>
      <c r="F6796" s="50" t="s">
        <v>158</v>
      </c>
      <c r="G6796" s="50">
        <v>1</v>
      </c>
      <c r="H6796" s="50" t="s">
        <v>2</v>
      </c>
      <c r="I6796" s="50" t="s">
        <v>293</v>
      </c>
      <c r="J6796" s="51">
        <v>45881</v>
      </c>
      <c r="K6796" s="50" t="s">
        <v>1</v>
      </c>
      <c r="L6796" s="50" t="s">
        <v>80</v>
      </c>
    </row>
    <row r="6797" spans="2:12">
      <c r="B6797" s="50" t="s">
        <v>474</v>
      </c>
      <c r="C6797" s="50" t="s">
        <v>51</v>
      </c>
      <c r="D6797" s="50" t="s">
        <v>27</v>
      </c>
      <c r="E6797" s="50">
        <v>50003297</v>
      </c>
      <c r="F6797" s="50" t="s">
        <v>158</v>
      </c>
      <c r="G6797" s="50">
        <v>1</v>
      </c>
      <c r="H6797" s="50" t="s">
        <v>2</v>
      </c>
      <c r="I6797" s="50" t="s">
        <v>293</v>
      </c>
      <c r="J6797" s="51">
        <v>45881</v>
      </c>
      <c r="K6797" s="50" t="s">
        <v>3</v>
      </c>
      <c r="L6797" s="50" t="s">
        <v>80</v>
      </c>
    </row>
    <row r="6798" spans="2:12">
      <c r="B6798" s="50" t="s">
        <v>474</v>
      </c>
      <c r="C6798" s="50" t="s">
        <v>51</v>
      </c>
      <c r="D6798" s="50" t="s">
        <v>27</v>
      </c>
      <c r="E6798" s="50">
        <v>50003297</v>
      </c>
      <c r="F6798" s="50" t="s">
        <v>158</v>
      </c>
      <c r="G6798" s="50">
        <v>1</v>
      </c>
      <c r="H6798" s="50" t="s">
        <v>2</v>
      </c>
      <c r="I6798" s="50" t="s">
        <v>293</v>
      </c>
      <c r="J6798" s="51">
        <v>45881</v>
      </c>
      <c r="K6798" s="50" t="s">
        <v>1</v>
      </c>
      <c r="L6798" s="50" t="s">
        <v>80</v>
      </c>
    </row>
    <row r="6799" spans="2:12">
      <c r="B6799" s="50" t="s">
        <v>456</v>
      </c>
      <c r="C6799" s="50" t="s">
        <v>56</v>
      </c>
      <c r="D6799" s="50" t="s">
        <v>39</v>
      </c>
      <c r="E6799" s="50">
        <v>50043320</v>
      </c>
      <c r="F6799" s="50" t="s">
        <v>264</v>
      </c>
      <c r="G6799" s="50">
        <v>1</v>
      </c>
      <c r="H6799" s="50" t="s">
        <v>2</v>
      </c>
      <c r="I6799" s="50" t="s">
        <v>293</v>
      </c>
      <c r="J6799" s="51">
        <v>45881</v>
      </c>
      <c r="K6799" s="50" t="s">
        <v>3</v>
      </c>
      <c r="L6799" s="50" t="s">
        <v>80</v>
      </c>
    </row>
    <row r="6800" spans="2:12">
      <c r="B6800" s="50" t="s">
        <v>456</v>
      </c>
      <c r="C6800" s="50" t="s">
        <v>56</v>
      </c>
      <c r="D6800" s="50" t="s">
        <v>39</v>
      </c>
      <c r="E6800" s="50">
        <v>50043320</v>
      </c>
      <c r="F6800" s="50" t="s">
        <v>264</v>
      </c>
      <c r="G6800" s="50">
        <v>1</v>
      </c>
      <c r="H6800" s="50" t="s">
        <v>2</v>
      </c>
      <c r="I6800" s="50" t="s">
        <v>293</v>
      </c>
      <c r="J6800" s="51">
        <v>45881</v>
      </c>
      <c r="K6800" s="50" t="s">
        <v>1</v>
      </c>
      <c r="L6800" s="50" t="s">
        <v>80</v>
      </c>
    </row>
    <row r="6801" spans="2:12">
      <c r="B6801" s="50" t="s">
        <v>381</v>
      </c>
      <c r="C6801" s="50" t="s">
        <v>56</v>
      </c>
      <c r="D6801" s="50" t="s">
        <v>36</v>
      </c>
      <c r="E6801" s="50">
        <v>50043320</v>
      </c>
      <c r="F6801" s="50" t="s">
        <v>264</v>
      </c>
      <c r="G6801" s="50">
        <v>1</v>
      </c>
      <c r="H6801" s="50" t="s">
        <v>2</v>
      </c>
      <c r="I6801" s="50" t="s">
        <v>290</v>
      </c>
      <c r="J6801" s="51">
        <v>45881</v>
      </c>
      <c r="K6801" s="50" t="s">
        <v>3</v>
      </c>
      <c r="L6801" s="50" t="s">
        <v>80</v>
      </c>
    </row>
    <row r="6802" spans="2:12">
      <c r="B6802" s="50" t="s">
        <v>381</v>
      </c>
      <c r="C6802" s="50" t="s">
        <v>56</v>
      </c>
      <c r="D6802" s="50" t="s">
        <v>36</v>
      </c>
      <c r="E6802" s="50">
        <v>50043320</v>
      </c>
      <c r="F6802" s="50" t="s">
        <v>264</v>
      </c>
      <c r="G6802" s="50">
        <v>1</v>
      </c>
      <c r="H6802" s="50" t="s">
        <v>2</v>
      </c>
      <c r="I6802" s="50" t="s">
        <v>290</v>
      </c>
      <c r="J6802" s="51">
        <v>45881</v>
      </c>
      <c r="K6802" s="50" t="s">
        <v>1</v>
      </c>
      <c r="L6802" s="50" t="s">
        <v>80</v>
      </c>
    </row>
    <row r="6803" spans="2:12">
      <c r="B6803" s="50" t="s">
        <v>455</v>
      </c>
      <c r="C6803" s="50" t="s">
        <v>56</v>
      </c>
      <c r="D6803" s="50" t="s">
        <v>41</v>
      </c>
      <c r="E6803" s="50">
        <v>50038549</v>
      </c>
      <c r="F6803" s="50" t="s">
        <v>173</v>
      </c>
      <c r="G6803" s="50">
        <v>1</v>
      </c>
      <c r="H6803" s="50" t="s">
        <v>2</v>
      </c>
      <c r="I6803" s="50" t="s">
        <v>293</v>
      </c>
      <c r="J6803" s="51">
        <v>45881</v>
      </c>
      <c r="K6803" s="50" t="s">
        <v>3</v>
      </c>
      <c r="L6803" s="50" t="s">
        <v>80</v>
      </c>
    </row>
    <row r="6804" spans="2:12">
      <c r="B6804" s="50" t="s">
        <v>455</v>
      </c>
      <c r="C6804" s="50" t="s">
        <v>56</v>
      </c>
      <c r="D6804" s="50" t="s">
        <v>41</v>
      </c>
      <c r="E6804" s="50">
        <v>50038549</v>
      </c>
      <c r="F6804" s="50" t="s">
        <v>173</v>
      </c>
      <c r="G6804" s="50">
        <v>1</v>
      </c>
      <c r="H6804" s="50" t="s">
        <v>2</v>
      </c>
      <c r="I6804" s="50" t="s">
        <v>288</v>
      </c>
      <c r="J6804" s="51">
        <v>45881</v>
      </c>
      <c r="K6804" s="50" t="s">
        <v>1</v>
      </c>
      <c r="L6804" s="50" t="s">
        <v>80</v>
      </c>
    </row>
    <row r="6805" spans="2:12">
      <c r="B6805" s="50" t="s">
        <v>402</v>
      </c>
      <c r="C6805" s="50" t="s">
        <v>26</v>
      </c>
      <c r="D6805" s="50" t="s">
        <v>36</v>
      </c>
      <c r="E6805" s="50">
        <v>50037902</v>
      </c>
      <c r="F6805" s="50" t="s">
        <v>179</v>
      </c>
      <c r="G6805" s="50">
        <v>1</v>
      </c>
      <c r="H6805" s="50" t="s">
        <v>2</v>
      </c>
      <c r="I6805" s="50" t="s">
        <v>290</v>
      </c>
      <c r="J6805" s="51">
        <v>45881</v>
      </c>
      <c r="K6805" s="50" t="s">
        <v>3</v>
      </c>
      <c r="L6805" s="50" t="s">
        <v>80</v>
      </c>
    </row>
    <row r="6806" spans="2:12">
      <c r="B6806" s="50" t="s">
        <v>482</v>
      </c>
      <c r="C6806" s="50" t="s">
        <v>51</v>
      </c>
      <c r="D6806" s="50" t="s">
        <v>39</v>
      </c>
      <c r="E6806" s="50">
        <v>50037902</v>
      </c>
      <c r="F6806" s="50" t="s">
        <v>179</v>
      </c>
      <c r="G6806" s="50">
        <v>1</v>
      </c>
      <c r="H6806" s="50" t="s">
        <v>2</v>
      </c>
      <c r="I6806" s="50" t="s">
        <v>289</v>
      </c>
      <c r="J6806" s="51">
        <v>45881</v>
      </c>
      <c r="K6806" s="50" t="s">
        <v>1</v>
      </c>
      <c r="L6806" s="50" t="s">
        <v>80</v>
      </c>
    </row>
    <row r="6807" spans="2:12">
      <c r="B6807" s="50" t="s">
        <v>482</v>
      </c>
      <c r="C6807" s="50" t="s">
        <v>51</v>
      </c>
      <c r="D6807" s="50" t="s">
        <v>39</v>
      </c>
      <c r="E6807" s="50">
        <v>50037902</v>
      </c>
      <c r="F6807" s="50" t="s">
        <v>179</v>
      </c>
      <c r="G6807" s="50">
        <v>1</v>
      </c>
      <c r="H6807" s="50" t="s">
        <v>2</v>
      </c>
      <c r="I6807" s="50" t="s">
        <v>289</v>
      </c>
      <c r="J6807" s="51">
        <v>45881</v>
      </c>
      <c r="K6807" s="50" t="s">
        <v>3</v>
      </c>
      <c r="L6807" s="50" t="s">
        <v>80</v>
      </c>
    </row>
    <row r="6808" spans="2:12">
      <c r="B6808" s="50" t="s">
        <v>316</v>
      </c>
      <c r="C6808" s="50" t="s">
        <v>51</v>
      </c>
      <c r="D6808" s="50" t="s">
        <v>27</v>
      </c>
      <c r="E6808" s="50">
        <v>50037902</v>
      </c>
      <c r="F6808" s="50" t="s">
        <v>179</v>
      </c>
      <c r="G6808" s="50">
        <v>1</v>
      </c>
      <c r="H6808" s="50" t="s">
        <v>2</v>
      </c>
      <c r="I6808" s="50" t="s">
        <v>293</v>
      </c>
      <c r="J6808" s="51">
        <v>45881</v>
      </c>
      <c r="K6808" s="50" t="s">
        <v>1</v>
      </c>
      <c r="L6808" s="50" t="s">
        <v>80</v>
      </c>
    </row>
    <row r="6809" spans="2:12">
      <c r="B6809" s="50" t="s">
        <v>316</v>
      </c>
      <c r="C6809" s="50" t="s">
        <v>51</v>
      </c>
      <c r="D6809" s="50" t="s">
        <v>27</v>
      </c>
      <c r="E6809" s="50">
        <v>50037902</v>
      </c>
      <c r="F6809" s="50" t="s">
        <v>179</v>
      </c>
      <c r="G6809" s="50">
        <v>1</v>
      </c>
      <c r="H6809" s="50" t="s">
        <v>2</v>
      </c>
      <c r="I6809" s="50" t="s">
        <v>288</v>
      </c>
      <c r="J6809" s="51">
        <v>45881</v>
      </c>
      <c r="K6809" s="50" t="s">
        <v>3</v>
      </c>
      <c r="L6809" s="50" t="s">
        <v>80</v>
      </c>
    </row>
    <row r="6810" spans="2:12">
      <c r="B6810" s="50" t="s">
        <v>483</v>
      </c>
      <c r="C6810" s="50" t="s">
        <v>62</v>
      </c>
      <c r="D6810" s="50" t="s">
        <v>27</v>
      </c>
      <c r="E6810" s="50">
        <v>50038841</v>
      </c>
      <c r="F6810" s="50" t="s">
        <v>180</v>
      </c>
      <c r="G6810" s="50">
        <v>1</v>
      </c>
      <c r="H6810" s="50" t="s">
        <v>2</v>
      </c>
      <c r="I6810" s="50" t="s">
        <v>293</v>
      </c>
      <c r="J6810" s="51">
        <v>45881</v>
      </c>
      <c r="K6810" s="50" t="s">
        <v>1</v>
      </c>
      <c r="L6810" s="50" t="s">
        <v>80</v>
      </c>
    </row>
    <row r="6811" spans="2:12">
      <c r="B6811" s="50" t="s">
        <v>483</v>
      </c>
      <c r="C6811" s="50" t="s">
        <v>62</v>
      </c>
      <c r="D6811" s="50" t="s">
        <v>27</v>
      </c>
      <c r="E6811" s="50">
        <v>50038841</v>
      </c>
      <c r="F6811" s="50" t="s">
        <v>180</v>
      </c>
      <c r="G6811" s="50">
        <v>1</v>
      </c>
      <c r="H6811" s="50" t="s">
        <v>2</v>
      </c>
      <c r="I6811" s="50" t="s">
        <v>288</v>
      </c>
      <c r="J6811" s="51">
        <v>45881</v>
      </c>
      <c r="K6811" s="50" t="s">
        <v>3</v>
      </c>
      <c r="L6811" s="50" t="s">
        <v>80</v>
      </c>
    </row>
    <row r="6812" spans="2:12">
      <c r="B6812" s="50" t="s">
        <v>471</v>
      </c>
      <c r="C6812" s="50" t="s">
        <v>26</v>
      </c>
      <c r="D6812" s="50" t="s">
        <v>27</v>
      </c>
      <c r="E6812" s="50">
        <v>50038517</v>
      </c>
      <c r="F6812" s="50" t="s">
        <v>181</v>
      </c>
      <c r="G6812" s="50">
        <v>1</v>
      </c>
      <c r="H6812" s="50" t="s">
        <v>2</v>
      </c>
      <c r="I6812" s="50" t="s">
        <v>293</v>
      </c>
      <c r="J6812" s="51">
        <v>45881</v>
      </c>
      <c r="K6812" s="50" t="s">
        <v>1</v>
      </c>
      <c r="L6812" s="50" t="s">
        <v>80</v>
      </c>
    </row>
    <row r="6813" spans="2:12">
      <c r="B6813" s="50" t="s">
        <v>471</v>
      </c>
      <c r="C6813" s="50" t="s">
        <v>26</v>
      </c>
      <c r="D6813" s="50" t="s">
        <v>27</v>
      </c>
      <c r="E6813" s="50">
        <v>50038517</v>
      </c>
      <c r="F6813" s="50" t="s">
        <v>181</v>
      </c>
      <c r="G6813" s="50">
        <v>1</v>
      </c>
      <c r="H6813" s="50" t="s">
        <v>2</v>
      </c>
      <c r="I6813" s="50" t="s">
        <v>288</v>
      </c>
      <c r="J6813" s="51">
        <v>45881</v>
      </c>
      <c r="K6813" s="50" t="s">
        <v>1</v>
      </c>
      <c r="L6813" s="50" t="s">
        <v>80</v>
      </c>
    </row>
    <row r="6814" spans="2:12">
      <c r="B6814" s="50" t="s">
        <v>483</v>
      </c>
      <c r="C6814" s="50" t="s">
        <v>62</v>
      </c>
      <c r="D6814" s="50" t="s">
        <v>27</v>
      </c>
      <c r="E6814" s="50">
        <v>50001995</v>
      </c>
      <c r="F6814" s="50" t="s">
        <v>185</v>
      </c>
      <c r="G6814" s="50">
        <v>1</v>
      </c>
      <c r="H6814" s="50" t="s">
        <v>2</v>
      </c>
      <c r="I6814" s="50" t="s">
        <v>293</v>
      </c>
      <c r="J6814" s="51">
        <v>45881</v>
      </c>
      <c r="K6814" s="50" t="s">
        <v>3</v>
      </c>
      <c r="L6814" s="50" t="s">
        <v>80</v>
      </c>
    </row>
    <row r="6815" spans="2:12">
      <c r="B6815" s="50" t="s">
        <v>483</v>
      </c>
      <c r="C6815" s="50" t="s">
        <v>62</v>
      </c>
      <c r="D6815" s="50" t="s">
        <v>27</v>
      </c>
      <c r="E6815" s="50">
        <v>50001995</v>
      </c>
      <c r="F6815" s="50" t="s">
        <v>185</v>
      </c>
      <c r="G6815" s="50">
        <v>1</v>
      </c>
      <c r="H6815" s="50" t="s">
        <v>2</v>
      </c>
      <c r="I6815" s="50" t="s">
        <v>288</v>
      </c>
      <c r="J6815" s="51">
        <v>45881</v>
      </c>
      <c r="K6815" s="50" t="s">
        <v>1</v>
      </c>
      <c r="L6815" s="50" t="s">
        <v>80</v>
      </c>
    </row>
    <row r="6816" spans="2:12">
      <c r="B6816" s="50" t="s">
        <v>409</v>
      </c>
      <c r="C6816" s="50" t="s">
        <v>51</v>
      </c>
      <c r="D6816" s="50" t="s">
        <v>27</v>
      </c>
      <c r="E6816" s="50">
        <v>50036332</v>
      </c>
      <c r="F6816" s="50" t="s">
        <v>188</v>
      </c>
      <c r="G6816" s="50">
        <v>1</v>
      </c>
      <c r="H6816" s="50" t="s">
        <v>2</v>
      </c>
      <c r="I6816" s="50" t="s">
        <v>287</v>
      </c>
      <c r="J6816" s="51">
        <v>45881</v>
      </c>
      <c r="K6816" s="50" t="s">
        <v>1</v>
      </c>
      <c r="L6816" s="50" t="s">
        <v>80</v>
      </c>
    </row>
    <row r="6817" spans="2:12">
      <c r="B6817" s="50" t="s">
        <v>402</v>
      </c>
      <c r="C6817" s="50" t="s">
        <v>26</v>
      </c>
      <c r="D6817" s="50" t="s">
        <v>36</v>
      </c>
      <c r="E6817" s="72">
        <v>50041195</v>
      </c>
      <c r="F6817" s="50" t="s">
        <v>206</v>
      </c>
      <c r="G6817" s="50">
        <v>1</v>
      </c>
      <c r="H6817" s="50" t="s">
        <v>2</v>
      </c>
      <c r="I6817" s="50" t="s">
        <v>290</v>
      </c>
      <c r="J6817" s="51">
        <v>45881</v>
      </c>
      <c r="K6817" s="50" t="s">
        <v>3</v>
      </c>
      <c r="L6817" s="50" t="s">
        <v>80</v>
      </c>
    </row>
    <row r="6818" spans="2:12">
      <c r="B6818" s="50" t="e">
        <v>#N/A</v>
      </c>
      <c r="C6818" s="50" t="s">
        <v>62</v>
      </c>
      <c r="D6818" s="50" t="s">
        <v>27</v>
      </c>
      <c r="E6818" s="50">
        <v>50041195</v>
      </c>
      <c r="F6818" s="50" t="s">
        <v>206</v>
      </c>
      <c r="G6818" s="50">
        <v>1</v>
      </c>
      <c r="H6818" s="50" t="s">
        <v>2</v>
      </c>
      <c r="I6818" s="50" t="s">
        <v>293</v>
      </c>
      <c r="J6818" s="51">
        <v>45881</v>
      </c>
      <c r="K6818" s="50" t="s">
        <v>1</v>
      </c>
      <c r="L6818" s="50" t="s">
        <v>80</v>
      </c>
    </row>
    <row r="6819" spans="2:12">
      <c r="B6819" s="50" t="e">
        <v>#N/A</v>
      </c>
      <c r="C6819" s="50" t="s">
        <v>62</v>
      </c>
      <c r="D6819" s="50" t="s">
        <v>27</v>
      </c>
      <c r="E6819" s="50">
        <v>50041195</v>
      </c>
      <c r="F6819" s="50" t="s">
        <v>206</v>
      </c>
      <c r="G6819" s="50">
        <v>1</v>
      </c>
      <c r="H6819" s="50" t="s">
        <v>2</v>
      </c>
      <c r="I6819" s="50" t="s">
        <v>288</v>
      </c>
      <c r="J6819" s="51">
        <v>45881</v>
      </c>
      <c r="K6819" s="50" t="s">
        <v>3</v>
      </c>
      <c r="L6819" s="50" t="s">
        <v>80</v>
      </c>
    </row>
    <row r="6820" spans="2:12">
      <c r="B6820" s="50" t="s">
        <v>415</v>
      </c>
      <c r="C6820" s="50" t="s">
        <v>51</v>
      </c>
      <c r="D6820" s="50" t="s">
        <v>27</v>
      </c>
      <c r="E6820" s="50">
        <v>50043917</v>
      </c>
      <c r="F6820" s="50" t="s">
        <v>262</v>
      </c>
      <c r="G6820" s="50">
        <v>1</v>
      </c>
      <c r="H6820" s="50" t="s">
        <v>2</v>
      </c>
      <c r="I6820" s="50" t="s">
        <v>288</v>
      </c>
      <c r="J6820" s="51">
        <v>45881</v>
      </c>
      <c r="K6820" s="50" t="s">
        <v>1</v>
      </c>
      <c r="L6820" s="50" t="s">
        <v>80</v>
      </c>
    </row>
    <row r="6821" spans="2:12">
      <c r="B6821" s="50" t="s">
        <v>415</v>
      </c>
      <c r="C6821" s="50" t="s">
        <v>51</v>
      </c>
      <c r="D6821" s="50" t="s">
        <v>27</v>
      </c>
      <c r="E6821" s="50">
        <v>50043917</v>
      </c>
      <c r="F6821" s="50" t="s">
        <v>262</v>
      </c>
      <c r="G6821" s="50">
        <v>1</v>
      </c>
      <c r="H6821" s="50" t="s">
        <v>2</v>
      </c>
      <c r="I6821" s="50" t="s">
        <v>288</v>
      </c>
      <c r="J6821" s="51">
        <v>45881</v>
      </c>
      <c r="K6821" s="50" t="s">
        <v>3</v>
      </c>
      <c r="L6821" s="50" t="s">
        <v>80</v>
      </c>
    </row>
    <row r="6822" spans="2:12">
      <c r="B6822" s="50" t="s">
        <v>381</v>
      </c>
      <c r="C6822" s="50" t="s">
        <v>56</v>
      </c>
      <c r="D6822" s="50" t="s">
        <v>36</v>
      </c>
      <c r="E6822" s="50">
        <v>50043917</v>
      </c>
      <c r="F6822" s="50" t="s">
        <v>262</v>
      </c>
      <c r="G6822" s="50">
        <v>1</v>
      </c>
      <c r="H6822" s="50" t="s">
        <v>2</v>
      </c>
      <c r="I6822" s="50" t="s">
        <v>290</v>
      </c>
      <c r="J6822" s="51">
        <v>45881</v>
      </c>
      <c r="K6822" s="50" t="s">
        <v>1</v>
      </c>
      <c r="L6822" s="50" t="s">
        <v>80</v>
      </c>
    </row>
    <row r="6823" spans="2:12">
      <c r="B6823" s="50" t="s">
        <v>381</v>
      </c>
      <c r="C6823" s="50" t="s">
        <v>56</v>
      </c>
      <c r="D6823" s="50" t="s">
        <v>36</v>
      </c>
      <c r="E6823" s="50">
        <v>50043917</v>
      </c>
      <c r="F6823" s="50" t="s">
        <v>262</v>
      </c>
      <c r="G6823" s="50">
        <v>1</v>
      </c>
      <c r="H6823" s="50" t="s">
        <v>2</v>
      </c>
      <c r="I6823" s="50" t="s">
        <v>290</v>
      </c>
      <c r="J6823" s="51">
        <v>45881</v>
      </c>
      <c r="K6823" s="50" t="s">
        <v>1</v>
      </c>
      <c r="L6823" s="50" t="s">
        <v>80</v>
      </c>
    </row>
    <row r="6824" spans="2:12">
      <c r="B6824" s="50" t="s">
        <v>386</v>
      </c>
      <c r="C6824" s="50" t="s">
        <v>26</v>
      </c>
      <c r="D6824" s="50" t="s">
        <v>27</v>
      </c>
      <c r="E6824" s="50">
        <v>50037952</v>
      </c>
      <c r="F6824" s="50" t="s">
        <v>245</v>
      </c>
      <c r="G6824" s="50">
        <v>1</v>
      </c>
      <c r="H6824" s="50" t="s">
        <v>2</v>
      </c>
      <c r="I6824" s="50" t="s">
        <v>293</v>
      </c>
      <c r="J6824" s="51">
        <v>45881</v>
      </c>
      <c r="K6824" s="50" t="s">
        <v>3</v>
      </c>
      <c r="L6824" s="50" t="s">
        <v>80</v>
      </c>
    </row>
    <row r="6825" spans="2:12">
      <c r="B6825" s="50" t="s">
        <v>386</v>
      </c>
      <c r="C6825" s="50" t="s">
        <v>26</v>
      </c>
      <c r="D6825" s="50" t="s">
        <v>27</v>
      </c>
      <c r="E6825" s="50">
        <v>50037952</v>
      </c>
      <c r="F6825" s="50" t="s">
        <v>245</v>
      </c>
      <c r="G6825" s="50">
        <v>1</v>
      </c>
      <c r="H6825" s="50" t="s">
        <v>2</v>
      </c>
      <c r="I6825" s="50" t="s">
        <v>287</v>
      </c>
      <c r="J6825" s="51">
        <v>45881</v>
      </c>
      <c r="K6825" s="50" t="s">
        <v>1</v>
      </c>
      <c r="L6825" s="50" t="s">
        <v>80</v>
      </c>
    </row>
    <row r="6826" spans="2:12">
      <c r="B6826" s="50" t="s">
        <v>407</v>
      </c>
      <c r="C6826" s="50" t="s">
        <v>26</v>
      </c>
      <c r="D6826" s="50" t="s">
        <v>27</v>
      </c>
      <c r="E6826" s="50">
        <v>50036296</v>
      </c>
      <c r="F6826" s="50" t="s">
        <v>109</v>
      </c>
      <c r="G6826" s="50">
        <v>1</v>
      </c>
      <c r="H6826" s="50" t="s">
        <v>2</v>
      </c>
      <c r="I6826" s="50" t="s">
        <v>291</v>
      </c>
      <c r="J6826" s="51">
        <v>45880</v>
      </c>
      <c r="K6826" s="50" t="s">
        <v>3</v>
      </c>
      <c r="L6826" s="50" t="s">
        <v>80</v>
      </c>
    </row>
    <row r="6827" spans="2:12">
      <c r="B6827" s="50" t="s">
        <v>407</v>
      </c>
      <c r="C6827" s="50" t="s">
        <v>26</v>
      </c>
      <c r="D6827" s="50" t="s">
        <v>27</v>
      </c>
      <c r="E6827" s="50">
        <v>50036296</v>
      </c>
      <c r="F6827" s="50" t="s">
        <v>109</v>
      </c>
      <c r="G6827" s="50">
        <v>1</v>
      </c>
      <c r="H6827" s="50" t="s">
        <v>2</v>
      </c>
      <c r="I6827" s="50" t="s">
        <v>291</v>
      </c>
      <c r="J6827" s="51">
        <v>45880</v>
      </c>
      <c r="K6827" s="50" t="s">
        <v>1</v>
      </c>
      <c r="L6827" s="50" t="s">
        <v>80</v>
      </c>
    </row>
    <row r="6828" spans="2:12">
      <c r="B6828" s="50" t="s">
        <v>316</v>
      </c>
      <c r="C6828" s="50" t="s">
        <v>51</v>
      </c>
      <c r="D6828" s="50" t="s">
        <v>27</v>
      </c>
      <c r="E6828" s="50">
        <v>50030074</v>
      </c>
      <c r="F6828" s="50" t="s">
        <v>156</v>
      </c>
      <c r="G6828" s="50">
        <v>1</v>
      </c>
      <c r="H6828" s="50" t="s">
        <v>2</v>
      </c>
      <c r="I6828" s="50" t="s">
        <v>293</v>
      </c>
      <c r="J6828" s="51">
        <v>45880</v>
      </c>
      <c r="K6828" s="50" t="s">
        <v>3</v>
      </c>
      <c r="L6828" s="50" t="s">
        <v>80</v>
      </c>
    </row>
    <row r="6829" spans="2:12">
      <c r="B6829" s="50" t="s">
        <v>316</v>
      </c>
      <c r="C6829" s="50" t="s">
        <v>51</v>
      </c>
      <c r="D6829" s="50" t="s">
        <v>27</v>
      </c>
      <c r="E6829" s="50">
        <v>50030074</v>
      </c>
      <c r="F6829" s="50" t="s">
        <v>156</v>
      </c>
      <c r="G6829" s="50">
        <v>1</v>
      </c>
      <c r="H6829" s="50" t="s">
        <v>2</v>
      </c>
      <c r="I6829" s="50" t="s">
        <v>291</v>
      </c>
      <c r="J6829" s="51">
        <v>45880</v>
      </c>
      <c r="K6829" s="50" t="s">
        <v>1</v>
      </c>
      <c r="L6829" s="50" t="s">
        <v>80</v>
      </c>
    </row>
    <row r="6830" spans="2:12">
      <c r="B6830" s="50" t="e">
        <v>#N/A</v>
      </c>
      <c r="C6830" s="50" t="s">
        <v>26</v>
      </c>
      <c r="D6830" s="50" t="s">
        <v>27</v>
      </c>
      <c r="E6830" s="50">
        <v>50030074</v>
      </c>
      <c r="F6830" s="50" t="s">
        <v>156</v>
      </c>
      <c r="G6830" s="50">
        <v>1</v>
      </c>
      <c r="H6830" s="50" t="s">
        <v>2</v>
      </c>
      <c r="I6830" s="50" t="s">
        <v>291</v>
      </c>
      <c r="J6830" s="51">
        <v>45880</v>
      </c>
      <c r="K6830" s="50" t="s">
        <v>3</v>
      </c>
      <c r="L6830" s="50" t="s">
        <v>80</v>
      </c>
    </row>
    <row r="6831" spans="2:12">
      <c r="B6831" s="50" t="e">
        <v>#N/A</v>
      </c>
      <c r="C6831" s="50" t="s">
        <v>26</v>
      </c>
      <c r="D6831" s="50" t="s">
        <v>27</v>
      </c>
      <c r="E6831" s="50">
        <v>50030074</v>
      </c>
      <c r="F6831" s="50" t="s">
        <v>156</v>
      </c>
      <c r="G6831" s="50">
        <v>1</v>
      </c>
      <c r="H6831" s="50" t="s">
        <v>2</v>
      </c>
      <c r="I6831" s="50" t="s">
        <v>291</v>
      </c>
      <c r="J6831" s="51">
        <v>45880</v>
      </c>
      <c r="K6831" s="50" t="s">
        <v>1</v>
      </c>
      <c r="L6831" s="50" t="s">
        <v>80</v>
      </c>
    </row>
    <row r="6832" spans="2:12">
      <c r="B6832" s="50" t="s">
        <v>410</v>
      </c>
      <c r="C6832" s="50" t="s">
        <v>51</v>
      </c>
      <c r="D6832" s="50" t="s">
        <v>27</v>
      </c>
      <c r="E6832" s="50">
        <v>50003296</v>
      </c>
      <c r="F6832" s="50" t="s">
        <v>157</v>
      </c>
      <c r="G6832" s="50">
        <v>1</v>
      </c>
      <c r="H6832" s="50" t="s">
        <v>2</v>
      </c>
      <c r="I6832" s="50" t="s">
        <v>293</v>
      </c>
      <c r="J6832" s="51">
        <v>45880</v>
      </c>
      <c r="K6832" s="50" t="s">
        <v>3</v>
      </c>
      <c r="L6832" s="50" t="s">
        <v>80</v>
      </c>
    </row>
    <row r="6833" spans="2:12">
      <c r="B6833" s="50" t="s">
        <v>410</v>
      </c>
      <c r="C6833" s="50" t="s">
        <v>51</v>
      </c>
      <c r="D6833" s="50" t="s">
        <v>27</v>
      </c>
      <c r="E6833" s="50">
        <v>50003296</v>
      </c>
      <c r="F6833" s="50" t="s">
        <v>157</v>
      </c>
      <c r="G6833" s="50">
        <v>1</v>
      </c>
      <c r="H6833" s="50" t="s">
        <v>2</v>
      </c>
      <c r="I6833" s="50" t="s">
        <v>293</v>
      </c>
      <c r="J6833" s="51">
        <v>45880</v>
      </c>
      <c r="K6833" s="50" t="s">
        <v>1</v>
      </c>
      <c r="L6833" s="50" t="s">
        <v>80</v>
      </c>
    </row>
    <row r="6834" spans="2:12">
      <c r="B6834" s="50" t="s">
        <v>399</v>
      </c>
      <c r="C6834" s="50" t="s">
        <v>51</v>
      </c>
      <c r="D6834" s="50" t="s">
        <v>27</v>
      </c>
      <c r="E6834" s="50">
        <v>50003296</v>
      </c>
      <c r="F6834" s="50" t="s">
        <v>157</v>
      </c>
      <c r="G6834" s="50">
        <v>1</v>
      </c>
      <c r="H6834" s="50" t="s">
        <v>2</v>
      </c>
      <c r="I6834" s="50" t="s">
        <v>293</v>
      </c>
      <c r="J6834" s="51">
        <v>45880</v>
      </c>
      <c r="K6834" s="50" t="s">
        <v>3</v>
      </c>
      <c r="L6834" s="50" t="s">
        <v>80</v>
      </c>
    </row>
    <row r="6835" spans="2:12">
      <c r="B6835" s="50" t="s">
        <v>399</v>
      </c>
      <c r="C6835" s="50" t="s">
        <v>51</v>
      </c>
      <c r="D6835" s="50" t="s">
        <v>27</v>
      </c>
      <c r="E6835" s="50">
        <v>50003296</v>
      </c>
      <c r="F6835" s="50" t="s">
        <v>157</v>
      </c>
      <c r="G6835" s="50">
        <v>1</v>
      </c>
      <c r="H6835" s="50" t="s">
        <v>2</v>
      </c>
      <c r="I6835" s="50" t="s">
        <v>293</v>
      </c>
      <c r="J6835" s="51">
        <v>45880</v>
      </c>
      <c r="K6835" s="50" t="s">
        <v>1</v>
      </c>
      <c r="L6835" s="50" t="s">
        <v>80</v>
      </c>
    </row>
    <row r="6836" spans="2:12">
      <c r="B6836" s="50" t="s">
        <v>455</v>
      </c>
      <c r="C6836" s="50" t="s">
        <v>56</v>
      </c>
      <c r="D6836" s="50" t="s">
        <v>41</v>
      </c>
      <c r="E6836" s="50">
        <v>50038549</v>
      </c>
      <c r="F6836" s="50" t="s">
        <v>173</v>
      </c>
      <c r="G6836" s="50">
        <v>1</v>
      </c>
      <c r="H6836" s="50" t="s">
        <v>2</v>
      </c>
      <c r="I6836" s="50" t="s">
        <v>293</v>
      </c>
      <c r="J6836" s="51">
        <v>45880</v>
      </c>
      <c r="K6836" s="50" t="s">
        <v>3</v>
      </c>
      <c r="L6836" s="50" t="s">
        <v>80</v>
      </c>
    </row>
    <row r="6837" spans="2:12">
      <c r="B6837" s="50" t="s">
        <v>455</v>
      </c>
      <c r="C6837" s="50" t="s">
        <v>56</v>
      </c>
      <c r="D6837" s="50" t="s">
        <v>41</v>
      </c>
      <c r="E6837" s="50">
        <v>50038549</v>
      </c>
      <c r="F6837" s="50" t="s">
        <v>173</v>
      </c>
      <c r="G6837" s="50">
        <v>1</v>
      </c>
      <c r="H6837" s="50" t="s">
        <v>2</v>
      </c>
      <c r="I6837" s="50" t="s">
        <v>291</v>
      </c>
      <c r="J6837" s="51">
        <v>45880</v>
      </c>
      <c r="K6837" s="50" t="s">
        <v>3</v>
      </c>
      <c r="L6837" s="50" t="s">
        <v>80</v>
      </c>
    </row>
    <row r="6838" spans="2:12">
      <c r="B6838" s="50" t="s">
        <v>471</v>
      </c>
      <c r="C6838" s="50" t="s">
        <v>26</v>
      </c>
      <c r="D6838" s="50" t="s">
        <v>27</v>
      </c>
      <c r="E6838" s="50">
        <v>50037902</v>
      </c>
      <c r="F6838" s="50" t="s">
        <v>179</v>
      </c>
      <c r="G6838" s="50">
        <v>1</v>
      </c>
      <c r="H6838" s="50" t="s">
        <v>2</v>
      </c>
      <c r="I6838" s="50" t="s">
        <v>293</v>
      </c>
      <c r="J6838" s="51">
        <v>45880</v>
      </c>
      <c r="K6838" s="50" t="s">
        <v>1</v>
      </c>
      <c r="L6838" s="50" t="s">
        <v>80</v>
      </c>
    </row>
    <row r="6839" spans="2:12">
      <c r="B6839" s="50" t="s">
        <v>471</v>
      </c>
      <c r="C6839" s="50" t="s">
        <v>26</v>
      </c>
      <c r="D6839" s="50" t="s">
        <v>27</v>
      </c>
      <c r="E6839" s="50">
        <v>50037902</v>
      </c>
      <c r="F6839" s="50" t="s">
        <v>179</v>
      </c>
      <c r="G6839" s="50">
        <v>1</v>
      </c>
      <c r="H6839" s="50" t="s">
        <v>2</v>
      </c>
      <c r="I6839" s="50" t="s">
        <v>291</v>
      </c>
      <c r="J6839" s="51">
        <v>45880</v>
      </c>
      <c r="K6839" s="50" t="s">
        <v>3</v>
      </c>
      <c r="L6839" s="50" t="s">
        <v>80</v>
      </c>
    </row>
    <row r="6840" spans="2:12">
      <c r="B6840" s="50" t="e">
        <v>#N/A</v>
      </c>
      <c r="C6840" s="50" t="s">
        <v>26</v>
      </c>
      <c r="D6840" s="50" t="s">
        <v>27</v>
      </c>
      <c r="E6840" s="50">
        <v>50037902</v>
      </c>
      <c r="F6840" s="50" t="s">
        <v>179</v>
      </c>
      <c r="G6840" s="50">
        <v>1</v>
      </c>
      <c r="H6840" s="50" t="s">
        <v>2</v>
      </c>
      <c r="I6840" s="50" t="s">
        <v>291</v>
      </c>
      <c r="J6840" s="51">
        <v>45880</v>
      </c>
      <c r="K6840" s="50" t="s">
        <v>1</v>
      </c>
      <c r="L6840" s="50" t="s">
        <v>80</v>
      </c>
    </row>
    <row r="6841" spans="2:12">
      <c r="B6841" s="50" t="e">
        <v>#N/A</v>
      </c>
      <c r="C6841" s="50" t="s">
        <v>26</v>
      </c>
      <c r="D6841" s="50" t="s">
        <v>27</v>
      </c>
      <c r="E6841" s="50">
        <v>50037902</v>
      </c>
      <c r="F6841" s="50" t="s">
        <v>179</v>
      </c>
      <c r="G6841" s="50">
        <v>1</v>
      </c>
      <c r="H6841" s="50" t="s">
        <v>2</v>
      </c>
      <c r="I6841" s="50" t="s">
        <v>291</v>
      </c>
      <c r="J6841" s="51">
        <v>45880</v>
      </c>
      <c r="K6841" s="50" t="s">
        <v>3</v>
      </c>
      <c r="L6841" s="50" t="s">
        <v>80</v>
      </c>
    </row>
    <row r="6842" spans="2:12">
      <c r="B6842" s="50" t="s">
        <v>316</v>
      </c>
      <c r="C6842" s="50" t="s">
        <v>51</v>
      </c>
      <c r="D6842" s="50" t="s">
        <v>27</v>
      </c>
      <c r="E6842" s="50">
        <v>50038841</v>
      </c>
      <c r="F6842" s="50" t="s">
        <v>180</v>
      </c>
      <c r="G6842" s="50">
        <v>1</v>
      </c>
      <c r="H6842" s="50" t="s">
        <v>2</v>
      </c>
      <c r="I6842" s="50" t="s">
        <v>293</v>
      </c>
      <c r="J6842" s="51">
        <v>45880</v>
      </c>
      <c r="K6842" s="50" t="s">
        <v>1</v>
      </c>
      <c r="L6842" s="50" t="s">
        <v>80</v>
      </c>
    </row>
    <row r="6843" spans="2:12">
      <c r="B6843" s="50" t="s">
        <v>316</v>
      </c>
      <c r="C6843" s="50" t="s">
        <v>51</v>
      </c>
      <c r="D6843" s="50" t="s">
        <v>27</v>
      </c>
      <c r="E6843" s="50">
        <v>50038841</v>
      </c>
      <c r="F6843" s="50" t="s">
        <v>180</v>
      </c>
      <c r="G6843" s="50">
        <v>1</v>
      </c>
      <c r="H6843" s="50" t="s">
        <v>2</v>
      </c>
      <c r="I6843" s="50" t="s">
        <v>291</v>
      </c>
      <c r="J6843" s="51">
        <v>45880</v>
      </c>
      <c r="K6843" s="50" t="s">
        <v>3</v>
      </c>
      <c r="L6843" s="50" t="s">
        <v>80</v>
      </c>
    </row>
    <row r="6844" spans="2:12">
      <c r="B6844" s="50" t="s">
        <v>444</v>
      </c>
      <c r="C6844" s="50" t="s">
        <v>51</v>
      </c>
      <c r="D6844" s="50" t="s">
        <v>27</v>
      </c>
      <c r="E6844" s="50">
        <v>50038517</v>
      </c>
      <c r="F6844" s="50" t="s">
        <v>181</v>
      </c>
      <c r="G6844" s="50">
        <v>1</v>
      </c>
      <c r="H6844" s="50" t="s">
        <v>2</v>
      </c>
      <c r="I6844" s="50" t="s">
        <v>293</v>
      </c>
      <c r="J6844" s="51">
        <v>45880</v>
      </c>
      <c r="K6844" s="50" t="s">
        <v>1</v>
      </c>
      <c r="L6844" s="50" t="s">
        <v>80</v>
      </c>
    </row>
    <row r="6845" spans="2:12">
      <c r="B6845" s="50" t="s">
        <v>444</v>
      </c>
      <c r="C6845" s="50" t="s">
        <v>51</v>
      </c>
      <c r="D6845" s="50" t="s">
        <v>27</v>
      </c>
      <c r="E6845" s="50">
        <v>50038517</v>
      </c>
      <c r="F6845" s="50" t="s">
        <v>181</v>
      </c>
      <c r="G6845" s="50">
        <v>1</v>
      </c>
      <c r="H6845" s="50" t="s">
        <v>2</v>
      </c>
      <c r="I6845" s="50" t="s">
        <v>293</v>
      </c>
      <c r="J6845" s="51">
        <v>45880</v>
      </c>
      <c r="K6845" s="50" t="s">
        <v>3</v>
      </c>
      <c r="L6845" s="50" t="s">
        <v>80</v>
      </c>
    </row>
    <row r="6846" spans="2:12">
      <c r="B6846" s="50" t="s">
        <v>399</v>
      </c>
      <c r="C6846" s="50" t="s">
        <v>51</v>
      </c>
      <c r="D6846" s="50" t="s">
        <v>27</v>
      </c>
      <c r="E6846" s="50">
        <v>50038517</v>
      </c>
      <c r="F6846" s="50" t="s">
        <v>181</v>
      </c>
      <c r="G6846" s="50">
        <v>1</v>
      </c>
      <c r="H6846" s="50" t="s">
        <v>2</v>
      </c>
      <c r="I6846" s="50" t="s">
        <v>287</v>
      </c>
      <c r="J6846" s="51">
        <v>45880</v>
      </c>
      <c r="K6846" s="50" t="s">
        <v>1</v>
      </c>
      <c r="L6846" s="50" t="s">
        <v>80</v>
      </c>
    </row>
    <row r="6847" spans="2:12">
      <c r="B6847" s="50" t="s">
        <v>399</v>
      </c>
      <c r="C6847" s="50" t="s">
        <v>51</v>
      </c>
      <c r="D6847" s="50" t="s">
        <v>27</v>
      </c>
      <c r="E6847" s="50">
        <v>50038517</v>
      </c>
      <c r="F6847" s="50" t="s">
        <v>181</v>
      </c>
      <c r="G6847" s="50">
        <v>1</v>
      </c>
      <c r="H6847" s="50" t="s">
        <v>2</v>
      </c>
      <c r="I6847" s="50" t="s">
        <v>291</v>
      </c>
      <c r="J6847" s="51">
        <v>45880</v>
      </c>
      <c r="K6847" s="50" t="s">
        <v>3</v>
      </c>
      <c r="L6847" s="50" t="s">
        <v>80</v>
      </c>
    </row>
    <row r="6848" spans="2:12">
      <c r="B6848" s="50" t="s">
        <v>316</v>
      </c>
      <c r="C6848" s="50" t="s">
        <v>51</v>
      </c>
      <c r="D6848" s="50" t="s">
        <v>27</v>
      </c>
      <c r="E6848" s="50">
        <v>50038517</v>
      </c>
      <c r="F6848" s="50" t="s">
        <v>181</v>
      </c>
      <c r="G6848" s="50">
        <v>1</v>
      </c>
      <c r="H6848" s="50" t="s">
        <v>2</v>
      </c>
      <c r="I6848" s="50" t="s">
        <v>291</v>
      </c>
      <c r="J6848" s="51">
        <v>45880</v>
      </c>
      <c r="K6848" s="50" t="s">
        <v>1</v>
      </c>
      <c r="L6848" s="50" t="s">
        <v>80</v>
      </c>
    </row>
    <row r="6849" spans="2:12">
      <c r="B6849" s="50" t="s">
        <v>316</v>
      </c>
      <c r="C6849" s="50" t="s">
        <v>51</v>
      </c>
      <c r="D6849" s="50" t="s">
        <v>27</v>
      </c>
      <c r="E6849" s="50">
        <v>50038517</v>
      </c>
      <c r="F6849" s="50" t="s">
        <v>181</v>
      </c>
      <c r="G6849" s="50">
        <v>1</v>
      </c>
      <c r="H6849" s="50" t="s">
        <v>2</v>
      </c>
      <c r="I6849" s="50" t="s">
        <v>291</v>
      </c>
      <c r="J6849" s="51">
        <v>45880</v>
      </c>
      <c r="K6849" s="50" t="s">
        <v>1</v>
      </c>
      <c r="L6849" s="50" t="s">
        <v>80</v>
      </c>
    </row>
    <row r="6850" spans="2:12">
      <c r="B6850" s="50" t="s">
        <v>471</v>
      </c>
      <c r="C6850" s="50" t="s">
        <v>26</v>
      </c>
      <c r="D6850" s="50" t="s">
        <v>27</v>
      </c>
      <c r="E6850" s="50">
        <v>50001995</v>
      </c>
      <c r="F6850" s="50" t="s">
        <v>185</v>
      </c>
      <c r="G6850" s="50">
        <v>1</v>
      </c>
      <c r="H6850" s="50" t="s">
        <v>2</v>
      </c>
      <c r="I6850" s="50" t="s">
        <v>287</v>
      </c>
      <c r="J6850" s="51">
        <v>45880</v>
      </c>
      <c r="K6850" s="50" t="s">
        <v>3</v>
      </c>
      <c r="L6850" s="50" t="s">
        <v>80</v>
      </c>
    </row>
    <row r="6851" spans="2:12">
      <c r="B6851" s="50" t="s">
        <v>471</v>
      </c>
      <c r="C6851" s="50" t="s">
        <v>26</v>
      </c>
      <c r="D6851" s="50" t="s">
        <v>27</v>
      </c>
      <c r="E6851" s="50">
        <v>50001995</v>
      </c>
      <c r="F6851" s="50" t="s">
        <v>185</v>
      </c>
      <c r="G6851" s="50">
        <v>1</v>
      </c>
      <c r="H6851" s="50" t="s">
        <v>2</v>
      </c>
      <c r="I6851" s="50" t="s">
        <v>291</v>
      </c>
      <c r="J6851" s="51">
        <v>45880</v>
      </c>
      <c r="K6851" s="50" t="s">
        <v>3</v>
      </c>
      <c r="L6851" s="50" t="s">
        <v>80</v>
      </c>
    </row>
    <row r="6852" spans="2:12">
      <c r="B6852" s="50" t="s">
        <v>409</v>
      </c>
      <c r="C6852" s="50" t="s">
        <v>51</v>
      </c>
      <c r="D6852" s="50" t="s">
        <v>27</v>
      </c>
      <c r="E6852" s="50">
        <v>50036332</v>
      </c>
      <c r="F6852" s="50" t="s">
        <v>188</v>
      </c>
      <c r="G6852" s="50">
        <v>1</v>
      </c>
      <c r="H6852" s="50" t="s">
        <v>2</v>
      </c>
      <c r="I6852" s="50" t="s">
        <v>291</v>
      </c>
      <c r="J6852" s="51">
        <v>45880</v>
      </c>
      <c r="K6852" s="50" t="s">
        <v>3</v>
      </c>
      <c r="L6852" s="50" t="s">
        <v>80</v>
      </c>
    </row>
    <row r="6853" spans="2:12">
      <c r="B6853" s="50" t="s">
        <v>391</v>
      </c>
      <c r="C6853" s="50" t="s">
        <v>56</v>
      </c>
      <c r="D6853" s="50" t="s">
        <v>39</v>
      </c>
      <c r="E6853" s="50">
        <v>50041195</v>
      </c>
      <c r="F6853" s="50" t="s">
        <v>206</v>
      </c>
      <c r="G6853" s="50">
        <v>1</v>
      </c>
      <c r="H6853" s="50" t="s">
        <v>2</v>
      </c>
      <c r="I6853" s="50" t="s">
        <v>293</v>
      </c>
      <c r="J6853" s="51">
        <v>45880</v>
      </c>
      <c r="K6853" s="50" t="s">
        <v>1</v>
      </c>
      <c r="L6853" s="50" t="s">
        <v>80</v>
      </c>
    </row>
    <row r="6854" spans="2:12">
      <c r="B6854" s="50" t="s">
        <v>391</v>
      </c>
      <c r="C6854" s="50" t="s">
        <v>56</v>
      </c>
      <c r="D6854" s="50" t="s">
        <v>39</v>
      </c>
      <c r="E6854" s="50">
        <v>50041195</v>
      </c>
      <c r="F6854" s="50" t="s">
        <v>206</v>
      </c>
      <c r="G6854" s="50">
        <v>1</v>
      </c>
      <c r="H6854" s="50" t="s">
        <v>2</v>
      </c>
      <c r="I6854" s="50" t="s">
        <v>293</v>
      </c>
      <c r="J6854" s="51">
        <v>45880</v>
      </c>
      <c r="K6854" s="50" t="s">
        <v>3</v>
      </c>
      <c r="L6854" s="50" t="s">
        <v>80</v>
      </c>
    </row>
    <row r="6855" spans="2:12">
      <c r="B6855" s="50" t="e">
        <v>#N/A</v>
      </c>
      <c r="C6855" s="50" t="s">
        <v>26</v>
      </c>
      <c r="D6855" s="50" t="s">
        <v>27</v>
      </c>
      <c r="E6855" s="50">
        <v>50041195</v>
      </c>
      <c r="F6855" s="50" t="s">
        <v>206</v>
      </c>
      <c r="G6855" s="50">
        <v>1</v>
      </c>
      <c r="H6855" s="50" t="s">
        <v>2</v>
      </c>
      <c r="I6855" s="50" t="s">
        <v>291</v>
      </c>
      <c r="J6855" s="51">
        <v>45880</v>
      </c>
      <c r="K6855" s="50" t="s">
        <v>1</v>
      </c>
      <c r="L6855" s="50" t="s">
        <v>80</v>
      </c>
    </row>
    <row r="6856" spans="2:12">
      <c r="B6856" s="50" t="e">
        <v>#N/A</v>
      </c>
      <c r="C6856" s="50" t="s">
        <v>26</v>
      </c>
      <c r="D6856" s="50" t="s">
        <v>27</v>
      </c>
      <c r="E6856" s="50">
        <v>50041195</v>
      </c>
      <c r="F6856" s="50" t="s">
        <v>206</v>
      </c>
      <c r="G6856" s="50">
        <v>1</v>
      </c>
      <c r="H6856" s="50" t="s">
        <v>2</v>
      </c>
      <c r="I6856" s="50" t="s">
        <v>291</v>
      </c>
      <c r="J6856" s="51">
        <v>45880</v>
      </c>
      <c r="K6856" s="50" t="s">
        <v>3</v>
      </c>
      <c r="L6856" s="50" t="s">
        <v>80</v>
      </c>
    </row>
    <row r="6857" spans="2:12">
      <c r="B6857" s="50" t="s">
        <v>345</v>
      </c>
      <c r="C6857" s="50" t="s">
        <v>62</v>
      </c>
      <c r="D6857" s="50" t="s">
        <v>27</v>
      </c>
      <c r="E6857" s="50">
        <v>50043917</v>
      </c>
      <c r="F6857" s="50" t="s">
        <v>262</v>
      </c>
      <c r="G6857" s="50">
        <v>1</v>
      </c>
      <c r="H6857" s="50" t="s">
        <v>2</v>
      </c>
      <c r="I6857" s="50" t="s">
        <v>293</v>
      </c>
      <c r="J6857" s="51">
        <v>45880</v>
      </c>
      <c r="K6857" s="50" t="s">
        <v>1</v>
      </c>
      <c r="L6857" s="50" t="s">
        <v>80</v>
      </c>
    </row>
    <row r="6858" spans="2:12">
      <c r="B6858" s="50" t="s">
        <v>345</v>
      </c>
      <c r="C6858" s="50" t="s">
        <v>62</v>
      </c>
      <c r="D6858" s="50" t="s">
        <v>27</v>
      </c>
      <c r="E6858" s="50">
        <v>50043917</v>
      </c>
      <c r="F6858" s="50" t="s">
        <v>262</v>
      </c>
      <c r="G6858" s="50">
        <v>1</v>
      </c>
      <c r="H6858" s="50" t="s">
        <v>2</v>
      </c>
      <c r="I6858" s="50" t="s">
        <v>291</v>
      </c>
      <c r="J6858" s="51">
        <v>45880</v>
      </c>
      <c r="K6858" s="50" t="s">
        <v>3</v>
      </c>
      <c r="L6858" s="50" t="s">
        <v>80</v>
      </c>
    </row>
    <row r="6859" spans="2:12">
      <c r="B6859" s="50" t="s">
        <v>419</v>
      </c>
      <c r="C6859" s="50" t="s">
        <v>51</v>
      </c>
      <c r="D6859" s="50" t="s">
        <v>41</v>
      </c>
      <c r="E6859" s="50">
        <v>50037902</v>
      </c>
      <c r="F6859" s="50" t="s">
        <v>179</v>
      </c>
      <c r="G6859" s="50">
        <v>1</v>
      </c>
      <c r="H6859" s="50" t="s">
        <v>2</v>
      </c>
      <c r="I6859" s="50" t="s">
        <v>289</v>
      </c>
      <c r="J6859" s="51">
        <v>45878</v>
      </c>
      <c r="K6859" s="50" t="s">
        <v>1</v>
      </c>
      <c r="L6859" s="50" t="s">
        <v>80</v>
      </c>
    </row>
    <row r="6860" spans="2:12">
      <c r="B6860" s="50" t="s">
        <v>419</v>
      </c>
      <c r="C6860" s="50" t="s">
        <v>51</v>
      </c>
      <c r="D6860" s="50" t="s">
        <v>41</v>
      </c>
      <c r="E6860" s="50">
        <v>50037902</v>
      </c>
      <c r="F6860" s="50" t="s">
        <v>179</v>
      </c>
      <c r="G6860" s="50">
        <v>1</v>
      </c>
      <c r="H6860" s="50" t="s">
        <v>2</v>
      </c>
      <c r="I6860" s="50" t="s">
        <v>289</v>
      </c>
      <c r="J6860" s="51">
        <v>45878</v>
      </c>
      <c r="K6860" s="50" t="s">
        <v>1</v>
      </c>
      <c r="L6860" s="50" t="s">
        <v>80</v>
      </c>
    </row>
    <row r="6861" spans="2:12">
      <c r="B6861" s="50" t="s">
        <v>420</v>
      </c>
      <c r="C6861" s="50" t="s">
        <v>26</v>
      </c>
      <c r="D6861" s="50" t="s">
        <v>41</v>
      </c>
      <c r="E6861" s="50">
        <v>50038194</v>
      </c>
      <c r="F6861" s="50" t="s">
        <v>238</v>
      </c>
      <c r="G6861" s="50">
        <v>1</v>
      </c>
      <c r="H6861" s="50" t="s">
        <v>2</v>
      </c>
      <c r="I6861" s="50" t="s">
        <v>289</v>
      </c>
      <c r="J6861" s="51">
        <v>45878</v>
      </c>
      <c r="K6861" s="50" t="s">
        <v>3</v>
      </c>
      <c r="L6861" s="50" t="s">
        <v>80</v>
      </c>
    </row>
    <row r="6862" spans="2:12">
      <c r="B6862" s="50" t="s">
        <v>420</v>
      </c>
      <c r="C6862" s="50" t="s">
        <v>26</v>
      </c>
      <c r="D6862" s="50" t="s">
        <v>41</v>
      </c>
      <c r="E6862" s="50">
        <v>50038194</v>
      </c>
      <c r="F6862" s="50" t="s">
        <v>238</v>
      </c>
      <c r="G6862" s="50">
        <v>1</v>
      </c>
      <c r="H6862" s="50" t="s">
        <v>2</v>
      </c>
      <c r="I6862" s="50" t="s">
        <v>289</v>
      </c>
      <c r="J6862" s="51">
        <v>45878</v>
      </c>
      <c r="K6862" s="50" t="s">
        <v>1</v>
      </c>
      <c r="L6862" s="50" t="s">
        <v>80</v>
      </c>
    </row>
    <row r="6863" spans="2:12">
      <c r="B6863" s="50" t="e">
        <v>#N/A</v>
      </c>
      <c r="C6863" s="50" t="s">
        <v>26</v>
      </c>
      <c r="D6863" s="50" t="s">
        <v>27</v>
      </c>
      <c r="E6863" s="50">
        <v>50037905</v>
      </c>
      <c r="F6863" s="50" t="s">
        <v>150</v>
      </c>
      <c r="G6863" s="50">
        <v>1</v>
      </c>
      <c r="H6863" s="50" t="s">
        <v>2</v>
      </c>
      <c r="I6863" s="50" t="s">
        <v>291</v>
      </c>
      <c r="J6863" s="51">
        <v>45877</v>
      </c>
      <c r="K6863" s="50" t="s">
        <v>3</v>
      </c>
      <c r="L6863" s="50" t="s">
        <v>80</v>
      </c>
    </row>
    <row r="6864" spans="2:12">
      <c r="B6864" s="50" t="e">
        <v>#N/A</v>
      </c>
      <c r="C6864" s="50" t="s">
        <v>26</v>
      </c>
      <c r="D6864" s="50" t="s">
        <v>27</v>
      </c>
      <c r="E6864" s="50">
        <v>50037905</v>
      </c>
      <c r="F6864" s="50" t="s">
        <v>150</v>
      </c>
      <c r="G6864" s="50">
        <v>1</v>
      </c>
      <c r="H6864" s="50" t="s">
        <v>2</v>
      </c>
      <c r="I6864" s="50" t="s">
        <v>287</v>
      </c>
      <c r="J6864" s="51">
        <v>45877</v>
      </c>
      <c r="K6864" s="50" t="s">
        <v>1</v>
      </c>
      <c r="L6864" s="50" t="s">
        <v>80</v>
      </c>
    </row>
    <row r="6865" spans="2:12">
      <c r="B6865" s="50" t="s">
        <v>465</v>
      </c>
      <c r="C6865" s="50" t="s">
        <v>26</v>
      </c>
      <c r="D6865" s="50" t="s">
        <v>27</v>
      </c>
      <c r="E6865" s="50">
        <v>50039236</v>
      </c>
      <c r="F6865" s="50" t="s">
        <v>154</v>
      </c>
      <c r="G6865" s="50">
        <v>1</v>
      </c>
      <c r="H6865" s="50" t="s">
        <v>2</v>
      </c>
      <c r="I6865" s="50" t="s">
        <v>292</v>
      </c>
      <c r="J6865" s="51">
        <v>45877</v>
      </c>
      <c r="K6865" s="50" t="s">
        <v>3</v>
      </c>
      <c r="L6865" s="50" t="s">
        <v>80</v>
      </c>
    </row>
    <row r="6866" spans="2:12">
      <c r="B6866" s="50" t="s">
        <v>465</v>
      </c>
      <c r="C6866" s="50" t="s">
        <v>26</v>
      </c>
      <c r="D6866" s="50" t="s">
        <v>27</v>
      </c>
      <c r="E6866" s="50">
        <v>50039236</v>
      </c>
      <c r="F6866" s="50" t="s">
        <v>154</v>
      </c>
      <c r="G6866" s="50">
        <v>1</v>
      </c>
      <c r="H6866" s="50" t="s">
        <v>2</v>
      </c>
      <c r="I6866" s="50" t="s">
        <v>291</v>
      </c>
      <c r="J6866" s="51">
        <v>45877</v>
      </c>
      <c r="K6866" s="50" t="s">
        <v>1</v>
      </c>
      <c r="L6866" s="50" t="s">
        <v>80</v>
      </c>
    </row>
    <row r="6867" spans="2:12">
      <c r="B6867" s="50" t="s">
        <v>277</v>
      </c>
      <c r="C6867" s="50" t="s">
        <v>62</v>
      </c>
      <c r="D6867" s="50" t="s">
        <v>27</v>
      </c>
      <c r="E6867" s="50">
        <v>50029865</v>
      </c>
      <c r="F6867" s="50" t="s">
        <v>162</v>
      </c>
      <c r="G6867" s="50">
        <v>1</v>
      </c>
      <c r="H6867" s="50" t="s">
        <v>2</v>
      </c>
      <c r="I6867" s="50" t="s">
        <v>291</v>
      </c>
      <c r="J6867" s="51">
        <v>45877</v>
      </c>
      <c r="K6867" s="50" t="s">
        <v>3</v>
      </c>
      <c r="L6867" s="50" t="s">
        <v>80</v>
      </c>
    </row>
    <row r="6868" spans="2:12">
      <c r="B6868" s="50" t="s">
        <v>277</v>
      </c>
      <c r="C6868" s="50" t="s">
        <v>62</v>
      </c>
      <c r="D6868" s="50" t="s">
        <v>27</v>
      </c>
      <c r="E6868" s="50">
        <v>50029865</v>
      </c>
      <c r="F6868" s="50" t="s">
        <v>162</v>
      </c>
      <c r="G6868" s="50">
        <v>1</v>
      </c>
      <c r="H6868" s="50" t="s">
        <v>2</v>
      </c>
      <c r="I6868" s="50" t="s">
        <v>287</v>
      </c>
      <c r="J6868" s="51">
        <v>45877</v>
      </c>
      <c r="K6868" s="50" t="s">
        <v>1</v>
      </c>
      <c r="L6868" s="50" t="s">
        <v>80</v>
      </c>
    </row>
    <row r="6869" spans="2:12">
      <c r="B6869" s="50" t="s">
        <v>43</v>
      </c>
      <c r="C6869" s="50" t="s">
        <v>26</v>
      </c>
      <c r="D6869" s="50" t="s">
        <v>41</v>
      </c>
      <c r="E6869" s="50">
        <v>50043320</v>
      </c>
      <c r="F6869" s="50" t="s">
        <v>264</v>
      </c>
      <c r="G6869" s="50">
        <v>1</v>
      </c>
      <c r="H6869" s="50" t="s">
        <v>2</v>
      </c>
      <c r="I6869" s="50" t="s">
        <v>293</v>
      </c>
      <c r="J6869" s="51">
        <v>45877</v>
      </c>
      <c r="K6869" s="50" t="s">
        <v>3</v>
      </c>
      <c r="L6869" s="50" t="s">
        <v>80</v>
      </c>
    </row>
    <row r="6870" spans="2:12">
      <c r="B6870" s="50" t="s">
        <v>43</v>
      </c>
      <c r="C6870" s="50" t="s">
        <v>26</v>
      </c>
      <c r="D6870" s="50" t="s">
        <v>41</v>
      </c>
      <c r="E6870" s="50">
        <v>50043320</v>
      </c>
      <c r="F6870" s="50" t="s">
        <v>264</v>
      </c>
      <c r="G6870" s="50">
        <v>1</v>
      </c>
      <c r="H6870" s="50" t="s">
        <v>2</v>
      </c>
      <c r="I6870" s="50" t="s">
        <v>293</v>
      </c>
      <c r="J6870" s="51">
        <v>45877</v>
      </c>
      <c r="K6870" s="50" t="s">
        <v>1</v>
      </c>
      <c r="L6870" s="50" t="s">
        <v>80</v>
      </c>
    </row>
    <row r="6871" spans="2:12">
      <c r="B6871" s="50" t="s">
        <v>455</v>
      </c>
      <c r="C6871" s="50" t="s">
        <v>56</v>
      </c>
      <c r="D6871" s="50" t="s">
        <v>41</v>
      </c>
      <c r="E6871" s="50">
        <v>50038549</v>
      </c>
      <c r="F6871" s="50" t="s">
        <v>173</v>
      </c>
      <c r="G6871" s="50">
        <v>1</v>
      </c>
      <c r="H6871" s="50" t="s">
        <v>2</v>
      </c>
      <c r="I6871" s="50" t="s">
        <v>293</v>
      </c>
      <c r="J6871" s="51">
        <v>45877</v>
      </c>
      <c r="K6871" s="50" t="s">
        <v>3</v>
      </c>
      <c r="L6871" s="50" t="s">
        <v>80</v>
      </c>
    </row>
    <row r="6872" spans="2:12">
      <c r="B6872" s="50" t="s">
        <v>455</v>
      </c>
      <c r="C6872" s="50" t="s">
        <v>56</v>
      </c>
      <c r="D6872" s="50" t="s">
        <v>41</v>
      </c>
      <c r="E6872" s="50">
        <v>50038549</v>
      </c>
      <c r="F6872" s="50" t="s">
        <v>173</v>
      </c>
      <c r="G6872" s="50">
        <v>1</v>
      </c>
      <c r="H6872" s="50" t="s">
        <v>2</v>
      </c>
      <c r="I6872" s="50" t="s">
        <v>287</v>
      </c>
      <c r="J6872" s="51">
        <v>45877</v>
      </c>
      <c r="K6872" s="50" t="s">
        <v>3</v>
      </c>
      <c r="L6872" s="50" t="s">
        <v>80</v>
      </c>
    </row>
    <row r="6873" spans="2:12">
      <c r="B6873" s="50" t="s">
        <v>417</v>
      </c>
      <c r="C6873" s="50" t="s">
        <v>51</v>
      </c>
      <c r="D6873" s="50" t="s">
        <v>41</v>
      </c>
      <c r="E6873" s="50">
        <v>50038517</v>
      </c>
      <c r="F6873" s="50" t="s">
        <v>181</v>
      </c>
      <c r="G6873" s="50">
        <v>1</v>
      </c>
      <c r="H6873" s="50" t="s">
        <v>2</v>
      </c>
      <c r="I6873" s="50" t="s">
        <v>287</v>
      </c>
      <c r="J6873" s="51">
        <v>45877</v>
      </c>
      <c r="K6873" s="50" t="s">
        <v>1</v>
      </c>
      <c r="L6873" s="50" t="s">
        <v>80</v>
      </c>
    </row>
    <row r="6874" spans="2:12">
      <c r="B6874" s="50" t="s">
        <v>417</v>
      </c>
      <c r="C6874" s="50" t="s">
        <v>51</v>
      </c>
      <c r="D6874" s="50" t="s">
        <v>41</v>
      </c>
      <c r="E6874" s="50">
        <v>50038517</v>
      </c>
      <c r="F6874" s="50" t="s">
        <v>181</v>
      </c>
      <c r="G6874" s="50">
        <v>1</v>
      </c>
      <c r="H6874" s="50" t="s">
        <v>2</v>
      </c>
      <c r="I6874" s="50" t="s">
        <v>291</v>
      </c>
      <c r="J6874" s="51">
        <v>45877</v>
      </c>
      <c r="K6874" s="50" t="s">
        <v>1</v>
      </c>
      <c r="L6874" s="50" t="s">
        <v>80</v>
      </c>
    </row>
    <row r="6875" spans="2:12">
      <c r="B6875" s="50" t="s">
        <v>386</v>
      </c>
      <c r="C6875" s="50" t="s">
        <v>51</v>
      </c>
      <c r="D6875" s="50" t="s">
        <v>27</v>
      </c>
      <c r="E6875" s="50">
        <v>50039065</v>
      </c>
      <c r="F6875" s="50" t="s">
        <v>186</v>
      </c>
      <c r="G6875" s="50">
        <v>1</v>
      </c>
      <c r="H6875" s="50" t="s">
        <v>2</v>
      </c>
      <c r="I6875" s="50" t="s">
        <v>293</v>
      </c>
      <c r="J6875" s="51">
        <v>45877</v>
      </c>
      <c r="K6875" s="50" t="s">
        <v>3</v>
      </c>
      <c r="L6875" s="50" t="s">
        <v>80</v>
      </c>
    </row>
    <row r="6876" spans="2:12">
      <c r="B6876" s="50" t="s">
        <v>386</v>
      </c>
      <c r="C6876" s="50" t="s">
        <v>51</v>
      </c>
      <c r="D6876" s="50" t="s">
        <v>27</v>
      </c>
      <c r="E6876" s="50">
        <v>50039065</v>
      </c>
      <c r="F6876" s="50" t="s">
        <v>186</v>
      </c>
      <c r="G6876" s="50">
        <v>1</v>
      </c>
      <c r="H6876" s="50" t="s">
        <v>2</v>
      </c>
      <c r="I6876" s="50" t="s">
        <v>291</v>
      </c>
      <c r="J6876" s="51">
        <v>45877</v>
      </c>
      <c r="K6876" s="50" t="s">
        <v>1</v>
      </c>
      <c r="L6876" s="50" t="s">
        <v>81</v>
      </c>
    </row>
    <row r="6877" spans="2:12">
      <c r="B6877" s="50" t="s">
        <v>345</v>
      </c>
      <c r="C6877" s="50" t="s">
        <v>62</v>
      </c>
      <c r="D6877" s="50" t="s">
        <v>27</v>
      </c>
      <c r="E6877" s="50">
        <v>50041195</v>
      </c>
      <c r="F6877" s="50" t="s">
        <v>206</v>
      </c>
      <c r="G6877" s="50">
        <v>1</v>
      </c>
      <c r="H6877" s="50" t="s">
        <v>2</v>
      </c>
      <c r="I6877" s="50" t="s">
        <v>291</v>
      </c>
      <c r="J6877" s="51">
        <v>45877</v>
      </c>
      <c r="K6877" s="50" t="s">
        <v>1</v>
      </c>
      <c r="L6877" s="50" t="s">
        <v>80</v>
      </c>
    </row>
    <row r="6878" spans="2:12">
      <c r="B6878" s="50" t="s">
        <v>471</v>
      </c>
      <c r="C6878" s="50" t="str">
        <f>IFERROR(VLOOKUP(#REF!,'BD COLABORADORES'!A:E,7,FALSE),"")</f>
        <v/>
      </c>
      <c r="D6878" s="50" t="str">
        <f>IFERROR(VLOOKUP(#REF!,'BD COLABORADORES'!A:E,2,FALSE),"")</f>
        <v/>
      </c>
      <c r="E6878" s="50">
        <v>50041195</v>
      </c>
      <c r="F6878" s="50" t="str">
        <f>IFERROR(VLOOKUP(E6878,'BD MOVIMENTAÇÃO'!A:G,3,FALSE),"Não encontrado")</f>
        <v>PARAFUSADEIRA FUR DE IMPACTO BRUSHLESS</v>
      </c>
      <c r="G6878" s="58">
        <v>1</v>
      </c>
      <c r="H6878" s="50" t="s">
        <v>2</v>
      </c>
      <c r="I6878" s="59" t="s">
        <v>309</v>
      </c>
      <c r="J6878" s="63">
        <v>45877</v>
      </c>
      <c r="K6878" s="50" t="s">
        <v>3</v>
      </c>
      <c r="L6878" s="50" t="s">
        <v>80</v>
      </c>
    </row>
    <row r="6879" spans="2:12">
      <c r="B6879" s="50" t="s">
        <v>430</v>
      </c>
      <c r="C6879" s="50" t="s">
        <v>61</v>
      </c>
      <c r="D6879" s="50" t="s">
        <v>39</v>
      </c>
      <c r="E6879" s="50">
        <v>50043917</v>
      </c>
      <c r="F6879" s="50" t="s">
        <v>262</v>
      </c>
      <c r="G6879" s="50">
        <v>1</v>
      </c>
      <c r="H6879" s="50" t="s">
        <v>2</v>
      </c>
      <c r="I6879" s="50" t="s">
        <v>289</v>
      </c>
      <c r="J6879" s="51">
        <v>45877</v>
      </c>
      <c r="K6879" s="50" t="s">
        <v>1</v>
      </c>
      <c r="L6879" s="50" t="s">
        <v>80</v>
      </c>
    </row>
    <row r="6880" spans="2:12">
      <c r="B6880" s="50" t="s">
        <v>430</v>
      </c>
      <c r="C6880" s="50" t="s">
        <v>61</v>
      </c>
      <c r="D6880" s="50" t="s">
        <v>39</v>
      </c>
      <c r="E6880" s="50">
        <v>50043917</v>
      </c>
      <c r="F6880" s="50" t="s">
        <v>262</v>
      </c>
      <c r="G6880" s="50">
        <v>1</v>
      </c>
      <c r="H6880" s="50" t="s">
        <v>2</v>
      </c>
      <c r="I6880" s="50" t="s">
        <v>289</v>
      </c>
      <c r="J6880" s="51">
        <v>45877</v>
      </c>
      <c r="K6880" s="50" t="s">
        <v>3</v>
      </c>
      <c r="L6880" s="50" t="s">
        <v>80</v>
      </c>
    </row>
    <row r="6881" spans="2:12">
      <c r="B6881" s="50" t="s">
        <v>277</v>
      </c>
      <c r="C6881" s="50" t="s">
        <v>62</v>
      </c>
      <c r="D6881" s="50" t="s">
        <v>27</v>
      </c>
      <c r="E6881" s="50">
        <v>50043917</v>
      </c>
      <c r="F6881" s="50" t="s">
        <v>262</v>
      </c>
      <c r="G6881" s="50">
        <v>1</v>
      </c>
      <c r="H6881" s="50" t="s">
        <v>2</v>
      </c>
      <c r="I6881" s="50" t="s">
        <v>291</v>
      </c>
      <c r="J6881" s="51">
        <v>45877</v>
      </c>
      <c r="K6881" s="50" t="s">
        <v>1</v>
      </c>
      <c r="L6881" s="50" t="s">
        <v>80</v>
      </c>
    </row>
    <row r="6882" spans="2:12">
      <c r="B6882" s="50" t="s">
        <v>277</v>
      </c>
      <c r="C6882" s="50" t="s">
        <v>62</v>
      </c>
      <c r="D6882" s="50" t="s">
        <v>27</v>
      </c>
      <c r="E6882" s="50">
        <v>50043917</v>
      </c>
      <c r="F6882" s="50" t="s">
        <v>262</v>
      </c>
      <c r="G6882" s="50">
        <v>1</v>
      </c>
      <c r="H6882" s="50" t="s">
        <v>2</v>
      </c>
      <c r="I6882" s="50" t="s">
        <v>287</v>
      </c>
      <c r="J6882" s="51">
        <v>45877</v>
      </c>
      <c r="K6882" s="50" t="s">
        <v>3</v>
      </c>
      <c r="L6882" s="50" t="s">
        <v>80</v>
      </c>
    </row>
    <row r="6883" spans="2:12">
      <c r="B6883" s="50" t="s">
        <v>465</v>
      </c>
      <c r="C6883" s="61" t="s">
        <v>26</v>
      </c>
      <c r="D6883" s="61" t="s">
        <v>27</v>
      </c>
      <c r="E6883" s="50">
        <v>50003295</v>
      </c>
      <c r="F6883" s="50" t="s">
        <v>207</v>
      </c>
      <c r="G6883" s="50">
        <v>1</v>
      </c>
      <c r="H6883" s="50" t="s">
        <v>2</v>
      </c>
      <c r="I6883" s="50" t="s">
        <v>292</v>
      </c>
      <c r="J6883" s="51">
        <v>45877</v>
      </c>
      <c r="K6883" s="50" t="s">
        <v>3</v>
      </c>
      <c r="L6883" s="50" t="s">
        <v>80</v>
      </c>
    </row>
    <row r="6884" spans="2:12">
      <c r="B6884" s="50" t="s">
        <v>465</v>
      </c>
      <c r="C6884" s="61" t="s">
        <v>26</v>
      </c>
      <c r="D6884" s="61" t="s">
        <v>27</v>
      </c>
      <c r="E6884" s="50">
        <v>50003295</v>
      </c>
      <c r="F6884" s="50" t="s">
        <v>207</v>
      </c>
      <c r="G6884" s="50">
        <v>1</v>
      </c>
      <c r="H6884" s="50" t="s">
        <v>2</v>
      </c>
      <c r="I6884" s="50" t="s">
        <v>287</v>
      </c>
      <c r="J6884" s="51">
        <v>45877</v>
      </c>
      <c r="K6884" s="50" t="s">
        <v>3</v>
      </c>
      <c r="L6884" s="50" t="s">
        <v>80</v>
      </c>
    </row>
    <row r="6885" spans="2:12">
      <c r="B6885" s="50" t="s">
        <v>469</v>
      </c>
      <c r="C6885" s="61" t="s">
        <v>26</v>
      </c>
      <c r="D6885" s="61" t="s">
        <v>39</v>
      </c>
      <c r="E6885" s="50">
        <v>50043151</v>
      </c>
      <c r="F6885" s="50" t="s">
        <v>331</v>
      </c>
      <c r="G6885" s="50">
        <v>1</v>
      </c>
      <c r="H6885" s="50" t="s">
        <v>2</v>
      </c>
      <c r="I6885" s="50" t="s">
        <v>289</v>
      </c>
      <c r="J6885" s="51">
        <v>45877</v>
      </c>
      <c r="K6885" s="50" t="s">
        <v>1</v>
      </c>
      <c r="L6885" s="50" t="s">
        <v>80</v>
      </c>
    </row>
    <row r="6886" spans="2:12">
      <c r="B6886" s="50" t="s">
        <v>469</v>
      </c>
      <c r="C6886" s="61" t="s">
        <v>26</v>
      </c>
      <c r="D6886" s="61" t="s">
        <v>39</v>
      </c>
      <c r="E6886" s="50">
        <v>50043151</v>
      </c>
      <c r="F6886" s="50" t="s">
        <v>331</v>
      </c>
      <c r="G6886" s="50">
        <v>1</v>
      </c>
      <c r="H6886" s="50" t="s">
        <v>2</v>
      </c>
      <c r="I6886" s="50" t="s">
        <v>289</v>
      </c>
      <c r="J6886" s="51">
        <v>45877</v>
      </c>
      <c r="K6886" s="50" t="s">
        <v>3</v>
      </c>
      <c r="L6886" s="50" t="s">
        <v>80</v>
      </c>
    </row>
    <row r="6887" spans="2:12">
      <c r="B6887" s="50" t="s">
        <v>25</v>
      </c>
      <c r="C6887" s="61" t="s">
        <v>26</v>
      </c>
      <c r="D6887" s="61" t="s">
        <v>27</v>
      </c>
      <c r="E6887" s="50">
        <v>50044250</v>
      </c>
      <c r="F6887" s="50" t="s">
        <v>265</v>
      </c>
      <c r="G6887" s="50">
        <v>1</v>
      </c>
      <c r="H6887" s="50" t="s">
        <v>2</v>
      </c>
      <c r="I6887" s="50" t="s">
        <v>292</v>
      </c>
      <c r="J6887" s="51">
        <v>45876</v>
      </c>
      <c r="K6887" s="50" t="s">
        <v>1</v>
      </c>
      <c r="L6887" s="50" t="s">
        <v>80</v>
      </c>
    </row>
    <row r="6888" spans="2:12">
      <c r="B6888" s="50" t="s">
        <v>25</v>
      </c>
      <c r="C6888" s="61" t="s">
        <v>26</v>
      </c>
      <c r="D6888" s="61" t="s">
        <v>27</v>
      </c>
      <c r="E6888" s="50">
        <v>50044250</v>
      </c>
      <c r="F6888" s="50" t="s">
        <v>265</v>
      </c>
      <c r="G6888" s="50">
        <v>1</v>
      </c>
      <c r="H6888" s="50" t="s">
        <v>2</v>
      </c>
      <c r="I6888" s="50" t="s">
        <v>292</v>
      </c>
      <c r="J6888" s="51">
        <v>45876</v>
      </c>
      <c r="K6888" s="50" t="s">
        <v>1</v>
      </c>
      <c r="L6888" s="50" t="s">
        <v>80</v>
      </c>
    </row>
    <row r="6889" spans="2:12">
      <c r="B6889" s="50" t="s">
        <v>54</v>
      </c>
      <c r="C6889" s="61" t="s">
        <v>51</v>
      </c>
      <c r="D6889" s="61" t="s">
        <v>41</v>
      </c>
      <c r="E6889" s="50">
        <v>50043471</v>
      </c>
      <c r="F6889" s="50" t="s">
        <v>257</v>
      </c>
      <c r="G6889" s="50">
        <v>1</v>
      </c>
      <c r="H6889" s="50" t="s">
        <v>2</v>
      </c>
      <c r="I6889" s="50" t="s">
        <v>292</v>
      </c>
      <c r="J6889" s="51">
        <v>45876</v>
      </c>
      <c r="K6889" s="50" t="s">
        <v>3</v>
      </c>
      <c r="L6889" s="50" t="s">
        <v>80</v>
      </c>
    </row>
    <row r="6890" spans="2:12">
      <c r="B6890" s="50" t="s">
        <v>54</v>
      </c>
      <c r="C6890" s="61" t="s">
        <v>51</v>
      </c>
      <c r="D6890" s="61" t="s">
        <v>41</v>
      </c>
      <c r="E6890" s="50">
        <v>50043471</v>
      </c>
      <c r="F6890" s="50" t="s">
        <v>257</v>
      </c>
      <c r="G6890" s="50">
        <v>1</v>
      </c>
      <c r="H6890" s="50" t="s">
        <v>2</v>
      </c>
      <c r="I6890" s="50" t="s">
        <v>287</v>
      </c>
      <c r="J6890" s="51">
        <v>45876</v>
      </c>
      <c r="K6890" s="50" t="s">
        <v>1</v>
      </c>
      <c r="L6890" s="50" t="s">
        <v>80</v>
      </c>
    </row>
    <row r="6891" spans="2:12">
      <c r="B6891" s="50" t="s">
        <v>427</v>
      </c>
      <c r="C6891" s="50" t="s">
        <v>26</v>
      </c>
      <c r="D6891" s="61" t="s">
        <v>27</v>
      </c>
      <c r="E6891" s="50">
        <v>50038549</v>
      </c>
      <c r="F6891" s="50" t="s">
        <v>173</v>
      </c>
      <c r="G6891" s="50">
        <v>1</v>
      </c>
      <c r="H6891" s="50" t="s">
        <v>2</v>
      </c>
      <c r="I6891" s="50" t="s">
        <v>287</v>
      </c>
      <c r="J6891" s="51">
        <v>45876</v>
      </c>
      <c r="K6891" s="50" t="s">
        <v>3</v>
      </c>
      <c r="L6891" s="50" t="s">
        <v>80</v>
      </c>
    </row>
    <row r="6892" spans="2:12">
      <c r="B6892" s="50" t="s">
        <v>427</v>
      </c>
      <c r="C6892" s="50" t="s">
        <v>26</v>
      </c>
      <c r="D6892" s="61" t="s">
        <v>27</v>
      </c>
      <c r="E6892" s="50">
        <v>50038549</v>
      </c>
      <c r="F6892" s="50" t="s">
        <v>173</v>
      </c>
      <c r="G6892" s="50">
        <v>1</v>
      </c>
      <c r="H6892" s="50" t="s">
        <v>2</v>
      </c>
      <c r="I6892" s="50" t="s">
        <v>288</v>
      </c>
      <c r="J6892" s="51">
        <v>45876</v>
      </c>
      <c r="K6892" s="50" t="s">
        <v>3</v>
      </c>
      <c r="L6892" s="50" t="s">
        <v>80</v>
      </c>
    </row>
    <row r="6893" spans="2:12">
      <c r="B6893" s="50" t="s">
        <v>427</v>
      </c>
      <c r="C6893" s="50" t="s">
        <v>26</v>
      </c>
      <c r="D6893" s="61" t="s">
        <v>27</v>
      </c>
      <c r="E6893" s="50">
        <v>50037902</v>
      </c>
      <c r="F6893" s="50" t="s">
        <v>179</v>
      </c>
      <c r="G6893" s="50">
        <v>1</v>
      </c>
      <c r="H6893" s="50" t="s">
        <v>2</v>
      </c>
      <c r="I6893" s="50" t="s">
        <v>292</v>
      </c>
      <c r="J6893" s="51">
        <v>45876</v>
      </c>
      <c r="K6893" s="50" t="s">
        <v>1</v>
      </c>
      <c r="L6893" s="50" t="s">
        <v>80</v>
      </c>
    </row>
    <row r="6894" spans="2:12">
      <c r="B6894" s="50" t="s">
        <v>427</v>
      </c>
      <c r="C6894" s="50" t="s">
        <v>26</v>
      </c>
      <c r="D6894" s="61" t="s">
        <v>27</v>
      </c>
      <c r="E6894" s="50">
        <v>50037902</v>
      </c>
      <c r="F6894" s="50" t="s">
        <v>179</v>
      </c>
      <c r="G6894" s="50">
        <v>1</v>
      </c>
      <c r="H6894" s="50" t="s">
        <v>2</v>
      </c>
      <c r="I6894" s="50" t="s">
        <v>292</v>
      </c>
      <c r="J6894" s="51">
        <v>45876</v>
      </c>
      <c r="K6894" s="50" t="s">
        <v>3</v>
      </c>
      <c r="L6894" s="50" t="s">
        <v>80</v>
      </c>
    </row>
    <row r="6895" spans="2:12">
      <c r="B6895" s="50" t="s">
        <v>447</v>
      </c>
      <c r="C6895" s="50" t="s">
        <v>56</v>
      </c>
      <c r="D6895" s="61" t="s">
        <v>41</v>
      </c>
      <c r="E6895" s="50">
        <v>50037902</v>
      </c>
      <c r="F6895" s="50" t="s">
        <v>179</v>
      </c>
      <c r="G6895" s="50">
        <v>1</v>
      </c>
      <c r="H6895" s="50" t="s">
        <v>2</v>
      </c>
      <c r="I6895" s="50" t="s">
        <v>291</v>
      </c>
      <c r="J6895" s="51">
        <v>45876</v>
      </c>
      <c r="K6895" s="50" t="s">
        <v>1</v>
      </c>
      <c r="L6895" s="50" t="s">
        <v>80</v>
      </c>
    </row>
    <row r="6896" spans="2:12">
      <c r="B6896" s="50" t="s">
        <v>447</v>
      </c>
      <c r="C6896" s="50" t="s">
        <v>56</v>
      </c>
      <c r="D6896" s="61" t="s">
        <v>41</v>
      </c>
      <c r="E6896" s="50">
        <v>50037902</v>
      </c>
      <c r="F6896" s="50" t="s">
        <v>179</v>
      </c>
      <c r="G6896" s="50">
        <v>1</v>
      </c>
      <c r="H6896" s="50" t="s">
        <v>2</v>
      </c>
      <c r="I6896" s="50" t="s">
        <v>291</v>
      </c>
      <c r="J6896" s="51">
        <v>45876</v>
      </c>
      <c r="K6896" s="50" t="s">
        <v>3</v>
      </c>
      <c r="L6896" s="50" t="s">
        <v>80</v>
      </c>
    </row>
    <row r="6897" spans="2:12">
      <c r="B6897" s="50" t="s">
        <v>54</v>
      </c>
      <c r="C6897" s="50" t="s">
        <v>51</v>
      </c>
      <c r="D6897" s="61" t="s">
        <v>41</v>
      </c>
      <c r="E6897" s="50">
        <v>50038841</v>
      </c>
      <c r="F6897" s="50" t="s">
        <v>180</v>
      </c>
      <c r="G6897" s="50">
        <v>1</v>
      </c>
      <c r="H6897" s="50" t="s">
        <v>2</v>
      </c>
      <c r="I6897" s="50" t="s">
        <v>292</v>
      </c>
      <c r="J6897" s="51">
        <v>45876</v>
      </c>
      <c r="K6897" s="50" t="s">
        <v>1</v>
      </c>
      <c r="L6897" s="50" t="s">
        <v>80</v>
      </c>
    </row>
    <row r="6898" spans="2:12">
      <c r="B6898" s="50" t="s">
        <v>54</v>
      </c>
      <c r="C6898" s="50" t="s">
        <v>51</v>
      </c>
      <c r="D6898" s="61" t="s">
        <v>41</v>
      </c>
      <c r="E6898" s="50">
        <v>50038841</v>
      </c>
      <c r="F6898" s="50" t="s">
        <v>180</v>
      </c>
      <c r="G6898" s="50">
        <v>1</v>
      </c>
      <c r="H6898" s="50" t="s">
        <v>2</v>
      </c>
      <c r="I6898" s="50" t="s">
        <v>291</v>
      </c>
      <c r="J6898" s="51">
        <v>45876</v>
      </c>
      <c r="K6898" s="50" t="s">
        <v>3</v>
      </c>
      <c r="L6898" s="50" t="s">
        <v>80</v>
      </c>
    </row>
    <row r="6899" spans="2:12">
      <c r="B6899" s="50" t="s">
        <v>25</v>
      </c>
      <c r="C6899" s="50" t="s">
        <v>26</v>
      </c>
      <c r="D6899" s="61" t="s">
        <v>27</v>
      </c>
      <c r="E6899" s="50">
        <v>50038841</v>
      </c>
      <c r="F6899" s="50" t="s">
        <v>180</v>
      </c>
      <c r="G6899" s="50">
        <v>1</v>
      </c>
      <c r="H6899" s="50" t="s">
        <v>2</v>
      </c>
      <c r="I6899" s="50" t="s">
        <v>291</v>
      </c>
      <c r="J6899" s="51">
        <v>45876</v>
      </c>
      <c r="K6899" s="50" t="s">
        <v>3</v>
      </c>
      <c r="L6899" s="50" t="s">
        <v>80</v>
      </c>
    </row>
    <row r="6900" spans="2:12">
      <c r="B6900" s="50" t="s">
        <v>25</v>
      </c>
      <c r="C6900" s="50" t="s">
        <v>26</v>
      </c>
      <c r="D6900" s="61" t="s">
        <v>27</v>
      </c>
      <c r="E6900" s="50">
        <v>50038841</v>
      </c>
      <c r="F6900" s="50" t="s">
        <v>180</v>
      </c>
      <c r="G6900" s="50">
        <v>1</v>
      </c>
      <c r="H6900" s="50" t="s">
        <v>2</v>
      </c>
      <c r="I6900" s="50" t="s">
        <v>288</v>
      </c>
      <c r="J6900" s="51">
        <v>45876</v>
      </c>
      <c r="K6900" s="50" t="s">
        <v>1</v>
      </c>
      <c r="L6900" s="50" t="s">
        <v>80</v>
      </c>
    </row>
    <row r="6901" spans="2:12">
      <c r="B6901" s="50" t="s">
        <v>345</v>
      </c>
      <c r="C6901" s="50" t="s">
        <v>62</v>
      </c>
      <c r="D6901" s="61" t="s">
        <v>27</v>
      </c>
      <c r="E6901" s="50">
        <v>50041195</v>
      </c>
      <c r="F6901" s="50" t="s">
        <v>206</v>
      </c>
      <c r="G6901" s="50">
        <v>1</v>
      </c>
      <c r="H6901" s="50" t="s">
        <v>2</v>
      </c>
      <c r="I6901" s="50" t="s">
        <v>291</v>
      </c>
      <c r="J6901" s="51">
        <v>45876</v>
      </c>
      <c r="K6901" s="50" t="s">
        <v>1</v>
      </c>
      <c r="L6901" s="50" t="s">
        <v>80</v>
      </c>
    </row>
    <row r="6902" spans="2:12">
      <c r="B6902" s="50" t="s">
        <v>402</v>
      </c>
      <c r="C6902" s="50" t="str">
        <f>IFERROR(VLOOKUP(#REF!,'BD COLABORADORES'!A:E,7,FALSE),"")</f>
        <v/>
      </c>
      <c r="D6902" s="61" t="str">
        <f>IFERROR(VLOOKUP(#REF!,'BD COLABORADORES'!A:E,2,FALSE),"")</f>
        <v/>
      </c>
      <c r="E6902" s="50">
        <v>50041195</v>
      </c>
      <c r="F6902" s="50" t="str">
        <f>IFERROR(VLOOKUP(E6902,'BD MOVIMENTAÇÃO'!A:G,3,FALSE),"Não encontrado")</f>
        <v>PARAFUSADEIRA FUR DE IMPACTO BRUSHLESS</v>
      </c>
      <c r="G6902" s="58">
        <v>1</v>
      </c>
      <c r="H6902" s="50" t="s">
        <v>2</v>
      </c>
      <c r="I6902" s="59" t="s">
        <v>309</v>
      </c>
      <c r="J6902" s="63">
        <v>45876</v>
      </c>
      <c r="K6902" s="50" t="s">
        <v>3</v>
      </c>
      <c r="L6902" s="50" t="s">
        <v>80</v>
      </c>
    </row>
    <row r="6903" spans="2:12">
      <c r="B6903" s="50" t="s">
        <v>386</v>
      </c>
      <c r="C6903" s="50" t="s">
        <v>62</v>
      </c>
      <c r="D6903" s="61" t="s">
        <v>27</v>
      </c>
      <c r="E6903" s="50">
        <v>50003295</v>
      </c>
      <c r="F6903" s="50" t="s">
        <v>207</v>
      </c>
      <c r="G6903" s="50">
        <v>1</v>
      </c>
      <c r="H6903" s="50" t="s">
        <v>2</v>
      </c>
      <c r="I6903" s="50" t="s">
        <v>292</v>
      </c>
      <c r="J6903" s="51">
        <v>45876</v>
      </c>
      <c r="K6903" s="50" t="s">
        <v>1</v>
      </c>
      <c r="L6903" s="50" t="s">
        <v>80</v>
      </c>
    </row>
    <row r="6904" spans="2:12">
      <c r="B6904" s="50" t="s">
        <v>386</v>
      </c>
      <c r="C6904" s="50" t="s">
        <v>62</v>
      </c>
      <c r="D6904" s="61" t="s">
        <v>27</v>
      </c>
      <c r="E6904" s="50">
        <v>50003295</v>
      </c>
      <c r="F6904" s="50" t="s">
        <v>207</v>
      </c>
      <c r="G6904" s="50">
        <v>1</v>
      </c>
      <c r="H6904" s="50" t="s">
        <v>2</v>
      </c>
      <c r="I6904" s="50" t="s">
        <v>292</v>
      </c>
      <c r="J6904" s="51">
        <v>45876</v>
      </c>
      <c r="K6904" s="50" t="s">
        <v>1</v>
      </c>
      <c r="L6904" s="50" t="s">
        <v>80</v>
      </c>
    </row>
    <row r="6905" spans="2:12">
      <c r="B6905" s="50" t="s">
        <v>402</v>
      </c>
      <c r="C6905" s="50" t="s">
        <v>56</v>
      </c>
      <c r="D6905" s="61" t="s">
        <v>36</v>
      </c>
      <c r="E6905" s="50">
        <v>50002644</v>
      </c>
      <c r="F6905" s="50" t="s">
        <v>91</v>
      </c>
      <c r="G6905" s="50">
        <v>1</v>
      </c>
      <c r="H6905" s="50" t="s">
        <v>2</v>
      </c>
      <c r="I6905" s="50" t="s">
        <v>293</v>
      </c>
      <c r="J6905" s="51">
        <v>45875</v>
      </c>
      <c r="K6905" s="50" t="s">
        <v>3</v>
      </c>
      <c r="L6905" s="50" t="s">
        <v>80</v>
      </c>
    </row>
    <row r="6906" spans="2:12">
      <c r="B6906" s="50" t="s">
        <v>402</v>
      </c>
      <c r="C6906" s="50" t="s">
        <v>56</v>
      </c>
      <c r="D6906" s="61" t="s">
        <v>36</v>
      </c>
      <c r="E6906" s="50">
        <v>50002644</v>
      </c>
      <c r="F6906" s="50" t="s">
        <v>91</v>
      </c>
      <c r="G6906" s="50">
        <v>1</v>
      </c>
      <c r="H6906" s="50" t="s">
        <v>2</v>
      </c>
      <c r="I6906" s="50" t="s">
        <v>293</v>
      </c>
      <c r="J6906" s="51">
        <v>45875</v>
      </c>
      <c r="K6906" s="50" t="s">
        <v>1</v>
      </c>
      <c r="L6906" s="50" t="s">
        <v>80</v>
      </c>
    </row>
    <row r="6907" spans="2:12">
      <c r="B6907" s="50" t="s">
        <v>404</v>
      </c>
      <c r="C6907" s="50" t="s">
        <v>286</v>
      </c>
      <c r="D6907" s="61" t="s">
        <v>41</v>
      </c>
      <c r="E6907" s="50">
        <v>50036255</v>
      </c>
      <c r="F6907" s="50" t="s">
        <v>120</v>
      </c>
      <c r="G6907" s="50">
        <v>1</v>
      </c>
      <c r="H6907" s="50" t="s">
        <v>2</v>
      </c>
      <c r="I6907" s="50" t="s">
        <v>287</v>
      </c>
      <c r="J6907" s="51">
        <v>45875</v>
      </c>
      <c r="K6907" s="50" t="s">
        <v>3</v>
      </c>
      <c r="L6907" s="50" t="s">
        <v>80</v>
      </c>
    </row>
    <row r="6908" spans="2:12">
      <c r="B6908" s="50" t="s">
        <v>404</v>
      </c>
      <c r="C6908" s="50" t="s">
        <v>286</v>
      </c>
      <c r="D6908" s="61" t="s">
        <v>41</v>
      </c>
      <c r="E6908" s="50">
        <v>50036255</v>
      </c>
      <c r="F6908" s="50" t="s">
        <v>120</v>
      </c>
      <c r="G6908" s="50">
        <v>1</v>
      </c>
      <c r="H6908" s="50" t="s">
        <v>2</v>
      </c>
      <c r="I6908" s="50" t="s">
        <v>287</v>
      </c>
      <c r="J6908" s="51">
        <v>45875</v>
      </c>
      <c r="K6908" s="50" t="s">
        <v>1</v>
      </c>
      <c r="L6908" s="50" t="s">
        <v>80</v>
      </c>
    </row>
    <row r="6909" spans="2:12">
      <c r="B6909" s="50" t="s">
        <v>428</v>
      </c>
      <c r="C6909" s="50" t="s">
        <v>26</v>
      </c>
      <c r="D6909" s="61" t="s">
        <v>27</v>
      </c>
      <c r="E6909" s="50">
        <v>50043520</v>
      </c>
      <c r="F6909" s="50" t="s">
        <v>266</v>
      </c>
      <c r="G6909" s="50">
        <v>1</v>
      </c>
      <c r="H6909" s="50" t="s">
        <v>2</v>
      </c>
      <c r="I6909" s="50" t="s">
        <v>289</v>
      </c>
      <c r="J6909" s="51">
        <v>45875</v>
      </c>
      <c r="K6909" s="50" t="s">
        <v>3</v>
      </c>
      <c r="L6909" s="50" t="s">
        <v>80</v>
      </c>
    </row>
    <row r="6910" spans="2:12">
      <c r="B6910" s="50" t="s">
        <v>428</v>
      </c>
      <c r="C6910" s="50" t="s">
        <v>26</v>
      </c>
      <c r="D6910" s="61" t="s">
        <v>27</v>
      </c>
      <c r="E6910" s="50">
        <v>50043520</v>
      </c>
      <c r="F6910" s="50" t="s">
        <v>266</v>
      </c>
      <c r="G6910" s="50">
        <v>1</v>
      </c>
      <c r="H6910" s="50" t="s">
        <v>2</v>
      </c>
      <c r="I6910" s="50" t="s">
        <v>289</v>
      </c>
      <c r="J6910" s="51">
        <v>45875</v>
      </c>
      <c r="K6910" s="50" t="s">
        <v>1</v>
      </c>
      <c r="L6910" s="50" t="s">
        <v>80</v>
      </c>
    </row>
    <row r="6911" spans="2:12">
      <c r="B6911" s="50" t="s">
        <v>478</v>
      </c>
      <c r="C6911" s="50" t="s">
        <v>51</v>
      </c>
      <c r="D6911" s="61" t="s">
        <v>27</v>
      </c>
      <c r="E6911" s="50">
        <v>50043520</v>
      </c>
      <c r="F6911" s="50" t="s">
        <v>266</v>
      </c>
      <c r="G6911" s="50">
        <v>1</v>
      </c>
      <c r="H6911" s="50" t="s">
        <v>2</v>
      </c>
      <c r="I6911" s="50" t="s">
        <v>293</v>
      </c>
      <c r="J6911" s="51">
        <v>45875</v>
      </c>
      <c r="K6911" s="50" t="s">
        <v>3</v>
      </c>
      <c r="L6911" s="50" t="s">
        <v>80</v>
      </c>
    </row>
    <row r="6912" spans="2:12">
      <c r="B6912" s="50" t="s">
        <v>478</v>
      </c>
      <c r="C6912" s="50" t="s">
        <v>51</v>
      </c>
      <c r="D6912" s="61" t="s">
        <v>27</v>
      </c>
      <c r="E6912" s="50">
        <v>50043520</v>
      </c>
      <c r="F6912" s="50" t="s">
        <v>266</v>
      </c>
      <c r="G6912" s="50">
        <v>1</v>
      </c>
      <c r="H6912" s="50" t="s">
        <v>2</v>
      </c>
      <c r="I6912" s="50" t="s">
        <v>287</v>
      </c>
      <c r="J6912" s="51">
        <v>45875</v>
      </c>
      <c r="K6912" s="50" t="s">
        <v>1</v>
      </c>
      <c r="L6912" s="50" t="s">
        <v>80</v>
      </c>
    </row>
    <row r="6913" spans="2:12">
      <c r="B6913" s="50" t="e">
        <v>#N/A</v>
      </c>
      <c r="C6913" s="50" t="s">
        <v>26</v>
      </c>
      <c r="D6913" s="61" t="s">
        <v>27</v>
      </c>
      <c r="E6913" s="50">
        <v>50037905</v>
      </c>
      <c r="F6913" s="50" t="s">
        <v>150</v>
      </c>
      <c r="G6913" s="50">
        <v>1</v>
      </c>
      <c r="H6913" s="50" t="s">
        <v>2</v>
      </c>
      <c r="I6913" s="50" t="s">
        <v>287</v>
      </c>
      <c r="J6913" s="51">
        <v>45875</v>
      </c>
      <c r="K6913" s="50" t="s">
        <v>3</v>
      </c>
      <c r="L6913" s="50" t="s">
        <v>80</v>
      </c>
    </row>
    <row r="6914" spans="2:12">
      <c r="B6914" s="50" t="e">
        <v>#N/A</v>
      </c>
      <c r="C6914" s="50" t="s">
        <v>26</v>
      </c>
      <c r="D6914" s="61" t="s">
        <v>27</v>
      </c>
      <c r="E6914" s="50">
        <v>50037905</v>
      </c>
      <c r="F6914" s="50" t="s">
        <v>150</v>
      </c>
      <c r="G6914" s="50">
        <v>1</v>
      </c>
      <c r="H6914" s="50" t="s">
        <v>2</v>
      </c>
      <c r="I6914" s="50" t="s">
        <v>287</v>
      </c>
      <c r="J6914" s="51">
        <v>45875</v>
      </c>
      <c r="K6914" s="50" t="s">
        <v>1</v>
      </c>
      <c r="L6914" s="50" t="s">
        <v>80</v>
      </c>
    </row>
    <row r="6915" spans="2:12">
      <c r="B6915" s="50" t="s">
        <v>270</v>
      </c>
      <c r="C6915" s="61" t="s">
        <v>51</v>
      </c>
      <c r="D6915" s="50" t="s">
        <v>41</v>
      </c>
      <c r="E6915" s="50">
        <v>50030074</v>
      </c>
      <c r="F6915" s="50" t="s">
        <v>156</v>
      </c>
      <c r="G6915" s="50">
        <v>1</v>
      </c>
      <c r="H6915" s="50" t="s">
        <v>2</v>
      </c>
      <c r="I6915" s="50" t="s">
        <v>293</v>
      </c>
      <c r="J6915" s="51">
        <v>45875</v>
      </c>
      <c r="K6915" s="50" t="s">
        <v>3</v>
      </c>
      <c r="L6915" s="50" t="s">
        <v>80</v>
      </c>
    </row>
    <row r="6916" spans="2:12">
      <c r="B6916" s="50" t="s">
        <v>270</v>
      </c>
      <c r="C6916" s="61" t="s">
        <v>51</v>
      </c>
      <c r="D6916" s="50" t="s">
        <v>41</v>
      </c>
      <c r="E6916" s="50">
        <v>50030074</v>
      </c>
      <c r="F6916" s="50" t="s">
        <v>156</v>
      </c>
      <c r="G6916" s="50">
        <v>1</v>
      </c>
      <c r="H6916" s="50" t="s">
        <v>2</v>
      </c>
      <c r="I6916" s="50" t="s">
        <v>293</v>
      </c>
      <c r="J6916" s="51">
        <v>45875</v>
      </c>
      <c r="K6916" s="50" t="s">
        <v>1</v>
      </c>
      <c r="L6916" s="50" t="s">
        <v>80</v>
      </c>
    </row>
    <row r="6917" spans="2:12">
      <c r="B6917" s="50" t="s">
        <v>437</v>
      </c>
      <c r="C6917" s="61" t="s">
        <v>51</v>
      </c>
      <c r="D6917" s="61" t="s">
        <v>41</v>
      </c>
      <c r="E6917" s="50">
        <v>50043471</v>
      </c>
      <c r="F6917" s="50" t="s">
        <v>257</v>
      </c>
      <c r="G6917" s="50">
        <v>1</v>
      </c>
      <c r="H6917" s="50" t="s">
        <v>2</v>
      </c>
      <c r="I6917" s="50" t="s">
        <v>293</v>
      </c>
      <c r="J6917" s="51">
        <v>45875</v>
      </c>
      <c r="K6917" s="50" t="s">
        <v>3</v>
      </c>
      <c r="L6917" s="50" t="s">
        <v>80</v>
      </c>
    </row>
    <row r="6918" spans="2:12">
      <c r="B6918" s="50" t="s">
        <v>437</v>
      </c>
      <c r="C6918" s="61" t="s">
        <v>51</v>
      </c>
      <c r="D6918" s="61" t="s">
        <v>41</v>
      </c>
      <c r="E6918" s="50">
        <v>50043471</v>
      </c>
      <c r="F6918" s="50" t="s">
        <v>257</v>
      </c>
      <c r="G6918" s="50">
        <v>1</v>
      </c>
      <c r="H6918" s="50" t="s">
        <v>2</v>
      </c>
      <c r="I6918" s="50" t="s">
        <v>293</v>
      </c>
      <c r="J6918" s="51">
        <v>45875</v>
      </c>
      <c r="K6918" s="50" t="s">
        <v>1</v>
      </c>
      <c r="L6918" s="50" t="s">
        <v>80</v>
      </c>
    </row>
    <row r="6919" spans="2:12">
      <c r="B6919" s="50" t="s">
        <v>437</v>
      </c>
      <c r="C6919" s="61" t="s">
        <v>51</v>
      </c>
      <c r="D6919" s="61" t="s">
        <v>41</v>
      </c>
      <c r="E6919" s="50">
        <v>50043471</v>
      </c>
      <c r="F6919" s="50" t="s">
        <v>257</v>
      </c>
      <c r="G6919" s="50">
        <v>1</v>
      </c>
      <c r="H6919" s="50" t="s">
        <v>2</v>
      </c>
      <c r="I6919" s="50" t="s">
        <v>293</v>
      </c>
      <c r="J6919" s="51">
        <v>45875</v>
      </c>
      <c r="K6919" s="50" t="s">
        <v>3</v>
      </c>
      <c r="L6919" s="50" t="s">
        <v>80</v>
      </c>
    </row>
    <row r="6920" spans="2:12">
      <c r="B6920" s="50" t="s">
        <v>437</v>
      </c>
      <c r="C6920" s="61" t="s">
        <v>51</v>
      </c>
      <c r="D6920" s="61" t="s">
        <v>41</v>
      </c>
      <c r="E6920" s="50">
        <v>50043471</v>
      </c>
      <c r="F6920" s="50" t="s">
        <v>257</v>
      </c>
      <c r="G6920" s="50">
        <v>1</v>
      </c>
      <c r="H6920" s="50" t="s">
        <v>2</v>
      </c>
      <c r="I6920" s="50" t="s">
        <v>291</v>
      </c>
      <c r="J6920" s="51">
        <v>45875</v>
      </c>
      <c r="K6920" s="50" t="s">
        <v>1</v>
      </c>
      <c r="L6920" s="50" t="s">
        <v>80</v>
      </c>
    </row>
    <row r="6921" spans="2:12">
      <c r="B6921" s="50" t="s">
        <v>458</v>
      </c>
      <c r="C6921" s="50" t="s">
        <v>26</v>
      </c>
      <c r="D6921" s="61" t="s">
        <v>27</v>
      </c>
      <c r="E6921" s="50">
        <v>50003296</v>
      </c>
      <c r="F6921" s="50" t="s">
        <v>157</v>
      </c>
      <c r="G6921" s="50">
        <v>1</v>
      </c>
      <c r="H6921" s="50" t="s">
        <v>2</v>
      </c>
      <c r="I6921" s="50" t="s">
        <v>289</v>
      </c>
      <c r="J6921" s="51">
        <v>45875</v>
      </c>
      <c r="K6921" s="50" t="s">
        <v>3</v>
      </c>
      <c r="L6921" s="50" t="s">
        <v>80</v>
      </c>
    </row>
    <row r="6922" spans="2:12">
      <c r="B6922" s="50" t="s">
        <v>458</v>
      </c>
      <c r="C6922" s="50" t="s">
        <v>26</v>
      </c>
      <c r="D6922" s="61" t="s">
        <v>27</v>
      </c>
      <c r="E6922" s="50">
        <v>50003296</v>
      </c>
      <c r="F6922" s="50" t="s">
        <v>157</v>
      </c>
      <c r="G6922" s="50">
        <v>1</v>
      </c>
      <c r="H6922" s="50" t="s">
        <v>2</v>
      </c>
      <c r="I6922" s="50" t="s">
        <v>291</v>
      </c>
      <c r="J6922" s="51">
        <v>45875</v>
      </c>
      <c r="K6922" s="50" t="s">
        <v>1</v>
      </c>
      <c r="L6922" s="50" t="s">
        <v>80</v>
      </c>
    </row>
    <row r="6923" spans="2:12">
      <c r="B6923" s="50" t="s">
        <v>386</v>
      </c>
      <c r="C6923" s="50" t="s">
        <v>62</v>
      </c>
      <c r="D6923" s="61" t="s">
        <v>27</v>
      </c>
      <c r="E6923" s="50">
        <v>50029865</v>
      </c>
      <c r="F6923" s="50" t="s">
        <v>162</v>
      </c>
      <c r="G6923" s="50">
        <v>1</v>
      </c>
      <c r="H6923" s="50" t="s">
        <v>2</v>
      </c>
      <c r="I6923" s="50" t="s">
        <v>293</v>
      </c>
      <c r="J6923" s="51">
        <v>45875</v>
      </c>
      <c r="K6923" s="50" t="s">
        <v>3</v>
      </c>
      <c r="L6923" s="50" t="s">
        <v>80</v>
      </c>
    </row>
    <row r="6924" spans="2:12">
      <c r="B6924" s="50" t="s">
        <v>386</v>
      </c>
      <c r="C6924" s="50" t="s">
        <v>62</v>
      </c>
      <c r="D6924" s="61" t="s">
        <v>27</v>
      </c>
      <c r="E6924" s="50">
        <v>50029865</v>
      </c>
      <c r="F6924" s="50" t="s">
        <v>162</v>
      </c>
      <c r="G6924" s="50">
        <v>1</v>
      </c>
      <c r="H6924" s="50" t="s">
        <v>2</v>
      </c>
      <c r="I6924" s="50" t="s">
        <v>293</v>
      </c>
      <c r="J6924" s="51">
        <v>45875</v>
      </c>
      <c r="K6924" s="50" t="s">
        <v>1</v>
      </c>
      <c r="L6924" s="50" t="s">
        <v>80</v>
      </c>
    </row>
    <row r="6925" spans="2:12">
      <c r="B6925" s="50" t="s">
        <v>447</v>
      </c>
      <c r="C6925" s="61" t="s">
        <v>56</v>
      </c>
      <c r="D6925" s="50" t="s">
        <v>41</v>
      </c>
      <c r="E6925" s="50">
        <v>50038549</v>
      </c>
      <c r="F6925" s="50" t="s">
        <v>173</v>
      </c>
      <c r="G6925" s="50">
        <v>1</v>
      </c>
      <c r="H6925" s="50" t="s">
        <v>2</v>
      </c>
      <c r="I6925" s="50" t="s">
        <v>289</v>
      </c>
      <c r="J6925" s="51">
        <v>45875</v>
      </c>
      <c r="K6925" s="50" t="s">
        <v>3</v>
      </c>
      <c r="L6925" s="50" t="s">
        <v>80</v>
      </c>
    </row>
    <row r="6926" spans="2:12">
      <c r="B6926" s="50" t="s">
        <v>447</v>
      </c>
      <c r="C6926" s="61" t="s">
        <v>56</v>
      </c>
      <c r="D6926" s="50" t="s">
        <v>41</v>
      </c>
      <c r="E6926" s="50">
        <v>50038549</v>
      </c>
      <c r="F6926" s="50" t="s">
        <v>173</v>
      </c>
      <c r="G6926" s="50">
        <v>1</v>
      </c>
      <c r="H6926" s="50" t="s">
        <v>2</v>
      </c>
      <c r="I6926" s="50" t="s">
        <v>291</v>
      </c>
      <c r="J6926" s="51">
        <v>45875</v>
      </c>
      <c r="K6926" s="50" t="s">
        <v>3</v>
      </c>
      <c r="L6926" s="50" t="s">
        <v>80</v>
      </c>
    </row>
    <row r="6927" spans="2:12">
      <c r="B6927" s="50" t="s">
        <v>483</v>
      </c>
      <c r="C6927" s="61" t="s">
        <v>62</v>
      </c>
      <c r="D6927" s="61" t="s">
        <v>27</v>
      </c>
      <c r="E6927" s="50">
        <v>50037902</v>
      </c>
      <c r="F6927" s="50" t="s">
        <v>179</v>
      </c>
      <c r="G6927" s="50">
        <v>1</v>
      </c>
      <c r="H6927" s="50" t="s">
        <v>2</v>
      </c>
      <c r="I6927" s="50" t="s">
        <v>293</v>
      </c>
      <c r="J6927" s="51">
        <v>45875</v>
      </c>
      <c r="K6927" s="50" t="s">
        <v>1</v>
      </c>
      <c r="L6927" s="50" t="s">
        <v>80</v>
      </c>
    </row>
    <row r="6928" spans="2:12">
      <c r="B6928" s="50" t="s">
        <v>483</v>
      </c>
      <c r="C6928" s="61" t="s">
        <v>62</v>
      </c>
      <c r="D6928" s="61" t="s">
        <v>27</v>
      </c>
      <c r="E6928" s="50">
        <v>50037902</v>
      </c>
      <c r="F6928" s="50" t="s">
        <v>179</v>
      </c>
      <c r="G6928" s="50">
        <v>1</v>
      </c>
      <c r="H6928" s="50" t="s">
        <v>2</v>
      </c>
      <c r="I6928" s="50" t="s">
        <v>291</v>
      </c>
      <c r="J6928" s="51">
        <v>45875</v>
      </c>
      <c r="K6928" s="50" t="s">
        <v>3</v>
      </c>
      <c r="L6928" s="50" t="s">
        <v>80</v>
      </c>
    </row>
    <row r="6929" spans="2:12">
      <c r="B6929" s="50" t="s">
        <v>471</v>
      </c>
      <c r="C6929" s="61" t="s">
        <v>26</v>
      </c>
      <c r="D6929" s="61" t="s">
        <v>27</v>
      </c>
      <c r="E6929" s="50">
        <v>50038841</v>
      </c>
      <c r="F6929" s="50" t="s">
        <v>180</v>
      </c>
      <c r="G6929" s="50">
        <v>1</v>
      </c>
      <c r="H6929" s="50" t="s">
        <v>2</v>
      </c>
      <c r="I6929" s="50" t="s">
        <v>293</v>
      </c>
      <c r="J6929" s="51">
        <v>45875</v>
      </c>
      <c r="K6929" s="50" t="s">
        <v>1</v>
      </c>
      <c r="L6929" s="50" t="s">
        <v>80</v>
      </c>
    </row>
    <row r="6930" spans="2:12">
      <c r="B6930" s="50" t="s">
        <v>471</v>
      </c>
      <c r="C6930" s="61" t="s">
        <v>26</v>
      </c>
      <c r="D6930" s="61" t="s">
        <v>27</v>
      </c>
      <c r="E6930" s="50">
        <v>50038841</v>
      </c>
      <c r="F6930" s="50" t="s">
        <v>180</v>
      </c>
      <c r="G6930" s="50">
        <v>1</v>
      </c>
      <c r="H6930" s="50" t="s">
        <v>2</v>
      </c>
      <c r="I6930" s="50" t="s">
        <v>291</v>
      </c>
      <c r="J6930" s="51">
        <v>45875</v>
      </c>
      <c r="K6930" s="50" t="s">
        <v>3</v>
      </c>
      <c r="L6930" s="50" t="s">
        <v>80</v>
      </c>
    </row>
    <row r="6931" spans="2:12">
      <c r="B6931" s="50" t="s">
        <v>270</v>
      </c>
      <c r="C6931" s="61" t="s">
        <v>51</v>
      </c>
      <c r="D6931" s="61" t="s">
        <v>41</v>
      </c>
      <c r="E6931" s="50">
        <v>50038517</v>
      </c>
      <c r="F6931" s="50" t="s">
        <v>181</v>
      </c>
      <c r="G6931" s="50">
        <v>1</v>
      </c>
      <c r="H6931" s="50" t="s">
        <v>2</v>
      </c>
      <c r="I6931" s="50" t="s">
        <v>289</v>
      </c>
      <c r="J6931" s="51">
        <v>45875</v>
      </c>
      <c r="K6931" s="50" t="s">
        <v>1</v>
      </c>
      <c r="L6931" s="50" t="s">
        <v>80</v>
      </c>
    </row>
    <row r="6932" spans="2:12">
      <c r="B6932" s="50" t="s">
        <v>270</v>
      </c>
      <c r="C6932" s="61" t="s">
        <v>51</v>
      </c>
      <c r="D6932" s="61" t="s">
        <v>41</v>
      </c>
      <c r="E6932" s="50">
        <v>50038517</v>
      </c>
      <c r="F6932" s="50" t="s">
        <v>181</v>
      </c>
      <c r="G6932" s="50">
        <v>1</v>
      </c>
      <c r="H6932" s="50" t="s">
        <v>2</v>
      </c>
      <c r="I6932" s="50" t="s">
        <v>287</v>
      </c>
      <c r="J6932" s="51">
        <v>45875</v>
      </c>
      <c r="K6932" s="50" t="s">
        <v>1</v>
      </c>
      <c r="L6932" s="50" t="s">
        <v>80</v>
      </c>
    </row>
    <row r="6933" spans="2:12">
      <c r="B6933" s="50" t="s">
        <v>483</v>
      </c>
      <c r="C6933" s="61" t="s">
        <v>62</v>
      </c>
      <c r="D6933" s="61" t="s">
        <v>27</v>
      </c>
      <c r="E6933" s="50">
        <v>50001995</v>
      </c>
      <c r="F6933" s="50" t="s">
        <v>185</v>
      </c>
      <c r="G6933" s="50">
        <v>1</v>
      </c>
      <c r="H6933" s="50" t="s">
        <v>2</v>
      </c>
      <c r="I6933" s="50" t="s">
        <v>293</v>
      </c>
      <c r="J6933" s="51">
        <v>45875</v>
      </c>
      <c r="K6933" s="50" t="s">
        <v>3</v>
      </c>
      <c r="L6933" s="50" t="s">
        <v>80</v>
      </c>
    </row>
    <row r="6934" spans="2:12">
      <c r="B6934" s="50" t="s">
        <v>483</v>
      </c>
      <c r="C6934" s="61" t="s">
        <v>62</v>
      </c>
      <c r="D6934" s="61" t="s">
        <v>27</v>
      </c>
      <c r="E6934" s="50">
        <v>50001995</v>
      </c>
      <c r="F6934" s="50" t="s">
        <v>185</v>
      </c>
      <c r="G6934" s="50">
        <v>1</v>
      </c>
      <c r="H6934" s="50" t="s">
        <v>2</v>
      </c>
      <c r="I6934" s="50" t="s">
        <v>291</v>
      </c>
      <c r="J6934" s="51">
        <v>45875</v>
      </c>
      <c r="K6934" s="50" t="s">
        <v>1</v>
      </c>
      <c r="L6934" s="50" t="s">
        <v>80</v>
      </c>
    </row>
    <row r="6935" spans="2:12">
      <c r="B6935" s="50" t="s">
        <v>474</v>
      </c>
      <c r="C6935" s="61" t="s">
        <v>51</v>
      </c>
      <c r="D6935" s="61" t="s">
        <v>27</v>
      </c>
      <c r="E6935" s="50">
        <v>50038626</v>
      </c>
      <c r="F6935" s="50" t="s">
        <v>190</v>
      </c>
      <c r="G6935" s="50">
        <v>1</v>
      </c>
      <c r="H6935" s="50" t="s">
        <v>2</v>
      </c>
      <c r="I6935" s="50" t="s">
        <v>289</v>
      </c>
      <c r="J6935" s="51">
        <v>45875</v>
      </c>
      <c r="K6935" s="50" t="s">
        <v>3</v>
      </c>
      <c r="L6935" s="50" t="s">
        <v>80</v>
      </c>
    </row>
    <row r="6936" spans="2:12">
      <c r="B6936" s="50" t="s">
        <v>474</v>
      </c>
      <c r="C6936" s="61" t="s">
        <v>51</v>
      </c>
      <c r="D6936" s="61" t="s">
        <v>27</v>
      </c>
      <c r="E6936" s="50">
        <v>50038626</v>
      </c>
      <c r="F6936" s="50" t="s">
        <v>190</v>
      </c>
      <c r="G6936" s="50">
        <v>1</v>
      </c>
      <c r="H6936" s="50" t="s">
        <v>2</v>
      </c>
      <c r="I6936" s="50" t="s">
        <v>287</v>
      </c>
      <c r="J6936" s="51">
        <v>45875</v>
      </c>
      <c r="K6936" s="50" t="s">
        <v>1</v>
      </c>
      <c r="L6936" s="50" t="s">
        <v>80</v>
      </c>
    </row>
    <row r="6937" spans="2:12">
      <c r="B6937" s="50" t="s">
        <v>483</v>
      </c>
      <c r="C6937" s="61" t="s">
        <v>62</v>
      </c>
      <c r="D6937" s="61" t="s">
        <v>27</v>
      </c>
      <c r="E6937" s="50">
        <v>50026357</v>
      </c>
      <c r="F6937" s="50" t="s">
        <v>192</v>
      </c>
      <c r="G6937" s="50">
        <v>1</v>
      </c>
      <c r="H6937" s="50" t="s">
        <v>2</v>
      </c>
      <c r="I6937" s="50" t="s">
        <v>293</v>
      </c>
      <c r="J6937" s="51">
        <v>45875</v>
      </c>
      <c r="K6937" s="50" t="s">
        <v>3</v>
      </c>
      <c r="L6937" s="50" t="s">
        <v>80</v>
      </c>
    </row>
    <row r="6938" spans="2:12">
      <c r="B6938" s="50" t="s">
        <v>483</v>
      </c>
      <c r="C6938" s="61" t="s">
        <v>62</v>
      </c>
      <c r="D6938" s="61" t="s">
        <v>27</v>
      </c>
      <c r="E6938" s="50">
        <v>50026357</v>
      </c>
      <c r="F6938" s="50" t="s">
        <v>192</v>
      </c>
      <c r="G6938" s="50">
        <v>1</v>
      </c>
      <c r="H6938" s="50" t="s">
        <v>2</v>
      </c>
      <c r="I6938" s="50" t="s">
        <v>293</v>
      </c>
      <c r="J6938" s="51">
        <v>45875</v>
      </c>
      <c r="K6938" s="50" t="s">
        <v>3</v>
      </c>
      <c r="L6938" s="50" t="s">
        <v>80</v>
      </c>
    </row>
    <row r="6939" spans="2:12">
      <c r="B6939" s="50" t="s">
        <v>345</v>
      </c>
      <c r="C6939" s="61" t="s">
        <v>62</v>
      </c>
      <c r="D6939" s="61" t="s">
        <v>27</v>
      </c>
      <c r="E6939" s="50">
        <v>50041195</v>
      </c>
      <c r="F6939" s="50" t="s">
        <v>206</v>
      </c>
      <c r="G6939" s="50">
        <v>1</v>
      </c>
      <c r="H6939" s="50" t="s">
        <v>2</v>
      </c>
      <c r="I6939" s="50" t="s">
        <v>289</v>
      </c>
      <c r="J6939" s="51">
        <v>45875</v>
      </c>
      <c r="K6939" s="50" t="s">
        <v>1</v>
      </c>
      <c r="L6939" s="50" t="s">
        <v>80</v>
      </c>
    </row>
    <row r="6940" spans="2:12">
      <c r="B6940" s="50" t="s">
        <v>345</v>
      </c>
      <c r="C6940" s="61" t="s">
        <v>62</v>
      </c>
      <c r="D6940" s="61" t="s">
        <v>27</v>
      </c>
      <c r="E6940" s="50">
        <v>50041195</v>
      </c>
      <c r="F6940" s="50" t="s">
        <v>206</v>
      </c>
      <c r="G6940" s="50">
        <v>1</v>
      </c>
      <c r="H6940" s="50" t="s">
        <v>2</v>
      </c>
      <c r="I6940" s="50" t="s">
        <v>291</v>
      </c>
      <c r="J6940" s="51">
        <v>45875</v>
      </c>
      <c r="K6940" s="50" t="s">
        <v>3</v>
      </c>
      <c r="L6940" s="50" t="s">
        <v>80</v>
      </c>
    </row>
    <row r="6941" spans="2:12">
      <c r="B6941" s="50" t="s">
        <v>386</v>
      </c>
      <c r="C6941" s="61" t="s">
        <v>62</v>
      </c>
      <c r="D6941" s="61" t="s">
        <v>27</v>
      </c>
      <c r="E6941" s="50">
        <v>50043917</v>
      </c>
      <c r="F6941" s="50" t="s">
        <v>262</v>
      </c>
      <c r="G6941" s="50">
        <v>1</v>
      </c>
      <c r="H6941" s="50" t="s">
        <v>2</v>
      </c>
      <c r="I6941" s="50" t="s">
        <v>293</v>
      </c>
      <c r="J6941" s="51">
        <v>45875</v>
      </c>
      <c r="K6941" s="50" t="s">
        <v>1</v>
      </c>
      <c r="L6941" s="50" t="s">
        <v>80</v>
      </c>
    </row>
    <row r="6942" spans="2:12">
      <c r="B6942" s="50" t="s">
        <v>386</v>
      </c>
      <c r="C6942" s="61" t="s">
        <v>62</v>
      </c>
      <c r="D6942" s="61" t="s">
        <v>27</v>
      </c>
      <c r="E6942" s="50">
        <v>50043917</v>
      </c>
      <c r="F6942" s="50" t="s">
        <v>262</v>
      </c>
      <c r="G6942" s="50">
        <v>1</v>
      </c>
      <c r="H6942" s="50" t="s">
        <v>2</v>
      </c>
      <c r="I6942" s="50" t="s">
        <v>293</v>
      </c>
      <c r="J6942" s="51">
        <v>45875</v>
      </c>
      <c r="K6942" s="50" t="s">
        <v>1</v>
      </c>
      <c r="L6942" s="50" t="s">
        <v>80</v>
      </c>
    </row>
    <row r="6943" spans="2:12">
      <c r="B6943" s="50" t="s">
        <v>316</v>
      </c>
      <c r="C6943" s="61" t="s">
        <v>51</v>
      </c>
      <c r="D6943" s="50" t="s">
        <v>27</v>
      </c>
      <c r="E6943" s="50">
        <v>50012903</v>
      </c>
      <c r="F6943" s="50" t="s">
        <v>308</v>
      </c>
      <c r="G6943" s="50">
        <v>1</v>
      </c>
      <c r="H6943" s="50" t="s">
        <v>2</v>
      </c>
      <c r="I6943" s="50" t="s">
        <v>287</v>
      </c>
      <c r="J6943" s="51">
        <v>45875</v>
      </c>
      <c r="K6943" s="50" t="s">
        <v>3</v>
      </c>
      <c r="L6943" s="50" t="s">
        <v>80</v>
      </c>
    </row>
    <row r="6944" spans="2:12">
      <c r="B6944" s="50" t="s">
        <v>316</v>
      </c>
      <c r="C6944" s="61" t="s">
        <v>51</v>
      </c>
      <c r="D6944" s="50" t="s">
        <v>27</v>
      </c>
      <c r="E6944" s="50">
        <v>50012903</v>
      </c>
      <c r="F6944" s="50" t="s">
        <v>308</v>
      </c>
      <c r="G6944" s="50">
        <v>1</v>
      </c>
      <c r="H6944" s="50" t="s">
        <v>2</v>
      </c>
      <c r="I6944" s="50" t="s">
        <v>287</v>
      </c>
      <c r="J6944" s="51">
        <v>45875</v>
      </c>
      <c r="K6944" s="50" t="s">
        <v>1</v>
      </c>
      <c r="L6944" s="50" t="s">
        <v>80</v>
      </c>
    </row>
    <row r="6945" spans="2:12">
      <c r="B6945" s="50" t="s">
        <v>25</v>
      </c>
      <c r="C6945" s="61" t="s">
        <v>26</v>
      </c>
      <c r="D6945" s="50" t="s">
        <v>27</v>
      </c>
      <c r="E6945" s="50">
        <v>50038845</v>
      </c>
      <c r="F6945" s="50" t="s">
        <v>234</v>
      </c>
      <c r="G6945" s="50">
        <v>1</v>
      </c>
      <c r="H6945" s="50" t="s">
        <v>2</v>
      </c>
      <c r="I6945" s="50" t="s">
        <v>293</v>
      </c>
      <c r="J6945" s="51">
        <v>45875</v>
      </c>
      <c r="K6945" s="50" t="s">
        <v>3</v>
      </c>
      <c r="L6945" s="50" t="s">
        <v>80</v>
      </c>
    </row>
    <row r="6946" spans="2:12">
      <c r="B6946" s="50" t="s">
        <v>25</v>
      </c>
      <c r="C6946" s="61" t="s">
        <v>26</v>
      </c>
      <c r="D6946" s="50" t="s">
        <v>27</v>
      </c>
      <c r="E6946" s="50">
        <v>50038845</v>
      </c>
      <c r="F6946" s="50" t="s">
        <v>234</v>
      </c>
      <c r="G6946" s="50">
        <v>1</v>
      </c>
      <c r="H6946" s="50" t="s">
        <v>2</v>
      </c>
      <c r="I6946" s="50" t="s">
        <v>293</v>
      </c>
      <c r="J6946" s="51">
        <v>45875</v>
      </c>
      <c r="K6946" s="50" t="s">
        <v>1</v>
      </c>
      <c r="L6946" s="50" t="s">
        <v>80</v>
      </c>
    </row>
    <row r="6947" spans="2:12">
      <c r="B6947" s="50" t="s">
        <v>437</v>
      </c>
      <c r="C6947" s="61" t="s">
        <v>51</v>
      </c>
      <c r="D6947" s="61" t="s">
        <v>41</v>
      </c>
      <c r="E6947" s="50">
        <v>50032781</v>
      </c>
      <c r="F6947" s="50" t="s">
        <v>237</v>
      </c>
      <c r="G6947" s="50">
        <v>1</v>
      </c>
      <c r="H6947" s="50" t="s">
        <v>2</v>
      </c>
      <c r="I6947" s="50" t="s">
        <v>293</v>
      </c>
      <c r="J6947" s="51">
        <v>45875</v>
      </c>
      <c r="K6947" s="50" t="s">
        <v>3</v>
      </c>
      <c r="L6947" s="50" t="s">
        <v>80</v>
      </c>
    </row>
    <row r="6948" spans="2:12">
      <c r="B6948" s="50" t="s">
        <v>437</v>
      </c>
      <c r="C6948" s="61" t="s">
        <v>51</v>
      </c>
      <c r="D6948" s="61" t="s">
        <v>41</v>
      </c>
      <c r="E6948" s="50">
        <v>50032781</v>
      </c>
      <c r="F6948" s="50" t="s">
        <v>237</v>
      </c>
      <c r="G6948" s="50">
        <v>1</v>
      </c>
      <c r="H6948" s="50" t="s">
        <v>2</v>
      </c>
      <c r="I6948" s="50" t="s">
        <v>293</v>
      </c>
      <c r="J6948" s="51">
        <v>45875</v>
      </c>
      <c r="K6948" s="50" t="s">
        <v>1</v>
      </c>
      <c r="L6948" s="50" t="s">
        <v>80</v>
      </c>
    </row>
    <row r="6949" spans="2:12">
      <c r="B6949" s="50" t="s">
        <v>469</v>
      </c>
      <c r="C6949" s="61" t="s">
        <v>26</v>
      </c>
      <c r="D6949" s="61" t="s">
        <v>39</v>
      </c>
      <c r="E6949" s="50">
        <v>50037900</v>
      </c>
      <c r="F6949" s="50" t="s">
        <v>240</v>
      </c>
      <c r="G6949" s="50">
        <v>1</v>
      </c>
      <c r="H6949" s="50" t="s">
        <v>2</v>
      </c>
      <c r="I6949" s="50" t="s">
        <v>289</v>
      </c>
      <c r="J6949" s="51">
        <v>45875</v>
      </c>
      <c r="K6949" s="50" t="s">
        <v>3</v>
      </c>
      <c r="L6949" s="50" t="s">
        <v>80</v>
      </c>
    </row>
    <row r="6950" spans="2:12">
      <c r="B6950" s="50" t="s">
        <v>469</v>
      </c>
      <c r="C6950" s="61" t="s">
        <v>26</v>
      </c>
      <c r="D6950" s="61" t="s">
        <v>39</v>
      </c>
      <c r="E6950" s="50">
        <v>50037900</v>
      </c>
      <c r="F6950" s="50" t="s">
        <v>240</v>
      </c>
      <c r="G6950" s="50">
        <v>1</v>
      </c>
      <c r="H6950" s="50" t="s">
        <v>2</v>
      </c>
      <c r="I6950" s="50" t="s">
        <v>293</v>
      </c>
      <c r="J6950" s="51">
        <v>45875</v>
      </c>
      <c r="K6950" s="50" t="s">
        <v>1</v>
      </c>
      <c r="L6950" s="50" t="s">
        <v>80</v>
      </c>
    </row>
    <row r="6951" spans="2:12">
      <c r="B6951" s="50" t="s">
        <v>386</v>
      </c>
      <c r="C6951" s="50" t="s">
        <v>62</v>
      </c>
      <c r="D6951" s="61" t="s">
        <v>27</v>
      </c>
      <c r="E6951" s="50">
        <v>50028220</v>
      </c>
      <c r="F6951" s="50" t="s">
        <v>242</v>
      </c>
      <c r="G6951" s="50">
        <v>1</v>
      </c>
      <c r="H6951" s="50" t="s">
        <v>2</v>
      </c>
      <c r="I6951" s="50" t="s">
        <v>293</v>
      </c>
      <c r="J6951" s="51">
        <v>45875</v>
      </c>
      <c r="K6951" s="50" t="s">
        <v>3</v>
      </c>
      <c r="L6951" s="50" t="s">
        <v>80</v>
      </c>
    </row>
    <row r="6952" spans="2:12">
      <c r="B6952" s="50" t="s">
        <v>386</v>
      </c>
      <c r="C6952" s="50" t="s">
        <v>62</v>
      </c>
      <c r="D6952" s="61" t="s">
        <v>27</v>
      </c>
      <c r="E6952" s="50">
        <v>50028220</v>
      </c>
      <c r="F6952" s="50" t="s">
        <v>242</v>
      </c>
      <c r="G6952" s="50">
        <v>1</v>
      </c>
      <c r="H6952" s="50" t="s">
        <v>2</v>
      </c>
      <c r="I6952" s="50" t="s">
        <v>293</v>
      </c>
      <c r="J6952" s="51">
        <v>45875</v>
      </c>
      <c r="K6952" s="50" t="s">
        <v>1</v>
      </c>
      <c r="L6952" s="50" t="s">
        <v>80</v>
      </c>
    </row>
    <row r="6953" spans="2:12">
      <c r="B6953" s="50" t="s">
        <v>397</v>
      </c>
      <c r="C6953" s="50" t="s">
        <v>26</v>
      </c>
      <c r="D6953" s="61" t="s">
        <v>41</v>
      </c>
      <c r="E6953" s="50">
        <v>50028220</v>
      </c>
      <c r="F6953" s="50" t="s">
        <v>242</v>
      </c>
      <c r="G6953" s="50">
        <v>1</v>
      </c>
      <c r="H6953" s="50" t="s">
        <v>2</v>
      </c>
      <c r="I6953" s="50" t="s">
        <v>287</v>
      </c>
      <c r="J6953" s="51">
        <v>45875</v>
      </c>
      <c r="K6953" s="50" t="s">
        <v>3</v>
      </c>
      <c r="L6953" s="50" t="s">
        <v>80</v>
      </c>
    </row>
    <row r="6954" spans="2:12">
      <c r="B6954" s="50" t="s">
        <v>397</v>
      </c>
      <c r="C6954" s="50" t="s">
        <v>26</v>
      </c>
      <c r="D6954" s="61" t="s">
        <v>41</v>
      </c>
      <c r="E6954" s="50">
        <v>50028220</v>
      </c>
      <c r="F6954" s="50" t="s">
        <v>242</v>
      </c>
      <c r="G6954" s="50">
        <v>1</v>
      </c>
      <c r="H6954" s="50" t="s">
        <v>2</v>
      </c>
      <c r="I6954" s="50" t="s">
        <v>287</v>
      </c>
      <c r="J6954" s="51">
        <v>45875</v>
      </c>
      <c r="K6954" s="50" t="s">
        <v>1</v>
      </c>
      <c r="L6954" s="50" t="s">
        <v>80</v>
      </c>
    </row>
    <row r="6955" spans="2:12">
      <c r="B6955" s="50" t="s">
        <v>402</v>
      </c>
      <c r="C6955" s="50" t="s">
        <v>56</v>
      </c>
      <c r="D6955" s="50" t="s">
        <v>36</v>
      </c>
      <c r="E6955" s="50">
        <v>50002644</v>
      </c>
      <c r="F6955" s="50" t="s">
        <v>91</v>
      </c>
      <c r="G6955" s="50">
        <v>1</v>
      </c>
      <c r="H6955" s="50" t="s">
        <v>2</v>
      </c>
      <c r="I6955" s="50" t="s">
        <v>293</v>
      </c>
      <c r="J6955" s="51">
        <v>45874</v>
      </c>
      <c r="K6955" s="50" t="s">
        <v>3</v>
      </c>
      <c r="L6955" s="50" t="s">
        <v>80</v>
      </c>
    </row>
    <row r="6956" spans="2:12">
      <c r="B6956" s="50" t="s">
        <v>402</v>
      </c>
      <c r="C6956" s="50" t="s">
        <v>56</v>
      </c>
      <c r="D6956" s="50" t="s">
        <v>36</v>
      </c>
      <c r="E6956" s="50">
        <v>50002644</v>
      </c>
      <c r="F6956" s="50" t="s">
        <v>91</v>
      </c>
      <c r="G6956" s="50">
        <v>1</v>
      </c>
      <c r="H6956" s="50" t="s">
        <v>2</v>
      </c>
      <c r="I6956" s="50" t="s">
        <v>293</v>
      </c>
      <c r="J6956" s="51">
        <v>45874</v>
      </c>
      <c r="K6956" s="50" t="s">
        <v>1</v>
      </c>
      <c r="L6956" s="50" t="s">
        <v>80</v>
      </c>
    </row>
    <row r="6957" spans="2:12">
      <c r="B6957" s="50" t="s">
        <v>386</v>
      </c>
      <c r="C6957" s="61" t="s">
        <v>62</v>
      </c>
      <c r="D6957" s="50" t="s">
        <v>27</v>
      </c>
      <c r="E6957" s="50">
        <v>50038854</v>
      </c>
      <c r="F6957" s="50" t="s">
        <v>101</v>
      </c>
      <c r="G6957" s="50">
        <v>1</v>
      </c>
      <c r="H6957" s="50" t="s">
        <v>2</v>
      </c>
      <c r="I6957" s="50" t="s">
        <v>293</v>
      </c>
      <c r="J6957" s="51">
        <v>45874</v>
      </c>
      <c r="K6957" s="50" t="s">
        <v>3</v>
      </c>
      <c r="L6957" s="50" t="s">
        <v>80</v>
      </c>
    </row>
    <row r="6958" spans="2:12">
      <c r="B6958" s="50" t="s">
        <v>386</v>
      </c>
      <c r="C6958" s="61" t="s">
        <v>62</v>
      </c>
      <c r="D6958" s="50" t="s">
        <v>27</v>
      </c>
      <c r="E6958" s="50">
        <v>50038854</v>
      </c>
      <c r="F6958" s="50" t="s">
        <v>101</v>
      </c>
      <c r="G6958" s="50">
        <v>1</v>
      </c>
      <c r="H6958" s="50" t="s">
        <v>2</v>
      </c>
      <c r="I6958" s="50" t="s">
        <v>293</v>
      </c>
      <c r="J6958" s="51">
        <v>45874</v>
      </c>
      <c r="K6958" s="50" t="s">
        <v>1</v>
      </c>
      <c r="L6958" s="50" t="s">
        <v>80</v>
      </c>
    </row>
    <row r="6959" spans="2:12">
      <c r="B6959" s="50" t="s">
        <v>481</v>
      </c>
      <c r="C6959" s="61" t="s">
        <v>56</v>
      </c>
      <c r="D6959" s="61" t="s">
        <v>27</v>
      </c>
      <c r="E6959" s="50">
        <v>50036298</v>
      </c>
      <c r="F6959" s="50" t="s">
        <v>102</v>
      </c>
      <c r="G6959" s="50">
        <v>1</v>
      </c>
      <c r="H6959" s="50" t="s">
        <v>2</v>
      </c>
      <c r="I6959" s="50" t="s">
        <v>289</v>
      </c>
      <c r="J6959" s="51">
        <v>45874</v>
      </c>
      <c r="K6959" s="50" t="s">
        <v>3</v>
      </c>
      <c r="L6959" s="50" t="s">
        <v>80</v>
      </c>
    </row>
    <row r="6960" spans="2:12">
      <c r="B6960" s="50" t="s">
        <v>481</v>
      </c>
      <c r="C6960" s="61" t="s">
        <v>56</v>
      </c>
      <c r="D6960" s="61" t="s">
        <v>27</v>
      </c>
      <c r="E6960" s="50">
        <v>50036298</v>
      </c>
      <c r="F6960" s="50" t="s">
        <v>102</v>
      </c>
      <c r="G6960" s="50">
        <v>1</v>
      </c>
      <c r="H6960" s="50" t="s">
        <v>2</v>
      </c>
      <c r="I6960" s="50" t="s">
        <v>293</v>
      </c>
      <c r="J6960" s="51">
        <v>45874</v>
      </c>
      <c r="K6960" s="50" t="s">
        <v>3</v>
      </c>
      <c r="L6960" s="50" t="s">
        <v>80</v>
      </c>
    </row>
    <row r="6961" spans="2:12">
      <c r="B6961" s="50" t="s">
        <v>410</v>
      </c>
      <c r="C6961" s="61" t="s">
        <v>51</v>
      </c>
      <c r="D6961" s="61" t="s">
        <v>27</v>
      </c>
      <c r="E6961" s="50">
        <v>50037918</v>
      </c>
      <c r="F6961" s="50" t="s">
        <v>111</v>
      </c>
      <c r="G6961" s="50">
        <v>1</v>
      </c>
      <c r="H6961" s="50" t="s">
        <v>2</v>
      </c>
      <c r="I6961" s="50" t="s">
        <v>293</v>
      </c>
      <c r="J6961" s="51">
        <v>45874</v>
      </c>
      <c r="K6961" s="50" t="s">
        <v>1</v>
      </c>
      <c r="L6961" s="50" t="s">
        <v>80</v>
      </c>
    </row>
    <row r="6962" spans="2:12">
      <c r="B6962" s="50" t="s">
        <v>410</v>
      </c>
      <c r="C6962" s="61" t="s">
        <v>51</v>
      </c>
      <c r="D6962" s="50" t="s">
        <v>27</v>
      </c>
      <c r="E6962" s="50">
        <v>50037918</v>
      </c>
      <c r="F6962" s="50" t="s">
        <v>111</v>
      </c>
      <c r="G6962" s="50">
        <v>1</v>
      </c>
      <c r="H6962" s="50" t="s">
        <v>2</v>
      </c>
      <c r="I6962" s="50" t="s">
        <v>293</v>
      </c>
      <c r="J6962" s="51">
        <v>45874</v>
      </c>
      <c r="K6962" s="50" t="s">
        <v>1</v>
      </c>
      <c r="L6962" s="50" t="s">
        <v>80</v>
      </c>
    </row>
    <row r="6963" spans="2:12">
      <c r="B6963" s="50" t="s">
        <v>404</v>
      </c>
      <c r="C6963" s="61" t="s">
        <v>286</v>
      </c>
      <c r="D6963" s="61" t="s">
        <v>41</v>
      </c>
      <c r="E6963" s="50">
        <v>50036255</v>
      </c>
      <c r="F6963" s="50" t="s">
        <v>120</v>
      </c>
      <c r="G6963" s="50">
        <v>1</v>
      </c>
      <c r="H6963" s="50" t="s">
        <v>2</v>
      </c>
      <c r="I6963" s="50" t="s">
        <v>293</v>
      </c>
      <c r="J6963" s="51">
        <v>45874</v>
      </c>
      <c r="K6963" s="50" t="s">
        <v>3</v>
      </c>
      <c r="L6963" s="50" t="s">
        <v>80</v>
      </c>
    </row>
    <row r="6964" spans="2:12">
      <c r="B6964" s="50" t="s">
        <v>404</v>
      </c>
      <c r="C6964" s="61" t="s">
        <v>286</v>
      </c>
      <c r="D6964" s="61" t="s">
        <v>41</v>
      </c>
      <c r="E6964" s="50">
        <v>50036255</v>
      </c>
      <c r="F6964" s="50" t="s">
        <v>120</v>
      </c>
      <c r="G6964" s="50">
        <v>1</v>
      </c>
      <c r="H6964" s="50" t="s">
        <v>2</v>
      </c>
      <c r="I6964" s="50" t="s">
        <v>287</v>
      </c>
      <c r="J6964" s="51">
        <v>45874</v>
      </c>
      <c r="K6964" s="50" t="s">
        <v>1</v>
      </c>
      <c r="L6964" s="50" t="s">
        <v>80</v>
      </c>
    </row>
    <row r="6965" spans="2:12">
      <c r="B6965" s="50" t="s">
        <v>461</v>
      </c>
      <c r="C6965" s="61" t="s">
        <v>26</v>
      </c>
      <c r="D6965" s="61" t="s">
        <v>39</v>
      </c>
      <c r="E6965" s="50">
        <v>50036086</v>
      </c>
      <c r="F6965" s="50" t="s">
        <v>28</v>
      </c>
      <c r="G6965" s="50">
        <v>1</v>
      </c>
      <c r="H6965" s="50" t="s">
        <v>2</v>
      </c>
      <c r="I6965" s="50" t="s">
        <v>289</v>
      </c>
      <c r="J6965" s="51">
        <v>45874</v>
      </c>
      <c r="K6965" s="50" t="s">
        <v>3</v>
      </c>
      <c r="L6965" s="50" t="s">
        <v>80</v>
      </c>
    </row>
    <row r="6966" spans="2:12">
      <c r="B6966" s="50" t="s">
        <v>461</v>
      </c>
      <c r="C6966" s="50" t="s">
        <v>26</v>
      </c>
      <c r="D6966" s="50" t="s">
        <v>39</v>
      </c>
      <c r="E6966" s="50">
        <v>50036086</v>
      </c>
      <c r="F6966" s="50" t="s">
        <v>28</v>
      </c>
      <c r="G6966" s="50">
        <v>1</v>
      </c>
      <c r="H6966" s="50" t="s">
        <v>2</v>
      </c>
      <c r="I6966" s="50" t="s">
        <v>289</v>
      </c>
      <c r="J6966" s="51">
        <v>45874</v>
      </c>
      <c r="K6966" s="50" t="s">
        <v>1</v>
      </c>
      <c r="L6966" s="50" t="s">
        <v>80</v>
      </c>
    </row>
    <row r="6967" spans="2:12">
      <c r="B6967" s="50" t="s">
        <v>386</v>
      </c>
      <c r="C6967" s="50" t="s">
        <v>62</v>
      </c>
      <c r="D6967" s="50" t="s">
        <v>27</v>
      </c>
      <c r="E6967" s="50">
        <v>50036086</v>
      </c>
      <c r="F6967" s="50" t="s">
        <v>28</v>
      </c>
      <c r="G6967" s="50">
        <v>1</v>
      </c>
      <c r="H6967" s="50" t="s">
        <v>2</v>
      </c>
      <c r="I6967" s="50" t="s">
        <v>293</v>
      </c>
      <c r="J6967" s="51">
        <v>45874</v>
      </c>
      <c r="K6967" s="50" t="s">
        <v>3</v>
      </c>
      <c r="L6967" s="50" t="s">
        <v>80</v>
      </c>
    </row>
    <row r="6968" spans="2:12">
      <c r="B6968" s="50" t="s">
        <v>386</v>
      </c>
      <c r="C6968" s="50" t="s">
        <v>62</v>
      </c>
      <c r="D6968" s="50" t="s">
        <v>27</v>
      </c>
      <c r="E6968" s="50">
        <v>50036086</v>
      </c>
      <c r="F6968" s="50" t="s">
        <v>28</v>
      </c>
      <c r="G6968" s="50">
        <v>1</v>
      </c>
      <c r="H6968" s="50" t="s">
        <v>2</v>
      </c>
      <c r="I6968" s="50" t="s">
        <v>293</v>
      </c>
      <c r="J6968" s="51">
        <v>45874</v>
      </c>
      <c r="K6968" s="50" t="s">
        <v>1</v>
      </c>
      <c r="L6968" s="50" t="s">
        <v>80</v>
      </c>
    </row>
    <row r="6969" spans="2:12">
      <c r="B6969" s="50" t="s">
        <v>54</v>
      </c>
      <c r="C6969" s="50" t="s">
        <v>51</v>
      </c>
      <c r="D6969" s="50" t="s">
        <v>41</v>
      </c>
      <c r="E6969" s="50">
        <v>50036279</v>
      </c>
      <c r="F6969" s="50" t="s">
        <v>133</v>
      </c>
      <c r="G6969" s="50">
        <v>1</v>
      </c>
      <c r="H6969" s="50" t="s">
        <v>2</v>
      </c>
      <c r="I6969" s="50" t="s">
        <v>289</v>
      </c>
      <c r="J6969" s="51">
        <v>45874</v>
      </c>
      <c r="K6969" s="50" t="s">
        <v>3</v>
      </c>
      <c r="L6969" s="50" t="s">
        <v>80</v>
      </c>
    </row>
    <row r="6970" spans="2:12">
      <c r="B6970" s="50" t="s">
        <v>54</v>
      </c>
      <c r="C6970" s="50" t="s">
        <v>51</v>
      </c>
      <c r="D6970" s="50" t="s">
        <v>41</v>
      </c>
      <c r="E6970" s="50">
        <v>50036279</v>
      </c>
      <c r="F6970" s="50" t="s">
        <v>133</v>
      </c>
      <c r="G6970" s="50">
        <v>1</v>
      </c>
      <c r="H6970" s="50" t="s">
        <v>2</v>
      </c>
      <c r="I6970" s="50" t="s">
        <v>293</v>
      </c>
      <c r="J6970" s="51">
        <v>45874</v>
      </c>
      <c r="K6970" s="50" t="s">
        <v>1</v>
      </c>
      <c r="L6970" s="50" t="s">
        <v>80</v>
      </c>
    </row>
    <row r="6971" spans="2:12">
      <c r="B6971" s="50" t="s">
        <v>461</v>
      </c>
      <c r="C6971" s="50" t="s">
        <v>26</v>
      </c>
      <c r="D6971" s="50" t="s">
        <v>39</v>
      </c>
      <c r="E6971" s="50">
        <v>50043520</v>
      </c>
      <c r="F6971" s="50" t="s">
        <v>266</v>
      </c>
      <c r="G6971" s="50">
        <v>1</v>
      </c>
      <c r="H6971" s="50" t="s">
        <v>2</v>
      </c>
      <c r="I6971" s="50" t="s">
        <v>289</v>
      </c>
      <c r="J6971" s="51">
        <v>45874</v>
      </c>
      <c r="K6971" s="50" t="s">
        <v>3</v>
      </c>
      <c r="L6971" s="50" t="s">
        <v>80</v>
      </c>
    </row>
    <row r="6972" spans="2:12">
      <c r="B6972" s="50" t="s">
        <v>461</v>
      </c>
      <c r="C6972" s="50" t="s">
        <v>26</v>
      </c>
      <c r="D6972" s="50" t="s">
        <v>39</v>
      </c>
      <c r="E6972" s="50">
        <v>50043520</v>
      </c>
      <c r="F6972" s="50" t="s">
        <v>266</v>
      </c>
      <c r="G6972" s="50">
        <v>1</v>
      </c>
      <c r="H6972" s="50" t="s">
        <v>2</v>
      </c>
      <c r="I6972" s="50" t="s">
        <v>289</v>
      </c>
      <c r="J6972" s="51">
        <v>45874</v>
      </c>
      <c r="K6972" s="50" t="s">
        <v>1</v>
      </c>
      <c r="L6972" s="50" t="s">
        <v>80</v>
      </c>
    </row>
    <row r="6973" spans="2:12">
      <c r="B6973" s="50" t="s">
        <v>469</v>
      </c>
      <c r="C6973" s="50" t="s">
        <v>26</v>
      </c>
      <c r="D6973" s="50" t="s">
        <v>39</v>
      </c>
      <c r="E6973" s="50">
        <v>50039718</v>
      </c>
      <c r="F6973" s="50" t="s">
        <v>149</v>
      </c>
      <c r="G6973" s="50">
        <v>1</v>
      </c>
      <c r="H6973" s="50" t="s">
        <v>2</v>
      </c>
      <c r="I6973" s="50" t="s">
        <v>289</v>
      </c>
      <c r="J6973" s="51">
        <v>45874</v>
      </c>
      <c r="K6973" s="50" t="s">
        <v>3</v>
      </c>
      <c r="L6973" s="64" t="s">
        <v>80</v>
      </c>
    </row>
    <row r="6974" spans="2:12">
      <c r="B6974" s="50" t="s">
        <v>469</v>
      </c>
      <c r="C6974" s="50" t="s">
        <v>26</v>
      </c>
      <c r="D6974" s="50" t="s">
        <v>39</v>
      </c>
      <c r="E6974" s="50">
        <v>50039718</v>
      </c>
      <c r="F6974" s="50" t="s">
        <v>149</v>
      </c>
      <c r="G6974" s="50">
        <v>1</v>
      </c>
      <c r="H6974" s="50" t="s">
        <v>2</v>
      </c>
      <c r="I6974" s="50" t="s">
        <v>293</v>
      </c>
      <c r="J6974" s="51">
        <v>45874</v>
      </c>
      <c r="K6974" s="50" t="s">
        <v>1</v>
      </c>
      <c r="L6974" s="50" t="s">
        <v>80</v>
      </c>
    </row>
    <row r="6975" spans="2:12">
      <c r="B6975" s="50" t="s">
        <v>469</v>
      </c>
      <c r="C6975" s="50" t="s">
        <v>26</v>
      </c>
      <c r="D6975" s="50" t="s">
        <v>39</v>
      </c>
      <c r="E6975" s="50">
        <v>50037905</v>
      </c>
      <c r="F6975" s="50" t="s">
        <v>150</v>
      </c>
      <c r="G6975" s="50">
        <v>1</v>
      </c>
      <c r="H6975" s="50" t="s">
        <v>2</v>
      </c>
      <c r="I6975" s="50" t="s">
        <v>289</v>
      </c>
      <c r="J6975" s="51">
        <v>45874</v>
      </c>
      <c r="K6975" s="50" t="s">
        <v>3</v>
      </c>
      <c r="L6975" s="50" t="s">
        <v>80</v>
      </c>
    </row>
    <row r="6976" spans="2:12">
      <c r="B6976" s="50" t="s">
        <v>469</v>
      </c>
      <c r="C6976" s="50" t="s">
        <v>26</v>
      </c>
      <c r="D6976" s="50" t="s">
        <v>39</v>
      </c>
      <c r="E6976" s="50">
        <v>50037905</v>
      </c>
      <c r="F6976" s="50" t="s">
        <v>150</v>
      </c>
      <c r="G6976" s="50">
        <v>1</v>
      </c>
      <c r="H6976" s="50" t="s">
        <v>2</v>
      </c>
      <c r="I6976" s="50" t="s">
        <v>293</v>
      </c>
      <c r="J6976" s="51">
        <v>45874</v>
      </c>
      <c r="K6976" s="50" t="s">
        <v>1</v>
      </c>
      <c r="L6976" s="50" t="s">
        <v>80</v>
      </c>
    </row>
    <row r="6977" spans="2:12">
      <c r="B6977" s="50" t="s">
        <v>427</v>
      </c>
      <c r="C6977" s="50" t="s">
        <v>26</v>
      </c>
      <c r="D6977" s="50" t="s">
        <v>27</v>
      </c>
      <c r="E6977" s="50">
        <v>50039236</v>
      </c>
      <c r="F6977" s="50" t="s">
        <v>154</v>
      </c>
      <c r="G6977" s="50">
        <v>1</v>
      </c>
      <c r="H6977" s="50" t="s">
        <v>2</v>
      </c>
      <c r="I6977" s="50" t="s">
        <v>293</v>
      </c>
      <c r="J6977" s="51">
        <v>45874</v>
      </c>
      <c r="K6977" s="50" t="s">
        <v>3</v>
      </c>
      <c r="L6977" s="50" t="s">
        <v>80</v>
      </c>
    </row>
    <row r="6978" spans="2:12">
      <c r="B6978" s="50" t="s">
        <v>427</v>
      </c>
      <c r="C6978" s="50" t="s">
        <v>26</v>
      </c>
      <c r="D6978" s="50" t="s">
        <v>27</v>
      </c>
      <c r="E6978" s="50">
        <v>50039236</v>
      </c>
      <c r="F6978" s="50" t="s">
        <v>154</v>
      </c>
      <c r="G6978" s="50">
        <v>1</v>
      </c>
      <c r="H6978" s="50" t="s">
        <v>2</v>
      </c>
      <c r="I6978" s="50" t="s">
        <v>293</v>
      </c>
      <c r="J6978" s="51">
        <v>45874</v>
      </c>
      <c r="K6978" s="50" t="s">
        <v>1</v>
      </c>
      <c r="L6978" s="50" t="s">
        <v>80</v>
      </c>
    </row>
    <row r="6979" spans="2:12">
      <c r="B6979" s="50" t="s">
        <v>437</v>
      </c>
      <c r="C6979" s="50" t="s">
        <v>51</v>
      </c>
      <c r="D6979" s="50" t="s">
        <v>41</v>
      </c>
      <c r="E6979" s="50">
        <v>50003296</v>
      </c>
      <c r="F6979" s="50" t="s">
        <v>157</v>
      </c>
      <c r="G6979" s="50">
        <v>1</v>
      </c>
      <c r="H6979" s="50" t="s">
        <v>2</v>
      </c>
      <c r="I6979" s="50" t="s">
        <v>287</v>
      </c>
      <c r="J6979" s="51">
        <v>45874</v>
      </c>
      <c r="K6979" s="50" t="s">
        <v>3</v>
      </c>
      <c r="L6979" s="50" t="s">
        <v>80</v>
      </c>
    </row>
    <row r="6980" spans="2:12">
      <c r="B6980" s="50" t="s">
        <v>437</v>
      </c>
      <c r="C6980" s="50" t="s">
        <v>51</v>
      </c>
      <c r="D6980" s="50" t="s">
        <v>41</v>
      </c>
      <c r="E6980" s="50">
        <v>50003296</v>
      </c>
      <c r="F6980" s="50" t="s">
        <v>157</v>
      </c>
      <c r="G6980" s="50">
        <v>1</v>
      </c>
      <c r="H6980" s="50" t="s">
        <v>2</v>
      </c>
      <c r="I6980" s="50" t="s">
        <v>288</v>
      </c>
      <c r="J6980" s="51">
        <v>45874</v>
      </c>
      <c r="K6980" s="50" t="s">
        <v>1</v>
      </c>
      <c r="L6980" s="50" t="s">
        <v>80</v>
      </c>
    </row>
    <row r="6981" spans="2:12">
      <c r="B6981" s="50" t="s">
        <v>277</v>
      </c>
      <c r="C6981" s="50" t="s">
        <v>62</v>
      </c>
      <c r="D6981" s="50" t="s">
        <v>27</v>
      </c>
      <c r="E6981" s="50">
        <v>50029865</v>
      </c>
      <c r="F6981" s="50" t="s">
        <v>162</v>
      </c>
      <c r="G6981" s="50">
        <v>1</v>
      </c>
      <c r="H6981" s="50" t="s">
        <v>2</v>
      </c>
      <c r="I6981" s="50" t="s">
        <v>289</v>
      </c>
      <c r="J6981" s="51">
        <v>45874</v>
      </c>
      <c r="K6981" s="50" t="s">
        <v>3</v>
      </c>
      <c r="L6981" s="50" t="s">
        <v>80</v>
      </c>
    </row>
    <row r="6982" spans="2:12">
      <c r="B6982" s="50" t="s">
        <v>277</v>
      </c>
      <c r="C6982" s="50" t="s">
        <v>62</v>
      </c>
      <c r="D6982" s="50" t="s">
        <v>27</v>
      </c>
      <c r="E6982" s="50">
        <v>50029865</v>
      </c>
      <c r="F6982" s="50" t="s">
        <v>162</v>
      </c>
      <c r="G6982" s="50">
        <v>1</v>
      </c>
      <c r="H6982" s="50" t="s">
        <v>2</v>
      </c>
      <c r="I6982" s="50" t="s">
        <v>287</v>
      </c>
      <c r="J6982" s="51">
        <v>45874</v>
      </c>
      <c r="K6982" s="50" t="s">
        <v>3</v>
      </c>
      <c r="L6982" s="50" t="s">
        <v>80</v>
      </c>
    </row>
    <row r="6983" spans="2:12">
      <c r="B6983" s="50" t="s">
        <v>471</v>
      </c>
      <c r="C6983" s="50" t="s">
        <v>26</v>
      </c>
      <c r="D6983" s="50" t="s">
        <v>27</v>
      </c>
      <c r="E6983" s="50">
        <v>50038517</v>
      </c>
      <c r="F6983" s="50" t="s">
        <v>181</v>
      </c>
      <c r="G6983" s="50">
        <v>1</v>
      </c>
      <c r="H6983" s="50" t="s">
        <v>2</v>
      </c>
      <c r="I6983" s="50" t="s">
        <v>293</v>
      </c>
      <c r="J6983" s="51">
        <v>45874</v>
      </c>
      <c r="K6983" s="50" t="s">
        <v>1</v>
      </c>
      <c r="L6983" s="50" t="s">
        <v>80</v>
      </c>
    </row>
    <row r="6984" spans="2:12">
      <c r="B6984" s="50" t="s">
        <v>471</v>
      </c>
      <c r="C6984" s="50" t="s">
        <v>26</v>
      </c>
      <c r="D6984" s="61" t="s">
        <v>27</v>
      </c>
      <c r="E6984" s="50">
        <v>50038517</v>
      </c>
      <c r="F6984" s="50" t="s">
        <v>181</v>
      </c>
      <c r="G6984" s="50">
        <v>1</v>
      </c>
      <c r="H6984" s="50" t="s">
        <v>2</v>
      </c>
      <c r="I6984" s="50" t="s">
        <v>288</v>
      </c>
      <c r="J6984" s="51">
        <v>45874</v>
      </c>
      <c r="K6984" s="50" t="s">
        <v>1</v>
      </c>
      <c r="L6984" s="50" t="s">
        <v>80</v>
      </c>
    </row>
    <row r="6985" spans="2:12">
      <c r="B6985" s="50" t="s">
        <v>54</v>
      </c>
      <c r="C6985" s="50" t="s">
        <v>51</v>
      </c>
      <c r="D6985" s="61" t="s">
        <v>41</v>
      </c>
      <c r="E6985" s="50">
        <v>50039065</v>
      </c>
      <c r="F6985" s="50" t="s">
        <v>186</v>
      </c>
      <c r="G6985" s="50">
        <v>1</v>
      </c>
      <c r="H6985" s="50" t="s">
        <v>2</v>
      </c>
      <c r="I6985" s="50" t="s">
        <v>289</v>
      </c>
      <c r="J6985" s="51">
        <v>45874</v>
      </c>
      <c r="K6985" s="50" t="s">
        <v>3</v>
      </c>
      <c r="L6985" s="50" t="s">
        <v>80</v>
      </c>
    </row>
    <row r="6986" spans="2:12">
      <c r="B6986" s="50" t="s">
        <v>54</v>
      </c>
      <c r="C6986" s="50" t="s">
        <v>51</v>
      </c>
      <c r="D6986" s="61" t="s">
        <v>41</v>
      </c>
      <c r="E6986" s="50">
        <v>50039065</v>
      </c>
      <c r="F6986" s="50" t="s">
        <v>186</v>
      </c>
      <c r="G6986" s="50">
        <v>1</v>
      </c>
      <c r="H6986" s="50" t="s">
        <v>2</v>
      </c>
      <c r="I6986" s="50" t="s">
        <v>287</v>
      </c>
      <c r="J6986" s="51">
        <v>45874</v>
      </c>
      <c r="K6986" s="50" t="s">
        <v>1</v>
      </c>
      <c r="L6986" s="50" t="s">
        <v>80</v>
      </c>
    </row>
    <row r="6987" spans="2:12">
      <c r="B6987" s="50" t="s">
        <v>386</v>
      </c>
      <c r="C6987" s="50" t="s">
        <v>62</v>
      </c>
      <c r="D6987" s="61" t="s">
        <v>27</v>
      </c>
      <c r="E6987" s="50">
        <v>50026357</v>
      </c>
      <c r="F6987" s="50" t="s">
        <v>192</v>
      </c>
      <c r="G6987" s="50">
        <v>1</v>
      </c>
      <c r="H6987" s="50" t="s">
        <v>2</v>
      </c>
      <c r="I6987" s="50" t="s">
        <v>289</v>
      </c>
      <c r="J6987" s="51">
        <v>45874</v>
      </c>
      <c r="K6987" s="50" t="s">
        <v>3</v>
      </c>
      <c r="L6987" s="50" t="s">
        <v>80</v>
      </c>
    </row>
    <row r="6988" spans="2:12">
      <c r="B6988" s="50" t="s">
        <v>386</v>
      </c>
      <c r="C6988" s="50" t="s">
        <v>62</v>
      </c>
      <c r="D6988" s="61" t="s">
        <v>27</v>
      </c>
      <c r="E6988" s="50">
        <v>50026357</v>
      </c>
      <c r="F6988" s="50" t="s">
        <v>192</v>
      </c>
      <c r="G6988" s="50">
        <v>1</v>
      </c>
      <c r="H6988" s="50" t="s">
        <v>2</v>
      </c>
      <c r="I6988" s="50" t="s">
        <v>293</v>
      </c>
      <c r="J6988" s="51">
        <v>45874</v>
      </c>
      <c r="K6988" s="50" t="s">
        <v>3</v>
      </c>
      <c r="L6988" s="50" t="s">
        <v>80</v>
      </c>
    </row>
    <row r="6989" spans="2:12">
      <c r="B6989" s="50" t="s">
        <v>277</v>
      </c>
      <c r="C6989" s="50" t="s">
        <v>62</v>
      </c>
      <c r="D6989" s="61" t="s">
        <v>27</v>
      </c>
      <c r="E6989" s="50">
        <v>50041195</v>
      </c>
      <c r="F6989" s="50" t="s">
        <v>206</v>
      </c>
      <c r="G6989" s="50">
        <v>1</v>
      </c>
      <c r="H6989" s="50" t="s">
        <v>2</v>
      </c>
      <c r="I6989" s="50" t="s">
        <v>289</v>
      </c>
      <c r="J6989" s="51">
        <v>45874</v>
      </c>
      <c r="K6989" s="50" t="s">
        <v>1</v>
      </c>
      <c r="L6989" s="50" t="s">
        <v>80</v>
      </c>
    </row>
    <row r="6990" spans="2:12">
      <c r="B6990" s="50" t="s">
        <v>277</v>
      </c>
      <c r="C6990" s="50" t="s">
        <v>62</v>
      </c>
      <c r="D6990" s="50" t="s">
        <v>27</v>
      </c>
      <c r="E6990" s="50">
        <v>50041195</v>
      </c>
      <c r="F6990" s="50" t="s">
        <v>206</v>
      </c>
      <c r="G6990" s="50">
        <v>1</v>
      </c>
      <c r="H6990" s="50" t="s">
        <v>2</v>
      </c>
      <c r="I6990" s="50" t="s">
        <v>287</v>
      </c>
      <c r="J6990" s="51">
        <v>45874</v>
      </c>
      <c r="K6990" s="50" t="s">
        <v>3</v>
      </c>
      <c r="L6990" s="50" t="s">
        <v>80</v>
      </c>
    </row>
    <row r="6991" spans="2:12">
      <c r="B6991" s="50" t="s">
        <v>407</v>
      </c>
      <c r="C6991" s="50" t="s">
        <v>26</v>
      </c>
      <c r="D6991" s="50" t="s">
        <v>27</v>
      </c>
      <c r="E6991" s="50">
        <v>50041195</v>
      </c>
      <c r="F6991" s="50" t="s">
        <v>206</v>
      </c>
      <c r="G6991" s="50">
        <v>1</v>
      </c>
      <c r="H6991" s="50" t="s">
        <v>2</v>
      </c>
      <c r="I6991" s="50" t="s">
        <v>287</v>
      </c>
      <c r="J6991" s="51">
        <v>45874</v>
      </c>
      <c r="K6991" s="50" t="s">
        <v>1</v>
      </c>
      <c r="L6991" s="50" t="s">
        <v>80</v>
      </c>
    </row>
    <row r="6992" spans="2:12">
      <c r="B6992" s="50" t="s">
        <v>407</v>
      </c>
      <c r="C6992" s="50" t="s">
        <v>26</v>
      </c>
      <c r="D6992" s="61" t="s">
        <v>27</v>
      </c>
      <c r="E6992" s="50">
        <v>50041195</v>
      </c>
      <c r="F6992" s="50" t="s">
        <v>206</v>
      </c>
      <c r="G6992" s="50">
        <v>1</v>
      </c>
      <c r="H6992" s="50" t="s">
        <v>2</v>
      </c>
      <c r="I6992" s="50" t="s">
        <v>287</v>
      </c>
      <c r="J6992" s="51">
        <v>45874</v>
      </c>
      <c r="K6992" s="50" t="s">
        <v>3</v>
      </c>
      <c r="L6992" s="50" t="s">
        <v>80</v>
      </c>
    </row>
    <row r="6993" spans="2:12">
      <c r="B6993" s="50" t="e">
        <v>#N/A</v>
      </c>
      <c r="C6993" s="50" t="s">
        <v>56</v>
      </c>
      <c r="D6993" s="61" t="s">
        <v>27</v>
      </c>
      <c r="E6993" s="50">
        <v>50043917</v>
      </c>
      <c r="F6993" s="50" t="s">
        <v>262</v>
      </c>
      <c r="G6993" s="50">
        <v>1</v>
      </c>
      <c r="H6993" s="50" t="s">
        <v>2</v>
      </c>
      <c r="I6993" s="50" t="s">
        <v>293</v>
      </c>
      <c r="J6993" s="51">
        <v>45874</v>
      </c>
      <c r="K6993" s="50" t="s">
        <v>1</v>
      </c>
      <c r="L6993" s="50" t="s">
        <v>80</v>
      </c>
    </row>
    <row r="6994" spans="2:12">
      <c r="B6994" s="50" t="s">
        <v>463</v>
      </c>
      <c r="C6994" s="50" t="s">
        <v>56</v>
      </c>
      <c r="D6994" s="50" t="s">
        <v>27</v>
      </c>
      <c r="E6994" s="50">
        <v>50043917</v>
      </c>
      <c r="F6994" s="50" t="s">
        <v>262</v>
      </c>
      <c r="G6994" s="50">
        <v>1</v>
      </c>
      <c r="H6994" s="50" t="s">
        <v>2</v>
      </c>
      <c r="I6994" s="50" t="s">
        <v>293</v>
      </c>
      <c r="J6994" s="51">
        <v>45874</v>
      </c>
      <c r="K6994" s="50" t="s">
        <v>1</v>
      </c>
      <c r="L6994" s="50" t="s">
        <v>80</v>
      </c>
    </row>
    <row r="6995" spans="2:12">
      <c r="B6995" s="50" t="s">
        <v>381</v>
      </c>
      <c r="C6995" s="50" t="str">
        <f>IFERROR(VLOOKUP(#REF!,'BD COLABORADORES'!A:E,7,FALSE),"")</f>
        <v/>
      </c>
      <c r="D6995" s="50" t="str">
        <f>IFERROR(VLOOKUP(#REF!,'BD COLABORADORES'!A:E,2,FALSE),"")</f>
        <v/>
      </c>
      <c r="E6995" s="50">
        <v>50043917</v>
      </c>
      <c r="F6995" s="50" t="str">
        <f>IFERROR(VLOOKUP(E6995,'BD MOVIMENTAÇÃO'!A:G,3,FALSE),"Não encontrado")</f>
        <v>PARAFUSADEIRA FURADEIRA BOSCH</v>
      </c>
      <c r="G6995" s="50">
        <v>1</v>
      </c>
      <c r="H6995" s="50" t="s">
        <v>2</v>
      </c>
      <c r="I6995" s="50" t="s">
        <v>312</v>
      </c>
      <c r="J6995" s="51">
        <v>45874</v>
      </c>
      <c r="K6995" s="50" t="s">
        <v>3</v>
      </c>
      <c r="L6995" s="50" t="s">
        <v>80</v>
      </c>
    </row>
    <row r="6996" spans="2:12">
      <c r="B6996" s="50" t="s">
        <v>466</v>
      </c>
      <c r="C6996" s="50" t="s">
        <v>62</v>
      </c>
      <c r="D6996" s="61" t="s">
        <v>27</v>
      </c>
      <c r="E6996" s="50">
        <v>50003295</v>
      </c>
      <c r="F6996" s="50" t="s">
        <v>207</v>
      </c>
      <c r="G6996" s="50">
        <v>1</v>
      </c>
      <c r="H6996" s="50" t="s">
        <v>2</v>
      </c>
      <c r="I6996" s="50" t="s">
        <v>293</v>
      </c>
      <c r="J6996" s="51">
        <v>45874</v>
      </c>
      <c r="K6996" s="50" t="s">
        <v>1</v>
      </c>
      <c r="L6996" s="50" t="s">
        <v>80</v>
      </c>
    </row>
    <row r="6997" spans="2:12">
      <c r="B6997" s="50" t="s">
        <v>466</v>
      </c>
      <c r="C6997" s="50" t="s">
        <v>62</v>
      </c>
      <c r="D6997" s="61" t="s">
        <v>27</v>
      </c>
      <c r="E6997" s="50">
        <v>50003295</v>
      </c>
      <c r="F6997" s="50" t="s">
        <v>207</v>
      </c>
      <c r="G6997" s="50">
        <v>1</v>
      </c>
      <c r="H6997" s="50" t="s">
        <v>2</v>
      </c>
      <c r="I6997" s="50" t="s">
        <v>293</v>
      </c>
      <c r="J6997" s="51">
        <v>45874</v>
      </c>
      <c r="K6997" s="50" t="s">
        <v>1</v>
      </c>
      <c r="L6997" s="50" t="s">
        <v>80</v>
      </c>
    </row>
    <row r="6998" spans="2:12">
      <c r="B6998" s="50" t="s">
        <v>469</v>
      </c>
      <c r="C6998" s="50" t="s">
        <v>26</v>
      </c>
      <c r="D6998" s="50" t="s">
        <v>39</v>
      </c>
      <c r="E6998" s="50">
        <v>50005179</v>
      </c>
      <c r="F6998" s="50" t="s">
        <v>224</v>
      </c>
      <c r="G6998" s="50">
        <v>1</v>
      </c>
      <c r="H6998" s="50" t="s">
        <v>2</v>
      </c>
      <c r="I6998" s="50" t="s">
        <v>289</v>
      </c>
      <c r="J6998" s="51">
        <v>45874</v>
      </c>
      <c r="K6998" s="50" t="s">
        <v>3</v>
      </c>
      <c r="L6998" s="50" t="s">
        <v>80</v>
      </c>
    </row>
    <row r="6999" spans="2:12">
      <c r="B6999" s="50" t="s">
        <v>469</v>
      </c>
      <c r="C6999" s="50" t="s">
        <v>26</v>
      </c>
      <c r="D6999" s="50" t="s">
        <v>39</v>
      </c>
      <c r="E6999" s="50">
        <v>50005179</v>
      </c>
      <c r="F6999" s="50" t="s">
        <v>224</v>
      </c>
      <c r="G6999" s="50">
        <v>1</v>
      </c>
      <c r="H6999" s="50" t="s">
        <v>2</v>
      </c>
      <c r="I6999" s="50" t="s">
        <v>293</v>
      </c>
      <c r="J6999" s="51">
        <v>45874</v>
      </c>
      <c r="K6999" s="50" t="s">
        <v>3</v>
      </c>
      <c r="L6999" s="50" t="s">
        <v>80</v>
      </c>
    </row>
    <row r="7000" spans="2:12">
      <c r="B7000" s="50" t="s">
        <v>427</v>
      </c>
      <c r="C7000" s="50" t="s">
        <v>26</v>
      </c>
      <c r="D7000" s="50" t="s">
        <v>27</v>
      </c>
      <c r="E7000" s="50">
        <v>50037946</v>
      </c>
      <c r="F7000" s="50" t="s">
        <v>230</v>
      </c>
      <c r="G7000" s="50">
        <v>1</v>
      </c>
      <c r="H7000" s="50" t="s">
        <v>2</v>
      </c>
      <c r="I7000" s="50" t="s">
        <v>293</v>
      </c>
      <c r="J7000" s="51">
        <v>45874</v>
      </c>
      <c r="K7000" s="50" t="s">
        <v>1</v>
      </c>
      <c r="L7000" s="50" t="s">
        <v>80</v>
      </c>
    </row>
    <row r="7001" spans="2:12">
      <c r="B7001" s="50" t="s">
        <v>427</v>
      </c>
      <c r="C7001" s="50" t="s">
        <v>26</v>
      </c>
      <c r="D7001" s="50" t="s">
        <v>27</v>
      </c>
      <c r="E7001" s="50">
        <v>50037946</v>
      </c>
      <c r="F7001" s="50" t="s">
        <v>230</v>
      </c>
      <c r="G7001" s="50">
        <v>1</v>
      </c>
      <c r="H7001" s="50" t="s">
        <v>2</v>
      </c>
      <c r="I7001" s="50" t="s">
        <v>293</v>
      </c>
      <c r="J7001" s="51">
        <v>45874</v>
      </c>
      <c r="K7001" s="50" t="s">
        <v>1</v>
      </c>
      <c r="L7001" s="50" t="s">
        <v>80</v>
      </c>
    </row>
    <row r="7002" spans="2:12">
      <c r="B7002" s="50" t="s">
        <v>381</v>
      </c>
      <c r="C7002" s="50" t="str">
        <f>IFERROR(VLOOKUP(#REF!,'BD COLABORADORES'!A:E,7,FALSE),"")</f>
        <v/>
      </c>
      <c r="D7002" s="61" t="str">
        <f>IFERROR(VLOOKUP(#REF!,'BD COLABORADORES'!A:E,2,FALSE),"")</f>
        <v/>
      </c>
      <c r="E7002" s="50">
        <v>50043917</v>
      </c>
      <c r="F7002" s="50" t="str">
        <f>IFERROR(VLOOKUP(E7002,'BD MOVIMENTAÇÃO'!A:G,3,FALSE),"Não encontrado")</f>
        <v>PARAFUSADEIRA FURADEIRA BOSCH</v>
      </c>
      <c r="G7002" s="50">
        <v>1</v>
      </c>
      <c r="H7002" s="50" t="s">
        <v>2</v>
      </c>
      <c r="I7002" s="50" t="s">
        <v>309</v>
      </c>
      <c r="J7002" s="51">
        <v>45873</v>
      </c>
      <c r="K7002" s="50" t="s">
        <v>1</v>
      </c>
      <c r="L7002" s="50" t="s">
        <v>80</v>
      </c>
    </row>
    <row r="7003" spans="2:12">
      <c r="B7003" s="50" t="s">
        <v>428</v>
      </c>
      <c r="C7003" s="50" t="s">
        <v>26</v>
      </c>
      <c r="D7003" s="61" t="s">
        <v>27</v>
      </c>
      <c r="E7003" s="50">
        <v>50038956</v>
      </c>
      <c r="F7003" s="50" t="s">
        <v>177</v>
      </c>
      <c r="G7003" s="50">
        <v>1</v>
      </c>
      <c r="H7003" s="50" t="s">
        <v>2</v>
      </c>
      <c r="I7003" s="50" t="s">
        <v>290</v>
      </c>
      <c r="J7003" s="51">
        <v>45664</v>
      </c>
      <c r="K7003" s="50" t="s">
        <v>3</v>
      </c>
      <c r="L7003" s="50" t="s">
        <v>80</v>
      </c>
    </row>
    <row r="7004" spans="2:12">
      <c r="B7004" s="50" t="s">
        <v>428</v>
      </c>
      <c r="C7004" s="50" t="s">
        <v>26</v>
      </c>
      <c r="D7004" s="61" t="s">
        <v>27</v>
      </c>
      <c r="E7004" s="50">
        <v>50038956</v>
      </c>
      <c r="F7004" s="50" t="s">
        <v>177</v>
      </c>
      <c r="G7004" s="50">
        <v>1</v>
      </c>
      <c r="H7004" s="50" t="s">
        <v>2</v>
      </c>
      <c r="I7004" s="50" t="s">
        <v>291</v>
      </c>
      <c r="J7004" s="51">
        <v>45664</v>
      </c>
      <c r="K7004" s="50" t="s">
        <v>3</v>
      </c>
      <c r="L7004" s="50" t="s">
        <v>80</v>
      </c>
    </row>
    <row r="7005" spans="2:12">
      <c r="B7005" s="50" t="s">
        <v>55</v>
      </c>
      <c r="C7005" s="50" t="s">
        <v>51</v>
      </c>
      <c r="D7005" s="61" t="s">
        <v>41</v>
      </c>
      <c r="E7005" s="50">
        <v>50041195</v>
      </c>
      <c r="F7005" s="50" t="s">
        <v>206</v>
      </c>
      <c r="G7005" s="50">
        <v>1</v>
      </c>
      <c r="H7005" s="50" t="s">
        <v>2</v>
      </c>
      <c r="I7005" s="50" t="s">
        <v>291</v>
      </c>
      <c r="J7005" s="51">
        <v>45664</v>
      </c>
      <c r="K7005" s="59" t="s">
        <v>3</v>
      </c>
      <c r="L7005" s="50" t="s">
        <v>80</v>
      </c>
    </row>
    <row r="7006" spans="2:12">
      <c r="B7006" s="50" t="s">
        <v>402</v>
      </c>
      <c r="C7006" s="50" t="s">
        <v>26</v>
      </c>
      <c r="D7006" s="62" t="s">
        <v>36</v>
      </c>
      <c r="E7006" s="50">
        <v>50037892</v>
      </c>
      <c r="F7006" s="50" t="s">
        <v>178</v>
      </c>
      <c r="G7006" s="50">
        <v>1</v>
      </c>
      <c r="H7006" s="50" t="s">
        <v>2</v>
      </c>
      <c r="I7006" s="59" t="s">
        <v>345</v>
      </c>
      <c r="J7006" s="63">
        <v>45662</v>
      </c>
      <c r="K7006" s="59" t="s">
        <v>1</v>
      </c>
      <c r="L7006" s="50" t="s">
        <v>80</v>
      </c>
    </row>
    <row r="7007" spans="2:12">
      <c r="B7007" s="50" t="s">
        <v>402</v>
      </c>
      <c r="C7007" s="50" t="s">
        <v>26</v>
      </c>
      <c r="D7007" s="62" t="s">
        <v>36</v>
      </c>
      <c r="E7007" s="50">
        <v>50037892</v>
      </c>
      <c r="F7007" s="50" t="s">
        <v>178</v>
      </c>
      <c r="G7007" s="58">
        <v>1</v>
      </c>
      <c r="H7007" s="50" t="s">
        <v>2</v>
      </c>
      <c r="I7007" s="59" t="s">
        <v>345</v>
      </c>
      <c r="J7007" s="63">
        <v>45662</v>
      </c>
      <c r="K7007" s="59" t="s">
        <v>1</v>
      </c>
      <c r="L7007" s="50" t="s">
        <v>80</v>
      </c>
    </row>
    <row r="7008" spans="2:12">
      <c r="B7008" s="50" t="s">
        <v>439</v>
      </c>
      <c r="C7008" s="50" t="s">
        <v>26</v>
      </c>
      <c r="D7008" s="62" t="s">
        <v>41</v>
      </c>
      <c r="E7008" s="50">
        <v>50037952</v>
      </c>
      <c r="F7008" s="50" t="s">
        <v>245</v>
      </c>
      <c r="G7008" s="58">
        <v>1</v>
      </c>
      <c r="H7008" s="50" t="s">
        <v>2</v>
      </c>
      <c r="I7008" s="59" t="s">
        <v>345</v>
      </c>
      <c r="J7008" s="63">
        <v>45662</v>
      </c>
      <c r="K7008" s="59" t="s">
        <v>3</v>
      </c>
      <c r="L7008" s="50" t="s">
        <v>80</v>
      </c>
    </row>
    <row r="7009" spans="2:12">
      <c r="B7009" s="50" t="s">
        <v>439</v>
      </c>
      <c r="C7009" s="50" t="s">
        <v>26</v>
      </c>
      <c r="D7009" s="62" t="s">
        <v>41</v>
      </c>
      <c r="E7009" s="50">
        <v>50037952</v>
      </c>
      <c r="F7009" s="50" t="s">
        <v>245</v>
      </c>
      <c r="G7009" s="58">
        <v>1</v>
      </c>
      <c r="H7009" s="50" t="s">
        <v>2</v>
      </c>
      <c r="I7009" s="59" t="s">
        <v>345</v>
      </c>
      <c r="J7009" s="63">
        <v>45662</v>
      </c>
      <c r="K7009" s="59" t="s">
        <v>1</v>
      </c>
      <c r="L7009" s="50" t="s">
        <v>80</v>
      </c>
    </row>
    <row r="7010" spans="2:12">
      <c r="B7010" s="50" t="s">
        <v>401</v>
      </c>
      <c r="C7010" s="50" t="s">
        <v>26</v>
      </c>
      <c r="D7010" s="62" t="s">
        <v>36</v>
      </c>
      <c r="E7010" s="50">
        <v>50001740</v>
      </c>
      <c r="F7010" s="50" t="s">
        <v>294</v>
      </c>
      <c r="G7010" s="58">
        <v>1</v>
      </c>
      <c r="H7010" s="50" t="s">
        <v>2</v>
      </c>
      <c r="I7010" s="59" t="s">
        <v>345</v>
      </c>
      <c r="J7010" s="63">
        <v>45662</v>
      </c>
      <c r="K7010" s="59" t="s">
        <v>3</v>
      </c>
      <c r="L7010" s="50"/>
    </row>
    <row r="7011" spans="2:12">
      <c r="B7011" s="50" t="s">
        <v>401</v>
      </c>
      <c r="C7011" s="50" t="s">
        <v>26</v>
      </c>
      <c r="D7011" s="62" t="s">
        <v>36</v>
      </c>
      <c r="E7011" s="50">
        <v>50001740</v>
      </c>
      <c r="F7011" s="50" t="s">
        <v>294</v>
      </c>
      <c r="G7011" s="58">
        <v>1</v>
      </c>
      <c r="H7011" s="50" t="s">
        <v>2</v>
      </c>
      <c r="I7011" s="59" t="s">
        <v>345</v>
      </c>
      <c r="J7011" s="63">
        <v>45662</v>
      </c>
      <c r="K7011" s="50" t="s">
        <v>3</v>
      </c>
      <c r="L7011" s="50" t="s">
        <v>80</v>
      </c>
    </row>
    <row r="7012" spans="2:12">
      <c r="B7012" s="50" t="s">
        <v>473</v>
      </c>
      <c r="C7012" s="50" t="s">
        <v>26</v>
      </c>
      <c r="D7012" s="61" t="s">
        <v>36</v>
      </c>
      <c r="E7012" s="50">
        <v>50010031</v>
      </c>
      <c r="F7012" s="50" t="s">
        <v>89</v>
      </c>
      <c r="G7012" s="50">
        <v>1</v>
      </c>
      <c r="H7012" s="50" t="s">
        <v>2</v>
      </c>
      <c r="I7012" s="50" t="s">
        <v>291</v>
      </c>
      <c r="J7012" s="51">
        <v>44958</v>
      </c>
      <c r="K7012" s="50"/>
    </row>
    <row r="7013" spans="2:12">
      <c r="B7013" s="50"/>
      <c r="C7013" s="50"/>
      <c r="D7013" s="61"/>
      <c r="E7013" s="50"/>
      <c r="F7013" s="50"/>
      <c r="G7013" s="50"/>
      <c r="H7013" s="50"/>
      <c r="I7013" s="50"/>
      <c r="J7013" s="51"/>
    </row>
  </sheetData>
  <autoFilter ref="B1:L7012" xr:uid="{00000000-0009-0000-0000-000006000000}">
    <sortState xmlns:xlrd2="http://schemas.microsoft.com/office/spreadsheetml/2017/richdata2" ref="M2:X5517">
      <sortCondition descending="1" ref="V1:V5517"/>
    </sortState>
  </autoFilter>
  <conditionalFormatting sqref="K5538:K5539 K5370 K5417:K5441 K5029 K5032:K5039 K4849:K4850 K4846 K4810:K4813 K4661:K4675 K4654:K4656 K4545:K4546 K5041:K5060 K4237 K4241:K4265 K4234:K4235 K4267:K4274 K4293:K4294 K4276:K4277 K4279:K4281 K4147 K4137:K4145 K4132:K4135 K4111:K4114 K4116:K4130 K4076:K4080 K4082:K4090 K3864:K3878 K3860:K3862 K3854:K3857 K3826:K3827 K3824 K3820 K3797:K3818 K3793:K3795 K3788:K3791 K3786 K3736:K3738 K3706:K3709 K3648:K3650 K3610:K3632 K3602:K3608 K3563:K3595 K3492:K3556 K3488:K3490 K3432:K3433 K3430 K3426:K3427 K3435:K3437 K3349 K3341:K3342 K3277:K3336 K3264:K3274 K3260:K3262 K3222:K3227 K3181:K3182 K3152:K3153 K3148:K3150 K3146 K3132:K3140 K3129 K3127 K3122:K3125 K3117:K3118 K3094:K3096 K3087:K3088 K3062:K3063 K3056:K3057 K3021:K3049 K3015:K3017 K3008 K3005 K2967:K2970 K2963 K2954:K2958 K2950:K2952 K2945:K2948 K2940:K2942 K2917 K2908:K2909 K2847:K2848 K2845 K2818:K2821 K2811:K2813 K2806 K2727 K2724:K2725 K2709:K2720 K2704:K2707 K2699:K2701 K2695 K2653:K2656 K2645:K2646 K2643 K2596:K2630 K2593 K2589 K2583 K2551 K2491:K2493 K2488 K2486 K2482 K2465:K2475 K2433:K2434 K2429 K2425 K2423 K2416:K2417 K2400:K2414 K2390 K2353:K2380 K2345 K2342:K2343 K2340 K2337 K2304:K2330 W2140 K2299:K2300 K2296 K2289 K2276:K2286 K2273 K2269:K2270 K2249:K2262 K2205:K2229 K2202 K2137:K2156 K2135 K2130:K2133 K2126 K2106:K2119 K2103 K2101 K2098 K2063:K2090 K2055:K2058 K2045:K2050 K2042:K2043 K2009:K2011 K1973:K1974 K1966:K1967 K1964 K1960 K3391:K3414 K3740:K3784 K3439:K3483 K5231:K5292 K4093:K4109 K3059:K3060 K3928:K3959 K4149:K4155 K4183:K4232 K2880:K2903 K2735:K2795 K2640 K3173:K3178 K2013:K2028 K4680:K4709 K4504:K4507 K3836:K3851 K2648:K2651 K1979:K2001 K3887:K3926 K4157:K4181 K2823:K2843 K5463:K5536 K4307:K4327 K2860:K2871 K3232:K3257 K6126:K6177 K5443:K5460 K5372:K5415 K4816:K4844 K4510:K4534 K2850:K2855 K2441:K2453 K2240:K2243 K2165:K2166 K4550:K4572 K3098:K3107 K2169:K2196 K2921:K2934 K3653:K3704 K3155:K3171 K3067:K3081 K5294:K5366 K4854:K4935 K4340:K4345 K5542:K5586 K4761:K4806 K4576:K4652 K2661:K2683 K6966:K1048576 K6091:K6124 K5186:K5228 K4283:K4291 K4389:K4455 K2553:K2577 K2460:K2461 K5775:K6085 K5131:K5184 K4713:K4759 K3712:K3734 K3185:K3217 K2974:K3002 K5089:K5127 K6179:K6962 K4943:K5022 K4457:K4496 K3961:K4073 K3351:K3381 K5588:K5772 K2496:K2541 K5062:K5087 K1905:K1956 K1893:K1894 K1864:K1882 K1858:K1859 K1849:K1853 K1789:K1847 K1784:K1786 K1781:K1782 K1897:K1901 K1746:K1769 K1742:K1744 K1735 K1731:K1733 K1724:K1726 K1702:K1720 K1697:K1699 K1676:K1691 K1674 K1667 K1642:K1643 K1639 K1635 K1633 K1645:K1661 K1625:K1627 K1591:K1623 K1588:K1589 K1585:K1586 K1568:K1575 K1518:K1566 K1514:K1515 K1509:K1510 K1504:K1507 K1475 K1471 K1468 K1462:K1463 K1458 K1437:K1456 K1435 K1430:K1433 K1424:K1425 K1412:K1420 K1402:K1405 K1407:K1408 K1397:K1398 K1400 K1394:K1395 K1362:K1382 K1358:K1360 K1351:K1352 K1346:K1349 K1337 K1301:K1335 K1297 K1294 K1289:K1290 K1284 K1254:K1279 K1252 K1246:K1247 K1244 K1241:K1242 K1210:K1232 K1208 K1205 K1203 K1199 K1195 K1175:K1188 K1163:K1172 K1160:K1161 K1158 K1156 K1116:K1150 K1112:K1113 K1109:K1110 K1107 K1105 K1103 K1098:K1100 K1033:K1036 K1030:K1031 K1022:K1023 K1018 K996:K1015 K993 K989 K985 K982:K983 K970:K975 K968 K963:K964 K943:K957 K911:K934 K909 K903:K905 K901 K896:K898 K870:K881 K861:K867 K855 K849 K813:K814 K801:K805 K730:K754 K724:K727 K720 K688:K712 K659 K662:K685 K637:K657 K604:K635 K762:K785 K819:K844 K1040:K1086 K1477:K1499 K787:K798 K574:K602 K538:K569 K535:K536 K507:K529 K505 K465:K491 K399:K461 K349:K396 K305:K342 K279:K298 K252:K276 K241:K248 K237:K239 K233:K235 K213:K231 K210:K211 K208 K203 K181:K196 K172:K174 K145:K169 K142 K140 K136:K138 K131 K122 K103:K120 K101 K99 K95:K97 K1:K4 K70:K88 K67 K62:K63 K46:K59 K43:K44 K22:K39 K17:K19 K15 K11">
    <cfRule type="cellIs" dxfId="2236" priority="2520" operator="equal">
      <formula>"SAIDA"</formula>
    </cfRule>
    <cfRule type="cellIs" dxfId="2235" priority="2521" operator="equal">
      <formula>"ENTRADA"</formula>
    </cfRule>
  </conditionalFormatting>
  <conditionalFormatting sqref="K6178">
    <cfRule type="cellIs" dxfId="2234" priority="2515" operator="equal">
      <formula>"SAIDA"</formula>
    </cfRule>
    <cfRule type="cellIs" dxfId="2233" priority="2516" operator="equal">
      <formula>"ENTRADA"</formula>
    </cfRule>
  </conditionalFormatting>
  <conditionalFormatting sqref="K6125">
    <cfRule type="cellIs" dxfId="2232" priority="2513" operator="equal">
      <formula>"SAIDA"</formula>
    </cfRule>
    <cfRule type="cellIs" dxfId="2231" priority="2514" operator="equal">
      <formula>"ENTRADA"</formula>
    </cfRule>
  </conditionalFormatting>
  <conditionalFormatting sqref="K6089:K6090">
    <cfRule type="cellIs" dxfId="2230" priority="2509" operator="equal">
      <formula>"SAIDA"</formula>
    </cfRule>
    <cfRule type="cellIs" dxfId="2229" priority="2510" operator="equal">
      <formula>"ENTRADA"</formula>
    </cfRule>
  </conditionalFormatting>
  <conditionalFormatting sqref="K6087:K6088">
    <cfRule type="cellIs" dxfId="2228" priority="2507" operator="equal">
      <formula>"SAIDA"</formula>
    </cfRule>
    <cfRule type="cellIs" dxfId="2227" priority="2508" operator="equal">
      <formula>"ENTRADA"</formula>
    </cfRule>
  </conditionalFormatting>
  <conditionalFormatting sqref="K6086">
    <cfRule type="cellIs" dxfId="2226" priority="2505" operator="equal">
      <formula>"SAIDA"</formula>
    </cfRule>
    <cfRule type="cellIs" dxfId="2225" priority="2506" operator="equal">
      <formula>"ENTRADA"</formula>
    </cfRule>
  </conditionalFormatting>
  <conditionalFormatting sqref="K5774">
    <cfRule type="cellIs" dxfId="2224" priority="2501" operator="equal">
      <formula>"SAIDA"</formula>
    </cfRule>
    <cfRule type="cellIs" dxfId="2223" priority="2502" operator="equal">
      <formula>"ENTRADA"</formula>
    </cfRule>
  </conditionalFormatting>
  <conditionalFormatting sqref="K5773">
    <cfRule type="cellIs" dxfId="2222" priority="2499" operator="equal">
      <formula>"SAIDA"</formula>
    </cfRule>
    <cfRule type="cellIs" dxfId="2221" priority="2500" operator="equal">
      <formula>"ENTRADA"</formula>
    </cfRule>
  </conditionalFormatting>
  <conditionalFormatting sqref="K5587">
    <cfRule type="cellIs" dxfId="2220" priority="2492" operator="equal">
      <formula>"SAIDA"</formula>
    </cfRule>
    <cfRule type="cellIs" dxfId="2219" priority="2493" operator="equal">
      <formula>"ENTRADA"</formula>
    </cfRule>
  </conditionalFormatting>
  <conditionalFormatting sqref="K5541">
    <cfRule type="cellIs" dxfId="2218" priority="2490" operator="equal">
      <formula>"SAIDA"</formula>
    </cfRule>
    <cfRule type="cellIs" dxfId="2217" priority="2491" operator="equal">
      <formula>"ENTRADA"</formula>
    </cfRule>
  </conditionalFormatting>
  <conditionalFormatting sqref="K5540">
    <cfRule type="cellIs" dxfId="2216" priority="2488" operator="equal">
      <formula>"SAIDA"</formula>
    </cfRule>
    <cfRule type="cellIs" dxfId="2215" priority="2489" operator="equal">
      <formula>"ENTRADA"</formula>
    </cfRule>
  </conditionalFormatting>
  <conditionalFormatting sqref="K5537">
    <cfRule type="cellIs" dxfId="2214" priority="2486" operator="equal">
      <formula>"SAIDA"</formula>
    </cfRule>
    <cfRule type="cellIs" dxfId="2213" priority="2487" operator="equal">
      <formula>"ENTRADA"</formula>
    </cfRule>
  </conditionalFormatting>
  <conditionalFormatting sqref="K5462">
    <cfRule type="cellIs" dxfId="2212" priority="2482" operator="equal">
      <formula>"SAIDA"</formula>
    </cfRule>
    <cfRule type="cellIs" dxfId="2211" priority="2483" operator="equal">
      <formula>"ENTRADA"</formula>
    </cfRule>
  </conditionalFormatting>
  <conditionalFormatting sqref="K5461">
    <cfRule type="cellIs" dxfId="2210" priority="2480" operator="equal">
      <formula>"SAIDA"</formula>
    </cfRule>
    <cfRule type="cellIs" dxfId="2209" priority="2481" operator="equal">
      <formula>"ENTRADA"</formula>
    </cfRule>
  </conditionalFormatting>
  <conditionalFormatting sqref="K5442">
    <cfRule type="cellIs" dxfId="2208" priority="2478" operator="equal">
      <formula>"SAIDA"</formula>
    </cfRule>
    <cfRule type="cellIs" dxfId="2207" priority="2479" operator="equal">
      <formula>"ENTRADA"</formula>
    </cfRule>
  </conditionalFormatting>
  <conditionalFormatting sqref="K5416">
    <cfRule type="cellIs" dxfId="2206" priority="2476" operator="equal">
      <formula>"SAIDA"</formula>
    </cfRule>
    <cfRule type="cellIs" dxfId="2205" priority="2477" operator="equal">
      <formula>"ENTRADA"</formula>
    </cfRule>
  </conditionalFormatting>
  <conditionalFormatting sqref="K5371">
    <cfRule type="cellIs" dxfId="2204" priority="2472" operator="equal">
      <formula>"SAIDA"</formula>
    </cfRule>
    <cfRule type="cellIs" dxfId="2203" priority="2473" operator="equal">
      <formula>"ENTRADA"</formula>
    </cfRule>
  </conditionalFormatting>
  <conditionalFormatting sqref="K5369">
    <cfRule type="cellIs" dxfId="2202" priority="2470" operator="equal">
      <formula>"SAIDA"</formula>
    </cfRule>
    <cfRule type="cellIs" dxfId="2201" priority="2471" operator="equal">
      <formula>"ENTRADA"</formula>
    </cfRule>
  </conditionalFormatting>
  <conditionalFormatting sqref="K5368">
    <cfRule type="cellIs" dxfId="2200" priority="2468" operator="equal">
      <formula>"SAIDA"</formula>
    </cfRule>
    <cfRule type="cellIs" dxfId="2199" priority="2469" operator="equal">
      <formula>"ENTRADA"</formula>
    </cfRule>
  </conditionalFormatting>
  <conditionalFormatting sqref="K5367">
    <cfRule type="cellIs" dxfId="2198" priority="2466" operator="equal">
      <formula>"SAIDA"</formula>
    </cfRule>
    <cfRule type="cellIs" dxfId="2197" priority="2467" operator="equal">
      <formula>"ENTRADA"</formula>
    </cfRule>
  </conditionalFormatting>
  <conditionalFormatting sqref="K5230">
    <cfRule type="cellIs" dxfId="2196" priority="2464" operator="equal">
      <formula>"SAIDA"</formula>
    </cfRule>
    <cfRule type="cellIs" dxfId="2195" priority="2465" operator="equal">
      <formula>"ENTRADA"</formula>
    </cfRule>
  </conditionalFormatting>
  <conditionalFormatting sqref="K5229">
    <cfRule type="cellIs" dxfId="2194" priority="2462" operator="equal">
      <formula>"SAIDA"</formula>
    </cfRule>
    <cfRule type="cellIs" dxfId="2193" priority="2463" operator="equal">
      <formula>"ENTRADA"</formula>
    </cfRule>
  </conditionalFormatting>
  <conditionalFormatting sqref="K5185">
    <cfRule type="cellIs" dxfId="2192" priority="2460" operator="equal">
      <formula>"SAIDA"</formula>
    </cfRule>
    <cfRule type="cellIs" dxfId="2191" priority="2461" operator="equal">
      <formula>"ENTRADA"</formula>
    </cfRule>
  </conditionalFormatting>
  <conditionalFormatting sqref="K5130">
    <cfRule type="cellIs" dxfId="2190" priority="2456" operator="equal">
      <formula>"SAIDA"</formula>
    </cfRule>
    <cfRule type="cellIs" dxfId="2189" priority="2457" operator="equal">
      <formula>"ENTRADA"</formula>
    </cfRule>
  </conditionalFormatting>
  <conditionalFormatting sqref="K5129">
    <cfRule type="cellIs" dxfId="2188" priority="2454" operator="equal">
      <formula>"SAIDA"</formula>
    </cfRule>
    <cfRule type="cellIs" dxfId="2187" priority="2455" operator="equal">
      <formula>"ENTRADA"</formula>
    </cfRule>
  </conditionalFormatting>
  <conditionalFormatting sqref="K5128">
    <cfRule type="cellIs" dxfId="2186" priority="2452" operator="equal">
      <formula>"SAIDA"</formula>
    </cfRule>
    <cfRule type="cellIs" dxfId="2185" priority="2453" operator="equal">
      <formula>"ENTRADA"</formula>
    </cfRule>
  </conditionalFormatting>
  <conditionalFormatting sqref="K5088">
    <cfRule type="cellIs" dxfId="2184" priority="2450" operator="equal">
      <formula>"SAIDA"</formula>
    </cfRule>
    <cfRule type="cellIs" dxfId="2183" priority="2451" operator="equal">
      <formula>"ENTRADA"</formula>
    </cfRule>
  </conditionalFormatting>
  <conditionalFormatting sqref="K5061">
    <cfRule type="cellIs" dxfId="2182" priority="2446" operator="equal">
      <formula>"SAIDA"</formula>
    </cfRule>
    <cfRule type="cellIs" dxfId="2181" priority="2447" operator="equal">
      <formula>"ENTRADA"</formula>
    </cfRule>
  </conditionalFormatting>
  <conditionalFormatting sqref="K5031">
    <cfRule type="cellIs" dxfId="2180" priority="2444" operator="equal">
      <formula>"SAIDA"</formula>
    </cfRule>
    <cfRule type="cellIs" dxfId="2179" priority="2445" operator="equal">
      <formula>"ENTRADA"</formula>
    </cfRule>
  </conditionalFormatting>
  <conditionalFormatting sqref="K5030">
    <cfRule type="cellIs" dxfId="2178" priority="2442" operator="equal">
      <formula>"SAIDA"</formula>
    </cfRule>
    <cfRule type="cellIs" dxfId="2177" priority="2443" operator="equal">
      <formula>"ENTRADA"</formula>
    </cfRule>
  </conditionalFormatting>
  <conditionalFormatting sqref="K5028">
    <cfRule type="cellIs" dxfId="2176" priority="2440" operator="equal">
      <formula>"SAIDA"</formula>
    </cfRule>
    <cfRule type="cellIs" dxfId="2175" priority="2441" operator="equal">
      <formula>"ENTRADA"</formula>
    </cfRule>
  </conditionalFormatting>
  <conditionalFormatting sqref="K5027">
    <cfRule type="cellIs" dxfId="2174" priority="2438" operator="equal">
      <formula>"SAIDA"</formula>
    </cfRule>
    <cfRule type="cellIs" dxfId="2173" priority="2439" operator="equal">
      <formula>"ENTRADA"</formula>
    </cfRule>
  </conditionalFormatting>
  <conditionalFormatting sqref="K5025:K5026">
    <cfRule type="cellIs" dxfId="2172" priority="2436" operator="equal">
      <formula>"SAIDA"</formula>
    </cfRule>
    <cfRule type="cellIs" dxfId="2171" priority="2437" operator="equal">
      <formula>"ENTRADA"</formula>
    </cfRule>
  </conditionalFormatting>
  <conditionalFormatting sqref="K5024">
    <cfRule type="cellIs" dxfId="2170" priority="2434" operator="equal">
      <formula>"SAIDA"</formula>
    </cfRule>
    <cfRule type="cellIs" dxfId="2169" priority="2435" operator="equal">
      <formula>"ENTRADA"</formula>
    </cfRule>
  </conditionalFormatting>
  <conditionalFormatting sqref="K5023">
    <cfRule type="cellIs" dxfId="2168" priority="2432" operator="equal">
      <formula>"SAIDA"</formula>
    </cfRule>
    <cfRule type="cellIs" dxfId="2167" priority="2433" operator="equal">
      <formula>"ENTRADA"</formula>
    </cfRule>
  </conditionalFormatting>
  <conditionalFormatting sqref="K4942">
    <cfRule type="cellIs" dxfId="2166" priority="2426" operator="equal">
      <formula>"SAIDA"</formula>
    </cfRule>
    <cfRule type="cellIs" dxfId="2165" priority="2427" operator="equal">
      <formula>"ENTRADA"</formula>
    </cfRule>
  </conditionalFormatting>
  <conditionalFormatting sqref="K4941">
    <cfRule type="cellIs" dxfId="2164" priority="2424" operator="equal">
      <formula>"SAIDA"</formula>
    </cfRule>
    <cfRule type="cellIs" dxfId="2163" priority="2425" operator="equal">
      <formula>"ENTRADA"</formula>
    </cfRule>
  </conditionalFormatting>
  <conditionalFormatting sqref="K4936">
    <cfRule type="cellIs" dxfId="2162" priority="2416" operator="equal">
      <formula>"SAIDA"</formula>
    </cfRule>
    <cfRule type="cellIs" dxfId="2161" priority="2417" operator="equal">
      <formula>"ENTRADA"</formula>
    </cfRule>
  </conditionalFormatting>
  <conditionalFormatting sqref="K4940">
    <cfRule type="cellIs" dxfId="2160" priority="2422" operator="equal">
      <formula>"SAIDA"</formula>
    </cfRule>
    <cfRule type="cellIs" dxfId="2159" priority="2423" operator="equal">
      <formula>"ENTRADA"</formula>
    </cfRule>
  </conditionalFormatting>
  <conditionalFormatting sqref="K4939">
    <cfRule type="cellIs" dxfId="2158" priority="2420" operator="equal">
      <formula>"SAIDA"</formula>
    </cfRule>
    <cfRule type="cellIs" dxfId="2157" priority="2421" operator="equal">
      <formula>"ENTRADA"</formula>
    </cfRule>
  </conditionalFormatting>
  <conditionalFormatting sqref="K4938">
    <cfRule type="cellIs" dxfId="2156" priority="2418" operator="equal">
      <formula>"SAIDA"</formula>
    </cfRule>
    <cfRule type="cellIs" dxfId="2155" priority="2419" operator="equal">
      <formula>"ENTRADA"</formula>
    </cfRule>
  </conditionalFormatting>
  <conditionalFormatting sqref="K4937">
    <cfRule type="cellIs" dxfId="2154" priority="2414" operator="equal">
      <formula>"SAIDA"</formula>
    </cfRule>
    <cfRule type="cellIs" dxfId="2153" priority="2415" operator="equal">
      <formula>"ENTRADA"</formula>
    </cfRule>
  </conditionalFormatting>
  <conditionalFormatting sqref="K4853">
    <cfRule type="cellIs" dxfId="2152" priority="2406" operator="equal">
      <formula>"SAIDA"</formula>
    </cfRule>
    <cfRule type="cellIs" dxfId="2151" priority="2407" operator="equal">
      <formula>"ENTRADA"</formula>
    </cfRule>
  </conditionalFormatting>
  <conditionalFormatting sqref="K4852">
    <cfRule type="cellIs" dxfId="2150" priority="2402" operator="equal">
      <formula>"SAIDA"</formula>
    </cfRule>
    <cfRule type="cellIs" dxfId="2149" priority="2403" operator="equal">
      <formula>"ENTRADA"</formula>
    </cfRule>
  </conditionalFormatting>
  <conditionalFormatting sqref="K4851">
    <cfRule type="cellIs" dxfId="2148" priority="2398" operator="equal">
      <formula>"SAIDA"</formula>
    </cfRule>
    <cfRule type="cellIs" dxfId="2147" priority="2399" operator="equal">
      <formula>"ENTRADA"</formula>
    </cfRule>
  </conditionalFormatting>
  <conditionalFormatting sqref="K4848">
    <cfRule type="cellIs" dxfId="2146" priority="2394" operator="equal">
      <formula>"SAIDA"</formula>
    </cfRule>
    <cfRule type="cellIs" dxfId="2145" priority="2395" operator="equal">
      <formula>"ENTRADA"</formula>
    </cfRule>
  </conditionalFormatting>
  <conditionalFormatting sqref="K4847">
    <cfRule type="cellIs" dxfId="2144" priority="2390" operator="equal">
      <formula>"SAIDA"</formula>
    </cfRule>
    <cfRule type="cellIs" dxfId="2143" priority="2391" operator="equal">
      <formula>"ENTRADA"</formula>
    </cfRule>
  </conditionalFormatting>
  <conditionalFormatting sqref="K4845">
    <cfRule type="cellIs" dxfId="2142" priority="2386" operator="equal">
      <formula>"SAIDA"</formula>
    </cfRule>
    <cfRule type="cellIs" dxfId="2141" priority="2387" operator="equal">
      <formula>"ENTRADA"</formula>
    </cfRule>
  </conditionalFormatting>
  <conditionalFormatting sqref="K4814:K4815">
    <cfRule type="cellIs" dxfId="2140" priority="2384" operator="equal">
      <formula>"SAIDA"</formula>
    </cfRule>
    <cfRule type="cellIs" dxfId="2139" priority="2385" operator="equal">
      <formula>"ENTRADA"</formula>
    </cfRule>
  </conditionalFormatting>
  <conditionalFormatting sqref="K4809">
    <cfRule type="cellIs" dxfId="2138" priority="2382" operator="equal">
      <formula>"SAIDA"</formula>
    </cfRule>
    <cfRule type="cellIs" dxfId="2137" priority="2383" operator="equal">
      <formula>"ENTRADA"</formula>
    </cfRule>
  </conditionalFormatting>
  <conditionalFormatting sqref="K4807:K4808">
    <cfRule type="cellIs" dxfId="2136" priority="2378" operator="equal">
      <formula>"SAIDA"</formula>
    </cfRule>
    <cfRule type="cellIs" dxfId="2135" priority="2379" operator="equal">
      <formula>"ENTRADA"</formula>
    </cfRule>
  </conditionalFormatting>
  <conditionalFormatting sqref="K4760">
    <cfRule type="cellIs" dxfId="2134" priority="2372" operator="equal">
      <formula>"SAIDA"</formula>
    </cfRule>
    <cfRule type="cellIs" dxfId="2133" priority="2373" operator="equal">
      <formula>"ENTRADA"</formula>
    </cfRule>
  </conditionalFormatting>
  <conditionalFormatting sqref="K4710:K4712">
    <cfRule type="cellIs" dxfId="2132" priority="2370" operator="equal">
      <formula>"SAIDA"</formula>
    </cfRule>
    <cfRule type="cellIs" dxfId="2131" priority="2371" operator="equal">
      <formula>"ENTRADA"</formula>
    </cfRule>
  </conditionalFormatting>
  <conditionalFormatting sqref="K4679">
    <cfRule type="cellIs" dxfId="2130" priority="2368" operator="equal">
      <formula>"SAIDA"</formula>
    </cfRule>
    <cfRule type="cellIs" dxfId="2129" priority="2369" operator="equal">
      <formula>"ENTRADA"</formula>
    </cfRule>
  </conditionalFormatting>
  <conditionalFormatting sqref="K4678">
    <cfRule type="cellIs" dxfId="2128" priority="2364" operator="equal">
      <formula>"SAIDA"</formula>
    </cfRule>
    <cfRule type="cellIs" dxfId="2127" priority="2365" operator="equal">
      <formula>"ENTRADA"</formula>
    </cfRule>
  </conditionalFormatting>
  <conditionalFormatting sqref="K4677">
    <cfRule type="cellIs" dxfId="2126" priority="2362" operator="equal">
      <formula>"SAIDA"</formula>
    </cfRule>
    <cfRule type="cellIs" dxfId="2125" priority="2363" operator="equal">
      <formula>"ENTRADA"</formula>
    </cfRule>
  </conditionalFormatting>
  <conditionalFormatting sqref="K4676">
    <cfRule type="cellIs" dxfId="2124" priority="2360" operator="equal">
      <formula>"SAIDA"</formula>
    </cfRule>
    <cfRule type="cellIs" dxfId="2123" priority="2361" operator="equal">
      <formula>"ENTRADA"</formula>
    </cfRule>
  </conditionalFormatting>
  <conditionalFormatting sqref="K4660">
    <cfRule type="cellIs" dxfId="2122" priority="2358" operator="equal">
      <formula>"SAIDA"</formula>
    </cfRule>
    <cfRule type="cellIs" dxfId="2121" priority="2359" operator="equal">
      <formula>"ENTRADA"</formula>
    </cfRule>
  </conditionalFormatting>
  <conditionalFormatting sqref="K4659">
    <cfRule type="cellIs" dxfId="2120" priority="2356" operator="equal">
      <formula>"SAIDA"</formula>
    </cfRule>
    <cfRule type="cellIs" dxfId="2119" priority="2357" operator="equal">
      <formula>"ENTRADA"</formula>
    </cfRule>
  </conditionalFormatting>
  <conditionalFormatting sqref="K4658">
    <cfRule type="cellIs" dxfId="2118" priority="2354" operator="equal">
      <formula>"SAIDA"</formula>
    </cfRule>
    <cfRule type="cellIs" dxfId="2117" priority="2355" operator="equal">
      <formula>"ENTRADA"</formula>
    </cfRule>
  </conditionalFormatting>
  <conditionalFormatting sqref="K4657">
    <cfRule type="cellIs" dxfId="2116" priority="2351" operator="equal">
      <formula>"SAIDA"</formula>
    </cfRule>
    <cfRule type="cellIs" dxfId="2115" priority="2352" operator="equal">
      <formula>"ENTRADA"</formula>
    </cfRule>
  </conditionalFormatting>
  <conditionalFormatting sqref="K4653">
    <cfRule type="cellIs" dxfId="2114" priority="2348" operator="equal">
      <formula>"SAIDA"</formula>
    </cfRule>
    <cfRule type="cellIs" dxfId="2113" priority="2349" operator="equal">
      <formula>"ENTRADA"</formula>
    </cfRule>
  </conditionalFormatting>
  <conditionalFormatting sqref="K4575">
    <cfRule type="cellIs" dxfId="2112" priority="2346" operator="equal">
      <formula>"SAIDA"</formula>
    </cfRule>
    <cfRule type="cellIs" dxfId="2111" priority="2347" operator="equal">
      <formula>"ENTRADA"</formula>
    </cfRule>
  </conditionalFormatting>
  <conditionalFormatting sqref="K4574">
    <cfRule type="cellIs" dxfId="2110" priority="2344" operator="equal">
      <formula>"SAIDA"</formula>
    </cfRule>
    <cfRule type="cellIs" dxfId="2109" priority="2345" operator="equal">
      <formula>"ENTRADA"</formula>
    </cfRule>
  </conditionalFormatting>
  <conditionalFormatting sqref="K4573">
    <cfRule type="cellIs" dxfId="2108" priority="2342" operator="equal">
      <formula>"SAIDA"</formula>
    </cfRule>
    <cfRule type="cellIs" dxfId="2107" priority="2343" operator="equal">
      <formula>"ENTRADA"</formula>
    </cfRule>
  </conditionalFormatting>
  <conditionalFormatting sqref="K4549">
    <cfRule type="cellIs" dxfId="2106" priority="2340" operator="equal">
      <formula>"SAIDA"</formula>
    </cfRule>
    <cfRule type="cellIs" dxfId="2105" priority="2341" operator="equal">
      <formula>"ENTRADA"</formula>
    </cfRule>
  </conditionalFormatting>
  <conditionalFormatting sqref="K4547">
    <cfRule type="cellIs" dxfId="2104" priority="2336" operator="equal">
      <formula>"SAIDA"</formula>
    </cfRule>
    <cfRule type="cellIs" dxfId="2103" priority="2337" operator="equal">
      <formula>"ENTRADA"</formula>
    </cfRule>
  </conditionalFormatting>
  <conditionalFormatting sqref="K4548">
    <cfRule type="cellIs" dxfId="2102" priority="2338" operator="equal">
      <formula>"SAIDA"</formula>
    </cfRule>
    <cfRule type="cellIs" dxfId="2101" priority="2339" operator="equal">
      <formula>"ENTRADA"</formula>
    </cfRule>
  </conditionalFormatting>
  <conditionalFormatting sqref="K4540">
    <cfRule type="cellIs" dxfId="2100" priority="2328" operator="equal">
      <formula>"SAIDA"</formula>
    </cfRule>
    <cfRule type="cellIs" dxfId="2099" priority="2329" operator="equal">
      <formula>"ENTRADA"</formula>
    </cfRule>
  </conditionalFormatting>
  <conditionalFormatting sqref="K4543:K4544">
    <cfRule type="cellIs" dxfId="2098" priority="2334" operator="equal">
      <formula>"SAIDA"</formula>
    </cfRule>
    <cfRule type="cellIs" dxfId="2097" priority="2335" operator="equal">
      <formula>"ENTRADA"</formula>
    </cfRule>
  </conditionalFormatting>
  <conditionalFormatting sqref="K4541">
    <cfRule type="cellIs" dxfId="2096" priority="2332" operator="equal">
      <formula>"SAIDA"</formula>
    </cfRule>
    <cfRule type="cellIs" dxfId="2095" priority="2333" operator="equal">
      <formula>"ENTRADA"</formula>
    </cfRule>
  </conditionalFormatting>
  <conditionalFormatting sqref="K4542">
    <cfRule type="cellIs" dxfId="2094" priority="2330" operator="equal">
      <formula>"SAIDA"</formula>
    </cfRule>
    <cfRule type="cellIs" dxfId="2093" priority="2331" operator="equal">
      <formula>"ENTRADA"</formula>
    </cfRule>
  </conditionalFormatting>
  <conditionalFormatting sqref="K5293">
    <cfRule type="cellIs" dxfId="2092" priority="2326" operator="equal">
      <formula>"SAIDA"</formula>
    </cfRule>
    <cfRule type="cellIs" dxfId="2091" priority="2327" operator="equal">
      <formula>"ENTRADA"</formula>
    </cfRule>
  </conditionalFormatting>
  <conditionalFormatting sqref="K4538">
    <cfRule type="cellIs" dxfId="2090" priority="2320" operator="equal">
      <formula>"SAIDA"</formula>
    </cfRule>
    <cfRule type="cellIs" dxfId="2089" priority="2321" operator="equal">
      <formula>"ENTRADA"</formula>
    </cfRule>
  </conditionalFormatting>
  <conditionalFormatting sqref="K4539">
    <cfRule type="cellIs" dxfId="2088" priority="2322" operator="equal">
      <formula>"SAIDA"</formula>
    </cfRule>
    <cfRule type="cellIs" dxfId="2087" priority="2323" operator="equal">
      <formula>"ENTRADA"</formula>
    </cfRule>
  </conditionalFormatting>
  <conditionalFormatting sqref="K4537">
    <cfRule type="cellIs" dxfId="2086" priority="2318" operator="equal">
      <formula>"SAIDA"</formula>
    </cfRule>
    <cfRule type="cellIs" dxfId="2085" priority="2319" operator="equal">
      <formula>"ENTRADA"</formula>
    </cfRule>
  </conditionalFormatting>
  <conditionalFormatting sqref="K4536">
    <cfRule type="cellIs" dxfId="2084" priority="2316" operator="equal">
      <formula>"SAIDA"</formula>
    </cfRule>
    <cfRule type="cellIs" dxfId="2083" priority="2317" operator="equal">
      <formula>"ENTRADA"</formula>
    </cfRule>
  </conditionalFormatting>
  <conditionalFormatting sqref="K4535">
    <cfRule type="cellIs" dxfId="2082" priority="2314" operator="equal">
      <formula>"SAIDA"</formula>
    </cfRule>
    <cfRule type="cellIs" dxfId="2081" priority="2315" operator="equal">
      <formula>"ENTRADA"</formula>
    </cfRule>
  </conditionalFormatting>
  <conditionalFormatting sqref="K4509">
    <cfRule type="cellIs" dxfId="2080" priority="2312" operator="equal">
      <formula>"SAIDA"</formula>
    </cfRule>
    <cfRule type="cellIs" dxfId="2079" priority="2313" operator="equal">
      <formula>"ENTRADA"</formula>
    </cfRule>
  </conditionalFormatting>
  <conditionalFormatting sqref="K4508">
    <cfRule type="cellIs" dxfId="2078" priority="2310" operator="equal">
      <formula>"SAIDA"</formula>
    </cfRule>
    <cfRule type="cellIs" dxfId="2077" priority="2311" operator="equal">
      <formula>"ENTRADA"</formula>
    </cfRule>
  </conditionalFormatting>
  <conditionalFormatting sqref="K4503">
    <cfRule type="cellIs" dxfId="2076" priority="2306" operator="equal">
      <formula>"SAIDA"</formula>
    </cfRule>
    <cfRule type="cellIs" dxfId="2075" priority="2307" operator="equal">
      <formula>"ENTRADA"</formula>
    </cfRule>
  </conditionalFormatting>
  <conditionalFormatting sqref="K4501:K4502">
    <cfRule type="cellIs" dxfId="2074" priority="2300" operator="equal">
      <formula>"SAIDA"</formula>
    </cfRule>
    <cfRule type="cellIs" dxfId="2073" priority="2301" operator="equal">
      <formula>"ENTRADA"</formula>
    </cfRule>
  </conditionalFormatting>
  <conditionalFormatting sqref="K4500">
    <cfRule type="cellIs" dxfId="2072" priority="2296" operator="equal">
      <formula>"SAIDA"</formula>
    </cfRule>
    <cfRule type="cellIs" dxfId="2071" priority="2297" operator="equal">
      <formula>"ENTRADA"</formula>
    </cfRule>
  </conditionalFormatting>
  <conditionalFormatting sqref="K4499">
    <cfRule type="cellIs" dxfId="2070" priority="2292" operator="equal">
      <formula>"SAIDA"</formula>
    </cfRule>
    <cfRule type="cellIs" dxfId="2069" priority="2293" operator="equal">
      <formula>"ENTRADA"</formula>
    </cfRule>
  </conditionalFormatting>
  <conditionalFormatting sqref="K4498">
    <cfRule type="cellIs" dxfId="2068" priority="2288" operator="equal">
      <formula>"SAIDA"</formula>
    </cfRule>
    <cfRule type="cellIs" dxfId="2067" priority="2289" operator="equal">
      <formula>"ENTRADA"</formula>
    </cfRule>
  </conditionalFormatting>
  <conditionalFormatting sqref="K4497">
    <cfRule type="cellIs" dxfId="2066" priority="2284" operator="equal">
      <formula>"SAIDA"</formula>
    </cfRule>
    <cfRule type="cellIs" dxfId="2065" priority="2285" operator="equal">
      <formula>"ENTRADA"</formula>
    </cfRule>
  </conditionalFormatting>
  <conditionalFormatting sqref="K4376:K4378 K4351:K4363 K4365:K4369 K4371:K4374 K4338 K4329:K4331 K4333:K4336 K4347 K4296:K4305">
    <cfRule type="cellIs" dxfId="2064" priority="2282" operator="equal">
      <formula>"SAIDA"</formula>
    </cfRule>
    <cfRule type="cellIs" dxfId="2063" priority="2283" operator="equal">
      <formula>"ENTRADA"</formula>
    </cfRule>
  </conditionalFormatting>
  <conditionalFormatting sqref="K4456">
    <cfRule type="cellIs" dxfId="2062" priority="2280" operator="equal">
      <formula>"SAIDA"</formula>
    </cfRule>
    <cfRule type="cellIs" dxfId="2061" priority="2281" operator="equal">
      <formula>"ENTRADA"</formula>
    </cfRule>
  </conditionalFormatting>
  <conditionalFormatting sqref="K5040">
    <cfRule type="cellIs" dxfId="2060" priority="2278" operator="equal">
      <formula>"SAIDA"</formula>
    </cfRule>
    <cfRule type="cellIs" dxfId="2059" priority="2279" operator="equal">
      <formula>"ENTRADA"</formula>
    </cfRule>
  </conditionalFormatting>
  <conditionalFormatting sqref="K4387:K4388">
    <cfRule type="cellIs" dxfId="2058" priority="2276" operator="equal">
      <formula>"SAIDA"</formula>
    </cfRule>
    <cfRule type="cellIs" dxfId="2057" priority="2277" operator="equal">
      <formula>"ENTRADA"</formula>
    </cfRule>
  </conditionalFormatting>
  <conditionalFormatting sqref="K4385:K4386">
    <cfRule type="cellIs" dxfId="2056" priority="2274" operator="equal">
      <formula>"SAIDA"</formula>
    </cfRule>
    <cfRule type="cellIs" dxfId="2055" priority="2275" operator="equal">
      <formula>"ENTRADA"</formula>
    </cfRule>
  </conditionalFormatting>
  <conditionalFormatting sqref="K4384">
    <cfRule type="cellIs" dxfId="2054" priority="2272" operator="equal">
      <formula>"SAIDA"</formula>
    </cfRule>
    <cfRule type="cellIs" dxfId="2053" priority="2273" operator="equal">
      <formula>"ENTRADA"</formula>
    </cfRule>
  </conditionalFormatting>
  <conditionalFormatting sqref="K4383">
    <cfRule type="cellIs" dxfId="2052" priority="2270" operator="equal">
      <formula>"SAIDA"</formula>
    </cfRule>
    <cfRule type="cellIs" dxfId="2051" priority="2271" operator="equal">
      <formula>"ENTRADA"</formula>
    </cfRule>
  </conditionalFormatting>
  <conditionalFormatting sqref="K4382">
    <cfRule type="cellIs" dxfId="2050" priority="2268" operator="equal">
      <formula>"SAIDA"</formula>
    </cfRule>
    <cfRule type="cellIs" dxfId="2049" priority="2269" operator="equal">
      <formula>"ENTRADA"</formula>
    </cfRule>
  </conditionalFormatting>
  <conditionalFormatting sqref="K4381">
    <cfRule type="cellIs" dxfId="2048" priority="2264" operator="equal">
      <formula>"SAIDA"</formula>
    </cfRule>
    <cfRule type="cellIs" dxfId="2047" priority="2265" operator="equal">
      <formula>"ENTRADA"</formula>
    </cfRule>
  </conditionalFormatting>
  <conditionalFormatting sqref="K4380">
    <cfRule type="cellIs" dxfId="2046" priority="2262" operator="equal">
      <formula>"SAIDA"</formula>
    </cfRule>
    <cfRule type="cellIs" dxfId="2045" priority="2263" operator="equal">
      <formula>"ENTRADA"</formula>
    </cfRule>
  </conditionalFormatting>
  <conditionalFormatting sqref="K4379">
    <cfRule type="cellIs" dxfId="2044" priority="2260" operator="equal">
      <formula>"SAIDA"</formula>
    </cfRule>
    <cfRule type="cellIs" dxfId="2043" priority="2261" operator="equal">
      <formula>"ENTRADA"</formula>
    </cfRule>
  </conditionalFormatting>
  <conditionalFormatting sqref="K4375">
    <cfRule type="cellIs" dxfId="2042" priority="2250" operator="equal">
      <formula>"SAIDA"</formula>
    </cfRule>
    <cfRule type="cellIs" dxfId="2041" priority="2251" operator="equal">
      <formula>"ENTRADA"</formula>
    </cfRule>
  </conditionalFormatting>
  <conditionalFormatting sqref="K4349:K4350">
    <cfRule type="cellIs" dxfId="2040" priority="2248" operator="equal">
      <formula>"SAIDA"</formula>
    </cfRule>
    <cfRule type="cellIs" dxfId="2039" priority="2249" operator="equal">
      <formula>"ENTRADA"</formula>
    </cfRule>
  </conditionalFormatting>
  <conditionalFormatting sqref="K4364">
    <cfRule type="cellIs" dxfId="2038" priority="2246" operator="equal">
      <formula>"SAIDA"</formula>
    </cfRule>
    <cfRule type="cellIs" dxfId="2037" priority="2247" operator="equal">
      <formula>"ENTRADA"</formula>
    </cfRule>
  </conditionalFormatting>
  <conditionalFormatting sqref="K4370">
    <cfRule type="cellIs" dxfId="2036" priority="2244" operator="equal">
      <formula>"SAIDA"</formula>
    </cfRule>
    <cfRule type="cellIs" dxfId="2035" priority="2245" operator="equal">
      <formula>"ENTRADA"</formula>
    </cfRule>
  </conditionalFormatting>
  <conditionalFormatting sqref="K4348">
    <cfRule type="cellIs" dxfId="2034" priority="2242" operator="equal">
      <formula>"SAIDA"</formula>
    </cfRule>
    <cfRule type="cellIs" dxfId="2033" priority="2243" operator="equal">
      <formula>"ENTRADA"</formula>
    </cfRule>
  </conditionalFormatting>
  <conditionalFormatting sqref="K4337">
    <cfRule type="cellIs" dxfId="2032" priority="2240" operator="equal">
      <formula>"SAIDA"</formula>
    </cfRule>
    <cfRule type="cellIs" dxfId="2031" priority="2241" operator="equal">
      <formula>"ENTRADA"</formula>
    </cfRule>
  </conditionalFormatting>
  <conditionalFormatting sqref="K4328">
    <cfRule type="cellIs" dxfId="2030" priority="2238" operator="equal">
      <formula>"SAIDA"</formula>
    </cfRule>
    <cfRule type="cellIs" dxfId="2029" priority="2239" operator="equal">
      <formula>"ENTRADA"</formula>
    </cfRule>
  </conditionalFormatting>
  <conditionalFormatting sqref="K4332">
    <cfRule type="cellIs" dxfId="2028" priority="2236" operator="equal">
      <formula>"SAIDA"</formula>
    </cfRule>
    <cfRule type="cellIs" dxfId="2027" priority="2237" operator="equal">
      <formula>"ENTRADA"</formula>
    </cfRule>
  </conditionalFormatting>
  <conditionalFormatting sqref="K4346">
    <cfRule type="cellIs" dxfId="2026" priority="2234" operator="equal">
      <formula>"SAIDA"</formula>
    </cfRule>
    <cfRule type="cellIs" dxfId="2025" priority="2235" operator="equal">
      <formula>"ENTRADA"</formula>
    </cfRule>
  </conditionalFormatting>
  <conditionalFormatting sqref="K4295">
    <cfRule type="cellIs" dxfId="2024" priority="2232" operator="equal">
      <formula>"SAIDA"</formula>
    </cfRule>
    <cfRule type="cellIs" dxfId="2023" priority="2233" operator="equal">
      <formula>"ENTRADA"</formula>
    </cfRule>
  </conditionalFormatting>
  <conditionalFormatting sqref="K4339">
    <cfRule type="cellIs" dxfId="2022" priority="2230" operator="equal">
      <formula>"SAIDA"</formula>
    </cfRule>
    <cfRule type="cellIs" dxfId="2021" priority="2231" operator="equal">
      <formula>"ENTRADA"</formula>
    </cfRule>
  </conditionalFormatting>
  <conditionalFormatting sqref="K4306">
    <cfRule type="cellIs" dxfId="2020" priority="2228" operator="equal">
      <formula>"SAIDA"</formula>
    </cfRule>
    <cfRule type="cellIs" dxfId="2019" priority="2229" operator="equal">
      <formula>"ENTRADA"</formula>
    </cfRule>
  </conditionalFormatting>
  <conditionalFormatting sqref="K4236">
    <cfRule type="cellIs" dxfId="2018" priority="2226" operator="equal">
      <formula>"SAIDA"</formula>
    </cfRule>
    <cfRule type="cellIs" dxfId="2017" priority="2227" operator="equal">
      <formula>"ENTRADA"</formula>
    </cfRule>
  </conditionalFormatting>
  <conditionalFormatting sqref="K4240">
    <cfRule type="cellIs" dxfId="2016" priority="2224" operator="equal">
      <formula>"SAIDA"</formula>
    </cfRule>
    <cfRule type="cellIs" dxfId="2015" priority="2225" operator="equal">
      <formula>"ENTRADA"</formula>
    </cfRule>
  </conditionalFormatting>
  <conditionalFormatting sqref="K4233">
    <cfRule type="cellIs" dxfId="2014" priority="2222" operator="equal">
      <formula>"SAIDA"</formula>
    </cfRule>
    <cfRule type="cellIs" dxfId="2013" priority="2223" operator="equal">
      <formula>"ENTRADA"</formula>
    </cfRule>
  </conditionalFormatting>
  <conditionalFormatting sqref="K4266">
    <cfRule type="cellIs" dxfId="2012" priority="2220" operator="equal">
      <formula>"SAIDA"</formula>
    </cfRule>
    <cfRule type="cellIs" dxfId="2011" priority="2221" operator="equal">
      <formula>"ENTRADA"</formula>
    </cfRule>
  </conditionalFormatting>
  <conditionalFormatting sqref="K4292">
    <cfRule type="cellIs" dxfId="2010" priority="2218" operator="equal">
      <formula>"SAIDA"</formula>
    </cfRule>
    <cfRule type="cellIs" dxfId="2009" priority="2219" operator="equal">
      <formula>"ENTRADA"</formula>
    </cfRule>
  </conditionalFormatting>
  <conditionalFormatting sqref="K4238">
    <cfRule type="cellIs" dxfId="2008" priority="2216" operator="equal">
      <formula>"SAIDA"</formula>
    </cfRule>
    <cfRule type="cellIs" dxfId="2007" priority="2217" operator="equal">
      <formula>"ENTRADA"</formula>
    </cfRule>
  </conditionalFormatting>
  <conditionalFormatting sqref="K4239">
    <cfRule type="cellIs" dxfId="2006" priority="2214" operator="equal">
      <formula>"SAIDA"</formula>
    </cfRule>
    <cfRule type="cellIs" dxfId="2005" priority="2215" operator="equal">
      <formula>"ENTRADA"</formula>
    </cfRule>
  </conditionalFormatting>
  <conditionalFormatting sqref="K4275">
    <cfRule type="cellIs" dxfId="2004" priority="2212" operator="equal">
      <formula>"SAIDA"</formula>
    </cfRule>
    <cfRule type="cellIs" dxfId="2003" priority="2213" operator="equal">
      <formula>"ENTRADA"</formula>
    </cfRule>
  </conditionalFormatting>
  <conditionalFormatting sqref="K4282">
    <cfRule type="cellIs" dxfId="2002" priority="2210" operator="equal">
      <formula>"SAIDA"</formula>
    </cfRule>
    <cfRule type="cellIs" dxfId="2001" priority="2211" operator="equal">
      <formula>"ENTRADA"</formula>
    </cfRule>
  </conditionalFormatting>
  <conditionalFormatting sqref="K4278">
    <cfRule type="cellIs" dxfId="2000" priority="2208" operator="equal">
      <formula>"SAIDA"</formula>
    </cfRule>
    <cfRule type="cellIs" dxfId="1999" priority="2209" operator="equal">
      <formula>"ENTRADA"</formula>
    </cfRule>
  </conditionalFormatting>
  <conditionalFormatting sqref="K4148">
    <cfRule type="cellIs" dxfId="1998" priority="2206" operator="equal">
      <formula>"SAIDA"</formula>
    </cfRule>
    <cfRule type="cellIs" dxfId="1997" priority="2207" operator="equal">
      <formula>"ENTRADA"</formula>
    </cfRule>
  </conditionalFormatting>
  <conditionalFormatting sqref="K4156">
    <cfRule type="cellIs" dxfId="1996" priority="2204" operator="equal">
      <formula>"SAIDA"</formula>
    </cfRule>
    <cfRule type="cellIs" dxfId="1995" priority="2205" operator="equal">
      <formula>"ENTRADA"</formula>
    </cfRule>
  </conditionalFormatting>
  <conditionalFormatting sqref="K4182">
    <cfRule type="cellIs" dxfId="1994" priority="2202" operator="equal">
      <formula>"SAIDA"</formula>
    </cfRule>
    <cfRule type="cellIs" dxfId="1993" priority="2203" operator="equal">
      <formula>"ENTRADA"</formula>
    </cfRule>
  </conditionalFormatting>
  <conditionalFormatting sqref="K4146">
    <cfRule type="cellIs" dxfId="1992" priority="2200" operator="equal">
      <formula>"SAIDA"</formula>
    </cfRule>
    <cfRule type="cellIs" dxfId="1991" priority="2201" operator="equal">
      <formula>"ENTRADA"</formula>
    </cfRule>
  </conditionalFormatting>
  <conditionalFormatting sqref="K4136">
    <cfRule type="cellIs" dxfId="1990" priority="2198" operator="equal">
      <formula>"SAIDA"</formula>
    </cfRule>
    <cfRule type="cellIs" dxfId="1989" priority="2199" operator="equal">
      <formula>"ENTRADA"</formula>
    </cfRule>
  </conditionalFormatting>
  <conditionalFormatting sqref="K4131">
    <cfRule type="cellIs" dxfId="1988" priority="2196" operator="equal">
      <formula>"SAIDA"</formula>
    </cfRule>
    <cfRule type="cellIs" dxfId="1987" priority="2197" operator="equal">
      <formula>"ENTRADA"</formula>
    </cfRule>
  </conditionalFormatting>
  <conditionalFormatting sqref="K4110">
    <cfRule type="cellIs" dxfId="1986" priority="2194" operator="equal">
      <formula>"SAIDA"</formula>
    </cfRule>
    <cfRule type="cellIs" dxfId="1985" priority="2195" operator="equal">
      <formula>"ENTRADA"</formula>
    </cfRule>
  </conditionalFormatting>
  <conditionalFormatting sqref="K4115">
    <cfRule type="cellIs" dxfId="1984" priority="2192" operator="equal">
      <formula>"SAIDA"</formula>
    </cfRule>
    <cfRule type="cellIs" dxfId="1983" priority="2193" operator="equal">
      <formula>"ENTRADA"</formula>
    </cfRule>
  </conditionalFormatting>
  <conditionalFormatting sqref="K4091">
    <cfRule type="cellIs" dxfId="1982" priority="2190" operator="equal">
      <formula>"SAIDA"</formula>
    </cfRule>
    <cfRule type="cellIs" dxfId="1981" priority="2191" operator="equal">
      <formula>"ENTRADA"</formula>
    </cfRule>
  </conditionalFormatting>
  <conditionalFormatting sqref="K4092">
    <cfRule type="cellIs" dxfId="1980" priority="2188" operator="equal">
      <formula>"SAIDA"</formula>
    </cfRule>
    <cfRule type="cellIs" dxfId="1979" priority="2189" operator="equal">
      <formula>"ENTRADA"</formula>
    </cfRule>
  </conditionalFormatting>
  <conditionalFormatting sqref="K6963:K6965">
    <cfRule type="cellIs" dxfId="1978" priority="2186" operator="equal">
      <formula>"SAIDA"</formula>
    </cfRule>
    <cfRule type="cellIs" dxfId="1977" priority="2187" operator="equal">
      <formula>"ENTRADA"</formula>
    </cfRule>
  </conditionalFormatting>
  <conditionalFormatting sqref="K4074">
    <cfRule type="cellIs" dxfId="1976" priority="2182" operator="equal">
      <formula>"SAIDA"</formula>
    </cfRule>
    <cfRule type="cellIs" dxfId="1975" priority="2183" operator="equal">
      <formula>"ENTRADA"</formula>
    </cfRule>
  </conditionalFormatting>
  <conditionalFormatting sqref="K4075">
    <cfRule type="cellIs" dxfId="1974" priority="2180" operator="equal">
      <formula>"SAIDA"</formula>
    </cfRule>
    <cfRule type="cellIs" dxfId="1973" priority="2181" operator="equal">
      <formula>"ENTRADA"</formula>
    </cfRule>
  </conditionalFormatting>
  <conditionalFormatting sqref="K4081">
    <cfRule type="cellIs" dxfId="1972" priority="2178" operator="equal">
      <formula>"SAIDA"</formula>
    </cfRule>
    <cfRule type="cellIs" dxfId="1971" priority="2179" operator="equal">
      <formula>"ENTRADA"</formula>
    </cfRule>
  </conditionalFormatting>
  <conditionalFormatting sqref="K3960">
    <cfRule type="cellIs" dxfId="1970" priority="2174" operator="equal">
      <formula>"SAIDA"</formula>
    </cfRule>
    <cfRule type="cellIs" dxfId="1969" priority="2175" operator="equal">
      <formula>"ENTRADA"</formula>
    </cfRule>
  </conditionalFormatting>
  <conditionalFormatting sqref="K3927">
    <cfRule type="cellIs" dxfId="1968" priority="2172" operator="equal">
      <formula>"SAIDA"</formula>
    </cfRule>
    <cfRule type="cellIs" dxfId="1967" priority="2173" operator="equal">
      <formula>"ENTRADA"</formula>
    </cfRule>
  </conditionalFormatting>
  <conditionalFormatting sqref="K3886">
    <cfRule type="cellIs" dxfId="1966" priority="2170" operator="equal">
      <formula>"SAIDA"</formula>
    </cfRule>
    <cfRule type="cellIs" dxfId="1965" priority="2171" operator="equal">
      <formula>"ENTRADA"</formula>
    </cfRule>
  </conditionalFormatting>
  <conditionalFormatting sqref="K3885">
    <cfRule type="cellIs" dxfId="1964" priority="2164" operator="equal">
      <formula>"SAIDA"</formula>
    </cfRule>
    <cfRule type="cellIs" dxfId="1963" priority="2165" operator="equal">
      <formula>"ENTRADA"</formula>
    </cfRule>
  </conditionalFormatting>
  <conditionalFormatting sqref="K3884">
    <cfRule type="cellIs" dxfId="1962" priority="2162" operator="equal">
      <formula>"SAIDA"</formula>
    </cfRule>
    <cfRule type="cellIs" dxfId="1961" priority="2163" operator="equal">
      <formula>"ENTRADA"</formula>
    </cfRule>
  </conditionalFormatting>
  <conditionalFormatting sqref="K3883">
    <cfRule type="cellIs" dxfId="1960" priority="2160" operator="equal">
      <formula>"SAIDA"</formula>
    </cfRule>
    <cfRule type="cellIs" dxfId="1959" priority="2161" operator="equal">
      <formula>"ENTRADA"</formula>
    </cfRule>
  </conditionalFormatting>
  <conditionalFormatting sqref="K3882">
    <cfRule type="cellIs" dxfId="1958" priority="2158" operator="equal">
      <formula>"SAIDA"</formula>
    </cfRule>
    <cfRule type="cellIs" dxfId="1957" priority="2159" operator="equal">
      <formula>"ENTRADA"</formula>
    </cfRule>
  </conditionalFormatting>
  <conditionalFormatting sqref="K3881">
    <cfRule type="cellIs" dxfId="1956" priority="2156" operator="equal">
      <formula>"SAIDA"</formula>
    </cfRule>
    <cfRule type="cellIs" dxfId="1955" priority="2157" operator="equal">
      <formula>"ENTRADA"</formula>
    </cfRule>
  </conditionalFormatting>
  <conditionalFormatting sqref="K3880">
    <cfRule type="cellIs" dxfId="1954" priority="2154" operator="equal">
      <formula>"SAIDA"</formula>
    </cfRule>
    <cfRule type="cellIs" dxfId="1953" priority="2155" operator="equal">
      <formula>"ENTRADA"</formula>
    </cfRule>
  </conditionalFormatting>
  <conditionalFormatting sqref="K3879">
    <cfRule type="cellIs" dxfId="1952" priority="2152" operator="equal">
      <formula>"SAIDA"</formula>
    </cfRule>
    <cfRule type="cellIs" dxfId="1951" priority="2153" operator="equal">
      <formula>"ENTRADA"</formula>
    </cfRule>
  </conditionalFormatting>
  <conditionalFormatting sqref="K3863">
    <cfRule type="cellIs" dxfId="1950" priority="2150" operator="equal">
      <formula>"SAIDA"</formula>
    </cfRule>
    <cfRule type="cellIs" dxfId="1949" priority="2151" operator="equal">
      <formula>"ENTRADA"</formula>
    </cfRule>
  </conditionalFormatting>
  <conditionalFormatting sqref="K3858:K3859">
    <cfRule type="cellIs" dxfId="1948" priority="2148" operator="equal">
      <formula>"SAIDA"</formula>
    </cfRule>
    <cfRule type="cellIs" dxfId="1947" priority="2149" operator="equal">
      <formula>"ENTRADA"</formula>
    </cfRule>
  </conditionalFormatting>
  <conditionalFormatting sqref="K3853">
    <cfRule type="cellIs" dxfId="1946" priority="2144" operator="equal">
      <formula>"SAIDA"</formula>
    </cfRule>
    <cfRule type="cellIs" dxfId="1945" priority="2145" operator="equal">
      <formula>"ENTRADA"</formula>
    </cfRule>
  </conditionalFormatting>
  <conditionalFormatting sqref="K3852">
    <cfRule type="cellIs" dxfId="1944" priority="2142" operator="equal">
      <formula>"SAIDA"</formula>
    </cfRule>
    <cfRule type="cellIs" dxfId="1943" priority="2143" operator="equal">
      <formula>"ENTRADA"</formula>
    </cfRule>
  </conditionalFormatting>
  <conditionalFormatting sqref="K3835">
    <cfRule type="cellIs" dxfId="1942" priority="2140" operator="equal">
      <formula>"SAIDA"</formula>
    </cfRule>
    <cfRule type="cellIs" dxfId="1941" priority="2141" operator="equal">
      <formula>"ENTRADA"</formula>
    </cfRule>
  </conditionalFormatting>
  <conditionalFormatting sqref="K3834">
    <cfRule type="cellIs" dxfId="1940" priority="2138" operator="equal">
      <formula>"SAIDA"</formula>
    </cfRule>
    <cfRule type="cellIs" dxfId="1939" priority="2139" operator="equal">
      <formula>"ENTRADA"</formula>
    </cfRule>
  </conditionalFormatting>
  <conditionalFormatting sqref="K3832:K3833">
    <cfRule type="cellIs" dxfId="1938" priority="2136" operator="equal">
      <formula>"SAIDA"</formula>
    </cfRule>
    <cfRule type="cellIs" dxfId="1937" priority="2137" operator="equal">
      <formula>"ENTRADA"</formula>
    </cfRule>
  </conditionalFormatting>
  <conditionalFormatting sqref="K3831">
    <cfRule type="cellIs" dxfId="1936" priority="2134" operator="equal">
      <formula>"SAIDA"</formula>
    </cfRule>
    <cfRule type="cellIs" dxfId="1935" priority="2135" operator="equal">
      <formula>"ENTRADA"</formula>
    </cfRule>
  </conditionalFormatting>
  <conditionalFormatting sqref="K3830">
    <cfRule type="cellIs" dxfId="1934" priority="2132" operator="equal">
      <formula>"SAIDA"</formula>
    </cfRule>
    <cfRule type="cellIs" dxfId="1933" priority="2133" operator="equal">
      <formula>"ENTRADA"</formula>
    </cfRule>
  </conditionalFormatting>
  <conditionalFormatting sqref="K3829">
    <cfRule type="cellIs" dxfId="1932" priority="2130" operator="equal">
      <formula>"SAIDA"</formula>
    </cfRule>
    <cfRule type="cellIs" dxfId="1931" priority="2131" operator="equal">
      <formula>"ENTRADA"</formula>
    </cfRule>
  </conditionalFormatting>
  <conditionalFormatting sqref="K3828">
    <cfRule type="cellIs" dxfId="1930" priority="2128" operator="equal">
      <formula>"SAIDA"</formula>
    </cfRule>
    <cfRule type="cellIs" dxfId="1929" priority="2129" operator="equal">
      <formula>"ENTRADA"</formula>
    </cfRule>
  </conditionalFormatting>
  <conditionalFormatting sqref="K3825">
    <cfRule type="cellIs" dxfId="1928" priority="2126" operator="equal">
      <formula>"SAIDA"</formula>
    </cfRule>
    <cfRule type="cellIs" dxfId="1927" priority="2127" operator="equal">
      <formula>"ENTRADA"</formula>
    </cfRule>
  </conditionalFormatting>
  <conditionalFormatting sqref="K3823">
    <cfRule type="cellIs" dxfId="1926" priority="2124" operator="equal">
      <formula>"SAIDA"</formula>
    </cfRule>
    <cfRule type="cellIs" dxfId="1925" priority="2125" operator="equal">
      <formula>"ENTRADA"</formula>
    </cfRule>
  </conditionalFormatting>
  <conditionalFormatting sqref="K3822">
    <cfRule type="cellIs" dxfId="1924" priority="2122" operator="equal">
      <formula>"SAIDA"</formula>
    </cfRule>
    <cfRule type="cellIs" dxfId="1923" priority="2123" operator="equal">
      <formula>"ENTRADA"</formula>
    </cfRule>
  </conditionalFormatting>
  <conditionalFormatting sqref="K3821">
    <cfRule type="cellIs" dxfId="1922" priority="2120" operator="equal">
      <formula>"SAIDA"</formula>
    </cfRule>
    <cfRule type="cellIs" dxfId="1921" priority="2121" operator="equal">
      <formula>"ENTRADA"</formula>
    </cfRule>
  </conditionalFormatting>
  <conditionalFormatting sqref="K3819">
    <cfRule type="cellIs" dxfId="1920" priority="2116" operator="equal">
      <formula>"SAIDA"</formula>
    </cfRule>
    <cfRule type="cellIs" dxfId="1919" priority="2117" operator="equal">
      <formula>"ENTRADA"</formula>
    </cfRule>
  </conditionalFormatting>
  <conditionalFormatting sqref="K3796">
    <cfRule type="cellIs" dxfId="1918" priority="2112" operator="equal">
      <formula>"SAIDA"</formula>
    </cfRule>
    <cfRule type="cellIs" dxfId="1917" priority="2113" operator="equal">
      <formula>"ENTRADA"</formula>
    </cfRule>
  </conditionalFormatting>
  <conditionalFormatting sqref="K3792">
    <cfRule type="cellIs" dxfId="1916" priority="2110" operator="equal">
      <formula>"SAIDA"</formula>
    </cfRule>
    <cfRule type="cellIs" dxfId="1915" priority="2111" operator="equal">
      <formula>"ENTRADA"</formula>
    </cfRule>
  </conditionalFormatting>
  <conditionalFormatting sqref="K3787">
    <cfRule type="cellIs" dxfId="1914" priority="2108" operator="equal">
      <formula>"SAIDA"</formula>
    </cfRule>
    <cfRule type="cellIs" dxfId="1913" priority="2109" operator="equal">
      <formula>"ENTRADA"</formula>
    </cfRule>
  </conditionalFormatting>
  <conditionalFormatting sqref="K3785">
    <cfRule type="cellIs" dxfId="1912" priority="2106" operator="equal">
      <formula>"SAIDA"</formula>
    </cfRule>
    <cfRule type="cellIs" dxfId="1911" priority="2107" operator="equal">
      <formula>"ENTRADA"</formula>
    </cfRule>
  </conditionalFormatting>
  <conditionalFormatting sqref="K3739">
    <cfRule type="cellIs" dxfId="1910" priority="2104" operator="equal">
      <formula>"SAIDA"</formula>
    </cfRule>
    <cfRule type="cellIs" dxfId="1909" priority="2105" operator="equal">
      <formula>"ENTRADA"</formula>
    </cfRule>
  </conditionalFormatting>
  <conditionalFormatting sqref="K3735">
    <cfRule type="cellIs" dxfId="1908" priority="2102" operator="equal">
      <formula>"SAIDA"</formula>
    </cfRule>
    <cfRule type="cellIs" dxfId="1907" priority="2103" operator="equal">
      <formula>"ENTRADA"</formula>
    </cfRule>
  </conditionalFormatting>
  <conditionalFormatting sqref="K3711">
    <cfRule type="cellIs" dxfId="1906" priority="2100" operator="equal">
      <formula>"SAIDA"</formula>
    </cfRule>
    <cfRule type="cellIs" dxfId="1905" priority="2101" operator="equal">
      <formula>"ENTRADA"</formula>
    </cfRule>
  </conditionalFormatting>
  <conditionalFormatting sqref="K3710">
    <cfRule type="cellIs" dxfId="1904" priority="2098" operator="equal">
      <formula>"SAIDA"</formula>
    </cfRule>
    <cfRule type="cellIs" dxfId="1903" priority="2099" operator="equal">
      <formula>"ENTRADA"</formula>
    </cfRule>
  </conditionalFormatting>
  <conditionalFormatting sqref="K3705">
    <cfRule type="cellIs" dxfId="1902" priority="2096" operator="equal">
      <formula>"SAIDA"</formula>
    </cfRule>
    <cfRule type="cellIs" dxfId="1901" priority="2097" operator="equal">
      <formula>"ENTRADA"</formula>
    </cfRule>
  </conditionalFormatting>
  <conditionalFormatting sqref="K3652">
    <cfRule type="cellIs" dxfId="1900" priority="2094" operator="equal">
      <formula>"SAIDA"</formula>
    </cfRule>
    <cfRule type="cellIs" dxfId="1899" priority="2095" operator="equal">
      <formula>"ENTRADA"</formula>
    </cfRule>
  </conditionalFormatting>
  <conditionalFormatting sqref="K3651">
    <cfRule type="cellIs" dxfId="1898" priority="2092" operator="equal">
      <formula>"SAIDA"</formula>
    </cfRule>
    <cfRule type="cellIs" dxfId="1897" priority="2093" operator="equal">
      <formula>"ENTRADA"</formula>
    </cfRule>
  </conditionalFormatting>
  <conditionalFormatting sqref="K3647">
    <cfRule type="cellIs" dxfId="1896" priority="2088" operator="equal">
      <formula>"SAIDA"</formula>
    </cfRule>
    <cfRule type="cellIs" dxfId="1895" priority="2089" operator="equal">
      <formula>"ENTRADA"</formula>
    </cfRule>
  </conditionalFormatting>
  <conditionalFormatting sqref="K3646">
    <cfRule type="cellIs" dxfId="1894" priority="2086" operator="equal">
      <formula>"SAIDA"</formula>
    </cfRule>
    <cfRule type="cellIs" dxfId="1893" priority="2087" operator="equal">
      <formula>"ENTRADA"</formula>
    </cfRule>
  </conditionalFormatting>
  <conditionalFormatting sqref="K3645">
    <cfRule type="cellIs" dxfId="1892" priority="2084" operator="equal">
      <formula>"SAIDA"</formula>
    </cfRule>
    <cfRule type="cellIs" dxfId="1891" priority="2085" operator="equal">
      <formula>"ENTRADA"</formula>
    </cfRule>
  </conditionalFormatting>
  <conditionalFormatting sqref="K3644">
    <cfRule type="cellIs" dxfId="1890" priority="2082" operator="equal">
      <formula>"SAIDA"</formula>
    </cfRule>
    <cfRule type="cellIs" dxfId="1889" priority="2083" operator="equal">
      <formula>"ENTRADA"</formula>
    </cfRule>
  </conditionalFormatting>
  <conditionalFormatting sqref="K3643">
    <cfRule type="cellIs" dxfId="1888" priority="2080" operator="equal">
      <formula>"SAIDA"</formula>
    </cfRule>
    <cfRule type="cellIs" dxfId="1887" priority="2081" operator="equal">
      <formula>"ENTRADA"</formula>
    </cfRule>
  </conditionalFormatting>
  <conditionalFormatting sqref="K3642">
    <cfRule type="cellIs" dxfId="1886" priority="2078" operator="equal">
      <formula>"SAIDA"</formula>
    </cfRule>
    <cfRule type="cellIs" dxfId="1885" priority="2079" operator="equal">
      <formula>"ENTRADA"</formula>
    </cfRule>
  </conditionalFormatting>
  <conditionalFormatting sqref="K3641">
    <cfRule type="cellIs" dxfId="1884" priority="2076" operator="equal">
      <formula>"SAIDA"</formula>
    </cfRule>
    <cfRule type="cellIs" dxfId="1883" priority="2077" operator="equal">
      <formula>"ENTRADA"</formula>
    </cfRule>
  </conditionalFormatting>
  <conditionalFormatting sqref="K3640">
    <cfRule type="cellIs" dxfId="1882" priority="2074" operator="equal">
      <formula>"SAIDA"</formula>
    </cfRule>
    <cfRule type="cellIs" dxfId="1881" priority="2075" operator="equal">
      <formula>"ENTRADA"</formula>
    </cfRule>
  </conditionalFormatting>
  <conditionalFormatting sqref="K3639">
    <cfRule type="cellIs" dxfId="1880" priority="2072" operator="equal">
      <formula>"SAIDA"</formula>
    </cfRule>
    <cfRule type="cellIs" dxfId="1879" priority="2073" operator="equal">
      <formula>"ENTRADA"</formula>
    </cfRule>
  </conditionalFormatting>
  <conditionalFormatting sqref="K3638">
    <cfRule type="cellIs" dxfId="1878" priority="2070" operator="equal">
      <formula>"SAIDA"</formula>
    </cfRule>
    <cfRule type="cellIs" dxfId="1877" priority="2071" operator="equal">
      <formula>"ENTRADA"</formula>
    </cfRule>
  </conditionalFormatting>
  <conditionalFormatting sqref="K3637">
    <cfRule type="cellIs" dxfId="1876" priority="2068" operator="equal">
      <formula>"SAIDA"</formula>
    </cfRule>
    <cfRule type="cellIs" dxfId="1875" priority="2069" operator="equal">
      <formula>"ENTRADA"</formula>
    </cfRule>
  </conditionalFormatting>
  <conditionalFormatting sqref="K3636">
    <cfRule type="cellIs" dxfId="1874" priority="2064" operator="equal">
      <formula>"SAIDA"</formula>
    </cfRule>
    <cfRule type="cellIs" dxfId="1873" priority="2065" operator="equal">
      <formula>"ENTRADA"</formula>
    </cfRule>
  </conditionalFormatting>
  <conditionalFormatting sqref="K3635">
    <cfRule type="cellIs" dxfId="1872" priority="2066" operator="equal">
      <formula>"SAIDA"</formula>
    </cfRule>
    <cfRule type="cellIs" dxfId="1871" priority="2067" operator="equal">
      <formula>"ENTRADA"</formula>
    </cfRule>
  </conditionalFormatting>
  <conditionalFormatting sqref="K3634">
    <cfRule type="cellIs" dxfId="1870" priority="2062" operator="equal">
      <formula>"SAIDA"</formula>
    </cfRule>
    <cfRule type="cellIs" dxfId="1869" priority="2063" operator="equal">
      <formula>"ENTRADA"</formula>
    </cfRule>
  </conditionalFormatting>
  <conditionalFormatting sqref="K3633">
    <cfRule type="cellIs" dxfId="1868" priority="2060" operator="equal">
      <formula>"SAIDA"</formula>
    </cfRule>
    <cfRule type="cellIs" dxfId="1867" priority="2061" operator="equal">
      <formula>"ENTRADA"</formula>
    </cfRule>
  </conditionalFormatting>
  <conditionalFormatting sqref="K3609">
    <cfRule type="cellIs" dxfId="1866" priority="2058" operator="equal">
      <formula>"SAIDA"</formula>
    </cfRule>
    <cfRule type="cellIs" dxfId="1865" priority="2059" operator="equal">
      <formula>"ENTRADA"</formula>
    </cfRule>
  </conditionalFormatting>
  <conditionalFormatting sqref="K3601">
    <cfRule type="cellIs" dxfId="1864" priority="2056" operator="equal">
      <formula>"SAIDA"</formula>
    </cfRule>
    <cfRule type="cellIs" dxfId="1863" priority="2057" operator="equal">
      <formula>"ENTRADA"</formula>
    </cfRule>
  </conditionalFormatting>
  <conditionalFormatting sqref="K3599">
    <cfRule type="cellIs" dxfId="1862" priority="2054" operator="equal">
      <formula>"SAIDA"</formula>
    </cfRule>
    <cfRule type="cellIs" dxfId="1861" priority="2055" operator="equal">
      <formula>"ENTRADA"</formula>
    </cfRule>
  </conditionalFormatting>
  <conditionalFormatting sqref="K3600">
    <cfRule type="cellIs" dxfId="1860" priority="2052" operator="equal">
      <formula>"SAIDA"</formula>
    </cfRule>
    <cfRule type="cellIs" dxfId="1859" priority="2053" operator="equal">
      <formula>"ENTRADA"</formula>
    </cfRule>
  </conditionalFormatting>
  <conditionalFormatting sqref="K3598">
    <cfRule type="cellIs" dxfId="1858" priority="2050" operator="equal">
      <formula>"SAIDA"</formula>
    </cfRule>
    <cfRule type="cellIs" dxfId="1857" priority="2051" operator="equal">
      <formula>"ENTRADA"</formula>
    </cfRule>
  </conditionalFormatting>
  <conditionalFormatting sqref="K3597">
    <cfRule type="cellIs" dxfId="1856" priority="2048" operator="equal">
      <formula>"SAIDA"</formula>
    </cfRule>
    <cfRule type="cellIs" dxfId="1855" priority="2049" operator="equal">
      <formula>"ENTRADA"</formula>
    </cfRule>
  </conditionalFormatting>
  <conditionalFormatting sqref="K3596">
    <cfRule type="cellIs" dxfId="1854" priority="2046" operator="equal">
      <formula>"SAIDA"</formula>
    </cfRule>
    <cfRule type="cellIs" dxfId="1853" priority="2047" operator="equal">
      <formula>"ENTRADA"</formula>
    </cfRule>
  </conditionalFormatting>
  <conditionalFormatting sqref="K3561">
    <cfRule type="cellIs" dxfId="1852" priority="2044" operator="equal">
      <formula>"SAIDA"</formula>
    </cfRule>
    <cfRule type="cellIs" dxfId="1851" priority="2045" operator="equal">
      <formula>"ENTRADA"</formula>
    </cfRule>
  </conditionalFormatting>
  <conditionalFormatting sqref="K3562">
    <cfRule type="cellIs" dxfId="1850" priority="2042" operator="equal">
      <formula>"SAIDA"</formula>
    </cfRule>
    <cfRule type="cellIs" dxfId="1849" priority="2043" operator="equal">
      <formula>"ENTRADA"</formula>
    </cfRule>
  </conditionalFormatting>
  <conditionalFormatting sqref="K3560">
    <cfRule type="cellIs" dxfId="1848" priority="2040" operator="equal">
      <formula>"SAIDA"</formula>
    </cfRule>
    <cfRule type="cellIs" dxfId="1847" priority="2041" operator="equal">
      <formula>"ENTRADA"</formula>
    </cfRule>
  </conditionalFormatting>
  <conditionalFormatting sqref="K3559">
    <cfRule type="cellIs" dxfId="1846" priority="2038" operator="equal">
      <formula>"SAIDA"</formula>
    </cfRule>
    <cfRule type="cellIs" dxfId="1845" priority="2039" operator="equal">
      <formula>"ENTRADA"</formula>
    </cfRule>
  </conditionalFormatting>
  <conditionalFormatting sqref="K3558">
    <cfRule type="cellIs" dxfId="1844" priority="2036" operator="equal">
      <formula>"SAIDA"</formula>
    </cfRule>
    <cfRule type="cellIs" dxfId="1843" priority="2037" operator="equal">
      <formula>"ENTRADA"</formula>
    </cfRule>
  </conditionalFormatting>
  <conditionalFormatting sqref="K3557">
    <cfRule type="cellIs" dxfId="1842" priority="2034" operator="equal">
      <formula>"SAIDA"</formula>
    </cfRule>
    <cfRule type="cellIs" dxfId="1841" priority="2035" operator="equal">
      <formula>"ENTRADA"</formula>
    </cfRule>
  </conditionalFormatting>
  <conditionalFormatting sqref="K3491">
    <cfRule type="cellIs" dxfId="1840" priority="2032" operator="equal">
      <formula>"SAIDA"</formula>
    </cfRule>
    <cfRule type="cellIs" dxfId="1839" priority="2033" operator="equal">
      <formula>"ENTRADA"</formula>
    </cfRule>
  </conditionalFormatting>
  <conditionalFormatting sqref="K3487">
    <cfRule type="cellIs" dxfId="1838" priority="2030" operator="equal">
      <formula>"SAIDA"</formula>
    </cfRule>
    <cfRule type="cellIs" dxfId="1837" priority="2031" operator="equal">
      <formula>"ENTRADA"</formula>
    </cfRule>
  </conditionalFormatting>
  <conditionalFormatting sqref="K3486">
    <cfRule type="cellIs" dxfId="1836" priority="2028" operator="equal">
      <formula>"SAIDA"</formula>
    </cfRule>
    <cfRule type="cellIs" dxfId="1835" priority="2029" operator="equal">
      <formula>"ENTRADA"</formula>
    </cfRule>
  </conditionalFormatting>
  <conditionalFormatting sqref="K3485">
    <cfRule type="cellIs" dxfId="1834" priority="2026" operator="equal">
      <formula>"SAIDA"</formula>
    </cfRule>
    <cfRule type="cellIs" dxfId="1833" priority="2027" operator="equal">
      <formula>"ENTRADA"</formula>
    </cfRule>
  </conditionalFormatting>
  <conditionalFormatting sqref="K3484">
    <cfRule type="cellIs" dxfId="1832" priority="2024" operator="equal">
      <formula>"SAIDA"</formula>
    </cfRule>
    <cfRule type="cellIs" dxfId="1831" priority="2025" operator="equal">
      <formula>"ENTRADA"</formula>
    </cfRule>
  </conditionalFormatting>
  <conditionalFormatting sqref="K3438">
    <cfRule type="cellIs" dxfId="1830" priority="2018" operator="equal">
      <formula>"SAIDA"</formula>
    </cfRule>
    <cfRule type="cellIs" dxfId="1829" priority="2019" operator="equal">
      <formula>"ENTRADA"</formula>
    </cfRule>
  </conditionalFormatting>
  <conditionalFormatting sqref="K3431">
    <cfRule type="cellIs" dxfId="1828" priority="2016" operator="equal">
      <formula>"SAIDA"</formula>
    </cfRule>
    <cfRule type="cellIs" dxfId="1827" priority="2017" operator="equal">
      <formula>"ENTRADA"</formula>
    </cfRule>
  </conditionalFormatting>
  <conditionalFormatting sqref="K3429">
    <cfRule type="cellIs" dxfId="1826" priority="2014" operator="equal">
      <formula>"SAIDA"</formula>
    </cfRule>
    <cfRule type="cellIs" dxfId="1825" priority="2015" operator="equal">
      <formula>"ENTRADA"</formula>
    </cfRule>
  </conditionalFormatting>
  <conditionalFormatting sqref="K3428">
    <cfRule type="cellIs" dxfId="1824" priority="2012" operator="equal">
      <formula>"SAIDA"</formula>
    </cfRule>
    <cfRule type="cellIs" dxfId="1823" priority="2013" operator="equal">
      <formula>"ENTRADA"</formula>
    </cfRule>
  </conditionalFormatting>
  <conditionalFormatting sqref="K3425">
    <cfRule type="cellIs" dxfId="1822" priority="2010" operator="equal">
      <formula>"SAIDA"</formula>
    </cfRule>
    <cfRule type="cellIs" dxfId="1821" priority="2011" operator="equal">
      <formula>"ENTRADA"</formula>
    </cfRule>
  </conditionalFormatting>
  <conditionalFormatting sqref="K3424">
    <cfRule type="cellIs" dxfId="1820" priority="2008" operator="equal">
      <formula>"SAIDA"</formula>
    </cfRule>
    <cfRule type="cellIs" dxfId="1819" priority="2009" operator="equal">
      <formula>"ENTRADA"</formula>
    </cfRule>
  </conditionalFormatting>
  <conditionalFormatting sqref="K3421:K3423">
    <cfRule type="cellIs" dxfId="1818" priority="2000" operator="equal">
      <formula>"SAIDA"</formula>
    </cfRule>
    <cfRule type="cellIs" dxfId="1817" priority="2001" operator="equal">
      <formula>"ENTRADA"</formula>
    </cfRule>
  </conditionalFormatting>
  <conditionalFormatting sqref="K3419:K3420">
    <cfRule type="cellIs" dxfId="1816" priority="1996" operator="equal">
      <formula>"SAIDA"</formula>
    </cfRule>
    <cfRule type="cellIs" dxfId="1815" priority="1997" operator="equal">
      <formula>"ENTRADA"</formula>
    </cfRule>
  </conditionalFormatting>
  <conditionalFormatting sqref="K3434">
    <cfRule type="cellIs" dxfId="1814" priority="1992" operator="equal">
      <formula>"SAIDA"</formula>
    </cfRule>
    <cfRule type="cellIs" dxfId="1813" priority="1993" operator="equal">
      <formula>"ENTRADA"</formula>
    </cfRule>
  </conditionalFormatting>
  <conditionalFormatting sqref="K3418">
    <cfRule type="cellIs" dxfId="1812" priority="1990" operator="equal">
      <formula>"SAIDA"</formula>
    </cfRule>
    <cfRule type="cellIs" dxfId="1811" priority="1991" operator="equal">
      <formula>"ENTRADA"</formula>
    </cfRule>
  </conditionalFormatting>
  <conditionalFormatting sqref="K3417">
    <cfRule type="cellIs" dxfId="1810" priority="1988" operator="equal">
      <formula>"SAIDA"</formula>
    </cfRule>
    <cfRule type="cellIs" dxfId="1809" priority="1989" operator="equal">
      <formula>"ENTRADA"</formula>
    </cfRule>
  </conditionalFormatting>
  <conditionalFormatting sqref="K3416">
    <cfRule type="cellIs" dxfId="1808" priority="1986" operator="equal">
      <formula>"SAIDA"</formula>
    </cfRule>
    <cfRule type="cellIs" dxfId="1807" priority="1987" operator="equal">
      <formula>"ENTRADA"</formula>
    </cfRule>
  </conditionalFormatting>
  <conditionalFormatting sqref="K3415">
    <cfRule type="cellIs" dxfId="1806" priority="1984" operator="equal">
      <formula>"SAIDA"</formula>
    </cfRule>
    <cfRule type="cellIs" dxfId="1805" priority="1985" operator="equal">
      <formula>"ENTRADA"</formula>
    </cfRule>
  </conditionalFormatting>
  <conditionalFormatting sqref="K3390">
    <cfRule type="cellIs" dxfId="1804" priority="1982" operator="equal">
      <formula>"SAIDA"</formula>
    </cfRule>
    <cfRule type="cellIs" dxfId="1803" priority="1983" operator="equal">
      <formula>"ENTRADA"</formula>
    </cfRule>
  </conditionalFormatting>
  <conditionalFormatting sqref="K3389">
    <cfRule type="cellIs" dxfId="1802" priority="1980" operator="equal">
      <formula>"SAIDA"</formula>
    </cfRule>
    <cfRule type="cellIs" dxfId="1801" priority="1981" operator="equal">
      <formula>"ENTRADA"</formula>
    </cfRule>
  </conditionalFormatting>
  <conditionalFormatting sqref="K3388">
    <cfRule type="cellIs" dxfId="1800" priority="1976" operator="equal">
      <formula>"SAIDA"</formula>
    </cfRule>
    <cfRule type="cellIs" dxfId="1799" priority="1977" operator="equal">
      <formula>"ENTRADA"</formula>
    </cfRule>
  </conditionalFormatting>
  <conditionalFormatting sqref="K3387">
    <cfRule type="cellIs" dxfId="1798" priority="1972" operator="equal">
      <formula>"SAIDA"</formula>
    </cfRule>
    <cfRule type="cellIs" dxfId="1797" priority="1973" operator="equal">
      <formula>"ENTRADA"</formula>
    </cfRule>
  </conditionalFormatting>
  <conditionalFormatting sqref="K3386">
    <cfRule type="cellIs" dxfId="1796" priority="1970" operator="equal">
      <formula>"SAIDA"</formula>
    </cfRule>
    <cfRule type="cellIs" dxfId="1795" priority="1971" operator="equal">
      <formula>"ENTRADA"</formula>
    </cfRule>
  </conditionalFormatting>
  <conditionalFormatting sqref="K3385">
    <cfRule type="cellIs" dxfId="1794" priority="1968" operator="equal">
      <formula>"SAIDA"</formula>
    </cfRule>
    <cfRule type="cellIs" dxfId="1793" priority="1969" operator="equal">
      <formula>"ENTRADA"</formula>
    </cfRule>
  </conditionalFormatting>
  <conditionalFormatting sqref="K3384">
    <cfRule type="cellIs" dxfId="1792" priority="1966" operator="equal">
      <formula>"SAIDA"</formula>
    </cfRule>
    <cfRule type="cellIs" dxfId="1791" priority="1967" operator="equal">
      <formula>"ENTRADA"</formula>
    </cfRule>
  </conditionalFormatting>
  <conditionalFormatting sqref="K3383">
    <cfRule type="cellIs" dxfId="1790" priority="1962" operator="equal">
      <formula>"SAIDA"</formula>
    </cfRule>
    <cfRule type="cellIs" dxfId="1789" priority="1963" operator="equal">
      <formula>"ENTRADA"</formula>
    </cfRule>
  </conditionalFormatting>
  <conditionalFormatting sqref="K3382">
    <cfRule type="cellIs" dxfId="1788" priority="1960" operator="equal">
      <formula>"SAIDA"</formula>
    </cfRule>
    <cfRule type="cellIs" dxfId="1787" priority="1961" operator="equal">
      <formula>"ENTRADA"</formula>
    </cfRule>
  </conditionalFormatting>
  <conditionalFormatting sqref="K3350">
    <cfRule type="cellIs" dxfId="1786" priority="1958" operator="equal">
      <formula>"SAIDA"</formula>
    </cfRule>
    <cfRule type="cellIs" dxfId="1785" priority="1959" operator="equal">
      <formula>"ENTRADA"</formula>
    </cfRule>
  </conditionalFormatting>
  <conditionalFormatting sqref="K3348">
    <cfRule type="cellIs" dxfId="1784" priority="1956" operator="equal">
      <formula>"SAIDA"</formula>
    </cfRule>
    <cfRule type="cellIs" dxfId="1783" priority="1957" operator="equal">
      <formula>"ENTRADA"</formula>
    </cfRule>
  </conditionalFormatting>
  <conditionalFormatting sqref="K3347">
    <cfRule type="cellIs" dxfId="1782" priority="1954" operator="equal">
      <formula>"SAIDA"</formula>
    </cfRule>
    <cfRule type="cellIs" dxfId="1781" priority="1955" operator="equal">
      <formula>"ENTRADA"</formula>
    </cfRule>
  </conditionalFormatting>
  <conditionalFormatting sqref="K3346">
    <cfRule type="cellIs" dxfId="1780" priority="1952" operator="equal">
      <formula>"SAIDA"</formula>
    </cfRule>
    <cfRule type="cellIs" dxfId="1779" priority="1953" operator="equal">
      <formula>"ENTRADA"</formula>
    </cfRule>
  </conditionalFormatting>
  <conditionalFormatting sqref="K3345">
    <cfRule type="cellIs" dxfId="1778" priority="1950" operator="equal">
      <formula>"SAIDA"</formula>
    </cfRule>
    <cfRule type="cellIs" dxfId="1777" priority="1951" operator="equal">
      <formula>"ENTRADA"</formula>
    </cfRule>
  </conditionalFormatting>
  <conditionalFormatting sqref="K3344">
    <cfRule type="cellIs" dxfId="1776" priority="1948" operator="equal">
      <formula>"SAIDA"</formula>
    </cfRule>
    <cfRule type="cellIs" dxfId="1775" priority="1949" operator="equal">
      <formula>"ENTRADA"</formula>
    </cfRule>
  </conditionalFormatting>
  <conditionalFormatting sqref="K3343">
    <cfRule type="cellIs" dxfId="1774" priority="1946" operator="equal">
      <formula>"SAIDA"</formula>
    </cfRule>
    <cfRule type="cellIs" dxfId="1773" priority="1947" operator="equal">
      <formula>"ENTRADA"</formula>
    </cfRule>
  </conditionalFormatting>
  <conditionalFormatting sqref="K3340">
    <cfRule type="cellIs" dxfId="1772" priority="1944" operator="equal">
      <formula>"SAIDA"</formula>
    </cfRule>
    <cfRule type="cellIs" dxfId="1771" priority="1945" operator="equal">
      <formula>"ENTRADA"</formula>
    </cfRule>
  </conditionalFormatting>
  <conditionalFormatting sqref="K3339">
    <cfRule type="cellIs" dxfId="1770" priority="1942" operator="equal">
      <formula>"SAIDA"</formula>
    </cfRule>
    <cfRule type="cellIs" dxfId="1769" priority="1943" operator="equal">
      <formula>"ENTRADA"</formula>
    </cfRule>
  </conditionalFormatting>
  <conditionalFormatting sqref="K3337">
    <cfRule type="cellIs" dxfId="1768" priority="1940" operator="equal">
      <formula>"SAIDA"</formula>
    </cfRule>
    <cfRule type="cellIs" dxfId="1767" priority="1941" operator="equal">
      <formula>"ENTRADA"</formula>
    </cfRule>
  </conditionalFormatting>
  <conditionalFormatting sqref="K3338">
    <cfRule type="cellIs" dxfId="1766" priority="1938" operator="equal">
      <formula>"SAIDA"</formula>
    </cfRule>
    <cfRule type="cellIs" dxfId="1765" priority="1939" operator="equal">
      <formula>"ENTRADA"</formula>
    </cfRule>
  </conditionalFormatting>
  <conditionalFormatting sqref="K3276">
    <cfRule type="cellIs" dxfId="1764" priority="1936" operator="equal">
      <formula>"SAIDA"</formula>
    </cfRule>
    <cfRule type="cellIs" dxfId="1763" priority="1937" operator="equal">
      <formula>"ENTRADA"</formula>
    </cfRule>
  </conditionalFormatting>
  <conditionalFormatting sqref="K3275">
    <cfRule type="cellIs" dxfId="1762" priority="1934" operator="equal">
      <formula>"SAIDA"</formula>
    </cfRule>
    <cfRule type="cellIs" dxfId="1761" priority="1935" operator="equal">
      <formula>"ENTRADA"</formula>
    </cfRule>
  </conditionalFormatting>
  <conditionalFormatting sqref="K3263">
    <cfRule type="cellIs" dxfId="1760" priority="1932" operator="equal">
      <formula>"SAIDA"</formula>
    </cfRule>
    <cfRule type="cellIs" dxfId="1759" priority="1933" operator="equal">
      <formula>"ENTRADA"</formula>
    </cfRule>
  </conditionalFormatting>
  <conditionalFormatting sqref="K3259">
    <cfRule type="cellIs" dxfId="1758" priority="1930" operator="equal">
      <formula>"SAIDA"</formula>
    </cfRule>
    <cfRule type="cellIs" dxfId="1757" priority="1931" operator="equal">
      <formula>"ENTRADA"</formula>
    </cfRule>
  </conditionalFormatting>
  <conditionalFormatting sqref="K3258">
    <cfRule type="cellIs" dxfId="1756" priority="1928" operator="equal">
      <formula>"SAIDA"</formula>
    </cfRule>
    <cfRule type="cellIs" dxfId="1755" priority="1929" operator="equal">
      <formula>"ENTRADA"</formula>
    </cfRule>
  </conditionalFormatting>
  <conditionalFormatting sqref="K3231">
    <cfRule type="cellIs" dxfId="1754" priority="1926" operator="equal">
      <formula>"SAIDA"</formula>
    </cfRule>
    <cfRule type="cellIs" dxfId="1753" priority="1927" operator="equal">
      <formula>"ENTRADA"</formula>
    </cfRule>
  </conditionalFormatting>
  <conditionalFormatting sqref="K3230">
    <cfRule type="cellIs" dxfId="1752" priority="1924" operator="equal">
      <formula>"SAIDA"</formula>
    </cfRule>
    <cfRule type="cellIs" dxfId="1751" priority="1925" operator="equal">
      <formula>"ENTRADA"</formula>
    </cfRule>
  </conditionalFormatting>
  <conditionalFormatting sqref="K3229">
    <cfRule type="cellIs" dxfId="1750" priority="1922" operator="equal">
      <formula>"SAIDA"</formula>
    </cfRule>
    <cfRule type="cellIs" dxfId="1749" priority="1923" operator="equal">
      <formula>"ENTRADA"</formula>
    </cfRule>
  </conditionalFormatting>
  <conditionalFormatting sqref="K3228">
    <cfRule type="cellIs" dxfId="1748" priority="1920" operator="equal">
      <formula>"SAIDA"</formula>
    </cfRule>
    <cfRule type="cellIs" dxfId="1747" priority="1921" operator="equal">
      <formula>"ENTRADA"</formula>
    </cfRule>
  </conditionalFormatting>
  <conditionalFormatting sqref="K3221">
    <cfRule type="cellIs" dxfId="1746" priority="1918" operator="equal">
      <formula>"SAIDA"</formula>
    </cfRule>
    <cfRule type="cellIs" dxfId="1745" priority="1919" operator="equal">
      <formula>"ENTRADA"</formula>
    </cfRule>
  </conditionalFormatting>
  <conditionalFormatting sqref="K3220">
    <cfRule type="cellIs" dxfId="1744" priority="1916" operator="equal">
      <formula>"SAIDA"</formula>
    </cfRule>
    <cfRule type="cellIs" dxfId="1743" priority="1917" operator="equal">
      <formula>"ENTRADA"</formula>
    </cfRule>
  </conditionalFormatting>
  <conditionalFormatting sqref="K3218">
    <cfRule type="cellIs" dxfId="1742" priority="1914" operator="equal">
      <formula>"SAIDA"</formula>
    </cfRule>
    <cfRule type="cellIs" dxfId="1741" priority="1915" operator="equal">
      <formula>"ENTRADA"</formula>
    </cfRule>
  </conditionalFormatting>
  <conditionalFormatting sqref="K3219">
    <cfRule type="cellIs" dxfId="1740" priority="1912" operator="equal">
      <formula>"SAIDA"</formula>
    </cfRule>
    <cfRule type="cellIs" dxfId="1739" priority="1913" operator="equal">
      <formula>"ENTRADA"</formula>
    </cfRule>
  </conditionalFormatting>
  <conditionalFormatting sqref="K3184">
    <cfRule type="cellIs" dxfId="1738" priority="1910" operator="equal">
      <formula>"SAIDA"</formula>
    </cfRule>
    <cfRule type="cellIs" dxfId="1737" priority="1911" operator="equal">
      <formula>"ENTRADA"</formula>
    </cfRule>
  </conditionalFormatting>
  <conditionalFormatting sqref="K3183">
    <cfRule type="cellIs" dxfId="1736" priority="1908" operator="equal">
      <formula>"SAIDA"</formula>
    </cfRule>
    <cfRule type="cellIs" dxfId="1735" priority="1909" operator="equal">
      <formula>"ENTRADA"</formula>
    </cfRule>
  </conditionalFormatting>
  <conditionalFormatting sqref="K3179">
    <cfRule type="cellIs" dxfId="1734" priority="1906" operator="equal">
      <formula>"SAIDA"</formula>
    </cfRule>
    <cfRule type="cellIs" dxfId="1733" priority="1907" operator="equal">
      <formula>"ENTRADA"</formula>
    </cfRule>
  </conditionalFormatting>
  <conditionalFormatting sqref="K3180">
    <cfRule type="cellIs" dxfId="1732" priority="1904" operator="equal">
      <formula>"SAIDA"</formula>
    </cfRule>
    <cfRule type="cellIs" dxfId="1731" priority="1905" operator="equal">
      <formula>"ENTRADA"</formula>
    </cfRule>
  </conditionalFormatting>
  <conditionalFormatting sqref="K3172">
    <cfRule type="cellIs" dxfId="1730" priority="1886" operator="equal">
      <formula>"SAIDA"</formula>
    </cfRule>
    <cfRule type="cellIs" dxfId="1729" priority="1887" operator="equal">
      <formula>"ENTRADA"</formula>
    </cfRule>
  </conditionalFormatting>
  <conditionalFormatting sqref="K3154">
    <cfRule type="cellIs" dxfId="1728" priority="1882" operator="equal">
      <formula>"SAIDA"</formula>
    </cfRule>
    <cfRule type="cellIs" dxfId="1727" priority="1883" operator="equal">
      <formula>"ENTRADA"</formula>
    </cfRule>
  </conditionalFormatting>
  <conditionalFormatting sqref="K3151">
    <cfRule type="cellIs" dxfId="1726" priority="1878" operator="equal">
      <formula>"SAIDA"</formula>
    </cfRule>
    <cfRule type="cellIs" dxfId="1725" priority="1879" operator="equal">
      <formula>"ENTRADA"</formula>
    </cfRule>
  </conditionalFormatting>
  <conditionalFormatting sqref="K3147">
    <cfRule type="cellIs" dxfId="1724" priority="1876" operator="equal">
      <formula>"SAIDA"</formula>
    </cfRule>
    <cfRule type="cellIs" dxfId="1723" priority="1877" operator="equal">
      <formula>"ENTRADA"</formula>
    </cfRule>
  </conditionalFormatting>
  <conditionalFormatting sqref="K3145">
    <cfRule type="cellIs" dxfId="1722" priority="1872" operator="equal">
      <formula>"SAIDA"</formula>
    </cfRule>
    <cfRule type="cellIs" dxfId="1721" priority="1873" operator="equal">
      <formula>"ENTRADA"</formula>
    </cfRule>
  </conditionalFormatting>
  <conditionalFormatting sqref="K3143:K3144">
    <cfRule type="cellIs" dxfId="1720" priority="1870" operator="equal">
      <formula>"SAIDA"</formula>
    </cfRule>
    <cfRule type="cellIs" dxfId="1719" priority="1871" operator="equal">
      <formula>"ENTRADA"</formula>
    </cfRule>
  </conditionalFormatting>
  <conditionalFormatting sqref="K3142">
    <cfRule type="cellIs" dxfId="1718" priority="1868" operator="equal">
      <formula>"SAIDA"</formula>
    </cfRule>
    <cfRule type="cellIs" dxfId="1717" priority="1869" operator="equal">
      <formula>"ENTRADA"</formula>
    </cfRule>
  </conditionalFormatting>
  <conditionalFormatting sqref="K3141">
    <cfRule type="cellIs" dxfId="1716" priority="1866" operator="equal">
      <formula>"SAIDA"</formula>
    </cfRule>
    <cfRule type="cellIs" dxfId="1715" priority="1867" operator="equal">
      <formula>"ENTRADA"</formula>
    </cfRule>
  </conditionalFormatting>
  <conditionalFormatting sqref="K3131">
    <cfRule type="cellIs" dxfId="1714" priority="1864" operator="equal">
      <formula>"SAIDA"</formula>
    </cfRule>
    <cfRule type="cellIs" dxfId="1713" priority="1865" operator="equal">
      <formula>"ENTRADA"</formula>
    </cfRule>
  </conditionalFormatting>
  <conditionalFormatting sqref="K3130">
    <cfRule type="cellIs" dxfId="1712" priority="1862" operator="equal">
      <formula>"SAIDA"</formula>
    </cfRule>
    <cfRule type="cellIs" dxfId="1711" priority="1863" operator="equal">
      <formula>"ENTRADA"</formula>
    </cfRule>
  </conditionalFormatting>
  <conditionalFormatting sqref="K3128">
    <cfRule type="cellIs" dxfId="1710" priority="1860" operator="equal">
      <formula>"SAIDA"</formula>
    </cfRule>
    <cfRule type="cellIs" dxfId="1709" priority="1861" operator="equal">
      <formula>"ENTRADA"</formula>
    </cfRule>
  </conditionalFormatting>
  <conditionalFormatting sqref="K3126">
    <cfRule type="cellIs" dxfId="1708" priority="1858" operator="equal">
      <formula>"SAIDA"</formula>
    </cfRule>
    <cfRule type="cellIs" dxfId="1707" priority="1859" operator="equal">
      <formula>"ENTRADA"</formula>
    </cfRule>
  </conditionalFormatting>
  <conditionalFormatting sqref="K3121">
    <cfRule type="cellIs" dxfId="1706" priority="1856" operator="equal">
      <formula>"SAIDA"</formula>
    </cfRule>
    <cfRule type="cellIs" dxfId="1705" priority="1857" operator="equal">
      <formula>"ENTRADA"</formula>
    </cfRule>
  </conditionalFormatting>
  <conditionalFormatting sqref="K3120">
    <cfRule type="cellIs" dxfId="1704" priority="1854" operator="equal">
      <formula>"SAIDA"</formula>
    </cfRule>
    <cfRule type="cellIs" dxfId="1703" priority="1855" operator="equal">
      <formula>"ENTRADA"</formula>
    </cfRule>
  </conditionalFormatting>
  <conditionalFormatting sqref="K3119">
    <cfRule type="cellIs" dxfId="1702" priority="1852" operator="equal">
      <formula>"SAIDA"</formula>
    </cfRule>
    <cfRule type="cellIs" dxfId="1701" priority="1853" operator="equal">
      <formula>"ENTRADA"</formula>
    </cfRule>
  </conditionalFormatting>
  <conditionalFormatting sqref="K3116">
    <cfRule type="cellIs" dxfId="1700" priority="1850" operator="equal">
      <formula>"SAIDA"</formula>
    </cfRule>
    <cfRule type="cellIs" dxfId="1699" priority="1851" operator="equal">
      <formula>"ENTRADA"</formula>
    </cfRule>
  </conditionalFormatting>
  <conditionalFormatting sqref="K3115">
    <cfRule type="cellIs" dxfId="1698" priority="1848" operator="equal">
      <formula>"SAIDA"</formula>
    </cfRule>
    <cfRule type="cellIs" dxfId="1697" priority="1849" operator="equal">
      <formula>"ENTRADA"</formula>
    </cfRule>
  </conditionalFormatting>
  <conditionalFormatting sqref="K3114">
    <cfRule type="cellIs" dxfId="1696" priority="1846" operator="equal">
      <formula>"SAIDA"</formula>
    </cfRule>
    <cfRule type="cellIs" dxfId="1695" priority="1847" operator="equal">
      <formula>"ENTRADA"</formula>
    </cfRule>
  </conditionalFormatting>
  <conditionalFormatting sqref="K3113">
    <cfRule type="cellIs" dxfId="1694" priority="1844" operator="equal">
      <formula>"SAIDA"</formula>
    </cfRule>
    <cfRule type="cellIs" dxfId="1693" priority="1845" operator="equal">
      <formula>"ENTRADA"</formula>
    </cfRule>
  </conditionalFormatting>
  <conditionalFormatting sqref="K3112">
    <cfRule type="cellIs" dxfId="1692" priority="1842" operator="equal">
      <formula>"SAIDA"</formula>
    </cfRule>
    <cfRule type="cellIs" dxfId="1691" priority="1843" operator="equal">
      <formula>"ENTRADA"</formula>
    </cfRule>
  </conditionalFormatting>
  <conditionalFormatting sqref="K3111">
    <cfRule type="cellIs" dxfId="1690" priority="1840" operator="equal">
      <formula>"SAIDA"</formula>
    </cfRule>
    <cfRule type="cellIs" dxfId="1689" priority="1841" operator="equal">
      <formula>"ENTRADA"</formula>
    </cfRule>
  </conditionalFormatting>
  <conditionalFormatting sqref="K3110">
    <cfRule type="cellIs" dxfId="1688" priority="1838" operator="equal">
      <formula>"SAIDA"</formula>
    </cfRule>
    <cfRule type="cellIs" dxfId="1687" priority="1839" operator="equal">
      <formula>"ENTRADA"</formula>
    </cfRule>
  </conditionalFormatting>
  <conditionalFormatting sqref="K3109">
    <cfRule type="cellIs" dxfId="1686" priority="1836" operator="equal">
      <formula>"SAIDA"</formula>
    </cfRule>
    <cfRule type="cellIs" dxfId="1685" priority="1837" operator="equal">
      <formula>"ENTRADA"</formula>
    </cfRule>
  </conditionalFormatting>
  <conditionalFormatting sqref="K3108">
    <cfRule type="cellIs" dxfId="1684" priority="1834" operator="equal">
      <formula>"SAIDA"</formula>
    </cfRule>
    <cfRule type="cellIs" dxfId="1683" priority="1835" operator="equal">
      <formula>"ENTRADA"</formula>
    </cfRule>
  </conditionalFormatting>
  <conditionalFormatting sqref="K3097">
    <cfRule type="cellIs" dxfId="1682" priority="1832" operator="equal">
      <formula>"SAIDA"</formula>
    </cfRule>
    <cfRule type="cellIs" dxfId="1681" priority="1833" operator="equal">
      <formula>"ENTRADA"</formula>
    </cfRule>
  </conditionalFormatting>
  <conditionalFormatting sqref="K3093">
    <cfRule type="cellIs" dxfId="1680" priority="1830" operator="equal">
      <formula>"SAIDA"</formula>
    </cfRule>
    <cfRule type="cellIs" dxfId="1679" priority="1831" operator="equal">
      <formula>"ENTRADA"</formula>
    </cfRule>
  </conditionalFormatting>
  <conditionalFormatting sqref="K3092">
    <cfRule type="cellIs" dxfId="1678" priority="1828" operator="equal">
      <formula>"SAIDA"</formula>
    </cfRule>
    <cfRule type="cellIs" dxfId="1677" priority="1829" operator="equal">
      <formula>"ENTRADA"</formula>
    </cfRule>
  </conditionalFormatting>
  <conditionalFormatting sqref="K3091">
    <cfRule type="cellIs" dxfId="1676" priority="1826" operator="equal">
      <formula>"SAIDA"</formula>
    </cfRule>
    <cfRule type="cellIs" dxfId="1675" priority="1827" operator="equal">
      <formula>"ENTRADA"</formula>
    </cfRule>
  </conditionalFormatting>
  <conditionalFormatting sqref="K3089">
    <cfRule type="cellIs" dxfId="1674" priority="1824" operator="equal">
      <formula>"SAIDA"</formula>
    </cfRule>
    <cfRule type="cellIs" dxfId="1673" priority="1825" operator="equal">
      <formula>"ENTRADA"</formula>
    </cfRule>
  </conditionalFormatting>
  <conditionalFormatting sqref="K3090">
    <cfRule type="cellIs" dxfId="1672" priority="1818" operator="equal">
      <formula>"SAIDA"</formula>
    </cfRule>
    <cfRule type="cellIs" dxfId="1671" priority="1819" operator="equal">
      <formula>"ENTRADA"</formula>
    </cfRule>
  </conditionalFormatting>
  <conditionalFormatting sqref="K3086">
    <cfRule type="cellIs" dxfId="1670" priority="1816" operator="equal">
      <formula>"SAIDA"</formula>
    </cfRule>
    <cfRule type="cellIs" dxfId="1669" priority="1817" operator="equal">
      <formula>"ENTRADA"</formula>
    </cfRule>
  </conditionalFormatting>
  <conditionalFormatting sqref="K3085">
    <cfRule type="cellIs" dxfId="1668" priority="1814" operator="equal">
      <formula>"SAIDA"</formula>
    </cfRule>
    <cfRule type="cellIs" dxfId="1667" priority="1815" operator="equal">
      <formula>"ENTRADA"</formula>
    </cfRule>
  </conditionalFormatting>
  <conditionalFormatting sqref="K3084">
    <cfRule type="cellIs" dxfId="1666" priority="1812" operator="equal">
      <formula>"SAIDA"</formula>
    </cfRule>
    <cfRule type="cellIs" dxfId="1665" priority="1813" operator="equal">
      <formula>"ENTRADA"</formula>
    </cfRule>
  </conditionalFormatting>
  <conditionalFormatting sqref="K3083">
    <cfRule type="cellIs" dxfId="1664" priority="1806" operator="equal">
      <formula>"SAIDA"</formula>
    </cfRule>
    <cfRule type="cellIs" dxfId="1663" priority="1807" operator="equal">
      <formula>"ENTRADA"</formula>
    </cfRule>
  </conditionalFormatting>
  <conditionalFormatting sqref="K3082">
    <cfRule type="cellIs" dxfId="1662" priority="1804" operator="equal">
      <formula>"SAIDA"</formula>
    </cfRule>
    <cfRule type="cellIs" dxfId="1661" priority="1805" operator="equal">
      <formula>"ENTRADA"</formula>
    </cfRule>
  </conditionalFormatting>
  <conditionalFormatting sqref="K3066">
    <cfRule type="cellIs" dxfId="1660" priority="1802" operator="equal">
      <formula>"SAIDA"</formula>
    </cfRule>
    <cfRule type="cellIs" dxfId="1659" priority="1803" operator="equal">
      <formula>"ENTRADA"</formula>
    </cfRule>
  </conditionalFormatting>
  <conditionalFormatting sqref="K3065">
    <cfRule type="cellIs" dxfId="1658" priority="1800" operator="equal">
      <formula>"SAIDA"</formula>
    </cfRule>
    <cfRule type="cellIs" dxfId="1657" priority="1801" operator="equal">
      <formula>"ENTRADA"</formula>
    </cfRule>
  </conditionalFormatting>
  <conditionalFormatting sqref="K3064">
    <cfRule type="cellIs" dxfId="1656" priority="1798" operator="equal">
      <formula>"SAIDA"</formula>
    </cfRule>
    <cfRule type="cellIs" dxfId="1655" priority="1799" operator="equal">
      <formula>"ENTRADA"</formula>
    </cfRule>
  </conditionalFormatting>
  <conditionalFormatting sqref="K3061">
    <cfRule type="cellIs" dxfId="1654" priority="1796" operator="equal">
      <formula>"SAIDA"</formula>
    </cfRule>
    <cfRule type="cellIs" dxfId="1653" priority="1797" operator="equal">
      <formula>"ENTRADA"</formula>
    </cfRule>
  </conditionalFormatting>
  <conditionalFormatting sqref="K3058">
    <cfRule type="cellIs" dxfId="1652" priority="1794" operator="equal">
      <formula>"SAIDA"</formula>
    </cfRule>
    <cfRule type="cellIs" dxfId="1651" priority="1795" operator="equal">
      <formula>"ENTRADA"</formula>
    </cfRule>
  </conditionalFormatting>
  <conditionalFormatting sqref="K3055">
    <cfRule type="cellIs" dxfId="1650" priority="1792" operator="equal">
      <formula>"SAIDA"</formula>
    </cfRule>
    <cfRule type="cellIs" dxfId="1649" priority="1793" operator="equal">
      <formula>"ENTRADA"</formula>
    </cfRule>
  </conditionalFormatting>
  <conditionalFormatting sqref="K3054">
    <cfRule type="cellIs" dxfId="1648" priority="1790" operator="equal">
      <formula>"SAIDA"</formula>
    </cfRule>
    <cfRule type="cellIs" dxfId="1647" priority="1791" operator="equal">
      <formula>"ENTRADA"</formula>
    </cfRule>
  </conditionalFormatting>
  <conditionalFormatting sqref="K3053">
    <cfRule type="cellIs" dxfId="1646" priority="1788" operator="equal">
      <formula>"SAIDA"</formula>
    </cfRule>
    <cfRule type="cellIs" dxfId="1645" priority="1789" operator="equal">
      <formula>"ENTRADA"</formula>
    </cfRule>
  </conditionalFormatting>
  <conditionalFormatting sqref="K3052">
    <cfRule type="cellIs" dxfId="1644" priority="1786" operator="equal">
      <formula>"SAIDA"</formula>
    </cfRule>
    <cfRule type="cellIs" dxfId="1643" priority="1787" operator="equal">
      <formula>"ENTRADA"</formula>
    </cfRule>
  </conditionalFormatting>
  <conditionalFormatting sqref="K3051">
    <cfRule type="cellIs" dxfId="1642" priority="1784" operator="equal">
      <formula>"SAIDA"</formula>
    </cfRule>
    <cfRule type="cellIs" dxfId="1641" priority="1785" operator="equal">
      <formula>"ENTRADA"</formula>
    </cfRule>
  </conditionalFormatting>
  <conditionalFormatting sqref="K3050">
    <cfRule type="cellIs" dxfId="1640" priority="1782" operator="equal">
      <formula>"SAIDA"</formula>
    </cfRule>
    <cfRule type="cellIs" dxfId="1639" priority="1783" operator="equal">
      <formula>"ENTRADA"</formula>
    </cfRule>
  </conditionalFormatting>
  <conditionalFormatting sqref="K3019">
    <cfRule type="cellIs" dxfId="1638" priority="1780" operator="equal">
      <formula>"SAIDA"</formula>
    </cfRule>
    <cfRule type="cellIs" dxfId="1637" priority="1781" operator="equal">
      <formula>"ENTRADA"</formula>
    </cfRule>
  </conditionalFormatting>
  <conditionalFormatting sqref="K3020">
    <cfRule type="cellIs" dxfId="1636" priority="1778" operator="equal">
      <formula>"SAIDA"</formula>
    </cfRule>
    <cfRule type="cellIs" dxfId="1635" priority="1779" operator="equal">
      <formula>"ENTRADA"</formula>
    </cfRule>
  </conditionalFormatting>
  <conditionalFormatting sqref="K3018">
    <cfRule type="cellIs" dxfId="1634" priority="1776" operator="equal">
      <formula>"SAIDA"</formula>
    </cfRule>
    <cfRule type="cellIs" dxfId="1633" priority="1777" operator="equal">
      <formula>"ENTRADA"</formula>
    </cfRule>
  </conditionalFormatting>
  <conditionalFormatting sqref="K3014">
    <cfRule type="cellIs" dxfId="1632" priority="1774" operator="equal">
      <formula>"SAIDA"</formula>
    </cfRule>
    <cfRule type="cellIs" dxfId="1631" priority="1775" operator="equal">
      <formula>"ENTRADA"</formula>
    </cfRule>
  </conditionalFormatting>
  <conditionalFormatting sqref="K3013">
    <cfRule type="cellIs" dxfId="1630" priority="1772" operator="equal">
      <formula>"SAIDA"</formula>
    </cfRule>
    <cfRule type="cellIs" dxfId="1629" priority="1773" operator="equal">
      <formula>"ENTRADA"</formula>
    </cfRule>
  </conditionalFormatting>
  <conditionalFormatting sqref="K3012">
    <cfRule type="cellIs" dxfId="1628" priority="1770" operator="equal">
      <formula>"SAIDA"</formula>
    </cfRule>
    <cfRule type="cellIs" dxfId="1627" priority="1771" operator="equal">
      <formula>"ENTRADA"</formula>
    </cfRule>
  </conditionalFormatting>
  <conditionalFormatting sqref="K3011">
    <cfRule type="cellIs" dxfId="1626" priority="1768" operator="equal">
      <formula>"SAIDA"</formula>
    </cfRule>
    <cfRule type="cellIs" dxfId="1625" priority="1769" operator="equal">
      <formula>"ENTRADA"</formula>
    </cfRule>
  </conditionalFormatting>
  <conditionalFormatting sqref="K3009">
    <cfRule type="cellIs" dxfId="1624" priority="1766" operator="equal">
      <formula>"SAIDA"</formula>
    </cfRule>
    <cfRule type="cellIs" dxfId="1623" priority="1767" operator="equal">
      <formula>"ENTRADA"</formula>
    </cfRule>
  </conditionalFormatting>
  <conditionalFormatting sqref="K3010">
    <cfRule type="cellIs" dxfId="1622" priority="1764" operator="equal">
      <formula>"SAIDA"</formula>
    </cfRule>
    <cfRule type="cellIs" dxfId="1621" priority="1765" operator="equal">
      <formula>"ENTRADA"</formula>
    </cfRule>
  </conditionalFormatting>
  <conditionalFormatting sqref="K3007">
    <cfRule type="cellIs" dxfId="1620" priority="1762" operator="equal">
      <formula>"SAIDA"</formula>
    </cfRule>
    <cfRule type="cellIs" dxfId="1619" priority="1763" operator="equal">
      <formula>"ENTRADA"</formula>
    </cfRule>
  </conditionalFormatting>
  <conditionalFormatting sqref="K3006">
    <cfRule type="cellIs" dxfId="1618" priority="1760" operator="equal">
      <formula>"SAIDA"</formula>
    </cfRule>
    <cfRule type="cellIs" dxfId="1617" priority="1761" operator="equal">
      <formula>"ENTRADA"</formula>
    </cfRule>
  </conditionalFormatting>
  <conditionalFormatting sqref="K3003">
    <cfRule type="cellIs" dxfId="1616" priority="1758" operator="equal">
      <formula>"SAIDA"</formula>
    </cfRule>
    <cfRule type="cellIs" dxfId="1615" priority="1759" operator="equal">
      <formula>"ENTRADA"</formula>
    </cfRule>
  </conditionalFormatting>
  <conditionalFormatting sqref="K3004">
    <cfRule type="cellIs" dxfId="1614" priority="1756" operator="equal">
      <formula>"SAIDA"</formula>
    </cfRule>
    <cfRule type="cellIs" dxfId="1613" priority="1757" operator="equal">
      <formula>"ENTRADA"</formula>
    </cfRule>
  </conditionalFormatting>
  <conditionalFormatting sqref="K2973">
    <cfRule type="cellIs" dxfId="1612" priority="1754" operator="equal">
      <formula>"SAIDA"</formula>
    </cfRule>
    <cfRule type="cellIs" dxfId="1611" priority="1755" operator="equal">
      <formula>"ENTRADA"</formula>
    </cfRule>
  </conditionalFormatting>
  <conditionalFormatting sqref="K2972">
    <cfRule type="cellIs" dxfId="1610" priority="1752" operator="equal">
      <formula>"SAIDA"</formula>
    </cfRule>
    <cfRule type="cellIs" dxfId="1609" priority="1753" operator="equal">
      <formula>"ENTRADA"</formula>
    </cfRule>
  </conditionalFormatting>
  <conditionalFormatting sqref="K2971">
    <cfRule type="cellIs" dxfId="1608" priority="1750" operator="equal">
      <formula>"SAIDA"</formula>
    </cfRule>
    <cfRule type="cellIs" dxfId="1607" priority="1751" operator="equal">
      <formula>"ENTRADA"</formula>
    </cfRule>
  </conditionalFormatting>
  <conditionalFormatting sqref="K2965:K2966">
    <cfRule type="cellIs" dxfId="1606" priority="1748" operator="equal">
      <formula>"SAIDA"</formula>
    </cfRule>
    <cfRule type="cellIs" dxfId="1605" priority="1749" operator="equal">
      <formula>"ENTRADA"</formula>
    </cfRule>
  </conditionalFormatting>
  <conditionalFormatting sqref="K2964">
    <cfRule type="cellIs" dxfId="1604" priority="1746" operator="equal">
      <formula>"SAIDA"</formula>
    </cfRule>
    <cfRule type="cellIs" dxfId="1603" priority="1747" operator="equal">
      <formula>"ENTRADA"</formula>
    </cfRule>
  </conditionalFormatting>
  <conditionalFormatting sqref="K2962">
    <cfRule type="cellIs" dxfId="1602" priority="1744" operator="equal">
      <formula>"SAIDA"</formula>
    </cfRule>
    <cfRule type="cellIs" dxfId="1601" priority="1745" operator="equal">
      <formula>"ENTRADA"</formula>
    </cfRule>
  </conditionalFormatting>
  <conditionalFormatting sqref="K2960">
    <cfRule type="cellIs" dxfId="1600" priority="1742" operator="equal">
      <formula>"SAIDA"</formula>
    </cfRule>
    <cfRule type="cellIs" dxfId="1599" priority="1743" operator="equal">
      <formula>"ENTRADA"</formula>
    </cfRule>
  </conditionalFormatting>
  <conditionalFormatting sqref="K2961">
    <cfRule type="cellIs" dxfId="1598" priority="1740" operator="equal">
      <formula>"SAIDA"</formula>
    </cfRule>
    <cfRule type="cellIs" dxfId="1597" priority="1741" operator="equal">
      <formula>"ENTRADA"</formula>
    </cfRule>
  </conditionalFormatting>
  <conditionalFormatting sqref="K2959">
    <cfRule type="cellIs" dxfId="1596" priority="1738" operator="equal">
      <formula>"SAIDA"</formula>
    </cfRule>
    <cfRule type="cellIs" dxfId="1595" priority="1739" operator="equal">
      <formula>"ENTRADA"</formula>
    </cfRule>
  </conditionalFormatting>
  <conditionalFormatting sqref="K2953">
    <cfRule type="cellIs" dxfId="1594" priority="1736" operator="equal">
      <formula>"SAIDA"</formula>
    </cfRule>
    <cfRule type="cellIs" dxfId="1593" priority="1737" operator="equal">
      <formula>"ENTRADA"</formula>
    </cfRule>
  </conditionalFormatting>
  <conditionalFormatting sqref="K2949">
    <cfRule type="cellIs" dxfId="1592" priority="1734" operator="equal">
      <formula>"SAIDA"</formula>
    </cfRule>
    <cfRule type="cellIs" dxfId="1591" priority="1735" operator="equal">
      <formula>"ENTRADA"</formula>
    </cfRule>
  </conditionalFormatting>
  <conditionalFormatting sqref="K2944">
    <cfRule type="cellIs" dxfId="1590" priority="1732" operator="equal">
      <formula>"SAIDA"</formula>
    </cfRule>
    <cfRule type="cellIs" dxfId="1589" priority="1733" operator="equal">
      <formula>"ENTRADA"</formula>
    </cfRule>
  </conditionalFormatting>
  <conditionalFormatting sqref="K2943">
    <cfRule type="cellIs" dxfId="1588" priority="1730" operator="equal">
      <formula>"SAIDA"</formula>
    </cfRule>
    <cfRule type="cellIs" dxfId="1587" priority="1731" operator="equal">
      <formula>"ENTRADA"</formula>
    </cfRule>
  </conditionalFormatting>
  <conditionalFormatting sqref="K2939">
    <cfRule type="cellIs" dxfId="1586" priority="1728" operator="equal">
      <formula>"SAIDA"</formula>
    </cfRule>
    <cfRule type="cellIs" dxfId="1585" priority="1729" operator="equal">
      <formula>"ENTRADA"</formula>
    </cfRule>
  </conditionalFormatting>
  <conditionalFormatting sqref="K2938">
    <cfRule type="cellIs" dxfId="1584" priority="1726" operator="equal">
      <formula>"SAIDA"</formula>
    </cfRule>
    <cfRule type="cellIs" dxfId="1583" priority="1727" operator="equal">
      <formula>"ENTRADA"</formula>
    </cfRule>
  </conditionalFormatting>
  <conditionalFormatting sqref="K2937">
    <cfRule type="cellIs" dxfId="1582" priority="1722" operator="equal">
      <formula>"SAIDA"</formula>
    </cfRule>
    <cfRule type="cellIs" dxfId="1581" priority="1723" operator="equal">
      <formula>"ENTRADA"</formula>
    </cfRule>
  </conditionalFormatting>
  <conditionalFormatting sqref="K2936">
    <cfRule type="cellIs" dxfId="1580" priority="1720" operator="equal">
      <formula>"SAIDA"</formula>
    </cfRule>
    <cfRule type="cellIs" dxfId="1579" priority="1721" operator="equal">
      <formula>"ENTRADA"</formula>
    </cfRule>
  </conditionalFormatting>
  <conditionalFormatting sqref="K2935">
    <cfRule type="cellIs" dxfId="1578" priority="1718" operator="equal">
      <formula>"SAIDA"</formula>
    </cfRule>
    <cfRule type="cellIs" dxfId="1577" priority="1719" operator="equal">
      <formula>"ENTRADA"</formula>
    </cfRule>
  </conditionalFormatting>
  <conditionalFormatting sqref="K2920">
    <cfRule type="cellIs" dxfId="1576" priority="1716" operator="equal">
      <formula>"SAIDA"</formula>
    </cfRule>
    <cfRule type="cellIs" dxfId="1575" priority="1717" operator="equal">
      <formula>"ENTRADA"</formula>
    </cfRule>
  </conditionalFormatting>
  <conditionalFormatting sqref="K2919">
    <cfRule type="cellIs" dxfId="1574" priority="1714" operator="equal">
      <formula>"SAIDA"</formula>
    </cfRule>
    <cfRule type="cellIs" dxfId="1573" priority="1715" operator="equal">
      <formula>"ENTRADA"</formula>
    </cfRule>
  </conditionalFormatting>
  <conditionalFormatting sqref="K2918">
    <cfRule type="cellIs" dxfId="1572" priority="1712" operator="equal">
      <formula>"SAIDA"</formula>
    </cfRule>
    <cfRule type="cellIs" dxfId="1571" priority="1713" operator="equal">
      <formula>"ENTRADA"</formula>
    </cfRule>
  </conditionalFormatting>
  <conditionalFormatting sqref="K2914">
    <cfRule type="cellIs" dxfId="1570" priority="1710" operator="equal">
      <formula>"SAIDA"</formula>
    </cfRule>
    <cfRule type="cellIs" dxfId="1569" priority="1711" operator="equal">
      <formula>"ENTRADA"</formula>
    </cfRule>
  </conditionalFormatting>
  <conditionalFormatting sqref="K2916">
    <cfRule type="cellIs" dxfId="1568" priority="1708" operator="equal">
      <formula>"SAIDA"</formula>
    </cfRule>
    <cfRule type="cellIs" dxfId="1567" priority="1709" operator="equal">
      <formula>"ENTRADA"</formula>
    </cfRule>
  </conditionalFormatting>
  <conditionalFormatting sqref="K2915">
    <cfRule type="cellIs" dxfId="1566" priority="1706" operator="equal">
      <formula>"SAIDA"</formula>
    </cfRule>
    <cfRule type="cellIs" dxfId="1565" priority="1707" operator="equal">
      <formula>"ENTRADA"</formula>
    </cfRule>
  </conditionalFormatting>
  <conditionalFormatting sqref="K2912:K2913">
    <cfRule type="cellIs" dxfId="1564" priority="1704" operator="equal">
      <formula>"SAIDA"</formula>
    </cfRule>
    <cfRule type="cellIs" dxfId="1563" priority="1705" operator="equal">
      <formula>"ENTRADA"</formula>
    </cfRule>
  </conditionalFormatting>
  <conditionalFormatting sqref="K2911">
    <cfRule type="cellIs" dxfId="1562" priority="1702" operator="equal">
      <formula>"SAIDA"</formula>
    </cfRule>
    <cfRule type="cellIs" dxfId="1561" priority="1703" operator="equal">
      <formula>"ENTRADA"</formula>
    </cfRule>
  </conditionalFormatting>
  <conditionalFormatting sqref="K2910">
    <cfRule type="cellIs" dxfId="1560" priority="1700" operator="equal">
      <formula>"SAIDA"</formula>
    </cfRule>
    <cfRule type="cellIs" dxfId="1559" priority="1701" operator="equal">
      <formula>"ENTRADA"</formula>
    </cfRule>
  </conditionalFormatting>
  <conditionalFormatting sqref="K2907">
    <cfRule type="cellIs" dxfId="1558" priority="1698" operator="equal">
      <formula>"SAIDA"</formula>
    </cfRule>
    <cfRule type="cellIs" dxfId="1557" priority="1699" operator="equal">
      <formula>"ENTRADA"</formula>
    </cfRule>
  </conditionalFormatting>
  <conditionalFormatting sqref="K2904">
    <cfRule type="cellIs" dxfId="1556" priority="1696" operator="equal">
      <formula>"SAIDA"</formula>
    </cfRule>
    <cfRule type="cellIs" dxfId="1555" priority="1697" operator="equal">
      <formula>"ENTRADA"</formula>
    </cfRule>
  </conditionalFormatting>
  <conditionalFormatting sqref="K2906">
    <cfRule type="cellIs" dxfId="1554" priority="1694" operator="equal">
      <formula>"SAIDA"</formula>
    </cfRule>
    <cfRule type="cellIs" dxfId="1553" priority="1695" operator="equal">
      <formula>"ENTRADA"</formula>
    </cfRule>
  </conditionalFormatting>
  <conditionalFormatting sqref="K2905">
    <cfRule type="cellIs" dxfId="1552" priority="1692" operator="equal">
      <formula>"SAIDA"</formula>
    </cfRule>
    <cfRule type="cellIs" dxfId="1551" priority="1693" operator="equal">
      <formula>"ENTRADA"</formula>
    </cfRule>
  </conditionalFormatting>
  <conditionalFormatting sqref="K2878">
    <cfRule type="cellIs" dxfId="1550" priority="1690" operator="equal">
      <formula>"SAIDA"</formula>
    </cfRule>
    <cfRule type="cellIs" dxfId="1549" priority="1691" operator="equal">
      <formula>"ENTRADA"</formula>
    </cfRule>
  </conditionalFormatting>
  <conditionalFormatting sqref="K2879">
    <cfRule type="cellIs" dxfId="1548" priority="1688" operator="equal">
      <formula>"SAIDA"</formula>
    </cfRule>
    <cfRule type="cellIs" dxfId="1547" priority="1689" operator="equal">
      <formula>"ENTRADA"</formula>
    </cfRule>
  </conditionalFormatting>
  <conditionalFormatting sqref="K2877">
    <cfRule type="cellIs" dxfId="1546" priority="1686" operator="equal">
      <formula>"SAIDA"</formula>
    </cfRule>
    <cfRule type="cellIs" dxfId="1545" priority="1687" operator="equal">
      <formula>"ENTRADA"</formula>
    </cfRule>
  </conditionalFormatting>
  <conditionalFormatting sqref="K2876">
    <cfRule type="cellIs" dxfId="1544" priority="1684" operator="equal">
      <formula>"SAIDA"</formula>
    </cfRule>
    <cfRule type="cellIs" dxfId="1543" priority="1685" operator="equal">
      <formula>"ENTRADA"</formula>
    </cfRule>
  </conditionalFormatting>
  <conditionalFormatting sqref="K2875">
    <cfRule type="cellIs" dxfId="1542" priority="1682" operator="equal">
      <formula>"SAIDA"</formula>
    </cfRule>
    <cfRule type="cellIs" dxfId="1541" priority="1683" operator="equal">
      <formula>"ENTRADA"</formula>
    </cfRule>
  </conditionalFormatting>
  <conditionalFormatting sqref="K2873:K2874">
    <cfRule type="cellIs" dxfId="1540" priority="1680" operator="equal">
      <formula>"SAIDA"</formula>
    </cfRule>
    <cfRule type="cellIs" dxfId="1539" priority="1681" operator="equal">
      <formula>"ENTRADA"</formula>
    </cfRule>
  </conditionalFormatting>
  <conditionalFormatting sqref="K2872">
    <cfRule type="cellIs" dxfId="1538" priority="1678" operator="equal">
      <formula>"SAIDA"</formula>
    </cfRule>
    <cfRule type="cellIs" dxfId="1537" priority="1679" operator="equal">
      <formula>"ENTRADA"</formula>
    </cfRule>
  </conditionalFormatting>
  <conditionalFormatting sqref="K2859">
    <cfRule type="cellIs" dxfId="1536" priority="1672" operator="equal">
      <formula>"SAIDA"</formula>
    </cfRule>
    <cfRule type="cellIs" dxfId="1535" priority="1673" operator="equal">
      <formula>"ENTRADA"</formula>
    </cfRule>
  </conditionalFormatting>
  <conditionalFormatting sqref="K2857:K2858">
    <cfRule type="cellIs" dxfId="1534" priority="1664" operator="equal">
      <formula>"SAIDA"</formula>
    </cfRule>
    <cfRule type="cellIs" dxfId="1533" priority="1665" operator="equal">
      <formula>"ENTRADA"</formula>
    </cfRule>
  </conditionalFormatting>
  <conditionalFormatting sqref="K2856">
    <cfRule type="cellIs" dxfId="1532" priority="1670" operator="equal">
      <formula>"SAIDA"</formula>
    </cfRule>
    <cfRule type="cellIs" dxfId="1531" priority="1671" operator="equal">
      <formula>"ENTRADA"</formula>
    </cfRule>
  </conditionalFormatting>
  <conditionalFormatting sqref="K2849">
    <cfRule type="cellIs" dxfId="1530" priority="1660" operator="equal">
      <formula>"SAIDA"</formula>
    </cfRule>
    <cfRule type="cellIs" dxfId="1529" priority="1661" operator="equal">
      <formula>"ENTRADA"</formula>
    </cfRule>
  </conditionalFormatting>
  <conditionalFormatting sqref="K2846">
    <cfRule type="cellIs" dxfId="1528" priority="1656" operator="equal">
      <formula>"SAIDA"</formula>
    </cfRule>
    <cfRule type="cellIs" dxfId="1527" priority="1657" operator="equal">
      <formula>"ENTRADA"</formula>
    </cfRule>
  </conditionalFormatting>
  <conditionalFormatting sqref="K2844">
    <cfRule type="cellIs" dxfId="1526" priority="1652" operator="equal">
      <formula>"SAIDA"</formula>
    </cfRule>
    <cfRule type="cellIs" dxfId="1525" priority="1653" operator="equal">
      <formula>"ENTRADA"</formula>
    </cfRule>
  </conditionalFormatting>
  <conditionalFormatting sqref="K2822">
    <cfRule type="cellIs" dxfId="1524" priority="1650" operator="equal">
      <formula>"SAIDA"</formula>
    </cfRule>
    <cfRule type="cellIs" dxfId="1523" priority="1651" operator="equal">
      <formula>"ENTRADA"</formula>
    </cfRule>
  </conditionalFormatting>
  <conditionalFormatting sqref="K2817">
    <cfRule type="cellIs" dxfId="1522" priority="1648" operator="equal">
      <formula>"SAIDA"</formula>
    </cfRule>
    <cfRule type="cellIs" dxfId="1521" priority="1649" operator="equal">
      <formula>"ENTRADA"</formula>
    </cfRule>
  </conditionalFormatting>
  <conditionalFormatting sqref="K2816">
    <cfRule type="cellIs" dxfId="1520" priority="1646" operator="equal">
      <formula>"SAIDA"</formula>
    </cfRule>
    <cfRule type="cellIs" dxfId="1519" priority="1647" operator="equal">
      <formula>"ENTRADA"</formula>
    </cfRule>
  </conditionalFormatting>
  <conditionalFormatting sqref="K2815">
    <cfRule type="cellIs" dxfId="1518" priority="1644" operator="equal">
      <formula>"SAIDA"</formula>
    </cfRule>
    <cfRule type="cellIs" dxfId="1517" priority="1645" operator="equal">
      <formula>"ENTRADA"</formula>
    </cfRule>
  </conditionalFormatting>
  <conditionalFormatting sqref="K2814">
    <cfRule type="cellIs" dxfId="1516" priority="1642" operator="equal">
      <formula>"SAIDA"</formula>
    </cfRule>
    <cfRule type="cellIs" dxfId="1515" priority="1643" operator="equal">
      <formula>"ENTRADA"</formula>
    </cfRule>
  </conditionalFormatting>
  <conditionalFormatting sqref="K2810">
    <cfRule type="cellIs" dxfId="1514" priority="1640" operator="equal">
      <formula>"SAIDA"</formula>
    </cfRule>
    <cfRule type="cellIs" dxfId="1513" priority="1641" operator="equal">
      <formula>"ENTRADA"</formula>
    </cfRule>
  </conditionalFormatting>
  <conditionalFormatting sqref="K2808:K2809">
    <cfRule type="cellIs" dxfId="1512" priority="1638" operator="equal">
      <formula>"SAIDA"</formula>
    </cfRule>
    <cfRule type="cellIs" dxfId="1511" priority="1639" operator="equal">
      <formula>"ENTRADA"</formula>
    </cfRule>
  </conditionalFormatting>
  <conditionalFormatting sqref="K2807">
    <cfRule type="cellIs" dxfId="1510" priority="1634" operator="equal">
      <formula>"SAIDA"</formula>
    </cfRule>
    <cfRule type="cellIs" dxfId="1509" priority="1635" operator="equal">
      <formula>"ENTRADA"</formula>
    </cfRule>
  </conditionalFormatting>
  <conditionalFormatting sqref="K2805">
    <cfRule type="cellIs" dxfId="1508" priority="1632" operator="equal">
      <formula>"SAIDA"</formula>
    </cfRule>
    <cfRule type="cellIs" dxfId="1507" priority="1633" operator="equal">
      <formula>"ENTRADA"</formula>
    </cfRule>
  </conditionalFormatting>
  <conditionalFormatting sqref="K2804">
    <cfRule type="cellIs" dxfId="1506" priority="1630" operator="equal">
      <formula>"SAIDA"</formula>
    </cfRule>
    <cfRule type="cellIs" dxfId="1505" priority="1631" operator="equal">
      <formula>"ENTRADA"</formula>
    </cfRule>
  </conditionalFormatting>
  <conditionalFormatting sqref="K2803">
    <cfRule type="cellIs" dxfId="1504" priority="1628" operator="equal">
      <formula>"SAIDA"</formula>
    </cfRule>
    <cfRule type="cellIs" dxfId="1503" priority="1629" operator="equal">
      <formula>"ENTRADA"</formula>
    </cfRule>
  </conditionalFormatting>
  <conditionalFormatting sqref="K2802">
    <cfRule type="cellIs" dxfId="1502" priority="1626" operator="equal">
      <formula>"SAIDA"</formula>
    </cfRule>
    <cfRule type="cellIs" dxfId="1501" priority="1627" operator="equal">
      <formula>"ENTRADA"</formula>
    </cfRule>
  </conditionalFormatting>
  <conditionalFormatting sqref="K2801">
    <cfRule type="cellIs" dxfId="1500" priority="1624" operator="equal">
      <formula>"SAIDA"</formula>
    </cfRule>
    <cfRule type="cellIs" dxfId="1499" priority="1625" operator="equal">
      <formula>"ENTRADA"</formula>
    </cfRule>
  </conditionalFormatting>
  <conditionalFormatting sqref="K2800">
    <cfRule type="cellIs" dxfId="1498" priority="1622" operator="equal">
      <formula>"SAIDA"</formula>
    </cfRule>
    <cfRule type="cellIs" dxfId="1497" priority="1623" operator="equal">
      <formula>"ENTRADA"</formula>
    </cfRule>
  </conditionalFormatting>
  <conditionalFormatting sqref="K2797">
    <cfRule type="cellIs" dxfId="1496" priority="1616" operator="equal">
      <formula>"SAIDA"</formula>
    </cfRule>
    <cfRule type="cellIs" dxfId="1495" priority="1617" operator="equal">
      <formula>"ENTRADA"</formula>
    </cfRule>
  </conditionalFormatting>
  <conditionalFormatting sqref="K2799">
    <cfRule type="cellIs" dxfId="1494" priority="1620" operator="equal">
      <formula>"SAIDA"</formula>
    </cfRule>
    <cfRule type="cellIs" dxfId="1493" priority="1621" operator="equal">
      <formula>"ENTRADA"</formula>
    </cfRule>
  </conditionalFormatting>
  <conditionalFormatting sqref="K2798">
    <cfRule type="cellIs" dxfId="1492" priority="1618" operator="equal">
      <formula>"SAIDA"</formula>
    </cfRule>
    <cfRule type="cellIs" dxfId="1491" priority="1619" operator="equal">
      <formula>"ENTRADA"</formula>
    </cfRule>
  </conditionalFormatting>
  <conditionalFormatting sqref="K2796">
    <cfRule type="cellIs" dxfId="1490" priority="1614" operator="equal">
      <formula>"SAIDA"</formula>
    </cfRule>
    <cfRule type="cellIs" dxfId="1489" priority="1615" operator="equal">
      <formula>"ENTRADA"</formula>
    </cfRule>
  </conditionalFormatting>
  <conditionalFormatting sqref="K2733">
    <cfRule type="cellIs" dxfId="1488" priority="1612" operator="equal">
      <formula>"SAIDA"</formula>
    </cfRule>
    <cfRule type="cellIs" dxfId="1487" priority="1613" operator="equal">
      <formula>"ENTRADA"</formula>
    </cfRule>
  </conditionalFormatting>
  <conditionalFormatting sqref="K2734">
    <cfRule type="cellIs" dxfId="1486" priority="1610" operator="equal">
      <formula>"SAIDA"</formula>
    </cfRule>
    <cfRule type="cellIs" dxfId="1485" priority="1611" operator="equal">
      <formula>"ENTRADA"</formula>
    </cfRule>
  </conditionalFormatting>
  <conditionalFormatting sqref="K2732">
    <cfRule type="cellIs" dxfId="1484" priority="1608" operator="equal">
      <formula>"SAIDA"</formula>
    </cfRule>
    <cfRule type="cellIs" dxfId="1483" priority="1609" operator="equal">
      <formula>"ENTRADA"</formula>
    </cfRule>
  </conditionalFormatting>
  <conditionalFormatting sqref="K2731">
    <cfRule type="cellIs" dxfId="1482" priority="1606" operator="equal">
      <formula>"SAIDA"</formula>
    </cfRule>
    <cfRule type="cellIs" dxfId="1481" priority="1607" operator="equal">
      <formula>"ENTRADA"</formula>
    </cfRule>
  </conditionalFormatting>
  <conditionalFormatting sqref="K2730">
    <cfRule type="cellIs" dxfId="1480" priority="1604" operator="equal">
      <formula>"SAIDA"</formula>
    </cfRule>
    <cfRule type="cellIs" dxfId="1479" priority="1605" operator="equal">
      <formula>"ENTRADA"</formula>
    </cfRule>
  </conditionalFormatting>
  <conditionalFormatting sqref="K2729">
    <cfRule type="cellIs" dxfId="1478" priority="1602" operator="equal">
      <formula>"SAIDA"</formula>
    </cfRule>
    <cfRule type="cellIs" dxfId="1477" priority="1603" operator="equal">
      <formula>"ENTRADA"</formula>
    </cfRule>
  </conditionalFormatting>
  <conditionalFormatting sqref="K2728">
    <cfRule type="cellIs" dxfId="1476" priority="1600" operator="equal">
      <formula>"SAIDA"</formula>
    </cfRule>
    <cfRule type="cellIs" dxfId="1475" priority="1601" operator="equal">
      <formula>"ENTRADA"</formula>
    </cfRule>
  </conditionalFormatting>
  <conditionalFormatting sqref="K2726">
    <cfRule type="cellIs" dxfId="1474" priority="1598" operator="equal">
      <formula>"SAIDA"</formula>
    </cfRule>
    <cfRule type="cellIs" dxfId="1473" priority="1599" operator="equal">
      <formula>"ENTRADA"</formula>
    </cfRule>
  </conditionalFormatting>
  <conditionalFormatting sqref="K2723">
    <cfRule type="cellIs" dxfId="1472" priority="1596" operator="equal">
      <formula>"SAIDA"</formula>
    </cfRule>
    <cfRule type="cellIs" dxfId="1471" priority="1597" operator="equal">
      <formula>"ENTRADA"</formula>
    </cfRule>
  </conditionalFormatting>
  <conditionalFormatting sqref="K2722">
    <cfRule type="cellIs" dxfId="1470" priority="1594" operator="equal">
      <formula>"SAIDA"</formula>
    </cfRule>
    <cfRule type="cellIs" dxfId="1469" priority="1595" operator="equal">
      <formula>"ENTRADA"</formula>
    </cfRule>
  </conditionalFormatting>
  <conditionalFormatting sqref="K2721">
    <cfRule type="cellIs" dxfId="1468" priority="1592" operator="equal">
      <formula>"SAIDA"</formula>
    </cfRule>
    <cfRule type="cellIs" dxfId="1467" priority="1593" operator="equal">
      <formula>"ENTRADA"</formula>
    </cfRule>
  </conditionalFormatting>
  <conditionalFormatting sqref="K2708">
    <cfRule type="cellIs" dxfId="1466" priority="1590" operator="equal">
      <formula>"SAIDA"</formula>
    </cfRule>
    <cfRule type="cellIs" dxfId="1465" priority="1591" operator="equal">
      <formula>"ENTRADA"</formula>
    </cfRule>
  </conditionalFormatting>
  <conditionalFormatting sqref="K2703">
    <cfRule type="cellIs" dxfId="1464" priority="1588" operator="equal">
      <formula>"SAIDA"</formula>
    </cfRule>
    <cfRule type="cellIs" dxfId="1463" priority="1589" operator="equal">
      <formula>"ENTRADA"</formula>
    </cfRule>
  </conditionalFormatting>
  <conditionalFormatting sqref="K2702">
    <cfRule type="cellIs" dxfId="1462" priority="1586" operator="equal">
      <formula>"SAIDA"</formula>
    </cfRule>
    <cfRule type="cellIs" dxfId="1461" priority="1587" operator="equal">
      <formula>"ENTRADA"</formula>
    </cfRule>
  </conditionalFormatting>
  <conditionalFormatting sqref="K2698">
    <cfRule type="cellIs" dxfId="1460" priority="1584" operator="equal">
      <formula>"SAIDA"</formula>
    </cfRule>
    <cfRule type="cellIs" dxfId="1459" priority="1585" operator="equal">
      <formula>"ENTRADA"</formula>
    </cfRule>
  </conditionalFormatting>
  <conditionalFormatting sqref="K2697">
    <cfRule type="cellIs" dxfId="1458" priority="1582" operator="equal">
      <formula>"SAIDA"</formula>
    </cfRule>
    <cfRule type="cellIs" dxfId="1457" priority="1583" operator="equal">
      <formula>"ENTRADA"</formula>
    </cfRule>
  </conditionalFormatting>
  <conditionalFormatting sqref="K2696">
    <cfRule type="cellIs" dxfId="1456" priority="1580" operator="equal">
      <formula>"SAIDA"</formula>
    </cfRule>
    <cfRule type="cellIs" dxfId="1455" priority="1581" operator="equal">
      <formula>"ENTRADA"</formula>
    </cfRule>
  </conditionalFormatting>
  <conditionalFormatting sqref="K2694">
    <cfRule type="cellIs" dxfId="1454" priority="1578" operator="equal">
      <formula>"SAIDA"</formula>
    </cfRule>
    <cfRule type="cellIs" dxfId="1453" priority="1579" operator="equal">
      <formula>"ENTRADA"</formula>
    </cfRule>
  </conditionalFormatting>
  <conditionalFormatting sqref="K2684">
    <cfRule type="cellIs" dxfId="1452" priority="1576" operator="equal">
      <formula>"SAIDA"</formula>
    </cfRule>
    <cfRule type="cellIs" dxfId="1451" priority="1577" operator="equal">
      <formula>"ENTRADA"</formula>
    </cfRule>
  </conditionalFormatting>
  <conditionalFormatting sqref="K2693">
    <cfRule type="cellIs" dxfId="1450" priority="1574" operator="equal">
      <formula>"SAIDA"</formula>
    </cfRule>
    <cfRule type="cellIs" dxfId="1449" priority="1575" operator="equal">
      <formula>"ENTRADA"</formula>
    </cfRule>
  </conditionalFormatting>
  <conditionalFormatting sqref="K2692">
    <cfRule type="cellIs" dxfId="1448" priority="1572" operator="equal">
      <formula>"SAIDA"</formula>
    </cfRule>
    <cfRule type="cellIs" dxfId="1447" priority="1573" operator="equal">
      <formula>"ENTRADA"</formula>
    </cfRule>
  </conditionalFormatting>
  <conditionalFormatting sqref="K2689">
    <cfRule type="cellIs" dxfId="1446" priority="1570" operator="equal">
      <formula>"SAIDA"</formula>
    </cfRule>
    <cfRule type="cellIs" dxfId="1445" priority="1571" operator="equal">
      <formula>"ENTRADA"</formula>
    </cfRule>
  </conditionalFormatting>
  <conditionalFormatting sqref="K2691">
    <cfRule type="cellIs" dxfId="1444" priority="1568" operator="equal">
      <formula>"SAIDA"</formula>
    </cfRule>
    <cfRule type="cellIs" dxfId="1443" priority="1569" operator="equal">
      <formula>"ENTRADA"</formula>
    </cfRule>
  </conditionalFormatting>
  <conditionalFormatting sqref="K2690">
    <cfRule type="cellIs" dxfId="1442" priority="1566" operator="equal">
      <formula>"SAIDA"</formula>
    </cfRule>
    <cfRule type="cellIs" dxfId="1441" priority="1567" operator="equal">
      <formula>"ENTRADA"</formula>
    </cfRule>
  </conditionalFormatting>
  <conditionalFormatting sqref="K2688">
    <cfRule type="cellIs" dxfId="1440" priority="1564" operator="equal">
      <formula>"SAIDA"</formula>
    </cfRule>
    <cfRule type="cellIs" dxfId="1439" priority="1565" operator="equal">
      <formula>"ENTRADA"</formula>
    </cfRule>
  </conditionalFormatting>
  <conditionalFormatting sqref="K2687">
    <cfRule type="cellIs" dxfId="1438" priority="1562" operator="equal">
      <formula>"SAIDA"</formula>
    </cfRule>
    <cfRule type="cellIs" dxfId="1437" priority="1563" operator="equal">
      <formula>"ENTRADA"</formula>
    </cfRule>
  </conditionalFormatting>
  <conditionalFormatting sqref="K2686">
    <cfRule type="cellIs" dxfId="1436" priority="1560" operator="equal">
      <formula>"SAIDA"</formula>
    </cfRule>
    <cfRule type="cellIs" dxfId="1435" priority="1561" operator="equal">
      <formula>"ENTRADA"</formula>
    </cfRule>
  </conditionalFormatting>
  <conditionalFormatting sqref="K2685">
    <cfRule type="cellIs" dxfId="1434" priority="1558" operator="equal">
      <formula>"SAIDA"</formula>
    </cfRule>
    <cfRule type="cellIs" dxfId="1433" priority="1559" operator="equal">
      <formula>"ENTRADA"</formula>
    </cfRule>
  </conditionalFormatting>
  <conditionalFormatting sqref="K2660">
    <cfRule type="cellIs" dxfId="1432" priority="1554" operator="equal">
      <formula>"SAIDA"</formula>
    </cfRule>
    <cfRule type="cellIs" dxfId="1431" priority="1555" operator="equal">
      <formula>"ENTRADA"</formula>
    </cfRule>
  </conditionalFormatting>
  <conditionalFormatting sqref="K2659">
    <cfRule type="cellIs" dxfId="1430" priority="1552" operator="equal">
      <formula>"SAIDA"</formula>
    </cfRule>
    <cfRule type="cellIs" dxfId="1429" priority="1553" operator="equal">
      <formula>"ENTRADA"</formula>
    </cfRule>
  </conditionalFormatting>
  <conditionalFormatting sqref="K2657:K2658">
    <cfRule type="cellIs" dxfId="1428" priority="1550" operator="equal">
      <formula>"SAIDA"</formula>
    </cfRule>
    <cfRule type="cellIs" dxfId="1427" priority="1551" operator="equal">
      <formula>"ENTRADA"</formula>
    </cfRule>
  </conditionalFormatting>
  <conditionalFormatting sqref="K2652">
    <cfRule type="cellIs" dxfId="1426" priority="1544" operator="equal">
      <formula>"SAIDA"</formula>
    </cfRule>
    <cfRule type="cellIs" dxfId="1425" priority="1545" operator="equal">
      <formula>"ENTRADA"</formula>
    </cfRule>
  </conditionalFormatting>
  <conditionalFormatting sqref="K2647">
    <cfRule type="cellIs" dxfId="1424" priority="1542" operator="equal">
      <formula>"SAIDA"</formula>
    </cfRule>
    <cfRule type="cellIs" dxfId="1423" priority="1543" operator="equal">
      <formula>"ENTRADA"</formula>
    </cfRule>
  </conditionalFormatting>
  <conditionalFormatting sqref="K2644">
    <cfRule type="cellIs" dxfId="1422" priority="1540" operator="equal">
      <formula>"SAIDA"</formula>
    </cfRule>
    <cfRule type="cellIs" dxfId="1421" priority="1541" operator="equal">
      <formula>"ENTRADA"</formula>
    </cfRule>
  </conditionalFormatting>
  <conditionalFormatting sqref="K2642">
    <cfRule type="cellIs" dxfId="1420" priority="1538" operator="equal">
      <formula>"SAIDA"</formula>
    </cfRule>
    <cfRule type="cellIs" dxfId="1419" priority="1539" operator="equal">
      <formula>"ENTRADA"</formula>
    </cfRule>
  </conditionalFormatting>
  <conditionalFormatting sqref="K2641">
    <cfRule type="cellIs" dxfId="1418" priority="1536" operator="equal">
      <formula>"SAIDA"</formula>
    </cfRule>
    <cfRule type="cellIs" dxfId="1417" priority="1537" operator="equal">
      <formula>"ENTRADA"</formula>
    </cfRule>
  </conditionalFormatting>
  <conditionalFormatting sqref="K2639">
    <cfRule type="cellIs" dxfId="1416" priority="1534" operator="equal">
      <formula>"SAIDA"</formula>
    </cfRule>
    <cfRule type="cellIs" dxfId="1415" priority="1535" operator="equal">
      <formula>"ENTRADA"</formula>
    </cfRule>
  </conditionalFormatting>
  <conditionalFormatting sqref="K2638">
    <cfRule type="cellIs" dxfId="1414" priority="1532" operator="equal">
      <formula>"SAIDA"</formula>
    </cfRule>
    <cfRule type="cellIs" dxfId="1413" priority="1533" operator="equal">
      <formula>"ENTRADA"</formula>
    </cfRule>
  </conditionalFormatting>
  <conditionalFormatting sqref="K2637">
    <cfRule type="cellIs" dxfId="1412" priority="1530" operator="equal">
      <formula>"SAIDA"</formula>
    </cfRule>
    <cfRule type="cellIs" dxfId="1411" priority="1531" operator="equal">
      <formula>"ENTRADA"</formula>
    </cfRule>
  </conditionalFormatting>
  <conditionalFormatting sqref="K2636">
    <cfRule type="cellIs" dxfId="1410" priority="1528" operator="equal">
      <formula>"SAIDA"</formula>
    </cfRule>
    <cfRule type="cellIs" dxfId="1409" priority="1529" operator="equal">
      <formula>"ENTRADA"</formula>
    </cfRule>
  </conditionalFormatting>
  <conditionalFormatting sqref="K2635">
    <cfRule type="cellIs" dxfId="1408" priority="1526" operator="equal">
      <formula>"SAIDA"</formula>
    </cfRule>
    <cfRule type="cellIs" dxfId="1407" priority="1527" operator="equal">
      <formula>"ENTRADA"</formula>
    </cfRule>
  </conditionalFormatting>
  <conditionalFormatting sqref="K2634">
    <cfRule type="cellIs" dxfId="1406" priority="1524" operator="equal">
      <formula>"SAIDA"</formula>
    </cfRule>
    <cfRule type="cellIs" dxfId="1405" priority="1525" operator="equal">
      <formula>"ENTRADA"</formula>
    </cfRule>
  </conditionalFormatting>
  <conditionalFormatting sqref="K2633">
    <cfRule type="cellIs" dxfId="1404" priority="1522" operator="equal">
      <formula>"SAIDA"</formula>
    </cfRule>
    <cfRule type="cellIs" dxfId="1403" priority="1523" operator="equal">
      <formula>"ENTRADA"</formula>
    </cfRule>
  </conditionalFormatting>
  <conditionalFormatting sqref="K2632">
    <cfRule type="cellIs" dxfId="1402" priority="1520" operator="equal">
      <formula>"SAIDA"</formula>
    </cfRule>
    <cfRule type="cellIs" dxfId="1401" priority="1521" operator="equal">
      <formula>"ENTRADA"</formula>
    </cfRule>
  </conditionalFormatting>
  <conditionalFormatting sqref="K2631">
    <cfRule type="cellIs" dxfId="1400" priority="1518" operator="equal">
      <formula>"SAIDA"</formula>
    </cfRule>
    <cfRule type="cellIs" dxfId="1399" priority="1519" operator="equal">
      <formula>"ENTRADA"</formula>
    </cfRule>
  </conditionalFormatting>
  <conditionalFormatting sqref="K2595">
    <cfRule type="cellIs" dxfId="1398" priority="1516" operator="equal">
      <formula>"SAIDA"</formula>
    </cfRule>
    <cfRule type="cellIs" dxfId="1397" priority="1517" operator="equal">
      <formula>"ENTRADA"</formula>
    </cfRule>
  </conditionalFormatting>
  <conditionalFormatting sqref="K2594">
    <cfRule type="cellIs" dxfId="1396" priority="1514" operator="equal">
      <formula>"SAIDA"</formula>
    </cfRule>
    <cfRule type="cellIs" dxfId="1395" priority="1515" operator="equal">
      <formula>"ENTRADA"</formula>
    </cfRule>
  </conditionalFormatting>
  <conditionalFormatting sqref="K2592">
    <cfRule type="cellIs" dxfId="1394" priority="1512" operator="equal">
      <formula>"SAIDA"</formula>
    </cfRule>
    <cfRule type="cellIs" dxfId="1393" priority="1513" operator="equal">
      <formula>"ENTRADA"</formula>
    </cfRule>
  </conditionalFormatting>
  <conditionalFormatting sqref="K2591">
    <cfRule type="cellIs" dxfId="1392" priority="1510" operator="equal">
      <formula>"SAIDA"</formula>
    </cfRule>
    <cfRule type="cellIs" dxfId="1391" priority="1511" operator="equal">
      <formula>"ENTRADA"</formula>
    </cfRule>
  </conditionalFormatting>
  <conditionalFormatting sqref="K2590">
    <cfRule type="cellIs" dxfId="1390" priority="1508" operator="equal">
      <formula>"SAIDA"</formula>
    </cfRule>
    <cfRule type="cellIs" dxfId="1389" priority="1509" operator="equal">
      <formula>"ENTRADA"</formula>
    </cfRule>
  </conditionalFormatting>
  <conditionalFormatting sqref="K2588">
    <cfRule type="cellIs" dxfId="1388" priority="1506" operator="equal">
      <formula>"SAIDA"</formula>
    </cfRule>
    <cfRule type="cellIs" dxfId="1387" priority="1507" operator="equal">
      <formula>"ENTRADA"</formula>
    </cfRule>
  </conditionalFormatting>
  <conditionalFormatting sqref="K2587">
    <cfRule type="cellIs" dxfId="1386" priority="1504" operator="equal">
      <formula>"SAIDA"</formula>
    </cfRule>
    <cfRule type="cellIs" dxfId="1385" priority="1505" operator="equal">
      <formula>"ENTRADA"</formula>
    </cfRule>
  </conditionalFormatting>
  <conditionalFormatting sqref="K2586">
    <cfRule type="cellIs" dxfId="1384" priority="1502" operator="equal">
      <formula>"SAIDA"</formula>
    </cfRule>
    <cfRule type="cellIs" dxfId="1383" priority="1503" operator="equal">
      <formula>"ENTRADA"</formula>
    </cfRule>
  </conditionalFormatting>
  <conditionalFormatting sqref="K2585">
    <cfRule type="cellIs" dxfId="1382" priority="1500" operator="equal">
      <formula>"SAIDA"</formula>
    </cfRule>
    <cfRule type="cellIs" dxfId="1381" priority="1501" operator="equal">
      <formula>"ENTRADA"</formula>
    </cfRule>
  </conditionalFormatting>
  <conditionalFormatting sqref="K2584">
    <cfRule type="cellIs" dxfId="1380" priority="1498" operator="equal">
      <formula>"SAIDA"</formula>
    </cfRule>
    <cfRule type="cellIs" dxfId="1379" priority="1499" operator="equal">
      <formula>"ENTRADA"</formula>
    </cfRule>
  </conditionalFormatting>
  <conditionalFormatting sqref="K2582">
    <cfRule type="cellIs" dxfId="1378" priority="1496" operator="equal">
      <formula>"SAIDA"</formula>
    </cfRule>
    <cfRule type="cellIs" dxfId="1377" priority="1497" operator="equal">
      <formula>"ENTRADA"</formula>
    </cfRule>
  </conditionalFormatting>
  <conditionalFormatting sqref="K2581">
    <cfRule type="cellIs" dxfId="1376" priority="1494" operator="equal">
      <formula>"SAIDA"</formula>
    </cfRule>
    <cfRule type="cellIs" dxfId="1375" priority="1495" operator="equal">
      <formula>"ENTRADA"</formula>
    </cfRule>
  </conditionalFormatting>
  <conditionalFormatting sqref="K2580">
    <cfRule type="cellIs" dxfId="1374" priority="1492" operator="equal">
      <formula>"SAIDA"</formula>
    </cfRule>
    <cfRule type="cellIs" dxfId="1373" priority="1493" operator="equal">
      <formula>"ENTRADA"</formula>
    </cfRule>
  </conditionalFormatting>
  <conditionalFormatting sqref="K2579">
    <cfRule type="cellIs" dxfId="1372" priority="1490" operator="equal">
      <formula>"SAIDA"</formula>
    </cfRule>
    <cfRule type="cellIs" dxfId="1371" priority="1491" operator="equal">
      <formula>"ENTRADA"</formula>
    </cfRule>
  </conditionalFormatting>
  <conditionalFormatting sqref="K2578">
    <cfRule type="cellIs" dxfId="1370" priority="1488" operator="equal">
      <formula>"SAIDA"</formula>
    </cfRule>
    <cfRule type="cellIs" dxfId="1369" priority="1489" operator="equal">
      <formula>"ENTRADA"</formula>
    </cfRule>
  </conditionalFormatting>
  <conditionalFormatting sqref="K2552">
    <cfRule type="cellIs" dxfId="1368" priority="1486" operator="equal">
      <formula>"SAIDA"</formula>
    </cfRule>
    <cfRule type="cellIs" dxfId="1367" priority="1487" operator="equal">
      <formula>"ENTRADA"</formula>
    </cfRule>
  </conditionalFormatting>
  <conditionalFormatting sqref="K2550">
    <cfRule type="cellIs" dxfId="1366" priority="1484" operator="equal">
      <formula>"SAIDA"</formula>
    </cfRule>
    <cfRule type="cellIs" dxfId="1365" priority="1485" operator="equal">
      <formula>"ENTRADA"</formula>
    </cfRule>
  </conditionalFormatting>
  <conditionalFormatting sqref="K2549">
    <cfRule type="cellIs" dxfId="1364" priority="1482" operator="equal">
      <formula>"SAIDA"</formula>
    </cfRule>
    <cfRule type="cellIs" dxfId="1363" priority="1483" operator="equal">
      <formula>"ENTRADA"</formula>
    </cfRule>
  </conditionalFormatting>
  <conditionalFormatting sqref="K2548">
    <cfRule type="cellIs" dxfId="1362" priority="1480" operator="equal">
      <formula>"SAIDA"</formula>
    </cfRule>
    <cfRule type="cellIs" dxfId="1361" priority="1481" operator="equal">
      <formula>"ENTRADA"</formula>
    </cfRule>
  </conditionalFormatting>
  <conditionalFormatting sqref="K2546">
    <cfRule type="cellIs" dxfId="1360" priority="1478" operator="equal">
      <formula>"SAIDA"</formula>
    </cfRule>
    <cfRule type="cellIs" dxfId="1359" priority="1479" operator="equal">
      <formula>"ENTRADA"</formula>
    </cfRule>
  </conditionalFormatting>
  <conditionalFormatting sqref="K2543">
    <cfRule type="cellIs" dxfId="1358" priority="1476" operator="equal">
      <formula>"SAIDA"</formula>
    </cfRule>
    <cfRule type="cellIs" dxfId="1357" priority="1477" operator="equal">
      <formula>"ENTRADA"</formula>
    </cfRule>
  </conditionalFormatting>
  <conditionalFormatting sqref="K2547">
    <cfRule type="cellIs" dxfId="1356" priority="1474" operator="equal">
      <formula>"SAIDA"</formula>
    </cfRule>
    <cfRule type="cellIs" dxfId="1355" priority="1475" operator="equal">
      <formula>"ENTRADA"</formula>
    </cfRule>
  </conditionalFormatting>
  <conditionalFormatting sqref="K2545">
    <cfRule type="cellIs" dxfId="1354" priority="1472" operator="equal">
      <formula>"SAIDA"</formula>
    </cfRule>
    <cfRule type="cellIs" dxfId="1353" priority="1473" operator="equal">
      <formula>"ENTRADA"</formula>
    </cfRule>
  </conditionalFormatting>
  <conditionalFormatting sqref="K2544">
    <cfRule type="cellIs" dxfId="1352" priority="1470" operator="equal">
      <formula>"SAIDA"</formula>
    </cfRule>
    <cfRule type="cellIs" dxfId="1351" priority="1471" operator="equal">
      <formula>"ENTRADA"</formula>
    </cfRule>
  </conditionalFormatting>
  <conditionalFormatting sqref="K2542">
    <cfRule type="cellIs" dxfId="1350" priority="1468" operator="equal">
      <formula>"SAIDA"</formula>
    </cfRule>
    <cfRule type="cellIs" dxfId="1349" priority="1469" operator="equal">
      <formula>"ENTRADA"</formula>
    </cfRule>
  </conditionalFormatting>
  <conditionalFormatting sqref="K2495">
    <cfRule type="cellIs" dxfId="1348" priority="1466" operator="equal">
      <formula>"SAIDA"</formula>
    </cfRule>
    <cfRule type="cellIs" dxfId="1347" priority="1467" operator="equal">
      <formula>"ENTRADA"</formula>
    </cfRule>
  </conditionalFormatting>
  <conditionalFormatting sqref="K2494">
    <cfRule type="cellIs" dxfId="1346" priority="1464" operator="equal">
      <formula>"SAIDA"</formula>
    </cfRule>
    <cfRule type="cellIs" dxfId="1345" priority="1465" operator="equal">
      <formula>"ENTRADA"</formula>
    </cfRule>
  </conditionalFormatting>
  <conditionalFormatting sqref="K2490">
    <cfRule type="cellIs" dxfId="1344" priority="1462" operator="equal">
      <formula>"SAIDA"</formula>
    </cfRule>
    <cfRule type="cellIs" dxfId="1343" priority="1463" operator="equal">
      <formula>"ENTRADA"</formula>
    </cfRule>
  </conditionalFormatting>
  <conditionalFormatting sqref="K2489">
    <cfRule type="cellIs" dxfId="1342" priority="1460" operator="equal">
      <formula>"SAIDA"</formula>
    </cfRule>
    <cfRule type="cellIs" dxfId="1341" priority="1461" operator="equal">
      <formula>"ENTRADA"</formula>
    </cfRule>
  </conditionalFormatting>
  <conditionalFormatting sqref="K2487">
    <cfRule type="cellIs" dxfId="1340" priority="1458" operator="equal">
      <formula>"SAIDA"</formula>
    </cfRule>
    <cfRule type="cellIs" dxfId="1339" priority="1459" operator="equal">
      <formula>"ENTRADA"</formula>
    </cfRule>
  </conditionalFormatting>
  <conditionalFormatting sqref="K2485">
    <cfRule type="cellIs" dxfId="1338" priority="1456" operator="equal">
      <formula>"SAIDA"</formula>
    </cfRule>
    <cfRule type="cellIs" dxfId="1337" priority="1457" operator="equal">
      <formula>"ENTRADA"</formula>
    </cfRule>
  </conditionalFormatting>
  <conditionalFormatting sqref="K2484">
    <cfRule type="cellIs" dxfId="1336" priority="1452" operator="equal">
      <formula>"SAIDA"</formula>
    </cfRule>
    <cfRule type="cellIs" dxfId="1335" priority="1453" operator="equal">
      <formula>"ENTRADA"</formula>
    </cfRule>
  </conditionalFormatting>
  <conditionalFormatting sqref="K2483">
    <cfRule type="cellIs" dxfId="1334" priority="1450" operator="equal">
      <formula>"SAIDA"</formula>
    </cfRule>
    <cfRule type="cellIs" dxfId="1333" priority="1451" operator="equal">
      <formula>"ENTRADA"</formula>
    </cfRule>
  </conditionalFormatting>
  <conditionalFormatting sqref="K2481">
    <cfRule type="cellIs" dxfId="1332" priority="1448" operator="equal">
      <formula>"SAIDA"</formula>
    </cfRule>
    <cfRule type="cellIs" dxfId="1331" priority="1449" operator="equal">
      <formula>"ENTRADA"</formula>
    </cfRule>
  </conditionalFormatting>
  <conditionalFormatting sqref="K2480">
    <cfRule type="cellIs" dxfId="1330" priority="1446" operator="equal">
      <formula>"SAIDA"</formula>
    </cfRule>
    <cfRule type="cellIs" dxfId="1329" priority="1447" operator="equal">
      <formula>"ENTRADA"</formula>
    </cfRule>
  </conditionalFormatting>
  <conditionalFormatting sqref="K2479">
    <cfRule type="cellIs" dxfId="1328" priority="1444" operator="equal">
      <formula>"SAIDA"</formula>
    </cfRule>
    <cfRule type="cellIs" dxfId="1327" priority="1445" operator="equal">
      <formula>"ENTRADA"</formula>
    </cfRule>
  </conditionalFormatting>
  <conditionalFormatting sqref="K2478">
    <cfRule type="cellIs" dxfId="1326" priority="1442" operator="equal">
      <formula>"SAIDA"</formula>
    </cfRule>
    <cfRule type="cellIs" dxfId="1325" priority="1443" operator="equal">
      <formula>"ENTRADA"</formula>
    </cfRule>
  </conditionalFormatting>
  <conditionalFormatting sqref="K2477">
    <cfRule type="cellIs" dxfId="1324" priority="1440" operator="equal">
      <formula>"SAIDA"</formula>
    </cfRule>
    <cfRule type="cellIs" dxfId="1323" priority="1441" operator="equal">
      <formula>"ENTRADA"</formula>
    </cfRule>
  </conditionalFormatting>
  <conditionalFormatting sqref="K2476">
    <cfRule type="cellIs" dxfId="1322" priority="1438" operator="equal">
      <formula>"SAIDA"</formula>
    </cfRule>
    <cfRule type="cellIs" dxfId="1321" priority="1439" operator="equal">
      <formula>"ENTRADA"</formula>
    </cfRule>
  </conditionalFormatting>
  <conditionalFormatting sqref="K2463:K2464">
    <cfRule type="cellIs" dxfId="1320" priority="1436" operator="equal">
      <formula>"SAIDA"</formula>
    </cfRule>
    <cfRule type="cellIs" dxfId="1319" priority="1437" operator="equal">
      <formula>"ENTRADA"</formula>
    </cfRule>
  </conditionalFormatting>
  <conditionalFormatting sqref="K2462">
    <cfRule type="cellIs" dxfId="1318" priority="1434" operator="equal">
      <formula>"SAIDA"</formula>
    </cfRule>
    <cfRule type="cellIs" dxfId="1317" priority="1435" operator="equal">
      <formula>"ENTRADA"</formula>
    </cfRule>
  </conditionalFormatting>
  <conditionalFormatting sqref="K2459">
    <cfRule type="cellIs" dxfId="1316" priority="1432" operator="equal">
      <formula>"SAIDA"</formula>
    </cfRule>
    <cfRule type="cellIs" dxfId="1315" priority="1433" operator="equal">
      <formula>"ENTRADA"</formula>
    </cfRule>
  </conditionalFormatting>
  <conditionalFormatting sqref="K2458">
    <cfRule type="cellIs" dxfId="1314" priority="1430" operator="equal">
      <formula>"SAIDA"</formula>
    </cfRule>
    <cfRule type="cellIs" dxfId="1313" priority="1431" operator="equal">
      <formula>"ENTRADA"</formula>
    </cfRule>
  </conditionalFormatting>
  <conditionalFormatting sqref="K2457">
    <cfRule type="cellIs" dxfId="1312" priority="1428" operator="equal">
      <formula>"SAIDA"</formula>
    </cfRule>
    <cfRule type="cellIs" dxfId="1311" priority="1429" operator="equal">
      <formula>"ENTRADA"</formula>
    </cfRule>
  </conditionalFormatting>
  <conditionalFormatting sqref="K2456">
    <cfRule type="cellIs" dxfId="1310" priority="1426" operator="equal">
      <formula>"SAIDA"</formula>
    </cfRule>
    <cfRule type="cellIs" dxfId="1309" priority="1427" operator="equal">
      <formula>"ENTRADA"</formula>
    </cfRule>
  </conditionalFormatting>
  <conditionalFormatting sqref="K2455">
    <cfRule type="cellIs" dxfId="1308" priority="1424" operator="equal">
      <formula>"SAIDA"</formula>
    </cfRule>
    <cfRule type="cellIs" dxfId="1307" priority="1425" operator="equal">
      <formula>"ENTRADA"</formula>
    </cfRule>
  </conditionalFormatting>
  <conditionalFormatting sqref="K2454">
    <cfRule type="cellIs" dxfId="1306" priority="1422" operator="equal">
      <formula>"SAIDA"</formula>
    </cfRule>
    <cfRule type="cellIs" dxfId="1305" priority="1423" operator="equal">
      <formula>"ENTRADA"</formula>
    </cfRule>
  </conditionalFormatting>
  <conditionalFormatting sqref="K2440">
    <cfRule type="cellIs" dxfId="1304" priority="1420" operator="equal">
      <formula>"SAIDA"</formula>
    </cfRule>
    <cfRule type="cellIs" dxfId="1303" priority="1421" operator="equal">
      <formula>"ENTRADA"</formula>
    </cfRule>
  </conditionalFormatting>
  <conditionalFormatting sqref="K2439">
    <cfRule type="cellIs" dxfId="1302" priority="1418" operator="equal">
      <formula>"SAIDA"</formula>
    </cfRule>
    <cfRule type="cellIs" dxfId="1301" priority="1419" operator="equal">
      <formula>"ENTRADA"</formula>
    </cfRule>
  </conditionalFormatting>
  <conditionalFormatting sqref="K2435">
    <cfRule type="cellIs" dxfId="1300" priority="1416" operator="equal">
      <formula>"SAIDA"</formula>
    </cfRule>
    <cfRule type="cellIs" dxfId="1299" priority="1417" operator="equal">
      <formula>"ENTRADA"</formula>
    </cfRule>
  </conditionalFormatting>
  <conditionalFormatting sqref="K2436:K2437">
    <cfRule type="cellIs" dxfId="1298" priority="1412" operator="equal">
      <formula>"SAIDA"</formula>
    </cfRule>
    <cfRule type="cellIs" dxfId="1297" priority="1413" operator="equal">
      <formula>"ENTRADA"</formula>
    </cfRule>
  </conditionalFormatting>
  <conditionalFormatting sqref="K2438">
    <cfRule type="cellIs" dxfId="1296" priority="1410" operator="equal">
      <formula>"SAIDA"</formula>
    </cfRule>
    <cfRule type="cellIs" dxfId="1295" priority="1411" operator="equal">
      <formula>"ENTRADA"</formula>
    </cfRule>
  </conditionalFormatting>
  <conditionalFormatting sqref="K2432">
    <cfRule type="cellIs" dxfId="1294" priority="1408" operator="equal">
      <formula>"SAIDA"</formula>
    </cfRule>
    <cfRule type="cellIs" dxfId="1293" priority="1409" operator="equal">
      <formula>"ENTRADA"</formula>
    </cfRule>
  </conditionalFormatting>
  <conditionalFormatting sqref="K2431">
    <cfRule type="cellIs" dxfId="1292" priority="1400" operator="equal">
      <formula>"SAIDA"</formula>
    </cfRule>
    <cfRule type="cellIs" dxfId="1291" priority="1401" operator="equal">
      <formula>"ENTRADA"</formula>
    </cfRule>
  </conditionalFormatting>
  <conditionalFormatting sqref="K2430">
    <cfRule type="cellIs" dxfId="1290" priority="1398" operator="equal">
      <formula>"SAIDA"</formula>
    </cfRule>
    <cfRule type="cellIs" dxfId="1289" priority="1399" operator="equal">
      <formula>"ENTRADA"</formula>
    </cfRule>
  </conditionalFormatting>
  <conditionalFormatting sqref="K2428">
    <cfRule type="cellIs" dxfId="1288" priority="1396" operator="equal">
      <formula>"SAIDA"</formula>
    </cfRule>
    <cfRule type="cellIs" dxfId="1287" priority="1397" operator="equal">
      <formula>"ENTRADA"</formula>
    </cfRule>
  </conditionalFormatting>
  <conditionalFormatting sqref="K2427">
    <cfRule type="cellIs" dxfId="1286" priority="1394" operator="equal">
      <formula>"SAIDA"</formula>
    </cfRule>
    <cfRule type="cellIs" dxfId="1285" priority="1395" operator="equal">
      <formula>"ENTRADA"</formula>
    </cfRule>
  </conditionalFormatting>
  <conditionalFormatting sqref="K2426">
    <cfRule type="cellIs" dxfId="1284" priority="1392" operator="equal">
      <formula>"SAIDA"</formula>
    </cfRule>
    <cfRule type="cellIs" dxfId="1283" priority="1393" operator="equal">
      <formula>"ENTRADA"</formula>
    </cfRule>
  </conditionalFormatting>
  <conditionalFormatting sqref="K2424">
    <cfRule type="cellIs" dxfId="1282" priority="1390" operator="equal">
      <formula>"SAIDA"</formula>
    </cfRule>
    <cfRule type="cellIs" dxfId="1281" priority="1391" operator="equal">
      <formula>"ENTRADA"</formula>
    </cfRule>
  </conditionalFormatting>
  <conditionalFormatting sqref="K2422">
    <cfRule type="cellIs" dxfId="1280" priority="1388" operator="equal">
      <formula>"SAIDA"</formula>
    </cfRule>
    <cfRule type="cellIs" dxfId="1279" priority="1389" operator="equal">
      <formula>"ENTRADA"</formula>
    </cfRule>
  </conditionalFormatting>
  <conditionalFormatting sqref="K2421">
    <cfRule type="cellIs" dxfId="1278" priority="1386" operator="equal">
      <formula>"SAIDA"</formula>
    </cfRule>
    <cfRule type="cellIs" dxfId="1277" priority="1387" operator="equal">
      <formula>"ENTRADA"</formula>
    </cfRule>
  </conditionalFormatting>
  <conditionalFormatting sqref="K2420">
    <cfRule type="cellIs" dxfId="1276" priority="1384" operator="equal">
      <formula>"SAIDA"</formula>
    </cfRule>
    <cfRule type="cellIs" dxfId="1275" priority="1385" operator="equal">
      <formula>"ENTRADA"</formula>
    </cfRule>
  </conditionalFormatting>
  <conditionalFormatting sqref="K2419">
    <cfRule type="cellIs" dxfId="1274" priority="1382" operator="equal">
      <formula>"SAIDA"</formula>
    </cfRule>
    <cfRule type="cellIs" dxfId="1273" priority="1383" operator="equal">
      <formula>"ENTRADA"</formula>
    </cfRule>
  </conditionalFormatting>
  <conditionalFormatting sqref="K2418">
    <cfRule type="cellIs" dxfId="1272" priority="1380" operator="equal">
      <formula>"SAIDA"</formula>
    </cfRule>
    <cfRule type="cellIs" dxfId="1271" priority="1381" operator="equal">
      <formula>"ENTRADA"</formula>
    </cfRule>
  </conditionalFormatting>
  <conditionalFormatting sqref="K2415">
    <cfRule type="cellIs" dxfId="1270" priority="1378" operator="equal">
      <formula>"SAIDA"</formula>
    </cfRule>
    <cfRule type="cellIs" dxfId="1269" priority="1379" operator="equal">
      <formula>"ENTRADA"</formula>
    </cfRule>
  </conditionalFormatting>
  <conditionalFormatting sqref="K2399">
    <cfRule type="cellIs" dxfId="1268" priority="1376" operator="equal">
      <formula>"SAIDA"</formula>
    </cfRule>
    <cfRule type="cellIs" dxfId="1267" priority="1377" operator="equal">
      <formula>"ENTRADA"</formula>
    </cfRule>
  </conditionalFormatting>
  <conditionalFormatting sqref="K2397:K2398">
    <cfRule type="cellIs" dxfId="1266" priority="1374" operator="equal">
      <formula>"SAIDA"</formula>
    </cfRule>
    <cfRule type="cellIs" dxfId="1265" priority="1375" operator="equal">
      <formula>"ENTRADA"</formula>
    </cfRule>
  </conditionalFormatting>
  <conditionalFormatting sqref="K2395:K2396">
    <cfRule type="cellIs" dxfId="1264" priority="1372" operator="equal">
      <formula>"SAIDA"</formula>
    </cfRule>
    <cfRule type="cellIs" dxfId="1263" priority="1373" operator="equal">
      <formula>"ENTRADA"</formula>
    </cfRule>
  </conditionalFormatting>
  <conditionalFormatting sqref="K2393:K2394">
    <cfRule type="cellIs" dxfId="1262" priority="1370" operator="equal">
      <formula>"SAIDA"</formula>
    </cfRule>
    <cfRule type="cellIs" dxfId="1261" priority="1371" operator="equal">
      <formula>"ENTRADA"</formula>
    </cfRule>
  </conditionalFormatting>
  <conditionalFormatting sqref="K2392">
    <cfRule type="cellIs" dxfId="1260" priority="1368" operator="equal">
      <formula>"SAIDA"</formula>
    </cfRule>
    <cfRule type="cellIs" dxfId="1259" priority="1369" operator="equal">
      <formula>"ENTRADA"</formula>
    </cfRule>
  </conditionalFormatting>
  <conditionalFormatting sqref="K2391">
    <cfRule type="cellIs" dxfId="1258" priority="1366" operator="equal">
      <formula>"SAIDA"</formula>
    </cfRule>
    <cfRule type="cellIs" dxfId="1257" priority="1367" operator="equal">
      <formula>"ENTRADA"</formula>
    </cfRule>
  </conditionalFormatting>
  <conditionalFormatting sqref="K2388:K2389">
    <cfRule type="cellIs" dxfId="1256" priority="1364" operator="equal">
      <formula>"SAIDA"</formula>
    </cfRule>
    <cfRule type="cellIs" dxfId="1255" priority="1365" operator="equal">
      <formula>"ENTRADA"</formula>
    </cfRule>
  </conditionalFormatting>
  <conditionalFormatting sqref="K2387">
    <cfRule type="cellIs" dxfId="1254" priority="1362" operator="equal">
      <formula>"SAIDA"</formula>
    </cfRule>
    <cfRule type="cellIs" dxfId="1253" priority="1363" operator="equal">
      <formula>"ENTRADA"</formula>
    </cfRule>
  </conditionalFormatting>
  <conditionalFormatting sqref="K2386">
    <cfRule type="cellIs" dxfId="1252" priority="1360" operator="equal">
      <formula>"SAIDA"</formula>
    </cfRule>
    <cfRule type="cellIs" dxfId="1251" priority="1361" operator="equal">
      <formula>"ENTRADA"</formula>
    </cfRule>
  </conditionalFormatting>
  <conditionalFormatting sqref="K2385">
    <cfRule type="cellIs" dxfId="1250" priority="1358" operator="equal">
      <formula>"SAIDA"</formula>
    </cfRule>
    <cfRule type="cellIs" dxfId="1249" priority="1359" operator="equal">
      <formula>"ENTRADA"</formula>
    </cfRule>
  </conditionalFormatting>
  <conditionalFormatting sqref="K2384">
    <cfRule type="cellIs" dxfId="1248" priority="1356" operator="equal">
      <formula>"SAIDA"</formula>
    </cfRule>
    <cfRule type="cellIs" dxfId="1247" priority="1357" operator="equal">
      <formula>"ENTRADA"</formula>
    </cfRule>
  </conditionalFormatting>
  <conditionalFormatting sqref="K2383">
    <cfRule type="cellIs" dxfId="1246" priority="1352" operator="equal">
      <formula>"SAIDA"</formula>
    </cfRule>
    <cfRule type="cellIs" dxfId="1245" priority="1353" operator="equal">
      <formula>"ENTRADA"</formula>
    </cfRule>
  </conditionalFormatting>
  <conditionalFormatting sqref="K2382">
    <cfRule type="cellIs" dxfId="1244" priority="1354" operator="equal">
      <formula>"SAIDA"</formula>
    </cfRule>
    <cfRule type="cellIs" dxfId="1243" priority="1355" operator="equal">
      <formula>"ENTRADA"</formula>
    </cfRule>
  </conditionalFormatting>
  <conditionalFormatting sqref="K2381">
    <cfRule type="cellIs" dxfId="1242" priority="1350" operator="equal">
      <formula>"SAIDA"</formula>
    </cfRule>
    <cfRule type="cellIs" dxfId="1241" priority="1351" operator="equal">
      <formula>"ENTRADA"</formula>
    </cfRule>
  </conditionalFormatting>
  <conditionalFormatting sqref="K2352">
    <cfRule type="cellIs" dxfId="1240" priority="1348" operator="equal">
      <formula>"SAIDA"</formula>
    </cfRule>
    <cfRule type="cellIs" dxfId="1239" priority="1349" operator="equal">
      <formula>"ENTRADA"</formula>
    </cfRule>
  </conditionalFormatting>
  <conditionalFormatting sqref="K2351">
    <cfRule type="cellIs" dxfId="1238" priority="1346" operator="equal">
      <formula>"SAIDA"</formula>
    </cfRule>
    <cfRule type="cellIs" dxfId="1237" priority="1347" operator="equal">
      <formula>"ENTRADA"</formula>
    </cfRule>
  </conditionalFormatting>
  <conditionalFormatting sqref="K2349:K2350">
    <cfRule type="cellIs" dxfId="1236" priority="1342" operator="equal">
      <formula>"SAIDA"</formula>
    </cfRule>
    <cfRule type="cellIs" dxfId="1235" priority="1343" operator="equal">
      <formula>"ENTRADA"</formula>
    </cfRule>
  </conditionalFormatting>
  <conditionalFormatting sqref="K2347:K2348">
    <cfRule type="cellIs" dxfId="1234" priority="1340" operator="equal">
      <formula>"SAIDA"</formula>
    </cfRule>
    <cfRule type="cellIs" dxfId="1233" priority="1341" operator="equal">
      <formula>"ENTRADA"</formula>
    </cfRule>
  </conditionalFormatting>
  <conditionalFormatting sqref="K2346">
    <cfRule type="cellIs" dxfId="1232" priority="1336" operator="equal">
      <formula>"SAIDA"</formula>
    </cfRule>
    <cfRule type="cellIs" dxfId="1231" priority="1337" operator="equal">
      <formula>"ENTRADA"</formula>
    </cfRule>
  </conditionalFormatting>
  <conditionalFormatting sqref="K2344">
    <cfRule type="cellIs" dxfId="1230" priority="1334" operator="equal">
      <formula>"SAIDA"</formula>
    </cfRule>
    <cfRule type="cellIs" dxfId="1229" priority="1335" operator="equal">
      <formula>"ENTRADA"</formula>
    </cfRule>
  </conditionalFormatting>
  <conditionalFormatting sqref="K2341">
    <cfRule type="cellIs" dxfId="1228" priority="1332" operator="equal">
      <formula>"SAIDA"</formula>
    </cfRule>
    <cfRule type="cellIs" dxfId="1227" priority="1333" operator="equal">
      <formula>"ENTRADA"</formula>
    </cfRule>
  </conditionalFormatting>
  <conditionalFormatting sqref="K2339">
    <cfRule type="cellIs" dxfId="1226" priority="1330" operator="equal">
      <formula>"SAIDA"</formula>
    </cfRule>
    <cfRule type="cellIs" dxfId="1225" priority="1331" operator="equal">
      <formula>"ENTRADA"</formula>
    </cfRule>
  </conditionalFormatting>
  <conditionalFormatting sqref="K2338">
    <cfRule type="cellIs" dxfId="1224" priority="1328" operator="equal">
      <formula>"SAIDA"</formula>
    </cfRule>
    <cfRule type="cellIs" dxfId="1223" priority="1329" operator="equal">
      <formula>"ENTRADA"</formula>
    </cfRule>
  </conditionalFormatting>
  <conditionalFormatting sqref="K2336">
    <cfRule type="cellIs" dxfId="1222" priority="1326" operator="equal">
      <formula>"SAIDA"</formula>
    </cfRule>
    <cfRule type="cellIs" dxfId="1221" priority="1327" operator="equal">
      <formula>"ENTRADA"</formula>
    </cfRule>
  </conditionalFormatting>
  <conditionalFormatting sqref="K2335">
    <cfRule type="cellIs" dxfId="1220" priority="1324" operator="equal">
      <formula>"SAIDA"</formula>
    </cfRule>
    <cfRule type="cellIs" dxfId="1219" priority="1325" operator="equal">
      <formula>"ENTRADA"</formula>
    </cfRule>
  </conditionalFormatting>
  <conditionalFormatting sqref="K2334">
    <cfRule type="cellIs" dxfId="1218" priority="1322" operator="equal">
      <formula>"SAIDA"</formula>
    </cfRule>
    <cfRule type="cellIs" dxfId="1217" priority="1323" operator="equal">
      <formula>"ENTRADA"</formula>
    </cfRule>
  </conditionalFormatting>
  <conditionalFormatting sqref="K2333">
    <cfRule type="cellIs" dxfId="1216" priority="1320" operator="equal">
      <formula>"SAIDA"</formula>
    </cfRule>
    <cfRule type="cellIs" dxfId="1215" priority="1321" operator="equal">
      <formula>"ENTRADA"</formula>
    </cfRule>
  </conditionalFormatting>
  <conditionalFormatting sqref="W2174">
    <cfRule type="cellIs" dxfId="1214" priority="1314" operator="equal">
      <formula>"SAIDA"</formula>
    </cfRule>
    <cfRule type="cellIs" dxfId="1213" priority="1315" operator="equal">
      <formula>"ENTRADA"</formula>
    </cfRule>
  </conditionalFormatting>
  <conditionalFormatting sqref="K2332">
    <cfRule type="cellIs" dxfId="1212" priority="1310" operator="equal">
      <formula>"SAIDA"</formula>
    </cfRule>
    <cfRule type="cellIs" dxfId="1211" priority="1311" operator="equal">
      <formula>"ENTRADA"</formula>
    </cfRule>
  </conditionalFormatting>
  <conditionalFormatting sqref="K2331">
    <cfRule type="cellIs" dxfId="1210" priority="1308" operator="equal">
      <formula>"SAIDA"</formula>
    </cfRule>
    <cfRule type="cellIs" dxfId="1209" priority="1309" operator="equal">
      <formula>"ENTRADA"</formula>
    </cfRule>
  </conditionalFormatting>
  <conditionalFormatting sqref="K2303">
    <cfRule type="cellIs" dxfId="1208" priority="1304" operator="equal">
      <formula>"SAIDA"</formula>
    </cfRule>
    <cfRule type="cellIs" dxfId="1207" priority="1305" operator="equal">
      <formula>"ENTRADA"</formula>
    </cfRule>
  </conditionalFormatting>
  <conditionalFormatting sqref="K2302">
    <cfRule type="cellIs" dxfId="1206" priority="1302" operator="equal">
      <formula>"SAIDA"</formula>
    </cfRule>
    <cfRule type="cellIs" dxfId="1205" priority="1303" operator="equal">
      <formula>"ENTRADA"</formula>
    </cfRule>
  </conditionalFormatting>
  <conditionalFormatting sqref="K2301">
    <cfRule type="cellIs" dxfId="1204" priority="1300" operator="equal">
      <formula>"SAIDA"</formula>
    </cfRule>
    <cfRule type="cellIs" dxfId="1203" priority="1301" operator="equal">
      <formula>"ENTRADA"</formula>
    </cfRule>
  </conditionalFormatting>
  <conditionalFormatting sqref="K2297">
    <cfRule type="cellIs" dxfId="1202" priority="1298" operator="equal">
      <formula>"SAIDA"</formula>
    </cfRule>
    <cfRule type="cellIs" dxfId="1201" priority="1299" operator="equal">
      <formula>"ENTRADA"</formula>
    </cfRule>
  </conditionalFormatting>
  <conditionalFormatting sqref="K2298">
    <cfRule type="cellIs" dxfId="1200" priority="1296" operator="equal">
      <formula>"SAIDA"</formula>
    </cfRule>
    <cfRule type="cellIs" dxfId="1199" priority="1297" operator="equal">
      <formula>"ENTRADA"</formula>
    </cfRule>
  </conditionalFormatting>
  <conditionalFormatting sqref="K2295">
    <cfRule type="cellIs" dxfId="1198" priority="1292" operator="equal">
      <formula>"SAIDA"</formula>
    </cfRule>
    <cfRule type="cellIs" dxfId="1197" priority="1293" operator="equal">
      <formula>"ENTRADA"</formula>
    </cfRule>
  </conditionalFormatting>
  <conditionalFormatting sqref="K2294">
    <cfRule type="cellIs" dxfId="1196" priority="1290" operator="equal">
      <formula>"SAIDA"</formula>
    </cfRule>
    <cfRule type="cellIs" dxfId="1195" priority="1291" operator="equal">
      <formula>"ENTRADA"</formula>
    </cfRule>
  </conditionalFormatting>
  <conditionalFormatting sqref="K2293">
    <cfRule type="cellIs" dxfId="1194" priority="1288" operator="equal">
      <formula>"SAIDA"</formula>
    </cfRule>
    <cfRule type="cellIs" dxfId="1193" priority="1289" operator="equal">
      <formula>"ENTRADA"</formula>
    </cfRule>
  </conditionalFormatting>
  <conditionalFormatting sqref="K2292">
    <cfRule type="cellIs" dxfId="1192" priority="1286" operator="equal">
      <formula>"SAIDA"</formula>
    </cfRule>
    <cfRule type="cellIs" dxfId="1191" priority="1287" operator="equal">
      <formula>"ENTRADA"</formula>
    </cfRule>
  </conditionalFormatting>
  <conditionalFormatting sqref="K2291">
    <cfRule type="cellIs" dxfId="1190" priority="1284" operator="equal">
      <formula>"SAIDA"</formula>
    </cfRule>
    <cfRule type="cellIs" dxfId="1189" priority="1285" operator="equal">
      <formula>"ENTRADA"</formula>
    </cfRule>
  </conditionalFormatting>
  <conditionalFormatting sqref="K2290">
    <cfRule type="cellIs" dxfId="1188" priority="1282" operator="equal">
      <formula>"SAIDA"</formula>
    </cfRule>
    <cfRule type="cellIs" dxfId="1187" priority="1283" operator="equal">
      <formula>"ENTRADA"</formula>
    </cfRule>
  </conditionalFormatting>
  <conditionalFormatting sqref="K2288">
    <cfRule type="cellIs" dxfId="1186" priority="1280" operator="equal">
      <formula>"SAIDA"</formula>
    </cfRule>
    <cfRule type="cellIs" dxfId="1185" priority="1281" operator="equal">
      <formula>"ENTRADA"</formula>
    </cfRule>
  </conditionalFormatting>
  <conditionalFormatting sqref="K2287">
    <cfRule type="cellIs" dxfId="1184" priority="1278" operator="equal">
      <formula>"SAIDA"</formula>
    </cfRule>
    <cfRule type="cellIs" dxfId="1183" priority="1279" operator="equal">
      <formula>"ENTRADA"</formula>
    </cfRule>
  </conditionalFormatting>
  <conditionalFormatting sqref="K2275">
    <cfRule type="cellIs" dxfId="1182" priority="1274" operator="equal">
      <formula>"SAIDA"</formula>
    </cfRule>
    <cfRule type="cellIs" dxfId="1181" priority="1275" operator="equal">
      <formula>"ENTRADA"</formula>
    </cfRule>
  </conditionalFormatting>
  <conditionalFormatting sqref="K2274">
    <cfRule type="cellIs" dxfId="1180" priority="1272" operator="equal">
      <formula>"SAIDA"</formula>
    </cfRule>
    <cfRule type="cellIs" dxfId="1179" priority="1273" operator="equal">
      <formula>"ENTRADA"</formula>
    </cfRule>
  </conditionalFormatting>
  <conditionalFormatting sqref="K2272">
    <cfRule type="cellIs" dxfId="1178" priority="1270" operator="equal">
      <formula>"SAIDA"</formula>
    </cfRule>
    <cfRule type="cellIs" dxfId="1177" priority="1271" operator="equal">
      <formula>"ENTRADA"</formula>
    </cfRule>
  </conditionalFormatting>
  <conditionalFormatting sqref="K2271">
    <cfRule type="cellIs" dxfId="1176" priority="1268" operator="equal">
      <formula>"SAIDA"</formula>
    </cfRule>
    <cfRule type="cellIs" dxfId="1175" priority="1269" operator="equal">
      <formula>"ENTRADA"</formula>
    </cfRule>
  </conditionalFormatting>
  <conditionalFormatting sqref="K2267">
    <cfRule type="cellIs" dxfId="1174" priority="1266" operator="equal">
      <formula>"SAIDA"</formula>
    </cfRule>
    <cfRule type="cellIs" dxfId="1173" priority="1267" operator="equal">
      <formula>"ENTRADA"</formula>
    </cfRule>
  </conditionalFormatting>
  <conditionalFormatting sqref="K2268">
    <cfRule type="cellIs" dxfId="1172" priority="1264" operator="equal">
      <formula>"SAIDA"</formula>
    </cfRule>
    <cfRule type="cellIs" dxfId="1171" priority="1265" operator="equal">
      <formula>"ENTRADA"</formula>
    </cfRule>
  </conditionalFormatting>
  <conditionalFormatting sqref="K2266">
    <cfRule type="cellIs" dxfId="1170" priority="1262" operator="equal">
      <formula>"SAIDA"</formula>
    </cfRule>
    <cfRule type="cellIs" dxfId="1169" priority="1263" operator="equal">
      <formula>"ENTRADA"</formula>
    </cfRule>
  </conditionalFormatting>
  <conditionalFormatting sqref="K2265">
    <cfRule type="cellIs" dxfId="1168" priority="1260" operator="equal">
      <formula>"SAIDA"</formula>
    </cfRule>
    <cfRule type="cellIs" dxfId="1167" priority="1261" operator="equal">
      <formula>"ENTRADA"</formula>
    </cfRule>
  </conditionalFormatting>
  <conditionalFormatting sqref="K2264">
    <cfRule type="cellIs" dxfId="1166" priority="1258" operator="equal">
      <formula>"SAIDA"</formula>
    </cfRule>
    <cfRule type="cellIs" dxfId="1165" priority="1259" operator="equal">
      <formula>"ENTRADA"</formula>
    </cfRule>
  </conditionalFormatting>
  <conditionalFormatting sqref="K2263">
    <cfRule type="cellIs" dxfId="1164" priority="1256" operator="equal">
      <formula>"SAIDA"</formula>
    </cfRule>
    <cfRule type="cellIs" dxfId="1163" priority="1257" operator="equal">
      <formula>"ENTRADA"</formula>
    </cfRule>
  </conditionalFormatting>
  <conditionalFormatting sqref="K2246">
    <cfRule type="cellIs" dxfId="1162" priority="1250" operator="equal">
      <formula>"SAIDA"</formula>
    </cfRule>
    <cfRule type="cellIs" dxfId="1161" priority="1251" operator="equal">
      <formula>"ENTRADA"</formula>
    </cfRule>
  </conditionalFormatting>
  <conditionalFormatting sqref="K2248">
    <cfRule type="cellIs" dxfId="1160" priority="1248" operator="equal">
      <formula>"SAIDA"</formula>
    </cfRule>
    <cfRule type="cellIs" dxfId="1159" priority="1249" operator="equal">
      <formula>"ENTRADA"</formula>
    </cfRule>
  </conditionalFormatting>
  <conditionalFormatting sqref="K2247">
    <cfRule type="cellIs" dxfId="1158" priority="1246" operator="equal">
      <formula>"SAIDA"</formula>
    </cfRule>
    <cfRule type="cellIs" dxfId="1157" priority="1247" operator="equal">
      <formula>"ENTRADA"</formula>
    </cfRule>
  </conditionalFormatting>
  <conditionalFormatting sqref="K2245">
    <cfRule type="cellIs" dxfId="1156" priority="1244" operator="equal">
      <formula>"SAIDA"</formula>
    </cfRule>
    <cfRule type="cellIs" dxfId="1155" priority="1245" operator="equal">
      <formula>"ENTRADA"</formula>
    </cfRule>
  </conditionalFormatting>
  <conditionalFormatting sqref="K2244">
    <cfRule type="cellIs" dxfId="1154" priority="1242" operator="equal">
      <formula>"SAIDA"</formula>
    </cfRule>
    <cfRule type="cellIs" dxfId="1153" priority="1243" operator="equal">
      <formula>"ENTRADA"</formula>
    </cfRule>
  </conditionalFormatting>
  <conditionalFormatting sqref="K2239">
    <cfRule type="cellIs" dxfId="1152" priority="1240" operator="equal">
      <formula>"SAIDA"</formula>
    </cfRule>
    <cfRule type="cellIs" dxfId="1151" priority="1241" operator="equal">
      <formula>"ENTRADA"</formula>
    </cfRule>
  </conditionalFormatting>
  <conditionalFormatting sqref="K2238">
    <cfRule type="cellIs" dxfId="1150" priority="1238" operator="equal">
      <formula>"SAIDA"</formula>
    </cfRule>
    <cfRule type="cellIs" dxfId="1149" priority="1239" operator="equal">
      <formula>"ENTRADA"</formula>
    </cfRule>
  </conditionalFormatting>
  <conditionalFormatting sqref="K2237">
    <cfRule type="cellIs" dxfId="1148" priority="1236" operator="equal">
      <formula>"SAIDA"</formula>
    </cfRule>
    <cfRule type="cellIs" dxfId="1147" priority="1237" operator="equal">
      <formula>"ENTRADA"</formula>
    </cfRule>
  </conditionalFormatting>
  <conditionalFormatting sqref="K2236">
    <cfRule type="cellIs" dxfId="1146" priority="1234" operator="equal">
      <formula>"SAIDA"</formula>
    </cfRule>
    <cfRule type="cellIs" dxfId="1145" priority="1235" operator="equal">
      <formula>"ENTRADA"</formula>
    </cfRule>
  </conditionalFormatting>
  <conditionalFormatting sqref="K2235">
    <cfRule type="cellIs" dxfId="1144" priority="1232" operator="equal">
      <formula>"SAIDA"</formula>
    </cfRule>
    <cfRule type="cellIs" dxfId="1143" priority="1233" operator="equal">
      <formula>"ENTRADA"</formula>
    </cfRule>
  </conditionalFormatting>
  <conditionalFormatting sqref="K2234">
    <cfRule type="cellIs" dxfId="1142" priority="1230" operator="equal">
      <formula>"SAIDA"</formula>
    </cfRule>
    <cfRule type="cellIs" dxfId="1141" priority="1231" operator="equal">
      <formula>"ENTRADA"</formula>
    </cfRule>
  </conditionalFormatting>
  <conditionalFormatting sqref="K2232">
    <cfRule type="cellIs" dxfId="1140" priority="1228" operator="equal">
      <formula>"SAIDA"</formula>
    </cfRule>
    <cfRule type="cellIs" dxfId="1139" priority="1229" operator="equal">
      <formula>"ENTRADA"</formula>
    </cfRule>
  </conditionalFormatting>
  <conditionalFormatting sqref="K2233">
    <cfRule type="cellIs" dxfId="1138" priority="1226" operator="equal">
      <formula>"SAIDA"</formula>
    </cfRule>
    <cfRule type="cellIs" dxfId="1137" priority="1227" operator="equal">
      <formula>"ENTRADA"</formula>
    </cfRule>
  </conditionalFormatting>
  <conditionalFormatting sqref="K2231">
    <cfRule type="cellIs" dxfId="1136" priority="1224" operator="equal">
      <formula>"SAIDA"</formula>
    </cfRule>
    <cfRule type="cellIs" dxfId="1135" priority="1225" operator="equal">
      <formula>"ENTRADA"</formula>
    </cfRule>
  </conditionalFormatting>
  <conditionalFormatting sqref="K2230">
    <cfRule type="cellIs" dxfId="1134" priority="1222" operator="equal">
      <formula>"SAIDA"</formula>
    </cfRule>
    <cfRule type="cellIs" dxfId="1133" priority="1223" operator="equal">
      <formula>"ENTRADA"</formula>
    </cfRule>
  </conditionalFormatting>
  <conditionalFormatting sqref="K2204">
    <cfRule type="cellIs" dxfId="1132" priority="1220" operator="equal">
      <formula>"SAIDA"</formula>
    </cfRule>
    <cfRule type="cellIs" dxfId="1131" priority="1221" operator="equal">
      <formula>"ENTRADA"</formula>
    </cfRule>
  </conditionalFormatting>
  <conditionalFormatting sqref="K2203">
    <cfRule type="cellIs" dxfId="1130" priority="1218" operator="equal">
      <formula>"SAIDA"</formula>
    </cfRule>
    <cfRule type="cellIs" dxfId="1129" priority="1219" operator="equal">
      <formula>"ENTRADA"</formula>
    </cfRule>
  </conditionalFormatting>
  <conditionalFormatting sqref="K2201">
    <cfRule type="cellIs" dxfId="1128" priority="1216" operator="equal">
      <formula>"SAIDA"</formula>
    </cfRule>
    <cfRule type="cellIs" dxfId="1127" priority="1217" operator="equal">
      <formula>"ENTRADA"</formula>
    </cfRule>
  </conditionalFormatting>
  <conditionalFormatting sqref="K2199">
    <cfRule type="cellIs" dxfId="1126" priority="1214" operator="equal">
      <formula>"SAIDA"</formula>
    </cfRule>
    <cfRule type="cellIs" dxfId="1125" priority="1215" operator="equal">
      <formula>"ENTRADA"</formula>
    </cfRule>
  </conditionalFormatting>
  <conditionalFormatting sqref="K2200">
    <cfRule type="cellIs" dxfId="1124" priority="1212" operator="equal">
      <formula>"SAIDA"</formula>
    </cfRule>
    <cfRule type="cellIs" dxfId="1123" priority="1213" operator="equal">
      <formula>"ENTRADA"</formula>
    </cfRule>
  </conditionalFormatting>
  <conditionalFormatting sqref="K2198">
    <cfRule type="cellIs" dxfId="1122" priority="1208" operator="equal">
      <formula>"SAIDA"</formula>
    </cfRule>
    <cfRule type="cellIs" dxfId="1121" priority="1209" operator="equal">
      <formula>"ENTRADA"</formula>
    </cfRule>
  </conditionalFormatting>
  <conditionalFormatting sqref="K2197">
    <cfRule type="cellIs" dxfId="1120" priority="1210" operator="equal">
      <formula>"SAIDA"</formula>
    </cfRule>
    <cfRule type="cellIs" dxfId="1119" priority="1211" operator="equal">
      <formula>"ENTRADA"</formula>
    </cfRule>
  </conditionalFormatting>
  <conditionalFormatting sqref="K2168">
    <cfRule type="cellIs" dxfId="1118" priority="1206" operator="equal">
      <formula>"SAIDA"</formula>
    </cfRule>
    <cfRule type="cellIs" dxfId="1117" priority="1207" operator="equal">
      <formula>"ENTRADA"</formula>
    </cfRule>
  </conditionalFormatting>
  <conditionalFormatting sqref="K2164">
    <cfRule type="cellIs" dxfId="1116" priority="1204" operator="equal">
      <formula>"SAIDA"</formula>
    </cfRule>
    <cfRule type="cellIs" dxfId="1115" priority="1205" operator="equal">
      <formula>"ENTRADA"</formula>
    </cfRule>
  </conditionalFormatting>
  <conditionalFormatting sqref="K2163">
    <cfRule type="cellIs" dxfId="1114" priority="1202" operator="equal">
      <formula>"SAIDA"</formula>
    </cfRule>
    <cfRule type="cellIs" dxfId="1113" priority="1203" operator="equal">
      <formula>"ENTRADA"</formula>
    </cfRule>
  </conditionalFormatting>
  <conditionalFormatting sqref="K2162">
    <cfRule type="cellIs" dxfId="1112" priority="1200" operator="equal">
      <formula>"SAIDA"</formula>
    </cfRule>
    <cfRule type="cellIs" dxfId="1111" priority="1201" operator="equal">
      <formula>"ENTRADA"</formula>
    </cfRule>
  </conditionalFormatting>
  <conditionalFormatting sqref="K2161">
    <cfRule type="cellIs" dxfId="1110" priority="1198" operator="equal">
      <formula>"SAIDA"</formula>
    </cfRule>
    <cfRule type="cellIs" dxfId="1109" priority="1199" operator="equal">
      <formula>"ENTRADA"</formula>
    </cfRule>
  </conditionalFormatting>
  <conditionalFormatting sqref="K2160">
    <cfRule type="cellIs" dxfId="1108" priority="1196" operator="equal">
      <formula>"SAIDA"</formula>
    </cfRule>
    <cfRule type="cellIs" dxfId="1107" priority="1197" operator="equal">
      <formula>"ENTRADA"</formula>
    </cfRule>
  </conditionalFormatting>
  <conditionalFormatting sqref="K2159">
    <cfRule type="cellIs" dxfId="1106" priority="1194" operator="equal">
      <formula>"SAIDA"</formula>
    </cfRule>
    <cfRule type="cellIs" dxfId="1105" priority="1195" operator="equal">
      <formula>"ENTRADA"</formula>
    </cfRule>
  </conditionalFormatting>
  <conditionalFormatting sqref="K2167">
    <cfRule type="cellIs" dxfId="1104" priority="1188" operator="equal">
      <formula>"SAIDA"</formula>
    </cfRule>
    <cfRule type="cellIs" dxfId="1103" priority="1189" operator="equal">
      <formula>"ENTRADA"</formula>
    </cfRule>
  </conditionalFormatting>
  <conditionalFormatting sqref="K2158">
    <cfRule type="cellIs" dxfId="1102" priority="1184" operator="equal">
      <formula>"SAIDA"</formula>
    </cfRule>
    <cfRule type="cellIs" dxfId="1101" priority="1185" operator="equal">
      <formula>"ENTRADA"</formula>
    </cfRule>
  </conditionalFormatting>
  <conditionalFormatting sqref="K2157">
    <cfRule type="cellIs" dxfId="1100" priority="1182" operator="equal">
      <formula>"SAIDA"</formula>
    </cfRule>
    <cfRule type="cellIs" dxfId="1099" priority="1183" operator="equal">
      <formula>"ENTRADA"</formula>
    </cfRule>
  </conditionalFormatting>
  <conditionalFormatting sqref="K2136">
    <cfRule type="cellIs" dxfId="1098" priority="1180" operator="equal">
      <formula>"SAIDA"</formula>
    </cfRule>
    <cfRule type="cellIs" dxfId="1097" priority="1181" operator="equal">
      <formula>"ENTRADA"</formula>
    </cfRule>
  </conditionalFormatting>
  <conditionalFormatting sqref="K2134">
    <cfRule type="cellIs" dxfId="1096" priority="1178" operator="equal">
      <formula>"SAIDA"</formula>
    </cfRule>
    <cfRule type="cellIs" dxfId="1095" priority="1179" operator="equal">
      <formula>"ENTRADA"</formula>
    </cfRule>
  </conditionalFormatting>
  <conditionalFormatting sqref="K2129">
    <cfRule type="cellIs" dxfId="1094" priority="1176" operator="equal">
      <formula>"SAIDA"</formula>
    </cfRule>
    <cfRule type="cellIs" dxfId="1093" priority="1177" operator="equal">
      <formula>"ENTRADA"</formula>
    </cfRule>
  </conditionalFormatting>
  <conditionalFormatting sqref="K2128">
    <cfRule type="cellIs" dxfId="1092" priority="1174" operator="equal">
      <formula>"SAIDA"</formula>
    </cfRule>
    <cfRule type="cellIs" dxfId="1091" priority="1175" operator="equal">
      <formula>"ENTRADA"</formula>
    </cfRule>
  </conditionalFormatting>
  <conditionalFormatting sqref="K2127">
    <cfRule type="cellIs" dxfId="1090" priority="1172" operator="equal">
      <formula>"SAIDA"</formula>
    </cfRule>
    <cfRule type="cellIs" dxfId="1089" priority="1173" operator="equal">
      <formula>"ENTRADA"</formula>
    </cfRule>
  </conditionalFormatting>
  <conditionalFormatting sqref="K2125">
    <cfRule type="cellIs" dxfId="1088" priority="1170" operator="equal">
      <formula>"SAIDA"</formula>
    </cfRule>
    <cfRule type="cellIs" dxfId="1087" priority="1171" operator="equal">
      <formula>"ENTRADA"</formula>
    </cfRule>
  </conditionalFormatting>
  <conditionalFormatting sqref="K2124">
    <cfRule type="cellIs" dxfId="1086" priority="1168" operator="equal">
      <formula>"SAIDA"</formula>
    </cfRule>
    <cfRule type="cellIs" dxfId="1085" priority="1169" operator="equal">
      <formula>"ENTRADA"</formula>
    </cfRule>
  </conditionalFormatting>
  <conditionalFormatting sqref="K2123">
    <cfRule type="cellIs" dxfId="1084" priority="1166" operator="equal">
      <formula>"SAIDA"</formula>
    </cfRule>
    <cfRule type="cellIs" dxfId="1083" priority="1167" operator="equal">
      <formula>"ENTRADA"</formula>
    </cfRule>
  </conditionalFormatting>
  <conditionalFormatting sqref="K2122">
    <cfRule type="cellIs" dxfId="1082" priority="1164" operator="equal">
      <formula>"SAIDA"</formula>
    </cfRule>
    <cfRule type="cellIs" dxfId="1081" priority="1165" operator="equal">
      <formula>"ENTRADA"</formula>
    </cfRule>
  </conditionalFormatting>
  <conditionalFormatting sqref="K2121">
    <cfRule type="cellIs" dxfId="1080" priority="1162" operator="equal">
      <formula>"SAIDA"</formula>
    </cfRule>
    <cfRule type="cellIs" dxfId="1079" priority="1163" operator="equal">
      <formula>"ENTRADA"</formula>
    </cfRule>
  </conditionalFormatting>
  <conditionalFormatting sqref="K2120">
    <cfRule type="cellIs" dxfId="1078" priority="1160" operator="equal">
      <formula>"SAIDA"</formula>
    </cfRule>
    <cfRule type="cellIs" dxfId="1077" priority="1161" operator="equal">
      <formula>"ENTRADA"</formula>
    </cfRule>
  </conditionalFormatting>
  <conditionalFormatting sqref="K2105">
    <cfRule type="cellIs" dxfId="1076" priority="1156" operator="equal">
      <formula>"SAIDA"</formula>
    </cfRule>
    <cfRule type="cellIs" dxfId="1075" priority="1157" operator="equal">
      <formula>"ENTRADA"</formula>
    </cfRule>
  </conditionalFormatting>
  <conditionalFormatting sqref="K2104">
    <cfRule type="cellIs" dxfId="1074" priority="1154" operator="equal">
      <formula>"SAIDA"</formula>
    </cfRule>
    <cfRule type="cellIs" dxfId="1073" priority="1155" operator="equal">
      <formula>"ENTRADA"</formula>
    </cfRule>
  </conditionalFormatting>
  <conditionalFormatting sqref="K2102">
    <cfRule type="cellIs" dxfId="1072" priority="1152" operator="equal">
      <formula>"SAIDA"</formula>
    </cfRule>
    <cfRule type="cellIs" dxfId="1071" priority="1153" operator="equal">
      <formula>"ENTRADA"</formula>
    </cfRule>
  </conditionalFormatting>
  <conditionalFormatting sqref="K2100">
    <cfRule type="cellIs" dxfId="1070" priority="1150" operator="equal">
      <formula>"SAIDA"</formula>
    </cfRule>
    <cfRule type="cellIs" dxfId="1069" priority="1151" operator="equal">
      <formula>"ENTRADA"</formula>
    </cfRule>
  </conditionalFormatting>
  <conditionalFormatting sqref="K2099">
    <cfRule type="cellIs" dxfId="1068" priority="1148" operator="equal">
      <formula>"SAIDA"</formula>
    </cfRule>
    <cfRule type="cellIs" dxfId="1067" priority="1149" operator="equal">
      <formula>"ENTRADA"</formula>
    </cfRule>
  </conditionalFormatting>
  <conditionalFormatting sqref="K2097">
    <cfRule type="cellIs" dxfId="1066" priority="1146" operator="equal">
      <formula>"SAIDA"</formula>
    </cfRule>
    <cfRule type="cellIs" dxfId="1065" priority="1147" operator="equal">
      <formula>"ENTRADA"</formula>
    </cfRule>
  </conditionalFormatting>
  <conditionalFormatting sqref="K2096">
    <cfRule type="cellIs" dxfId="1064" priority="1144" operator="equal">
      <formula>"SAIDA"</formula>
    </cfRule>
    <cfRule type="cellIs" dxfId="1063" priority="1145" operator="equal">
      <formula>"ENTRADA"</formula>
    </cfRule>
  </conditionalFormatting>
  <conditionalFormatting sqref="K2095">
    <cfRule type="cellIs" dxfId="1062" priority="1142" operator="equal">
      <formula>"SAIDA"</formula>
    </cfRule>
    <cfRule type="cellIs" dxfId="1061" priority="1143" operator="equal">
      <formula>"ENTRADA"</formula>
    </cfRule>
  </conditionalFormatting>
  <conditionalFormatting sqref="K2093">
    <cfRule type="cellIs" dxfId="1060" priority="1140" operator="equal">
      <formula>"SAIDA"</formula>
    </cfRule>
    <cfRule type="cellIs" dxfId="1059" priority="1141" operator="equal">
      <formula>"ENTRADA"</formula>
    </cfRule>
  </conditionalFormatting>
  <conditionalFormatting sqref="K2094">
    <cfRule type="cellIs" dxfId="1058" priority="1138" operator="equal">
      <formula>"SAIDA"</formula>
    </cfRule>
    <cfRule type="cellIs" dxfId="1057" priority="1139" operator="equal">
      <formula>"ENTRADA"</formula>
    </cfRule>
  </conditionalFormatting>
  <conditionalFormatting sqref="K2091">
    <cfRule type="cellIs" dxfId="1056" priority="1134" operator="equal">
      <formula>"SAIDA"</formula>
    </cfRule>
    <cfRule type="cellIs" dxfId="1055" priority="1135" operator="equal">
      <formula>"ENTRADA"</formula>
    </cfRule>
  </conditionalFormatting>
  <conditionalFormatting sqref="K2092">
    <cfRule type="cellIs" dxfId="1054" priority="1132" operator="equal">
      <formula>"SAIDA"</formula>
    </cfRule>
    <cfRule type="cellIs" dxfId="1053" priority="1133" operator="equal">
      <formula>"ENTRADA"</formula>
    </cfRule>
  </conditionalFormatting>
  <conditionalFormatting sqref="K2062">
    <cfRule type="cellIs" dxfId="1052" priority="1130" operator="equal">
      <formula>"SAIDA"</formula>
    </cfRule>
    <cfRule type="cellIs" dxfId="1051" priority="1131" operator="equal">
      <formula>"ENTRADA"</formula>
    </cfRule>
  </conditionalFormatting>
  <conditionalFormatting sqref="K2061">
    <cfRule type="cellIs" dxfId="1050" priority="1128" operator="equal">
      <formula>"SAIDA"</formula>
    </cfRule>
    <cfRule type="cellIs" dxfId="1049" priority="1129" operator="equal">
      <formula>"ENTRADA"</formula>
    </cfRule>
  </conditionalFormatting>
  <conditionalFormatting sqref="K2060">
    <cfRule type="cellIs" dxfId="1048" priority="1126" operator="equal">
      <formula>"SAIDA"</formula>
    </cfRule>
    <cfRule type="cellIs" dxfId="1047" priority="1127" operator="equal">
      <formula>"ENTRADA"</formula>
    </cfRule>
  </conditionalFormatting>
  <conditionalFormatting sqref="K2059">
    <cfRule type="cellIs" dxfId="1046" priority="1124" operator="equal">
      <formula>"SAIDA"</formula>
    </cfRule>
    <cfRule type="cellIs" dxfId="1045" priority="1125" operator="equal">
      <formula>"ENTRADA"</formula>
    </cfRule>
  </conditionalFormatting>
  <conditionalFormatting sqref="K2054">
    <cfRule type="cellIs" dxfId="1044" priority="1120" operator="equal">
      <formula>"SAIDA"</formula>
    </cfRule>
    <cfRule type="cellIs" dxfId="1043" priority="1121" operator="equal">
      <formula>"ENTRADA"</formula>
    </cfRule>
  </conditionalFormatting>
  <conditionalFormatting sqref="K2053">
    <cfRule type="cellIs" dxfId="1042" priority="1116" operator="equal">
      <formula>"SAIDA"</formula>
    </cfRule>
    <cfRule type="cellIs" dxfId="1041" priority="1117" operator="equal">
      <formula>"ENTRADA"</formula>
    </cfRule>
  </conditionalFormatting>
  <conditionalFormatting sqref="K2052">
    <cfRule type="cellIs" dxfId="1040" priority="1114" operator="equal">
      <formula>"SAIDA"</formula>
    </cfRule>
    <cfRule type="cellIs" dxfId="1039" priority="1115" operator="equal">
      <formula>"ENTRADA"</formula>
    </cfRule>
  </conditionalFormatting>
  <conditionalFormatting sqref="K2051">
    <cfRule type="cellIs" dxfId="1038" priority="1112" operator="equal">
      <formula>"SAIDA"</formula>
    </cfRule>
    <cfRule type="cellIs" dxfId="1037" priority="1113" operator="equal">
      <formula>"ENTRADA"</formula>
    </cfRule>
  </conditionalFormatting>
  <conditionalFormatting sqref="K2044">
    <cfRule type="cellIs" dxfId="1036" priority="1110" operator="equal">
      <formula>"SAIDA"</formula>
    </cfRule>
    <cfRule type="cellIs" dxfId="1035" priority="1111" operator="equal">
      <formula>"ENTRADA"</formula>
    </cfRule>
  </conditionalFormatting>
  <conditionalFormatting sqref="K2041">
    <cfRule type="cellIs" dxfId="1034" priority="1108" operator="equal">
      <formula>"SAIDA"</formula>
    </cfRule>
    <cfRule type="cellIs" dxfId="1033" priority="1109" operator="equal">
      <formula>"ENTRADA"</formula>
    </cfRule>
  </conditionalFormatting>
  <conditionalFormatting sqref="K2040">
    <cfRule type="cellIs" dxfId="1032" priority="1106" operator="equal">
      <formula>"SAIDA"</formula>
    </cfRule>
    <cfRule type="cellIs" dxfId="1031" priority="1107" operator="equal">
      <formula>"ENTRADA"</formula>
    </cfRule>
  </conditionalFormatting>
  <conditionalFormatting sqref="K2039">
    <cfRule type="cellIs" dxfId="1030" priority="1104" operator="equal">
      <formula>"SAIDA"</formula>
    </cfRule>
    <cfRule type="cellIs" dxfId="1029" priority="1105" operator="equal">
      <formula>"ENTRADA"</formula>
    </cfRule>
  </conditionalFormatting>
  <conditionalFormatting sqref="K2038">
    <cfRule type="cellIs" dxfId="1028" priority="1102" operator="equal">
      <formula>"SAIDA"</formula>
    </cfRule>
    <cfRule type="cellIs" dxfId="1027" priority="1103" operator="equal">
      <formula>"ENTRADA"</formula>
    </cfRule>
  </conditionalFormatting>
  <conditionalFormatting sqref="K2037">
    <cfRule type="cellIs" dxfId="1026" priority="1100" operator="equal">
      <formula>"SAIDA"</formula>
    </cfRule>
    <cfRule type="cellIs" dxfId="1025" priority="1101" operator="equal">
      <formula>"ENTRADA"</formula>
    </cfRule>
  </conditionalFormatting>
  <conditionalFormatting sqref="K2036">
    <cfRule type="cellIs" dxfId="1024" priority="1098" operator="equal">
      <formula>"SAIDA"</formula>
    </cfRule>
    <cfRule type="cellIs" dxfId="1023" priority="1099" operator="equal">
      <formula>"ENTRADA"</formula>
    </cfRule>
  </conditionalFormatting>
  <conditionalFormatting sqref="K2035">
    <cfRule type="cellIs" dxfId="1022" priority="1096" operator="equal">
      <formula>"SAIDA"</formula>
    </cfRule>
    <cfRule type="cellIs" dxfId="1021" priority="1097" operator="equal">
      <formula>"ENTRADA"</formula>
    </cfRule>
  </conditionalFormatting>
  <conditionalFormatting sqref="K2034">
    <cfRule type="cellIs" dxfId="1020" priority="1094" operator="equal">
      <formula>"SAIDA"</formula>
    </cfRule>
    <cfRule type="cellIs" dxfId="1019" priority="1095" operator="equal">
      <formula>"ENTRADA"</formula>
    </cfRule>
  </conditionalFormatting>
  <conditionalFormatting sqref="K2033">
    <cfRule type="cellIs" dxfId="1018" priority="1092" operator="equal">
      <formula>"SAIDA"</formula>
    </cfRule>
    <cfRule type="cellIs" dxfId="1017" priority="1093" operator="equal">
      <formula>"ENTRADA"</formula>
    </cfRule>
  </conditionalFormatting>
  <conditionalFormatting sqref="K2032">
    <cfRule type="cellIs" dxfId="1016" priority="1090" operator="equal">
      <formula>"SAIDA"</formula>
    </cfRule>
    <cfRule type="cellIs" dxfId="1015" priority="1091" operator="equal">
      <formula>"ENTRADA"</formula>
    </cfRule>
  </conditionalFormatting>
  <conditionalFormatting sqref="K2031">
    <cfRule type="cellIs" dxfId="1014" priority="1088" operator="equal">
      <formula>"SAIDA"</formula>
    </cfRule>
    <cfRule type="cellIs" dxfId="1013" priority="1089" operator="equal">
      <formula>"ENTRADA"</formula>
    </cfRule>
  </conditionalFormatting>
  <conditionalFormatting sqref="K2030">
    <cfRule type="cellIs" dxfId="1012" priority="1086" operator="equal">
      <formula>"SAIDA"</formula>
    </cfRule>
    <cfRule type="cellIs" dxfId="1011" priority="1087" operator="equal">
      <formula>"ENTRADA"</formula>
    </cfRule>
  </conditionalFormatting>
  <conditionalFormatting sqref="K2029">
    <cfRule type="cellIs" dxfId="1010" priority="1084" operator="equal">
      <formula>"SAIDA"</formula>
    </cfRule>
    <cfRule type="cellIs" dxfId="1009" priority="1085" operator="equal">
      <formula>"ENTRADA"</formula>
    </cfRule>
  </conditionalFormatting>
  <conditionalFormatting sqref="K2012">
    <cfRule type="cellIs" dxfId="1008" priority="1082" operator="equal">
      <formula>"SAIDA"</formula>
    </cfRule>
    <cfRule type="cellIs" dxfId="1007" priority="1083" operator="equal">
      <formula>"ENTRADA"</formula>
    </cfRule>
  </conditionalFormatting>
  <conditionalFormatting sqref="K2008">
    <cfRule type="cellIs" dxfId="1006" priority="1080" operator="equal">
      <formula>"SAIDA"</formula>
    </cfRule>
    <cfRule type="cellIs" dxfId="1005" priority="1081" operator="equal">
      <formula>"ENTRADA"</formula>
    </cfRule>
  </conditionalFormatting>
  <conditionalFormatting sqref="K2007">
    <cfRule type="cellIs" dxfId="1004" priority="1078" operator="equal">
      <formula>"SAIDA"</formula>
    </cfRule>
    <cfRule type="cellIs" dxfId="1003" priority="1079" operator="equal">
      <formula>"ENTRADA"</formula>
    </cfRule>
  </conditionalFormatting>
  <conditionalFormatting sqref="K2006">
    <cfRule type="cellIs" dxfId="1002" priority="1076" operator="equal">
      <formula>"SAIDA"</formula>
    </cfRule>
    <cfRule type="cellIs" dxfId="1001" priority="1077" operator="equal">
      <formula>"ENTRADA"</formula>
    </cfRule>
  </conditionalFormatting>
  <conditionalFormatting sqref="K2005">
    <cfRule type="cellIs" dxfId="1000" priority="1074" operator="equal">
      <formula>"SAIDA"</formula>
    </cfRule>
    <cfRule type="cellIs" dxfId="999" priority="1075" operator="equal">
      <formula>"ENTRADA"</formula>
    </cfRule>
  </conditionalFormatting>
  <conditionalFormatting sqref="K2004">
    <cfRule type="cellIs" dxfId="998" priority="1072" operator="equal">
      <formula>"SAIDA"</formula>
    </cfRule>
    <cfRule type="cellIs" dxfId="997" priority="1073" operator="equal">
      <formula>"ENTRADA"</formula>
    </cfRule>
  </conditionalFormatting>
  <conditionalFormatting sqref="K2002">
    <cfRule type="cellIs" dxfId="996" priority="1070" operator="equal">
      <formula>"SAIDA"</formula>
    </cfRule>
    <cfRule type="cellIs" dxfId="995" priority="1071" operator="equal">
      <formula>"ENTRADA"</formula>
    </cfRule>
  </conditionalFormatting>
  <conditionalFormatting sqref="K2003">
    <cfRule type="cellIs" dxfId="994" priority="1068" operator="equal">
      <formula>"SAIDA"</formula>
    </cfRule>
    <cfRule type="cellIs" dxfId="993" priority="1069" operator="equal">
      <formula>"ENTRADA"</formula>
    </cfRule>
  </conditionalFormatting>
  <conditionalFormatting sqref="K1978">
    <cfRule type="cellIs" dxfId="992" priority="1066" operator="equal">
      <formula>"SAIDA"</formula>
    </cfRule>
    <cfRule type="cellIs" dxfId="991" priority="1067" operator="equal">
      <formula>"ENTRADA"</formula>
    </cfRule>
  </conditionalFormatting>
  <conditionalFormatting sqref="K1977">
    <cfRule type="cellIs" dxfId="990" priority="1064" operator="equal">
      <formula>"SAIDA"</formula>
    </cfRule>
    <cfRule type="cellIs" dxfId="989" priority="1065" operator="equal">
      <formula>"ENTRADA"</formula>
    </cfRule>
  </conditionalFormatting>
  <conditionalFormatting sqref="K1976">
    <cfRule type="cellIs" dxfId="988" priority="1062" operator="equal">
      <formula>"SAIDA"</formula>
    </cfRule>
    <cfRule type="cellIs" dxfId="987" priority="1063" operator="equal">
      <formula>"ENTRADA"</formula>
    </cfRule>
  </conditionalFormatting>
  <conditionalFormatting sqref="K1975">
    <cfRule type="cellIs" dxfId="986" priority="1060" operator="equal">
      <formula>"SAIDA"</formula>
    </cfRule>
    <cfRule type="cellIs" dxfId="985" priority="1061" operator="equal">
      <formula>"ENTRADA"</formula>
    </cfRule>
  </conditionalFormatting>
  <conditionalFormatting sqref="K1972">
    <cfRule type="cellIs" dxfId="984" priority="1056" operator="equal">
      <formula>"SAIDA"</formula>
    </cfRule>
    <cfRule type="cellIs" dxfId="983" priority="1057" operator="equal">
      <formula>"ENTRADA"</formula>
    </cfRule>
  </conditionalFormatting>
  <conditionalFormatting sqref="K1971">
    <cfRule type="cellIs" dxfId="982" priority="1048" operator="equal">
      <formula>"SAIDA"</formula>
    </cfRule>
    <cfRule type="cellIs" dxfId="981" priority="1049" operator="equal">
      <formula>"ENTRADA"</formula>
    </cfRule>
  </conditionalFormatting>
  <conditionalFormatting sqref="K1970">
    <cfRule type="cellIs" dxfId="980" priority="1050" operator="equal">
      <formula>"SAIDA"</formula>
    </cfRule>
    <cfRule type="cellIs" dxfId="979" priority="1051" operator="equal">
      <formula>"ENTRADA"</formula>
    </cfRule>
  </conditionalFormatting>
  <conditionalFormatting sqref="K1969">
    <cfRule type="cellIs" dxfId="978" priority="1046" operator="equal">
      <formula>"SAIDA"</formula>
    </cfRule>
    <cfRule type="cellIs" dxfId="977" priority="1047" operator="equal">
      <formula>"ENTRADA"</formula>
    </cfRule>
  </conditionalFormatting>
  <conditionalFormatting sqref="K1968">
    <cfRule type="cellIs" dxfId="976" priority="1044" operator="equal">
      <formula>"SAIDA"</formula>
    </cfRule>
    <cfRule type="cellIs" dxfId="975" priority="1045" operator="equal">
      <formula>"ENTRADA"</formula>
    </cfRule>
  </conditionalFormatting>
  <conditionalFormatting sqref="K1965">
    <cfRule type="cellIs" dxfId="974" priority="1042" operator="equal">
      <formula>"SAIDA"</formula>
    </cfRule>
    <cfRule type="cellIs" dxfId="973" priority="1043" operator="equal">
      <formula>"ENTRADA"</formula>
    </cfRule>
  </conditionalFormatting>
  <conditionalFormatting sqref="K1963">
    <cfRule type="cellIs" dxfId="972" priority="1040" operator="equal">
      <formula>"SAIDA"</formula>
    </cfRule>
    <cfRule type="cellIs" dxfId="971" priority="1041" operator="equal">
      <formula>"ENTRADA"</formula>
    </cfRule>
  </conditionalFormatting>
  <conditionalFormatting sqref="K1962">
    <cfRule type="cellIs" dxfId="970" priority="1038" operator="equal">
      <formula>"SAIDA"</formula>
    </cfRule>
    <cfRule type="cellIs" dxfId="969" priority="1039" operator="equal">
      <formula>"ENTRADA"</formula>
    </cfRule>
  </conditionalFormatting>
  <conditionalFormatting sqref="K1961">
    <cfRule type="cellIs" dxfId="968" priority="1036" operator="equal">
      <formula>"SAIDA"</formula>
    </cfRule>
    <cfRule type="cellIs" dxfId="967" priority="1037" operator="equal">
      <formula>"ENTRADA"</formula>
    </cfRule>
  </conditionalFormatting>
  <conditionalFormatting sqref="K1959">
    <cfRule type="cellIs" dxfId="966" priority="1034" operator="equal">
      <formula>"SAIDA"</formula>
    </cfRule>
    <cfRule type="cellIs" dxfId="965" priority="1035" operator="equal">
      <formula>"ENTRADA"</formula>
    </cfRule>
  </conditionalFormatting>
  <conditionalFormatting sqref="K1958">
    <cfRule type="cellIs" dxfId="964" priority="1032" operator="equal">
      <formula>"SAIDA"</formula>
    </cfRule>
    <cfRule type="cellIs" dxfId="963" priority="1033" operator="equal">
      <formula>"ENTRADA"</formula>
    </cfRule>
  </conditionalFormatting>
  <conditionalFormatting sqref="K1957">
    <cfRule type="cellIs" dxfId="962" priority="1030" operator="equal">
      <formula>"SAIDA"</formula>
    </cfRule>
    <cfRule type="cellIs" dxfId="961" priority="1031" operator="equal">
      <formula>"ENTRADA"</formula>
    </cfRule>
  </conditionalFormatting>
  <conditionalFormatting sqref="K1904">
    <cfRule type="cellIs" dxfId="960" priority="1028" operator="equal">
      <formula>"SAIDA"</formula>
    </cfRule>
    <cfRule type="cellIs" dxfId="959" priority="1029" operator="equal">
      <formula>"ENTRADA"</formula>
    </cfRule>
  </conditionalFormatting>
  <conditionalFormatting sqref="K1903">
    <cfRule type="cellIs" dxfId="958" priority="1026" operator="equal">
      <formula>"SAIDA"</formula>
    </cfRule>
    <cfRule type="cellIs" dxfId="957" priority="1027" operator="equal">
      <formula>"ENTRADA"</formula>
    </cfRule>
  </conditionalFormatting>
  <conditionalFormatting sqref="K1902">
    <cfRule type="cellIs" dxfId="956" priority="1024" operator="equal">
      <formula>"SAIDA"</formula>
    </cfRule>
    <cfRule type="cellIs" dxfId="955" priority="1025" operator="equal">
      <formula>"ENTRADA"</formula>
    </cfRule>
  </conditionalFormatting>
  <conditionalFormatting sqref="K1896">
    <cfRule type="cellIs" dxfId="954" priority="1022" operator="equal">
      <formula>"SAIDA"</formula>
    </cfRule>
    <cfRule type="cellIs" dxfId="953" priority="1023" operator="equal">
      <formula>"ENTRADA"</formula>
    </cfRule>
  </conditionalFormatting>
  <conditionalFormatting sqref="K1895">
    <cfRule type="cellIs" dxfId="952" priority="1020" operator="equal">
      <formula>"SAIDA"</formula>
    </cfRule>
    <cfRule type="cellIs" dxfId="951" priority="1021" operator="equal">
      <formula>"ENTRADA"</formula>
    </cfRule>
  </conditionalFormatting>
  <conditionalFormatting sqref="K1892">
    <cfRule type="cellIs" dxfId="950" priority="1018" operator="equal">
      <formula>"SAIDA"</formula>
    </cfRule>
    <cfRule type="cellIs" dxfId="949" priority="1019" operator="equal">
      <formula>"ENTRADA"</formula>
    </cfRule>
  </conditionalFormatting>
  <conditionalFormatting sqref="K1891">
    <cfRule type="cellIs" dxfId="948" priority="1016" operator="equal">
      <formula>"SAIDA"</formula>
    </cfRule>
    <cfRule type="cellIs" dxfId="947" priority="1017" operator="equal">
      <formula>"ENTRADA"</formula>
    </cfRule>
  </conditionalFormatting>
  <conditionalFormatting sqref="K1890">
    <cfRule type="cellIs" dxfId="946" priority="1014" operator="equal">
      <formula>"SAIDA"</formula>
    </cfRule>
    <cfRule type="cellIs" dxfId="945" priority="1015" operator="equal">
      <formula>"ENTRADA"</formula>
    </cfRule>
  </conditionalFormatting>
  <conditionalFormatting sqref="K1889">
    <cfRule type="cellIs" dxfId="944" priority="1012" operator="equal">
      <formula>"SAIDA"</formula>
    </cfRule>
    <cfRule type="cellIs" dxfId="943" priority="1013" operator="equal">
      <formula>"ENTRADA"</formula>
    </cfRule>
  </conditionalFormatting>
  <conditionalFormatting sqref="K1888">
    <cfRule type="cellIs" dxfId="942" priority="1010" operator="equal">
      <formula>"SAIDA"</formula>
    </cfRule>
    <cfRule type="cellIs" dxfId="941" priority="1011" operator="equal">
      <formula>"ENTRADA"</formula>
    </cfRule>
  </conditionalFormatting>
  <conditionalFormatting sqref="K1887">
    <cfRule type="cellIs" dxfId="940" priority="1008" operator="equal">
      <formula>"SAIDA"</formula>
    </cfRule>
    <cfRule type="cellIs" dxfId="939" priority="1009" operator="equal">
      <formula>"ENTRADA"</formula>
    </cfRule>
  </conditionalFormatting>
  <conditionalFormatting sqref="K1886">
    <cfRule type="cellIs" dxfId="938" priority="1006" operator="equal">
      <formula>"SAIDA"</formula>
    </cfRule>
    <cfRule type="cellIs" dxfId="937" priority="1007" operator="equal">
      <formula>"ENTRADA"</formula>
    </cfRule>
  </conditionalFormatting>
  <conditionalFormatting sqref="K1885">
    <cfRule type="cellIs" dxfId="936" priority="1004" operator="equal">
      <formula>"SAIDA"</formula>
    </cfRule>
    <cfRule type="cellIs" dxfId="935" priority="1005" operator="equal">
      <formula>"ENTRADA"</formula>
    </cfRule>
  </conditionalFormatting>
  <conditionalFormatting sqref="K1884">
    <cfRule type="cellIs" dxfId="934" priority="1002" operator="equal">
      <formula>"SAIDA"</formula>
    </cfRule>
    <cfRule type="cellIs" dxfId="933" priority="1003" operator="equal">
      <formula>"ENTRADA"</formula>
    </cfRule>
  </conditionalFormatting>
  <conditionalFormatting sqref="K1883">
    <cfRule type="cellIs" dxfId="932" priority="1000" operator="equal">
      <formula>"SAIDA"</formula>
    </cfRule>
    <cfRule type="cellIs" dxfId="931" priority="1001" operator="equal">
      <formula>"ENTRADA"</formula>
    </cfRule>
  </conditionalFormatting>
  <conditionalFormatting sqref="K1863">
    <cfRule type="cellIs" dxfId="930" priority="998" operator="equal">
      <formula>"SAIDA"</formula>
    </cfRule>
    <cfRule type="cellIs" dxfId="929" priority="999" operator="equal">
      <formula>"ENTRADA"</formula>
    </cfRule>
  </conditionalFormatting>
  <conditionalFormatting sqref="K1861:K1863">
    <cfRule type="cellIs" dxfId="928" priority="996" operator="equal">
      <formula>"SAIDA"</formula>
    </cfRule>
    <cfRule type="cellIs" dxfId="927" priority="997" operator="equal">
      <formula>"ENTRADA"</formula>
    </cfRule>
  </conditionalFormatting>
  <conditionalFormatting sqref="K1861">
    <cfRule type="cellIs" dxfId="926" priority="994" operator="equal">
      <formula>"SAIDA"</formula>
    </cfRule>
    <cfRule type="cellIs" dxfId="925" priority="995" operator="equal">
      <formula>"ENTRADA"</formula>
    </cfRule>
  </conditionalFormatting>
  <conditionalFormatting sqref="K1860">
    <cfRule type="cellIs" dxfId="924" priority="992" operator="equal">
      <formula>"SAIDA"</formula>
    </cfRule>
    <cfRule type="cellIs" dxfId="923" priority="993" operator="equal">
      <formula>"ENTRADA"</formula>
    </cfRule>
  </conditionalFormatting>
  <conditionalFormatting sqref="K1857">
    <cfRule type="cellIs" dxfId="922" priority="990" operator="equal">
      <formula>"SAIDA"</formula>
    </cfRule>
    <cfRule type="cellIs" dxfId="921" priority="991" operator="equal">
      <formula>"ENTRADA"</formula>
    </cfRule>
  </conditionalFormatting>
  <conditionalFormatting sqref="K1856">
    <cfRule type="cellIs" dxfId="920" priority="988" operator="equal">
      <formula>"SAIDA"</formula>
    </cfRule>
    <cfRule type="cellIs" dxfId="919" priority="989" operator="equal">
      <formula>"ENTRADA"</formula>
    </cfRule>
  </conditionalFormatting>
  <conditionalFormatting sqref="K1855">
    <cfRule type="cellIs" dxfId="918" priority="986" operator="equal">
      <formula>"SAIDA"</formula>
    </cfRule>
    <cfRule type="cellIs" dxfId="917" priority="987" operator="equal">
      <formula>"ENTRADA"</formula>
    </cfRule>
  </conditionalFormatting>
  <conditionalFormatting sqref="K1854">
    <cfRule type="cellIs" dxfId="916" priority="984" operator="equal">
      <formula>"SAIDA"</formula>
    </cfRule>
    <cfRule type="cellIs" dxfId="915" priority="985" operator="equal">
      <formula>"ENTRADA"</formula>
    </cfRule>
  </conditionalFormatting>
  <conditionalFormatting sqref="K1848">
    <cfRule type="cellIs" dxfId="914" priority="982" operator="equal">
      <formula>"SAIDA"</formula>
    </cfRule>
    <cfRule type="cellIs" dxfId="913" priority="983" operator="equal">
      <formula>"ENTRADA"</formula>
    </cfRule>
  </conditionalFormatting>
  <conditionalFormatting sqref="K1788">
    <cfRule type="cellIs" dxfId="912" priority="980" operator="equal">
      <formula>"SAIDA"</formula>
    </cfRule>
    <cfRule type="cellIs" dxfId="911" priority="981" operator="equal">
      <formula>"ENTRADA"</formula>
    </cfRule>
  </conditionalFormatting>
  <conditionalFormatting sqref="K1787">
    <cfRule type="cellIs" dxfId="910" priority="978" operator="equal">
      <formula>"SAIDA"</formula>
    </cfRule>
    <cfRule type="cellIs" dxfId="909" priority="979" operator="equal">
      <formula>"ENTRADA"</formula>
    </cfRule>
  </conditionalFormatting>
  <conditionalFormatting sqref="K1783">
    <cfRule type="cellIs" dxfId="908" priority="976" operator="equal">
      <formula>"SAIDA"</formula>
    </cfRule>
    <cfRule type="cellIs" dxfId="907" priority="977" operator="equal">
      <formula>"ENTRADA"</formula>
    </cfRule>
  </conditionalFormatting>
  <conditionalFormatting sqref="K1780">
    <cfRule type="cellIs" dxfId="906" priority="974" operator="equal">
      <formula>"SAIDA"</formula>
    </cfRule>
    <cfRule type="cellIs" dxfId="905" priority="975" operator="equal">
      <formula>"ENTRADA"</formula>
    </cfRule>
  </conditionalFormatting>
  <conditionalFormatting sqref="K1779">
    <cfRule type="cellIs" dxfId="904" priority="972" operator="equal">
      <formula>"SAIDA"</formula>
    </cfRule>
    <cfRule type="cellIs" dxfId="903" priority="973" operator="equal">
      <formula>"ENTRADA"</formula>
    </cfRule>
  </conditionalFormatting>
  <conditionalFormatting sqref="K1778">
    <cfRule type="cellIs" dxfId="902" priority="970" operator="equal">
      <formula>"SAIDA"</formula>
    </cfRule>
    <cfRule type="cellIs" dxfId="901" priority="971" operator="equal">
      <formula>"ENTRADA"</formula>
    </cfRule>
  </conditionalFormatting>
  <conditionalFormatting sqref="K1777">
    <cfRule type="cellIs" dxfId="900" priority="968" operator="equal">
      <formula>"SAIDA"</formula>
    </cfRule>
    <cfRule type="cellIs" dxfId="899" priority="969" operator="equal">
      <formula>"ENTRADA"</formula>
    </cfRule>
  </conditionalFormatting>
  <conditionalFormatting sqref="K1776">
    <cfRule type="cellIs" dxfId="898" priority="966" operator="equal">
      <formula>"SAIDA"</formula>
    </cfRule>
    <cfRule type="cellIs" dxfId="897" priority="967" operator="equal">
      <formula>"ENTRADA"</formula>
    </cfRule>
  </conditionalFormatting>
  <conditionalFormatting sqref="K1775">
    <cfRule type="cellIs" dxfId="896" priority="964" operator="equal">
      <formula>"SAIDA"</formula>
    </cfRule>
    <cfRule type="cellIs" dxfId="895" priority="965" operator="equal">
      <formula>"ENTRADA"</formula>
    </cfRule>
  </conditionalFormatting>
  <conditionalFormatting sqref="K1774">
    <cfRule type="cellIs" dxfId="894" priority="962" operator="equal">
      <formula>"SAIDA"</formula>
    </cfRule>
    <cfRule type="cellIs" dxfId="893" priority="963" operator="equal">
      <formula>"ENTRADA"</formula>
    </cfRule>
  </conditionalFormatting>
  <conditionalFormatting sqref="K1773">
    <cfRule type="cellIs" dxfId="892" priority="960" operator="equal">
      <formula>"SAIDA"</formula>
    </cfRule>
    <cfRule type="cellIs" dxfId="891" priority="961" operator="equal">
      <formula>"ENTRADA"</formula>
    </cfRule>
  </conditionalFormatting>
  <conditionalFormatting sqref="K1772">
    <cfRule type="cellIs" dxfId="890" priority="958" operator="equal">
      <formula>"SAIDA"</formula>
    </cfRule>
    <cfRule type="cellIs" dxfId="889" priority="959" operator="equal">
      <formula>"ENTRADA"</formula>
    </cfRule>
  </conditionalFormatting>
  <conditionalFormatting sqref="K1771">
    <cfRule type="cellIs" dxfId="888" priority="956" operator="equal">
      <formula>"SAIDA"</formula>
    </cfRule>
    <cfRule type="cellIs" dxfId="887" priority="957" operator="equal">
      <formula>"ENTRADA"</formula>
    </cfRule>
  </conditionalFormatting>
  <conditionalFormatting sqref="K1764:K1770">
    <cfRule type="cellIs" dxfId="886" priority="954" operator="equal">
      <formula>"SAIDA"</formula>
    </cfRule>
    <cfRule type="cellIs" dxfId="885" priority="955" operator="equal">
      <formula>"ENTRADA"</formula>
    </cfRule>
  </conditionalFormatting>
  <conditionalFormatting sqref="K1745">
    <cfRule type="cellIs" dxfId="884" priority="952" operator="equal">
      <formula>"SAIDA"</formula>
    </cfRule>
    <cfRule type="cellIs" dxfId="883" priority="953" operator="equal">
      <formula>"ENTRADA"</formula>
    </cfRule>
  </conditionalFormatting>
  <conditionalFormatting sqref="K1740:K1741">
    <cfRule type="cellIs" dxfId="882" priority="950" operator="equal">
      <formula>"SAIDA"</formula>
    </cfRule>
    <cfRule type="cellIs" dxfId="881" priority="951" operator="equal">
      <formula>"ENTRADA"</formula>
    </cfRule>
  </conditionalFormatting>
  <conditionalFormatting sqref="K1739">
    <cfRule type="cellIs" dxfId="880" priority="948" operator="equal">
      <formula>"SAIDA"</formula>
    </cfRule>
    <cfRule type="cellIs" dxfId="879" priority="949" operator="equal">
      <formula>"ENTRADA"</formula>
    </cfRule>
  </conditionalFormatting>
  <conditionalFormatting sqref="K1738">
    <cfRule type="cellIs" dxfId="878" priority="946" operator="equal">
      <formula>"SAIDA"</formula>
    </cfRule>
    <cfRule type="cellIs" dxfId="877" priority="947" operator="equal">
      <formula>"ENTRADA"</formula>
    </cfRule>
  </conditionalFormatting>
  <conditionalFormatting sqref="K1737">
    <cfRule type="cellIs" dxfId="876" priority="944" operator="equal">
      <formula>"SAIDA"</formula>
    </cfRule>
    <cfRule type="cellIs" dxfId="875" priority="945" operator="equal">
      <formula>"ENTRADA"</formula>
    </cfRule>
  </conditionalFormatting>
  <conditionalFormatting sqref="K1736">
    <cfRule type="cellIs" dxfId="874" priority="942" operator="equal">
      <formula>"SAIDA"</formula>
    </cfRule>
    <cfRule type="cellIs" dxfId="873" priority="943" operator="equal">
      <formula>"ENTRADA"</formula>
    </cfRule>
  </conditionalFormatting>
  <conditionalFormatting sqref="K1734">
    <cfRule type="cellIs" dxfId="872" priority="940" operator="equal">
      <formula>"SAIDA"</formula>
    </cfRule>
    <cfRule type="cellIs" dxfId="871" priority="941" operator="equal">
      <formula>"ENTRADA"</formula>
    </cfRule>
  </conditionalFormatting>
  <conditionalFormatting sqref="K1730">
    <cfRule type="cellIs" dxfId="870" priority="938" operator="equal">
      <formula>"SAIDA"</formula>
    </cfRule>
    <cfRule type="cellIs" dxfId="869" priority="939" operator="equal">
      <formula>"ENTRADA"</formula>
    </cfRule>
  </conditionalFormatting>
  <conditionalFormatting sqref="K1729">
    <cfRule type="cellIs" dxfId="868" priority="936" operator="equal">
      <formula>"SAIDA"</formula>
    </cfRule>
    <cfRule type="cellIs" dxfId="867" priority="937" operator="equal">
      <formula>"ENTRADA"</formula>
    </cfRule>
  </conditionalFormatting>
  <conditionalFormatting sqref="K1728">
    <cfRule type="cellIs" dxfId="866" priority="934" operator="equal">
      <formula>"SAIDA"</formula>
    </cfRule>
    <cfRule type="cellIs" dxfId="865" priority="935" operator="equal">
      <formula>"ENTRADA"</formula>
    </cfRule>
  </conditionalFormatting>
  <conditionalFormatting sqref="K1727">
    <cfRule type="cellIs" dxfId="864" priority="932" operator="equal">
      <formula>"SAIDA"</formula>
    </cfRule>
    <cfRule type="cellIs" dxfId="863" priority="933" operator="equal">
      <formula>"ENTRADA"</formula>
    </cfRule>
  </conditionalFormatting>
  <conditionalFormatting sqref="K1723">
    <cfRule type="cellIs" dxfId="862" priority="930" operator="equal">
      <formula>"SAIDA"</formula>
    </cfRule>
    <cfRule type="cellIs" dxfId="861" priority="931" operator="equal">
      <formula>"ENTRADA"</formula>
    </cfRule>
  </conditionalFormatting>
  <conditionalFormatting sqref="K1722">
    <cfRule type="cellIs" dxfId="860" priority="928" operator="equal">
      <formula>"SAIDA"</formula>
    </cfRule>
    <cfRule type="cellIs" dxfId="859" priority="929" operator="equal">
      <formula>"ENTRADA"</formula>
    </cfRule>
  </conditionalFormatting>
  <conditionalFormatting sqref="K1721">
    <cfRule type="cellIs" dxfId="858" priority="926" operator="equal">
      <formula>"SAIDA"</formula>
    </cfRule>
    <cfRule type="cellIs" dxfId="857" priority="927" operator="equal">
      <formula>"ENTRADA"</formula>
    </cfRule>
  </conditionalFormatting>
  <conditionalFormatting sqref="K1700">
    <cfRule type="cellIs" dxfId="856" priority="924" operator="equal">
      <formula>"SAIDA"</formula>
    </cfRule>
    <cfRule type="cellIs" dxfId="855" priority="925" operator="equal">
      <formula>"ENTRADA"</formula>
    </cfRule>
  </conditionalFormatting>
  <conditionalFormatting sqref="K1701">
    <cfRule type="cellIs" dxfId="854" priority="922" operator="equal">
      <formula>"SAIDA"</formula>
    </cfRule>
    <cfRule type="cellIs" dxfId="853" priority="923" operator="equal">
      <formula>"ENTRADA"</formula>
    </cfRule>
  </conditionalFormatting>
  <conditionalFormatting sqref="K1696">
    <cfRule type="cellIs" dxfId="852" priority="920" operator="equal">
      <formula>"SAIDA"</formula>
    </cfRule>
    <cfRule type="cellIs" dxfId="851" priority="921" operator="equal">
      <formula>"ENTRADA"</formula>
    </cfRule>
  </conditionalFormatting>
  <conditionalFormatting sqref="K1695">
    <cfRule type="cellIs" dxfId="850" priority="918" operator="equal">
      <formula>"SAIDA"</formula>
    </cfRule>
    <cfRule type="cellIs" dxfId="849" priority="919" operator="equal">
      <formula>"ENTRADA"</formula>
    </cfRule>
  </conditionalFormatting>
  <conditionalFormatting sqref="K1694">
    <cfRule type="cellIs" dxfId="848" priority="916" operator="equal">
      <formula>"SAIDA"</formula>
    </cfRule>
    <cfRule type="cellIs" dxfId="847" priority="917" operator="equal">
      <formula>"ENTRADA"</formula>
    </cfRule>
  </conditionalFormatting>
  <conditionalFormatting sqref="K1692:K1693">
    <cfRule type="cellIs" dxfId="846" priority="914" operator="equal">
      <formula>"SAIDA"</formula>
    </cfRule>
    <cfRule type="cellIs" dxfId="845" priority="915" operator="equal">
      <formula>"ENTRADA"</formula>
    </cfRule>
  </conditionalFormatting>
  <conditionalFormatting sqref="K1675">
    <cfRule type="cellIs" dxfId="844" priority="912" operator="equal">
      <formula>"SAIDA"</formula>
    </cfRule>
    <cfRule type="cellIs" dxfId="843" priority="913" operator="equal">
      <formula>"ENTRADA"</formula>
    </cfRule>
  </conditionalFormatting>
  <conditionalFormatting sqref="K1673">
    <cfRule type="cellIs" dxfId="842" priority="910" operator="equal">
      <formula>"SAIDA"</formula>
    </cfRule>
    <cfRule type="cellIs" dxfId="841" priority="911" operator="equal">
      <formula>"ENTRADA"</formula>
    </cfRule>
  </conditionalFormatting>
  <conditionalFormatting sqref="K1672">
    <cfRule type="cellIs" dxfId="840" priority="908" operator="equal">
      <formula>"SAIDA"</formula>
    </cfRule>
    <cfRule type="cellIs" dxfId="839" priority="909" operator="equal">
      <formula>"ENTRADA"</formula>
    </cfRule>
  </conditionalFormatting>
  <conditionalFormatting sqref="K1671">
    <cfRule type="cellIs" dxfId="838" priority="906" operator="equal">
      <formula>"SAIDA"</formula>
    </cfRule>
    <cfRule type="cellIs" dxfId="837" priority="907" operator="equal">
      <formula>"ENTRADA"</formula>
    </cfRule>
  </conditionalFormatting>
  <conditionalFormatting sqref="K1670">
    <cfRule type="cellIs" dxfId="836" priority="904" operator="equal">
      <formula>"SAIDA"</formula>
    </cfRule>
    <cfRule type="cellIs" dxfId="835" priority="905" operator="equal">
      <formula>"ENTRADA"</formula>
    </cfRule>
  </conditionalFormatting>
  <conditionalFormatting sqref="K1669">
    <cfRule type="cellIs" dxfId="834" priority="902" operator="equal">
      <formula>"SAIDA"</formula>
    </cfRule>
    <cfRule type="cellIs" dxfId="833" priority="903" operator="equal">
      <formula>"ENTRADA"</formula>
    </cfRule>
  </conditionalFormatting>
  <conditionalFormatting sqref="K1668">
    <cfRule type="cellIs" dxfId="832" priority="900" operator="equal">
      <formula>"SAIDA"</formula>
    </cfRule>
    <cfRule type="cellIs" dxfId="831" priority="901" operator="equal">
      <formula>"ENTRADA"</formula>
    </cfRule>
  </conditionalFormatting>
  <conditionalFormatting sqref="K1665">
    <cfRule type="cellIs" dxfId="830" priority="898" operator="equal">
      <formula>"SAIDA"</formula>
    </cfRule>
    <cfRule type="cellIs" dxfId="829" priority="899" operator="equal">
      <formula>"ENTRADA"</formula>
    </cfRule>
  </conditionalFormatting>
  <conditionalFormatting sqref="K1666">
    <cfRule type="cellIs" dxfId="828" priority="896" operator="equal">
      <formula>"SAIDA"</formula>
    </cfRule>
    <cfRule type="cellIs" dxfId="827" priority="897" operator="equal">
      <formula>"ENTRADA"</formula>
    </cfRule>
  </conditionalFormatting>
  <conditionalFormatting sqref="K1664">
    <cfRule type="cellIs" dxfId="826" priority="894" operator="equal">
      <formula>"SAIDA"</formula>
    </cfRule>
    <cfRule type="cellIs" dxfId="825" priority="895" operator="equal">
      <formula>"ENTRADA"</formula>
    </cfRule>
  </conditionalFormatting>
  <conditionalFormatting sqref="K1663">
    <cfRule type="cellIs" dxfId="824" priority="892" operator="equal">
      <formula>"SAIDA"</formula>
    </cfRule>
    <cfRule type="cellIs" dxfId="823" priority="893" operator="equal">
      <formula>"ENTRADA"</formula>
    </cfRule>
  </conditionalFormatting>
  <conditionalFormatting sqref="K1662">
    <cfRule type="cellIs" dxfId="822" priority="890" operator="equal">
      <formula>"SAIDA"</formula>
    </cfRule>
    <cfRule type="cellIs" dxfId="821" priority="891" operator="equal">
      <formula>"ENTRADA"</formula>
    </cfRule>
  </conditionalFormatting>
  <conditionalFormatting sqref="K1644">
    <cfRule type="cellIs" dxfId="820" priority="886" operator="equal">
      <formula>"SAIDA"</formula>
    </cfRule>
    <cfRule type="cellIs" dxfId="819" priority="887" operator="equal">
      <formula>"ENTRADA"</formula>
    </cfRule>
  </conditionalFormatting>
  <conditionalFormatting sqref="K1641">
    <cfRule type="cellIs" dxfId="818" priority="884" operator="equal">
      <formula>"SAIDA"</formula>
    </cfRule>
    <cfRule type="cellIs" dxfId="817" priority="885" operator="equal">
      <formula>"ENTRADA"</formula>
    </cfRule>
  </conditionalFormatting>
  <conditionalFormatting sqref="K1640">
    <cfRule type="cellIs" dxfId="816" priority="882" operator="equal">
      <formula>"SAIDA"</formula>
    </cfRule>
    <cfRule type="cellIs" dxfId="815" priority="883" operator="equal">
      <formula>"ENTRADA"</formula>
    </cfRule>
  </conditionalFormatting>
  <conditionalFormatting sqref="K1638">
    <cfRule type="cellIs" dxfId="814" priority="880" operator="equal">
      <formula>"SAIDA"</formula>
    </cfRule>
    <cfRule type="cellIs" dxfId="813" priority="881" operator="equal">
      <formula>"ENTRADA"</formula>
    </cfRule>
  </conditionalFormatting>
  <conditionalFormatting sqref="K1637">
    <cfRule type="cellIs" dxfId="812" priority="878" operator="equal">
      <formula>"SAIDA"</formula>
    </cfRule>
    <cfRule type="cellIs" dxfId="811" priority="879" operator="equal">
      <formula>"ENTRADA"</formula>
    </cfRule>
  </conditionalFormatting>
  <conditionalFormatting sqref="K1636">
    <cfRule type="cellIs" dxfId="810" priority="876" operator="equal">
      <formula>"SAIDA"</formula>
    </cfRule>
    <cfRule type="cellIs" dxfId="809" priority="877" operator="equal">
      <formula>"ENTRADA"</formula>
    </cfRule>
  </conditionalFormatting>
  <conditionalFormatting sqref="K1634">
    <cfRule type="cellIs" dxfId="808" priority="874" operator="equal">
      <formula>"SAIDA"</formula>
    </cfRule>
    <cfRule type="cellIs" dxfId="807" priority="875" operator="equal">
      <formula>"ENTRADA"</formula>
    </cfRule>
  </conditionalFormatting>
  <conditionalFormatting sqref="K1632">
    <cfRule type="cellIs" dxfId="806" priority="872" operator="equal">
      <formula>"SAIDA"</formula>
    </cfRule>
    <cfRule type="cellIs" dxfId="805" priority="873" operator="equal">
      <formula>"ENTRADA"</formula>
    </cfRule>
  </conditionalFormatting>
  <conditionalFormatting sqref="K1631">
    <cfRule type="cellIs" dxfId="804" priority="870" operator="equal">
      <formula>"SAIDA"</formula>
    </cfRule>
    <cfRule type="cellIs" dxfId="803" priority="871" operator="equal">
      <formula>"ENTRADA"</formula>
    </cfRule>
  </conditionalFormatting>
  <conditionalFormatting sqref="K1630">
    <cfRule type="cellIs" dxfId="802" priority="868" operator="equal">
      <formula>"SAIDA"</formula>
    </cfRule>
    <cfRule type="cellIs" dxfId="801" priority="869" operator="equal">
      <formula>"ENTRADA"</formula>
    </cfRule>
  </conditionalFormatting>
  <conditionalFormatting sqref="K1629">
    <cfRule type="cellIs" dxfId="800" priority="866" operator="equal">
      <formula>"SAIDA"</formula>
    </cfRule>
    <cfRule type="cellIs" dxfId="799" priority="867" operator="equal">
      <formula>"ENTRADA"</formula>
    </cfRule>
  </conditionalFormatting>
  <conditionalFormatting sqref="K1626:K1628">
    <cfRule type="cellIs" dxfId="798" priority="864" operator="equal">
      <formula>"SAIDA"</formula>
    </cfRule>
    <cfRule type="cellIs" dxfId="797" priority="865" operator="equal">
      <formula>"ENTRADA"</formula>
    </cfRule>
  </conditionalFormatting>
  <conditionalFormatting sqref="K1625">
    <cfRule type="cellIs" dxfId="796" priority="862" operator="equal">
      <formula>"SAIDA"</formula>
    </cfRule>
    <cfRule type="cellIs" dxfId="795" priority="863" operator="equal">
      <formula>"ENTRADA"</formula>
    </cfRule>
  </conditionalFormatting>
  <conditionalFormatting sqref="K1624">
    <cfRule type="cellIs" dxfId="794" priority="860" operator="equal">
      <formula>"SAIDA"</formula>
    </cfRule>
    <cfRule type="cellIs" dxfId="793" priority="861" operator="equal">
      <formula>"ENTRADA"</formula>
    </cfRule>
  </conditionalFormatting>
  <conditionalFormatting sqref="K1624">
    <cfRule type="cellIs" dxfId="792" priority="858" operator="equal">
      <formula>"SAIDA"</formula>
    </cfRule>
    <cfRule type="cellIs" dxfId="791" priority="859" operator="equal">
      <formula>"ENTRADA"</formula>
    </cfRule>
  </conditionalFormatting>
  <conditionalFormatting sqref="K1590">
    <cfRule type="cellIs" dxfId="790" priority="856" operator="equal">
      <formula>"SAIDA"</formula>
    </cfRule>
    <cfRule type="cellIs" dxfId="789" priority="857" operator="equal">
      <formula>"ENTRADA"</formula>
    </cfRule>
  </conditionalFormatting>
  <conditionalFormatting sqref="K1587">
    <cfRule type="cellIs" dxfId="788" priority="854" operator="equal">
      <formula>"SAIDA"</formula>
    </cfRule>
    <cfRule type="cellIs" dxfId="787" priority="855" operator="equal">
      <formula>"ENTRADA"</formula>
    </cfRule>
  </conditionalFormatting>
  <conditionalFormatting sqref="K1584">
    <cfRule type="cellIs" dxfId="786" priority="852" operator="equal">
      <formula>"SAIDA"</formula>
    </cfRule>
    <cfRule type="cellIs" dxfId="785" priority="853" operator="equal">
      <formula>"ENTRADA"</formula>
    </cfRule>
  </conditionalFormatting>
  <conditionalFormatting sqref="K1583">
    <cfRule type="cellIs" dxfId="784" priority="850" operator="equal">
      <formula>"SAIDA"</formula>
    </cfRule>
    <cfRule type="cellIs" dxfId="783" priority="851" operator="equal">
      <formula>"ENTRADA"</formula>
    </cfRule>
  </conditionalFormatting>
  <conditionalFormatting sqref="K1582">
    <cfRule type="cellIs" dxfId="782" priority="848" operator="equal">
      <formula>"SAIDA"</formula>
    </cfRule>
    <cfRule type="cellIs" dxfId="781" priority="849" operator="equal">
      <formula>"ENTRADA"</formula>
    </cfRule>
  </conditionalFormatting>
  <conditionalFormatting sqref="K1581">
    <cfRule type="cellIs" dxfId="780" priority="846" operator="equal">
      <formula>"SAIDA"</formula>
    </cfRule>
    <cfRule type="cellIs" dxfId="779" priority="847" operator="equal">
      <formula>"ENTRADA"</formula>
    </cfRule>
  </conditionalFormatting>
  <conditionalFormatting sqref="K1579">
    <cfRule type="cellIs" dxfId="778" priority="844" operator="equal">
      <formula>"SAIDA"</formula>
    </cfRule>
    <cfRule type="cellIs" dxfId="777" priority="845" operator="equal">
      <formula>"ENTRADA"</formula>
    </cfRule>
  </conditionalFormatting>
  <conditionalFormatting sqref="K1580">
    <cfRule type="cellIs" dxfId="776" priority="842" operator="equal">
      <formula>"SAIDA"</formula>
    </cfRule>
    <cfRule type="cellIs" dxfId="775" priority="843" operator="equal">
      <formula>"ENTRADA"</formula>
    </cfRule>
  </conditionalFormatting>
  <conditionalFormatting sqref="K1578">
    <cfRule type="cellIs" dxfId="774" priority="840" operator="equal">
      <formula>"SAIDA"</formula>
    </cfRule>
    <cfRule type="cellIs" dxfId="773" priority="841" operator="equal">
      <formula>"ENTRADA"</formula>
    </cfRule>
  </conditionalFormatting>
  <conditionalFormatting sqref="K1577">
    <cfRule type="cellIs" dxfId="772" priority="838" operator="equal">
      <formula>"SAIDA"</formula>
    </cfRule>
    <cfRule type="cellIs" dxfId="771" priority="839" operator="equal">
      <formula>"ENTRADA"</formula>
    </cfRule>
  </conditionalFormatting>
  <conditionalFormatting sqref="K1576">
    <cfRule type="cellIs" dxfId="770" priority="836" operator="equal">
      <formula>"SAIDA"</formula>
    </cfRule>
    <cfRule type="cellIs" dxfId="769" priority="837" operator="equal">
      <formula>"ENTRADA"</formula>
    </cfRule>
  </conditionalFormatting>
  <conditionalFormatting sqref="K1567">
    <cfRule type="cellIs" dxfId="768" priority="832" operator="equal">
      <formula>"SAIDA"</formula>
    </cfRule>
    <cfRule type="cellIs" dxfId="767" priority="833" operator="equal">
      <formula>"ENTRADA"</formula>
    </cfRule>
  </conditionalFormatting>
  <conditionalFormatting sqref="K1517">
    <cfRule type="cellIs" dxfId="766" priority="828" operator="equal">
      <formula>"SAIDA"</formula>
    </cfRule>
    <cfRule type="cellIs" dxfId="765" priority="829" operator="equal">
      <formula>"ENTRADA"</formula>
    </cfRule>
  </conditionalFormatting>
  <conditionalFormatting sqref="K1512:K1513">
    <cfRule type="cellIs" dxfId="764" priority="822" operator="equal">
      <formula>"SAIDA"</formula>
    </cfRule>
    <cfRule type="cellIs" dxfId="763" priority="823" operator="equal">
      <formula>"ENTRADA"</formula>
    </cfRule>
  </conditionalFormatting>
  <conditionalFormatting sqref="K1511">
    <cfRule type="cellIs" dxfId="762" priority="820" operator="equal">
      <formula>"SAIDA"</formula>
    </cfRule>
    <cfRule type="cellIs" dxfId="761" priority="821" operator="equal">
      <formula>"ENTRADA"</formula>
    </cfRule>
  </conditionalFormatting>
  <conditionalFormatting sqref="K1516">
    <cfRule type="cellIs" dxfId="760" priority="818" operator="equal">
      <formula>"SAIDA"</formula>
    </cfRule>
    <cfRule type="cellIs" dxfId="759" priority="819" operator="equal">
      <formula>"ENTRADA"</formula>
    </cfRule>
  </conditionalFormatting>
  <conditionalFormatting sqref="K1508">
    <cfRule type="cellIs" dxfId="758" priority="816" operator="equal">
      <formula>"SAIDA"</formula>
    </cfRule>
    <cfRule type="cellIs" dxfId="757" priority="817" operator="equal">
      <formula>"ENTRADA"</formula>
    </cfRule>
  </conditionalFormatting>
  <conditionalFormatting sqref="K1503">
    <cfRule type="cellIs" dxfId="756" priority="814" operator="equal">
      <formula>"SAIDA"</formula>
    </cfRule>
    <cfRule type="cellIs" dxfId="755" priority="815" operator="equal">
      <formula>"ENTRADA"</formula>
    </cfRule>
  </conditionalFormatting>
  <conditionalFormatting sqref="K1502">
    <cfRule type="cellIs" dxfId="754" priority="812" operator="equal">
      <formula>"SAIDA"</formula>
    </cfRule>
    <cfRule type="cellIs" dxfId="753" priority="813" operator="equal">
      <formula>"ENTRADA"</formula>
    </cfRule>
  </conditionalFormatting>
  <conditionalFormatting sqref="K1501">
    <cfRule type="cellIs" dxfId="752" priority="810" operator="equal">
      <formula>"SAIDA"</formula>
    </cfRule>
    <cfRule type="cellIs" dxfId="751" priority="811" operator="equal">
      <formula>"ENTRADA"</formula>
    </cfRule>
  </conditionalFormatting>
  <conditionalFormatting sqref="K1500">
    <cfRule type="cellIs" dxfId="750" priority="808" operator="equal">
      <formula>"SAIDA"</formula>
    </cfRule>
    <cfRule type="cellIs" dxfId="749" priority="809" operator="equal">
      <formula>"ENTRADA"</formula>
    </cfRule>
  </conditionalFormatting>
  <conditionalFormatting sqref="K1476">
    <cfRule type="cellIs" dxfId="748" priority="806" operator="equal">
      <formula>"SAIDA"</formula>
    </cfRule>
    <cfRule type="cellIs" dxfId="747" priority="807" operator="equal">
      <formula>"ENTRADA"</formula>
    </cfRule>
  </conditionalFormatting>
  <conditionalFormatting sqref="K1474">
    <cfRule type="cellIs" dxfId="746" priority="804" operator="equal">
      <formula>"SAIDA"</formula>
    </cfRule>
    <cfRule type="cellIs" dxfId="745" priority="805" operator="equal">
      <formula>"ENTRADA"</formula>
    </cfRule>
  </conditionalFormatting>
  <conditionalFormatting sqref="K1472">
    <cfRule type="cellIs" dxfId="744" priority="800" operator="equal">
      <formula>"SAIDA"</formula>
    </cfRule>
    <cfRule type="cellIs" dxfId="743" priority="801" operator="equal">
      <formula>"ENTRADA"</formula>
    </cfRule>
  </conditionalFormatting>
  <conditionalFormatting sqref="K1473">
    <cfRule type="cellIs" dxfId="742" priority="798" operator="equal">
      <formula>"SAIDA"</formula>
    </cfRule>
    <cfRule type="cellIs" dxfId="741" priority="799" operator="equal">
      <formula>"ENTRADA"</formula>
    </cfRule>
  </conditionalFormatting>
  <conditionalFormatting sqref="K1470">
    <cfRule type="cellIs" dxfId="740" priority="796" operator="equal">
      <formula>"SAIDA"</formula>
    </cfRule>
    <cfRule type="cellIs" dxfId="739" priority="797" operator="equal">
      <formula>"ENTRADA"</formula>
    </cfRule>
  </conditionalFormatting>
  <conditionalFormatting sqref="K1469">
    <cfRule type="cellIs" dxfId="738" priority="794" operator="equal">
      <formula>"SAIDA"</formula>
    </cfRule>
    <cfRule type="cellIs" dxfId="737" priority="795" operator="equal">
      <formula>"ENTRADA"</formula>
    </cfRule>
  </conditionalFormatting>
  <conditionalFormatting sqref="K1467">
    <cfRule type="cellIs" dxfId="736" priority="792" operator="equal">
      <formula>"SAIDA"</formula>
    </cfRule>
    <cfRule type="cellIs" dxfId="735" priority="793" operator="equal">
      <formula>"ENTRADA"</formula>
    </cfRule>
  </conditionalFormatting>
  <conditionalFormatting sqref="K1466">
    <cfRule type="cellIs" dxfId="734" priority="790" operator="equal">
      <formula>"SAIDA"</formula>
    </cfRule>
    <cfRule type="cellIs" dxfId="733" priority="791" operator="equal">
      <formula>"ENTRADA"</formula>
    </cfRule>
  </conditionalFormatting>
  <conditionalFormatting sqref="K1465">
    <cfRule type="cellIs" dxfId="732" priority="788" operator="equal">
      <formula>"SAIDA"</formula>
    </cfRule>
    <cfRule type="cellIs" dxfId="731" priority="789" operator="equal">
      <formula>"ENTRADA"</formula>
    </cfRule>
  </conditionalFormatting>
  <conditionalFormatting sqref="K1464">
    <cfRule type="cellIs" dxfId="730" priority="786" operator="equal">
      <formula>"SAIDA"</formula>
    </cfRule>
    <cfRule type="cellIs" dxfId="729" priority="787" operator="equal">
      <formula>"ENTRADA"</formula>
    </cfRule>
  </conditionalFormatting>
  <conditionalFormatting sqref="K1461">
    <cfRule type="cellIs" dxfId="728" priority="784" operator="equal">
      <formula>"SAIDA"</formula>
    </cfRule>
    <cfRule type="cellIs" dxfId="727" priority="785" operator="equal">
      <formula>"ENTRADA"</formula>
    </cfRule>
  </conditionalFormatting>
  <conditionalFormatting sqref="K1460">
    <cfRule type="cellIs" dxfId="726" priority="780" operator="equal">
      <formula>"SAIDA"</formula>
    </cfRule>
    <cfRule type="cellIs" dxfId="725" priority="781" operator="equal">
      <formula>"ENTRADA"</formula>
    </cfRule>
  </conditionalFormatting>
  <conditionalFormatting sqref="K1459">
    <cfRule type="cellIs" dxfId="724" priority="778" operator="equal">
      <formula>"SAIDA"</formula>
    </cfRule>
    <cfRule type="cellIs" dxfId="723" priority="779" operator="equal">
      <formula>"ENTRADA"</formula>
    </cfRule>
  </conditionalFormatting>
  <conditionalFormatting sqref="K1457">
    <cfRule type="cellIs" dxfId="722" priority="774" operator="equal">
      <formula>"SAIDA"</formula>
    </cfRule>
    <cfRule type="cellIs" dxfId="721" priority="775" operator="equal">
      <formula>"ENTRADA"</formula>
    </cfRule>
  </conditionalFormatting>
  <conditionalFormatting sqref="K1436">
    <cfRule type="cellIs" dxfId="720" priority="772" operator="equal">
      <formula>"SAIDA"</formula>
    </cfRule>
    <cfRule type="cellIs" dxfId="719" priority="773" operator="equal">
      <formula>"ENTRADA"</formula>
    </cfRule>
  </conditionalFormatting>
  <conditionalFormatting sqref="K1434">
    <cfRule type="cellIs" dxfId="718" priority="770" operator="equal">
      <formula>"SAIDA"</formula>
    </cfRule>
    <cfRule type="cellIs" dxfId="717" priority="771" operator="equal">
      <formula>"ENTRADA"</formula>
    </cfRule>
  </conditionalFormatting>
  <conditionalFormatting sqref="K1429">
    <cfRule type="cellIs" dxfId="716" priority="768" operator="equal">
      <formula>"SAIDA"</formula>
    </cfRule>
    <cfRule type="cellIs" dxfId="715" priority="769" operator="equal">
      <formula>"ENTRADA"</formula>
    </cfRule>
  </conditionalFormatting>
  <conditionalFormatting sqref="K1428">
    <cfRule type="cellIs" dxfId="714" priority="766" operator="equal">
      <formula>"SAIDA"</formula>
    </cfRule>
    <cfRule type="cellIs" dxfId="713" priority="767" operator="equal">
      <formula>"ENTRADA"</formula>
    </cfRule>
  </conditionalFormatting>
  <conditionalFormatting sqref="K1427">
    <cfRule type="cellIs" dxfId="712" priority="764" operator="equal">
      <formula>"SAIDA"</formula>
    </cfRule>
    <cfRule type="cellIs" dxfId="711" priority="765" operator="equal">
      <formula>"ENTRADA"</formula>
    </cfRule>
  </conditionalFormatting>
  <conditionalFormatting sqref="K1426">
    <cfRule type="cellIs" dxfId="710" priority="762" operator="equal">
      <formula>"SAIDA"</formula>
    </cfRule>
    <cfRule type="cellIs" dxfId="709" priority="763" operator="equal">
      <formula>"ENTRADA"</formula>
    </cfRule>
  </conditionalFormatting>
  <conditionalFormatting sqref="K1423">
    <cfRule type="cellIs" dxfId="708" priority="760" operator="equal">
      <formula>"SAIDA"</formula>
    </cfRule>
    <cfRule type="cellIs" dxfId="707" priority="761" operator="equal">
      <formula>"ENTRADA"</formula>
    </cfRule>
  </conditionalFormatting>
  <conditionalFormatting sqref="K1422">
    <cfRule type="cellIs" dxfId="706" priority="758" operator="equal">
      <formula>"SAIDA"</formula>
    </cfRule>
    <cfRule type="cellIs" dxfId="705" priority="759" operator="equal">
      <formula>"ENTRADA"</formula>
    </cfRule>
  </conditionalFormatting>
  <conditionalFormatting sqref="K1421">
    <cfRule type="cellIs" dxfId="704" priority="756" operator="equal">
      <formula>"SAIDA"</formula>
    </cfRule>
    <cfRule type="cellIs" dxfId="703" priority="757" operator="equal">
      <formula>"ENTRADA"</formula>
    </cfRule>
  </conditionalFormatting>
  <conditionalFormatting sqref="K1411">
    <cfRule type="cellIs" dxfId="702" priority="754" operator="equal">
      <formula>"SAIDA"</formula>
    </cfRule>
    <cfRule type="cellIs" dxfId="701" priority="755" operator="equal">
      <formula>"ENTRADA"</formula>
    </cfRule>
  </conditionalFormatting>
  <conditionalFormatting sqref="K1410">
    <cfRule type="cellIs" dxfId="700" priority="752" operator="equal">
      <formula>"SAIDA"</formula>
    </cfRule>
    <cfRule type="cellIs" dxfId="699" priority="753" operator="equal">
      <formula>"ENTRADA"</formula>
    </cfRule>
  </conditionalFormatting>
  <conditionalFormatting sqref="K1409">
    <cfRule type="cellIs" dxfId="698" priority="750" operator="equal">
      <formula>"SAIDA"</formula>
    </cfRule>
    <cfRule type="cellIs" dxfId="697" priority="751" operator="equal">
      <formula>"ENTRADA"</formula>
    </cfRule>
  </conditionalFormatting>
  <conditionalFormatting sqref="K1401">
    <cfRule type="cellIs" dxfId="696" priority="746" operator="equal">
      <formula>"SAIDA"</formula>
    </cfRule>
    <cfRule type="cellIs" dxfId="695" priority="747" operator="equal">
      <formula>"ENTRADA"</formula>
    </cfRule>
  </conditionalFormatting>
  <conditionalFormatting sqref="K1406">
    <cfRule type="cellIs" dxfId="694" priority="744" operator="equal">
      <formula>"SAIDA"</formula>
    </cfRule>
    <cfRule type="cellIs" dxfId="693" priority="745" operator="equal">
      <formula>"ENTRADA"</formula>
    </cfRule>
  </conditionalFormatting>
  <conditionalFormatting sqref="K1396">
    <cfRule type="cellIs" dxfId="692" priority="742" operator="equal">
      <formula>"SAIDA"</formula>
    </cfRule>
    <cfRule type="cellIs" dxfId="691" priority="743" operator="equal">
      <formula>"ENTRADA"</formula>
    </cfRule>
  </conditionalFormatting>
  <conditionalFormatting sqref="K1399">
    <cfRule type="cellIs" dxfId="690" priority="740" operator="equal">
      <formula>"SAIDA"</formula>
    </cfRule>
    <cfRule type="cellIs" dxfId="689" priority="741" operator="equal">
      <formula>"ENTRADA"</formula>
    </cfRule>
  </conditionalFormatting>
  <conditionalFormatting sqref="K1392">
    <cfRule type="cellIs" dxfId="688" priority="738" operator="equal">
      <formula>"SAIDA"</formula>
    </cfRule>
    <cfRule type="cellIs" dxfId="687" priority="739" operator="equal">
      <formula>"ENTRADA"</formula>
    </cfRule>
  </conditionalFormatting>
  <conditionalFormatting sqref="K1393">
    <cfRule type="cellIs" dxfId="686" priority="736" operator="equal">
      <formula>"SAIDA"</formula>
    </cfRule>
    <cfRule type="cellIs" dxfId="685" priority="737" operator="equal">
      <formula>"ENTRADA"</formula>
    </cfRule>
  </conditionalFormatting>
  <conditionalFormatting sqref="K1391">
    <cfRule type="cellIs" dxfId="684" priority="734" operator="equal">
      <formula>"SAIDA"</formula>
    </cfRule>
    <cfRule type="cellIs" dxfId="683" priority="735" operator="equal">
      <formula>"ENTRADA"</formula>
    </cfRule>
  </conditionalFormatting>
  <conditionalFormatting sqref="K1390">
    <cfRule type="cellIs" dxfId="682" priority="732" operator="equal">
      <formula>"SAIDA"</formula>
    </cfRule>
    <cfRule type="cellIs" dxfId="681" priority="733" operator="equal">
      <formula>"ENTRADA"</formula>
    </cfRule>
  </conditionalFormatting>
  <conditionalFormatting sqref="K1389">
    <cfRule type="cellIs" dxfId="680" priority="730" operator="equal">
      <formula>"SAIDA"</formula>
    </cfRule>
    <cfRule type="cellIs" dxfId="679" priority="731" operator="equal">
      <formula>"ENTRADA"</formula>
    </cfRule>
  </conditionalFormatting>
  <conditionalFormatting sqref="K1387">
    <cfRule type="cellIs" dxfId="678" priority="728" operator="equal">
      <formula>"SAIDA"</formula>
    </cfRule>
    <cfRule type="cellIs" dxfId="677" priority="729" operator="equal">
      <formula>"ENTRADA"</formula>
    </cfRule>
  </conditionalFormatting>
  <conditionalFormatting sqref="K1388">
    <cfRule type="cellIs" dxfId="676" priority="726" operator="equal">
      <formula>"SAIDA"</formula>
    </cfRule>
    <cfRule type="cellIs" dxfId="675" priority="727" operator="equal">
      <formula>"ENTRADA"</formula>
    </cfRule>
  </conditionalFormatting>
  <conditionalFormatting sqref="K1386">
    <cfRule type="cellIs" dxfId="674" priority="724" operator="equal">
      <formula>"SAIDA"</formula>
    </cfRule>
    <cfRule type="cellIs" dxfId="673" priority="725" operator="equal">
      <formula>"ENTRADA"</formula>
    </cfRule>
  </conditionalFormatting>
  <conditionalFormatting sqref="K1385">
    <cfRule type="cellIs" dxfId="672" priority="722" operator="equal">
      <formula>"SAIDA"</formula>
    </cfRule>
    <cfRule type="cellIs" dxfId="671" priority="723" operator="equal">
      <formula>"ENTRADA"</formula>
    </cfRule>
  </conditionalFormatting>
  <conditionalFormatting sqref="K1384">
    <cfRule type="cellIs" dxfId="670" priority="720" operator="equal">
      <formula>"SAIDA"</formula>
    </cfRule>
    <cfRule type="cellIs" dxfId="669" priority="721" operator="equal">
      <formula>"ENTRADA"</formula>
    </cfRule>
  </conditionalFormatting>
  <conditionalFormatting sqref="K1381:K1383">
    <cfRule type="cellIs" dxfId="668" priority="718" operator="equal">
      <formula>"SAIDA"</formula>
    </cfRule>
    <cfRule type="cellIs" dxfId="667" priority="719" operator="equal">
      <formula>"ENTRADA"</formula>
    </cfRule>
  </conditionalFormatting>
  <conditionalFormatting sqref="K1361">
    <cfRule type="cellIs" dxfId="666" priority="716" operator="equal">
      <formula>"SAIDA"</formula>
    </cfRule>
    <cfRule type="cellIs" dxfId="665" priority="717" operator="equal">
      <formula>"ENTRADA"</formula>
    </cfRule>
  </conditionalFormatting>
  <conditionalFormatting sqref="K1357">
    <cfRule type="cellIs" dxfId="664" priority="714" operator="equal">
      <formula>"SAIDA"</formula>
    </cfRule>
    <cfRule type="cellIs" dxfId="663" priority="715" operator="equal">
      <formula>"ENTRADA"</formula>
    </cfRule>
  </conditionalFormatting>
  <conditionalFormatting sqref="K1356">
    <cfRule type="cellIs" dxfId="662" priority="712" operator="equal">
      <formula>"SAIDA"</formula>
    </cfRule>
    <cfRule type="cellIs" dxfId="661" priority="713" operator="equal">
      <formula>"ENTRADA"</formula>
    </cfRule>
  </conditionalFormatting>
  <conditionalFormatting sqref="K1355">
    <cfRule type="cellIs" dxfId="660" priority="710" operator="equal">
      <formula>"SAIDA"</formula>
    </cfRule>
    <cfRule type="cellIs" dxfId="659" priority="711" operator="equal">
      <formula>"ENTRADA"</formula>
    </cfRule>
  </conditionalFormatting>
  <conditionalFormatting sqref="K1354">
    <cfRule type="cellIs" dxfId="658" priority="708" operator="equal">
      <formula>"SAIDA"</formula>
    </cfRule>
    <cfRule type="cellIs" dxfId="657" priority="709" operator="equal">
      <formula>"ENTRADA"</formula>
    </cfRule>
  </conditionalFormatting>
  <conditionalFormatting sqref="K1353">
    <cfRule type="cellIs" dxfId="656" priority="706" operator="equal">
      <formula>"SAIDA"</formula>
    </cfRule>
    <cfRule type="cellIs" dxfId="655" priority="707" operator="equal">
      <formula>"ENTRADA"</formula>
    </cfRule>
  </conditionalFormatting>
  <conditionalFormatting sqref="K1350">
    <cfRule type="cellIs" dxfId="654" priority="704" operator="equal">
      <formula>"SAIDA"</formula>
    </cfRule>
    <cfRule type="cellIs" dxfId="653" priority="705" operator="equal">
      <formula>"ENTRADA"</formula>
    </cfRule>
  </conditionalFormatting>
  <conditionalFormatting sqref="K1345">
    <cfRule type="cellIs" dxfId="652" priority="702" operator="equal">
      <formula>"SAIDA"</formula>
    </cfRule>
    <cfRule type="cellIs" dxfId="651" priority="703" operator="equal">
      <formula>"ENTRADA"</formula>
    </cfRule>
  </conditionalFormatting>
  <conditionalFormatting sqref="K1344">
    <cfRule type="cellIs" dxfId="650" priority="700" operator="equal">
      <formula>"SAIDA"</formula>
    </cfRule>
    <cfRule type="cellIs" dxfId="649" priority="701" operator="equal">
      <formula>"ENTRADA"</formula>
    </cfRule>
  </conditionalFormatting>
  <conditionalFormatting sqref="K1343">
    <cfRule type="cellIs" dxfId="648" priority="698" operator="equal">
      <formula>"SAIDA"</formula>
    </cfRule>
    <cfRule type="cellIs" dxfId="647" priority="699" operator="equal">
      <formula>"ENTRADA"</formula>
    </cfRule>
  </conditionalFormatting>
  <conditionalFormatting sqref="K1342">
    <cfRule type="cellIs" dxfId="646" priority="696" operator="equal">
      <formula>"SAIDA"</formula>
    </cfRule>
    <cfRule type="cellIs" dxfId="645" priority="697" operator="equal">
      <formula>"ENTRADA"</formula>
    </cfRule>
  </conditionalFormatting>
  <conditionalFormatting sqref="K1341">
    <cfRule type="cellIs" dxfId="644" priority="694" operator="equal">
      <formula>"SAIDA"</formula>
    </cfRule>
    <cfRule type="cellIs" dxfId="643" priority="695" operator="equal">
      <formula>"ENTRADA"</formula>
    </cfRule>
  </conditionalFormatting>
  <conditionalFormatting sqref="K1340">
    <cfRule type="cellIs" dxfId="642" priority="692" operator="equal">
      <formula>"SAIDA"</formula>
    </cfRule>
    <cfRule type="cellIs" dxfId="641" priority="693" operator="equal">
      <formula>"ENTRADA"</formula>
    </cfRule>
  </conditionalFormatting>
  <conditionalFormatting sqref="K1339">
    <cfRule type="cellIs" dxfId="640" priority="690" operator="equal">
      <formula>"SAIDA"</formula>
    </cfRule>
    <cfRule type="cellIs" dxfId="639" priority="691" operator="equal">
      <formula>"ENTRADA"</formula>
    </cfRule>
  </conditionalFormatting>
  <conditionalFormatting sqref="K1338">
    <cfRule type="cellIs" dxfId="638" priority="688" operator="equal">
      <formula>"SAIDA"</formula>
    </cfRule>
    <cfRule type="cellIs" dxfId="637" priority="689" operator="equal">
      <formula>"ENTRADA"</formula>
    </cfRule>
  </conditionalFormatting>
  <conditionalFormatting sqref="K1336">
    <cfRule type="cellIs" dxfId="636" priority="686" operator="equal">
      <formula>"SAIDA"</formula>
    </cfRule>
    <cfRule type="cellIs" dxfId="635" priority="687" operator="equal">
      <formula>"ENTRADA"</formula>
    </cfRule>
  </conditionalFormatting>
  <conditionalFormatting sqref="K1300">
    <cfRule type="cellIs" dxfId="634" priority="684" operator="equal">
      <formula>"SAIDA"</formula>
    </cfRule>
    <cfRule type="cellIs" dxfId="633" priority="685" operator="equal">
      <formula>"ENTRADA"</formula>
    </cfRule>
  </conditionalFormatting>
  <conditionalFormatting sqref="K1299">
    <cfRule type="cellIs" dxfId="632" priority="682" operator="equal">
      <formula>"SAIDA"</formula>
    </cfRule>
    <cfRule type="cellIs" dxfId="631" priority="683" operator="equal">
      <formula>"ENTRADA"</formula>
    </cfRule>
  </conditionalFormatting>
  <conditionalFormatting sqref="K1298">
    <cfRule type="cellIs" dxfId="630" priority="680" operator="equal">
      <formula>"SAIDA"</formula>
    </cfRule>
    <cfRule type="cellIs" dxfId="629" priority="681" operator="equal">
      <formula>"ENTRADA"</formula>
    </cfRule>
  </conditionalFormatting>
  <conditionalFormatting sqref="K1296">
    <cfRule type="cellIs" dxfId="628" priority="678" operator="equal">
      <formula>"SAIDA"</formula>
    </cfRule>
    <cfRule type="cellIs" dxfId="627" priority="679" operator="equal">
      <formula>"ENTRADA"</formula>
    </cfRule>
  </conditionalFormatting>
  <conditionalFormatting sqref="K1295">
    <cfRule type="cellIs" dxfId="626" priority="676" operator="equal">
      <formula>"SAIDA"</formula>
    </cfRule>
    <cfRule type="cellIs" dxfId="625" priority="677" operator="equal">
      <formula>"ENTRADA"</formula>
    </cfRule>
  </conditionalFormatting>
  <conditionalFormatting sqref="K1292">
    <cfRule type="cellIs" dxfId="624" priority="674" operator="equal">
      <formula>"SAIDA"</formula>
    </cfRule>
    <cfRule type="cellIs" dxfId="623" priority="675" operator="equal">
      <formula>"ENTRADA"</formula>
    </cfRule>
  </conditionalFormatting>
  <conditionalFormatting sqref="K1291">
    <cfRule type="cellIs" dxfId="622" priority="672" operator="equal">
      <formula>"SAIDA"</formula>
    </cfRule>
    <cfRule type="cellIs" dxfId="621" priority="673" operator="equal">
      <formula>"ENTRADA"</formula>
    </cfRule>
  </conditionalFormatting>
  <conditionalFormatting sqref="K1293">
    <cfRule type="cellIs" dxfId="620" priority="670" operator="equal">
      <formula>"SAIDA"</formula>
    </cfRule>
    <cfRule type="cellIs" dxfId="619" priority="671" operator="equal">
      <formula>"ENTRADA"</formula>
    </cfRule>
  </conditionalFormatting>
  <conditionalFormatting sqref="K1288">
    <cfRule type="cellIs" dxfId="618" priority="668" operator="equal">
      <formula>"SAIDA"</formula>
    </cfRule>
    <cfRule type="cellIs" dxfId="617" priority="669" operator="equal">
      <formula>"ENTRADA"</formula>
    </cfRule>
  </conditionalFormatting>
  <conditionalFormatting sqref="K1287">
    <cfRule type="cellIs" dxfId="616" priority="666" operator="equal">
      <formula>"SAIDA"</formula>
    </cfRule>
    <cfRule type="cellIs" dxfId="615" priority="667" operator="equal">
      <formula>"ENTRADA"</formula>
    </cfRule>
  </conditionalFormatting>
  <conditionalFormatting sqref="K1286">
    <cfRule type="cellIs" dxfId="614" priority="664" operator="equal">
      <formula>"SAIDA"</formula>
    </cfRule>
    <cfRule type="cellIs" dxfId="613" priority="665" operator="equal">
      <formula>"ENTRADA"</formula>
    </cfRule>
  </conditionalFormatting>
  <conditionalFormatting sqref="K1285">
    <cfRule type="cellIs" dxfId="612" priority="662" operator="equal">
      <formula>"SAIDA"</formula>
    </cfRule>
    <cfRule type="cellIs" dxfId="611" priority="663" operator="equal">
      <formula>"ENTRADA"</formula>
    </cfRule>
  </conditionalFormatting>
  <conditionalFormatting sqref="K1283">
    <cfRule type="cellIs" dxfId="610" priority="660" operator="equal">
      <formula>"SAIDA"</formula>
    </cfRule>
    <cfRule type="cellIs" dxfId="609" priority="661" operator="equal">
      <formula>"ENTRADA"</formula>
    </cfRule>
  </conditionalFormatting>
  <conditionalFormatting sqref="K1282">
    <cfRule type="cellIs" dxfId="608" priority="658" operator="equal">
      <formula>"SAIDA"</formula>
    </cfRule>
    <cfRule type="cellIs" dxfId="607" priority="659" operator="equal">
      <formula>"ENTRADA"</formula>
    </cfRule>
  </conditionalFormatting>
  <conditionalFormatting sqref="K1281">
    <cfRule type="cellIs" dxfId="606" priority="656" operator="equal">
      <formula>"SAIDA"</formula>
    </cfRule>
    <cfRule type="cellIs" dxfId="605" priority="657" operator="equal">
      <formula>"ENTRADA"</formula>
    </cfRule>
  </conditionalFormatting>
  <conditionalFormatting sqref="K1280">
    <cfRule type="cellIs" dxfId="604" priority="654" operator="equal">
      <formula>"SAIDA"</formula>
    </cfRule>
    <cfRule type="cellIs" dxfId="603" priority="655" operator="equal">
      <formula>"ENTRADA"</formula>
    </cfRule>
  </conditionalFormatting>
  <conditionalFormatting sqref="K1253">
    <cfRule type="cellIs" dxfId="602" priority="652" operator="equal">
      <formula>"SAIDA"</formula>
    </cfRule>
    <cfRule type="cellIs" dxfId="601" priority="653" operator="equal">
      <formula>"ENTRADA"</formula>
    </cfRule>
  </conditionalFormatting>
  <conditionalFormatting sqref="K1251">
    <cfRule type="cellIs" dxfId="600" priority="650" operator="equal">
      <formula>"SAIDA"</formula>
    </cfRule>
    <cfRule type="cellIs" dxfId="599" priority="651" operator="equal">
      <formula>"ENTRADA"</formula>
    </cfRule>
  </conditionalFormatting>
  <conditionalFormatting sqref="K1250">
    <cfRule type="cellIs" dxfId="598" priority="648" operator="equal">
      <formula>"SAIDA"</formula>
    </cfRule>
    <cfRule type="cellIs" dxfId="597" priority="649" operator="equal">
      <formula>"ENTRADA"</formula>
    </cfRule>
  </conditionalFormatting>
  <conditionalFormatting sqref="K1249">
    <cfRule type="cellIs" dxfId="596" priority="646" operator="equal">
      <formula>"SAIDA"</formula>
    </cfRule>
    <cfRule type="cellIs" dxfId="595" priority="647" operator="equal">
      <formula>"ENTRADA"</formula>
    </cfRule>
  </conditionalFormatting>
  <conditionalFormatting sqref="K1248">
    <cfRule type="cellIs" dxfId="594" priority="644" operator="equal">
      <formula>"SAIDA"</formula>
    </cfRule>
    <cfRule type="cellIs" dxfId="593" priority="645" operator="equal">
      <formula>"ENTRADA"</formula>
    </cfRule>
  </conditionalFormatting>
  <conditionalFormatting sqref="K1245">
    <cfRule type="cellIs" dxfId="592" priority="642" operator="equal">
      <formula>"SAIDA"</formula>
    </cfRule>
    <cfRule type="cellIs" dxfId="591" priority="643" operator="equal">
      <formula>"ENTRADA"</formula>
    </cfRule>
  </conditionalFormatting>
  <conditionalFormatting sqref="K1243">
    <cfRule type="cellIs" dxfId="590" priority="640" operator="equal">
      <formula>"SAIDA"</formula>
    </cfRule>
    <cfRule type="cellIs" dxfId="589" priority="641" operator="equal">
      <formula>"ENTRADA"</formula>
    </cfRule>
  </conditionalFormatting>
  <conditionalFormatting sqref="K1240">
    <cfRule type="cellIs" dxfId="588" priority="636" operator="equal">
      <formula>"SAIDA"</formula>
    </cfRule>
    <cfRule type="cellIs" dxfId="587" priority="637" operator="equal">
      <formula>"ENTRADA"</formula>
    </cfRule>
  </conditionalFormatting>
  <conditionalFormatting sqref="K1236">
    <cfRule type="cellIs" dxfId="586" priority="624" operator="equal">
      <formula>"SAIDA"</formula>
    </cfRule>
    <cfRule type="cellIs" dxfId="585" priority="625" operator="equal">
      <formula>"ENTRADA"</formula>
    </cfRule>
  </conditionalFormatting>
  <conditionalFormatting sqref="K1239">
    <cfRule type="cellIs" dxfId="584" priority="626" operator="equal">
      <formula>"SAIDA"</formula>
    </cfRule>
    <cfRule type="cellIs" dxfId="583" priority="627" operator="equal">
      <formula>"ENTRADA"</formula>
    </cfRule>
  </conditionalFormatting>
  <conditionalFormatting sqref="K1237">
    <cfRule type="cellIs" dxfId="582" priority="630" operator="equal">
      <formula>"SAIDA"</formula>
    </cfRule>
    <cfRule type="cellIs" dxfId="581" priority="631" operator="equal">
      <formula>"ENTRADA"</formula>
    </cfRule>
  </conditionalFormatting>
  <conditionalFormatting sqref="K1238">
    <cfRule type="cellIs" dxfId="580" priority="628" operator="equal">
      <formula>"SAIDA"</formula>
    </cfRule>
    <cfRule type="cellIs" dxfId="579" priority="629" operator="equal">
      <formula>"ENTRADA"</formula>
    </cfRule>
  </conditionalFormatting>
  <conditionalFormatting sqref="K1233">
    <cfRule type="cellIs" dxfId="578" priority="622" operator="equal">
      <formula>"SAIDA"</formula>
    </cfRule>
    <cfRule type="cellIs" dxfId="577" priority="623" operator="equal">
      <formula>"ENTRADA"</formula>
    </cfRule>
  </conditionalFormatting>
  <conditionalFormatting sqref="K1234">
    <cfRule type="cellIs" dxfId="576" priority="620" operator="equal">
      <formula>"SAIDA"</formula>
    </cfRule>
    <cfRule type="cellIs" dxfId="575" priority="621" operator="equal">
      <formula>"ENTRADA"</formula>
    </cfRule>
  </conditionalFormatting>
  <conditionalFormatting sqref="K1235">
    <cfRule type="cellIs" dxfId="574" priority="618" operator="equal">
      <formula>"SAIDA"</formula>
    </cfRule>
    <cfRule type="cellIs" dxfId="573" priority="619" operator="equal">
      <formula>"ENTRADA"</formula>
    </cfRule>
  </conditionalFormatting>
  <conditionalFormatting sqref="K1209">
    <cfRule type="cellIs" dxfId="572" priority="616" operator="equal">
      <formula>"SAIDA"</formula>
    </cfRule>
    <cfRule type="cellIs" dxfId="571" priority="617" operator="equal">
      <formula>"ENTRADA"</formula>
    </cfRule>
  </conditionalFormatting>
  <conditionalFormatting sqref="K1207">
    <cfRule type="cellIs" dxfId="570" priority="614" operator="equal">
      <formula>"SAIDA"</formula>
    </cfRule>
    <cfRule type="cellIs" dxfId="569" priority="615" operator="equal">
      <formula>"ENTRADA"</formula>
    </cfRule>
  </conditionalFormatting>
  <conditionalFormatting sqref="K1206">
    <cfRule type="cellIs" dxfId="568" priority="612" operator="equal">
      <formula>"SAIDA"</formula>
    </cfRule>
    <cfRule type="cellIs" dxfId="567" priority="613" operator="equal">
      <formula>"ENTRADA"</formula>
    </cfRule>
  </conditionalFormatting>
  <conditionalFormatting sqref="K1204">
    <cfRule type="cellIs" dxfId="566" priority="610" operator="equal">
      <formula>"SAIDA"</formula>
    </cfRule>
    <cfRule type="cellIs" dxfId="565" priority="611" operator="equal">
      <formula>"ENTRADA"</formula>
    </cfRule>
  </conditionalFormatting>
  <conditionalFormatting sqref="K1202">
    <cfRule type="cellIs" dxfId="564" priority="608" operator="equal">
      <formula>"SAIDA"</formula>
    </cfRule>
    <cfRule type="cellIs" dxfId="563" priority="609" operator="equal">
      <formula>"ENTRADA"</formula>
    </cfRule>
  </conditionalFormatting>
  <conditionalFormatting sqref="K1201">
    <cfRule type="cellIs" dxfId="562" priority="606" operator="equal">
      <formula>"SAIDA"</formula>
    </cfRule>
    <cfRule type="cellIs" dxfId="561" priority="607" operator="equal">
      <formula>"ENTRADA"</formula>
    </cfRule>
  </conditionalFormatting>
  <conditionalFormatting sqref="K1200">
    <cfRule type="cellIs" dxfId="560" priority="604" operator="equal">
      <formula>"SAIDA"</formula>
    </cfRule>
    <cfRule type="cellIs" dxfId="559" priority="605" operator="equal">
      <formula>"ENTRADA"</formula>
    </cfRule>
  </conditionalFormatting>
  <conditionalFormatting sqref="K1198">
    <cfRule type="cellIs" dxfId="558" priority="602" operator="equal">
      <formula>"SAIDA"</formula>
    </cfRule>
    <cfRule type="cellIs" dxfId="557" priority="603" operator="equal">
      <formula>"ENTRADA"</formula>
    </cfRule>
  </conditionalFormatting>
  <conditionalFormatting sqref="K1197">
    <cfRule type="cellIs" dxfId="556" priority="600" operator="equal">
      <formula>"SAIDA"</formula>
    </cfRule>
    <cfRule type="cellIs" dxfId="555" priority="601" operator="equal">
      <formula>"ENTRADA"</formula>
    </cfRule>
  </conditionalFormatting>
  <conditionalFormatting sqref="K1196">
    <cfRule type="cellIs" dxfId="554" priority="596" operator="equal">
      <formula>"SAIDA"</formula>
    </cfRule>
    <cfRule type="cellIs" dxfId="553" priority="597" operator="equal">
      <formula>"ENTRADA"</formula>
    </cfRule>
  </conditionalFormatting>
  <conditionalFormatting sqref="K1194">
    <cfRule type="cellIs" dxfId="552" priority="592" operator="equal">
      <formula>"SAIDA"</formula>
    </cfRule>
    <cfRule type="cellIs" dxfId="551" priority="593" operator="equal">
      <formula>"ENTRADA"</formula>
    </cfRule>
  </conditionalFormatting>
  <conditionalFormatting sqref="K1193">
    <cfRule type="cellIs" dxfId="550" priority="590" operator="equal">
      <formula>"SAIDA"</formula>
    </cfRule>
    <cfRule type="cellIs" dxfId="549" priority="591" operator="equal">
      <formula>"ENTRADA"</formula>
    </cfRule>
  </conditionalFormatting>
  <conditionalFormatting sqref="K1192">
    <cfRule type="cellIs" dxfId="548" priority="588" operator="equal">
      <formula>"SAIDA"</formula>
    </cfRule>
    <cfRule type="cellIs" dxfId="547" priority="589" operator="equal">
      <formula>"ENTRADA"</formula>
    </cfRule>
  </conditionalFormatting>
  <conditionalFormatting sqref="K1191">
    <cfRule type="cellIs" dxfId="546" priority="586" operator="equal">
      <formula>"SAIDA"</formula>
    </cfRule>
    <cfRule type="cellIs" dxfId="545" priority="587" operator="equal">
      <formula>"ENTRADA"</formula>
    </cfRule>
  </conditionalFormatting>
  <conditionalFormatting sqref="K1190">
    <cfRule type="cellIs" dxfId="544" priority="584" operator="equal">
      <formula>"SAIDA"</formula>
    </cfRule>
    <cfRule type="cellIs" dxfId="543" priority="585" operator="equal">
      <formula>"ENTRADA"</formula>
    </cfRule>
  </conditionalFormatting>
  <conditionalFormatting sqref="K1189">
    <cfRule type="cellIs" dxfId="542" priority="582" operator="equal">
      <formula>"SAIDA"</formula>
    </cfRule>
    <cfRule type="cellIs" dxfId="541" priority="583" operator="equal">
      <formula>"ENTRADA"</formula>
    </cfRule>
  </conditionalFormatting>
  <conditionalFormatting sqref="K1174">
    <cfRule type="cellIs" dxfId="540" priority="580" operator="equal">
      <formula>"SAIDA"</formula>
    </cfRule>
    <cfRule type="cellIs" dxfId="539" priority="581" operator="equal">
      <formula>"ENTRADA"</formula>
    </cfRule>
  </conditionalFormatting>
  <conditionalFormatting sqref="K1173">
    <cfRule type="cellIs" dxfId="538" priority="578" operator="equal">
      <formula>"SAIDA"</formula>
    </cfRule>
    <cfRule type="cellIs" dxfId="537" priority="579" operator="equal">
      <formula>"ENTRADA"</formula>
    </cfRule>
  </conditionalFormatting>
  <conditionalFormatting sqref="K1162">
    <cfRule type="cellIs" dxfId="536" priority="576" operator="equal">
      <formula>"SAIDA"</formula>
    </cfRule>
    <cfRule type="cellIs" dxfId="535" priority="577" operator="equal">
      <formula>"ENTRADA"</formula>
    </cfRule>
  </conditionalFormatting>
  <conditionalFormatting sqref="K1159">
    <cfRule type="cellIs" dxfId="534" priority="574" operator="equal">
      <formula>"SAIDA"</formula>
    </cfRule>
    <cfRule type="cellIs" dxfId="533" priority="575" operator="equal">
      <formula>"ENTRADA"</formula>
    </cfRule>
  </conditionalFormatting>
  <conditionalFormatting sqref="K1157">
    <cfRule type="cellIs" dxfId="532" priority="572" operator="equal">
      <formula>"SAIDA"</formula>
    </cfRule>
    <cfRule type="cellIs" dxfId="531" priority="573" operator="equal">
      <formula>"ENTRADA"</formula>
    </cfRule>
  </conditionalFormatting>
  <conditionalFormatting sqref="K1151">
    <cfRule type="cellIs" dxfId="530" priority="562" operator="equal">
      <formula>"SAIDA"</formula>
    </cfRule>
    <cfRule type="cellIs" dxfId="529" priority="563" operator="equal">
      <formula>"ENTRADA"</formula>
    </cfRule>
  </conditionalFormatting>
  <conditionalFormatting sqref="K1152:K1155">
    <cfRule type="cellIs" dxfId="528" priority="560" operator="equal">
      <formula>"SAIDA"</formula>
    </cfRule>
    <cfRule type="cellIs" dxfId="527" priority="561" operator="equal">
      <formula>"ENTRADA"</formula>
    </cfRule>
  </conditionalFormatting>
  <conditionalFormatting sqref="K1115">
    <cfRule type="cellIs" dxfId="526" priority="554" operator="equal">
      <formula>"SAIDA"</formula>
    </cfRule>
    <cfRule type="cellIs" dxfId="525" priority="555" operator="equal">
      <formula>"ENTRADA"</formula>
    </cfRule>
  </conditionalFormatting>
  <conditionalFormatting sqref="K1114">
    <cfRule type="cellIs" dxfId="524" priority="552" operator="equal">
      <formula>"SAIDA"</formula>
    </cfRule>
    <cfRule type="cellIs" dxfId="523" priority="553" operator="equal">
      <formula>"ENTRADA"</formula>
    </cfRule>
  </conditionalFormatting>
  <conditionalFormatting sqref="K1111">
    <cfRule type="cellIs" dxfId="522" priority="550" operator="equal">
      <formula>"SAIDA"</formula>
    </cfRule>
    <cfRule type="cellIs" dxfId="521" priority="551" operator="equal">
      <formula>"ENTRADA"</formula>
    </cfRule>
  </conditionalFormatting>
  <conditionalFormatting sqref="K1108">
    <cfRule type="cellIs" dxfId="520" priority="548" operator="equal">
      <formula>"SAIDA"</formula>
    </cfRule>
    <cfRule type="cellIs" dxfId="519" priority="549" operator="equal">
      <formula>"ENTRADA"</formula>
    </cfRule>
  </conditionalFormatting>
  <conditionalFormatting sqref="K1106">
    <cfRule type="cellIs" dxfId="518" priority="546" operator="equal">
      <formula>"SAIDA"</formula>
    </cfRule>
    <cfRule type="cellIs" dxfId="517" priority="547" operator="equal">
      <formula>"ENTRADA"</formula>
    </cfRule>
  </conditionalFormatting>
  <conditionalFormatting sqref="K1104">
    <cfRule type="cellIs" dxfId="516" priority="544" operator="equal">
      <formula>"SAIDA"</formula>
    </cfRule>
    <cfRule type="cellIs" dxfId="515" priority="545" operator="equal">
      <formula>"ENTRADA"</formula>
    </cfRule>
  </conditionalFormatting>
  <conditionalFormatting sqref="K1102">
    <cfRule type="cellIs" dxfId="514" priority="541" operator="equal">
      <formula>"SAIDA"</formula>
    </cfRule>
    <cfRule type="cellIs" dxfId="513" priority="542" operator="equal">
      <formula>"ENTRADA"</formula>
    </cfRule>
  </conditionalFormatting>
  <conditionalFormatting sqref="K1101">
    <cfRule type="cellIs" dxfId="512" priority="539" operator="equal">
      <formula>"SAIDA"</formula>
    </cfRule>
    <cfRule type="cellIs" dxfId="511" priority="540" operator="equal">
      <formula>"ENTRADA"</formula>
    </cfRule>
  </conditionalFormatting>
  <conditionalFormatting sqref="K1097">
    <cfRule type="cellIs" dxfId="510" priority="537" operator="equal">
      <formula>"SAIDA"</formula>
    </cfRule>
    <cfRule type="cellIs" dxfId="509" priority="538" operator="equal">
      <formula>"ENTRADA"</formula>
    </cfRule>
  </conditionalFormatting>
  <conditionalFormatting sqref="K1096">
    <cfRule type="cellIs" dxfId="508" priority="535" operator="equal">
      <formula>"SAIDA"</formula>
    </cfRule>
    <cfRule type="cellIs" dxfId="507" priority="536" operator="equal">
      <formula>"ENTRADA"</formula>
    </cfRule>
  </conditionalFormatting>
  <conditionalFormatting sqref="K1095">
    <cfRule type="cellIs" dxfId="506" priority="532" operator="equal">
      <formula>"SAIDA"</formula>
    </cfRule>
    <cfRule type="cellIs" dxfId="505" priority="533" operator="equal">
      <formula>"ENTRADA"</formula>
    </cfRule>
  </conditionalFormatting>
  <conditionalFormatting sqref="K1094">
    <cfRule type="cellIs" dxfId="504" priority="530" operator="equal">
      <formula>"SAIDA"</formula>
    </cfRule>
    <cfRule type="cellIs" dxfId="503" priority="531" operator="equal">
      <formula>"ENTRADA"</formula>
    </cfRule>
  </conditionalFormatting>
  <conditionalFormatting sqref="K1093">
    <cfRule type="cellIs" dxfId="502" priority="528" operator="equal">
      <formula>"SAIDA"</formula>
    </cfRule>
    <cfRule type="cellIs" dxfId="501" priority="529" operator="equal">
      <formula>"ENTRADA"</formula>
    </cfRule>
  </conditionalFormatting>
  <conditionalFormatting sqref="K1092">
    <cfRule type="cellIs" dxfId="500" priority="526" operator="equal">
      <formula>"SAIDA"</formula>
    </cfRule>
    <cfRule type="cellIs" dxfId="499" priority="527" operator="equal">
      <formula>"ENTRADA"</formula>
    </cfRule>
  </conditionalFormatting>
  <conditionalFormatting sqref="K1091">
    <cfRule type="cellIs" dxfId="498" priority="524" operator="equal">
      <formula>"SAIDA"</formula>
    </cfRule>
    <cfRule type="cellIs" dxfId="497" priority="525" operator="equal">
      <formula>"ENTRADA"</formula>
    </cfRule>
  </conditionalFormatting>
  <conditionalFormatting sqref="K1090">
    <cfRule type="cellIs" dxfId="496" priority="522" operator="equal">
      <formula>"SAIDA"</formula>
    </cfRule>
    <cfRule type="cellIs" dxfId="495" priority="523" operator="equal">
      <formula>"ENTRADA"</formula>
    </cfRule>
  </conditionalFormatting>
  <conditionalFormatting sqref="K1089">
    <cfRule type="cellIs" dxfId="494" priority="520" operator="equal">
      <formula>"SAIDA"</formula>
    </cfRule>
    <cfRule type="cellIs" dxfId="493" priority="521" operator="equal">
      <formula>"ENTRADA"</formula>
    </cfRule>
  </conditionalFormatting>
  <conditionalFormatting sqref="K1088">
    <cfRule type="cellIs" dxfId="492" priority="518" operator="equal">
      <formula>"SAIDA"</formula>
    </cfRule>
    <cfRule type="cellIs" dxfId="491" priority="519" operator="equal">
      <formula>"ENTRADA"</formula>
    </cfRule>
  </conditionalFormatting>
  <conditionalFormatting sqref="K1087">
    <cfRule type="cellIs" dxfId="490" priority="516" operator="equal">
      <formula>"SAIDA"</formula>
    </cfRule>
    <cfRule type="cellIs" dxfId="489" priority="517" operator="equal">
      <formula>"ENTRADA"</formula>
    </cfRule>
  </conditionalFormatting>
  <conditionalFormatting sqref="K1039">
    <cfRule type="cellIs" dxfId="488" priority="514" operator="equal">
      <formula>"SAIDA"</formula>
    </cfRule>
    <cfRule type="cellIs" dxfId="487" priority="515" operator="equal">
      <formula>"ENTRADA"</formula>
    </cfRule>
  </conditionalFormatting>
  <conditionalFormatting sqref="K1038">
    <cfRule type="cellIs" dxfId="486" priority="512" operator="equal">
      <formula>"SAIDA"</formula>
    </cfRule>
    <cfRule type="cellIs" dxfId="485" priority="513" operator="equal">
      <formula>"ENTRADA"</formula>
    </cfRule>
  </conditionalFormatting>
  <conditionalFormatting sqref="K1037">
    <cfRule type="cellIs" dxfId="484" priority="510" operator="equal">
      <formula>"SAIDA"</formula>
    </cfRule>
    <cfRule type="cellIs" dxfId="483" priority="511" operator="equal">
      <formula>"ENTRADA"</formula>
    </cfRule>
  </conditionalFormatting>
  <conditionalFormatting sqref="K1032">
    <cfRule type="cellIs" dxfId="482" priority="508" operator="equal">
      <formula>"SAIDA"</formula>
    </cfRule>
    <cfRule type="cellIs" dxfId="481" priority="509" operator="equal">
      <formula>"ENTRADA"</formula>
    </cfRule>
  </conditionalFormatting>
  <conditionalFormatting sqref="K1028">
    <cfRule type="cellIs" dxfId="480" priority="506" operator="equal">
      <formula>"SAIDA"</formula>
    </cfRule>
    <cfRule type="cellIs" dxfId="479" priority="507" operator="equal">
      <formula>"ENTRADA"</formula>
    </cfRule>
  </conditionalFormatting>
  <conditionalFormatting sqref="K1029">
    <cfRule type="cellIs" dxfId="478" priority="504" operator="equal">
      <formula>"SAIDA"</formula>
    </cfRule>
    <cfRule type="cellIs" dxfId="477" priority="505" operator="equal">
      <formula>"ENTRADA"</formula>
    </cfRule>
  </conditionalFormatting>
  <conditionalFormatting sqref="K1026">
    <cfRule type="cellIs" dxfId="476" priority="502" operator="equal">
      <formula>"SAIDA"</formula>
    </cfRule>
    <cfRule type="cellIs" dxfId="475" priority="503" operator="equal">
      <formula>"ENTRADA"</formula>
    </cfRule>
  </conditionalFormatting>
  <conditionalFormatting sqref="K1027">
    <cfRule type="cellIs" dxfId="474" priority="500" operator="equal">
      <formula>"SAIDA"</formula>
    </cfRule>
    <cfRule type="cellIs" dxfId="473" priority="501" operator="equal">
      <formula>"ENTRADA"</formula>
    </cfRule>
  </conditionalFormatting>
  <conditionalFormatting sqref="K1025">
    <cfRule type="cellIs" dxfId="472" priority="496" operator="equal">
      <formula>"SAIDA"</formula>
    </cfRule>
    <cfRule type="cellIs" dxfId="471" priority="497" operator="equal">
      <formula>"ENTRADA"</formula>
    </cfRule>
  </conditionalFormatting>
  <conditionalFormatting sqref="K1024">
    <cfRule type="cellIs" dxfId="470" priority="498" operator="equal">
      <formula>"SAIDA"</formula>
    </cfRule>
    <cfRule type="cellIs" dxfId="469" priority="499" operator="equal">
      <formula>"ENTRADA"</formula>
    </cfRule>
  </conditionalFormatting>
  <conditionalFormatting sqref="K1020:K1021">
    <cfRule type="cellIs" dxfId="468" priority="494" operator="equal">
      <formula>"SAIDA"</formula>
    </cfRule>
    <cfRule type="cellIs" dxfId="467" priority="495" operator="equal">
      <formula>"ENTRADA"</formula>
    </cfRule>
  </conditionalFormatting>
  <conditionalFormatting sqref="K1019">
    <cfRule type="cellIs" dxfId="466" priority="492" operator="equal">
      <formula>"SAIDA"</formula>
    </cfRule>
    <cfRule type="cellIs" dxfId="465" priority="493" operator="equal">
      <formula>"ENTRADA"</formula>
    </cfRule>
  </conditionalFormatting>
  <conditionalFormatting sqref="K1017">
    <cfRule type="cellIs" dxfId="464" priority="490" operator="equal">
      <formula>"SAIDA"</formula>
    </cfRule>
    <cfRule type="cellIs" dxfId="463" priority="491" operator="equal">
      <formula>"ENTRADA"</formula>
    </cfRule>
  </conditionalFormatting>
  <conditionalFormatting sqref="K1016">
    <cfRule type="cellIs" dxfId="462" priority="488" operator="equal">
      <formula>"SAIDA"</formula>
    </cfRule>
    <cfRule type="cellIs" dxfId="461" priority="489" operator="equal">
      <formula>"ENTRADA"</formula>
    </cfRule>
  </conditionalFormatting>
  <conditionalFormatting sqref="K995">
    <cfRule type="cellIs" dxfId="460" priority="484" operator="equal">
      <formula>"SAIDA"</formula>
    </cfRule>
    <cfRule type="cellIs" dxfId="459" priority="485" operator="equal">
      <formula>"ENTRADA"</formula>
    </cfRule>
  </conditionalFormatting>
  <conditionalFormatting sqref="K994">
    <cfRule type="cellIs" dxfId="458" priority="482" operator="equal">
      <formula>"SAIDA"</formula>
    </cfRule>
    <cfRule type="cellIs" dxfId="457" priority="483" operator="equal">
      <formula>"ENTRADA"</formula>
    </cfRule>
  </conditionalFormatting>
  <conditionalFormatting sqref="K992">
    <cfRule type="cellIs" dxfId="456" priority="480" operator="equal">
      <formula>"SAIDA"</formula>
    </cfRule>
    <cfRule type="cellIs" dxfId="455" priority="481" operator="equal">
      <formula>"ENTRADA"</formula>
    </cfRule>
  </conditionalFormatting>
  <conditionalFormatting sqref="K991">
    <cfRule type="cellIs" dxfId="454" priority="478" operator="equal">
      <formula>"SAIDA"</formula>
    </cfRule>
    <cfRule type="cellIs" dxfId="453" priority="479" operator="equal">
      <formula>"ENTRADA"</formula>
    </cfRule>
  </conditionalFormatting>
  <conditionalFormatting sqref="K990">
    <cfRule type="cellIs" dxfId="452" priority="476" operator="equal">
      <formula>"SAIDA"</formula>
    </cfRule>
    <cfRule type="cellIs" dxfId="451" priority="477" operator="equal">
      <formula>"ENTRADA"</formula>
    </cfRule>
  </conditionalFormatting>
  <conditionalFormatting sqref="K988">
    <cfRule type="cellIs" dxfId="450" priority="474" operator="equal">
      <formula>"SAIDA"</formula>
    </cfRule>
    <cfRule type="cellIs" dxfId="449" priority="475" operator="equal">
      <formula>"ENTRADA"</formula>
    </cfRule>
  </conditionalFormatting>
  <conditionalFormatting sqref="K986">
    <cfRule type="cellIs" dxfId="448" priority="472" operator="equal">
      <formula>"SAIDA"</formula>
    </cfRule>
    <cfRule type="cellIs" dxfId="447" priority="473" operator="equal">
      <formula>"ENTRADA"</formula>
    </cfRule>
  </conditionalFormatting>
  <conditionalFormatting sqref="K987">
    <cfRule type="cellIs" dxfId="446" priority="470" operator="equal">
      <formula>"SAIDA"</formula>
    </cfRule>
    <cfRule type="cellIs" dxfId="445" priority="471" operator="equal">
      <formula>"ENTRADA"</formula>
    </cfRule>
  </conditionalFormatting>
  <conditionalFormatting sqref="K984">
    <cfRule type="cellIs" dxfId="444" priority="468" operator="equal">
      <formula>"SAIDA"</formula>
    </cfRule>
    <cfRule type="cellIs" dxfId="443" priority="469" operator="equal">
      <formula>"ENTRADA"</formula>
    </cfRule>
  </conditionalFormatting>
  <conditionalFormatting sqref="K981">
    <cfRule type="cellIs" dxfId="442" priority="466" operator="equal">
      <formula>"SAIDA"</formula>
    </cfRule>
    <cfRule type="cellIs" dxfId="441" priority="467" operator="equal">
      <formula>"ENTRADA"</formula>
    </cfRule>
  </conditionalFormatting>
  <conditionalFormatting sqref="K980">
    <cfRule type="cellIs" dxfId="440" priority="464" operator="equal">
      <formula>"SAIDA"</formula>
    </cfRule>
    <cfRule type="cellIs" dxfId="439" priority="465" operator="equal">
      <formula>"ENTRADA"</formula>
    </cfRule>
  </conditionalFormatting>
  <conditionalFormatting sqref="K979">
    <cfRule type="cellIs" dxfId="438" priority="462" operator="equal">
      <formula>"SAIDA"</formula>
    </cfRule>
    <cfRule type="cellIs" dxfId="437" priority="463" operator="equal">
      <formula>"ENTRADA"</formula>
    </cfRule>
  </conditionalFormatting>
  <conditionalFormatting sqref="K978">
    <cfRule type="cellIs" dxfId="436" priority="460" operator="equal">
      <formula>"SAIDA"</formula>
    </cfRule>
    <cfRule type="cellIs" dxfId="435" priority="461" operator="equal">
      <formula>"ENTRADA"</formula>
    </cfRule>
  </conditionalFormatting>
  <conditionalFormatting sqref="K977">
    <cfRule type="cellIs" dxfId="434" priority="458" operator="equal">
      <formula>"SAIDA"</formula>
    </cfRule>
    <cfRule type="cellIs" dxfId="433" priority="459" operator="equal">
      <formula>"ENTRADA"</formula>
    </cfRule>
  </conditionalFormatting>
  <conditionalFormatting sqref="K976">
    <cfRule type="cellIs" dxfId="432" priority="454" operator="equal">
      <formula>"SAIDA"</formula>
    </cfRule>
    <cfRule type="cellIs" dxfId="431" priority="455" operator="equal">
      <formula>"ENTRADA"</formula>
    </cfRule>
  </conditionalFormatting>
  <conditionalFormatting sqref="K969">
    <cfRule type="cellIs" dxfId="430" priority="452" operator="equal">
      <formula>"SAIDA"</formula>
    </cfRule>
    <cfRule type="cellIs" dxfId="429" priority="453" operator="equal">
      <formula>"ENTRADA"</formula>
    </cfRule>
  </conditionalFormatting>
  <conditionalFormatting sqref="K967">
    <cfRule type="cellIs" dxfId="428" priority="450" operator="equal">
      <formula>"SAIDA"</formula>
    </cfRule>
    <cfRule type="cellIs" dxfId="427" priority="451" operator="equal">
      <formula>"ENTRADA"</formula>
    </cfRule>
  </conditionalFormatting>
  <conditionalFormatting sqref="K966">
    <cfRule type="cellIs" dxfId="426" priority="448" operator="equal">
      <formula>"SAIDA"</formula>
    </cfRule>
    <cfRule type="cellIs" dxfId="425" priority="449" operator="equal">
      <formula>"ENTRADA"</formula>
    </cfRule>
  </conditionalFormatting>
  <conditionalFormatting sqref="K965">
    <cfRule type="cellIs" dxfId="424" priority="446" operator="equal">
      <formula>"SAIDA"</formula>
    </cfRule>
    <cfRule type="cellIs" dxfId="423" priority="447" operator="equal">
      <formula>"ENTRADA"</formula>
    </cfRule>
  </conditionalFormatting>
  <conditionalFormatting sqref="K962">
    <cfRule type="cellIs" dxfId="422" priority="444" operator="equal">
      <formula>"SAIDA"</formula>
    </cfRule>
    <cfRule type="cellIs" dxfId="421" priority="445" operator="equal">
      <formula>"ENTRADA"</formula>
    </cfRule>
  </conditionalFormatting>
  <conditionalFormatting sqref="K961">
    <cfRule type="cellIs" dxfId="420" priority="442" operator="equal">
      <formula>"SAIDA"</formula>
    </cfRule>
    <cfRule type="cellIs" dxfId="419" priority="443" operator="equal">
      <formula>"ENTRADA"</formula>
    </cfRule>
  </conditionalFormatting>
  <conditionalFormatting sqref="K960">
    <cfRule type="cellIs" dxfId="418" priority="440" operator="equal">
      <formula>"SAIDA"</formula>
    </cfRule>
    <cfRule type="cellIs" dxfId="417" priority="441" operator="equal">
      <formula>"ENTRADA"</formula>
    </cfRule>
  </conditionalFormatting>
  <conditionalFormatting sqref="K959">
    <cfRule type="cellIs" dxfId="416" priority="438" operator="equal">
      <formula>"SAIDA"</formula>
    </cfRule>
    <cfRule type="cellIs" dxfId="415" priority="439" operator="equal">
      <formula>"ENTRADA"</formula>
    </cfRule>
  </conditionalFormatting>
  <conditionalFormatting sqref="K958">
    <cfRule type="cellIs" dxfId="414" priority="436" operator="equal">
      <formula>"SAIDA"</formula>
    </cfRule>
    <cfRule type="cellIs" dxfId="413" priority="437" operator="equal">
      <formula>"ENTRADA"</formula>
    </cfRule>
  </conditionalFormatting>
  <conditionalFormatting sqref="K942">
    <cfRule type="cellIs" dxfId="412" priority="432" operator="equal">
      <formula>"SAIDA"</formula>
    </cfRule>
    <cfRule type="cellIs" dxfId="411" priority="433" operator="equal">
      <formula>"ENTRADA"</formula>
    </cfRule>
  </conditionalFormatting>
  <conditionalFormatting sqref="K941">
    <cfRule type="cellIs" dxfId="410" priority="430" operator="equal">
      <formula>"SAIDA"</formula>
    </cfRule>
    <cfRule type="cellIs" dxfId="409" priority="431" operator="equal">
      <formula>"ENTRADA"</formula>
    </cfRule>
  </conditionalFormatting>
  <conditionalFormatting sqref="K940">
    <cfRule type="cellIs" dxfId="408" priority="428" operator="equal">
      <formula>"SAIDA"</formula>
    </cfRule>
    <cfRule type="cellIs" dxfId="407" priority="429" operator="equal">
      <formula>"ENTRADA"</formula>
    </cfRule>
  </conditionalFormatting>
  <conditionalFormatting sqref="K939">
    <cfRule type="cellIs" dxfId="406" priority="426" operator="equal">
      <formula>"SAIDA"</formula>
    </cfRule>
    <cfRule type="cellIs" dxfId="405" priority="427" operator="equal">
      <formula>"ENTRADA"</formula>
    </cfRule>
  </conditionalFormatting>
  <conditionalFormatting sqref="K938">
    <cfRule type="cellIs" dxfId="404" priority="424" operator="equal">
      <formula>"SAIDA"</formula>
    </cfRule>
    <cfRule type="cellIs" dxfId="403" priority="425" operator="equal">
      <formula>"ENTRADA"</formula>
    </cfRule>
  </conditionalFormatting>
  <conditionalFormatting sqref="K937">
    <cfRule type="cellIs" dxfId="402" priority="422" operator="equal">
      <formula>"SAIDA"</formula>
    </cfRule>
    <cfRule type="cellIs" dxfId="401" priority="423" operator="equal">
      <formula>"ENTRADA"</formula>
    </cfRule>
  </conditionalFormatting>
  <conditionalFormatting sqref="K936">
    <cfRule type="cellIs" dxfId="400" priority="420" operator="equal">
      <formula>"SAIDA"</formula>
    </cfRule>
    <cfRule type="cellIs" dxfId="399" priority="421" operator="equal">
      <formula>"ENTRADA"</formula>
    </cfRule>
  </conditionalFormatting>
  <conditionalFormatting sqref="K935">
    <cfRule type="cellIs" dxfId="398" priority="418" operator="equal">
      <formula>"SAIDA"</formula>
    </cfRule>
    <cfRule type="cellIs" dxfId="397" priority="419" operator="equal">
      <formula>"ENTRADA"</formula>
    </cfRule>
  </conditionalFormatting>
  <conditionalFormatting sqref="K910">
    <cfRule type="cellIs" dxfId="396" priority="414" operator="equal">
      <formula>"SAIDA"</formula>
    </cfRule>
    <cfRule type="cellIs" dxfId="395" priority="415" operator="equal">
      <formula>"ENTRADA"</formula>
    </cfRule>
  </conditionalFormatting>
  <conditionalFormatting sqref="K908">
    <cfRule type="cellIs" dxfId="394" priority="410" operator="equal">
      <formula>"SAIDA"</formula>
    </cfRule>
    <cfRule type="cellIs" dxfId="393" priority="411" operator="equal">
      <formula>"ENTRADA"</formula>
    </cfRule>
  </conditionalFormatting>
  <conditionalFormatting sqref="K907">
    <cfRule type="cellIs" dxfId="392" priority="408" operator="equal">
      <formula>"SAIDA"</formula>
    </cfRule>
    <cfRule type="cellIs" dxfId="391" priority="409" operator="equal">
      <formula>"ENTRADA"</formula>
    </cfRule>
  </conditionalFormatting>
  <conditionalFormatting sqref="K906">
    <cfRule type="cellIs" dxfId="390" priority="402" operator="equal">
      <formula>"SAIDA"</formula>
    </cfRule>
    <cfRule type="cellIs" dxfId="389" priority="403" operator="equal">
      <formula>"ENTRADA"</formula>
    </cfRule>
  </conditionalFormatting>
  <conditionalFormatting sqref="K902">
    <cfRule type="cellIs" dxfId="388" priority="400" operator="equal">
      <formula>"SAIDA"</formula>
    </cfRule>
    <cfRule type="cellIs" dxfId="387" priority="401" operator="equal">
      <formula>"ENTRADA"</formula>
    </cfRule>
  </conditionalFormatting>
  <conditionalFormatting sqref="K900">
    <cfRule type="cellIs" dxfId="386" priority="398" operator="equal">
      <formula>"SAIDA"</formula>
    </cfRule>
    <cfRule type="cellIs" dxfId="385" priority="399" operator="equal">
      <formula>"ENTRADA"</formula>
    </cfRule>
  </conditionalFormatting>
  <conditionalFormatting sqref="K899">
    <cfRule type="cellIs" dxfId="384" priority="396" operator="equal">
      <formula>"SAIDA"</formula>
    </cfRule>
    <cfRule type="cellIs" dxfId="383" priority="397" operator="equal">
      <formula>"ENTRADA"</formula>
    </cfRule>
  </conditionalFormatting>
  <conditionalFormatting sqref="K894">
    <cfRule type="cellIs" dxfId="382" priority="394" operator="equal">
      <formula>"SAIDA"</formula>
    </cfRule>
    <cfRule type="cellIs" dxfId="381" priority="395" operator="equal">
      <formula>"ENTRADA"</formula>
    </cfRule>
  </conditionalFormatting>
  <conditionalFormatting sqref="K895">
    <cfRule type="cellIs" dxfId="380" priority="392" operator="equal">
      <formula>"SAIDA"</formula>
    </cfRule>
    <cfRule type="cellIs" dxfId="379" priority="393" operator="equal">
      <formula>"ENTRADA"</formula>
    </cfRule>
  </conditionalFormatting>
  <conditionalFormatting sqref="K893">
    <cfRule type="cellIs" dxfId="378" priority="390" operator="equal">
      <formula>"SAIDA"</formula>
    </cfRule>
    <cfRule type="cellIs" dxfId="377" priority="391" operator="equal">
      <formula>"ENTRADA"</formula>
    </cfRule>
  </conditionalFormatting>
  <conditionalFormatting sqref="K892">
    <cfRule type="cellIs" dxfId="376" priority="388" operator="equal">
      <formula>"SAIDA"</formula>
    </cfRule>
    <cfRule type="cellIs" dxfId="375" priority="389" operator="equal">
      <formula>"ENTRADA"</formula>
    </cfRule>
  </conditionalFormatting>
  <conditionalFormatting sqref="K891">
    <cfRule type="cellIs" dxfId="374" priority="386" operator="equal">
      <formula>"SAIDA"</formula>
    </cfRule>
    <cfRule type="cellIs" dxfId="373" priority="387" operator="equal">
      <formula>"ENTRADA"</formula>
    </cfRule>
  </conditionalFormatting>
  <conditionalFormatting sqref="K890">
    <cfRule type="cellIs" dxfId="372" priority="384" operator="equal">
      <formula>"SAIDA"</formula>
    </cfRule>
    <cfRule type="cellIs" dxfId="371" priority="385" operator="equal">
      <formula>"ENTRADA"</formula>
    </cfRule>
  </conditionalFormatting>
  <conditionalFormatting sqref="K887">
    <cfRule type="cellIs" dxfId="370" priority="382" operator="equal">
      <formula>"SAIDA"</formula>
    </cfRule>
    <cfRule type="cellIs" dxfId="369" priority="383" operator="equal">
      <formula>"ENTRADA"</formula>
    </cfRule>
  </conditionalFormatting>
  <conditionalFormatting sqref="K888">
    <cfRule type="cellIs" dxfId="368" priority="380" operator="equal">
      <formula>"SAIDA"</formula>
    </cfRule>
    <cfRule type="cellIs" dxfId="367" priority="381" operator="equal">
      <formula>"ENTRADA"</formula>
    </cfRule>
  </conditionalFormatting>
  <conditionalFormatting sqref="K889">
    <cfRule type="cellIs" dxfId="366" priority="378" operator="equal">
      <formula>"SAIDA"</formula>
    </cfRule>
    <cfRule type="cellIs" dxfId="365" priority="379" operator="equal">
      <formula>"ENTRADA"</formula>
    </cfRule>
  </conditionalFormatting>
  <conditionalFormatting sqref="K885">
    <cfRule type="cellIs" dxfId="364" priority="376" operator="equal">
      <formula>"SAIDA"</formula>
    </cfRule>
    <cfRule type="cellIs" dxfId="363" priority="377" operator="equal">
      <formula>"ENTRADA"</formula>
    </cfRule>
  </conditionalFormatting>
  <conditionalFormatting sqref="K886">
    <cfRule type="cellIs" dxfId="362" priority="374" operator="equal">
      <formula>"SAIDA"</formula>
    </cfRule>
    <cfRule type="cellIs" dxfId="361" priority="375" operator="equal">
      <formula>"ENTRADA"</formula>
    </cfRule>
  </conditionalFormatting>
  <conditionalFormatting sqref="K884">
    <cfRule type="cellIs" dxfId="360" priority="372" operator="equal">
      <formula>"SAIDA"</formula>
    </cfRule>
    <cfRule type="cellIs" dxfId="359" priority="373" operator="equal">
      <formula>"ENTRADA"</formula>
    </cfRule>
  </conditionalFormatting>
  <conditionalFormatting sqref="K883">
    <cfRule type="cellIs" dxfId="358" priority="370" operator="equal">
      <formula>"SAIDA"</formula>
    </cfRule>
    <cfRule type="cellIs" dxfId="357" priority="371" operator="equal">
      <formula>"ENTRADA"</formula>
    </cfRule>
  </conditionalFormatting>
  <conditionalFormatting sqref="K882">
    <cfRule type="cellIs" dxfId="356" priority="368" operator="equal">
      <formula>"SAIDA"</formula>
    </cfRule>
    <cfRule type="cellIs" dxfId="355" priority="369" operator="equal">
      <formula>"ENTRADA"</formula>
    </cfRule>
  </conditionalFormatting>
  <conditionalFormatting sqref="K868:K869">
    <cfRule type="cellIs" dxfId="354" priority="366" operator="equal">
      <formula>"SAIDA"</formula>
    </cfRule>
    <cfRule type="cellIs" dxfId="353" priority="367" operator="equal">
      <formula>"ENTRADA"</formula>
    </cfRule>
  </conditionalFormatting>
  <conditionalFormatting sqref="K860">
    <cfRule type="cellIs" dxfId="352" priority="358" operator="equal">
      <formula>"SAIDA"</formula>
    </cfRule>
    <cfRule type="cellIs" dxfId="351" priority="359" operator="equal">
      <formula>"ENTRADA"</formula>
    </cfRule>
  </conditionalFormatting>
  <conditionalFormatting sqref="K857">
    <cfRule type="cellIs" dxfId="350" priority="364" operator="equal">
      <formula>"SAIDA"</formula>
    </cfRule>
    <cfRule type="cellIs" dxfId="349" priority="365" operator="equal">
      <formula>"ENTRADA"</formula>
    </cfRule>
  </conditionalFormatting>
  <conditionalFormatting sqref="K858">
    <cfRule type="cellIs" dxfId="348" priority="362" operator="equal">
      <formula>"SAIDA"</formula>
    </cfRule>
    <cfRule type="cellIs" dxfId="347" priority="363" operator="equal">
      <formula>"ENTRADA"</formula>
    </cfRule>
  </conditionalFormatting>
  <conditionalFormatting sqref="K859">
    <cfRule type="cellIs" dxfId="346" priority="360" operator="equal">
      <formula>"SAIDA"</formula>
    </cfRule>
    <cfRule type="cellIs" dxfId="345" priority="361" operator="equal">
      <formula>"ENTRADA"</formula>
    </cfRule>
  </conditionalFormatting>
  <conditionalFormatting sqref="K856">
    <cfRule type="cellIs" dxfId="344" priority="356" operator="equal">
      <formula>"SAIDA"</formula>
    </cfRule>
    <cfRule type="cellIs" dxfId="343" priority="357" operator="equal">
      <formula>"ENTRADA"</formula>
    </cfRule>
  </conditionalFormatting>
  <conditionalFormatting sqref="K854">
    <cfRule type="cellIs" dxfId="342" priority="354" operator="equal">
      <formula>"SAIDA"</formula>
    </cfRule>
    <cfRule type="cellIs" dxfId="341" priority="355" operator="equal">
      <formula>"ENTRADA"</formula>
    </cfRule>
  </conditionalFormatting>
  <conditionalFormatting sqref="K853">
    <cfRule type="cellIs" dxfId="340" priority="352" operator="equal">
      <formula>"SAIDA"</formula>
    </cfRule>
    <cfRule type="cellIs" dxfId="339" priority="353" operator="equal">
      <formula>"ENTRADA"</formula>
    </cfRule>
  </conditionalFormatting>
  <conditionalFormatting sqref="K851">
    <cfRule type="cellIs" dxfId="338" priority="350" operator="equal">
      <formula>"SAIDA"</formula>
    </cfRule>
    <cfRule type="cellIs" dxfId="337" priority="351" operator="equal">
      <formula>"ENTRADA"</formula>
    </cfRule>
  </conditionalFormatting>
  <conditionalFormatting sqref="K852">
    <cfRule type="cellIs" dxfId="336" priority="348" operator="equal">
      <formula>"SAIDA"</formula>
    </cfRule>
    <cfRule type="cellIs" dxfId="335" priority="349" operator="equal">
      <formula>"ENTRADA"</formula>
    </cfRule>
  </conditionalFormatting>
  <conditionalFormatting sqref="K850">
    <cfRule type="cellIs" dxfId="334" priority="346" operator="equal">
      <formula>"SAIDA"</formula>
    </cfRule>
    <cfRule type="cellIs" dxfId="333" priority="347" operator="equal">
      <formula>"ENTRADA"</formula>
    </cfRule>
  </conditionalFormatting>
  <conditionalFormatting sqref="K848">
    <cfRule type="cellIs" dxfId="332" priority="344" operator="equal">
      <formula>"SAIDA"</formula>
    </cfRule>
    <cfRule type="cellIs" dxfId="331" priority="345" operator="equal">
      <formula>"ENTRADA"</formula>
    </cfRule>
  </conditionalFormatting>
  <conditionalFormatting sqref="K846">
    <cfRule type="cellIs" dxfId="330" priority="342" operator="equal">
      <formula>"SAIDA"</formula>
    </cfRule>
    <cfRule type="cellIs" dxfId="329" priority="343" operator="equal">
      <formula>"ENTRADA"</formula>
    </cfRule>
  </conditionalFormatting>
  <conditionalFormatting sqref="K847">
    <cfRule type="cellIs" dxfId="328" priority="340" operator="equal">
      <formula>"SAIDA"</formula>
    </cfRule>
    <cfRule type="cellIs" dxfId="327" priority="341" operator="equal">
      <formula>"ENTRADA"</formula>
    </cfRule>
  </conditionalFormatting>
  <conditionalFormatting sqref="K845">
    <cfRule type="cellIs" dxfId="326" priority="338" operator="equal">
      <formula>"SAIDA"</formula>
    </cfRule>
    <cfRule type="cellIs" dxfId="325" priority="339" operator="equal">
      <formula>"ENTRADA"</formula>
    </cfRule>
  </conditionalFormatting>
  <conditionalFormatting sqref="K818">
    <cfRule type="cellIs" dxfId="324" priority="336" operator="equal">
      <formula>"SAIDA"</formula>
    </cfRule>
    <cfRule type="cellIs" dxfId="323" priority="337" operator="equal">
      <formula>"ENTRADA"</formula>
    </cfRule>
  </conditionalFormatting>
  <conditionalFormatting sqref="K817">
    <cfRule type="cellIs" dxfId="322" priority="334" operator="equal">
      <formula>"SAIDA"</formula>
    </cfRule>
    <cfRule type="cellIs" dxfId="321" priority="335" operator="equal">
      <formula>"ENTRADA"</formula>
    </cfRule>
  </conditionalFormatting>
  <conditionalFormatting sqref="K816">
    <cfRule type="cellIs" dxfId="320" priority="332" operator="equal">
      <formula>"SAIDA"</formula>
    </cfRule>
    <cfRule type="cellIs" dxfId="319" priority="333" operator="equal">
      <formula>"ENTRADA"</formula>
    </cfRule>
  </conditionalFormatting>
  <conditionalFormatting sqref="K815">
    <cfRule type="cellIs" dxfId="318" priority="330" operator="equal">
      <formula>"SAIDA"</formula>
    </cfRule>
    <cfRule type="cellIs" dxfId="317" priority="331" operator="equal">
      <formula>"ENTRADA"</formula>
    </cfRule>
  </conditionalFormatting>
  <conditionalFormatting sqref="K812">
    <cfRule type="cellIs" dxfId="316" priority="328" operator="equal">
      <formula>"SAIDA"</formula>
    </cfRule>
    <cfRule type="cellIs" dxfId="315" priority="329" operator="equal">
      <formula>"ENTRADA"</formula>
    </cfRule>
  </conditionalFormatting>
  <conditionalFormatting sqref="K811">
    <cfRule type="cellIs" dxfId="314" priority="326" operator="equal">
      <formula>"SAIDA"</formula>
    </cfRule>
    <cfRule type="cellIs" dxfId="313" priority="327" operator="equal">
      <formula>"ENTRADA"</formula>
    </cfRule>
  </conditionalFormatting>
  <conditionalFormatting sqref="K809">
    <cfRule type="cellIs" dxfId="312" priority="324" operator="equal">
      <formula>"SAIDA"</formula>
    </cfRule>
    <cfRule type="cellIs" dxfId="311" priority="325" operator="equal">
      <formula>"ENTRADA"</formula>
    </cfRule>
  </conditionalFormatting>
  <conditionalFormatting sqref="K810">
    <cfRule type="cellIs" dxfId="310" priority="322" operator="equal">
      <formula>"SAIDA"</formula>
    </cfRule>
    <cfRule type="cellIs" dxfId="309" priority="323" operator="equal">
      <formula>"ENTRADA"</formula>
    </cfRule>
  </conditionalFormatting>
  <conditionalFormatting sqref="K808">
    <cfRule type="cellIs" dxfId="308" priority="320" operator="equal">
      <formula>"SAIDA"</formula>
    </cfRule>
    <cfRule type="cellIs" dxfId="307" priority="321" operator="equal">
      <formula>"ENTRADA"</formula>
    </cfRule>
  </conditionalFormatting>
  <conditionalFormatting sqref="K807">
    <cfRule type="cellIs" dxfId="306" priority="318" operator="equal">
      <formula>"SAIDA"</formula>
    </cfRule>
    <cfRule type="cellIs" dxfId="305" priority="319" operator="equal">
      <formula>"ENTRADA"</formula>
    </cfRule>
  </conditionalFormatting>
  <conditionalFormatting sqref="K806">
    <cfRule type="cellIs" dxfId="304" priority="316" operator="equal">
      <formula>"SAIDA"</formula>
    </cfRule>
    <cfRule type="cellIs" dxfId="303" priority="317" operator="equal">
      <formula>"ENTRADA"</formula>
    </cfRule>
  </conditionalFormatting>
  <conditionalFormatting sqref="K799">
    <cfRule type="cellIs" dxfId="302" priority="308" operator="equal">
      <formula>"SAIDA"</formula>
    </cfRule>
    <cfRule type="cellIs" dxfId="301" priority="309" operator="equal">
      <formula>"ENTRADA"</formula>
    </cfRule>
  </conditionalFormatting>
  <conditionalFormatting sqref="K800">
    <cfRule type="cellIs" dxfId="300" priority="310" operator="equal">
      <formula>"SAIDA"</formula>
    </cfRule>
    <cfRule type="cellIs" dxfId="299" priority="311" operator="equal">
      <formula>"ENTRADA"</formula>
    </cfRule>
  </conditionalFormatting>
  <conditionalFormatting sqref="K786">
    <cfRule type="cellIs" dxfId="298" priority="302" operator="equal">
      <formula>"SAIDA"</formula>
    </cfRule>
    <cfRule type="cellIs" dxfId="297" priority="303" operator="equal">
      <formula>"ENTRADA"</formula>
    </cfRule>
  </conditionalFormatting>
  <conditionalFormatting sqref="K761">
    <cfRule type="cellIs" dxfId="296" priority="300" operator="equal">
      <formula>"SAIDA"</formula>
    </cfRule>
    <cfRule type="cellIs" dxfId="295" priority="301" operator="equal">
      <formula>"ENTRADA"</formula>
    </cfRule>
  </conditionalFormatting>
  <conditionalFormatting sqref="K760">
    <cfRule type="cellIs" dxfId="294" priority="298" operator="equal">
      <formula>"SAIDA"</formula>
    </cfRule>
    <cfRule type="cellIs" dxfId="293" priority="299" operator="equal">
      <formula>"ENTRADA"</formula>
    </cfRule>
  </conditionalFormatting>
  <conditionalFormatting sqref="K759">
    <cfRule type="cellIs" dxfId="292" priority="296" operator="equal">
      <formula>"SAIDA"</formula>
    </cfRule>
    <cfRule type="cellIs" dxfId="291" priority="297" operator="equal">
      <formula>"ENTRADA"</formula>
    </cfRule>
  </conditionalFormatting>
  <conditionalFormatting sqref="K758">
    <cfRule type="cellIs" dxfId="290" priority="294" operator="equal">
      <formula>"SAIDA"</formula>
    </cfRule>
    <cfRule type="cellIs" dxfId="289" priority="295" operator="equal">
      <formula>"ENTRADA"</formula>
    </cfRule>
  </conditionalFormatting>
  <conditionalFormatting sqref="K757">
    <cfRule type="cellIs" dxfId="288" priority="292" operator="equal">
      <formula>"SAIDA"</formula>
    </cfRule>
    <cfRule type="cellIs" dxfId="287" priority="293" operator="equal">
      <formula>"ENTRADA"</formula>
    </cfRule>
  </conditionalFormatting>
  <conditionalFormatting sqref="K756">
    <cfRule type="cellIs" dxfId="286" priority="290" operator="equal">
      <formula>"SAIDA"</formula>
    </cfRule>
    <cfRule type="cellIs" dxfId="285" priority="291" operator="equal">
      <formula>"ENTRADA"</formula>
    </cfRule>
  </conditionalFormatting>
  <conditionalFormatting sqref="K755">
    <cfRule type="cellIs" dxfId="284" priority="288" operator="equal">
      <formula>"SAIDA"</formula>
    </cfRule>
    <cfRule type="cellIs" dxfId="283" priority="289" operator="equal">
      <formula>"ENTRADA"</formula>
    </cfRule>
  </conditionalFormatting>
  <conditionalFormatting sqref="K729">
    <cfRule type="cellIs" dxfId="282" priority="286" operator="equal">
      <formula>"SAIDA"</formula>
    </cfRule>
    <cfRule type="cellIs" dxfId="281" priority="287" operator="equal">
      <formula>"ENTRADA"</formula>
    </cfRule>
  </conditionalFormatting>
  <conditionalFormatting sqref="K728">
    <cfRule type="cellIs" dxfId="280" priority="284" operator="equal">
      <formula>"SAIDA"</formula>
    </cfRule>
    <cfRule type="cellIs" dxfId="279" priority="285" operator="equal">
      <formula>"ENTRADA"</formula>
    </cfRule>
  </conditionalFormatting>
  <conditionalFormatting sqref="K723">
    <cfRule type="cellIs" dxfId="278" priority="282" operator="equal">
      <formula>"SAIDA"</formula>
    </cfRule>
    <cfRule type="cellIs" dxfId="277" priority="283" operator="equal">
      <formula>"ENTRADA"</formula>
    </cfRule>
  </conditionalFormatting>
  <conditionalFormatting sqref="K722">
    <cfRule type="cellIs" dxfId="276" priority="280" operator="equal">
      <formula>"SAIDA"</formula>
    </cfRule>
    <cfRule type="cellIs" dxfId="275" priority="281" operator="equal">
      <formula>"ENTRADA"</formula>
    </cfRule>
  </conditionalFormatting>
  <conditionalFormatting sqref="K721">
    <cfRule type="cellIs" dxfId="274" priority="278" operator="equal">
      <formula>"SAIDA"</formula>
    </cfRule>
    <cfRule type="cellIs" dxfId="273" priority="279" operator="equal">
      <formula>"ENTRADA"</formula>
    </cfRule>
  </conditionalFormatting>
  <conditionalFormatting sqref="K719">
    <cfRule type="cellIs" dxfId="272" priority="276" operator="equal">
      <formula>"SAIDA"</formula>
    </cfRule>
    <cfRule type="cellIs" dxfId="271" priority="277" operator="equal">
      <formula>"ENTRADA"</formula>
    </cfRule>
  </conditionalFormatting>
  <conditionalFormatting sqref="K718">
    <cfRule type="cellIs" dxfId="270" priority="274" operator="equal">
      <formula>"SAIDA"</formula>
    </cfRule>
    <cfRule type="cellIs" dxfId="269" priority="275" operator="equal">
      <formula>"ENTRADA"</formula>
    </cfRule>
  </conditionalFormatting>
  <conditionalFormatting sqref="K717">
    <cfRule type="cellIs" dxfId="268" priority="272" operator="equal">
      <formula>"SAIDA"</formula>
    </cfRule>
    <cfRule type="cellIs" dxfId="267" priority="273" operator="equal">
      <formula>"ENTRADA"</formula>
    </cfRule>
  </conditionalFormatting>
  <conditionalFormatting sqref="K716">
    <cfRule type="cellIs" dxfId="266" priority="270" operator="equal">
      <formula>"SAIDA"</formula>
    </cfRule>
    <cfRule type="cellIs" dxfId="265" priority="271" operator="equal">
      <formula>"ENTRADA"</formula>
    </cfRule>
  </conditionalFormatting>
  <conditionalFormatting sqref="K715">
    <cfRule type="cellIs" dxfId="264" priority="268" operator="equal">
      <formula>"SAIDA"</formula>
    </cfRule>
    <cfRule type="cellIs" dxfId="263" priority="269" operator="equal">
      <formula>"ENTRADA"</formula>
    </cfRule>
  </conditionalFormatting>
  <conditionalFormatting sqref="K714">
    <cfRule type="cellIs" dxfId="262" priority="266" operator="equal">
      <formula>"SAIDA"</formula>
    </cfRule>
    <cfRule type="cellIs" dxfId="261" priority="267" operator="equal">
      <formula>"ENTRADA"</formula>
    </cfRule>
  </conditionalFormatting>
  <conditionalFormatting sqref="K713">
    <cfRule type="cellIs" dxfId="260" priority="264" operator="equal">
      <formula>"SAIDA"</formula>
    </cfRule>
    <cfRule type="cellIs" dxfId="259" priority="265" operator="equal">
      <formula>"ENTRADA"</formula>
    </cfRule>
  </conditionalFormatting>
  <conditionalFormatting sqref="K687">
    <cfRule type="cellIs" dxfId="258" priority="262" operator="equal">
      <formula>"SAIDA"</formula>
    </cfRule>
    <cfRule type="cellIs" dxfId="257" priority="263" operator="equal">
      <formula>"ENTRADA"</formula>
    </cfRule>
  </conditionalFormatting>
  <conditionalFormatting sqref="K686">
    <cfRule type="cellIs" dxfId="256" priority="260" operator="equal">
      <formula>"SAIDA"</formula>
    </cfRule>
    <cfRule type="cellIs" dxfId="255" priority="261" operator="equal">
      <formula>"ENTRADA"</formula>
    </cfRule>
  </conditionalFormatting>
  <conditionalFormatting sqref="K661">
    <cfRule type="cellIs" dxfId="254" priority="258" operator="equal">
      <formula>"SAIDA"</formula>
    </cfRule>
    <cfRule type="cellIs" dxfId="253" priority="259" operator="equal">
      <formula>"ENTRADA"</formula>
    </cfRule>
  </conditionalFormatting>
  <conditionalFormatting sqref="K660">
    <cfRule type="cellIs" dxfId="252" priority="256" operator="equal">
      <formula>"SAIDA"</formula>
    </cfRule>
    <cfRule type="cellIs" dxfId="251" priority="257" operator="equal">
      <formula>"ENTRADA"</formula>
    </cfRule>
  </conditionalFormatting>
  <conditionalFormatting sqref="K650:K658">
    <cfRule type="cellIs" dxfId="250" priority="254" operator="equal">
      <formula>"SAIDA"</formula>
    </cfRule>
    <cfRule type="cellIs" dxfId="249" priority="255" operator="equal">
      <formula>"ENTRADA"</formula>
    </cfRule>
  </conditionalFormatting>
  <conditionalFormatting sqref="K636">
    <cfRule type="cellIs" dxfId="248" priority="249" operator="equal">
      <formula>"SAIDA"</formula>
    </cfRule>
    <cfRule type="cellIs" dxfId="247" priority="250" operator="equal">
      <formula>"ENTRADA"</formula>
    </cfRule>
  </conditionalFormatting>
  <conditionalFormatting sqref="K603">
    <cfRule type="cellIs" dxfId="246" priority="244" operator="equal">
      <formula>"SAIDA"</formula>
    </cfRule>
    <cfRule type="cellIs" dxfId="245" priority="245" operator="equal">
      <formula>"ENTRADA"</formula>
    </cfRule>
  </conditionalFormatting>
  <conditionalFormatting sqref="K573">
    <cfRule type="cellIs" dxfId="244" priority="242" operator="equal">
      <formula>"SAIDA"</formula>
    </cfRule>
    <cfRule type="cellIs" dxfId="243" priority="243" operator="equal">
      <formula>"ENTRADA"</formula>
    </cfRule>
  </conditionalFormatting>
  <conditionalFormatting sqref="K572">
    <cfRule type="cellIs" dxfId="242" priority="240" operator="equal">
      <formula>"SAIDA"</formula>
    </cfRule>
    <cfRule type="cellIs" dxfId="241" priority="241" operator="equal">
      <formula>"ENTRADA"</formula>
    </cfRule>
  </conditionalFormatting>
  <conditionalFormatting sqref="K571">
    <cfRule type="cellIs" dxfId="240" priority="238" operator="equal">
      <formula>"SAIDA"</formula>
    </cfRule>
    <cfRule type="cellIs" dxfId="239" priority="239" operator="equal">
      <formula>"ENTRADA"</formula>
    </cfRule>
  </conditionalFormatting>
  <conditionalFormatting sqref="K570">
    <cfRule type="cellIs" dxfId="238" priority="236" operator="equal">
      <formula>"SAIDA"</formula>
    </cfRule>
    <cfRule type="cellIs" dxfId="237" priority="237" operator="equal">
      <formula>"ENTRADA"</formula>
    </cfRule>
  </conditionalFormatting>
  <conditionalFormatting sqref="K537">
    <cfRule type="cellIs" dxfId="236" priority="233" operator="equal">
      <formula>"SAIDA"</formula>
    </cfRule>
    <cfRule type="cellIs" dxfId="235" priority="234" operator="equal">
      <formula>"ENTRADA"</formula>
    </cfRule>
  </conditionalFormatting>
  <conditionalFormatting sqref="K534">
    <cfRule type="cellIs" dxfId="234" priority="231" operator="equal">
      <formula>"SAIDA"</formula>
    </cfRule>
    <cfRule type="cellIs" dxfId="233" priority="232" operator="equal">
      <formula>"ENTRADA"</formula>
    </cfRule>
  </conditionalFormatting>
  <conditionalFormatting sqref="K532">
    <cfRule type="cellIs" dxfId="232" priority="229" operator="equal">
      <formula>"SAIDA"</formula>
    </cfRule>
    <cfRule type="cellIs" dxfId="231" priority="230" operator="equal">
      <formula>"ENTRADA"</formula>
    </cfRule>
  </conditionalFormatting>
  <conditionalFormatting sqref="K533">
    <cfRule type="cellIs" dxfId="230" priority="227" operator="equal">
      <formula>"SAIDA"</formula>
    </cfRule>
    <cfRule type="cellIs" dxfId="229" priority="228" operator="equal">
      <formula>"ENTRADA"</formula>
    </cfRule>
  </conditionalFormatting>
  <conditionalFormatting sqref="K531">
    <cfRule type="cellIs" dxfId="228" priority="225" operator="equal">
      <formula>"SAIDA"</formula>
    </cfRule>
    <cfRule type="cellIs" dxfId="227" priority="226" operator="equal">
      <formula>"ENTRADA"</formula>
    </cfRule>
  </conditionalFormatting>
  <conditionalFormatting sqref="K530">
    <cfRule type="cellIs" dxfId="226" priority="223" operator="equal">
      <formula>"SAIDA"</formula>
    </cfRule>
    <cfRule type="cellIs" dxfId="225" priority="224" operator="equal">
      <formula>"ENTRADA"</formula>
    </cfRule>
  </conditionalFormatting>
  <conditionalFormatting sqref="K506">
    <cfRule type="cellIs" dxfId="224" priority="221" operator="equal">
      <formula>"SAIDA"</formula>
    </cfRule>
    <cfRule type="cellIs" dxfId="223" priority="222" operator="equal">
      <formula>"ENTRADA"</formula>
    </cfRule>
  </conditionalFormatting>
  <conditionalFormatting sqref="K504">
    <cfRule type="cellIs" dxfId="222" priority="219" operator="equal">
      <formula>"SAIDA"</formula>
    </cfRule>
    <cfRule type="cellIs" dxfId="221" priority="220" operator="equal">
      <formula>"ENTRADA"</formula>
    </cfRule>
  </conditionalFormatting>
  <conditionalFormatting sqref="K503">
    <cfRule type="cellIs" dxfId="220" priority="217" operator="equal">
      <formula>"SAIDA"</formula>
    </cfRule>
    <cfRule type="cellIs" dxfId="219" priority="218" operator="equal">
      <formula>"ENTRADA"</formula>
    </cfRule>
  </conditionalFormatting>
  <conditionalFormatting sqref="K502">
    <cfRule type="cellIs" dxfId="218" priority="215" operator="equal">
      <formula>"SAIDA"</formula>
    </cfRule>
    <cfRule type="cellIs" dxfId="217" priority="216" operator="equal">
      <formula>"ENTRADA"</formula>
    </cfRule>
  </conditionalFormatting>
  <conditionalFormatting sqref="K501">
    <cfRule type="cellIs" dxfId="216" priority="213" operator="equal">
      <formula>"SAIDA"</formula>
    </cfRule>
    <cfRule type="cellIs" dxfId="215" priority="214" operator="equal">
      <formula>"ENTRADA"</formula>
    </cfRule>
  </conditionalFormatting>
  <conditionalFormatting sqref="K500">
    <cfRule type="cellIs" dxfId="214" priority="211" operator="equal">
      <formula>"SAIDA"</formula>
    </cfRule>
    <cfRule type="cellIs" dxfId="213" priority="212" operator="equal">
      <formula>"ENTRADA"</formula>
    </cfRule>
  </conditionalFormatting>
  <conditionalFormatting sqref="K499">
    <cfRule type="cellIs" dxfId="212" priority="209" operator="equal">
      <formula>"SAIDA"</formula>
    </cfRule>
    <cfRule type="cellIs" dxfId="211" priority="210" operator="equal">
      <formula>"ENTRADA"</formula>
    </cfRule>
  </conditionalFormatting>
  <conditionalFormatting sqref="K498">
    <cfRule type="cellIs" dxfId="210" priority="207" operator="equal">
      <formula>"SAIDA"</formula>
    </cfRule>
    <cfRule type="cellIs" dxfId="209" priority="208" operator="equal">
      <formula>"ENTRADA"</formula>
    </cfRule>
  </conditionalFormatting>
  <conditionalFormatting sqref="K497">
    <cfRule type="cellIs" dxfId="208" priority="205" operator="equal">
      <formula>"SAIDA"</formula>
    </cfRule>
    <cfRule type="cellIs" dxfId="207" priority="206" operator="equal">
      <formula>"ENTRADA"</formula>
    </cfRule>
  </conditionalFormatting>
  <conditionalFormatting sqref="K496">
    <cfRule type="cellIs" dxfId="206" priority="203" operator="equal">
      <formula>"SAIDA"</formula>
    </cfRule>
    <cfRule type="cellIs" dxfId="205" priority="204" operator="equal">
      <formula>"ENTRADA"</formula>
    </cfRule>
  </conditionalFormatting>
  <conditionalFormatting sqref="K495">
    <cfRule type="cellIs" dxfId="204" priority="201" operator="equal">
      <formula>"SAIDA"</formula>
    </cfRule>
    <cfRule type="cellIs" dxfId="203" priority="202" operator="equal">
      <formula>"ENTRADA"</formula>
    </cfRule>
  </conditionalFormatting>
  <conditionalFormatting sqref="K494">
    <cfRule type="cellIs" dxfId="202" priority="199" operator="equal">
      <formula>"SAIDA"</formula>
    </cfRule>
    <cfRule type="cellIs" dxfId="201" priority="200" operator="equal">
      <formula>"ENTRADA"</formula>
    </cfRule>
  </conditionalFormatting>
  <conditionalFormatting sqref="K493">
    <cfRule type="cellIs" dxfId="200" priority="197" operator="equal">
      <formula>"SAIDA"</formula>
    </cfRule>
    <cfRule type="cellIs" dxfId="199" priority="198" operator="equal">
      <formula>"ENTRADA"</formula>
    </cfRule>
  </conditionalFormatting>
  <conditionalFormatting sqref="K492">
    <cfRule type="cellIs" dxfId="198" priority="195" operator="equal">
      <formula>"SAIDA"</formula>
    </cfRule>
    <cfRule type="cellIs" dxfId="197" priority="196" operator="equal">
      <formula>"ENTRADA"</formula>
    </cfRule>
  </conditionalFormatting>
  <conditionalFormatting sqref="K464">
    <cfRule type="cellIs" dxfId="196" priority="193" operator="equal">
      <formula>"SAIDA"</formula>
    </cfRule>
    <cfRule type="cellIs" dxfId="195" priority="194" operator="equal">
      <formula>"ENTRADA"</formula>
    </cfRule>
  </conditionalFormatting>
  <conditionalFormatting sqref="K463">
    <cfRule type="cellIs" dxfId="194" priority="191" operator="equal">
      <formula>"SAIDA"</formula>
    </cfRule>
    <cfRule type="cellIs" dxfId="193" priority="192" operator="equal">
      <formula>"ENTRADA"</formula>
    </cfRule>
  </conditionalFormatting>
  <conditionalFormatting sqref="K451:K462">
    <cfRule type="cellIs" dxfId="192" priority="189" operator="equal">
      <formula>"SAIDA"</formula>
    </cfRule>
    <cfRule type="cellIs" dxfId="191" priority="190" operator="equal">
      <formula>"ENTRADA"</formula>
    </cfRule>
  </conditionalFormatting>
  <conditionalFormatting sqref="K397:K398">
    <cfRule type="cellIs" dxfId="190" priority="187" operator="equal">
      <formula>"SAIDA"</formula>
    </cfRule>
    <cfRule type="cellIs" dxfId="189" priority="188" operator="equal">
      <formula>"ENTRADA"</formula>
    </cfRule>
  </conditionalFormatting>
  <conditionalFormatting sqref="K348">
    <cfRule type="cellIs" dxfId="188" priority="185" operator="equal">
      <formula>"SAIDA"</formula>
    </cfRule>
    <cfRule type="cellIs" dxfId="187" priority="186" operator="equal">
      <formula>"ENTRADA"</formula>
    </cfRule>
  </conditionalFormatting>
  <conditionalFormatting sqref="K347">
    <cfRule type="cellIs" dxfId="186" priority="183" operator="equal">
      <formula>"SAIDA"</formula>
    </cfRule>
    <cfRule type="cellIs" dxfId="185" priority="184" operator="equal">
      <formula>"ENTRADA"</formula>
    </cfRule>
  </conditionalFormatting>
  <conditionalFormatting sqref="K346">
    <cfRule type="cellIs" dxfId="184" priority="181" operator="equal">
      <formula>"SAIDA"</formula>
    </cfRule>
    <cfRule type="cellIs" dxfId="183" priority="182" operator="equal">
      <formula>"ENTRADA"</formula>
    </cfRule>
  </conditionalFormatting>
  <conditionalFormatting sqref="K344">
    <cfRule type="cellIs" dxfId="182" priority="179" operator="equal">
      <formula>"SAIDA"</formula>
    </cfRule>
    <cfRule type="cellIs" dxfId="181" priority="180" operator="equal">
      <formula>"ENTRADA"</formula>
    </cfRule>
  </conditionalFormatting>
  <conditionalFormatting sqref="K345">
    <cfRule type="cellIs" dxfId="180" priority="177" operator="equal">
      <formula>"SAIDA"</formula>
    </cfRule>
    <cfRule type="cellIs" dxfId="179" priority="178" operator="equal">
      <formula>"ENTRADA"</formula>
    </cfRule>
  </conditionalFormatting>
  <conditionalFormatting sqref="K343">
    <cfRule type="cellIs" dxfId="178" priority="175" operator="equal">
      <formula>"SAIDA"</formula>
    </cfRule>
    <cfRule type="cellIs" dxfId="177" priority="176" operator="equal">
      <formula>"ENTRADA"</formula>
    </cfRule>
  </conditionalFormatting>
  <conditionalFormatting sqref="K304">
    <cfRule type="cellIs" dxfId="176" priority="173" operator="equal">
      <formula>"SAIDA"</formula>
    </cfRule>
    <cfRule type="cellIs" dxfId="175" priority="174" operator="equal">
      <formula>"ENTRADA"</formula>
    </cfRule>
  </conditionalFormatting>
  <conditionalFormatting sqref="K303">
    <cfRule type="cellIs" dxfId="174" priority="169" operator="equal">
      <formula>"SAIDA"</formula>
    </cfRule>
    <cfRule type="cellIs" dxfId="173" priority="170" operator="equal">
      <formula>"ENTRADA"</formula>
    </cfRule>
  </conditionalFormatting>
  <conditionalFormatting sqref="K302">
    <cfRule type="cellIs" dxfId="172" priority="171" operator="equal">
      <formula>"SAIDA"</formula>
    </cfRule>
    <cfRule type="cellIs" dxfId="171" priority="172" operator="equal">
      <formula>"ENTRADA"</formula>
    </cfRule>
  </conditionalFormatting>
  <conditionalFormatting sqref="K301">
    <cfRule type="cellIs" dxfId="170" priority="167" operator="equal">
      <formula>"SAIDA"</formula>
    </cfRule>
    <cfRule type="cellIs" dxfId="169" priority="168" operator="equal">
      <formula>"ENTRADA"</formula>
    </cfRule>
  </conditionalFormatting>
  <conditionalFormatting sqref="K300">
    <cfRule type="cellIs" dxfId="168" priority="165" operator="equal">
      <formula>"SAIDA"</formula>
    </cfRule>
    <cfRule type="cellIs" dxfId="167" priority="166" operator="equal">
      <formula>"ENTRADA"</formula>
    </cfRule>
  </conditionalFormatting>
  <conditionalFormatting sqref="K299">
    <cfRule type="cellIs" dxfId="166" priority="163" operator="equal">
      <formula>"SAIDA"</formula>
    </cfRule>
    <cfRule type="cellIs" dxfId="165" priority="164" operator="equal">
      <formula>"ENTRADA"</formula>
    </cfRule>
  </conditionalFormatting>
  <conditionalFormatting sqref="K278">
    <cfRule type="cellIs" dxfId="164" priority="161" operator="equal">
      <formula>"SAIDA"</formula>
    </cfRule>
    <cfRule type="cellIs" dxfId="163" priority="162" operator="equal">
      <formula>"ENTRADA"</formula>
    </cfRule>
  </conditionalFormatting>
  <conditionalFormatting sqref="K277">
    <cfRule type="cellIs" dxfId="162" priority="159" operator="equal">
      <formula>"SAIDA"</formula>
    </cfRule>
    <cfRule type="cellIs" dxfId="161" priority="160" operator="equal">
      <formula>"ENTRADA"</formula>
    </cfRule>
  </conditionalFormatting>
  <conditionalFormatting sqref="K251">
    <cfRule type="cellIs" dxfId="160" priority="157" operator="equal">
      <formula>"SAIDA"</formula>
    </cfRule>
    <cfRule type="cellIs" dxfId="159" priority="158" operator="equal">
      <formula>"ENTRADA"</formula>
    </cfRule>
  </conditionalFormatting>
  <conditionalFormatting sqref="K250">
    <cfRule type="cellIs" dxfId="158" priority="155" operator="equal">
      <formula>"SAIDA"</formula>
    </cfRule>
    <cfRule type="cellIs" dxfId="157" priority="156" operator="equal">
      <formula>"ENTRADA"</formula>
    </cfRule>
  </conditionalFormatting>
  <conditionalFormatting sqref="K241:K249">
    <cfRule type="cellIs" dxfId="156" priority="153" operator="equal">
      <formula>"SAIDA"</formula>
    </cfRule>
    <cfRule type="cellIs" dxfId="155" priority="154" operator="equal">
      <formula>"ENTRADA"</formula>
    </cfRule>
  </conditionalFormatting>
  <conditionalFormatting sqref="K237:K240">
    <cfRule type="cellIs" dxfId="154" priority="151" operator="equal">
      <formula>"SAIDA"</formula>
    </cfRule>
    <cfRule type="cellIs" dxfId="153" priority="152" operator="equal">
      <formula>"ENTRADA"</formula>
    </cfRule>
  </conditionalFormatting>
  <conditionalFormatting sqref="K237:K240">
    <cfRule type="cellIs" dxfId="152" priority="149" operator="equal">
      <formula>"SAIDA"</formula>
    </cfRule>
    <cfRule type="cellIs" dxfId="151" priority="150" operator="equal">
      <formula>"ENTRADA"</formula>
    </cfRule>
  </conditionalFormatting>
  <conditionalFormatting sqref="K236">
    <cfRule type="cellIs" dxfId="150" priority="147" operator="equal">
      <formula>"SAIDA"</formula>
    </cfRule>
    <cfRule type="cellIs" dxfId="149" priority="148" operator="equal">
      <formula>"ENTRADA"</formula>
    </cfRule>
  </conditionalFormatting>
  <conditionalFormatting sqref="K236">
    <cfRule type="cellIs" dxfId="148" priority="145" operator="equal">
      <formula>"SAIDA"</formula>
    </cfRule>
    <cfRule type="cellIs" dxfId="147" priority="146" operator="equal">
      <formula>"ENTRADA"</formula>
    </cfRule>
  </conditionalFormatting>
  <conditionalFormatting sqref="K236">
    <cfRule type="cellIs" dxfId="146" priority="143" operator="equal">
      <formula>"SAIDA"</formula>
    </cfRule>
    <cfRule type="cellIs" dxfId="145" priority="144" operator="equal">
      <formula>"ENTRADA"</formula>
    </cfRule>
  </conditionalFormatting>
  <conditionalFormatting sqref="K232">
    <cfRule type="cellIs" dxfId="144" priority="141" operator="equal">
      <formula>"SAIDA"</formula>
    </cfRule>
    <cfRule type="cellIs" dxfId="143" priority="142" operator="equal">
      <formula>"ENTRADA"</formula>
    </cfRule>
  </conditionalFormatting>
  <conditionalFormatting sqref="K212">
    <cfRule type="cellIs" dxfId="142" priority="139" operator="equal">
      <formula>"SAIDA"</formula>
    </cfRule>
    <cfRule type="cellIs" dxfId="141" priority="140" operator="equal">
      <formula>"ENTRADA"</formula>
    </cfRule>
  </conditionalFormatting>
  <conditionalFormatting sqref="K209">
    <cfRule type="cellIs" dxfId="140" priority="137" operator="equal">
      <formula>"SAIDA"</formula>
    </cfRule>
    <cfRule type="cellIs" dxfId="139" priority="138" operator="equal">
      <formula>"ENTRADA"</formula>
    </cfRule>
  </conditionalFormatting>
  <conditionalFormatting sqref="K207">
    <cfRule type="cellIs" dxfId="138" priority="135" operator="equal">
      <formula>"SAIDA"</formula>
    </cfRule>
    <cfRule type="cellIs" dxfId="137" priority="136" operator="equal">
      <formula>"ENTRADA"</formula>
    </cfRule>
  </conditionalFormatting>
  <conditionalFormatting sqref="K206">
    <cfRule type="cellIs" dxfId="136" priority="133" operator="equal">
      <formula>"SAIDA"</formula>
    </cfRule>
    <cfRule type="cellIs" dxfId="135" priority="134" operator="equal">
      <formula>"ENTRADA"</formula>
    </cfRule>
  </conditionalFormatting>
  <conditionalFormatting sqref="K205">
    <cfRule type="cellIs" dxfId="134" priority="131" operator="equal">
      <formula>"SAIDA"</formula>
    </cfRule>
    <cfRule type="cellIs" dxfId="133" priority="132" operator="equal">
      <formula>"ENTRADA"</formula>
    </cfRule>
  </conditionalFormatting>
  <conditionalFormatting sqref="K204">
    <cfRule type="cellIs" dxfId="132" priority="129" operator="equal">
      <formula>"SAIDA"</formula>
    </cfRule>
    <cfRule type="cellIs" dxfId="131" priority="130" operator="equal">
      <formula>"ENTRADA"</formula>
    </cfRule>
  </conditionalFormatting>
  <conditionalFormatting sqref="K202">
    <cfRule type="cellIs" dxfId="130" priority="127" operator="equal">
      <formula>"SAIDA"</formula>
    </cfRule>
    <cfRule type="cellIs" dxfId="129" priority="128" operator="equal">
      <formula>"ENTRADA"</formula>
    </cfRule>
  </conditionalFormatting>
  <conditionalFormatting sqref="K201">
    <cfRule type="cellIs" dxfId="128" priority="125" operator="equal">
      <formula>"SAIDA"</formula>
    </cfRule>
    <cfRule type="cellIs" dxfId="127" priority="126" operator="equal">
      <formula>"ENTRADA"</formula>
    </cfRule>
  </conditionalFormatting>
  <conditionalFormatting sqref="K199">
    <cfRule type="cellIs" dxfId="126" priority="123" operator="equal">
      <formula>"SAIDA"</formula>
    </cfRule>
    <cfRule type="cellIs" dxfId="125" priority="124" operator="equal">
      <formula>"ENTRADA"</formula>
    </cfRule>
  </conditionalFormatting>
  <conditionalFormatting sqref="K200">
    <cfRule type="cellIs" dxfId="124" priority="121" operator="equal">
      <formula>"SAIDA"</formula>
    </cfRule>
    <cfRule type="cellIs" dxfId="123" priority="122" operator="equal">
      <formula>"ENTRADA"</formula>
    </cfRule>
  </conditionalFormatting>
  <conditionalFormatting sqref="K198">
    <cfRule type="cellIs" dxfId="122" priority="119" operator="equal">
      <formula>"SAIDA"</formula>
    </cfRule>
    <cfRule type="cellIs" dxfId="121" priority="120" operator="equal">
      <formula>"ENTRADA"</formula>
    </cfRule>
  </conditionalFormatting>
  <conditionalFormatting sqref="K197">
    <cfRule type="cellIs" dxfId="120" priority="117" operator="equal">
      <formula>"SAIDA"</formula>
    </cfRule>
    <cfRule type="cellIs" dxfId="119" priority="118" operator="equal">
      <formula>"ENTRADA"</formula>
    </cfRule>
  </conditionalFormatting>
  <conditionalFormatting sqref="K180">
    <cfRule type="cellIs" dxfId="118" priority="115" operator="equal">
      <formula>"SAIDA"</formula>
    </cfRule>
    <cfRule type="cellIs" dxfId="117" priority="116" operator="equal">
      <formula>"ENTRADA"</formula>
    </cfRule>
  </conditionalFormatting>
  <conditionalFormatting sqref="K179">
    <cfRule type="cellIs" dxfId="116" priority="113" operator="equal">
      <formula>"SAIDA"</formula>
    </cfRule>
    <cfRule type="cellIs" dxfId="115" priority="114" operator="equal">
      <formula>"ENTRADA"</formula>
    </cfRule>
  </conditionalFormatting>
  <conditionalFormatting sqref="K178">
    <cfRule type="cellIs" dxfId="114" priority="111" operator="equal">
      <formula>"SAIDA"</formula>
    </cfRule>
    <cfRule type="cellIs" dxfId="113" priority="112" operator="equal">
      <formula>"ENTRADA"</formula>
    </cfRule>
  </conditionalFormatting>
  <conditionalFormatting sqref="K177">
    <cfRule type="cellIs" dxfId="112" priority="109" operator="equal">
      <formula>"SAIDA"</formula>
    </cfRule>
    <cfRule type="cellIs" dxfId="111" priority="110" operator="equal">
      <formula>"ENTRADA"</formula>
    </cfRule>
  </conditionalFormatting>
  <conditionalFormatting sqref="K176">
    <cfRule type="cellIs" dxfId="110" priority="107" operator="equal">
      <formula>"SAIDA"</formula>
    </cfRule>
    <cfRule type="cellIs" dxfId="109" priority="108" operator="equal">
      <formula>"ENTRADA"</formula>
    </cfRule>
  </conditionalFormatting>
  <conditionalFormatting sqref="K175">
    <cfRule type="cellIs" dxfId="108" priority="105" operator="equal">
      <formula>"SAIDA"</formula>
    </cfRule>
    <cfRule type="cellIs" dxfId="107" priority="106" operator="equal">
      <formula>"ENTRADA"</formula>
    </cfRule>
  </conditionalFormatting>
  <conditionalFormatting sqref="K171">
    <cfRule type="cellIs" dxfId="106" priority="103" operator="equal">
      <formula>"SAIDA"</formula>
    </cfRule>
    <cfRule type="cellIs" dxfId="105" priority="104" operator="equal">
      <formula>"ENTRADA"</formula>
    </cfRule>
  </conditionalFormatting>
  <conditionalFormatting sqref="K170">
    <cfRule type="cellIs" dxfId="104" priority="101" operator="equal">
      <formula>"SAIDA"</formula>
    </cfRule>
    <cfRule type="cellIs" dxfId="103" priority="102" operator="equal">
      <formula>"ENTRADA"</formula>
    </cfRule>
  </conditionalFormatting>
  <conditionalFormatting sqref="K144">
    <cfRule type="cellIs" dxfId="102" priority="99" operator="equal">
      <formula>"SAIDA"</formula>
    </cfRule>
    <cfRule type="cellIs" dxfId="101" priority="100" operator="equal">
      <formula>"ENTRADA"</formula>
    </cfRule>
  </conditionalFormatting>
  <conditionalFormatting sqref="K143">
    <cfRule type="cellIs" dxfId="100" priority="97" operator="equal">
      <formula>"SAIDA"</formula>
    </cfRule>
    <cfRule type="cellIs" dxfId="99" priority="98" operator="equal">
      <formula>"ENTRADA"</formula>
    </cfRule>
  </conditionalFormatting>
  <conditionalFormatting sqref="K141">
    <cfRule type="cellIs" dxfId="98" priority="95" operator="equal">
      <formula>"SAIDA"</formula>
    </cfRule>
    <cfRule type="cellIs" dxfId="97" priority="96" operator="equal">
      <formula>"ENTRADA"</formula>
    </cfRule>
  </conditionalFormatting>
  <conditionalFormatting sqref="K139">
    <cfRule type="cellIs" dxfId="96" priority="93" operator="equal">
      <formula>"SAIDA"</formula>
    </cfRule>
    <cfRule type="cellIs" dxfId="95" priority="94" operator="equal">
      <formula>"ENTRADA"</formula>
    </cfRule>
  </conditionalFormatting>
  <conditionalFormatting sqref="K134">
    <cfRule type="cellIs" dxfId="94" priority="91" operator="equal">
      <formula>"SAIDA"</formula>
    </cfRule>
    <cfRule type="cellIs" dxfId="93" priority="92" operator="equal">
      <formula>"ENTRADA"</formula>
    </cfRule>
  </conditionalFormatting>
  <conditionalFormatting sqref="K135">
    <cfRule type="cellIs" dxfId="92" priority="89" operator="equal">
      <formula>"SAIDA"</formula>
    </cfRule>
    <cfRule type="cellIs" dxfId="91" priority="90" operator="equal">
      <formula>"ENTRADA"</formula>
    </cfRule>
  </conditionalFormatting>
  <conditionalFormatting sqref="K133">
    <cfRule type="cellIs" dxfId="90" priority="87" operator="equal">
      <formula>"SAIDA"</formula>
    </cfRule>
    <cfRule type="cellIs" dxfId="89" priority="88" operator="equal">
      <formula>"ENTRADA"</formula>
    </cfRule>
  </conditionalFormatting>
  <conditionalFormatting sqref="K132">
    <cfRule type="cellIs" dxfId="88" priority="85" operator="equal">
      <formula>"SAIDA"</formula>
    </cfRule>
    <cfRule type="cellIs" dxfId="87" priority="86" operator="equal">
      <formula>"ENTRADA"</formula>
    </cfRule>
  </conditionalFormatting>
  <conditionalFormatting sqref="K130">
    <cfRule type="cellIs" dxfId="86" priority="83" operator="equal">
      <formula>"SAIDA"</formula>
    </cfRule>
    <cfRule type="cellIs" dxfId="85" priority="84" operator="equal">
      <formula>"ENTRADA"</formula>
    </cfRule>
  </conditionalFormatting>
  <conditionalFormatting sqref="K129">
    <cfRule type="cellIs" dxfId="84" priority="81" operator="equal">
      <formula>"SAIDA"</formula>
    </cfRule>
    <cfRule type="cellIs" dxfId="83" priority="82" operator="equal">
      <formula>"ENTRADA"</formula>
    </cfRule>
  </conditionalFormatting>
  <conditionalFormatting sqref="K128">
    <cfRule type="cellIs" dxfId="82" priority="79" operator="equal">
      <formula>"SAIDA"</formula>
    </cfRule>
    <cfRule type="cellIs" dxfId="81" priority="80" operator="equal">
      <formula>"ENTRADA"</formula>
    </cfRule>
  </conditionalFormatting>
  <conditionalFormatting sqref="K127">
    <cfRule type="cellIs" dxfId="80" priority="77" operator="equal">
      <formula>"SAIDA"</formula>
    </cfRule>
    <cfRule type="cellIs" dxfId="79" priority="78" operator="equal">
      <formula>"ENTRADA"</formula>
    </cfRule>
  </conditionalFormatting>
  <conditionalFormatting sqref="K126">
    <cfRule type="cellIs" dxfId="78" priority="75" operator="equal">
      <formula>"SAIDA"</formula>
    </cfRule>
    <cfRule type="cellIs" dxfId="77" priority="76" operator="equal">
      <formula>"ENTRADA"</formula>
    </cfRule>
  </conditionalFormatting>
  <conditionalFormatting sqref="K125">
    <cfRule type="cellIs" dxfId="76" priority="73" operator="equal">
      <formula>"SAIDA"</formula>
    </cfRule>
    <cfRule type="cellIs" dxfId="75" priority="74" operator="equal">
      <formula>"ENTRADA"</formula>
    </cfRule>
  </conditionalFormatting>
  <conditionalFormatting sqref="K124">
    <cfRule type="cellIs" dxfId="74" priority="71" operator="equal">
      <formula>"SAIDA"</formula>
    </cfRule>
    <cfRule type="cellIs" dxfId="73" priority="72" operator="equal">
      <formula>"ENTRADA"</formula>
    </cfRule>
  </conditionalFormatting>
  <conditionalFormatting sqref="K123">
    <cfRule type="cellIs" dxfId="72" priority="69" operator="equal">
      <formula>"SAIDA"</formula>
    </cfRule>
    <cfRule type="cellIs" dxfId="71" priority="70" operator="equal">
      <formula>"ENTRADA"</formula>
    </cfRule>
  </conditionalFormatting>
  <conditionalFormatting sqref="K118:K121">
    <cfRule type="cellIs" dxfId="70" priority="67" operator="equal">
      <formula>"SAIDA"</formula>
    </cfRule>
    <cfRule type="cellIs" dxfId="69" priority="68" operator="equal">
      <formula>"ENTRADA"</formula>
    </cfRule>
  </conditionalFormatting>
  <conditionalFormatting sqref="K102">
    <cfRule type="cellIs" dxfId="68" priority="65" operator="equal">
      <formula>"SAIDA"</formula>
    </cfRule>
    <cfRule type="cellIs" dxfId="67" priority="66" operator="equal">
      <formula>"ENTRADA"</formula>
    </cfRule>
  </conditionalFormatting>
  <conditionalFormatting sqref="K100">
    <cfRule type="cellIs" dxfId="66" priority="63" operator="equal">
      <formula>"SAIDA"</formula>
    </cfRule>
    <cfRule type="cellIs" dxfId="65" priority="64" operator="equal">
      <formula>"ENTRADA"</formula>
    </cfRule>
  </conditionalFormatting>
  <conditionalFormatting sqref="K98">
    <cfRule type="cellIs" dxfId="64" priority="61" operator="equal">
      <formula>"SAIDA"</formula>
    </cfRule>
    <cfRule type="cellIs" dxfId="63" priority="62" operator="equal">
      <formula>"ENTRADA"</formula>
    </cfRule>
  </conditionalFormatting>
  <conditionalFormatting sqref="K94">
    <cfRule type="cellIs" dxfId="62" priority="59" operator="equal">
      <formula>"SAIDA"</formula>
    </cfRule>
    <cfRule type="cellIs" dxfId="61" priority="60" operator="equal">
      <formula>"ENTRADA"</formula>
    </cfRule>
  </conditionalFormatting>
  <conditionalFormatting sqref="K93">
    <cfRule type="cellIs" dxfId="60" priority="57" operator="equal">
      <formula>"SAIDA"</formula>
    </cfRule>
    <cfRule type="cellIs" dxfId="59" priority="58" operator="equal">
      <formula>"ENTRADA"</formula>
    </cfRule>
  </conditionalFormatting>
  <conditionalFormatting sqref="K92">
    <cfRule type="cellIs" dxfId="58" priority="55" operator="equal">
      <formula>"SAIDA"</formula>
    </cfRule>
    <cfRule type="cellIs" dxfId="57" priority="56" operator="equal">
      <formula>"ENTRADA"</formula>
    </cfRule>
  </conditionalFormatting>
  <conditionalFormatting sqref="K91">
    <cfRule type="cellIs" dxfId="56" priority="53" operator="equal">
      <formula>"SAIDA"</formula>
    </cfRule>
    <cfRule type="cellIs" dxfId="55" priority="54" operator="equal">
      <formula>"ENTRADA"</formula>
    </cfRule>
  </conditionalFormatting>
  <conditionalFormatting sqref="K90">
    <cfRule type="cellIs" dxfId="54" priority="51" operator="equal">
      <formula>"SAIDA"</formula>
    </cfRule>
    <cfRule type="cellIs" dxfId="53" priority="52" operator="equal">
      <formula>"ENTRADA"</formula>
    </cfRule>
  </conditionalFormatting>
  <conditionalFormatting sqref="K89">
    <cfRule type="cellIs" dxfId="52" priority="49" operator="equal">
      <formula>"SAIDA"</formula>
    </cfRule>
    <cfRule type="cellIs" dxfId="51" priority="50" operator="equal">
      <formula>"ENTRADA"</formula>
    </cfRule>
  </conditionalFormatting>
  <conditionalFormatting sqref="K69">
    <cfRule type="cellIs" dxfId="50" priority="47" operator="equal">
      <formula>"SAIDA"</formula>
    </cfRule>
    <cfRule type="cellIs" dxfId="49" priority="48" operator="equal">
      <formula>"ENTRADA"</formula>
    </cfRule>
  </conditionalFormatting>
  <conditionalFormatting sqref="K68">
    <cfRule type="cellIs" dxfId="48" priority="44" operator="equal">
      <formula>"SAIDA"</formula>
    </cfRule>
    <cfRule type="cellIs" dxfId="47" priority="45" operator="equal">
      <formula>"ENTRADA"</formula>
    </cfRule>
  </conditionalFormatting>
  <conditionalFormatting sqref="K64">
    <cfRule type="cellIs" dxfId="46" priority="42" operator="equal">
      <formula>"SAIDA"</formula>
    </cfRule>
    <cfRule type="cellIs" dxfId="45" priority="43" operator="equal">
      <formula>"ENTRADA"</formula>
    </cfRule>
  </conditionalFormatting>
  <conditionalFormatting sqref="K66">
    <cfRule type="cellIs" dxfId="44" priority="40" operator="equal">
      <formula>"SAIDA"</formula>
    </cfRule>
    <cfRule type="cellIs" dxfId="43" priority="41" operator="equal">
      <formula>"ENTRADA"</formula>
    </cfRule>
  </conditionalFormatting>
  <conditionalFormatting sqref="K65">
    <cfRule type="cellIs" dxfId="42" priority="37" operator="equal">
      <formula>"SAIDA"</formula>
    </cfRule>
    <cfRule type="cellIs" dxfId="41" priority="38" operator="equal">
      <formula>"ENTRADA"</formula>
    </cfRule>
  </conditionalFormatting>
  <conditionalFormatting sqref="K60:K61">
    <cfRule type="cellIs" dxfId="40" priority="35" operator="equal">
      <formula>"SAIDA"</formula>
    </cfRule>
    <cfRule type="cellIs" dxfId="39" priority="36" operator="equal">
      <formula>"ENTRADA"</formula>
    </cfRule>
  </conditionalFormatting>
  <conditionalFormatting sqref="K45">
    <cfRule type="cellIs" dxfId="38" priority="33" operator="equal">
      <formula>"SAIDA"</formula>
    </cfRule>
    <cfRule type="cellIs" dxfId="37" priority="34" operator="equal">
      <formula>"ENTRADA"</formula>
    </cfRule>
  </conditionalFormatting>
  <conditionalFormatting sqref="K42">
    <cfRule type="cellIs" dxfId="36" priority="31" operator="equal">
      <formula>"SAIDA"</formula>
    </cfRule>
    <cfRule type="cellIs" dxfId="35" priority="32" operator="equal">
      <formula>"ENTRADA"</formula>
    </cfRule>
  </conditionalFormatting>
  <conditionalFormatting sqref="K41">
    <cfRule type="cellIs" dxfId="34" priority="29" operator="equal">
      <formula>"SAIDA"</formula>
    </cfRule>
    <cfRule type="cellIs" dxfId="33" priority="30" operator="equal">
      <formula>"ENTRADA"</formula>
    </cfRule>
  </conditionalFormatting>
  <conditionalFormatting sqref="K40">
    <cfRule type="cellIs" dxfId="32" priority="27" operator="equal">
      <formula>"SAIDA"</formula>
    </cfRule>
    <cfRule type="cellIs" dxfId="31" priority="28" operator="equal">
      <formula>"ENTRADA"</formula>
    </cfRule>
  </conditionalFormatting>
  <conditionalFormatting sqref="K21">
    <cfRule type="cellIs" dxfId="30" priority="25" operator="equal">
      <formula>"SAIDA"</formula>
    </cfRule>
    <cfRule type="cellIs" dxfId="29" priority="26" operator="equal">
      <formula>"ENTRADA"</formula>
    </cfRule>
  </conditionalFormatting>
  <conditionalFormatting sqref="K20">
    <cfRule type="cellIs" dxfId="28" priority="23" operator="equal">
      <formula>"SAIDA"</formula>
    </cfRule>
    <cfRule type="cellIs" dxfId="27" priority="24" operator="equal">
      <formula>"ENTRADA"</formula>
    </cfRule>
  </conditionalFormatting>
  <conditionalFormatting sqref="K16">
    <cfRule type="cellIs" dxfId="26" priority="21" operator="equal">
      <formula>"SAIDA"</formula>
    </cfRule>
    <cfRule type="cellIs" dxfId="25" priority="22" operator="equal">
      <formula>"ENTRADA"</formula>
    </cfRule>
  </conditionalFormatting>
  <conditionalFormatting sqref="K14">
    <cfRule type="cellIs" dxfId="24" priority="19" operator="equal">
      <formula>"SAIDA"</formula>
    </cfRule>
    <cfRule type="cellIs" dxfId="23" priority="20" operator="equal">
      <formula>"ENTRADA"</formula>
    </cfRule>
  </conditionalFormatting>
  <conditionalFormatting sqref="K13">
    <cfRule type="cellIs" dxfId="22" priority="17" operator="equal">
      <formula>"SAIDA"</formula>
    </cfRule>
    <cfRule type="cellIs" dxfId="21" priority="18" operator="equal">
      <formula>"ENTRADA"</formula>
    </cfRule>
  </conditionalFormatting>
  <conditionalFormatting sqref="K12">
    <cfRule type="cellIs" dxfId="20" priority="15" operator="equal">
      <formula>"SAIDA"</formula>
    </cfRule>
    <cfRule type="cellIs" dxfId="19" priority="16" operator="equal">
      <formula>"ENTRADA"</formula>
    </cfRule>
  </conditionalFormatting>
  <conditionalFormatting sqref="K10">
    <cfRule type="cellIs" dxfId="18" priority="11" operator="equal">
      <formula>"SAIDA"</formula>
    </cfRule>
    <cfRule type="cellIs" dxfId="17" priority="12" operator="equal">
      <formula>"ENTRADA"</formula>
    </cfRule>
  </conditionalFormatting>
  <conditionalFormatting sqref="K9">
    <cfRule type="cellIs" dxfId="16" priority="9" operator="equal">
      <formula>"SAIDA"</formula>
    </cfRule>
    <cfRule type="cellIs" dxfId="15" priority="10" operator="equal">
      <formula>"ENTRADA"</formula>
    </cfRule>
  </conditionalFormatting>
  <conditionalFormatting sqref="K8">
    <cfRule type="cellIs" dxfId="14" priority="7" operator="equal">
      <formula>"SAIDA"</formula>
    </cfRule>
    <cfRule type="cellIs" dxfId="13" priority="8" operator="equal">
      <formula>"ENTRADA"</formula>
    </cfRule>
  </conditionalFormatting>
  <conditionalFormatting sqref="K7">
    <cfRule type="cellIs" dxfId="12" priority="5" operator="equal">
      <formula>"SAIDA"</formula>
    </cfRule>
    <cfRule type="cellIs" dxfId="11" priority="6" operator="equal">
      <formula>"ENTRADA"</formula>
    </cfRule>
  </conditionalFormatting>
  <conditionalFormatting sqref="K6">
    <cfRule type="cellIs" dxfId="10" priority="3" operator="equal">
      <formula>"SAIDA"</formula>
    </cfRule>
    <cfRule type="cellIs" dxfId="9" priority="4" operator="equal">
      <formula>"ENTRADA"</formula>
    </cfRule>
  </conditionalFormatting>
  <conditionalFormatting sqref="K5">
    <cfRule type="cellIs" dxfId="8" priority="1" operator="equal">
      <formula>"SAIDA"</formula>
    </cfRule>
    <cfRule type="cellIs" dxfId="7" priority="2" operator="equal">
      <formula>"ENTRADA"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FF0000"/>
  </sheetPr>
  <dimension ref="A1:L22"/>
  <sheetViews>
    <sheetView zoomScale="80" zoomScaleNormal="80" workbookViewId="0">
      <pane ySplit="1" topLeftCell="A2" activePane="bottomLeft" state="frozen"/>
      <selection pane="bottomLeft" activeCell="I15" sqref="I15"/>
    </sheetView>
  </sheetViews>
  <sheetFormatPr defaultRowHeight="14.4"/>
  <cols>
    <col min="1" max="1" width="9.44140625" bestFit="1" customWidth="1"/>
    <col min="2" max="2" width="39.6640625" bestFit="1" customWidth="1"/>
    <col min="3" max="3" width="9.5546875" bestFit="1" customWidth="1"/>
    <col min="4" max="4" width="11.109375" bestFit="1" customWidth="1"/>
    <col min="5" max="5" width="21.33203125" bestFit="1" customWidth="1"/>
    <col min="6" max="6" width="22.33203125" bestFit="1" customWidth="1"/>
    <col min="7" max="7" width="6.44140625" bestFit="1" customWidth="1"/>
    <col min="8" max="8" width="15.109375" bestFit="1" customWidth="1"/>
    <col min="9" max="9" width="25.33203125" bestFit="1" customWidth="1"/>
    <col min="10" max="10" width="11.5546875" bestFit="1" customWidth="1"/>
    <col min="11" max="11" width="18.44140625" bestFit="1" customWidth="1"/>
    <col min="12" max="12" width="40.6640625" bestFit="1" customWidth="1"/>
    <col min="13" max="13" width="6.6640625" bestFit="1" customWidth="1"/>
    <col min="14" max="14" width="30.88671875" bestFit="1" customWidth="1"/>
    <col min="15" max="15" width="6.44140625" bestFit="1" customWidth="1"/>
    <col min="16" max="16" width="5.6640625" bestFit="1" customWidth="1"/>
    <col min="17" max="17" width="10.109375" bestFit="1" customWidth="1"/>
    <col min="18" max="18" width="21" bestFit="1" customWidth="1"/>
    <col min="19" max="19" width="2.33203125" bestFit="1" customWidth="1"/>
    <col min="20" max="20" width="12.109375" bestFit="1" customWidth="1"/>
    <col min="21" max="21" width="9.33203125" bestFit="1" customWidth="1"/>
    <col min="22" max="22" width="11.5546875" bestFit="1" customWidth="1"/>
    <col min="23" max="23" width="8.44140625" bestFit="1" customWidth="1"/>
    <col min="24" max="24" width="40.6640625" bestFit="1" customWidth="1"/>
  </cols>
  <sheetData>
    <row r="1" spans="1:12" s="49" customFormat="1" ht="15.6">
      <c r="A1" s="47" t="s">
        <v>14</v>
      </c>
      <c r="B1" s="47" t="s">
        <v>15</v>
      </c>
      <c r="C1" s="47" t="s">
        <v>16</v>
      </c>
      <c r="D1" s="47" t="s">
        <v>17</v>
      </c>
      <c r="E1" s="47" t="s">
        <v>18</v>
      </c>
      <c r="F1" s="47" t="s">
        <v>19</v>
      </c>
      <c r="G1" s="47" t="s">
        <v>20</v>
      </c>
      <c r="H1" s="47" t="s">
        <v>21</v>
      </c>
      <c r="I1" s="47" t="s">
        <v>22</v>
      </c>
      <c r="J1" s="48" t="s">
        <v>23</v>
      </c>
      <c r="K1" s="47" t="s">
        <v>24</v>
      </c>
      <c r="L1" s="47" t="s">
        <v>13</v>
      </c>
    </row>
    <row r="2" spans="1:12" s="49" customFormat="1" ht="13.8">
      <c r="A2" s="50"/>
      <c r="B2" s="50" t="s">
        <v>484</v>
      </c>
      <c r="C2" s="50" t="s">
        <v>56</v>
      </c>
      <c r="D2" s="50" t="s">
        <v>41</v>
      </c>
      <c r="E2" s="50">
        <v>50038854</v>
      </c>
      <c r="F2" s="50" t="s">
        <v>101</v>
      </c>
      <c r="G2" s="50">
        <v>1</v>
      </c>
      <c r="H2" s="50" t="s">
        <v>2</v>
      </c>
      <c r="I2" s="50" t="s">
        <v>297</v>
      </c>
      <c r="J2" s="51">
        <v>46119</v>
      </c>
      <c r="K2" s="50" t="s">
        <v>3</v>
      </c>
      <c r="L2" s="50" t="s">
        <v>80</v>
      </c>
    </row>
    <row r="19" ht="13.5" customHeight="1"/>
    <row r="20" ht="13.5" customHeight="1"/>
    <row r="22" ht="13.5" customHeight="1"/>
  </sheetData>
  <conditionalFormatting sqref="K1">
    <cfRule type="cellIs" dxfId="6" priority="3" operator="equal">
      <formula>"SAIDA"</formula>
    </cfRule>
    <cfRule type="cellIs" dxfId="5" priority="4" operator="equal">
      <formula>"ENTRADA"</formula>
    </cfRule>
  </conditionalFormatting>
  <conditionalFormatting sqref="K2">
    <cfRule type="cellIs" dxfId="4" priority="1" operator="equal">
      <formula>"SAIDA"</formula>
    </cfRule>
    <cfRule type="cellIs" dxfId="3" priority="2" operator="equal">
      <formula>"ENTRADA"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7030A0"/>
  </sheetPr>
  <dimension ref="A1:G201"/>
  <sheetViews>
    <sheetView showGridLines="0" topLeftCell="A191" zoomScale="85" zoomScaleNormal="85" workbookViewId="0">
      <selection activeCell="B86" sqref="B86"/>
    </sheetView>
  </sheetViews>
  <sheetFormatPr defaultRowHeight="14.4"/>
  <cols>
    <col min="1" max="1" width="10" bestFit="1" customWidth="1"/>
    <col min="2" max="2" width="15.109375" bestFit="1" customWidth="1"/>
    <col min="3" max="3" width="50.5546875" bestFit="1" customWidth="1"/>
    <col min="4" max="4" width="30.44140625" bestFit="1" customWidth="1"/>
    <col min="5" max="5" width="15.6640625" bestFit="1" customWidth="1"/>
    <col min="6" max="6" width="12.6640625" bestFit="1" customWidth="1"/>
    <col min="7" max="7" width="20.109375" bestFit="1" customWidth="1"/>
  </cols>
  <sheetData>
    <row r="1" spans="1:7" s="2" customFormat="1" ht="42" customHeight="1" thickBot="1">
      <c r="B1" s="3"/>
      <c r="C1" s="3" t="s">
        <v>68</v>
      </c>
    </row>
    <row r="2" spans="1:7" ht="15" thickBot="1">
      <c r="A2" s="6" t="s">
        <v>29</v>
      </c>
      <c r="B2" s="1" t="s">
        <v>87</v>
      </c>
      <c r="C2" s="1" t="s">
        <v>69</v>
      </c>
      <c r="D2" s="1" t="s">
        <v>70</v>
      </c>
      <c r="E2" s="1" t="s">
        <v>71</v>
      </c>
      <c r="F2" s="1" t="s">
        <v>72</v>
      </c>
      <c r="G2" s="1" t="s">
        <v>73</v>
      </c>
    </row>
    <row r="3" spans="1:7">
      <c r="A3" s="19" t="str">
        <f>Tabela13[[#This Row],[MATERIAL]]</f>
        <v>50038969 </v>
      </c>
      <c r="B3" s="1" t="s">
        <v>255</v>
      </c>
      <c r="C3" s="1" t="s">
        <v>256</v>
      </c>
      <c r="D3" s="1">
        <v>1</v>
      </c>
      <c r="E3" s="7">
        <f>SUMIFS(Relatorio!G:G,Relatorio!E:E,Tabela13[[#This Row],[MATERIAL]],Relatorio!K:K,"Entrada")</f>
        <v>0</v>
      </c>
      <c r="F3" s="8">
        <f>SUMIFS(Relatorio!G:G,Relatorio!E:E,Tabela13[[#This Row],[MATERIAL]],Relatorio!K:K,"Saida")</f>
        <v>0</v>
      </c>
      <c r="G3" s="1">
        <f>(Tabela13[[#This Row],[ENTRADAS]]-Tabela13[[#This Row],[SAÍDAS]])</f>
        <v>0</v>
      </c>
    </row>
    <row r="4" spans="1:7">
      <c r="A4" s="20">
        <f>Tabela13[[#This Row],[MATERIAL]]</f>
        <v>50043151</v>
      </c>
      <c r="B4" s="1">
        <v>50043151</v>
      </c>
      <c r="C4" s="1" t="s">
        <v>331</v>
      </c>
      <c r="D4" s="1">
        <v>1</v>
      </c>
      <c r="E4" s="7">
        <f>SUMIFS(Relatorio!G:G,Relatorio!E:E,Tabela13[[#This Row],[MATERIAL]],Relatorio!K:K,"Entrada")</f>
        <v>19</v>
      </c>
      <c r="F4" s="8">
        <f>SUMIFS(Relatorio!G:G,Relatorio!E:E,Tabela13[[#This Row],[MATERIAL]],Relatorio!K:K,"Saida")</f>
        <v>20</v>
      </c>
      <c r="G4" s="1">
        <f>(Tabela13[[#This Row],[ENTRADAS]]-Tabela13[[#This Row],[SAÍDAS]])</f>
        <v>-1</v>
      </c>
    </row>
    <row r="5" spans="1:7">
      <c r="A5" s="19">
        <f>Tabela13[[#This Row],[MATERIAL]]</f>
        <v>50042002</v>
      </c>
      <c r="B5" s="1">
        <v>50042002</v>
      </c>
      <c r="C5" s="1" t="s">
        <v>299</v>
      </c>
      <c r="D5" s="1">
        <v>1</v>
      </c>
      <c r="E5" s="7">
        <f>SUMIFS(Relatorio!G:G,Relatorio!E:E,Tabela13[[#This Row],[MATERIAL]],Relatorio!K:K,"Entrada")</f>
        <v>5</v>
      </c>
      <c r="F5" s="8">
        <f>SUMIFS(Relatorio!G:G,Relatorio!E:E,Tabela13[[#This Row],[MATERIAL]],Relatorio!K:K,"Saida")</f>
        <v>5</v>
      </c>
      <c r="G5" s="1">
        <f>(Tabela13[[#This Row],[ENTRADAS]]-Tabela13[[#This Row],[SAÍDAS]])</f>
        <v>0</v>
      </c>
    </row>
    <row r="6" spans="1:7">
      <c r="A6" s="20">
        <f>Tabela13[[#This Row],[MATERIAL]]</f>
        <v>50037924</v>
      </c>
      <c r="B6" s="1">
        <v>50037924</v>
      </c>
      <c r="C6" s="1" t="s">
        <v>261</v>
      </c>
      <c r="D6" s="1">
        <v>1</v>
      </c>
      <c r="E6" s="7">
        <f>SUMIFS(Relatorio!G:G,Relatorio!E:E,Tabela13[[#This Row],[MATERIAL]],Relatorio!K:K,"Entrada")</f>
        <v>6</v>
      </c>
      <c r="F6" s="8">
        <f>SUMIFS(Relatorio!G:G,Relatorio!E:E,Tabela13[[#This Row],[MATERIAL]],Relatorio!K:K,"Saida")</f>
        <v>10</v>
      </c>
      <c r="G6" s="1">
        <f>(Tabela13[[#This Row],[ENTRADAS]]-Tabela13[[#This Row],[SAÍDAS]])</f>
        <v>-4</v>
      </c>
    </row>
    <row r="7" spans="1:7">
      <c r="A7" s="19">
        <f>Tabela13[[#This Row],[MATERIAL]]</f>
        <v>50041089</v>
      </c>
      <c r="B7" s="1">
        <v>50041089</v>
      </c>
      <c r="C7" s="1" t="s">
        <v>254</v>
      </c>
      <c r="D7" s="1">
        <v>1</v>
      </c>
      <c r="E7" s="7">
        <f>SUMIFS(Relatorio!G:G,Relatorio!E:E,Tabela13[[#This Row],[MATERIAL]],Relatorio!K:K,"Entrada")</f>
        <v>8</v>
      </c>
      <c r="F7" s="8">
        <f>SUMIFS(Relatorio!G:G,Relatorio!E:E,Tabela13[[#This Row],[MATERIAL]],Relatorio!K:K,"Saida")</f>
        <v>5</v>
      </c>
      <c r="G7" s="1">
        <f>(Tabela13[[#This Row],[ENTRADAS]]-Tabela13[[#This Row],[SAÍDAS]])</f>
        <v>3</v>
      </c>
    </row>
    <row r="8" spans="1:7">
      <c r="A8" s="20">
        <f>Tabela13[[#This Row],[MATERIAL]]</f>
        <v>50041243</v>
      </c>
      <c r="B8" s="24">
        <v>50041243</v>
      </c>
      <c r="C8" s="24" t="s">
        <v>253</v>
      </c>
      <c r="D8" s="1">
        <v>1</v>
      </c>
      <c r="E8" s="7">
        <f>SUMIFS(Relatorio!G:G,Relatorio!E:E,Tabela13[[#This Row],[MATERIAL]],Relatorio!K:K,"Entrada")</f>
        <v>0</v>
      </c>
      <c r="F8" s="8">
        <f>SUMIFS(Relatorio!G:G,Relatorio!E:E,Tabela13[[#This Row],[MATERIAL]],Relatorio!K:K,"Saida")</f>
        <v>0</v>
      </c>
      <c r="G8" s="1">
        <f>(Tabela13[[#This Row],[ENTRADAS]]-Tabela13[[#This Row],[SAÍDAS]])</f>
        <v>0</v>
      </c>
    </row>
    <row r="9" spans="1:7">
      <c r="A9" s="19">
        <f>Tabela13[[#This Row],[MATERIAL]]</f>
        <v>50040691</v>
      </c>
      <c r="B9" s="1">
        <v>50040691</v>
      </c>
      <c r="C9" s="1" t="s">
        <v>252</v>
      </c>
      <c r="D9" s="1">
        <v>3</v>
      </c>
      <c r="E9" s="7">
        <f>SUMIFS(Relatorio!G:G,Relatorio!E:E,Tabela13[[#This Row],[MATERIAL]],Relatorio!K:K,"Entrada")</f>
        <v>1</v>
      </c>
      <c r="F9" s="8">
        <f>SUMIFS(Relatorio!G:G,Relatorio!E:E,Tabela13[[#This Row],[MATERIAL]],Relatorio!K:K,"Saida")</f>
        <v>1</v>
      </c>
      <c r="G9" s="1">
        <f>(Tabela13[[#This Row],[ENTRADAS]]-Tabela13[[#This Row],[SAÍDAS]])</f>
        <v>0</v>
      </c>
    </row>
    <row r="10" spans="1:7">
      <c r="A10" s="20">
        <f>Tabela13[[#This Row],[MATERIAL]]</f>
        <v>50018168</v>
      </c>
      <c r="B10" s="1">
        <v>50018168</v>
      </c>
      <c r="C10" s="1" t="s">
        <v>251</v>
      </c>
      <c r="D10" s="1">
        <v>1</v>
      </c>
      <c r="E10" s="7">
        <f>SUMIFS(Relatorio!G:G,Relatorio!E:E,Tabela13[[#This Row],[MATERIAL]],Relatorio!K:K,"Entrada")</f>
        <v>10</v>
      </c>
      <c r="F10" s="8">
        <f>SUMIFS(Relatorio!G:G,Relatorio!E:E,Tabela13[[#This Row],[MATERIAL]],Relatorio!K:K,"Saida")</f>
        <v>5</v>
      </c>
      <c r="G10" s="1">
        <f>(Tabela13[[#This Row],[ENTRADAS]]-Tabela13[[#This Row],[SAÍDAS]])</f>
        <v>5</v>
      </c>
    </row>
    <row r="11" spans="1:7">
      <c r="A11" s="19">
        <f>Tabela13[[#This Row],[MATERIAL]]</f>
        <v>50037933</v>
      </c>
      <c r="B11" s="1">
        <v>50037933</v>
      </c>
      <c r="C11" s="1" t="s">
        <v>250</v>
      </c>
      <c r="D11" s="1">
        <v>1</v>
      </c>
      <c r="E11" s="7">
        <f>SUMIFS(Relatorio!G:G,Relatorio!E:E,Tabela13[[#This Row],[MATERIAL]],Relatorio!K:K,"Entrada")</f>
        <v>25</v>
      </c>
      <c r="F11" s="8">
        <f>SUMIFS(Relatorio!G:G,Relatorio!E:E,Tabela13[[#This Row],[MATERIAL]],Relatorio!K:K,"Saida")</f>
        <v>28</v>
      </c>
      <c r="G11" s="1">
        <f>(Tabela13[[#This Row],[ENTRADAS]]-Tabela13[[#This Row],[SAÍDAS]])</f>
        <v>-3</v>
      </c>
    </row>
    <row r="12" spans="1:7">
      <c r="A12" s="20">
        <f>Tabela13[[#This Row],[MATERIAL]]</f>
        <v>50041194</v>
      </c>
      <c r="B12" s="1">
        <v>50041194</v>
      </c>
      <c r="C12" s="1" t="s">
        <v>249</v>
      </c>
      <c r="D12" s="1">
        <v>1</v>
      </c>
      <c r="E12" s="7">
        <f>SUMIFS(Relatorio!G:G,Relatorio!E:E,Tabela13[[#This Row],[MATERIAL]],Relatorio!K:K,"Entrada")</f>
        <v>11</v>
      </c>
      <c r="F12" s="8">
        <f>SUMIFS(Relatorio!G:G,Relatorio!E:E,Tabela13[[#This Row],[MATERIAL]],Relatorio!K:K,"Saida")</f>
        <v>16</v>
      </c>
      <c r="G12" s="1">
        <f>(Tabela13[[#This Row],[ENTRADAS]]-Tabela13[[#This Row],[SAÍDAS]])</f>
        <v>-5</v>
      </c>
    </row>
    <row r="13" spans="1:7" ht="15" thickBot="1">
      <c r="A13" s="21">
        <f>Tabela13[[#This Row],[MATERIAL]]</f>
        <v>50041095</v>
      </c>
      <c r="B13" s="1">
        <v>50041095</v>
      </c>
      <c r="C13" s="1" t="s">
        <v>248</v>
      </c>
      <c r="D13" s="1">
        <v>1</v>
      </c>
      <c r="E13" s="7">
        <f>SUMIFS(Relatorio!G:G,Relatorio!E:E,Tabela13[[#This Row],[MATERIAL]],Relatorio!K:K,"Entrada")</f>
        <v>6</v>
      </c>
      <c r="F13" s="8">
        <f>SUMIFS(Relatorio!G:G,Relatorio!E:E,Tabela13[[#This Row],[MATERIAL]],Relatorio!K:K,"Saida")</f>
        <v>6</v>
      </c>
      <c r="G13" s="1">
        <f>(Tabela13[[#This Row],[ENTRADAS]]-Tabela13[[#This Row],[SAÍDAS]])</f>
        <v>0</v>
      </c>
    </row>
    <row r="14" spans="1:7" ht="15" thickBot="1">
      <c r="A14" s="21">
        <f>Tabela13[[#This Row],[MATERIAL]]</f>
        <v>50042283</v>
      </c>
      <c r="B14" s="1">
        <v>50042283</v>
      </c>
      <c r="C14" s="1" t="s">
        <v>247</v>
      </c>
      <c r="D14" s="1">
        <v>1</v>
      </c>
      <c r="E14" s="7">
        <f>SUMIFS(Relatorio!G:G,Relatorio!E:E,Tabela13[[#This Row],[MATERIAL]],Relatorio!K:K,"Entrada")</f>
        <v>9</v>
      </c>
      <c r="F14" s="8">
        <f>SUMIFS(Relatorio!G:G,Relatorio!E:E,Tabela13[[#This Row],[MATERIAL]],Relatorio!K:K,"Saida")</f>
        <v>14</v>
      </c>
      <c r="G14" s="1">
        <f>(Tabela13[[#This Row],[ENTRADAS]]-Tabela13[[#This Row],[SAÍDAS]])</f>
        <v>-5</v>
      </c>
    </row>
    <row r="15" spans="1:7" ht="15" thickBot="1">
      <c r="A15" s="21">
        <f>Tabela13[[#This Row],[MATERIAL]]</f>
        <v>50043150</v>
      </c>
      <c r="B15" s="1">
        <v>50043150</v>
      </c>
      <c r="C15" s="1" t="s">
        <v>259</v>
      </c>
      <c r="D15" s="1">
        <v>1</v>
      </c>
      <c r="E15" s="7">
        <f>SUMIFS(Relatorio!G:G,Relatorio!E:E,Tabela13[[#This Row],[MATERIAL]],Relatorio!K:K,"Entrada")</f>
        <v>10</v>
      </c>
      <c r="F15" s="8">
        <f>SUMIFS(Relatorio!G:G,Relatorio!E:E,Tabela13[[#This Row],[MATERIAL]],Relatorio!K:K,"Saida")</f>
        <v>12</v>
      </c>
      <c r="G15" s="1">
        <f>(Tabela13[[#This Row],[ENTRADAS]]-Tabela13[[#This Row],[SAÍDAS]])</f>
        <v>-2</v>
      </c>
    </row>
    <row r="16" spans="1:7" ht="15" thickBot="1">
      <c r="A16" s="21">
        <f>Tabela13[[#This Row],[MATERIAL]]</f>
        <v>50037932</v>
      </c>
      <c r="B16" s="1">
        <v>50037932</v>
      </c>
      <c r="C16" s="1" t="s">
        <v>246</v>
      </c>
      <c r="D16" s="1">
        <v>1</v>
      </c>
      <c r="E16" s="7">
        <f>SUMIFS(Relatorio!G:G,Relatorio!E:E,Tabela13[[#This Row],[MATERIAL]],Relatorio!K:K,"Entrada")</f>
        <v>0</v>
      </c>
      <c r="F16" s="8">
        <f>SUMIFS(Relatorio!G:G,Relatorio!E:E,Tabela13[[#This Row],[MATERIAL]],Relatorio!K:K,"Saida")</f>
        <v>0</v>
      </c>
      <c r="G16" s="1">
        <f>(Tabela13[[#This Row],[ENTRADAS]]-Tabela13[[#This Row],[SAÍDAS]])</f>
        <v>0</v>
      </c>
    </row>
    <row r="17" spans="1:7" ht="15" thickBot="1">
      <c r="A17" s="21">
        <f>Tabela13[[#This Row],[MATERIAL]]</f>
        <v>50037952</v>
      </c>
      <c r="B17" s="1">
        <v>50037952</v>
      </c>
      <c r="C17" s="1" t="s">
        <v>245</v>
      </c>
      <c r="D17" s="1">
        <v>1</v>
      </c>
      <c r="E17" s="7">
        <f>SUMIFS(Relatorio!G:G,Relatorio!E:E,Tabela13[[#This Row],[MATERIAL]],Relatorio!K:K,"Entrada")</f>
        <v>8</v>
      </c>
      <c r="F17" s="8">
        <f>SUMIFS(Relatorio!G:G,Relatorio!E:E,Tabela13[[#This Row],[MATERIAL]],Relatorio!K:K,"Saida")</f>
        <v>15</v>
      </c>
      <c r="G17" s="1">
        <f>(Tabela13[[#This Row],[ENTRADAS]]-Tabela13[[#This Row],[SAÍDAS]])</f>
        <v>-7</v>
      </c>
    </row>
    <row r="18" spans="1:7" ht="15" thickBot="1">
      <c r="A18" s="21">
        <f>Tabela13[[#This Row],[MATERIAL]]</f>
        <v>50037919</v>
      </c>
      <c r="B18" s="1">
        <v>50037919</v>
      </c>
      <c r="C18" s="1" t="s">
        <v>244</v>
      </c>
      <c r="D18" s="1">
        <v>1</v>
      </c>
      <c r="E18" s="7">
        <f>SUMIFS(Relatorio!G:G,Relatorio!E:E,Tabela13[[#This Row],[MATERIAL]],Relatorio!K:K,"Entrada")</f>
        <v>0</v>
      </c>
      <c r="F18" s="8">
        <f>SUMIFS(Relatorio!G:G,Relatorio!E:E,Tabela13[[#This Row],[MATERIAL]],Relatorio!K:K,"Saida")</f>
        <v>0</v>
      </c>
      <c r="G18" s="1">
        <f>(Tabela13[[#This Row],[ENTRADAS]]-Tabela13[[#This Row],[SAÍDAS]])</f>
        <v>0</v>
      </c>
    </row>
    <row r="19" spans="1:7" ht="15" thickBot="1">
      <c r="A19" s="21">
        <f>Tabela13[[#This Row],[MATERIAL]]</f>
        <v>50037920</v>
      </c>
      <c r="B19" s="1">
        <v>50037920</v>
      </c>
      <c r="C19" s="1" t="s">
        <v>243</v>
      </c>
      <c r="D19" s="1">
        <v>1</v>
      </c>
      <c r="E19" s="7">
        <f>SUMIFS(Relatorio!G:G,Relatorio!E:E,Tabela13[[#This Row],[MATERIAL]],Relatorio!K:K,"Entrada")</f>
        <v>2</v>
      </c>
      <c r="F19" s="8">
        <f>SUMIFS(Relatorio!G:G,Relatorio!E:E,Tabela13[[#This Row],[MATERIAL]],Relatorio!K:K,"Saida")</f>
        <v>0</v>
      </c>
      <c r="G19" s="1">
        <f>(Tabela13[[#This Row],[ENTRADAS]]-Tabela13[[#This Row],[SAÍDAS]])</f>
        <v>2</v>
      </c>
    </row>
    <row r="20" spans="1:7" ht="15" thickBot="1">
      <c r="A20" s="21">
        <f>Tabela13[[#This Row],[MATERIAL]]</f>
        <v>50028220</v>
      </c>
      <c r="B20" s="1">
        <v>50028220</v>
      </c>
      <c r="C20" s="1" t="s">
        <v>242</v>
      </c>
      <c r="D20" s="1">
        <v>1</v>
      </c>
      <c r="E20" s="7">
        <f>SUMIFS(Relatorio!G:G,Relatorio!E:E,Tabela13[[#This Row],[MATERIAL]],Relatorio!K:K,"Entrada")</f>
        <v>26</v>
      </c>
      <c r="F20" s="8">
        <f>SUMIFS(Relatorio!G:G,Relatorio!E:E,Tabela13[[#This Row],[MATERIAL]],Relatorio!K:K,"Saida")</f>
        <v>40</v>
      </c>
      <c r="G20" s="1">
        <f>(Tabela13[[#This Row],[ENTRADAS]]-Tabela13[[#This Row],[SAÍDAS]])</f>
        <v>-14</v>
      </c>
    </row>
    <row r="21" spans="1:7" ht="15" thickBot="1">
      <c r="A21" s="21">
        <f>Tabela13[[#This Row],[MATERIAL]]</f>
        <v>50038618</v>
      </c>
      <c r="B21" s="1">
        <v>50038618</v>
      </c>
      <c r="C21" s="1" t="s">
        <v>241</v>
      </c>
      <c r="D21" s="1">
        <v>1</v>
      </c>
      <c r="E21" s="7">
        <f>SUMIFS(Relatorio!G:G,Relatorio!E:E,Tabela13[[#This Row],[MATERIAL]],Relatorio!K:K,"Entrada")</f>
        <v>5</v>
      </c>
      <c r="F21" s="8">
        <f>SUMIFS(Relatorio!G:G,Relatorio!E:E,Tabela13[[#This Row],[MATERIAL]],Relatorio!K:K,"Saida")</f>
        <v>5</v>
      </c>
      <c r="G21" s="1">
        <f>(Tabela13[[#This Row],[ENTRADAS]]-Tabela13[[#This Row],[SAÍDAS]])</f>
        <v>0</v>
      </c>
    </row>
    <row r="22" spans="1:7" ht="15" thickBot="1">
      <c r="A22" s="21">
        <f>Tabela13[[#This Row],[MATERIAL]]</f>
        <v>50037900</v>
      </c>
      <c r="B22" s="1">
        <v>50037900</v>
      </c>
      <c r="C22" s="1" t="s">
        <v>240</v>
      </c>
      <c r="D22" s="1">
        <v>1</v>
      </c>
      <c r="E22" s="7">
        <f>SUMIFS(Relatorio!G:G,Relatorio!E:E,Tabela13[[#This Row],[MATERIAL]],Relatorio!K:K,"Entrada")</f>
        <v>5</v>
      </c>
      <c r="F22" s="8">
        <f>SUMIFS(Relatorio!G:G,Relatorio!E:E,Tabela13[[#This Row],[MATERIAL]],Relatorio!K:K,"Saida")</f>
        <v>7</v>
      </c>
      <c r="G22" s="1">
        <f>(Tabela13[[#This Row],[ENTRADAS]]-Tabela13[[#This Row],[SAÍDAS]])</f>
        <v>-2</v>
      </c>
    </row>
    <row r="23" spans="1:7" ht="15" thickBot="1">
      <c r="A23" s="21">
        <f>Tabela13[[#This Row],[MATERIAL]]</f>
        <v>50038195</v>
      </c>
      <c r="B23" s="1">
        <v>50038195</v>
      </c>
      <c r="C23" s="1" t="s">
        <v>239</v>
      </c>
      <c r="D23" s="1">
        <v>1</v>
      </c>
      <c r="E23" s="7">
        <f>SUMIFS(Relatorio!G:G,Relatorio!E:E,Tabela13[[#This Row],[MATERIAL]],Relatorio!K:K,"Entrada")</f>
        <v>15</v>
      </c>
      <c r="F23" s="8">
        <f>SUMIFS(Relatorio!G:G,Relatorio!E:E,Tabela13[[#This Row],[MATERIAL]],Relatorio!K:K,"Saida")</f>
        <v>8</v>
      </c>
      <c r="G23" s="1">
        <f>(Tabela13[[#This Row],[ENTRADAS]]-Tabela13[[#This Row],[SAÍDAS]])</f>
        <v>7</v>
      </c>
    </row>
    <row r="24" spans="1:7" ht="15" thickBot="1">
      <c r="A24" s="21">
        <f>Tabela13[[#This Row],[MATERIAL]]</f>
        <v>50038194</v>
      </c>
      <c r="B24" s="1">
        <v>50038194</v>
      </c>
      <c r="C24" s="1" t="s">
        <v>238</v>
      </c>
      <c r="D24" s="1">
        <v>1</v>
      </c>
      <c r="E24" s="7">
        <f>SUMIFS(Relatorio!G:G,Relatorio!E:E,Tabela13[[#This Row],[MATERIAL]],Relatorio!K:K,"Entrada")</f>
        <v>14</v>
      </c>
      <c r="F24" s="8">
        <f>SUMIFS(Relatorio!G:G,Relatorio!E:E,Tabela13[[#This Row],[MATERIAL]],Relatorio!K:K,"Saida")</f>
        <v>16</v>
      </c>
      <c r="G24" s="1">
        <f>(Tabela13[[#This Row],[ENTRADAS]]-Tabela13[[#This Row],[SAÍDAS]])</f>
        <v>-2</v>
      </c>
    </row>
    <row r="25" spans="1:7" ht="15" thickBot="1">
      <c r="A25" s="21">
        <f>Tabela13[[#This Row],[MATERIAL]]</f>
        <v>50032781</v>
      </c>
      <c r="B25" s="1">
        <v>50032781</v>
      </c>
      <c r="C25" s="1" t="s">
        <v>237</v>
      </c>
      <c r="D25" s="1">
        <v>1</v>
      </c>
      <c r="E25" s="7">
        <f>SUMIFS(Relatorio!G:G,Relatorio!E:E,Tabela13[[#This Row],[MATERIAL]],Relatorio!K:K,"Entrada")</f>
        <v>56</v>
      </c>
      <c r="F25" s="8">
        <f>SUMIFS(Relatorio!G:G,Relatorio!E:E,Tabela13[[#This Row],[MATERIAL]],Relatorio!K:K,"Saida")</f>
        <v>81</v>
      </c>
      <c r="G25" s="1">
        <f>(Tabela13[[#This Row],[ENTRADAS]]-Tabela13[[#This Row],[SAÍDAS]])</f>
        <v>-25</v>
      </c>
    </row>
    <row r="26" spans="1:7" ht="15" thickBot="1">
      <c r="A26" s="21">
        <f>Tabela13[[#This Row],[MATERIAL]]</f>
        <v>50037901</v>
      </c>
      <c r="B26" s="1">
        <v>50037901</v>
      </c>
      <c r="C26" s="1" t="s">
        <v>236</v>
      </c>
      <c r="D26" s="1">
        <v>1</v>
      </c>
      <c r="E26" s="7">
        <f>SUMIFS(Relatorio!G:G,Relatorio!E:E,Tabela13[[#This Row],[MATERIAL]],Relatorio!K:K,"Entrada")</f>
        <v>0</v>
      </c>
      <c r="F26" s="8">
        <f>SUMIFS(Relatorio!G:G,Relatorio!E:E,Tabela13[[#This Row],[MATERIAL]],Relatorio!K:K,"Saida")</f>
        <v>0</v>
      </c>
      <c r="G26" s="1">
        <f>(Tabela13[[#This Row],[ENTRADAS]]-Tabela13[[#This Row],[SAÍDAS]])</f>
        <v>0</v>
      </c>
    </row>
    <row r="27" spans="1:7" ht="15" thickBot="1">
      <c r="A27" s="21">
        <f>Tabela13[[#This Row],[MATERIAL]]</f>
        <v>50038840</v>
      </c>
      <c r="B27" s="1">
        <v>50038840</v>
      </c>
      <c r="C27" s="1" t="s">
        <v>235</v>
      </c>
      <c r="D27" s="1">
        <v>1</v>
      </c>
      <c r="E27" s="7">
        <f>SUMIFS(Relatorio!G:G,Relatorio!E:E,Tabela13[[#This Row],[MATERIAL]],Relatorio!K:K,"Entrada")</f>
        <v>12</v>
      </c>
      <c r="F27" s="8">
        <f>SUMIFS(Relatorio!G:G,Relatorio!E:E,Tabela13[[#This Row],[MATERIAL]],Relatorio!K:K,"Saida")</f>
        <v>16</v>
      </c>
      <c r="G27" s="1">
        <f>(Tabela13[[#This Row],[ENTRADAS]]-Tabela13[[#This Row],[SAÍDAS]])</f>
        <v>-4</v>
      </c>
    </row>
    <row r="28" spans="1:7" ht="15" thickBot="1">
      <c r="A28" s="21">
        <f>Tabela13[[#This Row],[MATERIAL]]</f>
        <v>50038845</v>
      </c>
      <c r="B28" s="1">
        <v>50038845</v>
      </c>
      <c r="C28" s="1" t="s">
        <v>234</v>
      </c>
      <c r="D28" s="1">
        <v>1</v>
      </c>
      <c r="E28" s="7">
        <f>SUMIFS(Relatorio!G:G,Relatorio!E:E,Tabela13[[#This Row],[MATERIAL]],Relatorio!K:K,"Entrada")</f>
        <v>3</v>
      </c>
      <c r="F28" s="8">
        <f>SUMIFS(Relatorio!G:G,Relatorio!E:E,Tabela13[[#This Row],[MATERIAL]],Relatorio!K:K,"Saida")</f>
        <v>5</v>
      </c>
      <c r="G28" s="1">
        <f>(Tabela13[[#This Row],[ENTRADAS]]-Tabela13[[#This Row],[SAÍDAS]])</f>
        <v>-2</v>
      </c>
    </row>
    <row r="29" spans="1:7" ht="15" thickBot="1">
      <c r="A29" s="21">
        <f>Tabela13[[#This Row],[MATERIAL]]</f>
        <v>50037949</v>
      </c>
      <c r="B29" s="1">
        <v>50037949</v>
      </c>
      <c r="C29" s="1" t="s">
        <v>233</v>
      </c>
      <c r="D29" s="1">
        <v>1</v>
      </c>
      <c r="E29" s="7">
        <f>SUMIFS(Relatorio!G:G,Relatorio!E:E,Tabela13[[#This Row],[MATERIAL]],Relatorio!K:K,"Entrada")</f>
        <v>3</v>
      </c>
      <c r="F29" s="8">
        <f>SUMIFS(Relatorio!G:G,Relatorio!E:E,Tabela13[[#This Row],[MATERIAL]],Relatorio!K:K,"Saida")</f>
        <v>3</v>
      </c>
      <c r="G29" s="1">
        <f>(Tabela13[[#This Row],[ENTRADAS]]-Tabela13[[#This Row],[SAÍDAS]])</f>
        <v>0</v>
      </c>
    </row>
    <row r="30" spans="1:7" ht="15" thickBot="1">
      <c r="A30" s="21">
        <f>Tabela13[[#This Row],[MATERIAL]]</f>
        <v>50037948</v>
      </c>
      <c r="B30" s="1">
        <v>50037948</v>
      </c>
      <c r="C30" s="1" t="s">
        <v>232</v>
      </c>
      <c r="D30" s="1">
        <v>1</v>
      </c>
      <c r="E30" s="7">
        <f>SUMIFS(Relatorio!G:G,Relatorio!E:E,Tabela13[[#This Row],[MATERIAL]],Relatorio!K:K,"Entrada")</f>
        <v>1</v>
      </c>
      <c r="F30" s="8">
        <f>SUMIFS(Relatorio!G:G,Relatorio!E:E,Tabela13[[#This Row],[MATERIAL]],Relatorio!K:K,"Saida")</f>
        <v>3</v>
      </c>
      <c r="G30" s="1">
        <f>(Tabela13[[#This Row],[ENTRADAS]]-Tabela13[[#This Row],[SAÍDAS]])</f>
        <v>-2</v>
      </c>
    </row>
    <row r="31" spans="1:7" ht="15" thickBot="1">
      <c r="A31" s="21">
        <f>Tabela13[[#This Row],[MATERIAL]]</f>
        <v>50037947</v>
      </c>
      <c r="B31" s="1">
        <v>50037947</v>
      </c>
      <c r="C31" s="1" t="s">
        <v>231</v>
      </c>
      <c r="D31" s="1">
        <v>1</v>
      </c>
      <c r="E31" s="7">
        <f>SUMIFS(Relatorio!G:G,Relatorio!E:E,Tabela13[[#This Row],[MATERIAL]],Relatorio!K:K,"Entrada")</f>
        <v>0</v>
      </c>
      <c r="F31" s="8">
        <f>SUMIFS(Relatorio!G:G,Relatorio!E:E,Tabela13[[#This Row],[MATERIAL]],Relatorio!K:K,"Saida")</f>
        <v>0</v>
      </c>
      <c r="G31" s="1">
        <f>(Tabela13[[#This Row],[ENTRADAS]]-Tabela13[[#This Row],[SAÍDAS]])</f>
        <v>0</v>
      </c>
    </row>
    <row r="32" spans="1:7" ht="15" thickBot="1">
      <c r="A32" s="21">
        <f>Tabela13[[#This Row],[MATERIAL]]</f>
        <v>50037946</v>
      </c>
      <c r="B32" s="1">
        <v>50037946</v>
      </c>
      <c r="C32" s="1" t="s">
        <v>230</v>
      </c>
      <c r="D32" s="1">
        <v>1</v>
      </c>
      <c r="E32" s="7">
        <f>SUMIFS(Relatorio!G:G,Relatorio!E:E,Tabela13[[#This Row],[MATERIAL]],Relatorio!K:K,"Entrada")</f>
        <v>3</v>
      </c>
      <c r="F32" s="8">
        <f>SUMIFS(Relatorio!G:G,Relatorio!E:E,Tabela13[[#This Row],[MATERIAL]],Relatorio!K:K,"Saida")</f>
        <v>1</v>
      </c>
      <c r="G32" s="1">
        <f>(Tabela13[[#This Row],[ENTRADAS]]-Tabela13[[#This Row],[SAÍDAS]])</f>
        <v>2</v>
      </c>
    </row>
    <row r="33" spans="1:7" ht="15" thickBot="1">
      <c r="A33" s="21">
        <f>Tabela13[[#This Row],[MATERIAL]]</f>
        <v>50037945</v>
      </c>
      <c r="B33" s="1">
        <v>50037945</v>
      </c>
      <c r="C33" s="1" t="s">
        <v>229</v>
      </c>
      <c r="D33" s="1">
        <v>1</v>
      </c>
      <c r="E33" s="7">
        <f>SUMIFS(Relatorio!G:G,Relatorio!E:E,Tabela13[[#This Row],[MATERIAL]],Relatorio!K:K,"Entrada")</f>
        <v>0</v>
      </c>
      <c r="F33" s="8">
        <f>SUMIFS(Relatorio!G:G,Relatorio!E:E,Tabela13[[#This Row],[MATERIAL]],Relatorio!K:K,"Saida")</f>
        <v>0</v>
      </c>
      <c r="G33" s="1">
        <f>(Tabela13[[#This Row],[ENTRADAS]]-Tabela13[[#This Row],[SAÍDAS]])</f>
        <v>0</v>
      </c>
    </row>
    <row r="34" spans="1:7" ht="15" thickBot="1">
      <c r="A34" s="21">
        <f>Tabela13[[#This Row],[MATERIAL]]</f>
        <v>50037944</v>
      </c>
      <c r="B34" s="1">
        <v>50037944</v>
      </c>
      <c r="C34" s="1" t="s">
        <v>228</v>
      </c>
      <c r="D34" s="1">
        <v>1</v>
      </c>
      <c r="E34" s="7">
        <f>SUMIFS(Relatorio!G:G,Relatorio!E:E,Tabela13[[#This Row],[MATERIAL]],Relatorio!K:K,"Entrada")</f>
        <v>0</v>
      </c>
      <c r="F34" s="8">
        <f>SUMIFS(Relatorio!G:G,Relatorio!E:E,Tabela13[[#This Row],[MATERIAL]],Relatorio!K:K,"Saida")</f>
        <v>2</v>
      </c>
      <c r="G34" s="1">
        <f>(Tabela13[[#This Row],[ENTRADAS]]-Tabela13[[#This Row],[SAÍDAS]])</f>
        <v>-2</v>
      </c>
    </row>
    <row r="35" spans="1:7" ht="15" thickBot="1">
      <c r="A35" s="21">
        <f>Tabela13[[#This Row],[MATERIAL]]</f>
        <v>50037943</v>
      </c>
      <c r="B35" s="1">
        <v>50037943</v>
      </c>
      <c r="C35" s="1" t="s">
        <v>227</v>
      </c>
      <c r="D35" s="1">
        <v>1</v>
      </c>
      <c r="E35" s="7">
        <f>SUMIFS(Relatorio!G:G,Relatorio!E:E,Tabela13[[#This Row],[MATERIAL]],Relatorio!K:K,"Entrada")</f>
        <v>2</v>
      </c>
      <c r="F35" s="8">
        <f>SUMIFS(Relatorio!G:G,Relatorio!E:E,Tabela13[[#This Row],[MATERIAL]],Relatorio!K:K,"Saida")</f>
        <v>2</v>
      </c>
      <c r="G35" s="1">
        <f>(Tabela13[[#This Row],[ENTRADAS]]-Tabela13[[#This Row],[SAÍDAS]])</f>
        <v>0</v>
      </c>
    </row>
    <row r="36" spans="1:7" ht="15" thickBot="1">
      <c r="A36" s="21">
        <f>Tabela13[[#This Row],[MATERIAL]]</f>
        <v>50037895</v>
      </c>
      <c r="B36" s="1">
        <v>50037895</v>
      </c>
      <c r="C36" s="1" t="s">
        <v>226</v>
      </c>
      <c r="D36" s="1">
        <v>1</v>
      </c>
      <c r="E36" s="7">
        <f>SUMIFS(Relatorio!G:G,Relatorio!E:E,Tabela13[[#This Row],[MATERIAL]],Relatorio!K:K,"Entrada")</f>
        <v>1</v>
      </c>
      <c r="F36" s="8">
        <f>SUMIFS(Relatorio!G:G,Relatorio!E:E,Tabela13[[#This Row],[MATERIAL]],Relatorio!K:K,"Saida")</f>
        <v>1</v>
      </c>
      <c r="G36" s="1">
        <f>(Tabela13[[#This Row],[ENTRADAS]]-Tabela13[[#This Row],[SAÍDAS]])</f>
        <v>0</v>
      </c>
    </row>
    <row r="37" spans="1:7" ht="15" thickBot="1">
      <c r="A37" s="21">
        <f>Tabela13[[#This Row],[MATERIAL]]</f>
        <v>50044453</v>
      </c>
      <c r="B37" s="1">
        <v>50044453</v>
      </c>
      <c r="C37" s="1" t="s">
        <v>320</v>
      </c>
      <c r="D37" s="1">
        <v>1</v>
      </c>
      <c r="E37" s="7">
        <f>SUMIFS(Relatorio!G:G,Relatorio!E:E,Tabela13[[#This Row],[MATERIAL]],Relatorio!K:K,"Entrada")</f>
        <v>8</v>
      </c>
      <c r="F37" s="8">
        <f>SUMIFS(Relatorio!G:G,Relatorio!E:E,Tabela13[[#This Row],[MATERIAL]],Relatorio!K:K,"Saida")</f>
        <v>6</v>
      </c>
      <c r="G37" s="1">
        <f>(Tabela13[[#This Row],[ENTRADAS]]-Tabela13[[#This Row],[SAÍDAS]])</f>
        <v>2</v>
      </c>
    </row>
    <row r="38" spans="1:7" ht="15" thickBot="1">
      <c r="A38" s="21">
        <f>Tabela13[[#This Row],[MATERIAL]]</f>
        <v>50032775</v>
      </c>
      <c r="B38" s="1">
        <v>50032775</v>
      </c>
      <c r="C38" s="1" t="s">
        <v>307</v>
      </c>
      <c r="D38" s="1">
        <v>1</v>
      </c>
      <c r="E38" s="7">
        <f>SUMIFS(Relatorio!G:G,Relatorio!E:E,Tabela13[[#This Row],[MATERIAL]],Relatorio!K:K,"Entrada")</f>
        <v>13</v>
      </c>
      <c r="F38" s="8">
        <f>SUMIFS(Relatorio!G:G,Relatorio!E:E,Tabela13[[#This Row],[MATERIAL]],Relatorio!K:K,"Saida")</f>
        <v>21</v>
      </c>
      <c r="G38" s="1">
        <f>(Tabela13[[#This Row],[ENTRADAS]]-Tabela13[[#This Row],[SAÍDAS]])</f>
        <v>-8</v>
      </c>
    </row>
    <row r="39" spans="1:7" ht="15" thickBot="1">
      <c r="A39" s="21">
        <f>Tabela13[[#This Row],[MATERIAL]]</f>
        <v>50012902</v>
      </c>
      <c r="B39" s="1">
        <v>50012902</v>
      </c>
      <c r="C39" s="1" t="s">
        <v>225</v>
      </c>
      <c r="D39" s="1">
        <v>1</v>
      </c>
      <c r="E39" s="7">
        <f>SUMIFS(Relatorio!G:G,Relatorio!E:E,Tabela13[[#This Row],[MATERIAL]],Relatorio!K:K,"Entrada")</f>
        <v>30</v>
      </c>
      <c r="F39" s="8">
        <f>SUMIFS(Relatorio!G:G,Relatorio!E:E,Tabela13[[#This Row],[MATERIAL]],Relatorio!K:K,"Saida")</f>
        <v>33</v>
      </c>
      <c r="G39" s="1">
        <f>(Tabela13[[#This Row],[ENTRADAS]]-Tabela13[[#This Row],[SAÍDAS]])</f>
        <v>-3</v>
      </c>
    </row>
    <row r="40" spans="1:7" ht="15" thickBot="1">
      <c r="A40" s="21">
        <f>Tabela13[[#This Row],[MATERIAL]]</f>
        <v>50012903</v>
      </c>
      <c r="B40" s="1">
        <v>50012903</v>
      </c>
      <c r="C40" s="1" t="s">
        <v>308</v>
      </c>
      <c r="D40" s="1">
        <v>1</v>
      </c>
      <c r="E40" s="7">
        <f>SUMIFS(Relatorio!G:G,Relatorio!E:E,Tabela13[[#This Row],[MATERIAL]],Relatorio!K:K,"Entrada")</f>
        <v>10</v>
      </c>
      <c r="F40" s="8">
        <f>SUMIFS(Relatorio!G:G,Relatorio!E:E,Tabela13[[#This Row],[MATERIAL]],Relatorio!K:K,"Saida")</f>
        <v>16</v>
      </c>
      <c r="G40" s="1">
        <f>(Tabela13[[#This Row],[ENTRADAS]]-Tabela13[[#This Row],[SAÍDAS]])</f>
        <v>-6</v>
      </c>
    </row>
    <row r="41" spans="1:7" ht="15" thickBot="1">
      <c r="A41" s="21">
        <f>Tabela13[[#This Row],[MATERIAL]]</f>
        <v>50007151</v>
      </c>
      <c r="B41" s="1">
        <v>50007151</v>
      </c>
      <c r="C41" s="1" t="s">
        <v>223</v>
      </c>
      <c r="D41" s="1">
        <v>1</v>
      </c>
      <c r="E41" s="7">
        <f>SUMIFS(Relatorio!G:G,Relatorio!E:E,Tabela13[[#This Row],[MATERIAL]],Relatorio!K:K,"Entrada")</f>
        <v>1</v>
      </c>
      <c r="F41" s="8">
        <f>SUMIFS(Relatorio!G:G,Relatorio!E:E,Tabela13[[#This Row],[MATERIAL]],Relatorio!K:K,"Saida")</f>
        <v>2</v>
      </c>
      <c r="G41" s="1">
        <f>(Tabela13[[#This Row],[ENTRADAS]]-Tabela13[[#This Row],[SAÍDAS]])</f>
        <v>-1</v>
      </c>
    </row>
    <row r="42" spans="1:7" ht="15" thickBot="1">
      <c r="A42" s="21">
        <f>Tabela13[[#This Row],[MATERIAL]]</f>
        <v>50037936</v>
      </c>
      <c r="B42" s="1">
        <v>50037936</v>
      </c>
      <c r="C42" s="1" t="s">
        <v>222</v>
      </c>
      <c r="D42" s="1">
        <v>1</v>
      </c>
      <c r="E42" s="7">
        <f>SUMIFS(Relatorio!G:G,Relatorio!E:E,Tabela13[[#This Row],[MATERIAL]],Relatorio!K:K,"Entrada")</f>
        <v>0</v>
      </c>
      <c r="F42" s="8">
        <f>SUMIFS(Relatorio!G:G,Relatorio!E:E,Tabela13[[#This Row],[MATERIAL]],Relatorio!K:K,"Saida")</f>
        <v>0</v>
      </c>
      <c r="G42" s="1">
        <f>(Tabela13[[#This Row],[ENTRADAS]]-Tabela13[[#This Row],[SAÍDAS]])</f>
        <v>0</v>
      </c>
    </row>
    <row r="43" spans="1:7" ht="15" thickBot="1">
      <c r="A43" s="21">
        <f>Tabela13[[#This Row],[MATERIAL]]</f>
        <v>50004486</v>
      </c>
      <c r="B43" s="1">
        <v>50004486</v>
      </c>
      <c r="C43" s="1" t="s">
        <v>221</v>
      </c>
      <c r="D43" s="1">
        <v>1</v>
      </c>
      <c r="E43" s="7">
        <f>SUMIFS(Relatorio!G:G,Relatorio!E:E,Tabela13[[#This Row],[MATERIAL]],Relatorio!K:K,"Entrada")</f>
        <v>26</v>
      </c>
      <c r="F43" s="8">
        <f>SUMIFS(Relatorio!G:G,Relatorio!E:E,Tabela13[[#This Row],[MATERIAL]],Relatorio!K:K,"Saida")</f>
        <v>33</v>
      </c>
      <c r="G43" s="1">
        <f>(Tabela13[[#This Row],[ENTRADAS]]-Tabela13[[#This Row],[SAÍDAS]])</f>
        <v>-7</v>
      </c>
    </row>
    <row r="44" spans="1:7" ht="15" thickBot="1">
      <c r="A44" s="21">
        <f>Tabela13[[#This Row],[MATERIAL]]</f>
        <v>50037962</v>
      </c>
      <c r="B44" s="1">
        <v>50037962</v>
      </c>
      <c r="C44" s="1" t="s">
        <v>220</v>
      </c>
      <c r="D44" s="1">
        <v>1</v>
      </c>
      <c r="E44" s="7">
        <f>SUMIFS(Relatorio!G:G,Relatorio!E:E,Tabela13[[#This Row],[MATERIAL]],Relatorio!K:K,"Entrada")</f>
        <v>0</v>
      </c>
      <c r="F44" s="8">
        <f>SUMIFS(Relatorio!G:G,Relatorio!E:E,Tabela13[[#This Row],[MATERIAL]],Relatorio!K:K,"Saida")</f>
        <v>0</v>
      </c>
      <c r="G44" s="1">
        <f>(Tabela13[[#This Row],[ENTRADAS]]-Tabela13[[#This Row],[SAÍDAS]])</f>
        <v>0</v>
      </c>
    </row>
    <row r="45" spans="1:7" ht="15" thickBot="1">
      <c r="A45" s="21">
        <f>Tabela13[[#This Row],[MATERIAL]]</f>
        <v>50042059</v>
      </c>
      <c r="B45" s="1">
        <v>50042059</v>
      </c>
      <c r="C45" s="1" t="s">
        <v>219</v>
      </c>
      <c r="D45" s="1">
        <v>1</v>
      </c>
      <c r="E45" s="7">
        <f>SUMIFS(Relatorio!G:G,Relatorio!E:E,Tabela13[[#This Row],[MATERIAL]],Relatorio!K:K,"Entrada")</f>
        <v>0</v>
      </c>
      <c r="F45" s="8">
        <f>SUMIFS(Relatorio!G:G,Relatorio!E:E,Tabela13[[#This Row],[MATERIAL]],Relatorio!K:K,"Saida")</f>
        <v>0</v>
      </c>
      <c r="G45" s="1">
        <f>(Tabela13[[#This Row],[ENTRADAS]]-Tabela13[[#This Row],[SAÍDAS]])</f>
        <v>0</v>
      </c>
    </row>
    <row r="46" spans="1:7" ht="15" thickBot="1">
      <c r="A46" s="21">
        <f>Tabela13[[#This Row],[MATERIAL]]</f>
        <v>50037915</v>
      </c>
      <c r="B46" s="1">
        <v>50037915</v>
      </c>
      <c r="C46" s="1" t="s">
        <v>218</v>
      </c>
      <c r="D46" s="1">
        <v>1</v>
      </c>
      <c r="E46" s="7">
        <f>SUMIFS(Relatorio!G:G,Relatorio!E:E,Tabela13[[#This Row],[MATERIAL]],Relatorio!K:K,"Entrada")</f>
        <v>0</v>
      </c>
      <c r="F46" s="8">
        <f>SUMIFS(Relatorio!G:G,Relatorio!E:E,Tabela13[[#This Row],[MATERIAL]],Relatorio!K:K,"Saida")</f>
        <v>0</v>
      </c>
      <c r="G46" s="1">
        <f>(Tabela13[[#This Row],[ENTRADAS]]-Tabela13[[#This Row],[SAÍDAS]])</f>
        <v>0</v>
      </c>
    </row>
    <row r="47" spans="1:7" ht="15" thickBot="1">
      <c r="A47" s="21">
        <f>Tabela13[[#This Row],[MATERIAL]]</f>
        <v>50020622</v>
      </c>
      <c r="B47" s="1">
        <v>50020622</v>
      </c>
      <c r="C47" s="1" t="s">
        <v>217</v>
      </c>
      <c r="D47" s="1">
        <v>1</v>
      </c>
      <c r="E47" s="7">
        <f>SUMIFS(Relatorio!G:G,Relatorio!E:E,Tabela13[[#This Row],[MATERIAL]],Relatorio!K:K,"Entrada")</f>
        <v>25</v>
      </c>
      <c r="F47" s="8">
        <f>SUMIFS(Relatorio!G:G,Relatorio!E:E,Tabela13[[#This Row],[MATERIAL]],Relatorio!K:K,"Saida")</f>
        <v>23</v>
      </c>
      <c r="G47" s="1">
        <f>(Tabela13[[#This Row],[ENTRADAS]]-Tabela13[[#This Row],[SAÍDAS]])</f>
        <v>2</v>
      </c>
    </row>
    <row r="48" spans="1:7" ht="15" thickBot="1">
      <c r="A48" s="21">
        <f>Tabela13[[#This Row],[MATERIAL]]</f>
        <v>50020623</v>
      </c>
      <c r="B48" s="1">
        <v>50020623</v>
      </c>
      <c r="C48" s="1" t="s">
        <v>217</v>
      </c>
      <c r="D48" s="1">
        <v>1</v>
      </c>
      <c r="E48" s="7">
        <f>SUMIFS(Relatorio!G:G,Relatorio!E:E,Tabela13[[#This Row],[MATERIAL]],Relatorio!K:K,"Entrada")</f>
        <v>23</v>
      </c>
      <c r="F48" s="8">
        <f>SUMIFS(Relatorio!G:G,Relatorio!E:E,Tabela13[[#This Row],[MATERIAL]],Relatorio!K:K,"Saida")</f>
        <v>28</v>
      </c>
      <c r="G48" s="1">
        <f>(Tabela13[[#This Row],[ENTRADAS]]-Tabela13[[#This Row],[SAÍDAS]])</f>
        <v>-5</v>
      </c>
    </row>
    <row r="49" spans="1:7" ht="15" thickBot="1">
      <c r="A49" s="21">
        <f>Tabela13[[#This Row],[MATERIAL]]</f>
        <v>50020624</v>
      </c>
      <c r="B49" s="1">
        <v>50020624</v>
      </c>
      <c r="C49" s="1" t="s">
        <v>217</v>
      </c>
      <c r="D49" s="1">
        <v>1</v>
      </c>
      <c r="E49" s="7">
        <f>SUMIFS(Relatorio!G:G,Relatorio!E:E,Tabela13[[#This Row],[MATERIAL]],Relatorio!K:K,"Entrada")</f>
        <v>13</v>
      </c>
      <c r="F49" s="8">
        <f>SUMIFS(Relatorio!G:G,Relatorio!E:E,Tabela13[[#This Row],[MATERIAL]],Relatorio!K:K,"Saida")</f>
        <v>11</v>
      </c>
      <c r="G49" s="1">
        <f>(Tabela13[[#This Row],[ENTRADAS]]-Tabela13[[#This Row],[SAÍDAS]])</f>
        <v>2</v>
      </c>
    </row>
    <row r="50" spans="1:7" ht="15" thickBot="1">
      <c r="A50" s="21">
        <f>Tabela13[[#This Row],[MATERIAL]]</f>
        <v>50037907</v>
      </c>
      <c r="B50" s="1">
        <v>50037907</v>
      </c>
      <c r="C50" s="1" t="s">
        <v>216</v>
      </c>
      <c r="D50" s="1">
        <v>1</v>
      </c>
      <c r="E50" s="7">
        <f>SUMIFS(Relatorio!G:G,Relatorio!E:E,Tabela13[[#This Row],[MATERIAL]],Relatorio!K:K,"Entrada")</f>
        <v>0</v>
      </c>
      <c r="F50" s="8">
        <f>SUMIFS(Relatorio!G:G,Relatorio!E:E,Tabela13[[#This Row],[MATERIAL]],Relatorio!K:K,"Saida")</f>
        <v>2</v>
      </c>
      <c r="G50" s="1">
        <f>(Tabela13[[#This Row],[ENTRADAS]]-Tabela13[[#This Row],[SAÍDAS]])</f>
        <v>-2</v>
      </c>
    </row>
    <row r="51" spans="1:7" ht="15" thickBot="1">
      <c r="A51" s="21">
        <f>Tabela13[[#This Row],[MATERIAL]]</f>
        <v>50037906</v>
      </c>
      <c r="B51" s="1">
        <v>50037906</v>
      </c>
      <c r="C51" s="1" t="s">
        <v>215</v>
      </c>
      <c r="D51" s="1">
        <v>1</v>
      </c>
      <c r="E51" s="7">
        <f>SUMIFS(Relatorio!G:G,Relatorio!E:E,Tabela13[[#This Row],[MATERIAL]],Relatorio!K:K,"Entrada")</f>
        <v>0</v>
      </c>
      <c r="F51" s="8">
        <f>SUMIFS(Relatorio!G:G,Relatorio!E:E,Tabela13[[#This Row],[MATERIAL]],Relatorio!K:K,"Saida")</f>
        <v>2</v>
      </c>
      <c r="G51" s="1">
        <f>(Tabela13[[#This Row],[ENTRADAS]]-Tabela13[[#This Row],[SAÍDAS]])</f>
        <v>-2</v>
      </c>
    </row>
    <row r="52" spans="1:7" ht="15" thickBot="1">
      <c r="A52" s="21">
        <f>Tabela13[[#This Row],[MATERIAL]]</f>
        <v>50037908</v>
      </c>
      <c r="B52" s="1">
        <v>50037908</v>
      </c>
      <c r="C52" s="1" t="s">
        <v>214</v>
      </c>
      <c r="D52" s="1">
        <v>1</v>
      </c>
      <c r="E52" s="7">
        <f>SUMIFS(Relatorio!G:G,Relatorio!E:E,Tabela13[[#This Row],[MATERIAL]],Relatorio!K:K,"Entrada")</f>
        <v>0</v>
      </c>
      <c r="F52" s="8">
        <f>SUMIFS(Relatorio!G:G,Relatorio!E:E,Tabela13[[#This Row],[MATERIAL]],Relatorio!K:K,"Saida")</f>
        <v>0</v>
      </c>
      <c r="G52" s="1">
        <f>(Tabela13[[#This Row],[ENTRADAS]]-Tabela13[[#This Row],[SAÍDAS]])</f>
        <v>0</v>
      </c>
    </row>
    <row r="53" spans="1:7" ht="15" thickBot="1">
      <c r="A53" s="21">
        <f>Tabela13[[#This Row],[MATERIAL]]</f>
        <v>50037904</v>
      </c>
      <c r="B53" s="1">
        <v>50037904</v>
      </c>
      <c r="C53" s="1" t="s">
        <v>213</v>
      </c>
      <c r="D53" s="1">
        <v>1</v>
      </c>
      <c r="E53" s="7">
        <f>SUMIFS(Relatorio!G:G,Relatorio!E:E,Tabela13[[#This Row],[MATERIAL]],Relatorio!K:K,"Entrada")</f>
        <v>0</v>
      </c>
      <c r="F53" s="8">
        <f>SUMIFS(Relatorio!G:G,Relatorio!E:E,Tabela13[[#This Row],[MATERIAL]],Relatorio!K:K,"Saida")</f>
        <v>0</v>
      </c>
      <c r="G53" s="1">
        <f>(Tabela13[[#This Row],[ENTRADAS]]-Tabela13[[#This Row],[SAÍDAS]])</f>
        <v>0</v>
      </c>
    </row>
    <row r="54" spans="1:7" ht="15" thickBot="1">
      <c r="A54" s="21">
        <f>Tabela13[[#This Row],[MATERIAL]]</f>
        <v>50038664</v>
      </c>
      <c r="B54" s="1">
        <v>50038664</v>
      </c>
      <c r="C54" s="1" t="s">
        <v>212</v>
      </c>
      <c r="D54" s="1">
        <v>1</v>
      </c>
      <c r="E54" s="7">
        <f>SUMIFS(Relatorio!G:G,Relatorio!E:E,Tabela13[[#This Row],[MATERIAL]],Relatorio!K:K,"Entrada")</f>
        <v>0</v>
      </c>
      <c r="F54" s="8">
        <f>SUMIFS(Relatorio!G:G,Relatorio!E:E,Tabela13[[#This Row],[MATERIAL]],Relatorio!K:K,"Saida")</f>
        <v>0</v>
      </c>
      <c r="G54" s="1">
        <f>(Tabela13[[#This Row],[ENTRADAS]]-Tabela13[[#This Row],[SAÍDAS]])</f>
        <v>0</v>
      </c>
    </row>
    <row r="55" spans="1:7" ht="15" thickBot="1">
      <c r="A55" s="21">
        <f>Tabela13[[#This Row],[MATERIAL]]</f>
        <v>50037940</v>
      </c>
      <c r="B55" s="1">
        <v>50037940</v>
      </c>
      <c r="C55" s="1" t="s">
        <v>211</v>
      </c>
      <c r="D55" s="1">
        <v>1</v>
      </c>
      <c r="E55" s="7">
        <f>SUMIFS(Relatorio!G:G,Relatorio!E:E,Tabela13[[#This Row],[MATERIAL]],Relatorio!K:K,"Entrada")</f>
        <v>0</v>
      </c>
      <c r="F55" s="8">
        <f>SUMIFS(Relatorio!G:G,Relatorio!E:E,Tabela13[[#This Row],[MATERIAL]],Relatorio!K:K,"Saida")</f>
        <v>0</v>
      </c>
      <c r="G55" s="1">
        <f>(Tabela13[[#This Row],[ENTRADAS]]-Tabela13[[#This Row],[SAÍDAS]])</f>
        <v>0</v>
      </c>
    </row>
    <row r="56" spans="1:7" ht="15" thickBot="1">
      <c r="A56" s="21">
        <f>Tabela13[[#This Row],[MATERIAL]]</f>
        <v>50040566</v>
      </c>
      <c r="B56" s="1">
        <v>50040566</v>
      </c>
      <c r="C56" s="1" t="s">
        <v>210</v>
      </c>
      <c r="D56" s="1">
        <v>1</v>
      </c>
      <c r="E56" s="7">
        <f>SUMIFS(Relatorio!G:G,Relatorio!E:E,Tabela13[[#This Row],[MATERIAL]],Relatorio!K:K,"Entrada")</f>
        <v>5</v>
      </c>
      <c r="F56" s="8">
        <f>SUMIFS(Relatorio!G:G,Relatorio!E:E,Tabela13[[#This Row],[MATERIAL]],Relatorio!K:K,"Saida")</f>
        <v>3</v>
      </c>
      <c r="G56" s="1">
        <f>(Tabela13[[#This Row],[ENTRADAS]]-Tabela13[[#This Row],[SAÍDAS]])</f>
        <v>2</v>
      </c>
    </row>
    <row r="57" spans="1:7" ht="15" thickBot="1">
      <c r="A57" s="21">
        <f>Tabela13[[#This Row],[MATERIAL]]</f>
        <v>50039802</v>
      </c>
      <c r="B57" s="1">
        <v>50039802</v>
      </c>
      <c r="C57" s="1" t="s">
        <v>209</v>
      </c>
      <c r="D57" s="1">
        <v>1</v>
      </c>
      <c r="E57" s="7">
        <f>SUMIFS(Relatorio!G:G,Relatorio!E:E,Tabela13[[#This Row],[MATERIAL]],Relatorio!K:K,"Entrada")</f>
        <v>1</v>
      </c>
      <c r="F57" s="8">
        <f>SUMIFS(Relatorio!G:G,Relatorio!E:E,Tabela13[[#This Row],[MATERIAL]],Relatorio!K:K,"Saida")</f>
        <v>1</v>
      </c>
      <c r="G57" s="1">
        <f>(Tabela13[[#This Row],[ENTRADAS]]-Tabela13[[#This Row],[SAÍDAS]])</f>
        <v>0</v>
      </c>
    </row>
    <row r="58" spans="1:7" ht="15" thickBot="1">
      <c r="A58" s="21">
        <f>Tabela13[[#This Row],[MATERIAL]]</f>
        <v>50037964</v>
      </c>
      <c r="B58" s="1">
        <v>50037964</v>
      </c>
      <c r="C58" s="1" t="s">
        <v>208</v>
      </c>
      <c r="D58" s="1">
        <v>1</v>
      </c>
      <c r="E58" s="7">
        <f>SUMIFS(Relatorio!G:G,Relatorio!E:E,Tabela13[[#This Row],[MATERIAL]],Relatorio!K:K,"Entrada")</f>
        <v>0</v>
      </c>
      <c r="F58" s="8">
        <f>SUMIFS(Relatorio!G:G,Relatorio!E:E,Tabela13[[#This Row],[MATERIAL]],Relatorio!K:K,"Saida")</f>
        <v>0</v>
      </c>
      <c r="G58" s="1">
        <f>(Tabela13[[#This Row],[ENTRADAS]]-Tabela13[[#This Row],[SAÍDAS]])</f>
        <v>0</v>
      </c>
    </row>
    <row r="59" spans="1:7" ht="15" thickBot="1">
      <c r="A59" s="21">
        <f>Tabela13[[#This Row],[MATERIAL]]</f>
        <v>50003295</v>
      </c>
      <c r="B59" s="1">
        <v>50003295</v>
      </c>
      <c r="C59" s="1" t="s">
        <v>207</v>
      </c>
      <c r="D59" s="1">
        <v>1</v>
      </c>
      <c r="E59" s="7">
        <f>SUMIFS(Relatorio!G:G,Relatorio!E:E,Tabela13[[#This Row],[MATERIAL]],Relatorio!K:K,"Entrada")</f>
        <v>4</v>
      </c>
      <c r="F59" s="8">
        <f>SUMIFS(Relatorio!G:G,Relatorio!E:E,Tabela13[[#This Row],[MATERIAL]],Relatorio!K:K,"Saida")</f>
        <v>2</v>
      </c>
      <c r="G59" s="1">
        <f>(Tabela13[[#This Row],[ENTRADAS]]-Tabela13[[#This Row],[SAÍDAS]])</f>
        <v>2</v>
      </c>
    </row>
    <row r="60" spans="1:7" ht="15" thickBot="1">
      <c r="A60" s="21">
        <f>Tabela13[[#This Row],[MATERIAL]]</f>
        <v>50045979</v>
      </c>
      <c r="B60" s="1">
        <v>50045979</v>
      </c>
      <c r="C60" s="1" t="s">
        <v>357</v>
      </c>
      <c r="D60" s="1">
        <v>1</v>
      </c>
      <c r="E60" s="7">
        <f>SUMIFS(Relatorio!G:G,Relatorio!E:E,Tabela13[[#This Row],[MATERIAL]],Relatorio!K:K,"Entrada")</f>
        <v>6</v>
      </c>
      <c r="F60" s="8">
        <f>SUMIFS(Relatorio!G:G,Relatorio!E:E,Tabela13[[#This Row],[MATERIAL]],Relatorio!K:K,"Saida")</f>
        <v>10</v>
      </c>
      <c r="G60" s="1">
        <f>(Tabela13[[#This Row],[ENTRADAS]]-Tabela13[[#This Row],[SAÍDAS]])</f>
        <v>-4</v>
      </c>
    </row>
    <row r="61" spans="1:7" ht="15" thickBot="1">
      <c r="A61" s="21">
        <f>Tabela13[[#This Row],[MATERIAL]]</f>
        <v>50043917</v>
      </c>
      <c r="B61" s="1">
        <v>50043917</v>
      </c>
      <c r="C61" s="1" t="s">
        <v>262</v>
      </c>
      <c r="D61" s="1">
        <v>1</v>
      </c>
      <c r="E61" s="7">
        <f>SUMIFS(Relatorio!G:G,Relatorio!E:E,Tabela13[[#This Row],[MATERIAL]],Relatorio!K:K,"Entrada")</f>
        <v>166</v>
      </c>
      <c r="F61" s="8">
        <f>SUMIFS(Relatorio!G:G,Relatorio!E:E,Tabela13[[#This Row],[MATERIAL]],Relatorio!K:K,"Saida")</f>
        <v>67</v>
      </c>
      <c r="G61" s="1">
        <f>(Tabela13[[#This Row],[ENTRADAS]]-Tabela13[[#This Row],[SAÍDAS]])</f>
        <v>99</v>
      </c>
    </row>
    <row r="62" spans="1:7" ht="15" thickBot="1">
      <c r="A62" s="21">
        <f>Tabela13[[#This Row],[MATERIAL]]</f>
        <v>50041195</v>
      </c>
      <c r="B62" s="1">
        <v>50041195</v>
      </c>
      <c r="C62" s="1" t="s">
        <v>206</v>
      </c>
      <c r="D62" s="1">
        <v>1</v>
      </c>
      <c r="E62" s="7">
        <f>SUMIFS(Relatorio!G:G,Relatorio!E:E,Tabela13[[#This Row],[MATERIAL]],Relatorio!K:K,"Entrada")</f>
        <v>235</v>
      </c>
      <c r="F62" s="8">
        <f>SUMIFS(Relatorio!G:G,Relatorio!E:E,Tabela13[[#This Row],[MATERIAL]],Relatorio!K:K,"Saida")</f>
        <v>234</v>
      </c>
      <c r="G62" s="1">
        <f>(Tabela13[[#This Row],[ENTRADAS]]-Tabela13[[#This Row],[SAÍDAS]])</f>
        <v>1</v>
      </c>
    </row>
    <row r="63" spans="1:7" ht="15" thickBot="1">
      <c r="A63" s="21">
        <f>Tabela13[[#This Row],[MATERIAL]]</f>
        <v>50001740</v>
      </c>
      <c r="B63" s="1">
        <v>50001740</v>
      </c>
      <c r="C63" s="1" t="s">
        <v>294</v>
      </c>
      <c r="D63" s="1">
        <v>1</v>
      </c>
      <c r="E63" s="7">
        <f>SUMIFS(Relatorio!G:G,Relatorio!E:E,Tabela13[[#This Row],[MATERIAL]],Relatorio!K:K,"Entrada")</f>
        <v>9</v>
      </c>
      <c r="F63" s="8">
        <f>SUMIFS(Relatorio!G:G,Relatorio!E:E,Tabela13[[#This Row],[MATERIAL]],Relatorio!K:K,"Saida")</f>
        <v>18</v>
      </c>
      <c r="G63" s="1">
        <f>(Tabela13[[#This Row],[ENTRADAS]]-Tabela13[[#This Row],[SAÍDAS]])</f>
        <v>-9</v>
      </c>
    </row>
    <row r="64" spans="1:7" ht="15" thickBot="1">
      <c r="A64" s="21">
        <f>Tabela13[[#This Row],[MATERIAL]]</f>
        <v>50037155</v>
      </c>
      <c r="B64" s="1">
        <v>50037155</v>
      </c>
      <c r="C64" s="1" t="s">
        <v>362</v>
      </c>
      <c r="D64" s="1">
        <v>1</v>
      </c>
      <c r="E64" s="7">
        <f>SUMIFS(Relatorio!G:G,Relatorio!E:E,Tabela13[[#This Row],[MATERIAL]],Relatorio!K:K,"Entrada")</f>
        <v>1</v>
      </c>
      <c r="F64" s="8">
        <f>SUMIFS(Relatorio!G:G,Relatorio!E:E,Tabela13[[#This Row],[MATERIAL]],Relatorio!K:K,"Saida")</f>
        <v>1</v>
      </c>
      <c r="G64" s="1">
        <f>(Tabela13[[#This Row],[ENTRADAS]]-Tabela13[[#This Row],[SAÍDAS]])</f>
        <v>0</v>
      </c>
    </row>
    <row r="65" spans="1:7" ht="15" thickBot="1">
      <c r="A65" s="21">
        <f>Tabela13[[#This Row],[MATERIAL]]</f>
        <v>50087654</v>
      </c>
      <c r="B65" s="1">
        <v>50087654</v>
      </c>
      <c r="C65" s="1" t="s">
        <v>378</v>
      </c>
      <c r="D65" s="1">
        <v>2</v>
      </c>
      <c r="E65" s="7">
        <f>SUMIFS(Relatorio!G:G,Relatorio!E:E,Tabela13[[#This Row],[MATERIAL]],Relatorio!K:K,"Entrada")</f>
        <v>1</v>
      </c>
      <c r="F65" s="8">
        <f>SUMIFS(Relatorio!G:G,Relatorio!E:E,Tabela13[[#This Row],[MATERIAL]],Relatorio!K:K,"Saida")</f>
        <v>1</v>
      </c>
      <c r="G65" s="1">
        <f>(Tabela13[[#This Row],[ENTRADAS]]-Tabela13[[#This Row],[SAÍDAS]])</f>
        <v>0</v>
      </c>
    </row>
    <row r="66" spans="1:7" ht="15" thickBot="1">
      <c r="A66" s="21">
        <f>Tabela13[[#This Row],[MATERIAL]]</f>
        <v>50038312</v>
      </c>
      <c r="B66" s="1">
        <v>50038312</v>
      </c>
      <c r="C66" s="1" t="s">
        <v>205</v>
      </c>
      <c r="D66" s="1">
        <v>1</v>
      </c>
      <c r="E66" s="7">
        <f>SUMIFS(Relatorio!G:G,Relatorio!E:E,Tabela13[[#This Row],[MATERIAL]],Relatorio!K:K,"Entrada")</f>
        <v>0</v>
      </c>
      <c r="F66" s="8">
        <f>SUMIFS(Relatorio!G:G,Relatorio!E:E,Tabela13[[#This Row],[MATERIAL]],Relatorio!K:K,"Saida")</f>
        <v>0</v>
      </c>
      <c r="G66" s="1">
        <f>(Tabela13[[#This Row],[ENTRADAS]]-Tabela13[[#This Row],[SAÍDAS]])</f>
        <v>0</v>
      </c>
    </row>
    <row r="67" spans="1:7" ht="15" thickBot="1">
      <c r="A67" s="21">
        <f>Tabela13[[#This Row],[MATERIAL]]</f>
        <v>50038844</v>
      </c>
      <c r="B67" s="1">
        <v>50038844</v>
      </c>
      <c r="C67" s="1" t="s">
        <v>204</v>
      </c>
      <c r="D67" s="1">
        <v>1</v>
      </c>
      <c r="E67" s="7">
        <f>SUMIFS(Relatorio!G:G,Relatorio!E:E,Tabela13[[#This Row],[MATERIAL]],Relatorio!K:K,"Entrada")</f>
        <v>2</v>
      </c>
      <c r="F67" s="8">
        <f>SUMIFS(Relatorio!G:G,Relatorio!E:E,Tabela13[[#This Row],[MATERIAL]],Relatorio!K:K,"Saida")</f>
        <v>2</v>
      </c>
      <c r="G67" s="1">
        <f>(Tabela13[[#This Row],[ENTRADAS]]-Tabela13[[#This Row],[SAÍDAS]])</f>
        <v>0</v>
      </c>
    </row>
    <row r="68" spans="1:7" ht="15" thickBot="1">
      <c r="A68" s="21">
        <f>Tabela13[[#This Row],[MATERIAL]]</f>
        <v>50037953</v>
      </c>
      <c r="B68" s="1">
        <v>50037953</v>
      </c>
      <c r="C68" s="1" t="s">
        <v>203</v>
      </c>
      <c r="D68" s="1">
        <v>1</v>
      </c>
      <c r="E68" s="7">
        <f>SUMIFS(Relatorio!G:G,Relatorio!E:E,Tabela13[[#This Row],[MATERIAL]],Relatorio!K:K,"Entrada")</f>
        <v>0</v>
      </c>
      <c r="F68" s="8">
        <f>SUMIFS(Relatorio!G:G,Relatorio!E:E,Tabela13[[#This Row],[MATERIAL]],Relatorio!K:K,"Saida")</f>
        <v>0</v>
      </c>
      <c r="G68" s="1">
        <f>(Tabela13[[#This Row],[ENTRADAS]]-Tabela13[[#This Row],[SAÍDAS]])</f>
        <v>0</v>
      </c>
    </row>
    <row r="69" spans="1:7" ht="15" thickBot="1">
      <c r="A69" s="21">
        <f>Tabela13[[#This Row],[MATERIAL]]</f>
        <v>50041124</v>
      </c>
      <c r="B69" s="1">
        <v>50041124</v>
      </c>
      <c r="C69" s="1" t="s">
        <v>202</v>
      </c>
      <c r="D69" s="1">
        <v>1</v>
      </c>
      <c r="E69" s="7">
        <f>SUMIFS(Relatorio!G:G,Relatorio!E:E,Tabela13[[#This Row],[MATERIAL]],Relatorio!K:K,"Entrada")</f>
        <v>8</v>
      </c>
      <c r="F69" s="8">
        <f>SUMIFS(Relatorio!G:G,Relatorio!E:E,Tabela13[[#This Row],[MATERIAL]],Relatorio!K:K,"Saida")</f>
        <v>9</v>
      </c>
      <c r="G69" s="1">
        <f>(Tabela13[[#This Row],[ENTRADAS]]-Tabela13[[#This Row],[SAÍDAS]])</f>
        <v>-1</v>
      </c>
    </row>
    <row r="70" spans="1:7" ht="15" thickBot="1">
      <c r="A70" s="21">
        <f>Tabela13[[#This Row],[MATERIAL]]</f>
        <v>50041653</v>
      </c>
      <c r="B70" s="1">
        <v>50041653</v>
      </c>
      <c r="C70" s="1" t="s">
        <v>201</v>
      </c>
      <c r="D70" s="1">
        <v>1</v>
      </c>
      <c r="E70" s="7">
        <f>SUMIFS(Relatorio!G:G,Relatorio!E:E,Tabela13[[#This Row],[MATERIAL]],Relatorio!K:K,"Entrada")</f>
        <v>5</v>
      </c>
      <c r="F70" s="8">
        <f>SUMIFS(Relatorio!G:G,Relatorio!E:E,Tabela13[[#This Row],[MATERIAL]],Relatorio!K:K,"Saida")</f>
        <v>14</v>
      </c>
      <c r="G70" s="1">
        <f>(Tabela13[[#This Row],[ENTRADAS]]-Tabela13[[#This Row],[SAÍDAS]])</f>
        <v>-9</v>
      </c>
    </row>
    <row r="71" spans="1:7" ht="15" thickBot="1">
      <c r="A71" s="21">
        <f>Tabela13[[#This Row],[MATERIAL]]</f>
        <v>50037858</v>
      </c>
      <c r="B71" s="1">
        <v>50037858</v>
      </c>
      <c r="C71" s="23" t="s">
        <v>200</v>
      </c>
      <c r="D71" s="1">
        <v>1</v>
      </c>
      <c r="E71" s="7">
        <f>SUMIFS(Relatorio!G:G,Relatorio!E:E,Tabela13[[#This Row],[MATERIAL]],Relatorio!K:K,"Entrada")</f>
        <v>0</v>
      </c>
      <c r="F71" s="8">
        <f>SUMIFS(Relatorio!G:G,Relatorio!E:E,Tabela13[[#This Row],[MATERIAL]],Relatorio!K:K,"Saida")</f>
        <v>0</v>
      </c>
      <c r="G71" s="1">
        <f>(Tabela13[[#This Row],[ENTRADAS]]-Tabela13[[#This Row],[SAÍDAS]])</f>
        <v>0</v>
      </c>
    </row>
    <row r="72" spans="1:7" ht="15" thickBot="1">
      <c r="A72" s="21">
        <f>Tabela13[[#This Row],[MATERIAL]]</f>
        <v>50037934</v>
      </c>
      <c r="B72" s="1">
        <v>50037934</v>
      </c>
      <c r="C72" s="1" t="s">
        <v>199</v>
      </c>
      <c r="D72" s="1">
        <v>1</v>
      </c>
      <c r="E72" s="7">
        <f>SUMIFS(Relatorio!G:G,Relatorio!E:E,Tabela13[[#This Row],[MATERIAL]],Relatorio!K:K,"Entrada")</f>
        <v>0</v>
      </c>
      <c r="F72" s="8">
        <f>SUMIFS(Relatorio!G:G,Relatorio!E:E,Tabela13[[#This Row],[MATERIAL]],Relatorio!K:K,"Saida")</f>
        <v>0</v>
      </c>
      <c r="G72" s="1">
        <f>(Tabela13[[#This Row],[ENTRADAS]]-Tabela13[[#This Row],[SAÍDAS]])</f>
        <v>0</v>
      </c>
    </row>
    <row r="73" spans="1:7" ht="15" thickBot="1">
      <c r="A73" s="21">
        <f>Tabela13[[#This Row],[MATERIAL]]</f>
        <v>50037929</v>
      </c>
      <c r="B73" s="1">
        <v>50037929</v>
      </c>
      <c r="C73" s="1" t="s">
        <v>198</v>
      </c>
      <c r="D73" s="1">
        <v>1</v>
      </c>
      <c r="E73" s="7">
        <f>SUMIFS(Relatorio!G:G,Relatorio!E:E,Tabela13[[#This Row],[MATERIAL]],Relatorio!K:K,"Entrada")</f>
        <v>0</v>
      </c>
      <c r="F73" s="8">
        <f>SUMIFS(Relatorio!G:G,Relatorio!E:E,Tabela13[[#This Row],[MATERIAL]],Relatorio!K:K,"Saida")</f>
        <v>2</v>
      </c>
      <c r="G73" s="1">
        <f>(Tabela13[[#This Row],[ENTRADAS]]-Tabela13[[#This Row],[SAÍDAS]])</f>
        <v>-2</v>
      </c>
    </row>
    <row r="74" spans="1:7" ht="15" thickBot="1">
      <c r="A74" s="21">
        <f>Tabela13[[#This Row],[MATERIAL]]</f>
        <v>50037942</v>
      </c>
      <c r="B74" s="1">
        <v>50037942</v>
      </c>
      <c r="C74" s="1" t="s">
        <v>197</v>
      </c>
      <c r="D74" s="1">
        <v>1</v>
      </c>
      <c r="E74" s="7">
        <f>SUMIFS(Relatorio!G:G,Relatorio!E:E,Tabela13[[#This Row],[MATERIAL]],Relatorio!K:K,"Entrada")</f>
        <v>0</v>
      </c>
      <c r="F74" s="8">
        <f>SUMIFS(Relatorio!G:G,Relatorio!E:E,Tabela13[[#This Row],[MATERIAL]],Relatorio!K:K,"Saida")</f>
        <v>0</v>
      </c>
      <c r="G74" s="1">
        <f>(Tabela13[[#This Row],[ENTRADAS]]-Tabela13[[#This Row],[SAÍDAS]])</f>
        <v>0</v>
      </c>
    </row>
    <row r="75" spans="1:7" ht="15" thickBot="1">
      <c r="A75" s="21">
        <f>Tabela13[[#This Row],[MATERIAL]]</f>
        <v>50022923</v>
      </c>
      <c r="B75" s="1">
        <v>50022923</v>
      </c>
      <c r="C75" s="1" t="s">
        <v>196</v>
      </c>
      <c r="D75" s="1">
        <v>1</v>
      </c>
      <c r="E75" s="7">
        <f>SUMIFS(Relatorio!G:G,Relatorio!E:E,Tabela13[[#This Row],[MATERIAL]],Relatorio!K:K,"Entrada")</f>
        <v>3</v>
      </c>
      <c r="F75" s="8">
        <f>SUMIFS(Relatorio!G:G,Relatorio!E:E,Tabela13[[#This Row],[MATERIAL]],Relatorio!K:K,"Saida")</f>
        <v>1</v>
      </c>
      <c r="G75" s="1">
        <f>(Tabela13[[#This Row],[ENTRADAS]]-Tabela13[[#This Row],[SAÍDAS]])</f>
        <v>2</v>
      </c>
    </row>
    <row r="76" spans="1:7" ht="15" thickBot="1">
      <c r="A76" s="21">
        <f>Tabela13[[#This Row],[MATERIAL]]</f>
        <v>50037963</v>
      </c>
      <c r="B76" s="1">
        <v>50037963</v>
      </c>
      <c r="C76" s="1" t="s">
        <v>195</v>
      </c>
      <c r="D76" s="1">
        <v>1</v>
      </c>
      <c r="E76" s="7">
        <f>SUMIFS(Relatorio!G:G,Relatorio!E:E,Tabela13[[#This Row],[MATERIAL]],Relatorio!K:K,"Entrada")</f>
        <v>0</v>
      </c>
      <c r="F76" s="8">
        <f>SUMIFS(Relatorio!G:G,Relatorio!E:E,Tabela13[[#This Row],[MATERIAL]],Relatorio!K:K,"Saida")</f>
        <v>0</v>
      </c>
      <c r="G76" s="1">
        <f>(Tabela13[[#This Row],[ENTRADAS]]-Tabela13[[#This Row],[SAÍDAS]])</f>
        <v>0</v>
      </c>
    </row>
    <row r="77" spans="1:7" ht="15" thickBot="1">
      <c r="A77" s="21">
        <f>Tabela13[[#This Row],[MATERIAL]]</f>
        <v>50041131</v>
      </c>
      <c r="B77" s="1">
        <v>50041131</v>
      </c>
      <c r="C77" s="1" t="s">
        <v>194</v>
      </c>
      <c r="D77" s="1">
        <v>2</v>
      </c>
      <c r="E77" s="7">
        <f>SUMIFS(Relatorio!G:G,Relatorio!E:E,Tabela13[[#This Row],[MATERIAL]],Relatorio!K:K,"Entrada")</f>
        <v>0</v>
      </c>
      <c r="F77" s="8">
        <f>SUMIFS(Relatorio!G:G,Relatorio!E:E,Tabela13[[#This Row],[MATERIAL]],Relatorio!K:K,"Saida")</f>
        <v>2</v>
      </c>
      <c r="G77" s="1">
        <f>(Tabela13[[#This Row],[ENTRADAS]]-Tabela13[[#This Row],[SAÍDAS]])</f>
        <v>-2</v>
      </c>
    </row>
    <row r="78" spans="1:7" ht="15" thickBot="1">
      <c r="A78" s="21">
        <f>Tabela13[[#This Row],[MATERIAL]]</f>
        <v>50038662</v>
      </c>
      <c r="B78" s="1">
        <v>50038662</v>
      </c>
      <c r="C78" s="1" t="s">
        <v>193</v>
      </c>
      <c r="D78" s="1">
        <v>1</v>
      </c>
      <c r="E78" s="7">
        <f>SUMIFS(Relatorio!G:G,Relatorio!E:E,Tabela13[[#This Row],[MATERIAL]],Relatorio!K:K,"Entrada")</f>
        <v>15</v>
      </c>
      <c r="F78" s="8">
        <f>SUMIFS(Relatorio!G:G,Relatorio!E:E,Tabela13[[#This Row],[MATERIAL]],Relatorio!K:K,"Saida")</f>
        <v>21</v>
      </c>
      <c r="G78" s="1">
        <f>(Tabela13[[#This Row],[ENTRADAS]]-Tabela13[[#This Row],[SAÍDAS]])</f>
        <v>-6</v>
      </c>
    </row>
    <row r="79" spans="1:7" ht="15" thickBot="1">
      <c r="A79" s="21">
        <f>Tabela13[[#This Row],[MATERIAL]]</f>
        <v>50026357</v>
      </c>
      <c r="B79" s="1">
        <v>50026357</v>
      </c>
      <c r="C79" s="1" t="s">
        <v>192</v>
      </c>
      <c r="D79" s="1">
        <v>1</v>
      </c>
      <c r="E79" s="7">
        <f>SUMIFS(Relatorio!G:G,Relatorio!E:E,Tabela13[[#This Row],[MATERIAL]],Relatorio!K:K,"Entrada")</f>
        <v>89</v>
      </c>
      <c r="F79" s="8">
        <f>SUMIFS(Relatorio!G:G,Relatorio!E:E,Tabela13[[#This Row],[MATERIAL]],Relatorio!K:K,"Saida")</f>
        <v>122</v>
      </c>
      <c r="G79" s="1">
        <f>(Tabela13[[#This Row],[ENTRADAS]]-Tabela13[[#This Row],[SAÍDAS]])</f>
        <v>-33</v>
      </c>
    </row>
    <row r="80" spans="1:7" ht="15" thickBot="1">
      <c r="A80" s="21">
        <f>Tabela13[[#This Row],[MATERIAL]]</f>
        <v>50038516</v>
      </c>
      <c r="B80" s="1">
        <v>50038516</v>
      </c>
      <c r="C80" s="1" t="s">
        <v>191</v>
      </c>
      <c r="D80" s="1">
        <v>1</v>
      </c>
      <c r="E80" s="7">
        <f>SUMIFS(Relatorio!G:G,Relatorio!E:E,Tabela13[[#This Row],[MATERIAL]],Relatorio!K:K,"Entrada")</f>
        <v>3</v>
      </c>
      <c r="F80" s="8">
        <f>SUMIFS(Relatorio!G:G,Relatorio!E:E,Tabela13[[#This Row],[MATERIAL]],Relatorio!K:K,"Saida")</f>
        <v>1</v>
      </c>
      <c r="G80" s="1">
        <f>(Tabela13[[#This Row],[ENTRADAS]]-Tabela13[[#This Row],[SAÍDAS]])</f>
        <v>2</v>
      </c>
    </row>
    <row r="81" spans="1:7" ht="15" thickBot="1">
      <c r="A81" s="21">
        <f>Tabela13[[#This Row],[MATERIAL]]</f>
        <v>50038626</v>
      </c>
      <c r="B81" s="1">
        <v>50038626</v>
      </c>
      <c r="C81" s="1" t="s">
        <v>190</v>
      </c>
      <c r="D81" s="1">
        <v>1</v>
      </c>
      <c r="E81" s="7">
        <f>SUMIFS(Relatorio!G:G,Relatorio!E:E,Tabela13[[#This Row],[MATERIAL]],Relatorio!K:K,"Entrada")</f>
        <v>14</v>
      </c>
      <c r="F81" s="8">
        <f>SUMIFS(Relatorio!G:G,Relatorio!E:E,Tabela13[[#This Row],[MATERIAL]],Relatorio!K:K,"Saida")</f>
        <v>18</v>
      </c>
      <c r="G81" s="1">
        <f>(Tabela13[[#This Row],[ENTRADAS]]-Tabela13[[#This Row],[SAÍDAS]])</f>
        <v>-4</v>
      </c>
    </row>
    <row r="82" spans="1:7" ht="15" thickBot="1">
      <c r="A82" s="21">
        <f>Tabela13[[#This Row],[MATERIAL]]</f>
        <v>50036297</v>
      </c>
      <c r="B82" s="1">
        <v>50036297</v>
      </c>
      <c r="C82" s="1" t="s">
        <v>189</v>
      </c>
      <c r="D82" s="1">
        <v>1</v>
      </c>
      <c r="E82" s="7">
        <f>SUMIFS(Relatorio!G:G,Relatorio!E:E,Tabela13[[#This Row],[MATERIAL]],Relatorio!K:K,"Entrada")</f>
        <v>12</v>
      </c>
      <c r="F82" s="8">
        <f>SUMIFS(Relatorio!G:G,Relatorio!E:E,Tabela13[[#This Row],[MATERIAL]],Relatorio!K:K,"Saida")</f>
        <v>18</v>
      </c>
      <c r="G82" s="1">
        <f>(Tabela13[[#This Row],[ENTRADAS]]-Tabela13[[#This Row],[SAÍDAS]])</f>
        <v>-6</v>
      </c>
    </row>
    <row r="83" spans="1:7" ht="15" thickBot="1">
      <c r="A83" s="21">
        <f>Tabela13[[#This Row],[MATERIAL]]</f>
        <v>50036332</v>
      </c>
      <c r="B83" s="1">
        <v>50036332</v>
      </c>
      <c r="C83" s="1" t="s">
        <v>188</v>
      </c>
      <c r="D83" s="1">
        <v>1</v>
      </c>
      <c r="E83" s="7">
        <f>SUMIFS(Relatorio!G:G,Relatorio!E:E,Tabela13[[#This Row],[MATERIAL]],Relatorio!K:K,"Entrada")</f>
        <v>7</v>
      </c>
      <c r="F83" s="8">
        <f>SUMIFS(Relatorio!G:G,Relatorio!E:E,Tabela13[[#This Row],[MATERIAL]],Relatorio!K:K,"Saida")</f>
        <v>8</v>
      </c>
      <c r="G83" s="1">
        <f>(Tabela13[[#This Row],[ENTRADAS]]-Tabela13[[#This Row],[SAÍDAS]])</f>
        <v>-1</v>
      </c>
    </row>
    <row r="84" spans="1:7" ht="15" thickBot="1">
      <c r="A84" s="21">
        <f>Tabela13[[#This Row],[MATERIAL]]</f>
        <v>50037935</v>
      </c>
      <c r="B84" s="1">
        <v>50037935</v>
      </c>
      <c r="C84" s="1" t="s">
        <v>187</v>
      </c>
      <c r="D84" s="1">
        <v>1</v>
      </c>
      <c r="E84" s="7">
        <f>SUMIFS(Relatorio!G:G,Relatorio!E:E,Tabela13[[#This Row],[MATERIAL]],Relatorio!K:K,"Entrada")</f>
        <v>0</v>
      </c>
      <c r="F84" s="8">
        <f>SUMIFS(Relatorio!G:G,Relatorio!E:E,Tabela13[[#This Row],[MATERIAL]],Relatorio!K:K,"Saida")</f>
        <v>0</v>
      </c>
      <c r="G84" s="1">
        <f>(Tabela13[[#This Row],[ENTRADAS]]-Tabela13[[#This Row],[SAÍDAS]])</f>
        <v>0</v>
      </c>
    </row>
    <row r="85" spans="1:7" ht="15" thickBot="1">
      <c r="A85" s="21">
        <f>Tabela13[[#This Row],[MATERIAL]]</f>
        <v>50039065</v>
      </c>
      <c r="B85" s="1">
        <v>50039065</v>
      </c>
      <c r="C85" s="1" t="s">
        <v>186</v>
      </c>
      <c r="D85" s="1">
        <v>1</v>
      </c>
      <c r="E85" s="7">
        <f>SUMIFS(Relatorio!G:G,Relatorio!E:E,Tabela13[[#This Row],[MATERIAL]],Relatorio!K:K,"Entrada")</f>
        <v>118</v>
      </c>
      <c r="F85" s="8">
        <f>SUMIFS(Relatorio!G:G,Relatorio!E:E,Tabela13[[#This Row],[MATERIAL]],Relatorio!K:K,"Saida")</f>
        <v>136</v>
      </c>
      <c r="G85" s="1">
        <f>(Tabela13[[#This Row],[ENTRADAS]]-Tabela13[[#This Row],[SAÍDAS]])</f>
        <v>-18</v>
      </c>
    </row>
    <row r="86" spans="1:7" ht="15" thickBot="1">
      <c r="A86" s="21">
        <f>Tabela13[[#This Row],[MATERIAL]]</f>
        <v>50001995</v>
      </c>
      <c r="B86" s="1">
        <v>50001995</v>
      </c>
      <c r="C86" s="1" t="s">
        <v>185</v>
      </c>
      <c r="D86" s="1">
        <v>1</v>
      </c>
      <c r="E86" s="7">
        <f>SUMIFS(Relatorio!G:G,Relatorio!E:E,Tabela13[[#This Row],[MATERIAL]],Relatorio!K:K,"Entrada")</f>
        <v>49</v>
      </c>
      <c r="F86" s="8">
        <f>SUMIFS(Relatorio!G:G,Relatorio!E:E,Tabela13[[#This Row],[MATERIAL]],Relatorio!K:K,"Saida")</f>
        <v>65</v>
      </c>
      <c r="G86" s="1">
        <f>(Tabela13[[#This Row],[ENTRADAS]]-Tabela13[[#This Row],[SAÍDAS]])</f>
        <v>-16</v>
      </c>
    </row>
    <row r="87" spans="1:7" ht="15" thickBot="1">
      <c r="A87" s="21">
        <f>Tabela13[[#This Row],[MATERIAL]]</f>
        <v>50042003</v>
      </c>
      <c r="B87" s="1">
        <v>50042003</v>
      </c>
      <c r="C87" s="1" t="s">
        <v>300</v>
      </c>
      <c r="D87" s="1">
        <v>1</v>
      </c>
      <c r="E87" s="7">
        <f>SUMIFS(Relatorio!G:G,Relatorio!E:E,Tabela13[[#This Row],[MATERIAL]],Relatorio!K:K,"Entrada")</f>
        <v>4</v>
      </c>
      <c r="F87" s="8">
        <f>SUMIFS(Relatorio!G:G,Relatorio!E:E,Tabela13[[#This Row],[MATERIAL]],Relatorio!K:K,"Saida")</f>
        <v>2</v>
      </c>
      <c r="G87" s="1">
        <f>(Tabela13[[#This Row],[ENTRADAS]]-Tabela13[[#This Row],[SAÍDAS]])</f>
        <v>2</v>
      </c>
    </row>
    <row r="88" spans="1:7" ht="15" thickBot="1">
      <c r="A88" s="21">
        <f>Tabela13[[#This Row],[MATERIAL]]</f>
        <v>50037926</v>
      </c>
      <c r="B88" s="1">
        <v>50037926</v>
      </c>
      <c r="C88" s="1" t="s">
        <v>184</v>
      </c>
      <c r="D88" s="1">
        <v>1</v>
      </c>
      <c r="E88" s="7">
        <f>SUMIFS(Relatorio!G:G,Relatorio!E:E,Tabela13[[#This Row],[MATERIAL]],Relatorio!K:K,"Entrada")</f>
        <v>6</v>
      </c>
      <c r="F88" s="8">
        <f>SUMIFS(Relatorio!G:G,Relatorio!E:E,Tabela13[[#This Row],[MATERIAL]],Relatorio!K:K,"Saida")</f>
        <v>6</v>
      </c>
      <c r="G88" s="1">
        <f>(Tabela13[[#This Row],[ENTRADAS]]-Tabela13[[#This Row],[SAÍDAS]])</f>
        <v>0</v>
      </c>
    </row>
    <row r="89" spans="1:7" ht="15" thickBot="1">
      <c r="A89" s="21">
        <f>Tabela13[[#This Row],[MATERIAL]]</f>
        <v>50037903</v>
      </c>
      <c r="B89" s="1">
        <v>50037903</v>
      </c>
      <c r="C89" s="1" t="s">
        <v>183</v>
      </c>
      <c r="D89" s="1">
        <v>1</v>
      </c>
      <c r="E89" s="7">
        <f>SUMIFS(Relatorio!G:G,Relatorio!E:E,Tabela13[[#This Row],[MATERIAL]],Relatorio!K:K,"Entrada")</f>
        <v>17</v>
      </c>
      <c r="F89" s="8">
        <f>SUMIFS(Relatorio!G:G,Relatorio!E:E,Tabela13[[#This Row],[MATERIAL]],Relatorio!K:K,"Saida")</f>
        <v>16</v>
      </c>
      <c r="G89" s="1">
        <f>(Tabela13[[#This Row],[ENTRADAS]]-Tabela13[[#This Row],[SAÍDAS]])</f>
        <v>1</v>
      </c>
    </row>
    <row r="90" spans="1:7" ht="15" thickBot="1">
      <c r="A90" s="21">
        <f>Tabela13[[#This Row],[MATERIAL]]</f>
        <v>50038846</v>
      </c>
      <c r="B90" s="1">
        <v>50038846</v>
      </c>
      <c r="C90" s="1" t="s">
        <v>182</v>
      </c>
      <c r="D90" s="1">
        <v>1</v>
      </c>
      <c r="E90" s="7">
        <f>SUMIFS(Relatorio!G:G,Relatorio!E:E,Tabela13[[#This Row],[MATERIAL]],Relatorio!K:K,"Entrada")</f>
        <v>1</v>
      </c>
      <c r="F90" s="8">
        <f>SUMIFS(Relatorio!G:G,Relatorio!E:E,Tabela13[[#This Row],[MATERIAL]],Relatorio!K:K,"Saida")</f>
        <v>2</v>
      </c>
      <c r="G90" s="1">
        <f>(Tabela13[[#This Row],[ENTRADAS]]-Tabela13[[#This Row],[SAÍDAS]])</f>
        <v>-1</v>
      </c>
    </row>
    <row r="91" spans="1:7" ht="15" thickBot="1">
      <c r="A91" s="21">
        <f>Tabela13[[#This Row],[MATERIAL]]</f>
        <v>50046617</v>
      </c>
      <c r="B91" s="1">
        <v>50046617</v>
      </c>
      <c r="C91" s="1" t="s">
        <v>365</v>
      </c>
      <c r="D91" s="1">
        <v>1</v>
      </c>
      <c r="E91" s="7">
        <f>SUMIFS(Relatorio!G:G,Relatorio!E:E,Tabela13[[#This Row],[MATERIAL]],Relatorio!K:K,"Entrada")</f>
        <v>49</v>
      </c>
      <c r="F91" s="8">
        <f>SUMIFS(Relatorio!G:G,Relatorio!E:E,Tabela13[[#This Row],[MATERIAL]],Relatorio!K:K,"Saida")</f>
        <v>58</v>
      </c>
      <c r="G91" s="1">
        <f>(Tabela13[[#This Row],[ENTRADAS]]-Tabela13[[#This Row],[SAÍDAS]])</f>
        <v>-9</v>
      </c>
    </row>
    <row r="92" spans="1:7" ht="15" thickBot="1">
      <c r="A92" s="21">
        <f>Tabela13[[#This Row],[MATERIAL]]</f>
        <v>50038518</v>
      </c>
      <c r="B92" s="1">
        <v>50038518</v>
      </c>
      <c r="C92" s="1" t="s">
        <v>340</v>
      </c>
      <c r="D92" s="1">
        <v>1</v>
      </c>
      <c r="E92" s="7">
        <f>SUMIFS(Relatorio!G:G,Relatorio!E:E,Tabela13[[#This Row],[MATERIAL]],Relatorio!K:K,"Entrada")</f>
        <v>22</v>
      </c>
      <c r="F92" s="8">
        <f>SUMIFS(Relatorio!G:G,Relatorio!E:E,Tabela13[[#This Row],[MATERIAL]],Relatorio!K:K,"Saida")</f>
        <v>16</v>
      </c>
      <c r="G92" s="1">
        <f>(Tabela13[[#This Row],[ENTRADAS]]-Tabela13[[#This Row],[SAÍDAS]])</f>
        <v>6</v>
      </c>
    </row>
    <row r="93" spans="1:7" ht="15" thickBot="1">
      <c r="A93" s="21">
        <f>Tabela13[[#This Row],[MATERIAL]]</f>
        <v>50038517</v>
      </c>
      <c r="B93" s="1">
        <v>50038517</v>
      </c>
      <c r="C93" s="1" t="s">
        <v>181</v>
      </c>
      <c r="D93" s="1">
        <v>1</v>
      </c>
      <c r="E93" s="7">
        <f>SUMIFS(Relatorio!G:G,Relatorio!E:E,Tabela13[[#This Row],[MATERIAL]],Relatorio!K:K,"Entrada")</f>
        <v>243</v>
      </c>
      <c r="F93" s="8">
        <f>SUMIFS(Relatorio!G:G,Relatorio!E:E,Tabela13[[#This Row],[MATERIAL]],Relatorio!K:K,"Saida")</f>
        <v>190</v>
      </c>
      <c r="G93" s="1">
        <f>(Tabela13[[#This Row],[ENTRADAS]]-Tabela13[[#This Row],[SAÍDAS]])</f>
        <v>53</v>
      </c>
    </row>
    <row r="94" spans="1:7" ht="15" thickBot="1">
      <c r="A94" s="21">
        <f>Tabela13[[#This Row],[MATERIAL]]</f>
        <v>50038841</v>
      </c>
      <c r="B94" s="1">
        <v>50038841</v>
      </c>
      <c r="C94" s="1" t="s">
        <v>180</v>
      </c>
      <c r="D94" s="1">
        <v>1</v>
      </c>
      <c r="E94" s="7">
        <f>SUMIFS(Relatorio!G:G,Relatorio!E:E,Tabela13[[#This Row],[MATERIAL]],Relatorio!K:K,"Entrada")</f>
        <v>151</v>
      </c>
      <c r="F94" s="8">
        <f>SUMIFS(Relatorio!G:G,Relatorio!E:E,Tabela13[[#This Row],[MATERIAL]],Relatorio!K:K,"Saida")</f>
        <v>123</v>
      </c>
      <c r="G94" s="1">
        <f>(Tabela13[[#This Row],[ENTRADAS]]-Tabela13[[#This Row],[SAÍDAS]])</f>
        <v>28</v>
      </c>
    </row>
    <row r="95" spans="1:7" ht="15" thickBot="1">
      <c r="A95" s="21">
        <f>Tabela13[[#This Row],[MATERIAL]]</f>
        <v>50037902</v>
      </c>
      <c r="B95" s="1">
        <v>50037902</v>
      </c>
      <c r="C95" s="1" t="s">
        <v>179</v>
      </c>
      <c r="D95" s="1">
        <v>1</v>
      </c>
      <c r="E95" s="7">
        <f>SUMIFS(Relatorio!G:G,Relatorio!E:E,Tabela13[[#This Row],[MATERIAL]],Relatorio!K:K,"Entrada")</f>
        <v>83</v>
      </c>
      <c r="F95" s="8">
        <f>SUMIFS(Relatorio!G:G,Relatorio!E:E,Tabela13[[#This Row],[MATERIAL]],Relatorio!K:K,"Saida")</f>
        <v>102</v>
      </c>
      <c r="G95" s="1">
        <f>(Tabela13[[#This Row],[ENTRADAS]]-Tabela13[[#This Row],[SAÍDAS]])</f>
        <v>-19</v>
      </c>
    </row>
    <row r="96" spans="1:7" ht="15" thickBot="1">
      <c r="A96" s="21">
        <f>Tabela13[[#This Row],[MATERIAL]]</f>
        <v>50037892</v>
      </c>
      <c r="B96" s="1">
        <v>50037892</v>
      </c>
      <c r="C96" s="1" t="s">
        <v>375</v>
      </c>
      <c r="D96" s="1">
        <v>1</v>
      </c>
      <c r="E96" s="7">
        <f>SUMIFS(Relatorio!G:G,Relatorio!E:E,Tabela13[[#This Row],[MATERIAL]],Relatorio!K:K,"Entrada")</f>
        <v>220</v>
      </c>
      <c r="F96" s="8">
        <f>SUMIFS(Relatorio!G:G,Relatorio!E:E,Tabela13[[#This Row],[MATERIAL]],Relatorio!K:K,"Saida")</f>
        <v>213</v>
      </c>
      <c r="G96" s="1">
        <f>(Tabela13[[#This Row],[ENTRADAS]]-Tabela13[[#This Row],[SAÍDAS]])</f>
        <v>7</v>
      </c>
    </row>
    <row r="97" spans="1:7" ht="15" thickBot="1">
      <c r="A97" s="21">
        <f>Tabela13[[#This Row],[MATERIAL]]</f>
        <v>50046658</v>
      </c>
      <c r="B97" s="1">
        <v>50046658</v>
      </c>
      <c r="C97" s="1" t="s">
        <v>376</v>
      </c>
      <c r="D97" s="1">
        <v>1</v>
      </c>
      <c r="E97" s="7">
        <f>SUMIFS(Relatorio!G:G,Relatorio!E:E,Tabela13[[#This Row],[MATERIAL]],Relatorio!K:K,"Entrada")</f>
        <v>2</v>
      </c>
      <c r="F97" s="8">
        <f>SUMIFS(Relatorio!G:G,Relatorio!E:E,Tabela13[[#This Row],[MATERIAL]],Relatorio!K:K,"Saida")</f>
        <v>2</v>
      </c>
      <c r="G97" s="1">
        <f>(Tabela13[[#This Row],[ENTRADAS]]-Tabela13[[#This Row],[SAÍDAS]])</f>
        <v>0</v>
      </c>
    </row>
    <row r="98" spans="1:7" ht="15" thickBot="1">
      <c r="A98" s="21">
        <f>Tabela13[[#This Row],[MATERIAL]]</f>
        <v>50038956</v>
      </c>
      <c r="B98" s="1">
        <v>50038956</v>
      </c>
      <c r="C98" s="1" t="s">
        <v>177</v>
      </c>
      <c r="D98" s="1">
        <v>1</v>
      </c>
      <c r="E98" s="7">
        <f>SUMIFS(Relatorio!G:G,Relatorio!E:E,Tabela13[[#This Row],[MATERIAL]],Relatorio!K:K,"Entrada")</f>
        <v>72</v>
      </c>
      <c r="F98" s="8">
        <f>SUMIFS(Relatorio!G:G,Relatorio!E:E,Tabela13[[#This Row],[MATERIAL]],Relatorio!K:K,"Saida")</f>
        <v>144</v>
      </c>
      <c r="G98" s="1">
        <f>(Tabela13[[#This Row],[ENTRADAS]]-Tabela13[[#This Row],[SAÍDAS]])</f>
        <v>-72</v>
      </c>
    </row>
    <row r="99" spans="1:7" ht="15" thickBot="1">
      <c r="A99" s="21">
        <f>Tabela13[[#This Row],[MATERIAL]]</f>
        <v>50022878</v>
      </c>
      <c r="B99" s="1">
        <v>50022878</v>
      </c>
      <c r="C99" s="1" t="s">
        <v>296</v>
      </c>
      <c r="D99" s="1">
        <v>1</v>
      </c>
      <c r="E99" s="7">
        <f>SUMIFS(Relatorio!G:G,Relatorio!E:E,Tabela13[[#This Row],[MATERIAL]],Relatorio!K:K,"Entrada")</f>
        <v>65</v>
      </c>
      <c r="F99" s="8">
        <f>SUMIFS(Relatorio!G:G,Relatorio!E:E,Tabela13[[#This Row],[MATERIAL]],Relatorio!K:K,"Saida")</f>
        <v>103</v>
      </c>
      <c r="G99" s="1">
        <f>(Tabela13[[#This Row],[ENTRADAS]]-Tabela13[[#This Row],[SAÍDAS]])</f>
        <v>-38</v>
      </c>
    </row>
    <row r="100" spans="1:7" ht="15" thickBot="1">
      <c r="A100" s="21">
        <f>Tabela13[[#This Row],[MATERIAL]]</f>
        <v>50044250</v>
      </c>
      <c r="B100" s="1">
        <v>50044250</v>
      </c>
      <c r="C100" s="1" t="s">
        <v>295</v>
      </c>
      <c r="D100" s="1">
        <v>1</v>
      </c>
      <c r="E100" s="7">
        <f>SUMIFS(Relatorio!G:G,Relatorio!E:E,Tabela13[[#This Row],[MATERIAL]],Relatorio!K:K,"Entrada")</f>
        <v>2</v>
      </c>
      <c r="F100" s="8">
        <f>SUMIFS(Relatorio!G:G,Relatorio!E:E,Tabela13[[#This Row],[MATERIAL]],Relatorio!K:K,"Saida")</f>
        <v>0</v>
      </c>
      <c r="G100" s="1">
        <f>(Tabela13[[#This Row],[ENTRADAS]]-Tabela13[[#This Row],[SAÍDAS]])</f>
        <v>2</v>
      </c>
    </row>
    <row r="101" spans="1:7" ht="15" thickBot="1">
      <c r="A101" s="21">
        <f>Tabela13[[#This Row],[MATERIAL]]</f>
        <v>50037910</v>
      </c>
      <c r="B101" s="1">
        <v>50037910</v>
      </c>
      <c r="C101" s="1" t="s">
        <v>176</v>
      </c>
      <c r="D101" s="1">
        <v>1</v>
      </c>
      <c r="E101" s="7">
        <f>SUMIFS(Relatorio!G:G,Relatorio!E:E,Tabela13[[#This Row],[MATERIAL]],Relatorio!K:K,"Entrada")</f>
        <v>0</v>
      </c>
      <c r="F101" s="8">
        <f>SUMIFS(Relatorio!G:G,Relatorio!E:E,Tabela13[[#This Row],[MATERIAL]],Relatorio!K:K,"Saida")</f>
        <v>0</v>
      </c>
      <c r="G101" s="1">
        <f>(Tabela13[[#This Row],[ENTRADAS]]-Tabela13[[#This Row],[SAÍDAS]])</f>
        <v>0</v>
      </c>
    </row>
    <row r="102" spans="1:7" ht="15" thickBot="1">
      <c r="A102" s="21">
        <f>Tabela13[[#This Row],[MATERIAL]]</f>
        <v>50037909</v>
      </c>
      <c r="B102" s="1">
        <v>50037909</v>
      </c>
      <c r="C102" s="1" t="s">
        <v>175</v>
      </c>
      <c r="D102" s="1">
        <v>1</v>
      </c>
      <c r="E102" s="7">
        <f>SUMIFS(Relatorio!G:G,Relatorio!E:E,Tabela13[[#This Row],[MATERIAL]],Relatorio!K:K,"Entrada")</f>
        <v>6</v>
      </c>
      <c r="F102" s="8">
        <f>SUMIFS(Relatorio!G:G,Relatorio!E:E,Tabela13[[#This Row],[MATERIAL]],Relatorio!K:K,"Saida")</f>
        <v>2</v>
      </c>
      <c r="G102" s="1">
        <f>(Tabela13[[#This Row],[ENTRADAS]]-Tabela13[[#This Row],[SAÍDAS]])</f>
        <v>4</v>
      </c>
    </row>
    <row r="103" spans="1:7" ht="15" thickBot="1">
      <c r="A103" s="21">
        <f>Tabela13[[#This Row],[MATERIAL]]</f>
        <v>50038578</v>
      </c>
      <c r="B103" s="1">
        <v>50038578</v>
      </c>
      <c r="C103" s="1" t="s">
        <v>364</v>
      </c>
      <c r="D103" s="1">
        <v>1</v>
      </c>
      <c r="E103" s="7">
        <f>SUMIFS(Relatorio!G:G,Relatorio!E:E,Tabela13[[#This Row],[MATERIAL]],Relatorio!K:K,"Entrada")</f>
        <v>2</v>
      </c>
      <c r="F103" s="8">
        <f>SUMIFS(Relatorio!G:G,Relatorio!E:E,Tabela13[[#This Row],[MATERIAL]],Relatorio!K:K,"Saida")</f>
        <v>0</v>
      </c>
      <c r="G103" s="1">
        <f>(Tabela13[[#This Row],[ENTRADAS]]-Tabela13[[#This Row],[SAÍDAS]])</f>
        <v>2</v>
      </c>
    </row>
    <row r="104" spans="1:7" ht="15" thickBot="1">
      <c r="A104" s="21">
        <f>Tabela13[[#This Row],[MATERIAL]]</f>
        <v>50037921</v>
      </c>
      <c r="B104" s="1">
        <v>50037921</v>
      </c>
      <c r="C104" s="1" t="s">
        <v>174</v>
      </c>
      <c r="D104" s="1">
        <v>1</v>
      </c>
      <c r="E104" s="7">
        <f>SUMIFS(Relatorio!G:G,Relatorio!E:E,Tabela13[[#This Row],[MATERIAL]],Relatorio!K:K,"Entrada")</f>
        <v>2</v>
      </c>
      <c r="F104" s="8">
        <f>SUMIFS(Relatorio!G:G,Relatorio!E:E,Tabela13[[#This Row],[MATERIAL]],Relatorio!K:K,"Saida")</f>
        <v>0</v>
      </c>
      <c r="G104" s="1">
        <f>(Tabela13[[#This Row],[ENTRADAS]]-Tabela13[[#This Row],[SAÍDAS]])</f>
        <v>2</v>
      </c>
    </row>
    <row r="105" spans="1:7" ht="15" thickBot="1">
      <c r="A105" s="21">
        <f>Tabela13[[#This Row],[MATERIAL]]</f>
        <v>50038549</v>
      </c>
      <c r="B105" s="1">
        <v>50038549</v>
      </c>
      <c r="C105" s="1" t="s">
        <v>173</v>
      </c>
      <c r="D105" s="1">
        <v>2</v>
      </c>
      <c r="E105" s="7">
        <f>SUMIFS(Relatorio!G:G,Relatorio!E:E,Tabela13[[#This Row],[MATERIAL]],Relatorio!K:K,"Entrada")</f>
        <v>92</v>
      </c>
      <c r="F105" s="8">
        <f>SUMIFS(Relatorio!G:G,Relatorio!E:E,Tabela13[[#This Row],[MATERIAL]],Relatorio!K:K,"Saida")</f>
        <v>120</v>
      </c>
      <c r="G105" s="1">
        <f>(Tabela13[[#This Row],[ENTRADAS]]-Tabela13[[#This Row],[SAÍDAS]])</f>
        <v>-28</v>
      </c>
    </row>
    <row r="106" spans="1:7" ht="15" thickBot="1">
      <c r="A106" s="21">
        <f>Tabela13[[#This Row],[MATERIAL]]</f>
        <v>50043320</v>
      </c>
      <c r="B106" s="1">
        <v>50043320</v>
      </c>
      <c r="C106" s="1" t="s">
        <v>264</v>
      </c>
      <c r="D106" s="1">
        <v>1</v>
      </c>
      <c r="E106" s="7">
        <f>SUMIFS(Relatorio!G:G,Relatorio!E:E,Tabela13[[#This Row],[MATERIAL]],Relatorio!K:K,"Entrada")</f>
        <v>38</v>
      </c>
      <c r="F106" s="8">
        <f>SUMIFS(Relatorio!G:G,Relatorio!E:E,Tabela13[[#This Row],[MATERIAL]],Relatorio!K:K,"Saida")</f>
        <v>50</v>
      </c>
      <c r="G106" s="1">
        <f>(Tabela13[[#This Row],[ENTRADAS]]-Tabela13[[#This Row],[SAÍDAS]])</f>
        <v>-12</v>
      </c>
    </row>
    <row r="107" spans="1:7" ht="15" thickBot="1">
      <c r="A107" s="21">
        <f>Tabela13[[#This Row],[MATERIAL]]</f>
        <v>50030602</v>
      </c>
      <c r="B107" s="1">
        <v>50030602</v>
      </c>
      <c r="C107" s="1" t="s">
        <v>172</v>
      </c>
      <c r="D107" s="1">
        <v>2</v>
      </c>
      <c r="E107" s="7">
        <f>SUMIFS(Relatorio!G:G,Relatorio!E:E,Tabela13[[#This Row],[MATERIAL]],Relatorio!K:K,"Entrada")</f>
        <v>0</v>
      </c>
      <c r="F107" s="8">
        <f>SUMIFS(Relatorio!G:G,Relatorio!E:E,Tabela13[[#This Row],[MATERIAL]],Relatorio!K:K,"Saida")</f>
        <v>0</v>
      </c>
      <c r="G107" s="1">
        <f>(Tabela13[[#This Row],[ENTRADAS]]-Tabela13[[#This Row],[SAÍDAS]])</f>
        <v>0</v>
      </c>
    </row>
    <row r="108" spans="1:7" ht="15" thickBot="1">
      <c r="A108" s="21">
        <f>Tabela13[[#This Row],[MATERIAL]]</f>
        <v>50030601</v>
      </c>
      <c r="B108" s="1">
        <v>50030601</v>
      </c>
      <c r="C108" s="1" t="s">
        <v>171</v>
      </c>
      <c r="D108" s="1">
        <v>2</v>
      </c>
      <c r="E108" s="7">
        <f>SUMIFS(Relatorio!G:G,Relatorio!E:E,Tabela13[[#This Row],[MATERIAL]],Relatorio!K:K,"Entrada")</f>
        <v>0</v>
      </c>
      <c r="F108" s="8">
        <f>SUMIFS(Relatorio!G:G,Relatorio!E:E,Tabela13[[#This Row],[MATERIAL]],Relatorio!K:K,"Saida")</f>
        <v>0</v>
      </c>
      <c r="G108" s="1">
        <f>(Tabela13[[#This Row],[ENTRADAS]]-Tabela13[[#This Row],[SAÍDAS]])</f>
        <v>0</v>
      </c>
    </row>
    <row r="109" spans="1:7" ht="15" thickBot="1">
      <c r="A109" s="21">
        <f>Tabela13[[#This Row],[MATERIAL]]</f>
        <v>50030600</v>
      </c>
      <c r="B109" s="1">
        <v>50030600</v>
      </c>
      <c r="C109" s="1" t="s">
        <v>170</v>
      </c>
      <c r="D109" s="1">
        <v>2</v>
      </c>
      <c r="E109" s="7">
        <f>SUMIFS(Relatorio!G:G,Relatorio!E:E,Tabela13[[#This Row],[MATERIAL]],Relatorio!K:K,"Entrada")</f>
        <v>0</v>
      </c>
      <c r="F109" s="8">
        <f>SUMIFS(Relatorio!G:G,Relatorio!E:E,Tabela13[[#This Row],[MATERIAL]],Relatorio!K:K,"Saida")</f>
        <v>0</v>
      </c>
      <c r="G109" s="1">
        <f>(Tabela13[[#This Row],[ENTRADAS]]-Tabela13[[#This Row],[SAÍDAS]])</f>
        <v>0</v>
      </c>
    </row>
    <row r="110" spans="1:7" ht="15" thickBot="1">
      <c r="A110" s="21">
        <f>Tabela13[[#This Row],[MATERIAL]]</f>
        <v>50030599</v>
      </c>
      <c r="B110" s="1">
        <v>50030599</v>
      </c>
      <c r="C110" s="1" t="s">
        <v>169</v>
      </c>
      <c r="D110" s="1">
        <v>2</v>
      </c>
      <c r="E110" s="7">
        <f>SUMIFS(Relatorio!G:G,Relatorio!E:E,Tabela13[[#This Row],[MATERIAL]],Relatorio!K:K,"Entrada")</f>
        <v>0</v>
      </c>
      <c r="F110" s="8">
        <f>SUMIFS(Relatorio!G:G,Relatorio!E:E,Tabela13[[#This Row],[MATERIAL]],Relatorio!K:K,"Saida")</f>
        <v>0</v>
      </c>
      <c r="G110" s="1">
        <f>(Tabela13[[#This Row],[ENTRADAS]]-Tabela13[[#This Row],[SAÍDAS]])</f>
        <v>0</v>
      </c>
    </row>
    <row r="111" spans="1:7" ht="15" thickBot="1">
      <c r="A111" s="21">
        <f>Tabela13[[#This Row],[MATERIAL]]</f>
        <v>50030598</v>
      </c>
      <c r="B111" s="1">
        <v>50030598</v>
      </c>
      <c r="C111" s="1" t="s">
        <v>168</v>
      </c>
      <c r="D111" s="1">
        <v>2</v>
      </c>
      <c r="E111" s="7">
        <f>SUMIFS(Relatorio!G:G,Relatorio!E:E,Tabela13[[#This Row],[MATERIAL]],Relatorio!K:K,"Entrada")</f>
        <v>0</v>
      </c>
      <c r="F111" s="8">
        <f>SUMIFS(Relatorio!G:G,Relatorio!E:E,Tabela13[[#This Row],[MATERIAL]],Relatorio!K:K,"Saida")</f>
        <v>0</v>
      </c>
      <c r="G111" s="1">
        <f>(Tabela13[[#This Row],[ENTRADAS]]-Tabela13[[#This Row],[SAÍDAS]])</f>
        <v>0</v>
      </c>
    </row>
    <row r="112" spans="1:7" ht="15" thickBot="1">
      <c r="A112" s="21">
        <f>Tabela13[[#This Row],[MATERIAL]]</f>
        <v>50030597</v>
      </c>
      <c r="B112" s="1">
        <v>50030597</v>
      </c>
      <c r="C112" s="1" t="s">
        <v>167</v>
      </c>
      <c r="D112" s="1">
        <v>2</v>
      </c>
      <c r="E112" s="7">
        <f>SUMIFS(Relatorio!G:G,Relatorio!E:E,Tabela13[[#This Row],[MATERIAL]],Relatorio!K:K,"Entrada")</f>
        <v>0</v>
      </c>
      <c r="F112" s="8">
        <f>SUMIFS(Relatorio!G:G,Relatorio!E:E,Tabela13[[#This Row],[MATERIAL]],Relatorio!K:K,"Saida")</f>
        <v>0</v>
      </c>
      <c r="G112" s="1">
        <f>(Tabela13[[#This Row],[ENTRADAS]]-Tabela13[[#This Row],[SAÍDAS]])</f>
        <v>0</v>
      </c>
    </row>
    <row r="113" spans="1:7" ht="15" thickBot="1">
      <c r="A113" s="21">
        <f>Tabela13[[#This Row],[MATERIAL]]</f>
        <v>50030606</v>
      </c>
      <c r="B113" s="1">
        <v>50030606</v>
      </c>
      <c r="C113" s="1" t="s">
        <v>166</v>
      </c>
      <c r="D113" s="1">
        <v>2</v>
      </c>
      <c r="E113" s="7">
        <f>SUMIFS(Relatorio!G:G,Relatorio!E:E,Tabela13[[#This Row],[MATERIAL]],Relatorio!K:K,"Entrada")</f>
        <v>0</v>
      </c>
      <c r="F113" s="8">
        <f>SUMIFS(Relatorio!G:G,Relatorio!E:E,Tabela13[[#This Row],[MATERIAL]],Relatorio!K:K,"Saida")</f>
        <v>0</v>
      </c>
      <c r="G113" s="1">
        <f>(Tabela13[[#This Row],[ENTRADAS]]-Tabela13[[#This Row],[SAÍDAS]])</f>
        <v>0</v>
      </c>
    </row>
    <row r="114" spans="1:7" ht="15" thickBot="1">
      <c r="A114" s="21">
        <f>Tabela13[[#This Row],[MATERIAL]]</f>
        <v>50030604</v>
      </c>
      <c r="B114" s="1">
        <v>50030604</v>
      </c>
      <c r="C114" s="1" t="s">
        <v>165</v>
      </c>
      <c r="D114" s="1">
        <v>2</v>
      </c>
      <c r="E114" s="7">
        <f>SUMIFS(Relatorio!G:G,Relatorio!E:E,Tabela13[[#This Row],[MATERIAL]],Relatorio!K:K,"Entrada")</f>
        <v>0</v>
      </c>
      <c r="F114" s="8">
        <f>SUMIFS(Relatorio!G:G,Relatorio!E:E,Tabela13[[#This Row],[MATERIAL]],Relatorio!K:K,"Saida")</f>
        <v>0</v>
      </c>
      <c r="G114" s="1">
        <f>(Tabela13[[#This Row],[ENTRADAS]]-Tabela13[[#This Row],[SAÍDAS]])</f>
        <v>0</v>
      </c>
    </row>
    <row r="115" spans="1:7" ht="15" thickBot="1">
      <c r="A115" s="21">
        <f>Tabela13[[#This Row],[MATERIAL]]</f>
        <v>50037916</v>
      </c>
      <c r="B115" s="1">
        <v>50037916</v>
      </c>
      <c r="C115" s="1" t="s">
        <v>164</v>
      </c>
      <c r="D115" s="1">
        <v>1</v>
      </c>
      <c r="E115" s="7">
        <f>SUMIFS(Relatorio!G:G,Relatorio!E:E,Tabela13[[#This Row],[MATERIAL]],Relatorio!K:K,"Entrada")</f>
        <v>3</v>
      </c>
      <c r="F115" s="8">
        <f>SUMIFS(Relatorio!G:G,Relatorio!E:E,Tabela13[[#This Row],[MATERIAL]],Relatorio!K:K,"Saida")</f>
        <v>5</v>
      </c>
      <c r="G115" s="1">
        <f>(Tabela13[[#This Row],[ENTRADAS]]-Tabela13[[#This Row],[SAÍDAS]])</f>
        <v>-2</v>
      </c>
    </row>
    <row r="116" spans="1:7" ht="15" thickBot="1">
      <c r="A116" s="21">
        <f>Tabela13[[#This Row],[MATERIAL]]</f>
        <v>50036299</v>
      </c>
      <c r="B116" s="1">
        <v>50036299</v>
      </c>
      <c r="C116" s="1" t="s">
        <v>163</v>
      </c>
      <c r="D116" s="1">
        <v>1</v>
      </c>
      <c r="E116" s="7">
        <f>SUMIFS(Relatorio!G:G,Relatorio!E:E,Tabela13[[#This Row],[MATERIAL]],Relatorio!K:K,"Entrada")</f>
        <v>8</v>
      </c>
      <c r="F116" s="8">
        <f>SUMIFS(Relatorio!G:G,Relatorio!E:E,Tabela13[[#This Row],[MATERIAL]],Relatorio!K:K,"Saida")</f>
        <v>10</v>
      </c>
      <c r="G116" s="1">
        <f>(Tabela13[[#This Row],[ENTRADAS]]-Tabela13[[#This Row],[SAÍDAS]])</f>
        <v>-2</v>
      </c>
    </row>
    <row r="117" spans="1:7" ht="15" thickBot="1">
      <c r="A117" s="21">
        <f>Tabela13[[#This Row],[MATERIAL]]</f>
        <v>50043316</v>
      </c>
      <c r="B117" s="1">
        <v>50043316</v>
      </c>
      <c r="C117" s="1" t="s">
        <v>319</v>
      </c>
      <c r="D117" s="1">
        <v>1</v>
      </c>
      <c r="E117" s="7">
        <f>SUMIFS(Relatorio!G:G,Relatorio!E:E,Tabela13[[#This Row],[MATERIAL]],Relatorio!K:K,"Entrada")</f>
        <v>1</v>
      </c>
      <c r="F117" s="8">
        <f>SUMIFS(Relatorio!G:G,Relatorio!E:E,Tabela13[[#This Row],[MATERIAL]],Relatorio!K:K,"Saida")</f>
        <v>1</v>
      </c>
      <c r="G117" s="1">
        <f>(Tabela13[[#This Row],[ENTRADAS]]-Tabela13[[#This Row],[SAÍDAS]])</f>
        <v>0</v>
      </c>
    </row>
    <row r="118" spans="1:7" ht="15" thickBot="1">
      <c r="A118" s="21">
        <f>Tabela13[[#This Row],[MATERIAL]]</f>
        <v>50029865</v>
      </c>
      <c r="B118" s="1">
        <v>50029865</v>
      </c>
      <c r="C118" s="1" t="s">
        <v>162</v>
      </c>
      <c r="D118" s="1">
        <v>2</v>
      </c>
      <c r="E118" s="7">
        <f>SUMIFS(Relatorio!G:G,Relatorio!E:E,Tabela13[[#This Row],[MATERIAL]],Relatorio!K:K,"Entrada")</f>
        <v>43</v>
      </c>
      <c r="F118" s="8">
        <f>SUMIFS(Relatorio!G:G,Relatorio!E:E,Tabela13[[#This Row],[MATERIAL]],Relatorio!K:K,"Saida")</f>
        <v>53</v>
      </c>
      <c r="G118" s="1">
        <f>(Tabela13[[#This Row],[ENTRADAS]]-Tabela13[[#This Row],[SAÍDAS]])</f>
        <v>-10</v>
      </c>
    </row>
    <row r="119" spans="1:7" ht="15" thickBot="1">
      <c r="A119" s="21">
        <f>Tabela13[[#This Row],[MATERIAL]]</f>
        <v>50037930</v>
      </c>
      <c r="B119" s="1">
        <v>50037930</v>
      </c>
      <c r="C119" s="1" t="s">
        <v>161</v>
      </c>
      <c r="D119" s="1">
        <v>1</v>
      </c>
      <c r="E119" s="7">
        <f>SUMIFS(Relatorio!G:G,Relatorio!E:E,Tabela13[[#This Row],[MATERIAL]],Relatorio!K:K,"Entrada")</f>
        <v>0</v>
      </c>
      <c r="F119" s="8">
        <f>SUMIFS(Relatorio!G:G,Relatorio!E:E,Tabela13[[#This Row],[MATERIAL]],Relatorio!K:K,"Saida")</f>
        <v>0</v>
      </c>
      <c r="G119" s="1">
        <f>(Tabela13[[#This Row],[ENTRADAS]]-Tabela13[[#This Row],[SAÍDAS]])</f>
        <v>0</v>
      </c>
    </row>
    <row r="120" spans="1:7" ht="15" thickBot="1">
      <c r="A120" s="21">
        <f>Tabela13[[#This Row],[MATERIAL]]</f>
        <v>50044839</v>
      </c>
      <c r="B120" s="1">
        <v>50044839</v>
      </c>
      <c r="C120" s="1" t="s">
        <v>301</v>
      </c>
      <c r="D120" s="1">
        <v>1</v>
      </c>
      <c r="E120" s="7">
        <f>SUMIFS(Relatorio!G:G,Relatorio!E:E,Tabela13[[#This Row],[MATERIAL]],Relatorio!K:K,"Entrada")</f>
        <v>4</v>
      </c>
      <c r="F120" s="8">
        <f>SUMIFS(Relatorio!G:G,Relatorio!E:E,Tabela13[[#This Row],[MATERIAL]],Relatorio!K:K,"Saida")</f>
        <v>2</v>
      </c>
      <c r="G120" s="1">
        <f>(Tabela13[[#This Row],[ENTRADAS]]-Tabela13[[#This Row],[SAÍDAS]])</f>
        <v>2</v>
      </c>
    </row>
    <row r="121" spans="1:7" ht="15" thickBot="1">
      <c r="A121" s="21">
        <f>Tabela13[[#This Row],[MATERIAL]]</f>
        <v>50037956</v>
      </c>
      <c r="B121" s="1">
        <v>50037956</v>
      </c>
      <c r="C121" s="1" t="s">
        <v>160</v>
      </c>
      <c r="D121" s="1">
        <v>1</v>
      </c>
      <c r="E121" s="7">
        <f>SUMIFS(Relatorio!G:G,Relatorio!E:E,Tabela13[[#This Row],[MATERIAL]],Relatorio!K:K,"Entrada")</f>
        <v>0</v>
      </c>
      <c r="F121" s="8">
        <f>SUMIFS(Relatorio!G:G,Relatorio!E:E,Tabela13[[#This Row],[MATERIAL]],Relatorio!K:K,"Saida")</f>
        <v>0</v>
      </c>
      <c r="G121" s="1">
        <f>(Tabela13[[#This Row],[ENTRADAS]]-Tabela13[[#This Row],[SAÍDAS]])</f>
        <v>0</v>
      </c>
    </row>
    <row r="122" spans="1:7" ht="15" thickBot="1">
      <c r="A122" s="21">
        <f>Tabela13[[#This Row],[MATERIAL]]</f>
        <v>50037938</v>
      </c>
      <c r="B122" s="1">
        <v>50037938</v>
      </c>
      <c r="C122" s="1" t="s">
        <v>159</v>
      </c>
      <c r="D122" s="1">
        <v>1</v>
      </c>
      <c r="E122" s="7">
        <f>SUMIFS(Relatorio!G:G,Relatorio!E:E,Tabela13[[#This Row],[MATERIAL]],Relatorio!K:K,"Entrada")</f>
        <v>0</v>
      </c>
      <c r="F122" s="8">
        <f>SUMIFS(Relatorio!G:G,Relatorio!E:E,Tabela13[[#This Row],[MATERIAL]],Relatorio!K:K,"Saida")</f>
        <v>0</v>
      </c>
      <c r="G122" s="1">
        <f>(Tabela13[[#This Row],[ENTRADAS]]-Tabela13[[#This Row],[SAÍDAS]])</f>
        <v>0</v>
      </c>
    </row>
    <row r="123" spans="1:7" ht="15" thickBot="1">
      <c r="A123" s="21">
        <f>Tabela13[[#This Row],[MATERIAL]]</f>
        <v>50003297</v>
      </c>
      <c r="B123" s="1">
        <v>50003297</v>
      </c>
      <c r="C123" s="1" t="s">
        <v>158</v>
      </c>
      <c r="D123" s="1">
        <v>1</v>
      </c>
      <c r="E123" s="7">
        <f>SUMIFS(Relatorio!G:G,Relatorio!E:E,Tabela13[[#This Row],[MATERIAL]],Relatorio!K:K,"Entrada")</f>
        <v>148</v>
      </c>
      <c r="F123" s="8">
        <f>SUMIFS(Relatorio!G:G,Relatorio!E:E,Tabela13[[#This Row],[MATERIAL]],Relatorio!K:K,"Saida")</f>
        <v>150</v>
      </c>
      <c r="G123" s="1">
        <f>(Tabela13[[#This Row],[ENTRADAS]]-Tabela13[[#This Row],[SAÍDAS]])</f>
        <v>-2</v>
      </c>
    </row>
    <row r="124" spans="1:7" ht="15" thickBot="1">
      <c r="A124" s="21">
        <f>Tabela13[[#This Row],[MATERIAL]]</f>
        <v>50003296</v>
      </c>
      <c r="B124" s="1">
        <v>50003296</v>
      </c>
      <c r="C124" s="1" t="s">
        <v>157</v>
      </c>
      <c r="D124" s="1">
        <v>1</v>
      </c>
      <c r="E124" s="7">
        <f>SUMIFS(Relatorio!G:G,Relatorio!E:E,Tabela13[[#This Row],[MATERIAL]],Relatorio!K:K,"Entrada")</f>
        <v>24</v>
      </c>
      <c r="F124" s="8">
        <f>SUMIFS(Relatorio!G:G,Relatorio!E:E,Tabela13[[#This Row],[MATERIAL]],Relatorio!K:K,"Saida")</f>
        <v>30</v>
      </c>
      <c r="G124" s="1">
        <f>(Tabela13[[#This Row],[ENTRADAS]]-Tabela13[[#This Row],[SAÍDAS]])</f>
        <v>-6</v>
      </c>
    </row>
    <row r="125" spans="1:7" ht="15" thickBot="1">
      <c r="A125" s="21">
        <f>Tabela13[[#This Row],[MATERIAL]]</f>
        <v>50043471</v>
      </c>
      <c r="B125" s="1">
        <v>50043471</v>
      </c>
      <c r="C125" s="1" t="s">
        <v>257</v>
      </c>
      <c r="D125" s="1">
        <v>1</v>
      </c>
      <c r="E125" s="7">
        <f>SUMIFS(Relatorio!G:G,Relatorio!E:E,Tabela13[[#This Row],[MATERIAL]],Relatorio!K:K,"Entrada")</f>
        <v>186</v>
      </c>
      <c r="F125" s="8">
        <f>SUMIFS(Relatorio!G:G,Relatorio!E:E,Tabela13[[#This Row],[MATERIAL]],Relatorio!K:K,"Saida")</f>
        <v>176</v>
      </c>
      <c r="G125" s="1">
        <f>(Tabela13[[#This Row],[ENTRADAS]]-Tabela13[[#This Row],[SAÍDAS]])</f>
        <v>10</v>
      </c>
    </row>
    <row r="126" spans="1:7" ht="15" thickBot="1">
      <c r="A126" s="21">
        <f>Tabela13[[#This Row],[MATERIAL]]</f>
        <v>50030074</v>
      </c>
      <c r="B126" s="1">
        <v>50030074</v>
      </c>
      <c r="C126" s="1" t="s">
        <v>156</v>
      </c>
      <c r="D126" s="1">
        <v>1</v>
      </c>
      <c r="E126" s="7">
        <f>SUMIFS(Relatorio!G:G,Relatorio!E:E,Tabela13[[#This Row],[MATERIAL]],Relatorio!K:K,"Entrada")</f>
        <v>6</v>
      </c>
      <c r="F126" s="8">
        <f>SUMIFS(Relatorio!G:G,Relatorio!E:E,Tabela13[[#This Row],[MATERIAL]],Relatorio!K:K,"Saida")</f>
        <v>8</v>
      </c>
      <c r="G126" s="1">
        <f>(Tabela13[[#This Row],[ENTRADAS]]-Tabela13[[#This Row],[SAÍDAS]])</f>
        <v>-2</v>
      </c>
    </row>
    <row r="127" spans="1:7" ht="15" thickBot="1">
      <c r="A127" s="21">
        <f>Tabela13[[#This Row],[MATERIAL]]</f>
        <v>50033115</v>
      </c>
      <c r="B127" s="1">
        <v>50033115</v>
      </c>
      <c r="C127" s="1" t="s">
        <v>155</v>
      </c>
      <c r="D127" s="1">
        <v>1</v>
      </c>
      <c r="E127" s="7">
        <f>SUMIFS(Relatorio!G:G,Relatorio!E:E,Tabela13[[#This Row],[MATERIAL]],Relatorio!K:K,"Entrada")</f>
        <v>0</v>
      </c>
      <c r="F127" s="8">
        <f>SUMIFS(Relatorio!G:G,Relatorio!E:E,Tabela13[[#This Row],[MATERIAL]],Relatorio!K:K,"Saida")</f>
        <v>0</v>
      </c>
      <c r="G127" s="1">
        <f>(Tabela13[[#This Row],[ENTRADAS]]-Tabela13[[#This Row],[SAÍDAS]])</f>
        <v>0</v>
      </c>
    </row>
    <row r="128" spans="1:7" ht="15" thickBot="1">
      <c r="A128" s="21">
        <f>Tabela13[[#This Row],[MATERIAL]]</f>
        <v>50039236</v>
      </c>
      <c r="B128" s="1">
        <v>50039236</v>
      </c>
      <c r="C128" s="1" t="s">
        <v>154</v>
      </c>
      <c r="D128" s="1">
        <v>1</v>
      </c>
      <c r="E128" s="7">
        <f>SUMIFS(Relatorio!G:G,Relatorio!E:E,Tabela13[[#This Row],[MATERIAL]],Relatorio!K:K,"Entrada")</f>
        <v>41</v>
      </c>
      <c r="F128" s="8">
        <f>SUMIFS(Relatorio!G:G,Relatorio!E:E,Tabela13[[#This Row],[MATERIAL]],Relatorio!K:K,"Saida")</f>
        <v>43</v>
      </c>
      <c r="G128" s="1">
        <f>(Tabela13[[#This Row],[ENTRADAS]]-Tabela13[[#This Row],[SAÍDAS]])</f>
        <v>-2</v>
      </c>
    </row>
    <row r="129" spans="1:7" ht="15" thickBot="1">
      <c r="A129" s="21">
        <f>Tabela13[[#This Row],[MATERIAL]]</f>
        <v>50030486</v>
      </c>
      <c r="B129" s="22">
        <v>50030486</v>
      </c>
      <c r="C129" s="1" t="s">
        <v>377</v>
      </c>
      <c r="D129" s="1">
        <v>1</v>
      </c>
      <c r="E129" s="7">
        <f>SUMIFS(Relatorio!G:G,Relatorio!E:E,Tabela13[[#This Row],[MATERIAL]],Relatorio!K:K,"Entrada")</f>
        <v>78</v>
      </c>
      <c r="F129" s="8">
        <f>SUMIFS(Relatorio!G:G,Relatorio!E:E,Tabela13[[#This Row],[MATERIAL]],Relatorio!K:K,"Saida")</f>
        <v>89</v>
      </c>
      <c r="G129" s="1">
        <f>(Tabela13[[#This Row],[ENTRADAS]]-Tabela13[[#This Row],[SAÍDAS]])</f>
        <v>-11</v>
      </c>
    </row>
    <row r="130" spans="1:7" ht="15" thickBot="1">
      <c r="A130" s="21">
        <f>Tabela13[[#This Row],[MATERIAL]]</f>
        <v>50036280</v>
      </c>
      <c r="B130" s="1">
        <v>50036280</v>
      </c>
      <c r="C130" s="1" t="s">
        <v>152</v>
      </c>
      <c r="D130" s="1">
        <v>1</v>
      </c>
      <c r="E130" s="7">
        <f>SUMIFS(Relatorio!G:G,Relatorio!E:E,Tabela13[[#This Row],[MATERIAL]],Relatorio!K:K,"Entrada")</f>
        <v>7</v>
      </c>
      <c r="F130" s="8">
        <f>SUMIFS(Relatorio!G:G,Relatorio!E:E,Tabela13[[#This Row],[MATERIAL]],Relatorio!K:K,"Saida")</f>
        <v>6</v>
      </c>
      <c r="G130" s="1">
        <f>(Tabela13[[#This Row],[ENTRADAS]]-Tabela13[[#This Row],[SAÍDAS]])</f>
        <v>1</v>
      </c>
    </row>
    <row r="131" spans="1:7" ht="15" thickBot="1">
      <c r="A131" s="21">
        <f>Tabela13[[#This Row],[MATERIAL]]</f>
        <v>50038617</v>
      </c>
      <c r="B131" s="1">
        <v>50038617</v>
      </c>
      <c r="C131" s="1" t="s">
        <v>151</v>
      </c>
      <c r="D131" s="1">
        <v>1</v>
      </c>
      <c r="E131" s="7">
        <f>SUMIFS(Relatorio!G:G,Relatorio!E:E,Tabela13[[#This Row],[MATERIAL]],Relatorio!K:K,"Entrada")</f>
        <v>0</v>
      </c>
      <c r="F131" s="8">
        <f>SUMIFS(Relatorio!G:G,Relatorio!E:E,Tabela13[[#This Row],[MATERIAL]],Relatorio!K:K,"Saida")</f>
        <v>0</v>
      </c>
      <c r="G131" s="1">
        <f>(Tabela13[[#This Row],[ENTRADAS]]-Tabela13[[#This Row],[SAÍDAS]])</f>
        <v>0</v>
      </c>
    </row>
    <row r="132" spans="1:7" ht="15" thickBot="1">
      <c r="A132" s="21">
        <f>Tabela13[[#This Row],[MATERIAL]]</f>
        <v>50039528</v>
      </c>
      <c r="B132" s="1">
        <v>50039528</v>
      </c>
      <c r="C132" s="1" t="s">
        <v>258</v>
      </c>
      <c r="D132" s="1">
        <v>1</v>
      </c>
      <c r="E132" s="7">
        <f>SUMIFS(Relatorio!G:G,Relatorio!E:E,Tabela13[[#This Row],[MATERIAL]],Relatorio!K:K,"Entrada")</f>
        <v>0</v>
      </c>
      <c r="F132" s="8">
        <f>SUMIFS(Relatorio!G:G,Relatorio!E:E,Tabela13[[#This Row],[MATERIAL]],Relatorio!K:K,"Saida")</f>
        <v>0</v>
      </c>
      <c r="G132" s="1">
        <f>(Tabela13[[#This Row],[ENTRADAS]]-Tabela13[[#This Row],[SAÍDAS]])</f>
        <v>0</v>
      </c>
    </row>
    <row r="133" spans="1:7" ht="15" thickBot="1">
      <c r="A133" s="21">
        <f>Tabela13[[#This Row],[MATERIAL]]</f>
        <v>50037905</v>
      </c>
      <c r="B133" s="1">
        <v>50037905</v>
      </c>
      <c r="C133" s="1" t="s">
        <v>150</v>
      </c>
      <c r="D133" s="1">
        <v>1</v>
      </c>
      <c r="E133" s="7">
        <f>SUMIFS(Relatorio!G:G,Relatorio!E:E,Tabela13[[#This Row],[MATERIAL]],Relatorio!K:K,"Entrada")</f>
        <v>77</v>
      </c>
      <c r="F133" s="8">
        <f>SUMIFS(Relatorio!G:G,Relatorio!E:E,Tabela13[[#This Row],[MATERIAL]],Relatorio!K:K,"Saida")</f>
        <v>79</v>
      </c>
      <c r="G133" s="1">
        <f>(Tabela13[[#This Row],[ENTRADAS]]-Tabela13[[#This Row],[SAÍDAS]])</f>
        <v>-2</v>
      </c>
    </row>
    <row r="134" spans="1:7" ht="15" thickBot="1">
      <c r="A134" s="21">
        <f>Tabela13[[#This Row],[MATERIAL]]</f>
        <v>50039718</v>
      </c>
      <c r="B134" s="22">
        <v>50039718</v>
      </c>
      <c r="C134" s="1" t="s">
        <v>149</v>
      </c>
      <c r="D134" s="1">
        <v>2</v>
      </c>
      <c r="E134" s="7">
        <f>SUMIFS(Relatorio!G:G,Relatorio!E:E,Tabela13[[#This Row],[MATERIAL]],Relatorio!K:K,"Entrada")</f>
        <v>32</v>
      </c>
      <c r="F134" s="8">
        <f>SUMIFS(Relatorio!G:G,Relatorio!E:E,Tabela13[[#This Row],[MATERIAL]],Relatorio!K:K,"Saida")</f>
        <v>44</v>
      </c>
      <c r="G134" s="1">
        <f>(Tabela13[[#This Row],[ENTRADAS]]-Tabela13[[#This Row],[SAÍDAS]])</f>
        <v>-12</v>
      </c>
    </row>
    <row r="135" spans="1:7" ht="15" thickBot="1">
      <c r="A135" s="21">
        <f>Tabela13[[#This Row],[MATERIAL]]</f>
        <v>50043520</v>
      </c>
      <c r="B135" s="1">
        <v>50043520</v>
      </c>
      <c r="C135" s="1" t="s">
        <v>266</v>
      </c>
      <c r="D135" s="1">
        <v>1</v>
      </c>
      <c r="E135" s="7">
        <f>SUMIFS(Relatorio!G:G,Relatorio!E:E,Tabela13[[#This Row],[MATERIAL]],Relatorio!K:K,"Entrada")</f>
        <v>9</v>
      </c>
      <c r="F135" s="8">
        <f>SUMIFS(Relatorio!G:G,Relatorio!E:E,Tabela13[[#This Row],[MATERIAL]],Relatorio!K:K,"Saida")</f>
        <v>9</v>
      </c>
      <c r="G135" s="1">
        <f>(Tabela13[[#This Row],[ENTRADAS]]-Tabela13[[#This Row],[SAÍDAS]])</f>
        <v>0</v>
      </c>
    </row>
    <row r="136" spans="1:7" ht="15" thickBot="1">
      <c r="A136" s="21">
        <f>Tabela13[[#This Row],[MATERIAL]]</f>
        <v>50037941</v>
      </c>
      <c r="B136" s="1">
        <v>50037941</v>
      </c>
      <c r="C136" s="1" t="s">
        <v>148</v>
      </c>
      <c r="D136" s="1">
        <v>1</v>
      </c>
      <c r="E136" s="7">
        <f>SUMIFS(Relatorio!G:G,Relatorio!E:E,Tabela13[[#This Row],[MATERIAL]],Relatorio!K:K,"Entrada")</f>
        <v>2</v>
      </c>
      <c r="F136" s="8">
        <f>SUMIFS(Relatorio!G:G,Relatorio!E:E,Tabela13[[#This Row],[MATERIAL]],Relatorio!K:K,"Saida")</f>
        <v>0</v>
      </c>
      <c r="G136" s="1">
        <f>(Tabela13[[#This Row],[ENTRADAS]]-Tabela13[[#This Row],[SAÍDAS]])</f>
        <v>2</v>
      </c>
    </row>
    <row r="137" spans="1:7" ht="15" thickBot="1">
      <c r="A137" s="21">
        <f>Tabela13[[#This Row],[MATERIAL]]</f>
        <v>50037931</v>
      </c>
      <c r="B137" s="1">
        <v>50037931</v>
      </c>
      <c r="C137" s="1" t="s">
        <v>147</v>
      </c>
      <c r="D137" s="1">
        <v>1</v>
      </c>
      <c r="E137" s="7">
        <f>SUMIFS(Relatorio!G:G,Relatorio!E:E,Tabela13[[#This Row],[MATERIAL]],Relatorio!K:K,"Entrada")</f>
        <v>0</v>
      </c>
      <c r="F137" s="8">
        <f>SUMIFS(Relatorio!G:G,Relatorio!E:E,Tabela13[[#This Row],[MATERIAL]],Relatorio!K:K,"Saida")</f>
        <v>0</v>
      </c>
      <c r="G137" s="1">
        <f>(Tabela13[[#This Row],[ENTRADAS]]-Tabela13[[#This Row],[SAÍDAS]])</f>
        <v>0</v>
      </c>
    </row>
    <row r="138" spans="1:7" ht="15" thickBot="1">
      <c r="A138" s="21">
        <f>Tabela13[[#This Row],[MATERIAL]]</f>
        <v>50012576</v>
      </c>
      <c r="B138" s="1">
        <v>50012576</v>
      </c>
      <c r="C138" s="1" t="s">
        <v>304</v>
      </c>
      <c r="D138" s="1">
        <v>1</v>
      </c>
      <c r="E138" s="7">
        <f>SUMIFS(Relatorio!G:G,Relatorio!E:E,Tabela13[[#This Row],[MATERIAL]],Relatorio!K:K,"Entrada")</f>
        <v>5</v>
      </c>
      <c r="F138" s="8">
        <f>SUMIFS(Relatorio!G:G,Relatorio!E:E,Tabela13[[#This Row],[MATERIAL]],Relatorio!K:K,"Saida")</f>
        <v>2</v>
      </c>
      <c r="G138" s="1">
        <f>(Tabela13[[#This Row],[ENTRADAS]]-Tabela13[[#This Row],[SAÍDAS]])</f>
        <v>3</v>
      </c>
    </row>
    <row r="139" spans="1:7" ht="15" thickBot="1">
      <c r="A139" s="21">
        <f>Tabela13[[#This Row],[MATERIAL]]</f>
        <v>50037914</v>
      </c>
      <c r="B139" s="1">
        <v>50037914</v>
      </c>
      <c r="C139" s="1" t="s">
        <v>146</v>
      </c>
      <c r="D139" s="1">
        <v>1</v>
      </c>
      <c r="E139" s="7">
        <f>SUMIFS(Relatorio!G:G,Relatorio!E:E,Tabela13[[#This Row],[MATERIAL]],Relatorio!K:K,"Entrada")</f>
        <v>0</v>
      </c>
      <c r="F139" s="8">
        <f>SUMIFS(Relatorio!G:G,Relatorio!E:E,Tabela13[[#This Row],[MATERIAL]],Relatorio!K:K,"Saida")</f>
        <v>0</v>
      </c>
      <c r="G139" s="1">
        <f>(Tabela13[[#This Row],[ENTRADAS]]-Tabela13[[#This Row],[SAÍDAS]])</f>
        <v>0</v>
      </c>
    </row>
    <row r="140" spans="1:7" ht="15" thickBot="1">
      <c r="A140" s="21">
        <f>Tabela13[[#This Row],[MATERIAL]]</f>
        <v>50037913</v>
      </c>
      <c r="B140" s="1">
        <v>50037913</v>
      </c>
      <c r="C140" s="1" t="s">
        <v>145</v>
      </c>
      <c r="D140" s="1">
        <v>1</v>
      </c>
      <c r="E140" s="7">
        <f>SUMIFS(Relatorio!G:G,Relatorio!E:E,Tabela13[[#This Row],[MATERIAL]],Relatorio!K:K,"Entrada")</f>
        <v>0</v>
      </c>
      <c r="F140" s="8">
        <f>SUMIFS(Relatorio!G:G,Relatorio!E:E,Tabela13[[#This Row],[MATERIAL]],Relatorio!K:K,"Saida")</f>
        <v>0</v>
      </c>
      <c r="G140" s="1">
        <f>(Tabela13[[#This Row],[ENTRADAS]]-Tabela13[[#This Row],[SAÍDAS]])</f>
        <v>0</v>
      </c>
    </row>
    <row r="141" spans="1:7" ht="15" thickBot="1">
      <c r="A141" s="21">
        <f>Tabela13[[#This Row],[MATERIAL]]</f>
        <v>50037912</v>
      </c>
      <c r="B141" s="1">
        <v>50037912</v>
      </c>
      <c r="C141" s="1" t="s">
        <v>144</v>
      </c>
      <c r="D141" s="1">
        <v>1</v>
      </c>
      <c r="E141" s="7">
        <f>SUMIFS(Relatorio!G:G,Relatorio!E:E,Tabela13[[#This Row],[MATERIAL]],Relatorio!K:K,"Entrada")</f>
        <v>0</v>
      </c>
      <c r="F141" s="8">
        <f>SUMIFS(Relatorio!G:G,Relatorio!E:E,Tabela13[[#This Row],[MATERIAL]],Relatorio!K:K,"Saida")</f>
        <v>0</v>
      </c>
      <c r="G141" s="1">
        <f>(Tabela13[[#This Row],[ENTRADAS]]-Tabela13[[#This Row],[SAÍDAS]])</f>
        <v>0</v>
      </c>
    </row>
    <row r="142" spans="1:7" ht="15" thickBot="1">
      <c r="A142" s="21">
        <f>Tabela13[[#This Row],[MATERIAL]]</f>
        <v>50037911</v>
      </c>
      <c r="B142" s="1">
        <v>50037911</v>
      </c>
      <c r="C142" s="1" t="s">
        <v>143</v>
      </c>
      <c r="D142" s="1">
        <v>1</v>
      </c>
      <c r="E142" s="7">
        <f>SUMIFS(Relatorio!G:G,Relatorio!E:E,Tabela13[[#This Row],[MATERIAL]],Relatorio!K:K,"Entrada")</f>
        <v>0</v>
      </c>
      <c r="F142" s="8">
        <f>SUMIFS(Relatorio!G:G,Relatorio!E:E,Tabela13[[#This Row],[MATERIAL]],Relatorio!K:K,"Saida")</f>
        <v>0</v>
      </c>
      <c r="G142" s="1">
        <f>(Tabela13[[#This Row],[ENTRADAS]]-Tabela13[[#This Row],[SAÍDAS]])</f>
        <v>0</v>
      </c>
    </row>
    <row r="143" spans="1:7" ht="15" thickBot="1">
      <c r="A143" s="21">
        <f>Tabela13[[#This Row],[MATERIAL]]</f>
        <v>50037937</v>
      </c>
      <c r="B143" s="1">
        <v>50037937</v>
      </c>
      <c r="C143" s="1" t="s">
        <v>142</v>
      </c>
      <c r="D143" s="1">
        <v>1</v>
      </c>
      <c r="E143" s="7">
        <f>SUMIFS(Relatorio!G:G,Relatorio!E:E,Tabela13[[#This Row],[MATERIAL]],Relatorio!K:K,"Entrada")</f>
        <v>0</v>
      </c>
      <c r="F143" s="8">
        <f>SUMIFS(Relatorio!G:G,Relatorio!E:E,Tabela13[[#This Row],[MATERIAL]],Relatorio!K:K,"Saida")</f>
        <v>0</v>
      </c>
      <c r="G143" s="1">
        <f>(Tabela13[[#This Row],[ENTRADAS]]-Tabela13[[#This Row],[SAÍDAS]])</f>
        <v>0</v>
      </c>
    </row>
    <row r="144" spans="1:7" ht="15" thickBot="1">
      <c r="A144" s="21">
        <f>Tabela13[[#This Row],[MATERIAL]]</f>
        <v>50042623</v>
      </c>
      <c r="B144" s="1">
        <v>50042623</v>
      </c>
      <c r="C144" s="1" t="s">
        <v>141</v>
      </c>
      <c r="D144" s="1">
        <v>1</v>
      </c>
      <c r="E144" s="7">
        <f>SUMIFS(Relatorio!G:G,Relatorio!E:E,Tabela13[[#This Row],[MATERIAL]],Relatorio!K:K,"Entrada")</f>
        <v>0</v>
      </c>
      <c r="F144" s="8">
        <f>SUMIFS(Relatorio!G:G,Relatorio!E:E,Tabela13[[#This Row],[MATERIAL]],Relatorio!K:K,"Saida")</f>
        <v>4</v>
      </c>
      <c r="G144" s="1">
        <f>(Tabela13[[#This Row],[ENTRADAS]]-Tabela13[[#This Row],[SAÍDAS]])</f>
        <v>-4</v>
      </c>
    </row>
    <row r="145" spans="1:7" ht="15" thickBot="1">
      <c r="A145" s="21">
        <f>Tabela13[[#This Row],[MATERIAL]]</f>
        <v>50037955</v>
      </c>
      <c r="B145" s="1">
        <v>50037955</v>
      </c>
      <c r="C145" s="1" t="s">
        <v>140</v>
      </c>
      <c r="D145" s="1">
        <v>1</v>
      </c>
      <c r="E145" s="7">
        <f>SUMIFS(Relatorio!G:G,Relatorio!E:E,Tabela13[[#This Row],[MATERIAL]],Relatorio!K:K,"Entrada")</f>
        <v>0</v>
      </c>
      <c r="F145" s="8">
        <f>SUMIFS(Relatorio!G:G,Relatorio!E:E,Tabela13[[#This Row],[MATERIAL]],Relatorio!K:K,"Saida")</f>
        <v>0</v>
      </c>
      <c r="G145" s="1">
        <f>(Tabela13[[#This Row],[ENTRADAS]]-Tabela13[[#This Row],[SAÍDAS]])</f>
        <v>0</v>
      </c>
    </row>
    <row r="146" spans="1:7" ht="15" thickBot="1">
      <c r="A146" s="21">
        <f>Tabela13[[#This Row],[MATERIAL]]</f>
        <v>50037954</v>
      </c>
      <c r="B146" s="1">
        <v>50037954</v>
      </c>
      <c r="C146" s="1" t="s">
        <v>139</v>
      </c>
      <c r="D146" s="1">
        <v>1</v>
      </c>
      <c r="E146" s="7">
        <f>SUMIFS(Relatorio!G:G,Relatorio!E:E,Tabela13[[#This Row],[MATERIAL]],Relatorio!K:K,"Entrada")</f>
        <v>0</v>
      </c>
      <c r="F146" s="8">
        <f>SUMIFS(Relatorio!G:G,Relatorio!E:E,Tabela13[[#This Row],[MATERIAL]],Relatorio!K:K,"Saida")</f>
        <v>0</v>
      </c>
      <c r="G146" s="1">
        <f>(Tabela13[[#This Row],[ENTRADAS]]-Tabela13[[#This Row],[SAÍDAS]])</f>
        <v>0</v>
      </c>
    </row>
    <row r="147" spans="1:7" ht="15" thickBot="1">
      <c r="A147" s="21">
        <f>Tabela13[[#This Row],[MATERIAL]]</f>
        <v>50040131</v>
      </c>
      <c r="B147" s="1">
        <v>50040131</v>
      </c>
      <c r="C147" s="1" t="s">
        <v>138</v>
      </c>
      <c r="D147" s="1">
        <v>1</v>
      </c>
      <c r="E147" s="7">
        <f>SUMIFS(Relatorio!G:G,Relatorio!E:E,Tabela13[[#This Row],[MATERIAL]],Relatorio!K:K,"Entrada")</f>
        <v>0</v>
      </c>
      <c r="F147" s="8">
        <f>SUMIFS(Relatorio!G:G,Relatorio!E:E,Tabela13[[#This Row],[MATERIAL]],Relatorio!K:K,"Saida")</f>
        <v>0</v>
      </c>
      <c r="G147" s="1">
        <f>(Tabela13[[#This Row],[ENTRADAS]]-Tabela13[[#This Row],[SAÍDAS]])</f>
        <v>0</v>
      </c>
    </row>
    <row r="148" spans="1:7" ht="15" thickBot="1">
      <c r="A148" s="21">
        <f>Tabela13[[#This Row],[MATERIAL]]</f>
        <v>50040130</v>
      </c>
      <c r="B148" s="1">
        <v>50040130</v>
      </c>
      <c r="C148" s="1" t="s">
        <v>137</v>
      </c>
      <c r="D148" s="1">
        <v>1</v>
      </c>
      <c r="E148" s="7">
        <f>SUMIFS(Relatorio!G:G,Relatorio!E:E,Tabela13[[#This Row],[MATERIAL]],Relatorio!K:K,"Entrada")</f>
        <v>0</v>
      </c>
      <c r="F148" s="8">
        <f>SUMIFS(Relatorio!G:G,Relatorio!E:E,Tabela13[[#This Row],[MATERIAL]],Relatorio!K:K,"Saida")</f>
        <v>0</v>
      </c>
      <c r="G148" s="1">
        <f>(Tabela13[[#This Row],[ENTRADAS]]-Tabela13[[#This Row],[SAÍDAS]])</f>
        <v>0</v>
      </c>
    </row>
    <row r="149" spans="1:7" ht="15" thickBot="1">
      <c r="A149" s="21">
        <f>Tabela13[[#This Row],[MATERIAL]]</f>
        <v>50040128</v>
      </c>
      <c r="B149" s="1">
        <v>50040128</v>
      </c>
      <c r="C149" s="1" t="s">
        <v>136</v>
      </c>
      <c r="D149" s="1">
        <v>1</v>
      </c>
      <c r="E149" s="7">
        <f>SUMIFS(Relatorio!G:G,Relatorio!E:E,Tabela13[[#This Row],[MATERIAL]],Relatorio!K:K,"Entrada")</f>
        <v>0</v>
      </c>
      <c r="F149" s="8">
        <f>SUMIFS(Relatorio!G:G,Relatorio!E:E,Tabela13[[#This Row],[MATERIAL]],Relatorio!K:K,"Saida")</f>
        <v>0</v>
      </c>
      <c r="G149" s="1">
        <f>(Tabela13[[#This Row],[ENTRADAS]]-Tabela13[[#This Row],[SAÍDAS]])</f>
        <v>0</v>
      </c>
    </row>
    <row r="150" spans="1:7" ht="15" thickBot="1">
      <c r="A150" s="21">
        <f>Tabela13[[#This Row],[MATERIAL]]</f>
        <v>50040129</v>
      </c>
      <c r="B150" s="1">
        <v>50040129</v>
      </c>
      <c r="C150" s="1" t="s">
        <v>135</v>
      </c>
      <c r="D150" s="1">
        <v>1</v>
      </c>
      <c r="E150" s="7">
        <f>SUMIFS(Relatorio!G:G,Relatorio!E:E,Tabela13[[#This Row],[MATERIAL]],Relatorio!K:K,"Entrada")</f>
        <v>0</v>
      </c>
      <c r="F150" s="8">
        <f>SUMIFS(Relatorio!G:G,Relatorio!E:E,Tabela13[[#This Row],[MATERIAL]],Relatorio!K:K,"Saida")</f>
        <v>0</v>
      </c>
      <c r="G150" s="1">
        <f>(Tabela13[[#This Row],[ENTRADAS]]-Tabela13[[#This Row],[SAÍDAS]])</f>
        <v>0</v>
      </c>
    </row>
    <row r="151" spans="1:7" ht="15" thickBot="1">
      <c r="A151" s="21">
        <f>Tabela13[[#This Row],[MATERIAL]]</f>
        <v>50041939</v>
      </c>
      <c r="B151" s="1">
        <v>50041939</v>
      </c>
      <c r="C151" s="1" t="s">
        <v>134</v>
      </c>
      <c r="D151" s="1">
        <v>1</v>
      </c>
      <c r="E151" s="7">
        <f>SUMIFS(Relatorio!G:G,Relatorio!E:E,Tabela13[[#This Row],[MATERIAL]],Relatorio!K:K,"Entrada")</f>
        <v>2</v>
      </c>
      <c r="F151" s="8">
        <f>SUMIFS(Relatorio!G:G,Relatorio!E:E,Tabela13[[#This Row],[MATERIAL]],Relatorio!K:K,"Saida")</f>
        <v>4</v>
      </c>
      <c r="G151" s="1">
        <f>(Tabela13[[#This Row],[ENTRADAS]]-Tabela13[[#This Row],[SAÍDAS]])</f>
        <v>-2</v>
      </c>
    </row>
    <row r="152" spans="1:7" ht="15" thickBot="1">
      <c r="A152" s="21">
        <f>Tabela13[[#This Row],[MATERIAL]]</f>
        <v>50038842</v>
      </c>
      <c r="B152" s="1">
        <v>50038842</v>
      </c>
      <c r="C152" s="1" t="s">
        <v>133</v>
      </c>
      <c r="D152" s="1">
        <v>2</v>
      </c>
      <c r="E152" s="7">
        <f>SUMIFS(Relatorio!G:G,Relatorio!E:E,Tabela13[[#This Row],[MATERIAL]],Relatorio!K:K,"Entrada")</f>
        <v>6</v>
      </c>
      <c r="F152" s="8">
        <f>SUMIFS(Relatorio!G:G,Relatorio!E:E,Tabela13[[#This Row],[MATERIAL]],Relatorio!K:K,"Saida")</f>
        <v>6</v>
      </c>
      <c r="G152" s="1">
        <f>(Tabela13[[#This Row],[ENTRADAS]]-Tabela13[[#This Row],[SAÍDAS]])</f>
        <v>0</v>
      </c>
    </row>
    <row r="153" spans="1:7" ht="15" thickBot="1">
      <c r="A153" s="21">
        <f>Tabela13[[#This Row],[MATERIAL]]</f>
        <v>50036279</v>
      </c>
      <c r="B153" s="1">
        <v>50036279</v>
      </c>
      <c r="C153" s="1" t="s">
        <v>133</v>
      </c>
      <c r="D153" s="1">
        <v>1</v>
      </c>
      <c r="E153" s="7">
        <f>SUMIFS(Relatorio!G:G,Relatorio!E:E,Tabela13[[#This Row],[MATERIAL]],Relatorio!K:K,"Entrada")</f>
        <v>13</v>
      </c>
      <c r="F153" s="8">
        <f>SUMIFS(Relatorio!G:G,Relatorio!E:E,Tabela13[[#This Row],[MATERIAL]],Relatorio!K:K,"Saida")</f>
        <v>9</v>
      </c>
      <c r="G153" s="1">
        <f>(Tabela13[[#This Row],[ENTRADAS]]-Tabela13[[#This Row],[SAÍDAS]])</f>
        <v>4</v>
      </c>
    </row>
    <row r="154" spans="1:7" ht="15" thickBot="1">
      <c r="A154" s="21">
        <f>Tabela13[[#This Row],[MATERIAL]]</f>
        <v>50003173</v>
      </c>
      <c r="B154" s="1">
        <v>50003173</v>
      </c>
      <c r="C154" s="1" t="s">
        <v>74</v>
      </c>
      <c r="D154" s="1">
        <v>1</v>
      </c>
      <c r="E154" s="7">
        <f>SUMIFS(Relatorio!G:G,Relatorio!E:E,Tabela13[[#This Row],[MATERIAL]],Relatorio!K:K,"Entrada")</f>
        <v>22</v>
      </c>
      <c r="F154" s="8">
        <f>SUMIFS(Relatorio!G:G,Relatorio!E:E,Tabela13[[#This Row],[MATERIAL]],Relatorio!K:K,"Saida")</f>
        <v>35</v>
      </c>
      <c r="G154" s="1">
        <f>(Tabela13[[#This Row],[ENTRADAS]]-Tabela13[[#This Row],[SAÍDAS]])</f>
        <v>-13</v>
      </c>
    </row>
    <row r="155" spans="1:7" ht="15" thickBot="1">
      <c r="A155" s="21">
        <f>Tabela13[[#This Row],[MATERIAL]]</f>
        <v>50036086</v>
      </c>
      <c r="B155" s="1">
        <v>50036086</v>
      </c>
      <c r="C155" s="1" t="s">
        <v>28</v>
      </c>
      <c r="D155" s="1">
        <v>1</v>
      </c>
      <c r="E155" s="7">
        <f>SUMIFS(Relatorio!G:G,Relatorio!E:E,Tabela13[[#This Row],[MATERIAL]],Relatorio!K:K,"Entrada")</f>
        <v>46</v>
      </c>
      <c r="F155" s="8">
        <f>SUMIFS(Relatorio!G:G,Relatorio!E:E,Tabela13[[#This Row],[MATERIAL]],Relatorio!K:K,"Saida")</f>
        <v>48</v>
      </c>
      <c r="G155" s="1">
        <f>(Tabela13[[#This Row],[ENTRADAS]]-Tabela13[[#This Row],[SAÍDAS]])</f>
        <v>-2</v>
      </c>
    </row>
    <row r="156" spans="1:7" ht="15" thickBot="1">
      <c r="A156" s="21">
        <f>Tabela13[[#This Row],[MATERIAL]]</f>
        <v>50036295</v>
      </c>
      <c r="B156" s="1">
        <v>50036295</v>
      </c>
      <c r="C156" s="1" t="s">
        <v>132</v>
      </c>
      <c r="D156" s="1">
        <v>1</v>
      </c>
      <c r="E156" s="7">
        <f>SUMIFS(Relatorio!G:G,Relatorio!E:E,Tabela13[[#This Row],[MATERIAL]],Relatorio!K:K,"Entrada")</f>
        <v>3</v>
      </c>
      <c r="F156" s="8">
        <f>SUMIFS(Relatorio!G:G,Relatorio!E:E,Tabela13[[#This Row],[MATERIAL]],Relatorio!K:K,"Saida")</f>
        <v>3</v>
      </c>
      <c r="G156" s="1">
        <f>(Tabela13[[#This Row],[ENTRADAS]]-Tabela13[[#This Row],[SAÍDAS]])</f>
        <v>0</v>
      </c>
    </row>
    <row r="157" spans="1:7" ht="15" thickBot="1">
      <c r="A157" s="21">
        <f>Tabela13[[#This Row],[MATERIAL]]</f>
        <v>50036294</v>
      </c>
      <c r="B157" s="1">
        <v>50036294</v>
      </c>
      <c r="C157" s="1" t="s">
        <v>131</v>
      </c>
      <c r="D157" s="1">
        <v>1</v>
      </c>
      <c r="E157" s="7">
        <f>SUMIFS(Relatorio!G:G,Relatorio!E:E,Tabela13[[#This Row],[MATERIAL]],Relatorio!K:K,"Entrada")</f>
        <v>2</v>
      </c>
      <c r="F157" s="8">
        <f>SUMIFS(Relatorio!G:G,Relatorio!E:E,Tabela13[[#This Row],[MATERIAL]],Relatorio!K:K,"Saida")</f>
        <v>2</v>
      </c>
      <c r="G157" s="1">
        <f>(Tabela13[[#This Row],[ENTRADAS]]-Tabela13[[#This Row],[SAÍDAS]])</f>
        <v>0</v>
      </c>
    </row>
    <row r="158" spans="1:7" ht="15" thickBot="1">
      <c r="A158" s="21">
        <f>Tabela13[[#This Row],[MATERIAL]]</f>
        <v>50036293</v>
      </c>
      <c r="B158" s="1">
        <v>50036293</v>
      </c>
      <c r="C158" s="1" t="s">
        <v>130</v>
      </c>
      <c r="D158" s="1">
        <v>1</v>
      </c>
      <c r="E158" s="7">
        <f>SUMIFS(Relatorio!G:G,Relatorio!E:E,Tabela13[[#This Row],[MATERIAL]],Relatorio!K:K,"Entrada")</f>
        <v>7</v>
      </c>
      <c r="F158" s="8">
        <f>SUMIFS(Relatorio!G:G,Relatorio!E:E,Tabela13[[#This Row],[MATERIAL]],Relatorio!K:K,"Saida")</f>
        <v>7</v>
      </c>
      <c r="G158" s="1">
        <f>(Tabela13[[#This Row],[ENTRADAS]]-Tabela13[[#This Row],[SAÍDAS]])</f>
        <v>0</v>
      </c>
    </row>
    <row r="159" spans="1:7" ht="15" thickBot="1">
      <c r="A159" s="21">
        <f>Tabela13[[#This Row],[MATERIAL]]</f>
        <v>50036292</v>
      </c>
      <c r="B159" s="1">
        <v>50036292</v>
      </c>
      <c r="C159" s="1" t="s">
        <v>129</v>
      </c>
      <c r="D159" s="1">
        <v>1</v>
      </c>
      <c r="E159" s="7">
        <f>SUMIFS(Relatorio!G:G,Relatorio!E:E,Tabela13[[#This Row],[MATERIAL]],Relatorio!K:K,"Entrada")</f>
        <v>0</v>
      </c>
      <c r="F159" s="8">
        <f>SUMIFS(Relatorio!G:G,Relatorio!E:E,Tabela13[[#This Row],[MATERIAL]],Relatorio!K:K,"Saida")</f>
        <v>0</v>
      </c>
      <c r="G159" s="1">
        <f>(Tabela13[[#This Row],[ENTRADAS]]-Tabela13[[#This Row],[SAÍDAS]])</f>
        <v>0</v>
      </c>
    </row>
    <row r="160" spans="1:7" ht="15" thickBot="1">
      <c r="A160" s="21">
        <f>Tabela13[[#This Row],[MATERIAL]]</f>
        <v>50036291</v>
      </c>
      <c r="B160" s="1">
        <v>50036291</v>
      </c>
      <c r="C160" s="1" t="s">
        <v>128</v>
      </c>
      <c r="D160" s="1">
        <v>1</v>
      </c>
      <c r="E160" s="7">
        <f>SUMIFS(Relatorio!G:G,Relatorio!E:E,Tabela13[[#This Row],[MATERIAL]],Relatorio!K:K,"Entrada")</f>
        <v>4</v>
      </c>
      <c r="F160" s="8">
        <f>SUMIFS(Relatorio!G:G,Relatorio!E:E,Tabela13[[#This Row],[MATERIAL]],Relatorio!K:K,"Saida")</f>
        <v>2</v>
      </c>
      <c r="G160" s="1">
        <f>(Tabela13[[#This Row],[ENTRADAS]]-Tabela13[[#This Row],[SAÍDAS]])</f>
        <v>2</v>
      </c>
    </row>
    <row r="161" spans="1:7" ht="15" thickBot="1">
      <c r="A161" s="21">
        <f>Tabela13[[#This Row],[MATERIAL]]</f>
        <v>50036290</v>
      </c>
      <c r="B161" s="1">
        <v>50036290</v>
      </c>
      <c r="C161" s="1" t="s">
        <v>127</v>
      </c>
      <c r="D161" s="1">
        <v>1</v>
      </c>
      <c r="E161" s="7">
        <f>SUMIFS(Relatorio!G:G,Relatorio!E:E,Tabela13[[#This Row],[MATERIAL]],Relatorio!K:K,"Entrada")</f>
        <v>2</v>
      </c>
      <c r="F161" s="8">
        <f>SUMIFS(Relatorio!G:G,Relatorio!E:E,Tabela13[[#This Row],[MATERIAL]],Relatorio!K:K,"Saida")</f>
        <v>2</v>
      </c>
      <c r="G161" s="1">
        <f>(Tabela13[[#This Row],[ENTRADAS]]-Tabela13[[#This Row],[SAÍDAS]])</f>
        <v>0</v>
      </c>
    </row>
    <row r="162" spans="1:7" ht="15" thickBot="1">
      <c r="A162" s="21">
        <f>Tabela13[[#This Row],[MATERIAL]]</f>
        <v>50036289</v>
      </c>
      <c r="B162" s="1">
        <v>50036289</v>
      </c>
      <c r="C162" s="1" t="s">
        <v>126</v>
      </c>
      <c r="D162" s="1">
        <v>1</v>
      </c>
      <c r="E162" s="7">
        <f>SUMIFS(Relatorio!G:G,Relatorio!E:E,Tabela13[[#This Row],[MATERIAL]],Relatorio!K:K,"Entrada")</f>
        <v>1</v>
      </c>
      <c r="F162" s="8">
        <f>SUMIFS(Relatorio!G:G,Relatorio!E:E,Tabela13[[#This Row],[MATERIAL]],Relatorio!K:K,"Saida")</f>
        <v>1</v>
      </c>
      <c r="G162" s="1">
        <f>(Tabela13[[#This Row],[ENTRADAS]]-Tabela13[[#This Row],[SAÍDAS]])</f>
        <v>0</v>
      </c>
    </row>
    <row r="163" spans="1:7" ht="15" thickBot="1">
      <c r="A163" s="21">
        <f>Tabela13[[#This Row],[MATERIAL]]</f>
        <v>50036288</v>
      </c>
      <c r="B163" s="1">
        <v>50036288</v>
      </c>
      <c r="C163" s="1" t="s">
        <v>125</v>
      </c>
      <c r="D163" s="1">
        <v>1</v>
      </c>
      <c r="E163" s="7">
        <f>SUMIFS(Relatorio!G:G,Relatorio!E:E,Tabela13[[#This Row],[MATERIAL]],Relatorio!K:K,"Entrada")</f>
        <v>5</v>
      </c>
      <c r="F163" s="8">
        <f>SUMIFS(Relatorio!G:G,Relatorio!E:E,Tabela13[[#This Row],[MATERIAL]],Relatorio!K:K,"Saida")</f>
        <v>1</v>
      </c>
      <c r="G163" s="1">
        <f>(Tabela13[[#This Row],[ENTRADAS]]-Tabela13[[#This Row],[SAÍDAS]])</f>
        <v>4</v>
      </c>
    </row>
    <row r="164" spans="1:7" ht="15" thickBot="1">
      <c r="A164" s="21">
        <f>Tabela13[[#This Row],[MATERIAL]]</f>
        <v>50036287</v>
      </c>
      <c r="B164" s="1">
        <v>50036287</v>
      </c>
      <c r="C164" s="1" t="s">
        <v>124</v>
      </c>
      <c r="D164" s="1">
        <v>1</v>
      </c>
      <c r="E164" s="7">
        <f>SUMIFS(Relatorio!G:G,Relatorio!E:E,Tabela13[[#This Row],[MATERIAL]],Relatorio!K:K,"Entrada")</f>
        <v>0</v>
      </c>
      <c r="F164" s="8">
        <f>SUMIFS(Relatorio!G:G,Relatorio!E:E,Tabela13[[#This Row],[MATERIAL]],Relatorio!K:K,"Saida")</f>
        <v>0</v>
      </c>
      <c r="G164" s="1">
        <f>(Tabela13[[#This Row],[ENTRADAS]]-Tabela13[[#This Row],[SAÍDAS]])</f>
        <v>0</v>
      </c>
    </row>
    <row r="165" spans="1:7" ht="15" thickBot="1">
      <c r="A165" s="21">
        <f>Tabela13[[#This Row],[MATERIAL]]</f>
        <v>50036286</v>
      </c>
      <c r="B165" s="1">
        <v>50036286</v>
      </c>
      <c r="C165" s="1" t="s">
        <v>123</v>
      </c>
      <c r="D165" s="1">
        <v>1</v>
      </c>
      <c r="E165" s="7">
        <f>SUMIFS(Relatorio!G:G,Relatorio!E:E,Tabela13[[#This Row],[MATERIAL]],Relatorio!K:K,"Entrada")</f>
        <v>2</v>
      </c>
      <c r="F165" s="8">
        <f>SUMIFS(Relatorio!G:G,Relatorio!E:E,Tabela13[[#This Row],[MATERIAL]],Relatorio!K:K,"Saida")</f>
        <v>2</v>
      </c>
      <c r="G165" s="1">
        <f>(Tabela13[[#This Row],[ENTRADAS]]-Tabela13[[#This Row],[SAÍDAS]])</f>
        <v>0</v>
      </c>
    </row>
    <row r="166" spans="1:7" ht="15" thickBot="1">
      <c r="A166" s="21">
        <f>Tabela13[[#This Row],[MATERIAL]]</f>
        <v>50036285</v>
      </c>
      <c r="B166" s="1">
        <v>50036285</v>
      </c>
      <c r="C166" s="1" t="s">
        <v>122</v>
      </c>
      <c r="D166" s="1">
        <v>1</v>
      </c>
      <c r="E166" s="7">
        <f>SUMIFS(Relatorio!G:G,Relatorio!E:E,Tabela13[[#This Row],[MATERIAL]],Relatorio!K:K,"Entrada")</f>
        <v>0</v>
      </c>
      <c r="F166" s="8">
        <f>SUMIFS(Relatorio!G:G,Relatorio!E:E,Tabela13[[#This Row],[MATERIAL]],Relatorio!K:K,"Saida")</f>
        <v>0</v>
      </c>
      <c r="G166" s="1">
        <f>(Tabela13[[#This Row],[ENTRADAS]]-Tabela13[[#This Row],[SAÍDAS]])</f>
        <v>0</v>
      </c>
    </row>
    <row r="167" spans="1:7" ht="15" thickBot="1">
      <c r="A167" s="21">
        <f>Tabela13[[#This Row],[MATERIAL]]</f>
        <v>50040132</v>
      </c>
      <c r="B167" s="1">
        <v>50040132</v>
      </c>
      <c r="C167" s="1" t="s">
        <v>121</v>
      </c>
      <c r="D167" s="1">
        <v>1</v>
      </c>
      <c r="E167" s="7">
        <f>SUMIFS(Relatorio!G:G,Relatorio!E:E,Tabela13[[#This Row],[MATERIAL]],Relatorio!K:K,"Entrada")</f>
        <v>0</v>
      </c>
      <c r="F167" s="8">
        <f>SUMIFS(Relatorio!G:G,Relatorio!E:E,Tabela13[[#This Row],[MATERIAL]],Relatorio!K:K,"Saida")</f>
        <v>0</v>
      </c>
      <c r="G167" s="1">
        <f>(Tabela13[[#This Row],[ENTRADAS]]-Tabela13[[#This Row],[SAÍDAS]])</f>
        <v>0</v>
      </c>
    </row>
    <row r="168" spans="1:7" ht="15" thickBot="1">
      <c r="A168" s="21">
        <f>Tabela13[[#This Row],[MATERIAL]]</f>
        <v>50036255</v>
      </c>
      <c r="B168" s="1">
        <v>50036255</v>
      </c>
      <c r="C168" s="1" t="s">
        <v>120</v>
      </c>
      <c r="D168" s="1">
        <v>1</v>
      </c>
      <c r="E168" s="7">
        <f>SUMIFS(Relatorio!G:G,Relatorio!E:E,Tabela13[[#This Row],[MATERIAL]],Relatorio!K:K,"Entrada")</f>
        <v>15</v>
      </c>
      <c r="F168" s="8">
        <f>SUMIFS(Relatorio!G:G,Relatorio!E:E,Tabela13[[#This Row],[MATERIAL]],Relatorio!K:K,"Saida")</f>
        <v>15</v>
      </c>
      <c r="G168" s="1">
        <f>(Tabela13[[#This Row],[ENTRADAS]]-Tabela13[[#This Row],[SAÍDAS]])</f>
        <v>0</v>
      </c>
    </row>
    <row r="169" spans="1:7" ht="15" thickBot="1">
      <c r="A169" s="21">
        <f>Tabela13[[#This Row],[MATERIAL]]</f>
        <v>50037925</v>
      </c>
      <c r="B169" s="1">
        <v>50037925</v>
      </c>
      <c r="C169" s="1" t="s">
        <v>119</v>
      </c>
      <c r="D169" s="1">
        <v>1</v>
      </c>
      <c r="E169" s="7">
        <f>SUMIFS(Relatorio!G:G,Relatorio!E:E,Tabela13[[#This Row],[MATERIAL]],Relatorio!K:K,"Entrada")</f>
        <v>0</v>
      </c>
      <c r="F169" s="8">
        <f>SUMIFS(Relatorio!G:G,Relatorio!E:E,Tabela13[[#This Row],[MATERIAL]],Relatorio!K:K,"Saida")</f>
        <v>0</v>
      </c>
      <c r="G169" s="1">
        <f>(Tabela13[[#This Row],[ENTRADAS]]-Tabela13[[#This Row],[SAÍDAS]])</f>
        <v>0</v>
      </c>
    </row>
    <row r="170" spans="1:7" ht="15" thickBot="1">
      <c r="A170" s="21">
        <f>Tabela13[[#This Row],[MATERIAL]]</f>
        <v>50037923</v>
      </c>
      <c r="B170" s="1">
        <v>50037923</v>
      </c>
      <c r="C170" s="1" t="s">
        <v>118</v>
      </c>
      <c r="D170" s="1">
        <v>1</v>
      </c>
      <c r="E170" s="7">
        <f>SUMIFS(Relatorio!G:G,Relatorio!E:E,Tabela13[[#This Row],[MATERIAL]],Relatorio!K:K,"Entrada")</f>
        <v>0</v>
      </c>
      <c r="F170" s="8">
        <f>SUMIFS(Relatorio!G:G,Relatorio!E:E,Tabela13[[#This Row],[MATERIAL]],Relatorio!K:K,"Saida")</f>
        <v>0</v>
      </c>
      <c r="G170" s="1">
        <f>(Tabela13[[#This Row],[ENTRADAS]]-Tabela13[[#This Row],[SAÍDAS]])</f>
        <v>0</v>
      </c>
    </row>
    <row r="171" spans="1:7" ht="15" thickBot="1">
      <c r="A171" s="21">
        <f>Tabela13[[#This Row],[MATERIAL]]</f>
        <v>50037922</v>
      </c>
      <c r="B171" s="1">
        <v>50037922</v>
      </c>
      <c r="C171" s="1" t="s">
        <v>117</v>
      </c>
      <c r="D171" s="1">
        <v>1</v>
      </c>
      <c r="E171" s="7">
        <f>SUMIFS(Relatorio!G:G,Relatorio!E:E,Tabela13[[#This Row],[MATERIAL]],Relatorio!K:K,"Entrada")</f>
        <v>9</v>
      </c>
      <c r="F171" s="8">
        <f>SUMIFS(Relatorio!G:G,Relatorio!E:E,Tabela13[[#This Row],[MATERIAL]],Relatorio!K:K,"Saida")</f>
        <v>4</v>
      </c>
      <c r="G171" s="1">
        <f>(Tabela13[[#This Row],[ENTRADAS]]-Tabela13[[#This Row],[SAÍDAS]])</f>
        <v>5</v>
      </c>
    </row>
    <row r="172" spans="1:7" ht="15" thickBot="1">
      <c r="A172" s="21">
        <f>Tabela13[[#This Row],[MATERIAL]]</f>
        <v>50037959</v>
      </c>
      <c r="B172" s="1">
        <v>50037959</v>
      </c>
      <c r="C172" s="1" t="s">
        <v>116</v>
      </c>
      <c r="D172" s="1">
        <v>1</v>
      </c>
      <c r="E172" s="7">
        <f>SUMIFS(Relatorio!G:G,Relatorio!E:E,Tabela13[[#This Row],[MATERIAL]],Relatorio!K:K,"Entrada")</f>
        <v>0</v>
      </c>
      <c r="F172" s="8">
        <f>SUMIFS(Relatorio!G:G,Relatorio!E:E,Tabela13[[#This Row],[MATERIAL]],Relatorio!K:K,"Saida")</f>
        <v>0</v>
      </c>
      <c r="G172" s="1">
        <f>(Tabela13[[#This Row],[ENTRADAS]]-Tabela13[[#This Row],[SAÍDAS]])</f>
        <v>0</v>
      </c>
    </row>
    <row r="173" spans="1:7" ht="15" thickBot="1">
      <c r="A173" s="21">
        <f>Tabela13[[#This Row],[MATERIAL]]</f>
        <v>50037961</v>
      </c>
      <c r="B173" s="1">
        <v>50037961</v>
      </c>
      <c r="C173" s="1" t="s">
        <v>113</v>
      </c>
      <c r="D173" s="1">
        <v>1</v>
      </c>
      <c r="E173" s="7">
        <f>SUMIFS(Relatorio!G:G,Relatorio!E:E,Tabela13[[#This Row],[MATERIAL]],Relatorio!K:K,"Entrada")</f>
        <v>8</v>
      </c>
      <c r="F173" s="8">
        <f>SUMIFS(Relatorio!G:G,Relatorio!E:E,Tabela13[[#This Row],[MATERIAL]],Relatorio!K:K,"Saida")</f>
        <v>4</v>
      </c>
      <c r="G173" s="1">
        <f>(Tabela13[[#This Row],[ENTRADAS]]-Tabela13[[#This Row],[SAÍDAS]])</f>
        <v>4</v>
      </c>
    </row>
    <row r="174" spans="1:7" ht="15" thickBot="1">
      <c r="A174" s="21">
        <f>Tabela13[[#This Row],[MATERIAL]]</f>
        <v>50037960</v>
      </c>
      <c r="B174" s="1">
        <v>50037960</v>
      </c>
      <c r="C174" s="1" t="s">
        <v>112</v>
      </c>
      <c r="D174" s="1">
        <v>1</v>
      </c>
      <c r="E174" s="7">
        <f>SUMIFS(Relatorio!G:G,Relatorio!E:E,Tabela13[[#This Row],[MATERIAL]],Relatorio!K:K,"Entrada")</f>
        <v>8</v>
      </c>
      <c r="F174" s="8">
        <f>SUMIFS(Relatorio!G:G,Relatorio!E:E,Tabela13[[#This Row],[MATERIAL]],Relatorio!K:K,"Saida")</f>
        <v>4</v>
      </c>
      <c r="G174" s="1">
        <f>(Tabela13[[#This Row],[ENTRADAS]]-Tabela13[[#This Row],[SAÍDAS]])</f>
        <v>4</v>
      </c>
    </row>
    <row r="175" spans="1:7" ht="15" thickBot="1">
      <c r="A175" s="21">
        <f>Tabela13[[#This Row],[MATERIAL]]</f>
        <v>50037918</v>
      </c>
      <c r="B175" s="1">
        <v>50037918</v>
      </c>
      <c r="C175" s="1" t="s">
        <v>111</v>
      </c>
      <c r="D175" s="1">
        <v>1</v>
      </c>
      <c r="E175" s="7">
        <f>SUMIFS(Relatorio!G:G,Relatorio!E:E,Tabela13[[#This Row],[MATERIAL]],Relatorio!K:K,"Entrada")</f>
        <v>2</v>
      </c>
      <c r="F175" s="8">
        <f>SUMIFS(Relatorio!G:G,Relatorio!E:E,Tabela13[[#This Row],[MATERIAL]],Relatorio!K:K,"Saida")</f>
        <v>0</v>
      </c>
      <c r="G175" s="1">
        <f>(Tabela13[[#This Row],[ENTRADAS]]-Tabela13[[#This Row],[SAÍDAS]])</f>
        <v>2</v>
      </c>
    </row>
    <row r="176" spans="1:7" ht="15" thickBot="1">
      <c r="A176" s="21">
        <f>Tabela13[[#This Row],[MATERIAL]]</f>
        <v>50037917</v>
      </c>
      <c r="B176" s="1">
        <v>50037917</v>
      </c>
      <c r="C176" s="1" t="s">
        <v>110</v>
      </c>
      <c r="D176" s="1">
        <v>1</v>
      </c>
      <c r="E176" s="7">
        <f>SUMIFS(Relatorio!G:G,Relatorio!E:E,Tabela13[[#This Row],[MATERIAL]],Relatorio!K:K,"Entrada")</f>
        <v>0</v>
      </c>
      <c r="F176" s="8">
        <f>SUMIFS(Relatorio!G:G,Relatorio!E:E,Tabela13[[#This Row],[MATERIAL]],Relatorio!K:K,"Saida")</f>
        <v>0</v>
      </c>
      <c r="G176" s="1">
        <f>(Tabela13[[#This Row],[ENTRADAS]]-Tabela13[[#This Row],[SAÍDAS]])</f>
        <v>0</v>
      </c>
    </row>
    <row r="177" spans="1:7" ht="15" thickBot="1">
      <c r="A177" s="21">
        <f>Tabela13[[#This Row],[MATERIAL]]</f>
        <v>50036296</v>
      </c>
      <c r="B177" s="1">
        <v>50036296</v>
      </c>
      <c r="C177" s="1" t="s">
        <v>109</v>
      </c>
      <c r="D177" s="1">
        <v>1</v>
      </c>
      <c r="E177" s="7">
        <f>SUMIFS(Relatorio!G:G,Relatorio!E:E,Tabela13[[#This Row],[MATERIAL]],Relatorio!K:K,"Entrada")</f>
        <v>30</v>
      </c>
      <c r="F177" s="8">
        <f>SUMIFS(Relatorio!G:G,Relatorio!E:E,Tabela13[[#This Row],[MATERIAL]],Relatorio!K:K,"Saida")</f>
        <v>31</v>
      </c>
      <c r="G177" s="1">
        <f>(Tabela13[[#This Row],[ENTRADAS]]-Tabela13[[#This Row],[SAÍDAS]])</f>
        <v>-1</v>
      </c>
    </row>
    <row r="178" spans="1:7" ht="15" thickBot="1">
      <c r="A178" s="21">
        <f>Tabela13[[#This Row],[MATERIAL]]</f>
        <v>50004404</v>
      </c>
      <c r="B178" s="1">
        <v>50004404</v>
      </c>
      <c r="C178" s="1" t="s">
        <v>267</v>
      </c>
      <c r="D178" s="1">
        <v>1</v>
      </c>
      <c r="E178" s="7">
        <f>SUMIFS(Relatorio!G:G,Relatorio!E:E,Tabela13[[#This Row],[MATERIAL]],Relatorio!K:K,"Entrada")</f>
        <v>0</v>
      </c>
      <c r="F178" s="8">
        <f>SUMIFS(Relatorio!G:G,Relatorio!E:E,Tabela13[[#This Row],[MATERIAL]],Relatorio!K:K,"Saida")</f>
        <v>0</v>
      </c>
      <c r="G178" s="1">
        <f>(Tabela13[[#This Row],[ENTRADAS]]-Tabela13[[#This Row],[SAÍDAS]])</f>
        <v>0</v>
      </c>
    </row>
    <row r="179" spans="1:7" ht="15" thickBot="1">
      <c r="A179" s="21">
        <f>Tabela13[[#This Row],[MATERIAL]]</f>
        <v>50044003</v>
      </c>
      <c r="B179" s="1">
        <v>50044003</v>
      </c>
      <c r="C179" s="1" t="s">
        <v>263</v>
      </c>
      <c r="D179" s="1">
        <v>1</v>
      </c>
      <c r="E179" s="7">
        <f>SUMIFS(Relatorio!G:G,Relatorio!E:E,Tabela13[[#This Row],[MATERIAL]],Relatorio!K:K,"Entrada")</f>
        <v>10</v>
      </c>
      <c r="F179" s="8">
        <f>SUMIFS(Relatorio!G:G,Relatorio!E:E,Tabela13[[#This Row],[MATERIAL]],Relatorio!K:K,"Saida")</f>
        <v>11</v>
      </c>
      <c r="G179" s="1">
        <f>(Tabela13[[#This Row],[ENTRADAS]]-Tabela13[[#This Row],[SAÍDAS]])</f>
        <v>-1</v>
      </c>
    </row>
    <row r="180" spans="1:7" ht="15" thickBot="1">
      <c r="A180" s="21">
        <f>Tabela13[[#This Row],[MATERIAL]]</f>
        <v>50038991</v>
      </c>
      <c r="B180" s="1">
        <v>50038991</v>
      </c>
      <c r="C180" s="1" t="s">
        <v>108</v>
      </c>
      <c r="D180" s="1">
        <v>1</v>
      </c>
      <c r="E180" s="7">
        <f>SUMIFS(Relatorio!G:G,Relatorio!E:E,Tabela13[[#This Row],[MATERIAL]],Relatorio!K:K,"Entrada")</f>
        <v>10</v>
      </c>
      <c r="F180" s="8">
        <f>SUMIFS(Relatorio!G:G,Relatorio!E:E,Tabela13[[#This Row],[MATERIAL]],Relatorio!K:K,"Saida")</f>
        <v>8</v>
      </c>
      <c r="G180" s="1">
        <f>(Tabela13[[#This Row],[ENTRADAS]]-Tabela13[[#This Row],[SAÍDAS]])</f>
        <v>2</v>
      </c>
    </row>
    <row r="181" spans="1:7" ht="15" thickBot="1">
      <c r="A181" s="21">
        <f>Tabela13[[#This Row],[MATERIAL]]</f>
        <v>50037857</v>
      </c>
      <c r="B181" s="1">
        <v>50037857</v>
      </c>
      <c r="C181" s="1" t="s">
        <v>107</v>
      </c>
      <c r="D181" s="1">
        <v>1</v>
      </c>
      <c r="E181" s="7">
        <f>SUMIFS(Relatorio!G:G,Relatorio!E:E,Tabela13[[#This Row],[MATERIAL]],Relatorio!K:K,"Entrada")</f>
        <v>0</v>
      </c>
      <c r="F181" s="8">
        <f>SUMIFS(Relatorio!G:G,Relatorio!E:E,Tabela13[[#This Row],[MATERIAL]],Relatorio!K:K,"Saida")</f>
        <v>0</v>
      </c>
      <c r="G181" s="1">
        <f>(Tabela13[[#This Row],[ENTRADAS]]-Tabela13[[#This Row],[SAÍDAS]])</f>
        <v>0</v>
      </c>
    </row>
    <row r="182" spans="1:7" ht="15" thickBot="1">
      <c r="A182" s="21">
        <f>Tabela13[[#This Row],[MATERIAL]]</f>
        <v>50037927</v>
      </c>
      <c r="B182" s="1">
        <v>50037927</v>
      </c>
      <c r="C182" s="1" t="s">
        <v>106</v>
      </c>
      <c r="D182" s="1">
        <v>1</v>
      </c>
      <c r="E182" s="7">
        <f>SUMIFS(Relatorio!G:G,Relatorio!E:E,Tabela13[[#This Row],[MATERIAL]],Relatorio!K:K,"Entrada")</f>
        <v>0</v>
      </c>
      <c r="F182" s="8">
        <f>SUMIFS(Relatorio!G:G,Relatorio!E:E,Tabela13[[#This Row],[MATERIAL]],Relatorio!K:K,"Saida")</f>
        <v>0</v>
      </c>
      <c r="G182" s="1">
        <f>(Tabela13[[#This Row],[ENTRADAS]]-Tabela13[[#This Row],[SAÍDAS]])</f>
        <v>0</v>
      </c>
    </row>
    <row r="183" spans="1:7" ht="15" thickBot="1">
      <c r="A183" s="21">
        <f>Tabela13[[#This Row],[MATERIAL]]</f>
        <v>50008602</v>
      </c>
      <c r="B183" s="1">
        <v>50008602</v>
      </c>
      <c r="C183" s="1" t="s">
        <v>105</v>
      </c>
      <c r="D183" s="1">
        <v>1</v>
      </c>
      <c r="E183" s="7">
        <f>SUMIFS(Relatorio!G:G,Relatorio!E:E,Tabela13[[#This Row],[MATERIAL]],Relatorio!K:K,"Entrada")</f>
        <v>0</v>
      </c>
      <c r="F183" s="8">
        <f>SUMIFS(Relatorio!G:G,Relatorio!E:E,Tabela13[[#This Row],[MATERIAL]],Relatorio!K:K,"Saida")</f>
        <v>0</v>
      </c>
      <c r="G183" s="1">
        <f>(Tabela13[[#This Row],[ENTRADAS]]-Tabela13[[#This Row],[SAÍDAS]])</f>
        <v>0</v>
      </c>
    </row>
    <row r="184" spans="1:7" ht="15" thickBot="1">
      <c r="A184" s="21">
        <f>Tabela13[[#This Row],[MATERIAL]]</f>
        <v>50041130</v>
      </c>
      <c r="B184" s="1">
        <v>50041130</v>
      </c>
      <c r="C184" s="1" t="s">
        <v>104</v>
      </c>
      <c r="D184" s="1">
        <v>1</v>
      </c>
      <c r="E184" s="7">
        <f>SUMIFS(Relatorio!G:G,Relatorio!E:E,Tabela13[[#This Row],[MATERIAL]],Relatorio!K:K,"Entrada")</f>
        <v>0</v>
      </c>
      <c r="F184" s="8">
        <f>SUMIFS(Relatorio!G:G,Relatorio!E:E,Tabela13[[#This Row],[MATERIAL]],Relatorio!K:K,"Saida")</f>
        <v>0</v>
      </c>
      <c r="G184" s="1">
        <f>(Tabela13[[#This Row],[ENTRADAS]]-Tabela13[[#This Row],[SAÍDAS]])</f>
        <v>0</v>
      </c>
    </row>
    <row r="185" spans="1:7" ht="15" thickBot="1">
      <c r="A185" s="21">
        <f>Tabela13[[#This Row],[MATERIAL]]</f>
        <v>50041129</v>
      </c>
      <c r="B185" s="1">
        <v>50041129</v>
      </c>
      <c r="C185" s="1" t="s">
        <v>333</v>
      </c>
      <c r="D185" s="1">
        <v>1</v>
      </c>
      <c r="E185" s="7">
        <f>SUMIFS(Relatorio!G:G,Relatorio!E:E,Tabela13[[#This Row],[MATERIAL]],Relatorio!K:K,"Entrada")</f>
        <v>0</v>
      </c>
      <c r="F185" s="8">
        <f>SUMIFS(Relatorio!G:G,Relatorio!E:E,Tabela13[[#This Row],[MATERIAL]],Relatorio!K:K,"Saida")</f>
        <v>0</v>
      </c>
      <c r="G185" s="1">
        <f>(Tabela13[[#This Row],[ENTRADAS]]-Tabela13[[#This Row],[SAÍDAS]])</f>
        <v>0</v>
      </c>
    </row>
    <row r="186" spans="1:7" ht="15" thickBot="1">
      <c r="A186" s="21">
        <f>Tabela13[[#This Row],[MATERIAL]]</f>
        <v>50045204</v>
      </c>
      <c r="B186" s="1">
        <v>50045204</v>
      </c>
      <c r="C186" s="1" t="s">
        <v>323</v>
      </c>
      <c r="D186" s="1">
        <v>1</v>
      </c>
      <c r="E186" s="7">
        <f>SUMIFS(Relatorio!G:G,Relatorio!E:E,Tabela13[[#This Row],[MATERIAL]],Relatorio!K:K,"Entrada")</f>
        <v>0</v>
      </c>
      <c r="F186" s="8">
        <f>SUMIFS(Relatorio!G:G,Relatorio!E:E,Tabela13[[#This Row],[MATERIAL]],Relatorio!K:K,"Saida")</f>
        <v>0</v>
      </c>
      <c r="G186" s="1">
        <f>(Tabela13[[#This Row],[ENTRADAS]]-Tabela13[[#This Row],[SAÍDAS]])</f>
        <v>0</v>
      </c>
    </row>
    <row r="187" spans="1:7" ht="15" thickBot="1">
      <c r="A187" s="21">
        <f>Tabela13[[#This Row],[MATERIAL]]</f>
        <v>50037939</v>
      </c>
      <c r="B187" s="1">
        <v>50037939</v>
      </c>
      <c r="C187" s="1" t="s">
        <v>103</v>
      </c>
      <c r="D187" s="1">
        <v>1</v>
      </c>
      <c r="E187" s="7">
        <f>SUMIFS(Relatorio!G:G,Relatorio!E:E,Tabela13[[#This Row],[MATERIAL]],Relatorio!K:K,"Entrada")</f>
        <v>0</v>
      </c>
      <c r="F187" s="8">
        <f>SUMIFS(Relatorio!G:G,Relatorio!E:E,Tabela13[[#This Row],[MATERIAL]],Relatorio!K:K,"Saida")</f>
        <v>0</v>
      </c>
      <c r="G187" s="1">
        <f>(Tabela13[[#This Row],[ENTRADAS]]-Tabela13[[#This Row],[SAÍDAS]])</f>
        <v>0</v>
      </c>
    </row>
    <row r="188" spans="1:7" ht="15" thickBot="1">
      <c r="A188" s="21">
        <f>Tabela13[[#This Row],[MATERIAL]]</f>
        <v>50036298</v>
      </c>
      <c r="B188" s="1">
        <v>50036298</v>
      </c>
      <c r="C188" s="1" t="s">
        <v>102</v>
      </c>
      <c r="D188" s="1">
        <v>1</v>
      </c>
      <c r="E188" s="7">
        <f>SUMIFS(Relatorio!G:G,Relatorio!E:E,Tabela13[[#This Row],[MATERIAL]],Relatorio!K:K,"Entrada")</f>
        <v>26</v>
      </c>
      <c r="F188" s="8">
        <f>SUMIFS(Relatorio!G:G,Relatorio!E:E,Tabela13[[#This Row],[MATERIAL]],Relatorio!K:K,"Saida")</f>
        <v>31</v>
      </c>
      <c r="G188" s="1">
        <f>(Tabela13[[#This Row],[ENTRADAS]]-Tabela13[[#This Row],[SAÍDAS]])</f>
        <v>-5</v>
      </c>
    </row>
    <row r="189" spans="1:7" ht="15" thickBot="1">
      <c r="A189" s="21">
        <f>Tabela13[[#This Row],[MATERIAL]]</f>
        <v>50038854</v>
      </c>
      <c r="B189" s="1">
        <v>50038854</v>
      </c>
      <c r="C189" s="1" t="s">
        <v>101</v>
      </c>
      <c r="D189" s="1">
        <v>1</v>
      </c>
      <c r="E189" s="7">
        <f>SUMIFS(Relatorio!G:G,Relatorio!E:E,Tabela13[[#This Row],[MATERIAL]],Relatorio!K:K,"Entrada")</f>
        <v>38</v>
      </c>
      <c r="F189" s="8">
        <f>SUMIFS(Relatorio!G:G,Relatorio!E:E,Tabela13[[#This Row],[MATERIAL]],Relatorio!K:K,"Saida")</f>
        <v>41</v>
      </c>
      <c r="G189" s="1">
        <f>(Tabela13[[#This Row],[ENTRADAS]]-Tabela13[[#This Row],[SAÍDAS]])</f>
        <v>-3</v>
      </c>
    </row>
    <row r="190" spans="1:7" ht="15" thickBot="1">
      <c r="A190" s="21">
        <v>50042002</v>
      </c>
      <c r="B190" s="1">
        <v>50038600</v>
      </c>
      <c r="C190" s="1" t="s">
        <v>100</v>
      </c>
      <c r="D190" s="1">
        <v>1</v>
      </c>
      <c r="E190" s="7">
        <f>SUMIFS(Relatorio!G:G,Relatorio!E:E,Tabela13[[#This Row],[MATERIAL]],Relatorio!K:K,"Entrada")</f>
        <v>4</v>
      </c>
      <c r="F190" s="8">
        <f>SUMIFS(Relatorio!G:G,Relatorio!E:E,Tabela13[[#This Row],[MATERIAL]],Relatorio!K:K,"Saida")</f>
        <v>5</v>
      </c>
      <c r="G190" s="1">
        <f>(Tabela13[[#This Row],[ENTRADAS]]-Tabela13[[#This Row],[SAÍDAS]])</f>
        <v>-1</v>
      </c>
    </row>
    <row r="191" spans="1:7" ht="15" thickBot="1">
      <c r="A191" s="21">
        <v>50043151</v>
      </c>
      <c r="B191" s="1">
        <v>50003298</v>
      </c>
      <c r="C191" s="1" t="s">
        <v>99</v>
      </c>
      <c r="D191" s="1">
        <v>1</v>
      </c>
      <c r="E191" s="7">
        <f>SUMIFS(Relatorio!G:G,Relatorio!E:E,Tabela13[[#This Row],[MATERIAL]],Relatorio!K:K,"Entrada")</f>
        <v>1</v>
      </c>
      <c r="F191" s="8">
        <f>SUMIFS(Relatorio!G:G,Relatorio!E:E,Tabela13[[#This Row],[MATERIAL]],Relatorio!K:K,"Saida")</f>
        <v>1</v>
      </c>
      <c r="G191" s="1">
        <f>(Tabela13[[#This Row],[ENTRADAS]]-Tabela13[[#This Row],[SAÍDAS]])</f>
        <v>0</v>
      </c>
    </row>
    <row r="192" spans="1:7" ht="15" thickBot="1">
      <c r="A192" s="21">
        <v>50041129</v>
      </c>
      <c r="B192" s="1">
        <v>50030127</v>
      </c>
      <c r="C192" s="1" t="s">
        <v>98</v>
      </c>
      <c r="D192" s="1">
        <v>1</v>
      </c>
      <c r="E192" s="7">
        <f>SUMIFS(Relatorio!G:G,Relatorio!E:E,Tabela13[[#This Row],[MATERIAL]],Relatorio!K:K,"Entrada")</f>
        <v>0</v>
      </c>
      <c r="F192" s="8">
        <f>SUMIFS(Relatorio!G:G,Relatorio!E:E,Tabela13[[#This Row],[MATERIAL]],Relatorio!K:K,"Saida")</f>
        <v>0</v>
      </c>
      <c r="G192" s="1">
        <f>(Tabela13[[#This Row],[ENTRADAS]]-Tabela13[[#This Row],[SAÍDAS]])</f>
        <v>0</v>
      </c>
    </row>
    <row r="193" spans="1:7" ht="15" thickBot="1">
      <c r="A193" s="21">
        <f>Tabela13[[#This Row],[MATERIAL]]</f>
        <v>50037951</v>
      </c>
      <c r="B193" s="1">
        <v>50037951</v>
      </c>
      <c r="C193" s="1" t="s">
        <v>97</v>
      </c>
      <c r="D193" s="1">
        <v>1</v>
      </c>
      <c r="E193" s="7">
        <f>SUMIFS(Relatorio!G:G,Relatorio!E:E,Tabela13[[#This Row],[MATERIAL]],Relatorio!K:K,"Entrada")</f>
        <v>0</v>
      </c>
      <c r="F193" s="8">
        <f>SUMIFS(Relatorio!G:G,Relatorio!E:E,Tabela13[[#This Row],[MATERIAL]],Relatorio!K:K,"Saida")</f>
        <v>0</v>
      </c>
      <c r="G193" s="1">
        <f>(Tabela13[[#This Row],[ENTRADAS]]-Tabela13[[#This Row],[SAÍDAS]])</f>
        <v>0</v>
      </c>
    </row>
    <row r="194" spans="1:7" ht="15" thickBot="1">
      <c r="A194" s="21">
        <f>Tabela13[[#This Row],[MATERIAL]]</f>
        <v>50040694</v>
      </c>
      <c r="B194" s="1">
        <v>50040694</v>
      </c>
      <c r="C194" s="1" t="s">
        <v>96</v>
      </c>
      <c r="D194" s="1">
        <v>1</v>
      </c>
      <c r="E194" s="7">
        <f>SUMIFS(Relatorio!G:G,Relatorio!E:E,Tabela13[[#This Row],[MATERIAL]],Relatorio!K:K,"Entrada")</f>
        <v>2</v>
      </c>
      <c r="F194" s="8">
        <f>SUMIFS(Relatorio!G:G,Relatorio!E:E,Tabela13[[#This Row],[MATERIAL]],Relatorio!K:K,"Saida")</f>
        <v>1</v>
      </c>
      <c r="G194" s="1">
        <f>(Tabela13[[#This Row],[ENTRADAS]]-Tabela13[[#This Row],[SAÍDAS]])</f>
        <v>1</v>
      </c>
    </row>
    <row r="195" spans="1:7" ht="15" thickBot="1">
      <c r="A195" s="21">
        <f>Tabela13[[#This Row],[MATERIAL]]</f>
        <v>50037965</v>
      </c>
      <c r="B195" s="1">
        <v>50037965</v>
      </c>
      <c r="C195" s="1" t="s">
        <v>95</v>
      </c>
      <c r="D195" s="1">
        <v>1</v>
      </c>
      <c r="E195" s="7">
        <f>SUMIFS(Relatorio!G:G,Relatorio!E:E,Tabela13[[#This Row],[MATERIAL]],Relatorio!K:K,"Entrada")</f>
        <v>0</v>
      </c>
      <c r="F195" s="8">
        <f>SUMIFS(Relatorio!G:G,Relatorio!E:E,Tabela13[[#This Row],[MATERIAL]],Relatorio!K:K,"Saida")</f>
        <v>2</v>
      </c>
      <c r="G195" s="1">
        <f>(Tabela13[[#This Row],[ENTRADAS]]-Tabela13[[#This Row],[SAÍDAS]])</f>
        <v>-2</v>
      </c>
    </row>
    <row r="196" spans="1:7" ht="15" thickBot="1">
      <c r="A196" s="21">
        <f>Tabela13[[#This Row],[MATERIAL]]</f>
        <v>50036284</v>
      </c>
      <c r="B196" s="1">
        <v>50036284</v>
      </c>
      <c r="C196" s="1" t="s">
        <v>94</v>
      </c>
      <c r="D196" s="1">
        <v>1</v>
      </c>
      <c r="E196" s="7">
        <f>SUMIFS(Relatorio!G:G,Relatorio!E:E,Tabela13[[#This Row],[MATERIAL]],Relatorio!K:K,"Entrada")</f>
        <v>0</v>
      </c>
      <c r="F196" s="8">
        <f>SUMIFS(Relatorio!G:G,Relatorio!E:E,Tabela13[[#This Row],[MATERIAL]],Relatorio!K:K,"Saida")</f>
        <v>0</v>
      </c>
      <c r="G196" s="1">
        <f>(Tabela13[[#This Row],[ENTRADAS]]-Tabela13[[#This Row],[SAÍDAS]])</f>
        <v>0</v>
      </c>
    </row>
    <row r="197" spans="1:7" ht="15" thickBot="1">
      <c r="A197" s="21">
        <f>Tabela13[[#This Row],[MATERIAL]]</f>
        <v>50037950</v>
      </c>
      <c r="B197" s="1">
        <v>50037950</v>
      </c>
      <c r="C197" s="1" t="s">
        <v>93</v>
      </c>
      <c r="D197" s="1">
        <v>1</v>
      </c>
      <c r="E197" s="7">
        <f>SUMIFS(Relatorio!G:G,Relatorio!E:E,Tabela13[[#This Row],[MATERIAL]],Relatorio!K:K,"Entrada")</f>
        <v>0</v>
      </c>
      <c r="F197" s="8">
        <f>SUMIFS(Relatorio!G:G,Relatorio!E:E,Tabela13[[#This Row],[MATERIAL]],Relatorio!K:K,"Saida")</f>
        <v>0</v>
      </c>
      <c r="G197" s="1">
        <f>(Tabela13[[#This Row],[ENTRADAS]]-Tabela13[[#This Row],[SAÍDAS]])</f>
        <v>0</v>
      </c>
    </row>
    <row r="198" spans="1:7" ht="15" thickBot="1">
      <c r="A198" s="21">
        <f>Tabela13[[#This Row],[MATERIAL]]</f>
        <v>50040133</v>
      </c>
      <c r="B198" s="1">
        <v>50040133</v>
      </c>
      <c r="C198" s="1" t="s">
        <v>92</v>
      </c>
      <c r="D198" s="1">
        <v>1</v>
      </c>
      <c r="E198" s="7">
        <f>SUMIFS(Relatorio!G:G,Relatorio!E:E,Tabela13[[#This Row],[MATERIAL]],Relatorio!K:K,"Entrada")</f>
        <v>5</v>
      </c>
      <c r="F198" s="8">
        <f>SUMIFS(Relatorio!G:G,Relatorio!E:E,Tabela13[[#This Row],[MATERIAL]],Relatorio!K:K,"Saida")</f>
        <v>6</v>
      </c>
      <c r="G198" s="1">
        <f>(Tabela13[[#This Row],[ENTRADAS]]-Tabela13[[#This Row],[SAÍDAS]])</f>
        <v>-1</v>
      </c>
    </row>
    <row r="199" spans="1:7" ht="15" thickBot="1">
      <c r="A199" s="21">
        <f>Tabela13[[#This Row],[MATERIAL]]</f>
        <v>50002644</v>
      </c>
      <c r="B199" s="1">
        <v>50002644</v>
      </c>
      <c r="C199" s="1" t="s">
        <v>91</v>
      </c>
      <c r="D199" s="1">
        <v>2</v>
      </c>
      <c r="E199" s="7">
        <f>SUMIFS(Relatorio!G:G,Relatorio!E:E,Tabela13[[#This Row],[MATERIAL]],Relatorio!K:K,"Entrada")</f>
        <v>9</v>
      </c>
      <c r="F199" s="8">
        <f>SUMIFS(Relatorio!G:G,Relatorio!E:E,Tabela13[[#This Row],[MATERIAL]],Relatorio!K:K,"Saida")</f>
        <v>11</v>
      </c>
      <c r="G199" s="1">
        <f>(Tabela13[[#This Row],[ENTRADAS]]-Tabela13[[#This Row],[SAÍDAS]])</f>
        <v>-2</v>
      </c>
    </row>
    <row r="200" spans="1:7" ht="15" thickBot="1">
      <c r="A200" s="21">
        <f>Tabela13[[#This Row],[MATERIAL]]</f>
        <v>50040127</v>
      </c>
      <c r="B200" s="1">
        <v>50040127</v>
      </c>
      <c r="C200" s="1" t="s">
        <v>90</v>
      </c>
      <c r="D200" s="1">
        <v>1</v>
      </c>
      <c r="E200" s="7">
        <f>SUMIFS(Relatorio!G:G,Relatorio!E:E,Tabela13[[#This Row],[MATERIAL]],Relatorio!K:K,"Entrada")</f>
        <v>0</v>
      </c>
      <c r="F200" s="8">
        <f>SUMIFS(Relatorio!G:G,Relatorio!E:E,Tabela13[[#This Row],[MATERIAL]],Relatorio!K:K,"Saida")</f>
        <v>0</v>
      </c>
      <c r="G200" s="1">
        <f>(Tabela13[[#This Row],[ENTRADAS]]-Tabela13[[#This Row],[SAÍDAS]])</f>
        <v>0</v>
      </c>
    </row>
    <row r="201" spans="1:7" ht="15" thickBot="1">
      <c r="A201" s="21">
        <f>Tabela13[[#This Row],[MATERIAL]]</f>
        <v>50010031</v>
      </c>
      <c r="B201" s="1">
        <v>50010031</v>
      </c>
      <c r="C201" s="1" t="s">
        <v>89</v>
      </c>
      <c r="D201" s="1">
        <v>1</v>
      </c>
      <c r="E201" s="7">
        <f>SUMIFS(Relatorio!G:G,Relatorio!E:E,Tabela13[[#This Row],[MATERIAL]],Relatorio!K:K,"Entrada")</f>
        <v>195</v>
      </c>
      <c r="F201" s="8">
        <f>SUMIFS(Relatorio!G:G,Relatorio!E:E,Tabela13[[#This Row],[MATERIAL]],Relatorio!K:K,"Saida")</f>
        <v>163</v>
      </c>
      <c r="G201" s="1">
        <f>(Tabela13[[#This Row],[ENTRADAS]]-Tabela13[[#This Row],[SAÍDAS]])</f>
        <v>32</v>
      </c>
    </row>
  </sheetData>
  <conditionalFormatting sqref="G3:G201">
    <cfRule type="expression" dxfId="2" priority="4">
      <formula>$G3=0</formula>
    </cfRule>
    <cfRule type="expression" dxfId="1" priority="5">
      <formula>$G3&lt;0</formula>
    </cfRule>
    <cfRule type="expression" dxfId="0" priority="6">
      <formula>$G3&gt;0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>
    <tabColor rgb="FF00B0F0"/>
  </sheetPr>
  <dimension ref="A1:E1048573"/>
  <sheetViews>
    <sheetView showGridLines="0" workbookViewId="0">
      <pane ySplit="1" topLeftCell="A2" activePane="bottomLeft" state="frozen"/>
      <selection pane="bottomLeft" activeCell="F12" sqref="F12"/>
    </sheetView>
  </sheetViews>
  <sheetFormatPr defaultRowHeight="14.4"/>
  <cols>
    <col min="1" max="1" width="15.33203125" style="4" customWidth="1"/>
    <col min="2" max="2" width="8.44140625" style="4" customWidth="1"/>
    <col min="3" max="3" width="37.6640625" style="4" customWidth="1"/>
    <col min="4" max="4" width="14.33203125" style="4" customWidth="1"/>
    <col min="5" max="5" width="17.5546875" style="4" customWidth="1"/>
  </cols>
  <sheetData>
    <row r="1" spans="1:5">
      <c r="A1" s="5" t="s">
        <v>6</v>
      </c>
      <c r="B1" s="5" t="s">
        <v>30</v>
      </c>
      <c r="C1" s="5" t="s">
        <v>31</v>
      </c>
      <c r="D1" s="5" t="s">
        <v>32</v>
      </c>
      <c r="E1" s="5" t="s">
        <v>33</v>
      </c>
    </row>
    <row r="2" spans="1:5">
      <c r="A2" s="4" t="s">
        <v>39</v>
      </c>
      <c r="C2" s="4" t="s">
        <v>353</v>
      </c>
      <c r="D2" s="4" t="s">
        <v>51</v>
      </c>
      <c r="E2" s="4" t="s">
        <v>51</v>
      </c>
    </row>
    <row r="3" spans="1:5">
      <c r="A3" s="4" t="s">
        <v>36</v>
      </c>
      <c r="B3" s="4" t="s">
        <v>48</v>
      </c>
      <c r="C3" s="4" t="s">
        <v>380</v>
      </c>
      <c r="D3" s="4" t="s">
        <v>37</v>
      </c>
      <c r="E3" s="4" t="s">
        <v>51</v>
      </c>
    </row>
    <row r="4" spans="1:5">
      <c r="A4" s="4" t="s">
        <v>36</v>
      </c>
      <c r="B4" s="4" t="s">
        <v>49</v>
      </c>
      <c r="C4" s="4" t="s">
        <v>381</v>
      </c>
      <c r="D4" s="4" t="s">
        <v>46</v>
      </c>
      <c r="E4" s="4" t="s">
        <v>56</v>
      </c>
    </row>
    <row r="5" spans="1:5">
      <c r="A5" s="4" t="s">
        <v>36</v>
      </c>
      <c r="B5" s="4" t="s">
        <v>48</v>
      </c>
      <c r="C5" s="4" t="s">
        <v>311</v>
      </c>
      <c r="D5" s="4" t="s">
        <v>46</v>
      </c>
      <c r="E5" s="4" t="s">
        <v>51</v>
      </c>
    </row>
    <row r="6" spans="1:5">
      <c r="A6" s="4" t="s">
        <v>41</v>
      </c>
      <c r="B6" s="4" t="s">
        <v>44</v>
      </c>
      <c r="C6" s="4" t="s">
        <v>382</v>
      </c>
      <c r="D6" s="4" t="s">
        <v>45</v>
      </c>
      <c r="E6" s="4" t="s">
        <v>51</v>
      </c>
    </row>
    <row r="7" spans="1:5">
      <c r="A7" s="4" t="s">
        <v>41</v>
      </c>
      <c r="B7" s="4" t="s">
        <v>44</v>
      </c>
      <c r="C7" s="4" t="s">
        <v>397</v>
      </c>
      <c r="D7" s="4" t="s">
        <v>45</v>
      </c>
      <c r="E7" s="4" t="s">
        <v>26</v>
      </c>
    </row>
    <row r="8" spans="1:5">
      <c r="A8" s="4" t="s">
        <v>41</v>
      </c>
      <c r="B8" s="4" t="s">
        <v>305</v>
      </c>
      <c r="C8" s="4" t="s">
        <v>396</v>
      </c>
      <c r="D8" s="4" t="s">
        <v>35</v>
      </c>
      <c r="E8" s="4" t="s">
        <v>26</v>
      </c>
    </row>
    <row r="9" spans="1:5">
      <c r="A9" s="4" t="s">
        <v>27</v>
      </c>
      <c r="C9" s="4" t="s">
        <v>396</v>
      </c>
      <c r="E9" s="4" t="s">
        <v>26</v>
      </c>
    </row>
    <row r="10" spans="1:5">
      <c r="A10" s="4" t="s">
        <v>41</v>
      </c>
      <c r="C10" s="4" t="s">
        <v>398</v>
      </c>
      <c r="D10" s="4" t="s">
        <v>60</v>
      </c>
      <c r="E10" s="4" t="s">
        <v>60</v>
      </c>
    </row>
    <row r="11" spans="1:5">
      <c r="A11" s="4" t="s">
        <v>27</v>
      </c>
      <c r="B11" s="4" t="s">
        <v>34</v>
      </c>
      <c r="C11" s="4" t="s">
        <v>399</v>
      </c>
      <c r="D11" s="4" t="s">
        <v>35</v>
      </c>
      <c r="E11" s="4" t="s">
        <v>51</v>
      </c>
    </row>
    <row r="12" spans="1:5">
      <c r="A12" s="4" t="s">
        <v>39</v>
      </c>
      <c r="B12" s="4" t="s">
        <v>44</v>
      </c>
      <c r="C12" s="4" t="s">
        <v>400</v>
      </c>
      <c r="D12" s="4" t="s">
        <v>45</v>
      </c>
      <c r="E12" s="4" t="s">
        <v>51</v>
      </c>
    </row>
    <row r="13" spans="1:5">
      <c r="A13" s="4" t="s">
        <v>41</v>
      </c>
      <c r="B13" s="4" t="s">
        <v>44</v>
      </c>
      <c r="C13" s="4" t="s">
        <v>425</v>
      </c>
      <c r="D13" s="4" t="s">
        <v>45</v>
      </c>
      <c r="E13" s="4" t="s">
        <v>51</v>
      </c>
    </row>
    <row r="14" spans="1:5">
      <c r="A14" s="4" t="s">
        <v>41</v>
      </c>
      <c r="C14" s="4" t="s">
        <v>425</v>
      </c>
      <c r="D14" s="4" t="s">
        <v>46</v>
      </c>
      <c r="E14" s="4" t="s">
        <v>56</v>
      </c>
    </row>
    <row r="15" spans="1:5">
      <c r="A15" s="4" t="s">
        <v>36</v>
      </c>
      <c r="C15" s="4" t="s">
        <v>426</v>
      </c>
      <c r="D15" s="4" t="s">
        <v>61</v>
      </c>
      <c r="E15" s="4" t="s">
        <v>61</v>
      </c>
    </row>
    <row r="16" spans="1:5">
      <c r="A16" s="4" t="s">
        <v>27</v>
      </c>
      <c r="C16" s="4" t="s">
        <v>427</v>
      </c>
      <c r="E16" s="4" t="s">
        <v>26</v>
      </c>
    </row>
    <row r="17" spans="1:5">
      <c r="A17" s="4" t="s">
        <v>27</v>
      </c>
      <c r="B17" s="4" t="s">
        <v>34</v>
      </c>
      <c r="C17" s="4" t="s">
        <v>428</v>
      </c>
      <c r="D17" s="4" t="s">
        <v>35</v>
      </c>
      <c r="E17" s="4" t="s">
        <v>26</v>
      </c>
    </row>
    <row r="18" spans="1:5">
      <c r="A18" s="4" t="s">
        <v>41</v>
      </c>
      <c r="C18" s="4" t="s">
        <v>429</v>
      </c>
      <c r="D18" s="4" t="s">
        <v>60</v>
      </c>
      <c r="E18" s="4" t="s">
        <v>60</v>
      </c>
    </row>
    <row r="19" spans="1:5">
      <c r="A19" s="4" t="s">
        <v>36</v>
      </c>
      <c r="B19" s="4" t="s">
        <v>38</v>
      </c>
      <c r="C19" s="4" t="s">
        <v>432</v>
      </c>
      <c r="D19" s="4" t="s">
        <v>37</v>
      </c>
      <c r="E19" s="4" t="s">
        <v>26</v>
      </c>
    </row>
    <row r="20" spans="1:5">
      <c r="A20" s="4" t="s">
        <v>27</v>
      </c>
      <c r="C20" s="4" t="s">
        <v>483</v>
      </c>
      <c r="D20" s="4" t="s">
        <v>62</v>
      </c>
      <c r="E20" s="4" t="s">
        <v>62</v>
      </c>
    </row>
    <row r="21" spans="1:5">
      <c r="A21" s="4" t="s">
        <v>39</v>
      </c>
      <c r="C21" s="4" t="s">
        <v>430</v>
      </c>
      <c r="D21" s="4" t="s">
        <v>61</v>
      </c>
      <c r="E21" s="4" t="s">
        <v>61</v>
      </c>
    </row>
    <row r="22" spans="1:5">
      <c r="A22" s="4" t="s">
        <v>39</v>
      </c>
      <c r="B22" s="4" t="s">
        <v>47</v>
      </c>
      <c r="C22" s="4" t="s">
        <v>431</v>
      </c>
      <c r="D22" s="4" t="s">
        <v>37</v>
      </c>
      <c r="E22" s="4" t="s">
        <v>51</v>
      </c>
    </row>
    <row r="23" spans="1:5">
      <c r="A23" s="4" t="s">
        <v>27</v>
      </c>
      <c r="C23" s="4" t="s">
        <v>386</v>
      </c>
      <c r="D23" s="4" t="s">
        <v>60</v>
      </c>
      <c r="E23" s="4" t="s">
        <v>60</v>
      </c>
    </row>
    <row r="24" spans="1:5">
      <c r="A24" s="45" t="s">
        <v>27</v>
      </c>
      <c r="C24" s="4" t="s">
        <v>386</v>
      </c>
      <c r="D24" s="4" t="s">
        <v>62</v>
      </c>
      <c r="E24" s="4" t="s">
        <v>62</v>
      </c>
    </row>
    <row r="25" spans="1:5">
      <c r="A25" s="4" t="s">
        <v>27</v>
      </c>
      <c r="B25" s="4" t="s">
        <v>42</v>
      </c>
      <c r="C25" s="4" t="s">
        <v>386</v>
      </c>
      <c r="D25" s="4" t="s">
        <v>46</v>
      </c>
      <c r="E25" s="4" t="s">
        <v>26</v>
      </c>
    </row>
    <row r="26" spans="1:5">
      <c r="A26" s="4" t="s">
        <v>41</v>
      </c>
      <c r="B26" s="4" t="s">
        <v>47</v>
      </c>
      <c r="C26" s="4" t="s">
        <v>386</v>
      </c>
      <c r="D26" s="4" t="s">
        <v>46</v>
      </c>
      <c r="E26" s="4" t="s">
        <v>56</v>
      </c>
    </row>
    <row r="27" spans="1:5">
      <c r="A27" s="4" t="s">
        <v>27</v>
      </c>
      <c r="C27" s="4" t="s">
        <v>481</v>
      </c>
      <c r="D27" s="4" t="s">
        <v>56</v>
      </c>
      <c r="E27" s="4" t="s">
        <v>56</v>
      </c>
    </row>
    <row r="28" spans="1:5">
      <c r="A28" s="4" t="s">
        <v>39</v>
      </c>
      <c r="C28" s="4" t="s">
        <v>482</v>
      </c>
      <c r="E28" s="4" t="s">
        <v>51</v>
      </c>
    </row>
    <row r="29" spans="1:5">
      <c r="A29" s="4" t="s">
        <v>27</v>
      </c>
      <c r="B29" s="4" t="s">
        <v>34</v>
      </c>
      <c r="C29" s="4" t="s">
        <v>481</v>
      </c>
      <c r="D29" s="4" t="s">
        <v>35</v>
      </c>
      <c r="E29" s="4" t="s">
        <v>26</v>
      </c>
    </row>
    <row r="30" spans="1:5">
      <c r="A30" s="4" t="s">
        <v>41</v>
      </c>
      <c r="C30" s="4" t="s">
        <v>347</v>
      </c>
      <c r="D30" s="4" t="s">
        <v>26</v>
      </c>
      <c r="E30" s="4" t="s">
        <v>26</v>
      </c>
    </row>
    <row r="31" spans="1:5">
      <c r="A31" s="4" t="s">
        <v>27</v>
      </c>
      <c r="C31" s="4" t="s">
        <v>480</v>
      </c>
      <c r="D31" s="4" t="s">
        <v>62</v>
      </c>
      <c r="E31" s="4" t="s">
        <v>62</v>
      </c>
    </row>
    <row r="32" spans="1:5">
      <c r="A32" s="4" t="s">
        <v>27</v>
      </c>
      <c r="C32" s="4" t="s">
        <v>479</v>
      </c>
      <c r="D32" s="4" t="s">
        <v>61</v>
      </c>
      <c r="E32" s="4" t="s">
        <v>61</v>
      </c>
    </row>
    <row r="33" spans="1:5">
      <c r="A33" s="4" t="s">
        <v>27</v>
      </c>
      <c r="C33" s="4" t="s">
        <v>478</v>
      </c>
      <c r="D33" s="4" t="s">
        <v>51</v>
      </c>
      <c r="E33" s="4" t="s">
        <v>51</v>
      </c>
    </row>
    <row r="34" spans="1:5">
      <c r="A34" s="4" t="s">
        <v>36</v>
      </c>
      <c r="C34" s="4" t="s">
        <v>477</v>
      </c>
      <c r="D34" s="4" t="s">
        <v>60</v>
      </c>
      <c r="E34" s="4" t="s">
        <v>60</v>
      </c>
    </row>
    <row r="35" spans="1:5">
      <c r="A35" s="4" t="s">
        <v>36</v>
      </c>
      <c r="B35" s="4" t="s">
        <v>48</v>
      </c>
      <c r="C35" s="4" t="s">
        <v>57</v>
      </c>
      <c r="D35" s="4" t="s">
        <v>37</v>
      </c>
      <c r="E35" s="4" t="s">
        <v>56</v>
      </c>
    </row>
    <row r="36" spans="1:5">
      <c r="A36" s="4" t="s">
        <v>27</v>
      </c>
      <c r="C36" s="4" t="s">
        <v>270</v>
      </c>
      <c r="D36" s="4" t="s">
        <v>35</v>
      </c>
      <c r="E36" s="4" t="s">
        <v>51</v>
      </c>
    </row>
    <row r="37" spans="1:5">
      <c r="A37" s="4" t="s">
        <v>27</v>
      </c>
      <c r="C37" s="4" t="s">
        <v>271</v>
      </c>
      <c r="D37" s="4" t="s">
        <v>51</v>
      </c>
      <c r="E37" s="4" t="s">
        <v>51</v>
      </c>
    </row>
    <row r="38" spans="1:5">
      <c r="A38" s="4" t="s">
        <v>36</v>
      </c>
      <c r="B38" s="4" t="s">
        <v>38</v>
      </c>
      <c r="C38" s="4" t="s">
        <v>476</v>
      </c>
      <c r="D38" s="4" t="s">
        <v>45</v>
      </c>
      <c r="E38" s="4" t="s">
        <v>51</v>
      </c>
    </row>
    <row r="39" spans="1:5">
      <c r="A39" s="4" t="s">
        <v>36</v>
      </c>
      <c r="B39" s="4" t="s">
        <v>38</v>
      </c>
      <c r="C39" s="4" t="s">
        <v>475</v>
      </c>
      <c r="D39" s="4" t="s">
        <v>46</v>
      </c>
      <c r="E39" s="4" t="s">
        <v>51</v>
      </c>
    </row>
    <row r="40" spans="1:5">
      <c r="A40" s="4" t="s">
        <v>41</v>
      </c>
      <c r="C40" s="4" t="s">
        <v>322</v>
      </c>
      <c r="D40" s="4" t="s">
        <v>60</v>
      </c>
      <c r="E40" s="4" t="s">
        <v>60</v>
      </c>
    </row>
    <row r="41" spans="1:5">
      <c r="A41" s="4" t="s">
        <v>27</v>
      </c>
      <c r="B41" s="4" t="s">
        <v>34</v>
      </c>
      <c r="C41" s="4" t="s">
        <v>474</v>
      </c>
      <c r="D41" s="4" t="s">
        <v>35</v>
      </c>
      <c r="E41" s="4" t="s">
        <v>51</v>
      </c>
    </row>
    <row r="42" spans="1:5">
      <c r="A42" s="4" t="s">
        <v>36</v>
      </c>
      <c r="B42" s="4" t="s">
        <v>27</v>
      </c>
      <c r="C42" s="4" t="s">
        <v>473</v>
      </c>
      <c r="D42" s="4" t="s">
        <v>45</v>
      </c>
      <c r="E42" s="4" t="s">
        <v>26</v>
      </c>
    </row>
    <row r="43" spans="1:5">
      <c r="A43" s="4" t="s">
        <v>41</v>
      </c>
      <c r="B43" s="4" t="s">
        <v>40</v>
      </c>
      <c r="C43" s="4" t="s">
        <v>472</v>
      </c>
      <c r="D43" s="4" t="s">
        <v>45</v>
      </c>
      <c r="E43" s="4" t="s">
        <v>51</v>
      </c>
    </row>
    <row r="44" spans="1:5">
      <c r="A44" s="4" t="s">
        <v>36</v>
      </c>
      <c r="B44" s="4" t="s">
        <v>49</v>
      </c>
      <c r="C44" s="4" t="s">
        <v>472</v>
      </c>
      <c r="D44" s="4" t="s">
        <v>37</v>
      </c>
      <c r="E44" s="4" t="s">
        <v>51</v>
      </c>
    </row>
    <row r="45" spans="1:5">
      <c r="A45" s="4" t="s">
        <v>36</v>
      </c>
      <c r="B45" s="4" t="s">
        <v>49</v>
      </c>
      <c r="C45" s="4" t="s">
        <v>471</v>
      </c>
      <c r="D45" s="4" t="s">
        <v>45</v>
      </c>
      <c r="E45" s="4" t="s">
        <v>51</v>
      </c>
    </row>
    <row r="46" spans="1:5">
      <c r="A46" s="4" t="s">
        <v>39</v>
      </c>
      <c r="C46" s="4" t="s">
        <v>471</v>
      </c>
      <c r="D46" s="4" t="s">
        <v>26</v>
      </c>
      <c r="E46" s="4" t="s">
        <v>26</v>
      </c>
    </row>
    <row r="47" spans="1:5">
      <c r="A47" s="4" t="s">
        <v>39</v>
      </c>
      <c r="B47" s="4" t="s">
        <v>44</v>
      </c>
      <c r="C47" s="4" t="s">
        <v>470</v>
      </c>
      <c r="D47" s="4" t="s">
        <v>45</v>
      </c>
      <c r="E47" s="4" t="s">
        <v>51</v>
      </c>
    </row>
    <row r="48" spans="1:5">
      <c r="A48" s="4" t="s">
        <v>39</v>
      </c>
      <c r="B48" s="4" t="s">
        <v>44</v>
      </c>
      <c r="C48" s="4" t="s">
        <v>469</v>
      </c>
      <c r="D48" s="4" t="s">
        <v>37</v>
      </c>
      <c r="E48" s="4" t="s">
        <v>26</v>
      </c>
    </row>
    <row r="49" spans="1:5">
      <c r="A49" s="4" t="s">
        <v>39</v>
      </c>
      <c r="B49" s="4" t="s">
        <v>58</v>
      </c>
      <c r="C49" s="4" t="s">
        <v>469</v>
      </c>
      <c r="D49" s="4" t="s">
        <v>45</v>
      </c>
      <c r="E49" s="4" t="s">
        <v>56</v>
      </c>
    </row>
    <row r="50" spans="1:5">
      <c r="A50" s="4" t="s">
        <v>27</v>
      </c>
      <c r="B50" s="4" t="s">
        <v>34</v>
      </c>
      <c r="C50" s="4" t="s">
        <v>25</v>
      </c>
      <c r="D50" s="4" t="s">
        <v>35</v>
      </c>
      <c r="E50" s="4" t="s">
        <v>26</v>
      </c>
    </row>
    <row r="51" spans="1:5">
      <c r="A51" s="4" t="s">
        <v>41</v>
      </c>
      <c r="B51" s="4" t="s">
        <v>40</v>
      </c>
      <c r="C51" s="4" t="s">
        <v>468</v>
      </c>
      <c r="D51" s="4" t="s">
        <v>46</v>
      </c>
      <c r="E51" s="4" t="s">
        <v>56</v>
      </c>
    </row>
    <row r="52" spans="1:5">
      <c r="A52" s="4" t="s">
        <v>39</v>
      </c>
      <c r="B52" s="4" t="s">
        <v>42</v>
      </c>
      <c r="C52" s="4" t="s">
        <v>467</v>
      </c>
      <c r="D52" s="4" t="s">
        <v>45</v>
      </c>
      <c r="E52" s="4" t="s">
        <v>51</v>
      </c>
    </row>
    <row r="53" spans="1:5">
      <c r="A53" s="4" t="s">
        <v>27</v>
      </c>
      <c r="C53" s="4" t="s">
        <v>466</v>
      </c>
      <c r="D53" s="4" t="s">
        <v>62</v>
      </c>
      <c r="E53" s="4" t="s">
        <v>62</v>
      </c>
    </row>
    <row r="54" spans="1:5">
      <c r="A54" s="4" t="s">
        <v>27</v>
      </c>
      <c r="C54" s="4" t="s">
        <v>316</v>
      </c>
      <c r="D54" s="4" t="s">
        <v>51</v>
      </c>
      <c r="E54" s="4" t="s">
        <v>51</v>
      </c>
    </row>
    <row r="55" spans="1:5">
      <c r="A55" s="4" t="s">
        <v>27</v>
      </c>
      <c r="C55" s="4" t="s">
        <v>316</v>
      </c>
      <c r="D55" s="4" t="s">
        <v>56</v>
      </c>
      <c r="E55" s="4" t="s">
        <v>56</v>
      </c>
    </row>
    <row r="56" spans="1:5">
      <c r="A56" s="4" t="s">
        <v>27</v>
      </c>
      <c r="B56" s="4" t="s">
        <v>34</v>
      </c>
      <c r="C56" s="4" t="s">
        <v>465</v>
      </c>
      <c r="D56" s="4" t="s">
        <v>35</v>
      </c>
      <c r="E56" s="4" t="s">
        <v>26</v>
      </c>
    </row>
    <row r="57" spans="1:5">
      <c r="A57" s="4" t="s">
        <v>36</v>
      </c>
      <c r="B57" s="4" t="s">
        <v>38</v>
      </c>
      <c r="C57" s="4" t="s">
        <v>464</v>
      </c>
      <c r="D57" s="4" t="s">
        <v>45</v>
      </c>
      <c r="E57" s="4" t="s">
        <v>56</v>
      </c>
    </row>
    <row r="58" spans="1:5">
      <c r="A58" s="4" t="s">
        <v>27</v>
      </c>
      <c r="B58" s="4" t="s">
        <v>298</v>
      </c>
      <c r="C58" s="4" t="s">
        <v>463</v>
      </c>
      <c r="D58" s="4" t="s">
        <v>35</v>
      </c>
      <c r="E58" s="4" t="s">
        <v>56</v>
      </c>
    </row>
    <row r="59" spans="1:5">
      <c r="A59" s="4" t="s">
        <v>27</v>
      </c>
      <c r="C59" s="4" t="s">
        <v>463</v>
      </c>
      <c r="D59" s="4" t="s">
        <v>26</v>
      </c>
      <c r="E59" s="4" t="s">
        <v>26</v>
      </c>
    </row>
    <row r="60" spans="1:5">
      <c r="A60" s="4" t="s">
        <v>39</v>
      </c>
      <c r="C60" s="4" t="s">
        <v>462</v>
      </c>
      <c r="D60" s="4" t="s">
        <v>60</v>
      </c>
      <c r="E60" s="4" t="s">
        <v>60</v>
      </c>
    </row>
    <row r="61" spans="1:5">
      <c r="A61" s="4" t="s">
        <v>27</v>
      </c>
      <c r="C61" s="4" t="s">
        <v>273</v>
      </c>
      <c r="D61" s="4" t="s">
        <v>61</v>
      </c>
      <c r="E61" s="4" t="s">
        <v>61</v>
      </c>
    </row>
    <row r="62" spans="1:5">
      <c r="A62" s="4" t="s">
        <v>41</v>
      </c>
      <c r="C62" s="4" t="s">
        <v>355</v>
      </c>
      <c r="D62" s="4" t="s">
        <v>56</v>
      </c>
      <c r="E62" s="4" t="s">
        <v>56</v>
      </c>
    </row>
    <row r="63" spans="1:5">
      <c r="A63" s="4" t="s">
        <v>41</v>
      </c>
      <c r="C63" s="4" t="s">
        <v>461</v>
      </c>
      <c r="D63" s="4" t="s">
        <v>56</v>
      </c>
      <c r="E63" s="4" t="s">
        <v>56</v>
      </c>
    </row>
    <row r="64" spans="1:5">
      <c r="A64" s="4" t="s">
        <v>39</v>
      </c>
      <c r="B64" s="4" t="s">
        <v>42</v>
      </c>
      <c r="C64" s="4" t="s">
        <v>461</v>
      </c>
      <c r="D64" s="4" t="s">
        <v>46</v>
      </c>
      <c r="E64" s="4" t="s">
        <v>26</v>
      </c>
    </row>
    <row r="65" spans="1:5">
      <c r="A65" s="4" t="s">
        <v>39</v>
      </c>
      <c r="C65" s="4" t="s">
        <v>460</v>
      </c>
      <c r="D65" s="4" t="s">
        <v>60</v>
      </c>
      <c r="E65" s="4" t="s">
        <v>60</v>
      </c>
    </row>
    <row r="66" spans="1:5">
      <c r="A66" s="4" t="s">
        <v>39</v>
      </c>
      <c r="B66" s="4" t="s">
        <v>42</v>
      </c>
      <c r="C66" s="4" t="s">
        <v>424</v>
      </c>
      <c r="D66" s="4" t="s">
        <v>45</v>
      </c>
      <c r="E66" s="4" t="s">
        <v>51</v>
      </c>
    </row>
    <row r="67" spans="1:5">
      <c r="A67" s="4" t="s">
        <v>41</v>
      </c>
      <c r="B67" s="4" t="s">
        <v>40</v>
      </c>
      <c r="C67" s="4" t="s">
        <v>459</v>
      </c>
      <c r="D67" s="4" t="s">
        <v>46</v>
      </c>
      <c r="E67" s="4" t="s">
        <v>51</v>
      </c>
    </row>
    <row r="68" spans="1:5">
      <c r="A68" s="4" t="s">
        <v>27</v>
      </c>
      <c r="C68" s="4" t="s">
        <v>275</v>
      </c>
      <c r="D68" s="4" t="s">
        <v>276</v>
      </c>
      <c r="E68" s="4" t="s">
        <v>276</v>
      </c>
    </row>
    <row r="69" spans="1:5">
      <c r="A69" s="4" t="s">
        <v>27</v>
      </c>
      <c r="B69" s="4" t="s">
        <v>34</v>
      </c>
      <c r="C69" s="4" t="s">
        <v>458</v>
      </c>
      <c r="D69" s="4" t="s">
        <v>35</v>
      </c>
      <c r="E69" s="4" t="s">
        <v>26</v>
      </c>
    </row>
    <row r="70" spans="1:5">
      <c r="A70" s="4" t="s">
        <v>41</v>
      </c>
      <c r="B70" s="4" t="s">
        <v>44</v>
      </c>
      <c r="C70" s="4" t="s">
        <v>59</v>
      </c>
      <c r="D70" s="4" t="s">
        <v>46</v>
      </c>
      <c r="E70" s="4" t="s">
        <v>56</v>
      </c>
    </row>
    <row r="71" spans="1:5">
      <c r="A71" s="4" t="s">
        <v>41</v>
      </c>
      <c r="C71" s="4" t="s">
        <v>457</v>
      </c>
      <c r="D71" s="4" t="s">
        <v>61</v>
      </c>
      <c r="E71" s="4" t="s">
        <v>61</v>
      </c>
    </row>
    <row r="72" spans="1:5">
      <c r="A72" s="4" t="s">
        <v>39</v>
      </c>
      <c r="B72" s="4" t="s">
        <v>44</v>
      </c>
      <c r="C72" s="4" t="s">
        <v>456</v>
      </c>
      <c r="D72" s="4" t="s">
        <v>45</v>
      </c>
      <c r="E72" s="4" t="s">
        <v>56</v>
      </c>
    </row>
    <row r="73" spans="1:5">
      <c r="A73" s="4" t="s">
        <v>41</v>
      </c>
      <c r="B73" s="4" t="s">
        <v>42</v>
      </c>
      <c r="C73" s="4" t="s">
        <v>455</v>
      </c>
      <c r="D73" s="4" t="s">
        <v>37</v>
      </c>
      <c r="E73" s="4" t="s">
        <v>56</v>
      </c>
    </row>
    <row r="74" spans="1:5">
      <c r="A74" s="4" t="s">
        <v>27</v>
      </c>
      <c r="C74" s="4" t="s">
        <v>423</v>
      </c>
      <c r="D74" s="4" t="s">
        <v>62</v>
      </c>
      <c r="E74" s="4" t="s">
        <v>62</v>
      </c>
    </row>
    <row r="75" spans="1:5">
      <c r="A75" s="4" t="s">
        <v>39</v>
      </c>
      <c r="B75" s="4" t="s">
        <v>47</v>
      </c>
      <c r="C75" s="4" t="s">
        <v>454</v>
      </c>
      <c r="D75" s="4" t="s">
        <v>37</v>
      </c>
      <c r="E75" s="4" t="s">
        <v>51</v>
      </c>
    </row>
    <row r="76" spans="1:5">
      <c r="A76" s="4" t="s">
        <v>41</v>
      </c>
      <c r="B76" s="4" t="s">
        <v>42</v>
      </c>
      <c r="C76" s="4" t="s">
        <v>453</v>
      </c>
      <c r="D76" s="4" t="s">
        <v>46</v>
      </c>
      <c r="E76" s="4" t="s">
        <v>51</v>
      </c>
    </row>
    <row r="77" spans="1:5">
      <c r="A77" s="4" t="s">
        <v>36</v>
      </c>
      <c r="C77" s="4" t="s">
        <v>452</v>
      </c>
      <c r="D77" s="4" t="s">
        <v>60</v>
      </c>
      <c r="E77" s="4" t="s">
        <v>60</v>
      </c>
    </row>
    <row r="78" spans="1:5">
      <c r="A78" s="4" t="s">
        <v>41</v>
      </c>
      <c r="C78" s="4" t="s">
        <v>422</v>
      </c>
      <c r="D78" s="4" t="s">
        <v>35</v>
      </c>
      <c r="E78" s="4" t="s">
        <v>26</v>
      </c>
    </row>
    <row r="79" spans="1:5">
      <c r="A79" s="4" t="s">
        <v>41</v>
      </c>
      <c r="B79" s="4" t="s">
        <v>47</v>
      </c>
      <c r="C79" s="4" t="s">
        <v>55</v>
      </c>
      <c r="D79" s="4" t="s">
        <v>46</v>
      </c>
      <c r="E79" s="4" t="s">
        <v>51</v>
      </c>
    </row>
    <row r="80" spans="1:5">
      <c r="A80" s="4" t="s">
        <v>27</v>
      </c>
      <c r="C80" s="4" t="s">
        <v>421</v>
      </c>
      <c r="D80" s="4" t="s">
        <v>268</v>
      </c>
      <c r="E80" s="4" t="s">
        <v>268</v>
      </c>
    </row>
    <row r="81" spans="1:5">
      <c r="A81" s="4" t="s">
        <v>36</v>
      </c>
      <c r="C81" s="4" t="s">
        <v>421</v>
      </c>
      <c r="D81" s="4" t="s">
        <v>61</v>
      </c>
      <c r="E81" s="4" t="s">
        <v>61</v>
      </c>
    </row>
    <row r="82" spans="1:5">
      <c r="A82" s="4" t="s">
        <v>41</v>
      </c>
      <c r="C82" s="4" t="s">
        <v>451</v>
      </c>
      <c r="D82" s="4" t="s">
        <v>60</v>
      </c>
      <c r="E82" s="4" t="s">
        <v>60</v>
      </c>
    </row>
    <row r="83" spans="1:5">
      <c r="A83" s="4" t="s">
        <v>39</v>
      </c>
      <c r="C83" s="4" t="s">
        <v>450</v>
      </c>
      <c r="D83" s="4" t="s">
        <v>61</v>
      </c>
      <c r="E83" s="4" t="s">
        <v>61</v>
      </c>
    </row>
    <row r="84" spans="1:5">
      <c r="A84" s="4" t="s">
        <v>41</v>
      </c>
      <c r="B84" s="4" t="s">
        <v>47</v>
      </c>
      <c r="C84" s="4" t="s">
        <v>449</v>
      </c>
      <c r="D84" s="4" t="s">
        <v>45</v>
      </c>
      <c r="E84" s="4" t="s">
        <v>56</v>
      </c>
    </row>
    <row r="85" spans="1:5">
      <c r="A85" s="4" t="s">
        <v>41</v>
      </c>
      <c r="C85" s="4" t="s">
        <v>448</v>
      </c>
      <c r="D85" s="4" t="s">
        <v>60</v>
      </c>
      <c r="E85" s="4" t="s">
        <v>60</v>
      </c>
    </row>
    <row r="86" spans="1:5">
      <c r="A86" s="4" t="s">
        <v>41</v>
      </c>
      <c r="C86" s="4" t="s">
        <v>447</v>
      </c>
      <c r="D86" s="4" t="s">
        <v>56</v>
      </c>
      <c r="E86" s="4" t="s">
        <v>56</v>
      </c>
    </row>
    <row r="87" spans="1:5">
      <c r="A87" s="4" t="s">
        <v>41</v>
      </c>
      <c r="C87" s="4" t="s">
        <v>306</v>
      </c>
      <c r="D87" s="4" t="s">
        <v>281</v>
      </c>
      <c r="E87" s="4" t="s">
        <v>281</v>
      </c>
    </row>
    <row r="88" spans="1:5">
      <c r="A88" s="4" t="s">
        <v>41</v>
      </c>
      <c r="B88" s="4" t="s">
        <v>47</v>
      </c>
      <c r="C88" s="4" t="s">
        <v>420</v>
      </c>
      <c r="D88" s="4" t="s">
        <v>46</v>
      </c>
      <c r="E88" s="4" t="s">
        <v>26</v>
      </c>
    </row>
    <row r="89" spans="1:5">
      <c r="A89" s="4" t="s">
        <v>36</v>
      </c>
      <c r="B89" s="4" t="s">
        <v>49</v>
      </c>
      <c r="C89" s="4" t="s">
        <v>446</v>
      </c>
      <c r="D89" s="4" t="s">
        <v>46</v>
      </c>
      <c r="E89" s="4" t="s">
        <v>51</v>
      </c>
    </row>
    <row r="90" spans="1:5">
      <c r="A90" s="4" t="s">
        <v>27</v>
      </c>
      <c r="B90" s="4" t="s">
        <v>34</v>
      </c>
      <c r="C90" s="4" t="s">
        <v>446</v>
      </c>
      <c r="D90" s="4" t="s">
        <v>35</v>
      </c>
      <c r="E90" s="4" t="s">
        <v>56</v>
      </c>
    </row>
    <row r="91" spans="1:5">
      <c r="A91" s="4" t="s">
        <v>27</v>
      </c>
      <c r="B91" s="4" t="s">
        <v>34</v>
      </c>
      <c r="C91" s="4" t="s">
        <v>446</v>
      </c>
      <c r="D91" s="4" t="s">
        <v>35</v>
      </c>
      <c r="E91" s="4" t="s">
        <v>51</v>
      </c>
    </row>
    <row r="92" spans="1:5">
      <c r="A92" s="4" t="s">
        <v>41</v>
      </c>
      <c r="B92" s="4" t="s">
        <v>40</v>
      </c>
      <c r="C92" s="4" t="s">
        <v>445</v>
      </c>
      <c r="D92" s="4" t="s">
        <v>37</v>
      </c>
      <c r="E92" s="4" t="s">
        <v>51</v>
      </c>
    </row>
    <row r="93" spans="1:5">
      <c r="A93" s="4" t="s">
        <v>27</v>
      </c>
      <c r="C93" s="4" t="s">
        <v>444</v>
      </c>
      <c r="D93" s="4" t="s">
        <v>51</v>
      </c>
      <c r="E93" s="4" t="s">
        <v>51</v>
      </c>
    </row>
    <row r="94" spans="1:5">
      <c r="A94" s="4" t="s">
        <v>27</v>
      </c>
      <c r="C94" s="4" t="s">
        <v>444</v>
      </c>
      <c r="D94" s="4" t="s">
        <v>35</v>
      </c>
      <c r="E94" s="4" t="s">
        <v>56</v>
      </c>
    </row>
    <row r="95" spans="1:5">
      <c r="A95" s="4" t="s">
        <v>27</v>
      </c>
      <c r="C95" s="4" t="s">
        <v>444</v>
      </c>
      <c r="D95" s="4" t="s">
        <v>35</v>
      </c>
      <c r="E95" s="4" t="s">
        <v>51</v>
      </c>
    </row>
    <row r="96" spans="1:5">
      <c r="A96" s="4" t="s">
        <v>41</v>
      </c>
      <c r="C96" s="4" t="s">
        <v>442</v>
      </c>
      <c r="D96" s="4" t="s">
        <v>61</v>
      </c>
      <c r="E96" s="4" t="s">
        <v>61</v>
      </c>
    </row>
    <row r="97" spans="1:5">
      <c r="A97" s="4" t="s">
        <v>36</v>
      </c>
      <c r="B97" s="4" t="s">
        <v>34</v>
      </c>
      <c r="C97" s="4" t="s">
        <v>443</v>
      </c>
      <c r="D97" s="4" t="s">
        <v>45</v>
      </c>
      <c r="E97" s="4" t="s">
        <v>56</v>
      </c>
    </row>
    <row r="98" spans="1:5">
      <c r="A98" s="4" t="s">
        <v>41</v>
      </c>
      <c r="B98" s="4" t="s">
        <v>44</v>
      </c>
      <c r="C98" s="4" t="s">
        <v>419</v>
      </c>
      <c r="D98" s="4" t="s">
        <v>46</v>
      </c>
      <c r="E98" s="4" t="s">
        <v>51</v>
      </c>
    </row>
    <row r="99" spans="1:5">
      <c r="A99" s="4" t="s">
        <v>27</v>
      </c>
      <c r="C99" s="4" t="s">
        <v>418</v>
      </c>
      <c r="D99" s="4" t="s">
        <v>26</v>
      </c>
      <c r="E99" s="4" t="s">
        <v>26</v>
      </c>
    </row>
    <row r="100" spans="1:5">
      <c r="A100" s="4" t="s">
        <v>27</v>
      </c>
      <c r="C100" s="4" t="s">
        <v>277</v>
      </c>
      <c r="D100" s="4" t="s">
        <v>62</v>
      </c>
      <c r="E100" s="4" t="s">
        <v>62</v>
      </c>
    </row>
    <row r="101" spans="1:5">
      <c r="A101" s="4" t="s">
        <v>36</v>
      </c>
      <c r="B101" s="4" t="s">
        <v>38</v>
      </c>
      <c r="C101" s="4" t="s">
        <v>441</v>
      </c>
      <c r="D101" s="4" t="s">
        <v>37</v>
      </c>
      <c r="E101" s="4" t="s">
        <v>51</v>
      </c>
    </row>
    <row r="102" spans="1:5">
      <c r="A102" s="4" t="s">
        <v>27</v>
      </c>
      <c r="C102" s="4" t="s">
        <v>440</v>
      </c>
      <c r="D102" s="4" t="s">
        <v>60</v>
      </c>
      <c r="E102" s="4" t="s">
        <v>60</v>
      </c>
    </row>
    <row r="103" spans="1:5">
      <c r="A103" s="4" t="s">
        <v>41</v>
      </c>
      <c r="B103" s="4" t="s">
        <v>42</v>
      </c>
      <c r="C103" s="4" t="s">
        <v>417</v>
      </c>
      <c r="D103" s="4" t="s">
        <v>37</v>
      </c>
      <c r="E103" s="4" t="s">
        <v>51</v>
      </c>
    </row>
    <row r="104" spans="1:5">
      <c r="A104" s="4" t="s">
        <v>36</v>
      </c>
      <c r="B104" s="4" t="s">
        <v>48</v>
      </c>
      <c r="C104" s="4" t="s">
        <v>439</v>
      </c>
      <c r="D104" s="4" t="s">
        <v>45</v>
      </c>
      <c r="E104" s="4" t="s">
        <v>51</v>
      </c>
    </row>
    <row r="105" spans="1:5">
      <c r="A105" s="4" t="s">
        <v>41</v>
      </c>
      <c r="B105" s="4" t="s">
        <v>40</v>
      </c>
      <c r="C105" s="4" t="s">
        <v>439</v>
      </c>
      <c r="D105" s="4" t="s">
        <v>45</v>
      </c>
      <c r="E105" s="4" t="s">
        <v>26</v>
      </c>
    </row>
    <row r="106" spans="1:5">
      <c r="A106" s="4" t="s">
        <v>27</v>
      </c>
      <c r="C106" s="4" t="s">
        <v>439</v>
      </c>
      <c r="D106" s="4" t="s">
        <v>62</v>
      </c>
      <c r="E106" s="4" t="s">
        <v>62</v>
      </c>
    </row>
    <row r="107" spans="1:5">
      <c r="A107" s="4" t="s">
        <v>27</v>
      </c>
      <c r="B107" s="4" t="s">
        <v>52</v>
      </c>
      <c r="C107" s="4" t="s">
        <v>438</v>
      </c>
      <c r="D107" s="4" t="s">
        <v>46</v>
      </c>
      <c r="E107" s="4" t="s">
        <v>51</v>
      </c>
    </row>
    <row r="108" spans="1:5">
      <c r="A108" s="4" t="s">
        <v>27</v>
      </c>
      <c r="C108" s="4" t="s">
        <v>278</v>
      </c>
      <c r="D108" s="4" t="s">
        <v>62</v>
      </c>
      <c r="E108" s="4" t="s">
        <v>62</v>
      </c>
    </row>
    <row r="109" spans="1:5">
      <c r="A109" s="4" t="s">
        <v>39</v>
      </c>
      <c r="C109" s="4" t="s">
        <v>345</v>
      </c>
      <c r="D109" s="4" t="s">
        <v>61</v>
      </c>
      <c r="E109" s="4" t="s">
        <v>61</v>
      </c>
    </row>
    <row r="110" spans="1:5">
      <c r="A110" s="4" t="s">
        <v>36</v>
      </c>
      <c r="B110" s="4" t="s">
        <v>48</v>
      </c>
      <c r="C110" s="4" t="s">
        <v>345</v>
      </c>
      <c r="D110" s="4" t="s">
        <v>37</v>
      </c>
      <c r="E110" s="4" t="s">
        <v>51</v>
      </c>
    </row>
    <row r="111" spans="1:5">
      <c r="A111" s="4" t="s">
        <v>27</v>
      </c>
      <c r="C111" s="4" t="s">
        <v>345</v>
      </c>
      <c r="D111" s="4" t="s">
        <v>62</v>
      </c>
      <c r="E111" s="4" t="s">
        <v>62</v>
      </c>
    </row>
    <row r="112" spans="1:5">
      <c r="A112" s="4" t="s">
        <v>27</v>
      </c>
      <c r="B112" s="4" t="s">
        <v>34</v>
      </c>
      <c r="C112" s="4" t="s">
        <v>345</v>
      </c>
      <c r="D112" s="4" t="s">
        <v>35</v>
      </c>
      <c r="E112" s="4" t="s">
        <v>56</v>
      </c>
    </row>
    <row r="113" spans="1:5">
      <c r="A113" s="4" t="s">
        <v>41</v>
      </c>
      <c r="C113" s="4" t="s">
        <v>416</v>
      </c>
      <c r="D113" s="4" t="s">
        <v>37</v>
      </c>
      <c r="E113" s="4" t="s">
        <v>51</v>
      </c>
    </row>
    <row r="114" spans="1:5">
      <c r="A114" s="4" t="s">
        <v>27</v>
      </c>
      <c r="C114" s="4" t="s">
        <v>415</v>
      </c>
      <c r="D114" s="4" t="s">
        <v>51</v>
      </c>
      <c r="E114" s="4" t="s">
        <v>51</v>
      </c>
    </row>
    <row r="115" spans="1:5">
      <c r="A115" s="4" t="s">
        <v>27</v>
      </c>
      <c r="C115" s="4" t="s">
        <v>414</v>
      </c>
      <c r="D115" s="4" t="s">
        <v>56</v>
      </c>
      <c r="E115" s="4" t="s">
        <v>56</v>
      </c>
    </row>
    <row r="116" spans="1:5">
      <c r="A116" s="4" t="s">
        <v>41</v>
      </c>
      <c r="B116" s="4" t="s">
        <v>40</v>
      </c>
      <c r="C116" s="4" t="s">
        <v>54</v>
      </c>
      <c r="D116" s="4" t="s">
        <v>46</v>
      </c>
      <c r="E116" s="4" t="s">
        <v>51</v>
      </c>
    </row>
    <row r="117" spans="1:5">
      <c r="A117" s="4" t="s">
        <v>39</v>
      </c>
      <c r="C117" s="4" t="s">
        <v>413</v>
      </c>
      <c r="D117" s="4" t="s">
        <v>51</v>
      </c>
      <c r="E117" s="4" t="s">
        <v>51</v>
      </c>
    </row>
    <row r="118" spans="1:5">
      <c r="A118" s="45" t="s">
        <v>41</v>
      </c>
      <c r="C118" s="4" t="s">
        <v>437</v>
      </c>
      <c r="D118" s="4" t="s">
        <v>51</v>
      </c>
      <c r="E118" s="4" t="s">
        <v>51</v>
      </c>
    </row>
    <row r="119" spans="1:5">
      <c r="A119" s="45" t="s">
        <v>41</v>
      </c>
      <c r="B119" s="4" t="s">
        <v>42</v>
      </c>
      <c r="C119" s="4" t="s">
        <v>43</v>
      </c>
      <c r="D119" s="4" t="s">
        <v>37</v>
      </c>
      <c r="E119" s="4" t="s">
        <v>26</v>
      </c>
    </row>
    <row r="120" spans="1:5">
      <c r="A120" s="4" t="s">
        <v>36</v>
      </c>
      <c r="B120" s="4" t="s">
        <v>52</v>
      </c>
      <c r="C120" s="4" t="s">
        <v>53</v>
      </c>
      <c r="D120" s="4" t="s">
        <v>37</v>
      </c>
      <c r="E120" s="4" t="s">
        <v>51</v>
      </c>
    </row>
    <row r="121" spans="1:5">
      <c r="A121" s="4" t="s">
        <v>39</v>
      </c>
      <c r="C121" s="4" t="s">
        <v>436</v>
      </c>
      <c r="D121" s="4" t="s">
        <v>60</v>
      </c>
      <c r="E121" s="4" t="s">
        <v>60</v>
      </c>
    </row>
    <row r="122" spans="1:5">
      <c r="A122" s="4" t="s">
        <v>41</v>
      </c>
      <c r="B122" s="4" t="s">
        <v>47</v>
      </c>
      <c r="C122" s="4" t="s">
        <v>412</v>
      </c>
      <c r="D122" s="4" t="s">
        <v>37</v>
      </c>
      <c r="E122" s="4" t="s">
        <v>51</v>
      </c>
    </row>
    <row r="123" spans="1:5">
      <c r="A123" s="4" t="s">
        <v>27</v>
      </c>
      <c r="C123" s="4" t="s">
        <v>411</v>
      </c>
      <c r="D123" s="4" t="s">
        <v>26</v>
      </c>
      <c r="E123" s="4" t="s">
        <v>26</v>
      </c>
    </row>
    <row r="124" spans="1:5">
      <c r="A124" s="4" t="s">
        <v>41</v>
      </c>
      <c r="B124" s="4" t="s">
        <v>58</v>
      </c>
      <c r="C124" s="4" t="s">
        <v>435</v>
      </c>
      <c r="D124" s="4" t="s">
        <v>46</v>
      </c>
      <c r="E124" s="4" t="s">
        <v>56</v>
      </c>
    </row>
    <row r="125" spans="1:5">
      <c r="A125" s="4" t="s">
        <v>27</v>
      </c>
      <c r="B125" s="4" t="s">
        <v>34</v>
      </c>
      <c r="C125" s="4" t="s">
        <v>410</v>
      </c>
      <c r="D125" s="4" t="s">
        <v>35</v>
      </c>
      <c r="E125" s="4" t="s">
        <v>51</v>
      </c>
    </row>
    <row r="126" spans="1:5">
      <c r="A126" s="4" t="s">
        <v>27</v>
      </c>
      <c r="B126" s="4" t="s">
        <v>34</v>
      </c>
      <c r="C126" s="4" t="s">
        <v>409</v>
      </c>
      <c r="D126" s="4" t="s">
        <v>35</v>
      </c>
      <c r="E126" s="4" t="s">
        <v>51</v>
      </c>
    </row>
    <row r="127" spans="1:5">
      <c r="A127" s="4" t="s">
        <v>39</v>
      </c>
      <c r="B127" s="4" t="s">
        <v>47</v>
      </c>
      <c r="C127" s="4" t="s">
        <v>434</v>
      </c>
      <c r="D127" s="4" t="s">
        <v>37</v>
      </c>
      <c r="E127" s="4" t="s">
        <v>51</v>
      </c>
    </row>
    <row r="128" spans="1:5">
      <c r="A128" s="4" t="s">
        <v>27</v>
      </c>
      <c r="B128" s="4" t="s">
        <v>34</v>
      </c>
      <c r="C128" s="4" t="s">
        <v>433</v>
      </c>
      <c r="D128" s="4" t="s">
        <v>35</v>
      </c>
      <c r="E128" s="4" t="s">
        <v>56</v>
      </c>
    </row>
    <row r="129" spans="1:5">
      <c r="A129" s="4" t="s">
        <v>36</v>
      </c>
      <c r="C129" s="4" t="s">
        <v>407</v>
      </c>
      <c r="D129" s="4" t="s">
        <v>60</v>
      </c>
      <c r="E129" s="4" t="s">
        <v>60</v>
      </c>
    </row>
    <row r="130" spans="1:5">
      <c r="A130" s="4" t="s">
        <v>27</v>
      </c>
      <c r="C130" s="4" t="s">
        <v>407</v>
      </c>
      <c r="D130" s="4" t="s">
        <v>62</v>
      </c>
      <c r="E130" s="4" t="s">
        <v>62</v>
      </c>
    </row>
    <row r="131" spans="1:5">
      <c r="A131" s="4" t="s">
        <v>39</v>
      </c>
      <c r="C131" s="4" t="s">
        <v>407</v>
      </c>
      <c r="E131" s="4" t="s">
        <v>56</v>
      </c>
    </row>
    <row r="132" spans="1:5">
      <c r="A132" s="4" t="s">
        <v>39</v>
      </c>
      <c r="B132" s="4" t="s">
        <v>40</v>
      </c>
      <c r="C132" s="4" t="s">
        <v>408</v>
      </c>
      <c r="D132" s="4" t="s">
        <v>45</v>
      </c>
      <c r="E132" s="4" t="s">
        <v>56</v>
      </c>
    </row>
    <row r="133" spans="1:5">
      <c r="A133" s="4" t="s">
        <v>39</v>
      </c>
      <c r="B133" s="4" t="s">
        <v>34</v>
      </c>
      <c r="C133" s="4" t="s">
        <v>407</v>
      </c>
      <c r="D133" s="4" t="s">
        <v>35</v>
      </c>
      <c r="E133" s="4" t="s">
        <v>26</v>
      </c>
    </row>
    <row r="134" spans="1:5">
      <c r="A134" s="4" t="s">
        <v>27</v>
      </c>
      <c r="C134" s="4" t="s">
        <v>280</v>
      </c>
      <c r="D134" s="4" t="s">
        <v>62</v>
      </c>
      <c r="E134" s="4" t="s">
        <v>62</v>
      </c>
    </row>
    <row r="135" spans="1:5">
      <c r="A135" s="4" t="s">
        <v>36</v>
      </c>
      <c r="B135" s="4" t="s">
        <v>44</v>
      </c>
      <c r="C135" s="4" t="s">
        <v>406</v>
      </c>
      <c r="D135" s="4" t="s">
        <v>37</v>
      </c>
      <c r="E135" s="4" t="s">
        <v>56</v>
      </c>
    </row>
    <row r="136" spans="1:5">
      <c r="A136" s="4" t="s">
        <v>27</v>
      </c>
      <c r="C136" s="4" t="s">
        <v>406</v>
      </c>
      <c r="D136" s="4" t="s">
        <v>37</v>
      </c>
      <c r="E136" s="4" t="s">
        <v>26</v>
      </c>
    </row>
    <row r="137" spans="1:5">
      <c r="A137" s="4" t="s">
        <v>39</v>
      </c>
      <c r="B137" s="4" t="s">
        <v>47</v>
      </c>
      <c r="C137" s="4" t="s">
        <v>405</v>
      </c>
      <c r="D137" s="4" t="s">
        <v>46</v>
      </c>
      <c r="E137" s="4" t="s">
        <v>56</v>
      </c>
    </row>
    <row r="138" spans="1:5">
      <c r="A138" s="4" t="s">
        <v>41</v>
      </c>
      <c r="C138" s="4" t="s">
        <v>404</v>
      </c>
      <c r="D138" s="4" t="s">
        <v>60</v>
      </c>
      <c r="E138" s="4" t="s">
        <v>60</v>
      </c>
    </row>
    <row r="139" spans="1:5">
      <c r="A139" s="4" t="s">
        <v>27</v>
      </c>
      <c r="C139" s="4" t="s">
        <v>284</v>
      </c>
      <c r="D139" s="4" t="s">
        <v>285</v>
      </c>
      <c r="E139" s="4" t="s">
        <v>285</v>
      </c>
    </row>
    <row r="140" spans="1:5">
      <c r="A140" s="4" t="s">
        <v>27</v>
      </c>
      <c r="C140" s="4" t="s">
        <v>403</v>
      </c>
      <c r="D140" s="4" t="s">
        <v>281</v>
      </c>
      <c r="E140" s="4" t="s">
        <v>281</v>
      </c>
    </row>
    <row r="141" spans="1:5">
      <c r="A141" s="4" t="s">
        <v>39</v>
      </c>
      <c r="B141" s="4" t="s">
        <v>52</v>
      </c>
      <c r="C141" s="4" t="s">
        <v>402</v>
      </c>
      <c r="D141" s="4" t="s">
        <v>45</v>
      </c>
      <c r="E141" s="4" t="s">
        <v>56</v>
      </c>
    </row>
    <row r="142" spans="1:5">
      <c r="A142" s="4" t="s">
        <v>36</v>
      </c>
      <c r="B142" s="4" t="s">
        <v>27</v>
      </c>
      <c r="C142" s="4" t="s">
        <v>402</v>
      </c>
      <c r="D142" s="4" t="s">
        <v>37</v>
      </c>
      <c r="E142" s="4" t="s">
        <v>26</v>
      </c>
    </row>
    <row r="143" spans="1:5">
      <c r="A143" s="4" t="s">
        <v>36</v>
      </c>
      <c r="B143" s="4" t="s">
        <v>48</v>
      </c>
      <c r="C143" s="4" t="s">
        <v>401</v>
      </c>
      <c r="D143" s="4" t="s">
        <v>46</v>
      </c>
      <c r="E143" s="4" t="s">
        <v>26</v>
      </c>
    </row>
    <row r="144" spans="1:5">
      <c r="A144" s="4" t="s">
        <v>27</v>
      </c>
      <c r="C144" s="4" t="s">
        <v>282</v>
      </c>
      <c r="D144" s="4" t="s">
        <v>283</v>
      </c>
      <c r="E144" s="4" t="s">
        <v>283</v>
      </c>
    </row>
    <row r="145" spans="1:5">
      <c r="A145" s="4" t="s">
        <v>41</v>
      </c>
      <c r="B145" s="4" t="s">
        <v>40</v>
      </c>
      <c r="C145" s="4" t="s">
        <v>395</v>
      </c>
      <c r="D145" s="4" t="s">
        <v>46</v>
      </c>
      <c r="E145" s="4" t="s">
        <v>51</v>
      </c>
    </row>
    <row r="146" spans="1:5">
      <c r="A146" s="4" t="s">
        <v>41</v>
      </c>
      <c r="C146" s="4" t="s">
        <v>394</v>
      </c>
      <c r="D146" s="4" t="s">
        <v>45</v>
      </c>
      <c r="E146" s="4" t="s">
        <v>56</v>
      </c>
    </row>
    <row r="147" spans="1:5">
      <c r="A147" s="4" t="s">
        <v>41</v>
      </c>
      <c r="C147" s="4" t="s">
        <v>394</v>
      </c>
      <c r="D147" s="4" t="s">
        <v>26</v>
      </c>
      <c r="E147" s="4" t="s">
        <v>26</v>
      </c>
    </row>
    <row r="148" spans="1:5">
      <c r="A148" s="4" t="s">
        <v>27</v>
      </c>
      <c r="C148" s="4" t="s">
        <v>394</v>
      </c>
      <c r="D148" s="4" t="s">
        <v>51</v>
      </c>
      <c r="E148" s="4" t="s">
        <v>51</v>
      </c>
    </row>
    <row r="149" spans="1:5">
      <c r="A149" s="4" t="s">
        <v>39</v>
      </c>
      <c r="C149" s="4" t="s">
        <v>393</v>
      </c>
      <c r="D149" s="4" t="s">
        <v>56</v>
      </c>
      <c r="E149" s="4" t="s">
        <v>56</v>
      </c>
    </row>
    <row r="150" spans="1:5">
      <c r="A150" s="4" t="s">
        <v>39</v>
      </c>
      <c r="B150" s="4" t="s">
        <v>47</v>
      </c>
      <c r="C150" s="4" t="s">
        <v>392</v>
      </c>
      <c r="D150" s="4" t="s">
        <v>37</v>
      </c>
      <c r="E150" s="4" t="s">
        <v>51</v>
      </c>
    </row>
    <row r="151" spans="1:5">
      <c r="A151" s="4" t="s">
        <v>39</v>
      </c>
      <c r="C151" s="4" t="s">
        <v>391</v>
      </c>
      <c r="E151" s="4" t="s">
        <v>56</v>
      </c>
    </row>
    <row r="152" spans="1:5">
      <c r="A152" s="4" t="s">
        <v>39</v>
      </c>
      <c r="C152" s="4" t="s">
        <v>391</v>
      </c>
      <c r="D152" s="4" t="s">
        <v>46</v>
      </c>
      <c r="E152" s="4" t="s">
        <v>56</v>
      </c>
    </row>
    <row r="153" spans="1:5">
      <c r="A153" s="4" t="s">
        <v>27</v>
      </c>
      <c r="C153" s="4" t="s">
        <v>390</v>
      </c>
      <c r="D153" s="4" t="s">
        <v>56</v>
      </c>
      <c r="E153" s="4" t="s">
        <v>56</v>
      </c>
    </row>
    <row r="154" spans="1:5">
      <c r="A154" s="4" t="s">
        <v>27</v>
      </c>
      <c r="C154" s="4" t="s">
        <v>389</v>
      </c>
      <c r="D154" s="4" t="s">
        <v>56</v>
      </c>
      <c r="E154" s="4" t="s">
        <v>56</v>
      </c>
    </row>
    <row r="155" spans="1:5">
      <c r="A155" s="4" t="s">
        <v>39</v>
      </c>
      <c r="B155" s="4" t="s">
        <v>38</v>
      </c>
      <c r="C155" s="4" t="s">
        <v>388</v>
      </c>
      <c r="D155" s="4" t="s">
        <v>37</v>
      </c>
      <c r="E155" s="4" t="s">
        <v>56</v>
      </c>
    </row>
    <row r="156" spans="1:5">
      <c r="A156" s="4" t="s">
        <v>27</v>
      </c>
      <c r="C156" s="4" t="s">
        <v>387</v>
      </c>
      <c r="E156" s="4" t="s">
        <v>56</v>
      </c>
    </row>
    <row r="157" spans="1:5">
      <c r="A157" s="4" t="s">
        <v>41</v>
      </c>
      <c r="C157" s="4" t="s">
        <v>386</v>
      </c>
      <c r="D157" s="4" t="s">
        <v>60</v>
      </c>
      <c r="E157" s="4" t="s">
        <v>60</v>
      </c>
    </row>
    <row r="158" spans="1:5">
      <c r="A158" s="4" t="s">
        <v>41</v>
      </c>
      <c r="C158" s="4" t="s">
        <v>363</v>
      </c>
      <c r="D158" s="4" t="s">
        <v>26</v>
      </c>
      <c r="E158" s="4" t="s">
        <v>26</v>
      </c>
    </row>
    <row r="159" spans="1:5">
      <c r="A159" s="4" t="s">
        <v>41</v>
      </c>
      <c r="C159" s="4" t="s">
        <v>385</v>
      </c>
      <c r="D159" s="4" t="s">
        <v>56</v>
      </c>
      <c r="E159" s="4" t="s">
        <v>56</v>
      </c>
    </row>
    <row r="160" spans="1:5">
      <c r="A160" s="4" t="s">
        <v>41</v>
      </c>
      <c r="C160" s="4" t="s">
        <v>384</v>
      </c>
      <c r="D160" s="4" t="s">
        <v>281</v>
      </c>
      <c r="E160" s="4" t="s">
        <v>281</v>
      </c>
    </row>
    <row r="161" spans="1:5">
      <c r="A161" s="4" t="s">
        <v>41</v>
      </c>
      <c r="C161" s="4" t="s">
        <v>383</v>
      </c>
      <c r="D161" s="4" t="s">
        <v>276</v>
      </c>
      <c r="E161" s="4" t="s">
        <v>276</v>
      </c>
    </row>
    <row r="162" spans="1:5">
      <c r="A162" s="4" t="s">
        <v>27</v>
      </c>
      <c r="C162" s="4" t="s">
        <v>374</v>
      </c>
      <c r="D162" s="4" t="s">
        <v>268</v>
      </c>
      <c r="E162" s="4" t="s">
        <v>268</v>
      </c>
    </row>
    <row r="573" spans="1:5">
      <c r="A573" s="4" t="s">
        <v>27</v>
      </c>
      <c r="C573" s="4" t="s">
        <v>366</v>
      </c>
      <c r="E573" s="4" t="s">
        <v>56</v>
      </c>
    </row>
    <row r="574" spans="1:5">
      <c r="A574" s="4" t="s">
        <v>27</v>
      </c>
      <c r="C574" s="4" t="s">
        <v>367</v>
      </c>
      <c r="D574" s="4" t="s">
        <v>56</v>
      </c>
      <c r="E574" s="4" t="s">
        <v>56</v>
      </c>
    </row>
    <row r="575" spans="1:5">
      <c r="A575" s="4" t="s">
        <v>379</v>
      </c>
      <c r="C575" s="4" t="s">
        <v>368</v>
      </c>
      <c r="D575" s="4" t="s">
        <v>51</v>
      </c>
      <c r="E575" s="4" t="s">
        <v>51</v>
      </c>
    </row>
    <row r="1048573" spans="1:1">
      <c r="A1048573" s="4" t="s">
        <v>41</v>
      </c>
    </row>
  </sheetData>
  <autoFilter ref="A1:E575" xr:uid="{00000000-0009-0000-0000-000009000000}">
    <sortState xmlns:xlrd2="http://schemas.microsoft.com/office/spreadsheetml/2017/richdata2" ref="A2:E580">
      <sortCondition ref="C1:C58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W194"/>
  <sheetViews>
    <sheetView showGridLines="0" topLeftCell="N1" zoomScale="70" zoomScaleNormal="70" workbookViewId="0">
      <selection activeCell="P19" sqref="P19"/>
    </sheetView>
  </sheetViews>
  <sheetFormatPr defaultRowHeight="14.4"/>
  <cols>
    <col min="1" max="1" width="50.5546875" bestFit="1" customWidth="1"/>
    <col min="2" max="2" width="18.6640625" customWidth="1"/>
    <col min="3" max="3" width="15.5546875" customWidth="1"/>
    <col min="4" max="4" width="33.88671875" customWidth="1"/>
    <col min="8" max="8" width="24" customWidth="1"/>
    <col min="9" max="9" width="25.88671875" customWidth="1"/>
    <col min="10" max="10" width="8.33203125" customWidth="1"/>
    <col min="11" max="11" width="14.33203125" customWidth="1"/>
    <col min="12" max="12" width="10.6640625" bestFit="1" customWidth="1"/>
    <col min="13" max="13" width="34.33203125" customWidth="1"/>
    <col min="14" max="14" width="25.88671875" customWidth="1"/>
    <col min="15" max="15" width="47.44140625" bestFit="1" customWidth="1"/>
    <col min="16" max="16" width="52.5546875" bestFit="1" customWidth="1"/>
    <col min="17" max="17" width="39.109375" bestFit="1" customWidth="1"/>
    <col min="18" max="18" width="71.6640625" bestFit="1" customWidth="1"/>
    <col min="19" max="19" width="24.5546875" bestFit="1" customWidth="1"/>
    <col min="20" max="20" width="25.44140625" customWidth="1"/>
    <col min="21" max="21" width="18.109375" customWidth="1"/>
    <col min="22" max="22" width="47.44140625" bestFit="1" customWidth="1"/>
    <col min="23" max="23" width="14.33203125" bestFit="1" customWidth="1"/>
  </cols>
  <sheetData>
    <row r="1" spans="1:23">
      <c r="A1" t="str">
        <f>A4</f>
        <v>CHAVE GRIFO 36</v>
      </c>
      <c r="B1" s="1">
        <f>GETPIVOTDATA("Soma de ENTRADAS",$A$3)</f>
        <v>900</v>
      </c>
      <c r="C1" s="1">
        <f>GETPIVOTDATA("Soma de SAÍDAS",$A$3)</f>
        <v>930</v>
      </c>
      <c r="D1" s="1">
        <f>GETPIVOTDATA("Soma de QUANTIDADE EM ESTOQUE",$A$3)</f>
        <v>207</v>
      </c>
      <c r="H1" s="17">
        <f>I1/J1</f>
        <v>0.90331125827814573</v>
      </c>
      <c r="I1">
        <f>GETPIVOTDATA("QTD",$H$3,"Movimentação","Entrada")</f>
        <v>2046</v>
      </c>
      <c r="J1">
        <f>GETPIVOTDATA("QTD",$H$3,"Movimentação","SAIDA")</f>
        <v>2265</v>
      </c>
    </row>
    <row r="2" spans="1:23">
      <c r="I2" t="s">
        <v>1</v>
      </c>
      <c r="J2" t="s">
        <v>77</v>
      </c>
    </row>
    <row r="3" spans="1:23">
      <c r="A3" s="9" t="s">
        <v>64</v>
      </c>
      <c r="B3" t="s">
        <v>75</v>
      </c>
      <c r="C3" t="s">
        <v>76</v>
      </c>
      <c r="D3" t="s">
        <v>65</v>
      </c>
      <c r="H3" s="9" t="s">
        <v>79</v>
      </c>
      <c r="I3" s="9" t="s">
        <v>78</v>
      </c>
      <c r="M3" s="9" t="s">
        <v>83</v>
      </c>
      <c r="N3" s="9" t="s">
        <v>78</v>
      </c>
    </row>
    <row r="4" spans="1:23">
      <c r="A4" s="10" t="s">
        <v>133</v>
      </c>
      <c r="B4">
        <v>6</v>
      </c>
      <c r="C4">
        <v>7</v>
      </c>
      <c r="D4">
        <v>3</v>
      </c>
      <c r="H4" s="9" t="s">
        <v>64</v>
      </c>
      <c r="I4" t="s">
        <v>1</v>
      </c>
      <c r="J4" t="s">
        <v>3</v>
      </c>
      <c r="K4" t="s">
        <v>67</v>
      </c>
      <c r="M4" s="9" t="s">
        <v>64</v>
      </c>
      <c r="N4" t="s">
        <v>66</v>
      </c>
      <c r="O4" t="s">
        <v>80</v>
      </c>
      <c r="P4" t="s">
        <v>81</v>
      </c>
      <c r="Q4" t="s">
        <v>318</v>
      </c>
      <c r="R4" t="s">
        <v>303</v>
      </c>
      <c r="S4" t="s">
        <v>332</v>
      </c>
      <c r="T4" t="s">
        <v>351</v>
      </c>
      <c r="U4" t="s">
        <v>344</v>
      </c>
      <c r="V4" t="s">
        <v>341</v>
      </c>
      <c r="W4" t="s">
        <v>67</v>
      </c>
    </row>
    <row r="5" spans="1:23">
      <c r="A5" s="10" t="s">
        <v>252</v>
      </c>
      <c r="B5">
        <v>0</v>
      </c>
      <c r="C5">
        <v>0</v>
      </c>
      <c r="D5">
        <v>3</v>
      </c>
      <c r="H5" s="10" t="s">
        <v>338</v>
      </c>
      <c r="J5">
        <v>1</v>
      </c>
      <c r="K5">
        <v>1</v>
      </c>
      <c r="M5" s="10" t="s">
        <v>27</v>
      </c>
      <c r="O5">
        <v>3181</v>
      </c>
      <c r="P5">
        <v>5</v>
      </c>
      <c r="Q5">
        <v>4</v>
      </c>
      <c r="R5">
        <v>1</v>
      </c>
      <c r="S5">
        <v>1</v>
      </c>
      <c r="T5">
        <v>1</v>
      </c>
      <c r="U5">
        <v>1</v>
      </c>
      <c r="V5">
        <v>2</v>
      </c>
      <c r="W5">
        <v>3196</v>
      </c>
    </row>
    <row r="6" spans="1:23">
      <c r="A6" s="10" t="s">
        <v>217</v>
      </c>
      <c r="B6">
        <v>12</v>
      </c>
      <c r="C6">
        <v>12</v>
      </c>
      <c r="D6">
        <v>3</v>
      </c>
      <c r="H6" s="10" t="s">
        <v>328</v>
      </c>
      <c r="I6">
        <v>315</v>
      </c>
      <c r="J6">
        <v>321</v>
      </c>
      <c r="K6">
        <v>636</v>
      </c>
      <c r="M6" s="10" t="s">
        <v>67</v>
      </c>
      <c r="O6">
        <v>3181</v>
      </c>
      <c r="P6">
        <v>5</v>
      </c>
      <c r="Q6">
        <v>4</v>
      </c>
      <c r="R6">
        <v>1</v>
      </c>
      <c r="S6">
        <v>1</v>
      </c>
      <c r="T6">
        <v>1</v>
      </c>
      <c r="U6">
        <v>1</v>
      </c>
      <c r="V6">
        <v>2</v>
      </c>
      <c r="W6">
        <v>3196</v>
      </c>
    </row>
    <row r="7" spans="1:23">
      <c r="A7" s="10" t="s">
        <v>171</v>
      </c>
      <c r="B7">
        <v>0</v>
      </c>
      <c r="C7">
        <v>0</v>
      </c>
      <c r="D7">
        <v>2</v>
      </c>
      <c r="H7" s="10" t="s">
        <v>329</v>
      </c>
      <c r="I7">
        <v>440</v>
      </c>
      <c r="J7">
        <v>466</v>
      </c>
      <c r="K7">
        <v>906</v>
      </c>
    </row>
    <row r="8" spans="1:23">
      <c r="A8" s="10" t="s">
        <v>169</v>
      </c>
      <c r="B8">
        <v>0</v>
      </c>
      <c r="C8">
        <v>0</v>
      </c>
      <c r="D8">
        <v>2</v>
      </c>
      <c r="H8" s="10" t="s">
        <v>330</v>
      </c>
      <c r="I8">
        <v>514</v>
      </c>
      <c r="J8">
        <v>643</v>
      </c>
      <c r="K8">
        <v>1157</v>
      </c>
    </row>
    <row r="9" spans="1:23">
      <c r="A9" s="10" t="s">
        <v>168</v>
      </c>
      <c r="B9">
        <v>0</v>
      </c>
      <c r="C9">
        <v>0</v>
      </c>
      <c r="D9">
        <v>2</v>
      </c>
      <c r="H9" s="10" t="s">
        <v>339</v>
      </c>
      <c r="I9">
        <v>479</v>
      </c>
      <c r="J9">
        <v>524</v>
      </c>
      <c r="K9">
        <v>1003</v>
      </c>
      <c r="P9" t="s">
        <v>289</v>
      </c>
    </row>
    <row r="10" spans="1:23">
      <c r="A10" s="10" t="s">
        <v>165</v>
      </c>
      <c r="B10">
        <v>0</v>
      </c>
      <c r="C10">
        <v>0</v>
      </c>
      <c r="D10">
        <v>2</v>
      </c>
      <c r="H10" s="10" t="s">
        <v>352</v>
      </c>
      <c r="I10">
        <v>298</v>
      </c>
      <c r="J10">
        <v>310</v>
      </c>
      <c r="K10">
        <v>608</v>
      </c>
      <c r="P10" t="s">
        <v>291</v>
      </c>
    </row>
    <row r="11" spans="1:23">
      <c r="A11" s="10" t="s">
        <v>170</v>
      </c>
      <c r="B11">
        <v>0</v>
      </c>
      <c r="C11">
        <v>0</v>
      </c>
      <c r="D11">
        <v>2</v>
      </c>
      <c r="H11" s="10" t="s">
        <v>67</v>
      </c>
      <c r="I11">
        <v>2046</v>
      </c>
      <c r="J11">
        <v>2265</v>
      </c>
      <c r="K11">
        <v>4311</v>
      </c>
      <c r="O11" s="37"/>
      <c r="P11" t="s">
        <v>290</v>
      </c>
    </row>
    <row r="12" spans="1:23">
      <c r="A12" s="10" t="s">
        <v>172</v>
      </c>
      <c r="B12">
        <v>0</v>
      </c>
      <c r="C12">
        <v>0</v>
      </c>
      <c r="D12">
        <v>2</v>
      </c>
      <c r="O12" s="37"/>
      <c r="P12" t="s">
        <v>288</v>
      </c>
    </row>
    <row r="13" spans="1:23">
      <c r="A13" s="10" t="s">
        <v>162</v>
      </c>
      <c r="B13">
        <v>17</v>
      </c>
      <c r="C13">
        <v>18</v>
      </c>
      <c r="D13">
        <v>2</v>
      </c>
      <c r="O13" s="37"/>
      <c r="P13" t="s">
        <v>292</v>
      </c>
    </row>
    <row r="14" spans="1:23">
      <c r="A14" s="10" t="s">
        <v>91</v>
      </c>
      <c r="B14">
        <v>8</v>
      </c>
      <c r="C14">
        <v>11</v>
      </c>
      <c r="D14">
        <v>2</v>
      </c>
      <c r="O14" s="37"/>
      <c r="P14" t="s">
        <v>293</v>
      </c>
    </row>
    <row r="15" spans="1:23">
      <c r="A15" s="10" t="s">
        <v>166</v>
      </c>
      <c r="B15">
        <v>0</v>
      </c>
      <c r="C15">
        <v>0</v>
      </c>
      <c r="D15">
        <v>2</v>
      </c>
      <c r="P15" t="s">
        <v>297</v>
      </c>
    </row>
    <row r="16" spans="1:23">
      <c r="A16" s="10" t="s">
        <v>167</v>
      </c>
      <c r="B16">
        <v>0</v>
      </c>
      <c r="C16">
        <v>0</v>
      </c>
      <c r="D16">
        <v>2</v>
      </c>
      <c r="P16" s="37"/>
    </row>
    <row r="17" spans="1:4">
      <c r="A17" s="10" t="s">
        <v>173</v>
      </c>
      <c r="B17">
        <v>37</v>
      </c>
      <c r="C17">
        <v>40</v>
      </c>
      <c r="D17">
        <v>2</v>
      </c>
    </row>
    <row r="18" spans="1:4">
      <c r="A18" s="10" t="s">
        <v>227</v>
      </c>
      <c r="B18">
        <v>0</v>
      </c>
      <c r="C18">
        <v>0</v>
      </c>
      <c r="D18">
        <v>1</v>
      </c>
    </row>
    <row r="19" spans="1:4">
      <c r="A19" s="10" t="s">
        <v>196</v>
      </c>
      <c r="B19">
        <v>1</v>
      </c>
      <c r="C19">
        <v>1</v>
      </c>
      <c r="D19">
        <v>1</v>
      </c>
    </row>
    <row r="20" spans="1:4">
      <c r="A20" s="10" t="s">
        <v>260</v>
      </c>
      <c r="B20">
        <v>1</v>
      </c>
      <c r="C20">
        <v>1</v>
      </c>
      <c r="D20">
        <v>1</v>
      </c>
    </row>
    <row r="21" spans="1:4">
      <c r="A21" s="10" t="s">
        <v>102</v>
      </c>
      <c r="B21">
        <v>2</v>
      </c>
      <c r="C21">
        <v>2</v>
      </c>
      <c r="D21">
        <v>1</v>
      </c>
    </row>
    <row r="22" spans="1:4">
      <c r="A22" s="10" t="s">
        <v>212</v>
      </c>
      <c r="B22">
        <v>0</v>
      </c>
      <c r="C22">
        <v>0</v>
      </c>
      <c r="D22">
        <v>1</v>
      </c>
    </row>
    <row r="23" spans="1:4">
      <c r="A23" s="10" t="s">
        <v>103</v>
      </c>
      <c r="B23">
        <v>0</v>
      </c>
      <c r="C23">
        <v>0</v>
      </c>
      <c r="D23">
        <v>1</v>
      </c>
    </row>
    <row r="24" spans="1:4">
      <c r="A24" s="10" t="s">
        <v>243</v>
      </c>
      <c r="B24">
        <v>1</v>
      </c>
      <c r="C24">
        <v>1</v>
      </c>
      <c r="D24">
        <v>1</v>
      </c>
    </row>
    <row r="25" spans="1:4">
      <c r="A25" s="10" t="s">
        <v>104</v>
      </c>
      <c r="B25">
        <v>0</v>
      </c>
      <c r="C25">
        <v>0</v>
      </c>
      <c r="D25">
        <v>1</v>
      </c>
    </row>
    <row r="26" spans="1:4">
      <c r="A26" s="10" t="s">
        <v>188</v>
      </c>
      <c r="B26">
        <v>1</v>
      </c>
      <c r="C26">
        <v>2</v>
      </c>
      <c r="D26">
        <v>1</v>
      </c>
    </row>
    <row r="27" spans="1:4">
      <c r="A27" s="10" t="s">
        <v>105</v>
      </c>
      <c r="B27">
        <v>0</v>
      </c>
      <c r="C27">
        <v>0</v>
      </c>
      <c r="D27">
        <v>1</v>
      </c>
    </row>
    <row r="28" spans="1:4">
      <c r="A28" s="10" t="s">
        <v>204</v>
      </c>
      <c r="B28">
        <v>0</v>
      </c>
      <c r="C28">
        <v>0</v>
      </c>
      <c r="D28">
        <v>1</v>
      </c>
    </row>
    <row r="29" spans="1:4">
      <c r="A29" s="10" t="s">
        <v>106</v>
      </c>
      <c r="B29">
        <v>0</v>
      </c>
      <c r="C29">
        <v>0</v>
      </c>
      <c r="D29">
        <v>1</v>
      </c>
    </row>
    <row r="30" spans="1:4">
      <c r="A30" s="10" t="s">
        <v>220</v>
      </c>
      <c r="B30">
        <v>0</v>
      </c>
      <c r="C30">
        <v>0</v>
      </c>
      <c r="D30">
        <v>1</v>
      </c>
    </row>
    <row r="31" spans="1:4">
      <c r="A31" s="10" t="s">
        <v>107</v>
      </c>
      <c r="B31">
        <v>0</v>
      </c>
      <c r="C31">
        <v>0</v>
      </c>
      <c r="D31">
        <v>1</v>
      </c>
    </row>
    <row r="32" spans="1:4">
      <c r="A32" s="10" t="s">
        <v>235</v>
      </c>
      <c r="B32">
        <v>7</v>
      </c>
      <c r="C32">
        <v>7</v>
      </c>
      <c r="D32">
        <v>1</v>
      </c>
    </row>
    <row r="33" spans="1:4">
      <c r="A33" s="10" t="s">
        <v>108</v>
      </c>
      <c r="B33">
        <v>4</v>
      </c>
      <c r="C33">
        <v>4</v>
      </c>
      <c r="D33">
        <v>1</v>
      </c>
    </row>
    <row r="34" spans="1:4">
      <c r="A34" s="10" t="s">
        <v>251</v>
      </c>
      <c r="B34">
        <v>0</v>
      </c>
      <c r="C34">
        <v>0</v>
      </c>
      <c r="D34">
        <v>1</v>
      </c>
    </row>
    <row r="35" spans="1:4">
      <c r="A35" s="10" t="s">
        <v>109</v>
      </c>
      <c r="B35">
        <v>6</v>
      </c>
      <c r="C35">
        <v>7</v>
      </c>
      <c r="D35">
        <v>1</v>
      </c>
    </row>
    <row r="36" spans="1:4">
      <c r="A36" s="10" t="s">
        <v>184</v>
      </c>
      <c r="B36">
        <v>2</v>
      </c>
      <c r="C36">
        <v>2</v>
      </c>
      <c r="D36">
        <v>1</v>
      </c>
    </row>
    <row r="37" spans="1:4">
      <c r="A37" s="10" t="s">
        <v>110</v>
      </c>
      <c r="B37">
        <v>0</v>
      </c>
      <c r="C37">
        <v>0</v>
      </c>
      <c r="D37">
        <v>1</v>
      </c>
    </row>
    <row r="38" spans="1:4">
      <c r="A38" s="10" t="s">
        <v>192</v>
      </c>
      <c r="B38">
        <v>21</v>
      </c>
      <c r="C38">
        <v>25</v>
      </c>
      <c r="D38">
        <v>1</v>
      </c>
    </row>
    <row r="39" spans="1:4">
      <c r="A39" s="10" t="s">
        <v>111</v>
      </c>
      <c r="B39">
        <v>1</v>
      </c>
      <c r="C39">
        <v>1</v>
      </c>
      <c r="D39">
        <v>1</v>
      </c>
    </row>
    <row r="40" spans="1:4">
      <c r="A40" s="10" t="s">
        <v>200</v>
      </c>
      <c r="B40">
        <v>0</v>
      </c>
      <c r="C40">
        <v>0</v>
      </c>
      <c r="D40">
        <v>1</v>
      </c>
    </row>
    <row r="41" spans="1:4">
      <c r="A41" s="10" t="s">
        <v>112</v>
      </c>
      <c r="B41">
        <v>1</v>
      </c>
      <c r="C41">
        <v>4</v>
      </c>
      <c r="D41">
        <v>1</v>
      </c>
    </row>
    <row r="42" spans="1:4">
      <c r="A42" s="10" t="s">
        <v>208</v>
      </c>
      <c r="B42">
        <v>0</v>
      </c>
      <c r="C42">
        <v>0</v>
      </c>
      <c r="D42">
        <v>1</v>
      </c>
    </row>
    <row r="43" spans="1:4">
      <c r="A43" s="10" t="s">
        <v>113</v>
      </c>
      <c r="B43">
        <v>1</v>
      </c>
      <c r="C43">
        <v>4</v>
      </c>
      <c r="D43">
        <v>1</v>
      </c>
    </row>
    <row r="44" spans="1:4">
      <c r="A44" s="10" t="s">
        <v>216</v>
      </c>
      <c r="B44">
        <v>0</v>
      </c>
      <c r="C44">
        <v>0</v>
      </c>
      <c r="D44">
        <v>1</v>
      </c>
    </row>
    <row r="45" spans="1:4">
      <c r="A45" s="10" t="s">
        <v>114</v>
      </c>
      <c r="B45">
        <v>0</v>
      </c>
      <c r="C45">
        <v>0</v>
      </c>
      <c r="D45">
        <v>1</v>
      </c>
    </row>
    <row r="46" spans="1:4">
      <c r="A46" s="10" t="s">
        <v>308</v>
      </c>
      <c r="B46">
        <v>10</v>
      </c>
      <c r="C46">
        <v>10</v>
      </c>
      <c r="D46">
        <v>1</v>
      </c>
    </row>
    <row r="47" spans="1:4">
      <c r="A47" s="10" t="s">
        <v>115</v>
      </c>
      <c r="B47">
        <v>0</v>
      </c>
      <c r="C47">
        <v>0</v>
      </c>
      <c r="D47">
        <v>1</v>
      </c>
    </row>
    <row r="48" spans="1:4">
      <c r="A48" s="10" t="s">
        <v>231</v>
      </c>
      <c r="B48">
        <v>0</v>
      </c>
      <c r="C48">
        <v>0</v>
      </c>
      <c r="D48">
        <v>1</v>
      </c>
    </row>
    <row r="49" spans="1:4">
      <c r="A49" s="10" t="s">
        <v>116</v>
      </c>
      <c r="B49">
        <v>0</v>
      </c>
      <c r="C49">
        <v>0</v>
      </c>
      <c r="D49">
        <v>1</v>
      </c>
    </row>
    <row r="50" spans="1:4">
      <c r="A50" s="10" t="s">
        <v>239</v>
      </c>
      <c r="B50">
        <v>3</v>
      </c>
      <c r="C50">
        <v>3</v>
      </c>
      <c r="D50">
        <v>1</v>
      </c>
    </row>
    <row r="51" spans="1:4">
      <c r="A51" s="10" t="s">
        <v>117</v>
      </c>
      <c r="B51">
        <v>1</v>
      </c>
      <c r="C51">
        <v>1</v>
      </c>
      <c r="D51">
        <v>1</v>
      </c>
    </row>
    <row r="52" spans="1:4">
      <c r="A52" s="10" t="s">
        <v>247</v>
      </c>
      <c r="B52">
        <v>2</v>
      </c>
      <c r="C52">
        <v>2</v>
      </c>
      <c r="D52">
        <v>1</v>
      </c>
    </row>
    <row r="53" spans="1:4">
      <c r="A53" s="10" t="s">
        <v>118</v>
      </c>
      <c r="B53">
        <v>0</v>
      </c>
      <c r="C53">
        <v>0</v>
      </c>
      <c r="D53">
        <v>1</v>
      </c>
    </row>
    <row r="54" spans="1:4">
      <c r="A54" s="10" t="s">
        <v>256</v>
      </c>
      <c r="B54">
        <v>0</v>
      </c>
      <c r="C54">
        <v>0</v>
      </c>
      <c r="D54">
        <v>1</v>
      </c>
    </row>
    <row r="55" spans="1:4">
      <c r="A55" s="10" t="s">
        <v>119</v>
      </c>
      <c r="B55">
        <v>0</v>
      </c>
      <c r="C55">
        <v>0</v>
      </c>
      <c r="D55">
        <v>1</v>
      </c>
    </row>
    <row r="56" spans="1:4">
      <c r="A56" s="10" t="s">
        <v>182</v>
      </c>
      <c r="B56">
        <v>0</v>
      </c>
      <c r="C56">
        <v>0</v>
      </c>
      <c r="D56">
        <v>1</v>
      </c>
    </row>
    <row r="57" spans="1:4">
      <c r="A57" s="10" t="s">
        <v>120</v>
      </c>
      <c r="B57">
        <v>4</v>
      </c>
      <c r="C57">
        <v>4</v>
      </c>
      <c r="D57">
        <v>1</v>
      </c>
    </row>
    <row r="58" spans="1:4">
      <c r="A58" s="10" t="s">
        <v>186</v>
      </c>
      <c r="B58">
        <v>26</v>
      </c>
      <c r="C58">
        <v>26</v>
      </c>
      <c r="D58">
        <v>1</v>
      </c>
    </row>
    <row r="59" spans="1:4">
      <c r="A59" s="10" t="s">
        <v>121</v>
      </c>
      <c r="B59">
        <v>0</v>
      </c>
      <c r="C59">
        <v>0</v>
      </c>
      <c r="D59">
        <v>1</v>
      </c>
    </row>
    <row r="60" spans="1:4">
      <c r="A60" s="10" t="s">
        <v>190</v>
      </c>
      <c r="B60">
        <v>8</v>
      </c>
      <c r="C60">
        <v>11</v>
      </c>
      <c r="D60">
        <v>1</v>
      </c>
    </row>
    <row r="61" spans="1:4">
      <c r="A61" s="10" t="s">
        <v>122</v>
      </c>
      <c r="B61">
        <v>0</v>
      </c>
      <c r="C61">
        <v>0</v>
      </c>
      <c r="D61">
        <v>1</v>
      </c>
    </row>
    <row r="62" spans="1:4">
      <c r="A62" s="10" t="s">
        <v>194</v>
      </c>
      <c r="B62">
        <v>0</v>
      </c>
      <c r="C62">
        <v>0</v>
      </c>
      <c r="D62">
        <v>1</v>
      </c>
    </row>
    <row r="63" spans="1:4">
      <c r="A63" s="10" t="s">
        <v>123</v>
      </c>
      <c r="B63">
        <v>0</v>
      </c>
      <c r="C63">
        <v>0</v>
      </c>
      <c r="D63">
        <v>1</v>
      </c>
    </row>
    <row r="64" spans="1:4">
      <c r="A64" s="10" t="s">
        <v>198</v>
      </c>
      <c r="B64">
        <v>1</v>
      </c>
      <c r="C64">
        <v>1</v>
      </c>
      <c r="D64">
        <v>1</v>
      </c>
    </row>
    <row r="65" spans="1:4">
      <c r="A65" s="10" t="s">
        <v>124</v>
      </c>
      <c r="B65">
        <v>0</v>
      </c>
      <c r="C65">
        <v>0</v>
      </c>
      <c r="D65">
        <v>1</v>
      </c>
    </row>
    <row r="66" spans="1:4">
      <c r="A66" s="10" t="s">
        <v>202</v>
      </c>
      <c r="B66">
        <v>1</v>
      </c>
      <c r="C66">
        <v>1</v>
      </c>
      <c r="D66">
        <v>1</v>
      </c>
    </row>
    <row r="67" spans="1:4">
      <c r="A67" s="10" t="s">
        <v>125</v>
      </c>
      <c r="B67">
        <v>1</v>
      </c>
      <c r="C67">
        <v>1</v>
      </c>
      <c r="D67">
        <v>1</v>
      </c>
    </row>
    <row r="68" spans="1:4">
      <c r="A68" s="10" t="s">
        <v>206</v>
      </c>
      <c r="B68">
        <v>26</v>
      </c>
      <c r="C68">
        <v>26</v>
      </c>
      <c r="D68">
        <v>1</v>
      </c>
    </row>
    <row r="69" spans="1:4">
      <c r="A69" s="10" t="s">
        <v>126</v>
      </c>
      <c r="B69">
        <v>0</v>
      </c>
      <c r="C69">
        <v>0</v>
      </c>
      <c r="D69">
        <v>1</v>
      </c>
    </row>
    <row r="70" spans="1:4">
      <c r="A70" s="10" t="s">
        <v>210</v>
      </c>
      <c r="B70">
        <v>0</v>
      </c>
      <c r="C70">
        <v>0</v>
      </c>
      <c r="D70">
        <v>1</v>
      </c>
    </row>
    <row r="71" spans="1:4">
      <c r="A71" s="10" t="s">
        <v>127</v>
      </c>
      <c r="B71">
        <v>0</v>
      </c>
      <c r="C71">
        <v>0</v>
      </c>
      <c r="D71">
        <v>1</v>
      </c>
    </row>
    <row r="72" spans="1:4">
      <c r="A72" s="10" t="s">
        <v>214</v>
      </c>
      <c r="B72">
        <v>0</v>
      </c>
      <c r="C72">
        <v>0</v>
      </c>
      <c r="D72">
        <v>1</v>
      </c>
    </row>
    <row r="73" spans="1:4">
      <c r="A73" s="10" t="s">
        <v>128</v>
      </c>
      <c r="B73">
        <v>1</v>
      </c>
      <c r="C73">
        <v>1</v>
      </c>
      <c r="D73">
        <v>1</v>
      </c>
    </row>
    <row r="74" spans="1:4">
      <c r="A74" s="10" t="s">
        <v>218</v>
      </c>
      <c r="B74">
        <v>0</v>
      </c>
      <c r="C74">
        <v>1</v>
      </c>
      <c r="D74">
        <v>1</v>
      </c>
    </row>
    <row r="75" spans="1:4">
      <c r="A75" s="10" t="s">
        <v>129</v>
      </c>
      <c r="B75">
        <v>0</v>
      </c>
      <c r="C75">
        <v>1</v>
      </c>
      <c r="D75">
        <v>1</v>
      </c>
    </row>
    <row r="76" spans="1:4">
      <c r="A76" s="10" t="s">
        <v>222</v>
      </c>
      <c r="B76">
        <v>0</v>
      </c>
      <c r="C76">
        <v>0</v>
      </c>
      <c r="D76">
        <v>1</v>
      </c>
    </row>
    <row r="77" spans="1:4">
      <c r="A77" s="10" t="s">
        <v>130</v>
      </c>
      <c r="B77">
        <v>1</v>
      </c>
      <c r="C77">
        <v>1</v>
      </c>
      <c r="D77">
        <v>1</v>
      </c>
    </row>
    <row r="78" spans="1:4">
      <c r="A78" s="10" t="s">
        <v>307</v>
      </c>
      <c r="B78">
        <v>8</v>
      </c>
      <c r="C78">
        <v>9</v>
      </c>
      <c r="D78">
        <v>1</v>
      </c>
    </row>
    <row r="79" spans="1:4">
      <c r="A79" s="10" t="s">
        <v>131</v>
      </c>
      <c r="B79">
        <v>0</v>
      </c>
      <c r="C79">
        <v>0</v>
      </c>
      <c r="D79">
        <v>1</v>
      </c>
    </row>
    <row r="80" spans="1:4">
      <c r="A80" s="10" t="s">
        <v>229</v>
      </c>
      <c r="B80">
        <v>0</v>
      </c>
      <c r="C80">
        <v>0</v>
      </c>
      <c r="D80">
        <v>1</v>
      </c>
    </row>
    <row r="81" spans="1:4">
      <c r="A81" s="10" t="s">
        <v>132</v>
      </c>
      <c r="B81">
        <v>1</v>
      </c>
      <c r="C81">
        <v>1</v>
      </c>
      <c r="D81">
        <v>1</v>
      </c>
    </row>
    <row r="82" spans="1:4">
      <c r="A82" s="10" t="s">
        <v>233</v>
      </c>
      <c r="B82">
        <v>1</v>
      </c>
      <c r="C82">
        <v>1</v>
      </c>
      <c r="D82">
        <v>1</v>
      </c>
    </row>
    <row r="83" spans="1:4">
      <c r="A83" s="10" t="s">
        <v>89</v>
      </c>
      <c r="B83">
        <v>16</v>
      </c>
      <c r="C83">
        <v>16</v>
      </c>
      <c r="D83">
        <v>1</v>
      </c>
    </row>
    <row r="84" spans="1:4">
      <c r="A84" s="10" t="s">
        <v>237</v>
      </c>
      <c r="B84">
        <v>15</v>
      </c>
      <c r="C84">
        <v>15</v>
      </c>
      <c r="D84">
        <v>1</v>
      </c>
    </row>
    <row r="85" spans="1:4">
      <c r="A85" s="10" t="s">
        <v>134</v>
      </c>
      <c r="B85">
        <v>0</v>
      </c>
      <c r="C85">
        <v>0</v>
      </c>
      <c r="D85">
        <v>1</v>
      </c>
    </row>
    <row r="86" spans="1:4">
      <c r="A86" s="10" t="s">
        <v>241</v>
      </c>
      <c r="B86">
        <v>0</v>
      </c>
      <c r="C86">
        <v>1</v>
      </c>
      <c r="D86">
        <v>1</v>
      </c>
    </row>
    <row r="87" spans="1:4">
      <c r="A87" s="10" t="s">
        <v>135</v>
      </c>
      <c r="B87">
        <v>0</v>
      </c>
      <c r="C87">
        <v>0</v>
      </c>
      <c r="D87">
        <v>1</v>
      </c>
    </row>
    <row r="88" spans="1:4">
      <c r="A88" s="10" t="s">
        <v>245</v>
      </c>
      <c r="B88">
        <v>3</v>
      </c>
      <c r="C88">
        <v>3</v>
      </c>
      <c r="D88">
        <v>1</v>
      </c>
    </row>
    <row r="89" spans="1:4">
      <c r="A89" s="10" t="s">
        <v>136</v>
      </c>
      <c r="B89">
        <v>0</v>
      </c>
      <c r="C89">
        <v>0</v>
      </c>
      <c r="D89">
        <v>1</v>
      </c>
    </row>
    <row r="90" spans="1:4">
      <c r="A90" s="10" t="s">
        <v>249</v>
      </c>
      <c r="B90">
        <v>3</v>
      </c>
      <c r="C90">
        <v>3</v>
      </c>
      <c r="D90">
        <v>1</v>
      </c>
    </row>
    <row r="91" spans="1:4">
      <c r="A91" s="10" t="s">
        <v>137</v>
      </c>
      <c r="B91">
        <v>0</v>
      </c>
      <c r="C91">
        <v>0</v>
      </c>
      <c r="D91">
        <v>1</v>
      </c>
    </row>
    <row r="92" spans="1:4">
      <c r="A92" s="10" t="s">
        <v>253</v>
      </c>
      <c r="B92">
        <v>0</v>
      </c>
      <c r="C92">
        <v>0</v>
      </c>
      <c r="D92">
        <v>1</v>
      </c>
    </row>
    <row r="93" spans="1:4">
      <c r="A93" s="10" t="s">
        <v>138</v>
      </c>
      <c r="B93">
        <v>0</v>
      </c>
      <c r="C93">
        <v>0</v>
      </c>
      <c r="D93">
        <v>1</v>
      </c>
    </row>
    <row r="94" spans="1:4">
      <c r="A94" s="10" t="s">
        <v>258</v>
      </c>
      <c r="B94">
        <v>0</v>
      </c>
      <c r="C94">
        <v>0</v>
      </c>
      <c r="D94">
        <v>1</v>
      </c>
    </row>
    <row r="95" spans="1:4">
      <c r="A95" s="10" t="s">
        <v>139</v>
      </c>
      <c r="B95">
        <v>0</v>
      </c>
      <c r="C95">
        <v>0</v>
      </c>
      <c r="D95">
        <v>1</v>
      </c>
    </row>
    <row r="96" spans="1:4">
      <c r="A96" s="10" t="s">
        <v>323</v>
      </c>
      <c r="B96">
        <v>0</v>
      </c>
      <c r="C96">
        <v>0</v>
      </c>
      <c r="D96">
        <v>1</v>
      </c>
    </row>
    <row r="97" spans="1:4">
      <c r="A97" s="10" t="s">
        <v>140</v>
      </c>
      <c r="B97">
        <v>0</v>
      </c>
      <c r="C97">
        <v>0</v>
      </c>
      <c r="D97">
        <v>1</v>
      </c>
    </row>
    <row r="98" spans="1:4">
      <c r="A98" s="10" t="s">
        <v>183</v>
      </c>
      <c r="B98">
        <v>6</v>
      </c>
      <c r="C98">
        <v>7</v>
      </c>
      <c r="D98">
        <v>1</v>
      </c>
    </row>
    <row r="99" spans="1:4">
      <c r="A99" s="10" t="s">
        <v>141</v>
      </c>
      <c r="B99">
        <v>0</v>
      </c>
      <c r="C99">
        <v>0</v>
      </c>
      <c r="D99">
        <v>1</v>
      </c>
    </row>
    <row r="100" spans="1:4">
      <c r="A100" s="10" t="s">
        <v>185</v>
      </c>
      <c r="B100">
        <v>28</v>
      </c>
      <c r="C100">
        <v>32</v>
      </c>
      <c r="D100">
        <v>1</v>
      </c>
    </row>
    <row r="101" spans="1:4">
      <c r="A101" s="10" t="s">
        <v>142</v>
      </c>
      <c r="B101">
        <v>0</v>
      </c>
      <c r="C101">
        <v>0</v>
      </c>
      <c r="D101">
        <v>1</v>
      </c>
    </row>
    <row r="102" spans="1:4">
      <c r="A102" s="10" t="s">
        <v>187</v>
      </c>
      <c r="B102">
        <v>0</v>
      </c>
      <c r="C102">
        <v>0</v>
      </c>
      <c r="D102">
        <v>1</v>
      </c>
    </row>
    <row r="103" spans="1:4">
      <c r="A103" s="10" t="s">
        <v>143</v>
      </c>
      <c r="B103">
        <v>0</v>
      </c>
      <c r="C103">
        <v>0</v>
      </c>
      <c r="D103">
        <v>1</v>
      </c>
    </row>
    <row r="104" spans="1:4">
      <c r="A104" s="10" t="s">
        <v>189</v>
      </c>
      <c r="B104">
        <v>5</v>
      </c>
      <c r="C104">
        <v>8</v>
      </c>
      <c r="D104">
        <v>1</v>
      </c>
    </row>
    <row r="105" spans="1:4">
      <c r="A105" s="10" t="s">
        <v>144</v>
      </c>
      <c r="B105">
        <v>0</v>
      </c>
      <c r="C105">
        <v>0</v>
      </c>
      <c r="D105">
        <v>1</v>
      </c>
    </row>
    <row r="106" spans="1:4">
      <c r="A106" s="10" t="s">
        <v>191</v>
      </c>
      <c r="B106">
        <v>0</v>
      </c>
      <c r="C106">
        <v>0</v>
      </c>
      <c r="D106">
        <v>1</v>
      </c>
    </row>
    <row r="107" spans="1:4">
      <c r="A107" s="10" t="s">
        <v>145</v>
      </c>
      <c r="B107">
        <v>0</v>
      </c>
      <c r="C107">
        <v>0</v>
      </c>
      <c r="D107">
        <v>1</v>
      </c>
    </row>
    <row r="108" spans="1:4">
      <c r="A108" s="10" t="s">
        <v>193</v>
      </c>
      <c r="B108">
        <v>6</v>
      </c>
      <c r="C108">
        <v>7</v>
      </c>
      <c r="D108">
        <v>1</v>
      </c>
    </row>
    <row r="109" spans="1:4">
      <c r="A109" s="10" t="s">
        <v>146</v>
      </c>
      <c r="B109">
        <v>0</v>
      </c>
      <c r="C109">
        <v>0</v>
      </c>
      <c r="D109">
        <v>1</v>
      </c>
    </row>
    <row r="110" spans="1:4">
      <c r="A110" s="10" t="s">
        <v>195</v>
      </c>
      <c r="B110">
        <v>0</v>
      </c>
      <c r="C110">
        <v>0</v>
      </c>
      <c r="D110">
        <v>1</v>
      </c>
    </row>
    <row r="111" spans="1:4">
      <c r="A111" s="10" t="s">
        <v>147</v>
      </c>
      <c r="B111">
        <v>0</v>
      </c>
      <c r="C111">
        <v>0</v>
      </c>
      <c r="D111">
        <v>1</v>
      </c>
    </row>
    <row r="112" spans="1:4">
      <c r="A112" s="10" t="s">
        <v>197</v>
      </c>
      <c r="B112">
        <v>0</v>
      </c>
      <c r="C112">
        <v>0</v>
      </c>
      <c r="D112">
        <v>1</v>
      </c>
    </row>
    <row r="113" spans="1:4">
      <c r="A113" s="10" t="s">
        <v>148</v>
      </c>
      <c r="B113">
        <v>0</v>
      </c>
      <c r="C113">
        <v>0</v>
      </c>
      <c r="D113">
        <v>1</v>
      </c>
    </row>
    <row r="114" spans="1:4">
      <c r="A114" s="10" t="s">
        <v>199</v>
      </c>
      <c r="B114">
        <v>0</v>
      </c>
      <c r="C114">
        <v>0</v>
      </c>
      <c r="D114">
        <v>1</v>
      </c>
    </row>
    <row r="115" spans="1:4">
      <c r="A115" s="10" t="s">
        <v>149</v>
      </c>
      <c r="B115">
        <v>7</v>
      </c>
      <c r="C115">
        <v>7</v>
      </c>
      <c r="D115">
        <v>1</v>
      </c>
    </row>
    <row r="116" spans="1:4">
      <c r="A116" s="10" t="s">
        <v>201</v>
      </c>
      <c r="B116">
        <v>4</v>
      </c>
      <c r="C116">
        <v>4</v>
      </c>
      <c r="D116">
        <v>1</v>
      </c>
    </row>
    <row r="117" spans="1:4">
      <c r="A117" s="10" t="s">
        <v>150</v>
      </c>
      <c r="B117">
        <v>30</v>
      </c>
      <c r="C117">
        <v>30</v>
      </c>
      <c r="D117">
        <v>1</v>
      </c>
    </row>
    <row r="118" spans="1:4">
      <c r="A118" s="10" t="s">
        <v>203</v>
      </c>
      <c r="B118">
        <v>0</v>
      </c>
      <c r="C118">
        <v>0</v>
      </c>
      <c r="D118">
        <v>1</v>
      </c>
    </row>
    <row r="119" spans="1:4">
      <c r="A119" s="10" t="s">
        <v>151</v>
      </c>
      <c r="B119">
        <v>0</v>
      </c>
      <c r="C119">
        <v>0</v>
      </c>
      <c r="D119">
        <v>1</v>
      </c>
    </row>
    <row r="120" spans="1:4">
      <c r="A120" s="10" t="s">
        <v>205</v>
      </c>
      <c r="B120">
        <v>0</v>
      </c>
      <c r="C120">
        <v>0</v>
      </c>
      <c r="D120">
        <v>1</v>
      </c>
    </row>
    <row r="121" spans="1:4">
      <c r="A121" s="10" t="s">
        <v>152</v>
      </c>
      <c r="B121">
        <v>0</v>
      </c>
      <c r="C121">
        <v>0</v>
      </c>
      <c r="D121">
        <v>1</v>
      </c>
    </row>
    <row r="122" spans="1:4">
      <c r="A122" s="10" t="s">
        <v>207</v>
      </c>
      <c r="B122">
        <v>3</v>
      </c>
      <c r="C122">
        <v>3</v>
      </c>
      <c r="D122">
        <v>1</v>
      </c>
    </row>
    <row r="123" spans="1:4">
      <c r="A123" s="10" t="s">
        <v>153</v>
      </c>
      <c r="B123">
        <v>17</v>
      </c>
      <c r="C123">
        <v>17</v>
      </c>
      <c r="D123">
        <v>1</v>
      </c>
    </row>
    <row r="124" spans="1:4">
      <c r="A124" s="10" t="s">
        <v>209</v>
      </c>
      <c r="B124">
        <v>0</v>
      </c>
      <c r="C124">
        <v>0</v>
      </c>
      <c r="D124">
        <v>1</v>
      </c>
    </row>
    <row r="125" spans="1:4">
      <c r="A125" s="10" t="s">
        <v>154</v>
      </c>
      <c r="B125">
        <v>26</v>
      </c>
      <c r="C125">
        <v>27</v>
      </c>
      <c r="D125">
        <v>1</v>
      </c>
    </row>
    <row r="126" spans="1:4">
      <c r="A126" s="10" t="s">
        <v>211</v>
      </c>
      <c r="B126">
        <v>0</v>
      </c>
      <c r="C126">
        <v>0</v>
      </c>
      <c r="D126">
        <v>1</v>
      </c>
    </row>
    <row r="127" spans="1:4">
      <c r="A127" s="10" t="s">
        <v>155</v>
      </c>
      <c r="B127">
        <v>0</v>
      </c>
      <c r="C127">
        <v>0</v>
      </c>
      <c r="D127">
        <v>1</v>
      </c>
    </row>
    <row r="128" spans="1:4">
      <c r="A128" s="10" t="s">
        <v>213</v>
      </c>
      <c r="B128">
        <v>0</v>
      </c>
      <c r="C128">
        <v>0</v>
      </c>
      <c r="D128">
        <v>1</v>
      </c>
    </row>
    <row r="129" spans="1:4">
      <c r="A129" s="10" t="s">
        <v>156</v>
      </c>
      <c r="B129">
        <v>8</v>
      </c>
      <c r="C129">
        <v>8</v>
      </c>
      <c r="D129">
        <v>1</v>
      </c>
    </row>
    <row r="130" spans="1:4">
      <c r="A130" s="10" t="s">
        <v>215</v>
      </c>
      <c r="B130">
        <v>0</v>
      </c>
      <c r="C130">
        <v>2</v>
      </c>
      <c r="D130">
        <v>1</v>
      </c>
    </row>
    <row r="131" spans="1:4">
      <c r="A131" s="10" t="s">
        <v>157</v>
      </c>
      <c r="B131">
        <v>11</v>
      </c>
      <c r="C131">
        <v>11</v>
      </c>
      <c r="D131">
        <v>1</v>
      </c>
    </row>
    <row r="132" spans="1:4">
      <c r="A132" s="10" t="s">
        <v>99</v>
      </c>
      <c r="B132">
        <v>0</v>
      </c>
      <c r="C132">
        <v>0</v>
      </c>
      <c r="D132">
        <v>1</v>
      </c>
    </row>
    <row r="133" spans="1:4">
      <c r="A133" s="10" t="s">
        <v>158</v>
      </c>
      <c r="B133">
        <v>21</v>
      </c>
      <c r="C133">
        <v>23</v>
      </c>
      <c r="D133">
        <v>1</v>
      </c>
    </row>
    <row r="134" spans="1:4">
      <c r="A134" s="10" t="s">
        <v>219</v>
      </c>
      <c r="B134">
        <v>0</v>
      </c>
      <c r="C134">
        <v>0</v>
      </c>
      <c r="D134">
        <v>1</v>
      </c>
    </row>
    <row r="135" spans="1:4">
      <c r="A135" s="10" t="s">
        <v>159</v>
      </c>
      <c r="B135">
        <v>0</v>
      </c>
      <c r="C135">
        <v>0</v>
      </c>
      <c r="D135">
        <v>1</v>
      </c>
    </row>
    <row r="136" spans="1:4">
      <c r="A136" s="10" t="s">
        <v>221</v>
      </c>
      <c r="B136">
        <v>6</v>
      </c>
      <c r="C136">
        <v>6</v>
      </c>
      <c r="D136">
        <v>1</v>
      </c>
    </row>
    <row r="137" spans="1:4">
      <c r="A137" s="10" t="s">
        <v>160</v>
      </c>
      <c r="B137">
        <v>1</v>
      </c>
      <c r="C137">
        <v>0</v>
      </c>
      <c r="D137">
        <v>1</v>
      </c>
    </row>
    <row r="138" spans="1:4">
      <c r="A138" s="10" t="s">
        <v>223</v>
      </c>
      <c r="B138">
        <v>0</v>
      </c>
      <c r="C138">
        <v>1</v>
      </c>
      <c r="D138">
        <v>1</v>
      </c>
    </row>
    <row r="139" spans="1:4">
      <c r="A139" s="10" t="s">
        <v>161</v>
      </c>
      <c r="B139">
        <v>0</v>
      </c>
      <c r="C139">
        <v>0</v>
      </c>
      <c r="D139">
        <v>1</v>
      </c>
    </row>
    <row r="140" spans="1:4">
      <c r="A140" s="10" t="s">
        <v>225</v>
      </c>
      <c r="B140">
        <v>6</v>
      </c>
      <c r="C140">
        <v>7</v>
      </c>
      <c r="D140">
        <v>1</v>
      </c>
    </row>
    <row r="141" spans="1:4">
      <c r="A141" s="10" t="s">
        <v>90</v>
      </c>
      <c r="B141">
        <v>0</v>
      </c>
      <c r="C141">
        <v>0</v>
      </c>
      <c r="D141">
        <v>1</v>
      </c>
    </row>
    <row r="142" spans="1:4">
      <c r="A142" s="10" t="s">
        <v>226</v>
      </c>
      <c r="B142">
        <v>0</v>
      </c>
      <c r="C142">
        <v>1</v>
      </c>
      <c r="D142">
        <v>1</v>
      </c>
    </row>
    <row r="143" spans="1:4">
      <c r="A143" s="10" t="s">
        <v>163</v>
      </c>
      <c r="B143">
        <v>4</v>
      </c>
      <c r="C143">
        <v>4</v>
      </c>
      <c r="D143">
        <v>1</v>
      </c>
    </row>
    <row r="144" spans="1:4">
      <c r="A144" s="10" t="s">
        <v>228</v>
      </c>
      <c r="B144">
        <v>0</v>
      </c>
      <c r="C144">
        <v>0</v>
      </c>
      <c r="D144">
        <v>1</v>
      </c>
    </row>
    <row r="145" spans="1:4">
      <c r="A145" s="10" t="s">
        <v>164</v>
      </c>
      <c r="B145">
        <v>2</v>
      </c>
      <c r="C145">
        <v>2</v>
      </c>
      <c r="D145">
        <v>1</v>
      </c>
    </row>
    <row r="146" spans="1:4">
      <c r="A146" s="10" t="s">
        <v>230</v>
      </c>
      <c r="B146">
        <v>1</v>
      </c>
      <c r="C146">
        <v>1</v>
      </c>
      <c r="D146">
        <v>1</v>
      </c>
    </row>
    <row r="147" spans="1:4">
      <c r="A147" s="10" t="s">
        <v>74</v>
      </c>
      <c r="B147">
        <v>4</v>
      </c>
      <c r="C147">
        <v>4</v>
      </c>
      <c r="D147">
        <v>1</v>
      </c>
    </row>
    <row r="148" spans="1:4">
      <c r="A148" s="10" t="s">
        <v>232</v>
      </c>
      <c r="B148">
        <v>0</v>
      </c>
      <c r="C148">
        <v>0</v>
      </c>
      <c r="D148">
        <v>1</v>
      </c>
    </row>
    <row r="149" spans="1:4">
      <c r="A149" s="10" t="s">
        <v>92</v>
      </c>
      <c r="B149">
        <v>0</v>
      </c>
      <c r="C149">
        <v>0</v>
      </c>
      <c r="D149">
        <v>1</v>
      </c>
    </row>
    <row r="150" spans="1:4">
      <c r="A150" s="10" t="s">
        <v>234</v>
      </c>
      <c r="B150">
        <v>2</v>
      </c>
      <c r="C150">
        <v>2</v>
      </c>
      <c r="D150">
        <v>1</v>
      </c>
    </row>
    <row r="151" spans="1:4">
      <c r="A151" s="10" t="s">
        <v>93</v>
      </c>
      <c r="B151">
        <v>0</v>
      </c>
      <c r="C151">
        <v>0</v>
      </c>
      <c r="D151">
        <v>1</v>
      </c>
    </row>
    <row r="152" spans="1:4">
      <c r="A152" s="10" t="s">
        <v>236</v>
      </c>
      <c r="B152">
        <v>0</v>
      </c>
      <c r="C152">
        <v>0</v>
      </c>
      <c r="D152">
        <v>1</v>
      </c>
    </row>
    <row r="153" spans="1:4">
      <c r="A153" s="10" t="s">
        <v>94</v>
      </c>
      <c r="B153">
        <v>0</v>
      </c>
      <c r="C153">
        <v>0</v>
      </c>
      <c r="D153">
        <v>1</v>
      </c>
    </row>
    <row r="154" spans="1:4">
      <c r="A154" s="10" t="s">
        <v>238</v>
      </c>
      <c r="B154">
        <v>8</v>
      </c>
      <c r="C154">
        <v>8</v>
      </c>
      <c r="D154">
        <v>1</v>
      </c>
    </row>
    <row r="155" spans="1:4">
      <c r="A155" s="10" t="s">
        <v>95</v>
      </c>
      <c r="B155">
        <v>1</v>
      </c>
      <c r="C155">
        <v>1</v>
      </c>
      <c r="D155">
        <v>1</v>
      </c>
    </row>
    <row r="156" spans="1:4">
      <c r="A156" s="10" t="s">
        <v>240</v>
      </c>
      <c r="B156">
        <v>2</v>
      </c>
      <c r="C156">
        <v>1</v>
      </c>
      <c r="D156">
        <v>1</v>
      </c>
    </row>
    <row r="157" spans="1:4">
      <c r="A157" s="10" t="s">
        <v>96</v>
      </c>
      <c r="B157">
        <v>1</v>
      </c>
      <c r="C157">
        <v>1</v>
      </c>
      <c r="D157">
        <v>1</v>
      </c>
    </row>
    <row r="158" spans="1:4">
      <c r="A158" s="10" t="s">
        <v>242</v>
      </c>
      <c r="B158">
        <v>11</v>
      </c>
      <c r="C158">
        <v>9</v>
      </c>
      <c r="D158">
        <v>1</v>
      </c>
    </row>
    <row r="159" spans="1:4">
      <c r="A159" s="10" t="s">
        <v>97</v>
      </c>
      <c r="B159">
        <v>0</v>
      </c>
      <c r="C159">
        <v>0</v>
      </c>
      <c r="D159">
        <v>1</v>
      </c>
    </row>
    <row r="160" spans="1:4">
      <c r="A160" s="10" t="s">
        <v>244</v>
      </c>
      <c r="B160">
        <v>0</v>
      </c>
      <c r="C160">
        <v>0</v>
      </c>
      <c r="D160">
        <v>1</v>
      </c>
    </row>
    <row r="161" spans="1:4">
      <c r="A161" s="10" t="s">
        <v>98</v>
      </c>
      <c r="B161">
        <v>0</v>
      </c>
      <c r="C161">
        <v>0</v>
      </c>
      <c r="D161">
        <v>1</v>
      </c>
    </row>
    <row r="162" spans="1:4">
      <c r="A162" s="10" t="s">
        <v>246</v>
      </c>
      <c r="B162">
        <v>0</v>
      </c>
      <c r="C162">
        <v>0</v>
      </c>
      <c r="D162">
        <v>1</v>
      </c>
    </row>
    <row r="163" spans="1:4">
      <c r="A163" s="10" t="s">
        <v>261</v>
      </c>
      <c r="B163">
        <v>3</v>
      </c>
      <c r="C163">
        <v>1</v>
      </c>
      <c r="D163">
        <v>1</v>
      </c>
    </row>
    <row r="164" spans="1:4">
      <c r="A164" s="10" t="s">
        <v>248</v>
      </c>
      <c r="B164">
        <v>0</v>
      </c>
      <c r="C164">
        <v>0</v>
      </c>
      <c r="D164">
        <v>1</v>
      </c>
    </row>
    <row r="165" spans="1:4">
      <c r="A165" s="10" t="s">
        <v>262</v>
      </c>
      <c r="B165">
        <v>65</v>
      </c>
      <c r="C165">
        <v>68</v>
      </c>
      <c r="D165">
        <v>1</v>
      </c>
    </row>
    <row r="166" spans="1:4">
      <c r="A166" s="10" t="s">
        <v>250</v>
      </c>
      <c r="B166">
        <v>9</v>
      </c>
      <c r="C166">
        <v>9</v>
      </c>
      <c r="D166">
        <v>1</v>
      </c>
    </row>
    <row r="167" spans="1:4">
      <c r="A167" s="10" t="s">
        <v>264</v>
      </c>
      <c r="B167">
        <v>8</v>
      </c>
      <c r="C167">
        <v>10</v>
      </c>
      <c r="D167">
        <v>1</v>
      </c>
    </row>
    <row r="168" spans="1:4">
      <c r="A168" s="10" t="s">
        <v>100</v>
      </c>
      <c r="B168">
        <v>0</v>
      </c>
      <c r="C168">
        <v>0</v>
      </c>
      <c r="D168">
        <v>1</v>
      </c>
    </row>
    <row r="169" spans="1:4">
      <c r="A169" s="10" t="s">
        <v>266</v>
      </c>
      <c r="B169">
        <v>4</v>
      </c>
      <c r="C169">
        <v>4</v>
      </c>
      <c r="D169">
        <v>1</v>
      </c>
    </row>
    <row r="170" spans="1:4">
      <c r="A170" s="10" t="s">
        <v>254</v>
      </c>
      <c r="B170">
        <v>1</v>
      </c>
      <c r="C170">
        <v>1</v>
      </c>
      <c r="D170">
        <v>1</v>
      </c>
    </row>
    <row r="171" spans="1:4">
      <c r="A171" s="10" t="s">
        <v>294</v>
      </c>
      <c r="B171">
        <v>1</v>
      </c>
      <c r="C171">
        <v>1</v>
      </c>
      <c r="D171">
        <v>1</v>
      </c>
    </row>
    <row r="172" spans="1:4">
      <c r="A172" s="10" t="s">
        <v>257</v>
      </c>
      <c r="B172">
        <v>43</v>
      </c>
      <c r="C172">
        <v>43</v>
      </c>
      <c r="D172">
        <v>1</v>
      </c>
    </row>
    <row r="173" spans="1:4">
      <c r="A173" s="10" t="s">
        <v>299</v>
      </c>
      <c r="B173">
        <v>0</v>
      </c>
      <c r="C173">
        <v>1</v>
      </c>
      <c r="D173">
        <v>1</v>
      </c>
    </row>
    <row r="174" spans="1:4">
      <c r="A174" s="10" t="s">
        <v>259</v>
      </c>
      <c r="B174">
        <v>2</v>
      </c>
      <c r="C174">
        <v>2</v>
      </c>
      <c r="D174">
        <v>1</v>
      </c>
    </row>
    <row r="175" spans="1:4">
      <c r="A175" s="10" t="s">
        <v>301</v>
      </c>
      <c r="B175">
        <v>1</v>
      </c>
      <c r="C175">
        <v>3</v>
      </c>
      <c r="D175">
        <v>1</v>
      </c>
    </row>
    <row r="176" spans="1:4">
      <c r="A176" s="10" t="s">
        <v>101</v>
      </c>
      <c r="B176">
        <v>14</v>
      </c>
      <c r="C176">
        <v>14</v>
      </c>
      <c r="D176">
        <v>1</v>
      </c>
    </row>
    <row r="177" spans="1:4">
      <c r="A177" s="10" t="s">
        <v>319</v>
      </c>
      <c r="B177">
        <v>0</v>
      </c>
      <c r="C177">
        <v>0</v>
      </c>
      <c r="D177">
        <v>1</v>
      </c>
    </row>
    <row r="178" spans="1:4">
      <c r="A178" s="10" t="s">
        <v>263</v>
      </c>
      <c r="B178">
        <v>5</v>
      </c>
      <c r="C178">
        <v>5</v>
      </c>
      <c r="D178">
        <v>1</v>
      </c>
    </row>
    <row r="179" spans="1:4">
      <c r="A179" s="10" t="s">
        <v>174</v>
      </c>
      <c r="B179">
        <v>0</v>
      </c>
      <c r="C179">
        <v>0</v>
      </c>
      <c r="D179">
        <v>1</v>
      </c>
    </row>
    <row r="180" spans="1:4">
      <c r="A180" s="10" t="s">
        <v>295</v>
      </c>
      <c r="B180">
        <v>2</v>
      </c>
      <c r="C180">
        <v>2</v>
      </c>
      <c r="D180">
        <v>1</v>
      </c>
    </row>
    <row r="181" spans="1:4">
      <c r="A181" s="10" t="s">
        <v>175</v>
      </c>
      <c r="B181">
        <v>1</v>
      </c>
      <c r="C181">
        <v>1</v>
      </c>
      <c r="D181">
        <v>1</v>
      </c>
    </row>
    <row r="182" spans="1:4">
      <c r="A182" s="10" t="s">
        <v>267</v>
      </c>
      <c r="B182">
        <v>0</v>
      </c>
      <c r="C182">
        <v>0</v>
      </c>
      <c r="D182">
        <v>1</v>
      </c>
    </row>
    <row r="183" spans="1:4">
      <c r="A183" s="10" t="s">
        <v>176</v>
      </c>
      <c r="B183">
        <v>0</v>
      </c>
      <c r="C183">
        <v>0</v>
      </c>
      <c r="D183">
        <v>1</v>
      </c>
    </row>
    <row r="184" spans="1:4">
      <c r="A184" s="10" t="s">
        <v>296</v>
      </c>
      <c r="B184">
        <v>14</v>
      </c>
      <c r="C184">
        <v>15</v>
      </c>
      <c r="D184">
        <v>1</v>
      </c>
    </row>
    <row r="185" spans="1:4">
      <c r="A185" s="10" t="s">
        <v>177</v>
      </c>
      <c r="B185">
        <v>40</v>
      </c>
      <c r="C185">
        <v>40</v>
      </c>
      <c r="D185">
        <v>1</v>
      </c>
    </row>
    <row r="186" spans="1:4">
      <c r="A186" s="10" t="s">
        <v>300</v>
      </c>
      <c r="B186">
        <v>1</v>
      </c>
      <c r="C186">
        <v>1</v>
      </c>
      <c r="D186">
        <v>1</v>
      </c>
    </row>
    <row r="187" spans="1:4">
      <c r="A187" s="10" t="s">
        <v>178</v>
      </c>
      <c r="B187">
        <v>43</v>
      </c>
      <c r="C187">
        <v>46</v>
      </c>
      <c r="D187">
        <v>1</v>
      </c>
    </row>
    <row r="188" spans="1:4">
      <c r="A188" s="10" t="s">
        <v>304</v>
      </c>
      <c r="B188">
        <v>0</v>
      </c>
      <c r="C188">
        <v>0</v>
      </c>
      <c r="D188">
        <v>1</v>
      </c>
    </row>
    <row r="189" spans="1:4">
      <c r="A189" s="10" t="s">
        <v>179</v>
      </c>
      <c r="B189">
        <v>36</v>
      </c>
      <c r="C189">
        <v>36</v>
      </c>
      <c r="D189">
        <v>1</v>
      </c>
    </row>
    <row r="190" spans="1:4">
      <c r="A190" s="10" t="s">
        <v>320</v>
      </c>
      <c r="B190">
        <v>1</v>
      </c>
      <c r="C190">
        <v>1</v>
      </c>
      <c r="D190">
        <v>1</v>
      </c>
    </row>
    <row r="191" spans="1:4">
      <c r="A191" s="10" t="s">
        <v>180</v>
      </c>
      <c r="B191">
        <v>60</v>
      </c>
      <c r="C191">
        <v>52</v>
      </c>
      <c r="D191">
        <v>1</v>
      </c>
    </row>
    <row r="192" spans="1:4">
      <c r="A192" s="10" t="s">
        <v>28</v>
      </c>
      <c r="B192">
        <v>15</v>
      </c>
      <c r="C192">
        <v>13</v>
      </c>
      <c r="D192">
        <v>1</v>
      </c>
    </row>
    <row r="193" spans="1:4">
      <c r="A193" s="10" t="s">
        <v>181</v>
      </c>
      <c r="B193">
        <v>49</v>
      </c>
      <c r="C193">
        <v>39</v>
      </c>
      <c r="D193">
        <v>1</v>
      </c>
    </row>
    <row r="194" spans="1:4">
      <c r="A194" s="10" t="s">
        <v>67</v>
      </c>
      <c r="B194">
        <v>900</v>
      </c>
      <c r="C194">
        <v>930</v>
      </c>
      <c r="D194">
        <v>207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DASHBOARD </vt:lpstr>
      <vt:lpstr>dados TOP 5 SAIDAS</vt:lpstr>
      <vt:lpstr>dados ferramentas </vt:lpstr>
      <vt:lpstr>dados porcentagem saida.entrada</vt:lpstr>
      <vt:lpstr>TECNICOS DADOS</vt:lpstr>
      <vt:lpstr>PAINEL</vt:lpstr>
      <vt:lpstr>Relatorio</vt:lpstr>
      <vt:lpstr>PENDENCIAS DO DIA</vt:lpstr>
      <vt:lpstr>BD MOVIMENTAÇÃO</vt:lpstr>
      <vt:lpstr>BD COLABORADORES</vt:lpstr>
      <vt:lpstr>BD DASH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João Paulo</dc:creator>
  <cp:keywords/>
  <dc:description/>
  <cp:lastModifiedBy>Augusto Cesar Pereira Takayama</cp:lastModifiedBy>
  <cp:revision/>
  <cp:lastPrinted>2025-11-03T22:18:40Z</cp:lastPrinted>
  <dcterms:created xsi:type="dcterms:W3CDTF">2022-06-19T17:48:42Z</dcterms:created>
  <dcterms:modified xsi:type="dcterms:W3CDTF">2026-04-27T16:29:37Z</dcterms:modified>
  <cp:category/>
  <cp:contentStatus/>
</cp:coreProperties>
</file>